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lasov/Trading/"/>
    </mc:Choice>
  </mc:AlternateContent>
  <xr:revisionPtr revIDLastSave="0" documentId="13_ncr:1_{0C21735C-6251-6741-A9CD-1819E343F301}" xr6:coauthVersionLast="46" xr6:coauthVersionMax="46" xr10:uidLastSave="{00000000-0000-0000-0000-000000000000}"/>
  <bookViews>
    <workbookView xWindow="31980" yWindow="-4780" windowWidth="25600" windowHeight="14280" xr2:uid="{B0000497-2A03-C243-B060-7D057D9622E2}"/>
  </bookViews>
  <sheets>
    <sheet name="Home" sheetId="1" r:id="rId1"/>
    <sheet name="Master" sheetId="3" r:id="rId2"/>
    <sheet name="Analytics" sheetId="5" r:id="rId3"/>
    <sheet name="Futures" sheetId="6" r:id="rId4"/>
  </sheets>
  <externalReferences>
    <externalReference r:id="rId5"/>
  </externalReferences>
  <definedNames>
    <definedName name="Cost_Basis_Avg">Master!#REF!</definedName>
    <definedName name="Exec_Date">Master!#REF!</definedName>
    <definedName name="Exec_Time">Master!#REF!</definedName>
    <definedName name="Exp">Master!#REF!</definedName>
    <definedName name="master_data">Master!$A$1:$S$4131</definedName>
    <definedName name="Net_Price">Master!#REF!</definedName>
    <definedName name="Net_Qty">Master!#REF!</definedName>
    <definedName name="Net_Size">Master!#REF!</definedName>
    <definedName name="Order_Type">Master!#REF!</definedName>
    <definedName name="Pos_Effect">Master!#REF!</definedName>
    <definedName name="Price">Master!#REF!</definedName>
    <definedName name="Qty">Master!#REF!</definedName>
    <definedName name="results_data">Analytics!$H$17:$H$66</definedName>
    <definedName name="Side">Master!#REF!</definedName>
    <definedName name="Spread">Master!#REF!</definedName>
    <definedName name="Strike">Master!#REF!</definedName>
    <definedName name="Symbol">Master!#REF!</definedName>
    <definedName name="total_pnl">Analytics!$H$67</definedName>
    <definedName name="Trade_id">Master!#REF!</definedName>
    <definedName name="Trade_P_L">Master!#REF!</definedName>
    <definedName name="Type">Master!#REF!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131" i="3" l="1"/>
  <c r="C4130" i="3"/>
  <c r="C4129" i="3"/>
  <c r="C4128" i="3"/>
  <c r="C4127" i="3"/>
  <c r="C4126" i="3"/>
  <c r="C4125" i="3"/>
  <c r="C4124" i="3"/>
  <c r="C4123" i="3"/>
  <c r="C4122" i="3"/>
  <c r="C4121" i="3"/>
  <c r="C4120" i="3"/>
  <c r="P4119" i="3"/>
  <c r="S4119" i="3" s="1"/>
  <c r="C4119" i="3"/>
  <c r="A4119" i="3"/>
  <c r="C4118" i="3"/>
  <c r="C4117" i="3"/>
  <c r="C4116" i="3"/>
  <c r="C4115" i="3"/>
  <c r="C4114" i="3"/>
  <c r="C4113" i="3"/>
  <c r="C4112" i="3"/>
  <c r="C4111" i="3"/>
  <c r="C4110" i="3"/>
  <c r="C4109" i="3"/>
  <c r="C4108" i="3"/>
  <c r="C4107" i="3"/>
  <c r="P4106" i="3"/>
  <c r="S4106" i="3" s="1"/>
  <c r="C4106" i="3"/>
  <c r="A4106" i="3"/>
  <c r="C4105" i="3"/>
  <c r="C4104" i="3"/>
  <c r="C4103" i="3"/>
  <c r="C4102" i="3"/>
  <c r="C4101" i="3"/>
  <c r="C4100" i="3"/>
  <c r="C4099" i="3"/>
  <c r="C4098" i="3"/>
  <c r="C4097" i="3"/>
  <c r="C4096" i="3"/>
  <c r="C4095" i="3"/>
  <c r="C4094" i="3"/>
  <c r="P4093" i="3"/>
  <c r="S4093" i="3" s="1"/>
  <c r="C4093" i="3"/>
  <c r="A4093" i="3"/>
  <c r="C4092" i="3"/>
  <c r="C4091" i="3"/>
  <c r="C4090" i="3"/>
  <c r="C4089" i="3"/>
  <c r="C4088" i="3"/>
  <c r="C4087" i="3"/>
  <c r="C4086" i="3"/>
  <c r="C4085" i="3"/>
  <c r="C4084" i="3"/>
  <c r="C4083" i="3"/>
  <c r="P4082" i="3"/>
  <c r="C4082" i="3"/>
  <c r="S4081" i="3"/>
  <c r="P4081" i="3"/>
  <c r="A4082" i="3" s="1"/>
  <c r="C4081" i="3"/>
  <c r="A4081" i="3"/>
  <c r="C4080" i="3"/>
  <c r="C4079" i="3"/>
  <c r="C4078" i="3"/>
  <c r="C4077" i="3"/>
  <c r="C4076" i="3"/>
  <c r="C4075" i="3"/>
  <c r="C4074" i="3"/>
  <c r="C4073" i="3"/>
  <c r="P4072" i="3"/>
  <c r="C4072" i="3"/>
  <c r="S4071" i="3"/>
  <c r="P4071" i="3"/>
  <c r="C4071" i="3"/>
  <c r="A4071" i="3"/>
  <c r="C4070" i="3"/>
  <c r="C4069" i="3"/>
  <c r="C4068" i="3"/>
  <c r="C4067" i="3"/>
  <c r="C4066" i="3"/>
  <c r="C4065" i="3"/>
  <c r="C4064" i="3"/>
  <c r="C4063" i="3"/>
  <c r="C4062" i="3"/>
  <c r="C4061" i="3"/>
  <c r="C4060" i="3"/>
  <c r="C4059" i="3"/>
  <c r="P4058" i="3"/>
  <c r="S4058" i="3" s="1"/>
  <c r="C4058" i="3"/>
  <c r="A4058" i="3"/>
  <c r="C4057" i="3"/>
  <c r="C4056" i="3"/>
  <c r="C4055" i="3"/>
  <c r="C4054" i="3"/>
  <c r="C4053" i="3"/>
  <c r="C4052" i="3"/>
  <c r="C4051" i="3"/>
  <c r="C4050" i="3"/>
  <c r="C4049" i="3"/>
  <c r="C4048" i="3"/>
  <c r="P4047" i="3"/>
  <c r="S4047" i="3" s="1"/>
  <c r="C4047" i="3"/>
  <c r="A4047" i="3"/>
  <c r="C4046" i="3"/>
  <c r="C4045" i="3"/>
  <c r="C4044" i="3"/>
  <c r="C4043" i="3"/>
  <c r="C4042" i="3"/>
  <c r="C4041" i="3"/>
  <c r="C4040" i="3"/>
  <c r="C4039" i="3"/>
  <c r="C4038" i="3"/>
  <c r="C4037" i="3"/>
  <c r="C4036" i="3"/>
  <c r="S4035" i="3"/>
  <c r="P4035" i="3"/>
  <c r="A4036" i="3" s="1"/>
  <c r="C4035" i="3"/>
  <c r="A4035" i="3"/>
  <c r="P4034" i="3"/>
  <c r="C4034" i="3"/>
  <c r="S4033" i="3"/>
  <c r="P4033" i="3"/>
  <c r="A4034" i="3" s="1"/>
  <c r="C4033" i="3"/>
  <c r="A4033" i="3"/>
  <c r="C4032" i="3"/>
  <c r="C4031" i="3"/>
  <c r="C4030" i="3"/>
  <c r="C4029" i="3"/>
  <c r="C4028" i="3"/>
  <c r="C4027" i="3"/>
  <c r="C4026" i="3"/>
  <c r="C4025" i="3"/>
  <c r="P4024" i="3"/>
  <c r="S4024" i="3" s="1"/>
  <c r="C4024" i="3"/>
  <c r="A4024" i="3"/>
  <c r="C4023" i="3"/>
  <c r="C4022" i="3"/>
  <c r="C4021" i="3"/>
  <c r="C4020" i="3"/>
  <c r="C4019" i="3"/>
  <c r="C4018" i="3"/>
  <c r="C4017" i="3"/>
  <c r="C4016" i="3"/>
  <c r="P4015" i="3"/>
  <c r="C4015" i="3"/>
  <c r="S4014" i="3"/>
  <c r="P4014" i="3"/>
  <c r="C4014" i="3"/>
  <c r="A4014" i="3"/>
  <c r="C4013" i="3"/>
  <c r="C4012" i="3"/>
  <c r="C4011" i="3"/>
  <c r="C4010" i="3"/>
  <c r="P4009" i="3"/>
  <c r="S4009" i="3" s="1"/>
  <c r="C4009" i="3"/>
  <c r="S4008" i="3"/>
  <c r="P4008" i="3"/>
  <c r="A4009" i="3" s="1"/>
  <c r="C4008" i="3"/>
  <c r="A4008" i="3"/>
  <c r="F21" i="1"/>
  <c r="C4007" i="3"/>
  <c r="C4006" i="3"/>
  <c r="P4005" i="3"/>
  <c r="C4005" i="3"/>
  <c r="S4004" i="3"/>
  <c r="P4004" i="3"/>
  <c r="A4005" i="3" s="1"/>
  <c r="C4004" i="3"/>
  <c r="A4004" i="3"/>
  <c r="C4003" i="3"/>
  <c r="C4002" i="3"/>
  <c r="C4001" i="3"/>
  <c r="C4000" i="3"/>
  <c r="C3999" i="3"/>
  <c r="C3998" i="3"/>
  <c r="C3997" i="3"/>
  <c r="C3996" i="3"/>
  <c r="C3995" i="3"/>
  <c r="C3994" i="3"/>
  <c r="C3993" i="3"/>
  <c r="C3992" i="3"/>
  <c r="C3991" i="3"/>
  <c r="C3990" i="3"/>
  <c r="S3989" i="3"/>
  <c r="P3989" i="3"/>
  <c r="P3990" i="3" s="1"/>
  <c r="C3989" i="3"/>
  <c r="A3989" i="3"/>
  <c r="C3988" i="3"/>
  <c r="C3987" i="3"/>
  <c r="C3986" i="3"/>
  <c r="C3985" i="3"/>
  <c r="C3984" i="3"/>
  <c r="C3983" i="3"/>
  <c r="C3982" i="3"/>
  <c r="C3981" i="3"/>
  <c r="C3980" i="3"/>
  <c r="C3979" i="3"/>
  <c r="C3978" i="3"/>
  <c r="C3977" i="3"/>
  <c r="C3976" i="3"/>
  <c r="C3975" i="3"/>
  <c r="P3974" i="3"/>
  <c r="S3974" i="3" s="1"/>
  <c r="C3974" i="3"/>
  <c r="A3974" i="3"/>
  <c r="P3973" i="3"/>
  <c r="C3973" i="3"/>
  <c r="S3972" i="3"/>
  <c r="P3972" i="3"/>
  <c r="C3972" i="3"/>
  <c r="A3972" i="3"/>
  <c r="C3971" i="3"/>
  <c r="C3970" i="3"/>
  <c r="C3969" i="3"/>
  <c r="C3968" i="3"/>
  <c r="C3967" i="3"/>
  <c r="C3966" i="3"/>
  <c r="C3965" i="3"/>
  <c r="C3964" i="3"/>
  <c r="S3963" i="3"/>
  <c r="P3963" i="3"/>
  <c r="P3964" i="3" s="1"/>
  <c r="C3963" i="3"/>
  <c r="A3963" i="3"/>
  <c r="C3962" i="3"/>
  <c r="C3961" i="3"/>
  <c r="C3960" i="3"/>
  <c r="C3959" i="3"/>
  <c r="C3958" i="3"/>
  <c r="C3957" i="3"/>
  <c r="C3956" i="3"/>
  <c r="C3955" i="3"/>
  <c r="C3954" i="3"/>
  <c r="C3953" i="3"/>
  <c r="C3952" i="3"/>
  <c r="C3951" i="3"/>
  <c r="C3950" i="3"/>
  <c r="C3949" i="3"/>
  <c r="P3948" i="3"/>
  <c r="S3948" i="3" s="1"/>
  <c r="C3948" i="3"/>
  <c r="S3947" i="3"/>
  <c r="P3947" i="3"/>
  <c r="C3947" i="3"/>
  <c r="A3947" i="3"/>
  <c r="C3946" i="3"/>
  <c r="C3945" i="3"/>
  <c r="C3944" i="3"/>
  <c r="C3943" i="3"/>
  <c r="C3942" i="3"/>
  <c r="C3941" i="3"/>
  <c r="C3940" i="3"/>
  <c r="S3939" i="3"/>
  <c r="P3939" i="3"/>
  <c r="A3940" i="3" s="1"/>
  <c r="C3939" i="3"/>
  <c r="A3939" i="3"/>
  <c r="P3938" i="3"/>
  <c r="C3938" i="3"/>
  <c r="S3937" i="3"/>
  <c r="P3937" i="3"/>
  <c r="A3938" i="3" s="1"/>
  <c r="C3937" i="3"/>
  <c r="A3937" i="3"/>
  <c r="C3936" i="3"/>
  <c r="C3935" i="3"/>
  <c r="C3934" i="3"/>
  <c r="C3933" i="3"/>
  <c r="C3932" i="3"/>
  <c r="C3931" i="3"/>
  <c r="C3930" i="3"/>
  <c r="C3929" i="3"/>
  <c r="C3928" i="3"/>
  <c r="C3927" i="3"/>
  <c r="C3926" i="3"/>
  <c r="C3925" i="3"/>
  <c r="P3924" i="3"/>
  <c r="S3924" i="3" s="1"/>
  <c r="C3924" i="3"/>
  <c r="A3924" i="3"/>
  <c r="C3923" i="3"/>
  <c r="C3922" i="3"/>
  <c r="C3921" i="3"/>
  <c r="C3920" i="3"/>
  <c r="C3919" i="3"/>
  <c r="C3918" i="3"/>
  <c r="C3917" i="3"/>
  <c r="C3916" i="3"/>
  <c r="C3915" i="3"/>
  <c r="C3914" i="3"/>
  <c r="C3913" i="3"/>
  <c r="C3912" i="3"/>
  <c r="C3911" i="3"/>
  <c r="C3910" i="3"/>
  <c r="C3909" i="3"/>
  <c r="C3908" i="3"/>
  <c r="C3907" i="3"/>
  <c r="C3906" i="3"/>
  <c r="C3905" i="3"/>
  <c r="C3904" i="3"/>
  <c r="C3903" i="3"/>
  <c r="C3902" i="3"/>
  <c r="S3901" i="3"/>
  <c r="P3901" i="3"/>
  <c r="P3902" i="3" s="1"/>
  <c r="C3901" i="3"/>
  <c r="A3901" i="3"/>
  <c r="C3900" i="3"/>
  <c r="C3899" i="3"/>
  <c r="C3898" i="3"/>
  <c r="C3897" i="3"/>
  <c r="C3896" i="3"/>
  <c r="C3895" i="3"/>
  <c r="C3894" i="3"/>
  <c r="C3893" i="3"/>
  <c r="C3892" i="3"/>
  <c r="C3891" i="3"/>
  <c r="C3890" i="3"/>
  <c r="C3889" i="3"/>
  <c r="C3888" i="3"/>
  <c r="C3887" i="3"/>
  <c r="C3886" i="3"/>
  <c r="C3885" i="3"/>
  <c r="C3884" i="3"/>
  <c r="C3883" i="3"/>
  <c r="C3882" i="3"/>
  <c r="C3881" i="3"/>
  <c r="C3880" i="3"/>
  <c r="C3879" i="3"/>
  <c r="C3878" i="3"/>
  <c r="C3877" i="3"/>
  <c r="P3876" i="3"/>
  <c r="S3876" i="3" s="1"/>
  <c r="C3876" i="3"/>
  <c r="A3876" i="3"/>
  <c r="C3875" i="3"/>
  <c r="C3874" i="3"/>
  <c r="C3873" i="3"/>
  <c r="C3872" i="3"/>
  <c r="P3871" i="3"/>
  <c r="C3871" i="3"/>
  <c r="S3870" i="3"/>
  <c r="P3870" i="3"/>
  <c r="A3871" i="3" s="1"/>
  <c r="C3870" i="3"/>
  <c r="A3870" i="3"/>
  <c r="C3869" i="3"/>
  <c r="C3868" i="3"/>
  <c r="C3867" i="3"/>
  <c r="C3866" i="3"/>
  <c r="C3865" i="3"/>
  <c r="C3864" i="3"/>
  <c r="C3863" i="3"/>
  <c r="S3862" i="3"/>
  <c r="P3862" i="3"/>
  <c r="A3863" i="3" s="1"/>
  <c r="C3862" i="3"/>
  <c r="A3862" i="3"/>
  <c r="C3859" i="3"/>
  <c r="C3860" i="3"/>
  <c r="C3861" i="3"/>
  <c r="A3853" i="3"/>
  <c r="A3854" i="3"/>
  <c r="A3855" i="3" s="1"/>
  <c r="A3856" i="3" s="1"/>
  <c r="A3857" i="3" s="1"/>
  <c r="A3858" i="3" s="1"/>
  <c r="A3859" i="3" s="1"/>
  <c r="A3860" i="3" s="1"/>
  <c r="A3861" i="3" s="1"/>
  <c r="C3858" i="3"/>
  <c r="C3857" i="3"/>
  <c r="C3856" i="3"/>
  <c r="C3855" i="3"/>
  <c r="C3854" i="3"/>
  <c r="C3853" i="3"/>
  <c r="C3852" i="3"/>
  <c r="C3851" i="3"/>
  <c r="C3850" i="3"/>
  <c r="C3849" i="3"/>
  <c r="C3848" i="3"/>
  <c r="C3847" i="3"/>
  <c r="C3846" i="3"/>
  <c r="C3845" i="3"/>
  <c r="C3844" i="3"/>
  <c r="C3843" i="3"/>
  <c r="C3842" i="3"/>
  <c r="C3841" i="3"/>
  <c r="C3840" i="3"/>
  <c r="C3839" i="3"/>
  <c r="C3838" i="3"/>
  <c r="C3837" i="3"/>
  <c r="C3836" i="3"/>
  <c r="C3835" i="3"/>
  <c r="C3834" i="3"/>
  <c r="C3833" i="3"/>
  <c r="C3832" i="3"/>
  <c r="C3831" i="3"/>
  <c r="C3830" i="3"/>
  <c r="C3829" i="3"/>
  <c r="C3828" i="3"/>
  <c r="C3827" i="3"/>
  <c r="C3826" i="3"/>
  <c r="C3825" i="3"/>
  <c r="C3824" i="3"/>
  <c r="C3823" i="3"/>
  <c r="C3822" i="3"/>
  <c r="C3821" i="3"/>
  <c r="C3820" i="3"/>
  <c r="C3819" i="3"/>
  <c r="C3818" i="3"/>
  <c r="C3817" i="3"/>
  <c r="C3816" i="3"/>
  <c r="C3815" i="3"/>
  <c r="C3814" i="3"/>
  <c r="C3813" i="3"/>
  <c r="C3812" i="3"/>
  <c r="C3811" i="3"/>
  <c r="C3810" i="3"/>
  <c r="C3809" i="3"/>
  <c r="C3808" i="3"/>
  <c r="C3807" i="3"/>
  <c r="C3806" i="3"/>
  <c r="C3805" i="3"/>
  <c r="C3804" i="3"/>
  <c r="C3803" i="3"/>
  <c r="C3802" i="3"/>
  <c r="C3801" i="3"/>
  <c r="C3800" i="3"/>
  <c r="C3799" i="3"/>
  <c r="C3798" i="3"/>
  <c r="C3797" i="3"/>
  <c r="C3796" i="3"/>
  <c r="C3795" i="3"/>
  <c r="C3794" i="3"/>
  <c r="C3793" i="3"/>
  <c r="C3792" i="3"/>
  <c r="C3791" i="3"/>
  <c r="C3790" i="3"/>
  <c r="C3789" i="3"/>
  <c r="C3788" i="3"/>
  <c r="C3787" i="3"/>
  <c r="C3786" i="3"/>
  <c r="C3785" i="3"/>
  <c r="C3784" i="3"/>
  <c r="C3783" i="3"/>
  <c r="C3782" i="3"/>
  <c r="C3781" i="3"/>
  <c r="C3780" i="3"/>
  <c r="C3779" i="3"/>
  <c r="C3778" i="3"/>
  <c r="C3777" i="3"/>
  <c r="C3776" i="3"/>
  <c r="C3775" i="3"/>
  <c r="C3774" i="3"/>
  <c r="C3773" i="3"/>
  <c r="C3772" i="3"/>
  <c r="C3771" i="3"/>
  <c r="C3770" i="3"/>
  <c r="C3769" i="3"/>
  <c r="C3768" i="3"/>
  <c r="C3767" i="3"/>
  <c r="C3766" i="3"/>
  <c r="C3765" i="3"/>
  <c r="C3764" i="3"/>
  <c r="C3763" i="3"/>
  <c r="C3762" i="3"/>
  <c r="C3761" i="3"/>
  <c r="C3760" i="3"/>
  <c r="C3759" i="3"/>
  <c r="C3758" i="3"/>
  <c r="C3757" i="3"/>
  <c r="C3756" i="3"/>
  <c r="C3755" i="3"/>
  <c r="C3754" i="3"/>
  <c r="C3753" i="3"/>
  <c r="C3752" i="3"/>
  <c r="C3751" i="3"/>
  <c r="C3750" i="3"/>
  <c r="C3749" i="3"/>
  <c r="C3748" i="3"/>
  <c r="C3747" i="3"/>
  <c r="C3746" i="3"/>
  <c r="C3745" i="3"/>
  <c r="C3744" i="3"/>
  <c r="C3743" i="3"/>
  <c r="C3742" i="3"/>
  <c r="C3741" i="3"/>
  <c r="C3740" i="3"/>
  <c r="C3739" i="3"/>
  <c r="C3738" i="3"/>
  <c r="C3737" i="3"/>
  <c r="C3736" i="3"/>
  <c r="C3735" i="3"/>
  <c r="C3734" i="3"/>
  <c r="C3733" i="3"/>
  <c r="C3732" i="3"/>
  <c r="C3731" i="3"/>
  <c r="C3730" i="3"/>
  <c r="C3729" i="3"/>
  <c r="C3728" i="3"/>
  <c r="C3727" i="3"/>
  <c r="C3726" i="3"/>
  <c r="C3725" i="3"/>
  <c r="C3724" i="3"/>
  <c r="C3723" i="3"/>
  <c r="C3722" i="3"/>
  <c r="C3721" i="3"/>
  <c r="C3720" i="3"/>
  <c r="C3719" i="3"/>
  <c r="C3718" i="3"/>
  <c r="C3717" i="3"/>
  <c r="C3716" i="3"/>
  <c r="C3715" i="3"/>
  <c r="C3714" i="3"/>
  <c r="C3713" i="3"/>
  <c r="C3712" i="3"/>
  <c r="C3711" i="3"/>
  <c r="C3710" i="3"/>
  <c r="C3709" i="3"/>
  <c r="C3708" i="3"/>
  <c r="C3707" i="3"/>
  <c r="C3706" i="3"/>
  <c r="C3705" i="3"/>
  <c r="C3704" i="3"/>
  <c r="C3703" i="3"/>
  <c r="C3702" i="3"/>
  <c r="C3701" i="3"/>
  <c r="C3700" i="3"/>
  <c r="C3699" i="3"/>
  <c r="C3698" i="3"/>
  <c r="C3697" i="3"/>
  <c r="C3696" i="3"/>
  <c r="C3695" i="3"/>
  <c r="C3694" i="3"/>
  <c r="C3693" i="3"/>
  <c r="C3692" i="3"/>
  <c r="C3691" i="3"/>
  <c r="C3690" i="3"/>
  <c r="C3689" i="3"/>
  <c r="C3688" i="3"/>
  <c r="C3687" i="3"/>
  <c r="C3686" i="3"/>
  <c r="C3685" i="3"/>
  <c r="C3684" i="3"/>
  <c r="C3683" i="3"/>
  <c r="C3682" i="3"/>
  <c r="C3681" i="3"/>
  <c r="C3680" i="3"/>
  <c r="C3679" i="3"/>
  <c r="C3678" i="3"/>
  <c r="C3677" i="3"/>
  <c r="C3676" i="3"/>
  <c r="C3675" i="3"/>
  <c r="C3674" i="3"/>
  <c r="C3673" i="3"/>
  <c r="C3672" i="3"/>
  <c r="C3671" i="3"/>
  <c r="C3670" i="3"/>
  <c r="C3669" i="3"/>
  <c r="C3668" i="3"/>
  <c r="C3667" i="3"/>
  <c r="C3666" i="3"/>
  <c r="C3665" i="3"/>
  <c r="C3664" i="3"/>
  <c r="C3663" i="3"/>
  <c r="C3662" i="3"/>
  <c r="C3661" i="3"/>
  <c r="C3660" i="3"/>
  <c r="C3659" i="3"/>
  <c r="C3658" i="3"/>
  <c r="C3657" i="3"/>
  <c r="C3656" i="3"/>
  <c r="C3655" i="3"/>
  <c r="C3654" i="3"/>
  <c r="C3653" i="3"/>
  <c r="C3652" i="3"/>
  <c r="C3651" i="3"/>
  <c r="C3650" i="3"/>
  <c r="C3649" i="3"/>
  <c r="C3648" i="3"/>
  <c r="C3647" i="3"/>
  <c r="C3646" i="3"/>
  <c r="C3645" i="3"/>
  <c r="C3644" i="3"/>
  <c r="C3643" i="3"/>
  <c r="C3642" i="3"/>
  <c r="C3641" i="3"/>
  <c r="C3640" i="3"/>
  <c r="C3639" i="3"/>
  <c r="C3638" i="3"/>
  <c r="C3637" i="3"/>
  <c r="C3636" i="3"/>
  <c r="C3635" i="3"/>
  <c r="C3634" i="3"/>
  <c r="C3633" i="3"/>
  <c r="C3632" i="3"/>
  <c r="C3631" i="3"/>
  <c r="C3630" i="3"/>
  <c r="C3629" i="3"/>
  <c r="C3628" i="3"/>
  <c r="C3627" i="3"/>
  <c r="C3626" i="3"/>
  <c r="C3625" i="3"/>
  <c r="C3624" i="3"/>
  <c r="C3623" i="3"/>
  <c r="C3622" i="3"/>
  <c r="C3621" i="3"/>
  <c r="C3620" i="3"/>
  <c r="C3619" i="3"/>
  <c r="C3618" i="3"/>
  <c r="C3617" i="3"/>
  <c r="C3616" i="3"/>
  <c r="C3615" i="3"/>
  <c r="C3614" i="3"/>
  <c r="C3613" i="3"/>
  <c r="C3612" i="3"/>
  <c r="C3611" i="3"/>
  <c r="C3610" i="3"/>
  <c r="C3609" i="3"/>
  <c r="C3608" i="3"/>
  <c r="C3607" i="3"/>
  <c r="C3606" i="3"/>
  <c r="C3605" i="3"/>
  <c r="C3604" i="3"/>
  <c r="C3603" i="3"/>
  <c r="C3602" i="3"/>
  <c r="C3601" i="3"/>
  <c r="C3600" i="3"/>
  <c r="C3599" i="3"/>
  <c r="C3598" i="3"/>
  <c r="C3597" i="3"/>
  <c r="C3596" i="3"/>
  <c r="C3595" i="3"/>
  <c r="C3594" i="3"/>
  <c r="C3593" i="3"/>
  <c r="C3592" i="3"/>
  <c r="C3591" i="3"/>
  <c r="C3590" i="3"/>
  <c r="C3589" i="3"/>
  <c r="C3588" i="3"/>
  <c r="C3587" i="3"/>
  <c r="C3586" i="3"/>
  <c r="C3585" i="3"/>
  <c r="C3584" i="3"/>
  <c r="C3583" i="3"/>
  <c r="C3582" i="3"/>
  <c r="C3581" i="3"/>
  <c r="C3580" i="3"/>
  <c r="C3579" i="3"/>
  <c r="C3578" i="3"/>
  <c r="C3577" i="3"/>
  <c r="C3576" i="3"/>
  <c r="C3575" i="3"/>
  <c r="C3574" i="3"/>
  <c r="C3573" i="3"/>
  <c r="C3572" i="3"/>
  <c r="C3571" i="3"/>
  <c r="C3570" i="3"/>
  <c r="C3569" i="3"/>
  <c r="C3568" i="3"/>
  <c r="C3567" i="3"/>
  <c r="C3566" i="3"/>
  <c r="C3565" i="3"/>
  <c r="C3564" i="3"/>
  <c r="C3563" i="3"/>
  <c r="C3562" i="3"/>
  <c r="C3561" i="3"/>
  <c r="C3560" i="3"/>
  <c r="C3559" i="3"/>
  <c r="C3558" i="3"/>
  <c r="C3557" i="3"/>
  <c r="C3556" i="3"/>
  <c r="C3555" i="3"/>
  <c r="C3554" i="3"/>
  <c r="C3553" i="3"/>
  <c r="C3552" i="3"/>
  <c r="C3551" i="3"/>
  <c r="C3550" i="3"/>
  <c r="C3549" i="3"/>
  <c r="C3548" i="3"/>
  <c r="C3547" i="3"/>
  <c r="C3546" i="3"/>
  <c r="C3545" i="3"/>
  <c r="C3544" i="3"/>
  <c r="C3543" i="3"/>
  <c r="C3542" i="3"/>
  <c r="C3541" i="3"/>
  <c r="C3540" i="3"/>
  <c r="C3539" i="3"/>
  <c r="C3538" i="3"/>
  <c r="C3537" i="3"/>
  <c r="C3536" i="3"/>
  <c r="C3535" i="3"/>
  <c r="C3534" i="3"/>
  <c r="C3533" i="3"/>
  <c r="C3532" i="3"/>
  <c r="C3531" i="3"/>
  <c r="C3530" i="3"/>
  <c r="C3529" i="3"/>
  <c r="C3528" i="3"/>
  <c r="C3527" i="3"/>
  <c r="C3526" i="3"/>
  <c r="C3525" i="3"/>
  <c r="C3524" i="3"/>
  <c r="C3523" i="3"/>
  <c r="C3522" i="3"/>
  <c r="C3521" i="3"/>
  <c r="C3520" i="3"/>
  <c r="C3519" i="3"/>
  <c r="C3518" i="3"/>
  <c r="C3517" i="3"/>
  <c r="C3516" i="3"/>
  <c r="C3515" i="3"/>
  <c r="C3514" i="3"/>
  <c r="C3513" i="3"/>
  <c r="C3512" i="3"/>
  <c r="C3511" i="3"/>
  <c r="C3510" i="3"/>
  <c r="C3509" i="3"/>
  <c r="C3508" i="3"/>
  <c r="C3507" i="3"/>
  <c r="C3506" i="3"/>
  <c r="C3505" i="3"/>
  <c r="C3504" i="3"/>
  <c r="C3503" i="3"/>
  <c r="C3502" i="3"/>
  <c r="C3501" i="3"/>
  <c r="C3500" i="3"/>
  <c r="C3499" i="3"/>
  <c r="C3498" i="3"/>
  <c r="C3497" i="3"/>
  <c r="C3496" i="3"/>
  <c r="C3495" i="3"/>
  <c r="C3494" i="3"/>
  <c r="C3493" i="3"/>
  <c r="C3492" i="3"/>
  <c r="C3491" i="3"/>
  <c r="C3490" i="3"/>
  <c r="C3489" i="3"/>
  <c r="C3488" i="3"/>
  <c r="C3487" i="3"/>
  <c r="C3486" i="3"/>
  <c r="C3485" i="3"/>
  <c r="C3484" i="3"/>
  <c r="C3483" i="3"/>
  <c r="C3482" i="3"/>
  <c r="C3481" i="3"/>
  <c r="C3480" i="3"/>
  <c r="C3479" i="3"/>
  <c r="C3478" i="3"/>
  <c r="C3477" i="3"/>
  <c r="C3476" i="3"/>
  <c r="C3475" i="3"/>
  <c r="C3474" i="3"/>
  <c r="C3473" i="3"/>
  <c r="C3472" i="3"/>
  <c r="C3471" i="3"/>
  <c r="C3470" i="3"/>
  <c r="C3469" i="3"/>
  <c r="C3468" i="3"/>
  <c r="C3467" i="3"/>
  <c r="C3466" i="3"/>
  <c r="C3465" i="3"/>
  <c r="C3464" i="3"/>
  <c r="C3463" i="3"/>
  <c r="C3462" i="3"/>
  <c r="C3461" i="3"/>
  <c r="C3460" i="3"/>
  <c r="C3459" i="3"/>
  <c r="C3458" i="3"/>
  <c r="C3457" i="3"/>
  <c r="C3456" i="3"/>
  <c r="C3455" i="3"/>
  <c r="C3454" i="3"/>
  <c r="C3453" i="3"/>
  <c r="C3452" i="3"/>
  <c r="C3451" i="3"/>
  <c r="C3450" i="3"/>
  <c r="C3449" i="3"/>
  <c r="C3448" i="3"/>
  <c r="C3447" i="3"/>
  <c r="C3446" i="3"/>
  <c r="C3445" i="3"/>
  <c r="C3444" i="3"/>
  <c r="C3443" i="3"/>
  <c r="C3442" i="3"/>
  <c r="C3441" i="3"/>
  <c r="C3440" i="3"/>
  <c r="C3439" i="3"/>
  <c r="C3438" i="3"/>
  <c r="C3437" i="3"/>
  <c r="C3436" i="3"/>
  <c r="C3435" i="3"/>
  <c r="C3434" i="3"/>
  <c r="C3433" i="3"/>
  <c r="C3432" i="3"/>
  <c r="C3431" i="3"/>
  <c r="C3430" i="3"/>
  <c r="C3429" i="3"/>
  <c r="C3428" i="3"/>
  <c r="C3427" i="3"/>
  <c r="C3426" i="3"/>
  <c r="C3425" i="3"/>
  <c r="C3424" i="3"/>
  <c r="C3423" i="3"/>
  <c r="C3422" i="3"/>
  <c r="C3421" i="3"/>
  <c r="C3420" i="3"/>
  <c r="C3419" i="3"/>
  <c r="C3418" i="3"/>
  <c r="C3417" i="3"/>
  <c r="C3416" i="3"/>
  <c r="C3415" i="3"/>
  <c r="C3414" i="3"/>
  <c r="C3413" i="3"/>
  <c r="C3412" i="3"/>
  <c r="C3411" i="3"/>
  <c r="C3410" i="3"/>
  <c r="C3409" i="3"/>
  <c r="C3408" i="3"/>
  <c r="C3407" i="3"/>
  <c r="C3406" i="3"/>
  <c r="C3405" i="3"/>
  <c r="C3404" i="3"/>
  <c r="C3403" i="3"/>
  <c r="C3402" i="3"/>
  <c r="C3401" i="3"/>
  <c r="C3400" i="3"/>
  <c r="C3399" i="3"/>
  <c r="C3398" i="3"/>
  <c r="C3397" i="3"/>
  <c r="C3396" i="3"/>
  <c r="C3395" i="3"/>
  <c r="C3394" i="3"/>
  <c r="C3393" i="3"/>
  <c r="C3392" i="3"/>
  <c r="C3391" i="3"/>
  <c r="C3390" i="3"/>
  <c r="C3389" i="3"/>
  <c r="C3388" i="3"/>
  <c r="C3387" i="3"/>
  <c r="C3386" i="3"/>
  <c r="C3385" i="3"/>
  <c r="C3384" i="3"/>
  <c r="C3383" i="3"/>
  <c r="C3382" i="3"/>
  <c r="C3381" i="3"/>
  <c r="C3380" i="3"/>
  <c r="C3379" i="3"/>
  <c r="C3378" i="3"/>
  <c r="C3377" i="3"/>
  <c r="C3376" i="3"/>
  <c r="C3375" i="3"/>
  <c r="C3374" i="3"/>
  <c r="C3373" i="3"/>
  <c r="C3372" i="3"/>
  <c r="C3371" i="3"/>
  <c r="C3370" i="3"/>
  <c r="C3369" i="3"/>
  <c r="C3368" i="3"/>
  <c r="C3367" i="3"/>
  <c r="C3366" i="3"/>
  <c r="C3365" i="3"/>
  <c r="C3364" i="3"/>
  <c r="C3363" i="3"/>
  <c r="C3362" i="3"/>
  <c r="C3361" i="3"/>
  <c r="C3360" i="3"/>
  <c r="C3359" i="3"/>
  <c r="C3358" i="3"/>
  <c r="C3357" i="3"/>
  <c r="C3356" i="3"/>
  <c r="C3355" i="3"/>
  <c r="C3354" i="3"/>
  <c r="C3353" i="3"/>
  <c r="C3352" i="3"/>
  <c r="C3351" i="3"/>
  <c r="C3350" i="3"/>
  <c r="C3349" i="3"/>
  <c r="C3348" i="3"/>
  <c r="C3347" i="3"/>
  <c r="C3346" i="3"/>
  <c r="C3345" i="3"/>
  <c r="C3344" i="3"/>
  <c r="C3343" i="3"/>
  <c r="C3342" i="3"/>
  <c r="C3341" i="3"/>
  <c r="C3340" i="3"/>
  <c r="C3339" i="3"/>
  <c r="C3338" i="3"/>
  <c r="C3337" i="3"/>
  <c r="C3336" i="3"/>
  <c r="C3335" i="3"/>
  <c r="C3334" i="3"/>
  <c r="C3333" i="3"/>
  <c r="C3332" i="3"/>
  <c r="C3331" i="3"/>
  <c r="C3330" i="3"/>
  <c r="C3329" i="3"/>
  <c r="C3328" i="3"/>
  <c r="C3327" i="3"/>
  <c r="C3326" i="3"/>
  <c r="C3325" i="3"/>
  <c r="C3324" i="3"/>
  <c r="C3323" i="3"/>
  <c r="C3322" i="3"/>
  <c r="C3321" i="3"/>
  <c r="C3320" i="3"/>
  <c r="C3319" i="3"/>
  <c r="C3318" i="3"/>
  <c r="C3317" i="3"/>
  <c r="C3316" i="3"/>
  <c r="C3315" i="3"/>
  <c r="C3314" i="3"/>
  <c r="C3313" i="3"/>
  <c r="C3312" i="3"/>
  <c r="C3311" i="3"/>
  <c r="C3310" i="3"/>
  <c r="C3309" i="3"/>
  <c r="C3308" i="3"/>
  <c r="C3307" i="3"/>
  <c r="C3306" i="3"/>
  <c r="C3305" i="3"/>
  <c r="C3304" i="3"/>
  <c r="C3303" i="3"/>
  <c r="C3302" i="3"/>
  <c r="C3301" i="3"/>
  <c r="C3300" i="3"/>
  <c r="C3299" i="3"/>
  <c r="C3298" i="3"/>
  <c r="C3297" i="3"/>
  <c r="C3296" i="3"/>
  <c r="C3295" i="3"/>
  <c r="C3294" i="3"/>
  <c r="C3293" i="3"/>
  <c r="C3292" i="3"/>
  <c r="C3291" i="3"/>
  <c r="C3290" i="3"/>
  <c r="C3289" i="3"/>
  <c r="C3288" i="3"/>
  <c r="C3287" i="3"/>
  <c r="C3286" i="3"/>
  <c r="C3285" i="3"/>
  <c r="C3284" i="3"/>
  <c r="C3283" i="3"/>
  <c r="C3282" i="3"/>
  <c r="C3281" i="3"/>
  <c r="C3280" i="3"/>
  <c r="C3279" i="3"/>
  <c r="C3278" i="3"/>
  <c r="C3277" i="3"/>
  <c r="C3276" i="3"/>
  <c r="C3275" i="3"/>
  <c r="C3274" i="3"/>
  <c r="C3273" i="3"/>
  <c r="C3272" i="3"/>
  <c r="C3271" i="3"/>
  <c r="C3270" i="3"/>
  <c r="C3269" i="3"/>
  <c r="C3268" i="3"/>
  <c r="C3267" i="3"/>
  <c r="C3266" i="3"/>
  <c r="C3265" i="3"/>
  <c r="C3264" i="3"/>
  <c r="C3263" i="3"/>
  <c r="C3262" i="3"/>
  <c r="C3261" i="3"/>
  <c r="C3260" i="3"/>
  <c r="C3259" i="3"/>
  <c r="C3258" i="3"/>
  <c r="C3257" i="3"/>
  <c r="C3256" i="3"/>
  <c r="C3255" i="3"/>
  <c r="C3254" i="3"/>
  <c r="C3253" i="3"/>
  <c r="C3252" i="3"/>
  <c r="C3251" i="3"/>
  <c r="C3250" i="3"/>
  <c r="C3249" i="3"/>
  <c r="C3248" i="3"/>
  <c r="C3247" i="3"/>
  <c r="C3246" i="3"/>
  <c r="C3245" i="3"/>
  <c r="C3244" i="3"/>
  <c r="C3243" i="3"/>
  <c r="C3242" i="3"/>
  <c r="C3241" i="3"/>
  <c r="C3240" i="3"/>
  <c r="C3239" i="3"/>
  <c r="C3238" i="3"/>
  <c r="C3237" i="3"/>
  <c r="C3236" i="3"/>
  <c r="C3235" i="3"/>
  <c r="C3234" i="3"/>
  <c r="C3233" i="3"/>
  <c r="C3232" i="3"/>
  <c r="C3231" i="3"/>
  <c r="C3230" i="3"/>
  <c r="C3229" i="3"/>
  <c r="C3228" i="3"/>
  <c r="C3227" i="3"/>
  <c r="C3226" i="3"/>
  <c r="C3225" i="3"/>
  <c r="C3224" i="3"/>
  <c r="C3223" i="3"/>
  <c r="C3222" i="3"/>
  <c r="C3221" i="3"/>
  <c r="C3220" i="3"/>
  <c r="C3219" i="3"/>
  <c r="C3218" i="3"/>
  <c r="C3217" i="3"/>
  <c r="C3216" i="3"/>
  <c r="C3215" i="3"/>
  <c r="C3214" i="3"/>
  <c r="C3213" i="3"/>
  <c r="C3212" i="3"/>
  <c r="C3211" i="3"/>
  <c r="C3210" i="3"/>
  <c r="C3209" i="3"/>
  <c r="C3208" i="3"/>
  <c r="C3207" i="3"/>
  <c r="C3206" i="3"/>
  <c r="C3205" i="3"/>
  <c r="C3204" i="3"/>
  <c r="C3203" i="3"/>
  <c r="C3202" i="3"/>
  <c r="C3201" i="3"/>
  <c r="C3200" i="3"/>
  <c r="C3199" i="3"/>
  <c r="C3198" i="3"/>
  <c r="C3197" i="3"/>
  <c r="C3196" i="3"/>
  <c r="C3195" i="3"/>
  <c r="C3194" i="3"/>
  <c r="C3193" i="3"/>
  <c r="C3192" i="3"/>
  <c r="C3191" i="3"/>
  <c r="C3190" i="3"/>
  <c r="C3189" i="3"/>
  <c r="C3188" i="3"/>
  <c r="C3187" i="3"/>
  <c r="C3186" i="3"/>
  <c r="C3185" i="3"/>
  <c r="C3184" i="3"/>
  <c r="C3183" i="3"/>
  <c r="C3182" i="3"/>
  <c r="C3181" i="3"/>
  <c r="C3180" i="3"/>
  <c r="C3179" i="3"/>
  <c r="C3178" i="3"/>
  <c r="C3177" i="3"/>
  <c r="C3176" i="3"/>
  <c r="C3175" i="3"/>
  <c r="C3174" i="3"/>
  <c r="C3173" i="3"/>
  <c r="C3172" i="3"/>
  <c r="C3171" i="3"/>
  <c r="C3170" i="3"/>
  <c r="C3169" i="3"/>
  <c r="C3168" i="3"/>
  <c r="C3167" i="3"/>
  <c r="C3166" i="3"/>
  <c r="C3165" i="3"/>
  <c r="C3164" i="3"/>
  <c r="C3163" i="3"/>
  <c r="C3162" i="3"/>
  <c r="C3161" i="3"/>
  <c r="C3160" i="3"/>
  <c r="C3159" i="3"/>
  <c r="C3158" i="3"/>
  <c r="C3157" i="3"/>
  <c r="C3156" i="3"/>
  <c r="C3155" i="3"/>
  <c r="C3154" i="3"/>
  <c r="C3153" i="3"/>
  <c r="C3152" i="3"/>
  <c r="C3151" i="3"/>
  <c r="C3150" i="3"/>
  <c r="C3149" i="3"/>
  <c r="C3148" i="3"/>
  <c r="C3147" i="3"/>
  <c r="C3146" i="3"/>
  <c r="C3145" i="3"/>
  <c r="C3144" i="3"/>
  <c r="C3143" i="3"/>
  <c r="C3142" i="3"/>
  <c r="C3141" i="3"/>
  <c r="C3140" i="3"/>
  <c r="C3139" i="3"/>
  <c r="C3138" i="3"/>
  <c r="C3137" i="3"/>
  <c r="C3136" i="3"/>
  <c r="C3135" i="3"/>
  <c r="C3134" i="3"/>
  <c r="C3133" i="3"/>
  <c r="C3132" i="3"/>
  <c r="C3131" i="3"/>
  <c r="C3130" i="3"/>
  <c r="C3129" i="3"/>
  <c r="C3128" i="3"/>
  <c r="C3127" i="3"/>
  <c r="C3126" i="3"/>
  <c r="C3125" i="3"/>
  <c r="C3124" i="3"/>
  <c r="C3123" i="3"/>
  <c r="C3122" i="3"/>
  <c r="C3121" i="3"/>
  <c r="C3120" i="3"/>
  <c r="C3119" i="3"/>
  <c r="C3118" i="3"/>
  <c r="C3117" i="3"/>
  <c r="C3116" i="3"/>
  <c r="C3115" i="3"/>
  <c r="C3114" i="3"/>
  <c r="C3113" i="3"/>
  <c r="C3112" i="3"/>
  <c r="C3111" i="3"/>
  <c r="C3110" i="3"/>
  <c r="C3109" i="3"/>
  <c r="C3108" i="3"/>
  <c r="C3107" i="3"/>
  <c r="C3106" i="3"/>
  <c r="C3105" i="3"/>
  <c r="C3104" i="3"/>
  <c r="C3103" i="3"/>
  <c r="C3102" i="3"/>
  <c r="C3101" i="3"/>
  <c r="C3100" i="3"/>
  <c r="C3099" i="3"/>
  <c r="C3098" i="3"/>
  <c r="C3097" i="3"/>
  <c r="C3096" i="3"/>
  <c r="C3095" i="3"/>
  <c r="C3094" i="3"/>
  <c r="C3093" i="3"/>
  <c r="C3092" i="3"/>
  <c r="C3091" i="3"/>
  <c r="C3090" i="3"/>
  <c r="C3089" i="3"/>
  <c r="C3088" i="3"/>
  <c r="C3087" i="3"/>
  <c r="C3086" i="3"/>
  <c r="C3085" i="3"/>
  <c r="C3084" i="3"/>
  <c r="C3083" i="3"/>
  <c r="C3082" i="3"/>
  <c r="C3081" i="3"/>
  <c r="C3080" i="3"/>
  <c r="C3079" i="3"/>
  <c r="C3078" i="3"/>
  <c r="C3077" i="3"/>
  <c r="C3076" i="3"/>
  <c r="C3075" i="3"/>
  <c r="C3074" i="3"/>
  <c r="C3073" i="3"/>
  <c r="C3072" i="3"/>
  <c r="C3071" i="3"/>
  <c r="C3070" i="3"/>
  <c r="C3069" i="3"/>
  <c r="C3068" i="3"/>
  <c r="C3067" i="3"/>
  <c r="C3066" i="3"/>
  <c r="C3065" i="3"/>
  <c r="C3064" i="3"/>
  <c r="C3063" i="3"/>
  <c r="C3062" i="3"/>
  <c r="C3061" i="3"/>
  <c r="C3060" i="3"/>
  <c r="C3059" i="3"/>
  <c r="C3058" i="3"/>
  <c r="C3057" i="3"/>
  <c r="C3056" i="3"/>
  <c r="C3055" i="3"/>
  <c r="C3054" i="3"/>
  <c r="C3053" i="3"/>
  <c r="C3052" i="3"/>
  <c r="C3051" i="3"/>
  <c r="C3050" i="3"/>
  <c r="C3049" i="3"/>
  <c r="C3048" i="3"/>
  <c r="C3047" i="3"/>
  <c r="C3046" i="3"/>
  <c r="C3045" i="3"/>
  <c r="C3044" i="3"/>
  <c r="C3043" i="3"/>
  <c r="C3042" i="3"/>
  <c r="C3041" i="3"/>
  <c r="C3040" i="3"/>
  <c r="C3039" i="3"/>
  <c r="C3038" i="3"/>
  <c r="C3037" i="3"/>
  <c r="C3036" i="3"/>
  <c r="C3035" i="3"/>
  <c r="C3034" i="3"/>
  <c r="C3033" i="3"/>
  <c r="C3032" i="3"/>
  <c r="C3031" i="3"/>
  <c r="C3030" i="3"/>
  <c r="C3029" i="3"/>
  <c r="C3028" i="3"/>
  <c r="C3027" i="3"/>
  <c r="C3026" i="3"/>
  <c r="C3025" i="3"/>
  <c r="C3024" i="3"/>
  <c r="C3023" i="3"/>
  <c r="C3022" i="3"/>
  <c r="C3021" i="3"/>
  <c r="C3020" i="3"/>
  <c r="C3019" i="3"/>
  <c r="C3018" i="3"/>
  <c r="C3017" i="3"/>
  <c r="C3016" i="3"/>
  <c r="C3015" i="3"/>
  <c r="C3014" i="3"/>
  <c r="C3013" i="3"/>
  <c r="C3012" i="3"/>
  <c r="C3011" i="3"/>
  <c r="C3010" i="3"/>
  <c r="C3009" i="3"/>
  <c r="C3008" i="3"/>
  <c r="C3007" i="3"/>
  <c r="C3006" i="3"/>
  <c r="C3005" i="3"/>
  <c r="C3004" i="3"/>
  <c r="C3003" i="3"/>
  <c r="C3002" i="3"/>
  <c r="C3001" i="3"/>
  <c r="C3000" i="3"/>
  <c r="C2999" i="3"/>
  <c r="C2998" i="3"/>
  <c r="C2997" i="3"/>
  <c r="C2996" i="3"/>
  <c r="C2995" i="3"/>
  <c r="C2994" i="3"/>
  <c r="C2993" i="3"/>
  <c r="C2992" i="3"/>
  <c r="C2991" i="3"/>
  <c r="C2990" i="3"/>
  <c r="C2989" i="3"/>
  <c r="C2988" i="3"/>
  <c r="C2987" i="3"/>
  <c r="C2986" i="3"/>
  <c r="C2985" i="3"/>
  <c r="C2984" i="3"/>
  <c r="C2983" i="3"/>
  <c r="C2982" i="3"/>
  <c r="C2981" i="3"/>
  <c r="C2980" i="3"/>
  <c r="C2979" i="3"/>
  <c r="C2978" i="3"/>
  <c r="C2977" i="3"/>
  <c r="C2976" i="3"/>
  <c r="C2975" i="3"/>
  <c r="C2974" i="3"/>
  <c r="C2973" i="3"/>
  <c r="C2972" i="3"/>
  <c r="C2971" i="3"/>
  <c r="C2970" i="3"/>
  <c r="C2969" i="3"/>
  <c r="C2968" i="3"/>
  <c r="C2967" i="3"/>
  <c r="C2966" i="3"/>
  <c r="C2965" i="3"/>
  <c r="C2964" i="3"/>
  <c r="C2963" i="3"/>
  <c r="C2962" i="3"/>
  <c r="C2961" i="3"/>
  <c r="C2960" i="3"/>
  <c r="C2959" i="3"/>
  <c r="C2958" i="3"/>
  <c r="C2957" i="3"/>
  <c r="C2956" i="3"/>
  <c r="C2955" i="3"/>
  <c r="C2954" i="3"/>
  <c r="C2953" i="3"/>
  <c r="C2952" i="3"/>
  <c r="C2951" i="3"/>
  <c r="C2950" i="3"/>
  <c r="C2949" i="3"/>
  <c r="C2948" i="3"/>
  <c r="C2947" i="3"/>
  <c r="C2946" i="3"/>
  <c r="C2945" i="3"/>
  <c r="C2944" i="3"/>
  <c r="C2943" i="3"/>
  <c r="C2942" i="3"/>
  <c r="C2941" i="3"/>
  <c r="C2940" i="3"/>
  <c r="C2939" i="3"/>
  <c r="C2938" i="3"/>
  <c r="C2937" i="3"/>
  <c r="C2936" i="3"/>
  <c r="C2935" i="3"/>
  <c r="C2934" i="3"/>
  <c r="C2933" i="3"/>
  <c r="C2932" i="3"/>
  <c r="C2931" i="3"/>
  <c r="C2930" i="3"/>
  <c r="C2929" i="3"/>
  <c r="C2928" i="3"/>
  <c r="C2927" i="3"/>
  <c r="C2926" i="3"/>
  <c r="C2925" i="3"/>
  <c r="C2924" i="3"/>
  <c r="C2923" i="3"/>
  <c r="C2922" i="3"/>
  <c r="C2921" i="3"/>
  <c r="C2920" i="3"/>
  <c r="C2919" i="3"/>
  <c r="C2918" i="3"/>
  <c r="C2917" i="3"/>
  <c r="C2916" i="3"/>
  <c r="C2915" i="3"/>
  <c r="C2914" i="3"/>
  <c r="C2913" i="3"/>
  <c r="C2912" i="3"/>
  <c r="C2911" i="3"/>
  <c r="C2910" i="3"/>
  <c r="C2909" i="3"/>
  <c r="C2908" i="3"/>
  <c r="C2907" i="3"/>
  <c r="C2906" i="3"/>
  <c r="C2905" i="3"/>
  <c r="C2904" i="3"/>
  <c r="C2903" i="3"/>
  <c r="C2902" i="3"/>
  <c r="C2901" i="3"/>
  <c r="C2900" i="3"/>
  <c r="C2899" i="3"/>
  <c r="C2898" i="3"/>
  <c r="C2897" i="3"/>
  <c r="C2896" i="3"/>
  <c r="C2895" i="3"/>
  <c r="C2894" i="3"/>
  <c r="C2893" i="3"/>
  <c r="C2892" i="3"/>
  <c r="C2891" i="3"/>
  <c r="C2890" i="3"/>
  <c r="C2889" i="3"/>
  <c r="C2888" i="3"/>
  <c r="C2887" i="3"/>
  <c r="C2886" i="3"/>
  <c r="C2885" i="3"/>
  <c r="C2884" i="3"/>
  <c r="C2883" i="3"/>
  <c r="C2882" i="3"/>
  <c r="C2881" i="3"/>
  <c r="C2880" i="3"/>
  <c r="C2879" i="3"/>
  <c r="C2878" i="3"/>
  <c r="C2877" i="3"/>
  <c r="C2876" i="3"/>
  <c r="C2875" i="3"/>
  <c r="C2874" i="3"/>
  <c r="C2873" i="3"/>
  <c r="C2872" i="3"/>
  <c r="C2871" i="3"/>
  <c r="C2870" i="3"/>
  <c r="C2869" i="3"/>
  <c r="C2868" i="3"/>
  <c r="C2867" i="3"/>
  <c r="C2866" i="3"/>
  <c r="C2865" i="3"/>
  <c r="C2864" i="3"/>
  <c r="C2863" i="3"/>
  <c r="C2862" i="3"/>
  <c r="C2861" i="3"/>
  <c r="C2860" i="3"/>
  <c r="C2859" i="3"/>
  <c r="C2858" i="3"/>
  <c r="C2857" i="3"/>
  <c r="C2856" i="3"/>
  <c r="C2855" i="3"/>
  <c r="C2854" i="3"/>
  <c r="C2853" i="3"/>
  <c r="C2852" i="3"/>
  <c r="C2851" i="3"/>
  <c r="C2850" i="3"/>
  <c r="C2849" i="3"/>
  <c r="C2848" i="3"/>
  <c r="C2847" i="3"/>
  <c r="C2846" i="3"/>
  <c r="C2845" i="3"/>
  <c r="C2844" i="3"/>
  <c r="C2843" i="3"/>
  <c r="C2842" i="3"/>
  <c r="C2841" i="3"/>
  <c r="C2840" i="3"/>
  <c r="C2839" i="3"/>
  <c r="C2838" i="3"/>
  <c r="C2837" i="3"/>
  <c r="C2836" i="3"/>
  <c r="C2835" i="3"/>
  <c r="C2834" i="3"/>
  <c r="C2833" i="3"/>
  <c r="C2832" i="3"/>
  <c r="C2831" i="3"/>
  <c r="C2830" i="3"/>
  <c r="C2829" i="3"/>
  <c r="C2828" i="3"/>
  <c r="C2827" i="3"/>
  <c r="C2826" i="3"/>
  <c r="C2825" i="3"/>
  <c r="C2824" i="3"/>
  <c r="C2823" i="3"/>
  <c r="C2822" i="3"/>
  <c r="C2821" i="3"/>
  <c r="C2820" i="3"/>
  <c r="C2819" i="3"/>
  <c r="C2818" i="3"/>
  <c r="C2817" i="3"/>
  <c r="C2816" i="3"/>
  <c r="C2815" i="3"/>
  <c r="C2814" i="3"/>
  <c r="C2813" i="3"/>
  <c r="C2812" i="3"/>
  <c r="C2811" i="3"/>
  <c r="C2810" i="3"/>
  <c r="C2809" i="3"/>
  <c r="C2808" i="3"/>
  <c r="C2807" i="3"/>
  <c r="C2806" i="3"/>
  <c r="C2805" i="3"/>
  <c r="C2804" i="3"/>
  <c r="C2803" i="3"/>
  <c r="C2802" i="3"/>
  <c r="C2801" i="3"/>
  <c r="C2800" i="3"/>
  <c r="C2799" i="3"/>
  <c r="C2798" i="3"/>
  <c r="C2797" i="3"/>
  <c r="C2796" i="3"/>
  <c r="C2795" i="3"/>
  <c r="C2794" i="3"/>
  <c r="C2793" i="3"/>
  <c r="C2792" i="3"/>
  <c r="C2791" i="3"/>
  <c r="C2790" i="3"/>
  <c r="C2789" i="3"/>
  <c r="C2788" i="3"/>
  <c r="C2787" i="3"/>
  <c r="C2786" i="3"/>
  <c r="C2785" i="3"/>
  <c r="C2784" i="3"/>
  <c r="C2783" i="3"/>
  <c r="C2782" i="3"/>
  <c r="C2781" i="3"/>
  <c r="C2780" i="3"/>
  <c r="C2779" i="3"/>
  <c r="C2778" i="3"/>
  <c r="C2777" i="3"/>
  <c r="C2776" i="3"/>
  <c r="C2775" i="3"/>
  <c r="C2774" i="3"/>
  <c r="C2773" i="3"/>
  <c r="C2772" i="3"/>
  <c r="C2771" i="3"/>
  <c r="C2770" i="3"/>
  <c r="C2769" i="3"/>
  <c r="C2768" i="3"/>
  <c r="C2767" i="3"/>
  <c r="C2766" i="3"/>
  <c r="C2765" i="3"/>
  <c r="C2764" i="3"/>
  <c r="C2763" i="3"/>
  <c r="C2762" i="3"/>
  <c r="C2761" i="3"/>
  <c r="C2760" i="3"/>
  <c r="C2759" i="3"/>
  <c r="C2758" i="3"/>
  <c r="C2757" i="3"/>
  <c r="C2756" i="3"/>
  <c r="C2755" i="3"/>
  <c r="C2754" i="3"/>
  <c r="C2753" i="3"/>
  <c r="C2752" i="3"/>
  <c r="C2751" i="3"/>
  <c r="C2750" i="3"/>
  <c r="C2749" i="3"/>
  <c r="C2748" i="3"/>
  <c r="C2747" i="3"/>
  <c r="C2746" i="3"/>
  <c r="C2745" i="3"/>
  <c r="C2744" i="3"/>
  <c r="C2743" i="3"/>
  <c r="C2742" i="3"/>
  <c r="C2741" i="3"/>
  <c r="C2740" i="3"/>
  <c r="C2739" i="3"/>
  <c r="C2738" i="3"/>
  <c r="C2737" i="3"/>
  <c r="C2736" i="3"/>
  <c r="C2735" i="3"/>
  <c r="C2734" i="3"/>
  <c r="C2733" i="3"/>
  <c r="C2732" i="3"/>
  <c r="C2731" i="3"/>
  <c r="C2730" i="3"/>
  <c r="C2729" i="3"/>
  <c r="C2728" i="3"/>
  <c r="C2727" i="3"/>
  <c r="C2726" i="3"/>
  <c r="C2725" i="3"/>
  <c r="C2724" i="3"/>
  <c r="C2723" i="3"/>
  <c r="C2722" i="3"/>
  <c r="C2721" i="3"/>
  <c r="C2720" i="3"/>
  <c r="C2719" i="3"/>
  <c r="C2718" i="3"/>
  <c r="C2717" i="3"/>
  <c r="C2716" i="3"/>
  <c r="C2715" i="3"/>
  <c r="C2714" i="3"/>
  <c r="C2713" i="3"/>
  <c r="C2712" i="3"/>
  <c r="C2711" i="3"/>
  <c r="C2710" i="3"/>
  <c r="C2709" i="3"/>
  <c r="C2708" i="3"/>
  <c r="C2707" i="3"/>
  <c r="C2706" i="3"/>
  <c r="C2705" i="3"/>
  <c r="C2704" i="3"/>
  <c r="C2703" i="3"/>
  <c r="C2702" i="3"/>
  <c r="C2701" i="3"/>
  <c r="C2700" i="3"/>
  <c r="C2699" i="3"/>
  <c r="C2698" i="3"/>
  <c r="C2697" i="3"/>
  <c r="C2696" i="3"/>
  <c r="C2695" i="3"/>
  <c r="C2694" i="3"/>
  <c r="C2693" i="3"/>
  <c r="C2692" i="3"/>
  <c r="C2691" i="3"/>
  <c r="C2690" i="3"/>
  <c r="C2689" i="3"/>
  <c r="C2688" i="3"/>
  <c r="C2687" i="3"/>
  <c r="C2686" i="3"/>
  <c r="C2685" i="3"/>
  <c r="C2684" i="3"/>
  <c r="C2683" i="3"/>
  <c r="C2682" i="3"/>
  <c r="C2681" i="3"/>
  <c r="C2680" i="3"/>
  <c r="C2679" i="3"/>
  <c r="C2678" i="3"/>
  <c r="C2677" i="3"/>
  <c r="C2676" i="3"/>
  <c r="C2675" i="3"/>
  <c r="C2674" i="3"/>
  <c r="C2673" i="3"/>
  <c r="C2672" i="3"/>
  <c r="C2671" i="3"/>
  <c r="C2670" i="3"/>
  <c r="C2669" i="3"/>
  <c r="C2668" i="3"/>
  <c r="C2667" i="3"/>
  <c r="C2666" i="3"/>
  <c r="C2665" i="3"/>
  <c r="C2664" i="3"/>
  <c r="C2663" i="3"/>
  <c r="C2662" i="3"/>
  <c r="C2661" i="3"/>
  <c r="C2660" i="3"/>
  <c r="C2659" i="3"/>
  <c r="C2658" i="3"/>
  <c r="C2657" i="3"/>
  <c r="C2656" i="3"/>
  <c r="C2655" i="3"/>
  <c r="C2654" i="3"/>
  <c r="C2653" i="3"/>
  <c r="C2652" i="3"/>
  <c r="C2651" i="3"/>
  <c r="C2650" i="3"/>
  <c r="C2649" i="3"/>
  <c r="C2648" i="3"/>
  <c r="C2647" i="3"/>
  <c r="C2646" i="3"/>
  <c r="C2645" i="3"/>
  <c r="C2644" i="3"/>
  <c r="C2643" i="3"/>
  <c r="C2642" i="3"/>
  <c r="C2641" i="3"/>
  <c r="C2640" i="3"/>
  <c r="C2639" i="3"/>
  <c r="C2638" i="3"/>
  <c r="C2637" i="3"/>
  <c r="C2636" i="3"/>
  <c r="C2635" i="3"/>
  <c r="C2634" i="3"/>
  <c r="C2633" i="3"/>
  <c r="C2632" i="3"/>
  <c r="C2631" i="3"/>
  <c r="C2630" i="3"/>
  <c r="C2629" i="3"/>
  <c r="C2628" i="3"/>
  <c r="C2627" i="3"/>
  <c r="C2626" i="3"/>
  <c r="C2625" i="3"/>
  <c r="C2624" i="3"/>
  <c r="C2623" i="3"/>
  <c r="C2622" i="3"/>
  <c r="C2621" i="3"/>
  <c r="C2620" i="3"/>
  <c r="C2619" i="3"/>
  <c r="C2618" i="3"/>
  <c r="C2617" i="3"/>
  <c r="C2616" i="3"/>
  <c r="C2615" i="3"/>
  <c r="C2614" i="3"/>
  <c r="C2613" i="3"/>
  <c r="C2612" i="3"/>
  <c r="C2611" i="3"/>
  <c r="C2610" i="3"/>
  <c r="C2609" i="3"/>
  <c r="C2608" i="3"/>
  <c r="C2607" i="3"/>
  <c r="C2606" i="3"/>
  <c r="C2605" i="3"/>
  <c r="C2604" i="3"/>
  <c r="C2603" i="3"/>
  <c r="C2602" i="3"/>
  <c r="C2601" i="3"/>
  <c r="C2600" i="3"/>
  <c r="C2599" i="3"/>
  <c r="C2598" i="3"/>
  <c r="C2597" i="3"/>
  <c r="C2596" i="3"/>
  <c r="C2595" i="3"/>
  <c r="C2594" i="3"/>
  <c r="C2593" i="3"/>
  <c r="C2592" i="3"/>
  <c r="C2591" i="3"/>
  <c r="C2590" i="3"/>
  <c r="C2589" i="3"/>
  <c r="C2588" i="3"/>
  <c r="C2587" i="3"/>
  <c r="C2586" i="3"/>
  <c r="C2585" i="3"/>
  <c r="C2584" i="3"/>
  <c r="C2583" i="3"/>
  <c r="C2582" i="3"/>
  <c r="C2581" i="3"/>
  <c r="C2580" i="3"/>
  <c r="C2579" i="3"/>
  <c r="C2578" i="3"/>
  <c r="C2577" i="3"/>
  <c r="C2576" i="3"/>
  <c r="C2575" i="3"/>
  <c r="C2574" i="3"/>
  <c r="C2573" i="3"/>
  <c r="C2572" i="3"/>
  <c r="C2571" i="3"/>
  <c r="C2570" i="3"/>
  <c r="C2569" i="3"/>
  <c r="C2568" i="3"/>
  <c r="C2567" i="3"/>
  <c r="C2566" i="3"/>
  <c r="C2565" i="3"/>
  <c r="C2564" i="3"/>
  <c r="C2563" i="3"/>
  <c r="C2562" i="3"/>
  <c r="C2561" i="3"/>
  <c r="C2560" i="3"/>
  <c r="C2559" i="3"/>
  <c r="C2558" i="3"/>
  <c r="C2557" i="3"/>
  <c r="C2556" i="3"/>
  <c r="C2555" i="3"/>
  <c r="C2554" i="3"/>
  <c r="C2553" i="3"/>
  <c r="C2552" i="3"/>
  <c r="C2551" i="3"/>
  <c r="C2550" i="3"/>
  <c r="C2549" i="3"/>
  <c r="C2548" i="3"/>
  <c r="C2547" i="3"/>
  <c r="C2546" i="3"/>
  <c r="C2545" i="3"/>
  <c r="C2544" i="3"/>
  <c r="C2543" i="3"/>
  <c r="C2542" i="3"/>
  <c r="C2541" i="3"/>
  <c r="C2540" i="3"/>
  <c r="C2539" i="3"/>
  <c r="C2538" i="3"/>
  <c r="C2537" i="3"/>
  <c r="C2536" i="3"/>
  <c r="C2535" i="3"/>
  <c r="C2534" i="3"/>
  <c r="C2533" i="3"/>
  <c r="C2532" i="3"/>
  <c r="C2531" i="3"/>
  <c r="C2530" i="3"/>
  <c r="C2529" i="3"/>
  <c r="C2528" i="3"/>
  <c r="C2527" i="3"/>
  <c r="C2526" i="3"/>
  <c r="C2525" i="3"/>
  <c r="C2524" i="3"/>
  <c r="C2523" i="3"/>
  <c r="C2522" i="3"/>
  <c r="C2521" i="3"/>
  <c r="C2520" i="3"/>
  <c r="C2519" i="3"/>
  <c r="C2518" i="3"/>
  <c r="C2517" i="3"/>
  <c r="C2516" i="3"/>
  <c r="C2515" i="3"/>
  <c r="C2514" i="3"/>
  <c r="C2513" i="3"/>
  <c r="C2512" i="3"/>
  <c r="C2511" i="3"/>
  <c r="C2510" i="3"/>
  <c r="C2509" i="3"/>
  <c r="C2508" i="3"/>
  <c r="C2507" i="3"/>
  <c r="C2506" i="3"/>
  <c r="C2505" i="3"/>
  <c r="C2504" i="3"/>
  <c r="C2503" i="3"/>
  <c r="C2502" i="3"/>
  <c r="C2501" i="3"/>
  <c r="C2500" i="3"/>
  <c r="C2499" i="3"/>
  <c r="C2498" i="3"/>
  <c r="C2497" i="3"/>
  <c r="C2496" i="3"/>
  <c r="C2495" i="3"/>
  <c r="C2494" i="3"/>
  <c r="C2493" i="3"/>
  <c r="C2492" i="3"/>
  <c r="C2491" i="3"/>
  <c r="C2490" i="3"/>
  <c r="C2489" i="3"/>
  <c r="C2488" i="3"/>
  <c r="C2487" i="3"/>
  <c r="C2486" i="3"/>
  <c r="C2485" i="3"/>
  <c r="C2484" i="3"/>
  <c r="C2483" i="3"/>
  <c r="C2482" i="3"/>
  <c r="C2481" i="3"/>
  <c r="C2480" i="3"/>
  <c r="C2479" i="3"/>
  <c r="C2478" i="3"/>
  <c r="C2477" i="3"/>
  <c r="C2476" i="3"/>
  <c r="C2475" i="3"/>
  <c r="C2474" i="3"/>
  <c r="C2473" i="3"/>
  <c r="C2472" i="3"/>
  <c r="C2471" i="3"/>
  <c r="C2470" i="3"/>
  <c r="C2469" i="3"/>
  <c r="C2468" i="3"/>
  <c r="C2467" i="3"/>
  <c r="C2466" i="3"/>
  <c r="C2465" i="3"/>
  <c r="C2464" i="3"/>
  <c r="C2463" i="3"/>
  <c r="C2462" i="3"/>
  <c r="C2461" i="3"/>
  <c r="C2460" i="3"/>
  <c r="C2459" i="3"/>
  <c r="C2458" i="3"/>
  <c r="C2457" i="3"/>
  <c r="C2456" i="3"/>
  <c r="C2455" i="3"/>
  <c r="C2454" i="3"/>
  <c r="C2453" i="3"/>
  <c r="C2452" i="3"/>
  <c r="C2451" i="3"/>
  <c r="C2450" i="3"/>
  <c r="C2449" i="3"/>
  <c r="C2448" i="3"/>
  <c r="C2447" i="3"/>
  <c r="C2446" i="3"/>
  <c r="C2445" i="3"/>
  <c r="C2444" i="3"/>
  <c r="C2443" i="3"/>
  <c r="C2442" i="3"/>
  <c r="C2441" i="3"/>
  <c r="C2440" i="3"/>
  <c r="C2439" i="3"/>
  <c r="C2438" i="3"/>
  <c r="C2437" i="3"/>
  <c r="C2436" i="3"/>
  <c r="C2435" i="3"/>
  <c r="C2434" i="3"/>
  <c r="C2433" i="3"/>
  <c r="C2432" i="3"/>
  <c r="C2431" i="3"/>
  <c r="C2430" i="3"/>
  <c r="C2429" i="3"/>
  <c r="C2428" i="3"/>
  <c r="C2427" i="3"/>
  <c r="C2426" i="3"/>
  <c r="C2425" i="3"/>
  <c r="C2424" i="3"/>
  <c r="C2423" i="3"/>
  <c r="C2422" i="3"/>
  <c r="C2421" i="3"/>
  <c r="C2420" i="3"/>
  <c r="C2419" i="3"/>
  <c r="C2418" i="3"/>
  <c r="C2417" i="3"/>
  <c r="C2416" i="3"/>
  <c r="C2415" i="3"/>
  <c r="C2414" i="3"/>
  <c r="C2413" i="3"/>
  <c r="C2412" i="3"/>
  <c r="C2411" i="3"/>
  <c r="C2410" i="3"/>
  <c r="C2409" i="3"/>
  <c r="C2408" i="3"/>
  <c r="C2407" i="3"/>
  <c r="C2406" i="3"/>
  <c r="C2405" i="3"/>
  <c r="C2404" i="3"/>
  <c r="C2403" i="3"/>
  <c r="C2402" i="3"/>
  <c r="C2401" i="3"/>
  <c r="C2400" i="3"/>
  <c r="C2399" i="3"/>
  <c r="C2398" i="3"/>
  <c r="C2397" i="3"/>
  <c r="C2396" i="3"/>
  <c r="C2395" i="3"/>
  <c r="C2394" i="3"/>
  <c r="C2393" i="3"/>
  <c r="C2392" i="3"/>
  <c r="C2391" i="3"/>
  <c r="C2390" i="3"/>
  <c r="C2389" i="3"/>
  <c r="C2388" i="3"/>
  <c r="C2387" i="3"/>
  <c r="C2386" i="3"/>
  <c r="C2385" i="3"/>
  <c r="C2384" i="3"/>
  <c r="C2383" i="3"/>
  <c r="C2382" i="3"/>
  <c r="C2381" i="3"/>
  <c r="C2380" i="3"/>
  <c r="C2379" i="3"/>
  <c r="C2378" i="3"/>
  <c r="C2377" i="3"/>
  <c r="C2376" i="3"/>
  <c r="C2375" i="3"/>
  <c r="C2374" i="3"/>
  <c r="C2373" i="3"/>
  <c r="C2372" i="3"/>
  <c r="C2371" i="3"/>
  <c r="C2370" i="3"/>
  <c r="C2369" i="3"/>
  <c r="C2368" i="3"/>
  <c r="C2367" i="3"/>
  <c r="C2366" i="3"/>
  <c r="C2365" i="3"/>
  <c r="C2364" i="3"/>
  <c r="C2363" i="3"/>
  <c r="C2362" i="3"/>
  <c r="C2361" i="3"/>
  <c r="C2360" i="3"/>
  <c r="C2359" i="3"/>
  <c r="C2358" i="3"/>
  <c r="C2357" i="3"/>
  <c r="C2356" i="3"/>
  <c r="C2355" i="3"/>
  <c r="C2354" i="3"/>
  <c r="C2353" i="3"/>
  <c r="C2352" i="3"/>
  <c r="C2351" i="3"/>
  <c r="C2350" i="3"/>
  <c r="C2349" i="3"/>
  <c r="C2348" i="3"/>
  <c r="C2347" i="3"/>
  <c r="C2346" i="3"/>
  <c r="C2345" i="3"/>
  <c r="C2344" i="3"/>
  <c r="C2343" i="3"/>
  <c r="C2342" i="3"/>
  <c r="C2341" i="3"/>
  <c r="C2340" i="3"/>
  <c r="C2339" i="3"/>
  <c r="C2338" i="3"/>
  <c r="C2337" i="3"/>
  <c r="C2336" i="3"/>
  <c r="C2335" i="3"/>
  <c r="C2334" i="3"/>
  <c r="C2333" i="3"/>
  <c r="C2332" i="3"/>
  <c r="C2331" i="3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Q2" i="3"/>
  <c r="R2" i="3" s="1"/>
  <c r="P2" i="3"/>
  <c r="C2" i="3"/>
  <c r="A2" i="3"/>
  <c r="A4120" i="3" l="1"/>
  <c r="Q4119" i="3"/>
  <c r="R4119" i="3" s="1"/>
  <c r="P4120" i="3"/>
  <c r="P4107" i="3"/>
  <c r="A4107" i="3"/>
  <c r="A4094" i="3"/>
  <c r="P4094" i="3"/>
  <c r="A4083" i="3"/>
  <c r="Q4082" i="3"/>
  <c r="R4082" i="3" s="1"/>
  <c r="P4083" i="3"/>
  <c r="Q4072" i="3"/>
  <c r="R4072" i="3" s="1"/>
  <c r="A4072" i="3"/>
  <c r="A4073" i="3" s="1"/>
  <c r="P4073" i="3"/>
  <c r="P4059" i="3"/>
  <c r="A4059" i="3"/>
  <c r="A4048" i="3"/>
  <c r="P4048" i="3"/>
  <c r="P4036" i="3"/>
  <c r="Q4034" i="3"/>
  <c r="A4025" i="3"/>
  <c r="P4025" i="3"/>
  <c r="Q4015" i="3"/>
  <c r="R4015" i="3" s="1"/>
  <c r="P4016" i="3"/>
  <c r="A4016" i="3"/>
  <c r="A4015" i="3"/>
  <c r="P4010" i="3"/>
  <c r="A4010" i="3"/>
  <c r="Q4005" i="3"/>
  <c r="R4005" i="3" s="1"/>
  <c r="A4006" i="3"/>
  <c r="P4006" i="3"/>
  <c r="S3990" i="3"/>
  <c r="P3991" i="3"/>
  <c r="A3990" i="3"/>
  <c r="A3991" i="3" s="1"/>
  <c r="A3975" i="3"/>
  <c r="P3975" i="3"/>
  <c r="Q3973" i="3"/>
  <c r="R3973" i="3" s="1"/>
  <c r="A3973" i="3"/>
  <c r="Q3964" i="3"/>
  <c r="R3964" i="3" s="1"/>
  <c r="P3965" i="3"/>
  <c r="A3964" i="3"/>
  <c r="A3965" i="3" s="1"/>
  <c r="A3948" i="3"/>
  <c r="A3949" i="3" s="1"/>
  <c r="P3949" i="3"/>
  <c r="P3940" i="3"/>
  <c r="Q3938" i="3"/>
  <c r="P3925" i="3"/>
  <c r="A3925" i="3"/>
  <c r="Q3902" i="3"/>
  <c r="R3902" i="3" s="1"/>
  <c r="A3903" i="3"/>
  <c r="P3903" i="3"/>
  <c r="A3902" i="3"/>
  <c r="A3877" i="3"/>
  <c r="P3877" i="3"/>
  <c r="Q3871" i="3"/>
  <c r="R3871" i="3" s="1"/>
  <c r="A3872" i="3"/>
  <c r="P3872" i="3"/>
  <c r="P3863" i="3"/>
  <c r="A3" i="3"/>
  <c r="P3" i="3"/>
  <c r="Q3" i="3" s="1"/>
  <c r="R3" i="3" s="1"/>
  <c r="S2" i="3"/>
  <c r="S3" i="3"/>
  <c r="A4" i="3"/>
  <c r="P4" i="3"/>
  <c r="Q4120" i="3" l="1"/>
  <c r="R4120" i="3" s="1"/>
  <c r="A4121" i="3"/>
  <c r="S4120" i="3"/>
  <c r="P4121" i="3"/>
  <c r="A4108" i="3"/>
  <c r="S4107" i="3"/>
  <c r="P4108" i="3"/>
  <c r="Q4094" i="3"/>
  <c r="R4094" i="3" s="1"/>
  <c r="A4095" i="3"/>
  <c r="P4095" i="3"/>
  <c r="Q4083" i="3"/>
  <c r="R4083" i="3" s="1"/>
  <c r="A4084" i="3"/>
  <c r="S4083" i="3"/>
  <c r="P4084" i="3"/>
  <c r="Q4073" i="3"/>
  <c r="R4073" i="3" s="1"/>
  <c r="S4073" i="3"/>
  <c r="P4074" i="3"/>
  <c r="A4074" i="3"/>
  <c r="Q4059" i="3"/>
  <c r="R4059" i="3" s="1"/>
  <c r="A4060" i="3"/>
  <c r="P4060" i="3"/>
  <c r="Q4048" i="3"/>
  <c r="R4048" i="3" s="1"/>
  <c r="A4049" i="3"/>
  <c r="P4049" i="3"/>
  <c r="R4034" i="3"/>
  <c r="Q4035" i="3"/>
  <c r="R4035" i="3" s="1"/>
  <c r="S4036" i="3" s="1"/>
  <c r="P4037" i="3"/>
  <c r="Q4036" i="3"/>
  <c r="R4036" i="3" s="1"/>
  <c r="A4037" i="3"/>
  <c r="Q4025" i="3"/>
  <c r="R4025" i="3" s="1"/>
  <c r="A4026" i="3"/>
  <c r="P4026" i="3"/>
  <c r="Q4016" i="3"/>
  <c r="R4016" i="3" s="1"/>
  <c r="A4017" i="3"/>
  <c r="P4017" i="3"/>
  <c r="S4016" i="3"/>
  <c r="P4011" i="3"/>
  <c r="A4011" i="3"/>
  <c r="S4010" i="3"/>
  <c r="Q4006" i="3"/>
  <c r="R4006" i="3" s="1"/>
  <c r="A4007" i="3"/>
  <c r="P4007" i="3"/>
  <c r="S4006" i="3"/>
  <c r="S3991" i="3"/>
  <c r="P3992" i="3"/>
  <c r="A3992" i="3"/>
  <c r="Q3974" i="3"/>
  <c r="R3974" i="3" s="1"/>
  <c r="A3976" i="3"/>
  <c r="P3976" i="3"/>
  <c r="S3975" i="3"/>
  <c r="S3965" i="3"/>
  <c r="P3966" i="3"/>
  <c r="Q3965" i="3"/>
  <c r="R3965" i="3" s="1"/>
  <c r="A3966" i="3"/>
  <c r="P3950" i="3"/>
  <c r="A3950" i="3"/>
  <c r="S3949" i="3"/>
  <c r="R3938" i="3"/>
  <c r="Q3939" i="3"/>
  <c r="R3939" i="3" s="1"/>
  <c r="S3940" i="3" s="1"/>
  <c r="P3941" i="3"/>
  <c r="Q3940" i="3"/>
  <c r="R3940" i="3" s="1"/>
  <c r="A3941" i="3"/>
  <c r="Q3925" i="3"/>
  <c r="R3925" i="3" s="1"/>
  <c r="P3926" i="3"/>
  <c r="A3926" i="3"/>
  <c r="S3903" i="3"/>
  <c r="P3904" i="3"/>
  <c r="Q3903" i="3"/>
  <c r="R3903" i="3" s="1"/>
  <c r="A3904" i="3"/>
  <c r="Q3877" i="3"/>
  <c r="R3877" i="3" s="1"/>
  <c r="A3878" i="3"/>
  <c r="P3878" i="3"/>
  <c r="Q3872" i="3"/>
  <c r="R3872" i="3" s="1"/>
  <c r="A3873" i="3"/>
  <c r="S3872" i="3"/>
  <c r="P3873" i="3"/>
  <c r="P3864" i="3"/>
  <c r="Q3863" i="3"/>
  <c r="R3863" i="3" s="1"/>
  <c r="A3864" i="3"/>
  <c r="Q4" i="3"/>
  <c r="R4" i="3" s="1"/>
  <c r="P5" i="3"/>
  <c r="A5" i="3"/>
  <c r="S4" i="3"/>
  <c r="S4121" i="3" l="1"/>
  <c r="P4122" i="3"/>
  <c r="Q4121" i="3"/>
  <c r="R4121" i="3" s="1"/>
  <c r="A4122" i="3"/>
  <c r="S4108" i="3"/>
  <c r="P4109" i="3"/>
  <c r="A4109" i="3"/>
  <c r="S4095" i="3"/>
  <c r="P4096" i="3"/>
  <c r="Q4095" i="3"/>
  <c r="R4095" i="3" s="1"/>
  <c r="A4096" i="3"/>
  <c r="S4084" i="3"/>
  <c r="P4085" i="3"/>
  <c r="Q4084" i="3"/>
  <c r="R4084" i="3" s="1"/>
  <c r="A4085" i="3"/>
  <c r="S4074" i="3"/>
  <c r="Q4074" i="3"/>
  <c r="R4074" i="3" s="1"/>
  <c r="P4075" i="3"/>
  <c r="A4075" i="3"/>
  <c r="S4060" i="3"/>
  <c r="A4061" i="3"/>
  <c r="P4061" i="3"/>
  <c r="Q4060" i="3"/>
  <c r="R4060" i="3" s="1"/>
  <c r="S4049" i="3"/>
  <c r="P4050" i="3"/>
  <c r="Q4049" i="3"/>
  <c r="R4049" i="3" s="1"/>
  <c r="A4050" i="3"/>
  <c r="Q4037" i="3"/>
  <c r="R4037" i="3" s="1"/>
  <c r="A4038" i="3"/>
  <c r="S4037" i="3"/>
  <c r="P4038" i="3"/>
  <c r="S4026" i="3"/>
  <c r="P4027" i="3"/>
  <c r="Q4026" i="3"/>
  <c r="R4026" i="3" s="1"/>
  <c r="A4027" i="3"/>
  <c r="S4017" i="3"/>
  <c r="A4018" i="3"/>
  <c r="P4018" i="3"/>
  <c r="Q4017" i="3"/>
  <c r="R4017" i="3" s="1"/>
  <c r="P4012" i="3"/>
  <c r="A4012" i="3"/>
  <c r="Q4011" i="3"/>
  <c r="R4011" i="3" s="1"/>
  <c r="S4007" i="3"/>
  <c r="Q4007" i="3"/>
  <c r="Q3975" i="3"/>
  <c r="R3975" i="3" s="1"/>
  <c r="S3976" i="3" s="1"/>
  <c r="Q3992" i="3"/>
  <c r="R3992" i="3" s="1"/>
  <c r="A3993" i="3"/>
  <c r="P3993" i="3"/>
  <c r="P3977" i="3"/>
  <c r="A3977" i="3"/>
  <c r="Q3976" i="3"/>
  <c r="R3976" i="3" s="1"/>
  <c r="Q3966" i="3"/>
  <c r="R3966" i="3" s="1"/>
  <c r="A3967" i="3"/>
  <c r="S3966" i="3"/>
  <c r="P3967" i="3"/>
  <c r="P3951" i="3"/>
  <c r="Q3950" i="3"/>
  <c r="R3950" i="3" s="1"/>
  <c r="A3951" i="3"/>
  <c r="Q3941" i="3"/>
  <c r="R3941" i="3" s="1"/>
  <c r="A3942" i="3"/>
  <c r="S3941" i="3"/>
  <c r="P3942" i="3"/>
  <c r="S3926" i="3"/>
  <c r="Q3926" i="3"/>
  <c r="R3926" i="3" s="1"/>
  <c r="A3927" i="3"/>
  <c r="P3927" i="3"/>
  <c r="Q3904" i="3"/>
  <c r="R3904" i="3" s="1"/>
  <c r="A3905" i="3"/>
  <c r="S3904" i="3"/>
  <c r="P3905" i="3"/>
  <c r="S3878" i="3"/>
  <c r="P3879" i="3"/>
  <c r="Q3878" i="3"/>
  <c r="R3878" i="3" s="1"/>
  <c r="A3879" i="3"/>
  <c r="S3873" i="3"/>
  <c r="A3874" i="3"/>
  <c r="P3874" i="3"/>
  <c r="Q3873" i="3"/>
  <c r="R3873" i="3" s="1"/>
  <c r="Q3864" i="3"/>
  <c r="R3864" i="3" s="1"/>
  <c r="A3865" i="3"/>
  <c r="S3864" i="3"/>
  <c r="P3865" i="3"/>
  <c r="S5" i="3"/>
  <c r="A6" i="3"/>
  <c r="P6" i="3"/>
  <c r="Q5" i="3"/>
  <c r="R5" i="3" s="1"/>
  <c r="Q4122" i="3" l="1"/>
  <c r="R4122" i="3" s="1"/>
  <c r="A4123" i="3"/>
  <c r="S4122" i="3"/>
  <c r="P4123" i="3"/>
  <c r="Q4109" i="3"/>
  <c r="R4109" i="3" s="1"/>
  <c r="A4110" i="3"/>
  <c r="P4110" i="3"/>
  <c r="Q4096" i="3"/>
  <c r="R4096" i="3" s="1"/>
  <c r="A4097" i="3"/>
  <c r="S4096" i="3"/>
  <c r="P4097" i="3"/>
  <c r="Q4085" i="3"/>
  <c r="R4085" i="3" s="1"/>
  <c r="A4086" i="3"/>
  <c r="S4085" i="3"/>
  <c r="P4086" i="3"/>
  <c r="Q4075" i="3"/>
  <c r="R4075" i="3" s="1"/>
  <c r="S4075" i="3"/>
  <c r="A4076" i="3"/>
  <c r="P4076" i="3"/>
  <c r="Q4061" i="3"/>
  <c r="R4061" i="3" s="1"/>
  <c r="A4062" i="3"/>
  <c r="P4062" i="3"/>
  <c r="S4061" i="3"/>
  <c r="Q4050" i="3"/>
  <c r="R4050" i="3" s="1"/>
  <c r="A4051" i="3"/>
  <c r="S4050" i="3"/>
  <c r="P4051" i="3"/>
  <c r="S4038" i="3"/>
  <c r="P4039" i="3"/>
  <c r="Q4038" i="3"/>
  <c r="R4038" i="3" s="1"/>
  <c r="A4039" i="3"/>
  <c r="Q4027" i="3"/>
  <c r="R4027" i="3" s="1"/>
  <c r="A4028" i="3"/>
  <c r="S4027" i="3"/>
  <c r="P4028" i="3"/>
  <c r="Q4018" i="3"/>
  <c r="R4018" i="3" s="1"/>
  <c r="A4019" i="3"/>
  <c r="P4019" i="3"/>
  <c r="S4018" i="3"/>
  <c r="R4007" i="3"/>
  <c r="Q4008" i="3"/>
  <c r="Q4012" i="3"/>
  <c r="R4012" i="3" s="1"/>
  <c r="A4013" i="3"/>
  <c r="S4012" i="3"/>
  <c r="P4013" i="3"/>
  <c r="S3993" i="3"/>
  <c r="P3994" i="3"/>
  <c r="Q3993" i="3"/>
  <c r="R3993" i="3" s="1"/>
  <c r="A3994" i="3"/>
  <c r="Q3977" i="3"/>
  <c r="R3977" i="3" s="1"/>
  <c r="A3978" i="3"/>
  <c r="P3978" i="3"/>
  <c r="S3977" i="3"/>
  <c r="S3967" i="3"/>
  <c r="P3968" i="3"/>
  <c r="Q3967" i="3"/>
  <c r="R3967" i="3" s="1"/>
  <c r="A3968" i="3"/>
  <c r="Q3951" i="3"/>
  <c r="R3951" i="3" s="1"/>
  <c r="S3951" i="3"/>
  <c r="P3952" i="3"/>
  <c r="A3952" i="3"/>
  <c r="S3942" i="3"/>
  <c r="P3943" i="3"/>
  <c r="Q3942" i="3"/>
  <c r="R3942" i="3" s="1"/>
  <c r="A3943" i="3"/>
  <c r="Q3927" i="3"/>
  <c r="R3927" i="3" s="1"/>
  <c r="S3927" i="3"/>
  <c r="P3928" i="3"/>
  <c r="A3928" i="3"/>
  <c r="S3905" i="3"/>
  <c r="P3906" i="3"/>
  <c r="Q3905" i="3"/>
  <c r="R3905" i="3" s="1"/>
  <c r="A3906" i="3"/>
  <c r="Q3879" i="3"/>
  <c r="R3879" i="3" s="1"/>
  <c r="A3880" i="3"/>
  <c r="S3879" i="3"/>
  <c r="P3880" i="3"/>
  <c r="Q3874" i="3"/>
  <c r="R3874" i="3" s="1"/>
  <c r="A3875" i="3"/>
  <c r="P3875" i="3"/>
  <c r="S3874" i="3"/>
  <c r="S3865" i="3"/>
  <c r="P3866" i="3"/>
  <c r="Q3865" i="3"/>
  <c r="R3865" i="3" s="1"/>
  <c r="A3866" i="3"/>
  <c r="Q6" i="3"/>
  <c r="R6" i="3" s="1"/>
  <c r="P7" i="3"/>
  <c r="A7" i="3"/>
  <c r="S6" i="3"/>
  <c r="S4123" i="3" l="1"/>
  <c r="P4124" i="3"/>
  <c r="Q4123" i="3"/>
  <c r="R4123" i="3" s="1"/>
  <c r="A4124" i="3"/>
  <c r="S4110" i="3"/>
  <c r="P4111" i="3"/>
  <c r="Q4110" i="3"/>
  <c r="R4110" i="3" s="1"/>
  <c r="A4111" i="3"/>
  <c r="S4097" i="3"/>
  <c r="P4098" i="3"/>
  <c r="Q4097" i="3"/>
  <c r="R4097" i="3" s="1"/>
  <c r="A4098" i="3"/>
  <c r="S4086" i="3"/>
  <c r="P4087" i="3"/>
  <c r="Q4086" i="3"/>
  <c r="R4086" i="3" s="1"/>
  <c r="A4087" i="3"/>
  <c r="S4076" i="3"/>
  <c r="A4077" i="3"/>
  <c r="P4077" i="3"/>
  <c r="Q4076" i="3"/>
  <c r="R4076" i="3" s="1"/>
  <c r="S4062" i="3"/>
  <c r="A4063" i="3"/>
  <c r="P4063" i="3"/>
  <c r="Q4062" i="3"/>
  <c r="R4062" i="3" s="1"/>
  <c r="S4051" i="3"/>
  <c r="P4052" i="3"/>
  <c r="Q4051" i="3"/>
  <c r="R4051" i="3" s="1"/>
  <c r="A4052" i="3"/>
  <c r="Q4039" i="3"/>
  <c r="R4039" i="3" s="1"/>
  <c r="A4040" i="3"/>
  <c r="S4039" i="3"/>
  <c r="P4040" i="3"/>
  <c r="S4028" i="3"/>
  <c r="P4029" i="3"/>
  <c r="Q4028" i="3"/>
  <c r="R4028" i="3" s="1"/>
  <c r="A4029" i="3"/>
  <c r="S4019" i="3"/>
  <c r="P4020" i="3"/>
  <c r="A4020" i="3"/>
  <c r="Q4019" i="3"/>
  <c r="R4019" i="3" s="1"/>
  <c r="R4008" i="3"/>
  <c r="Q4009" i="3"/>
  <c r="S4013" i="3"/>
  <c r="Q4013" i="3"/>
  <c r="Q3994" i="3"/>
  <c r="R3994" i="3" s="1"/>
  <c r="A3995" i="3"/>
  <c r="S3994" i="3"/>
  <c r="P3995" i="3"/>
  <c r="S3978" i="3"/>
  <c r="P3979" i="3"/>
  <c r="A3979" i="3"/>
  <c r="Q3978" i="3"/>
  <c r="R3978" i="3" s="1"/>
  <c r="Q3968" i="3"/>
  <c r="R3968" i="3" s="1"/>
  <c r="A3969" i="3"/>
  <c r="S3968" i="3"/>
  <c r="P3969" i="3"/>
  <c r="S3952" i="3"/>
  <c r="Q3952" i="3"/>
  <c r="R3952" i="3" s="1"/>
  <c r="P3953" i="3"/>
  <c r="A3953" i="3"/>
  <c r="Q3943" i="3"/>
  <c r="R3943" i="3" s="1"/>
  <c r="A3944" i="3"/>
  <c r="S3943" i="3"/>
  <c r="P3944" i="3"/>
  <c r="S3928" i="3"/>
  <c r="Q3928" i="3"/>
  <c r="R3928" i="3" s="1"/>
  <c r="A3929" i="3"/>
  <c r="P3929" i="3"/>
  <c r="Q3906" i="3"/>
  <c r="R3906" i="3" s="1"/>
  <c r="A3907" i="3"/>
  <c r="S3906" i="3"/>
  <c r="P3907" i="3"/>
  <c r="S3880" i="3"/>
  <c r="P3881" i="3"/>
  <c r="Q3880" i="3"/>
  <c r="R3880" i="3" s="1"/>
  <c r="A3881" i="3"/>
  <c r="S3875" i="3"/>
  <c r="Q3875" i="3"/>
  <c r="Q3866" i="3"/>
  <c r="R3866" i="3" s="1"/>
  <c r="A3867" i="3"/>
  <c r="S3866" i="3"/>
  <c r="P3867" i="3"/>
  <c r="S7" i="3"/>
  <c r="P8" i="3"/>
  <c r="Q7" i="3"/>
  <c r="R7" i="3" s="1"/>
  <c r="A8" i="3"/>
  <c r="Q4124" i="3" l="1"/>
  <c r="R4124" i="3" s="1"/>
  <c r="A4125" i="3"/>
  <c r="S4124" i="3"/>
  <c r="P4125" i="3"/>
  <c r="Q4111" i="3"/>
  <c r="R4111" i="3" s="1"/>
  <c r="P4112" i="3"/>
  <c r="A4112" i="3"/>
  <c r="S4111" i="3"/>
  <c r="Q4098" i="3"/>
  <c r="R4098" i="3" s="1"/>
  <c r="A4099" i="3"/>
  <c r="S4098" i="3"/>
  <c r="P4099" i="3"/>
  <c r="Q4087" i="3"/>
  <c r="R4087" i="3" s="1"/>
  <c r="A4088" i="3"/>
  <c r="S4087" i="3"/>
  <c r="P4088" i="3"/>
  <c r="Q4077" i="3"/>
  <c r="R4077" i="3" s="1"/>
  <c r="S4077" i="3"/>
  <c r="A4078" i="3"/>
  <c r="P4078" i="3"/>
  <c r="Q4063" i="3"/>
  <c r="R4063" i="3" s="1"/>
  <c r="A4064" i="3"/>
  <c r="P4064" i="3"/>
  <c r="S4063" i="3"/>
  <c r="Q4052" i="3"/>
  <c r="R4052" i="3" s="1"/>
  <c r="A4053" i="3"/>
  <c r="S4052" i="3"/>
  <c r="P4053" i="3"/>
  <c r="S4040" i="3"/>
  <c r="P4041" i="3"/>
  <c r="Q4040" i="3"/>
  <c r="R4040" i="3" s="1"/>
  <c r="A4041" i="3"/>
  <c r="Q4029" i="3"/>
  <c r="R4029" i="3" s="1"/>
  <c r="A4030" i="3"/>
  <c r="S4029" i="3"/>
  <c r="P4030" i="3"/>
  <c r="R4013" i="3"/>
  <c r="Q4014" i="3"/>
  <c r="R4014" i="3" s="1"/>
  <c r="S4015" i="3" s="1"/>
  <c r="Q4020" i="3"/>
  <c r="R4020" i="3" s="1"/>
  <c r="A4021" i="3"/>
  <c r="P4021" i="3"/>
  <c r="S4020" i="3"/>
  <c r="R4009" i="3"/>
  <c r="Q4010" i="3"/>
  <c r="R4010" i="3" s="1"/>
  <c r="S4011" i="3" s="1"/>
  <c r="S3995" i="3"/>
  <c r="P3996" i="3"/>
  <c r="Q3995" i="3"/>
  <c r="R3995" i="3" s="1"/>
  <c r="A3996" i="3"/>
  <c r="Q3979" i="3"/>
  <c r="R3979" i="3" s="1"/>
  <c r="A3980" i="3"/>
  <c r="P3980" i="3"/>
  <c r="S3979" i="3"/>
  <c r="S3969" i="3"/>
  <c r="P3970" i="3"/>
  <c r="Q3969" i="3"/>
  <c r="R3969" i="3" s="1"/>
  <c r="A3970" i="3"/>
  <c r="Q3953" i="3"/>
  <c r="R3953" i="3" s="1"/>
  <c r="P3954" i="3"/>
  <c r="A3954" i="3"/>
  <c r="S3953" i="3"/>
  <c r="S3944" i="3"/>
  <c r="P3945" i="3"/>
  <c r="Q3944" i="3"/>
  <c r="R3944" i="3" s="1"/>
  <c r="A3945" i="3"/>
  <c r="R3875" i="3"/>
  <c r="Q3876" i="3"/>
  <c r="R3876" i="3" s="1"/>
  <c r="S3877" i="3" s="1"/>
  <c r="Q3929" i="3"/>
  <c r="R3929" i="3" s="1"/>
  <c r="P3930" i="3"/>
  <c r="A3930" i="3"/>
  <c r="S3929" i="3"/>
  <c r="S3907" i="3"/>
  <c r="P3908" i="3"/>
  <c r="Q3907" i="3"/>
  <c r="R3907" i="3" s="1"/>
  <c r="A3908" i="3"/>
  <c r="Q3881" i="3"/>
  <c r="R3881" i="3" s="1"/>
  <c r="A3882" i="3"/>
  <c r="S3881" i="3"/>
  <c r="P3882" i="3"/>
  <c r="S3867" i="3"/>
  <c r="P3868" i="3"/>
  <c r="Q3867" i="3"/>
  <c r="R3867" i="3" s="1"/>
  <c r="A3868" i="3"/>
  <c r="Q8" i="3"/>
  <c r="R8" i="3" s="1"/>
  <c r="P9" i="3"/>
  <c r="A9" i="3"/>
  <c r="S8" i="3"/>
  <c r="S4125" i="3" l="1"/>
  <c r="P4126" i="3"/>
  <c r="Q4125" i="3"/>
  <c r="R4125" i="3" s="1"/>
  <c r="A4126" i="3"/>
  <c r="S4112" i="3"/>
  <c r="P4113" i="3"/>
  <c r="A4113" i="3"/>
  <c r="Q4112" i="3"/>
  <c r="R4112" i="3" s="1"/>
  <c r="S4099" i="3"/>
  <c r="P4100" i="3"/>
  <c r="Q4099" i="3"/>
  <c r="R4099" i="3" s="1"/>
  <c r="A4100" i="3"/>
  <c r="S4088" i="3"/>
  <c r="P4089" i="3"/>
  <c r="Q4088" i="3"/>
  <c r="R4088" i="3" s="1"/>
  <c r="A4089" i="3"/>
  <c r="S4078" i="3"/>
  <c r="Q4078" i="3"/>
  <c r="R4078" i="3" s="1"/>
  <c r="P4079" i="3"/>
  <c r="A4079" i="3"/>
  <c r="S4064" i="3"/>
  <c r="P4065" i="3"/>
  <c r="A4065" i="3"/>
  <c r="Q4064" i="3"/>
  <c r="R4064" i="3" s="1"/>
  <c r="S4053" i="3"/>
  <c r="P4054" i="3"/>
  <c r="Q4053" i="3"/>
  <c r="R4053" i="3" s="1"/>
  <c r="A4054" i="3"/>
  <c r="Q4041" i="3"/>
  <c r="R4041" i="3" s="1"/>
  <c r="A4042" i="3"/>
  <c r="S4041" i="3"/>
  <c r="P4042" i="3"/>
  <c r="S4030" i="3"/>
  <c r="P4031" i="3"/>
  <c r="Q4030" i="3"/>
  <c r="R4030" i="3" s="1"/>
  <c r="A4031" i="3"/>
  <c r="S4021" i="3"/>
  <c r="A4022" i="3"/>
  <c r="P4022" i="3"/>
  <c r="Q4021" i="3"/>
  <c r="R4021" i="3" s="1"/>
  <c r="Q3996" i="3"/>
  <c r="R3996" i="3" s="1"/>
  <c r="A3997" i="3"/>
  <c r="S3996" i="3"/>
  <c r="P3997" i="3"/>
  <c r="S3980" i="3"/>
  <c r="P3981" i="3"/>
  <c r="A3981" i="3"/>
  <c r="Q3980" i="3"/>
  <c r="R3980" i="3" s="1"/>
  <c r="Q3970" i="3"/>
  <c r="R3970" i="3" s="1"/>
  <c r="A3971" i="3"/>
  <c r="S3970" i="3"/>
  <c r="P3971" i="3"/>
  <c r="S3954" i="3"/>
  <c r="P3955" i="3"/>
  <c r="Q3954" i="3"/>
  <c r="R3954" i="3" s="1"/>
  <c r="A3955" i="3"/>
  <c r="Q3945" i="3"/>
  <c r="R3945" i="3" s="1"/>
  <c r="A3946" i="3"/>
  <c r="S3945" i="3"/>
  <c r="P3946" i="3"/>
  <c r="S3930" i="3"/>
  <c r="A3931" i="3"/>
  <c r="P3931" i="3"/>
  <c r="Q3930" i="3"/>
  <c r="R3930" i="3" s="1"/>
  <c r="Q3908" i="3"/>
  <c r="R3908" i="3" s="1"/>
  <c r="A3909" i="3"/>
  <c r="S3908" i="3"/>
  <c r="P3909" i="3"/>
  <c r="S3882" i="3"/>
  <c r="P3883" i="3"/>
  <c r="Q3882" i="3"/>
  <c r="R3882" i="3" s="1"/>
  <c r="A3883" i="3"/>
  <c r="Q3868" i="3"/>
  <c r="R3868" i="3" s="1"/>
  <c r="A3869" i="3"/>
  <c r="S3868" i="3"/>
  <c r="P3869" i="3"/>
  <c r="S9" i="3"/>
  <c r="A10" i="3"/>
  <c r="P10" i="3"/>
  <c r="Q9" i="3"/>
  <c r="R9" i="3" s="1"/>
  <c r="Q4126" i="3" l="1"/>
  <c r="R4126" i="3" s="1"/>
  <c r="A4127" i="3"/>
  <c r="S4126" i="3"/>
  <c r="P4127" i="3"/>
  <c r="Q4113" i="3"/>
  <c r="R4113" i="3" s="1"/>
  <c r="A4114" i="3"/>
  <c r="P4114" i="3"/>
  <c r="S4113" i="3"/>
  <c r="Q4100" i="3"/>
  <c r="R4100" i="3" s="1"/>
  <c r="A4101" i="3"/>
  <c r="S4100" i="3"/>
  <c r="P4101" i="3"/>
  <c r="Q4089" i="3"/>
  <c r="R4089" i="3" s="1"/>
  <c r="A4090" i="3"/>
  <c r="S4089" i="3"/>
  <c r="P4090" i="3"/>
  <c r="Q4079" i="3"/>
  <c r="R4079" i="3" s="1"/>
  <c r="S4079" i="3"/>
  <c r="P4080" i="3"/>
  <c r="A4080" i="3"/>
  <c r="Q4065" i="3"/>
  <c r="R4065" i="3" s="1"/>
  <c r="A4066" i="3"/>
  <c r="P4066" i="3"/>
  <c r="S4065" i="3"/>
  <c r="Q4054" i="3"/>
  <c r="R4054" i="3" s="1"/>
  <c r="A4055" i="3"/>
  <c r="S4054" i="3"/>
  <c r="P4055" i="3"/>
  <c r="S4042" i="3"/>
  <c r="P4043" i="3"/>
  <c r="Q4042" i="3"/>
  <c r="R4042" i="3" s="1"/>
  <c r="A4043" i="3"/>
  <c r="Q4031" i="3"/>
  <c r="R4031" i="3" s="1"/>
  <c r="A4032" i="3"/>
  <c r="S4031" i="3"/>
  <c r="P4032" i="3"/>
  <c r="Q4022" i="3"/>
  <c r="R4022" i="3" s="1"/>
  <c r="A4023" i="3"/>
  <c r="S4022" i="3"/>
  <c r="P4023" i="3"/>
  <c r="S3997" i="3"/>
  <c r="P3998" i="3"/>
  <c r="Q3997" i="3"/>
  <c r="R3997" i="3" s="1"/>
  <c r="A3998" i="3"/>
  <c r="Q3981" i="3"/>
  <c r="R3981" i="3" s="1"/>
  <c r="A3982" i="3"/>
  <c r="P3982" i="3"/>
  <c r="S3981" i="3"/>
  <c r="S3971" i="3"/>
  <c r="Q3971" i="3"/>
  <c r="Q3955" i="3"/>
  <c r="R3955" i="3" s="1"/>
  <c r="A3956" i="3"/>
  <c r="S3955" i="3"/>
  <c r="P3956" i="3"/>
  <c r="S3946" i="3"/>
  <c r="Q3946" i="3"/>
  <c r="Q3931" i="3"/>
  <c r="R3931" i="3" s="1"/>
  <c r="P3932" i="3"/>
  <c r="A3932" i="3"/>
  <c r="S3931" i="3"/>
  <c r="S3909" i="3"/>
  <c r="P3910" i="3"/>
  <c r="Q3909" i="3"/>
  <c r="R3909" i="3" s="1"/>
  <c r="A3910" i="3"/>
  <c r="Q3883" i="3"/>
  <c r="R3883" i="3" s="1"/>
  <c r="A3884" i="3"/>
  <c r="S3883" i="3"/>
  <c r="P3884" i="3"/>
  <c r="S3869" i="3"/>
  <c r="Q3869" i="3"/>
  <c r="Q10" i="3"/>
  <c r="R10" i="3" s="1"/>
  <c r="A11" i="3"/>
  <c r="S10" i="3"/>
  <c r="P11" i="3"/>
  <c r="S4127" i="3" l="1"/>
  <c r="P4128" i="3"/>
  <c r="Q4127" i="3"/>
  <c r="R4127" i="3" s="1"/>
  <c r="A4128" i="3"/>
  <c r="S4114" i="3"/>
  <c r="P4115" i="3"/>
  <c r="A4115" i="3"/>
  <c r="Q4114" i="3"/>
  <c r="R4114" i="3" s="1"/>
  <c r="S4101" i="3"/>
  <c r="P4102" i="3"/>
  <c r="Q4101" i="3"/>
  <c r="R4101" i="3" s="1"/>
  <c r="A4102" i="3"/>
  <c r="S4090" i="3"/>
  <c r="P4091" i="3"/>
  <c r="Q4090" i="3"/>
  <c r="R4090" i="3" s="1"/>
  <c r="A4091" i="3"/>
  <c r="S4080" i="3"/>
  <c r="Q4080" i="3"/>
  <c r="S4066" i="3"/>
  <c r="P4067" i="3"/>
  <c r="A4067" i="3"/>
  <c r="Q4066" i="3"/>
  <c r="R4066" i="3" s="1"/>
  <c r="S4055" i="3"/>
  <c r="P4056" i="3"/>
  <c r="Q4055" i="3"/>
  <c r="R4055" i="3" s="1"/>
  <c r="A4056" i="3"/>
  <c r="Q4043" i="3"/>
  <c r="R4043" i="3" s="1"/>
  <c r="A4044" i="3"/>
  <c r="S4043" i="3"/>
  <c r="P4044" i="3"/>
  <c r="S4032" i="3"/>
  <c r="Q4032" i="3"/>
  <c r="S4023" i="3"/>
  <c r="Q4023" i="3"/>
  <c r="Q3998" i="3"/>
  <c r="R3998" i="3" s="1"/>
  <c r="A3999" i="3"/>
  <c r="S3998" i="3"/>
  <c r="P3999" i="3"/>
  <c r="S3982" i="3"/>
  <c r="P3983" i="3"/>
  <c r="A3983" i="3"/>
  <c r="Q3982" i="3"/>
  <c r="R3982" i="3" s="1"/>
  <c r="R3971" i="3"/>
  <c r="Q3972" i="3"/>
  <c r="R3972" i="3" s="1"/>
  <c r="S3973" i="3" s="1"/>
  <c r="R3946" i="3"/>
  <c r="Q3947" i="3"/>
  <c r="S3956" i="3"/>
  <c r="Q3956" i="3"/>
  <c r="R3956" i="3" s="1"/>
  <c r="A3957" i="3"/>
  <c r="P3957" i="3"/>
  <c r="R3869" i="3"/>
  <c r="Q3870" i="3"/>
  <c r="R3870" i="3" s="1"/>
  <c r="S3871" i="3" s="1"/>
  <c r="S3932" i="3"/>
  <c r="A3933" i="3"/>
  <c r="P3933" i="3"/>
  <c r="Q3932" i="3"/>
  <c r="R3932" i="3" s="1"/>
  <c r="Q3910" i="3"/>
  <c r="R3910" i="3" s="1"/>
  <c r="A3911" i="3"/>
  <c r="S3910" i="3"/>
  <c r="P3911" i="3"/>
  <c r="S3884" i="3"/>
  <c r="P3885" i="3"/>
  <c r="Q3884" i="3"/>
  <c r="R3884" i="3" s="1"/>
  <c r="A3885" i="3"/>
  <c r="S11" i="3"/>
  <c r="A12" i="3"/>
  <c r="P12" i="3"/>
  <c r="Q11" i="3"/>
  <c r="R11" i="3" s="1"/>
  <c r="Q4128" i="3" l="1"/>
  <c r="R4128" i="3" s="1"/>
  <c r="A4129" i="3"/>
  <c r="S4128" i="3"/>
  <c r="P4129" i="3"/>
  <c r="Q4115" i="3"/>
  <c r="R4115" i="3" s="1"/>
  <c r="A4116" i="3"/>
  <c r="S4115" i="3"/>
  <c r="P4116" i="3"/>
  <c r="Q4102" i="3"/>
  <c r="R4102" i="3" s="1"/>
  <c r="A4103" i="3"/>
  <c r="S4102" i="3"/>
  <c r="P4103" i="3"/>
  <c r="R4080" i="3"/>
  <c r="Q4081" i="3"/>
  <c r="R4081" i="3" s="1"/>
  <c r="S4082" i="3" s="1"/>
  <c r="Q4091" i="3"/>
  <c r="R4091" i="3" s="1"/>
  <c r="A4092" i="3"/>
  <c r="S4091" i="3"/>
  <c r="P4092" i="3"/>
  <c r="Q4067" i="3"/>
  <c r="R4067" i="3" s="1"/>
  <c r="P4068" i="3"/>
  <c r="A4068" i="3"/>
  <c r="S4067" i="3"/>
  <c r="Q4056" i="3"/>
  <c r="R4056" i="3" s="1"/>
  <c r="A4057" i="3"/>
  <c r="S4056" i="3"/>
  <c r="P4057" i="3"/>
  <c r="S4044" i="3"/>
  <c r="P4045" i="3"/>
  <c r="Q4044" i="3"/>
  <c r="R4044" i="3" s="1"/>
  <c r="A4045" i="3"/>
  <c r="R4032" i="3"/>
  <c r="Q4033" i="3"/>
  <c r="R4033" i="3" s="1"/>
  <c r="S4034" i="3" s="1"/>
  <c r="R4023" i="3"/>
  <c r="Q4024" i="3"/>
  <c r="R4024" i="3" s="1"/>
  <c r="S4025" i="3" s="1"/>
  <c r="S3999" i="3"/>
  <c r="P4000" i="3"/>
  <c r="Q3999" i="3"/>
  <c r="R3999" i="3" s="1"/>
  <c r="A4000" i="3"/>
  <c r="Q3983" i="3"/>
  <c r="R3983" i="3" s="1"/>
  <c r="A3984" i="3"/>
  <c r="P3984" i="3"/>
  <c r="S3983" i="3"/>
  <c r="R3947" i="3"/>
  <c r="Q3948" i="3"/>
  <c r="Q3957" i="3"/>
  <c r="R3957" i="3" s="1"/>
  <c r="S3957" i="3"/>
  <c r="A3958" i="3"/>
  <c r="P3958" i="3"/>
  <c r="Q3933" i="3"/>
  <c r="R3933" i="3" s="1"/>
  <c r="S3933" i="3"/>
  <c r="P3934" i="3"/>
  <c r="A3934" i="3"/>
  <c r="S3911" i="3"/>
  <c r="P3912" i="3"/>
  <c r="Q3911" i="3"/>
  <c r="R3911" i="3" s="1"/>
  <c r="A3912" i="3"/>
  <c r="Q3885" i="3"/>
  <c r="R3885" i="3" s="1"/>
  <c r="A3886" i="3"/>
  <c r="S3885" i="3"/>
  <c r="P3886" i="3"/>
  <c r="Q12" i="3"/>
  <c r="R12" i="3" s="1"/>
  <c r="P13" i="3"/>
  <c r="A13" i="3"/>
  <c r="S12" i="3"/>
  <c r="S4129" i="3" l="1"/>
  <c r="P4130" i="3"/>
  <c r="Q4129" i="3"/>
  <c r="R4129" i="3" s="1"/>
  <c r="A4130" i="3"/>
  <c r="S4116" i="3"/>
  <c r="P4117" i="3"/>
  <c r="Q4116" i="3"/>
  <c r="R4116" i="3" s="1"/>
  <c r="A4117" i="3"/>
  <c r="S4103" i="3"/>
  <c r="P4104" i="3"/>
  <c r="Q4103" i="3"/>
  <c r="R4103" i="3" s="1"/>
  <c r="A4104" i="3"/>
  <c r="S4092" i="3"/>
  <c r="Q4092" i="3"/>
  <c r="S4068" i="3"/>
  <c r="P4069" i="3"/>
  <c r="A4069" i="3"/>
  <c r="Q4068" i="3"/>
  <c r="R4068" i="3" s="1"/>
  <c r="S4057" i="3"/>
  <c r="Q4057" i="3"/>
  <c r="Q4045" i="3"/>
  <c r="R4045" i="3" s="1"/>
  <c r="A4046" i="3"/>
  <c r="S4045" i="3"/>
  <c r="P4046" i="3"/>
  <c r="Q4000" i="3"/>
  <c r="R4000" i="3" s="1"/>
  <c r="A4001" i="3"/>
  <c r="S4000" i="3"/>
  <c r="P4001" i="3"/>
  <c r="S3984" i="3"/>
  <c r="P3985" i="3"/>
  <c r="A3985" i="3"/>
  <c r="Q3984" i="3"/>
  <c r="R3984" i="3" s="1"/>
  <c r="R3948" i="3"/>
  <c r="Q3949" i="3"/>
  <c r="R3949" i="3" s="1"/>
  <c r="S3950" i="3" s="1"/>
  <c r="S3958" i="3"/>
  <c r="Q3958" i="3"/>
  <c r="R3958" i="3" s="1"/>
  <c r="P3959" i="3"/>
  <c r="A3959" i="3"/>
  <c r="S3934" i="3"/>
  <c r="Q3934" i="3"/>
  <c r="R3934" i="3" s="1"/>
  <c r="A3935" i="3"/>
  <c r="P3935" i="3"/>
  <c r="Q3912" i="3"/>
  <c r="R3912" i="3" s="1"/>
  <c r="A3913" i="3"/>
  <c r="S3912" i="3"/>
  <c r="P3913" i="3"/>
  <c r="S3886" i="3"/>
  <c r="P3887" i="3"/>
  <c r="Q3886" i="3"/>
  <c r="R3886" i="3" s="1"/>
  <c r="A3887" i="3"/>
  <c r="S13" i="3"/>
  <c r="P14" i="3"/>
  <c r="Q13" i="3"/>
  <c r="R13" i="3" s="1"/>
  <c r="A14" i="3"/>
  <c r="Q4130" i="3" l="1"/>
  <c r="R4130" i="3" s="1"/>
  <c r="A4131" i="3"/>
  <c r="S4130" i="3"/>
  <c r="P4131" i="3"/>
  <c r="Q4117" i="3"/>
  <c r="R4117" i="3" s="1"/>
  <c r="P4118" i="3"/>
  <c r="A4118" i="3"/>
  <c r="S4117" i="3"/>
  <c r="R4092" i="3"/>
  <c r="Q4093" i="3"/>
  <c r="R4093" i="3" s="1"/>
  <c r="S4094" i="3" s="1"/>
  <c r="Q4104" i="3"/>
  <c r="R4104" i="3" s="1"/>
  <c r="A4105" i="3"/>
  <c r="S4104" i="3"/>
  <c r="P4105" i="3"/>
  <c r="R4057" i="3"/>
  <c r="Q4058" i="3"/>
  <c r="R4058" i="3" s="1"/>
  <c r="S4059" i="3" s="1"/>
  <c r="Q4069" i="3"/>
  <c r="R4069" i="3" s="1"/>
  <c r="A4070" i="3"/>
  <c r="S4069" i="3"/>
  <c r="P4070" i="3"/>
  <c r="S4046" i="3"/>
  <c r="Q4046" i="3"/>
  <c r="S4001" i="3"/>
  <c r="P4002" i="3"/>
  <c r="Q4001" i="3"/>
  <c r="R4001" i="3" s="1"/>
  <c r="A4002" i="3"/>
  <c r="Q3985" i="3"/>
  <c r="R3985" i="3" s="1"/>
  <c r="A3986" i="3"/>
  <c r="P3986" i="3"/>
  <c r="S3985" i="3"/>
  <c r="Q3959" i="3"/>
  <c r="R3959" i="3" s="1"/>
  <c r="A3960" i="3"/>
  <c r="S3959" i="3"/>
  <c r="P3960" i="3"/>
  <c r="Q3935" i="3"/>
  <c r="R3935" i="3" s="1"/>
  <c r="P3936" i="3"/>
  <c r="A3936" i="3"/>
  <c r="S3935" i="3"/>
  <c r="S3913" i="3"/>
  <c r="P3914" i="3"/>
  <c r="Q3913" i="3"/>
  <c r="R3913" i="3" s="1"/>
  <c r="A3914" i="3"/>
  <c r="Q3887" i="3"/>
  <c r="R3887" i="3" s="1"/>
  <c r="A3888" i="3"/>
  <c r="S3887" i="3"/>
  <c r="P3888" i="3"/>
  <c r="Q14" i="3"/>
  <c r="R14" i="3" s="1"/>
  <c r="P15" i="3"/>
  <c r="A15" i="3"/>
  <c r="S14" i="3"/>
  <c r="S4131" i="3" l="1"/>
  <c r="Q4131" i="3"/>
  <c r="R4131" i="3" s="1"/>
  <c r="S4118" i="3"/>
  <c r="Q4118" i="3"/>
  <c r="R4118" i="3" s="1"/>
  <c r="S4105" i="3"/>
  <c r="Q4105" i="3"/>
  <c r="S4070" i="3"/>
  <c r="Q4070" i="3"/>
  <c r="R4046" i="3"/>
  <c r="Q4047" i="3"/>
  <c r="R4047" i="3" s="1"/>
  <c r="S4048" i="3" s="1"/>
  <c r="Q4002" i="3"/>
  <c r="R4002" i="3" s="1"/>
  <c r="A4003" i="3"/>
  <c r="S4002" i="3"/>
  <c r="P4003" i="3"/>
  <c r="S3986" i="3"/>
  <c r="P3987" i="3"/>
  <c r="A3987" i="3"/>
  <c r="Q3986" i="3"/>
  <c r="R3986" i="3" s="1"/>
  <c r="S3960" i="3"/>
  <c r="P3961" i="3"/>
  <c r="Q3960" i="3"/>
  <c r="R3960" i="3" s="1"/>
  <c r="A3961" i="3"/>
  <c r="S3936" i="3"/>
  <c r="Q3936" i="3"/>
  <c r="Q3914" i="3"/>
  <c r="R3914" i="3" s="1"/>
  <c r="A3915" i="3"/>
  <c r="S3914" i="3"/>
  <c r="P3915" i="3"/>
  <c r="S3888" i="3"/>
  <c r="P3889" i="3"/>
  <c r="Q3888" i="3"/>
  <c r="R3888" i="3" s="1"/>
  <c r="A3889" i="3"/>
  <c r="S15" i="3"/>
  <c r="P16" i="3"/>
  <c r="Q15" i="3"/>
  <c r="R15" i="3" s="1"/>
  <c r="A16" i="3"/>
  <c r="R4105" i="3" l="1"/>
  <c r="Q4106" i="3"/>
  <c r="R4070" i="3"/>
  <c r="Q4071" i="3"/>
  <c r="R4071" i="3" s="1"/>
  <c r="S4072" i="3" s="1"/>
  <c r="S4003" i="3"/>
  <c r="Q4003" i="3"/>
  <c r="Q3987" i="3"/>
  <c r="R3987" i="3" s="1"/>
  <c r="P3988" i="3"/>
  <c r="A3988" i="3"/>
  <c r="S3987" i="3"/>
  <c r="Q3961" i="3"/>
  <c r="R3961" i="3" s="1"/>
  <c r="P3962" i="3"/>
  <c r="A3962" i="3"/>
  <c r="S3961" i="3"/>
  <c r="R3936" i="3"/>
  <c r="Q3937" i="3"/>
  <c r="R3937" i="3" s="1"/>
  <c r="S3938" i="3" s="1"/>
  <c r="S3915" i="3"/>
  <c r="P3916" i="3"/>
  <c r="Q3915" i="3"/>
  <c r="R3915" i="3" s="1"/>
  <c r="A3916" i="3"/>
  <c r="Q3889" i="3"/>
  <c r="R3889" i="3" s="1"/>
  <c r="A3890" i="3"/>
  <c r="S3889" i="3"/>
  <c r="P3890" i="3"/>
  <c r="Q16" i="3"/>
  <c r="R16" i="3" s="1"/>
  <c r="P17" i="3"/>
  <c r="A17" i="3"/>
  <c r="S16" i="3"/>
  <c r="R4106" i="3" l="1"/>
  <c r="Q4107" i="3"/>
  <c r="R4003" i="3"/>
  <c r="Q4004" i="3"/>
  <c r="R4004" i="3" s="1"/>
  <c r="S4005" i="3" s="1"/>
  <c r="S3988" i="3"/>
  <c r="Q3988" i="3"/>
  <c r="S3962" i="3"/>
  <c r="Q3962" i="3"/>
  <c r="Q3916" i="3"/>
  <c r="R3916" i="3" s="1"/>
  <c r="A3917" i="3"/>
  <c r="S3916" i="3"/>
  <c r="P3917" i="3"/>
  <c r="S3890" i="3"/>
  <c r="P3891" i="3"/>
  <c r="Q3890" i="3"/>
  <c r="R3890" i="3" s="1"/>
  <c r="A3891" i="3"/>
  <c r="S17" i="3"/>
  <c r="P18" i="3"/>
  <c r="Q17" i="3"/>
  <c r="R17" i="3" s="1"/>
  <c r="A18" i="3"/>
  <c r="R4107" i="3" l="1"/>
  <c r="Q4108" i="3"/>
  <c r="R4108" i="3" s="1"/>
  <c r="S4109" i="3" s="1"/>
  <c r="R3988" i="3"/>
  <c r="Q3989" i="3"/>
  <c r="R3962" i="3"/>
  <c r="Q3963" i="3"/>
  <c r="R3963" i="3" s="1"/>
  <c r="S3964" i="3" s="1"/>
  <c r="S3917" i="3"/>
  <c r="P3918" i="3"/>
  <c r="Q3917" i="3"/>
  <c r="R3917" i="3" s="1"/>
  <c r="A3918" i="3"/>
  <c r="Q3891" i="3"/>
  <c r="R3891" i="3" s="1"/>
  <c r="A3892" i="3"/>
  <c r="S3891" i="3"/>
  <c r="P3892" i="3"/>
  <c r="Q18" i="3"/>
  <c r="R18" i="3" s="1"/>
  <c r="A19" i="3"/>
  <c r="S18" i="3"/>
  <c r="P19" i="3"/>
  <c r="R3989" i="3" l="1"/>
  <c r="Q3990" i="3"/>
  <c r="Q3918" i="3"/>
  <c r="R3918" i="3" s="1"/>
  <c r="A3919" i="3"/>
  <c r="S3918" i="3"/>
  <c r="P3919" i="3"/>
  <c r="S3892" i="3"/>
  <c r="P3893" i="3"/>
  <c r="Q3892" i="3"/>
  <c r="R3892" i="3" s="1"/>
  <c r="A3893" i="3"/>
  <c r="S19" i="3"/>
  <c r="A20" i="3"/>
  <c r="P20" i="3"/>
  <c r="Q19" i="3"/>
  <c r="R19" i="3" s="1"/>
  <c r="R3990" i="3" l="1"/>
  <c r="Q3991" i="3"/>
  <c r="R3991" i="3" s="1"/>
  <c r="S3992" i="3" s="1"/>
  <c r="S3919" i="3"/>
  <c r="P3920" i="3"/>
  <c r="Q3919" i="3"/>
  <c r="R3919" i="3" s="1"/>
  <c r="A3920" i="3"/>
  <c r="Q3893" i="3"/>
  <c r="R3893" i="3" s="1"/>
  <c r="A3894" i="3"/>
  <c r="S3893" i="3"/>
  <c r="P3894" i="3"/>
  <c r="Q20" i="3"/>
  <c r="R20" i="3" s="1"/>
  <c r="P21" i="3"/>
  <c r="A21" i="3"/>
  <c r="S20" i="3"/>
  <c r="Q3920" i="3" l="1"/>
  <c r="R3920" i="3" s="1"/>
  <c r="A3921" i="3"/>
  <c r="S3920" i="3"/>
  <c r="P3921" i="3"/>
  <c r="S3894" i="3"/>
  <c r="P3895" i="3"/>
  <c r="Q3894" i="3"/>
  <c r="R3894" i="3" s="1"/>
  <c r="A3895" i="3"/>
  <c r="S21" i="3"/>
  <c r="A22" i="3"/>
  <c r="P22" i="3"/>
  <c r="Q21" i="3"/>
  <c r="R21" i="3" s="1"/>
  <c r="S3921" i="3" l="1"/>
  <c r="P3922" i="3"/>
  <c r="Q3921" i="3"/>
  <c r="R3921" i="3" s="1"/>
  <c r="A3922" i="3"/>
  <c r="Q3895" i="3"/>
  <c r="R3895" i="3" s="1"/>
  <c r="A3896" i="3"/>
  <c r="S3895" i="3"/>
  <c r="P3896" i="3"/>
  <c r="Q22" i="3"/>
  <c r="R22" i="3" s="1"/>
  <c r="P23" i="3"/>
  <c r="A23" i="3"/>
  <c r="S22" i="3"/>
  <c r="Q3922" i="3" l="1"/>
  <c r="R3922" i="3" s="1"/>
  <c r="A3923" i="3"/>
  <c r="S3922" i="3"/>
  <c r="P3923" i="3"/>
  <c r="S3896" i="3"/>
  <c r="P3897" i="3"/>
  <c r="Q3896" i="3"/>
  <c r="R3896" i="3" s="1"/>
  <c r="A3897" i="3"/>
  <c r="S23" i="3"/>
  <c r="P24" i="3"/>
  <c r="Q23" i="3"/>
  <c r="R23" i="3" s="1"/>
  <c r="A24" i="3"/>
  <c r="S3923" i="3" l="1"/>
  <c r="Q3923" i="3"/>
  <c r="Q3897" i="3"/>
  <c r="R3897" i="3" s="1"/>
  <c r="A3898" i="3"/>
  <c r="S3897" i="3"/>
  <c r="P3898" i="3"/>
  <c r="Q24" i="3"/>
  <c r="R24" i="3" s="1"/>
  <c r="P25" i="3"/>
  <c r="A25" i="3"/>
  <c r="S24" i="3"/>
  <c r="R3923" i="3" l="1"/>
  <c r="Q3924" i="3"/>
  <c r="R3924" i="3" s="1"/>
  <c r="S3925" i="3" s="1"/>
  <c r="S3898" i="3"/>
  <c r="P3899" i="3"/>
  <c r="Q3898" i="3"/>
  <c r="R3898" i="3" s="1"/>
  <c r="A3899" i="3"/>
  <c r="S25" i="3"/>
  <c r="Q25" i="3"/>
  <c r="R25" i="3" s="1"/>
  <c r="P26" i="3"/>
  <c r="A26" i="3"/>
  <c r="Q3899" i="3" l="1"/>
  <c r="R3899" i="3" s="1"/>
  <c r="A3900" i="3"/>
  <c r="S3899" i="3"/>
  <c r="P3900" i="3"/>
  <c r="Q26" i="3"/>
  <c r="R26" i="3" s="1"/>
  <c r="P27" i="3"/>
  <c r="A27" i="3"/>
  <c r="S26" i="3"/>
  <c r="S3900" i="3" l="1"/>
  <c r="Q3900" i="3"/>
  <c r="S27" i="3"/>
  <c r="P28" i="3"/>
  <c r="Q27" i="3"/>
  <c r="R27" i="3" s="1"/>
  <c r="A28" i="3"/>
  <c r="R3900" i="3" l="1"/>
  <c r="Q3901" i="3"/>
  <c r="R3901" i="3" s="1"/>
  <c r="S3902" i="3" s="1"/>
  <c r="Q28" i="3"/>
  <c r="R28" i="3" s="1"/>
  <c r="P29" i="3"/>
  <c r="A29" i="3"/>
  <c r="S28" i="3"/>
  <c r="S29" i="3" l="1"/>
  <c r="P30" i="3"/>
  <c r="Q29" i="3"/>
  <c r="R29" i="3" s="1"/>
  <c r="A30" i="3"/>
  <c r="Q30" i="3" l="1"/>
  <c r="R30" i="3" s="1"/>
  <c r="P31" i="3"/>
  <c r="A31" i="3"/>
  <c r="S30" i="3"/>
  <c r="S31" i="3" l="1"/>
  <c r="P32" i="3"/>
  <c r="Q31" i="3"/>
  <c r="R31" i="3" s="1"/>
  <c r="A32" i="3"/>
  <c r="Q32" i="3" l="1"/>
  <c r="R32" i="3" s="1"/>
  <c r="P33" i="3"/>
  <c r="A33" i="3"/>
  <c r="S32" i="3"/>
  <c r="S33" i="3" l="1"/>
  <c r="P34" i="3"/>
  <c r="Q33" i="3"/>
  <c r="R33" i="3" s="1"/>
  <c r="A34" i="3"/>
  <c r="Q34" i="3" l="1"/>
  <c r="R34" i="3" s="1"/>
  <c r="P35" i="3"/>
  <c r="A35" i="3"/>
  <c r="S34" i="3"/>
  <c r="S35" i="3" l="1"/>
  <c r="Q35" i="3"/>
  <c r="R35" i="3" s="1"/>
  <c r="P36" i="3"/>
  <c r="A36" i="3"/>
  <c r="Q36" i="3" l="1"/>
  <c r="R36" i="3" s="1"/>
  <c r="P37" i="3"/>
  <c r="A37" i="3"/>
  <c r="S36" i="3"/>
  <c r="S37" i="3" l="1"/>
  <c r="A38" i="3"/>
  <c r="P38" i="3"/>
  <c r="Q37" i="3"/>
  <c r="R37" i="3" s="1"/>
  <c r="Q38" i="3" l="1"/>
  <c r="R38" i="3" s="1"/>
  <c r="A39" i="3"/>
  <c r="S38" i="3"/>
  <c r="P39" i="3"/>
  <c r="S39" i="3" l="1"/>
  <c r="A40" i="3"/>
  <c r="P40" i="3"/>
  <c r="Q39" i="3"/>
  <c r="R39" i="3" s="1"/>
  <c r="Q40" i="3" l="1"/>
  <c r="R40" i="3" s="1"/>
  <c r="A41" i="3"/>
  <c r="S40" i="3"/>
  <c r="P41" i="3"/>
  <c r="S41" i="3" l="1"/>
  <c r="A42" i="3"/>
  <c r="P42" i="3"/>
  <c r="Q41" i="3"/>
  <c r="R41" i="3" s="1"/>
  <c r="Q42" i="3" l="1"/>
  <c r="R42" i="3" s="1"/>
  <c r="A43" i="3"/>
  <c r="S42" i="3"/>
  <c r="P43" i="3"/>
  <c r="S43" i="3" l="1"/>
  <c r="A44" i="3"/>
  <c r="P44" i="3"/>
  <c r="Q43" i="3"/>
  <c r="R43" i="3" s="1"/>
  <c r="Q44" i="3" l="1"/>
  <c r="R44" i="3" s="1"/>
  <c r="A45" i="3"/>
  <c r="S44" i="3"/>
  <c r="P45" i="3"/>
  <c r="S45" i="3" l="1"/>
  <c r="Q45" i="3"/>
  <c r="R45" i="3" s="1"/>
  <c r="A46" i="3"/>
  <c r="P46" i="3"/>
  <c r="Q46" i="3" l="1"/>
  <c r="R46" i="3" s="1"/>
  <c r="S46" i="3"/>
  <c r="A47" i="3"/>
  <c r="P47" i="3"/>
  <c r="S47" i="3" l="1"/>
  <c r="Q47" i="3"/>
  <c r="R47" i="3" s="1"/>
  <c r="A48" i="3"/>
  <c r="P48" i="3"/>
  <c r="Q48" i="3" l="1"/>
  <c r="R48" i="3" s="1"/>
  <c r="S48" i="3"/>
  <c r="A49" i="3"/>
  <c r="P49" i="3"/>
  <c r="S49" i="3" l="1"/>
  <c r="Q49" i="3"/>
  <c r="R49" i="3" s="1"/>
  <c r="A50" i="3"/>
  <c r="P50" i="3"/>
  <c r="Q50" i="3" l="1"/>
  <c r="R50" i="3" s="1"/>
  <c r="S50" i="3"/>
  <c r="A51" i="3"/>
  <c r="P51" i="3"/>
  <c r="S51" i="3" l="1"/>
  <c r="Q51" i="3"/>
  <c r="R51" i="3" s="1"/>
  <c r="P52" i="3"/>
  <c r="A52" i="3"/>
  <c r="Q52" i="3" l="1"/>
  <c r="R52" i="3" s="1"/>
  <c r="S52" i="3"/>
  <c r="P53" i="3"/>
  <c r="A53" i="3"/>
  <c r="S53" i="3" l="1"/>
  <c r="Q53" i="3"/>
  <c r="R53" i="3" s="1"/>
  <c r="P54" i="3"/>
  <c r="A54" i="3"/>
  <c r="Q54" i="3" l="1"/>
  <c r="R54" i="3" s="1"/>
  <c r="S54" i="3"/>
  <c r="P55" i="3"/>
  <c r="A55" i="3"/>
  <c r="S55" i="3" l="1"/>
  <c r="P56" i="3"/>
  <c r="Q55" i="3"/>
  <c r="R55" i="3" s="1"/>
  <c r="A56" i="3"/>
  <c r="Q56" i="3" l="1"/>
  <c r="R56" i="3" s="1"/>
  <c r="S56" i="3"/>
  <c r="A57" i="3"/>
  <c r="P57" i="3"/>
  <c r="S57" i="3" l="1"/>
  <c r="A58" i="3"/>
  <c r="P58" i="3"/>
  <c r="Q57" i="3"/>
  <c r="R57" i="3" s="1"/>
  <c r="Q58" i="3" l="1"/>
  <c r="R58" i="3" s="1"/>
  <c r="A59" i="3"/>
  <c r="S58" i="3"/>
  <c r="P59" i="3"/>
  <c r="S59" i="3" l="1"/>
  <c r="A60" i="3"/>
  <c r="P60" i="3"/>
  <c r="Q59" i="3"/>
  <c r="R59" i="3" s="1"/>
  <c r="Q60" i="3" l="1"/>
  <c r="R60" i="3" s="1"/>
  <c r="P61" i="3"/>
  <c r="A61" i="3"/>
  <c r="S60" i="3"/>
  <c r="S61" i="3" l="1"/>
  <c r="P62" i="3"/>
  <c r="Q61" i="3"/>
  <c r="R61" i="3" s="1"/>
  <c r="A62" i="3"/>
  <c r="Q62" i="3" l="1"/>
  <c r="R62" i="3" s="1"/>
  <c r="A63" i="3"/>
  <c r="S62" i="3"/>
  <c r="P63" i="3"/>
  <c r="S63" i="3" l="1"/>
  <c r="P64" i="3"/>
  <c r="Q63" i="3"/>
  <c r="R63" i="3" s="1"/>
  <c r="A64" i="3"/>
  <c r="Q64" i="3" l="1"/>
  <c r="R64" i="3" s="1"/>
  <c r="A65" i="3"/>
  <c r="S64" i="3"/>
  <c r="P65" i="3"/>
  <c r="S65" i="3" l="1"/>
  <c r="P66" i="3"/>
  <c r="Q65" i="3"/>
  <c r="R65" i="3" s="1"/>
  <c r="A66" i="3"/>
  <c r="Q66" i="3" l="1"/>
  <c r="R66" i="3" s="1"/>
  <c r="A67" i="3"/>
  <c r="S66" i="3"/>
  <c r="P67" i="3"/>
  <c r="S67" i="3" l="1"/>
  <c r="Q67" i="3"/>
  <c r="R67" i="3" s="1"/>
  <c r="P68" i="3"/>
  <c r="A68" i="3"/>
  <c r="Q68" i="3" l="1"/>
  <c r="R68" i="3" s="1"/>
  <c r="A69" i="3"/>
  <c r="S68" i="3"/>
  <c r="P69" i="3"/>
  <c r="S69" i="3" l="1"/>
  <c r="P70" i="3"/>
  <c r="Q69" i="3"/>
  <c r="R69" i="3" s="1"/>
  <c r="A70" i="3"/>
  <c r="Q70" i="3" l="1"/>
  <c r="R70" i="3" s="1"/>
  <c r="A71" i="3"/>
  <c r="S70" i="3"/>
  <c r="P71" i="3"/>
  <c r="S71" i="3" l="1"/>
  <c r="P72" i="3"/>
  <c r="Q71" i="3"/>
  <c r="R71" i="3" s="1"/>
  <c r="A72" i="3"/>
  <c r="Q72" i="3" l="1"/>
  <c r="R72" i="3" s="1"/>
  <c r="A73" i="3"/>
  <c r="S72" i="3"/>
  <c r="P73" i="3"/>
  <c r="S73" i="3" l="1"/>
  <c r="P74" i="3"/>
  <c r="Q73" i="3"/>
  <c r="R73" i="3" s="1"/>
  <c r="A74" i="3"/>
  <c r="Q74" i="3" l="1"/>
  <c r="R74" i="3" s="1"/>
  <c r="A75" i="3"/>
  <c r="S74" i="3"/>
  <c r="P75" i="3"/>
  <c r="S75" i="3" l="1"/>
  <c r="P76" i="3"/>
  <c r="Q75" i="3"/>
  <c r="R75" i="3" s="1"/>
  <c r="A76" i="3"/>
  <c r="Q76" i="3" l="1"/>
  <c r="R76" i="3" s="1"/>
  <c r="A77" i="3"/>
  <c r="S76" i="3"/>
  <c r="P77" i="3"/>
  <c r="S77" i="3" l="1"/>
  <c r="Q77" i="3"/>
  <c r="R77" i="3" s="1"/>
  <c r="P78" i="3"/>
  <c r="A78" i="3"/>
  <c r="Q78" i="3" l="1"/>
  <c r="R78" i="3" s="1"/>
  <c r="A79" i="3"/>
  <c r="S78" i="3"/>
  <c r="P79" i="3"/>
  <c r="S79" i="3" l="1"/>
  <c r="P80" i="3"/>
  <c r="Q79" i="3"/>
  <c r="R79" i="3" s="1"/>
  <c r="A80" i="3"/>
  <c r="Q80" i="3" l="1"/>
  <c r="R80" i="3" s="1"/>
  <c r="A81" i="3"/>
  <c r="S80" i="3"/>
  <c r="P81" i="3"/>
  <c r="S81" i="3" l="1"/>
  <c r="P82" i="3"/>
  <c r="Q81" i="3"/>
  <c r="R81" i="3" s="1"/>
  <c r="A82" i="3"/>
  <c r="Q82" i="3" l="1"/>
  <c r="R82" i="3" s="1"/>
  <c r="A83" i="3"/>
  <c r="S82" i="3"/>
  <c r="P83" i="3"/>
  <c r="S83" i="3" l="1"/>
  <c r="P84" i="3"/>
  <c r="Q83" i="3"/>
  <c r="R83" i="3" s="1"/>
  <c r="A84" i="3"/>
  <c r="Q84" i="3" l="1"/>
  <c r="R84" i="3" s="1"/>
  <c r="A85" i="3"/>
  <c r="S84" i="3"/>
  <c r="P85" i="3"/>
  <c r="S85" i="3" l="1"/>
  <c r="P86" i="3"/>
  <c r="Q85" i="3"/>
  <c r="R85" i="3" s="1"/>
  <c r="A86" i="3"/>
  <c r="Q86" i="3" l="1"/>
  <c r="R86" i="3" s="1"/>
  <c r="S86" i="3"/>
  <c r="A87" i="3"/>
  <c r="P87" i="3"/>
  <c r="S87" i="3" l="1"/>
  <c r="Q87" i="3"/>
  <c r="R87" i="3" s="1"/>
  <c r="P88" i="3"/>
  <c r="A88" i="3"/>
  <c r="Q88" i="3" l="1"/>
  <c r="R88" i="3" s="1"/>
  <c r="S88" i="3"/>
  <c r="A89" i="3"/>
  <c r="P89" i="3"/>
  <c r="S89" i="3" l="1"/>
  <c r="Q89" i="3"/>
  <c r="R89" i="3" s="1"/>
  <c r="P90" i="3"/>
  <c r="A90" i="3"/>
  <c r="Q90" i="3" l="1"/>
  <c r="R90" i="3" s="1"/>
  <c r="S90" i="3"/>
  <c r="A91" i="3"/>
  <c r="P91" i="3"/>
  <c r="S91" i="3" l="1"/>
  <c r="Q91" i="3"/>
  <c r="R91" i="3" s="1"/>
  <c r="P92" i="3"/>
  <c r="A92" i="3"/>
  <c r="Q92" i="3" l="1"/>
  <c r="R92" i="3" s="1"/>
  <c r="A93" i="3"/>
  <c r="S92" i="3"/>
  <c r="P93" i="3"/>
  <c r="S93" i="3" l="1"/>
  <c r="P94" i="3"/>
  <c r="Q93" i="3"/>
  <c r="R93" i="3" s="1"/>
  <c r="A94" i="3"/>
  <c r="Q94" i="3" l="1"/>
  <c r="R94" i="3" s="1"/>
  <c r="A95" i="3"/>
  <c r="S94" i="3"/>
  <c r="P95" i="3"/>
  <c r="S95" i="3" l="1"/>
  <c r="P96" i="3"/>
  <c r="Q95" i="3"/>
  <c r="R95" i="3" s="1"/>
  <c r="A96" i="3"/>
  <c r="Q96" i="3" l="1"/>
  <c r="R96" i="3" s="1"/>
  <c r="A97" i="3"/>
  <c r="S96" i="3"/>
  <c r="P97" i="3"/>
  <c r="S97" i="3" l="1"/>
  <c r="P98" i="3"/>
  <c r="Q97" i="3"/>
  <c r="R97" i="3" s="1"/>
  <c r="A98" i="3"/>
  <c r="Q98" i="3" l="1"/>
  <c r="R98" i="3" s="1"/>
  <c r="P99" i="3"/>
  <c r="A99" i="3"/>
  <c r="S98" i="3"/>
  <c r="S99" i="3" l="1"/>
  <c r="A100" i="3"/>
  <c r="P100" i="3"/>
  <c r="Q99" i="3"/>
  <c r="R99" i="3" s="1"/>
  <c r="Q100" i="3" l="1"/>
  <c r="R100" i="3" s="1"/>
  <c r="S100" i="3"/>
  <c r="A101" i="3"/>
  <c r="P101" i="3"/>
  <c r="S101" i="3" l="1"/>
  <c r="Q101" i="3"/>
  <c r="R101" i="3" s="1"/>
  <c r="A102" i="3"/>
  <c r="P102" i="3"/>
  <c r="Q102" i="3" l="1"/>
  <c r="R102" i="3" s="1"/>
  <c r="A103" i="3"/>
  <c r="S102" i="3"/>
  <c r="P103" i="3"/>
  <c r="S103" i="3" l="1"/>
  <c r="P104" i="3"/>
  <c r="Q103" i="3"/>
  <c r="R103" i="3" s="1"/>
  <c r="A104" i="3"/>
  <c r="Q104" i="3" l="1"/>
  <c r="R104" i="3" s="1"/>
  <c r="P105" i="3"/>
  <c r="A105" i="3"/>
  <c r="S104" i="3"/>
  <c r="S105" i="3" l="1"/>
  <c r="P106" i="3"/>
  <c r="Q105" i="3"/>
  <c r="R105" i="3" s="1"/>
  <c r="A106" i="3"/>
  <c r="Q106" i="3" l="1"/>
  <c r="R106" i="3" s="1"/>
  <c r="S106" i="3"/>
  <c r="P107" i="3"/>
  <c r="A107" i="3"/>
  <c r="S107" i="3" l="1"/>
  <c r="Q107" i="3"/>
  <c r="R107" i="3" s="1"/>
  <c r="P108" i="3"/>
  <c r="A108" i="3"/>
  <c r="Q108" i="3" l="1"/>
  <c r="R108" i="3" s="1"/>
  <c r="P109" i="3"/>
  <c r="A109" i="3"/>
  <c r="S108" i="3"/>
  <c r="S109" i="3" l="1"/>
  <c r="P110" i="3"/>
  <c r="Q109" i="3"/>
  <c r="R109" i="3" s="1"/>
  <c r="A110" i="3"/>
  <c r="Q110" i="3" l="1"/>
  <c r="R110" i="3" s="1"/>
  <c r="A111" i="3"/>
  <c r="S110" i="3"/>
  <c r="P111" i="3"/>
  <c r="S111" i="3" l="1"/>
  <c r="P112" i="3"/>
  <c r="Q111" i="3"/>
  <c r="R111" i="3" s="1"/>
  <c r="A112" i="3"/>
  <c r="Q112" i="3" l="1"/>
  <c r="R112" i="3" s="1"/>
  <c r="S112" i="3"/>
  <c r="P113" i="3"/>
  <c r="A113" i="3"/>
  <c r="S113" i="3" l="1"/>
  <c r="Q113" i="3"/>
  <c r="R113" i="3" s="1"/>
  <c r="A114" i="3"/>
  <c r="P114" i="3"/>
  <c r="Q114" i="3" l="1"/>
  <c r="R114" i="3" s="1"/>
  <c r="S114" i="3"/>
  <c r="A115" i="3"/>
  <c r="P115" i="3"/>
  <c r="S115" i="3" l="1"/>
  <c r="Q115" i="3"/>
  <c r="R115" i="3" s="1"/>
  <c r="A116" i="3"/>
  <c r="P116" i="3"/>
  <c r="Q116" i="3" l="1"/>
  <c r="R116" i="3" s="1"/>
  <c r="S116" i="3"/>
  <c r="A117" i="3"/>
  <c r="P117" i="3"/>
  <c r="S117" i="3" l="1"/>
  <c r="Q117" i="3"/>
  <c r="R117" i="3" s="1"/>
  <c r="A118" i="3"/>
  <c r="P118" i="3"/>
  <c r="Q118" i="3" l="1"/>
  <c r="R118" i="3" s="1"/>
  <c r="A119" i="3"/>
  <c r="S118" i="3"/>
  <c r="P119" i="3"/>
  <c r="S119" i="3" l="1"/>
  <c r="A120" i="3"/>
  <c r="P120" i="3"/>
  <c r="Q119" i="3"/>
  <c r="R119" i="3" s="1"/>
  <c r="Q120" i="3" l="1"/>
  <c r="R120" i="3" s="1"/>
  <c r="A121" i="3"/>
  <c r="S120" i="3"/>
  <c r="P121" i="3"/>
  <c r="S121" i="3" l="1"/>
  <c r="A122" i="3"/>
  <c r="P122" i="3"/>
  <c r="Q121" i="3"/>
  <c r="R121" i="3" s="1"/>
  <c r="Q122" i="3" l="1"/>
  <c r="R122" i="3" s="1"/>
  <c r="A123" i="3"/>
  <c r="S122" i="3"/>
  <c r="P123" i="3"/>
  <c r="S123" i="3" l="1"/>
  <c r="Q123" i="3"/>
  <c r="R123" i="3" s="1"/>
  <c r="A124" i="3"/>
  <c r="P124" i="3"/>
  <c r="Q124" i="3" l="1"/>
  <c r="R124" i="3" s="1"/>
  <c r="A125" i="3"/>
  <c r="S124" i="3"/>
  <c r="P125" i="3"/>
  <c r="S125" i="3" l="1"/>
  <c r="P126" i="3"/>
  <c r="Q125" i="3"/>
  <c r="R125" i="3" s="1"/>
  <c r="A126" i="3"/>
  <c r="Q126" i="3" l="1"/>
  <c r="R126" i="3" s="1"/>
  <c r="A127" i="3"/>
  <c r="S126" i="3"/>
  <c r="P127" i="3"/>
  <c r="S127" i="3" l="1"/>
  <c r="Q127" i="3"/>
  <c r="R127" i="3" s="1"/>
  <c r="P128" i="3"/>
  <c r="A128" i="3"/>
  <c r="Q128" i="3" l="1"/>
  <c r="R128" i="3" s="1"/>
  <c r="S128" i="3"/>
  <c r="A129" i="3"/>
  <c r="P129" i="3"/>
  <c r="S129" i="3" l="1"/>
  <c r="Q129" i="3"/>
  <c r="R129" i="3" s="1"/>
  <c r="P130" i="3"/>
  <c r="A130" i="3"/>
  <c r="Q130" i="3" l="1"/>
  <c r="R130" i="3" s="1"/>
  <c r="A131" i="3"/>
  <c r="S130" i="3"/>
  <c r="P131" i="3"/>
  <c r="S131" i="3" l="1"/>
  <c r="P132" i="3"/>
  <c r="Q131" i="3"/>
  <c r="R131" i="3" s="1"/>
  <c r="A132" i="3"/>
  <c r="Q132" i="3" l="1"/>
  <c r="R132" i="3" s="1"/>
  <c r="S132" i="3"/>
  <c r="A133" i="3"/>
  <c r="P133" i="3"/>
  <c r="S133" i="3" l="1"/>
  <c r="Q133" i="3"/>
  <c r="R133" i="3" s="1"/>
  <c r="P134" i="3"/>
  <c r="A134" i="3"/>
  <c r="Q134" i="3" l="1"/>
  <c r="R134" i="3" s="1"/>
  <c r="A135" i="3"/>
  <c r="S134" i="3"/>
  <c r="P135" i="3"/>
  <c r="S135" i="3" l="1"/>
  <c r="P136" i="3"/>
  <c r="Q135" i="3"/>
  <c r="R135" i="3" s="1"/>
  <c r="A136" i="3"/>
  <c r="Q136" i="3" l="1"/>
  <c r="R136" i="3" s="1"/>
  <c r="S136" i="3"/>
  <c r="A137" i="3"/>
  <c r="P137" i="3"/>
  <c r="S137" i="3" l="1"/>
  <c r="Q137" i="3"/>
  <c r="R137" i="3" s="1"/>
  <c r="P138" i="3"/>
  <c r="A138" i="3"/>
  <c r="Q138" i="3" l="1"/>
  <c r="R138" i="3" s="1"/>
  <c r="S138" i="3"/>
  <c r="A139" i="3"/>
  <c r="P139" i="3"/>
  <c r="S139" i="3" l="1"/>
  <c r="Q139" i="3"/>
  <c r="R139" i="3" s="1"/>
  <c r="P140" i="3"/>
  <c r="A140" i="3"/>
  <c r="Q140" i="3" l="1"/>
  <c r="R140" i="3" s="1"/>
  <c r="A141" i="3"/>
  <c r="S140" i="3"/>
  <c r="P141" i="3"/>
  <c r="S141" i="3" l="1"/>
  <c r="P142" i="3"/>
  <c r="Q141" i="3"/>
  <c r="R141" i="3" s="1"/>
  <c r="A142" i="3"/>
  <c r="Q142" i="3" l="1"/>
  <c r="R142" i="3" s="1"/>
  <c r="S142" i="3"/>
  <c r="A143" i="3"/>
  <c r="P143" i="3"/>
  <c r="S143" i="3" l="1"/>
  <c r="Q143" i="3"/>
  <c r="R143" i="3" s="1"/>
  <c r="P144" i="3"/>
  <c r="A144" i="3"/>
  <c r="Q144" i="3" l="1"/>
  <c r="R144" i="3" s="1"/>
  <c r="A145" i="3"/>
  <c r="S144" i="3"/>
  <c r="P145" i="3"/>
  <c r="S145" i="3" l="1"/>
  <c r="P146" i="3"/>
  <c r="Q145" i="3"/>
  <c r="R145" i="3" s="1"/>
  <c r="A146" i="3"/>
  <c r="Q146" i="3" l="1"/>
  <c r="R146" i="3" s="1"/>
  <c r="S146" i="3"/>
  <c r="A147" i="3"/>
  <c r="P147" i="3"/>
  <c r="S147" i="3" l="1"/>
  <c r="Q147" i="3"/>
  <c r="R147" i="3" s="1"/>
  <c r="P148" i="3"/>
  <c r="A148" i="3"/>
  <c r="Q148" i="3" l="1"/>
  <c r="R148" i="3" s="1"/>
  <c r="P149" i="3"/>
  <c r="A149" i="3"/>
  <c r="S148" i="3"/>
  <c r="S149" i="3" l="1"/>
  <c r="P150" i="3"/>
  <c r="Q149" i="3"/>
  <c r="R149" i="3" s="1"/>
  <c r="A150" i="3"/>
  <c r="Q150" i="3" l="1"/>
  <c r="R150" i="3" s="1"/>
  <c r="S150" i="3"/>
  <c r="P151" i="3"/>
  <c r="A151" i="3"/>
  <c r="S151" i="3" l="1"/>
  <c r="Q151" i="3"/>
  <c r="R151" i="3" s="1"/>
  <c r="P152" i="3"/>
  <c r="A152" i="3"/>
  <c r="Q152" i="3" l="1"/>
  <c r="R152" i="3" s="1"/>
  <c r="P153" i="3"/>
  <c r="A153" i="3"/>
  <c r="S152" i="3"/>
  <c r="S153" i="3" l="1"/>
  <c r="P154" i="3"/>
  <c r="Q153" i="3"/>
  <c r="R153" i="3" s="1"/>
  <c r="A154" i="3"/>
  <c r="Q154" i="3" l="1"/>
  <c r="R154" i="3" s="1"/>
  <c r="P155" i="3"/>
  <c r="A155" i="3"/>
  <c r="S154" i="3"/>
  <c r="S155" i="3" l="1"/>
  <c r="Q155" i="3"/>
  <c r="R155" i="3" s="1"/>
  <c r="P156" i="3"/>
  <c r="A156" i="3"/>
  <c r="Q156" i="3" l="1"/>
  <c r="R156" i="3" s="1"/>
  <c r="P157" i="3"/>
  <c r="A157" i="3"/>
  <c r="S156" i="3"/>
  <c r="S157" i="3" l="1"/>
  <c r="P158" i="3"/>
  <c r="Q157" i="3"/>
  <c r="R157" i="3" s="1"/>
  <c r="A158" i="3"/>
  <c r="Q158" i="3" l="1"/>
  <c r="R158" i="3" s="1"/>
  <c r="S158" i="3"/>
  <c r="P159" i="3"/>
  <c r="A159" i="3"/>
  <c r="S159" i="3" l="1"/>
  <c r="Q159" i="3"/>
  <c r="R159" i="3" s="1"/>
  <c r="P160" i="3"/>
  <c r="A160" i="3"/>
  <c r="Q160" i="3" l="1"/>
  <c r="R160" i="3" s="1"/>
  <c r="P161" i="3"/>
  <c r="A161" i="3"/>
  <c r="S160" i="3"/>
  <c r="S161" i="3" l="1"/>
  <c r="P162" i="3"/>
  <c r="Q161" i="3"/>
  <c r="R161" i="3" s="1"/>
  <c r="A162" i="3"/>
  <c r="Q162" i="3" l="1"/>
  <c r="R162" i="3" s="1"/>
  <c r="A163" i="3"/>
  <c r="S162" i="3"/>
  <c r="P163" i="3"/>
  <c r="S163" i="3" l="1"/>
  <c r="A164" i="3"/>
  <c r="P164" i="3"/>
  <c r="Q163" i="3"/>
  <c r="R163" i="3" s="1"/>
  <c r="Q164" i="3" l="1"/>
  <c r="R164" i="3" s="1"/>
  <c r="A165" i="3"/>
  <c r="S164" i="3"/>
  <c r="P165" i="3"/>
  <c r="S165" i="3" l="1"/>
  <c r="A166" i="3"/>
  <c r="P166" i="3"/>
  <c r="Q165" i="3"/>
  <c r="R165" i="3" s="1"/>
  <c r="Q166" i="3" l="1"/>
  <c r="R166" i="3" s="1"/>
  <c r="A167" i="3"/>
  <c r="S166" i="3"/>
  <c r="P167" i="3"/>
  <c r="S167" i="3" l="1"/>
  <c r="A168" i="3"/>
  <c r="P168" i="3"/>
  <c r="Q167" i="3"/>
  <c r="R167" i="3" s="1"/>
  <c r="Q168" i="3" l="1"/>
  <c r="R168" i="3" s="1"/>
  <c r="A169" i="3"/>
  <c r="S168" i="3"/>
  <c r="P169" i="3"/>
  <c r="S169" i="3" l="1"/>
  <c r="Q169" i="3"/>
  <c r="R169" i="3" s="1"/>
  <c r="P170" i="3"/>
  <c r="A170" i="3"/>
  <c r="P171" i="3" l="1"/>
  <c r="Q170" i="3"/>
  <c r="R170" i="3" s="1"/>
  <c r="A171" i="3"/>
  <c r="S170" i="3"/>
  <c r="A172" i="3" l="1"/>
  <c r="P172" i="3"/>
  <c r="S171" i="3"/>
  <c r="Q171" i="3"/>
  <c r="R171" i="3" s="1"/>
  <c r="P173" i="3" l="1"/>
  <c r="A173" i="3"/>
  <c r="S172" i="3"/>
  <c r="Q172" i="3"/>
  <c r="R172" i="3" s="1"/>
  <c r="A174" i="3" l="1"/>
  <c r="S173" i="3"/>
  <c r="P174" i="3"/>
  <c r="Q173" i="3"/>
  <c r="R173" i="3" s="1"/>
  <c r="P175" i="3" l="1"/>
  <c r="S174" i="3"/>
  <c r="Q174" i="3"/>
  <c r="R174" i="3" s="1"/>
  <c r="A175" i="3"/>
  <c r="A176" i="3" l="1"/>
  <c r="P176" i="3"/>
  <c r="Q175" i="3"/>
  <c r="R175" i="3" s="1"/>
  <c r="S175" i="3"/>
  <c r="P177" i="3" l="1"/>
  <c r="Q176" i="3"/>
  <c r="R176" i="3" s="1"/>
  <c r="A177" i="3"/>
  <c r="S176" i="3"/>
  <c r="A178" i="3" l="1"/>
  <c r="P178" i="3"/>
  <c r="Q177" i="3"/>
  <c r="R177" i="3" s="1"/>
  <c r="S177" i="3"/>
  <c r="P179" i="3" l="1"/>
  <c r="S178" i="3"/>
  <c r="A179" i="3"/>
  <c r="Q178" i="3"/>
  <c r="R178" i="3" s="1"/>
  <c r="A180" i="3" l="1"/>
  <c r="S179" i="3"/>
  <c r="P180" i="3"/>
  <c r="Q179" i="3"/>
  <c r="R179" i="3" s="1"/>
  <c r="P181" i="3" l="1"/>
  <c r="A181" i="3"/>
  <c r="S180" i="3"/>
  <c r="Q180" i="3"/>
  <c r="R180" i="3" s="1"/>
  <c r="A182" i="3" l="1"/>
  <c r="S181" i="3"/>
  <c r="P182" i="3"/>
  <c r="Q181" i="3"/>
  <c r="R181" i="3" s="1"/>
  <c r="P183" i="3" l="1"/>
  <c r="S182" i="3"/>
  <c r="Q182" i="3"/>
  <c r="R182" i="3" s="1"/>
  <c r="A183" i="3"/>
  <c r="A184" i="3" l="1"/>
  <c r="P184" i="3"/>
  <c r="Q183" i="3"/>
  <c r="R183" i="3" s="1"/>
  <c r="S183" i="3"/>
  <c r="P185" i="3" l="1"/>
  <c r="Q184" i="3"/>
  <c r="R184" i="3" s="1"/>
  <c r="A185" i="3"/>
  <c r="S184" i="3"/>
  <c r="A186" i="3" l="1"/>
  <c r="P186" i="3"/>
  <c r="Q185" i="3"/>
  <c r="R185" i="3" s="1"/>
  <c r="S185" i="3"/>
  <c r="P187" i="3" l="1"/>
  <c r="A187" i="3"/>
  <c r="S186" i="3"/>
  <c r="Q186" i="3"/>
  <c r="R186" i="3" s="1"/>
  <c r="A188" i="3" l="1"/>
  <c r="S187" i="3"/>
  <c r="P188" i="3"/>
  <c r="Q187" i="3"/>
  <c r="R187" i="3" s="1"/>
  <c r="P189" i="3" l="1"/>
  <c r="A189" i="3"/>
  <c r="S188" i="3"/>
  <c r="Q188" i="3"/>
  <c r="R188" i="3" s="1"/>
  <c r="A190" i="3" l="1"/>
  <c r="S189" i="3"/>
  <c r="P190" i="3"/>
  <c r="Q189" i="3"/>
  <c r="R189" i="3" s="1"/>
  <c r="P191" i="3" l="1"/>
  <c r="S190" i="3"/>
  <c r="Q190" i="3"/>
  <c r="R190" i="3" s="1"/>
  <c r="A191" i="3"/>
  <c r="A192" i="3" l="1"/>
  <c r="P192" i="3"/>
  <c r="Q191" i="3"/>
  <c r="R191" i="3" s="1"/>
  <c r="S191" i="3"/>
  <c r="P193" i="3" l="1"/>
  <c r="Q192" i="3"/>
  <c r="R192" i="3" s="1"/>
  <c r="A193" i="3"/>
  <c r="S192" i="3"/>
  <c r="A194" i="3" l="1"/>
  <c r="P194" i="3"/>
  <c r="Q193" i="3"/>
  <c r="R193" i="3" s="1"/>
  <c r="S193" i="3"/>
  <c r="P195" i="3" l="1"/>
  <c r="S194" i="3"/>
  <c r="A195" i="3"/>
  <c r="Q194" i="3"/>
  <c r="R194" i="3" s="1"/>
  <c r="A196" i="3" l="1"/>
  <c r="S195" i="3"/>
  <c r="P196" i="3"/>
  <c r="Q195" i="3"/>
  <c r="R195" i="3" s="1"/>
  <c r="P197" i="3" l="1"/>
  <c r="A197" i="3"/>
  <c r="S196" i="3"/>
  <c r="Q196" i="3"/>
  <c r="R196" i="3" s="1"/>
  <c r="A198" i="3" l="1"/>
  <c r="S197" i="3"/>
  <c r="Q197" i="3"/>
  <c r="R197" i="3" s="1"/>
  <c r="P198" i="3"/>
  <c r="P199" i="3" l="1"/>
  <c r="S198" i="3"/>
  <c r="Q198" i="3"/>
  <c r="R198" i="3" s="1"/>
  <c r="A199" i="3"/>
  <c r="A200" i="3" l="1"/>
  <c r="P200" i="3"/>
  <c r="Q199" i="3"/>
  <c r="R199" i="3" s="1"/>
  <c r="S199" i="3"/>
  <c r="P201" i="3" l="1"/>
  <c r="Q200" i="3"/>
  <c r="R200" i="3" s="1"/>
  <c r="A201" i="3"/>
  <c r="S200" i="3"/>
  <c r="A202" i="3" l="1"/>
  <c r="P202" i="3"/>
  <c r="Q201" i="3"/>
  <c r="R201" i="3" s="1"/>
  <c r="S201" i="3"/>
  <c r="P203" i="3" l="1"/>
  <c r="A203" i="3"/>
  <c r="S202" i="3"/>
  <c r="Q202" i="3"/>
  <c r="R202" i="3" s="1"/>
  <c r="A204" i="3" l="1"/>
  <c r="S203" i="3"/>
  <c r="P204" i="3"/>
  <c r="Q203" i="3"/>
  <c r="R203" i="3" s="1"/>
  <c r="P205" i="3" l="1"/>
  <c r="A205" i="3"/>
  <c r="Q204" i="3"/>
  <c r="R204" i="3" s="1"/>
  <c r="S204" i="3"/>
  <c r="A206" i="3" l="1"/>
  <c r="S205" i="3"/>
  <c r="P206" i="3"/>
  <c r="Q205" i="3"/>
  <c r="R205" i="3" s="1"/>
  <c r="P207" i="3" l="1"/>
  <c r="S206" i="3"/>
  <c r="Q206" i="3"/>
  <c r="R206" i="3" s="1"/>
  <c r="A207" i="3"/>
  <c r="A208" i="3" l="1"/>
  <c r="S207" i="3"/>
  <c r="P208" i="3"/>
  <c r="Q207" i="3"/>
  <c r="R207" i="3" s="1"/>
  <c r="P209" i="3" l="1"/>
  <c r="Q208" i="3"/>
  <c r="R208" i="3" s="1"/>
  <c r="A209" i="3"/>
  <c r="S208" i="3"/>
  <c r="A210" i="3" l="1"/>
  <c r="P210" i="3"/>
  <c r="Q209" i="3"/>
  <c r="R209" i="3" s="1"/>
  <c r="S209" i="3"/>
  <c r="P211" i="3" l="1"/>
  <c r="A211" i="3"/>
  <c r="S210" i="3"/>
  <c r="Q210" i="3"/>
  <c r="R210" i="3" s="1"/>
  <c r="A212" i="3" l="1"/>
  <c r="Q211" i="3"/>
  <c r="R211" i="3" s="1"/>
  <c r="S211" i="3"/>
  <c r="P212" i="3"/>
  <c r="P213" i="3" l="1"/>
  <c r="A213" i="3"/>
  <c r="S212" i="3"/>
  <c r="Q212" i="3"/>
  <c r="R212" i="3" s="1"/>
  <c r="A214" i="3" l="1"/>
  <c r="S213" i="3"/>
  <c r="P214" i="3"/>
  <c r="Q213" i="3"/>
  <c r="R213" i="3" s="1"/>
  <c r="P215" i="3" l="1"/>
  <c r="S214" i="3"/>
  <c r="A215" i="3"/>
  <c r="Q214" i="3"/>
  <c r="R214" i="3" s="1"/>
  <c r="A216" i="3" l="1"/>
  <c r="P216" i="3"/>
  <c r="Q215" i="3"/>
  <c r="R215" i="3" s="1"/>
  <c r="S215" i="3"/>
  <c r="P217" i="3" l="1"/>
  <c r="Q216" i="3"/>
  <c r="R216" i="3" s="1"/>
  <c r="S216" i="3"/>
  <c r="A217" i="3"/>
  <c r="A218" i="3" l="1"/>
  <c r="P218" i="3"/>
  <c r="Q217" i="3"/>
  <c r="R217" i="3" s="1"/>
  <c r="S217" i="3"/>
  <c r="P219" i="3" l="1"/>
  <c r="A219" i="3"/>
  <c r="S218" i="3"/>
  <c r="Q218" i="3"/>
  <c r="R218" i="3" s="1"/>
  <c r="A220" i="3" l="1"/>
  <c r="Q219" i="3"/>
  <c r="R219" i="3" s="1"/>
  <c r="S219" i="3"/>
  <c r="P220" i="3"/>
  <c r="P221" i="3" l="1"/>
  <c r="A221" i="3"/>
  <c r="S220" i="3"/>
  <c r="Q220" i="3"/>
  <c r="R220" i="3" s="1"/>
  <c r="A222" i="3" l="1"/>
  <c r="S221" i="3"/>
  <c r="P222" i="3"/>
  <c r="Q221" i="3"/>
  <c r="R221" i="3" s="1"/>
  <c r="P223" i="3" l="1"/>
  <c r="S222" i="3"/>
  <c r="A223" i="3"/>
  <c r="Q222" i="3"/>
  <c r="R222" i="3" s="1"/>
  <c r="A224" i="3" l="1"/>
  <c r="P224" i="3"/>
  <c r="Q223" i="3"/>
  <c r="R223" i="3" s="1"/>
  <c r="S223" i="3"/>
  <c r="P225" i="3" l="1"/>
  <c r="Q224" i="3"/>
  <c r="R224" i="3" s="1"/>
  <c r="A225" i="3"/>
  <c r="S224" i="3"/>
  <c r="A226" i="3" l="1"/>
  <c r="P226" i="3"/>
  <c r="Q225" i="3"/>
  <c r="R225" i="3" s="1"/>
  <c r="S225" i="3"/>
  <c r="P227" i="3" l="1"/>
  <c r="A227" i="3"/>
  <c r="S226" i="3"/>
  <c r="Q226" i="3"/>
  <c r="R226" i="3" s="1"/>
  <c r="A228" i="3" l="1"/>
  <c r="P228" i="3"/>
  <c r="S227" i="3"/>
  <c r="Q227" i="3"/>
  <c r="R227" i="3" s="1"/>
  <c r="P229" i="3" l="1"/>
  <c r="A229" i="3"/>
  <c r="S228" i="3"/>
  <c r="Q228" i="3"/>
  <c r="R228" i="3" s="1"/>
  <c r="A230" i="3" l="1"/>
  <c r="S229" i="3"/>
  <c r="P230" i="3"/>
  <c r="Q229" i="3"/>
  <c r="R229" i="3" s="1"/>
  <c r="P231" i="3" l="1"/>
  <c r="S230" i="3"/>
  <c r="A231" i="3"/>
  <c r="Q230" i="3"/>
  <c r="R230" i="3" s="1"/>
  <c r="A232" i="3" l="1"/>
  <c r="P232" i="3"/>
  <c r="Q231" i="3"/>
  <c r="R231" i="3" s="1"/>
  <c r="S231" i="3"/>
  <c r="P233" i="3" l="1"/>
  <c r="Q232" i="3"/>
  <c r="R232" i="3" s="1"/>
  <c r="S232" i="3"/>
  <c r="A233" i="3"/>
  <c r="A234" i="3" l="1"/>
  <c r="P234" i="3"/>
  <c r="Q233" i="3"/>
  <c r="R233" i="3" s="1"/>
  <c r="S233" i="3"/>
  <c r="P235" i="3" l="1"/>
  <c r="A235" i="3"/>
  <c r="S234" i="3"/>
  <c r="Q234" i="3"/>
  <c r="R234" i="3" s="1"/>
  <c r="A236" i="3" l="1"/>
  <c r="P236" i="3"/>
  <c r="Q235" i="3"/>
  <c r="R235" i="3" s="1"/>
  <c r="S235" i="3"/>
  <c r="P237" i="3" l="1"/>
  <c r="A237" i="3"/>
  <c r="S236" i="3"/>
  <c r="Q236" i="3"/>
  <c r="R236" i="3" s="1"/>
  <c r="A238" i="3" l="1"/>
  <c r="S237" i="3"/>
  <c r="P238" i="3"/>
  <c r="Q237" i="3"/>
  <c r="R237" i="3" s="1"/>
  <c r="P239" i="3" l="1"/>
  <c r="S238" i="3"/>
  <c r="Q238" i="3"/>
  <c r="R238" i="3" s="1"/>
  <c r="A239" i="3"/>
  <c r="A240" i="3" l="1"/>
  <c r="S239" i="3"/>
  <c r="P240" i="3"/>
  <c r="Q239" i="3"/>
  <c r="R239" i="3" s="1"/>
  <c r="P241" i="3" l="1"/>
  <c r="Q240" i="3"/>
  <c r="R240" i="3" s="1"/>
  <c r="A241" i="3"/>
  <c r="S240" i="3"/>
  <c r="A242" i="3" l="1"/>
  <c r="P242" i="3"/>
  <c r="Q241" i="3"/>
  <c r="R241" i="3" s="1"/>
  <c r="S241" i="3"/>
  <c r="P243" i="3" l="1"/>
  <c r="A243" i="3"/>
  <c r="S242" i="3"/>
  <c r="Q242" i="3"/>
  <c r="R242" i="3" s="1"/>
  <c r="A244" i="3" l="1"/>
  <c r="P244" i="3"/>
  <c r="S243" i="3"/>
  <c r="Q243" i="3"/>
  <c r="R243" i="3" s="1"/>
  <c r="P245" i="3" l="1"/>
  <c r="A245" i="3"/>
  <c r="Q244" i="3"/>
  <c r="R244" i="3" s="1"/>
  <c r="S244" i="3"/>
  <c r="A246" i="3" l="1"/>
  <c r="S245" i="3"/>
  <c r="P246" i="3"/>
  <c r="Q245" i="3"/>
  <c r="R245" i="3" s="1"/>
  <c r="P247" i="3" l="1"/>
  <c r="S246" i="3"/>
  <c r="A247" i="3"/>
  <c r="Q246" i="3"/>
  <c r="R246" i="3" s="1"/>
  <c r="A248" i="3" l="1"/>
  <c r="P248" i="3"/>
  <c r="Q247" i="3"/>
  <c r="R247" i="3" s="1"/>
  <c r="S247" i="3"/>
  <c r="P249" i="3" l="1"/>
  <c r="Q248" i="3"/>
  <c r="R248" i="3" s="1"/>
  <c r="A249" i="3"/>
  <c r="S248" i="3"/>
  <c r="A250" i="3" l="1"/>
  <c r="P250" i="3"/>
  <c r="Q249" i="3"/>
  <c r="R249" i="3" s="1"/>
  <c r="S249" i="3"/>
  <c r="P251" i="3" l="1"/>
  <c r="Q250" i="3"/>
  <c r="R250" i="3" s="1"/>
  <c r="A251" i="3"/>
  <c r="S250" i="3"/>
  <c r="A252" i="3" l="1"/>
  <c r="Q251" i="3"/>
  <c r="R251" i="3" s="1"/>
  <c r="S251" i="3"/>
  <c r="P252" i="3"/>
  <c r="P253" i="3" l="1"/>
  <c r="A253" i="3"/>
  <c r="S252" i="3"/>
  <c r="Q252" i="3"/>
  <c r="R252" i="3" s="1"/>
  <c r="A254" i="3" l="1"/>
  <c r="S253" i="3"/>
  <c r="P254" i="3"/>
  <c r="Q253" i="3"/>
  <c r="R253" i="3" s="1"/>
  <c r="P255" i="3" l="1"/>
  <c r="S254" i="3"/>
  <c r="A255" i="3"/>
  <c r="Q254" i="3"/>
  <c r="R254" i="3" s="1"/>
  <c r="A256" i="3" l="1"/>
  <c r="S255" i="3"/>
  <c r="P256" i="3"/>
  <c r="Q255" i="3"/>
  <c r="R255" i="3" s="1"/>
  <c r="P257" i="3" l="1"/>
  <c r="Q256" i="3"/>
  <c r="R256" i="3" s="1"/>
  <c r="A257" i="3"/>
  <c r="S256" i="3"/>
  <c r="A258" i="3" l="1"/>
  <c r="P258" i="3"/>
  <c r="Q257" i="3"/>
  <c r="R257" i="3" s="1"/>
  <c r="S257" i="3"/>
  <c r="P259" i="3" l="1"/>
  <c r="A259" i="3"/>
  <c r="S258" i="3"/>
  <c r="Q258" i="3"/>
  <c r="R258" i="3" s="1"/>
  <c r="A260" i="3" l="1"/>
  <c r="P260" i="3"/>
  <c r="S259" i="3"/>
  <c r="Q259" i="3"/>
  <c r="R259" i="3" s="1"/>
  <c r="P261" i="3" l="1"/>
  <c r="A261" i="3"/>
  <c r="S260" i="3"/>
  <c r="Q260" i="3"/>
  <c r="R260" i="3" s="1"/>
  <c r="A262" i="3" l="1"/>
  <c r="S261" i="3"/>
  <c r="P262" i="3"/>
  <c r="Q261" i="3"/>
  <c r="R261" i="3" s="1"/>
  <c r="P263" i="3" l="1"/>
  <c r="S262" i="3"/>
  <c r="A263" i="3"/>
  <c r="Q262" i="3"/>
  <c r="R262" i="3" s="1"/>
  <c r="A264" i="3" l="1"/>
  <c r="P264" i="3"/>
  <c r="Q263" i="3"/>
  <c r="R263" i="3" s="1"/>
  <c r="S263" i="3"/>
  <c r="P265" i="3" l="1"/>
  <c r="Q264" i="3"/>
  <c r="R264" i="3" s="1"/>
  <c r="S264" i="3"/>
  <c r="A265" i="3"/>
  <c r="A266" i="3" l="1"/>
  <c r="P266" i="3"/>
  <c r="Q265" i="3"/>
  <c r="R265" i="3" s="1"/>
  <c r="S265" i="3"/>
  <c r="P267" i="3" l="1"/>
  <c r="S266" i="3"/>
  <c r="A267" i="3"/>
  <c r="Q266" i="3"/>
  <c r="R266" i="3" s="1"/>
  <c r="A268" i="3" l="1"/>
  <c r="P268" i="3"/>
  <c r="S267" i="3"/>
  <c r="Q267" i="3"/>
  <c r="R267" i="3" s="1"/>
  <c r="P269" i="3" l="1"/>
  <c r="A269" i="3"/>
  <c r="S268" i="3"/>
  <c r="Q268" i="3"/>
  <c r="R268" i="3" s="1"/>
  <c r="A270" i="3" l="1"/>
  <c r="S269" i="3"/>
  <c r="P270" i="3"/>
  <c r="Q269" i="3"/>
  <c r="R269" i="3" s="1"/>
  <c r="P271" i="3" l="1"/>
  <c r="S270" i="3"/>
  <c r="A271" i="3"/>
  <c r="Q270" i="3"/>
  <c r="R270" i="3" s="1"/>
  <c r="A272" i="3" l="1"/>
  <c r="P272" i="3"/>
  <c r="Q271" i="3"/>
  <c r="R271" i="3" s="1"/>
  <c r="S271" i="3"/>
  <c r="P273" i="3" l="1"/>
  <c r="Q272" i="3"/>
  <c r="R272" i="3" s="1"/>
  <c r="S272" i="3"/>
  <c r="A273" i="3"/>
  <c r="A274" i="3" l="1"/>
  <c r="P274" i="3"/>
  <c r="Q273" i="3"/>
  <c r="R273" i="3" s="1"/>
  <c r="S273" i="3"/>
  <c r="P275" i="3" l="1"/>
  <c r="S274" i="3"/>
  <c r="Q274" i="3"/>
  <c r="R274" i="3" s="1"/>
  <c r="A275" i="3"/>
  <c r="A276" i="3" l="1"/>
  <c r="P276" i="3"/>
  <c r="Q275" i="3"/>
  <c r="R275" i="3" s="1"/>
  <c r="S275" i="3"/>
  <c r="P277" i="3" l="1"/>
  <c r="A277" i="3"/>
  <c r="Q276" i="3"/>
  <c r="R276" i="3" s="1"/>
  <c r="S276" i="3"/>
  <c r="A278" i="3" l="1"/>
  <c r="S277" i="3"/>
  <c r="P278" i="3"/>
  <c r="Q277" i="3"/>
  <c r="R277" i="3" s="1"/>
  <c r="P279" i="3" l="1"/>
  <c r="S278" i="3"/>
  <c r="Q278" i="3"/>
  <c r="R278" i="3" s="1"/>
  <c r="A279" i="3"/>
  <c r="A280" i="3" l="1"/>
  <c r="S279" i="3"/>
  <c r="P280" i="3"/>
  <c r="Q279" i="3"/>
  <c r="R279" i="3" s="1"/>
  <c r="P281" i="3" l="1"/>
  <c r="Q280" i="3"/>
  <c r="R280" i="3" s="1"/>
  <c r="A281" i="3"/>
  <c r="S280" i="3"/>
  <c r="A282" i="3" l="1"/>
  <c r="P282" i="3"/>
  <c r="Q281" i="3"/>
  <c r="R281" i="3" s="1"/>
  <c r="S281" i="3"/>
  <c r="P283" i="3" l="1"/>
  <c r="A283" i="3"/>
  <c r="S282" i="3"/>
  <c r="Q282" i="3"/>
  <c r="R282" i="3" s="1"/>
  <c r="A284" i="3" l="1"/>
  <c r="S283" i="3"/>
  <c r="P284" i="3"/>
  <c r="Q283" i="3"/>
  <c r="R283" i="3" s="1"/>
  <c r="P285" i="3" l="1"/>
  <c r="A285" i="3"/>
  <c r="S284" i="3"/>
  <c r="Q284" i="3"/>
  <c r="R284" i="3" s="1"/>
  <c r="A286" i="3" l="1"/>
  <c r="S285" i="3"/>
  <c r="P286" i="3"/>
  <c r="Q285" i="3"/>
  <c r="R285" i="3" s="1"/>
  <c r="P287" i="3" l="1"/>
  <c r="S286" i="3"/>
  <c r="Q286" i="3"/>
  <c r="R286" i="3" s="1"/>
  <c r="A287" i="3"/>
  <c r="A288" i="3" l="1"/>
  <c r="S287" i="3"/>
  <c r="P288" i="3"/>
  <c r="Q287" i="3"/>
  <c r="R287" i="3" s="1"/>
  <c r="P289" i="3" l="1"/>
  <c r="Q288" i="3"/>
  <c r="R288" i="3" s="1"/>
  <c r="A289" i="3"/>
  <c r="S288" i="3"/>
  <c r="A290" i="3" l="1"/>
  <c r="P290" i="3"/>
  <c r="Q289" i="3"/>
  <c r="R289" i="3" s="1"/>
  <c r="S289" i="3"/>
  <c r="P291" i="3" l="1"/>
  <c r="Q290" i="3"/>
  <c r="R290" i="3" s="1"/>
  <c r="A291" i="3"/>
  <c r="S290" i="3"/>
  <c r="A292" i="3" l="1"/>
  <c r="P292" i="3"/>
  <c r="Q291" i="3"/>
  <c r="R291" i="3" s="1"/>
  <c r="S291" i="3"/>
  <c r="P293" i="3" l="1"/>
  <c r="A293" i="3"/>
  <c r="Q292" i="3"/>
  <c r="R292" i="3" s="1"/>
  <c r="S292" i="3"/>
  <c r="A294" i="3" l="1"/>
  <c r="S293" i="3"/>
  <c r="P294" i="3"/>
  <c r="Q293" i="3"/>
  <c r="R293" i="3" s="1"/>
  <c r="P295" i="3" l="1"/>
  <c r="S294" i="3"/>
  <c r="A295" i="3"/>
  <c r="Q294" i="3"/>
  <c r="R294" i="3" s="1"/>
  <c r="A296" i="3" l="1"/>
  <c r="P296" i="3"/>
  <c r="Q295" i="3"/>
  <c r="R295" i="3" s="1"/>
  <c r="S295" i="3"/>
  <c r="P297" i="3" l="1"/>
  <c r="Q296" i="3"/>
  <c r="R296" i="3" s="1"/>
  <c r="A297" i="3"/>
  <c r="S296" i="3"/>
  <c r="A298" i="3" l="1"/>
  <c r="P298" i="3"/>
  <c r="Q297" i="3"/>
  <c r="R297" i="3" s="1"/>
  <c r="S297" i="3"/>
  <c r="P299" i="3" l="1"/>
  <c r="A299" i="3"/>
  <c r="S298" i="3"/>
  <c r="Q298" i="3"/>
  <c r="R298" i="3" s="1"/>
  <c r="A300" i="3" l="1"/>
  <c r="S299" i="3"/>
  <c r="P300" i="3"/>
  <c r="Q299" i="3"/>
  <c r="R299" i="3" s="1"/>
  <c r="P301" i="3" l="1"/>
  <c r="A301" i="3"/>
  <c r="S300" i="3"/>
  <c r="Q300" i="3"/>
  <c r="R300" i="3" s="1"/>
  <c r="A302" i="3" l="1"/>
  <c r="S301" i="3"/>
  <c r="P302" i="3"/>
  <c r="Q301" i="3"/>
  <c r="R301" i="3" s="1"/>
  <c r="P303" i="3" l="1"/>
  <c r="S302" i="3"/>
  <c r="Q302" i="3"/>
  <c r="R302" i="3" s="1"/>
  <c r="A303" i="3"/>
  <c r="A304" i="3" l="1"/>
  <c r="S303" i="3"/>
  <c r="P304" i="3"/>
  <c r="Q303" i="3"/>
  <c r="R303" i="3" s="1"/>
  <c r="P305" i="3" l="1"/>
  <c r="Q304" i="3"/>
  <c r="R304" i="3" s="1"/>
  <c r="S304" i="3"/>
  <c r="A305" i="3"/>
  <c r="A306" i="3" l="1"/>
  <c r="P306" i="3"/>
  <c r="Q305" i="3"/>
  <c r="R305" i="3" s="1"/>
  <c r="S305" i="3"/>
  <c r="P307" i="3" l="1"/>
  <c r="A307" i="3"/>
  <c r="S306" i="3"/>
  <c r="Q306" i="3"/>
  <c r="R306" i="3" s="1"/>
  <c r="A308" i="3" l="1"/>
  <c r="S307" i="3"/>
  <c r="P308" i="3"/>
  <c r="Q307" i="3"/>
  <c r="R307" i="3" s="1"/>
  <c r="P309" i="3" l="1"/>
  <c r="A309" i="3"/>
  <c r="Q308" i="3"/>
  <c r="R308" i="3" s="1"/>
  <c r="S308" i="3"/>
  <c r="A310" i="3" l="1"/>
  <c r="S309" i="3"/>
  <c r="P310" i="3"/>
  <c r="Q309" i="3"/>
  <c r="R309" i="3" s="1"/>
  <c r="P311" i="3" l="1"/>
  <c r="S310" i="3"/>
  <c r="Q310" i="3"/>
  <c r="R310" i="3" s="1"/>
  <c r="A311" i="3"/>
  <c r="A312" i="3" l="1"/>
  <c r="P312" i="3"/>
  <c r="Q311" i="3"/>
  <c r="R311" i="3" s="1"/>
  <c r="S311" i="3"/>
  <c r="P313" i="3" l="1"/>
  <c r="Q312" i="3"/>
  <c r="R312" i="3" s="1"/>
  <c r="A313" i="3"/>
  <c r="S312" i="3"/>
  <c r="A314" i="3" l="1"/>
  <c r="P314" i="3"/>
  <c r="Q313" i="3"/>
  <c r="R313" i="3" s="1"/>
  <c r="S313" i="3"/>
  <c r="P315" i="3" l="1"/>
  <c r="Q314" i="3"/>
  <c r="R314" i="3" s="1"/>
  <c r="A315" i="3"/>
  <c r="S314" i="3"/>
  <c r="A316" i="3" l="1"/>
  <c r="P316" i="3"/>
  <c r="Q315" i="3"/>
  <c r="R315" i="3" s="1"/>
  <c r="S315" i="3"/>
  <c r="P317" i="3" l="1"/>
  <c r="A317" i="3"/>
  <c r="S316" i="3"/>
  <c r="Q316" i="3"/>
  <c r="R316" i="3" s="1"/>
  <c r="A318" i="3" l="1"/>
  <c r="S317" i="3"/>
  <c r="P318" i="3"/>
  <c r="Q317" i="3"/>
  <c r="R317" i="3" s="1"/>
  <c r="P319" i="3" l="1"/>
  <c r="S318" i="3"/>
  <c r="A319" i="3"/>
  <c r="Q318" i="3"/>
  <c r="R318" i="3" s="1"/>
  <c r="A320" i="3" l="1"/>
  <c r="P320" i="3"/>
  <c r="Q319" i="3"/>
  <c r="R319" i="3" s="1"/>
  <c r="S319" i="3"/>
  <c r="P321" i="3" l="1"/>
  <c r="Q320" i="3"/>
  <c r="R320" i="3" s="1"/>
  <c r="A321" i="3"/>
  <c r="S320" i="3"/>
  <c r="A322" i="3" l="1"/>
  <c r="P322" i="3"/>
  <c r="Q321" i="3"/>
  <c r="R321" i="3" s="1"/>
  <c r="S321" i="3"/>
  <c r="P323" i="3" l="1"/>
  <c r="A323" i="3"/>
  <c r="S322" i="3"/>
  <c r="Q322" i="3"/>
  <c r="R322" i="3" s="1"/>
  <c r="A324" i="3" l="1"/>
  <c r="S323" i="3"/>
  <c r="P324" i="3"/>
  <c r="Q323" i="3"/>
  <c r="R323" i="3" s="1"/>
  <c r="P325" i="3" l="1"/>
  <c r="A325" i="3"/>
  <c r="S324" i="3"/>
  <c r="Q324" i="3"/>
  <c r="R324" i="3" s="1"/>
  <c r="A326" i="3" l="1"/>
  <c r="S325" i="3"/>
  <c r="P326" i="3"/>
  <c r="Q325" i="3"/>
  <c r="R325" i="3" s="1"/>
  <c r="P327" i="3" l="1"/>
  <c r="S326" i="3"/>
  <c r="Q326" i="3"/>
  <c r="R326" i="3" s="1"/>
  <c r="A327" i="3"/>
  <c r="A328" i="3" l="1"/>
  <c r="P328" i="3"/>
  <c r="Q327" i="3"/>
  <c r="R327" i="3" s="1"/>
  <c r="S327" i="3"/>
  <c r="P329" i="3" l="1"/>
  <c r="Q328" i="3"/>
  <c r="R328" i="3" s="1"/>
  <c r="A329" i="3"/>
  <c r="S328" i="3"/>
  <c r="A330" i="3" l="1"/>
  <c r="P330" i="3"/>
  <c r="Q329" i="3"/>
  <c r="R329" i="3" s="1"/>
  <c r="S329" i="3"/>
  <c r="P331" i="3" l="1"/>
  <c r="S330" i="3"/>
  <c r="A331" i="3"/>
  <c r="Q330" i="3"/>
  <c r="R330" i="3" s="1"/>
  <c r="A332" i="3" l="1"/>
  <c r="S331" i="3"/>
  <c r="P332" i="3"/>
  <c r="Q331" i="3"/>
  <c r="R331" i="3" s="1"/>
  <c r="P333" i="3" l="1"/>
  <c r="A333" i="3"/>
  <c r="Q332" i="3"/>
  <c r="R332" i="3" s="1"/>
  <c r="S332" i="3"/>
  <c r="A334" i="3" l="1"/>
  <c r="S333" i="3"/>
  <c r="P334" i="3"/>
  <c r="Q333" i="3"/>
  <c r="R333" i="3" s="1"/>
  <c r="P335" i="3" l="1"/>
  <c r="S334" i="3"/>
  <c r="Q334" i="3"/>
  <c r="R334" i="3" s="1"/>
  <c r="A335" i="3"/>
  <c r="A336" i="3" l="1"/>
  <c r="S335" i="3"/>
  <c r="P336" i="3"/>
  <c r="Q335" i="3"/>
  <c r="R335" i="3" s="1"/>
  <c r="P337" i="3" l="1"/>
  <c r="Q336" i="3"/>
  <c r="R336" i="3" s="1"/>
  <c r="A337" i="3"/>
  <c r="S336" i="3"/>
  <c r="A338" i="3" l="1"/>
  <c r="P338" i="3"/>
  <c r="Q337" i="3"/>
  <c r="R337" i="3" s="1"/>
  <c r="S337" i="3"/>
  <c r="P339" i="3" l="1"/>
  <c r="S338" i="3"/>
  <c r="Q338" i="3"/>
  <c r="R338" i="3" s="1"/>
  <c r="A339" i="3"/>
  <c r="A340" i="3" l="1"/>
  <c r="P340" i="3"/>
  <c r="Q339" i="3"/>
  <c r="R339" i="3" s="1"/>
  <c r="S339" i="3"/>
  <c r="P341" i="3" l="1"/>
  <c r="A341" i="3"/>
  <c r="Q340" i="3"/>
  <c r="R340" i="3" s="1"/>
  <c r="S340" i="3"/>
  <c r="A342" i="3" l="1"/>
  <c r="S341" i="3"/>
  <c r="P342" i="3"/>
  <c r="Q341" i="3"/>
  <c r="R341" i="3" s="1"/>
  <c r="P343" i="3" l="1"/>
  <c r="S342" i="3"/>
  <c r="Q342" i="3"/>
  <c r="R342" i="3" s="1"/>
  <c r="A343" i="3"/>
  <c r="A344" i="3" l="1"/>
  <c r="P344" i="3"/>
  <c r="Q343" i="3"/>
  <c r="R343" i="3" s="1"/>
  <c r="S343" i="3"/>
  <c r="P345" i="3" l="1"/>
  <c r="Q344" i="3"/>
  <c r="R344" i="3" s="1"/>
  <c r="A345" i="3"/>
  <c r="S344" i="3"/>
  <c r="A346" i="3" l="1"/>
  <c r="P346" i="3"/>
  <c r="Q345" i="3"/>
  <c r="R345" i="3" s="1"/>
  <c r="S345" i="3"/>
  <c r="P347" i="3" l="1"/>
  <c r="A347" i="3"/>
  <c r="S346" i="3"/>
  <c r="Q346" i="3"/>
  <c r="R346" i="3" s="1"/>
  <c r="A348" i="3" l="1"/>
  <c r="S347" i="3"/>
  <c r="P348" i="3"/>
  <c r="Q347" i="3"/>
  <c r="R347" i="3" s="1"/>
  <c r="P349" i="3" l="1"/>
  <c r="A349" i="3"/>
  <c r="S348" i="3"/>
  <c r="Q348" i="3"/>
  <c r="R348" i="3" s="1"/>
  <c r="A350" i="3" l="1"/>
  <c r="S349" i="3"/>
  <c r="P350" i="3"/>
  <c r="Q349" i="3"/>
  <c r="R349" i="3" s="1"/>
  <c r="P351" i="3" l="1"/>
  <c r="S350" i="3"/>
  <c r="Q350" i="3"/>
  <c r="R350" i="3" s="1"/>
  <c r="A351" i="3"/>
  <c r="A352" i="3" l="1"/>
  <c r="P352" i="3"/>
  <c r="Q351" i="3"/>
  <c r="R351" i="3" s="1"/>
  <c r="S351" i="3"/>
  <c r="P353" i="3" l="1"/>
  <c r="Q352" i="3"/>
  <c r="R352" i="3" s="1"/>
  <c r="S352" i="3"/>
  <c r="A353" i="3"/>
  <c r="A354" i="3" l="1"/>
  <c r="P354" i="3"/>
  <c r="Q353" i="3"/>
  <c r="R353" i="3" s="1"/>
  <c r="S353" i="3"/>
  <c r="P355" i="3" l="1"/>
  <c r="A355" i="3"/>
  <c r="Q354" i="3"/>
  <c r="R354" i="3" s="1"/>
  <c r="S354" i="3"/>
  <c r="A356" i="3" l="1"/>
  <c r="S355" i="3"/>
  <c r="P356" i="3"/>
  <c r="Q355" i="3"/>
  <c r="R355" i="3" s="1"/>
  <c r="P357" i="3" l="1"/>
  <c r="A357" i="3"/>
  <c r="S356" i="3"/>
  <c r="Q356" i="3"/>
  <c r="R356" i="3" s="1"/>
  <c r="A358" i="3" l="1"/>
  <c r="S357" i="3"/>
  <c r="P358" i="3"/>
  <c r="Q357" i="3"/>
  <c r="R357" i="3" s="1"/>
  <c r="P359" i="3" l="1"/>
  <c r="S358" i="3"/>
  <c r="Q358" i="3"/>
  <c r="R358" i="3" s="1"/>
  <c r="A359" i="3"/>
  <c r="A360" i="3" l="1"/>
  <c r="P360" i="3"/>
  <c r="Q359" i="3"/>
  <c r="R359" i="3" s="1"/>
  <c r="S359" i="3"/>
  <c r="P361" i="3" l="1"/>
  <c r="Q360" i="3"/>
  <c r="R360" i="3" s="1"/>
  <c r="A361" i="3"/>
  <c r="S360" i="3"/>
  <c r="A362" i="3" l="1"/>
  <c r="P362" i="3"/>
  <c r="Q361" i="3"/>
  <c r="R361" i="3" s="1"/>
  <c r="S361" i="3"/>
  <c r="P363" i="3" l="1"/>
  <c r="A363" i="3"/>
  <c r="S362" i="3"/>
  <c r="Q362" i="3"/>
  <c r="R362" i="3" s="1"/>
  <c r="A364" i="3" l="1"/>
  <c r="S363" i="3"/>
  <c r="P364" i="3"/>
  <c r="Q363" i="3"/>
  <c r="R363" i="3" s="1"/>
  <c r="P365" i="3" l="1"/>
  <c r="A365" i="3"/>
  <c r="S364" i="3"/>
  <c r="Q364" i="3"/>
  <c r="R364" i="3" s="1"/>
  <c r="A366" i="3" l="1"/>
  <c r="S365" i="3"/>
  <c r="P366" i="3"/>
  <c r="Q365" i="3"/>
  <c r="R365" i="3" s="1"/>
  <c r="P367" i="3" l="1"/>
  <c r="S366" i="3"/>
  <c r="A367" i="3"/>
  <c r="Q366" i="3"/>
  <c r="R366" i="3" s="1"/>
  <c r="A368" i="3" l="1"/>
  <c r="P368" i="3"/>
  <c r="Q367" i="3"/>
  <c r="R367" i="3" s="1"/>
  <c r="S367" i="3"/>
  <c r="P369" i="3" l="1"/>
  <c r="Q368" i="3"/>
  <c r="R368" i="3" s="1"/>
  <c r="S368" i="3"/>
  <c r="A369" i="3"/>
  <c r="A370" i="3" l="1"/>
  <c r="P370" i="3"/>
  <c r="Q369" i="3"/>
  <c r="R369" i="3" s="1"/>
  <c r="S369" i="3"/>
  <c r="P371" i="3" l="1"/>
  <c r="Q370" i="3"/>
  <c r="R370" i="3" s="1"/>
  <c r="A371" i="3"/>
  <c r="S370" i="3"/>
  <c r="A372" i="3" l="1"/>
  <c r="P372" i="3"/>
  <c r="Q371" i="3"/>
  <c r="R371" i="3" s="1"/>
  <c r="S371" i="3"/>
  <c r="P373" i="3" l="1"/>
  <c r="A373" i="3"/>
  <c r="S372" i="3"/>
  <c r="Q372" i="3"/>
  <c r="R372" i="3" s="1"/>
  <c r="A374" i="3" l="1"/>
  <c r="S373" i="3"/>
  <c r="Q373" i="3"/>
  <c r="R373" i="3" s="1"/>
  <c r="P374" i="3"/>
  <c r="P375" i="3" l="1"/>
  <c r="S374" i="3"/>
  <c r="Q374" i="3"/>
  <c r="R374" i="3" s="1"/>
  <c r="A375" i="3"/>
  <c r="A376" i="3" l="1"/>
  <c r="P376" i="3"/>
  <c r="Q375" i="3"/>
  <c r="R375" i="3" s="1"/>
  <c r="S375" i="3"/>
  <c r="P377" i="3" l="1"/>
  <c r="Q376" i="3"/>
  <c r="R376" i="3" s="1"/>
  <c r="A377" i="3"/>
  <c r="S376" i="3"/>
  <c r="A378" i="3" l="1"/>
  <c r="P378" i="3"/>
  <c r="Q377" i="3"/>
  <c r="R377" i="3" s="1"/>
  <c r="S377" i="3"/>
  <c r="P379" i="3" l="1"/>
  <c r="A379" i="3"/>
  <c r="S378" i="3"/>
  <c r="Q378" i="3"/>
  <c r="R378" i="3" s="1"/>
  <c r="A380" i="3" l="1"/>
  <c r="S379" i="3"/>
  <c r="P380" i="3"/>
  <c r="Q379" i="3"/>
  <c r="R379" i="3" s="1"/>
  <c r="P381" i="3" l="1"/>
  <c r="A381" i="3"/>
  <c r="S380" i="3"/>
  <c r="Q380" i="3"/>
  <c r="R380" i="3" s="1"/>
  <c r="A382" i="3" l="1"/>
  <c r="S381" i="3"/>
  <c r="P382" i="3"/>
  <c r="Q381" i="3"/>
  <c r="R381" i="3" s="1"/>
  <c r="P383" i="3" l="1"/>
  <c r="S382" i="3"/>
  <c r="A383" i="3"/>
  <c r="Q382" i="3"/>
  <c r="R382" i="3" s="1"/>
  <c r="A384" i="3" l="1"/>
  <c r="P384" i="3"/>
  <c r="Q383" i="3"/>
  <c r="R383" i="3" s="1"/>
  <c r="S383" i="3"/>
  <c r="P385" i="3" l="1"/>
  <c r="Q384" i="3"/>
  <c r="R384" i="3" s="1"/>
  <c r="A385" i="3"/>
  <c r="S384" i="3"/>
  <c r="A386" i="3" l="1"/>
  <c r="P386" i="3"/>
  <c r="Q385" i="3"/>
  <c r="R385" i="3" s="1"/>
  <c r="S385" i="3"/>
  <c r="P387" i="3" l="1"/>
  <c r="A387" i="3"/>
  <c r="S386" i="3"/>
  <c r="Q386" i="3"/>
  <c r="R386" i="3" s="1"/>
  <c r="A388" i="3" l="1"/>
  <c r="S387" i="3"/>
  <c r="P388" i="3"/>
  <c r="Q387" i="3"/>
  <c r="R387" i="3" s="1"/>
  <c r="P389" i="3" l="1"/>
  <c r="A389" i="3"/>
  <c r="S388" i="3"/>
  <c r="Q388" i="3"/>
  <c r="R388" i="3" s="1"/>
  <c r="A390" i="3" l="1"/>
  <c r="S389" i="3"/>
  <c r="P390" i="3"/>
  <c r="Q389" i="3"/>
  <c r="R389" i="3" s="1"/>
  <c r="P391" i="3" l="1"/>
  <c r="S390" i="3"/>
  <c r="A391" i="3"/>
  <c r="Q390" i="3"/>
  <c r="R390" i="3" s="1"/>
  <c r="A392" i="3" l="1"/>
  <c r="S391" i="3"/>
  <c r="P392" i="3"/>
  <c r="Q391" i="3"/>
  <c r="R391" i="3" s="1"/>
  <c r="P393" i="3" l="1"/>
  <c r="Q392" i="3"/>
  <c r="R392" i="3" s="1"/>
  <c r="A393" i="3"/>
  <c r="S392" i="3"/>
  <c r="A394" i="3" l="1"/>
  <c r="P394" i="3"/>
  <c r="Q393" i="3"/>
  <c r="R393" i="3" s="1"/>
  <c r="S393" i="3"/>
  <c r="P395" i="3" l="1"/>
  <c r="S394" i="3"/>
  <c r="Q394" i="3"/>
  <c r="R394" i="3" s="1"/>
  <c r="A395" i="3"/>
  <c r="A396" i="3" l="1"/>
  <c r="P396" i="3"/>
  <c r="Q395" i="3"/>
  <c r="R395" i="3" s="1"/>
  <c r="S395" i="3"/>
  <c r="P397" i="3" l="1"/>
  <c r="A397" i="3"/>
  <c r="Q396" i="3"/>
  <c r="R396" i="3" s="1"/>
  <c r="S396" i="3"/>
  <c r="A398" i="3" l="1"/>
  <c r="S397" i="3"/>
  <c r="P398" i="3"/>
  <c r="Q397" i="3"/>
  <c r="R397" i="3" s="1"/>
  <c r="P399" i="3" l="1"/>
  <c r="S398" i="3"/>
  <c r="A399" i="3"/>
  <c r="Q398" i="3"/>
  <c r="R398" i="3" s="1"/>
  <c r="A400" i="3" l="1"/>
  <c r="S399" i="3"/>
  <c r="P400" i="3"/>
  <c r="Q399" i="3"/>
  <c r="R399" i="3" s="1"/>
  <c r="P401" i="3" l="1"/>
  <c r="Q400" i="3"/>
  <c r="R400" i="3" s="1"/>
  <c r="S400" i="3"/>
  <c r="A401" i="3"/>
  <c r="A402" i="3" l="1"/>
  <c r="P402" i="3"/>
  <c r="Q401" i="3"/>
  <c r="R401" i="3" s="1"/>
  <c r="S401" i="3"/>
  <c r="P403" i="3" l="1"/>
  <c r="Q402" i="3"/>
  <c r="R402" i="3" s="1"/>
  <c r="A403" i="3"/>
  <c r="S402" i="3"/>
  <c r="A404" i="3" l="1"/>
  <c r="P404" i="3"/>
  <c r="Q403" i="3"/>
  <c r="R403" i="3" s="1"/>
  <c r="S403" i="3"/>
  <c r="P405" i="3" l="1"/>
  <c r="A405" i="3"/>
  <c r="S404" i="3"/>
  <c r="Q404" i="3"/>
  <c r="R404" i="3" s="1"/>
  <c r="A406" i="3" l="1"/>
  <c r="S405" i="3"/>
  <c r="P406" i="3"/>
  <c r="Q405" i="3"/>
  <c r="R405" i="3" s="1"/>
  <c r="P407" i="3" l="1"/>
  <c r="S406" i="3"/>
  <c r="Q406" i="3"/>
  <c r="R406" i="3" s="1"/>
  <c r="A407" i="3"/>
  <c r="A408" i="3" l="1"/>
  <c r="S407" i="3"/>
  <c r="P408" i="3"/>
  <c r="Q407" i="3"/>
  <c r="R407" i="3" s="1"/>
  <c r="P409" i="3" l="1"/>
  <c r="Q408" i="3"/>
  <c r="R408" i="3" s="1"/>
  <c r="A409" i="3"/>
  <c r="S408" i="3"/>
  <c r="A410" i="3" l="1"/>
  <c r="P410" i="3"/>
  <c r="Q409" i="3"/>
  <c r="R409" i="3" s="1"/>
  <c r="S409" i="3"/>
  <c r="P411" i="3" l="1"/>
  <c r="S410" i="3"/>
  <c r="Q410" i="3"/>
  <c r="R410" i="3" s="1"/>
  <c r="A411" i="3"/>
  <c r="A412" i="3" l="1"/>
  <c r="P412" i="3"/>
  <c r="Q411" i="3"/>
  <c r="R411" i="3" s="1"/>
  <c r="S411" i="3"/>
  <c r="P413" i="3" l="1"/>
  <c r="A413" i="3"/>
  <c r="S412" i="3"/>
  <c r="Q412" i="3"/>
  <c r="R412" i="3" s="1"/>
  <c r="A414" i="3" l="1"/>
  <c r="S413" i="3"/>
  <c r="P414" i="3"/>
  <c r="Q413" i="3"/>
  <c r="R413" i="3" s="1"/>
  <c r="P415" i="3" l="1"/>
  <c r="S414" i="3"/>
  <c r="A415" i="3"/>
  <c r="Q414" i="3"/>
  <c r="R414" i="3" s="1"/>
  <c r="A416" i="3" l="1"/>
  <c r="P416" i="3"/>
  <c r="Q415" i="3"/>
  <c r="R415" i="3" s="1"/>
  <c r="S415" i="3"/>
  <c r="P417" i="3" l="1"/>
  <c r="Q416" i="3"/>
  <c r="R416" i="3" s="1"/>
  <c r="S416" i="3"/>
  <c r="A417" i="3"/>
  <c r="A418" i="3" l="1"/>
  <c r="P418" i="3"/>
  <c r="Q417" i="3"/>
  <c r="R417" i="3" s="1"/>
  <c r="S417" i="3"/>
  <c r="P419" i="3" l="1"/>
  <c r="Q418" i="3"/>
  <c r="R418" i="3" s="1"/>
  <c r="A419" i="3"/>
  <c r="S418" i="3"/>
  <c r="A420" i="3" l="1"/>
  <c r="S419" i="3"/>
  <c r="P420" i="3"/>
  <c r="Q419" i="3"/>
  <c r="R419" i="3" s="1"/>
  <c r="P421" i="3" l="1"/>
  <c r="A421" i="3"/>
  <c r="S420" i="3"/>
  <c r="Q420" i="3"/>
  <c r="R420" i="3" s="1"/>
  <c r="A422" i="3" l="1"/>
  <c r="S421" i="3"/>
  <c r="P422" i="3"/>
  <c r="Q421" i="3"/>
  <c r="R421" i="3" s="1"/>
  <c r="P423" i="3" l="1"/>
  <c r="S422" i="3"/>
  <c r="Q422" i="3"/>
  <c r="R422" i="3" s="1"/>
  <c r="A423" i="3"/>
  <c r="A424" i="3" l="1"/>
  <c r="P424" i="3"/>
  <c r="Q423" i="3"/>
  <c r="R423" i="3" s="1"/>
  <c r="S423" i="3"/>
  <c r="P425" i="3" l="1"/>
  <c r="Q424" i="3"/>
  <c r="R424" i="3" s="1"/>
  <c r="A425" i="3"/>
  <c r="S424" i="3"/>
  <c r="A426" i="3" l="1"/>
  <c r="P426" i="3"/>
  <c r="Q425" i="3"/>
  <c r="R425" i="3" s="1"/>
  <c r="S425" i="3"/>
  <c r="P427" i="3" l="1"/>
  <c r="A427" i="3"/>
  <c r="Q426" i="3"/>
  <c r="R426" i="3" s="1"/>
  <c r="S426" i="3"/>
  <c r="A428" i="3" l="1"/>
  <c r="P428" i="3"/>
  <c r="Q427" i="3"/>
  <c r="R427" i="3" s="1"/>
  <c r="S427" i="3"/>
  <c r="P429" i="3" l="1"/>
  <c r="A429" i="3"/>
  <c r="S428" i="3"/>
  <c r="Q428" i="3"/>
  <c r="R428" i="3" s="1"/>
  <c r="A430" i="3" l="1"/>
  <c r="S429" i="3"/>
  <c r="P430" i="3"/>
  <c r="Q429" i="3"/>
  <c r="R429" i="3" s="1"/>
  <c r="P431" i="3" l="1"/>
  <c r="S430" i="3"/>
  <c r="Q430" i="3"/>
  <c r="R430" i="3" s="1"/>
  <c r="A431" i="3"/>
  <c r="A432" i="3" l="1"/>
  <c r="P432" i="3"/>
  <c r="Q431" i="3"/>
  <c r="R431" i="3" s="1"/>
  <c r="S431" i="3"/>
  <c r="P433" i="3" l="1"/>
  <c r="Q432" i="3"/>
  <c r="R432" i="3" s="1"/>
  <c r="A433" i="3"/>
  <c r="S432" i="3"/>
  <c r="A434" i="3" l="1"/>
  <c r="P434" i="3"/>
  <c r="Q433" i="3"/>
  <c r="R433" i="3" s="1"/>
  <c r="S433" i="3"/>
  <c r="P435" i="3" l="1"/>
  <c r="A435" i="3"/>
  <c r="S434" i="3"/>
  <c r="Q434" i="3"/>
  <c r="R434" i="3" s="1"/>
  <c r="A436" i="3" l="1"/>
  <c r="P436" i="3"/>
  <c r="Q435" i="3"/>
  <c r="R435" i="3" s="1"/>
  <c r="S435" i="3"/>
  <c r="P437" i="3" l="1"/>
  <c r="A437" i="3"/>
  <c r="S436" i="3"/>
  <c r="Q436" i="3"/>
  <c r="R436" i="3" s="1"/>
  <c r="A438" i="3" l="1"/>
  <c r="S437" i="3"/>
  <c r="P438" i="3"/>
  <c r="Q437" i="3"/>
  <c r="R437" i="3" s="1"/>
  <c r="P439" i="3" l="1"/>
  <c r="S438" i="3"/>
  <c r="Q438" i="3"/>
  <c r="R438" i="3" s="1"/>
  <c r="A439" i="3"/>
  <c r="A440" i="3" l="1"/>
  <c r="S439" i="3"/>
  <c r="P440" i="3"/>
  <c r="Q439" i="3"/>
  <c r="R439" i="3" s="1"/>
  <c r="P441" i="3" l="1"/>
  <c r="Q440" i="3"/>
  <c r="R440" i="3" s="1"/>
  <c r="A441" i="3"/>
  <c r="S440" i="3"/>
  <c r="A442" i="3" l="1"/>
  <c r="P442" i="3"/>
  <c r="Q441" i="3"/>
  <c r="R441" i="3" s="1"/>
  <c r="S441" i="3"/>
  <c r="P443" i="3" l="1"/>
  <c r="A443" i="3"/>
  <c r="Q442" i="3"/>
  <c r="R442" i="3" s="1"/>
  <c r="S442" i="3"/>
  <c r="A444" i="3" l="1"/>
  <c r="S443" i="3"/>
  <c r="P444" i="3"/>
  <c r="Q443" i="3"/>
  <c r="R443" i="3" s="1"/>
  <c r="P445" i="3" l="1"/>
  <c r="A445" i="3"/>
  <c r="Q444" i="3"/>
  <c r="R444" i="3" s="1"/>
  <c r="S444" i="3"/>
  <c r="A446" i="3" l="1"/>
  <c r="S445" i="3"/>
  <c r="P446" i="3"/>
  <c r="Q445" i="3"/>
  <c r="R445" i="3" s="1"/>
  <c r="P447" i="3" l="1"/>
  <c r="S446" i="3"/>
  <c r="A447" i="3"/>
  <c r="Q446" i="3"/>
  <c r="R446" i="3" s="1"/>
  <c r="A448" i="3" l="1"/>
  <c r="P448" i="3"/>
  <c r="Q447" i="3"/>
  <c r="R447" i="3" s="1"/>
  <c r="S447" i="3"/>
  <c r="P449" i="3" l="1"/>
  <c r="Q448" i="3"/>
  <c r="R448" i="3" s="1"/>
  <c r="A449" i="3"/>
  <c r="S448" i="3"/>
  <c r="A450" i="3" l="1"/>
  <c r="P450" i="3"/>
  <c r="Q449" i="3"/>
  <c r="R449" i="3" s="1"/>
  <c r="S449" i="3"/>
  <c r="P451" i="3" l="1"/>
  <c r="A451" i="3"/>
  <c r="Q450" i="3"/>
  <c r="R450" i="3" s="1"/>
  <c r="S450" i="3"/>
  <c r="A452" i="3" l="1"/>
  <c r="S451" i="3"/>
  <c r="P452" i="3"/>
  <c r="Q451" i="3"/>
  <c r="R451" i="3" s="1"/>
  <c r="P453" i="3" l="1"/>
  <c r="A453" i="3"/>
  <c r="S452" i="3"/>
  <c r="Q452" i="3"/>
  <c r="R452" i="3" s="1"/>
  <c r="A454" i="3" l="1"/>
  <c r="S453" i="3"/>
  <c r="P454" i="3"/>
  <c r="Q453" i="3"/>
  <c r="R453" i="3" s="1"/>
  <c r="P455" i="3" l="1"/>
  <c r="S454" i="3"/>
  <c r="Q454" i="3"/>
  <c r="R454" i="3" s="1"/>
  <c r="A455" i="3"/>
  <c r="A456" i="3" l="1"/>
  <c r="S455" i="3"/>
  <c r="P456" i="3"/>
  <c r="Q455" i="3"/>
  <c r="R455" i="3" s="1"/>
  <c r="P457" i="3" l="1"/>
  <c r="Q456" i="3"/>
  <c r="R456" i="3" s="1"/>
  <c r="A457" i="3"/>
  <c r="S456" i="3"/>
  <c r="A458" i="3" l="1"/>
  <c r="P458" i="3"/>
  <c r="Q457" i="3"/>
  <c r="R457" i="3" s="1"/>
  <c r="S457" i="3"/>
  <c r="P459" i="3" l="1"/>
  <c r="A459" i="3"/>
  <c r="S458" i="3"/>
  <c r="Q458" i="3"/>
  <c r="R458" i="3" s="1"/>
  <c r="A460" i="3" l="1"/>
  <c r="P460" i="3"/>
  <c r="Q459" i="3"/>
  <c r="R459" i="3" s="1"/>
  <c r="S459" i="3"/>
  <c r="P461" i="3" l="1"/>
  <c r="A461" i="3"/>
  <c r="S460" i="3"/>
  <c r="Q460" i="3"/>
  <c r="R460" i="3" s="1"/>
  <c r="A462" i="3" l="1"/>
  <c r="S461" i="3"/>
  <c r="P462" i="3"/>
  <c r="Q461" i="3"/>
  <c r="R461" i="3" s="1"/>
  <c r="P463" i="3" l="1"/>
  <c r="S462" i="3"/>
  <c r="A463" i="3"/>
  <c r="Q462" i="3"/>
  <c r="R462" i="3" s="1"/>
  <c r="A464" i="3" l="1"/>
  <c r="P464" i="3"/>
  <c r="Q463" i="3"/>
  <c r="R463" i="3" s="1"/>
  <c r="S463" i="3"/>
  <c r="P465" i="3" l="1"/>
  <c r="Q464" i="3"/>
  <c r="R464" i="3" s="1"/>
  <c r="S464" i="3"/>
  <c r="A465" i="3"/>
  <c r="A466" i="3" l="1"/>
  <c r="P466" i="3"/>
  <c r="Q465" i="3"/>
  <c r="R465" i="3" s="1"/>
  <c r="S465" i="3"/>
  <c r="P467" i="3" l="1"/>
  <c r="S466" i="3"/>
  <c r="A467" i="3"/>
  <c r="Q466" i="3"/>
  <c r="R466" i="3" s="1"/>
  <c r="A468" i="3" l="1"/>
  <c r="S467" i="3"/>
  <c r="P468" i="3"/>
  <c r="Q467" i="3"/>
  <c r="R467" i="3" s="1"/>
  <c r="P469" i="3" l="1"/>
  <c r="A469" i="3"/>
  <c r="Q468" i="3"/>
  <c r="R468" i="3" s="1"/>
  <c r="S468" i="3"/>
  <c r="A470" i="3" l="1"/>
  <c r="S469" i="3"/>
  <c r="P470" i="3"/>
  <c r="Q469" i="3"/>
  <c r="R469" i="3" s="1"/>
  <c r="P471" i="3" l="1"/>
  <c r="S470" i="3"/>
  <c r="Q470" i="3"/>
  <c r="R470" i="3" s="1"/>
  <c r="A471" i="3"/>
  <c r="A472" i="3" l="1"/>
  <c r="P472" i="3"/>
  <c r="Q471" i="3"/>
  <c r="R471" i="3" s="1"/>
  <c r="S471" i="3"/>
  <c r="P473" i="3" l="1"/>
  <c r="Q472" i="3"/>
  <c r="R472" i="3" s="1"/>
  <c r="A473" i="3"/>
  <c r="S472" i="3"/>
  <c r="A474" i="3" l="1"/>
  <c r="P474" i="3"/>
  <c r="Q473" i="3"/>
  <c r="R473" i="3" s="1"/>
  <c r="S473" i="3"/>
  <c r="P475" i="3" l="1"/>
  <c r="A475" i="3"/>
  <c r="S474" i="3"/>
  <c r="Q474" i="3"/>
  <c r="R474" i="3" s="1"/>
  <c r="A476" i="3" l="1"/>
  <c r="S475" i="3"/>
  <c r="P476" i="3"/>
  <c r="Q475" i="3"/>
  <c r="R475" i="3" s="1"/>
  <c r="P477" i="3" l="1"/>
  <c r="A477" i="3"/>
  <c r="S476" i="3"/>
  <c r="Q476" i="3"/>
  <c r="R476" i="3" s="1"/>
  <c r="A478" i="3" l="1"/>
  <c r="S477" i="3"/>
  <c r="P478" i="3"/>
  <c r="Q477" i="3"/>
  <c r="R477" i="3" s="1"/>
  <c r="P479" i="3" l="1"/>
  <c r="S478" i="3"/>
  <c r="Q478" i="3"/>
  <c r="R478" i="3" s="1"/>
  <c r="A479" i="3"/>
  <c r="A480" i="3" l="1"/>
  <c r="P480" i="3"/>
  <c r="Q479" i="3"/>
  <c r="R479" i="3" s="1"/>
  <c r="S479" i="3"/>
  <c r="S480" i="3" l="1"/>
  <c r="P481" i="3"/>
  <c r="Q480" i="3"/>
  <c r="R480" i="3" s="1"/>
  <c r="A481" i="3"/>
  <c r="Q481" i="3" l="1"/>
  <c r="R481" i="3" s="1"/>
  <c r="A482" i="3"/>
  <c r="S481" i="3"/>
  <c r="P482" i="3"/>
  <c r="S482" i="3" l="1"/>
  <c r="P483" i="3"/>
  <c r="A483" i="3"/>
  <c r="Q482" i="3"/>
  <c r="R482" i="3" s="1"/>
  <c r="Q483" i="3" l="1"/>
  <c r="R483" i="3" s="1"/>
  <c r="A484" i="3"/>
  <c r="S483" i="3"/>
  <c r="P484" i="3"/>
  <c r="S484" i="3" l="1"/>
  <c r="P485" i="3"/>
  <c r="Q484" i="3"/>
  <c r="R484" i="3" s="1"/>
  <c r="A485" i="3"/>
  <c r="Q485" i="3" l="1"/>
  <c r="R485" i="3" s="1"/>
  <c r="A486" i="3"/>
  <c r="P486" i="3"/>
  <c r="S485" i="3"/>
  <c r="S486" i="3" l="1"/>
  <c r="P487" i="3"/>
  <c r="A487" i="3"/>
  <c r="Q486" i="3"/>
  <c r="R486" i="3" s="1"/>
  <c r="Q487" i="3" l="1"/>
  <c r="R487" i="3" s="1"/>
  <c r="A488" i="3"/>
  <c r="P488" i="3"/>
  <c r="S487" i="3"/>
  <c r="S488" i="3" l="1"/>
  <c r="P489" i="3"/>
  <c r="Q488" i="3"/>
  <c r="R488" i="3" s="1"/>
  <c r="A489" i="3"/>
  <c r="Q489" i="3" l="1"/>
  <c r="R489" i="3" s="1"/>
  <c r="A490" i="3"/>
  <c r="S489" i="3"/>
  <c r="P490" i="3"/>
  <c r="S490" i="3" l="1"/>
  <c r="P491" i="3"/>
  <c r="A491" i="3"/>
  <c r="Q490" i="3"/>
  <c r="R490" i="3" s="1"/>
  <c r="Q491" i="3" l="1"/>
  <c r="R491" i="3" s="1"/>
  <c r="A492" i="3"/>
  <c r="S491" i="3"/>
  <c r="P492" i="3"/>
  <c r="S492" i="3" l="1"/>
  <c r="P493" i="3"/>
  <c r="Q492" i="3"/>
  <c r="R492" i="3" s="1"/>
  <c r="A493" i="3"/>
  <c r="Q493" i="3" l="1"/>
  <c r="R493" i="3" s="1"/>
  <c r="A494" i="3"/>
  <c r="P494" i="3"/>
  <c r="S493" i="3"/>
  <c r="S494" i="3" l="1"/>
  <c r="P495" i="3"/>
  <c r="A495" i="3"/>
  <c r="Q494" i="3"/>
  <c r="R494" i="3" s="1"/>
  <c r="Q495" i="3" l="1"/>
  <c r="R495" i="3" s="1"/>
  <c r="A496" i="3"/>
  <c r="P496" i="3"/>
  <c r="S495" i="3"/>
  <c r="S496" i="3" l="1"/>
  <c r="P497" i="3"/>
  <c r="Q496" i="3"/>
  <c r="R496" i="3" s="1"/>
  <c r="A497" i="3"/>
  <c r="Q497" i="3" l="1"/>
  <c r="R497" i="3" s="1"/>
  <c r="A498" i="3"/>
  <c r="S497" i="3"/>
  <c r="P498" i="3"/>
  <c r="S498" i="3" l="1"/>
  <c r="P499" i="3"/>
  <c r="A499" i="3"/>
  <c r="Q498" i="3"/>
  <c r="R498" i="3" s="1"/>
  <c r="Q499" i="3" l="1"/>
  <c r="R499" i="3" s="1"/>
  <c r="A500" i="3"/>
  <c r="S499" i="3"/>
  <c r="P500" i="3"/>
  <c r="S500" i="3" l="1"/>
  <c r="P501" i="3"/>
  <c r="A501" i="3"/>
  <c r="Q500" i="3"/>
  <c r="R500" i="3" s="1"/>
  <c r="Q501" i="3" l="1"/>
  <c r="R501" i="3" s="1"/>
  <c r="A502" i="3"/>
  <c r="P502" i="3"/>
  <c r="S501" i="3"/>
  <c r="S502" i="3" l="1"/>
  <c r="P503" i="3"/>
  <c r="Q502" i="3"/>
  <c r="R502" i="3" s="1"/>
  <c r="A503" i="3"/>
  <c r="Q503" i="3" l="1"/>
  <c r="R503" i="3" s="1"/>
  <c r="A504" i="3"/>
  <c r="P504" i="3"/>
  <c r="S503" i="3"/>
  <c r="S504" i="3" l="1"/>
  <c r="P505" i="3"/>
  <c r="Q504" i="3"/>
  <c r="R504" i="3" s="1"/>
  <c r="A505" i="3"/>
  <c r="Q505" i="3" l="1"/>
  <c r="R505" i="3" s="1"/>
  <c r="A506" i="3"/>
  <c r="S505" i="3"/>
  <c r="P506" i="3"/>
  <c r="S506" i="3" l="1"/>
  <c r="P507" i="3"/>
  <c r="A507" i="3"/>
  <c r="Q506" i="3"/>
  <c r="R506" i="3" s="1"/>
  <c r="Q507" i="3" l="1"/>
  <c r="R507" i="3" s="1"/>
  <c r="A508" i="3"/>
  <c r="S507" i="3"/>
  <c r="P508" i="3"/>
  <c r="S508" i="3" l="1"/>
  <c r="P509" i="3"/>
  <c r="A509" i="3"/>
  <c r="Q508" i="3"/>
  <c r="R508" i="3" s="1"/>
  <c r="Q509" i="3" l="1"/>
  <c r="R509" i="3" s="1"/>
  <c r="A510" i="3"/>
  <c r="P510" i="3"/>
  <c r="S509" i="3"/>
  <c r="S510" i="3" l="1"/>
  <c r="P511" i="3"/>
  <c r="A511" i="3"/>
  <c r="Q510" i="3"/>
  <c r="R510" i="3" s="1"/>
  <c r="Q511" i="3" l="1"/>
  <c r="R511" i="3" s="1"/>
  <c r="A512" i="3"/>
  <c r="P512" i="3"/>
  <c r="S511" i="3"/>
  <c r="S512" i="3" l="1"/>
  <c r="P513" i="3"/>
  <c r="Q512" i="3"/>
  <c r="R512" i="3" s="1"/>
  <c r="A513" i="3"/>
  <c r="Q513" i="3" l="1"/>
  <c r="R513" i="3" s="1"/>
  <c r="A514" i="3"/>
  <c r="S513" i="3"/>
  <c r="P514" i="3"/>
  <c r="S514" i="3" l="1"/>
  <c r="P515" i="3"/>
  <c r="A515" i="3"/>
  <c r="Q514" i="3"/>
  <c r="R514" i="3" s="1"/>
  <c r="Q515" i="3" l="1"/>
  <c r="R515" i="3" s="1"/>
  <c r="A516" i="3"/>
  <c r="S515" i="3"/>
  <c r="P516" i="3"/>
  <c r="S516" i="3" l="1"/>
  <c r="P517" i="3"/>
  <c r="A517" i="3"/>
  <c r="Q516" i="3"/>
  <c r="R516" i="3" s="1"/>
  <c r="Q517" i="3" l="1"/>
  <c r="R517" i="3" s="1"/>
  <c r="A518" i="3"/>
  <c r="P518" i="3"/>
  <c r="S517" i="3"/>
  <c r="S518" i="3" l="1"/>
  <c r="P519" i="3"/>
  <c r="A519" i="3"/>
  <c r="Q518" i="3"/>
  <c r="R518" i="3" s="1"/>
  <c r="Q519" i="3" l="1"/>
  <c r="R519" i="3" s="1"/>
  <c r="A520" i="3"/>
  <c r="P520" i="3"/>
  <c r="S519" i="3"/>
  <c r="S520" i="3" l="1"/>
  <c r="P521" i="3"/>
  <c r="Q520" i="3"/>
  <c r="R520" i="3" s="1"/>
  <c r="A521" i="3"/>
  <c r="Q521" i="3" l="1"/>
  <c r="R521" i="3" s="1"/>
  <c r="A522" i="3"/>
  <c r="S521" i="3"/>
  <c r="P522" i="3"/>
  <c r="S522" i="3" l="1"/>
  <c r="P523" i="3"/>
  <c r="A523" i="3"/>
  <c r="Q522" i="3"/>
  <c r="R522" i="3" s="1"/>
  <c r="Q523" i="3" l="1"/>
  <c r="R523" i="3" s="1"/>
  <c r="A524" i="3"/>
  <c r="S523" i="3"/>
  <c r="P524" i="3"/>
  <c r="S524" i="3" l="1"/>
  <c r="P525" i="3"/>
  <c r="Q524" i="3"/>
  <c r="R524" i="3" s="1"/>
  <c r="A525" i="3"/>
  <c r="Q525" i="3" l="1"/>
  <c r="R525" i="3" s="1"/>
  <c r="A526" i="3"/>
  <c r="P526" i="3"/>
  <c r="S525" i="3"/>
  <c r="S526" i="3" l="1"/>
  <c r="P527" i="3"/>
  <c r="A527" i="3"/>
  <c r="Q526" i="3"/>
  <c r="R526" i="3" s="1"/>
  <c r="Q527" i="3" l="1"/>
  <c r="R527" i="3" s="1"/>
  <c r="A528" i="3"/>
  <c r="P528" i="3"/>
  <c r="S527" i="3"/>
  <c r="S528" i="3" l="1"/>
  <c r="P529" i="3"/>
  <c r="Q528" i="3"/>
  <c r="R528" i="3" s="1"/>
  <c r="A529" i="3"/>
  <c r="Q529" i="3" l="1"/>
  <c r="R529" i="3" s="1"/>
  <c r="A530" i="3"/>
  <c r="S529" i="3"/>
  <c r="P530" i="3"/>
  <c r="S530" i="3" l="1"/>
  <c r="P531" i="3"/>
  <c r="A531" i="3"/>
  <c r="Q530" i="3"/>
  <c r="R530" i="3" s="1"/>
  <c r="Q531" i="3" l="1"/>
  <c r="R531" i="3" s="1"/>
  <c r="A532" i="3"/>
  <c r="S531" i="3"/>
  <c r="P532" i="3"/>
  <c r="S532" i="3" l="1"/>
  <c r="P533" i="3"/>
  <c r="Q532" i="3"/>
  <c r="R532" i="3" s="1"/>
  <c r="A533" i="3"/>
  <c r="Q533" i="3" l="1"/>
  <c r="R533" i="3" s="1"/>
  <c r="A534" i="3"/>
  <c r="S533" i="3"/>
  <c r="P534" i="3"/>
  <c r="S534" i="3" l="1"/>
  <c r="P535" i="3"/>
  <c r="Q534" i="3"/>
  <c r="R534" i="3" s="1"/>
  <c r="A535" i="3"/>
  <c r="Q535" i="3" l="1"/>
  <c r="R535" i="3" s="1"/>
  <c r="A536" i="3"/>
  <c r="S535" i="3"/>
  <c r="P536" i="3"/>
  <c r="S536" i="3" l="1"/>
  <c r="P537" i="3"/>
  <c r="Q536" i="3"/>
  <c r="R536" i="3" s="1"/>
  <c r="A537" i="3"/>
  <c r="Q537" i="3" l="1"/>
  <c r="R537" i="3" s="1"/>
  <c r="A538" i="3"/>
  <c r="S537" i="3"/>
  <c r="P538" i="3"/>
  <c r="S538" i="3" l="1"/>
  <c r="P539" i="3"/>
  <c r="Q538" i="3"/>
  <c r="R538" i="3" s="1"/>
  <c r="A539" i="3"/>
  <c r="Q539" i="3" l="1"/>
  <c r="R539" i="3" s="1"/>
  <c r="A540" i="3"/>
  <c r="S539" i="3"/>
  <c r="P540" i="3"/>
  <c r="S540" i="3" l="1"/>
  <c r="P541" i="3"/>
  <c r="Q540" i="3"/>
  <c r="R540" i="3" s="1"/>
  <c r="A541" i="3"/>
  <c r="Q541" i="3" l="1"/>
  <c r="R541" i="3" s="1"/>
  <c r="A542" i="3"/>
  <c r="S541" i="3"/>
  <c r="P542" i="3"/>
  <c r="S542" i="3" l="1"/>
  <c r="P543" i="3"/>
  <c r="Q542" i="3"/>
  <c r="R542" i="3" s="1"/>
  <c r="A543" i="3"/>
  <c r="Q543" i="3" l="1"/>
  <c r="R543" i="3" s="1"/>
  <c r="A544" i="3"/>
  <c r="S543" i="3"/>
  <c r="P544" i="3"/>
  <c r="S544" i="3" l="1"/>
  <c r="P545" i="3"/>
  <c r="Q544" i="3"/>
  <c r="R544" i="3" s="1"/>
  <c r="A545" i="3"/>
  <c r="Q545" i="3" l="1"/>
  <c r="R545" i="3" s="1"/>
  <c r="A546" i="3"/>
  <c r="S545" i="3"/>
  <c r="P546" i="3"/>
  <c r="S546" i="3" l="1"/>
  <c r="P547" i="3"/>
  <c r="Q546" i="3"/>
  <c r="R546" i="3" s="1"/>
  <c r="A547" i="3"/>
  <c r="Q547" i="3" l="1"/>
  <c r="R547" i="3" s="1"/>
  <c r="A548" i="3"/>
  <c r="S547" i="3"/>
  <c r="P548" i="3"/>
  <c r="S548" i="3" l="1"/>
  <c r="P549" i="3"/>
  <c r="Q548" i="3"/>
  <c r="R548" i="3" s="1"/>
  <c r="A549" i="3"/>
  <c r="Q549" i="3" l="1"/>
  <c r="R549" i="3" s="1"/>
  <c r="A550" i="3"/>
  <c r="S549" i="3"/>
  <c r="P550" i="3"/>
  <c r="S550" i="3" l="1"/>
  <c r="P551" i="3"/>
  <c r="Q550" i="3"/>
  <c r="R550" i="3" s="1"/>
  <c r="A551" i="3"/>
  <c r="Q551" i="3" l="1"/>
  <c r="R551" i="3" s="1"/>
  <c r="A552" i="3"/>
  <c r="S551" i="3"/>
  <c r="P552" i="3"/>
  <c r="S552" i="3" l="1"/>
  <c r="P553" i="3"/>
  <c r="Q552" i="3"/>
  <c r="R552" i="3" s="1"/>
  <c r="A553" i="3"/>
  <c r="Q553" i="3" l="1"/>
  <c r="R553" i="3" s="1"/>
  <c r="A554" i="3"/>
  <c r="S553" i="3"/>
  <c r="P554" i="3"/>
  <c r="S554" i="3" l="1"/>
  <c r="P555" i="3"/>
  <c r="Q554" i="3"/>
  <c r="R554" i="3" s="1"/>
  <c r="A555" i="3"/>
  <c r="Q555" i="3" l="1"/>
  <c r="R555" i="3" s="1"/>
  <c r="A556" i="3"/>
  <c r="S555" i="3"/>
  <c r="P556" i="3"/>
  <c r="S556" i="3" l="1"/>
  <c r="P557" i="3"/>
  <c r="Q556" i="3"/>
  <c r="R556" i="3" s="1"/>
  <c r="A557" i="3"/>
  <c r="Q557" i="3" l="1"/>
  <c r="R557" i="3" s="1"/>
  <c r="A558" i="3"/>
  <c r="S557" i="3"/>
  <c r="P558" i="3"/>
  <c r="S558" i="3" l="1"/>
  <c r="P559" i="3"/>
  <c r="Q558" i="3"/>
  <c r="R558" i="3" s="1"/>
  <c r="A559" i="3"/>
  <c r="Q559" i="3" l="1"/>
  <c r="R559" i="3" s="1"/>
  <c r="A560" i="3"/>
  <c r="S559" i="3"/>
  <c r="P560" i="3"/>
  <c r="S560" i="3" l="1"/>
  <c r="P561" i="3"/>
  <c r="Q560" i="3"/>
  <c r="R560" i="3" s="1"/>
  <c r="A561" i="3"/>
  <c r="Q561" i="3" l="1"/>
  <c r="R561" i="3" s="1"/>
  <c r="A562" i="3"/>
  <c r="S561" i="3"/>
  <c r="P562" i="3"/>
  <c r="S562" i="3" l="1"/>
  <c r="P563" i="3"/>
  <c r="Q562" i="3"/>
  <c r="R562" i="3" s="1"/>
  <c r="A563" i="3"/>
  <c r="Q563" i="3" l="1"/>
  <c r="R563" i="3" s="1"/>
  <c r="A564" i="3"/>
  <c r="S563" i="3"/>
  <c r="P564" i="3"/>
  <c r="S564" i="3" l="1"/>
  <c r="P565" i="3"/>
  <c r="Q564" i="3"/>
  <c r="R564" i="3" s="1"/>
  <c r="A565" i="3"/>
  <c r="Q565" i="3" l="1"/>
  <c r="R565" i="3" s="1"/>
  <c r="A566" i="3"/>
  <c r="S565" i="3"/>
  <c r="P566" i="3"/>
  <c r="S566" i="3" l="1"/>
  <c r="P567" i="3"/>
  <c r="Q566" i="3"/>
  <c r="R566" i="3" s="1"/>
  <c r="A567" i="3"/>
  <c r="Q567" i="3" l="1"/>
  <c r="R567" i="3" s="1"/>
  <c r="A568" i="3"/>
  <c r="S567" i="3"/>
  <c r="P568" i="3"/>
  <c r="S568" i="3" l="1"/>
  <c r="P569" i="3"/>
  <c r="Q568" i="3"/>
  <c r="R568" i="3" s="1"/>
  <c r="A569" i="3"/>
  <c r="Q569" i="3" l="1"/>
  <c r="R569" i="3" s="1"/>
  <c r="A570" i="3"/>
  <c r="S569" i="3"/>
  <c r="P570" i="3"/>
  <c r="S570" i="3" l="1"/>
  <c r="P571" i="3"/>
  <c r="Q570" i="3"/>
  <c r="R570" i="3" s="1"/>
  <c r="A571" i="3"/>
  <c r="Q571" i="3" l="1"/>
  <c r="R571" i="3" s="1"/>
  <c r="A572" i="3"/>
  <c r="S571" i="3"/>
  <c r="P572" i="3"/>
  <c r="S572" i="3" l="1"/>
  <c r="P573" i="3"/>
  <c r="Q572" i="3"/>
  <c r="R572" i="3" s="1"/>
  <c r="A573" i="3"/>
  <c r="Q573" i="3" l="1"/>
  <c r="R573" i="3" s="1"/>
  <c r="A574" i="3"/>
  <c r="S573" i="3"/>
  <c r="P574" i="3"/>
  <c r="S574" i="3" l="1"/>
  <c r="P575" i="3"/>
  <c r="Q574" i="3"/>
  <c r="R574" i="3" s="1"/>
  <c r="A575" i="3"/>
  <c r="Q575" i="3" l="1"/>
  <c r="R575" i="3" s="1"/>
  <c r="A576" i="3"/>
  <c r="S575" i="3"/>
  <c r="P576" i="3"/>
  <c r="S576" i="3" l="1"/>
  <c r="P577" i="3"/>
  <c r="Q576" i="3"/>
  <c r="R576" i="3" s="1"/>
  <c r="A577" i="3"/>
  <c r="Q577" i="3" l="1"/>
  <c r="R577" i="3" s="1"/>
  <c r="A578" i="3"/>
  <c r="S577" i="3"/>
  <c r="P578" i="3"/>
  <c r="S578" i="3" l="1"/>
  <c r="P579" i="3"/>
  <c r="Q578" i="3"/>
  <c r="R578" i="3" s="1"/>
  <c r="A579" i="3"/>
  <c r="Q579" i="3" l="1"/>
  <c r="R579" i="3" s="1"/>
  <c r="A580" i="3"/>
  <c r="S579" i="3"/>
  <c r="P580" i="3"/>
  <c r="S580" i="3" l="1"/>
  <c r="P581" i="3"/>
  <c r="Q580" i="3"/>
  <c r="R580" i="3" s="1"/>
  <c r="A581" i="3"/>
  <c r="Q581" i="3" l="1"/>
  <c r="R581" i="3" s="1"/>
  <c r="A582" i="3"/>
  <c r="S581" i="3"/>
  <c r="P582" i="3"/>
  <c r="S582" i="3" l="1"/>
  <c r="P583" i="3"/>
  <c r="Q582" i="3"/>
  <c r="R582" i="3" s="1"/>
  <c r="A583" i="3"/>
  <c r="Q583" i="3" l="1"/>
  <c r="R583" i="3" s="1"/>
  <c r="A584" i="3"/>
  <c r="S583" i="3"/>
  <c r="P584" i="3"/>
  <c r="S584" i="3" l="1"/>
  <c r="P585" i="3"/>
  <c r="Q584" i="3"/>
  <c r="R584" i="3" s="1"/>
  <c r="A585" i="3"/>
  <c r="Q585" i="3" l="1"/>
  <c r="R585" i="3" s="1"/>
  <c r="A586" i="3"/>
  <c r="S585" i="3"/>
  <c r="P586" i="3"/>
  <c r="S586" i="3" l="1"/>
  <c r="P587" i="3"/>
  <c r="Q586" i="3"/>
  <c r="R586" i="3" s="1"/>
  <c r="A587" i="3"/>
  <c r="Q587" i="3" l="1"/>
  <c r="R587" i="3" s="1"/>
  <c r="A588" i="3"/>
  <c r="S587" i="3"/>
  <c r="P588" i="3"/>
  <c r="S588" i="3" l="1"/>
  <c r="P589" i="3"/>
  <c r="Q588" i="3"/>
  <c r="R588" i="3" s="1"/>
  <c r="A589" i="3"/>
  <c r="Q589" i="3" l="1"/>
  <c r="R589" i="3" s="1"/>
  <c r="A590" i="3"/>
  <c r="S589" i="3"/>
  <c r="P590" i="3"/>
  <c r="S590" i="3" l="1"/>
  <c r="P591" i="3"/>
  <c r="Q590" i="3"/>
  <c r="R590" i="3" s="1"/>
  <c r="A591" i="3"/>
  <c r="Q591" i="3" l="1"/>
  <c r="R591" i="3" s="1"/>
  <c r="A592" i="3"/>
  <c r="S591" i="3"/>
  <c r="P592" i="3"/>
  <c r="S592" i="3" l="1"/>
  <c r="P593" i="3"/>
  <c r="Q592" i="3"/>
  <c r="R592" i="3" s="1"/>
  <c r="A593" i="3"/>
  <c r="Q593" i="3" l="1"/>
  <c r="R593" i="3" s="1"/>
  <c r="A594" i="3"/>
  <c r="S593" i="3"/>
  <c r="P594" i="3"/>
  <c r="S594" i="3" l="1"/>
  <c r="P595" i="3"/>
  <c r="Q594" i="3"/>
  <c r="R594" i="3" s="1"/>
  <c r="A595" i="3"/>
  <c r="Q595" i="3" l="1"/>
  <c r="R595" i="3" s="1"/>
  <c r="A596" i="3"/>
  <c r="S595" i="3"/>
  <c r="P596" i="3"/>
  <c r="S596" i="3" l="1"/>
  <c r="P597" i="3"/>
  <c r="Q596" i="3"/>
  <c r="R596" i="3" s="1"/>
  <c r="A597" i="3"/>
  <c r="Q597" i="3" l="1"/>
  <c r="R597" i="3" s="1"/>
  <c r="A598" i="3"/>
  <c r="S597" i="3"/>
  <c r="P598" i="3"/>
  <c r="S598" i="3" l="1"/>
  <c r="P599" i="3"/>
  <c r="Q598" i="3"/>
  <c r="R598" i="3" s="1"/>
  <c r="A599" i="3"/>
  <c r="Q599" i="3" l="1"/>
  <c r="R599" i="3" s="1"/>
  <c r="A600" i="3"/>
  <c r="S599" i="3"/>
  <c r="P600" i="3"/>
  <c r="S600" i="3" l="1"/>
  <c r="P601" i="3"/>
  <c r="Q600" i="3"/>
  <c r="R600" i="3" s="1"/>
  <c r="A601" i="3"/>
  <c r="Q601" i="3" l="1"/>
  <c r="R601" i="3" s="1"/>
  <c r="A602" i="3"/>
  <c r="S601" i="3"/>
  <c r="P602" i="3"/>
  <c r="S602" i="3" l="1"/>
  <c r="P603" i="3"/>
  <c r="Q602" i="3"/>
  <c r="R602" i="3" s="1"/>
  <c r="A603" i="3"/>
  <c r="Q603" i="3" l="1"/>
  <c r="R603" i="3" s="1"/>
  <c r="A604" i="3"/>
  <c r="S603" i="3"/>
  <c r="P604" i="3"/>
  <c r="S604" i="3" l="1"/>
  <c r="P605" i="3"/>
  <c r="Q604" i="3"/>
  <c r="R604" i="3" s="1"/>
  <c r="A605" i="3"/>
  <c r="Q605" i="3" l="1"/>
  <c r="R605" i="3" s="1"/>
  <c r="A606" i="3"/>
  <c r="S605" i="3"/>
  <c r="P606" i="3"/>
  <c r="S606" i="3" l="1"/>
  <c r="P607" i="3"/>
  <c r="Q606" i="3"/>
  <c r="R606" i="3" s="1"/>
  <c r="A607" i="3"/>
  <c r="Q607" i="3" l="1"/>
  <c r="R607" i="3" s="1"/>
  <c r="A608" i="3"/>
  <c r="S607" i="3"/>
  <c r="P608" i="3"/>
  <c r="S608" i="3" l="1"/>
  <c r="P609" i="3"/>
  <c r="Q608" i="3"/>
  <c r="R608" i="3" s="1"/>
  <c r="A609" i="3"/>
  <c r="Q609" i="3" l="1"/>
  <c r="R609" i="3" s="1"/>
  <c r="A610" i="3"/>
  <c r="S609" i="3"/>
  <c r="P610" i="3"/>
  <c r="S610" i="3" l="1"/>
  <c r="P611" i="3"/>
  <c r="Q610" i="3"/>
  <c r="R610" i="3" s="1"/>
  <c r="A611" i="3"/>
  <c r="Q611" i="3" l="1"/>
  <c r="R611" i="3" s="1"/>
  <c r="A612" i="3"/>
  <c r="S611" i="3"/>
  <c r="P612" i="3"/>
  <c r="S612" i="3" l="1"/>
  <c r="P613" i="3"/>
  <c r="Q612" i="3"/>
  <c r="R612" i="3" s="1"/>
  <c r="A613" i="3"/>
  <c r="Q613" i="3" l="1"/>
  <c r="R613" i="3" s="1"/>
  <c r="A614" i="3"/>
  <c r="S613" i="3"/>
  <c r="P614" i="3"/>
  <c r="S614" i="3" l="1"/>
  <c r="P615" i="3"/>
  <c r="Q614" i="3"/>
  <c r="R614" i="3" s="1"/>
  <c r="A615" i="3"/>
  <c r="Q615" i="3" l="1"/>
  <c r="R615" i="3" s="1"/>
  <c r="A616" i="3"/>
  <c r="S615" i="3"/>
  <c r="P616" i="3"/>
  <c r="S616" i="3" l="1"/>
  <c r="P617" i="3"/>
  <c r="Q616" i="3"/>
  <c r="R616" i="3" s="1"/>
  <c r="A617" i="3"/>
  <c r="Q617" i="3" l="1"/>
  <c r="R617" i="3" s="1"/>
  <c r="A618" i="3"/>
  <c r="S617" i="3"/>
  <c r="P618" i="3"/>
  <c r="S618" i="3" l="1"/>
  <c r="P619" i="3"/>
  <c r="Q618" i="3"/>
  <c r="R618" i="3" s="1"/>
  <c r="A619" i="3"/>
  <c r="Q619" i="3" l="1"/>
  <c r="R619" i="3" s="1"/>
  <c r="A620" i="3"/>
  <c r="S619" i="3"/>
  <c r="P620" i="3"/>
  <c r="S620" i="3" l="1"/>
  <c r="P621" i="3"/>
  <c r="Q620" i="3"/>
  <c r="R620" i="3" s="1"/>
  <c r="A621" i="3"/>
  <c r="Q621" i="3" l="1"/>
  <c r="R621" i="3" s="1"/>
  <c r="A622" i="3"/>
  <c r="S621" i="3"/>
  <c r="P622" i="3"/>
  <c r="S622" i="3" l="1"/>
  <c r="P623" i="3"/>
  <c r="Q622" i="3"/>
  <c r="R622" i="3" s="1"/>
  <c r="A623" i="3"/>
  <c r="Q623" i="3" l="1"/>
  <c r="R623" i="3" s="1"/>
  <c r="A624" i="3"/>
  <c r="S623" i="3"/>
  <c r="P624" i="3"/>
  <c r="S624" i="3" l="1"/>
  <c r="P625" i="3"/>
  <c r="Q624" i="3"/>
  <c r="R624" i="3" s="1"/>
  <c r="A625" i="3"/>
  <c r="Q625" i="3" l="1"/>
  <c r="R625" i="3" s="1"/>
  <c r="A626" i="3"/>
  <c r="S625" i="3"/>
  <c r="P626" i="3"/>
  <c r="S626" i="3" l="1"/>
  <c r="P627" i="3"/>
  <c r="Q626" i="3"/>
  <c r="R626" i="3" s="1"/>
  <c r="A627" i="3"/>
  <c r="Q627" i="3" l="1"/>
  <c r="R627" i="3" s="1"/>
  <c r="A628" i="3"/>
  <c r="S627" i="3"/>
  <c r="P628" i="3"/>
  <c r="S628" i="3" l="1"/>
  <c r="P629" i="3"/>
  <c r="Q628" i="3"/>
  <c r="R628" i="3" s="1"/>
  <c r="A629" i="3"/>
  <c r="Q629" i="3" l="1"/>
  <c r="R629" i="3" s="1"/>
  <c r="A630" i="3"/>
  <c r="S629" i="3"/>
  <c r="P630" i="3"/>
  <c r="S630" i="3" l="1"/>
  <c r="P631" i="3"/>
  <c r="Q630" i="3"/>
  <c r="R630" i="3" s="1"/>
  <c r="A631" i="3"/>
  <c r="Q631" i="3" l="1"/>
  <c r="R631" i="3" s="1"/>
  <c r="A632" i="3"/>
  <c r="S631" i="3"/>
  <c r="P632" i="3"/>
  <c r="S632" i="3" l="1"/>
  <c r="P633" i="3"/>
  <c r="Q632" i="3"/>
  <c r="R632" i="3" s="1"/>
  <c r="A633" i="3"/>
  <c r="Q633" i="3" l="1"/>
  <c r="R633" i="3" s="1"/>
  <c r="A634" i="3"/>
  <c r="S633" i="3"/>
  <c r="P634" i="3"/>
  <c r="S634" i="3" l="1"/>
  <c r="P635" i="3"/>
  <c r="Q634" i="3"/>
  <c r="R634" i="3" s="1"/>
  <c r="A635" i="3"/>
  <c r="Q635" i="3" l="1"/>
  <c r="R635" i="3" s="1"/>
  <c r="A636" i="3"/>
  <c r="S635" i="3"/>
  <c r="P636" i="3"/>
  <c r="S636" i="3" l="1"/>
  <c r="P637" i="3"/>
  <c r="Q636" i="3"/>
  <c r="R636" i="3" s="1"/>
  <c r="A637" i="3"/>
  <c r="Q637" i="3" l="1"/>
  <c r="R637" i="3" s="1"/>
  <c r="A638" i="3"/>
  <c r="S637" i="3"/>
  <c r="P638" i="3"/>
  <c r="S638" i="3" l="1"/>
  <c r="P639" i="3"/>
  <c r="Q638" i="3"/>
  <c r="R638" i="3" s="1"/>
  <c r="A639" i="3"/>
  <c r="Q639" i="3" l="1"/>
  <c r="R639" i="3" s="1"/>
  <c r="A640" i="3"/>
  <c r="S639" i="3"/>
  <c r="P640" i="3"/>
  <c r="S640" i="3" l="1"/>
  <c r="P641" i="3"/>
  <c r="Q640" i="3"/>
  <c r="R640" i="3" s="1"/>
  <c r="A641" i="3"/>
  <c r="Q641" i="3" l="1"/>
  <c r="R641" i="3" s="1"/>
  <c r="A642" i="3"/>
  <c r="S641" i="3"/>
  <c r="P642" i="3"/>
  <c r="S642" i="3" l="1"/>
  <c r="P643" i="3"/>
  <c r="Q642" i="3"/>
  <c r="R642" i="3" s="1"/>
  <c r="A643" i="3"/>
  <c r="Q643" i="3" l="1"/>
  <c r="R643" i="3" s="1"/>
  <c r="A644" i="3"/>
  <c r="S643" i="3"/>
  <c r="P644" i="3"/>
  <c r="S644" i="3" l="1"/>
  <c r="P645" i="3"/>
  <c r="Q644" i="3"/>
  <c r="R644" i="3" s="1"/>
  <c r="A645" i="3"/>
  <c r="Q645" i="3" l="1"/>
  <c r="R645" i="3" s="1"/>
  <c r="A646" i="3"/>
  <c r="S645" i="3"/>
  <c r="P646" i="3"/>
  <c r="S646" i="3" l="1"/>
  <c r="P647" i="3"/>
  <c r="Q646" i="3"/>
  <c r="R646" i="3" s="1"/>
  <c r="A647" i="3"/>
  <c r="Q647" i="3" l="1"/>
  <c r="R647" i="3" s="1"/>
  <c r="A648" i="3"/>
  <c r="S647" i="3"/>
  <c r="P648" i="3"/>
  <c r="S648" i="3" l="1"/>
  <c r="P649" i="3"/>
  <c r="Q648" i="3"/>
  <c r="R648" i="3" s="1"/>
  <c r="A649" i="3"/>
  <c r="Q649" i="3" l="1"/>
  <c r="R649" i="3" s="1"/>
  <c r="A650" i="3"/>
  <c r="S649" i="3"/>
  <c r="P650" i="3"/>
  <c r="S650" i="3" l="1"/>
  <c r="P651" i="3"/>
  <c r="Q650" i="3"/>
  <c r="R650" i="3" s="1"/>
  <c r="A651" i="3"/>
  <c r="Q651" i="3" l="1"/>
  <c r="R651" i="3" s="1"/>
  <c r="A652" i="3"/>
  <c r="S651" i="3"/>
  <c r="P652" i="3"/>
  <c r="S652" i="3" l="1"/>
  <c r="P653" i="3"/>
  <c r="Q652" i="3"/>
  <c r="R652" i="3" s="1"/>
  <c r="A653" i="3"/>
  <c r="Q653" i="3" l="1"/>
  <c r="R653" i="3" s="1"/>
  <c r="A654" i="3"/>
  <c r="S653" i="3"/>
  <c r="P654" i="3"/>
  <c r="S654" i="3" l="1"/>
  <c r="P655" i="3"/>
  <c r="Q654" i="3"/>
  <c r="R654" i="3" s="1"/>
  <c r="A655" i="3"/>
  <c r="Q655" i="3" l="1"/>
  <c r="R655" i="3" s="1"/>
  <c r="A656" i="3"/>
  <c r="S655" i="3"/>
  <c r="P656" i="3"/>
  <c r="S656" i="3" l="1"/>
  <c r="P657" i="3"/>
  <c r="Q656" i="3"/>
  <c r="R656" i="3" s="1"/>
  <c r="A657" i="3"/>
  <c r="Q657" i="3" l="1"/>
  <c r="R657" i="3" s="1"/>
  <c r="A658" i="3"/>
  <c r="S657" i="3"/>
  <c r="P658" i="3"/>
  <c r="S658" i="3" l="1"/>
  <c r="P659" i="3"/>
  <c r="Q658" i="3"/>
  <c r="R658" i="3" s="1"/>
  <c r="A659" i="3"/>
  <c r="Q659" i="3" l="1"/>
  <c r="R659" i="3" s="1"/>
  <c r="A660" i="3"/>
  <c r="S659" i="3"/>
  <c r="P660" i="3"/>
  <c r="S660" i="3" l="1"/>
  <c r="P661" i="3"/>
  <c r="Q660" i="3"/>
  <c r="R660" i="3" s="1"/>
  <c r="A661" i="3"/>
  <c r="Q661" i="3" l="1"/>
  <c r="R661" i="3" s="1"/>
  <c r="A662" i="3"/>
  <c r="S661" i="3"/>
  <c r="P662" i="3"/>
  <c r="S662" i="3" l="1"/>
  <c r="P663" i="3"/>
  <c r="Q662" i="3"/>
  <c r="R662" i="3" s="1"/>
  <c r="A663" i="3"/>
  <c r="Q663" i="3" l="1"/>
  <c r="R663" i="3" s="1"/>
  <c r="A664" i="3"/>
  <c r="S663" i="3"/>
  <c r="P664" i="3"/>
  <c r="S664" i="3" l="1"/>
  <c r="P665" i="3"/>
  <c r="Q664" i="3"/>
  <c r="R664" i="3" s="1"/>
  <c r="A665" i="3"/>
  <c r="Q665" i="3" l="1"/>
  <c r="R665" i="3" s="1"/>
  <c r="A666" i="3"/>
  <c r="S665" i="3"/>
  <c r="P666" i="3"/>
  <c r="S666" i="3" l="1"/>
  <c r="P667" i="3"/>
  <c r="Q666" i="3"/>
  <c r="R666" i="3" s="1"/>
  <c r="A667" i="3"/>
  <c r="Q667" i="3" l="1"/>
  <c r="R667" i="3" s="1"/>
  <c r="A668" i="3"/>
  <c r="S667" i="3"/>
  <c r="P668" i="3"/>
  <c r="S668" i="3" l="1"/>
  <c r="P669" i="3"/>
  <c r="Q668" i="3"/>
  <c r="R668" i="3" s="1"/>
  <c r="A669" i="3"/>
  <c r="Q669" i="3" l="1"/>
  <c r="R669" i="3" s="1"/>
  <c r="A670" i="3"/>
  <c r="S669" i="3"/>
  <c r="P670" i="3"/>
  <c r="S670" i="3" l="1"/>
  <c r="P671" i="3"/>
  <c r="Q670" i="3"/>
  <c r="R670" i="3" s="1"/>
  <c r="A671" i="3"/>
  <c r="Q671" i="3" l="1"/>
  <c r="R671" i="3" s="1"/>
  <c r="A672" i="3"/>
  <c r="S671" i="3"/>
  <c r="P672" i="3"/>
  <c r="S672" i="3" l="1"/>
  <c r="P673" i="3"/>
  <c r="Q672" i="3"/>
  <c r="R672" i="3" s="1"/>
  <c r="A673" i="3"/>
  <c r="Q673" i="3" l="1"/>
  <c r="R673" i="3" s="1"/>
  <c r="A674" i="3"/>
  <c r="S673" i="3"/>
  <c r="P674" i="3"/>
  <c r="S674" i="3" l="1"/>
  <c r="P675" i="3"/>
  <c r="Q674" i="3"/>
  <c r="R674" i="3" s="1"/>
  <c r="A675" i="3"/>
  <c r="Q675" i="3" l="1"/>
  <c r="R675" i="3" s="1"/>
  <c r="A676" i="3"/>
  <c r="S675" i="3"/>
  <c r="P676" i="3"/>
  <c r="S676" i="3" l="1"/>
  <c r="P677" i="3"/>
  <c r="Q676" i="3"/>
  <c r="R676" i="3" s="1"/>
  <c r="A677" i="3"/>
  <c r="Q677" i="3" l="1"/>
  <c r="R677" i="3" s="1"/>
  <c r="A678" i="3"/>
  <c r="S677" i="3"/>
  <c r="P678" i="3"/>
  <c r="S678" i="3" l="1"/>
  <c r="P679" i="3"/>
  <c r="Q678" i="3"/>
  <c r="R678" i="3" s="1"/>
  <c r="A679" i="3"/>
  <c r="Q679" i="3" l="1"/>
  <c r="R679" i="3" s="1"/>
  <c r="A680" i="3"/>
  <c r="S679" i="3"/>
  <c r="P680" i="3"/>
  <c r="S680" i="3" l="1"/>
  <c r="P681" i="3"/>
  <c r="Q680" i="3"/>
  <c r="R680" i="3" s="1"/>
  <c r="A681" i="3"/>
  <c r="Q681" i="3" l="1"/>
  <c r="R681" i="3" s="1"/>
  <c r="A682" i="3"/>
  <c r="S681" i="3"/>
  <c r="P682" i="3"/>
  <c r="S682" i="3" l="1"/>
  <c r="P683" i="3"/>
  <c r="Q682" i="3"/>
  <c r="R682" i="3" s="1"/>
  <c r="A683" i="3"/>
  <c r="Q683" i="3" l="1"/>
  <c r="R683" i="3" s="1"/>
  <c r="A684" i="3"/>
  <c r="S683" i="3"/>
  <c r="P684" i="3"/>
  <c r="S684" i="3" l="1"/>
  <c r="P685" i="3"/>
  <c r="Q684" i="3"/>
  <c r="R684" i="3" s="1"/>
  <c r="A685" i="3"/>
  <c r="Q685" i="3" l="1"/>
  <c r="R685" i="3" s="1"/>
  <c r="A686" i="3"/>
  <c r="S685" i="3"/>
  <c r="P686" i="3"/>
  <c r="S686" i="3" l="1"/>
  <c r="P687" i="3"/>
  <c r="Q686" i="3"/>
  <c r="R686" i="3" s="1"/>
  <c r="A687" i="3"/>
  <c r="Q687" i="3" l="1"/>
  <c r="R687" i="3" s="1"/>
  <c r="A688" i="3"/>
  <c r="S687" i="3"/>
  <c r="P688" i="3"/>
  <c r="S688" i="3" l="1"/>
  <c r="P689" i="3"/>
  <c r="Q688" i="3"/>
  <c r="R688" i="3" s="1"/>
  <c r="A689" i="3"/>
  <c r="Q689" i="3" l="1"/>
  <c r="R689" i="3" s="1"/>
  <c r="A690" i="3"/>
  <c r="S689" i="3"/>
  <c r="P690" i="3"/>
  <c r="S690" i="3" l="1"/>
  <c r="P691" i="3"/>
  <c r="Q690" i="3"/>
  <c r="R690" i="3" s="1"/>
  <c r="A691" i="3"/>
  <c r="Q691" i="3" l="1"/>
  <c r="R691" i="3" s="1"/>
  <c r="A692" i="3"/>
  <c r="S691" i="3"/>
  <c r="P692" i="3"/>
  <c r="S692" i="3" l="1"/>
  <c r="P693" i="3"/>
  <c r="Q692" i="3"/>
  <c r="R692" i="3" s="1"/>
  <c r="A693" i="3"/>
  <c r="Q693" i="3" l="1"/>
  <c r="R693" i="3" s="1"/>
  <c r="A694" i="3"/>
  <c r="S693" i="3"/>
  <c r="P694" i="3"/>
  <c r="S694" i="3" l="1"/>
  <c r="P695" i="3"/>
  <c r="Q694" i="3"/>
  <c r="R694" i="3" s="1"/>
  <c r="A695" i="3"/>
  <c r="Q695" i="3" l="1"/>
  <c r="R695" i="3" s="1"/>
  <c r="A696" i="3"/>
  <c r="S695" i="3"/>
  <c r="P696" i="3"/>
  <c r="S696" i="3" l="1"/>
  <c r="P697" i="3"/>
  <c r="Q696" i="3"/>
  <c r="R696" i="3" s="1"/>
  <c r="A697" i="3"/>
  <c r="Q697" i="3" l="1"/>
  <c r="R697" i="3" s="1"/>
  <c r="A698" i="3"/>
  <c r="S697" i="3"/>
  <c r="P698" i="3"/>
  <c r="S698" i="3" l="1"/>
  <c r="P699" i="3"/>
  <c r="Q698" i="3"/>
  <c r="R698" i="3" s="1"/>
  <c r="A699" i="3"/>
  <c r="Q699" i="3" l="1"/>
  <c r="R699" i="3" s="1"/>
  <c r="A700" i="3"/>
  <c r="S699" i="3"/>
  <c r="P700" i="3"/>
  <c r="S700" i="3" l="1"/>
  <c r="P701" i="3"/>
  <c r="Q700" i="3"/>
  <c r="R700" i="3" s="1"/>
  <c r="A701" i="3"/>
  <c r="Q701" i="3" l="1"/>
  <c r="R701" i="3" s="1"/>
  <c r="A702" i="3"/>
  <c r="S701" i="3"/>
  <c r="P702" i="3"/>
  <c r="S702" i="3" l="1"/>
  <c r="P703" i="3"/>
  <c r="Q702" i="3"/>
  <c r="R702" i="3" s="1"/>
  <c r="A703" i="3"/>
  <c r="Q703" i="3" l="1"/>
  <c r="R703" i="3" s="1"/>
  <c r="A704" i="3"/>
  <c r="S703" i="3"/>
  <c r="P704" i="3"/>
  <c r="S704" i="3" l="1"/>
  <c r="P705" i="3"/>
  <c r="Q704" i="3"/>
  <c r="R704" i="3" s="1"/>
  <c r="A705" i="3"/>
  <c r="Q705" i="3" l="1"/>
  <c r="R705" i="3" s="1"/>
  <c r="A706" i="3"/>
  <c r="S705" i="3"/>
  <c r="P706" i="3"/>
  <c r="S706" i="3" l="1"/>
  <c r="P707" i="3"/>
  <c r="Q706" i="3"/>
  <c r="R706" i="3" s="1"/>
  <c r="A707" i="3"/>
  <c r="Q707" i="3" l="1"/>
  <c r="R707" i="3" s="1"/>
  <c r="A708" i="3"/>
  <c r="S707" i="3"/>
  <c r="P708" i="3"/>
  <c r="S708" i="3" l="1"/>
  <c r="P709" i="3"/>
  <c r="Q708" i="3"/>
  <c r="R708" i="3" s="1"/>
  <c r="A709" i="3"/>
  <c r="Q709" i="3" l="1"/>
  <c r="R709" i="3" s="1"/>
  <c r="A710" i="3"/>
  <c r="S709" i="3"/>
  <c r="P710" i="3"/>
  <c r="S710" i="3" l="1"/>
  <c r="P711" i="3"/>
  <c r="Q710" i="3"/>
  <c r="R710" i="3" s="1"/>
  <c r="A711" i="3"/>
  <c r="Q711" i="3" l="1"/>
  <c r="R711" i="3" s="1"/>
  <c r="A712" i="3"/>
  <c r="S711" i="3"/>
  <c r="P712" i="3"/>
  <c r="S712" i="3" l="1"/>
  <c r="P713" i="3"/>
  <c r="Q712" i="3"/>
  <c r="R712" i="3" s="1"/>
  <c r="A713" i="3"/>
  <c r="Q713" i="3" l="1"/>
  <c r="R713" i="3" s="1"/>
  <c r="A714" i="3"/>
  <c r="S713" i="3"/>
  <c r="P714" i="3"/>
  <c r="S714" i="3" l="1"/>
  <c r="P715" i="3"/>
  <c r="Q714" i="3"/>
  <c r="R714" i="3" s="1"/>
  <c r="A715" i="3"/>
  <c r="Q715" i="3" l="1"/>
  <c r="R715" i="3" s="1"/>
  <c r="A716" i="3"/>
  <c r="S715" i="3"/>
  <c r="P716" i="3"/>
  <c r="S716" i="3" l="1"/>
  <c r="P717" i="3"/>
  <c r="Q716" i="3"/>
  <c r="R716" i="3" s="1"/>
  <c r="A717" i="3"/>
  <c r="Q717" i="3" l="1"/>
  <c r="R717" i="3" s="1"/>
  <c r="A718" i="3"/>
  <c r="S717" i="3"/>
  <c r="P718" i="3"/>
  <c r="S718" i="3" l="1"/>
  <c r="P719" i="3"/>
  <c r="Q718" i="3"/>
  <c r="R718" i="3" s="1"/>
  <c r="A719" i="3"/>
  <c r="Q719" i="3" l="1"/>
  <c r="R719" i="3" s="1"/>
  <c r="A720" i="3"/>
  <c r="S719" i="3"/>
  <c r="P720" i="3"/>
  <c r="S720" i="3" l="1"/>
  <c r="P721" i="3"/>
  <c r="Q720" i="3"/>
  <c r="R720" i="3" s="1"/>
  <c r="A721" i="3"/>
  <c r="Q721" i="3" l="1"/>
  <c r="R721" i="3" s="1"/>
  <c r="A722" i="3"/>
  <c r="S721" i="3"/>
  <c r="P722" i="3"/>
  <c r="S722" i="3" l="1"/>
  <c r="P723" i="3"/>
  <c r="Q722" i="3"/>
  <c r="R722" i="3" s="1"/>
  <c r="A723" i="3"/>
  <c r="Q723" i="3" l="1"/>
  <c r="R723" i="3" s="1"/>
  <c r="A724" i="3"/>
  <c r="S723" i="3"/>
  <c r="P724" i="3"/>
  <c r="S724" i="3" l="1"/>
  <c r="P725" i="3"/>
  <c r="Q724" i="3"/>
  <c r="R724" i="3" s="1"/>
  <c r="A725" i="3"/>
  <c r="Q725" i="3" l="1"/>
  <c r="R725" i="3" s="1"/>
  <c r="A726" i="3"/>
  <c r="S725" i="3"/>
  <c r="P726" i="3"/>
  <c r="S726" i="3" l="1"/>
  <c r="P727" i="3"/>
  <c r="Q726" i="3"/>
  <c r="R726" i="3" s="1"/>
  <c r="A727" i="3"/>
  <c r="Q727" i="3" l="1"/>
  <c r="R727" i="3" s="1"/>
  <c r="A728" i="3"/>
  <c r="S727" i="3"/>
  <c r="P728" i="3"/>
  <c r="S728" i="3" l="1"/>
  <c r="P729" i="3"/>
  <c r="Q728" i="3"/>
  <c r="R728" i="3" s="1"/>
  <c r="A729" i="3"/>
  <c r="Q729" i="3" l="1"/>
  <c r="R729" i="3" s="1"/>
  <c r="A730" i="3"/>
  <c r="S729" i="3"/>
  <c r="P730" i="3"/>
  <c r="S730" i="3" l="1"/>
  <c r="P731" i="3"/>
  <c r="Q730" i="3"/>
  <c r="R730" i="3" s="1"/>
  <c r="A731" i="3"/>
  <c r="Q731" i="3" l="1"/>
  <c r="R731" i="3" s="1"/>
  <c r="A732" i="3"/>
  <c r="S731" i="3"/>
  <c r="P732" i="3"/>
  <c r="S732" i="3" l="1"/>
  <c r="P733" i="3"/>
  <c r="Q732" i="3"/>
  <c r="R732" i="3" s="1"/>
  <c r="A733" i="3"/>
  <c r="Q733" i="3" l="1"/>
  <c r="R733" i="3" s="1"/>
  <c r="A734" i="3"/>
  <c r="S733" i="3"/>
  <c r="P734" i="3"/>
  <c r="S734" i="3" l="1"/>
  <c r="P735" i="3"/>
  <c r="Q734" i="3"/>
  <c r="R734" i="3" s="1"/>
  <c r="A735" i="3"/>
  <c r="Q735" i="3" l="1"/>
  <c r="R735" i="3" s="1"/>
  <c r="A736" i="3"/>
  <c r="S735" i="3"/>
  <c r="P736" i="3"/>
  <c r="S736" i="3" l="1"/>
  <c r="P737" i="3"/>
  <c r="Q736" i="3"/>
  <c r="R736" i="3" s="1"/>
  <c r="A737" i="3"/>
  <c r="Q737" i="3" l="1"/>
  <c r="R737" i="3" s="1"/>
  <c r="A738" i="3"/>
  <c r="S737" i="3"/>
  <c r="P738" i="3"/>
  <c r="S738" i="3" l="1"/>
  <c r="P739" i="3"/>
  <c r="Q738" i="3"/>
  <c r="R738" i="3" s="1"/>
  <c r="A739" i="3"/>
  <c r="Q739" i="3" l="1"/>
  <c r="R739" i="3" s="1"/>
  <c r="A740" i="3"/>
  <c r="S739" i="3"/>
  <c r="P740" i="3"/>
  <c r="S740" i="3" l="1"/>
  <c r="P741" i="3"/>
  <c r="Q740" i="3"/>
  <c r="R740" i="3" s="1"/>
  <c r="A741" i="3"/>
  <c r="Q741" i="3" l="1"/>
  <c r="R741" i="3" s="1"/>
  <c r="A742" i="3"/>
  <c r="S741" i="3"/>
  <c r="P742" i="3"/>
  <c r="S742" i="3" l="1"/>
  <c r="P743" i="3"/>
  <c r="Q742" i="3"/>
  <c r="R742" i="3" s="1"/>
  <c r="A743" i="3"/>
  <c r="Q743" i="3" l="1"/>
  <c r="R743" i="3" s="1"/>
  <c r="A744" i="3"/>
  <c r="S743" i="3"/>
  <c r="P744" i="3"/>
  <c r="S744" i="3" l="1"/>
  <c r="P745" i="3"/>
  <c r="Q744" i="3"/>
  <c r="R744" i="3" s="1"/>
  <c r="A745" i="3"/>
  <c r="Q745" i="3" l="1"/>
  <c r="R745" i="3" s="1"/>
  <c r="A746" i="3"/>
  <c r="S745" i="3"/>
  <c r="P746" i="3"/>
  <c r="S746" i="3" l="1"/>
  <c r="P747" i="3"/>
  <c r="Q746" i="3"/>
  <c r="R746" i="3" s="1"/>
  <c r="A747" i="3"/>
  <c r="Q747" i="3" l="1"/>
  <c r="R747" i="3" s="1"/>
  <c r="A748" i="3"/>
  <c r="S747" i="3"/>
  <c r="P748" i="3"/>
  <c r="S748" i="3" l="1"/>
  <c r="P749" i="3"/>
  <c r="Q748" i="3"/>
  <c r="R748" i="3" s="1"/>
  <c r="A749" i="3"/>
  <c r="Q749" i="3" l="1"/>
  <c r="R749" i="3" s="1"/>
  <c r="A750" i="3"/>
  <c r="S749" i="3"/>
  <c r="P750" i="3"/>
  <c r="S750" i="3" l="1"/>
  <c r="P751" i="3"/>
  <c r="Q750" i="3"/>
  <c r="R750" i="3" s="1"/>
  <c r="A751" i="3"/>
  <c r="Q751" i="3" l="1"/>
  <c r="R751" i="3" s="1"/>
  <c r="A752" i="3"/>
  <c r="S751" i="3"/>
  <c r="P752" i="3"/>
  <c r="S752" i="3" l="1"/>
  <c r="P753" i="3"/>
  <c r="Q752" i="3"/>
  <c r="R752" i="3" s="1"/>
  <c r="A753" i="3"/>
  <c r="Q753" i="3" l="1"/>
  <c r="R753" i="3" s="1"/>
  <c r="A754" i="3"/>
  <c r="S753" i="3"/>
  <c r="P754" i="3"/>
  <c r="S754" i="3" l="1"/>
  <c r="P755" i="3"/>
  <c r="Q754" i="3"/>
  <c r="R754" i="3" s="1"/>
  <c r="A755" i="3"/>
  <c r="Q755" i="3" l="1"/>
  <c r="R755" i="3" s="1"/>
  <c r="A756" i="3"/>
  <c r="S755" i="3"/>
  <c r="P756" i="3"/>
  <c r="S756" i="3" l="1"/>
  <c r="P757" i="3"/>
  <c r="Q756" i="3"/>
  <c r="R756" i="3" s="1"/>
  <c r="A757" i="3"/>
  <c r="Q757" i="3" l="1"/>
  <c r="R757" i="3" s="1"/>
  <c r="A758" i="3"/>
  <c r="S757" i="3"/>
  <c r="P758" i="3"/>
  <c r="S758" i="3" l="1"/>
  <c r="P759" i="3"/>
  <c r="Q758" i="3"/>
  <c r="R758" i="3" s="1"/>
  <c r="A759" i="3"/>
  <c r="Q759" i="3" l="1"/>
  <c r="R759" i="3" s="1"/>
  <c r="A760" i="3"/>
  <c r="S759" i="3"/>
  <c r="P760" i="3"/>
  <c r="S760" i="3" l="1"/>
  <c r="P761" i="3"/>
  <c r="Q760" i="3"/>
  <c r="R760" i="3" s="1"/>
  <c r="A761" i="3"/>
  <c r="Q761" i="3" l="1"/>
  <c r="R761" i="3" s="1"/>
  <c r="A762" i="3"/>
  <c r="S761" i="3"/>
  <c r="P762" i="3"/>
  <c r="S762" i="3" l="1"/>
  <c r="P763" i="3"/>
  <c r="Q762" i="3"/>
  <c r="R762" i="3" s="1"/>
  <c r="A763" i="3"/>
  <c r="Q763" i="3" l="1"/>
  <c r="R763" i="3" s="1"/>
  <c r="A764" i="3"/>
  <c r="S763" i="3"/>
  <c r="P764" i="3"/>
  <c r="S764" i="3" l="1"/>
  <c r="P765" i="3"/>
  <c r="Q764" i="3"/>
  <c r="R764" i="3" s="1"/>
  <c r="A765" i="3"/>
  <c r="Q765" i="3" l="1"/>
  <c r="R765" i="3" s="1"/>
  <c r="A766" i="3"/>
  <c r="S765" i="3"/>
  <c r="P766" i="3"/>
  <c r="S766" i="3" l="1"/>
  <c r="P767" i="3"/>
  <c r="Q766" i="3"/>
  <c r="R766" i="3" s="1"/>
  <c r="A767" i="3"/>
  <c r="Q767" i="3" l="1"/>
  <c r="R767" i="3" s="1"/>
  <c r="A768" i="3"/>
  <c r="S767" i="3"/>
  <c r="P768" i="3"/>
  <c r="S768" i="3" l="1"/>
  <c r="P769" i="3"/>
  <c r="Q768" i="3"/>
  <c r="R768" i="3" s="1"/>
  <c r="A769" i="3"/>
  <c r="Q769" i="3" l="1"/>
  <c r="R769" i="3" s="1"/>
  <c r="A770" i="3"/>
  <c r="S769" i="3"/>
  <c r="P770" i="3"/>
  <c r="S770" i="3" l="1"/>
  <c r="P771" i="3"/>
  <c r="Q770" i="3"/>
  <c r="R770" i="3" s="1"/>
  <c r="A771" i="3"/>
  <c r="Q771" i="3" l="1"/>
  <c r="R771" i="3" s="1"/>
  <c r="A772" i="3"/>
  <c r="S771" i="3"/>
  <c r="P772" i="3"/>
  <c r="S772" i="3" l="1"/>
  <c r="P773" i="3"/>
  <c r="Q772" i="3"/>
  <c r="R772" i="3" s="1"/>
  <c r="A773" i="3"/>
  <c r="Q773" i="3" l="1"/>
  <c r="R773" i="3" s="1"/>
  <c r="A774" i="3"/>
  <c r="S773" i="3"/>
  <c r="P774" i="3"/>
  <c r="S774" i="3" l="1"/>
  <c r="P775" i="3"/>
  <c r="Q774" i="3"/>
  <c r="R774" i="3" s="1"/>
  <c r="A775" i="3"/>
  <c r="Q775" i="3" l="1"/>
  <c r="R775" i="3" s="1"/>
  <c r="A776" i="3"/>
  <c r="S775" i="3"/>
  <c r="P776" i="3"/>
  <c r="S776" i="3" l="1"/>
  <c r="P777" i="3"/>
  <c r="Q776" i="3"/>
  <c r="R776" i="3" s="1"/>
  <c r="A777" i="3"/>
  <c r="Q777" i="3" l="1"/>
  <c r="R777" i="3" s="1"/>
  <c r="A778" i="3"/>
  <c r="S777" i="3"/>
  <c r="P778" i="3"/>
  <c r="S778" i="3" l="1"/>
  <c r="P779" i="3"/>
  <c r="Q778" i="3"/>
  <c r="R778" i="3" s="1"/>
  <c r="A779" i="3"/>
  <c r="Q779" i="3" l="1"/>
  <c r="R779" i="3" s="1"/>
  <c r="A780" i="3"/>
  <c r="S779" i="3"/>
  <c r="P780" i="3"/>
  <c r="S780" i="3" l="1"/>
  <c r="P781" i="3"/>
  <c r="Q780" i="3"/>
  <c r="R780" i="3" s="1"/>
  <c r="A781" i="3"/>
  <c r="Q781" i="3" l="1"/>
  <c r="R781" i="3" s="1"/>
  <c r="A782" i="3"/>
  <c r="S781" i="3"/>
  <c r="P782" i="3"/>
  <c r="S782" i="3" l="1"/>
  <c r="P783" i="3"/>
  <c r="Q782" i="3"/>
  <c r="R782" i="3" s="1"/>
  <c r="A783" i="3"/>
  <c r="Q783" i="3" l="1"/>
  <c r="R783" i="3" s="1"/>
  <c r="A784" i="3"/>
  <c r="S783" i="3"/>
  <c r="P784" i="3"/>
  <c r="S784" i="3" l="1"/>
  <c r="P785" i="3"/>
  <c r="Q784" i="3"/>
  <c r="R784" i="3" s="1"/>
  <c r="A785" i="3"/>
  <c r="Q785" i="3" l="1"/>
  <c r="R785" i="3" s="1"/>
  <c r="A786" i="3"/>
  <c r="S785" i="3"/>
  <c r="P786" i="3"/>
  <c r="S786" i="3" l="1"/>
  <c r="P787" i="3"/>
  <c r="Q786" i="3"/>
  <c r="R786" i="3" s="1"/>
  <c r="A787" i="3"/>
  <c r="Q787" i="3" l="1"/>
  <c r="R787" i="3" s="1"/>
  <c r="A788" i="3"/>
  <c r="S787" i="3"/>
  <c r="P788" i="3"/>
  <c r="S788" i="3" l="1"/>
  <c r="P789" i="3"/>
  <c r="Q788" i="3"/>
  <c r="R788" i="3" s="1"/>
  <c r="A789" i="3"/>
  <c r="Q789" i="3" l="1"/>
  <c r="R789" i="3" s="1"/>
  <c r="A790" i="3"/>
  <c r="S789" i="3"/>
  <c r="P790" i="3"/>
  <c r="S790" i="3" l="1"/>
  <c r="P791" i="3"/>
  <c r="Q790" i="3"/>
  <c r="R790" i="3" s="1"/>
  <c r="A791" i="3"/>
  <c r="Q791" i="3" l="1"/>
  <c r="R791" i="3" s="1"/>
  <c r="A792" i="3"/>
  <c r="S791" i="3"/>
  <c r="P792" i="3"/>
  <c r="S792" i="3" l="1"/>
  <c r="P793" i="3"/>
  <c r="Q792" i="3"/>
  <c r="R792" i="3" s="1"/>
  <c r="A793" i="3"/>
  <c r="Q793" i="3" l="1"/>
  <c r="R793" i="3" s="1"/>
  <c r="A794" i="3"/>
  <c r="S793" i="3"/>
  <c r="P794" i="3"/>
  <c r="S794" i="3" l="1"/>
  <c r="P795" i="3"/>
  <c r="Q794" i="3"/>
  <c r="R794" i="3" s="1"/>
  <c r="A795" i="3"/>
  <c r="Q795" i="3" l="1"/>
  <c r="R795" i="3" s="1"/>
  <c r="A796" i="3"/>
  <c r="S795" i="3"/>
  <c r="P796" i="3"/>
  <c r="S796" i="3" l="1"/>
  <c r="P797" i="3"/>
  <c r="Q796" i="3"/>
  <c r="R796" i="3" s="1"/>
  <c r="A797" i="3"/>
  <c r="Q797" i="3" l="1"/>
  <c r="R797" i="3" s="1"/>
  <c r="A798" i="3"/>
  <c r="S797" i="3"/>
  <c r="P798" i="3"/>
  <c r="S798" i="3" l="1"/>
  <c r="P799" i="3"/>
  <c r="Q798" i="3"/>
  <c r="R798" i="3" s="1"/>
  <c r="A799" i="3"/>
  <c r="Q799" i="3" l="1"/>
  <c r="R799" i="3" s="1"/>
  <c r="A800" i="3"/>
  <c r="S799" i="3"/>
  <c r="P800" i="3"/>
  <c r="S800" i="3" l="1"/>
  <c r="P801" i="3"/>
  <c r="Q800" i="3"/>
  <c r="R800" i="3" s="1"/>
  <c r="A801" i="3"/>
  <c r="Q801" i="3" l="1"/>
  <c r="R801" i="3" s="1"/>
  <c r="A802" i="3"/>
  <c r="S801" i="3"/>
  <c r="P802" i="3"/>
  <c r="A803" i="3" l="1"/>
  <c r="S802" i="3"/>
  <c r="P803" i="3"/>
  <c r="Q802" i="3"/>
  <c r="R802" i="3" s="1"/>
  <c r="P804" i="3" l="1"/>
  <c r="S803" i="3"/>
  <c r="Q803" i="3"/>
  <c r="R803" i="3" s="1"/>
  <c r="A804" i="3"/>
  <c r="A805" i="3" l="1"/>
  <c r="P805" i="3"/>
  <c r="Q804" i="3"/>
  <c r="R804" i="3" s="1"/>
  <c r="S804" i="3"/>
  <c r="P806" i="3" l="1"/>
  <c r="Q805" i="3"/>
  <c r="R805" i="3" s="1"/>
  <c r="A806" i="3"/>
  <c r="S805" i="3"/>
  <c r="A807" i="3" l="1"/>
  <c r="P807" i="3"/>
  <c r="Q806" i="3"/>
  <c r="R806" i="3" s="1"/>
  <c r="S806" i="3"/>
  <c r="P808" i="3" l="1"/>
  <c r="A808" i="3"/>
  <c r="S807" i="3"/>
  <c r="Q807" i="3"/>
  <c r="R807" i="3" s="1"/>
  <c r="A809" i="3" l="1"/>
  <c r="S808" i="3"/>
  <c r="P809" i="3"/>
  <c r="Q808" i="3"/>
  <c r="R808" i="3" s="1"/>
  <c r="P810" i="3" l="1"/>
  <c r="A810" i="3"/>
  <c r="S809" i="3"/>
  <c r="Q809" i="3"/>
  <c r="R809" i="3" s="1"/>
  <c r="A811" i="3" l="1"/>
  <c r="S810" i="3"/>
  <c r="P811" i="3"/>
  <c r="Q810" i="3"/>
  <c r="R810" i="3" s="1"/>
  <c r="P812" i="3" l="1"/>
  <c r="S811" i="3"/>
  <c r="Q811" i="3"/>
  <c r="R811" i="3" s="1"/>
  <c r="A812" i="3"/>
  <c r="A813" i="3" l="1"/>
  <c r="P813" i="3"/>
  <c r="Q812" i="3"/>
  <c r="R812" i="3" s="1"/>
  <c r="S812" i="3"/>
  <c r="P814" i="3" l="1"/>
  <c r="Q813" i="3"/>
  <c r="R813" i="3" s="1"/>
  <c r="A814" i="3"/>
  <c r="S813" i="3"/>
  <c r="A815" i="3" l="1"/>
  <c r="P815" i="3"/>
  <c r="Q814" i="3"/>
  <c r="R814" i="3" s="1"/>
  <c r="S814" i="3"/>
  <c r="P816" i="3" l="1"/>
  <c r="A816" i="3"/>
  <c r="S815" i="3"/>
  <c r="Q815" i="3"/>
  <c r="R815" i="3" s="1"/>
  <c r="A817" i="3" l="1"/>
  <c r="S816" i="3"/>
  <c r="P817" i="3"/>
  <c r="Q816" i="3"/>
  <c r="R816" i="3" s="1"/>
  <c r="P818" i="3" l="1"/>
  <c r="A818" i="3"/>
  <c r="S817" i="3"/>
  <c r="Q817" i="3"/>
  <c r="R817" i="3" s="1"/>
  <c r="A819" i="3" l="1"/>
  <c r="S818" i="3"/>
  <c r="P819" i="3"/>
  <c r="Q818" i="3"/>
  <c r="R818" i="3" s="1"/>
  <c r="P820" i="3" l="1"/>
  <c r="S819" i="3"/>
  <c r="Q819" i="3"/>
  <c r="R819" i="3" s="1"/>
  <c r="A820" i="3"/>
  <c r="A821" i="3" l="1"/>
  <c r="P821" i="3"/>
  <c r="Q820" i="3"/>
  <c r="R820" i="3" s="1"/>
  <c r="S820" i="3"/>
  <c r="P822" i="3" l="1"/>
  <c r="Q821" i="3"/>
  <c r="R821" i="3" s="1"/>
  <c r="A822" i="3"/>
  <c r="S821" i="3"/>
  <c r="A823" i="3" l="1"/>
  <c r="P823" i="3"/>
  <c r="Q822" i="3"/>
  <c r="R822" i="3" s="1"/>
  <c r="S822" i="3"/>
  <c r="P824" i="3" l="1"/>
  <c r="A824" i="3"/>
  <c r="S823" i="3"/>
  <c r="Q823" i="3"/>
  <c r="R823" i="3" s="1"/>
  <c r="A825" i="3" l="1"/>
  <c r="S824" i="3"/>
  <c r="P825" i="3"/>
  <c r="Q824" i="3"/>
  <c r="R824" i="3" s="1"/>
  <c r="P826" i="3" l="1"/>
  <c r="A826" i="3"/>
  <c r="S825" i="3"/>
  <c r="Q825" i="3"/>
  <c r="R825" i="3" s="1"/>
  <c r="A827" i="3" l="1"/>
  <c r="S826" i="3"/>
  <c r="P827" i="3"/>
  <c r="Q826" i="3"/>
  <c r="R826" i="3" s="1"/>
  <c r="P828" i="3" l="1"/>
  <c r="S827" i="3"/>
  <c r="Q827" i="3"/>
  <c r="R827" i="3" s="1"/>
  <c r="A828" i="3"/>
  <c r="A829" i="3" l="1"/>
  <c r="P829" i="3"/>
  <c r="Q828" i="3"/>
  <c r="R828" i="3" s="1"/>
  <c r="S828" i="3"/>
  <c r="P830" i="3" l="1"/>
  <c r="Q829" i="3"/>
  <c r="R829" i="3" s="1"/>
  <c r="A830" i="3"/>
  <c r="S829" i="3"/>
  <c r="A831" i="3" l="1"/>
  <c r="P831" i="3"/>
  <c r="Q830" i="3"/>
  <c r="R830" i="3" s="1"/>
  <c r="S830" i="3"/>
  <c r="P832" i="3" l="1"/>
  <c r="A832" i="3"/>
  <c r="S831" i="3"/>
  <c r="Q831" i="3"/>
  <c r="R831" i="3" s="1"/>
  <c r="A833" i="3" l="1"/>
  <c r="S832" i="3"/>
  <c r="Q832" i="3"/>
  <c r="R832" i="3" s="1"/>
  <c r="P833" i="3"/>
  <c r="P834" i="3" l="1"/>
  <c r="A834" i="3"/>
  <c r="S833" i="3"/>
  <c r="Q833" i="3"/>
  <c r="R833" i="3" s="1"/>
  <c r="A835" i="3" l="1"/>
  <c r="S834" i="3"/>
  <c r="P835" i="3"/>
  <c r="Q834" i="3"/>
  <c r="R834" i="3" s="1"/>
  <c r="P836" i="3" l="1"/>
  <c r="S835" i="3"/>
  <c r="Q835" i="3"/>
  <c r="R835" i="3" s="1"/>
  <c r="A836" i="3"/>
  <c r="A837" i="3" l="1"/>
  <c r="P837" i="3"/>
  <c r="Q836" i="3"/>
  <c r="R836" i="3" s="1"/>
  <c r="S836" i="3"/>
  <c r="P838" i="3" l="1"/>
  <c r="Q837" i="3"/>
  <c r="R837" i="3" s="1"/>
  <c r="A838" i="3"/>
  <c r="S837" i="3"/>
  <c r="A839" i="3" l="1"/>
  <c r="P839" i="3"/>
  <c r="Q838" i="3"/>
  <c r="R838" i="3" s="1"/>
  <c r="S838" i="3"/>
  <c r="P840" i="3" l="1"/>
  <c r="A840" i="3"/>
  <c r="S839" i="3"/>
  <c r="Q839" i="3"/>
  <c r="R839" i="3" s="1"/>
  <c r="A841" i="3" l="1"/>
  <c r="S840" i="3"/>
  <c r="Q840" i="3"/>
  <c r="R840" i="3" s="1"/>
  <c r="P841" i="3"/>
  <c r="P842" i="3" l="1"/>
  <c r="A842" i="3"/>
  <c r="S841" i="3"/>
  <c r="Q841" i="3"/>
  <c r="R841" i="3" s="1"/>
  <c r="A843" i="3" l="1"/>
  <c r="S842" i="3"/>
  <c r="P843" i="3"/>
  <c r="Q842" i="3"/>
  <c r="R842" i="3" s="1"/>
  <c r="P844" i="3" l="1"/>
  <c r="S843" i="3"/>
  <c r="Q843" i="3"/>
  <c r="R843" i="3" s="1"/>
  <c r="A844" i="3"/>
  <c r="A845" i="3" l="1"/>
  <c r="P845" i="3"/>
  <c r="Q844" i="3"/>
  <c r="R844" i="3" s="1"/>
  <c r="S844" i="3"/>
  <c r="P846" i="3" l="1"/>
  <c r="Q845" i="3"/>
  <c r="R845" i="3" s="1"/>
  <c r="A846" i="3"/>
  <c r="S845" i="3"/>
  <c r="A847" i="3" l="1"/>
  <c r="P847" i="3"/>
  <c r="Q846" i="3"/>
  <c r="R846" i="3" s="1"/>
  <c r="S846" i="3"/>
  <c r="P848" i="3" l="1"/>
  <c r="A848" i="3"/>
  <c r="S847" i="3"/>
  <c r="Q847" i="3"/>
  <c r="R847" i="3" s="1"/>
  <c r="A849" i="3" l="1"/>
  <c r="S848" i="3"/>
  <c r="P849" i="3"/>
  <c r="Q848" i="3"/>
  <c r="R848" i="3" s="1"/>
  <c r="P850" i="3" l="1"/>
  <c r="A850" i="3"/>
  <c r="S849" i="3"/>
  <c r="Q849" i="3"/>
  <c r="R849" i="3" s="1"/>
  <c r="A851" i="3" l="1"/>
  <c r="S850" i="3"/>
  <c r="P851" i="3"/>
  <c r="Q850" i="3"/>
  <c r="R850" i="3" s="1"/>
  <c r="P852" i="3" l="1"/>
  <c r="S851" i="3"/>
  <c r="Q851" i="3"/>
  <c r="R851" i="3" s="1"/>
  <c r="A852" i="3"/>
  <c r="A853" i="3" l="1"/>
  <c r="P853" i="3"/>
  <c r="Q852" i="3"/>
  <c r="R852" i="3" s="1"/>
  <c r="S852" i="3"/>
  <c r="P854" i="3" l="1"/>
  <c r="Q853" i="3"/>
  <c r="R853" i="3" s="1"/>
  <c r="A854" i="3"/>
  <c r="S853" i="3"/>
  <c r="A855" i="3" l="1"/>
  <c r="P855" i="3"/>
  <c r="Q854" i="3"/>
  <c r="R854" i="3" s="1"/>
  <c r="S854" i="3"/>
  <c r="P856" i="3" l="1"/>
  <c r="A856" i="3"/>
  <c r="S855" i="3"/>
  <c r="Q855" i="3"/>
  <c r="R855" i="3" s="1"/>
  <c r="A857" i="3" l="1"/>
  <c r="S856" i="3"/>
  <c r="P857" i="3"/>
  <c r="Q856" i="3"/>
  <c r="R856" i="3" s="1"/>
  <c r="P858" i="3" l="1"/>
  <c r="A858" i="3"/>
  <c r="S857" i="3"/>
  <c r="Q857" i="3"/>
  <c r="R857" i="3" s="1"/>
  <c r="A859" i="3" l="1"/>
  <c r="S858" i="3"/>
  <c r="P859" i="3"/>
  <c r="Q858" i="3"/>
  <c r="R858" i="3" s="1"/>
  <c r="P860" i="3" l="1"/>
  <c r="S859" i="3"/>
  <c r="Q859" i="3"/>
  <c r="R859" i="3" s="1"/>
  <c r="A860" i="3"/>
  <c r="A861" i="3" l="1"/>
  <c r="P861" i="3"/>
  <c r="Q860" i="3"/>
  <c r="R860" i="3" s="1"/>
  <c r="S860" i="3"/>
  <c r="P862" i="3" l="1"/>
  <c r="Q861" i="3"/>
  <c r="R861" i="3" s="1"/>
  <c r="A862" i="3"/>
  <c r="S861" i="3"/>
  <c r="A863" i="3" l="1"/>
  <c r="P863" i="3"/>
  <c r="Q862" i="3"/>
  <c r="R862" i="3" s="1"/>
  <c r="S862" i="3"/>
  <c r="P864" i="3" l="1"/>
  <c r="A864" i="3"/>
  <c r="S863" i="3"/>
  <c r="Q863" i="3"/>
  <c r="R863" i="3" s="1"/>
  <c r="A865" i="3" l="1"/>
  <c r="S864" i="3"/>
  <c r="Q864" i="3"/>
  <c r="R864" i="3" s="1"/>
  <c r="P865" i="3"/>
  <c r="P866" i="3" l="1"/>
  <c r="A866" i="3"/>
  <c r="S865" i="3"/>
  <c r="Q865" i="3"/>
  <c r="R865" i="3" s="1"/>
  <c r="A867" i="3" l="1"/>
  <c r="S866" i="3"/>
  <c r="P867" i="3"/>
  <c r="Q866" i="3"/>
  <c r="R866" i="3" s="1"/>
  <c r="P868" i="3" l="1"/>
  <c r="S867" i="3"/>
  <c r="Q867" i="3"/>
  <c r="R867" i="3" s="1"/>
  <c r="A868" i="3"/>
  <c r="A869" i="3" l="1"/>
  <c r="P869" i="3"/>
  <c r="Q868" i="3"/>
  <c r="R868" i="3" s="1"/>
  <c r="S868" i="3"/>
  <c r="P870" i="3" l="1"/>
  <c r="Q869" i="3"/>
  <c r="R869" i="3" s="1"/>
  <c r="A870" i="3"/>
  <c r="S869" i="3"/>
  <c r="A871" i="3" l="1"/>
  <c r="P871" i="3"/>
  <c r="Q870" i="3"/>
  <c r="R870" i="3" s="1"/>
  <c r="S870" i="3"/>
  <c r="P872" i="3" l="1"/>
  <c r="A872" i="3"/>
  <c r="S871" i="3"/>
  <c r="Q871" i="3"/>
  <c r="R871" i="3" s="1"/>
  <c r="A873" i="3" l="1"/>
  <c r="S872" i="3"/>
  <c r="P873" i="3"/>
  <c r="Q872" i="3"/>
  <c r="R872" i="3" s="1"/>
  <c r="P874" i="3" l="1"/>
  <c r="A874" i="3"/>
  <c r="S873" i="3"/>
  <c r="Q873" i="3"/>
  <c r="R873" i="3" s="1"/>
  <c r="A875" i="3" l="1"/>
  <c r="S874" i="3"/>
  <c r="P875" i="3"/>
  <c r="Q874" i="3"/>
  <c r="R874" i="3" s="1"/>
  <c r="P876" i="3" l="1"/>
  <c r="S875" i="3"/>
  <c r="Q875" i="3"/>
  <c r="R875" i="3" s="1"/>
  <c r="A876" i="3"/>
  <c r="A877" i="3" l="1"/>
  <c r="P877" i="3"/>
  <c r="Q876" i="3"/>
  <c r="R876" i="3" s="1"/>
  <c r="S876" i="3"/>
  <c r="P878" i="3" l="1"/>
  <c r="Q877" i="3"/>
  <c r="R877" i="3" s="1"/>
  <c r="A878" i="3"/>
  <c r="S877" i="3"/>
  <c r="A879" i="3" l="1"/>
  <c r="P879" i="3"/>
  <c r="Q878" i="3"/>
  <c r="R878" i="3" s="1"/>
  <c r="S878" i="3"/>
  <c r="P880" i="3" l="1"/>
  <c r="A880" i="3"/>
  <c r="S879" i="3"/>
  <c r="Q879" i="3"/>
  <c r="R879" i="3" s="1"/>
  <c r="A881" i="3" l="1"/>
  <c r="S880" i="3"/>
  <c r="P881" i="3"/>
  <c r="Q880" i="3"/>
  <c r="R880" i="3" s="1"/>
  <c r="P882" i="3" l="1"/>
  <c r="A882" i="3"/>
  <c r="S881" i="3"/>
  <c r="Q881" i="3"/>
  <c r="R881" i="3" s="1"/>
  <c r="A883" i="3" l="1"/>
  <c r="S882" i="3"/>
  <c r="P883" i="3"/>
  <c r="Q882" i="3"/>
  <c r="R882" i="3" s="1"/>
  <c r="P884" i="3" l="1"/>
  <c r="S883" i="3"/>
  <c r="Q883" i="3"/>
  <c r="R883" i="3" s="1"/>
  <c r="A884" i="3"/>
  <c r="A885" i="3" l="1"/>
  <c r="P885" i="3"/>
  <c r="Q884" i="3"/>
  <c r="R884" i="3" s="1"/>
  <c r="S884" i="3"/>
  <c r="P886" i="3" l="1"/>
  <c r="Q885" i="3"/>
  <c r="R885" i="3" s="1"/>
  <c r="A886" i="3"/>
  <c r="S885" i="3"/>
  <c r="A887" i="3" l="1"/>
  <c r="P887" i="3"/>
  <c r="Q886" i="3"/>
  <c r="R886" i="3" s="1"/>
  <c r="S886" i="3"/>
  <c r="P888" i="3" l="1"/>
  <c r="A888" i="3"/>
  <c r="S887" i="3"/>
  <c r="Q887" i="3"/>
  <c r="R887" i="3" s="1"/>
  <c r="A889" i="3" l="1"/>
  <c r="S888" i="3"/>
  <c r="P889" i="3"/>
  <c r="Q888" i="3"/>
  <c r="R888" i="3" s="1"/>
  <c r="P890" i="3" l="1"/>
  <c r="A890" i="3"/>
  <c r="S889" i="3"/>
  <c r="Q889" i="3"/>
  <c r="R889" i="3" s="1"/>
  <c r="A891" i="3" l="1"/>
  <c r="S890" i="3"/>
  <c r="P891" i="3"/>
  <c r="Q890" i="3"/>
  <c r="R890" i="3" s="1"/>
  <c r="P892" i="3" l="1"/>
  <c r="S891" i="3"/>
  <c r="Q891" i="3"/>
  <c r="R891" i="3" s="1"/>
  <c r="A892" i="3"/>
  <c r="A893" i="3" l="1"/>
  <c r="P893" i="3"/>
  <c r="Q892" i="3"/>
  <c r="R892" i="3" s="1"/>
  <c r="S892" i="3"/>
  <c r="P894" i="3" l="1"/>
  <c r="Q893" i="3"/>
  <c r="R893" i="3" s="1"/>
  <c r="A894" i="3"/>
  <c r="S893" i="3"/>
  <c r="A895" i="3" l="1"/>
  <c r="P895" i="3"/>
  <c r="Q894" i="3"/>
  <c r="R894" i="3" s="1"/>
  <c r="S894" i="3"/>
  <c r="P896" i="3" l="1"/>
  <c r="A896" i="3"/>
  <c r="S895" i="3"/>
  <c r="Q895" i="3"/>
  <c r="R895" i="3" s="1"/>
  <c r="A897" i="3" l="1"/>
  <c r="S896" i="3"/>
  <c r="Q896" i="3"/>
  <c r="R896" i="3" s="1"/>
  <c r="P897" i="3"/>
  <c r="P898" i="3" l="1"/>
  <c r="A898" i="3"/>
  <c r="S897" i="3"/>
  <c r="Q897" i="3"/>
  <c r="R897" i="3" s="1"/>
  <c r="A899" i="3" l="1"/>
  <c r="S898" i="3"/>
  <c r="P899" i="3"/>
  <c r="Q898" i="3"/>
  <c r="R898" i="3" s="1"/>
  <c r="P900" i="3" l="1"/>
  <c r="S899" i="3"/>
  <c r="Q899" i="3"/>
  <c r="R899" i="3" s="1"/>
  <c r="A900" i="3"/>
  <c r="A901" i="3" l="1"/>
  <c r="P901" i="3"/>
  <c r="Q900" i="3"/>
  <c r="R900" i="3" s="1"/>
  <c r="S900" i="3"/>
  <c r="P902" i="3" l="1"/>
  <c r="Q901" i="3"/>
  <c r="R901" i="3" s="1"/>
  <c r="A902" i="3"/>
  <c r="S901" i="3"/>
  <c r="A903" i="3" l="1"/>
  <c r="P903" i="3"/>
  <c r="Q902" i="3"/>
  <c r="R902" i="3" s="1"/>
  <c r="S902" i="3"/>
  <c r="P904" i="3" l="1"/>
  <c r="A904" i="3"/>
  <c r="S903" i="3"/>
  <c r="Q903" i="3"/>
  <c r="R903" i="3" s="1"/>
  <c r="A905" i="3" l="1"/>
  <c r="S904" i="3"/>
  <c r="Q904" i="3"/>
  <c r="R904" i="3" s="1"/>
  <c r="P905" i="3"/>
  <c r="P906" i="3" l="1"/>
  <c r="A906" i="3"/>
  <c r="S905" i="3"/>
  <c r="Q905" i="3"/>
  <c r="R905" i="3" s="1"/>
  <c r="A907" i="3" l="1"/>
  <c r="S906" i="3"/>
  <c r="P907" i="3"/>
  <c r="Q906" i="3"/>
  <c r="R906" i="3" s="1"/>
  <c r="P908" i="3" l="1"/>
  <c r="S907" i="3"/>
  <c r="Q907" i="3"/>
  <c r="R907" i="3" s="1"/>
  <c r="A908" i="3"/>
  <c r="A909" i="3" l="1"/>
  <c r="P909" i="3"/>
  <c r="Q908" i="3"/>
  <c r="R908" i="3" s="1"/>
  <c r="S908" i="3"/>
  <c r="P910" i="3" l="1"/>
  <c r="Q909" i="3"/>
  <c r="R909" i="3" s="1"/>
  <c r="A910" i="3"/>
  <c r="S909" i="3"/>
  <c r="A911" i="3" l="1"/>
  <c r="P911" i="3"/>
  <c r="Q910" i="3"/>
  <c r="R910" i="3" s="1"/>
  <c r="S910" i="3"/>
  <c r="P912" i="3" l="1"/>
  <c r="A912" i="3"/>
  <c r="S911" i="3"/>
  <c r="Q911" i="3"/>
  <c r="R911" i="3" s="1"/>
  <c r="A913" i="3" l="1"/>
  <c r="S912" i="3"/>
  <c r="P913" i="3"/>
  <c r="Q912" i="3"/>
  <c r="R912" i="3" s="1"/>
  <c r="P914" i="3" l="1"/>
  <c r="A914" i="3"/>
  <c r="S913" i="3"/>
  <c r="Q913" i="3"/>
  <c r="R913" i="3" s="1"/>
  <c r="A915" i="3" l="1"/>
  <c r="S914" i="3"/>
  <c r="P915" i="3"/>
  <c r="Q914" i="3"/>
  <c r="R914" i="3" s="1"/>
  <c r="P916" i="3" l="1"/>
  <c r="S915" i="3"/>
  <c r="Q915" i="3"/>
  <c r="R915" i="3" s="1"/>
  <c r="A916" i="3"/>
  <c r="A917" i="3" l="1"/>
  <c r="P917" i="3"/>
  <c r="Q916" i="3"/>
  <c r="R916" i="3" s="1"/>
  <c r="S916" i="3"/>
  <c r="P918" i="3" l="1"/>
  <c r="Q917" i="3"/>
  <c r="R917" i="3" s="1"/>
  <c r="A918" i="3"/>
  <c r="S917" i="3"/>
  <c r="A919" i="3" l="1"/>
  <c r="P919" i="3"/>
  <c r="Q918" i="3"/>
  <c r="R918" i="3" s="1"/>
  <c r="S918" i="3"/>
  <c r="P920" i="3" l="1"/>
  <c r="A920" i="3"/>
  <c r="S919" i="3"/>
  <c r="Q919" i="3"/>
  <c r="R919" i="3" s="1"/>
  <c r="A921" i="3" l="1"/>
  <c r="S920" i="3"/>
  <c r="P921" i="3"/>
  <c r="Q920" i="3"/>
  <c r="R920" i="3" s="1"/>
  <c r="P922" i="3" l="1"/>
  <c r="A922" i="3"/>
  <c r="S921" i="3"/>
  <c r="Q921" i="3"/>
  <c r="R921" i="3" s="1"/>
  <c r="A923" i="3" l="1"/>
  <c r="S922" i="3"/>
  <c r="P923" i="3"/>
  <c r="Q922" i="3"/>
  <c r="R922" i="3" s="1"/>
  <c r="P924" i="3" l="1"/>
  <c r="S923" i="3"/>
  <c r="Q923" i="3"/>
  <c r="R923" i="3" s="1"/>
  <c r="A924" i="3"/>
  <c r="A925" i="3" l="1"/>
  <c r="P925" i="3"/>
  <c r="Q924" i="3"/>
  <c r="R924" i="3" s="1"/>
  <c r="S924" i="3"/>
  <c r="P926" i="3" l="1"/>
  <c r="Q925" i="3"/>
  <c r="R925" i="3" s="1"/>
  <c r="A926" i="3"/>
  <c r="S925" i="3"/>
  <c r="A927" i="3" l="1"/>
  <c r="P927" i="3"/>
  <c r="Q926" i="3"/>
  <c r="R926" i="3" s="1"/>
  <c r="S926" i="3"/>
  <c r="P928" i="3" l="1"/>
  <c r="A928" i="3"/>
  <c r="S927" i="3"/>
  <c r="Q927" i="3"/>
  <c r="R927" i="3" s="1"/>
  <c r="A929" i="3" l="1"/>
  <c r="S928" i="3"/>
  <c r="Q928" i="3"/>
  <c r="R928" i="3" s="1"/>
  <c r="P929" i="3"/>
  <c r="P930" i="3" l="1"/>
  <c r="A930" i="3"/>
  <c r="S929" i="3"/>
  <c r="Q929" i="3"/>
  <c r="R929" i="3" s="1"/>
  <c r="A931" i="3" l="1"/>
  <c r="S930" i="3"/>
  <c r="P931" i="3"/>
  <c r="Q930" i="3"/>
  <c r="R930" i="3" s="1"/>
  <c r="P932" i="3" l="1"/>
  <c r="S931" i="3"/>
  <c r="Q931" i="3"/>
  <c r="R931" i="3" s="1"/>
  <c r="A932" i="3"/>
  <c r="A933" i="3" l="1"/>
  <c r="P933" i="3"/>
  <c r="Q932" i="3"/>
  <c r="R932" i="3" s="1"/>
  <c r="S932" i="3"/>
  <c r="P934" i="3" l="1"/>
  <c r="Q933" i="3"/>
  <c r="R933" i="3" s="1"/>
  <c r="A934" i="3"/>
  <c r="S933" i="3"/>
  <c r="A935" i="3" l="1"/>
  <c r="P935" i="3"/>
  <c r="Q934" i="3"/>
  <c r="R934" i="3" s="1"/>
  <c r="S934" i="3"/>
  <c r="P936" i="3" l="1"/>
  <c r="A936" i="3"/>
  <c r="S935" i="3"/>
  <c r="Q935" i="3"/>
  <c r="R935" i="3" s="1"/>
  <c r="A937" i="3" l="1"/>
  <c r="S936" i="3"/>
  <c r="P937" i="3"/>
  <c r="Q936" i="3"/>
  <c r="R936" i="3" s="1"/>
  <c r="P938" i="3" l="1"/>
  <c r="A938" i="3"/>
  <c r="S937" i="3"/>
  <c r="Q937" i="3"/>
  <c r="R937" i="3" s="1"/>
  <c r="A939" i="3" l="1"/>
  <c r="S938" i="3"/>
  <c r="P939" i="3"/>
  <c r="Q938" i="3"/>
  <c r="R938" i="3" s="1"/>
  <c r="P940" i="3" l="1"/>
  <c r="S939" i="3"/>
  <c r="Q939" i="3"/>
  <c r="R939" i="3" s="1"/>
  <c r="A940" i="3"/>
  <c r="A941" i="3" l="1"/>
  <c r="P941" i="3"/>
  <c r="Q940" i="3"/>
  <c r="R940" i="3" s="1"/>
  <c r="S940" i="3"/>
  <c r="P942" i="3" l="1"/>
  <c r="Q941" i="3"/>
  <c r="R941" i="3" s="1"/>
  <c r="A942" i="3"/>
  <c r="S941" i="3"/>
  <c r="A943" i="3" l="1"/>
  <c r="P943" i="3"/>
  <c r="Q942" i="3"/>
  <c r="R942" i="3" s="1"/>
  <c r="S942" i="3"/>
  <c r="P944" i="3" l="1"/>
  <c r="A944" i="3"/>
  <c r="S943" i="3"/>
  <c r="Q943" i="3"/>
  <c r="R943" i="3" s="1"/>
  <c r="A945" i="3" l="1"/>
  <c r="S944" i="3"/>
  <c r="P945" i="3"/>
  <c r="Q944" i="3"/>
  <c r="R944" i="3" s="1"/>
  <c r="P946" i="3" l="1"/>
  <c r="A946" i="3"/>
  <c r="S945" i="3"/>
  <c r="Q945" i="3"/>
  <c r="R945" i="3" s="1"/>
  <c r="A947" i="3" l="1"/>
  <c r="S946" i="3"/>
  <c r="P947" i="3"/>
  <c r="Q946" i="3"/>
  <c r="R946" i="3" s="1"/>
  <c r="P948" i="3" l="1"/>
  <c r="S947" i="3"/>
  <c r="Q947" i="3"/>
  <c r="R947" i="3" s="1"/>
  <c r="A948" i="3"/>
  <c r="A949" i="3" l="1"/>
  <c r="P949" i="3"/>
  <c r="Q948" i="3"/>
  <c r="R948" i="3" s="1"/>
  <c r="S948" i="3"/>
  <c r="P950" i="3" l="1"/>
  <c r="Q949" i="3"/>
  <c r="R949" i="3" s="1"/>
  <c r="A950" i="3"/>
  <c r="S949" i="3"/>
  <c r="A951" i="3" l="1"/>
  <c r="P951" i="3"/>
  <c r="Q950" i="3"/>
  <c r="R950" i="3" s="1"/>
  <c r="S950" i="3"/>
  <c r="P952" i="3" l="1"/>
  <c r="A952" i="3"/>
  <c r="S951" i="3"/>
  <c r="Q951" i="3"/>
  <c r="R951" i="3" s="1"/>
  <c r="A953" i="3" l="1"/>
  <c r="S952" i="3"/>
  <c r="P953" i="3"/>
  <c r="Q952" i="3"/>
  <c r="R952" i="3" s="1"/>
  <c r="P954" i="3" l="1"/>
  <c r="A954" i="3"/>
  <c r="S953" i="3"/>
  <c r="Q953" i="3"/>
  <c r="R953" i="3" s="1"/>
  <c r="A955" i="3" l="1"/>
  <c r="S954" i="3"/>
  <c r="P955" i="3"/>
  <c r="Q954" i="3"/>
  <c r="R954" i="3" s="1"/>
  <c r="P956" i="3" l="1"/>
  <c r="S955" i="3"/>
  <c r="Q955" i="3"/>
  <c r="R955" i="3" s="1"/>
  <c r="A956" i="3"/>
  <c r="A957" i="3" l="1"/>
  <c r="P957" i="3"/>
  <c r="Q956" i="3"/>
  <c r="R956" i="3" s="1"/>
  <c r="S956" i="3"/>
  <c r="P958" i="3" l="1"/>
  <c r="Q957" i="3"/>
  <c r="R957" i="3" s="1"/>
  <c r="A958" i="3"/>
  <c r="S957" i="3"/>
  <c r="A959" i="3" l="1"/>
  <c r="P959" i="3"/>
  <c r="Q958" i="3"/>
  <c r="R958" i="3" s="1"/>
  <c r="S958" i="3"/>
  <c r="P960" i="3" l="1"/>
  <c r="A960" i="3"/>
  <c r="S959" i="3"/>
  <c r="Q959" i="3"/>
  <c r="R959" i="3" s="1"/>
  <c r="A961" i="3" l="1"/>
  <c r="S960" i="3"/>
  <c r="Q960" i="3"/>
  <c r="R960" i="3" s="1"/>
  <c r="P961" i="3"/>
  <c r="P962" i="3" l="1"/>
  <c r="A962" i="3"/>
  <c r="S961" i="3"/>
  <c r="Q961" i="3"/>
  <c r="R961" i="3" s="1"/>
  <c r="A963" i="3" l="1"/>
  <c r="S962" i="3"/>
  <c r="P963" i="3"/>
  <c r="Q962" i="3"/>
  <c r="R962" i="3" s="1"/>
  <c r="P964" i="3" l="1"/>
  <c r="S963" i="3"/>
  <c r="Q963" i="3"/>
  <c r="R963" i="3" s="1"/>
  <c r="A964" i="3"/>
  <c r="A965" i="3" l="1"/>
  <c r="P965" i="3"/>
  <c r="Q964" i="3"/>
  <c r="R964" i="3" s="1"/>
  <c r="S964" i="3"/>
  <c r="P966" i="3" l="1"/>
  <c r="Q965" i="3"/>
  <c r="R965" i="3" s="1"/>
  <c r="A966" i="3"/>
  <c r="S965" i="3"/>
  <c r="A967" i="3" l="1"/>
  <c r="P967" i="3"/>
  <c r="Q966" i="3"/>
  <c r="R966" i="3" s="1"/>
  <c r="S966" i="3"/>
  <c r="P968" i="3" l="1"/>
  <c r="A968" i="3"/>
  <c r="S967" i="3"/>
  <c r="Q967" i="3"/>
  <c r="R967" i="3" s="1"/>
  <c r="A969" i="3" l="1"/>
  <c r="S968" i="3"/>
  <c r="Q968" i="3"/>
  <c r="R968" i="3" s="1"/>
  <c r="P969" i="3"/>
  <c r="P970" i="3" l="1"/>
  <c r="A970" i="3"/>
  <c r="S969" i="3"/>
  <c r="Q969" i="3"/>
  <c r="R969" i="3" s="1"/>
  <c r="A971" i="3" l="1"/>
  <c r="S970" i="3"/>
  <c r="P971" i="3"/>
  <c r="Q970" i="3"/>
  <c r="R970" i="3" s="1"/>
  <c r="P972" i="3" l="1"/>
  <c r="S971" i="3"/>
  <c r="Q971" i="3"/>
  <c r="R971" i="3" s="1"/>
  <c r="A972" i="3"/>
  <c r="A973" i="3" l="1"/>
  <c r="P973" i="3"/>
  <c r="Q972" i="3"/>
  <c r="R972" i="3" s="1"/>
  <c r="S972" i="3"/>
  <c r="P974" i="3" l="1"/>
  <c r="Q973" i="3"/>
  <c r="R973" i="3" s="1"/>
  <c r="A974" i="3"/>
  <c r="S973" i="3"/>
  <c r="A975" i="3" l="1"/>
  <c r="P975" i="3"/>
  <c r="Q974" i="3"/>
  <c r="R974" i="3" s="1"/>
  <c r="S974" i="3"/>
  <c r="P976" i="3" l="1"/>
  <c r="A976" i="3"/>
  <c r="S975" i="3"/>
  <c r="Q975" i="3"/>
  <c r="R975" i="3" s="1"/>
  <c r="A977" i="3" l="1"/>
  <c r="S976" i="3"/>
  <c r="P977" i="3"/>
  <c r="Q976" i="3"/>
  <c r="R976" i="3" s="1"/>
  <c r="P978" i="3" l="1"/>
  <c r="A978" i="3"/>
  <c r="S977" i="3"/>
  <c r="Q977" i="3"/>
  <c r="R977" i="3" s="1"/>
  <c r="A979" i="3" l="1"/>
  <c r="S978" i="3"/>
  <c r="P979" i="3"/>
  <c r="Q978" i="3"/>
  <c r="R978" i="3" s="1"/>
  <c r="P980" i="3" l="1"/>
  <c r="S979" i="3"/>
  <c r="Q979" i="3"/>
  <c r="R979" i="3" s="1"/>
  <c r="A980" i="3"/>
  <c r="A981" i="3" l="1"/>
  <c r="P981" i="3"/>
  <c r="Q980" i="3"/>
  <c r="R980" i="3" s="1"/>
  <c r="S980" i="3"/>
  <c r="P982" i="3" l="1"/>
  <c r="Q981" i="3"/>
  <c r="R981" i="3" s="1"/>
  <c r="A982" i="3"/>
  <c r="S981" i="3"/>
  <c r="A983" i="3" l="1"/>
  <c r="P983" i="3"/>
  <c r="Q982" i="3"/>
  <c r="R982" i="3" s="1"/>
  <c r="S982" i="3"/>
  <c r="P984" i="3" l="1"/>
  <c r="A984" i="3"/>
  <c r="S983" i="3"/>
  <c r="Q983" i="3"/>
  <c r="R983" i="3" s="1"/>
  <c r="A985" i="3" l="1"/>
  <c r="S984" i="3"/>
  <c r="P985" i="3"/>
  <c r="Q984" i="3"/>
  <c r="R984" i="3" s="1"/>
  <c r="P986" i="3" l="1"/>
  <c r="A986" i="3"/>
  <c r="S985" i="3"/>
  <c r="Q985" i="3"/>
  <c r="R985" i="3" s="1"/>
  <c r="A987" i="3" l="1"/>
  <c r="S986" i="3"/>
  <c r="P987" i="3"/>
  <c r="Q986" i="3"/>
  <c r="R986" i="3" s="1"/>
  <c r="P988" i="3" l="1"/>
  <c r="S987" i="3"/>
  <c r="Q987" i="3"/>
  <c r="R987" i="3" s="1"/>
  <c r="A988" i="3"/>
  <c r="A989" i="3" l="1"/>
  <c r="P989" i="3"/>
  <c r="Q988" i="3"/>
  <c r="R988" i="3" s="1"/>
  <c r="S988" i="3"/>
  <c r="P990" i="3" l="1"/>
  <c r="Q989" i="3"/>
  <c r="R989" i="3" s="1"/>
  <c r="A990" i="3"/>
  <c r="S989" i="3"/>
  <c r="A991" i="3" l="1"/>
  <c r="P991" i="3"/>
  <c r="Q990" i="3"/>
  <c r="R990" i="3" s="1"/>
  <c r="S990" i="3"/>
  <c r="P992" i="3" l="1"/>
  <c r="A992" i="3"/>
  <c r="S991" i="3"/>
  <c r="Q991" i="3"/>
  <c r="R991" i="3" s="1"/>
  <c r="A993" i="3" l="1"/>
  <c r="S992" i="3"/>
  <c r="Q992" i="3"/>
  <c r="R992" i="3" s="1"/>
  <c r="P993" i="3"/>
  <c r="P994" i="3" l="1"/>
  <c r="A994" i="3"/>
  <c r="S993" i="3"/>
  <c r="Q993" i="3"/>
  <c r="R993" i="3" s="1"/>
  <c r="A995" i="3" l="1"/>
  <c r="S994" i="3"/>
  <c r="P995" i="3"/>
  <c r="Q994" i="3"/>
  <c r="R994" i="3" s="1"/>
  <c r="P996" i="3" l="1"/>
  <c r="S995" i="3"/>
  <c r="Q995" i="3"/>
  <c r="R995" i="3" s="1"/>
  <c r="A996" i="3"/>
  <c r="A997" i="3" l="1"/>
  <c r="P997" i="3"/>
  <c r="Q996" i="3"/>
  <c r="R996" i="3" s="1"/>
  <c r="S996" i="3"/>
  <c r="P998" i="3" l="1"/>
  <c r="Q997" i="3"/>
  <c r="R997" i="3" s="1"/>
  <c r="A998" i="3"/>
  <c r="S997" i="3"/>
  <c r="A999" i="3" l="1"/>
  <c r="P999" i="3"/>
  <c r="Q998" i="3"/>
  <c r="R998" i="3" s="1"/>
  <c r="S998" i="3"/>
  <c r="P1000" i="3" l="1"/>
  <c r="A1000" i="3"/>
  <c r="S999" i="3"/>
  <c r="Q999" i="3"/>
  <c r="R999" i="3" s="1"/>
  <c r="A1001" i="3" l="1"/>
  <c r="S1000" i="3"/>
  <c r="P1001" i="3"/>
  <c r="Q1000" i="3"/>
  <c r="R1000" i="3" s="1"/>
  <c r="P1002" i="3" l="1"/>
  <c r="A1002" i="3"/>
  <c r="S1001" i="3"/>
  <c r="Q1001" i="3"/>
  <c r="R1001" i="3" s="1"/>
  <c r="A1003" i="3" l="1"/>
  <c r="S1002" i="3"/>
  <c r="P1003" i="3"/>
  <c r="Q1002" i="3"/>
  <c r="R1002" i="3" s="1"/>
  <c r="P1004" i="3" l="1"/>
  <c r="S1003" i="3"/>
  <c r="Q1003" i="3"/>
  <c r="R1003" i="3" s="1"/>
  <c r="A1004" i="3"/>
  <c r="A1005" i="3" l="1"/>
  <c r="P1005" i="3"/>
  <c r="Q1004" i="3"/>
  <c r="R1004" i="3" s="1"/>
  <c r="S1004" i="3"/>
  <c r="P1006" i="3" l="1"/>
  <c r="Q1005" i="3"/>
  <c r="R1005" i="3" s="1"/>
  <c r="A1006" i="3"/>
  <c r="S1005" i="3"/>
  <c r="A1007" i="3" l="1"/>
  <c r="P1007" i="3"/>
  <c r="Q1006" i="3"/>
  <c r="R1006" i="3" s="1"/>
  <c r="S1006" i="3"/>
  <c r="P1008" i="3" l="1"/>
  <c r="A1008" i="3"/>
  <c r="S1007" i="3"/>
  <c r="Q1007" i="3"/>
  <c r="R1007" i="3" s="1"/>
  <c r="A1009" i="3" l="1"/>
  <c r="S1008" i="3"/>
  <c r="P1009" i="3"/>
  <c r="Q1008" i="3"/>
  <c r="R1008" i="3" s="1"/>
  <c r="P1010" i="3" l="1"/>
  <c r="A1010" i="3"/>
  <c r="S1009" i="3"/>
  <c r="Q1009" i="3"/>
  <c r="R1009" i="3" s="1"/>
  <c r="A1011" i="3" l="1"/>
  <c r="S1010" i="3"/>
  <c r="P1011" i="3"/>
  <c r="Q1010" i="3"/>
  <c r="R1010" i="3" s="1"/>
  <c r="P1012" i="3" l="1"/>
  <c r="S1011" i="3"/>
  <c r="Q1011" i="3"/>
  <c r="R1011" i="3" s="1"/>
  <c r="A1012" i="3"/>
  <c r="A1013" i="3" l="1"/>
  <c r="P1013" i="3"/>
  <c r="Q1012" i="3"/>
  <c r="R1012" i="3" s="1"/>
  <c r="S1012" i="3"/>
  <c r="P1014" i="3" l="1"/>
  <c r="Q1013" i="3"/>
  <c r="R1013" i="3" s="1"/>
  <c r="A1014" i="3"/>
  <c r="S1013" i="3"/>
  <c r="A1015" i="3" l="1"/>
  <c r="P1015" i="3"/>
  <c r="Q1014" i="3"/>
  <c r="R1014" i="3" s="1"/>
  <c r="S1014" i="3"/>
  <c r="P1016" i="3" l="1"/>
  <c r="A1016" i="3"/>
  <c r="S1015" i="3"/>
  <c r="Q1015" i="3"/>
  <c r="R1015" i="3" s="1"/>
  <c r="A1017" i="3" l="1"/>
  <c r="S1016" i="3"/>
  <c r="P1017" i="3"/>
  <c r="Q1016" i="3"/>
  <c r="R1016" i="3" s="1"/>
  <c r="P1018" i="3" l="1"/>
  <c r="A1018" i="3"/>
  <c r="S1017" i="3"/>
  <c r="Q1017" i="3"/>
  <c r="R1017" i="3" s="1"/>
  <c r="A1019" i="3" l="1"/>
  <c r="S1018" i="3"/>
  <c r="P1019" i="3"/>
  <c r="Q1018" i="3"/>
  <c r="R1018" i="3" s="1"/>
  <c r="P1020" i="3" l="1"/>
  <c r="S1019" i="3"/>
  <c r="Q1019" i="3"/>
  <c r="R1019" i="3" s="1"/>
  <c r="A1020" i="3"/>
  <c r="A1021" i="3" l="1"/>
  <c r="P1021" i="3"/>
  <c r="Q1020" i="3"/>
  <c r="R1020" i="3" s="1"/>
  <c r="S1020" i="3"/>
  <c r="P1022" i="3" l="1"/>
  <c r="Q1021" i="3"/>
  <c r="R1021" i="3" s="1"/>
  <c r="A1022" i="3"/>
  <c r="S1021" i="3"/>
  <c r="A1023" i="3" l="1"/>
  <c r="P1023" i="3"/>
  <c r="Q1022" i="3"/>
  <c r="R1022" i="3" s="1"/>
  <c r="S1022" i="3"/>
  <c r="P1024" i="3" l="1"/>
  <c r="A1024" i="3"/>
  <c r="S1023" i="3"/>
  <c r="Q1023" i="3"/>
  <c r="R1023" i="3" s="1"/>
  <c r="A1025" i="3" l="1"/>
  <c r="S1024" i="3"/>
  <c r="Q1024" i="3"/>
  <c r="R1024" i="3" s="1"/>
  <c r="P1025" i="3"/>
  <c r="P1026" i="3" l="1"/>
  <c r="A1026" i="3"/>
  <c r="S1025" i="3"/>
  <c r="Q1025" i="3"/>
  <c r="R1025" i="3" s="1"/>
  <c r="A1027" i="3" l="1"/>
  <c r="S1026" i="3"/>
  <c r="P1027" i="3"/>
  <c r="Q1026" i="3"/>
  <c r="R1026" i="3" s="1"/>
  <c r="P1028" i="3" l="1"/>
  <c r="S1027" i="3"/>
  <c r="Q1027" i="3"/>
  <c r="R1027" i="3" s="1"/>
  <c r="A1028" i="3"/>
  <c r="A1029" i="3" l="1"/>
  <c r="P1029" i="3"/>
  <c r="Q1028" i="3"/>
  <c r="R1028" i="3" s="1"/>
  <c r="S1028" i="3"/>
  <c r="P1030" i="3" l="1"/>
  <c r="Q1029" i="3"/>
  <c r="R1029" i="3" s="1"/>
  <c r="A1030" i="3"/>
  <c r="S1029" i="3"/>
  <c r="A1031" i="3" l="1"/>
  <c r="P1031" i="3"/>
  <c r="Q1030" i="3"/>
  <c r="R1030" i="3" s="1"/>
  <c r="S1030" i="3"/>
  <c r="P1032" i="3" l="1"/>
  <c r="A1032" i="3"/>
  <c r="S1031" i="3"/>
  <c r="Q1031" i="3"/>
  <c r="R1031" i="3" s="1"/>
  <c r="A1033" i="3" l="1"/>
  <c r="S1032" i="3"/>
  <c r="Q1032" i="3"/>
  <c r="R1032" i="3" s="1"/>
  <c r="P1033" i="3"/>
  <c r="P1034" i="3" l="1"/>
  <c r="A1034" i="3"/>
  <c r="S1033" i="3"/>
  <c r="Q1033" i="3"/>
  <c r="R1033" i="3" s="1"/>
  <c r="A1035" i="3" l="1"/>
  <c r="S1034" i="3"/>
  <c r="P1035" i="3"/>
  <c r="Q1034" i="3"/>
  <c r="R1034" i="3" s="1"/>
  <c r="P1036" i="3" l="1"/>
  <c r="S1035" i="3"/>
  <c r="Q1035" i="3"/>
  <c r="R1035" i="3" s="1"/>
  <c r="A1036" i="3"/>
  <c r="A1037" i="3" l="1"/>
  <c r="P1037" i="3"/>
  <c r="Q1036" i="3"/>
  <c r="R1036" i="3" s="1"/>
  <c r="S1036" i="3"/>
  <c r="P1038" i="3" l="1"/>
  <c r="Q1037" i="3"/>
  <c r="R1037" i="3" s="1"/>
  <c r="A1038" i="3"/>
  <c r="S1037" i="3"/>
  <c r="A1039" i="3" l="1"/>
  <c r="P1039" i="3"/>
  <c r="Q1038" i="3"/>
  <c r="R1038" i="3" s="1"/>
  <c r="S1038" i="3"/>
  <c r="P1040" i="3" l="1"/>
  <c r="A1040" i="3"/>
  <c r="S1039" i="3"/>
  <c r="Q1039" i="3"/>
  <c r="R1039" i="3" s="1"/>
  <c r="A1041" i="3" l="1"/>
  <c r="S1040" i="3"/>
  <c r="P1041" i="3"/>
  <c r="Q1040" i="3"/>
  <c r="R1040" i="3" s="1"/>
  <c r="P1042" i="3" l="1"/>
  <c r="A1042" i="3"/>
  <c r="S1041" i="3"/>
  <c r="Q1041" i="3"/>
  <c r="R1041" i="3" s="1"/>
  <c r="A1043" i="3" l="1"/>
  <c r="S1042" i="3"/>
  <c r="P1043" i="3"/>
  <c r="Q1042" i="3"/>
  <c r="R1042" i="3" s="1"/>
  <c r="P1044" i="3" l="1"/>
  <c r="S1043" i="3"/>
  <c r="Q1043" i="3"/>
  <c r="R1043" i="3" s="1"/>
  <c r="A1044" i="3"/>
  <c r="A1045" i="3" l="1"/>
  <c r="P1045" i="3"/>
  <c r="Q1044" i="3"/>
  <c r="R1044" i="3" s="1"/>
  <c r="S1044" i="3"/>
  <c r="P1046" i="3" l="1"/>
  <c r="Q1045" i="3"/>
  <c r="R1045" i="3" s="1"/>
  <c r="A1046" i="3"/>
  <c r="S1045" i="3"/>
  <c r="A1047" i="3" l="1"/>
  <c r="P1047" i="3"/>
  <c r="Q1046" i="3"/>
  <c r="R1046" i="3" s="1"/>
  <c r="S1046" i="3"/>
  <c r="P1048" i="3" l="1"/>
  <c r="A1048" i="3"/>
  <c r="S1047" i="3"/>
  <c r="Q1047" i="3"/>
  <c r="R1047" i="3" s="1"/>
  <c r="A1049" i="3" l="1"/>
  <c r="S1048" i="3"/>
  <c r="P1049" i="3"/>
  <c r="Q1048" i="3"/>
  <c r="R1048" i="3" s="1"/>
  <c r="P1050" i="3" l="1"/>
  <c r="A1050" i="3"/>
  <c r="S1049" i="3"/>
  <c r="Q1049" i="3"/>
  <c r="R1049" i="3" s="1"/>
  <c r="A1051" i="3" l="1"/>
  <c r="S1050" i="3"/>
  <c r="P1051" i="3"/>
  <c r="Q1050" i="3"/>
  <c r="R1050" i="3" s="1"/>
  <c r="P1052" i="3" l="1"/>
  <c r="S1051" i="3"/>
  <c r="Q1051" i="3"/>
  <c r="R1051" i="3" s="1"/>
  <c r="A1052" i="3"/>
  <c r="A1053" i="3" l="1"/>
  <c r="P1053" i="3"/>
  <c r="Q1052" i="3"/>
  <c r="R1052" i="3" s="1"/>
  <c r="S1052" i="3"/>
  <c r="P1054" i="3" l="1"/>
  <c r="Q1053" i="3"/>
  <c r="R1053" i="3" s="1"/>
  <c r="A1054" i="3"/>
  <c r="S1053" i="3"/>
  <c r="A1055" i="3" l="1"/>
  <c r="P1055" i="3"/>
  <c r="Q1054" i="3"/>
  <c r="R1054" i="3" s="1"/>
  <c r="S1054" i="3"/>
  <c r="P1056" i="3" l="1"/>
  <c r="A1056" i="3"/>
  <c r="S1055" i="3"/>
  <c r="Q1055" i="3"/>
  <c r="R1055" i="3" s="1"/>
  <c r="A1057" i="3" l="1"/>
  <c r="S1056" i="3"/>
  <c r="Q1056" i="3"/>
  <c r="R1056" i="3" s="1"/>
  <c r="P1057" i="3"/>
  <c r="P1058" i="3" l="1"/>
  <c r="A1058" i="3"/>
  <c r="S1057" i="3"/>
  <c r="Q1057" i="3"/>
  <c r="R1057" i="3" s="1"/>
  <c r="A1059" i="3" l="1"/>
  <c r="S1058" i="3"/>
  <c r="P1059" i="3"/>
  <c r="Q1058" i="3"/>
  <c r="R1058" i="3" s="1"/>
  <c r="P1060" i="3" l="1"/>
  <c r="S1059" i="3"/>
  <c r="Q1059" i="3"/>
  <c r="R1059" i="3" s="1"/>
  <c r="A1060" i="3"/>
  <c r="A1061" i="3" l="1"/>
  <c r="P1061" i="3"/>
  <c r="Q1060" i="3"/>
  <c r="R1060" i="3" s="1"/>
  <c r="S1060" i="3"/>
  <c r="P1062" i="3" l="1"/>
  <c r="Q1061" i="3"/>
  <c r="R1061" i="3" s="1"/>
  <c r="A1062" i="3"/>
  <c r="S1061" i="3"/>
  <c r="A1063" i="3" l="1"/>
  <c r="P1063" i="3"/>
  <c r="Q1062" i="3"/>
  <c r="R1062" i="3" s="1"/>
  <c r="S1062" i="3"/>
  <c r="P1064" i="3" l="1"/>
  <c r="A1064" i="3"/>
  <c r="S1063" i="3"/>
  <c r="Q1063" i="3"/>
  <c r="R1063" i="3" s="1"/>
  <c r="A1065" i="3" l="1"/>
  <c r="S1064" i="3"/>
  <c r="P1065" i="3"/>
  <c r="Q1064" i="3"/>
  <c r="R1064" i="3" s="1"/>
  <c r="P1066" i="3" l="1"/>
  <c r="A1066" i="3"/>
  <c r="S1065" i="3"/>
  <c r="Q1065" i="3"/>
  <c r="R1065" i="3" s="1"/>
  <c r="A1067" i="3" l="1"/>
  <c r="S1066" i="3"/>
  <c r="P1067" i="3"/>
  <c r="Q1066" i="3"/>
  <c r="R1066" i="3" s="1"/>
  <c r="P1068" i="3" l="1"/>
  <c r="S1067" i="3"/>
  <c r="Q1067" i="3"/>
  <c r="R1067" i="3" s="1"/>
  <c r="A1068" i="3"/>
  <c r="A1069" i="3" l="1"/>
  <c r="P1069" i="3"/>
  <c r="Q1068" i="3"/>
  <c r="R1068" i="3" s="1"/>
  <c r="S1068" i="3"/>
  <c r="P1070" i="3" l="1"/>
  <c r="Q1069" i="3"/>
  <c r="R1069" i="3" s="1"/>
  <c r="A1070" i="3"/>
  <c r="S1069" i="3"/>
  <c r="A1071" i="3" l="1"/>
  <c r="P1071" i="3"/>
  <c r="Q1070" i="3"/>
  <c r="R1070" i="3" s="1"/>
  <c r="S1070" i="3"/>
  <c r="P1072" i="3" l="1"/>
  <c r="A1072" i="3"/>
  <c r="S1071" i="3"/>
  <c r="Q1071" i="3"/>
  <c r="R1071" i="3" s="1"/>
  <c r="A1073" i="3" l="1"/>
  <c r="S1072" i="3"/>
  <c r="P1073" i="3"/>
  <c r="Q1072" i="3"/>
  <c r="R1072" i="3" s="1"/>
  <c r="P1074" i="3" l="1"/>
  <c r="A1074" i="3"/>
  <c r="S1073" i="3"/>
  <c r="Q1073" i="3"/>
  <c r="R1073" i="3" s="1"/>
  <c r="A1075" i="3" l="1"/>
  <c r="S1074" i="3"/>
  <c r="P1075" i="3"/>
  <c r="Q1074" i="3"/>
  <c r="R1074" i="3" s="1"/>
  <c r="P1076" i="3" l="1"/>
  <c r="S1075" i="3"/>
  <c r="Q1075" i="3"/>
  <c r="R1075" i="3" s="1"/>
  <c r="A1076" i="3"/>
  <c r="A1077" i="3" l="1"/>
  <c r="P1077" i="3"/>
  <c r="Q1076" i="3"/>
  <c r="R1076" i="3" s="1"/>
  <c r="S1076" i="3"/>
  <c r="P1078" i="3" l="1"/>
  <c r="Q1077" i="3"/>
  <c r="R1077" i="3" s="1"/>
  <c r="A1078" i="3"/>
  <c r="S1077" i="3"/>
  <c r="A1079" i="3" l="1"/>
  <c r="P1079" i="3"/>
  <c r="Q1078" i="3"/>
  <c r="R1078" i="3" s="1"/>
  <c r="S1078" i="3"/>
  <c r="P1080" i="3" l="1"/>
  <c r="A1080" i="3"/>
  <c r="S1079" i="3"/>
  <c r="Q1079" i="3"/>
  <c r="R1079" i="3" s="1"/>
  <c r="A1081" i="3" l="1"/>
  <c r="S1080" i="3"/>
  <c r="P1081" i="3"/>
  <c r="Q1080" i="3"/>
  <c r="R1080" i="3" s="1"/>
  <c r="P1082" i="3" l="1"/>
  <c r="A1082" i="3"/>
  <c r="S1081" i="3"/>
  <c r="Q1081" i="3"/>
  <c r="R1081" i="3" s="1"/>
  <c r="A1083" i="3" l="1"/>
  <c r="S1082" i="3"/>
  <c r="P1083" i="3"/>
  <c r="Q1082" i="3"/>
  <c r="R1082" i="3" s="1"/>
  <c r="P1084" i="3" l="1"/>
  <c r="S1083" i="3"/>
  <c r="Q1083" i="3"/>
  <c r="R1083" i="3" s="1"/>
  <c r="A1084" i="3"/>
  <c r="A1085" i="3" l="1"/>
  <c r="P1085" i="3"/>
  <c r="Q1084" i="3"/>
  <c r="R1084" i="3" s="1"/>
  <c r="S1084" i="3"/>
  <c r="P1086" i="3" l="1"/>
  <c r="Q1085" i="3"/>
  <c r="R1085" i="3" s="1"/>
  <c r="A1086" i="3"/>
  <c r="S1085" i="3"/>
  <c r="A1087" i="3" l="1"/>
  <c r="P1087" i="3"/>
  <c r="Q1086" i="3"/>
  <c r="R1086" i="3" s="1"/>
  <c r="S1086" i="3"/>
  <c r="P1088" i="3" l="1"/>
  <c r="A1088" i="3"/>
  <c r="S1087" i="3"/>
  <c r="Q1087" i="3"/>
  <c r="R1087" i="3" s="1"/>
  <c r="A1089" i="3" l="1"/>
  <c r="S1088" i="3"/>
  <c r="Q1088" i="3"/>
  <c r="R1088" i="3" s="1"/>
  <c r="P1089" i="3"/>
  <c r="P1090" i="3" l="1"/>
  <c r="A1090" i="3"/>
  <c r="S1089" i="3"/>
  <c r="Q1089" i="3"/>
  <c r="R1089" i="3" s="1"/>
  <c r="A1091" i="3" l="1"/>
  <c r="S1090" i="3"/>
  <c r="P1091" i="3"/>
  <c r="Q1090" i="3"/>
  <c r="R1090" i="3" s="1"/>
  <c r="P1092" i="3" l="1"/>
  <c r="S1091" i="3"/>
  <c r="Q1091" i="3"/>
  <c r="R1091" i="3" s="1"/>
  <c r="A1092" i="3"/>
  <c r="A1093" i="3" l="1"/>
  <c r="P1093" i="3"/>
  <c r="Q1092" i="3"/>
  <c r="R1092" i="3" s="1"/>
  <c r="S1092" i="3"/>
  <c r="P1094" i="3" l="1"/>
  <c r="Q1093" i="3"/>
  <c r="R1093" i="3" s="1"/>
  <c r="A1094" i="3"/>
  <c r="S1093" i="3"/>
  <c r="A1095" i="3" l="1"/>
  <c r="P1095" i="3"/>
  <c r="Q1094" i="3"/>
  <c r="R1094" i="3" s="1"/>
  <c r="S1094" i="3"/>
  <c r="P1096" i="3" l="1"/>
  <c r="A1096" i="3"/>
  <c r="S1095" i="3"/>
  <c r="Q1095" i="3"/>
  <c r="R1095" i="3" s="1"/>
  <c r="A1097" i="3" l="1"/>
  <c r="S1096" i="3"/>
  <c r="Q1096" i="3"/>
  <c r="R1096" i="3" s="1"/>
  <c r="P1097" i="3"/>
  <c r="P1098" i="3" l="1"/>
  <c r="A1098" i="3"/>
  <c r="S1097" i="3"/>
  <c r="Q1097" i="3"/>
  <c r="R1097" i="3" s="1"/>
  <c r="A1099" i="3" l="1"/>
  <c r="S1098" i="3"/>
  <c r="P1099" i="3"/>
  <c r="Q1098" i="3"/>
  <c r="R1098" i="3" s="1"/>
  <c r="P1100" i="3" l="1"/>
  <c r="S1099" i="3"/>
  <c r="Q1099" i="3"/>
  <c r="R1099" i="3" s="1"/>
  <c r="A1100" i="3"/>
  <c r="A1101" i="3" l="1"/>
  <c r="P1101" i="3"/>
  <c r="Q1100" i="3"/>
  <c r="R1100" i="3" s="1"/>
  <c r="S1100" i="3"/>
  <c r="P1102" i="3" l="1"/>
  <c r="Q1101" i="3"/>
  <c r="R1101" i="3" s="1"/>
  <c r="A1102" i="3"/>
  <c r="S1101" i="3"/>
  <c r="A1103" i="3" l="1"/>
  <c r="P1103" i="3"/>
  <c r="Q1102" i="3"/>
  <c r="R1102" i="3" s="1"/>
  <c r="S1102" i="3"/>
  <c r="P1104" i="3" l="1"/>
  <c r="A1104" i="3"/>
  <c r="S1103" i="3"/>
  <c r="Q1103" i="3"/>
  <c r="R1103" i="3" s="1"/>
  <c r="A1105" i="3" l="1"/>
  <c r="S1104" i="3"/>
  <c r="P1105" i="3"/>
  <c r="Q1104" i="3"/>
  <c r="R1104" i="3" s="1"/>
  <c r="P1106" i="3" l="1"/>
  <c r="A1106" i="3"/>
  <c r="S1105" i="3"/>
  <c r="Q1105" i="3"/>
  <c r="R1105" i="3" s="1"/>
  <c r="A1107" i="3" l="1"/>
  <c r="S1106" i="3"/>
  <c r="P1107" i="3"/>
  <c r="Q1106" i="3"/>
  <c r="R1106" i="3" s="1"/>
  <c r="P1108" i="3" l="1"/>
  <c r="S1107" i="3"/>
  <c r="Q1107" i="3"/>
  <c r="R1107" i="3" s="1"/>
  <c r="A1108" i="3"/>
  <c r="A1109" i="3" l="1"/>
  <c r="P1109" i="3"/>
  <c r="Q1108" i="3"/>
  <c r="R1108" i="3" s="1"/>
  <c r="S1108" i="3"/>
  <c r="P1110" i="3" l="1"/>
  <c r="A1110" i="3"/>
  <c r="Q1109" i="3"/>
  <c r="R1109" i="3" s="1"/>
  <c r="S1109" i="3"/>
  <c r="A1111" i="3" l="1"/>
  <c r="S1110" i="3"/>
  <c r="Q1110" i="3"/>
  <c r="R1110" i="3" s="1"/>
  <c r="P1111" i="3"/>
  <c r="P1112" i="3" l="1"/>
  <c r="S1111" i="3"/>
  <c r="A1112" i="3"/>
  <c r="Q1111" i="3"/>
  <c r="R1111" i="3" s="1"/>
  <c r="A1113" i="3" l="1"/>
  <c r="S1112" i="3"/>
  <c r="Q1112" i="3"/>
  <c r="R1112" i="3" s="1"/>
  <c r="P1113" i="3"/>
  <c r="P1114" i="3" l="1"/>
  <c r="Q1113" i="3"/>
  <c r="R1113" i="3" s="1"/>
  <c r="A1114" i="3"/>
  <c r="S1113" i="3"/>
  <c r="A1115" i="3" l="1"/>
  <c r="P1115" i="3"/>
  <c r="Q1114" i="3"/>
  <c r="R1114" i="3" s="1"/>
  <c r="S1114" i="3"/>
  <c r="P1116" i="3" l="1"/>
  <c r="Q1115" i="3"/>
  <c r="R1115" i="3" s="1"/>
  <c r="A1116" i="3"/>
  <c r="S1115" i="3"/>
  <c r="A1117" i="3" l="1"/>
  <c r="P1117" i="3"/>
  <c r="Q1116" i="3"/>
  <c r="R1116" i="3" s="1"/>
  <c r="S1116" i="3"/>
  <c r="P1118" i="3" l="1"/>
  <c r="A1118" i="3"/>
  <c r="S1117" i="3"/>
  <c r="Q1117" i="3"/>
  <c r="R1117" i="3" s="1"/>
  <c r="A1119" i="3" l="1"/>
  <c r="S1118" i="3"/>
  <c r="Q1118" i="3"/>
  <c r="R1118" i="3" s="1"/>
  <c r="P1119" i="3"/>
  <c r="P1120" i="3" l="1"/>
  <c r="S1119" i="3"/>
  <c r="Q1119" i="3"/>
  <c r="R1119" i="3" s="1"/>
  <c r="A1120" i="3"/>
  <c r="A1121" i="3" l="1"/>
  <c r="S1120" i="3"/>
  <c r="Q1120" i="3"/>
  <c r="R1120" i="3" s="1"/>
  <c r="P1121" i="3"/>
  <c r="P1122" i="3" l="1"/>
  <c r="Q1121" i="3"/>
  <c r="R1121" i="3" s="1"/>
  <c r="A1122" i="3"/>
  <c r="S1121" i="3"/>
  <c r="A1123" i="3" l="1"/>
  <c r="P1123" i="3"/>
  <c r="Q1122" i="3"/>
  <c r="R1122" i="3" s="1"/>
  <c r="S1122" i="3"/>
  <c r="P1124" i="3" l="1"/>
  <c r="A1124" i="3"/>
  <c r="S1123" i="3"/>
  <c r="Q1123" i="3"/>
  <c r="R1123" i="3" s="1"/>
  <c r="A1125" i="3" l="1"/>
  <c r="S1124" i="3"/>
  <c r="Q1124" i="3"/>
  <c r="R1124" i="3" s="1"/>
  <c r="P1125" i="3"/>
  <c r="P1126" i="3" l="1"/>
  <c r="A1126" i="3"/>
  <c r="S1125" i="3"/>
  <c r="Q1125" i="3"/>
  <c r="R1125" i="3" s="1"/>
  <c r="A1127" i="3" l="1"/>
  <c r="S1126" i="3"/>
  <c r="P1127" i="3"/>
  <c r="Q1126" i="3"/>
  <c r="R1126" i="3" s="1"/>
  <c r="P1128" i="3" l="1"/>
  <c r="S1127" i="3"/>
  <c r="A1128" i="3"/>
  <c r="Q1127" i="3"/>
  <c r="R1127" i="3" s="1"/>
  <c r="A1129" i="3" l="1"/>
  <c r="Q1128" i="3"/>
  <c r="R1128" i="3" s="1"/>
  <c r="P1129" i="3"/>
  <c r="S1128" i="3"/>
  <c r="P1130" i="3" l="1"/>
  <c r="Q1129" i="3"/>
  <c r="R1129" i="3" s="1"/>
  <c r="S1129" i="3"/>
  <c r="A1130" i="3"/>
  <c r="A1131" i="3" l="1"/>
  <c r="P1131" i="3"/>
  <c r="Q1130" i="3"/>
  <c r="R1130" i="3" s="1"/>
  <c r="S1130" i="3"/>
  <c r="P1132" i="3" l="1"/>
  <c r="A1132" i="3"/>
  <c r="S1131" i="3"/>
  <c r="Q1131" i="3"/>
  <c r="R1131" i="3" s="1"/>
  <c r="A1133" i="3" l="1"/>
  <c r="S1132" i="3"/>
  <c r="P1133" i="3"/>
  <c r="Q1132" i="3"/>
  <c r="R1132" i="3" s="1"/>
  <c r="P1134" i="3" l="1"/>
  <c r="A1134" i="3"/>
  <c r="S1133" i="3"/>
  <c r="Q1133" i="3"/>
  <c r="R1133" i="3" s="1"/>
  <c r="A1135" i="3" l="1"/>
  <c r="S1134" i="3"/>
  <c r="Q1134" i="3"/>
  <c r="R1134" i="3" s="1"/>
  <c r="P1135" i="3"/>
  <c r="P1136" i="3" l="1"/>
  <c r="S1135" i="3"/>
  <c r="A1136" i="3"/>
  <c r="Q1135" i="3"/>
  <c r="R1135" i="3" s="1"/>
  <c r="A1137" i="3" l="1"/>
  <c r="P1137" i="3"/>
  <c r="S1136" i="3"/>
  <c r="Q1136" i="3"/>
  <c r="R1136" i="3" s="1"/>
  <c r="P1138" i="3" l="1"/>
  <c r="Q1137" i="3"/>
  <c r="R1137" i="3" s="1"/>
  <c r="A1138" i="3"/>
  <c r="S1137" i="3"/>
  <c r="A1139" i="3" l="1"/>
  <c r="P1139" i="3"/>
  <c r="Q1138" i="3"/>
  <c r="R1138" i="3" s="1"/>
  <c r="S1138" i="3"/>
  <c r="P1140" i="3" l="1"/>
  <c r="S1139" i="3"/>
  <c r="Q1139" i="3"/>
  <c r="R1139" i="3" s="1"/>
  <c r="A1140" i="3"/>
  <c r="A1141" i="3" l="1"/>
  <c r="P1141" i="3"/>
  <c r="Q1140" i="3"/>
  <c r="R1140" i="3" s="1"/>
  <c r="S1140" i="3"/>
  <c r="P1142" i="3" l="1"/>
  <c r="A1142" i="3"/>
  <c r="Q1141" i="3"/>
  <c r="R1141" i="3" s="1"/>
  <c r="S1141" i="3"/>
  <c r="A1143" i="3" l="1"/>
  <c r="S1142" i="3"/>
  <c r="Q1142" i="3"/>
  <c r="R1142" i="3" s="1"/>
  <c r="P1143" i="3"/>
  <c r="P1144" i="3" l="1"/>
  <c r="S1143" i="3"/>
  <c r="A1144" i="3"/>
  <c r="Q1143" i="3"/>
  <c r="R1143" i="3" s="1"/>
  <c r="A1145" i="3" l="1"/>
  <c r="S1144" i="3"/>
  <c r="Q1144" i="3"/>
  <c r="R1144" i="3" s="1"/>
  <c r="P1145" i="3"/>
  <c r="P1146" i="3" l="1"/>
  <c r="Q1145" i="3"/>
  <c r="R1145" i="3" s="1"/>
  <c r="A1146" i="3"/>
  <c r="S1145" i="3"/>
  <c r="A1147" i="3" l="1"/>
  <c r="P1147" i="3"/>
  <c r="Q1146" i="3"/>
  <c r="R1146" i="3" s="1"/>
  <c r="S1146" i="3"/>
  <c r="P1148" i="3" l="1"/>
  <c r="Q1147" i="3"/>
  <c r="R1147" i="3" s="1"/>
  <c r="A1148" i="3"/>
  <c r="S1147" i="3"/>
  <c r="A1149" i="3" l="1"/>
  <c r="P1149" i="3"/>
  <c r="Q1148" i="3"/>
  <c r="R1148" i="3" s="1"/>
  <c r="S1148" i="3"/>
  <c r="P1150" i="3" l="1"/>
  <c r="A1150" i="3"/>
  <c r="S1149" i="3"/>
  <c r="Q1149" i="3"/>
  <c r="R1149" i="3" s="1"/>
  <c r="A1151" i="3" l="1"/>
  <c r="S1150" i="3"/>
  <c r="Q1150" i="3"/>
  <c r="R1150" i="3" s="1"/>
  <c r="P1151" i="3"/>
  <c r="P1152" i="3" l="1"/>
  <c r="S1151" i="3"/>
  <c r="Q1151" i="3"/>
  <c r="R1151" i="3" s="1"/>
  <c r="A1152" i="3"/>
  <c r="A1153" i="3" l="1"/>
  <c r="S1152" i="3"/>
  <c r="Q1152" i="3"/>
  <c r="R1152" i="3" s="1"/>
  <c r="P1153" i="3"/>
  <c r="P1154" i="3" l="1"/>
  <c r="Q1153" i="3"/>
  <c r="R1153" i="3" s="1"/>
  <c r="A1154" i="3"/>
  <c r="S1153" i="3"/>
  <c r="A1155" i="3" l="1"/>
  <c r="P1155" i="3"/>
  <c r="Q1154" i="3"/>
  <c r="R1154" i="3" s="1"/>
  <c r="S1154" i="3"/>
  <c r="P1156" i="3" l="1"/>
  <c r="A1156" i="3"/>
  <c r="S1155" i="3"/>
  <c r="Q1155" i="3"/>
  <c r="R1155" i="3" s="1"/>
  <c r="A1157" i="3" l="1"/>
  <c r="S1156" i="3"/>
  <c r="Q1156" i="3"/>
  <c r="R1156" i="3" s="1"/>
  <c r="P1157" i="3"/>
  <c r="P1158" i="3" l="1"/>
  <c r="A1158" i="3"/>
  <c r="S1157" i="3"/>
  <c r="Q1157" i="3"/>
  <c r="R1157" i="3" s="1"/>
  <c r="A1159" i="3" l="1"/>
  <c r="S1158" i="3"/>
  <c r="P1159" i="3"/>
  <c r="Q1158" i="3"/>
  <c r="R1158" i="3" s="1"/>
  <c r="P1160" i="3" l="1"/>
  <c r="S1159" i="3"/>
  <c r="A1160" i="3"/>
  <c r="Q1159" i="3"/>
  <c r="R1159" i="3" s="1"/>
  <c r="A1161" i="3" l="1"/>
  <c r="Q1160" i="3"/>
  <c r="R1160" i="3" s="1"/>
  <c r="P1161" i="3"/>
  <c r="S1160" i="3"/>
  <c r="P1162" i="3" l="1"/>
  <c r="Q1161" i="3"/>
  <c r="R1161" i="3" s="1"/>
  <c r="S1161" i="3"/>
  <c r="A1162" i="3"/>
  <c r="A1163" i="3" l="1"/>
  <c r="P1163" i="3"/>
  <c r="Q1162" i="3"/>
  <c r="R1162" i="3" s="1"/>
  <c r="S1162" i="3"/>
  <c r="P1164" i="3" l="1"/>
  <c r="A1164" i="3"/>
  <c r="S1163" i="3"/>
  <c r="Q1163" i="3"/>
  <c r="R1163" i="3" s="1"/>
  <c r="A1165" i="3" l="1"/>
  <c r="S1164" i="3"/>
  <c r="P1165" i="3"/>
  <c r="Q1164" i="3"/>
  <c r="R1164" i="3" s="1"/>
  <c r="P1166" i="3" l="1"/>
  <c r="A1166" i="3"/>
  <c r="S1165" i="3"/>
  <c r="Q1165" i="3"/>
  <c r="R1165" i="3" s="1"/>
  <c r="A1167" i="3" l="1"/>
  <c r="S1166" i="3"/>
  <c r="Q1166" i="3"/>
  <c r="R1166" i="3" s="1"/>
  <c r="P1167" i="3"/>
  <c r="P1168" i="3" l="1"/>
  <c r="S1167" i="3"/>
  <c r="A1168" i="3"/>
  <c r="Q1167" i="3"/>
  <c r="R1167" i="3" s="1"/>
  <c r="A1169" i="3" l="1"/>
  <c r="P1169" i="3"/>
  <c r="S1168" i="3"/>
  <c r="Q1168" i="3"/>
  <c r="R1168" i="3" s="1"/>
  <c r="P1170" i="3" l="1"/>
  <c r="Q1169" i="3"/>
  <c r="R1169" i="3" s="1"/>
  <c r="A1170" i="3"/>
  <c r="S1169" i="3"/>
  <c r="A1171" i="3" l="1"/>
  <c r="P1171" i="3"/>
  <c r="Q1170" i="3"/>
  <c r="R1170" i="3" s="1"/>
  <c r="S1170" i="3"/>
  <c r="P1172" i="3" l="1"/>
  <c r="S1171" i="3"/>
  <c r="Q1171" i="3"/>
  <c r="R1171" i="3" s="1"/>
  <c r="A1172" i="3"/>
  <c r="A1173" i="3" l="1"/>
  <c r="P1173" i="3"/>
  <c r="Q1172" i="3"/>
  <c r="R1172" i="3" s="1"/>
  <c r="S1172" i="3"/>
  <c r="P1174" i="3" l="1"/>
  <c r="A1174" i="3"/>
  <c r="Q1173" i="3"/>
  <c r="R1173" i="3" s="1"/>
  <c r="S1173" i="3"/>
  <c r="A1175" i="3" l="1"/>
  <c r="S1174" i="3"/>
  <c r="Q1174" i="3"/>
  <c r="R1174" i="3" s="1"/>
  <c r="P1175" i="3"/>
  <c r="P1176" i="3" l="1"/>
  <c r="S1175" i="3"/>
  <c r="A1176" i="3"/>
  <c r="Q1175" i="3"/>
  <c r="R1175" i="3" s="1"/>
  <c r="A1177" i="3" l="1"/>
  <c r="S1176" i="3"/>
  <c r="Q1176" i="3"/>
  <c r="R1176" i="3" s="1"/>
  <c r="P1177" i="3"/>
  <c r="P1178" i="3" l="1"/>
  <c r="Q1177" i="3"/>
  <c r="R1177" i="3" s="1"/>
  <c r="A1178" i="3"/>
  <c r="S1177" i="3"/>
  <c r="A1179" i="3" l="1"/>
  <c r="P1179" i="3"/>
  <c r="Q1178" i="3"/>
  <c r="R1178" i="3" s="1"/>
  <c r="S1178" i="3"/>
  <c r="P1180" i="3" l="1"/>
  <c r="Q1179" i="3"/>
  <c r="R1179" i="3" s="1"/>
  <c r="A1180" i="3"/>
  <c r="S1179" i="3"/>
  <c r="A1181" i="3" l="1"/>
  <c r="P1181" i="3"/>
  <c r="Q1180" i="3"/>
  <c r="R1180" i="3" s="1"/>
  <c r="S1180" i="3"/>
  <c r="P1182" i="3" l="1"/>
  <c r="A1182" i="3"/>
  <c r="S1181" i="3"/>
  <c r="Q1181" i="3"/>
  <c r="R1181" i="3" s="1"/>
  <c r="A1183" i="3" l="1"/>
  <c r="S1182" i="3"/>
  <c r="Q1182" i="3"/>
  <c r="R1182" i="3" s="1"/>
  <c r="P1183" i="3"/>
  <c r="P1184" i="3" l="1"/>
  <c r="S1183" i="3"/>
  <c r="Q1183" i="3"/>
  <c r="R1183" i="3" s="1"/>
  <c r="A1184" i="3"/>
  <c r="A1185" i="3" l="1"/>
  <c r="S1184" i="3"/>
  <c r="Q1184" i="3"/>
  <c r="R1184" i="3" s="1"/>
  <c r="P1185" i="3"/>
  <c r="P1186" i="3" l="1"/>
  <c r="Q1185" i="3"/>
  <c r="R1185" i="3" s="1"/>
  <c r="A1186" i="3"/>
  <c r="S1185" i="3"/>
  <c r="A1187" i="3" l="1"/>
  <c r="P1187" i="3"/>
  <c r="Q1186" i="3"/>
  <c r="R1186" i="3" s="1"/>
  <c r="S1186" i="3"/>
  <c r="P1188" i="3" l="1"/>
  <c r="A1188" i="3"/>
  <c r="S1187" i="3"/>
  <c r="Q1187" i="3"/>
  <c r="R1187" i="3" s="1"/>
  <c r="A1189" i="3" l="1"/>
  <c r="S1188" i="3"/>
  <c r="P1189" i="3"/>
  <c r="Q1188" i="3"/>
  <c r="R1188" i="3" s="1"/>
  <c r="P1190" i="3" l="1"/>
  <c r="A1190" i="3"/>
  <c r="S1189" i="3"/>
  <c r="Q1189" i="3"/>
  <c r="R1189" i="3" s="1"/>
  <c r="A1191" i="3" l="1"/>
  <c r="S1190" i="3"/>
  <c r="P1191" i="3"/>
  <c r="Q1190" i="3"/>
  <c r="R1190" i="3" s="1"/>
  <c r="P1192" i="3" l="1"/>
  <c r="S1191" i="3"/>
  <c r="A1192" i="3"/>
  <c r="Q1191" i="3"/>
  <c r="R1191" i="3" s="1"/>
  <c r="A1193" i="3" l="1"/>
  <c r="Q1192" i="3"/>
  <c r="R1192" i="3" s="1"/>
  <c r="P1193" i="3"/>
  <c r="S1192" i="3"/>
  <c r="P1194" i="3" l="1"/>
  <c r="Q1193" i="3"/>
  <c r="R1193" i="3" s="1"/>
  <c r="S1193" i="3"/>
  <c r="A1194" i="3"/>
  <c r="A1195" i="3" l="1"/>
  <c r="P1195" i="3"/>
  <c r="Q1194" i="3"/>
  <c r="R1194" i="3" s="1"/>
  <c r="S1194" i="3"/>
  <c r="P1196" i="3" l="1"/>
  <c r="A1196" i="3"/>
  <c r="S1195" i="3"/>
  <c r="Q1195" i="3"/>
  <c r="R1195" i="3" s="1"/>
  <c r="A1197" i="3" l="1"/>
  <c r="S1196" i="3"/>
  <c r="P1197" i="3"/>
  <c r="Q1196" i="3"/>
  <c r="R1196" i="3" s="1"/>
  <c r="P1198" i="3" l="1"/>
  <c r="A1198" i="3"/>
  <c r="S1197" i="3"/>
  <c r="Q1197" i="3"/>
  <c r="R1197" i="3" s="1"/>
  <c r="A1199" i="3" l="1"/>
  <c r="S1198" i="3"/>
  <c r="Q1198" i="3"/>
  <c r="R1198" i="3" s="1"/>
  <c r="P1199" i="3"/>
  <c r="P1200" i="3" l="1"/>
  <c r="S1199" i="3"/>
  <c r="A1200" i="3"/>
  <c r="Q1199" i="3"/>
  <c r="R1199" i="3" s="1"/>
  <c r="A1201" i="3" l="1"/>
  <c r="P1201" i="3"/>
  <c r="S1200" i="3"/>
  <c r="Q1200" i="3"/>
  <c r="R1200" i="3" s="1"/>
  <c r="P1202" i="3" l="1"/>
  <c r="Q1201" i="3"/>
  <c r="R1201" i="3" s="1"/>
  <c r="A1202" i="3"/>
  <c r="S1201" i="3"/>
  <c r="A1203" i="3" l="1"/>
  <c r="P1203" i="3"/>
  <c r="Q1202" i="3"/>
  <c r="R1202" i="3" s="1"/>
  <c r="S1202" i="3"/>
  <c r="P1204" i="3" l="1"/>
  <c r="S1203" i="3"/>
  <c r="Q1203" i="3"/>
  <c r="R1203" i="3" s="1"/>
  <c r="A1204" i="3"/>
  <c r="A1205" i="3" l="1"/>
  <c r="S1204" i="3"/>
  <c r="Q1204" i="3"/>
  <c r="R1204" i="3" s="1"/>
  <c r="P1205" i="3"/>
  <c r="P1206" i="3" l="1"/>
  <c r="A1206" i="3"/>
  <c r="Q1205" i="3"/>
  <c r="R1205" i="3" s="1"/>
  <c r="S1205" i="3"/>
  <c r="A1207" i="3" l="1"/>
  <c r="S1206" i="3"/>
  <c r="P1207" i="3"/>
  <c r="Q1206" i="3"/>
  <c r="R1206" i="3" s="1"/>
  <c r="P1208" i="3" l="1"/>
  <c r="S1207" i="3"/>
  <c r="A1208" i="3"/>
  <c r="Q1207" i="3"/>
  <c r="R1207" i="3" s="1"/>
  <c r="A1209" i="3" l="1"/>
  <c r="S1208" i="3"/>
  <c r="Q1208" i="3"/>
  <c r="R1208" i="3" s="1"/>
  <c r="P1209" i="3"/>
  <c r="P1210" i="3" l="1"/>
  <c r="Q1209" i="3"/>
  <c r="R1209" i="3" s="1"/>
  <c r="A1210" i="3"/>
  <c r="S1209" i="3"/>
  <c r="A1211" i="3" l="1"/>
  <c r="P1211" i="3"/>
  <c r="Q1210" i="3"/>
  <c r="R1210" i="3" s="1"/>
  <c r="S1210" i="3"/>
  <c r="P1212" i="3" l="1"/>
  <c r="S1211" i="3"/>
  <c r="A1212" i="3"/>
  <c r="Q1211" i="3"/>
  <c r="R1211" i="3" s="1"/>
  <c r="A1213" i="3" l="1"/>
  <c r="P1213" i="3"/>
  <c r="S1212" i="3"/>
  <c r="Q1212" i="3"/>
  <c r="R1212" i="3" s="1"/>
  <c r="P1214" i="3" l="1"/>
  <c r="A1214" i="3"/>
  <c r="Q1213" i="3"/>
  <c r="R1213" i="3" s="1"/>
  <c r="S1213" i="3"/>
  <c r="A1215" i="3" l="1"/>
  <c r="S1214" i="3"/>
  <c r="P1215" i="3"/>
  <c r="Q1214" i="3"/>
  <c r="R1214" i="3" s="1"/>
  <c r="P1216" i="3" l="1"/>
  <c r="S1215" i="3"/>
  <c r="A1216" i="3"/>
  <c r="Q1215" i="3"/>
  <c r="R1215" i="3" s="1"/>
  <c r="A1217" i="3" l="1"/>
  <c r="Q1216" i="3"/>
  <c r="R1216" i="3" s="1"/>
  <c r="P1217" i="3"/>
  <c r="S1216" i="3"/>
  <c r="P1218" i="3" l="1"/>
  <c r="Q1217" i="3"/>
  <c r="R1217" i="3" s="1"/>
  <c r="A1218" i="3"/>
  <c r="S1217" i="3"/>
  <c r="A1219" i="3" l="1"/>
  <c r="P1219" i="3"/>
  <c r="Q1218" i="3"/>
  <c r="R1218" i="3" s="1"/>
  <c r="S1218" i="3"/>
  <c r="P1220" i="3" l="1"/>
  <c r="S1219" i="3"/>
  <c r="Q1219" i="3"/>
  <c r="R1219" i="3" s="1"/>
  <c r="A1220" i="3"/>
  <c r="A1221" i="3" l="1"/>
  <c r="S1220" i="3"/>
  <c r="Q1220" i="3"/>
  <c r="R1220" i="3" s="1"/>
  <c r="P1221" i="3"/>
  <c r="P1222" i="3" l="1"/>
  <c r="A1222" i="3"/>
  <c r="Q1221" i="3"/>
  <c r="R1221" i="3" s="1"/>
  <c r="S1221" i="3"/>
  <c r="A1223" i="3" l="1"/>
  <c r="S1222" i="3"/>
  <c r="P1223" i="3"/>
  <c r="Q1222" i="3"/>
  <c r="R1222" i="3" s="1"/>
  <c r="P1224" i="3" l="1"/>
  <c r="S1223" i="3"/>
  <c r="A1224" i="3"/>
  <c r="Q1223" i="3"/>
  <c r="R1223" i="3" s="1"/>
  <c r="A1225" i="3" l="1"/>
  <c r="S1224" i="3"/>
  <c r="Q1224" i="3"/>
  <c r="R1224" i="3" s="1"/>
  <c r="P1225" i="3"/>
  <c r="P1226" i="3" l="1"/>
  <c r="Q1225" i="3"/>
  <c r="R1225" i="3" s="1"/>
  <c r="A1226" i="3"/>
  <c r="S1225" i="3"/>
  <c r="A1227" i="3" l="1"/>
  <c r="P1227" i="3"/>
  <c r="Q1226" i="3"/>
  <c r="R1226" i="3" s="1"/>
  <c r="S1226" i="3"/>
  <c r="P1228" i="3" l="1"/>
  <c r="S1227" i="3"/>
  <c r="A1228" i="3"/>
  <c r="Q1227" i="3"/>
  <c r="R1227" i="3" s="1"/>
  <c r="A1229" i="3" l="1"/>
  <c r="P1229" i="3"/>
  <c r="S1228" i="3"/>
  <c r="Q1228" i="3"/>
  <c r="R1228" i="3" s="1"/>
  <c r="P1230" i="3" l="1"/>
  <c r="A1230" i="3"/>
  <c r="Q1229" i="3"/>
  <c r="R1229" i="3" s="1"/>
  <c r="S1229" i="3"/>
  <c r="A1231" i="3" l="1"/>
  <c r="S1230" i="3"/>
  <c r="P1231" i="3"/>
  <c r="Q1230" i="3"/>
  <c r="R1230" i="3" s="1"/>
  <c r="P1232" i="3" l="1"/>
  <c r="S1231" i="3"/>
  <c r="A1232" i="3"/>
  <c r="Q1231" i="3"/>
  <c r="R1231" i="3" s="1"/>
  <c r="A1233" i="3" l="1"/>
  <c r="Q1232" i="3"/>
  <c r="R1232" i="3" s="1"/>
  <c r="P1233" i="3"/>
  <c r="S1232" i="3"/>
  <c r="P1234" i="3" l="1"/>
  <c r="Q1233" i="3"/>
  <c r="R1233" i="3" s="1"/>
  <c r="A1234" i="3"/>
  <c r="S1233" i="3"/>
  <c r="A1235" i="3" l="1"/>
  <c r="P1235" i="3"/>
  <c r="Q1234" i="3"/>
  <c r="R1234" i="3" s="1"/>
  <c r="S1234" i="3"/>
  <c r="P1236" i="3" l="1"/>
  <c r="S1235" i="3"/>
  <c r="Q1235" i="3"/>
  <c r="R1235" i="3" s="1"/>
  <c r="A1236" i="3"/>
  <c r="A1237" i="3" l="1"/>
  <c r="S1236" i="3"/>
  <c r="Q1236" i="3"/>
  <c r="R1236" i="3" s="1"/>
  <c r="P1237" i="3"/>
  <c r="P1238" i="3" l="1"/>
  <c r="A1238" i="3"/>
  <c r="Q1237" i="3"/>
  <c r="R1237" i="3" s="1"/>
  <c r="S1237" i="3"/>
  <c r="A1239" i="3" l="1"/>
  <c r="S1238" i="3"/>
  <c r="P1239" i="3"/>
  <c r="Q1238" i="3"/>
  <c r="R1238" i="3" s="1"/>
  <c r="P1240" i="3" l="1"/>
  <c r="S1239" i="3"/>
  <c r="A1240" i="3"/>
  <c r="Q1239" i="3"/>
  <c r="R1239" i="3" s="1"/>
  <c r="A1241" i="3" l="1"/>
  <c r="S1240" i="3"/>
  <c r="Q1240" i="3"/>
  <c r="R1240" i="3" s="1"/>
  <c r="P1241" i="3"/>
  <c r="P1242" i="3" l="1"/>
  <c r="Q1241" i="3"/>
  <c r="R1241" i="3" s="1"/>
  <c r="A1242" i="3"/>
  <c r="S1241" i="3"/>
  <c r="A1243" i="3" l="1"/>
  <c r="P1243" i="3"/>
  <c r="Q1242" i="3"/>
  <c r="R1242" i="3" s="1"/>
  <c r="S1242" i="3"/>
  <c r="P1244" i="3" l="1"/>
  <c r="S1243" i="3"/>
  <c r="A1244" i="3"/>
  <c r="Q1243" i="3"/>
  <c r="R1243" i="3" s="1"/>
  <c r="A1245" i="3" l="1"/>
  <c r="P1245" i="3"/>
  <c r="S1244" i="3"/>
  <c r="Q1244" i="3"/>
  <c r="R1244" i="3" s="1"/>
  <c r="P1246" i="3" l="1"/>
  <c r="A1246" i="3"/>
  <c r="Q1245" i="3"/>
  <c r="R1245" i="3" s="1"/>
  <c r="S1245" i="3"/>
  <c r="A1247" i="3" l="1"/>
  <c r="S1246" i="3"/>
  <c r="P1247" i="3"/>
  <c r="Q1246" i="3"/>
  <c r="R1246" i="3" s="1"/>
  <c r="P1248" i="3" l="1"/>
  <c r="S1247" i="3"/>
  <c r="A1248" i="3"/>
  <c r="Q1247" i="3"/>
  <c r="R1247" i="3" s="1"/>
  <c r="A1249" i="3" l="1"/>
  <c r="Q1248" i="3"/>
  <c r="R1248" i="3" s="1"/>
  <c r="P1249" i="3"/>
  <c r="S1248" i="3"/>
  <c r="P1250" i="3" l="1"/>
  <c r="Q1249" i="3"/>
  <c r="R1249" i="3" s="1"/>
  <c r="A1250" i="3"/>
  <c r="S1249" i="3"/>
  <c r="A1251" i="3" l="1"/>
  <c r="P1251" i="3"/>
  <c r="Q1250" i="3"/>
  <c r="R1250" i="3" s="1"/>
  <c r="S1250" i="3"/>
  <c r="P1252" i="3" l="1"/>
  <c r="S1251" i="3"/>
  <c r="Q1251" i="3"/>
  <c r="R1251" i="3" s="1"/>
  <c r="A1252" i="3"/>
  <c r="A1253" i="3" l="1"/>
  <c r="S1252" i="3"/>
  <c r="Q1252" i="3"/>
  <c r="R1252" i="3" s="1"/>
  <c r="P1253" i="3"/>
  <c r="P1254" i="3" l="1"/>
  <c r="A1254" i="3"/>
  <c r="Q1253" i="3"/>
  <c r="R1253" i="3" s="1"/>
  <c r="S1253" i="3"/>
  <c r="A1255" i="3" l="1"/>
  <c r="S1254" i="3"/>
  <c r="P1255" i="3"/>
  <c r="Q1254" i="3"/>
  <c r="R1254" i="3" s="1"/>
  <c r="P1256" i="3" l="1"/>
  <c r="S1255" i="3"/>
  <c r="A1256" i="3"/>
  <c r="Q1255" i="3"/>
  <c r="R1255" i="3" s="1"/>
  <c r="A1257" i="3" l="1"/>
  <c r="S1256" i="3"/>
  <c r="Q1256" i="3"/>
  <c r="R1256" i="3" s="1"/>
  <c r="P1257" i="3"/>
  <c r="P1258" i="3" l="1"/>
  <c r="Q1257" i="3"/>
  <c r="R1257" i="3" s="1"/>
  <c r="A1258" i="3"/>
  <c r="S1257" i="3"/>
  <c r="A1259" i="3" l="1"/>
  <c r="P1259" i="3"/>
  <c r="Q1258" i="3"/>
  <c r="R1258" i="3" s="1"/>
  <c r="S1258" i="3"/>
  <c r="P1260" i="3" l="1"/>
  <c r="A1260" i="3"/>
  <c r="S1259" i="3"/>
  <c r="Q1259" i="3"/>
  <c r="R1259" i="3" s="1"/>
  <c r="A1261" i="3" l="1"/>
  <c r="S1260" i="3"/>
  <c r="Q1260" i="3"/>
  <c r="R1260" i="3" s="1"/>
  <c r="P1261" i="3"/>
  <c r="P1262" i="3" l="1"/>
  <c r="A1262" i="3"/>
  <c r="S1261" i="3"/>
  <c r="Q1261" i="3"/>
  <c r="R1261" i="3" s="1"/>
  <c r="A1263" i="3" l="1"/>
  <c r="S1262" i="3"/>
  <c r="P1263" i="3"/>
  <c r="Q1262" i="3"/>
  <c r="R1262" i="3" s="1"/>
  <c r="P1264" i="3" l="1"/>
  <c r="S1263" i="3"/>
  <c r="Q1263" i="3"/>
  <c r="R1263" i="3" s="1"/>
  <c r="A1264" i="3"/>
  <c r="A1265" i="3" l="1"/>
  <c r="P1265" i="3"/>
  <c r="Q1264" i="3"/>
  <c r="R1264" i="3" s="1"/>
  <c r="S1264" i="3"/>
  <c r="P1266" i="3" l="1"/>
  <c r="Q1265" i="3"/>
  <c r="R1265" i="3" s="1"/>
  <c r="A1266" i="3"/>
  <c r="S1265" i="3"/>
  <c r="A1267" i="3" l="1"/>
  <c r="P1267" i="3"/>
  <c r="Q1266" i="3"/>
  <c r="R1266" i="3" s="1"/>
  <c r="S1266" i="3"/>
  <c r="P1268" i="3" l="1"/>
  <c r="A1268" i="3"/>
  <c r="S1267" i="3"/>
  <c r="Q1267" i="3"/>
  <c r="R1267" i="3" s="1"/>
  <c r="A1269" i="3" l="1"/>
  <c r="S1268" i="3"/>
  <c r="Q1268" i="3"/>
  <c r="R1268" i="3" s="1"/>
  <c r="P1269" i="3"/>
  <c r="P1270" i="3" l="1"/>
  <c r="A1270" i="3"/>
  <c r="S1269" i="3"/>
  <c r="Q1269" i="3"/>
  <c r="R1269" i="3" s="1"/>
  <c r="A1271" i="3" l="1"/>
  <c r="S1270" i="3"/>
  <c r="P1271" i="3"/>
  <c r="Q1270" i="3"/>
  <c r="R1270" i="3" s="1"/>
  <c r="P1272" i="3" l="1"/>
  <c r="S1271" i="3"/>
  <c r="Q1271" i="3"/>
  <c r="R1271" i="3" s="1"/>
  <c r="A1272" i="3"/>
  <c r="A1273" i="3" l="1"/>
  <c r="P1273" i="3"/>
  <c r="Q1272" i="3"/>
  <c r="R1272" i="3" s="1"/>
  <c r="S1272" i="3"/>
  <c r="P1274" i="3" l="1"/>
  <c r="Q1273" i="3"/>
  <c r="R1273" i="3" s="1"/>
  <c r="A1274" i="3"/>
  <c r="S1273" i="3"/>
  <c r="A1275" i="3" l="1"/>
  <c r="P1275" i="3"/>
  <c r="Q1274" i="3"/>
  <c r="R1274" i="3" s="1"/>
  <c r="S1274" i="3"/>
  <c r="P1276" i="3" l="1"/>
  <c r="A1276" i="3"/>
  <c r="S1275" i="3"/>
  <c r="Q1275" i="3"/>
  <c r="R1275" i="3" s="1"/>
  <c r="A1277" i="3" l="1"/>
  <c r="S1276" i="3"/>
  <c r="P1277" i="3"/>
  <c r="Q1276" i="3"/>
  <c r="R1276" i="3" s="1"/>
  <c r="P1278" i="3" l="1"/>
  <c r="A1278" i="3"/>
  <c r="S1277" i="3"/>
  <c r="Q1277" i="3"/>
  <c r="R1277" i="3" s="1"/>
  <c r="A1279" i="3" l="1"/>
  <c r="S1278" i="3"/>
  <c r="P1279" i="3"/>
  <c r="Q1278" i="3"/>
  <c r="R1278" i="3" s="1"/>
  <c r="P1280" i="3" l="1"/>
  <c r="S1279" i="3"/>
  <c r="Q1279" i="3"/>
  <c r="R1279" i="3" s="1"/>
  <c r="A1280" i="3"/>
  <c r="A1281" i="3" l="1"/>
  <c r="P1281" i="3"/>
  <c r="Q1280" i="3"/>
  <c r="R1280" i="3" s="1"/>
  <c r="S1280" i="3"/>
  <c r="P1282" i="3" l="1"/>
  <c r="Q1281" i="3"/>
  <c r="R1281" i="3" s="1"/>
  <c r="A1282" i="3"/>
  <c r="S1281" i="3"/>
  <c r="A1283" i="3" l="1"/>
  <c r="P1283" i="3"/>
  <c r="Q1282" i="3"/>
  <c r="R1282" i="3" s="1"/>
  <c r="S1282" i="3"/>
  <c r="P1284" i="3" l="1"/>
  <c r="A1284" i="3"/>
  <c r="S1283" i="3"/>
  <c r="Q1283" i="3"/>
  <c r="R1283" i="3" s="1"/>
  <c r="A1285" i="3" l="1"/>
  <c r="S1284" i="3"/>
  <c r="P1285" i="3"/>
  <c r="Q1284" i="3"/>
  <c r="R1284" i="3" s="1"/>
  <c r="P1286" i="3" l="1"/>
  <c r="A1286" i="3"/>
  <c r="S1285" i="3"/>
  <c r="Q1285" i="3"/>
  <c r="R1285" i="3" s="1"/>
  <c r="A1287" i="3" l="1"/>
  <c r="S1286" i="3"/>
  <c r="P1287" i="3"/>
  <c r="Q1286" i="3"/>
  <c r="R1286" i="3" s="1"/>
  <c r="P1288" i="3" l="1"/>
  <c r="S1287" i="3"/>
  <c r="Q1287" i="3"/>
  <c r="R1287" i="3" s="1"/>
  <c r="A1288" i="3"/>
  <c r="A1289" i="3" l="1"/>
  <c r="P1289" i="3"/>
  <c r="Q1288" i="3"/>
  <c r="R1288" i="3" s="1"/>
  <c r="S1288" i="3"/>
  <c r="P1290" i="3" l="1"/>
  <c r="Q1289" i="3"/>
  <c r="R1289" i="3" s="1"/>
  <c r="A1290" i="3"/>
  <c r="S1289" i="3"/>
  <c r="A1291" i="3" l="1"/>
  <c r="P1291" i="3"/>
  <c r="Q1290" i="3"/>
  <c r="R1290" i="3" s="1"/>
  <c r="S1290" i="3"/>
  <c r="P1292" i="3" l="1"/>
  <c r="A1292" i="3"/>
  <c r="S1291" i="3"/>
  <c r="Q1291" i="3"/>
  <c r="R1291" i="3" s="1"/>
  <c r="A1293" i="3" l="1"/>
  <c r="S1292" i="3"/>
  <c r="Q1292" i="3"/>
  <c r="R1292" i="3" s="1"/>
  <c r="P1293" i="3"/>
  <c r="P1294" i="3" l="1"/>
  <c r="A1294" i="3"/>
  <c r="S1293" i="3"/>
  <c r="Q1293" i="3"/>
  <c r="R1293" i="3" s="1"/>
  <c r="A1295" i="3" l="1"/>
  <c r="S1294" i="3"/>
  <c r="P1295" i="3"/>
  <c r="Q1294" i="3"/>
  <c r="R1294" i="3" s="1"/>
  <c r="P1296" i="3" l="1"/>
  <c r="S1295" i="3"/>
  <c r="Q1295" i="3"/>
  <c r="R1295" i="3" s="1"/>
  <c r="A1296" i="3"/>
  <c r="A1297" i="3" l="1"/>
  <c r="P1297" i="3"/>
  <c r="Q1296" i="3"/>
  <c r="R1296" i="3" s="1"/>
  <c r="S1296" i="3"/>
  <c r="P1298" i="3" l="1"/>
  <c r="Q1297" i="3"/>
  <c r="R1297" i="3" s="1"/>
  <c r="A1298" i="3"/>
  <c r="S1297" i="3"/>
  <c r="A1299" i="3" l="1"/>
  <c r="P1299" i="3"/>
  <c r="Q1298" i="3"/>
  <c r="R1298" i="3" s="1"/>
  <c r="S1298" i="3"/>
  <c r="P1300" i="3" l="1"/>
  <c r="A1300" i="3"/>
  <c r="S1299" i="3"/>
  <c r="Q1299" i="3"/>
  <c r="R1299" i="3" s="1"/>
  <c r="A1301" i="3" l="1"/>
  <c r="S1300" i="3"/>
  <c r="Q1300" i="3"/>
  <c r="R1300" i="3" s="1"/>
  <c r="P1301" i="3"/>
  <c r="P1302" i="3" l="1"/>
  <c r="A1302" i="3"/>
  <c r="S1301" i="3"/>
  <c r="Q1301" i="3"/>
  <c r="R1301" i="3" s="1"/>
  <c r="A1303" i="3" l="1"/>
  <c r="S1302" i="3"/>
  <c r="P1303" i="3"/>
  <c r="Q1302" i="3"/>
  <c r="R1302" i="3" s="1"/>
  <c r="P1304" i="3" l="1"/>
  <c r="S1303" i="3"/>
  <c r="Q1303" i="3"/>
  <c r="R1303" i="3" s="1"/>
  <c r="A1304" i="3"/>
  <c r="A1305" i="3" l="1"/>
  <c r="P1305" i="3"/>
  <c r="Q1304" i="3"/>
  <c r="R1304" i="3" s="1"/>
  <c r="S1304" i="3"/>
  <c r="P1306" i="3" l="1"/>
  <c r="Q1305" i="3"/>
  <c r="R1305" i="3" s="1"/>
  <c r="A1306" i="3"/>
  <c r="S1305" i="3"/>
  <c r="A1307" i="3" l="1"/>
  <c r="P1307" i="3"/>
  <c r="Q1306" i="3"/>
  <c r="R1306" i="3" s="1"/>
  <c r="S1306" i="3"/>
  <c r="P1308" i="3" l="1"/>
  <c r="A1308" i="3"/>
  <c r="S1307" i="3"/>
  <c r="Q1307" i="3"/>
  <c r="R1307" i="3" s="1"/>
  <c r="A1309" i="3" l="1"/>
  <c r="S1308" i="3"/>
  <c r="P1309" i="3"/>
  <c r="Q1308" i="3"/>
  <c r="R1308" i="3" s="1"/>
  <c r="P1310" i="3" l="1"/>
  <c r="A1310" i="3"/>
  <c r="S1309" i="3"/>
  <c r="Q1309" i="3"/>
  <c r="R1309" i="3" s="1"/>
  <c r="A1311" i="3" l="1"/>
  <c r="S1310" i="3"/>
  <c r="P1311" i="3"/>
  <c r="Q1310" i="3"/>
  <c r="R1310" i="3" s="1"/>
  <c r="P1312" i="3" l="1"/>
  <c r="S1311" i="3"/>
  <c r="Q1311" i="3"/>
  <c r="R1311" i="3" s="1"/>
  <c r="A1312" i="3"/>
  <c r="A1313" i="3" l="1"/>
  <c r="P1313" i="3"/>
  <c r="Q1312" i="3"/>
  <c r="R1312" i="3" s="1"/>
  <c r="S1312" i="3"/>
  <c r="P1314" i="3" l="1"/>
  <c r="Q1313" i="3"/>
  <c r="R1313" i="3" s="1"/>
  <c r="A1314" i="3"/>
  <c r="S1313" i="3"/>
  <c r="A1315" i="3" l="1"/>
  <c r="P1315" i="3"/>
  <c r="Q1314" i="3"/>
  <c r="R1314" i="3" s="1"/>
  <c r="S1314" i="3"/>
  <c r="P1316" i="3" l="1"/>
  <c r="A1316" i="3"/>
  <c r="S1315" i="3"/>
  <c r="Q1315" i="3"/>
  <c r="R1315" i="3" s="1"/>
  <c r="A1317" i="3" l="1"/>
  <c r="S1316" i="3"/>
  <c r="P1317" i="3"/>
  <c r="Q1316" i="3"/>
  <c r="R1316" i="3" s="1"/>
  <c r="P1318" i="3" l="1"/>
  <c r="A1318" i="3"/>
  <c r="S1317" i="3"/>
  <c r="Q1317" i="3"/>
  <c r="R1317" i="3" s="1"/>
  <c r="A1319" i="3" l="1"/>
  <c r="S1318" i="3"/>
  <c r="P1319" i="3"/>
  <c r="Q1318" i="3"/>
  <c r="R1318" i="3" s="1"/>
  <c r="P1320" i="3" l="1"/>
  <c r="S1319" i="3"/>
  <c r="Q1319" i="3"/>
  <c r="R1319" i="3" s="1"/>
  <c r="A1320" i="3"/>
  <c r="A1321" i="3" l="1"/>
  <c r="P1321" i="3"/>
  <c r="Q1320" i="3"/>
  <c r="R1320" i="3" s="1"/>
  <c r="S1320" i="3"/>
  <c r="P1322" i="3" l="1"/>
  <c r="Q1321" i="3"/>
  <c r="R1321" i="3" s="1"/>
  <c r="A1322" i="3"/>
  <c r="S1321" i="3"/>
  <c r="A1323" i="3" l="1"/>
  <c r="P1323" i="3"/>
  <c r="Q1322" i="3"/>
  <c r="R1322" i="3" s="1"/>
  <c r="S1322" i="3"/>
  <c r="P1324" i="3" l="1"/>
  <c r="A1324" i="3"/>
  <c r="S1323" i="3"/>
  <c r="Q1323" i="3"/>
  <c r="R1323" i="3" s="1"/>
  <c r="A1325" i="3" l="1"/>
  <c r="S1324" i="3"/>
  <c r="Q1324" i="3"/>
  <c r="R1324" i="3" s="1"/>
  <c r="P1325" i="3"/>
  <c r="P1326" i="3" l="1"/>
  <c r="A1326" i="3"/>
  <c r="S1325" i="3"/>
  <c r="Q1325" i="3"/>
  <c r="R1325" i="3" s="1"/>
  <c r="A1327" i="3" l="1"/>
  <c r="S1326" i="3"/>
  <c r="P1327" i="3"/>
  <c r="Q1326" i="3"/>
  <c r="R1326" i="3" s="1"/>
  <c r="P1328" i="3" l="1"/>
  <c r="S1327" i="3"/>
  <c r="Q1327" i="3"/>
  <c r="R1327" i="3" s="1"/>
  <c r="A1328" i="3"/>
  <c r="A1329" i="3" l="1"/>
  <c r="P1329" i="3"/>
  <c r="Q1328" i="3"/>
  <c r="R1328" i="3" s="1"/>
  <c r="S1328" i="3"/>
  <c r="P1330" i="3" l="1"/>
  <c r="Q1329" i="3"/>
  <c r="R1329" i="3" s="1"/>
  <c r="A1330" i="3"/>
  <c r="S1329" i="3"/>
  <c r="A1331" i="3" l="1"/>
  <c r="P1331" i="3"/>
  <c r="Q1330" i="3"/>
  <c r="R1330" i="3" s="1"/>
  <c r="S1330" i="3"/>
  <c r="P1332" i="3" l="1"/>
  <c r="A1332" i="3"/>
  <c r="S1331" i="3"/>
  <c r="Q1331" i="3"/>
  <c r="R1331" i="3" s="1"/>
  <c r="A1333" i="3" l="1"/>
  <c r="S1332" i="3"/>
  <c r="Q1332" i="3"/>
  <c r="R1332" i="3" s="1"/>
  <c r="P1333" i="3"/>
  <c r="P1334" i="3" l="1"/>
  <c r="A1334" i="3"/>
  <c r="S1333" i="3"/>
  <c r="Q1333" i="3"/>
  <c r="R1333" i="3" s="1"/>
  <c r="A1335" i="3" l="1"/>
  <c r="S1334" i="3"/>
  <c r="P1335" i="3"/>
  <c r="Q1334" i="3"/>
  <c r="R1334" i="3" s="1"/>
  <c r="P1336" i="3" l="1"/>
  <c r="S1335" i="3"/>
  <c r="Q1335" i="3"/>
  <c r="R1335" i="3" s="1"/>
  <c r="A1336" i="3"/>
  <c r="A1337" i="3" l="1"/>
  <c r="P1337" i="3"/>
  <c r="Q1336" i="3"/>
  <c r="R1336" i="3" s="1"/>
  <c r="S1336" i="3"/>
  <c r="P1338" i="3" l="1"/>
  <c r="Q1337" i="3"/>
  <c r="R1337" i="3" s="1"/>
  <c r="A1338" i="3"/>
  <c r="S1337" i="3"/>
  <c r="A1339" i="3" l="1"/>
  <c r="P1339" i="3"/>
  <c r="Q1338" i="3"/>
  <c r="R1338" i="3" s="1"/>
  <c r="S1338" i="3"/>
  <c r="P1340" i="3" l="1"/>
  <c r="A1340" i="3"/>
  <c r="S1339" i="3"/>
  <c r="Q1339" i="3"/>
  <c r="R1339" i="3" s="1"/>
  <c r="A1341" i="3" l="1"/>
  <c r="S1340" i="3"/>
  <c r="P1341" i="3"/>
  <c r="Q1340" i="3"/>
  <c r="R1340" i="3" s="1"/>
  <c r="P1342" i="3" l="1"/>
  <c r="A1342" i="3"/>
  <c r="S1341" i="3"/>
  <c r="Q1341" i="3"/>
  <c r="R1341" i="3" s="1"/>
  <c r="A1343" i="3" l="1"/>
  <c r="S1342" i="3"/>
  <c r="P1343" i="3"/>
  <c r="Q1342" i="3"/>
  <c r="R1342" i="3" s="1"/>
  <c r="P1344" i="3" l="1"/>
  <c r="S1343" i="3"/>
  <c r="Q1343" i="3"/>
  <c r="R1343" i="3" s="1"/>
  <c r="A1344" i="3"/>
  <c r="A1345" i="3" l="1"/>
  <c r="P1345" i="3"/>
  <c r="Q1344" i="3"/>
  <c r="R1344" i="3" s="1"/>
  <c r="S1344" i="3"/>
  <c r="P1346" i="3" l="1"/>
  <c r="Q1345" i="3"/>
  <c r="R1345" i="3" s="1"/>
  <c r="A1346" i="3"/>
  <c r="S1345" i="3"/>
  <c r="A1347" i="3" l="1"/>
  <c r="P1347" i="3"/>
  <c r="Q1346" i="3"/>
  <c r="R1346" i="3" s="1"/>
  <c r="S1346" i="3"/>
  <c r="P1348" i="3" l="1"/>
  <c r="A1348" i="3"/>
  <c r="S1347" i="3"/>
  <c r="Q1347" i="3"/>
  <c r="R1347" i="3" s="1"/>
  <c r="A1349" i="3" l="1"/>
  <c r="S1348" i="3"/>
  <c r="P1349" i="3"/>
  <c r="Q1348" i="3"/>
  <c r="R1348" i="3" s="1"/>
  <c r="P1350" i="3" l="1"/>
  <c r="A1350" i="3"/>
  <c r="S1349" i="3"/>
  <c r="Q1349" i="3"/>
  <c r="R1349" i="3" s="1"/>
  <c r="A1351" i="3" l="1"/>
  <c r="S1350" i="3"/>
  <c r="P1351" i="3"/>
  <c r="Q1350" i="3"/>
  <c r="R1350" i="3" s="1"/>
  <c r="P1352" i="3" l="1"/>
  <c r="S1351" i="3"/>
  <c r="Q1351" i="3"/>
  <c r="R1351" i="3" s="1"/>
  <c r="A1352" i="3"/>
  <c r="A1353" i="3" l="1"/>
  <c r="P1353" i="3"/>
  <c r="Q1352" i="3"/>
  <c r="R1352" i="3" s="1"/>
  <c r="S1352" i="3"/>
  <c r="P1354" i="3" l="1"/>
  <c r="Q1353" i="3"/>
  <c r="R1353" i="3" s="1"/>
  <c r="A1354" i="3"/>
  <c r="S1353" i="3"/>
  <c r="A1355" i="3" l="1"/>
  <c r="P1355" i="3"/>
  <c r="Q1354" i="3"/>
  <c r="R1354" i="3" s="1"/>
  <c r="S1354" i="3"/>
  <c r="P1356" i="3" l="1"/>
  <c r="A1356" i="3"/>
  <c r="S1355" i="3"/>
  <c r="Q1355" i="3"/>
  <c r="R1355" i="3" s="1"/>
  <c r="A1357" i="3" l="1"/>
  <c r="S1356" i="3"/>
  <c r="P1357" i="3"/>
  <c r="Q1356" i="3"/>
  <c r="R1356" i="3" s="1"/>
  <c r="P1358" i="3" l="1"/>
  <c r="Q1357" i="3"/>
  <c r="R1357" i="3" s="1"/>
  <c r="A1358" i="3"/>
  <c r="S1357" i="3"/>
  <c r="A1359" i="3" l="1"/>
  <c r="S1358" i="3"/>
  <c r="Q1358" i="3"/>
  <c r="R1358" i="3" s="1"/>
  <c r="P1359" i="3"/>
  <c r="P1360" i="3" l="1"/>
  <c r="Q1359" i="3"/>
  <c r="R1359" i="3" s="1"/>
  <c r="S1359" i="3"/>
  <c r="A1360" i="3"/>
  <c r="A1361" i="3" l="1"/>
  <c r="S1360" i="3"/>
  <c r="Q1360" i="3"/>
  <c r="R1360" i="3" s="1"/>
  <c r="P1361" i="3"/>
  <c r="P1362" i="3" l="1"/>
  <c r="Q1361" i="3"/>
  <c r="R1361" i="3" s="1"/>
  <c r="A1362" i="3"/>
  <c r="S1361" i="3"/>
  <c r="A1363" i="3" l="1"/>
  <c r="S1362" i="3"/>
  <c r="Q1362" i="3"/>
  <c r="R1362" i="3" s="1"/>
  <c r="P1363" i="3"/>
  <c r="P1364" i="3" l="1"/>
  <c r="Q1363" i="3"/>
  <c r="R1363" i="3" s="1"/>
  <c r="A1364" i="3"/>
  <c r="S1363" i="3"/>
  <c r="A1365" i="3" l="1"/>
  <c r="S1364" i="3"/>
  <c r="P1365" i="3"/>
  <c r="Q1364" i="3"/>
  <c r="R1364" i="3" s="1"/>
  <c r="P1366" i="3" l="1"/>
  <c r="Q1365" i="3"/>
  <c r="R1365" i="3" s="1"/>
  <c r="A1366" i="3"/>
  <c r="S1365" i="3"/>
  <c r="A1367" i="3" l="1"/>
  <c r="S1366" i="3"/>
  <c r="Q1366" i="3"/>
  <c r="R1366" i="3" s="1"/>
  <c r="P1367" i="3"/>
  <c r="P1368" i="3" l="1"/>
  <c r="Q1367" i="3"/>
  <c r="R1367" i="3" s="1"/>
  <c r="S1367" i="3"/>
  <c r="A1368" i="3"/>
  <c r="A1369" i="3" l="1"/>
  <c r="S1368" i="3"/>
  <c r="Q1368" i="3"/>
  <c r="R1368" i="3" s="1"/>
  <c r="P1369" i="3"/>
  <c r="P1370" i="3" l="1"/>
  <c r="Q1369" i="3"/>
  <c r="R1369" i="3" s="1"/>
  <c r="A1370" i="3"/>
  <c r="S1369" i="3"/>
  <c r="A1371" i="3" l="1"/>
  <c r="S1370" i="3"/>
  <c r="Q1370" i="3"/>
  <c r="R1370" i="3" s="1"/>
  <c r="P1371" i="3"/>
  <c r="P1372" i="3" l="1"/>
  <c r="Q1371" i="3"/>
  <c r="R1371" i="3" s="1"/>
  <c r="A1372" i="3"/>
  <c r="S1371" i="3"/>
  <c r="A1373" i="3" l="1"/>
  <c r="S1372" i="3"/>
  <c r="P1373" i="3"/>
  <c r="Q1372" i="3"/>
  <c r="R1372" i="3" s="1"/>
  <c r="P1374" i="3" l="1"/>
  <c r="Q1373" i="3"/>
  <c r="R1373" i="3" s="1"/>
  <c r="A1374" i="3"/>
  <c r="S1373" i="3"/>
  <c r="A1375" i="3" l="1"/>
  <c r="S1374" i="3"/>
  <c r="Q1374" i="3"/>
  <c r="R1374" i="3" s="1"/>
  <c r="P1375" i="3"/>
  <c r="P1376" i="3" l="1"/>
  <c r="Q1375" i="3"/>
  <c r="R1375" i="3" s="1"/>
  <c r="S1375" i="3"/>
  <c r="A1376" i="3"/>
  <c r="A1377" i="3" l="1"/>
  <c r="S1376" i="3"/>
  <c r="Q1376" i="3"/>
  <c r="R1376" i="3" s="1"/>
  <c r="P1377" i="3"/>
  <c r="P1378" i="3" l="1"/>
  <c r="Q1377" i="3"/>
  <c r="R1377" i="3" s="1"/>
  <c r="A1378" i="3"/>
  <c r="S1377" i="3"/>
  <c r="A1379" i="3" l="1"/>
  <c r="S1378" i="3"/>
  <c r="Q1378" i="3"/>
  <c r="R1378" i="3" s="1"/>
  <c r="P1379" i="3"/>
  <c r="P1380" i="3" l="1"/>
  <c r="Q1379" i="3"/>
  <c r="R1379" i="3" s="1"/>
  <c r="A1380" i="3"/>
  <c r="S1379" i="3"/>
  <c r="A1381" i="3" l="1"/>
  <c r="S1380" i="3"/>
  <c r="P1381" i="3"/>
  <c r="Q1380" i="3"/>
  <c r="R1380" i="3" s="1"/>
  <c r="P1382" i="3" l="1"/>
  <c r="Q1381" i="3"/>
  <c r="R1381" i="3" s="1"/>
  <c r="A1382" i="3"/>
  <c r="S1381" i="3"/>
  <c r="A1383" i="3" l="1"/>
  <c r="S1382" i="3"/>
  <c r="Q1382" i="3"/>
  <c r="R1382" i="3" s="1"/>
  <c r="P1383" i="3"/>
  <c r="P1384" i="3" l="1"/>
  <c r="Q1383" i="3"/>
  <c r="R1383" i="3" s="1"/>
  <c r="S1383" i="3"/>
  <c r="A1384" i="3"/>
  <c r="A1385" i="3" l="1"/>
  <c r="S1384" i="3"/>
  <c r="Q1384" i="3"/>
  <c r="R1384" i="3" s="1"/>
  <c r="P1385" i="3"/>
  <c r="P1386" i="3" l="1"/>
  <c r="Q1385" i="3"/>
  <c r="R1385" i="3" s="1"/>
  <c r="A1386" i="3"/>
  <c r="S1385" i="3"/>
  <c r="A1387" i="3" l="1"/>
  <c r="S1386" i="3"/>
  <c r="Q1386" i="3"/>
  <c r="R1386" i="3" s="1"/>
  <c r="P1387" i="3"/>
  <c r="P1388" i="3" l="1"/>
  <c r="Q1387" i="3"/>
  <c r="R1387" i="3" s="1"/>
  <c r="A1388" i="3"/>
  <c r="S1387" i="3"/>
  <c r="A1389" i="3" l="1"/>
  <c r="S1388" i="3"/>
  <c r="P1389" i="3"/>
  <c r="Q1388" i="3"/>
  <c r="R1388" i="3" s="1"/>
  <c r="P1390" i="3" l="1"/>
  <c r="Q1389" i="3"/>
  <c r="R1389" i="3" s="1"/>
  <c r="A1390" i="3"/>
  <c r="S1389" i="3"/>
  <c r="A1391" i="3" l="1"/>
  <c r="S1390" i="3"/>
  <c r="Q1390" i="3"/>
  <c r="R1390" i="3" s="1"/>
  <c r="P1391" i="3"/>
  <c r="P1392" i="3" l="1"/>
  <c r="Q1391" i="3"/>
  <c r="R1391" i="3" s="1"/>
  <c r="S1391" i="3"/>
  <c r="A1392" i="3"/>
  <c r="A1393" i="3" l="1"/>
  <c r="S1392" i="3"/>
  <c r="Q1392" i="3"/>
  <c r="R1392" i="3" s="1"/>
  <c r="P1393" i="3"/>
  <c r="P1394" i="3" l="1"/>
  <c r="Q1393" i="3"/>
  <c r="R1393" i="3" s="1"/>
  <c r="A1394" i="3"/>
  <c r="S1393" i="3"/>
  <c r="A1395" i="3" l="1"/>
  <c r="S1394" i="3"/>
  <c r="Q1394" i="3"/>
  <c r="R1394" i="3" s="1"/>
  <c r="P1395" i="3"/>
  <c r="P1396" i="3" l="1"/>
  <c r="Q1395" i="3"/>
  <c r="R1395" i="3" s="1"/>
  <c r="A1396" i="3"/>
  <c r="S1395" i="3"/>
  <c r="A1397" i="3" l="1"/>
  <c r="S1396" i="3"/>
  <c r="P1397" i="3"/>
  <c r="Q1396" i="3"/>
  <c r="R1396" i="3" s="1"/>
  <c r="P1398" i="3" l="1"/>
  <c r="Q1397" i="3"/>
  <c r="R1397" i="3" s="1"/>
  <c r="A1398" i="3"/>
  <c r="S1397" i="3"/>
  <c r="A1399" i="3" l="1"/>
  <c r="S1398" i="3"/>
  <c r="Q1398" i="3"/>
  <c r="R1398" i="3" s="1"/>
  <c r="P1399" i="3"/>
  <c r="P1400" i="3" l="1"/>
  <c r="Q1399" i="3"/>
  <c r="R1399" i="3" s="1"/>
  <c r="S1399" i="3"/>
  <c r="A1400" i="3"/>
  <c r="A1401" i="3" l="1"/>
  <c r="S1400" i="3"/>
  <c r="Q1400" i="3"/>
  <c r="R1400" i="3" s="1"/>
  <c r="P1401" i="3"/>
  <c r="P1402" i="3" l="1"/>
  <c r="Q1401" i="3"/>
  <c r="R1401" i="3" s="1"/>
  <c r="A1402" i="3"/>
  <c r="S1401" i="3"/>
  <c r="A1403" i="3" l="1"/>
  <c r="S1402" i="3"/>
  <c r="Q1402" i="3"/>
  <c r="R1402" i="3" s="1"/>
  <c r="P1403" i="3"/>
  <c r="P1404" i="3" l="1"/>
  <c r="Q1403" i="3"/>
  <c r="R1403" i="3" s="1"/>
  <c r="A1404" i="3"/>
  <c r="S1403" i="3"/>
  <c r="A1405" i="3" l="1"/>
  <c r="S1404" i="3"/>
  <c r="P1405" i="3"/>
  <c r="Q1404" i="3"/>
  <c r="R1404" i="3" s="1"/>
  <c r="P1406" i="3" l="1"/>
  <c r="Q1405" i="3"/>
  <c r="R1405" i="3" s="1"/>
  <c r="A1406" i="3"/>
  <c r="S1405" i="3"/>
  <c r="A1407" i="3" l="1"/>
  <c r="S1406" i="3"/>
  <c r="Q1406" i="3"/>
  <c r="R1406" i="3" s="1"/>
  <c r="P1407" i="3"/>
  <c r="P1408" i="3" l="1"/>
  <c r="Q1407" i="3"/>
  <c r="R1407" i="3" s="1"/>
  <c r="S1407" i="3"/>
  <c r="A1408" i="3"/>
  <c r="A1409" i="3" l="1"/>
  <c r="S1408" i="3"/>
  <c r="Q1408" i="3"/>
  <c r="R1408" i="3" s="1"/>
  <c r="P1409" i="3"/>
  <c r="P1410" i="3" l="1"/>
  <c r="Q1409" i="3"/>
  <c r="R1409" i="3" s="1"/>
  <c r="A1410" i="3"/>
  <c r="S1409" i="3"/>
  <c r="A1411" i="3" l="1"/>
  <c r="S1410" i="3"/>
  <c r="Q1410" i="3"/>
  <c r="R1410" i="3" s="1"/>
  <c r="P1411" i="3"/>
  <c r="P1412" i="3" l="1"/>
  <c r="Q1411" i="3"/>
  <c r="R1411" i="3" s="1"/>
  <c r="A1412" i="3"/>
  <c r="S1411" i="3"/>
  <c r="A1413" i="3" l="1"/>
  <c r="S1412" i="3"/>
  <c r="P1413" i="3"/>
  <c r="Q1412" i="3"/>
  <c r="R1412" i="3" s="1"/>
  <c r="P1414" i="3" l="1"/>
  <c r="Q1413" i="3"/>
  <c r="R1413" i="3" s="1"/>
  <c r="A1414" i="3"/>
  <c r="S1413" i="3"/>
  <c r="A1415" i="3" l="1"/>
  <c r="S1414" i="3"/>
  <c r="Q1414" i="3"/>
  <c r="R1414" i="3" s="1"/>
  <c r="P1415" i="3"/>
  <c r="P1416" i="3" l="1"/>
  <c r="Q1415" i="3"/>
  <c r="R1415" i="3" s="1"/>
  <c r="S1415" i="3"/>
  <c r="A1416" i="3"/>
  <c r="A1417" i="3" l="1"/>
  <c r="S1416" i="3"/>
  <c r="Q1416" i="3"/>
  <c r="R1416" i="3" s="1"/>
  <c r="P1417" i="3"/>
  <c r="P1418" i="3" l="1"/>
  <c r="Q1417" i="3"/>
  <c r="R1417" i="3" s="1"/>
  <c r="A1418" i="3"/>
  <c r="S1417" i="3"/>
  <c r="A1419" i="3" l="1"/>
  <c r="S1418" i="3"/>
  <c r="Q1418" i="3"/>
  <c r="R1418" i="3" s="1"/>
  <c r="P1419" i="3"/>
  <c r="P1420" i="3" l="1"/>
  <c r="Q1419" i="3"/>
  <c r="R1419" i="3" s="1"/>
  <c r="A1420" i="3"/>
  <c r="S1419" i="3"/>
  <c r="A1421" i="3" l="1"/>
  <c r="S1420" i="3"/>
  <c r="P1421" i="3"/>
  <c r="Q1420" i="3"/>
  <c r="R1420" i="3" s="1"/>
  <c r="P1422" i="3" l="1"/>
  <c r="Q1421" i="3"/>
  <c r="R1421" i="3" s="1"/>
  <c r="A1422" i="3"/>
  <c r="S1421" i="3"/>
  <c r="A1423" i="3" l="1"/>
  <c r="S1422" i="3"/>
  <c r="Q1422" i="3"/>
  <c r="R1422" i="3" s="1"/>
  <c r="P1423" i="3"/>
  <c r="P1424" i="3" l="1"/>
  <c r="Q1423" i="3"/>
  <c r="R1423" i="3" s="1"/>
  <c r="S1423" i="3"/>
  <c r="A1424" i="3"/>
  <c r="A1425" i="3" l="1"/>
  <c r="S1424" i="3"/>
  <c r="Q1424" i="3"/>
  <c r="R1424" i="3" s="1"/>
  <c r="P1425" i="3"/>
  <c r="P1426" i="3" l="1"/>
  <c r="Q1425" i="3"/>
  <c r="R1425" i="3" s="1"/>
  <c r="A1426" i="3"/>
  <c r="S1425" i="3"/>
  <c r="A1427" i="3" l="1"/>
  <c r="S1426" i="3"/>
  <c r="Q1426" i="3"/>
  <c r="R1426" i="3" s="1"/>
  <c r="P1427" i="3"/>
  <c r="P1428" i="3" l="1"/>
  <c r="Q1427" i="3"/>
  <c r="R1427" i="3" s="1"/>
  <c r="A1428" i="3"/>
  <c r="S1427" i="3"/>
  <c r="A1429" i="3" l="1"/>
  <c r="S1428" i="3"/>
  <c r="P1429" i="3"/>
  <c r="Q1428" i="3"/>
  <c r="R1428" i="3" s="1"/>
  <c r="P1430" i="3" l="1"/>
  <c r="Q1429" i="3"/>
  <c r="R1429" i="3" s="1"/>
  <c r="A1430" i="3"/>
  <c r="S1429" i="3"/>
  <c r="A1431" i="3" l="1"/>
  <c r="S1430" i="3"/>
  <c r="Q1430" i="3"/>
  <c r="R1430" i="3" s="1"/>
  <c r="P1431" i="3"/>
  <c r="P1432" i="3" l="1"/>
  <c r="Q1431" i="3"/>
  <c r="R1431" i="3" s="1"/>
  <c r="S1431" i="3"/>
  <c r="A1432" i="3"/>
  <c r="A1433" i="3" l="1"/>
  <c r="S1432" i="3"/>
  <c r="Q1432" i="3"/>
  <c r="R1432" i="3" s="1"/>
  <c r="P1433" i="3"/>
  <c r="P1434" i="3" l="1"/>
  <c r="Q1433" i="3"/>
  <c r="R1433" i="3" s="1"/>
  <c r="A1434" i="3"/>
  <c r="S1433" i="3"/>
  <c r="A1435" i="3" l="1"/>
  <c r="S1434" i="3"/>
  <c r="Q1434" i="3"/>
  <c r="R1434" i="3" s="1"/>
  <c r="P1435" i="3"/>
  <c r="P1436" i="3" l="1"/>
  <c r="Q1435" i="3"/>
  <c r="R1435" i="3" s="1"/>
  <c r="A1436" i="3"/>
  <c r="S1435" i="3"/>
  <c r="A1437" i="3" l="1"/>
  <c r="S1436" i="3"/>
  <c r="P1437" i="3"/>
  <c r="Q1436" i="3"/>
  <c r="R1436" i="3" s="1"/>
  <c r="P1438" i="3" l="1"/>
  <c r="Q1437" i="3"/>
  <c r="R1437" i="3" s="1"/>
  <c r="A1438" i="3"/>
  <c r="S1437" i="3"/>
  <c r="A1439" i="3" l="1"/>
  <c r="S1438" i="3"/>
  <c r="Q1438" i="3"/>
  <c r="R1438" i="3" s="1"/>
  <c r="P1439" i="3"/>
  <c r="P1440" i="3" l="1"/>
  <c r="Q1439" i="3"/>
  <c r="R1439" i="3" s="1"/>
  <c r="S1439" i="3"/>
  <c r="A1440" i="3"/>
  <c r="A1441" i="3" l="1"/>
  <c r="S1440" i="3"/>
  <c r="Q1440" i="3"/>
  <c r="R1440" i="3" s="1"/>
  <c r="P1441" i="3"/>
  <c r="P1442" i="3" l="1"/>
  <c r="Q1441" i="3"/>
  <c r="R1441" i="3" s="1"/>
  <c r="A1442" i="3"/>
  <c r="S1441" i="3"/>
  <c r="A1443" i="3" l="1"/>
  <c r="S1442" i="3"/>
  <c r="Q1442" i="3"/>
  <c r="R1442" i="3" s="1"/>
  <c r="P1443" i="3"/>
  <c r="P1444" i="3" l="1"/>
  <c r="Q1443" i="3"/>
  <c r="R1443" i="3" s="1"/>
  <c r="A1444" i="3"/>
  <c r="S1443" i="3"/>
  <c r="A1445" i="3" l="1"/>
  <c r="S1444" i="3"/>
  <c r="P1445" i="3"/>
  <c r="Q1444" i="3"/>
  <c r="R1444" i="3" s="1"/>
  <c r="P1446" i="3" l="1"/>
  <c r="Q1445" i="3"/>
  <c r="R1445" i="3" s="1"/>
  <c r="A1446" i="3"/>
  <c r="S1445" i="3"/>
  <c r="A1447" i="3" l="1"/>
  <c r="S1446" i="3"/>
  <c r="Q1446" i="3"/>
  <c r="R1446" i="3" s="1"/>
  <c r="P1447" i="3"/>
  <c r="P1448" i="3" l="1"/>
  <c r="Q1447" i="3"/>
  <c r="R1447" i="3" s="1"/>
  <c r="S1447" i="3"/>
  <c r="A1448" i="3"/>
  <c r="A1449" i="3" l="1"/>
  <c r="S1448" i="3"/>
  <c r="Q1448" i="3"/>
  <c r="R1448" i="3" s="1"/>
  <c r="P1449" i="3"/>
  <c r="P1450" i="3" l="1"/>
  <c r="Q1449" i="3"/>
  <c r="R1449" i="3" s="1"/>
  <c r="A1450" i="3"/>
  <c r="S1449" i="3"/>
  <c r="A1451" i="3" l="1"/>
  <c r="S1450" i="3"/>
  <c r="Q1450" i="3"/>
  <c r="R1450" i="3" s="1"/>
  <c r="P1451" i="3"/>
  <c r="P1452" i="3" l="1"/>
  <c r="Q1451" i="3"/>
  <c r="R1451" i="3" s="1"/>
  <c r="A1452" i="3"/>
  <c r="S1451" i="3"/>
  <c r="A1453" i="3" l="1"/>
  <c r="S1452" i="3"/>
  <c r="P1453" i="3"/>
  <c r="Q1452" i="3"/>
  <c r="R1452" i="3" s="1"/>
  <c r="P1454" i="3" l="1"/>
  <c r="Q1453" i="3"/>
  <c r="R1453" i="3" s="1"/>
  <c r="A1454" i="3"/>
  <c r="S1453" i="3"/>
  <c r="A1455" i="3" l="1"/>
  <c r="S1454" i="3"/>
  <c r="Q1454" i="3"/>
  <c r="R1454" i="3" s="1"/>
  <c r="P1455" i="3"/>
  <c r="P1456" i="3" l="1"/>
  <c r="Q1455" i="3"/>
  <c r="R1455" i="3" s="1"/>
  <c r="S1455" i="3"/>
  <c r="A1456" i="3"/>
  <c r="A1457" i="3" l="1"/>
  <c r="S1456" i="3"/>
  <c r="Q1456" i="3"/>
  <c r="R1456" i="3" s="1"/>
  <c r="P1457" i="3"/>
  <c r="P1458" i="3" l="1"/>
  <c r="Q1457" i="3"/>
  <c r="R1457" i="3" s="1"/>
  <c r="A1458" i="3"/>
  <c r="S1457" i="3"/>
  <c r="A1459" i="3" l="1"/>
  <c r="S1458" i="3"/>
  <c r="Q1458" i="3"/>
  <c r="R1458" i="3" s="1"/>
  <c r="P1459" i="3"/>
  <c r="P1460" i="3" l="1"/>
  <c r="Q1459" i="3"/>
  <c r="R1459" i="3" s="1"/>
  <c r="A1460" i="3"/>
  <c r="S1459" i="3"/>
  <c r="A1461" i="3" l="1"/>
  <c r="S1460" i="3"/>
  <c r="P1461" i="3"/>
  <c r="Q1460" i="3"/>
  <c r="R1460" i="3" s="1"/>
  <c r="P1462" i="3" l="1"/>
  <c r="Q1461" i="3"/>
  <c r="R1461" i="3" s="1"/>
  <c r="A1462" i="3"/>
  <c r="S1461" i="3"/>
  <c r="A1463" i="3" l="1"/>
  <c r="S1462" i="3"/>
  <c r="Q1462" i="3"/>
  <c r="R1462" i="3" s="1"/>
  <c r="P1463" i="3"/>
  <c r="P1464" i="3" l="1"/>
  <c r="Q1463" i="3"/>
  <c r="R1463" i="3" s="1"/>
  <c r="S1463" i="3"/>
  <c r="A1464" i="3"/>
  <c r="A1465" i="3" l="1"/>
  <c r="S1464" i="3"/>
  <c r="Q1464" i="3"/>
  <c r="R1464" i="3" s="1"/>
  <c r="P1465" i="3"/>
  <c r="P1466" i="3" l="1"/>
  <c r="Q1465" i="3"/>
  <c r="R1465" i="3" s="1"/>
  <c r="A1466" i="3"/>
  <c r="S1465" i="3"/>
  <c r="A1467" i="3" l="1"/>
  <c r="S1466" i="3"/>
  <c r="Q1466" i="3"/>
  <c r="R1466" i="3" s="1"/>
  <c r="P1467" i="3"/>
  <c r="P1468" i="3" l="1"/>
  <c r="Q1467" i="3"/>
  <c r="R1467" i="3" s="1"/>
  <c r="A1468" i="3"/>
  <c r="S1467" i="3"/>
  <c r="A1469" i="3" l="1"/>
  <c r="S1468" i="3"/>
  <c r="P1469" i="3"/>
  <c r="Q1468" i="3"/>
  <c r="R1468" i="3" s="1"/>
  <c r="P1470" i="3" l="1"/>
  <c r="Q1469" i="3"/>
  <c r="R1469" i="3" s="1"/>
  <c r="A1470" i="3"/>
  <c r="S1469" i="3"/>
  <c r="A1471" i="3" l="1"/>
  <c r="S1470" i="3"/>
  <c r="Q1470" i="3"/>
  <c r="R1470" i="3" s="1"/>
  <c r="P1471" i="3"/>
  <c r="P1472" i="3" l="1"/>
  <c r="Q1471" i="3"/>
  <c r="R1471" i="3" s="1"/>
  <c r="S1471" i="3"/>
  <c r="A1472" i="3"/>
  <c r="A1473" i="3" l="1"/>
  <c r="S1472" i="3"/>
  <c r="Q1472" i="3"/>
  <c r="R1472" i="3" s="1"/>
  <c r="P1473" i="3"/>
  <c r="P1474" i="3" l="1"/>
  <c r="Q1473" i="3"/>
  <c r="R1473" i="3" s="1"/>
  <c r="A1474" i="3"/>
  <c r="S1473" i="3"/>
  <c r="A1475" i="3" l="1"/>
  <c r="S1474" i="3"/>
  <c r="Q1474" i="3"/>
  <c r="R1474" i="3" s="1"/>
  <c r="P1475" i="3"/>
  <c r="P1476" i="3" l="1"/>
  <c r="Q1475" i="3"/>
  <c r="R1475" i="3" s="1"/>
  <c r="A1476" i="3"/>
  <c r="S1475" i="3"/>
  <c r="A1477" i="3" l="1"/>
  <c r="S1476" i="3"/>
  <c r="P1477" i="3"/>
  <c r="Q1476" i="3"/>
  <c r="R1476" i="3" s="1"/>
  <c r="P1478" i="3" l="1"/>
  <c r="Q1477" i="3"/>
  <c r="R1477" i="3" s="1"/>
  <c r="A1478" i="3"/>
  <c r="S1477" i="3"/>
  <c r="A1479" i="3" l="1"/>
  <c r="S1478" i="3"/>
  <c r="Q1478" i="3"/>
  <c r="R1478" i="3" s="1"/>
  <c r="P1479" i="3"/>
  <c r="P1480" i="3" l="1"/>
  <c r="Q1479" i="3"/>
  <c r="R1479" i="3" s="1"/>
  <c r="S1479" i="3"/>
  <c r="A1480" i="3"/>
  <c r="A1481" i="3" l="1"/>
  <c r="S1480" i="3"/>
  <c r="Q1480" i="3"/>
  <c r="R1480" i="3" s="1"/>
  <c r="P1481" i="3"/>
  <c r="P1482" i="3" l="1"/>
  <c r="Q1481" i="3"/>
  <c r="R1481" i="3" s="1"/>
  <c r="A1482" i="3"/>
  <c r="S1481" i="3"/>
  <c r="A1483" i="3" l="1"/>
  <c r="S1482" i="3"/>
  <c r="Q1482" i="3"/>
  <c r="R1482" i="3" s="1"/>
  <c r="P1483" i="3"/>
  <c r="P1484" i="3" l="1"/>
  <c r="Q1483" i="3"/>
  <c r="R1483" i="3" s="1"/>
  <c r="A1484" i="3"/>
  <c r="S1483" i="3"/>
  <c r="A1485" i="3" l="1"/>
  <c r="S1484" i="3"/>
  <c r="P1485" i="3"/>
  <c r="Q1484" i="3"/>
  <c r="R1484" i="3" s="1"/>
  <c r="P1486" i="3" l="1"/>
  <c r="Q1485" i="3"/>
  <c r="R1485" i="3" s="1"/>
  <c r="A1486" i="3"/>
  <c r="S1485" i="3"/>
  <c r="A1487" i="3" l="1"/>
  <c r="S1486" i="3"/>
  <c r="Q1486" i="3"/>
  <c r="R1486" i="3" s="1"/>
  <c r="P1487" i="3"/>
  <c r="P1488" i="3" l="1"/>
  <c r="Q1487" i="3"/>
  <c r="R1487" i="3" s="1"/>
  <c r="S1487" i="3"/>
  <c r="A1488" i="3"/>
  <c r="A1489" i="3" l="1"/>
  <c r="S1488" i="3"/>
  <c r="Q1488" i="3"/>
  <c r="R1488" i="3" s="1"/>
  <c r="P1489" i="3"/>
  <c r="P1490" i="3" l="1"/>
  <c r="Q1489" i="3"/>
  <c r="R1489" i="3" s="1"/>
  <c r="A1490" i="3"/>
  <c r="S1489" i="3"/>
  <c r="A1491" i="3" l="1"/>
  <c r="S1490" i="3"/>
  <c r="Q1490" i="3"/>
  <c r="R1490" i="3" s="1"/>
  <c r="P1491" i="3"/>
  <c r="P1492" i="3" l="1"/>
  <c r="Q1491" i="3"/>
  <c r="R1491" i="3" s="1"/>
  <c r="A1492" i="3"/>
  <c r="S1491" i="3"/>
  <c r="A1493" i="3" l="1"/>
  <c r="S1492" i="3"/>
  <c r="P1493" i="3"/>
  <c r="Q1492" i="3"/>
  <c r="R1492" i="3" s="1"/>
  <c r="P1494" i="3" l="1"/>
  <c r="Q1493" i="3"/>
  <c r="R1493" i="3" s="1"/>
  <c r="A1494" i="3"/>
  <c r="S1493" i="3"/>
  <c r="A1495" i="3" l="1"/>
  <c r="S1494" i="3"/>
  <c r="Q1494" i="3"/>
  <c r="R1494" i="3" s="1"/>
  <c r="P1495" i="3"/>
  <c r="P1496" i="3" l="1"/>
  <c r="Q1495" i="3"/>
  <c r="R1495" i="3" s="1"/>
  <c r="S1495" i="3"/>
  <c r="A1496" i="3"/>
  <c r="A1497" i="3" l="1"/>
  <c r="S1496" i="3"/>
  <c r="Q1496" i="3"/>
  <c r="R1496" i="3" s="1"/>
  <c r="P1497" i="3"/>
  <c r="P1498" i="3" l="1"/>
  <c r="Q1497" i="3"/>
  <c r="R1497" i="3" s="1"/>
  <c r="A1498" i="3"/>
  <c r="S1497" i="3"/>
  <c r="A1499" i="3" l="1"/>
  <c r="S1498" i="3"/>
  <c r="Q1498" i="3"/>
  <c r="R1498" i="3" s="1"/>
  <c r="P1499" i="3"/>
  <c r="P1500" i="3" l="1"/>
  <c r="Q1499" i="3"/>
  <c r="R1499" i="3" s="1"/>
  <c r="A1500" i="3"/>
  <c r="S1499" i="3"/>
  <c r="A1501" i="3" l="1"/>
  <c r="S1500" i="3"/>
  <c r="P1501" i="3"/>
  <c r="Q1500" i="3"/>
  <c r="R1500" i="3" s="1"/>
  <c r="P1502" i="3" l="1"/>
  <c r="Q1501" i="3"/>
  <c r="R1501" i="3" s="1"/>
  <c r="A1502" i="3"/>
  <c r="S1501" i="3"/>
  <c r="A1503" i="3" l="1"/>
  <c r="S1502" i="3"/>
  <c r="Q1502" i="3"/>
  <c r="R1502" i="3" s="1"/>
  <c r="P1503" i="3"/>
  <c r="P1504" i="3" l="1"/>
  <c r="Q1503" i="3"/>
  <c r="R1503" i="3" s="1"/>
  <c r="S1503" i="3"/>
  <c r="A1504" i="3"/>
  <c r="A1505" i="3" l="1"/>
  <c r="S1504" i="3"/>
  <c r="Q1504" i="3"/>
  <c r="R1504" i="3" s="1"/>
  <c r="P1505" i="3"/>
  <c r="P1506" i="3" l="1"/>
  <c r="Q1505" i="3"/>
  <c r="R1505" i="3" s="1"/>
  <c r="A1506" i="3"/>
  <c r="S1505" i="3"/>
  <c r="A1507" i="3" l="1"/>
  <c r="S1506" i="3"/>
  <c r="Q1506" i="3"/>
  <c r="R1506" i="3" s="1"/>
  <c r="P1507" i="3"/>
  <c r="P1508" i="3" l="1"/>
  <c r="Q1507" i="3"/>
  <c r="R1507" i="3" s="1"/>
  <c r="A1508" i="3"/>
  <c r="S1507" i="3"/>
  <c r="A1509" i="3" l="1"/>
  <c r="S1508" i="3"/>
  <c r="P1509" i="3"/>
  <c r="Q1508" i="3"/>
  <c r="R1508" i="3" s="1"/>
  <c r="P1510" i="3" l="1"/>
  <c r="Q1509" i="3"/>
  <c r="R1509" i="3" s="1"/>
  <c r="A1510" i="3"/>
  <c r="S1509" i="3"/>
  <c r="A1511" i="3" l="1"/>
  <c r="S1510" i="3"/>
  <c r="Q1510" i="3"/>
  <c r="R1510" i="3" s="1"/>
  <c r="P1511" i="3"/>
  <c r="P1512" i="3" l="1"/>
  <c r="Q1511" i="3"/>
  <c r="R1511" i="3" s="1"/>
  <c r="S1511" i="3"/>
  <c r="A1512" i="3"/>
  <c r="A1513" i="3" l="1"/>
  <c r="S1512" i="3"/>
  <c r="Q1512" i="3"/>
  <c r="R1512" i="3" s="1"/>
  <c r="P1513" i="3"/>
  <c r="P1514" i="3" l="1"/>
  <c r="Q1513" i="3"/>
  <c r="R1513" i="3" s="1"/>
  <c r="A1514" i="3"/>
  <c r="S1513" i="3"/>
  <c r="A1515" i="3" l="1"/>
  <c r="S1514" i="3"/>
  <c r="Q1514" i="3"/>
  <c r="R1514" i="3" s="1"/>
  <c r="P1515" i="3"/>
  <c r="P1516" i="3" l="1"/>
  <c r="Q1515" i="3"/>
  <c r="R1515" i="3" s="1"/>
  <c r="A1516" i="3"/>
  <c r="S1515" i="3"/>
  <c r="A1517" i="3" l="1"/>
  <c r="S1516" i="3"/>
  <c r="P1517" i="3"/>
  <c r="Q1516" i="3"/>
  <c r="R1516" i="3" s="1"/>
  <c r="P1518" i="3" l="1"/>
  <c r="Q1517" i="3"/>
  <c r="R1517" i="3" s="1"/>
  <c r="A1518" i="3"/>
  <c r="S1517" i="3"/>
  <c r="A1519" i="3" l="1"/>
  <c r="S1518" i="3"/>
  <c r="Q1518" i="3"/>
  <c r="R1518" i="3" s="1"/>
  <c r="P1519" i="3"/>
  <c r="P1520" i="3" l="1"/>
  <c r="Q1519" i="3"/>
  <c r="R1519" i="3" s="1"/>
  <c r="S1519" i="3"/>
  <c r="A1520" i="3"/>
  <c r="A1521" i="3" l="1"/>
  <c r="S1520" i="3"/>
  <c r="Q1520" i="3"/>
  <c r="R1520" i="3" s="1"/>
  <c r="P1521" i="3"/>
  <c r="P1522" i="3" l="1"/>
  <c r="Q1521" i="3"/>
  <c r="R1521" i="3" s="1"/>
  <c r="A1522" i="3"/>
  <c r="S1521" i="3"/>
  <c r="A1523" i="3" l="1"/>
  <c r="S1522" i="3"/>
  <c r="Q1522" i="3"/>
  <c r="R1522" i="3" s="1"/>
  <c r="P1523" i="3"/>
  <c r="P1524" i="3" l="1"/>
  <c r="Q1523" i="3"/>
  <c r="R1523" i="3" s="1"/>
  <c r="A1524" i="3"/>
  <c r="S1523" i="3"/>
  <c r="A1525" i="3" l="1"/>
  <c r="S1524" i="3"/>
  <c r="P1525" i="3"/>
  <c r="Q1524" i="3"/>
  <c r="R1524" i="3" s="1"/>
  <c r="P1526" i="3" l="1"/>
  <c r="Q1525" i="3"/>
  <c r="R1525" i="3" s="1"/>
  <c r="A1526" i="3"/>
  <c r="S1525" i="3"/>
  <c r="A1527" i="3" l="1"/>
  <c r="S1526" i="3"/>
  <c r="Q1526" i="3"/>
  <c r="R1526" i="3" s="1"/>
  <c r="P1527" i="3"/>
  <c r="P1528" i="3" l="1"/>
  <c r="Q1527" i="3"/>
  <c r="R1527" i="3" s="1"/>
  <c r="S1527" i="3"/>
  <c r="A1528" i="3"/>
  <c r="A1529" i="3" l="1"/>
  <c r="S1528" i="3"/>
  <c r="Q1528" i="3"/>
  <c r="R1528" i="3" s="1"/>
  <c r="P1529" i="3"/>
  <c r="P1530" i="3" l="1"/>
  <c r="Q1529" i="3"/>
  <c r="R1529" i="3" s="1"/>
  <c r="A1530" i="3"/>
  <c r="S1529" i="3"/>
  <c r="A1531" i="3" l="1"/>
  <c r="S1530" i="3"/>
  <c r="Q1530" i="3"/>
  <c r="R1530" i="3" s="1"/>
  <c r="P1531" i="3"/>
  <c r="P1532" i="3" l="1"/>
  <c r="Q1531" i="3"/>
  <c r="R1531" i="3" s="1"/>
  <c r="A1532" i="3"/>
  <c r="S1531" i="3"/>
  <c r="A1533" i="3" l="1"/>
  <c r="S1532" i="3"/>
  <c r="P1533" i="3"/>
  <c r="Q1532" i="3"/>
  <c r="R1532" i="3" s="1"/>
  <c r="P1534" i="3" l="1"/>
  <c r="Q1533" i="3"/>
  <c r="R1533" i="3" s="1"/>
  <c r="A1534" i="3"/>
  <c r="S1533" i="3"/>
  <c r="A1535" i="3" l="1"/>
  <c r="S1534" i="3"/>
  <c r="Q1534" i="3"/>
  <c r="R1534" i="3" s="1"/>
  <c r="P1535" i="3"/>
  <c r="P1536" i="3" l="1"/>
  <c r="Q1535" i="3"/>
  <c r="R1535" i="3" s="1"/>
  <c r="S1535" i="3"/>
  <c r="A1536" i="3"/>
  <c r="A1537" i="3" l="1"/>
  <c r="S1536" i="3"/>
  <c r="Q1536" i="3"/>
  <c r="R1536" i="3" s="1"/>
  <c r="P1537" i="3"/>
  <c r="P1538" i="3" l="1"/>
  <c r="A1538" i="3"/>
  <c r="S1537" i="3"/>
  <c r="Q1537" i="3"/>
  <c r="R1537" i="3" s="1"/>
  <c r="A1539" i="3" l="1"/>
  <c r="S1538" i="3"/>
  <c r="P1539" i="3"/>
  <c r="Q1538" i="3"/>
  <c r="R1538" i="3" s="1"/>
  <c r="P1540" i="3" l="1"/>
  <c r="S1539" i="3"/>
  <c r="Q1539" i="3"/>
  <c r="R1539" i="3" s="1"/>
  <c r="A1540" i="3"/>
  <c r="A1541" i="3" l="1"/>
  <c r="P1541" i="3"/>
  <c r="Q1540" i="3"/>
  <c r="R1540" i="3" s="1"/>
  <c r="S1540" i="3"/>
  <c r="P1542" i="3" l="1"/>
  <c r="Q1541" i="3"/>
  <c r="R1541" i="3" s="1"/>
  <c r="S1541" i="3"/>
  <c r="A1542" i="3"/>
  <c r="A1543" i="3" l="1"/>
  <c r="P1543" i="3"/>
  <c r="Q1542" i="3"/>
  <c r="R1542" i="3" s="1"/>
  <c r="S1542" i="3"/>
  <c r="P1544" i="3" l="1"/>
  <c r="A1544" i="3"/>
  <c r="S1543" i="3"/>
  <c r="Q1543" i="3"/>
  <c r="R1543" i="3" s="1"/>
  <c r="A1545" i="3" l="1"/>
  <c r="S1544" i="3"/>
  <c r="P1545" i="3"/>
  <c r="Q1544" i="3"/>
  <c r="R1544" i="3" s="1"/>
  <c r="P1546" i="3" l="1"/>
  <c r="A1546" i="3"/>
  <c r="S1545" i="3"/>
  <c r="Q1545" i="3"/>
  <c r="R1545" i="3" s="1"/>
  <c r="A1547" i="3" l="1"/>
  <c r="S1546" i="3"/>
  <c r="Q1546" i="3"/>
  <c r="R1546" i="3" s="1"/>
  <c r="P1547" i="3"/>
  <c r="P1548" i="3" l="1"/>
  <c r="S1547" i="3"/>
  <c r="Q1547" i="3"/>
  <c r="R1547" i="3" s="1"/>
  <c r="A1548" i="3"/>
  <c r="A1549" i="3" l="1"/>
  <c r="P1549" i="3"/>
  <c r="Q1548" i="3"/>
  <c r="R1548" i="3" s="1"/>
  <c r="S1548" i="3"/>
  <c r="P1550" i="3" l="1"/>
  <c r="Q1549" i="3"/>
  <c r="R1549" i="3" s="1"/>
  <c r="A1550" i="3"/>
  <c r="S1549" i="3"/>
  <c r="A1551" i="3" l="1"/>
  <c r="P1551" i="3"/>
  <c r="Q1550" i="3"/>
  <c r="R1550" i="3" s="1"/>
  <c r="S1550" i="3"/>
  <c r="P1552" i="3" l="1"/>
  <c r="A1552" i="3"/>
  <c r="Q1551" i="3"/>
  <c r="R1551" i="3" s="1"/>
  <c r="S1551" i="3"/>
  <c r="A1553" i="3" l="1"/>
  <c r="S1552" i="3"/>
  <c r="Q1552" i="3"/>
  <c r="R1552" i="3" s="1"/>
  <c r="P1553" i="3"/>
  <c r="P1554" i="3" l="1"/>
  <c r="A1554" i="3"/>
  <c r="S1553" i="3"/>
  <c r="Q1553" i="3"/>
  <c r="R1553" i="3" s="1"/>
  <c r="A1555" i="3" l="1"/>
  <c r="S1554" i="3"/>
  <c r="P1555" i="3"/>
  <c r="Q1554" i="3"/>
  <c r="R1554" i="3" s="1"/>
  <c r="P1556" i="3" l="1"/>
  <c r="S1555" i="3"/>
  <c r="Q1555" i="3"/>
  <c r="R1555" i="3" s="1"/>
  <c r="A1556" i="3"/>
  <c r="A1557" i="3" l="1"/>
  <c r="P1557" i="3"/>
  <c r="Q1556" i="3"/>
  <c r="R1556" i="3" s="1"/>
  <c r="S1556" i="3"/>
  <c r="P1558" i="3" l="1"/>
  <c r="Q1557" i="3"/>
  <c r="R1557" i="3" s="1"/>
  <c r="S1557" i="3"/>
  <c r="A1558" i="3"/>
  <c r="A1559" i="3" l="1"/>
  <c r="P1559" i="3"/>
  <c r="Q1558" i="3"/>
  <c r="R1558" i="3" s="1"/>
  <c r="S1558" i="3"/>
  <c r="P1560" i="3" l="1"/>
  <c r="A1560" i="3"/>
  <c r="S1559" i="3"/>
  <c r="Q1559" i="3"/>
  <c r="R1559" i="3" s="1"/>
  <c r="A1561" i="3" l="1"/>
  <c r="S1560" i="3"/>
  <c r="P1561" i="3"/>
  <c r="Q1560" i="3"/>
  <c r="R1560" i="3" s="1"/>
  <c r="P1562" i="3" l="1"/>
  <c r="A1562" i="3"/>
  <c r="S1561" i="3"/>
  <c r="Q1561" i="3"/>
  <c r="R1561" i="3" s="1"/>
  <c r="A1563" i="3" l="1"/>
  <c r="S1562" i="3"/>
  <c r="Q1562" i="3"/>
  <c r="R1562" i="3" s="1"/>
  <c r="P1563" i="3"/>
  <c r="P1564" i="3" l="1"/>
  <c r="S1563" i="3"/>
  <c r="Q1563" i="3"/>
  <c r="R1563" i="3" s="1"/>
  <c r="A1564" i="3"/>
  <c r="A1565" i="3" l="1"/>
  <c r="P1565" i="3"/>
  <c r="Q1564" i="3"/>
  <c r="R1564" i="3" s="1"/>
  <c r="S1564" i="3"/>
  <c r="P1566" i="3" l="1"/>
  <c r="A1566" i="3"/>
  <c r="S1565" i="3"/>
  <c r="Q1565" i="3"/>
  <c r="R1565" i="3" s="1"/>
  <c r="A1567" i="3" l="1"/>
  <c r="P1567" i="3"/>
  <c r="S1566" i="3"/>
  <c r="Q1566" i="3"/>
  <c r="R1566" i="3" s="1"/>
  <c r="P1568" i="3" l="1"/>
  <c r="A1568" i="3"/>
  <c r="S1567" i="3"/>
  <c r="Q1567" i="3"/>
  <c r="R1567" i="3" s="1"/>
  <c r="A1569" i="3" l="1"/>
  <c r="P1569" i="3"/>
  <c r="Q1568" i="3"/>
  <c r="R1568" i="3" s="1"/>
  <c r="S1568" i="3"/>
  <c r="P1570" i="3" l="1"/>
  <c r="A1570" i="3"/>
  <c r="S1569" i="3"/>
  <c r="Q1569" i="3"/>
  <c r="R1569" i="3" s="1"/>
  <c r="A1571" i="3" l="1"/>
  <c r="P1571" i="3"/>
  <c r="S1570" i="3"/>
  <c r="Q1570" i="3"/>
  <c r="R1570" i="3" s="1"/>
  <c r="P1572" i="3" l="1"/>
  <c r="A1572" i="3"/>
  <c r="S1571" i="3"/>
  <c r="Q1571" i="3"/>
  <c r="R1571" i="3" s="1"/>
  <c r="A1573" i="3" l="1"/>
  <c r="P1573" i="3"/>
  <c r="Q1572" i="3"/>
  <c r="R1572" i="3" s="1"/>
  <c r="S1572" i="3"/>
  <c r="P1574" i="3" l="1"/>
  <c r="A1574" i="3"/>
  <c r="S1573" i="3"/>
  <c r="Q1573" i="3"/>
  <c r="R1573" i="3" s="1"/>
  <c r="A1575" i="3" l="1"/>
  <c r="P1575" i="3"/>
  <c r="S1574" i="3"/>
  <c r="Q1574" i="3"/>
  <c r="R1574" i="3" s="1"/>
  <c r="P1576" i="3" l="1"/>
  <c r="A1576" i="3"/>
  <c r="S1575" i="3"/>
  <c r="Q1575" i="3"/>
  <c r="R1575" i="3" s="1"/>
  <c r="A1577" i="3" l="1"/>
  <c r="P1577" i="3"/>
  <c r="Q1576" i="3"/>
  <c r="R1576" i="3" s="1"/>
  <c r="S1576" i="3"/>
  <c r="P1578" i="3" l="1"/>
  <c r="A1578" i="3"/>
  <c r="S1577" i="3"/>
  <c r="Q1577" i="3"/>
  <c r="R1577" i="3" s="1"/>
  <c r="A1579" i="3" l="1"/>
  <c r="P1579" i="3"/>
  <c r="S1578" i="3"/>
  <c r="Q1578" i="3"/>
  <c r="R1578" i="3" s="1"/>
  <c r="P1580" i="3" l="1"/>
  <c r="A1580" i="3"/>
  <c r="S1579" i="3"/>
  <c r="Q1579" i="3"/>
  <c r="R1579" i="3" s="1"/>
  <c r="A1581" i="3" l="1"/>
  <c r="P1581" i="3"/>
  <c r="Q1580" i="3"/>
  <c r="R1580" i="3" s="1"/>
  <c r="S1580" i="3"/>
  <c r="P1582" i="3" l="1"/>
  <c r="A1582" i="3"/>
  <c r="S1581" i="3"/>
  <c r="Q1581" i="3"/>
  <c r="R1581" i="3" s="1"/>
  <c r="A1583" i="3" l="1"/>
  <c r="P1583" i="3"/>
  <c r="S1582" i="3"/>
  <c r="Q1582" i="3"/>
  <c r="R1582" i="3" s="1"/>
  <c r="P1584" i="3" l="1"/>
  <c r="A1584" i="3"/>
  <c r="S1583" i="3"/>
  <c r="Q1583" i="3"/>
  <c r="R1583" i="3" s="1"/>
  <c r="A1585" i="3" l="1"/>
  <c r="P1585" i="3"/>
  <c r="Q1584" i="3"/>
  <c r="R1584" i="3" s="1"/>
  <c r="S1584" i="3"/>
  <c r="P1586" i="3" l="1"/>
  <c r="A1586" i="3"/>
  <c r="S1585" i="3"/>
  <c r="Q1585" i="3"/>
  <c r="R1585" i="3" s="1"/>
  <c r="A1587" i="3" l="1"/>
  <c r="P1587" i="3"/>
  <c r="S1586" i="3"/>
  <c r="Q1586" i="3"/>
  <c r="R1586" i="3" s="1"/>
  <c r="P1588" i="3" l="1"/>
  <c r="A1588" i="3"/>
  <c r="S1587" i="3"/>
  <c r="Q1587" i="3"/>
  <c r="R1587" i="3" s="1"/>
  <c r="A1589" i="3" l="1"/>
  <c r="P1589" i="3"/>
  <c r="Q1588" i="3"/>
  <c r="R1588" i="3" s="1"/>
  <c r="S1588" i="3"/>
  <c r="P1590" i="3" l="1"/>
  <c r="A1590" i="3"/>
  <c r="S1589" i="3"/>
  <c r="Q1589" i="3"/>
  <c r="R1589" i="3" s="1"/>
  <c r="A1591" i="3" l="1"/>
  <c r="P1591" i="3"/>
  <c r="S1590" i="3"/>
  <c r="Q1590" i="3"/>
  <c r="R1590" i="3" s="1"/>
  <c r="P1592" i="3" l="1"/>
  <c r="A1592" i="3"/>
  <c r="S1591" i="3"/>
  <c r="Q1591" i="3"/>
  <c r="R1591" i="3" s="1"/>
  <c r="A1593" i="3" l="1"/>
  <c r="P1593" i="3"/>
  <c r="Q1592" i="3"/>
  <c r="R1592" i="3" s="1"/>
  <c r="S1592" i="3"/>
  <c r="P1594" i="3" l="1"/>
  <c r="A1594" i="3"/>
  <c r="S1593" i="3"/>
  <c r="Q1593" i="3"/>
  <c r="R1593" i="3" s="1"/>
  <c r="A1595" i="3" l="1"/>
  <c r="P1595" i="3"/>
  <c r="S1594" i="3"/>
  <c r="Q1594" i="3"/>
  <c r="R1594" i="3" s="1"/>
  <c r="P1596" i="3" l="1"/>
  <c r="A1596" i="3"/>
  <c r="S1595" i="3"/>
  <c r="Q1595" i="3"/>
  <c r="R1595" i="3" s="1"/>
  <c r="A1597" i="3" l="1"/>
  <c r="P1597" i="3"/>
  <c r="Q1596" i="3"/>
  <c r="R1596" i="3" s="1"/>
  <c r="S1596" i="3"/>
  <c r="P1598" i="3" l="1"/>
  <c r="A1598" i="3"/>
  <c r="S1597" i="3"/>
  <c r="Q1597" i="3"/>
  <c r="R1597" i="3" s="1"/>
  <c r="A1599" i="3" l="1"/>
  <c r="P1599" i="3"/>
  <c r="S1598" i="3"/>
  <c r="Q1598" i="3"/>
  <c r="R1598" i="3" s="1"/>
  <c r="P1600" i="3" l="1"/>
  <c r="A1600" i="3"/>
  <c r="S1599" i="3"/>
  <c r="Q1599" i="3"/>
  <c r="R1599" i="3" s="1"/>
  <c r="A1601" i="3" l="1"/>
  <c r="P1601" i="3"/>
  <c r="Q1600" i="3"/>
  <c r="R1600" i="3" s="1"/>
  <c r="S1600" i="3"/>
  <c r="P1602" i="3" l="1"/>
  <c r="A1602" i="3"/>
  <c r="S1601" i="3"/>
  <c r="Q1601" i="3"/>
  <c r="R1601" i="3" s="1"/>
  <c r="A1603" i="3" l="1"/>
  <c r="P1603" i="3"/>
  <c r="S1602" i="3"/>
  <c r="Q1602" i="3"/>
  <c r="R1602" i="3" s="1"/>
  <c r="P1604" i="3" l="1"/>
  <c r="A1604" i="3"/>
  <c r="S1603" i="3"/>
  <c r="Q1603" i="3"/>
  <c r="R1603" i="3" s="1"/>
  <c r="A1605" i="3" l="1"/>
  <c r="P1605" i="3"/>
  <c r="Q1604" i="3"/>
  <c r="R1604" i="3" s="1"/>
  <c r="S1604" i="3"/>
  <c r="P1606" i="3" l="1"/>
  <c r="A1606" i="3"/>
  <c r="S1605" i="3"/>
  <c r="Q1605" i="3"/>
  <c r="R1605" i="3" s="1"/>
  <c r="A1607" i="3" l="1"/>
  <c r="P1607" i="3"/>
  <c r="S1606" i="3"/>
  <c r="Q1606" i="3"/>
  <c r="R1606" i="3" s="1"/>
  <c r="P1608" i="3" l="1"/>
  <c r="A1608" i="3"/>
  <c r="S1607" i="3"/>
  <c r="Q1607" i="3"/>
  <c r="R1607" i="3" s="1"/>
  <c r="A1609" i="3" l="1"/>
  <c r="P1609" i="3"/>
  <c r="Q1608" i="3"/>
  <c r="R1608" i="3" s="1"/>
  <c r="S1608" i="3"/>
  <c r="P1610" i="3" l="1"/>
  <c r="A1610" i="3"/>
  <c r="S1609" i="3"/>
  <c r="Q1609" i="3"/>
  <c r="R1609" i="3" s="1"/>
  <c r="A1611" i="3" l="1"/>
  <c r="P1611" i="3"/>
  <c r="S1610" i="3"/>
  <c r="Q1610" i="3"/>
  <c r="R1610" i="3" s="1"/>
  <c r="P1612" i="3" l="1"/>
  <c r="A1612" i="3"/>
  <c r="S1611" i="3"/>
  <c r="Q1611" i="3"/>
  <c r="R1611" i="3" s="1"/>
  <c r="A1613" i="3" l="1"/>
  <c r="P1613" i="3"/>
  <c r="Q1612" i="3"/>
  <c r="R1612" i="3" s="1"/>
  <c r="S1612" i="3"/>
  <c r="P1614" i="3" l="1"/>
  <c r="A1614" i="3"/>
  <c r="S1613" i="3"/>
  <c r="Q1613" i="3"/>
  <c r="R1613" i="3" s="1"/>
  <c r="A1615" i="3" l="1"/>
  <c r="P1615" i="3"/>
  <c r="S1614" i="3"/>
  <c r="Q1614" i="3"/>
  <c r="R1614" i="3" s="1"/>
  <c r="P1616" i="3" l="1"/>
  <c r="A1616" i="3"/>
  <c r="S1615" i="3"/>
  <c r="Q1615" i="3"/>
  <c r="R1615" i="3" s="1"/>
  <c r="A1617" i="3" l="1"/>
  <c r="P1617" i="3"/>
  <c r="Q1616" i="3"/>
  <c r="R1616" i="3" s="1"/>
  <c r="S1616" i="3"/>
  <c r="P1618" i="3" l="1"/>
  <c r="A1618" i="3"/>
  <c r="S1617" i="3"/>
  <c r="Q1617" i="3"/>
  <c r="R1617" i="3" s="1"/>
  <c r="A1619" i="3" l="1"/>
  <c r="P1619" i="3"/>
  <c r="S1618" i="3"/>
  <c r="Q1618" i="3"/>
  <c r="R1618" i="3" s="1"/>
  <c r="P1620" i="3" l="1"/>
  <c r="A1620" i="3"/>
  <c r="S1619" i="3"/>
  <c r="Q1619" i="3"/>
  <c r="R1619" i="3" s="1"/>
  <c r="A1621" i="3" l="1"/>
  <c r="P1621" i="3"/>
  <c r="Q1620" i="3"/>
  <c r="R1620" i="3" s="1"/>
  <c r="S1620" i="3"/>
  <c r="P1622" i="3" l="1"/>
  <c r="A1622" i="3"/>
  <c r="S1621" i="3"/>
  <c r="Q1621" i="3"/>
  <c r="R1621" i="3" s="1"/>
  <c r="A1623" i="3" l="1"/>
  <c r="P1623" i="3"/>
  <c r="S1622" i="3"/>
  <c r="Q1622" i="3"/>
  <c r="R1622" i="3" s="1"/>
  <c r="P1624" i="3" l="1"/>
  <c r="A1624" i="3"/>
  <c r="S1623" i="3"/>
  <c r="Q1623" i="3"/>
  <c r="R1623" i="3" s="1"/>
  <c r="A1625" i="3" l="1"/>
  <c r="P1625" i="3"/>
  <c r="Q1624" i="3"/>
  <c r="R1624" i="3" s="1"/>
  <c r="S1624" i="3"/>
  <c r="P1626" i="3" l="1"/>
  <c r="A1626" i="3"/>
  <c r="S1625" i="3"/>
  <c r="Q1625" i="3"/>
  <c r="R1625" i="3" s="1"/>
  <c r="A1627" i="3" l="1"/>
  <c r="P1627" i="3"/>
  <c r="S1626" i="3"/>
  <c r="Q1626" i="3"/>
  <c r="R1626" i="3" s="1"/>
  <c r="P1628" i="3" l="1"/>
  <c r="A1628" i="3"/>
  <c r="S1627" i="3"/>
  <c r="Q1627" i="3"/>
  <c r="R1627" i="3" s="1"/>
  <c r="A1629" i="3" l="1"/>
  <c r="P1629" i="3"/>
  <c r="Q1628" i="3"/>
  <c r="R1628" i="3" s="1"/>
  <c r="S1628" i="3"/>
  <c r="P1630" i="3" l="1"/>
  <c r="A1630" i="3"/>
  <c r="S1629" i="3"/>
  <c r="Q1629" i="3"/>
  <c r="R1629" i="3" s="1"/>
  <c r="A1631" i="3" l="1"/>
  <c r="P1631" i="3"/>
  <c r="S1630" i="3"/>
  <c r="Q1630" i="3"/>
  <c r="R1630" i="3" s="1"/>
  <c r="P1632" i="3" l="1"/>
  <c r="A1632" i="3"/>
  <c r="S1631" i="3"/>
  <c r="Q1631" i="3"/>
  <c r="R1631" i="3" s="1"/>
  <c r="A1633" i="3" l="1"/>
  <c r="P1633" i="3"/>
  <c r="Q1632" i="3"/>
  <c r="R1632" i="3" s="1"/>
  <c r="S1632" i="3"/>
  <c r="P1634" i="3" l="1"/>
  <c r="A1634" i="3"/>
  <c r="S1633" i="3"/>
  <c r="Q1633" i="3"/>
  <c r="R1633" i="3" s="1"/>
  <c r="A1635" i="3" l="1"/>
  <c r="P1635" i="3"/>
  <c r="S1634" i="3"/>
  <c r="Q1634" i="3"/>
  <c r="R1634" i="3" s="1"/>
  <c r="P1636" i="3" l="1"/>
  <c r="A1636" i="3"/>
  <c r="S1635" i="3"/>
  <c r="Q1635" i="3"/>
  <c r="R1635" i="3" s="1"/>
  <c r="A1637" i="3" l="1"/>
  <c r="P1637" i="3"/>
  <c r="Q1636" i="3"/>
  <c r="R1636" i="3" s="1"/>
  <c r="S1636" i="3"/>
  <c r="P1638" i="3" l="1"/>
  <c r="A1638" i="3"/>
  <c r="S1637" i="3"/>
  <c r="Q1637" i="3"/>
  <c r="R1637" i="3" s="1"/>
  <c r="A1639" i="3" l="1"/>
  <c r="P1639" i="3"/>
  <c r="S1638" i="3"/>
  <c r="Q1638" i="3"/>
  <c r="R1638" i="3" s="1"/>
  <c r="P1640" i="3" l="1"/>
  <c r="A1640" i="3"/>
  <c r="S1639" i="3"/>
  <c r="Q1639" i="3"/>
  <c r="R1639" i="3" s="1"/>
  <c r="A1641" i="3" l="1"/>
  <c r="P1641" i="3"/>
  <c r="Q1640" i="3"/>
  <c r="R1640" i="3" s="1"/>
  <c r="S1640" i="3"/>
  <c r="P1642" i="3" l="1"/>
  <c r="A1642" i="3"/>
  <c r="S1641" i="3"/>
  <c r="Q1641" i="3"/>
  <c r="R1641" i="3" s="1"/>
  <c r="A1643" i="3" l="1"/>
  <c r="P1643" i="3"/>
  <c r="S1642" i="3"/>
  <c r="Q1642" i="3"/>
  <c r="R1642" i="3" s="1"/>
  <c r="P1644" i="3" l="1"/>
  <c r="A1644" i="3"/>
  <c r="S1643" i="3"/>
  <c r="Q1643" i="3"/>
  <c r="R1643" i="3" s="1"/>
  <c r="A1645" i="3" l="1"/>
  <c r="P1645" i="3"/>
  <c r="Q1644" i="3"/>
  <c r="R1644" i="3" s="1"/>
  <c r="S1644" i="3"/>
  <c r="P1646" i="3" l="1"/>
  <c r="A1646" i="3"/>
  <c r="S1645" i="3"/>
  <c r="Q1645" i="3"/>
  <c r="R1645" i="3" s="1"/>
  <c r="A1647" i="3" l="1"/>
  <c r="P1647" i="3"/>
  <c r="S1646" i="3"/>
  <c r="Q1646" i="3"/>
  <c r="R1646" i="3" s="1"/>
  <c r="P1648" i="3" l="1"/>
  <c r="A1648" i="3"/>
  <c r="S1647" i="3"/>
  <c r="Q1647" i="3"/>
  <c r="R1647" i="3" s="1"/>
  <c r="A1649" i="3" l="1"/>
  <c r="P1649" i="3"/>
  <c r="Q1648" i="3"/>
  <c r="R1648" i="3" s="1"/>
  <c r="S1648" i="3"/>
  <c r="P1650" i="3" l="1"/>
  <c r="A1650" i="3"/>
  <c r="S1649" i="3"/>
  <c r="Q1649" i="3"/>
  <c r="R1649" i="3" s="1"/>
  <c r="A1651" i="3" l="1"/>
  <c r="P1651" i="3"/>
  <c r="S1650" i="3"/>
  <c r="Q1650" i="3"/>
  <c r="R1650" i="3" s="1"/>
  <c r="P1652" i="3" l="1"/>
  <c r="A1652" i="3"/>
  <c r="S1651" i="3"/>
  <c r="Q1651" i="3"/>
  <c r="R1651" i="3" s="1"/>
  <c r="A1653" i="3" l="1"/>
  <c r="P1653" i="3"/>
  <c r="Q1652" i="3"/>
  <c r="R1652" i="3" s="1"/>
  <c r="S1652" i="3"/>
  <c r="P1654" i="3" l="1"/>
  <c r="A1654" i="3"/>
  <c r="S1653" i="3"/>
  <c r="Q1653" i="3"/>
  <c r="R1653" i="3" s="1"/>
  <c r="A1655" i="3" l="1"/>
  <c r="P1655" i="3"/>
  <c r="S1654" i="3"/>
  <c r="Q1654" i="3"/>
  <c r="R1654" i="3" s="1"/>
  <c r="P1656" i="3" l="1"/>
  <c r="A1656" i="3"/>
  <c r="S1655" i="3"/>
  <c r="Q1655" i="3"/>
  <c r="R1655" i="3" s="1"/>
  <c r="A1657" i="3" l="1"/>
  <c r="P1657" i="3"/>
  <c r="Q1656" i="3"/>
  <c r="R1656" i="3" s="1"/>
  <c r="S1656" i="3"/>
  <c r="P1658" i="3" l="1"/>
  <c r="A1658" i="3"/>
  <c r="S1657" i="3"/>
  <c r="Q1657" i="3"/>
  <c r="R1657" i="3" s="1"/>
  <c r="A1659" i="3" l="1"/>
  <c r="P1659" i="3"/>
  <c r="S1658" i="3"/>
  <c r="Q1658" i="3"/>
  <c r="R1658" i="3" s="1"/>
  <c r="P1660" i="3" l="1"/>
  <c r="A1660" i="3"/>
  <c r="S1659" i="3"/>
  <c r="Q1659" i="3"/>
  <c r="R1659" i="3" s="1"/>
  <c r="A1661" i="3" l="1"/>
  <c r="P1661" i="3"/>
  <c r="Q1660" i="3"/>
  <c r="R1660" i="3" s="1"/>
  <c r="S1660" i="3"/>
  <c r="P1662" i="3" l="1"/>
  <c r="A1662" i="3"/>
  <c r="S1661" i="3"/>
  <c r="Q1661" i="3"/>
  <c r="R1661" i="3" s="1"/>
  <c r="A1663" i="3" l="1"/>
  <c r="P1663" i="3"/>
  <c r="S1662" i="3"/>
  <c r="Q1662" i="3"/>
  <c r="R1662" i="3" s="1"/>
  <c r="P1664" i="3" l="1"/>
  <c r="A1664" i="3"/>
  <c r="S1663" i="3"/>
  <c r="Q1663" i="3"/>
  <c r="R1663" i="3" s="1"/>
  <c r="A1665" i="3" l="1"/>
  <c r="P1665" i="3"/>
  <c r="Q1664" i="3"/>
  <c r="R1664" i="3" s="1"/>
  <c r="S1664" i="3"/>
  <c r="P1666" i="3" l="1"/>
  <c r="A1666" i="3"/>
  <c r="S1665" i="3"/>
  <c r="Q1665" i="3"/>
  <c r="R1665" i="3" s="1"/>
  <c r="A1667" i="3" l="1"/>
  <c r="P1667" i="3"/>
  <c r="S1666" i="3"/>
  <c r="Q1666" i="3"/>
  <c r="R1666" i="3" s="1"/>
  <c r="P1668" i="3" l="1"/>
  <c r="A1668" i="3"/>
  <c r="S1667" i="3"/>
  <c r="Q1667" i="3"/>
  <c r="R1667" i="3" s="1"/>
  <c r="A1669" i="3" l="1"/>
  <c r="P1669" i="3"/>
  <c r="Q1668" i="3"/>
  <c r="R1668" i="3" s="1"/>
  <c r="S1668" i="3"/>
  <c r="P1670" i="3" l="1"/>
  <c r="A1670" i="3"/>
  <c r="S1669" i="3"/>
  <c r="Q1669" i="3"/>
  <c r="R1669" i="3" s="1"/>
  <c r="A1671" i="3" l="1"/>
  <c r="P1671" i="3"/>
  <c r="S1670" i="3"/>
  <c r="Q1670" i="3"/>
  <c r="R1670" i="3" s="1"/>
  <c r="P1672" i="3" l="1"/>
  <c r="A1672" i="3"/>
  <c r="S1671" i="3"/>
  <c r="Q1671" i="3"/>
  <c r="R1671" i="3" s="1"/>
  <c r="A1673" i="3" l="1"/>
  <c r="P1673" i="3"/>
  <c r="Q1672" i="3"/>
  <c r="R1672" i="3" s="1"/>
  <c r="S1672" i="3"/>
  <c r="P1674" i="3" l="1"/>
  <c r="A1674" i="3"/>
  <c r="S1673" i="3"/>
  <c r="Q1673" i="3"/>
  <c r="R1673" i="3" s="1"/>
  <c r="A1675" i="3" l="1"/>
  <c r="P1675" i="3"/>
  <c r="S1674" i="3"/>
  <c r="Q1674" i="3"/>
  <c r="R1674" i="3" s="1"/>
  <c r="P1676" i="3" l="1"/>
  <c r="A1676" i="3"/>
  <c r="S1675" i="3"/>
  <c r="Q1675" i="3"/>
  <c r="R1675" i="3" s="1"/>
  <c r="A1677" i="3" l="1"/>
  <c r="P1677" i="3"/>
  <c r="Q1676" i="3"/>
  <c r="R1676" i="3" s="1"/>
  <c r="S1676" i="3"/>
  <c r="P1678" i="3" l="1"/>
  <c r="A1678" i="3"/>
  <c r="S1677" i="3"/>
  <c r="Q1677" i="3"/>
  <c r="R1677" i="3" s="1"/>
  <c r="A1679" i="3" l="1"/>
  <c r="P1679" i="3"/>
  <c r="S1678" i="3"/>
  <c r="Q1678" i="3"/>
  <c r="R1678" i="3" s="1"/>
  <c r="P1680" i="3" l="1"/>
  <c r="A1680" i="3"/>
  <c r="S1679" i="3"/>
  <c r="Q1679" i="3"/>
  <c r="R1679" i="3" s="1"/>
  <c r="A1681" i="3" l="1"/>
  <c r="P1681" i="3"/>
  <c r="Q1680" i="3"/>
  <c r="R1680" i="3" s="1"/>
  <c r="S1680" i="3"/>
  <c r="P1682" i="3" l="1"/>
  <c r="A1682" i="3"/>
  <c r="S1681" i="3"/>
  <c r="Q1681" i="3"/>
  <c r="R1681" i="3" s="1"/>
  <c r="A1683" i="3" l="1"/>
  <c r="P1683" i="3"/>
  <c r="S1682" i="3"/>
  <c r="Q1682" i="3"/>
  <c r="R1682" i="3" s="1"/>
  <c r="P1684" i="3" l="1"/>
  <c r="A1684" i="3"/>
  <c r="S1683" i="3"/>
  <c r="Q1683" i="3"/>
  <c r="R1683" i="3" s="1"/>
  <c r="A1685" i="3" l="1"/>
  <c r="P1685" i="3"/>
  <c r="Q1684" i="3"/>
  <c r="R1684" i="3" s="1"/>
  <c r="S1684" i="3"/>
  <c r="P1686" i="3" l="1"/>
  <c r="A1686" i="3"/>
  <c r="S1685" i="3"/>
  <c r="Q1685" i="3"/>
  <c r="R1685" i="3" s="1"/>
  <c r="A1687" i="3" l="1"/>
  <c r="P1687" i="3"/>
  <c r="S1686" i="3"/>
  <c r="Q1686" i="3"/>
  <c r="R1686" i="3" s="1"/>
  <c r="P1688" i="3" l="1"/>
  <c r="A1688" i="3"/>
  <c r="S1687" i="3"/>
  <c r="Q1687" i="3"/>
  <c r="R1687" i="3" s="1"/>
  <c r="A1689" i="3" l="1"/>
  <c r="P1689" i="3"/>
  <c r="Q1688" i="3"/>
  <c r="R1688" i="3" s="1"/>
  <c r="S1688" i="3"/>
  <c r="P1690" i="3" l="1"/>
  <c r="A1690" i="3"/>
  <c r="S1689" i="3"/>
  <c r="Q1689" i="3"/>
  <c r="R1689" i="3" s="1"/>
  <c r="A1691" i="3" l="1"/>
  <c r="P1691" i="3"/>
  <c r="S1690" i="3"/>
  <c r="Q1690" i="3"/>
  <c r="R1690" i="3" s="1"/>
  <c r="P1692" i="3" l="1"/>
  <c r="A1692" i="3"/>
  <c r="S1691" i="3"/>
  <c r="Q1691" i="3"/>
  <c r="R1691" i="3" s="1"/>
  <c r="A1693" i="3" l="1"/>
  <c r="P1693" i="3"/>
  <c r="Q1692" i="3"/>
  <c r="R1692" i="3" s="1"/>
  <c r="S1692" i="3"/>
  <c r="P1694" i="3" l="1"/>
  <c r="A1694" i="3"/>
  <c r="S1693" i="3"/>
  <c r="Q1693" i="3"/>
  <c r="R1693" i="3" s="1"/>
  <c r="A1695" i="3" l="1"/>
  <c r="P1695" i="3"/>
  <c r="S1694" i="3"/>
  <c r="Q1694" i="3"/>
  <c r="R1694" i="3" s="1"/>
  <c r="P1696" i="3" l="1"/>
  <c r="A1696" i="3"/>
  <c r="S1695" i="3"/>
  <c r="Q1695" i="3"/>
  <c r="R1695" i="3" s="1"/>
  <c r="A1697" i="3" l="1"/>
  <c r="P1697" i="3"/>
  <c r="Q1696" i="3"/>
  <c r="R1696" i="3" s="1"/>
  <c r="S1696" i="3"/>
  <c r="P1698" i="3" l="1"/>
  <c r="A1698" i="3"/>
  <c r="S1697" i="3"/>
  <c r="Q1697" i="3"/>
  <c r="R1697" i="3" s="1"/>
  <c r="A1699" i="3" l="1"/>
  <c r="P1699" i="3"/>
  <c r="S1698" i="3"/>
  <c r="Q1698" i="3"/>
  <c r="R1698" i="3" s="1"/>
  <c r="P1700" i="3" l="1"/>
  <c r="A1700" i="3"/>
  <c r="S1699" i="3"/>
  <c r="Q1699" i="3"/>
  <c r="R1699" i="3" s="1"/>
  <c r="A1701" i="3" l="1"/>
  <c r="P1701" i="3"/>
  <c r="Q1700" i="3"/>
  <c r="R1700" i="3" s="1"/>
  <c r="S1700" i="3"/>
  <c r="P1702" i="3" l="1"/>
  <c r="A1702" i="3"/>
  <c r="S1701" i="3"/>
  <c r="Q1701" i="3"/>
  <c r="R1701" i="3" s="1"/>
  <c r="A1703" i="3" l="1"/>
  <c r="P1703" i="3"/>
  <c r="S1702" i="3"/>
  <c r="Q1702" i="3"/>
  <c r="R1702" i="3" s="1"/>
  <c r="P1704" i="3" l="1"/>
  <c r="A1704" i="3"/>
  <c r="S1703" i="3"/>
  <c r="Q1703" i="3"/>
  <c r="R1703" i="3" s="1"/>
  <c r="A1705" i="3" l="1"/>
  <c r="P1705" i="3"/>
  <c r="Q1704" i="3"/>
  <c r="R1704" i="3" s="1"/>
  <c r="S1704" i="3"/>
  <c r="P1706" i="3" l="1"/>
  <c r="A1706" i="3"/>
  <c r="S1705" i="3"/>
  <c r="Q1705" i="3"/>
  <c r="R1705" i="3" s="1"/>
  <c r="A1707" i="3" l="1"/>
  <c r="P1707" i="3"/>
  <c r="S1706" i="3"/>
  <c r="Q1706" i="3"/>
  <c r="R1706" i="3" s="1"/>
  <c r="P1708" i="3" l="1"/>
  <c r="A1708" i="3"/>
  <c r="S1707" i="3"/>
  <c r="Q1707" i="3"/>
  <c r="R1707" i="3" s="1"/>
  <c r="A1709" i="3" l="1"/>
  <c r="P1709" i="3"/>
  <c r="Q1708" i="3"/>
  <c r="R1708" i="3" s="1"/>
  <c r="S1708" i="3"/>
  <c r="P1710" i="3" l="1"/>
  <c r="A1710" i="3"/>
  <c r="S1709" i="3"/>
  <c r="Q1709" i="3"/>
  <c r="R1709" i="3" s="1"/>
  <c r="A1711" i="3" l="1"/>
  <c r="P1711" i="3"/>
  <c r="S1710" i="3"/>
  <c r="Q1710" i="3"/>
  <c r="R1710" i="3" s="1"/>
  <c r="P1712" i="3" l="1"/>
  <c r="A1712" i="3"/>
  <c r="S1711" i="3"/>
  <c r="Q1711" i="3"/>
  <c r="R1711" i="3" s="1"/>
  <c r="A1713" i="3" l="1"/>
  <c r="P1713" i="3"/>
  <c r="Q1712" i="3"/>
  <c r="R1712" i="3" s="1"/>
  <c r="S1712" i="3"/>
  <c r="P1714" i="3" l="1"/>
  <c r="A1714" i="3"/>
  <c r="S1713" i="3"/>
  <c r="Q1713" i="3"/>
  <c r="R1713" i="3" s="1"/>
  <c r="A1715" i="3" l="1"/>
  <c r="P1715" i="3"/>
  <c r="S1714" i="3"/>
  <c r="Q1714" i="3"/>
  <c r="R1714" i="3" s="1"/>
  <c r="P1716" i="3" l="1"/>
  <c r="A1716" i="3"/>
  <c r="S1715" i="3"/>
  <c r="Q1715" i="3"/>
  <c r="R1715" i="3" s="1"/>
  <c r="A1717" i="3" l="1"/>
  <c r="P1717" i="3"/>
  <c r="Q1716" i="3"/>
  <c r="R1716" i="3" s="1"/>
  <c r="S1716" i="3"/>
  <c r="P1718" i="3" l="1"/>
  <c r="A1718" i="3"/>
  <c r="S1717" i="3"/>
  <c r="Q1717" i="3"/>
  <c r="R1717" i="3" s="1"/>
  <c r="A1719" i="3" l="1"/>
  <c r="P1719" i="3"/>
  <c r="S1718" i="3"/>
  <c r="Q1718" i="3"/>
  <c r="R1718" i="3" s="1"/>
  <c r="P1720" i="3" l="1"/>
  <c r="A1720" i="3"/>
  <c r="Q1719" i="3"/>
  <c r="R1719" i="3" s="1"/>
  <c r="S1719" i="3"/>
  <c r="A1721" i="3" l="1"/>
  <c r="P1721" i="3"/>
  <c r="Q1720" i="3"/>
  <c r="R1720" i="3" s="1"/>
  <c r="S1720" i="3"/>
  <c r="P1722" i="3" l="1"/>
  <c r="A1722" i="3"/>
  <c r="S1721" i="3"/>
  <c r="Q1721" i="3"/>
  <c r="R1721" i="3" s="1"/>
  <c r="A1723" i="3" l="1"/>
  <c r="P1723" i="3"/>
  <c r="S1722" i="3"/>
  <c r="Q1722" i="3"/>
  <c r="R1722" i="3" s="1"/>
  <c r="P1724" i="3" l="1"/>
  <c r="A1724" i="3"/>
  <c r="Q1723" i="3"/>
  <c r="R1723" i="3" s="1"/>
  <c r="S1723" i="3"/>
  <c r="A1725" i="3" l="1"/>
  <c r="P1725" i="3"/>
  <c r="Q1724" i="3"/>
  <c r="R1724" i="3" s="1"/>
  <c r="S1724" i="3"/>
  <c r="P1726" i="3" l="1"/>
  <c r="A1726" i="3"/>
  <c r="S1725" i="3"/>
  <c r="Q1725" i="3"/>
  <c r="R1725" i="3" s="1"/>
  <c r="A1727" i="3" l="1"/>
  <c r="P1727" i="3"/>
  <c r="S1726" i="3"/>
  <c r="Q1726" i="3"/>
  <c r="R1726" i="3" s="1"/>
  <c r="P1728" i="3" l="1"/>
  <c r="A1728" i="3"/>
  <c r="Q1727" i="3"/>
  <c r="R1727" i="3" s="1"/>
  <c r="S1727" i="3"/>
  <c r="A1729" i="3" l="1"/>
  <c r="P1729" i="3"/>
  <c r="Q1728" i="3"/>
  <c r="R1728" i="3" s="1"/>
  <c r="S1728" i="3"/>
  <c r="P1730" i="3" l="1"/>
  <c r="A1730" i="3"/>
  <c r="S1729" i="3"/>
  <c r="Q1729" i="3"/>
  <c r="R1729" i="3" s="1"/>
  <c r="A1731" i="3" l="1"/>
  <c r="P1731" i="3"/>
  <c r="S1730" i="3"/>
  <c r="Q1730" i="3"/>
  <c r="R1730" i="3" s="1"/>
  <c r="P1732" i="3" l="1"/>
  <c r="A1732" i="3"/>
  <c r="Q1731" i="3"/>
  <c r="R1731" i="3" s="1"/>
  <c r="S1731" i="3"/>
  <c r="A1733" i="3" l="1"/>
  <c r="P1733" i="3"/>
  <c r="Q1732" i="3"/>
  <c r="R1732" i="3" s="1"/>
  <c r="S1732" i="3"/>
  <c r="P1734" i="3" l="1"/>
  <c r="A1734" i="3"/>
  <c r="S1733" i="3"/>
  <c r="Q1733" i="3"/>
  <c r="R1733" i="3" s="1"/>
  <c r="A1735" i="3" l="1"/>
  <c r="P1735" i="3"/>
  <c r="S1734" i="3"/>
  <c r="Q1734" i="3"/>
  <c r="R1734" i="3" s="1"/>
  <c r="P1736" i="3" l="1"/>
  <c r="A1736" i="3"/>
  <c r="Q1735" i="3"/>
  <c r="R1735" i="3" s="1"/>
  <c r="S1735" i="3"/>
  <c r="A1737" i="3" l="1"/>
  <c r="P1737" i="3"/>
  <c r="Q1736" i="3"/>
  <c r="R1736" i="3" s="1"/>
  <c r="S1736" i="3"/>
  <c r="P1738" i="3" l="1"/>
  <c r="A1738" i="3"/>
  <c r="S1737" i="3"/>
  <c r="Q1737" i="3"/>
  <c r="R1737" i="3" s="1"/>
  <c r="A1739" i="3" l="1"/>
  <c r="P1739" i="3"/>
  <c r="S1738" i="3"/>
  <c r="Q1738" i="3"/>
  <c r="R1738" i="3" s="1"/>
  <c r="P1740" i="3" l="1"/>
  <c r="A1740" i="3"/>
  <c r="Q1739" i="3"/>
  <c r="R1739" i="3" s="1"/>
  <c r="S1739" i="3"/>
  <c r="A1741" i="3" l="1"/>
  <c r="P1741" i="3"/>
  <c r="Q1740" i="3"/>
  <c r="R1740" i="3" s="1"/>
  <c r="S1740" i="3"/>
  <c r="P1742" i="3" l="1"/>
  <c r="A1742" i="3"/>
  <c r="S1741" i="3"/>
  <c r="Q1741" i="3"/>
  <c r="R1741" i="3" s="1"/>
  <c r="A1743" i="3" l="1"/>
  <c r="P1743" i="3"/>
  <c r="S1742" i="3"/>
  <c r="Q1742" i="3"/>
  <c r="R1742" i="3" s="1"/>
  <c r="P1744" i="3" l="1"/>
  <c r="A1744" i="3"/>
  <c r="Q1743" i="3"/>
  <c r="R1743" i="3" s="1"/>
  <c r="S1743" i="3"/>
  <c r="A1745" i="3" l="1"/>
  <c r="P1745" i="3"/>
  <c r="Q1744" i="3"/>
  <c r="R1744" i="3" s="1"/>
  <c r="S1744" i="3"/>
  <c r="P1746" i="3" l="1"/>
  <c r="A1746" i="3"/>
  <c r="S1745" i="3"/>
  <c r="Q1745" i="3"/>
  <c r="R1745" i="3" s="1"/>
  <c r="A1747" i="3" l="1"/>
  <c r="P1747" i="3"/>
  <c r="S1746" i="3"/>
  <c r="Q1746" i="3"/>
  <c r="R1746" i="3" s="1"/>
  <c r="P1748" i="3" l="1"/>
  <c r="A1748" i="3"/>
  <c r="Q1747" i="3"/>
  <c r="R1747" i="3" s="1"/>
  <c r="S1747" i="3"/>
  <c r="A1749" i="3" l="1"/>
  <c r="P1749" i="3"/>
  <c r="Q1748" i="3"/>
  <c r="R1748" i="3" s="1"/>
  <c r="S1748" i="3"/>
  <c r="P1750" i="3" l="1"/>
  <c r="A1750" i="3"/>
  <c r="S1749" i="3"/>
  <c r="Q1749" i="3"/>
  <c r="R1749" i="3" s="1"/>
  <c r="A1751" i="3" l="1"/>
  <c r="P1751" i="3"/>
  <c r="S1750" i="3"/>
  <c r="Q1750" i="3"/>
  <c r="R1750" i="3" s="1"/>
  <c r="P1752" i="3" l="1"/>
  <c r="A1752" i="3"/>
  <c r="Q1751" i="3"/>
  <c r="R1751" i="3" s="1"/>
  <c r="S1751" i="3"/>
  <c r="A1753" i="3" l="1"/>
  <c r="P1753" i="3"/>
  <c r="Q1752" i="3"/>
  <c r="R1752" i="3" s="1"/>
  <c r="S1752" i="3"/>
  <c r="P1754" i="3" l="1"/>
  <c r="A1754" i="3"/>
  <c r="S1753" i="3"/>
  <c r="Q1753" i="3"/>
  <c r="R1753" i="3" s="1"/>
  <c r="A1755" i="3" l="1"/>
  <c r="P1755" i="3"/>
  <c r="S1754" i="3"/>
  <c r="Q1754" i="3"/>
  <c r="R1754" i="3" s="1"/>
  <c r="P1756" i="3" l="1"/>
  <c r="A1756" i="3"/>
  <c r="Q1755" i="3"/>
  <c r="R1755" i="3" s="1"/>
  <c r="S1755" i="3"/>
  <c r="A1757" i="3" l="1"/>
  <c r="P1757" i="3"/>
  <c r="Q1756" i="3"/>
  <c r="R1756" i="3" s="1"/>
  <c r="S1756" i="3"/>
  <c r="P1758" i="3" l="1"/>
  <c r="A1758" i="3"/>
  <c r="S1757" i="3"/>
  <c r="Q1757" i="3"/>
  <c r="R1757" i="3" s="1"/>
  <c r="A1759" i="3" l="1"/>
  <c r="P1759" i="3"/>
  <c r="S1758" i="3"/>
  <c r="Q1758" i="3"/>
  <c r="R1758" i="3" s="1"/>
  <c r="P1760" i="3" l="1"/>
  <c r="A1760" i="3"/>
  <c r="Q1759" i="3"/>
  <c r="R1759" i="3" s="1"/>
  <c r="S1759" i="3"/>
  <c r="A1761" i="3" l="1"/>
  <c r="P1761" i="3"/>
  <c r="Q1760" i="3"/>
  <c r="R1760" i="3" s="1"/>
  <c r="S1760" i="3"/>
  <c r="P1762" i="3" l="1"/>
  <c r="A1762" i="3"/>
  <c r="S1761" i="3"/>
  <c r="Q1761" i="3"/>
  <c r="R1761" i="3" s="1"/>
  <c r="A1763" i="3" l="1"/>
  <c r="P1763" i="3"/>
  <c r="S1762" i="3"/>
  <c r="Q1762" i="3"/>
  <c r="R1762" i="3" s="1"/>
  <c r="P1764" i="3" l="1"/>
  <c r="A1764" i="3"/>
  <c r="Q1763" i="3"/>
  <c r="R1763" i="3" s="1"/>
  <c r="S1763" i="3"/>
  <c r="A1765" i="3" l="1"/>
  <c r="P1765" i="3"/>
  <c r="Q1764" i="3"/>
  <c r="R1764" i="3" s="1"/>
  <c r="S1764" i="3"/>
  <c r="P1766" i="3" l="1"/>
  <c r="A1766" i="3"/>
  <c r="S1765" i="3"/>
  <c r="Q1765" i="3"/>
  <c r="R1765" i="3" s="1"/>
  <c r="A1767" i="3" l="1"/>
  <c r="P1767" i="3"/>
  <c r="S1766" i="3"/>
  <c r="Q1766" i="3"/>
  <c r="R1766" i="3" s="1"/>
  <c r="P1768" i="3" l="1"/>
  <c r="A1768" i="3"/>
  <c r="Q1767" i="3"/>
  <c r="R1767" i="3" s="1"/>
  <c r="S1767" i="3"/>
  <c r="A1769" i="3" l="1"/>
  <c r="P1769" i="3"/>
  <c r="Q1768" i="3"/>
  <c r="R1768" i="3" s="1"/>
  <c r="S1768" i="3"/>
  <c r="P1770" i="3" l="1"/>
  <c r="A1770" i="3"/>
  <c r="S1769" i="3"/>
  <c r="Q1769" i="3"/>
  <c r="R1769" i="3" s="1"/>
  <c r="A1771" i="3" l="1"/>
  <c r="P1771" i="3"/>
  <c r="S1770" i="3"/>
  <c r="Q1770" i="3"/>
  <c r="R1770" i="3" s="1"/>
  <c r="P1772" i="3" l="1"/>
  <c r="A1772" i="3"/>
  <c r="Q1771" i="3"/>
  <c r="R1771" i="3" s="1"/>
  <c r="S1771" i="3"/>
  <c r="A1773" i="3" l="1"/>
  <c r="P1773" i="3"/>
  <c r="Q1772" i="3"/>
  <c r="R1772" i="3" s="1"/>
  <c r="S1772" i="3"/>
  <c r="P1774" i="3" l="1"/>
  <c r="A1774" i="3"/>
  <c r="S1773" i="3"/>
  <c r="Q1773" i="3"/>
  <c r="R1773" i="3" s="1"/>
  <c r="A1775" i="3" l="1"/>
  <c r="P1775" i="3"/>
  <c r="S1774" i="3"/>
  <c r="Q1774" i="3"/>
  <c r="R1774" i="3" s="1"/>
  <c r="P1776" i="3" l="1"/>
  <c r="A1776" i="3"/>
  <c r="Q1775" i="3"/>
  <c r="R1775" i="3" s="1"/>
  <c r="S1775" i="3"/>
  <c r="A1777" i="3" l="1"/>
  <c r="P1777" i="3"/>
  <c r="Q1776" i="3"/>
  <c r="R1776" i="3" s="1"/>
  <c r="S1776" i="3"/>
  <c r="P1778" i="3" l="1"/>
  <c r="A1778" i="3"/>
  <c r="S1777" i="3"/>
  <c r="Q1777" i="3"/>
  <c r="R1777" i="3" s="1"/>
  <c r="A1779" i="3" l="1"/>
  <c r="P1779" i="3"/>
  <c r="S1778" i="3"/>
  <c r="Q1778" i="3"/>
  <c r="R1778" i="3" s="1"/>
  <c r="P1780" i="3" l="1"/>
  <c r="A1780" i="3"/>
  <c r="Q1779" i="3"/>
  <c r="R1779" i="3" s="1"/>
  <c r="S1779" i="3"/>
  <c r="A1781" i="3" l="1"/>
  <c r="P1781" i="3"/>
  <c r="Q1780" i="3"/>
  <c r="R1780" i="3" s="1"/>
  <c r="S1780" i="3"/>
  <c r="P1782" i="3" l="1"/>
  <c r="A1782" i="3"/>
  <c r="S1781" i="3"/>
  <c r="Q1781" i="3"/>
  <c r="R1781" i="3" s="1"/>
  <c r="A1783" i="3" l="1"/>
  <c r="P1783" i="3"/>
  <c r="S1782" i="3"/>
  <c r="Q1782" i="3"/>
  <c r="R1782" i="3" s="1"/>
  <c r="P1784" i="3" l="1"/>
  <c r="A1784" i="3"/>
  <c r="Q1783" i="3"/>
  <c r="R1783" i="3" s="1"/>
  <c r="S1783" i="3"/>
  <c r="A1785" i="3" l="1"/>
  <c r="P1785" i="3"/>
  <c r="Q1784" i="3"/>
  <c r="R1784" i="3" s="1"/>
  <c r="S1784" i="3"/>
  <c r="P1786" i="3" l="1"/>
  <c r="A1786" i="3"/>
  <c r="S1785" i="3"/>
  <c r="Q1785" i="3"/>
  <c r="R1785" i="3" s="1"/>
  <c r="A1787" i="3" l="1"/>
  <c r="P1787" i="3"/>
  <c r="S1786" i="3"/>
  <c r="Q1786" i="3"/>
  <c r="R1786" i="3" s="1"/>
  <c r="P1788" i="3" l="1"/>
  <c r="A1788" i="3"/>
  <c r="Q1787" i="3"/>
  <c r="R1787" i="3" s="1"/>
  <c r="S1787" i="3"/>
  <c r="A1789" i="3" l="1"/>
  <c r="P1789" i="3"/>
  <c r="Q1788" i="3"/>
  <c r="R1788" i="3" s="1"/>
  <c r="S1788" i="3"/>
  <c r="P1790" i="3" l="1"/>
  <c r="A1790" i="3"/>
  <c r="S1789" i="3"/>
  <c r="Q1789" i="3"/>
  <c r="R1789" i="3" s="1"/>
  <c r="A1791" i="3" l="1"/>
  <c r="P1791" i="3"/>
  <c r="S1790" i="3"/>
  <c r="Q1790" i="3"/>
  <c r="R1790" i="3" s="1"/>
  <c r="P1792" i="3" l="1"/>
  <c r="A1792" i="3"/>
  <c r="Q1791" i="3"/>
  <c r="R1791" i="3" s="1"/>
  <c r="S1791" i="3"/>
  <c r="A1793" i="3" l="1"/>
  <c r="P1793" i="3"/>
  <c r="Q1792" i="3"/>
  <c r="R1792" i="3" s="1"/>
  <c r="S1792" i="3"/>
  <c r="P1794" i="3" l="1"/>
  <c r="A1794" i="3"/>
  <c r="S1793" i="3"/>
  <c r="Q1793" i="3"/>
  <c r="R1793" i="3" s="1"/>
  <c r="A1795" i="3" l="1"/>
  <c r="P1795" i="3"/>
  <c r="S1794" i="3"/>
  <c r="Q1794" i="3"/>
  <c r="R1794" i="3" s="1"/>
  <c r="P1796" i="3" l="1"/>
  <c r="A1796" i="3"/>
  <c r="Q1795" i="3"/>
  <c r="R1795" i="3" s="1"/>
  <c r="S1795" i="3"/>
  <c r="A1797" i="3" l="1"/>
  <c r="P1797" i="3"/>
  <c r="Q1796" i="3"/>
  <c r="R1796" i="3" s="1"/>
  <c r="S1796" i="3"/>
  <c r="P1798" i="3" l="1"/>
  <c r="A1798" i="3"/>
  <c r="S1797" i="3"/>
  <c r="Q1797" i="3"/>
  <c r="R1797" i="3" s="1"/>
  <c r="A1799" i="3" l="1"/>
  <c r="S1798" i="3"/>
  <c r="P1799" i="3"/>
  <c r="Q1798" i="3"/>
  <c r="R1798" i="3" s="1"/>
  <c r="P1800" i="3" l="1"/>
  <c r="Q1799" i="3"/>
  <c r="R1799" i="3" s="1"/>
  <c r="A1800" i="3"/>
  <c r="S1799" i="3"/>
  <c r="A1801" i="3" l="1"/>
  <c r="S1800" i="3"/>
  <c r="P1801" i="3"/>
  <c r="Q1800" i="3"/>
  <c r="R1800" i="3" s="1"/>
  <c r="P1802" i="3" l="1"/>
  <c r="Q1801" i="3"/>
  <c r="R1801" i="3" s="1"/>
  <c r="A1802" i="3"/>
  <c r="S1801" i="3"/>
  <c r="A1803" i="3" l="1"/>
  <c r="S1802" i="3"/>
  <c r="P1803" i="3"/>
  <c r="Q1802" i="3"/>
  <c r="R1802" i="3" s="1"/>
  <c r="P1804" i="3" l="1"/>
  <c r="Q1803" i="3"/>
  <c r="R1803" i="3" s="1"/>
  <c r="A1804" i="3"/>
  <c r="S1803" i="3"/>
  <c r="A1805" i="3" l="1"/>
  <c r="S1804" i="3"/>
  <c r="P1805" i="3"/>
  <c r="Q1804" i="3"/>
  <c r="R1804" i="3" s="1"/>
  <c r="P1806" i="3" l="1"/>
  <c r="Q1805" i="3"/>
  <c r="R1805" i="3" s="1"/>
  <c r="A1806" i="3"/>
  <c r="S1805" i="3"/>
  <c r="A1807" i="3" l="1"/>
  <c r="S1806" i="3"/>
  <c r="P1807" i="3"/>
  <c r="Q1806" i="3"/>
  <c r="R1806" i="3" s="1"/>
  <c r="P1808" i="3" l="1"/>
  <c r="Q1807" i="3"/>
  <c r="R1807" i="3" s="1"/>
  <c r="A1808" i="3"/>
  <c r="S1807" i="3"/>
  <c r="A1809" i="3" l="1"/>
  <c r="S1808" i="3"/>
  <c r="P1809" i="3"/>
  <c r="Q1808" i="3"/>
  <c r="R1808" i="3" s="1"/>
  <c r="P1810" i="3" l="1"/>
  <c r="Q1809" i="3"/>
  <c r="R1809" i="3" s="1"/>
  <c r="A1810" i="3"/>
  <c r="S1809" i="3"/>
  <c r="A1811" i="3" l="1"/>
  <c r="S1810" i="3"/>
  <c r="P1811" i="3"/>
  <c r="Q1810" i="3"/>
  <c r="R1810" i="3" s="1"/>
  <c r="P1812" i="3" l="1"/>
  <c r="Q1811" i="3"/>
  <c r="R1811" i="3" s="1"/>
  <c r="A1812" i="3"/>
  <c r="S1811" i="3"/>
  <c r="A1813" i="3" l="1"/>
  <c r="S1812" i="3"/>
  <c r="P1813" i="3"/>
  <c r="Q1812" i="3"/>
  <c r="R1812" i="3" s="1"/>
  <c r="P1814" i="3" l="1"/>
  <c r="Q1813" i="3"/>
  <c r="R1813" i="3" s="1"/>
  <c r="A1814" i="3"/>
  <c r="S1813" i="3"/>
  <c r="A1815" i="3" l="1"/>
  <c r="S1814" i="3"/>
  <c r="P1815" i="3"/>
  <c r="Q1814" i="3"/>
  <c r="R1814" i="3" s="1"/>
  <c r="P1816" i="3" l="1"/>
  <c r="Q1815" i="3"/>
  <c r="R1815" i="3" s="1"/>
  <c r="A1816" i="3"/>
  <c r="S1815" i="3"/>
  <c r="A1817" i="3" l="1"/>
  <c r="S1816" i="3"/>
  <c r="P1817" i="3"/>
  <c r="Q1816" i="3"/>
  <c r="R1816" i="3" s="1"/>
  <c r="P1818" i="3" l="1"/>
  <c r="Q1817" i="3"/>
  <c r="R1817" i="3" s="1"/>
  <c r="A1818" i="3"/>
  <c r="S1817" i="3"/>
  <c r="A1819" i="3" l="1"/>
  <c r="S1818" i="3"/>
  <c r="P1819" i="3"/>
  <c r="Q1818" i="3"/>
  <c r="R1818" i="3" s="1"/>
  <c r="P1820" i="3" l="1"/>
  <c r="Q1819" i="3"/>
  <c r="R1819" i="3" s="1"/>
  <c r="A1820" i="3"/>
  <c r="S1819" i="3"/>
  <c r="A1821" i="3" l="1"/>
  <c r="S1820" i="3"/>
  <c r="P1821" i="3"/>
  <c r="Q1820" i="3"/>
  <c r="R1820" i="3" s="1"/>
  <c r="P1822" i="3" l="1"/>
  <c r="Q1821" i="3"/>
  <c r="R1821" i="3" s="1"/>
  <c r="A1822" i="3"/>
  <c r="S1821" i="3"/>
  <c r="A1823" i="3" l="1"/>
  <c r="S1822" i="3"/>
  <c r="P1823" i="3"/>
  <c r="Q1822" i="3"/>
  <c r="R1822" i="3" s="1"/>
  <c r="P1824" i="3" l="1"/>
  <c r="Q1823" i="3"/>
  <c r="R1823" i="3" s="1"/>
  <c r="A1824" i="3"/>
  <c r="S1823" i="3"/>
  <c r="A1825" i="3" l="1"/>
  <c r="S1824" i="3"/>
  <c r="P1825" i="3"/>
  <c r="Q1824" i="3"/>
  <c r="R1824" i="3" s="1"/>
  <c r="P1826" i="3" l="1"/>
  <c r="Q1825" i="3"/>
  <c r="R1825" i="3" s="1"/>
  <c r="A1826" i="3"/>
  <c r="S1825" i="3"/>
  <c r="A1827" i="3" l="1"/>
  <c r="S1826" i="3"/>
  <c r="P1827" i="3"/>
  <c r="Q1826" i="3"/>
  <c r="R1826" i="3" s="1"/>
  <c r="P1828" i="3" l="1"/>
  <c r="Q1827" i="3"/>
  <c r="R1827" i="3" s="1"/>
  <c r="A1828" i="3"/>
  <c r="S1827" i="3"/>
  <c r="A1829" i="3" l="1"/>
  <c r="S1828" i="3"/>
  <c r="P1829" i="3"/>
  <c r="Q1828" i="3"/>
  <c r="R1828" i="3" s="1"/>
  <c r="P1830" i="3" l="1"/>
  <c r="Q1829" i="3"/>
  <c r="R1829" i="3" s="1"/>
  <c r="A1830" i="3"/>
  <c r="S1829" i="3"/>
  <c r="A1831" i="3" l="1"/>
  <c r="S1830" i="3"/>
  <c r="P1831" i="3"/>
  <c r="Q1830" i="3"/>
  <c r="R1830" i="3" s="1"/>
  <c r="P1832" i="3" l="1"/>
  <c r="Q1831" i="3"/>
  <c r="R1831" i="3" s="1"/>
  <c r="A1832" i="3"/>
  <c r="S1831" i="3"/>
  <c r="A1833" i="3" l="1"/>
  <c r="S1832" i="3"/>
  <c r="P1833" i="3"/>
  <c r="Q1832" i="3"/>
  <c r="R1832" i="3" s="1"/>
  <c r="P1834" i="3" l="1"/>
  <c r="Q1833" i="3"/>
  <c r="R1833" i="3" s="1"/>
  <c r="A1834" i="3"/>
  <c r="S1833" i="3"/>
  <c r="A1835" i="3" l="1"/>
  <c r="S1834" i="3"/>
  <c r="P1835" i="3"/>
  <c r="Q1834" i="3"/>
  <c r="R1834" i="3" s="1"/>
  <c r="P1836" i="3" l="1"/>
  <c r="Q1835" i="3"/>
  <c r="R1835" i="3" s="1"/>
  <c r="A1836" i="3"/>
  <c r="S1835" i="3"/>
  <c r="A1837" i="3" l="1"/>
  <c r="S1836" i="3"/>
  <c r="P1837" i="3"/>
  <c r="Q1836" i="3"/>
  <c r="R1836" i="3" s="1"/>
  <c r="P1838" i="3" l="1"/>
  <c r="Q1837" i="3"/>
  <c r="R1837" i="3" s="1"/>
  <c r="A1838" i="3"/>
  <c r="S1837" i="3"/>
  <c r="A1839" i="3" l="1"/>
  <c r="S1838" i="3"/>
  <c r="P1839" i="3"/>
  <c r="Q1838" i="3"/>
  <c r="R1838" i="3" s="1"/>
  <c r="P1840" i="3" l="1"/>
  <c r="Q1839" i="3"/>
  <c r="R1839" i="3" s="1"/>
  <c r="A1840" i="3"/>
  <c r="S1839" i="3"/>
  <c r="A1841" i="3" l="1"/>
  <c r="S1840" i="3"/>
  <c r="P1841" i="3"/>
  <c r="Q1840" i="3"/>
  <c r="R1840" i="3" s="1"/>
  <c r="P1842" i="3" l="1"/>
  <c r="Q1841" i="3"/>
  <c r="R1841" i="3" s="1"/>
  <c r="A1842" i="3"/>
  <c r="S1841" i="3"/>
  <c r="A1843" i="3" l="1"/>
  <c r="S1842" i="3"/>
  <c r="P1843" i="3"/>
  <c r="Q1842" i="3"/>
  <c r="R1842" i="3" s="1"/>
  <c r="P1844" i="3" l="1"/>
  <c r="Q1843" i="3"/>
  <c r="R1843" i="3" s="1"/>
  <c r="A1844" i="3"/>
  <c r="S1843" i="3"/>
  <c r="A1845" i="3" l="1"/>
  <c r="S1844" i="3"/>
  <c r="P1845" i="3"/>
  <c r="Q1844" i="3"/>
  <c r="R1844" i="3" s="1"/>
  <c r="P1846" i="3" l="1"/>
  <c r="Q1845" i="3"/>
  <c r="R1845" i="3" s="1"/>
  <c r="A1846" i="3"/>
  <c r="S1845" i="3"/>
  <c r="A1847" i="3" l="1"/>
  <c r="S1846" i="3"/>
  <c r="P1847" i="3"/>
  <c r="Q1846" i="3"/>
  <c r="R1846" i="3" s="1"/>
  <c r="P1848" i="3" l="1"/>
  <c r="Q1847" i="3"/>
  <c r="R1847" i="3" s="1"/>
  <c r="A1848" i="3"/>
  <c r="S1847" i="3"/>
  <c r="A1849" i="3" l="1"/>
  <c r="S1848" i="3"/>
  <c r="P1849" i="3"/>
  <c r="Q1848" i="3"/>
  <c r="R1848" i="3" s="1"/>
  <c r="P1850" i="3" l="1"/>
  <c r="Q1849" i="3"/>
  <c r="R1849" i="3" s="1"/>
  <c r="A1850" i="3"/>
  <c r="S1849" i="3"/>
  <c r="A1851" i="3" l="1"/>
  <c r="S1850" i="3"/>
  <c r="P1851" i="3"/>
  <c r="Q1850" i="3"/>
  <c r="R1850" i="3" s="1"/>
  <c r="P1852" i="3" l="1"/>
  <c r="Q1851" i="3"/>
  <c r="R1851" i="3" s="1"/>
  <c r="A1852" i="3"/>
  <c r="S1851" i="3"/>
  <c r="A1853" i="3" l="1"/>
  <c r="S1852" i="3"/>
  <c r="P1853" i="3"/>
  <c r="Q1852" i="3"/>
  <c r="R1852" i="3" s="1"/>
  <c r="P1854" i="3" l="1"/>
  <c r="Q1853" i="3"/>
  <c r="R1853" i="3" s="1"/>
  <c r="A1854" i="3"/>
  <c r="S1853" i="3"/>
  <c r="A1855" i="3" l="1"/>
  <c r="S1854" i="3"/>
  <c r="P1855" i="3"/>
  <c r="Q1854" i="3"/>
  <c r="R1854" i="3" s="1"/>
  <c r="P1856" i="3" l="1"/>
  <c r="Q1855" i="3"/>
  <c r="R1855" i="3" s="1"/>
  <c r="A1856" i="3"/>
  <c r="S1855" i="3"/>
  <c r="A1857" i="3" l="1"/>
  <c r="S1856" i="3"/>
  <c r="P1857" i="3"/>
  <c r="Q1856" i="3"/>
  <c r="R1856" i="3" s="1"/>
  <c r="P1858" i="3" l="1"/>
  <c r="Q1857" i="3"/>
  <c r="R1857" i="3" s="1"/>
  <c r="A1858" i="3"/>
  <c r="S1857" i="3"/>
  <c r="A1859" i="3" l="1"/>
  <c r="S1858" i="3"/>
  <c r="P1859" i="3"/>
  <c r="Q1858" i="3"/>
  <c r="R1858" i="3" s="1"/>
  <c r="P1860" i="3" l="1"/>
  <c r="Q1859" i="3"/>
  <c r="R1859" i="3" s="1"/>
  <c r="A1860" i="3"/>
  <c r="S1859" i="3"/>
  <c r="A1861" i="3" l="1"/>
  <c r="S1860" i="3"/>
  <c r="P1861" i="3"/>
  <c r="Q1860" i="3"/>
  <c r="R1860" i="3" s="1"/>
  <c r="P1862" i="3" l="1"/>
  <c r="Q1861" i="3"/>
  <c r="R1861" i="3" s="1"/>
  <c r="A1862" i="3"/>
  <c r="S1861" i="3"/>
  <c r="A1863" i="3" l="1"/>
  <c r="S1862" i="3"/>
  <c r="P1863" i="3"/>
  <c r="Q1862" i="3"/>
  <c r="R1862" i="3" s="1"/>
  <c r="P1864" i="3" l="1"/>
  <c r="Q1863" i="3"/>
  <c r="R1863" i="3" s="1"/>
  <c r="A1864" i="3"/>
  <c r="S1863" i="3"/>
  <c r="A1865" i="3" l="1"/>
  <c r="S1864" i="3"/>
  <c r="P1865" i="3"/>
  <c r="Q1864" i="3"/>
  <c r="R1864" i="3" s="1"/>
  <c r="P1866" i="3" l="1"/>
  <c r="Q1865" i="3"/>
  <c r="R1865" i="3" s="1"/>
  <c r="A1866" i="3"/>
  <c r="S1865" i="3"/>
  <c r="A1867" i="3" l="1"/>
  <c r="S1866" i="3"/>
  <c r="P1867" i="3"/>
  <c r="Q1866" i="3"/>
  <c r="R1866" i="3" s="1"/>
  <c r="P1868" i="3" l="1"/>
  <c r="Q1867" i="3"/>
  <c r="R1867" i="3" s="1"/>
  <c r="A1868" i="3"/>
  <c r="S1867" i="3"/>
  <c r="A1869" i="3" l="1"/>
  <c r="S1868" i="3"/>
  <c r="P1869" i="3"/>
  <c r="Q1868" i="3"/>
  <c r="R1868" i="3" s="1"/>
  <c r="P1870" i="3" l="1"/>
  <c r="Q1869" i="3"/>
  <c r="R1869" i="3" s="1"/>
  <c r="A1870" i="3"/>
  <c r="S1869" i="3"/>
  <c r="A1871" i="3" l="1"/>
  <c r="S1870" i="3"/>
  <c r="P1871" i="3"/>
  <c r="Q1870" i="3"/>
  <c r="R1870" i="3" s="1"/>
  <c r="P1872" i="3" l="1"/>
  <c r="Q1871" i="3"/>
  <c r="R1871" i="3" s="1"/>
  <c r="A1872" i="3"/>
  <c r="S1871" i="3"/>
  <c r="A1873" i="3" l="1"/>
  <c r="S1872" i="3"/>
  <c r="P1873" i="3"/>
  <c r="Q1872" i="3"/>
  <c r="R1872" i="3" s="1"/>
  <c r="P1874" i="3" l="1"/>
  <c r="Q1873" i="3"/>
  <c r="R1873" i="3" s="1"/>
  <c r="A1874" i="3"/>
  <c r="S1873" i="3"/>
  <c r="A1875" i="3" l="1"/>
  <c r="S1874" i="3"/>
  <c r="P1875" i="3"/>
  <c r="Q1874" i="3"/>
  <c r="R1874" i="3" s="1"/>
  <c r="P1876" i="3" l="1"/>
  <c r="Q1875" i="3"/>
  <c r="R1875" i="3" s="1"/>
  <c r="A1876" i="3"/>
  <c r="S1875" i="3"/>
  <c r="A1877" i="3" l="1"/>
  <c r="S1876" i="3"/>
  <c r="P1877" i="3"/>
  <c r="Q1876" i="3"/>
  <c r="R1876" i="3" s="1"/>
  <c r="P1878" i="3" l="1"/>
  <c r="Q1877" i="3"/>
  <c r="R1877" i="3" s="1"/>
  <c r="A1878" i="3"/>
  <c r="S1877" i="3"/>
  <c r="A1879" i="3" l="1"/>
  <c r="S1878" i="3"/>
  <c r="P1879" i="3"/>
  <c r="Q1878" i="3"/>
  <c r="R1878" i="3" s="1"/>
  <c r="P1880" i="3" l="1"/>
  <c r="Q1879" i="3"/>
  <c r="R1879" i="3" s="1"/>
  <c r="A1880" i="3"/>
  <c r="S1879" i="3"/>
  <c r="A1881" i="3" l="1"/>
  <c r="S1880" i="3"/>
  <c r="P1881" i="3"/>
  <c r="Q1880" i="3"/>
  <c r="R1880" i="3" s="1"/>
  <c r="P1882" i="3" l="1"/>
  <c r="Q1881" i="3"/>
  <c r="R1881" i="3" s="1"/>
  <c r="A1882" i="3"/>
  <c r="S1881" i="3"/>
  <c r="A1883" i="3" l="1"/>
  <c r="S1882" i="3"/>
  <c r="P1883" i="3"/>
  <c r="Q1882" i="3"/>
  <c r="R1882" i="3" s="1"/>
  <c r="P1884" i="3" l="1"/>
  <c r="Q1883" i="3"/>
  <c r="R1883" i="3" s="1"/>
  <c r="A1884" i="3"/>
  <c r="S1883" i="3"/>
  <c r="A1885" i="3" l="1"/>
  <c r="S1884" i="3"/>
  <c r="P1885" i="3"/>
  <c r="Q1884" i="3"/>
  <c r="R1884" i="3" s="1"/>
  <c r="P1886" i="3" l="1"/>
  <c r="Q1885" i="3"/>
  <c r="R1885" i="3" s="1"/>
  <c r="A1886" i="3"/>
  <c r="S1885" i="3"/>
  <c r="A1887" i="3" l="1"/>
  <c r="S1886" i="3"/>
  <c r="P1887" i="3"/>
  <c r="Q1886" i="3"/>
  <c r="R1886" i="3" s="1"/>
  <c r="P1888" i="3" l="1"/>
  <c r="Q1887" i="3"/>
  <c r="R1887" i="3" s="1"/>
  <c r="A1888" i="3"/>
  <c r="S1887" i="3"/>
  <c r="A1889" i="3" l="1"/>
  <c r="S1888" i="3"/>
  <c r="P1889" i="3"/>
  <c r="Q1888" i="3"/>
  <c r="R1888" i="3" s="1"/>
  <c r="P1890" i="3" l="1"/>
  <c r="Q1889" i="3"/>
  <c r="R1889" i="3" s="1"/>
  <c r="A1890" i="3"/>
  <c r="S1889" i="3"/>
  <c r="A1891" i="3" l="1"/>
  <c r="S1890" i="3"/>
  <c r="P1891" i="3"/>
  <c r="Q1890" i="3"/>
  <c r="R1890" i="3" s="1"/>
  <c r="P1892" i="3" l="1"/>
  <c r="Q1891" i="3"/>
  <c r="R1891" i="3" s="1"/>
  <c r="A1892" i="3"/>
  <c r="S1891" i="3"/>
  <c r="A1893" i="3" l="1"/>
  <c r="S1892" i="3"/>
  <c r="P1893" i="3"/>
  <c r="Q1892" i="3"/>
  <c r="R1892" i="3" s="1"/>
  <c r="P1894" i="3" l="1"/>
  <c r="Q1893" i="3"/>
  <c r="R1893" i="3" s="1"/>
  <c r="A1894" i="3"/>
  <c r="S1893" i="3"/>
  <c r="A1895" i="3" l="1"/>
  <c r="S1894" i="3"/>
  <c r="P1895" i="3"/>
  <c r="Q1894" i="3"/>
  <c r="R1894" i="3" s="1"/>
  <c r="P1896" i="3" l="1"/>
  <c r="Q1895" i="3"/>
  <c r="R1895" i="3" s="1"/>
  <c r="A1896" i="3"/>
  <c r="S1895" i="3"/>
  <c r="A1897" i="3" l="1"/>
  <c r="S1896" i="3"/>
  <c r="P1897" i="3"/>
  <c r="Q1896" i="3"/>
  <c r="R1896" i="3" s="1"/>
  <c r="P1898" i="3" l="1"/>
  <c r="Q1897" i="3"/>
  <c r="R1897" i="3" s="1"/>
  <c r="A1898" i="3"/>
  <c r="S1897" i="3"/>
  <c r="A1899" i="3" l="1"/>
  <c r="S1898" i="3"/>
  <c r="P1899" i="3"/>
  <c r="Q1898" i="3"/>
  <c r="R1898" i="3" s="1"/>
  <c r="P1900" i="3" l="1"/>
  <c r="Q1899" i="3"/>
  <c r="R1899" i="3" s="1"/>
  <c r="A1900" i="3"/>
  <c r="S1899" i="3"/>
  <c r="A1901" i="3" l="1"/>
  <c r="S1900" i="3"/>
  <c r="P1901" i="3"/>
  <c r="Q1900" i="3"/>
  <c r="R1900" i="3" s="1"/>
  <c r="P1902" i="3" l="1"/>
  <c r="Q1901" i="3"/>
  <c r="R1901" i="3" s="1"/>
  <c r="A1902" i="3"/>
  <c r="S1901" i="3"/>
  <c r="A1903" i="3" l="1"/>
  <c r="S1902" i="3"/>
  <c r="P1903" i="3"/>
  <c r="Q1902" i="3"/>
  <c r="R1902" i="3" s="1"/>
  <c r="P1904" i="3" l="1"/>
  <c r="Q1903" i="3"/>
  <c r="R1903" i="3" s="1"/>
  <c r="A1904" i="3"/>
  <c r="S1903" i="3"/>
  <c r="A1905" i="3" l="1"/>
  <c r="S1904" i="3"/>
  <c r="P1905" i="3"/>
  <c r="Q1904" i="3"/>
  <c r="R1904" i="3" s="1"/>
  <c r="P1906" i="3" l="1"/>
  <c r="Q1905" i="3"/>
  <c r="R1905" i="3" s="1"/>
  <c r="A1906" i="3"/>
  <c r="S1905" i="3"/>
  <c r="A1907" i="3" l="1"/>
  <c r="S1906" i="3"/>
  <c r="P1907" i="3"/>
  <c r="Q1906" i="3"/>
  <c r="R1906" i="3" s="1"/>
  <c r="P1908" i="3" l="1"/>
  <c r="Q1907" i="3"/>
  <c r="R1907" i="3" s="1"/>
  <c r="A1908" i="3"/>
  <c r="S1907" i="3"/>
  <c r="A1909" i="3" l="1"/>
  <c r="S1908" i="3"/>
  <c r="P1909" i="3"/>
  <c r="Q1908" i="3"/>
  <c r="R1908" i="3" s="1"/>
  <c r="P1910" i="3" l="1"/>
  <c r="Q1909" i="3"/>
  <c r="R1909" i="3" s="1"/>
  <c r="A1910" i="3"/>
  <c r="S1909" i="3"/>
  <c r="A1911" i="3" l="1"/>
  <c r="S1910" i="3"/>
  <c r="P1911" i="3"/>
  <c r="Q1910" i="3"/>
  <c r="R1910" i="3" s="1"/>
  <c r="P1912" i="3" l="1"/>
  <c r="Q1911" i="3"/>
  <c r="R1911" i="3" s="1"/>
  <c r="A1912" i="3"/>
  <c r="S1911" i="3"/>
  <c r="A1913" i="3" l="1"/>
  <c r="S1912" i="3"/>
  <c r="P1913" i="3"/>
  <c r="Q1912" i="3"/>
  <c r="R1912" i="3" s="1"/>
  <c r="P1914" i="3" l="1"/>
  <c r="Q1913" i="3"/>
  <c r="R1913" i="3" s="1"/>
  <c r="A1914" i="3"/>
  <c r="S1913" i="3"/>
  <c r="A1915" i="3" l="1"/>
  <c r="S1914" i="3"/>
  <c r="P1915" i="3"/>
  <c r="Q1914" i="3"/>
  <c r="R1914" i="3" s="1"/>
  <c r="P1916" i="3" l="1"/>
  <c r="Q1915" i="3"/>
  <c r="R1915" i="3" s="1"/>
  <c r="A1916" i="3"/>
  <c r="S1915" i="3"/>
  <c r="A1917" i="3" l="1"/>
  <c r="S1916" i="3"/>
  <c r="P1917" i="3"/>
  <c r="Q1916" i="3"/>
  <c r="R1916" i="3" s="1"/>
  <c r="P1918" i="3" l="1"/>
  <c r="Q1917" i="3"/>
  <c r="R1917" i="3" s="1"/>
  <c r="A1918" i="3"/>
  <c r="S1917" i="3"/>
  <c r="A1919" i="3" l="1"/>
  <c r="S1918" i="3"/>
  <c r="P1919" i="3"/>
  <c r="Q1918" i="3"/>
  <c r="R1918" i="3" s="1"/>
  <c r="P1920" i="3" l="1"/>
  <c r="Q1919" i="3"/>
  <c r="R1919" i="3" s="1"/>
  <c r="A1920" i="3"/>
  <c r="S1919" i="3"/>
  <c r="A1921" i="3" l="1"/>
  <c r="S1920" i="3"/>
  <c r="P1921" i="3"/>
  <c r="Q1920" i="3"/>
  <c r="R1920" i="3" s="1"/>
  <c r="P1922" i="3" l="1"/>
  <c r="Q1921" i="3"/>
  <c r="R1921" i="3" s="1"/>
  <c r="A1922" i="3"/>
  <c r="S1921" i="3"/>
  <c r="A1923" i="3" l="1"/>
  <c r="S1922" i="3"/>
  <c r="P1923" i="3"/>
  <c r="Q1922" i="3"/>
  <c r="R1922" i="3" s="1"/>
  <c r="P1924" i="3" l="1"/>
  <c r="Q1923" i="3"/>
  <c r="R1923" i="3" s="1"/>
  <c r="A1924" i="3"/>
  <c r="S1923" i="3"/>
  <c r="A1925" i="3" l="1"/>
  <c r="S1924" i="3"/>
  <c r="P1925" i="3"/>
  <c r="Q1924" i="3"/>
  <c r="R1924" i="3" s="1"/>
  <c r="P1926" i="3" l="1"/>
  <c r="Q1925" i="3"/>
  <c r="R1925" i="3" s="1"/>
  <c r="A1926" i="3"/>
  <c r="S1925" i="3"/>
  <c r="A1927" i="3" l="1"/>
  <c r="S1926" i="3"/>
  <c r="P1927" i="3"/>
  <c r="Q1926" i="3"/>
  <c r="R1926" i="3" s="1"/>
  <c r="P1928" i="3" l="1"/>
  <c r="Q1927" i="3"/>
  <c r="R1927" i="3" s="1"/>
  <c r="A1928" i="3"/>
  <c r="S1927" i="3"/>
  <c r="A1929" i="3" l="1"/>
  <c r="S1928" i="3"/>
  <c r="P1929" i="3"/>
  <c r="Q1928" i="3"/>
  <c r="R1928" i="3" s="1"/>
  <c r="P1930" i="3" l="1"/>
  <c r="Q1929" i="3"/>
  <c r="R1929" i="3" s="1"/>
  <c r="A1930" i="3"/>
  <c r="S1929" i="3"/>
  <c r="A1931" i="3" l="1"/>
  <c r="S1930" i="3"/>
  <c r="P1931" i="3"/>
  <c r="Q1930" i="3"/>
  <c r="R1930" i="3" s="1"/>
  <c r="P1932" i="3" l="1"/>
  <c r="Q1931" i="3"/>
  <c r="R1931" i="3" s="1"/>
  <c r="A1932" i="3"/>
  <c r="S1931" i="3"/>
  <c r="A1933" i="3" l="1"/>
  <c r="S1932" i="3"/>
  <c r="P1933" i="3"/>
  <c r="Q1932" i="3"/>
  <c r="R1932" i="3" s="1"/>
  <c r="P1934" i="3" l="1"/>
  <c r="Q1933" i="3"/>
  <c r="R1933" i="3" s="1"/>
  <c r="A1934" i="3"/>
  <c r="S1933" i="3"/>
  <c r="A1935" i="3" l="1"/>
  <c r="S1934" i="3"/>
  <c r="P1935" i="3"/>
  <c r="Q1934" i="3"/>
  <c r="R1934" i="3" s="1"/>
  <c r="P1936" i="3" l="1"/>
  <c r="Q1935" i="3"/>
  <c r="R1935" i="3" s="1"/>
  <c r="A1936" i="3"/>
  <c r="S1935" i="3"/>
  <c r="A1937" i="3" l="1"/>
  <c r="S1936" i="3"/>
  <c r="P1937" i="3"/>
  <c r="Q1936" i="3"/>
  <c r="R1936" i="3" s="1"/>
  <c r="P1938" i="3" l="1"/>
  <c r="Q1937" i="3"/>
  <c r="R1937" i="3" s="1"/>
  <c r="A1938" i="3"/>
  <c r="S1937" i="3"/>
  <c r="A1939" i="3" l="1"/>
  <c r="S1938" i="3"/>
  <c r="P1939" i="3"/>
  <c r="Q1938" i="3"/>
  <c r="R1938" i="3" s="1"/>
  <c r="P1940" i="3" l="1"/>
  <c r="Q1939" i="3"/>
  <c r="R1939" i="3" s="1"/>
  <c r="A1940" i="3"/>
  <c r="S1939" i="3"/>
  <c r="A1941" i="3" l="1"/>
  <c r="S1940" i="3"/>
  <c r="P1941" i="3"/>
  <c r="Q1940" i="3"/>
  <c r="R1940" i="3" s="1"/>
  <c r="P1942" i="3" l="1"/>
  <c r="Q1941" i="3"/>
  <c r="R1941" i="3" s="1"/>
  <c r="A1942" i="3"/>
  <c r="S1941" i="3"/>
  <c r="A1943" i="3" l="1"/>
  <c r="S1942" i="3"/>
  <c r="P1943" i="3"/>
  <c r="Q1942" i="3"/>
  <c r="R1942" i="3" s="1"/>
  <c r="P1944" i="3" l="1"/>
  <c r="Q1943" i="3"/>
  <c r="R1943" i="3" s="1"/>
  <c r="A1944" i="3"/>
  <c r="S1943" i="3"/>
  <c r="A1945" i="3" l="1"/>
  <c r="S1944" i="3"/>
  <c r="P1945" i="3"/>
  <c r="Q1944" i="3"/>
  <c r="R1944" i="3" s="1"/>
  <c r="P1946" i="3" l="1"/>
  <c r="Q1945" i="3"/>
  <c r="R1945" i="3" s="1"/>
  <c r="A1946" i="3"/>
  <c r="S1945" i="3"/>
  <c r="A1947" i="3" l="1"/>
  <c r="S1946" i="3"/>
  <c r="P1947" i="3"/>
  <c r="Q1946" i="3"/>
  <c r="R1946" i="3" s="1"/>
  <c r="P1948" i="3" l="1"/>
  <c r="Q1947" i="3"/>
  <c r="R1947" i="3" s="1"/>
  <c r="A1948" i="3"/>
  <c r="S1947" i="3"/>
  <c r="A1949" i="3" l="1"/>
  <c r="S1948" i="3"/>
  <c r="P1949" i="3"/>
  <c r="Q1948" i="3"/>
  <c r="R1948" i="3" s="1"/>
  <c r="P1950" i="3" l="1"/>
  <c r="Q1949" i="3"/>
  <c r="R1949" i="3" s="1"/>
  <c r="A1950" i="3"/>
  <c r="S1949" i="3"/>
  <c r="A1951" i="3" l="1"/>
  <c r="S1950" i="3"/>
  <c r="P1951" i="3"/>
  <c r="Q1950" i="3"/>
  <c r="R1950" i="3" s="1"/>
  <c r="P1952" i="3" l="1"/>
  <c r="Q1951" i="3"/>
  <c r="R1951" i="3" s="1"/>
  <c r="A1952" i="3"/>
  <c r="S1951" i="3"/>
  <c r="A1953" i="3" l="1"/>
  <c r="S1952" i="3"/>
  <c r="P1953" i="3"/>
  <c r="Q1952" i="3"/>
  <c r="R1952" i="3" s="1"/>
  <c r="P1954" i="3" l="1"/>
  <c r="Q1953" i="3"/>
  <c r="R1953" i="3" s="1"/>
  <c r="A1954" i="3"/>
  <c r="S1953" i="3"/>
  <c r="A1955" i="3" l="1"/>
  <c r="S1954" i="3"/>
  <c r="P1955" i="3"/>
  <c r="Q1954" i="3"/>
  <c r="R1954" i="3" s="1"/>
  <c r="P1956" i="3" l="1"/>
  <c r="Q1955" i="3"/>
  <c r="R1955" i="3" s="1"/>
  <c r="A1956" i="3"/>
  <c r="S1955" i="3"/>
  <c r="A1957" i="3" l="1"/>
  <c r="S1956" i="3"/>
  <c r="P1957" i="3"/>
  <c r="Q1956" i="3"/>
  <c r="R1956" i="3" s="1"/>
  <c r="P1958" i="3" l="1"/>
  <c r="Q1957" i="3"/>
  <c r="R1957" i="3" s="1"/>
  <c r="A1958" i="3"/>
  <c r="S1957" i="3"/>
  <c r="A1959" i="3" l="1"/>
  <c r="S1958" i="3"/>
  <c r="P1959" i="3"/>
  <c r="Q1958" i="3"/>
  <c r="R1958" i="3" s="1"/>
  <c r="P1960" i="3" l="1"/>
  <c r="Q1959" i="3"/>
  <c r="R1959" i="3" s="1"/>
  <c r="A1960" i="3"/>
  <c r="S1959" i="3"/>
  <c r="A1961" i="3" l="1"/>
  <c r="S1960" i="3"/>
  <c r="P1961" i="3"/>
  <c r="Q1960" i="3"/>
  <c r="R1960" i="3" s="1"/>
  <c r="P1962" i="3" l="1"/>
  <c r="Q1961" i="3"/>
  <c r="R1961" i="3" s="1"/>
  <c r="A1962" i="3"/>
  <c r="S1961" i="3"/>
  <c r="A1963" i="3" l="1"/>
  <c r="S1962" i="3"/>
  <c r="P1963" i="3"/>
  <c r="Q1962" i="3"/>
  <c r="R1962" i="3" s="1"/>
  <c r="P1964" i="3" l="1"/>
  <c r="Q1963" i="3"/>
  <c r="R1963" i="3" s="1"/>
  <c r="A1964" i="3"/>
  <c r="S1963" i="3"/>
  <c r="A1965" i="3" l="1"/>
  <c r="S1964" i="3"/>
  <c r="P1965" i="3"/>
  <c r="Q1964" i="3"/>
  <c r="R1964" i="3" s="1"/>
  <c r="P1966" i="3" l="1"/>
  <c r="Q1965" i="3"/>
  <c r="R1965" i="3" s="1"/>
  <c r="A1966" i="3"/>
  <c r="S1965" i="3"/>
  <c r="A1967" i="3" l="1"/>
  <c r="S1966" i="3"/>
  <c r="P1967" i="3"/>
  <c r="Q1966" i="3"/>
  <c r="R1966" i="3" s="1"/>
  <c r="P1968" i="3" l="1"/>
  <c r="Q1967" i="3"/>
  <c r="R1967" i="3" s="1"/>
  <c r="A1968" i="3"/>
  <c r="S1967" i="3"/>
  <c r="A1969" i="3" l="1"/>
  <c r="S1968" i="3"/>
  <c r="P1969" i="3"/>
  <c r="Q1968" i="3"/>
  <c r="R1968" i="3" s="1"/>
  <c r="P1970" i="3" l="1"/>
  <c r="Q1969" i="3"/>
  <c r="R1969" i="3" s="1"/>
  <c r="A1970" i="3"/>
  <c r="S1969" i="3"/>
  <c r="A1971" i="3" l="1"/>
  <c r="S1970" i="3"/>
  <c r="P1971" i="3"/>
  <c r="Q1970" i="3"/>
  <c r="R1970" i="3" s="1"/>
  <c r="P1972" i="3" l="1"/>
  <c r="Q1971" i="3"/>
  <c r="R1971" i="3" s="1"/>
  <c r="A1972" i="3"/>
  <c r="S1971" i="3"/>
  <c r="A1973" i="3" l="1"/>
  <c r="S1972" i="3"/>
  <c r="P1973" i="3"/>
  <c r="Q1972" i="3"/>
  <c r="R1972" i="3" s="1"/>
  <c r="P1974" i="3" l="1"/>
  <c r="Q1973" i="3"/>
  <c r="R1973" i="3" s="1"/>
  <c r="A1974" i="3"/>
  <c r="S1973" i="3"/>
  <c r="A1975" i="3" l="1"/>
  <c r="S1974" i="3"/>
  <c r="P1975" i="3"/>
  <c r="Q1974" i="3"/>
  <c r="R1974" i="3" s="1"/>
  <c r="P1976" i="3" l="1"/>
  <c r="Q1975" i="3"/>
  <c r="R1975" i="3" s="1"/>
  <c r="A1976" i="3"/>
  <c r="S1975" i="3"/>
  <c r="A1977" i="3" l="1"/>
  <c r="S1976" i="3"/>
  <c r="P1977" i="3"/>
  <c r="Q1976" i="3"/>
  <c r="R1976" i="3" s="1"/>
  <c r="P1978" i="3" l="1"/>
  <c r="Q1977" i="3"/>
  <c r="R1977" i="3" s="1"/>
  <c r="A1978" i="3"/>
  <c r="S1977" i="3"/>
  <c r="A1979" i="3" l="1"/>
  <c r="S1978" i="3"/>
  <c r="P1979" i="3"/>
  <c r="Q1978" i="3"/>
  <c r="R1978" i="3" s="1"/>
  <c r="P1980" i="3" l="1"/>
  <c r="Q1979" i="3"/>
  <c r="R1979" i="3" s="1"/>
  <c r="A1980" i="3"/>
  <c r="S1979" i="3"/>
  <c r="A1981" i="3" l="1"/>
  <c r="S1980" i="3"/>
  <c r="P1981" i="3"/>
  <c r="Q1980" i="3"/>
  <c r="R1980" i="3" s="1"/>
  <c r="P1982" i="3" l="1"/>
  <c r="Q1981" i="3"/>
  <c r="R1981" i="3" s="1"/>
  <c r="A1982" i="3"/>
  <c r="S1981" i="3"/>
  <c r="A1983" i="3" l="1"/>
  <c r="S1982" i="3"/>
  <c r="P1983" i="3"/>
  <c r="Q1982" i="3"/>
  <c r="R1982" i="3" s="1"/>
  <c r="P1984" i="3" l="1"/>
  <c r="Q1983" i="3"/>
  <c r="R1983" i="3" s="1"/>
  <c r="A1984" i="3"/>
  <c r="S1983" i="3"/>
  <c r="A1985" i="3" l="1"/>
  <c r="S1984" i="3"/>
  <c r="P1985" i="3"/>
  <c r="Q1984" i="3"/>
  <c r="R1984" i="3" s="1"/>
  <c r="P1986" i="3" l="1"/>
  <c r="Q1985" i="3"/>
  <c r="R1985" i="3" s="1"/>
  <c r="A1986" i="3"/>
  <c r="S1985" i="3"/>
  <c r="A1987" i="3" l="1"/>
  <c r="S1986" i="3"/>
  <c r="P1987" i="3"/>
  <c r="Q1986" i="3"/>
  <c r="R1986" i="3" s="1"/>
  <c r="P1988" i="3" l="1"/>
  <c r="Q1987" i="3"/>
  <c r="R1987" i="3" s="1"/>
  <c r="A1988" i="3"/>
  <c r="S1987" i="3"/>
  <c r="A1989" i="3" l="1"/>
  <c r="S1988" i="3"/>
  <c r="P1989" i="3"/>
  <c r="Q1988" i="3"/>
  <c r="R1988" i="3" s="1"/>
  <c r="P1990" i="3" l="1"/>
  <c r="Q1989" i="3"/>
  <c r="R1989" i="3" s="1"/>
  <c r="A1990" i="3"/>
  <c r="S1989" i="3"/>
  <c r="A1991" i="3" l="1"/>
  <c r="S1990" i="3"/>
  <c r="P1991" i="3"/>
  <c r="Q1990" i="3"/>
  <c r="R1990" i="3" s="1"/>
  <c r="P1992" i="3" l="1"/>
  <c r="Q1991" i="3"/>
  <c r="R1991" i="3" s="1"/>
  <c r="A1992" i="3"/>
  <c r="S1991" i="3"/>
  <c r="A1993" i="3" l="1"/>
  <c r="S1992" i="3"/>
  <c r="P1993" i="3"/>
  <c r="Q1992" i="3"/>
  <c r="R1992" i="3" s="1"/>
  <c r="P1994" i="3" l="1"/>
  <c r="Q1993" i="3"/>
  <c r="R1993" i="3" s="1"/>
  <c r="A1994" i="3"/>
  <c r="S1993" i="3"/>
  <c r="A1995" i="3" l="1"/>
  <c r="S1994" i="3"/>
  <c r="P1995" i="3"/>
  <c r="Q1994" i="3"/>
  <c r="R1994" i="3" s="1"/>
  <c r="P1996" i="3" l="1"/>
  <c r="A1996" i="3"/>
  <c r="S1995" i="3"/>
  <c r="Q1995" i="3"/>
  <c r="R1995" i="3" s="1"/>
  <c r="A1997" i="3" l="1"/>
  <c r="S1996" i="3"/>
  <c r="P1997" i="3"/>
  <c r="Q1996" i="3"/>
  <c r="R1996" i="3" s="1"/>
  <c r="P1998" i="3" l="1"/>
  <c r="S1997" i="3"/>
  <c r="Q1997" i="3"/>
  <c r="R1997" i="3" s="1"/>
  <c r="A1998" i="3"/>
  <c r="A1999" i="3" l="1"/>
  <c r="P1999" i="3"/>
  <c r="Q1998" i="3"/>
  <c r="R1998" i="3" s="1"/>
  <c r="S1998" i="3"/>
  <c r="P2000" i="3" l="1"/>
  <c r="Q1999" i="3"/>
  <c r="R1999" i="3" s="1"/>
  <c r="A2000" i="3"/>
  <c r="S1999" i="3"/>
  <c r="A2001" i="3" l="1"/>
  <c r="P2001" i="3"/>
  <c r="Q2000" i="3"/>
  <c r="R2000" i="3" s="1"/>
  <c r="S2000" i="3"/>
  <c r="P2002" i="3" l="1"/>
  <c r="A2002" i="3"/>
  <c r="S2001" i="3"/>
  <c r="Q2001" i="3"/>
  <c r="R2001" i="3" s="1"/>
  <c r="A2003" i="3" l="1"/>
  <c r="S2002" i="3"/>
  <c r="P2003" i="3"/>
  <c r="Q2002" i="3"/>
  <c r="R2002" i="3" s="1"/>
  <c r="P2004" i="3" l="1"/>
  <c r="A2004" i="3"/>
  <c r="S2003" i="3"/>
  <c r="Q2003" i="3"/>
  <c r="R2003" i="3" s="1"/>
  <c r="A2005" i="3" l="1"/>
  <c r="S2004" i="3"/>
  <c r="P2005" i="3"/>
  <c r="Q2004" i="3"/>
  <c r="R2004" i="3" s="1"/>
  <c r="P2006" i="3" l="1"/>
  <c r="S2005" i="3"/>
  <c r="Q2005" i="3"/>
  <c r="R2005" i="3" s="1"/>
  <c r="A2006" i="3"/>
  <c r="A2007" i="3" l="1"/>
  <c r="P2007" i="3"/>
  <c r="Q2006" i="3"/>
  <c r="R2006" i="3" s="1"/>
  <c r="S2006" i="3"/>
  <c r="P2008" i="3" l="1"/>
  <c r="A2008" i="3"/>
  <c r="Q2007" i="3"/>
  <c r="R2007" i="3" s="1"/>
  <c r="S2007" i="3"/>
  <c r="A2009" i="3" l="1"/>
  <c r="P2009" i="3"/>
  <c r="S2008" i="3"/>
  <c r="Q2008" i="3"/>
  <c r="R2008" i="3" s="1"/>
  <c r="P2010" i="3" l="1"/>
  <c r="A2010" i="3"/>
  <c r="S2009" i="3"/>
  <c r="Q2009" i="3"/>
  <c r="R2009" i="3" s="1"/>
  <c r="A2011" i="3" l="1"/>
  <c r="P2011" i="3"/>
  <c r="S2010" i="3"/>
  <c r="Q2010" i="3"/>
  <c r="R2010" i="3" s="1"/>
  <c r="P2012" i="3" l="1"/>
  <c r="A2012" i="3"/>
  <c r="Q2011" i="3"/>
  <c r="R2011" i="3" s="1"/>
  <c r="S2011" i="3"/>
  <c r="A2013" i="3" l="1"/>
  <c r="P2013" i="3"/>
  <c r="S2012" i="3"/>
  <c r="Q2012" i="3"/>
  <c r="R2012" i="3" s="1"/>
  <c r="P2014" i="3" l="1"/>
  <c r="A2014" i="3"/>
  <c r="S2013" i="3"/>
  <c r="Q2013" i="3"/>
  <c r="R2013" i="3" s="1"/>
  <c r="A2015" i="3" l="1"/>
  <c r="P2015" i="3"/>
  <c r="S2014" i="3"/>
  <c r="Q2014" i="3"/>
  <c r="R2014" i="3" s="1"/>
  <c r="P2016" i="3" l="1"/>
  <c r="A2016" i="3"/>
  <c r="Q2015" i="3"/>
  <c r="R2015" i="3" s="1"/>
  <c r="S2015" i="3"/>
  <c r="A2017" i="3" l="1"/>
  <c r="P2017" i="3"/>
  <c r="S2016" i="3"/>
  <c r="Q2016" i="3"/>
  <c r="R2016" i="3" s="1"/>
  <c r="P2018" i="3" l="1"/>
  <c r="A2018" i="3"/>
  <c r="S2017" i="3"/>
  <c r="Q2017" i="3"/>
  <c r="R2017" i="3" s="1"/>
  <c r="A2019" i="3" l="1"/>
  <c r="P2019" i="3"/>
  <c r="S2018" i="3"/>
  <c r="Q2018" i="3"/>
  <c r="R2018" i="3" s="1"/>
  <c r="P2020" i="3" l="1"/>
  <c r="A2020" i="3"/>
  <c r="Q2019" i="3"/>
  <c r="R2019" i="3" s="1"/>
  <c r="S2019" i="3"/>
  <c r="A2021" i="3" l="1"/>
  <c r="P2021" i="3"/>
  <c r="S2020" i="3"/>
  <c r="Q2020" i="3"/>
  <c r="R2020" i="3" s="1"/>
  <c r="P2022" i="3" l="1"/>
  <c r="A2022" i="3"/>
  <c r="S2021" i="3"/>
  <c r="Q2021" i="3"/>
  <c r="R2021" i="3" s="1"/>
  <c r="A2023" i="3" l="1"/>
  <c r="P2023" i="3"/>
  <c r="S2022" i="3"/>
  <c r="Q2022" i="3"/>
  <c r="R2022" i="3" s="1"/>
  <c r="P2024" i="3" l="1"/>
  <c r="A2024" i="3"/>
  <c r="Q2023" i="3"/>
  <c r="R2023" i="3" s="1"/>
  <c r="S2023" i="3"/>
  <c r="A2025" i="3" l="1"/>
  <c r="P2025" i="3"/>
  <c r="S2024" i="3"/>
  <c r="Q2024" i="3"/>
  <c r="R2024" i="3" s="1"/>
  <c r="P2026" i="3" l="1"/>
  <c r="A2026" i="3"/>
  <c r="S2025" i="3"/>
  <c r="Q2025" i="3"/>
  <c r="R2025" i="3" s="1"/>
  <c r="A2027" i="3" l="1"/>
  <c r="P2027" i="3"/>
  <c r="S2026" i="3"/>
  <c r="Q2026" i="3"/>
  <c r="R2026" i="3" s="1"/>
  <c r="P2028" i="3" l="1"/>
  <c r="A2028" i="3"/>
  <c r="Q2027" i="3"/>
  <c r="R2027" i="3" s="1"/>
  <c r="S2027" i="3"/>
  <c r="A2029" i="3" l="1"/>
  <c r="P2029" i="3"/>
  <c r="S2028" i="3"/>
  <c r="Q2028" i="3"/>
  <c r="R2028" i="3" s="1"/>
  <c r="P2030" i="3" l="1"/>
  <c r="A2030" i="3"/>
  <c r="S2029" i="3"/>
  <c r="Q2029" i="3"/>
  <c r="R2029" i="3" s="1"/>
  <c r="A2031" i="3" l="1"/>
  <c r="P2031" i="3"/>
  <c r="S2030" i="3"/>
  <c r="Q2030" i="3"/>
  <c r="R2030" i="3" s="1"/>
  <c r="P2032" i="3" l="1"/>
  <c r="A2032" i="3"/>
  <c r="Q2031" i="3"/>
  <c r="R2031" i="3" s="1"/>
  <c r="S2031" i="3"/>
  <c r="A2033" i="3" l="1"/>
  <c r="P2033" i="3"/>
  <c r="S2032" i="3"/>
  <c r="Q2032" i="3"/>
  <c r="R2032" i="3" s="1"/>
  <c r="P2034" i="3" l="1"/>
  <c r="A2034" i="3"/>
  <c r="S2033" i="3"/>
  <c r="Q2033" i="3"/>
  <c r="R2033" i="3" s="1"/>
  <c r="A2035" i="3" l="1"/>
  <c r="P2035" i="3"/>
  <c r="S2034" i="3"/>
  <c r="Q2034" i="3"/>
  <c r="R2034" i="3" s="1"/>
  <c r="P2036" i="3" l="1"/>
  <c r="A2036" i="3"/>
  <c r="Q2035" i="3"/>
  <c r="R2035" i="3" s="1"/>
  <c r="S2035" i="3"/>
  <c r="A2037" i="3" l="1"/>
  <c r="P2037" i="3"/>
  <c r="S2036" i="3"/>
  <c r="Q2036" i="3"/>
  <c r="R2036" i="3" s="1"/>
  <c r="P2038" i="3" l="1"/>
  <c r="A2038" i="3"/>
  <c r="S2037" i="3"/>
  <c r="Q2037" i="3"/>
  <c r="R2037" i="3" s="1"/>
  <c r="A2039" i="3" l="1"/>
  <c r="P2039" i="3"/>
  <c r="S2038" i="3"/>
  <c r="Q2038" i="3"/>
  <c r="R2038" i="3" s="1"/>
  <c r="P2040" i="3" l="1"/>
  <c r="A2040" i="3"/>
  <c r="Q2039" i="3"/>
  <c r="R2039" i="3" s="1"/>
  <c r="S2039" i="3"/>
  <c r="A2041" i="3" l="1"/>
  <c r="P2041" i="3"/>
  <c r="S2040" i="3"/>
  <c r="Q2040" i="3"/>
  <c r="R2040" i="3" s="1"/>
  <c r="P2042" i="3" l="1"/>
  <c r="A2042" i="3"/>
  <c r="S2041" i="3"/>
  <c r="Q2041" i="3"/>
  <c r="R2041" i="3" s="1"/>
  <c r="A2043" i="3" l="1"/>
  <c r="P2043" i="3"/>
  <c r="S2042" i="3"/>
  <c r="Q2042" i="3"/>
  <c r="R2042" i="3" s="1"/>
  <c r="P2044" i="3" l="1"/>
  <c r="A2044" i="3"/>
  <c r="Q2043" i="3"/>
  <c r="R2043" i="3" s="1"/>
  <c r="S2043" i="3"/>
  <c r="A2045" i="3" l="1"/>
  <c r="P2045" i="3"/>
  <c r="S2044" i="3"/>
  <c r="Q2044" i="3"/>
  <c r="R2044" i="3" s="1"/>
  <c r="P2046" i="3" l="1"/>
  <c r="A2046" i="3"/>
  <c r="S2045" i="3"/>
  <c r="Q2045" i="3"/>
  <c r="R2045" i="3" s="1"/>
  <c r="A2047" i="3" l="1"/>
  <c r="P2047" i="3"/>
  <c r="S2046" i="3"/>
  <c r="Q2046" i="3"/>
  <c r="R2046" i="3" s="1"/>
  <c r="P2048" i="3" l="1"/>
  <c r="A2048" i="3"/>
  <c r="Q2047" i="3"/>
  <c r="R2047" i="3" s="1"/>
  <c r="S2047" i="3"/>
  <c r="A2049" i="3" l="1"/>
  <c r="P2049" i="3"/>
  <c r="S2048" i="3"/>
  <c r="Q2048" i="3"/>
  <c r="R2048" i="3" s="1"/>
  <c r="P2050" i="3" l="1"/>
  <c r="A2050" i="3"/>
  <c r="S2049" i="3"/>
  <c r="Q2049" i="3"/>
  <c r="R2049" i="3" s="1"/>
  <c r="A2051" i="3" l="1"/>
  <c r="P2051" i="3"/>
  <c r="S2050" i="3"/>
  <c r="Q2050" i="3"/>
  <c r="R2050" i="3" s="1"/>
  <c r="P2052" i="3" l="1"/>
  <c r="A2052" i="3"/>
  <c r="Q2051" i="3"/>
  <c r="R2051" i="3" s="1"/>
  <c r="S2051" i="3"/>
  <c r="A2053" i="3" l="1"/>
  <c r="P2053" i="3"/>
  <c r="S2052" i="3"/>
  <c r="Q2052" i="3"/>
  <c r="R2052" i="3" s="1"/>
  <c r="P2054" i="3" l="1"/>
  <c r="A2054" i="3"/>
  <c r="S2053" i="3"/>
  <c r="Q2053" i="3"/>
  <c r="R2053" i="3" s="1"/>
  <c r="A2055" i="3" l="1"/>
  <c r="P2055" i="3"/>
  <c r="Q2054" i="3"/>
  <c r="R2054" i="3" s="1"/>
  <c r="S2054" i="3"/>
  <c r="P2056" i="3" l="1"/>
  <c r="A2056" i="3"/>
  <c r="S2055" i="3"/>
  <c r="Q2055" i="3"/>
  <c r="R2055" i="3" s="1"/>
  <c r="A2057" i="3" l="1"/>
  <c r="P2057" i="3"/>
  <c r="S2056" i="3"/>
  <c r="Q2056" i="3"/>
  <c r="R2056" i="3" s="1"/>
  <c r="P2058" i="3" l="1"/>
  <c r="A2058" i="3"/>
  <c r="Q2057" i="3"/>
  <c r="R2057" i="3" s="1"/>
  <c r="S2057" i="3"/>
  <c r="A2059" i="3" l="1"/>
  <c r="P2059" i="3"/>
  <c r="Q2058" i="3"/>
  <c r="R2058" i="3" s="1"/>
  <c r="S2058" i="3"/>
  <c r="P2060" i="3" l="1"/>
  <c r="A2060" i="3"/>
  <c r="S2059" i="3"/>
  <c r="Q2059" i="3"/>
  <c r="R2059" i="3" s="1"/>
  <c r="A2061" i="3" l="1"/>
  <c r="P2061" i="3"/>
  <c r="S2060" i="3"/>
  <c r="Q2060" i="3"/>
  <c r="R2060" i="3" s="1"/>
  <c r="P2062" i="3" l="1"/>
  <c r="A2062" i="3"/>
  <c r="S2061" i="3"/>
  <c r="Q2061" i="3"/>
  <c r="R2061" i="3" s="1"/>
  <c r="A2063" i="3" l="1"/>
  <c r="P2063" i="3"/>
  <c r="Q2062" i="3"/>
  <c r="R2062" i="3" s="1"/>
  <c r="S2062" i="3"/>
  <c r="P2064" i="3" l="1"/>
  <c r="A2064" i="3"/>
  <c r="S2063" i="3"/>
  <c r="Q2063" i="3"/>
  <c r="R2063" i="3" s="1"/>
  <c r="A2065" i="3" l="1"/>
  <c r="P2065" i="3"/>
  <c r="S2064" i="3"/>
  <c r="Q2064" i="3"/>
  <c r="R2064" i="3" s="1"/>
  <c r="P2066" i="3" l="1"/>
  <c r="A2066" i="3"/>
  <c r="S2065" i="3"/>
  <c r="Q2065" i="3"/>
  <c r="R2065" i="3" s="1"/>
  <c r="A2067" i="3" l="1"/>
  <c r="P2067" i="3"/>
  <c r="Q2066" i="3"/>
  <c r="R2066" i="3" s="1"/>
  <c r="S2066" i="3"/>
  <c r="P2068" i="3" l="1"/>
  <c r="A2068" i="3"/>
  <c r="S2067" i="3"/>
  <c r="Q2067" i="3"/>
  <c r="R2067" i="3" s="1"/>
  <c r="A2069" i="3" l="1"/>
  <c r="P2069" i="3"/>
  <c r="S2068" i="3"/>
  <c r="Q2068" i="3"/>
  <c r="R2068" i="3" s="1"/>
  <c r="P2070" i="3" l="1"/>
  <c r="A2070" i="3"/>
  <c r="S2069" i="3"/>
  <c r="Q2069" i="3"/>
  <c r="R2069" i="3" s="1"/>
  <c r="A2071" i="3" l="1"/>
  <c r="P2071" i="3"/>
  <c r="Q2070" i="3"/>
  <c r="R2070" i="3" s="1"/>
  <c r="S2070" i="3"/>
  <c r="P2072" i="3" l="1"/>
  <c r="A2072" i="3"/>
  <c r="S2071" i="3"/>
  <c r="Q2071" i="3"/>
  <c r="R2071" i="3" s="1"/>
  <c r="A2073" i="3" l="1"/>
  <c r="P2073" i="3"/>
  <c r="S2072" i="3"/>
  <c r="Q2072" i="3"/>
  <c r="R2072" i="3" s="1"/>
  <c r="P2074" i="3" l="1"/>
  <c r="A2074" i="3"/>
  <c r="S2073" i="3"/>
  <c r="Q2073" i="3"/>
  <c r="R2073" i="3" s="1"/>
  <c r="A2075" i="3" l="1"/>
  <c r="P2075" i="3"/>
  <c r="Q2074" i="3"/>
  <c r="R2074" i="3" s="1"/>
  <c r="S2074" i="3"/>
  <c r="P2076" i="3" l="1"/>
  <c r="A2076" i="3"/>
  <c r="S2075" i="3"/>
  <c r="Q2075" i="3"/>
  <c r="R2075" i="3" s="1"/>
  <c r="A2077" i="3" l="1"/>
  <c r="P2077" i="3"/>
  <c r="S2076" i="3"/>
  <c r="Q2076" i="3"/>
  <c r="R2076" i="3" s="1"/>
  <c r="P2078" i="3" l="1"/>
  <c r="A2078" i="3"/>
  <c r="S2077" i="3"/>
  <c r="Q2077" i="3"/>
  <c r="R2077" i="3" s="1"/>
  <c r="A2079" i="3" l="1"/>
  <c r="P2079" i="3"/>
  <c r="Q2078" i="3"/>
  <c r="R2078" i="3" s="1"/>
  <c r="S2078" i="3"/>
  <c r="P2080" i="3" l="1"/>
  <c r="A2080" i="3"/>
  <c r="S2079" i="3"/>
  <c r="Q2079" i="3"/>
  <c r="R2079" i="3" s="1"/>
  <c r="A2081" i="3" l="1"/>
  <c r="P2081" i="3"/>
  <c r="S2080" i="3"/>
  <c r="Q2080" i="3"/>
  <c r="R2080" i="3" s="1"/>
  <c r="P2082" i="3" l="1"/>
  <c r="A2082" i="3"/>
  <c r="S2081" i="3"/>
  <c r="Q2081" i="3"/>
  <c r="R2081" i="3" s="1"/>
  <c r="A2083" i="3" l="1"/>
  <c r="P2083" i="3"/>
  <c r="Q2082" i="3"/>
  <c r="R2082" i="3" s="1"/>
  <c r="S2082" i="3"/>
  <c r="P2084" i="3" l="1"/>
  <c r="A2084" i="3"/>
  <c r="S2083" i="3"/>
  <c r="Q2083" i="3"/>
  <c r="R2083" i="3" s="1"/>
  <c r="A2085" i="3" l="1"/>
  <c r="P2085" i="3"/>
  <c r="S2084" i="3"/>
  <c r="Q2084" i="3"/>
  <c r="R2084" i="3" s="1"/>
  <c r="P2086" i="3" l="1"/>
  <c r="A2086" i="3"/>
  <c r="S2085" i="3"/>
  <c r="Q2085" i="3"/>
  <c r="R2085" i="3" s="1"/>
  <c r="A2087" i="3" l="1"/>
  <c r="P2087" i="3"/>
  <c r="Q2086" i="3"/>
  <c r="R2086" i="3" s="1"/>
  <c r="S2086" i="3"/>
  <c r="P2088" i="3" l="1"/>
  <c r="A2088" i="3"/>
  <c r="S2087" i="3"/>
  <c r="Q2087" i="3"/>
  <c r="R2087" i="3" s="1"/>
  <c r="A2089" i="3" l="1"/>
  <c r="P2089" i="3"/>
  <c r="S2088" i="3"/>
  <c r="Q2088" i="3"/>
  <c r="R2088" i="3" s="1"/>
  <c r="P2090" i="3" l="1"/>
  <c r="A2090" i="3"/>
  <c r="S2089" i="3"/>
  <c r="Q2089" i="3"/>
  <c r="R2089" i="3" s="1"/>
  <c r="A2091" i="3" l="1"/>
  <c r="P2091" i="3"/>
  <c r="Q2090" i="3"/>
  <c r="R2090" i="3" s="1"/>
  <c r="S2090" i="3"/>
  <c r="P2092" i="3" l="1"/>
  <c r="A2092" i="3"/>
  <c r="S2091" i="3"/>
  <c r="Q2091" i="3"/>
  <c r="R2091" i="3" s="1"/>
  <c r="A2093" i="3" l="1"/>
  <c r="P2093" i="3"/>
  <c r="S2092" i="3"/>
  <c r="Q2092" i="3"/>
  <c r="R2092" i="3" s="1"/>
  <c r="P2094" i="3" l="1"/>
  <c r="A2094" i="3"/>
  <c r="S2093" i="3"/>
  <c r="Q2093" i="3"/>
  <c r="R2093" i="3" s="1"/>
  <c r="A2095" i="3" l="1"/>
  <c r="P2095" i="3"/>
  <c r="Q2094" i="3"/>
  <c r="R2094" i="3" s="1"/>
  <c r="S2094" i="3"/>
  <c r="P2096" i="3" l="1"/>
  <c r="A2096" i="3"/>
  <c r="S2095" i="3"/>
  <c r="Q2095" i="3"/>
  <c r="R2095" i="3" s="1"/>
  <c r="A2097" i="3" l="1"/>
  <c r="P2097" i="3"/>
  <c r="S2096" i="3"/>
  <c r="Q2096" i="3"/>
  <c r="R2096" i="3" s="1"/>
  <c r="P2098" i="3" l="1"/>
  <c r="A2098" i="3"/>
  <c r="S2097" i="3"/>
  <c r="Q2097" i="3"/>
  <c r="R2097" i="3" s="1"/>
  <c r="A2099" i="3" l="1"/>
  <c r="P2099" i="3"/>
  <c r="Q2098" i="3"/>
  <c r="R2098" i="3" s="1"/>
  <c r="S2098" i="3"/>
  <c r="P2100" i="3" l="1"/>
  <c r="A2100" i="3"/>
  <c r="S2099" i="3"/>
  <c r="Q2099" i="3"/>
  <c r="R2099" i="3" s="1"/>
  <c r="A2101" i="3" l="1"/>
  <c r="P2101" i="3"/>
  <c r="S2100" i="3"/>
  <c r="Q2100" i="3"/>
  <c r="R2100" i="3" s="1"/>
  <c r="P2102" i="3" l="1"/>
  <c r="A2102" i="3"/>
  <c r="S2101" i="3"/>
  <c r="Q2101" i="3"/>
  <c r="R2101" i="3" s="1"/>
  <c r="A2103" i="3" l="1"/>
  <c r="P2103" i="3"/>
  <c r="Q2102" i="3"/>
  <c r="R2102" i="3" s="1"/>
  <c r="S2102" i="3"/>
  <c r="P2104" i="3" l="1"/>
  <c r="A2104" i="3"/>
  <c r="S2103" i="3"/>
  <c r="Q2103" i="3"/>
  <c r="R2103" i="3" s="1"/>
  <c r="A2105" i="3" l="1"/>
  <c r="P2105" i="3"/>
  <c r="S2104" i="3"/>
  <c r="Q2104" i="3"/>
  <c r="R2104" i="3" s="1"/>
  <c r="P2106" i="3" l="1"/>
  <c r="A2106" i="3"/>
  <c r="S2105" i="3"/>
  <c r="Q2105" i="3"/>
  <c r="R2105" i="3" s="1"/>
  <c r="A2107" i="3" l="1"/>
  <c r="P2107" i="3"/>
  <c r="Q2106" i="3"/>
  <c r="R2106" i="3" s="1"/>
  <c r="S2106" i="3"/>
  <c r="P2108" i="3" l="1"/>
  <c r="A2108" i="3"/>
  <c r="S2107" i="3"/>
  <c r="Q2107" i="3"/>
  <c r="R2107" i="3" s="1"/>
  <c r="A2109" i="3" l="1"/>
  <c r="P2109" i="3"/>
  <c r="S2108" i="3"/>
  <c r="Q2108" i="3"/>
  <c r="R2108" i="3" s="1"/>
  <c r="P2110" i="3" l="1"/>
  <c r="A2110" i="3"/>
  <c r="S2109" i="3"/>
  <c r="Q2109" i="3"/>
  <c r="R2109" i="3" s="1"/>
  <c r="A2111" i="3" l="1"/>
  <c r="P2111" i="3"/>
  <c r="Q2110" i="3"/>
  <c r="R2110" i="3" s="1"/>
  <c r="S2110" i="3"/>
  <c r="P2112" i="3" l="1"/>
  <c r="A2112" i="3"/>
  <c r="S2111" i="3"/>
  <c r="Q2111" i="3"/>
  <c r="R2111" i="3" s="1"/>
  <c r="A2113" i="3" l="1"/>
  <c r="P2113" i="3"/>
  <c r="S2112" i="3"/>
  <c r="Q2112" i="3"/>
  <c r="R2112" i="3" s="1"/>
  <c r="P2114" i="3" l="1"/>
  <c r="A2114" i="3"/>
  <c r="S2113" i="3"/>
  <c r="Q2113" i="3"/>
  <c r="R2113" i="3" s="1"/>
  <c r="A2115" i="3" l="1"/>
  <c r="P2115" i="3"/>
  <c r="Q2114" i="3"/>
  <c r="R2114" i="3" s="1"/>
  <c r="S2114" i="3"/>
  <c r="P2116" i="3" l="1"/>
  <c r="A2116" i="3"/>
  <c r="S2115" i="3"/>
  <c r="Q2115" i="3"/>
  <c r="R2115" i="3" s="1"/>
  <c r="A2117" i="3" l="1"/>
  <c r="P2117" i="3"/>
  <c r="S2116" i="3"/>
  <c r="Q2116" i="3"/>
  <c r="R2116" i="3" s="1"/>
  <c r="P2118" i="3" l="1"/>
  <c r="A2118" i="3"/>
  <c r="S2117" i="3"/>
  <c r="Q2117" i="3"/>
  <c r="R2117" i="3" s="1"/>
  <c r="A2119" i="3" l="1"/>
  <c r="P2119" i="3"/>
  <c r="Q2118" i="3"/>
  <c r="R2118" i="3" s="1"/>
  <c r="S2118" i="3"/>
  <c r="P2120" i="3" l="1"/>
  <c r="A2120" i="3"/>
  <c r="S2119" i="3"/>
  <c r="Q2119" i="3"/>
  <c r="R2119" i="3" s="1"/>
  <c r="A2121" i="3" l="1"/>
  <c r="P2121" i="3"/>
  <c r="S2120" i="3"/>
  <c r="Q2120" i="3"/>
  <c r="R2120" i="3" s="1"/>
  <c r="P2122" i="3" l="1"/>
  <c r="A2122" i="3"/>
  <c r="S2121" i="3"/>
  <c r="Q2121" i="3"/>
  <c r="R2121" i="3" s="1"/>
  <c r="A2123" i="3" l="1"/>
  <c r="P2123" i="3"/>
  <c r="Q2122" i="3"/>
  <c r="R2122" i="3" s="1"/>
  <c r="S2122" i="3"/>
  <c r="P2124" i="3" l="1"/>
  <c r="A2124" i="3"/>
  <c r="S2123" i="3"/>
  <c r="Q2123" i="3"/>
  <c r="R2123" i="3" s="1"/>
  <c r="A2125" i="3" l="1"/>
  <c r="P2125" i="3"/>
  <c r="S2124" i="3"/>
  <c r="Q2124" i="3"/>
  <c r="R2124" i="3" s="1"/>
  <c r="P2126" i="3" l="1"/>
  <c r="A2126" i="3"/>
  <c r="S2125" i="3"/>
  <c r="Q2125" i="3"/>
  <c r="R2125" i="3" s="1"/>
  <c r="A2127" i="3" l="1"/>
  <c r="P2127" i="3"/>
  <c r="Q2126" i="3"/>
  <c r="R2126" i="3" s="1"/>
  <c r="S2126" i="3"/>
  <c r="P2128" i="3" l="1"/>
  <c r="A2128" i="3"/>
  <c r="S2127" i="3"/>
  <c r="Q2127" i="3"/>
  <c r="R2127" i="3" s="1"/>
  <c r="A2129" i="3" l="1"/>
  <c r="P2129" i="3"/>
  <c r="S2128" i="3"/>
  <c r="Q2128" i="3"/>
  <c r="R2128" i="3" s="1"/>
  <c r="P2130" i="3" l="1"/>
  <c r="A2130" i="3"/>
  <c r="S2129" i="3"/>
  <c r="Q2129" i="3"/>
  <c r="R2129" i="3" s="1"/>
  <c r="A2131" i="3" l="1"/>
  <c r="P2131" i="3"/>
  <c r="Q2130" i="3"/>
  <c r="R2130" i="3" s="1"/>
  <c r="S2130" i="3"/>
  <c r="P2132" i="3" l="1"/>
  <c r="A2132" i="3"/>
  <c r="S2131" i="3"/>
  <c r="Q2131" i="3"/>
  <c r="R2131" i="3" s="1"/>
  <c r="A2133" i="3" l="1"/>
  <c r="P2133" i="3"/>
  <c r="S2132" i="3"/>
  <c r="Q2132" i="3"/>
  <c r="R2132" i="3" s="1"/>
  <c r="P2134" i="3" l="1"/>
  <c r="A2134" i="3"/>
  <c r="S2133" i="3"/>
  <c r="Q2133" i="3"/>
  <c r="R2133" i="3" s="1"/>
  <c r="A2135" i="3" l="1"/>
  <c r="P2135" i="3"/>
  <c r="Q2134" i="3"/>
  <c r="R2134" i="3" s="1"/>
  <c r="S2134" i="3"/>
  <c r="P2136" i="3" l="1"/>
  <c r="A2136" i="3"/>
  <c r="S2135" i="3"/>
  <c r="Q2135" i="3"/>
  <c r="R2135" i="3" s="1"/>
  <c r="A2137" i="3" l="1"/>
  <c r="P2137" i="3"/>
  <c r="S2136" i="3"/>
  <c r="Q2136" i="3"/>
  <c r="R2136" i="3" s="1"/>
  <c r="P2138" i="3" l="1"/>
  <c r="A2138" i="3"/>
  <c r="S2137" i="3"/>
  <c r="Q2137" i="3"/>
  <c r="R2137" i="3" s="1"/>
  <c r="A2139" i="3" l="1"/>
  <c r="P2139" i="3"/>
  <c r="Q2138" i="3"/>
  <c r="R2138" i="3" s="1"/>
  <c r="S2138" i="3"/>
  <c r="P2140" i="3" l="1"/>
  <c r="A2140" i="3"/>
  <c r="S2139" i="3"/>
  <c r="Q2139" i="3"/>
  <c r="R2139" i="3" s="1"/>
  <c r="A2141" i="3" l="1"/>
  <c r="P2141" i="3"/>
  <c r="S2140" i="3"/>
  <c r="Q2140" i="3"/>
  <c r="R2140" i="3" s="1"/>
  <c r="P2142" i="3" l="1"/>
  <c r="A2142" i="3"/>
  <c r="S2141" i="3"/>
  <c r="Q2141" i="3"/>
  <c r="R2141" i="3" s="1"/>
  <c r="A2143" i="3" l="1"/>
  <c r="P2143" i="3"/>
  <c r="Q2142" i="3"/>
  <c r="R2142" i="3" s="1"/>
  <c r="S2142" i="3"/>
  <c r="P2144" i="3" l="1"/>
  <c r="A2144" i="3"/>
  <c r="S2143" i="3"/>
  <c r="Q2143" i="3"/>
  <c r="R2143" i="3" s="1"/>
  <c r="A2145" i="3" l="1"/>
  <c r="P2145" i="3"/>
  <c r="S2144" i="3"/>
  <c r="Q2144" i="3"/>
  <c r="R2144" i="3" s="1"/>
  <c r="P2146" i="3" l="1"/>
  <c r="A2146" i="3"/>
  <c r="S2145" i="3"/>
  <c r="Q2145" i="3"/>
  <c r="R2145" i="3" s="1"/>
  <c r="A2147" i="3" l="1"/>
  <c r="P2147" i="3"/>
  <c r="Q2146" i="3"/>
  <c r="R2146" i="3" s="1"/>
  <c r="S2146" i="3"/>
  <c r="P2148" i="3" l="1"/>
  <c r="A2148" i="3"/>
  <c r="S2147" i="3"/>
  <c r="Q2147" i="3"/>
  <c r="R2147" i="3" s="1"/>
  <c r="A2149" i="3" l="1"/>
  <c r="P2149" i="3"/>
  <c r="S2148" i="3"/>
  <c r="Q2148" i="3"/>
  <c r="R2148" i="3" s="1"/>
  <c r="P2150" i="3" l="1"/>
  <c r="A2150" i="3"/>
  <c r="S2149" i="3"/>
  <c r="Q2149" i="3"/>
  <c r="R2149" i="3" s="1"/>
  <c r="A2151" i="3" l="1"/>
  <c r="P2151" i="3"/>
  <c r="Q2150" i="3"/>
  <c r="R2150" i="3" s="1"/>
  <c r="S2150" i="3"/>
  <c r="P2152" i="3" l="1"/>
  <c r="A2152" i="3"/>
  <c r="S2151" i="3"/>
  <c r="Q2151" i="3"/>
  <c r="R2151" i="3" s="1"/>
  <c r="A2153" i="3" l="1"/>
  <c r="P2153" i="3"/>
  <c r="S2152" i="3"/>
  <c r="Q2152" i="3"/>
  <c r="R2152" i="3" s="1"/>
  <c r="P2154" i="3" l="1"/>
  <c r="A2154" i="3"/>
  <c r="S2153" i="3"/>
  <c r="Q2153" i="3"/>
  <c r="R2153" i="3" s="1"/>
  <c r="A2155" i="3" l="1"/>
  <c r="P2155" i="3"/>
  <c r="Q2154" i="3"/>
  <c r="R2154" i="3" s="1"/>
  <c r="S2154" i="3"/>
  <c r="P2156" i="3" l="1"/>
  <c r="A2156" i="3"/>
  <c r="S2155" i="3"/>
  <c r="Q2155" i="3"/>
  <c r="R2155" i="3" s="1"/>
  <c r="A2157" i="3" l="1"/>
  <c r="P2157" i="3"/>
  <c r="S2156" i="3"/>
  <c r="Q2156" i="3"/>
  <c r="R2156" i="3" s="1"/>
  <c r="P2158" i="3" l="1"/>
  <c r="A2158" i="3"/>
  <c r="S2157" i="3"/>
  <c r="Q2157" i="3"/>
  <c r="R2157" i="3" s="1"/>
  <c r="A2159" i="3" l="1"/>
  <c r="P2159" i="3"/>
  <c r="Q2158" i="3"/>
  <c r="R2158" i="3" s="1"/>
  <c r="S2158" i="3"/>
  <c r="P2160" i="3" l="1"/>
  <c r="A2160" i="3"/>
  <c r="S2159" i="3"/>
  <c r="Q2159" i="3"/>
  <c r="R2159" i="3" s="1"/>
  <c r="A2161" i="3" l="1"/>
  <c r="P2161" i="3"/>
  <c r="S2160" i="3"/>
  <c r="Q2160" i="3"/>
  <c r="R2160" i="3" s="1"/>
  <c r="P2162" i="3" l="1"/>
  <c r="A2162" i="3"/>
  <c r="S2161" i="3"/>
  <c r="Q2161" i="3"/>
  <c r="R2161" i="3" s="1"/>
  <c r="A2163" i="3" l="1"/>
  <c r="P2163" i="3"/>
  <c r="Q2162" i="3"/>
  <c r="R2162" i="3" s="1"/>
  <c r="S2162" i="3"/>
  <c r="P2164" i="3" l="1"/>
  <c r="A2164" i="3"/>
  <c r="S2163" i="3"/>
  <c r="Q2163" i="3"/>
  <c r="R2163" i="3" s="1"/>
  <c r="A2165" i="3" l="1"/>
  <c r="P2165" i="3"/>
  <c r="S2164" i="3"/>
  <c r="Q2164" i="3"/>
  <c r="R2164" i="3" s="1"/>
  <c r="P2166" i="3" l="1"/>
  <c r="A2166" i="3"/>
  <c r="S2165" i="3"/>
  <c r="Q2165" i="3"/>
  <c r="R2165" i="3" s="1"/>
  <c r="A2167" i="3" l="1"/>
  <c r="P2167" i="3"/>
  <c r="Q2166" i="3"/>
  <c r="R2166" i="3" s="1"/>
  <c r="S2166" i="3"/>
  <c r="P2168" i="3" l="1"/>
  <c r="A2168" i="3"/>
  <c r="S2167" i="3"/>
  <c r="Q2167" i="3"/>
  <c r="R2167" i="3" s="1"/>
  <c r="A2169" i="3" l="1"/>
  <c r="P2169" i="3"/>
  <c r="S2168" i="3"/>
  <c r="Q2168" i="3"/>
  <c r="R2168" i="3" s="1"/>
  <c r="P2170" i="3" l="1"/>
  <c r="A2170" i="3"/>
  <c r="S2169" i="3"/>
  <c r="Q2169" i="3"/>
  <c r="R2169" i="3" s="1"/>
  <c r="A2171" i="3" l="1"/>
  <c r="P2171" i="3"/>
  <c r="Q2170" i="3"/>
  <c r="R2170" i="3" s="1"/>
  <c r="S2170" i="3"/>
  <c r="P2172" i="3" l="1"/>
  <c r="A2172" i="3"/>
  <c r="S2171" i="3"/>
  <c r="Q2171" i="3"/>
  <c r="R2171" i="3" s="1"/>
  <c r="A2173" i="3" l="1"/>
  <c r="P2173" i="3"/>
  <c r="S2172" i="3"/>
  <c r="Q2172" i="3"/>
  <c r="R2172" i="3" s="1"/>
  <c r="P2174" i="3" l="1"/>
  <c r="A2174" i="3"/>
  <c r="S2173" i="3"/>
  <c r="Q2173" i="3"/>
  <c r="R2173" i="3" s="1"/>
  <c r="A2175" i="3" l="1"/>
  <c r="P2175" i="3"/>
  <c r="Q2174" i="3"/>
  <c r="R2174" i="3" s="1"/>
  <c r="S2174" i="3"/>
  <c r="P2176" i="3" l="1"/>
  <c r="A2176" i="3"/>
  <c r="S2175" i="3"/>
  <c r="Q2175" i="3"/>
  <c r="R2175" i="3" s="1"/>
  <c r="A2177" i="3" l="1"/>
  <c r="P2177" i="3"/>
  <c r="S2176" i="3"/>
  <c r="Q2176" i="3"/>
  <c r="R2176" i="3" s="1"/>
  <c r="P2178" i="3" l="1"/>
  <c r="A2178" i="3"/>
  <c r="S2177" i="3"/>
  <c r="Q2177" i="3"/>
  <c r="R2177" i="3" s="1"/>
  <c r="A2179" i="3" l="1"/>
  <c r="P2179" i="3"/>
  <c r="Q2178" i="3"/>
  <c r="R2178" i="3" s="1"/>
  <c r="S2178" i="3"/>
  <c r="P2180" i="3" l="1"/>
  <c r="A2180" i="3"/>
  <c r="S2179" i="3"/>
  <c r="Q2179" i="3"/>
  <c r="R2179" i="3" s="1"/>
  <c r="A2181" i="3" l="1"/>
  <c r="P2181" i="3"/>
  <c r="S2180" i="3"/>
  <c r="Q2180" i="3"/>
  <c r="R2180" i="3" s="1"/>
  <c r="P2182" i="3" l="1"/>
  <c r="A2182" i="3"/>
  <c r="S2181" i="3"/>
  <c r="Q2181" i="3"/>
  <c r="R2181" i="3" s="1"/>
  <c r="A2183" i="3" l="1"/>
  <c r="P2183" i="3"/>
  <c r="Q2182" i="3"/>
  <c r="R2182" i="3" s="1"/>
  <c r="S2182" i="3"/>
  <c r="P2184" i="3" l="1"/>
  <c r="A2184" i="3"/>
  <c r="S2183" i="3"/>
  <c r="Q2183" i="3"/>
  <c r="R2183" i="3" s="1"/>
  <c r="A2185" i="3" l="1"/>
  <c r="P2185" i="3"/>
  <c r="S2184" i="3"/>
  <c r="Q2184" i="3"/>
  <c r="R2184" i="3" s="1"/>
  <c r="P2186" i="3" l="1"/>
  <c r="A2186" i="3"/>
  <c r="S2185" i="3"/>
  <c r="Q2185" i="3"/>
  <c r="R2185" i="3" s="1"/>
  <c r="A2187" i="3" l="1"/>
  <c r="P2187" i="3"/>
  <c r="Q2186" i="3"/>
  <c r="R2186" i="3" s="1"/>
  <c r="S2186" i="3"/>
  <c r="P2188" i="3" l="1"/>
  <c r="A2188" i="3"/>
  <c r="S2187" i="3"/>
  <c r="Q2187" i="3"/>
  <c r="R2187" i="3" s="1"/>
  <c r="A2189" i="3" l="1"/>
  <c r="P2189" i="3"/>
  <c r="S2188" i="3"/>
  <c r="Q2188" i="3"/>
  <c r="R2188" i="3" s="1"/>
  <c r="P2190" i="3" l="1"/>
  <c r="A2190" i="3"/>
  <c r="S2189" i="3"/>
  <c r="Q2189" i="3"/>
  <c r="R2189" i="3" s="1"/>
  <c r="A2191" i="3" l="1"/>
  <c r="P2191" i="3"/>
  <c r="Q2190" i="3"/>
  <c r="R2190" i="3" s="1"/>
  <c r="S2190" i="3"/>
  <c r="P2192" i="3" l="1"/>
  <c r="A2192" i="3"/>
  <c r="S2191" i="3"/>
  <c r="Q2191" i="3"/>
  <c r="R2191" i="3" s="1"/>
  <c r="A2193" i="3" l="1"/>
  <c r="P2193" i="3"/>
  <c r="S2192" i="3"/>
  <c r="Q2192" i="3"/>
  <c r="R2192" i="3" s="1"/>
  <c r="P2194" i="3" l="1"/>
  <c r="A2194" i="3"/>
  <c r="S2193" i="3"/>
  <c r="Q2193" i="3"/>
  <c r="R2193" i="3" s="1"/>
  <c r="A2195" i="3" l="1"/>
  <c r="P2195" i="3"/>
  <c r="Q2194" i="3"/>
  <c r="R2194" i="3" s="1"/>
  <c r="S2194" i="3"/>
  <c r="P2196" i="3" l="1"/>
  <c r="A2196" i="3"/>
  <c r="S2195" i="3"/>
  <c r="Q2195" i="3"/>
  <c r="R2195" i="3" s="1"/>
  <c r="A2197" i="3" l="1"/>
  <c r="P2197" i="3"/>
  <c r="S2196" i="3"/>
  <c r="Q2196" i="3"/>
  <c r="R2196" i="3" s="1"/>
  <c r="P2198" i="3" l="1"/>
  <c r="A2198" i="3"/>
  <c r="S2197" i="3"/>
  <c r="Q2197" i="3"/>
  <c r="R2197" i="3" s="1"/>
  <c r="A2199" i="3" l="1"/>
  <c r="P2199" i="3"/>
  <c r="Q2198" i="3"/>
  <c r="R2198" i="3" s="1"/>
  <c r="S2198" i="3"/>
  <c r="P2200" i="3" l="1"/>
  <c r="A2200" i="3"/>
  <c r="S2199" i="3"/>
  <c r="Q2199" i="3"/>
  <c r="R2199" i="3" s="1"/>
  <c r="A2201" i="3" l="1"/>
  <c r="P2201" i="3"/>
  <c r="S2200" i="3"/>
  <c r="Q2200" i="3"/>
  <c r="R2200" i="3" s="1"/>
  <c r="P2202" i="3" l="1"/>
  <c r="A2202" i="3"/>
  <c r="S2201" i="3"/>
  <c r="Q2201" i="3"/>
  <c r="R2201" i="3" s="1"/>
  <c r="A2203" i="3" l="1"/>
  <c r="P2203" i="3"/>
  <c r="Q2202" i="3"/>
  <c r="R2202" i="3" s="1"/>
  <c r="S2202" i="3"/>
  <c r="P2204" i="3" l="1"/>
  <c r="A2204" i="3"/>
  <c r="S2203" i="3"/>
  <c r="Q2203" i="3"/>
  <c r="R2203" i="3" s="1"/>
  <c r="A2205" i="3" l="1"/>
  <c r="P2205" i="3"/>
  <c r="S2204" i="3"/>
  <c r="Q2204" i="3"/>
  <c r="R2204" i="3" s="1"/>
  <c r="P2206" i="3" l="1"/>
  <c r="A2206" i="3"/>
  <c r="S2205" i="3"/>
  <c r="Q2205" i="3"/>
  <c r="R2205" i="3" s="1"/>
  <c r="A2207" i="3" l="1"/>
  <c r="P2207" i="3"/>
  <c r="Q2206" i="3"/>
  <c r="R2206" i="3" s="1"/>
  <c r="S2206" i="3"/>
  <c r="P2208" i="3" l="1"/>
  <c r="A2208" i="3"/>
  <c r="S2207" i="3"/>
  <c r="Q2207" i="3"/>
  <c r="R2207" i="3" s="1"/>
  <c r="A2209" i="3" l="1"/>
  <c r="P2209" i="3"/>
  <c r="S2208" i="3"/>
  <c r="Q2208" i="3"/>
  <c r="R2208" i="3" s="1"/>
  <c r="P2210" i="3" l="1"/>
  <c r="A2210" i="3"/>
  <c r="S2209" i="3"/>
  <c r="Q2209" i="3"/>
  <c r="R2209" i="3" s="1"/>
  <c r="A2211" i="3" l="1"/>
  <c r="P2211" i="3"/>
  <c r="Q2210" i="3"/>
  <c r="R2210" i="3" s="1"/>
  <c r="S2210" i="3"/>
  <c r="P2212" i="3" l="1"/>
  <c r="A2212" i="3"/>
  <c r="S2211" i="3"/>
  <c r="Q2211" i="3"/>
  <c r="R2211" i="3" s="1"/>
  <c r="A2213" i="3" l="1"/>
  <c r="P2213" i="3"/>
  <c r="S2212" i="3"/>
  <c r="Q2212" i="3"/>
  <c r="R2212" i="3" s="1"/>
  <c r="P2214" i="3" l="1"/>
  <c r="A2214" i="3"/>
  <c r="S2213" i="3"/>
  <c r="Q2213" i="3"/>
  <c r="R2213" i="3" s="1"/>
  <c r="A2215" i="3" l="1"/>
  <c r="P2215" i="3"/>
  <c r="Q2214" i="3"/>
  <c r="R2214" i="3" s="1"/>
  <c r="S2214" i="3"/>
  <c r="P2216" i="3" l="1"/>
  <c r="A2216" i="3"/>
  <c r="S2215" i="3"/>
  <c r="Q2215" i="3"/>
  <c r="R2215" i="3" s="1"/>
  <c r="A2217" i="3" l="1"/>
  <c r="P2217" i="3"/>
  <c r="S2216" i="3"/>
  <c r="Q2216" i="3"/>
  <c r="R2216" i="3" s="1"/>
  <c r="P2218" i="3" l="1"/>
  <c r="A2218" i="3"/>
  <c r="S2217" i="3"/>
  <c r="Q2217" i="3"/>
  <c r="R2217" i="3" s="1"/>
  <c r="A2219" i="3" l="1"/>
  <c r="P2219" i="3"/>
  <c r="Q2218" i="3"/>
  <c r="R2218" i="3" s="1"/>
  <c r="S2218" i="3"/>
  <c r="P2220" i="3" l="1"/>
  <c r="A2220" i="3"/>
  <c r="S2219" i="3"/>
  <c r="Q2219" i="3"/>
  <c r="R2219" i="3" s="1"/>
  <c r="A2221" i="3" l="1"/>
  <c r="P2221" i="3"/>
  <c r="S2220" i="3"/>
  <c r="Q2220" i="3"/>
  <c r="R2220" i="3" s="1"/>
  <c r="P2222" i="3" l="1"/>
  <c r="A2222" i="3"/>
  <c r="S2221" i="3"/>
  <c r="Q2221" i="3"/>
  <c r="R2221" i="3" s="1"/>
  <c r="A2223" i="3" l="1"/>
  <c r="P2223" i="3"/>
  <c r="Q2222" i="3"/>
  <c r="R2222" i="3" s="1"/>
  <c r="S2222" i="3"/>
  <c r="P2224" i="3" l="1"/>
  <c r="A2224" i="3"/>
  <c r="S2223" i="3"/>
  <c r="Q2223" i="3"/>
  <c r="R2223" i="3" s="1"/>
  <c r="A2225" i="3" l="1"/>
  <c r="S2224" i="3"/>
  <c r="P2225" i="3"/>
  <c r="Q2224" i="3"/>
  <c r="R2224" i="3" s="1"/>
  <c r="P2226" i="3" l="1"/>
  <c r="Q2225" i="3"/>
  <c r="R2225" i="3" s="1"/>
  <c r="A2226" i="3"/>
  <c r="S2225" i="3"/>
  <c r="A2227" i="3" l="1"/>
  <c r="S2226" i="3"/>
  <c r="P2227" i="3"/>
  <c r="Q2226" i="3"/>
  <c r="R2226" i="3" s="1"/>
  <c r="P2228" i="3" l="1"/>
  <c r="Q2227" i="3"/>
  <c r="R2227" i="3" s="1"/>
  <c r="A2228" i="3"/>
  <c r="S2227" i="3"/>
  <c r="A2229" i="3" l="1"/>
  <c r="S2228" i="3"/>
  <c r="P2229" i="3"/>
  <c r="Q2228" i="3"/>
  <c r="R2228" i="3" s="1"/>
  <c r="P2230" i="3" l="1"/>
  <c r="Q2229" i="3"/>
  <c r="R2229" i="3" s="1"/>
  <c r="A2230" i="3"/>
  <c r="S2229" i="3"/>
  <c r="A2231" i="3" l="1"/>
  <c r="S2230" i="3"/>
  <c r="P2231" i="3"/>
  <c r="Q2230" i="3"/>
  <c r="R2230" i="3" s="1"/>
  <c r="P2232" i="3" l="1"/>
  <c r="Q2231" i="3"/>
  <c r="R2231" i="3" s="1"/>
  <c r="A2232" i="3"/>
  <c r="S2231" i="3"/>
  <c r="A2233" i="3" l="1"/>
  <c r="S2232" i="3"/>
  <c r="P2233" i="3"/>
  <c r="Q2232" i="3"/>
  <c r="R2232" i="3" s="1"/>
  <c r="P2234" i="3" l="1"/>
  <c r="Q2233" i="3"/>
  <c r="R2233" i="3" s="1"/>
  <c r="A2234" i="3"/>
  <c r="S2233" i="3"/>
  <c r="A2235" i="3" l="1"/>
  <c r="S2234" i="3"/>
  <c r="P2235" i="3"/>
  <c r="Q2234" i="3"/>
  <c r="R2234" i="3" s="1"/>
  <c r="P2236" i="3" l="1"/>
  <c r="Q2235" i="3"/>
  <c r="R2235" i="3" s="1"/>
  <c r="A2236" i="3"/>
  <c r="S2235" i="3"/>
  <c r="A2237" i="3" l="1"/>
  <c r="S2236" i="3"/>
  <c r="P2237" i="3"/>
  <c r="Q2236" i="3"/>
  <c r="R2236" i="3" s="1"/>
  <c r="P2238" i="3" l="1"/>
  <c r="Q2237" i="3"/>
  <c r="R2237" i="3" s="1"/>
  <c r="A2238" i="3"/>
  <c r="S2237" i="3"/>
  <c r="A2239" i="3" l="1"/>
  <c r="S2238" i="3"/>
  <c r="P2239" i="3"/>
  <c r="Q2238" i="3"/>
  <c r="R2238" i="3" s="1"/>
  <c r="P2240" i="3" l="1"/>
  <c r="Q2239" i="3"/>
  <c r="R2239" i="3" s="1"/>
  <c r="A2240" i="3"/>
  <c r="S2239" i="3"/>
  <c r="A2241" i="3" l="1"/>
  <c r="S2240" i="3"/>
  <c r="P2241" i="3"/>
  <c r="Q2240" i="3"/>
  <c r="R2240" i="3" s="1"/>
  <c r="P2242" i="3" l="1"/>
  <c r="Q2241" i="3"/>
  <c r="R2241" i="3" s="1"/>
  <c r="A2242" i="3"/>
  <c r="S2241" i="3"/>
  <c r="A2243" i="3" l="1"/>
  <c r="S2242" i="3"/>
  <c r="P2243" i="3"/>
  <c r="Q2242" i="3"/>
  <c r="R2242" i="3" s="1"/>
  <c r="P2244" i="3" l="1"/>
  <c r="Q2243" i="3"/>
  <c r="R2243" i="3" s="1"/>
  <c r="A2244" i="3"/>
  <c r="S2243" i="3"/>
  <c r="A2245" i="3" l="1"/>
  <c r="S2244" i="3"/>
  <c r="P2245" i="3"/>
  <c r="Q2244" i="3"/>
  <c r="R2244" i="3" s="1"/>
  <c r="P2246" i="3" l="1"/>
  <c r="Q2245" i="3"/>
  <c r="R2245" i="3" s="1"/>
  <c r="A2246" i="3"/>
  <c r="S2245" i="3"/>
  <c r="A2247" i="3" l="1"/>
  <c r="S2246" i="3"/>
  <c r="P2247" i="3"/>
  <c r="Q2246" i="3"/>
  <c r="R2246" i="3" s="1"/>
  <c r="P2248" i="3" l="1"/>
  <c r="Q2247" i="3"/>
  <c r="R2247" i="3" s="1"/>
  <c r="A2248" i="3"/>
  <c r="S2247" i="3"/>
  <c r="A2249" i="3" l="1"/>
  <c r="S2248" i="3"/>
  <c r="P2249" i="3"/>
  <c r="Q2248" i="3"/>
  <c r="R2248" i="3" s="1"/>
  <c r="P2250" i="3" l="1"/>
  <c r="Q2249" i="3"/>
  <c r="R2249" i="3" s="1"/>
  <c r="A2250" i="3"/>
  <c r="S2249" i="3"/>
  <c r="A2251" i="3" l="1"/>
  <c r="S2250" i="3"/>
  <c r="P2251" i="3"/>
  <c r="Q2250" i="3"/>
  <c r="R2250" i="3" s="1"/>
  <c r="P2252" i="3" l="1"/>
  <c r="Q2251" i="3"/>
  <c r="R2251" i="3" s="1"/>
  <c r="A2252" i="3"/>
  <c r="S2251" i="3"/>
  <c r="A2253" i="3" l="1"/>
  <c r="S2252" i="3"/>
  <c r="P2253" i="3"/>
  <c r="Q2252" i="3"/>
  <c r="R2252" i="3" s="1"/>
  <c r="P2254" i="3" l="1"/>
  <c r="Q2253" i="3"/>
  <c r="R2253" i="3" s="1"/>
  <c r="A2254" i="3"/>
  <c r="S2253" i="3"/>
  <c r="A2255" i="3" l="1"/>
  <c r="S2254" i="3"/>
  <c r="P2255" i="3"/>
  <c r="Q2254" i="3"/>
  <c r="R2254" i="3" s="1"/>
  <c r="P2256" i="3" l="1"/>
  <c r="Q2255" i="3"/>
  <c r="R2255" i="3" s="1"/>
  <c r="A2256" i="3"/>
  <c r="S2255" i="3"/>
  <c r="A2257" i="3" l="1"/>
  <c r="S2256" i="3"/>
  <c r="P2257" i="3"/>
  <c r="Q2256" i="3"/>
  <c r="R2256" i="3" s="1"/>
  <c r="P2258" i="3" l="1"/>
  <c r="Q2257" i="3"/>
  <c r="R2257" i="3" s="1"/>
  <c r="A2258" i="3"/>
  <c r="S2257" i="3"/>
  <c r="A2259" i="3" l="1"/>
  <c r="S2258" i="3"/>
  <c r="P2259" i="3"/>
  <c r="Q2258" i="3"/>
  <c r="R2258" i="3" s="1"/>
  <c r="P2260" i="3" l="1"/>
  <c r="Q2259" i="3"/>
  <c r="R2259" i="3" s="1"/>
  <c r="A2260" i="3"/>
  <c r="S2259" i="3"/>
  <c r="A2261" i="3" l="1"/>
  <c r="S2260" i="3"/>
  <c r="P2261" i="3"/>
  <c r="Q2260" i="3"/>
  <c r="R2260" i="3" s="1"/>
  <c r="P2262" i="3" l="1"/>
  <c r="Q2261" i="3"/>
  <c r="R2261" i="3" s="1"/>
  <c r="A2262" i="3"/>
  <c r="S2261" i="3"/>
  <c r="A2263" i="3" l="1"/>
  <c r="S2262" i="3"/>
  <c r="P2263" i="3"/>
  <c r="Q2262" i="3"/>
  <c r="R2262" i="3" s="1"/>
  <c r="P2264" i="3" l="1"/>
  <c r="Q2263" i="3"/>
  <c r="R2263" i="3" s="1"/>
  <c r="A2264" i="3"/>
  <c r="S2263" i="3"/>
  <c r="A2265" i="3" l="1"/>
  <c r="S2264" i="3"/>
  <c r="P2265" i="3"/>
  <c r="Q2264" i="3"/>
  <c r="R2264" i="3" s="1"/>
  <c r="P2266" i="3" l="1"/>
  <c r="Q2265" i="3"/>
  <c r="R2265" i="3" s="1"/>
  <c r="A2266" i="3"/>
  <c r="S2265" i="3"/>
  <c r="A2267" i="3" l="1"/>
  <c r="S2266" i="3"/>
  <c r="P2267" i="3"/>
  <c r="Q2266" i="3"/>
  <c r="R2266" i="3" s="1"/>
  <c r="P2268" i="3" l="1"/>
  <c r="Q2267" i="3"/>
  <c r="R2267" i="3" s="1"/>
  <c r="A2268" i="3"/>
  <c r="S2267" i="3"/>
  <c r="A2269" i="3" l="1"/>
  <c r="S2268" i="3"/>
  <c r="P2269" i="3"/>
  <c r="Q2268" i="3"/>
  <c r="R2268" i="3" s="1"/>
  <c r="P2270" i="3" l="1"/>
  <c r="Q2269" i="3"/>
  <c r="R2269" i="3" s="1"/>
  <c r="A2270" i="3"/>
  <c r="S2269" i="3"/>
  <c r="A2271" i="3" l="1"/>
  <c r="S2270" i="3"/>
  <c r="P2271" i="3"/>
  <c r="Q2270" i="3"/>
  <c r="R2270" i="3" s="1"/>
  <c r="P2272" i="3" l="1"/>
  <c r="Q2271" i="3"/>
  <c r="R2271" i="3" s="1"/>
  <c r="A2272" i="3"/>
  <c r="S2271" i="3"/>
  <c r="A2273" i="3" l="1"/>
  <c r="S2272" i="3"/>
  <c r="P2273" i="3"/>
  <c r="Q2272" i="3"/>
  <c r="R2272" i="3" s="1"/>
  <c r="P2274" i="3" l="1"/>
  <c r="Q2273" i="3"/>
  <c r="R2273" i="3" s="1"/>
  <c r="A2274" i="3"/>
  <c r="S2273" i="3"/>
  <c r="A2275" i="3" l="1"/>
  <c r="S2274" i="3"/>
  <c r="P2275" i="3"/>
  <c r="Q2274" i="3"/>
  <c r="R2274" i="3" s="1"/>
  <c r="P2276" i="3" l="1"/>
  <c r="Q2275" i="3"/>
  <c r="R2275" i="3" s="1"/>
  <c r="A2276" i="3"/>
  <c r="S2275" i="3"/>
  <c r="A2277" i="3" l="1"/>
  <c r="S2276" i="3"/>
  <c r="P2277" i="3"/>
  <c r="Q2276" i="3"/>
  <c r="R2276" i="3" s="1"/>
  <c r="P2278" i="3" l="1"/>
  <c r="Q2277" i="3"/>
  <c r="R2277" i="3" s="1"/>
  <c r="A2278" i="3"/>
  <c r="S2277" i="3"/>
  <c r="A2279" i="3" l="1"/>
  <c r="S2278" i="3"/>
  <c r="P2279" i="3"/>
  <c r="Q2278" i="3"/>
  <c r="R2278" i="3" s="1"/>
  <c r="P2280" i="3" l="1"/>
  <c r="Q2279" i="3"/>
  <c r="R2279" i="3" s="1"/>
  <c r="A2280" i="3"/>
  <c r="S2279" i="3"/>
  <c r="A2281" i="3" l="1"/>
  <c r="S2280" i="3"/>
  <c r="P2281" i="3"/>
  <c r="Q2280" i="3"/>
  <c r="R2280" i="3" s="1"/>
  <c r="P2282" i="3" l="1"/>
  <c r="Q2281" i="3"/>
  <c r="R2281" i="3" s="1"/>
  <c r="A2282" i="3"/>
  <c r="S2281" i="3"/>
  <c r="A2283" i="3" l="1"/>
  <c r="S2282" i="3"/>
  <c r="P2283" i="3"/>
  <c r="Q2282" i="3"/>
  <c r="R2282" i="3" s="1"/>
  <c r="P2284" i="3" l="1"/>
  <c r="Q2283" i="3"/>
  <c r="R2283" i="3" s="1"/>
  <c r="A2284" i="3"/>
  <c r="S2283" i="3"/>
  <c r="A2285" i="3" l="1"/>
  <c r="S2284" i="3"/>
  <c r="P2285" i="3"/>
  <c r="Q2284" i="3"/>
  <c r="R2284" i="3" s="1"/>
  <c r="P2286" i="3" l="1"/>
  <c r="Q2285" i="3"/>
  <c r="R2285" i="3" s="1"/>
  <c r="A2286" i="3"/>
  <c r="S2285" i="3"/>
  <c r="A2287" i="3" l="1"/>
  <c r="S2286" i="3"/>
  <c r="P2287" i="3"/>
  <c r="Q2286" i="3"/>
  <c r="R2286" i="3" s="1"/>
  <c r="P2288" i="3" l="1"/>
  <c r="Q2287" i="3"/>
  <c r="R2287" i="3" s="1"/>
  <c r="A2288" i="3"/>
  <c r="S2287" i="3"/>
  <c r="A2289" i="3" l="1"/>
  <c r="S2288" i="3"/>
  <c r="P2289" i="3"/>
  <c r="Q2288" i="3"/>
  <c r="R2288" i="3" s="1"/>
  <c r="P2290" i="3" l="1"/>
  <c r="Q2289" i="3"/>
  <c r="R2289" i="3" s="1"/>
  <c r="A2290" i="3"/>
  <c r="S2289" i="3"/>
  <c r="A2291" i="3" l="1"/>
  <c r="S2290" i="3"/>
  <c r="P2291" i="3"/>
  <c r="Q2290" i="3"/>
  <c r="R2290" i="3" s="1"/>
  <c r="P2292" i="3" l="1"/>
  <c r="Q2291" i="3"/>
  <c r="R2291" i="3" s="1"/>
  <c r="A2292" i="3"/>
  <c r="S2291" i="3"/>
  <c r="A2293" i="3" l="1"/>
  <c r="S2292" i="3"/>
  <c r="P2293" i="3"/>
  <c r="Q2292" i="3"/>
  <c r="R2292" i="3" s="1"/>
  <c r="P2294" i="3" l="1"/>
  <c r="Q2293" i="3"/>
  <c r="R2293" i="3" s="1"/>
  <c r="A2294" i="3"/>
  <c r="S2293" i="3"/>
  <c r="A2295" i="3" l="1"/>
  <c r="S2294" i="3"/>
  <c r="P2295" i="3"/>
  <c r="Q2294" i="3"/>
  <c r="R2294" i="3" s="1"/>
  <c r="P2296" i="3" l="1"/>
  <c r="Q2295" i="3"/>
  <c r="R2295" i="3" s="1"/>
  <c r="A2296" i="3"/>
  <c r="S2295" i="3"/>
  <c r="A2297" i="3" l="1"/>
  <c r="S2296" i="3"/>
  <c r="P2297" i="3"/>
  <c r="Q2296" i="3"/>
  <c r="R2296" i="3" s="1"/>
  <c r="P2298" i="3" l="1"/>
  <c r="Q2297" i="3"/>
  <c r="R2297" i="3" s="1"/>
  <c r="A2298" i="3"/>
  <c r="S2297" i="3"/>
  <c r="A2299" i="3" l="1"/>
  <c r="S2298" i="3"/>
  <c r="P2299" i="3"/>
  <c r="Q2298" i="3"/>
  <c r="R2298" i="3" s="1"/>
  <c r="P2300" i="3" l="1"/>
  <c r="Q2299" i="3"/>
  <c r="R2299" i="3" s="1"/>
  <c r="A2300" i="3"/>
  <c r="S2299" i="3"/>
  <c r="A2301" i="3" l="1"/>
  <c r="S2300" i="3"/>
  <c r="P2301" i="3"/>
  <c r="Q2300" i="3"/>
  <c r="R2300" i="3" s="1"/>
  <c r="P2302" i="3" l="1"/>
  <c r="Q2301" i="3"/>
  <c r="R2301" i="3" s="1"/>
  <c r="A2302" i="3"/>
  <c r="S2301" i="3"/>
  <c r="A2303" i="3" l="1"/>
  <c r="S2302" i="3"/>
  <c r="P2303" i="3"/>
  <c r="Q2302" i="3"/>
  <c r="R2302" i="3" s="1"/>
  <c r="P2304" i="3" l="1"/>
  <c r="Q2303" i="3"/>
  <c r="R2303" i="3" s="1"/>
  <c r="A2304" i="3"/>
  <c r="S2303" i="3"/>
  <c r="A2305" i="3" l="1"/>
  <c r="S2304" i="3"/>
  <c r="P2305" i="3"/>
  <c r="Q2304" i="3"/>
  <c r="R2304" i="3" s="1"/>
  <c r="P2306" i="3" l="1"/>
  <c r="Q2305" i="3"/>
  <c r="R2305" i="3" s="1"/>
  <c r="A2306" i="3"/>
  <c r="S2305" i="3"/>
  <c r="A2307" i="3" l="1"/>
  <c r="S2306" i="3"/>
  <c r="P2307" i="3"/>
  <c r="Q2306" i="3"/>
  <c r="R2306" i="3" s="1"/>
  <c r="P2308" i="3" l="1"/>
  <c r="Q2307" i="3"/>
  <c r="R2307" i="3" s="1"/>
  <c r="A2308" i="3"/>
  <c r="S2307" i="3"/>
  <c r="A2309" i="3" l="1"/>
  <c r="S2308" i="3"/>
  <c r="P2309" i="3"/>
  <c r="Q2308" i="3"/>
  <c r="R2308" i="3" s="1"/>
  <c r="P2310" i="3" l="1"/>
  <c r="Q2309" i="3"/>
  <c r="R2309" i="3" s="1"/>
  <c r="A2310" i="3"/>
  <c r="S2309" i="3"/>
  <c r="A2311" i="3" l="1"/>
  <c r="S2310" i="3"/>
  <c r="P2311" i="3"/>
  <c r="Q2310" i="3"/>
  <c r="R2310" i="3" s="1"/>
  <c r="P2312" i="3" l="1"/>
  <c r="Q2311" i="3"/>
  <c r="R2311" i="3" s="1"/>
  <c r="A2312" i="3"/>
  <c r="S2311" i="3"/>
  <c r="A2313" i="3" l="1"/>
  <c r="S2312" i="3"/>
  <c r="P2313" i="3"/>
  <c r="Q2312" i="3"/>
  <c r="R2312" i="3" s="1"/>
  <c r="P2314" i="3" l="1"/>
  <c r="Q2313" i="3"/>
  <c r="R2313" i="3" s="1"/>
  <c r="A2314" i="3"/>
  <c r="S2313" i="3"/>
  <c r="A2315" i="3" l="1"/>
  <c r="S2314" i="3"/>
  <c r="P2315" i="3"/>
  <c r="Q2314" i="3"/>
  <c r="R2314" i="3" s="1"/>
  <c r="P2316" i="3" l="1"/>
  <c r="Q2315" i="3"/>
  <c r="R2315" i="3" s="1"/>
  <c r="A2316" i="3"/>
  <c r="S2315" i="3"/>
  <c r="A2317" i="3" l="1"/>
  <c r="S2316" i="3"/>
  <c r="P2317" i="3"/>
  <c r="Q2316" i="3"/>
  <c r="R2316" i="3" s="1"/>
  <c r="P2318" i="3" l="1"/>
  <c r="Q2317" i="3"/>
  <c r="R2317" i="3" s="1"/>
  <c r="A2318" i="3"/>
  <c r="S2317" i="3"/>
  <c r="A2319" i="3" l="1"/>
  <c r="S2318" i="3"/>
  <c r="P2319" i="3"/>
  <c r="Q2318" i="3"/>
  <c r="R2318" i="3" s="1"/>
  <c r="P2320" i="3" l="1"/>
  <c r="Q2319" i="3"/>
  <c r="R2319" i="3" s="1"/>
  <c r="A2320" i="3"/>
  <c r="S2319" i="3"/>
  <c r="A2321" i="3" l="1"/>
  <c r="S2320" i="3"/>
  <c r="P2321" i="3"/>
  <c r="Q2320" i="3"/>
  <c r="R2320" i="3" s="1"/>
  <c r="P2322" i="3" l="1"/>
  <c r="Q2321" i="3"/>
  <c r="R2321" i="3" s="1"/>
  <c r="A2322" i="3"/>
  <c r="S2321" i="3"/>
  <c r="A2323" i="3" l="1"/>
  <c r="S2322" i="3"/>
  <c r="P2323" i="3"/>
  <c r="Q2322" i="3"/>
  <c r="R2322" i="3" s="1"/>
  <c r="P2324" i="3" l="1"/>
  <c r="Q2323" i="3"/>
  <c r="R2323" i="3" s="1"/>
  <c r="A2324" i="3"/>
  <c r="S2323" i="3"/>
  <c r="A2325" i="3" l="1"/>
  <c r="S2324" i="3"/>
  <c r="P2325" i="3"/>
  <c r="Q2324" i="3"/>
  <c r="R2324" i="3" s="1"/>
  <c r="P2326" i="3" l="1"/>
  <c r="Q2325" i="3"/>
  <c r="R2325" i="3" s="1"/>
  <c r="A2326" i="3"/>
  <c r="S2325" i="3"/>
  <c r="A2327" i="3" l="1"/>
  <c r="S2326" i="3"/>
  <c r="P2327" i="3"/>
  <c r="Q2326" i="3"/>
  <c r="R2326" i="3" s="1"/>
  <c r="P2328" i="3" l="1"/>
  <c r="Q2327" i="3"/>
  <c r="R2327" i="3" s="1"/>
  <c r="A2328" i="3"/>
  <c r="S2327" i="3"/>
  <c r="A2329" i="3" l="1"/>
  <c r="S2328" i="3"/>
  <c r="P2329" i="3"/>
  <c r="Q2328" i="3"/>
  <c r="R2328" i="3" s="1"/>
  <c r="P2330" i="3" l="1"/>
  <c r="Q2329" i="3"/>
  <c r="R2329" i="3" s="1"/>
  <c r="A2330" i="3"/>
  <c r="S2329" i="3"/>
  <c r="A2331" i="3" l="1"/>
  <c r="S2330" i="3"/>
  <c r="P2331" i="3"/>
  <c r="Q2330" i="3"/>
  <c r="R2330" i="3" s="1"/>
  <c r="P2332" i="3" l="1"/>
  <c r="Q2331" i="3"/>
  <c r="R2331" i="3" s="1"/>
  <c r="A2332" i="3"/>
  <c r="S2331" i="3"/>
  <c r="A2333" i="3" l="1"/>
  <c r="S2332" i="3"/>
  <c r="P2333" i="3"/>
  <c r="Q2332" i="3"/>
  <c r="R2332" i="3" s="1"/>
  <c r="P2334" i="3" l="1"/>
  <c r="Q2333" i="3"/>
  <c r="R2333" i="3" s="1"/>
  <c r="A2334" i="3"/>
  <c r="S2333" i="3"/>
  <c r="A2335" i="3" l="1"/>
  <c r="S2334" i="3"/>
  <c r="P2335" i="3"/>
  <c r="Q2334" i="3"/>
  <c r="R2334" i="3" s="1"/>
  <c r="P2336" i="3" l="1"/>
  <c r="Q2335" i="3"/>
  <c r="R2335" i="3" s="1"/>
  <c r="A2336" i="3"/>
  <c r="S2335" i="3"/>
  <c r="A2337" i="3" l="1"/>
  <c r="S2336" i="3"/>
  <c r="P2337" i="3"/>
  <c r="Q2336" i="3"/>
  <c r="R2336" i="3" s="1"/>
  <c r="P2338" i="3" l="1"/>
  <c r="Q2337" i="3"/>
  <c r="R2337" i="3" s="1"/>
  <c r="A2338" i="3"/>
  <c r="S2337" i="3"/>
  <c r="A2339" i="3" l="1"/>
  <c r="S2338" i="3"/>
  <c r="P2339" i="3"/>
  <c r="Q2338" i="3"/>
  <c r="R2338" i="3" s="1"/>
  <c r="P2340" i="3" l="1"/>
  <c r="Q2339" i="3"/>
  <c r="R2339" i="3" s="1"/>
  <c r="A2340" i="3"/>
  <c r="S2339" i="3"/>
  <c r="A2341" i="3" l="1"/>
  <c r="S2340" i="3"/>
  <c r="P2341" i="3"/>
  <c r="Q2340" i="3"/>
  <c r="R2340" i="3" s="1"/>
  <c r="P2342" i="3" l="1"/>
  <c r="Q2341" i="3"/>
  <c r="R2341" i="3" s="1"/>
  <c r="A2342" i="3"/>
  <c r="S2341" i="3"/>
  <c r="A2343" i="3" l="1"/>
  <c r="S2342" i="3"/>
  <c r="P2343" i="3"/>
  <c r="Q2342" i="3"/>
  <c r="R2342" i="3" s="1"/>
  <c r="P2344" i="3" l="1"/>
  <c r="Q2343" i="3"/>
  <c r="R2343" i="3" s="1"/>
  <c r="A2344" i="3"/>
  <c r="S2343" i="3"/>
  <c r="A2345" i="3" l="1"/>
  <c r="S2344" i="3"/>
  <c r="P2345" i="3"/>
  <c r="Q2344" i="3"/>
  <c r="R2344" i="3" s="1"/>
  <c r="P2346" i="3" l="1"/>
  <c r="Q2345" i="3"/>
  <c r="R2345" i="3" s="1"/>
  <c r="A2346" i="3"/>
  <c r="S2345" i="3"/>
  <c r="A2347" i="3" l="1"/>
  <c r="S2346" i="3"/>
  <c r="P2347" i="3"/>
  <c r="Q2346" i="3"/>
  <c r="R2346" i="3" s="1"/>
  <c r="P2348" i="3" l="1"/>
  <c r="Q2347" i="3"/>
  <c r="R2347" i="3" s="1"/>
  <c r="A2348" i="3"/>
  <c r="S2347" i="3"/>
  <c r="A2349" i="3" l="1"/>
  <c r="S2348" i="3"/>
  <c r="P2349" i="3"/>
  <c r="Q2348" i="3"/>
  <c r="R2348" i="3" s="1"/>
  <c r="P2350" i="3" l="1"/>
  <c r="Q2349" i="3"/>
  <c r="R2349" i="3" s="1"/>
  <c r="A2350" i="3"/>
  <c r="S2349" i="3"/>
  <c r="A2351" i="3" l="1"/>
  <c r="S2350" i="3"/>
  <c r="P2351" i="3"/>
  <c r="Q2350" i="3"/>
  <c r="R2350" i="3" s="1"/>
  <c r="P2352" i="3" l="1"/>
  <c r="Q2351" i="3"/>
  <c r="R2351" i="3" s="1"/>
  <c r="A2352" i="3"/>
  <c r="S2351" i="3"/>
  <c r="A2353" i="3" l="1"/>
  <c r="S2352" i="3"/>
  <c r="P2353" i="3"/>
  <c r="Q2352" i="3"/>
  <c r="R2352" i="3" s="1"/>
  <c r="P2354" i="3" l="1"/>
  <c r="Q2353" i="3"/>
  <c r="R2353" i="3" s="1"/>
  <c r="A2354" i="3"/>
  <c r="S2353" i="3"/>
  <c r="A2355" i="3" l="1"/>
  <c r="S2354" i="3"/>
  <c r="P2355" i="3"/>
  <c r="Q2354" i="3"/>
  <c r="R2354" i="3" s="1"/>
  <c r="P2356" i="3" l="1"/>
  <c r="Q2355" i="3"/>
  <c r="R2355" i="3" s="1"/>
  <c r="A2356" i="3"/>
  <c r="S2355" i="3"/>
  <c r="A2357" i="3" l="1"/>
  <c r="S2356" i="3"/>
  <c r="P2357" i="3"/>
  <c r="Q2356" i="3"/>
  <c r="R2356" i="3" s="1"/>
  <c r="P2358" i="3" l="1"/>
  <c r="Q2357" i="3"/>
  <c r="R2357" i="3" s="1"/>
  <c r="A2358" i="3"/>
  <c r="S2357" i="3"/>
  <c r="A2359" i="3" l="1"/>
  <c r="S2358" i="3"/>
  <c r="P2359" i="3"/>
  <c r="Q2358" i="3"/>
  <c r="R2358" i="3" s="1"/>
  <c r="P2360" i="3" l="1"/>
  <c r="Q2359" i="3"/>
  <c r="R2359" i="3" s="1"/>
  <c r="A2360" i="3"/>
  <c r="S2359" i="3"/>
  <c r="A2361" i="3" l="1"/>
  <c r="S2360" i="3"/>
  <c r="P2361" i="3"/>
  <c r="Q2360" i="3"/>
  <c r="R2360" i="3" s="1"/>
  <c r="P2362" i="3" l="1"/>
  <c r="Q2361" i="3"/>
  <c r="R2361" i="3" s="1"/>
  <c r="A2362" i="3"/>
  <c r="S2361" i="3"/>
  <c r="A2363" i="3" l="1"/>
  <c r="S2362" i="3"/>
  <c r="P2363" i="3"/>
  <c r="Q2362" i="3"/>
  <c r="R2362" i="3" s="1"/>
  <c r="P2364" i="3" l="1"/>
  <c r="Q2363" i="3"/>
  <c r="R2363" i="3" s="1"/>
  <c r="A2364" i="3"/>
  <c r="S2363" i="3"/>
  <c r="A2365" i="3" l="1"/>
  <c r="S2364" i="3"/>
  <c r="P2365" i="3"/>
  <c r="Q2364" i="3"/>
  <c r="R2364" i="3" s="1"/>
  <c r="P2366" i="3" l="1"/>
  <c r="Q2365" i="3"/>
  <c r="R2365" i="3" s="1"/>
  <c r="A2366" i="3"/>
  <c r="S2365" i="3"/>
  <c r="A2367" i="3" l="1"/>
  <c r="S2366" i="3"/>
  <c r="P2367" i="3"/>
  <c r="Q2366" i="3"/>
  <c r="R2366" i="3" s="1"/>
  <c r="P2368" i="3" l="1"/>
  <c r="Q2367" i="3"/>
  <c r="R2367" i="3" s="1"/>
  <c r="A2368" i="3"/>
  <c r="S2367" i="3"/>
  <c r="A2369" i="3" l="1"/>
  <c r="S2368" i="3"/>
  <c r="P2369" i="3"/>
  <c r="Q2368" i="3"/>
  <c r="R2368" i="3" s="1"/>
  <c r="P2370" i="3" l="1"/>
  <c r="Q2369" i="3"/>
  <c r="R2369" i="3" s="1"/>
  <c r="A2370" i="3"/>
  <c r="S2369" i="3"/>
  <c r="A2371" i="3" l="1"/>
  <c r="S2370" i="3"/>
  <c r="P2371" i="3"/>
  <c r="Q2370" i="3"/>
  <c r="R2370" i="3" s="1"/>
  <c r="P2372" i="3" l="1"/>
  <c r="Q2371" i="3"/>
  <c r="R2371" i="3" s="1"/>
  <c r="A2372" i="3"/>
  <c r="S2371" i="3"/>
  <c r="A2373" i="3" l="1"/>
  <c r="S2372" i="3"/>
  <c r="P2373" i="3"/>
  <c r="Q2372" i="3"/>
  <c r="R2372" i="3" s="1"/>
  <c r="P2374" i="3" l="1"/>
  <c r="Q2373" i="3"/>
  <c r="R2373" i="3" s="1"/>
  <c r="A2374" i="3"/>
  <c r="S2373" i="3"/>
  <c r="A2375" i="3" l="1"/>
  <c r="S2374" i="3"/>
  <c r="P2375" i="3"/>
  <c r="Q2374" i="3"/>
  <c r="R2374" i="3" s="1"/>
  <c r="P2376" i="3" l="1"/>
  <c r="Q2375" i="3"/>
  <c r="R2375" i="3" s="1"/>
  <c r="A2376" i="3"/>
  <c r="S2375" i="3"/>
  <c r="A2377" i="3" l="1"/>
  <c r="S2376" i="3"/>
  <c r="P2377" i="3"/>
  <c r="Q2376" i="3"/>
  <c r="R2376" i="3" s="1"/>
  <c r="P2378" i="3" l="1"/>
  <c r="Q2377" i="3"/>
  <c r="R2377" i="3" s="1"/>
  <c r="A2378" i="3"/>
  <c r="S2377" i="3"/>
  <c r="A2379" i="3" l="1"/>
  <c r="S2378" i="3"/>
  <c r="P2379" i="3"/>
  <c r="Q2378" i="3"/>
  <c r="R2378" i="3" s="1"/>
  <c r="P2380" i="3" l="1"/>
  <c r="A2380" i="3"/>
  <c r="S2379" i="3"/>
  <c r="Q2379" i="3"/>
  <c r="R2379" i="3" s="1"/>
  <c r="A2381" i="3" l="1"/>
  <c r="S2380" i="3"/>
  <c r="P2381" i="3"/>
  <c r="Q2380" i="3"/>
  <c r="R2380" i="3" s="1"/>
  <c r="P2382" i="3" l="1"/>
  <c r="S2381" i="3"/>
  <c r="Q2381" i="3"/>
  <c r="R2381" i="3" s="1"/>
  <c r="A2382" i="3"/>
  <c r="A2383" i="3" l="1"/>
  <c r="P2383" i="3"/>
  <c r="Q2382" i="3"/>
  <c r="R2382" i="3" s="1"/>
  <c r="S2382" i="3"/>
  <c r="P2384" i="3" l="1"/>
  <c r="Q2383" i="3"/>
  <c r="R2383" i="3" s="1"/>
  <c r="A2384" i="3"/>
  <c r="S2383" i="3"/>
  <c r="A2385" i="3" l="1"/>
  <c r="P2385" i="3"/>
  <c r="Q2384" i="3"/>
  <c r="R2384" i="3" s="1"/>
  <c r="S2384" i="3"/>
  <c r="P2386" i="3" l="1"/>
  <c r="A2386" i="3"/>
  <c r="S2385" i="3"/>
  <c r="Q2385" i="3"/>
  <c r="R2385" i="3" s="1"/>
  <c r="A2387" i="3" l="1"/>
  <c r="S2386" i="3"/>
  <c r="P2387" i="3"/>
  <c r="Q2386" i="3"/>
  <c r="R2386" i="3" s="1"/>
  <c r="P2388" i="3" l="1"/>
  <c r="A2388" i="3"/>
  <c r="S2387" i="3"/>
  <c r="Q2387" i="3"/>
  <c r="R2387" i="3" s="1"/>
  <c r="A2389" i="3" l="1"/>
  <c r="S2388" i="3"/>
  <c r="P2389" i="3"/>
  <c r="Q2388" i="3"/>
  <c r="R2388" i="3" s="1"/>
  <c r="P2390" i="3" l="1"/>
  <c r="S2389" i="3"/>
  <c r="Q2389" i="3"/>
  <c r="R2389" i="3" s="1"/>
  <c r="A2390" i="3"/>
  <c r="A2391" i="3" l="1"/>
  <c r="P2391" i="3"/>
  <c r="Q2390" i="3"/>
  <c r="R2390" i="3" s="1"/>
  <c r="S2390" i="3"/>
  <c r="P2392" i="3" l="1"/>
  <c r="Q2391" i="3"/>
  <c r="R2391" i="3" s="1"/>
  <c r="A2392" i="3"/>
  <c r="S2391" i="3"/>
  <c r="A2393" i="3" l="1"/>
  <c r="P2393" i="3"/>
  <c r="Q2392" i="3"/>
  <c r="R2392" i="3" s="1"/>
  <c r="S2392" i="3"/>
  <c r="P2394" i="3" l="1"/>
  <c r="A2394" i="3"/>
  <c r="S2393" i="3"/>
  <c r="Q2393" i="3"/>
  <c r="R2393" i="3" s="1"/>
  <c r="A2395" i="3" l="1"/>
  <c r="S2394" i="3"/>
  <c r="Q2394" i="3"/>
  <c r="R2394" i="3" s="1"/>
  <c r="P2395" i="3"/>
  <c r="P2396" i="3" l="1"/>
  <c r="A2396" i="3"/>
  <c r="S2395" i="3"/>
  <c r="Q2395" i="3"/>
  <c r="R2395" i="3" s="1"/>
  <c r="A2397" i="3" l="1"/>
  <c r="S2396" i="3"/>
  <c r="P2397" i="3"/>
  <c r="Q2396" i="3"/>
  <c r="R2396" i="3" s="1"/>
  <c r="P2398" i="3" l="1"/>
  <c r="S2397" i="3"/>
  <c r="Q2397" i="3"/>
  <c r="R2397" i="3" s="1"/>
  <c r="A2398" i="3"/>
  <c r="A2399" i="3" l="1"/>
  <c r="P2399" i="3"/>
  <c r="Q2398" i="3"/>
  <c r="R2398" i="3" s="1"/>
  <c r="S2398" i="3"/>
  <c r="P2400" i="3" l="1"/>
  <c r="A2400" i="3"/>
  <c r="Q2399" i="3"/>
  <c r="R2399" i="3" s="1"/>
  <c r="S2399" i="3"/>
  <c r="A2401" i="3" l="1"/>
  <c r="P2401" i="3"/>
  <c r="S2400" i="3"/>
  <c r="Q2400" i="3"/>
  <c r="R2400" i="3" s="1"/>
  <c r="P2402" i="3" l="1"/>
  <c r="A2402" i="3"/>
  <c r="S2401" i="3"/>
  <c r="Q2401" i="3"/>
  <c r="R2401" i="3" s="1"/>
  <c r="A2403" i="3" l="1"/>
  <c r="P2403" i="3"/>
  <c r="S2402" i="3"/>
  <c r="Q2402" i="3"/>
  <c r="R2402" i="3" s="1"/>
  <c r="P2404" i="3" l="1"/>
  <c r="A2404" i="3"/>
  <c r="Q2403" i="3"/>
  <c r="R2403" i="3" s="1"/>
  <c r="S2403" i="3"/>
  <c r="A2405" i="3" l="1"/>
  <c r="P2405" i="3"/>
  <c r="S2404" i="3"/>
  <c r="Q2404" i="3"/>
  <c r="R2404" i="3" s="1"/>
  <c r="P2406" i="3" l="1"/>
  <c r="A2406" i="3"/>
  <c r="S2405" i="3"/>
  <c r="Q2405" i="3"/>
  <c r="R2405" i="3" s="1"/>
  <c r="A2407" i="3" l="1"/>
  <c r="P2407" i="3"/>
  <c r="S2406" i="3"/>
  <c r="Q2406" i="3"/>
  <c r="R2406" i="3" s="1"/>
  <c r="P2408" i="3" l="1"/>
  <c r="A2408" i="3"/>
  <c r="Q2407" i="3"/>
  <c r="R2407" i="3" s="1"/>
  <c r="S2407" i="3"/>
  <c r="A2409" i="3" l="1"/>
  <c r="P2409" i="3"/>
  <c r="S2408" i="3"/>
  <c r="Q2408" i="3"/>
  <c r="R2408" i="3" s="1"/>
  <c r="P2410" i="3" l="1"/>
  <c r="A2410" i="3"/>
  <c r="S2409" i="3"/>
  <c r="Q2409" i="3"/>
  <c r="R2409" i="3" s="1"/>
  <c r="A2411" i="3" l="1"/>
  <c r="P2411" i="3"/>
  <c r="S2410" i="3"/>
  <c r="Q2410" i="3"/>
  <c r="R2410" i="3" s="1"/>
  <c r="P2412" i="3" l="1"/>
  <c r="A2412" i="3"/>
  <c r="Q2411" i="3"/>
  <c r="R2411" i="3" s="1"/>
  <c r="S2411" i="3"/>
  <c r="A2413" i="3" l="1"/>
  <c r="P2413" i="3"/>
  <c r="S2412" i="3"/>
  <c r="Q2412" i="3"/>
  <c r="R2412" i="3" s="1"/>
  <c r="P2414" i="3" l="1"/>
  <c r="A2414" i="3"/>
  <c r="S2413" i="3"/>
  <c r="Q2413" i="3"/>
  <c r="R2413" i="3" s="1"/>
  <c r="A2415" i="3" l="1"/>
  <c r="P2415" i="3"/>
  <c r="S2414" i="3"/>
  <c r="Q2414" i="3"/>
  <c r="R2414" i="3" s="1"/>
  <c r="P2416" i="3" l="1"/>
  <c r="A2416" i="3"/>
  <c r="Q2415" i="3"/>
  <c r="R2415" i="3" s="1"/>
  <c r="S2415" i="3"/>
  <c r="A2417" i="3" l="1"/>
  <c r="P2417" i="3"/>
  <c r="S2416" i="3"/>
  <c r="Q2416" i="3"/>
  <c r="R2416" i="3" s="1"/>
  <c r="P2418" i="3" l="1"/>
  <c r="A2418" i="3"/>
  <c r="S2417" i="3"/>
  <c r="Q2417" i="3"/>
  <c r="R2417" i="3" s="1"/>
  <c r="A2419" i="3" l="1"/>
  <c r="P2419" i="3"/>
  <c r="S2418" i="3"/>
  <c r="Q2418" i="3"/>
  <c r="R2418" i="3" s="1"/>
  <c r="P2420" i="3" l="1"/>
  <c r="A2420" i="3"/>
  <c r="Q2419" i="3"/>
  <c r="R2419" i="3" s="1"/>
  <c r="S2419" i="3"/>
  <c r="A2421" i="3" l="1"/>
  <c r="P2421" i="3"/>
  <c r="S2420" i="3"/>
  <c r="Q2420" i="3"/>
  <c r="R2420" i="3" s="1"/>
  <c r="P2422" i="3" l="1"/>
  <c r="A2422" i="3"/>
  <c r="S2421" i="3"/>
  <c r="Q2421" i="3"/>
  <c r="R2421" i="3" s="1"/>
  <c r="A2423" i="3" l="1"/>
  <c r="P2423" i="3"/>
  <c r="S2422" i="3"/>
  <c r="Q2422" i="3"/>
  <c r="R2422" i="3" s="1"/>
  <c r="P2424" i="3" l="1"/>
  <c r="A2424" i="3"/>
  <c r="Q2423" i="3"/>
  <c r="R2423" i="3" s="1"/>
  <c r="S2423" i="3"/>
  <c r="A2425" i="3" l="1"/>
  <c r="P2425" i="3"/>
  <c r="S2424" i="3"/>
  <c r="Q2424" i="3"/>
  <c r="R2424" i="3" s="1"/>
  <c r="A2427" i="3" l="1"/>
  <c r="P2426" i="3"/>
  <c r="A2426" i="3"/>
  <c r="S2425" i="3"/>
  <c r="Q2425" i="3"/>
  <c r="R2425" i="3" s="1"/>
  <c r="P2427" i="3" l="1"/>
  <c r="S2426" i="3"/>
  <c r="Q2426" i="3"/>
  <c r="R2426" i="3" s="1"/>
  <c r="P2428" i="3" l="1"/>
  <c r="A2428" i="3"/>
  <c r="Q2427" i="3"/>
  <c r="R2427" i="3" s="1"/>
  <c r="S2427" i="3"/>
  <c r="A2429" i="3" l="1"/>
  <c r="P2429" i="3"/>
  <c r="S2428" i="3"/>
  <c r="Q2428" i="3"/>
  <c r="R2428" i="3" s="1"/>
  <c r="P2430" i="3" l="1"/>
  <c r="A2430" i="3"/>
  <c r="S2429" i="3"/>
  <c r="Q2429" i="3"/>
  <c r="R2429" i="3" s="1"/>
  <c r="A2431" i="3" l="1"/>
  <c r="P2431" i="3"/>
  <c r="S2430" i="3"/>
  <c r="Q2430" i="3"/>
  <c r="R2430" i="3" s="1"/>
  <c r="P2432" i="3" l="1"/>
  <c r="A2432" i="3"/>
  <c r="Q2431" i="3"/>
  <c r="R2431" i="3" s="1"/>
  <c r="S2431" i="3"/>
  <c r="A2433" i="3" l="1"/>
  <c r="P2433" i="3"/>
  <c r="S2432" i="3"/>
  <c r="Q2432" i="3"/>
  <c r="R2432" i="3" s="1"/>
  <c r="P2434" i="3" l="1"/>
  <c r="A2434" i="3"/>
  <c r="S2433" i="3"/>
  <c r="Q2433" i="3"/>
  <c r="R2433" i="3" s="1"/>
  <c r="A2435" i="3" l="1"/>
  <c r="P2435" i="3"/>
  <c r="S2434" i="3"/>
  <c r="Q2434" i="3"/>
  <c r="R2434" i="3" s="1"/>
  <c r="P2436" i="3" l="1"/>
  <c r="A2436" i="3"/>
  <c r="Q2435" i="3"/>
  <c r="R2435" i="3" s="1"/>
  <c r="S2435" i="3"/>
  <c r="A2437" i="3" l="1"/>
  <c r="P2437" i="3"/>
  <c r="S2436" i="3"/>
  <c r="Q2436" i="3"/>
  <c r="R2436" i="3" s="1"/>
  <c r="P2438" i="3" l="1"/>
  <c r="A2438" i="3"/>
  <c r="S2437" i="3"/>
  <c r="Q2437" i="3"/>
  <c r="R2437" i="3" s="1"/>
  <c r="A2439" i="3" l="1"/>
  <c r="P2439" i="3"/>
  <c r="S2438" i="3"/>
  <c r="Q2438" i="3"/>
  <c r="R2438" i="3" s="1"/>
  <c r="P2440" i="3" l="1"/>
  <c r="A2440" i="3"/>
  <c r="Q2439" i="3"/>
  <c r="R2439" i="3" s="1"/>
  <c r="S2439" i="3"/>
  <c r="A2441" i="3" l="1"/>
  <c r="P2441" i="3"/>
  <c r="S2440" i="3"/>
  <c r="Q2440" i="3"/>
  <c r="R2440" i="3" s="1"/>
  <c r="P2442" i="3" l="1"/>
  <c r="A2442" i="3"/>
  <c r="S2441" i="3"/>
  <c r="Q2441" i="3"/>
  <c r="R2441" i="3" s="1"/>
  <c r="A2443" i="3" l="1"/>
  <c r="P2443" i="3"/>
  <c r="S2442" i="3"/>
  <c r="Q2442" i="3"/>
  <c r="R2442" i="3" s="1"/>
  <c r="P2444" i="3" l="1"/>
  <c r="A2444" i="3"/>
  <c r="Q2443" i="3"/>
  <c r="R2443" i="3" s="1"/>
  <c r="S2443" i="3"/>
  <c r="A2445" i="3" l="1"/>
  <c r="P2445" i="3"/>
  <c r="S2444" i="3"/>
  <c r="Q2444" i="3"/>
  <c r="R2444" i="3" s="1"/>
  <c r="P2446" i="3" l="1"/>
  <c r="A2446" i="3"/>
  <c r="S2445" i="3"/>
  <c r="Q2445" i="3"/>
  <c r="R2445" i="3" s="1"/>
  <c r="A2447" i="3" l="1"/>
  <c r="P2447" i="3"/>
  <c r="S2446" i="3"/>
  <c r="Q2446" i="3"/>
  <c r="R2446" i="3" s="1"/>
  <c r="P2448" i="3" l="1"/>
  <c r="A2448" i="3"/>
  <c r="Q2447" i="3"/>
  <c r="R2447" i="3" s="1"/>
  <c r="S2447" i="3"/>
  <c r="A2449" i="3" l="1"/>
  <c r="P2449" i="3"/>
  <c r="S2448" i="3"/>
  <c r="Q2448" i="3"/>
  <c r="R2448" i="3" s="1"/>
  <c r="P2450" i="3" l="1"/>
  <c r="A2450" i="3"/>
  <c r="S2449" i="3"/>
  <c r="Q2449" i="3"/>
  <c r="R2449" i="3" s="1"/>
  <c r="A2451" i="3" l="1"/>
  <c r="P2451" i="3"/>
  <c r="S2450" i="3"/>
  <c r="Q2450" i="3"/>
  <c r="R2450" i="3" s="1"/>
  <c r="P2452" i="3" l="1"/>
  <c r="A2452" i="3"/>
  <c r="Q2451" i="3"/>
  <c r="R2451" i="3" s="1"/>
  <c r="S2451" i="3"/>
  <c r="A2453" i="3" l="1"/>
  <c r="P2453" i="3"/>
  <c r="S2452" i="3"/>
  <c r="Q2452" i="3"/>
  <c r="R2452" i="3" s="1"/>
  <c r="P2454" i="3" l="1"/>
  <c r="A2454" i="3"/>
  <c r="S2453" i="3"/>
  <c r="Q2453" i="3"/>
  <c r="R2453" i="3" s="1"/>
  <c r="A2455" i="3" l="1"/>
  <c r="P2455" i="3"/>
  <c r="S2454" i="3"/>
  <c r="Q2454" i="3"/>
  <c r="R2454" i="3" s="1"/>
  <c r="P2456" i="3" l="1"/>
  <c r="A2456" i="3"/>
  <c r="Q2455" i="3"/>
  <c r="R2455" i="3" s="1"/>
  <c r="S2455" i="3"/>
  <c r="A2457" i="3" l="1"/>
  <c r="P2457" i="3"/>
  <c r="S2456" i="3"/>
  <c r="Q2456" i="3"/>
  <c r="R2456" i="3" s="1"/>
  <c r="P2458" i="3" l="1"/>
  <c r="A2458" i="3"/>
  <c r="S2457" i="3"/>
  <c r="Q2457" i="3"/>
  <c r="R2457" i="3" s="1"/>
  <c r="A2459" i="3" l="1"/>
  <c r="P2459" i="3"/>
  <c r="S2458" i="3"/>
  <c r="Q2458" i="3"/>
  <c r="R2458" i="3" s="1"/>
  <c r="P2460" i="3" l="1"/>
  <c r="A2460" i="3"/>
  <c r="Q2459" i="3"/>
  <c r="R2459" i="3" s="1"/>
  <c r="S2459" i="3"/>
  <c r="A2461" i="3" l="1"/>
  <c r="P2461" i="3"/>
  <c r="S2460" i="3"/>
  <c r="Q2460" i="3"/>
  <c r="R2460" i="3" s="1"/>
  <c r="P2462" i="3" l="1"/>
  <c r="A2462" i="3"/>
  <c r="S2461" i="3"/>
  <c r="Q2461" i="3"/>
  <c r="R2461" i="3" s="1"/>
  <c r="A2463" i="3" l="1"/>
  <c r="P2463" i="3"/>
  <c r="S2462" i="3"/>
  <c r="Q2462" i="3"/>
  <c r="R2462" i="3" s="1"/>
  <c r="P2464" i="3" l="1"/>
  <c r="A2464" i="3"/>
  <c r="Q2463" i="3"/>
  <c r="R2463" i="3" s="1"/>
  <c r="S2463" i="3"/>
  <c r="A2465" i="3" l="1"/>
  <c r="P2465" i="3"/>
  <c r="S2464" i="3"/>
  <c r="Q2464" i="3"/>
  <c r="R2464" i="3" s="1"/>
  <c r="P2466" i="3" l="1"/>
  <c r="A2466" i="3"/>
  <c r="S2465" i="3"/>
  <c r="Q2465" i="3"/>
  <c r="R2465" i="3" s="1"/>
  <c r="A2467" i="3" l="1"/>
  <c r="P2467" i="3"/>
  <c r="S2466" i="3"/>
  <c r="Q2466" i="3"/>
  <c r="R2466" i="3" s="1"/>
  <c r="P2468" i="3" l="1"/>
  <c r="A2468" i="3"/>
  <c r="Q2467" i="3"/>
  <c r="R2467" i="3" s="1"/>
  <c r="S2467" i="3"/>
  <c r="A2469" i="3" l="1"/>
  <c r="P2469" i="3"/>
  <c r="S2468" i="3"/>
  <c r="Q2468" i="3"/>
  <c r="R2468" i="3" s="1"/>
  <c r="P2470" i="3" l="1"/>
  <c r="A2470" i="3"/>
  <c r="S2469" i="3"/>
  <c r="Q2469" i="3"/>
  <c r="R2469" i="3" s="1"/>
  <c r="A2471" i="3" l="1"/>
  <c r="P2471" i="3"/>
  <c r="S2470" i="3"/>
  <c r="Q2470" i="3"/>
  <c r="R2470" i="3" s="1"/>
  <c r="P2472" i="3" l="1"/>
  <c r="A2472" i="3"/>
  <c r="Q2471" i="3"/>
  <c r="R2471" i="3" s="1"/>
  <c r="S2471" i="3"/>
  <c r="A2473" i="3" l="1"/>
  <c r="P2473" i="3"/>
  <c r="S2472" i="3"/>
  <c r="Q2472" i="3"/>
  <c r="R2472" i="3" s="1"/>
  <c r="P2474" i="3" l="1"/>
  <c r="A2474" i="3"/>
  <c r="S2473" i="3"/>
  <c r="Q2473" i="3"/>
  <c r="R2473" i="3" s="1"/>
  <c r="A2475" i="3" l="1"/>
  <c r="P2475" i="3"/>
  <c r="S2474" i="3"/>
  <c r="Q2474" i="3"/>
  <c r="R2474" i="3" s="1"/>
  <c r="P2476" i="3" l="1"/>
  <c r="A2476" i="3"/>
  <c r="Q2475" i="3"/>
  <c r="R2475" i="3" s="1"/>
  <c r="S2475" i="3"/>
  <c r="A2477" i="3" l="1"/>
  <c r="P2477" i="3"/>
  <c r="S2476" i="3"/>
  <c r="Q2476" i="3"/>
  <c r="R2476" i="3" s="1"/>
  <c r="P2478" i="3" l="1"/>
  <c r="A2478" i="3"/>
  <c r="S2477" i="3"/>
  <c r="Q2477" i="3"/>
  <c r="R2477" i="3" s="1"/>
  <c r="A2479" i="3" l="1"/>
  <c r="P2479" i="3"/>
  <c r="S2478" i="3"/>
  <c r="Q2478" i="3"/>
  <c r="R2478" i="3" s="1"/>
  <c r="P2480" i="3" l="1"/>
  <c r="A2480" i="3"/>
  <c r="Q2479" i="3"/>
  <c r="R2479" i="3" s="1"/>
  <c r="S2479" i="3"/>
  <c r="A2481" i="3" l="1"/>
  <c r="S2480" i="3"/>
  <c r="P2481" i="3"/>
  <c r="Q2480" i="3"/>
  <c r="R2480" i="3" s="1"/>
  <c r="P2482" i="3" l="1"/>
  <c r="Q2481" i="3"/>
  <c r="R2481" i="3" s="1"/>
  <c r="A2482" i="3"/>
  <c r="S2481" i="3"/>
  <c r="A2483" i="3" l="1"/>
  <c r="S2482" i="3"/>
  <c r="P2483" i="3"/>
  <c r="Q2482" i="3"/>
  <c r="R2482" i="3" s="1"/>
  <c r="P2484" i="3" l="1"/>
  <c r="Q2483" i="3"/>
  <c r="R2483" i="3" s="1"/>
  <c r="A2484" i="3"/>
  <c r="S2483" i="3"/>
  <c r="A2485" i="3" l="1"/>
  <c r="S2484" i="3"/>
  <c r="P2485" i="3"/>
  <c r="Q2484" i="3"/>
  <c r="R2484" i="3" s="1"/>
  <c r="P2486" i="3" l="1"/>
  <c r="Q2485" i="3"/>
  <c r="R2485" i="3" s="1"/>
  <c r="A2486" i="3"/>
  <c r="S2485" i="3"/>
  <c r="A2487" i="3" l="1"/>
  <c r="S2486" i="3"/>
  <c r="P2487" i="3"/>
  <c r="Q2486" i="3"/>
  <c r="R2486" i="3" s="1"/>
  <c r="P2488" i="3" l="1"/>
  <c r="Q2487" i="3"/>
  <c r="R2487" i="3" s="1"/>
  <c r="A2488" i="3"/>
  <c r="S2487" i="3"/>
  <c r="A2489" i="3" l="1"/>
  <c r="S2488" i="3"/>
  <c r="P2489" i="3"/>
  <c r="Q2488" i="3"/>
  <c r="R2488" i="3" s="1"/>
  <c r="P2490" i="3" l="1"/>
  <c r="Q2489" i="3"/>
  <c r="R2489" i="3" s="1"/>
  <c r="A2490" i="3"/>
  <c r="S2489" i="3"/>
  <c r="A2491" i="3" l="1"/>
  <c r="S2490" i="3"/>
  <c r="P2491" i="3"/>
  <c r="Q2490" i="3"/>
  <c r="R2490" i="3" s="1"/>
  <c r="P2492" i="3" l="1"/>
  <c r="Q2491" i="3"/>
  <c r="R2491" i="3" s="1"/>
  <c r="A2492" i="3"/>
  <c r="S2491" i="3"/>
  <c r="A2493" i="3" l="1"/>
  <c r="S2492" i="3"/>
  <c r="P2493" i="3"/>
  <c r="Q2492" i="3"/>
  <c r="R2492" i="3" s="1"/>
  <c r="P2494" i="3" l="1"/>
  <c r="Q2493" i="3"/>
  <c r="R2493" i="3" s="1"/>
  <c r="A2494" i="3"/>
  <c r="S2493" i="3"/>
  <c r="A2495" i="3" l="1"/>
  <c r="S2494" i="3"/>
  <c r="P2495" i="3"/>
  <c r="Q2494" i="3"/>
  <c r="R2494" i="3" s="1"/>
  <c r="P2496" i="3" l="1"/>
  <c r="Q2495" i="3"/>
  <c r="R2495" i="3" s="1"/>
  <c r="A2496" i="3"/>
  <c r="S2495" i="3"/>
  <c r="A2497" i="3" l="1"/>
  <c r="S2496" i="3"/>
  <c r="Q2496" i="3"/>
  <c r="R2496" i="3" s="1"/>
  <c r="P2497" i="3"/>
  <c r="P2498" i="3" l="1"/>
  <c r="A2498" i="3"/>
  <c r="S2497" i="3"/>
  <c r="Q2497" i="3"/>
  <c r="R2497" i="3" s="1"/>
  <c r="A2499" i="3" l="1"/>
  <c r="S2498" i="3"/>
  <c r="P2499" i="3"/>
  <c r="Q2498" i="3"/>
  <c r="R2498" i="3" s="1"/>
  <c r="P2500" i="3" l="1"/>
  <c r="S2499" i="3"/>
  <c r="Q2499" i="3"/>
  <c r="R2499" i="3" s="1"/>
  <c r="A2500" i="3"/>
  <c r="A2501" i="3" l="1"/>
  <c r="P2501" i="3"/>
  <c r="Q2500" i="3"/>
  <c r="R2500" i="3" s="1"/>
  <c r="S2500" i="3"/>
  <c r="P2502" i="3" l="1"/>
  <c r="Q2501" i="3"/>
  <c r="R2501" i="3" s="1"/>
  <c r="A2502" i="3"/>
  <c r="S2501" i="3"/>
  <c r="A2503" i="3" l="1"/>
  <c r="P2503" i="3"/>
  <c r="Q2502" i="3"/>
  <c r="R2502" i="3" s="1"/>
  <c r="S2502" i="3"/>
  <c r="P2504" i="3" l="1"/>
  <c r="A2504" i="3"/>
  <c r="S2503" i="3"/>
  <c r="Q2503" i="3"/>
  <c r="R2503" i="3" s="1"/>
  <c r="A2505" i="3" l="1"/>
  <c r="S2504" i="3"/>
  <c r="P2505" i="3"/>
  <c r="Q2504" i="3"/>
  <c r="R2504" i="3" s="1"/>
  <c r="P2506" i="3" l="1"/>
  <c r="A2506" i="3"/>
  <c r="S2505" i="3"/>
  <c r="Q2505" i="3"/>
  <c r="R2505" i="3" s="1"/>
  <c r="A2507" i="3" l="1"/>
  <c r="S2506" i="3"/>
  <c r="P2507" i="3"/>
  <c r="Q2506" i="3"/>
  <c r="R2506" i="3" s="1"/>
  <c r="P2508" i="3" l="1"/>
  <c r="S2507" i="3"/>
  <c r="Q2507" i="3"/>
  <c r="R2507" i="3" s="1"/>
  <c r="A2508" i="3"/>
  <c r="A2509" i="3" l="1"/>
  <c r="P2509" i="3"/>
  <c r="Q2508" i="3"/>
  <c r="R2508" i="3" s="1"/>
  <c r="S2508" i="3"/>
  <c r="P2510" i="3" l="1"/>
  <c r="Q2509" i="3"/>
  <c r="R2509" i="3" s="1"/>
  <c r="A2510" i="3"/>
  <c r="S2509" i="3"/>
  <c r="A2511" i="3" l="1"/>
  <c r="P2511" i="3"/>
  <c r="Q2510" i="3"/>
  <c r="R2510" i="3" s="1"/>
  <c r="S2510" i="3"/>
  <c r="P2512" i="3" l="1"/>
  <c r="A2512" i="3"/>
  <c r="S2511" i="3"/>
  <c r="Q2511" i="3"/>
  <c r="R2511" i="3" s="1"/>
  <c r="A2513" i="3" l="1"/>
  <c r="S2512" i="3"/>
  <c r="P2513" i="3"/>
  <c r="Q2512" i="3"/>
  <c r="R2512" i="3" s="1"/>
  <c r="P2514" i="3" l="1"/>
  <c r="A2514" i="3"/>
  <c r="S2513" i="3"/>
  <c r="Q2513" i="3"/>
  <c r="R2513" i="3" s="1"/>
  <c r="A2515" i="3" l="1"/>
  <c r="S2514" i="3"/>
  <c r="P2515" i="3"/>
  <c r="Q2514" i="3"/>
  <c r="R2514" i="3" s="1"/>
  <c r="P2516" i="3" l="1"/>
  <c r="S2515" i="3"/>
  <c r="Q2515" i="3"/>
  <c r="R2515" i="3" s="1"/>
  <c r="A2516" i="3"/>
  <c r="A2517" i="3" l="1"/>
  <c r="P2517" i="3"/>
  <c r="Q2516" i="3"/>
  <c r="R2516" i="3" s="1"/>
  <c r="S2516" i="3"/>
  <c r="P2518" i="3" l="1"/>
  <c r="Q2517" i="3"/>
  <c r="R2517" i="3" s="1"/>
  <c r="A2518" i="3"/>
  <c r="S2517" i="3"/>
  <c r="A2519" i="3" l="1"/>
  <c r="P2519" i="3"/>
  <c r="Q2518" i="3"/>
  <c r="R2518" i="3" s="1"/>
  <c r="S2518" i="3"/>
  <c r="P2520" i="3" l="1"/>
  <c r="A2520" i="3"/>
  <c r="S2519" i="3"/>
  <c r="Q2519" i="3"/>
  <c r="R2519" i="3" s="1"/>
  <c r="A2521" i="3" l="1"/>
  <c r="S2520" i="3"/>
  <c r="Q2520" i="3"/>
  <c r="R2520" i="3" s="1"/>
  <c r="P2521" i="3"/>
  <c r="P2522" i="3" l="1"/>
  <c r="A2522" i="3"/>
  <c r="S2521" i="3"/>
  <c r="Q2521" i="3"/>
  <c r="R2521" i="3" s="1"/>
  <c r="A2523" i="3" l="1"/>
  <c r="S2522" i="3"/>
  <c r="P2523" i="3"/>
  <c r="Q2522" i="3"/>
  <c r="R2522" i="3" s="1"/>
  <c r="P2524" i="3" l="1"/>
  <c r="S2523" i="3"/>
  <c r="Q2523" i="3"/>
  <c r="R2523" i="3" s="1"/>
  <c r="A2524" i="3"/>
  <c r="A2525" i="3" l="1"/>
  <c r="P2525" i="3"/>
  <c r="Q2524" i="3"/>
  <c r="R2524" i="3" s="1"/>
  <c r="S2524" i="3"/>
  <c r="P2526" i="3" l="1"/>
  <c r="Q2525" i="3"/>
  <c r="R2525" i="3" s="1"/>
  <c r="A2526" i="3"/>
  <c r="S2525" i="3"/>
  <c r="A2527" i="3" l="1"/>
  <c r="P2527" i="3"/>
  <c r="Q2526" i="3"/>
  <c r="R2526" i="3" s="1"/>
  <c r="S2526" i="3"/>
  <c r="P2528" i="3" l="1"/>
  <c r="A2528" i="3"/>
  <c r="S2527" i="3"/>
  <c r="Q2527" i="3"/>
  <c r="R2527" i="3" s="1"/>
  <c r="A2529" i="3" l="1"/>
  <c r="S2528" i="3"/>
  <c r="Q2528" i="3"/>
  <c r="R2528" i="3" s="1"/>
  <c r="P2529" i="3"/>
  <c r="P2530" i="3" l="1"/>
  <c r="A2530" i="3"/>
  <c r="S2529" i="3"/>
  <c r="Q2529" i="3"/>
  <c r="R2529" i="3" s="1"/>
  <c r="A2531" i="3" l="1"/>
  <c r="S2530" i="3"/>
  <c r="P2531" i="3"/>
  <c r="Q2530" i="3"/>
  <c r="R2530" i="3" s="1"/>
  <c r="P2532" i="3" l="1"/>
  <c r="S2531" i="3"/>
  <c r="Q2531" i="3"/>
  <c r="R2531" i="3" s="1"/>
  <c r="A2532" i="3"/>
  <c r="A2533" i="3" l="1"/>
  <c r="P2533" i="3"/>
  <c r="Q2532" i="3"/>
  <c r="R2532" i="3" s="1"/>
  <c r="S2532" i="3"/>
  <c r="P2534" i="3" l="1"/>
  <c r="Q2533" i="3"/>
  <c r="R2533" i="3" s="1"/>
  <c r="A2534" i="3"/>
  <c r="S2533" i="3"/>
  <c r="A2535" i="3" l="1"/>
  <c r="P2535" i="3"/>
  <c r="Q2534" i="3"/>
  <c r="R2534" i="3" s="1"/>
  <c r="S2534" i="3"/>
  <c r="P2536" i="3" l="1"/>
  <c r="A2536" i="3"/>
  <c r="S2535" i="3"/>
  <c r="Q2535" i="3"/>
  <c r="R2535" i="3" s="1"/>
  <c r="A2537" i="3" l="1"/>
  <c r="S2536" i="3"/>
  <c r="P2537" i="3"/>
  <c r="Q2536" i="3"/>
  <c r="R2536" i="3" s="1"/>
  <c r="P2538" i="3" l="1"/>
  <c r="A2538" i="3"/>
  <c r="S2537" i="3"/>
  <c r="Q2537" i="3"/>
  <c r="R2537" i="3" s="1"/>
  <c r="A2539" i="3" l="1"/>
  <c r="S2538" i="3"/>
  <c r="P2539" i="3"/>
  <c r="Q2538" i="3"/>
  <c r="R2538" i="3" s="1"/>
  <c r="P2540" i="3" l="1"/>
  <c r="S2539" i="3"/>
  <c r="Q2539" i="3"/>
  <c r="R2539" i="3" s="1"/>
  <c r="A2540" i="3"/>
  <c r="A2541" i="3" l="1"/>
  <c r="P2541" i="3"/>
  <c r="Q2540" i="3"/>
  <c r="R2540" i="3" s="1"/>
  <c r="S2540" i="3"/>
  <c r="P2542" i="3" l="1"/>
  <c r="Q2541" i="3"/>
  <c r="R2541" i="3" s="1"/>
  <c r="A2542" i="3"/>
  <c r="S2541" i="3"/>
  <c r="A2543" i="3" l="1"/>
  <c r="P2543" i="3"/>
  <c r="Q2542" i="3"/>
  <c r="R2542" i="3" s="1"/>
  <c r="S2542" i="3"/>
  <c r="P2544" i="3" l="1"/>
  <c r="A2544" i="3"/>
  <c r="S2543" i="3"/>
  <c r="Q2543" i="3"/>
  <c r="R2543" i="3" s="1"/>
  <c r="A2545" i="3" l="1"/>
  <c r="S2544" i="3"/>
  <c r="P2545" i="3"/>
  <c r="Q2544" i="3"/>
  <c r="R2544" i="3" s="1"/>
  <c r="P2546" i="3" l="1"/>
  <c r="A2546" i="3"/>
  <c r="S2545" i="3"/>
  <c r="Q2545" i="3"/>
  <c r="R2545" i="3" s="1"/>
  <c r="A2547" i="3" l="1"/>
  <c r="S2546" i="3"/>
  <c r="P2547" i="3"/>
  <c r="Q2546" i="3"/>
  <c r="R2546" i="3" s="1"/>
  <c r="P2548" i="3" l="1"/>
  <c r="S2547" i="3"/>
  <c r="Q2547" i="3"/>
  <c r="R2547" i="3" s="1"/>
  <c r="A2548" i="3"/>
  <c r="A2549" i="3" l="1"/>
  <c r="P2549" i="3"/>
  <c r="Q2548" i="3"/>
  <c r="R2548" i="3" s="1"/>
  <c r="S2548" i="3"/>
  <c r="P2550" i="3" l="1"/>
  <c r="Q2549" i="3"/>
  <c r="R2549" i="3" s="1"/>
  <c r="A2550" i="3"/>
  <c r="S2549" i="3"/>
  <c r="A2551" i="3" l="1"/>
  <c r="P2551" i="3"/>
  <c r="Q2550" i="3"/>
  <c r="R2550" i="3" s="1"/>
  <c r="S2550" i="3"/>
  <c r="P2552" i="3" l="1"/>
  <c r="A2552" i="3"/>
  <c r="S2551" i="3"/>
  <c r="Q2551" i="3"/>
  <c r="R2551" i="3" s="1"/>
  <c r="A2553" i="3" l="1"/>
  <c r="S2552" i="3"/>
  <c r="Q2552" i="3"/>
  <c r="R2552" i="3" s="1"/>
  <c r="P2553" i="3"/>
  <c r="P2554" i="3" l="1"/>
  <c r="A2554" i="3"/>
  <c r="S2553" i="3"/>
  <c r="Q2553" i="3"/>
  <c r="R2553" i="3" s="1"/>
  <c r="A2555" i="3" l="1"/>
  <c r="S2554" i="3"/>
  <c r="P2555" i="3"/>
  <c r="Q2554" i="3"/>
  <c r="R2554" i="3" s="1"/>
  <c r="P2556" i="3" l="1"/>
  <c r="S2555" i="3"/>
  <c r="Q2555" i="3"/>
  <c r="R2555" i="3" s="1"/>
  <c r="A2556" i="3"/>
  <c r="A2557" i="3" l="1"/>
  <c r="P2557" i="3"/>
  <c r="Q2556" i="3"/>
  <c r="R2556" i="3" s="1"/>
  <c r="S2556" i="3"/>
  <c r="P2558" i="3" l="1"/>
  <c r="Q2557" i="3"/>
  <c r="R2557" i="3" s="1"/>
  <c r="A2558" i="3"/>
  <c r="S2557" i="3"/>
  <c r="A2559" i="3" l="1"/>
  <c r="P2559" i="3"/>
  <c r="Q2558" i="3"/>
  <c r="R2558" i="3" s="1"/>
  <c r="S2558" i="3"/>
  <c r="P2560" i="3" l="1"/>
  <c r="A2560" i="3"/>
  <c r="S2559" i="3"/>
  <c r="Q2559" i="3"/>
  <c r="R2559" i="3" s="1"/>
  <c r="A2561" i="3" l="1"/>
  <c r="S2560" i="3"/>
  <c r="Q2560" i="3"/>
  <c r="R2560" i="3" s="1"/>
  <c r="P2561" i="3"/>
  <c r="P2562" i="3" l="1"/>
  <c r="A2562" i="3"/>
  <c r="S2561" i="3"/>
  <c r="Q2561" i="3"/>
  <c r="R2561" i="3" s="1"/>
  <c r="A2563" i="3" l="1"/>
  <c r="S2562" i="3"/>
  <c r="P2563" i="3"/>
  <c r="Q2562" i="3"/>
  <c r="R2562" i="3" s="1"/>
  <c r="P2564" i="3" l="1"/>
  <c r="S2563" i="3"/>
  <c r="Q2563" i="3"/>
  <c r="R2563" i="3" s="1"/>
  <c r="A2564" i="3"/>
  <c r="A2565" i="3" l="1"/>
  <c r="P2565" i="3"/>
  <c r="Q2564" i="3"/>
  <c r="R2564" i="3" s="1"/>
  <c r="S2564" i="3"/>
  <c r="P2566" i="3" l="1"/>
  <c r="Q2565" i="3"/>
  <c r="R2565" i="3" s="1"/>
  <c r="A2566" i="3"/>
  <c r="S2565" i="3"/>
  <c r="A2567" i="3" l="1"/>
  <c r="P2567" i="3"/>
  <c r="Q2566" i="3"/>
  <c r="R2566" i="3" s="1"/>
  <c r="S2566" i="3"/>
  <c r="P2568" i="3" l="1"/>
  <c r="A2568" i="3"/>
  <c r="S2567" i="3"/>
  <c r="Q2567" i="3"/>
  <c r="R2567" i="3" s="1"/>
  <c r="A2569" i="3" l="1"/>
  <c r="S2568" i="3"/>
  <c r="P2569" i="3"/>
  <c r="Q2568" i="3"/>
  <c r="R2568" i="3" s="1"/>
  <c r="P2570" i="3" l="1"/>
  <c r="A2570" i="3"/>
  <c r="S2569" i="3"/>
  <c r="Q2569" i="3"/>
  <c r="R2569" i="3" s="1"/>
  <c r="A2571" i="3" l="1"/>
  <c r="S2570" i="3"/>
  <c r="P2571" i="3"/>
  <c r="Q2570" i="3"/>
  <c r="R2570" i="3" s="1"/>
  <c r="P2572" i="3" l="1"/>
  <c r="S2571" i="3"/>
  <c r="Q2571" i="3"/>
  <c r="R2571" i="3" s="1"/>
  <c r="A2572" i="3"/>
  <c r="A2573" i="3" l="1"/>
  <c r="P2573" i="3"/>
  <c r="Q2572" i="3"/>
  <c r="R2572" i="3" s="1"/>
  <c r="S2572" i="3"/>
  <c r="P2574" i="3" l="1"/>
  <c r="Q2573" i="3"/>
  <c r="R2573" i="3" s="1"/>
  <c r="A2574" i="3"/>
  <c r="S2573" i="3"/>
  <c r="A2575" i="3" l="1"/>
  <c r="P2575" i="3"/>
  <c r="Q2574" i="3"/>
  <c r="R2574" i="3" s="1"/>
  <c r="S2574" i="3"/>
  <c r="P2576" i="3" l="1"/>
  <c r="A2576" i="3"/>
  <c r="S2575" i="3"/>
  <c r="Q2575" i="3"/>
  <c r="R2575" i="3" s="1"/>
  <c r="A2577" i="3" l="1"/>
  <c r="S2576" i="3"/>
  <c r="P2577" i="3"/>
  <c r="Q2576" i="3"/>
  <c r="R2576" i="3" s="1"/>
  <c r="P2578" i="3" l="1"/>
  <c r="A2578" i="3"/>
  <c r="S2577" i="3"/>
  <c r="Q2577" i="3"/>
  <c r="R2577" i="3" s="1"/>
  <c r="A2579" i="3" l="1"/>
  <c r="S2578" i="3"/>
  <c r="P2579" i="3"/>
  <c r="Q2578" i="3"/>
  <c r="R2578" i="3" s="1"/>
  <c r="P2580" i="3" l="1"/>
  <c r="S2579" i="3"/>
  <c r="Q2579" i="3"/>
  <c r="R2579" i="3" s="1"/>
  <c r="A2580" i="3"/>
  <c r="A2581" i="3" l="1"/>
  <c r="P2581" i="3"/>
  <c r="Q2580" i="3"/>
  <c r="R2580" i="3" s="1"/>
  <c r="S2580" i="3"/>
  <c r="P2582" i="3" l="1"/>
  <c r="Q2581" i="3"/>
  <c r="R2581" i="3" s="1"/>
  <c r="A2582" i="3"/>
  <c r="S2581" i="3"/>
  <c r="A2583" i="3" l="1"/>
  <c r="P2583" i="3"/>
  <c r="Q2582" i="3"/>
  <c r="R2582" i="3" s="1"/>
  <c r="S2582" i="3"/>
  <c r="P2584" i="3" l="1"/>
  <c r="A2584" i="3"/>
  <c r="S2583" i="3"/>
  <c r="Q2583" i="3"/>
  <c r="R2583" i="3" s="1"/>
  <c r="A2585" i="3" l="1"/>
  <c r="S2584" i="3"/>
  <c r="Q2584" i="3"/>
  <c r="R2584" i="3" s="1"/>
  <c r="P2585" i="3"/>
  <c r="P2586" i="3" l="1"/>
  <c r="A2586" i="3"/>
  <c r="S2585" i="3"/>
  <c r="Q2585" i="3"/>
  <c r="R2585" i="3" s="1"/>
  <c r="A2587" i="3" l="1"/>
  <c r="S2586" i="3"/>
  <c r="P2587" i="3"/>
  <c r="Q2586" i="3"/>
  <c r="R2586" i="3" s="1"/>
  <c r="P2588" i="3" l="1"/>
  <c r="S2587" i="3"/>
  <c r="Q2587" i="3"/>
  <c r="R2587" i="3" s="1"/>
  <c r="A2588" i="3"/>
  <c r="A2589" i="3" l="1"/>
  <c r="P2589" i="3"/>
  <c r="Q2588" i="3"/>
  <c r="R2588" i="3" s="1"/>
  <c r="S2588" i="3"/>
  <c r="P2590" i="3" l="1"/>
  <c r="Q2589" i="3"/>
  <c r="R2589" i="3" s="1"/>
  <c r="A2590" i="3"/>
  <c r="S2589" i="3"/>
  <c r="A2591" i="3" l="1"/>
  <c r="P2591" i="3"/>
  <c r="Q2590" i="3"/>
  <c r="R2590" i="3" s="1"/>
  <c r="S2590" i="3"/>
  <c r="P2592" i="3" l="1"/>
  <c r="A2592" i="3"/>
  <c r="S2591" i="3"/>
  <c r="Q2591" i="3"/>
  <c r="R2591" i="3" s="1"/>
  <c r="A2593" i="3" l="1"/>
  <c r="S2592" i="3"/>
  <c r="Q2592" i="3"/>
  <c r="R2592" i="3" s="1"/>
  <c r="P2593" i="3"/>
  <c r="P2594" i="3" l="1"/>
  <c r="A2594" i="3"/>
  <c r="S2593" i="3"/>
  <c r="Q2593" i="3"/>
  <c r="R2593" i="3" s="1"/>
  <c r="A2595" i="3" l="1"/>
  <c r="S2594" i="3"/>
  <c r="P2595" i="3"/>
  <c r="Q2594" i="3"/>
  <c r="R2594" i="3" s="1"/>
  <c r="P2596" i="3" l="1"/>
  <c r="S2595" i="3"/>
  <c r="Q2595" i="3"/>
  <c r="R2595" i="3" s="1"/>
  <c r="A2596" i="3"/>
  <c r="A2597" i="3" l="1"/>
  <c r="P2597" i="3"/>
  <c r="Q2596" i="3"/>
  <c r="R2596" i="3" s="1"/>
  <c r="S2596" i="3"/>
  <c r="P2598" i="3" l="1"/>
  <c r="Q2597" i="3"/>
  <c r="R2597" i="3" s="1"/>
  <c r="A2598" i="3"/>
  <c r="S2597" i="3"/>
  <c r="A2599" i="3" l="1"/>
  <c r="P2599" i="3"/>
  <c r="Q2598" i="3"/>
  <c r="R2598" i="3" s="1"/>
  <c r="S2598" i="3"/>
  <c r="P2600" i="3" l="1"/>
  <c r="A2600" i="3"/>
  <c r="S2599" i="3"/>
  <c r="Q2599" i="3"/>
  <c r="R2599" i="3" s="1"/>
  <c r="A2601" i="3" l="1"/>
  <c r="S2600" i="3"/>
  <c r="P2601" i="3"/>
  <c r="Q2600" i="3"/>
  <c r="R2600" i="3" s="1"/>
  <c r="P2602" i="3" l="1"/>
  <c r="A2602" i="3"/>
  <c r="S2601" i="3"/>
  <c r="Q2601" i="3"/>
  <c r="R2601" i="3" s="1"/>
  <c r="A2603" i="3" l="1"/>
  <c r="S2602" i="3"/>
  <c r="P2603" i="3"/>
  <c r="Q2602" i="3"/>
  <c r="R2602" i="3" s="1"/>
  <c r="P2604" i="3" l="1"/>
  <c r="S2603" i="3"/>
  <c r="Q2603" i="3"/>
  <c r="R2603" i="3" s="1"/>
  <c r="A2604" i="3"/>
  <c r="A2605" i="3" l="1"/>
  <c r="P2605" i="3"/>
  <c r="Q2604" i="3"/>
  <c r="R2604" i="3" s="1"/>
  <c r="S2604" i="3"/>
  <c r="P2606" i="3" l="1"/>
  <c r="Q2605" i="3"/>
  <c r="R2605" i="3" s="1"/>
  <c r="A2606" i="3"/>
  <c r="S2605" i="3"/>
  <c r="A2607" i="3" l="1"/>
  <c r="P2607" i="3"/>
  <c r="Q2606" i="3"/>
  <c r="R2606" i="3" s="1"/>
  <c r="S2606" i="3"/>
  <c r="P2608" i="3" l="1"/>
  <c r="A2608" i="3"/>
  <c r="S2607" i="3"/>
  <c r="Q2607" i="3"/>
  <c r="R2607" i="3" s="1"/>
  <c r="A2609" i="3" l="1"/>
  <c r="S2608" i="3"/>
  <c r="P2609" i="3"/>
  <c r="Q2608" i="3"/>
  <c r="R2608" i="3" s="1"/>
  <c r="P2610" i="3" l="1"/>
  <c r="A2610" i="3"/>
  <c r="S2609" i="3"/>
  <c r="Q2609" i="3"/>
  <c r="R2609" i="3" s="1"/>
  <c r="A2611" i="3" l="1"/>
  <c r="S2610" i="3"/>
  <c r="P2611" i="3"/>
  <c r="Q2610" i="3"/>
  <c r="R2610" i="3" s="1"/>
  <c r="P2612" i="3" l="1"/>
  <c r="S2611" i="3"/>
  <c r="Q2611" i="3"/>
  <c r="R2611" i="3" s="1"/>
  <c r="A2612" i="3"/>
  <c r="A2613" i="3" l="1"/>
  <c r="P2613" i="3"/>
  <c r="Q2612" i="3"/>
  <c r="R2612" i="3" s="1"/>
  <c r="S2612" i="3"/>
  <c r="P2614" i="3" l="1"/>
  <c r="Q2613" i="3"/>
  <c r="R2613" i="3" s="1"/>
  <c r="A2614" i="3"/>
  <c r="S2613" i="3"/>
  <c r="A2615" i="3" l="1"/>
  <c r="P2615" i="3"/>
  <c r="Q2614" i="3"/>
  <c r="R2614" i="3" s="1"/>
  <c r="S2614" i="3"/>
  <c r="P2616" i="3" l="1"/>
  <c r="A2616" i="3"/>
  <c r="S2615" i="3"/>
  <c r="Q2615" i="3"/>
  <c r="R2615" i="3" s="1"/>
  <c r="A2617" i="3" l="1"/>
  <c r="S2616" i="3"/>
  <c r="Q2616" i="3"/>
  <c r="R2616" i="3" s="1"/>
  <c r="P2617" i="3"/>
  <c r="P2618" i="3" l="1"/>
  <c r="A2618" i="3"/>
  <c r="S2617" i="3"/>
  <c r="Q2617" i="3"/>
  <c r="R2617" i="3" s="1"/>
  <c r="A2619" i="3" l="1"/>
  <c r="S2618" i="3"/>
  <c r="P2619" i="3"/>
  <c r="Q2618" i="3"/>
  <c r="R2618" i="3" s="1"/>
  <c r="P2620" i="3" l="1"/>
  <c r="S2619" i="3"/>
  <c r="Q2619" i="3"/>
  <c r="R2619" i="3" s="1"/>
  <c r="A2620" i="3"/>
  <c r="A2621" i="3" l="1"/>
  <c r="P2621" i="3"/>
  <c r="Q2620" i="3"/>
  <c r="R2620" i="3" s="1"/>
  <c r="S2620" i="3"/>
  <c r="P2622" i="3" l="1"/>
  <c r="Q2621" i="3"/>
  <c r="R2621" i="3" s="1"/>
  <c r="A2622" i="3"/>
  <c r="S2621" i="3"/>
  <c r="A2623" i="3" l="1"/>
  <c r="P2623" i="3"/>
  <c r="Q2622" i="3"/>
  <c r="R2622" i="3" s="1"/>
  <c r="S2622" i="3"/>
  <c r="P2624" i="3" l="1"/>
  <c r="A2624" i="3"/>
  <c r="S2623" i="3"/>
  <c r="Q2623" i="3"/>
  <c r="R2623" i="3" s="1"/>
  <c r="A2625" i="3" l="1"/>
  <c r="S2624" i="3"/>
  <c r="Q2624" i="3"/>
  <c r="R2624" i="3" s="1"/>
  <c r="P2625" i="3"/>
  <c r="P2626" i="3" l="1"/>
  <c r="A2626" i="3"/>
  <c r="S2625" i="3"/>
  <c r="Q2625" i="3"/>
  <c r="R2625" i="3" s="1"/>
  <c r="A2627" i="3" l="1"/>
  <c r="S2626" i="3"/>
  <c r="P2627" i="3"/>
  <c r="Q2626" i="3"/>
  <c r="R2626" i="3" s="1"/>
  <c r="P2628" i="3" l="1"/>
  <c r="S2627" i="3"/>
  <c r="Q2627" i="3"/>
  <c r="R2627" i="3" s="1"/>
  <c r="A2628" i="3"/>
  <c r="A2629" i="3" l="1"/>
  <c r="P2629" i="3"/>
  <c r="Q2628" i="3"/>
  <c r="R2628" i="3" s="1"/>
  <c r="S2628" i="3"/>
  <c r="P2630" i="3" l="1"/>
  <c r="Q2629" i="3"/>
  <c r="R2629" i="3" s="1"/>
  <c r="A2630" i="3"/>
  <c r="S2629" i="3"/>
  <c r="A2631" i="3" l="1"/>
  <c r="P2631" i="3"/>
  <c r="Q2630" i="3"/>
  <c r="R2630" i="3" s="1"/>
  <c r="S2630" i="3"/>
  <c r="P2632" i="3" l="1"/>
  <c r="A2632" i="3"/>
  <c r="S2631" i="3"/>
  <c r="Q2631" i="3"/>
  <c r="R2631" i="3" s="1"/>
  <c r="A2633" i="3" l="1"/>
  <c r="S2632" i="3"/>
  <c r="P2633" i="3"/>
  <c r="Q2632" i="3"/>
  <c r="R2632" i="3" s="1"/>
  <c r="P2634" i="3" l="1"/>
  <c r="A2634" i="3"/>
  <c r="S2633" i="3"/>
  <c r="Q2633" i="3"/>
  <c r="R2633" i="3" s="1"/>
  <c r="P2635" i="3" l="1"/>
  <c r="A2635" i="3"/>
  <c r="S2634" i="3"/>
  <c r="Q2634" i="3"/>
  <c r="R2634" i="3" s="1"/>
  <c r="A2636" i="3" l="1"/>
  <c r="S2635" i="3"/>
  <c r="P2636" i="3"/>
  <c r="Q2635" i="3"/>
  <c r="R2635" i="3" s="1"/>
  <c r="P2637" i="3" l="1"/>
  <c r="A2637" i="3"/>
  <c r="S2636" i="3"/>
  <c r="Q2636" i="3"/>
  <c r="R2636" i="3" s="1"/>
  <c r="A2638" i="3" l="1"/>
  <c r="S2637" i="3"/>
  <c r="Q2637" i="3"/>
  <c r="R2637" i="3" s="1"/>
  <c r="P2638" i="3"/>
  <c r="P2639" i="3" l="1"/>
  <c r="S2638" i="3"/>
  <c r="A2639" i="3"/>
  <c r="Q2638" i="3"/>
  <c r="R2638" i="3" s="1"/>
  <c r="A2640" i="3" l="1"/>
  <c r="P2640" i="3"/>
  <c r="S2639" i="3"/>
  <c r="Q2639" i="3"/>
  <c r="R2639" i="3" s="1"/>
  <c r="P2641" i="3" l="1"/>
  <c r="Q2640" i="3"/>
  <c r="R2640" i="3" s="1"/>
  <c r="A2641" i="3"/>
  <c r="S2640" i="3"/>
  <c r="A2642" i="3" l="1"/>
  <c r="P2642" i="3"/>
  <c r="Q2641" i="3"/>
  <c r="R2641" i="3" s="1"/>
  <c r="S2641" i="3"/>
  <c r="P2643" i="3" l="1"/>
  <c r="S2642" i="3"/>
  <c r="Q2642" i="3"/>
  <c r="R2642" i="3" s="1"/>
  <c r="A2643" i="3"/>
  <c r="A2644" i="3" l="1"/>
  <c r="P2644" i="3"/>
  <c r="Q2643" i="3"/>
  <c r="R2643" i="3" s="1"/>
  <c r="S2643" i="3"/>
  <c r="P2645" i="3" l="1"/>
  <c r="A2645" i="3"/>
  <c r="Q2644" i="3"/>
  <c r="R2644" i="3" s="1"/>
  <c r="S2644" i="3"/>
  <c r="A2646" i="3" l="1"/>
  <c r="S2645" i="3"/>
  <c r="Q2645" i="3"/>
  <c r="R2645" i="3" s="1"/>
  <c r="P2646" i="3"/>
  <c r="P2647" i="3" l="1"/>
  <c r="S2646" i="3"/>
  <c r="A2647" i="3"/>
  <c r="Q2646" i="3"/>
  <c r="R2646" i="3" s="1"/>
  <c r="A2648" i="3" l="1"/>
  <c r="S2647" i="3"/>
  <c r="Q2647" i="3"/>
  <c r="R2647" i="3" s="1"/>
  <c r="P2648" i="3"/>
  <c r="P2649" i="3" l="1"/>
  <c r="Q2648" i="3"/>
  <c r="R2648" i="3" s="1"/>
  <c r="A2649" i="3"/>
  <c r="S2648" i="3"/>
  <c r="A2650" i="3" l="1"/>
  <c r="P2650" i="3"/>
  <c r="Q2649" i="3"/>
  <c r="R2649" i="3" s="1"/>
  <c r="S2649" i="3"/>
  <c r="P2651" i="3" l="1"/>
  <c r="Q2650" i="3"/>
  <c r="R2650" i="3" s="1"/>
  <c r="A2651" i="3"/>
  <c r="S2650" i="3"/>
  <c r="A2652" i="3" l="1"/>
  <c r="P2652" i="3"/>
  <c r="Q2651" i="3"/>
  <c r="R2651" i="3" s="1"/>
  <c r="S2651" i="3"/>
  <c r="P2653" i="3" l="1"/>
  <c r="A2653" i="3"/>
  <c r="S2652" i="3"/>
  <c r="Q2652" i="3"/>
  <c r="R2652" i="3" s="1"/>
  <c r="A2654" i="3" l="1"/>
  <c r="S2653" i="3"/>
  <c r="Q2653" i="3"/>
  <c r="R2653" i="3" s="1"/>
  <c r="P2654" i="3"/>
  <c r="P2655" i="3" l="1"/>
  <c r="S2654" i="3"/>
  <c r="Q2654" i="3"/>
  <c r="R2654" i="3" s="1"/>
  <c r="A2655" i="3"/>
  <c r="A2656" i="3" l="1"/>
  <c r="S2655" i="3"/>
  <c r="Q2655" i="3"/>
  <c r="R2655" i="3" s="1"/>
  <c r="P2656" i="3"/>
  <c r="P2657" i="3" l="1"/>
  <c r="Q2656" i="3"/>
  <c r="R2656" i="3" s="1"/>
  <c r="A2657" i="3"/>
  <c r="S2656" i="3"/>
  <c r="A2658" i="3" l="1"/>
  <c r="P2658" i="3"/>
  <c r="Q2657" i="3"/>
  <c r="R2657" i="3" s="1"/>
  <c r="S2657" i="3"/>
  <c r="P2659" i="3" l="1"/>
  <c r="A2659" i="3"/>
  <c r="S2658" i="3"/>
  <c r="Q2658" i="3"/>
  <c r="R2658" i="3" s="1"/>
  <c r="A2660" i="3" l="1"/>
  <c r="S2659" i="3"/>
  <c r="Q2659" i="3"/>
  <c r="R2659" i="3" s="1"/>
  <c r="P2660" i="3"/>
  <c r="P2661" i="3" l="1"/>
  <c r="A2661" i="3"/>
  <c r="S2660" i="3"/>
  <c r="Q2660" i="3"/>
  <c r="R2660" i="3" s="1"/>
  <c r="A2662" i="3" l="1"/>
  <c r="S2661" i="3"/>
  <c r="P2662" i="3"/>
  <c r="Q2661" i="3"/>
  <c r="R2661" i="3" s="1"/>
  <c r="P2663" i="3" l="1"/>
  <c r="S2662" i="3"/>
  <c r="Q2662" i="3"/>
  <c r="R2662" i="3" s="1"/>
  <c r="A2663" i="3"/>
  <c r="A2664" i="3" l="1"/>
  <c r="P2664" i="3"/>
  <c r="Q2663" i="3"/>
  <c r="R2663" i="3" s="1"/>
  <c r="S2663" i="3"/>
  <c r="P2665" i="3" l="1"/>
  <c r="Q2664" i="3"/>
  <c r="R2664" i="3" s="1"/>
  <c r="A2665" i="3"/>
  <c r="S2664" i="3"/>
  <c r="A2666" i="3" l="1"/>
  <c r="P2666" i="3"/>
  <c r="Q2665" i="3"/>
  <c r="R2665" i="3" s="1"/>
  <c r="S2665" i="3"/>
  <c r="P2667" i="3" l="1"/>
  <c r="A2667" i="3"/>
  <c r="S2666" i="3"/>
  <c r="Q2666" i="3"/>
  <c r="R2666" i="3" s="1"/>
  <c r="A2668" i="3" l="1"/>
  <c r="S2667" i="3"/>
  <c r="Q2667" i="3"/>
  <c r="R2667" i="3" s="1"/>
  <c r="P2668" i="3"/>
  <c r="P2669" i="3" l="1"/>
  <c r="A2669" i="3"/>
  <c r="S2668" i="3"/>
  <c r="Q2668" i="3"/>
  <c r="R2668" i="3" s="1"/>
  <c r="A2670" i="3" l="1"/>
  <c r="S2669" i="3"/>
  <c r="Q2669" i="3"/>
  <c r="R2669" i="3" s="1"/>
  <c r="P2670" i="3"/>
  <c r="P2671" i="3" l="1"/>
  <c r="S2670" i="3"/>
  <c r="Q2670" i="3"/>
  <c r="R2670" i="3" s="1"/>
  <c r="A2671" i="3"/>
  <c r="A2672" i="3" l="1"/>
  <c r="P2672" i="3"/>
  <c r="Q2671" i="3"/>
  <c r="R2671" i="3" s="1"/>
  <c r="S2671" i="3"/>
  <c r="P2673" i="3" l="1"/>
  <c r="Q2672" i="3"/>
  <c r="R2672" i="3" s="1"/>
  <c r="A2673" i="3"/>
  <c r="S2672" i="3"/>
  <c r="A2674" i="3" l="1"/>
  <c r="P2674" i="3"/>
  <c r="Q2673" i="3"/>
  <c r="R2673" i="3" s="1"/>
  <c r="S2673" i="3"/>
  <c r="P2675" i="3" l="1"/>
  <c r="A2675" i="3"/>
  <c r="S2674" i="3"/>
  <c r="Q2674" i="3"/>
  <c r="R2674" i="3" s="1"/>
  <c r="A2676" i="3" l="1"/>
  <c r="S2675" i="3"/>
  <c r="Q2675" i="3"/>
  <c r="R2675" i="3" s="1"/>
  <c r="P2676" i="3"/>
  <c r="P2677" i="3" l="1"/>
  <c r="A2677" i="3"/>
  <c r="S2676" i="3"/>
  <c r="Q2676" i="3"/>
  <c r="R2676" i="3" s="1"/>
  <c r="A2678" i="3" l="1"/>
  <c r="S2677" i="3"/>
  <c r="P2678" i="3"/>
  <c r="Q2677" i="3"/>
  <c r="R2677" i="3" s="1"/>
  <c r="P2679" i="3" l="1"/>
  <c r="S2678" i="3"/>
  <c r="Q2678" i="3"/>
  <c r="R2678" i="3" s="1"/>
  <c r="A2679" i="3"/>
  <c r="A2680" i="3" l="1"/>
  <c r="P2680" i="3"/>
  <c r="Q2679" i="3"/>
  <c r="R2679" i="3" s="1"/>
  <c r="S2679" i="3"/>
  <c r="P2681" i="3" l="1"/>
  <c r="Q2680" i="3"/>
  <c r="R2680" i="3" s="1"/>
  <c r="A2681" i="3"/>
  <c r="S2680" i="3"/>
  <c r="A2682" i="3" l="1"/>
  <c r="P2682" i="3"/>
  <c r="Q2681" i="3"/>
  <c r="R2681" i="3" s="1"/>
  <c r="S2681" i="3"/>
  <c r="P2683" i="3" l="1"/>
  <c r="A2683" i="3"/>
  <c r="S2682" i="3"/>
  <c r="Q2682" i="3"/>
  <c r="R2682" i="3" s="1"/>
  <c r="A2684" i="3" l="1"/>
  <c r="S2683" i="3"/>
  <c r="Q2683" i="3"/>
  <c r="R2683" i="3" s="1"/>
  <c r="P2684" i="3"/>
  <c r="P2685" i="3" l="1"/>
  <c r="A2685" i="3"/>
  <c r="S2684" i="3"/>
  <c r="Q2684" i="3"/>
  <c r="R2684" i="3" s="1"/>
  <c r="A2686" i="3" l="1"/>
  <c r="S2685" i="3"/>
  <c r="Q2685" i="3"/>
  <c r="R2685" i="3" s="1"/>
  <c r="P2686" i="3"/>
  <c r="P2687" i="3" l="1"/>
  <c r="S2686" i="3"/>
  <c r="Q2686" i="3"/>
  <c r="R2686" i="3" s="1"/>
  <c r="A2687" i="3"/>
  <c r="A2688" i="3" l="1"/>
  <c r="P2688" i="3"/>
  <c r="Q2687" i="3"/>
  <c r="R2687" i="3" s="1"/>
  <c r="S2687" i="3"/>
  <c r="P2689" i="3" l="1"/>
  <c r="Q2688" i="3"/>
  <c r="R2688" i="3" s="1"/>
  <c r="A2689" i="3"/>
  <c r="S2688" i="3"/>
  <c r="A2690" i="3" l="1"/>
  <c r="P2690" i="3"/>
  <c r="Q2689" i="3"/>
  <c r="R2689" i="3" s="1"/>
  <c r="S2689" i="3"/>
  <c r="P2691" i="3" l="1"/>
  <c r="A2691" i="3"/>
  <c r="S2690" i="3"/>
  <c r="Q2690" i="3"/>
  <c r="R2690" i="3" s="1"/>
  <c r="A2692" i="3" l="1"/>
  <c r="S2691" i="3"/>
  <c r="Q2691" i="3"/>
  <c r="R2691" i="3" s="1"/>
  <c r="P2692" i="3"/>
  <c r="P2693" i="3" l="1"/>
  <c r="A2693" i="3"/>
  <c r="S2692" i="3"/>
  <c r="Q2692" i="3"/>
  <c r="R2692" i="3" s="1"/>
  <c r="A2694" i="3" l="1"/>
  <c r="S2693" i="3"/>
  <c r="P2694" i="3"/>
  <c r="Q2693" i="3"/>
  <c r="R2693" i="3" s="1"/>
  <c r="P2695" i="3" l="1"/>
  <c r="S2694" i="3"/>
  <c r="Q2694" i="3"/>
  <c r="R2694" i="3" s="1"/>
  <c r="A2695" i="3"/>
  <c r="A2696" i="3" l="1"/>
  <c r="P2696" i="3"/>
  <c r="Q2695" i="3"/>
  <c r="R2695" i="3" s="1"/>
  <c r="S2695" i="3"/>
  <c r="P2697" i="3" l="1"/>
  <c r="Q2696" i="3"/>
  <c r="R2696" i="3" s="1"/>
  <c r="A2697" i="3"/>
  <c r="S2696" i="3"/>
  <c r="A2698" i="3" l="1"/>
  <c r="P2698" i="3"/>
  <c r="Q2697" i="3"/>
  <c r="R2697" i="3" s="1"/>
  <c r="S2697" i="3"/>
  <c r="P2699" i="3" l="1"/>
  <c r="A2699" i="3"/>
  <c r="S2698" i="3"/>
  <c r="Q2698" i="3"/>
  <c r="R2698" i="3" s="1"/>
  <c r="A2700" i="3" l="1"/>
  <c r="S2699" i="3"/>
  <c r="Q2699" i="3"/>
  <c r="R2699" i="3" s="1"/>
  <c r="P2700" i="3"/>
  <c r="P2701" i="3" l="1"/>
  <c r="A2701" i="3"/>
  <c r="S2700" i="3"/>
  <c r="Q2700" i="3"/>
  <c r="R2700" i="3" s="1"/>
  <c r="A2702" i="3" l="1"/>
  <c r="S2701" i="3"/>
  <c r="Q2701" i="3"/>
  <c r="R2701" i="3" s="1"/>
  <c r="P2702" i="3"/>
  <c r="P2703" i="3" l="1"/>
  <c r="S2702" i="3"/>
  <c r="Q2702" i="3"/>
  <c r="R2702" i="3" s="1"/>
  <c r="A2703" i="3"/>
  <c r="A2704" i="3" l="1"/>
  <c r="P2704" i="3"/>
  <c r="Q2703" i="3"/>
  <c r="R2703" i="3" s="1"/>
  <c r="S2703" i="3"/>
  <c r="P2705" i="3" l="1"/>
  <c r="Q2704" i="3"/>
  <c r="R2704" i="3" s="1"/>
  <c r="A2705" i="3"/>
  <c r="S2704" i="3"/>
  <c r="A2706" i="3" l="1"/>
  <c r="P2706" i="3"/>
  <c r="Q2705" i="3"/>
  <c r="R2705" i="3" s="1"/>
  <c r="S2705" i="3"/>
  <c r="P2707" i="3" l="1"/>
  <c r="A2707" i="3"/>
  <c r="S2706" i="3"/>
  <c r="Q2706" i="3"/>
  <c r="R2706" i="3" s="1"/>
  <c r="A2708" i="3" l="1"/>
  <c r="S2707" i="3"/>
  <c r="Q2707" i="3"/>
  <c r="R2707" i="3" s="1"/>
  <c r="P2708" i="3"/>
  <c r="P2709" i="3" l="1"/>
  <c r="A2709" i="3"/>
  <c r="S2708" i="3"/>
  <c r="Q2708" i="3"/>
  <c r="R2708" i="3" s="1"/>
  <c r="A2710" i="3" l="1"/>
  <c r="S2709" i="3"/>
  <c r="P2710" i="3"/>
  <c r="Q2709" i="3"/>
  <c r="R2709" i="3" s="1"/>
  <c r="P2711" i="3" l="1"/>
  <c r="A2711" i="3"/>
  <c r="S2710" i="3"/>
  <c r="Q2710" i="3"/>
  <c r="R2710" i="3" s="1"/>
  <c r="A2712" i="3" l="1"/>
  <c r="S2711" i="3"/>
  <c r="P2712" i="3"/>
  <c r="Q2711" i="3"/>
  <c r="R2711" i="3" s="1"/>
  <c r="P2713" i="3" l="1"/>
  <c r="S2712" i="3"/>
  <c r="A2713" i="3"/>
  <c r="Q2712" i="3"/>
  <c r="R2712" i="3" s="1"/>
  <c r="A2714" i="3" l="1"/>
  <c r="P2714" i="3"/>
  <c r="S2713" i="3"/>
  <c r="Q2713" i="3"/>
  <c r="R2713" i="3" s="1"/>
  <c r="P2715" i="3" l="1"/>
  <c r="Q2714" i="3"/>
  <c r="R2714" i="3" s="1"/>
  <c r="A2715" i="3"/>
  <c r="S2714" i="3"/>
  <c r="A2716" i="3" l="1"/>
  <c r="P2716" i="3"/>
  <c r="Q2715" i="3"/>
  <c r="R2715" i="3" s="1"/>
  <c r="S2715" i="3"/>
  <c r="P2717" i="3" l="1"/>
  <c r="S2716" i="3"/>
  <c r="Q2716" i="3"/>
  <c r="R2716" i="3" s="1"/>
  <c r="A2717" i="3"/>
  <c r="A2718" i="3" l="1"/>
  <c r="P2718" i="3"/>
  <c r="Q2717" i="3"/>
  <c r="R2717" i="3" s="1"/>
  <c r="S2717" i="3"/>
  <c r="P2719" i="3" l="1"/>
  <c r="A2719" i="3"/>
  <c r="Q2718" i="3"/>
  <c r="R2718" i="3" s="1"/>
  <c r="S2718" i="3"/>
  <c r="A2720" i="3" l="1"/>
  <c r="S2719" i="3"/>
  <c r="Q2719" i="3"/>
  <c r="R2719" i="3" s="1"/>
  <c r="P2720" i="3"/>
  <c r="P2721" i="3" l="1"/>
  <c r="S2720" i="3"/>
  <c r="A2721" i="3"/>
  <c r="Q2720" i="3"/>
  <c r="R2720" i="3" s="1"/>
  <c r="A2722" i="3" l="1"/>
  <c r="S2721" i="3"/>
  <c r="Q2721" i="3"/>
  <c r="R2721" i="3" s="1"/>
  <c r="P2722" i="3"/>
  <c r="P2723" i="3" l="1"/>
  <c r="Q2722" i="3"/>
  <c r="R2722" i="3" s="1"/>
  <c r="A2723" i="3"/>
  <c r="S2722" i="3"/>
  <c r="A2724" i="3" l="1"/>
  <c r="P2724" i="3"/>
  <c r="Q2723" i="3"/>
  <c r="R2723" i="3" s="1"/>
  <c r="S2723" i="3"/>
  <c r="P2725" i="3" l="1"/>
  <c r="Q2724" i="3"/>
  <c r="R2724" i="3" s="1"/>
  <c r="S2724" i="3"/>
  <c r="A2725" i="3"/>
  <c r="A2726" i="3" l="1"/>
  <c r="P2726" i="3"/>
  <c r="Q2725" i="3"/>
  <c r="R2725" i="3" s="1"/>
  <c r="S2725" i="3"/>
  <c r="P2727" i="3" l="1"/>
  <c r="A2727" i="3"/>
  <c r="S2726" i="3"/>
  <c r="Q2726" i="3"/>
  <c r="R2726" i="3" s="1"/>
  <c r="A2728" i="3" l="1"/>
  <c r="S2727" i="3"/>
  <c r="Q2727" i="3"/>
  <c r="R2727" i="3" s="1"/>
  <c r="P2728" i="3"/>
  <c r="P2729" i="3" l="1"/>
  <c r="S2728" i="3"/>
  <c r="Q2728" i="3"/>
  <c r="R2728" i="3" s="1"/>
  <c r="A2729" i="3"/>
  <c r="A2730" i="3" l="1"/>
  <c r="S2729" i="3"/>
  <c r="Q2729" i="3"/>
  <c r="R2729" i="3" s="1"/>
  <c r="P2730" i="3"/>
  <c r="P2731" i="3" l="1"/>
  <c r="Q2730" i="3"/>
  <c r="R2730" i="3" s="1"/>
  <c r="A2731" i="3"/>
  <c r="S2730" i="3"/>
  <c r="A2732" i="3" l="1"/>
  <c r="P2732" i="3"/>
  <c r="Q2731" i="3"/>
  <c r="R2731" i="3" s="1"/>
  <c r="S2731" i="3"/>
  <c r="P2733" i="3" l="1"/>
  <c r="A2733" i="3"/>
  <c r="S2732" i="3"/>
  <c r="Q2732" i="3"/>
  <c r="R2732" i="3" s="1"/>
  <c r="A2734" i="3" l="1"/>
  <c r="S2733" i="3"/>
  <c r="P2734" i="3"/>
  <c r="Q2733" i="3"/>
  <c r="R2733" i="3" s="1"/>
  <c r="P2735" i="3" l="1"/>
  <c r="A2735" i="3"/>
  <c r="S2734" i="3"/>
  <c r="Q2734" i="3"/>
  <c r="R2734" i="3" s="1"/>
  <c r="A2736" i="3" l="1"/>
  <c r="S2735" i="3"/>
  <c r="P2736" i="3"/>
  <c r="Q2735" i="3"/>
  <c r="R2735" i="3" s="1"/>
  <c r="P2737" i="3" l="1"/>
  <c r="S2736" i="3"/>
  <c r="A2737" i="3"/>
  <c r="Q2736" i="3"/>
  <c r="R2736" i="3" s="1"/>
  <c r="A2738" i="3" l="1"/>
  <c r="Q2737" i="3"/>
  <c r="R2737" i="3" s="1"/>
  <c r="P2738" i="3"/>
  <c r="S2737" i="3"/>
  <c r="P2739" i="3" l="1"/>
  <c r="Q2738" i="3"/>
  <c r="R2738" i="3" s="1"/>
  <c r="S2738" i="3"/>
  <c r="A2739" i="3"/>
  <c r="A2740" i="3" l="1"/>
  <c r="P2740" i="3"/>
  <c r="Q2739" i="3"/>
  <c r="R2739" i="3" s="1"/>
  <c r="S2739" i="3"/>
  <c r="P2741" i="3" l="1"/>
  <c r="A2741" i="3"/>
  <c r="S2740" i="3"/>
  <c r="Q2740" i="3"/>
  <c r="R2740" i="3" s="1"/>
  <c r="A2742" i="3" l="1"/>
  <c r="S2741" i="3"/>
  <c r="Q2741" i="3"/>
  <c r="R2741" i="3" s="1"/>
  <c r="P2742" i="3"/>
  <c r="P2743" i="3" l="1"/>
  <c r="A2743" i="3"/>
  <c r="S2742" i="3"/>
  <c r="Q2742" i="3"/>
  <c r="R2742" i="3" s="1"/>
  <c r="A2744" i="3" l="1"/>
  <c r="S2743" i="3"/>
  <c r="Q2743" i="3"/>
  <c r="R2743" i="3" s="1"/>
  <c r="P2744" i="3"/>
  <c r="P2745" i="3" l="1"/>
  <c r="S2744" i="3"/>
  <c r="A2745" i="3"/>
  <c r="Q2744" i="3"/>
  <c r="R2744" i="3" s="1"/>
  <c r="A2746" i="3" l="1"/>
  <c r="P2746" i="3"/>
  <c r="S2745" i="3"/>
  <c r="Q2745" i="3"/>
  <c r="R2745" i="3" s="1"/>
  <c r="P2747" i="3" l="1"/>
  <c r="Q2746" i="3"/>
  <c r="R2746" i="3" s="1"/>
  <c r="S2746" i="3"/>
  <c r="A2747" i="3"/>
  <c r="A2748" i="3" l="1"/>
  <c r="P2748" i="3"/>
  <c r="Q2747" i="3"/>
  <c r="R2747" i="3" s="1"/>
  <c r="S2747" i="3"/>
  <c r="P2749" i="3" l="1"/>
  <c r="S2748" i="3"/>
  <c r="Q2748" i="3"/>
  <c r="R2748" i="3" s="1"/>
  <c r="A2749" i="3"/>
  <c r="A2750" i="3" l="1"/>
  <c r="P2750" i="3"/>
  <c r="Q2749" i="3"/>
  <c r="R2749" i="3" s="1"/>
  <c r="S2749" i="3"/>
  <c r="P2751" i="3" l="1"/>
  <c r="A2751" i="3"/>
  <c r="Q2750" i="3"/>
  <c r="R2750" i="3" s="1"/>
  <c r="S2750" i="3"/>
  <c r="A2752" i="3" l="1"/>
  <c r="S2751" i="3"/>
  <c r="Q2751" i="3"/>
  <c r="R2751" i="3" s="1"/>
  <c r="P2752" i="3"/>
  <c r="P2753" i="3" l="1"/>
  <c r="S2752" i="3"/>
  <c r="A2753" i="3"/>
  <c r="Q2752" i="3"/>
  <c r="R2752" i="3" s="1"/>
  <c r="A2754" i="3" l="1"/>
  <c r="S2753" i="3"/>
  <c r="P2754" i="3"/>
  <c r="Q2753" i="3"/>
  <c r="R2753" i="3" s="1"/>
  <c r="P2755" i="3" l="1"/>
  <c r="Q2754" i="3"/>
  <c r="R2754" i="3" s="1"/>
  <c r="A2755" i="3"/>
  <c r="S2754" i="3"/>
  <c r="A2756" i="3" l="1"/>
  <c r="P2756" i="3"/>
  <c r="Q2755" i="3"/>
  <c r="R2755" i="3" s="1"/>
  <c r="S2755" i="3"/>
  <c r="P2757" i="3" l="1"/>
  <c r="Q2756" i="3"/>
  <c r="R2756" i="3" s="1"/>
  <c r="A2757" i="3"/>
  <c r="S2756" i="3"/>
  <c r="A2758" i="3" l="1"/>
  <c r="P2758" i="3"/>
  <c r="Q2757" i="3"/>
  <c r="R2757" i="3" s="1"/>
  <c r="S2757" i="3"/>
  <c r="P2759" i="3" l="1"/>
  <c r="A2759" i="3"/>
  <c r="Q2758" i="3"/>
  <c r="R2758" i="3" s="1"/>
  <c r="S2758" i="3"/>
  <c r="A2760" i="3" l="1"/>
  <c r="S2759" i="3"/>
  <c r="Q2759" i="3"/>
  <c r="R2759" i="3" s="1"/>
  <c r="P2760" i="3"/>
  <c r="P2761" i="3" l="1"/>
  <c r="S2760" i="3"/>
  <c r="Q2760" i="3"/>
  <c r="R2760" i="3" s="1"/>
  <c r="A2761" i="3"/>
  <c r="A2762" i="3" l="1"/>
  <c r="S2761" i="3"/>
  <c r="Q2761" i="3"/>
  <c r="R2761" i="3" s="1"/>
  <c r="P2762" i="3"/>
  <c r="P2763" i="3" l="1"/>
  <c r="Q2762" i="3"/>
  <c r="R2762" i="3" s="1"/>
  <c r="A2763" i="3"/>
  <c r="S2762" i="3"/>
  <c r="A2764" i="3" l="1"/>
  <c r="P2764" i="3"/>
  <c r="Q2763" i="3"/>
  <c r="R2763" i="3" s="1"/>
  <c r="S2763" i="3"/>
  <c r="P2765" i="3" l="1"/>
  <c r="A2765" i="3"/>
  <c r="Q2764" i="3"/>
  <c r="R2764" i="3" s="1"/>
  <c r="S2764" i="3"/>
  <c r="A2766" i="3" l="1"/>
  <c r="S2765" i="3"/>
  <c r="Q2765" i="3"/>
  <c r="R2765" i="3" s="1"/>
  <c r="P2766" i="3"/>
  <c r="P2767" i="3" l="1"/>
  <c r="A2767" i="3"/>
  <c r="S2766" i="3"/>
  <c r="Q2766" i="3"/>
  <c r="R2766" i="3" s="1"/>
  <c r="A2768" i="3" l="1"/>
  <c r="S2767" i="3"/>
  <c r="P2768" i="3"/>
  <c r="Q2767" i="3"/>
  <c r="R2767" i="3" s="1"/>
  <c r="P2769" i="3" l="1"/>
  <c r="S2768" i="3"/>
  <c r="Q2768" i="3"/>
  <c r="R2768" i="3" s="1"/>
  <c r="A2769" i="3"/>
  <c r="A2770" i="3" l="1"/>
  <c r="Q2769" i="3"/>
  <c r="R2769" i="3" s="1"/>
  <c r="P2770" i="3"/>
  <c r="S2769" i="3"/>
  <c r="P2771" i="3" l="1"/>
  <c r="Q2770" i="3"/>
  <c r="R2770" i="3" s="1"/>
  <c r="S2770" i="3"/>
  <c r="A2771" i="3"/>
  <c r="A2772" i="3" l="1"/>
  <c r="P2772" i="3"/>
  <c r="Q2771" i="3"/>
  <c r="R2771" i="3" s="1"/>
  <c r="S2771" i="3"/>
  <c r="P2773" i="3" l="1"/>
  <c r="A2773" i="3"/>
  <c r="S2772" i="3"/>
  <c r="Q2772" i="3"/>
  <c r="R2772" i="3" s="1"/>
  <c r="A2774" i="3" l="1"/>
  <c r="S2773" i="3"/>
  <c r="P2774" i="3"/>
  <c r="Q2773" i="3"/>
  <c r="R2773" i="3" s="1"/>
  <c r="P2775" i="3" l="1"/>
  <c r="A2775" i="3"/>
  <c r="S2774" i="3"/>
  <c r="Q2774" i="3"/>
  <c r="R2774" i="3" s="1"/>
  <c r="A2776" i="3" l="1"/>
  <c r="S2775" i="3"/>
  <c r="Q2775" i="3"/>
  <c r="R2775" i="3" s="1"/>
  <c r="P2776" i="3"/>
  <c r="P2777" i="3" l="1"/>
  <c r="S2776" i="3"/>
  <c r="Q2776" i="3"/>
  <c r="R2776" i="3" s="1"/>
  <c r="A2777" i="3"/>
  <c r="A2778" i="3" l="1"/>
  <c r="P2778" i="3"/>
  <c r="Q2777" i="3"/>
  <c r="R2777" i="3" s="1"/>
  <c r="S2777" i="3"/>
  <c r="P2779" i="3" l="1"/>
  <c r="Q2778" i="3"/>
  <c r="R2778" i="3" s="1"/>
  <c r="A2779" i="3"/>
  <c r="S2778" i="3"/>
  <c r="A2780" i="3" l="1"/>
  <c r="P2780" i="3"/>
  <c r="Q2779" i="3"/>
  <c r="R2779" i="3" s="1"/>
  <c r="S2779" i="3"/>
  <c r="P2781" i="3" l="1"/>
  <c r="A2781" i="3"/>
  <c r="Q2780" i="3"/>
  <c r="R2780" i="3" s="1"/>
  <c r="S2780" i="3"/>
  <c r="A2782" i="3" l="1"/>
  <c r="S2781" i="3"/>
  <c r="Q2781" i="3"/>
  <c r="R2781" i="3" s="1"/>
  <c r="P2782" i="3"/>
  <c r="P2783" i="3" l="1"/>
  <c r="A2783" i="3"/>
  <c r="S2782" i="3"/>
  <c r="Q2782" i="3"/>
  <c r="R2782" i="3" s="1"/>
  <c r="A2784" i="3" l="1"/>
  <c r="S2783" i="3"/>
  <c r="P2784" i="3"/>
  <c r="Q2783" i="3"/>
  <c r="R2783" i="3" s="1"/>
  <c r="P2785" i="3" l="1"/>
  <c r="S2784" i="3"/>
  <c r="Q2784" i="3"/>
  <c r="R2784" i="3" s="1"/>
  <c r="A2785" i="3"/>
  <c r="A2786" i="3" l="1"/>
  <c r="P2786" i="3"/>
  <c r="Q2785" i="3"/>
  <c r="R2785" i="3" s="1"/>
  <c r="S2785" i="3"/>
  <c r="P2787" i="3" l="1"/>
  <c r="Q2786" i="3"/>
  <c r="R2786" i="3" s="1"/>
  <c r="S2786" i="3"/>
  <c r="A2787" i="3"/>
  <c r="A2788" i="3" l="1"/>
  <c r="P2788" i="3"/>
  <c r="Q2787" i="3"/>
  <c r="R2787" i="3" s="1"/>
  <c r="S2787" i="3"/>
  <c r="P2789" i="3" l="1"/>
  <c r="A2789" i="3"/>
  <c r="S2788" i="3"/>
  <c r="Q2788" i="3"/>
  <c r="R2788" i="3" s="1"/>
  <c r="A2790" i="3" l="1"/>
  <c r="S2789" i="3"/>
  <c r="P2790" i="3"/>
  <c r="Q2789" i="3"/>
  <c r="R2789" i="3" s="1"/>
  <c r="P2791" i="3" l="1"/>
  <c r="A2791" i="3"/>
  <c r="S2790" i="3"/>
  <c r="Q2790" i="3"/>
  <c r="R2790" i="3" s="1"/>
  <c r="A2792" i="3" l="1"/>
  <c r="S2791" i="3"/>
  <c r="Q2791" i="3"/>
  <c r="R2791" i="3" s="1"/>
  <c r="P2792" i="3"/>
  <c r="P2793" i="3" l="1"/>
  <c r="S2792" i="3"/>
  <c r="Q2792" i="3"/>
  <c r="R2792" i="3" s="1"/>
  <c r="A2793" i="3"/>
  <c r="A2794" i="3" l="1"/>
  <c r="P2794" i="3"/>
  <c r="Q2793" i="3"/>
  <c r="R2793" i="3" s="1"/>
  <c r="S2793" i="3"/>
  <c r="P2795" i="3" l="1"/>
  <c r="Q2794" i="3"/>
  <c r="R2794" i="3" s="1"/>
  <c r="A2795" i="3"/>
  <c r="S2794" i="3"/>
  <c r="A2796" i="3" l="1"/>
  <c r="P2796" i="3"/>
  <c r="Q2795" i="3"/>
  <c r="R2795" i="3" s="1"/>
  <c r="S2795" i="3"/>
  <c r="P2797" i="3" l="1"/>
  <c r="A2797" i="3"/>
  <c r="Q2796" i="3"/>
  <c r="R2796" i="3" s="1"/>
  <c r="S2796" i="3"/>
  <c r="A2798" i="3" l="1"/>
  <c r="S2797" i="3"/>
  <c r="Q2797" i="3"/>
  <c r="R2797" i="3" s="1"/>
  <c r="P2798" i="3"/>
  <c r="P2799" i="3" l="1"/>
  <c r="A2799" i="3"/>
  <c r="S2798" i="3"/>
  <c r="Q2798" i="3"/>
  <c r="R2798" i="3" s="1"/>
  <c r="A2800" i="3" l="1"/>
  <c r="S2799" i="3"/>
  <c r="P2800" i="3"/>
  <c r="Q2799" i="3"/>
  <c r="R2799" i="3" s="1"/>
  <c r="P2801" i="3" l="1"/>
  <c r="S2800" i="3"/>
  <c r="Q2800" i="3"/>
  <c r="R2800" i="3" s="1"/>
  <c r="A2801" i="3"/>
  <c r="A2802" i="3" l="1"/>
  <c r="P2802" i="3"/>
  <c r="Q2801" i="3"/>
  <c r="R2801" i="3" s="1"/>
  <c r="S2801" i="3"/>
  <c r="P2803" i="3" l="1"/>
  <c r="Q2802" i="3"/>
  <c r="R2802" i="3" s="1"/>
  <c r="S2802" i="3"/>
  <c r="A2803" i="3"/>
  <c r="A2804" i="3" l="1"/>
  <c r="P2804" i="3"/>
  <c r="Q2803" i="3"/>
  <c r="R2803" i="3" s="1"/>
  <c r="S2803" i="3"/>
  <c r="P2805" i="3" l="1"/>
  <c r="A2805" i="3"/>
  <c r="S2804" i="3"/>
  <c r="Q2804" i="3"/>
  <c r="R2804" i="3" s="1"/>
  <c r="A2806" i="3" l="1"/>
  <c r="S2805" i="3"/>
  <c r="P2806" i="3"/>
  <c r="Q2805" i="3"/>
  <c r="R2805" i="3" s="1"/>
  <c r="P2807" i="3" l="1"/>
  <c r="A2807" i="3"/>
  <c r="S2806" i="3"/>
  <c r="Q2806" i="3"/>
  <c r="R2806" i="3" s="1"/>
  <c r="A2808" i="3" l="1"/>
  <c r="S2807" i="3"/>
  <c r="Q2807" i="3"/>
  <c r="R2807" i="3" s="1"/>
  <c r="P2808" i="3"/>
  <c r="P2809" i="3" l="1"/>
  <c r="S2808" i="3"/>
  <c r="Q2808" i="3"/>
  <c r="R2808" i="3" s="1"/>
  <c r="A2809" i="3"/>
  <c r="A2810" i="3" l="1"/>
  <c r="P2810" i="3"/>
  <c r="Q2809" i="3"/>
  <c r="R2809" i="3" s="1"/>
  <c r="S2809" i="3"/>
  <c r="P2811" i="3" l="1"/>
  <c r="Q2810" i="3"/>
  <c r="R2810" i="3" s="1"/>
  <c r="A2811" i="3"/>
  <c r="S2810" i="3"/>
  <c r="A2812" i="3" l="1"/>
  <c r="P2812" i="3"/>
  <c r="Q2811" i="3"/>
  <c r="R2811" i="3" s="1"/>
  <c r="S2811" i="3"/>
  <c r="P2813" i="3" l="1"/>
  <c r="A2813" i="3"/>
  <c r="Q2812" i="3"/>
  <c r="R2812" i="3" s="1"/>
  <c r="S2812" i="3"/>
  <c r="A2814" i="3" l="1"/>
  <c r="S2813" i="3"/>
  <c r="Q2813" i="3"/>
  <c r="R2813" i="3" s="1"/>
  <c r="P2814" i="3"/>
  <c r="P2815" i="3" l="1"/>
  <c r="A2815" i="3"/>
  <c r="S2814" i="3"/>
  <c r="Q2814" i="3"/>
  <c r="R2814" i="3" s="1"/>
  <c r="A2816" i="3" l="1"/>
  <c r="S2815" i="3"/>
  <c r="P2816" i="3"/>
  <c r="Q2815" i="3"/>
  <c r="R2815" i="3" s="1"/>
  <c r="P2817" i="3" l="1"/>
  <c r="S2816" i="3"/>
  <c r="Q2816" i="3"/>
  <c r="R2816" i="3" s="1"/>
  <c r="A2817" i="3"/>
  <c r="A2818" i="3" l="1"/>
  <c r="P2818" i="3"/>
  <c r="Q2817" i="3"/>
  <c r="R2817" i="3" s="1"/>
  <c r="S2817" i="3"/>
  <c r="P2819" i="3" l="1"/>
  <c r="Q2818" i="3"/>
  <c r="R2818" i="3" s="1"/>
  <c r="S2818" i="3"/>
  <c r="A2819" i="3"/>
  <c r="A2820" i="3" l="1"/>
  <c r="P2820" i="3"/>
  <c r="Q2819" i="3"/>
  <c r="R2819" i="3" s="1"/>
  <c r="S2819" i="3"/>
  <c r="P2821" i="3" l="1"/>
  <c r="A2821" i="3"/>
  <c r="S2820" i="3"/>
  <c r="Q2820" i="3"/>
  <c r="R2820" i="3" s="1"/>
  <c r="A2822" i="3" l="1"/>
  <c r="S2821" i="3"/>
  <c r="P2822" i="3"/>
  <c r="Q2821" i="3"/>
  <c r="R2821" i="3" s="1"/>
  <c r="P2823" i="3" l="1"/>
  <c r="A2823" i="3"/>
  <c r="S2822" i="3"/>
  <c r="Q2822" i="3"/>
  <c r="R2822" i="3" s="1"/>
  <c r="A2824" i="3" l="1"/>
  <c r="S2823" i="3"/>
  <c r="Q2823" i="3"/>
  <c r="R2823" i="3" s="1"/>
  <c r="P2824" i="3"/>
  <c r="P2825" i="3" l="1"/>
  <c r="S2824" i="3"/>
  <c r="Q2824" i="3"/>
  <c r="R2824" i="3" s="1"/>
  <c r="A2825" i="3"/>
  <c r="A2826" i="3" l="1"/>
  <c r="P2826" i="3"/>
  <c r="Q2825" i="3"/>
  <c r="R2825" i="3" s="1"/>
  <c r="S2825" i="3"/>
  <c r="P2827" i="3" l="1"/>
  <c r="Q2826" i="3"/>
  <c r="R2826" i="3" s="1"/>
  <c r="A2827" i="3"/>
  <c r="S2826" i="3"/>
  <c r="A2828" i="3" l="1"/>
  <c r="P2828" i="3"/>
  <c r="Q2827" i="3"/>
  <c r="R2827" i="3" s="1"/>
  <c r="S2827" i="3"/>
  <c r="P2829" i="3" l="1"/>
  <c r="A2829" i="3"/>
  <c r="S2828" i="3"/>
  <c r="Q2828" i="3"/>
  <c r="R2828" i="3" s="1"/>
  <c r="A2830" i="3" l="1"/>
  <c r="S2829" i="3"/>
  <c r="Q2829" i="3"/>
  <c r="R2829" i="3" s="1"/>
  <c r="P2830" i="3"/>
  <c r="P2831" i="3" l="1"/>
  <c r="A2831" i="3"/>
  <c r="S2830" i="3"/>
  <c r="Q2830" i="3"/>
  <c r="R2830" i="3" s="1"/>
  <c r="A2832" i="3" l="1"/>
  <c r="S2831" i="3"/>
  <c r="P2832" i="3"/>
  <c r="Q2831" i="3"/>
  <c r="R2831" i="3" s="1"/>
  <c r="P2833" i="3" l="1"/>
  <c r="S2832" i="3"/>
  <c r="Q2832" i="3"/>
  <c r="R2832" i="3" s="1"/>
  <c r="A2833" i="3"/>
  <c r="A2834" i="3" l="1"/>
  <c r="P2834" i="3"/>
  <c r="Q2833" i="3"/>
  <c r="R2833" i="3" s="1"/>
  <c r="S2833" i="3"/>
  <c r="P2835" i="3" l="1"/>
  <c r="Q2834" i="3"/>
  <c r="R2834" i="3" s="1"/>
  <c r="A2835" i="3"/>
  <c r="S2834" i="3"/>
  <c r="A2836" i="3" l="1"/>
  <c r="P2836" i="3"/>
  <c r="Q2835" i="3"/>
  <c r="R2835" i="3" s="1"/>
  <c r="S2835" i="3"/>
  <c r="P2837" i="3" l="1"/>
  <c r="A2837" i="3"/>
  <c r="S2836" i="3"/>
  <c r="Q2836" i="3"/>
  <c r="R2836" i="3" s="1"/>
  <c r="A2838" i="3" l="1"/>
  <c r="S2837" i="3"/>
  <c r="Q2837" i="3"/>
  <c r="R2837" i="3" s="1"/>
  <c r="P2838" i="3"/>
  <c r="P2839" i="3" l="1"/>
  <c r="A2839" i="3"/>
  <c r="S2838" i="3"/>
  <c r="Q2838" i="3"/>
  <c r="R2838" i="3" s="1"/>
  <c r="A2840" i="3" l="1"/>
  <c r="S2839" i="3"/>
  <c r="P2840" i="3"/>
  <c r="Q2839" i="3"/>
  <c r="R2839" i="3" s="1"/>
  <c r="P2841" i="3" l="1"/>
  <c r="S2840" i="3"/>
  <c r="Q2840" i="3"/>
  <c r="R2840" i="3" s="1"/>
  <c r="A2841" i="3"/>
  <c r="A2842" i="3" l="1"/>
  <c r="P2842" i="3"/>
  <c r="Q2841" i="3"/>
  <c r="R2841" i="3" s="1"/>
  <c r="S2841" i="3"/>
  <c r="P2843" i="3" l="1"/>
  <c r="Q2842" i="3"/>
  <c r="R2842" i="3" s="1"/>
  <c r="A2843" i="3"/>
  <c r="S2842" i="3"/>
  <c r="A2844" i="3" l="1"/>
  <c r="P2844" i="3"/>
  <c r="Q2843" i="3"/>
  <c r="R2843" i="3" s="1"/>
  <c r="S2843" i="3"/>
  <c r="P2845" i="3" l="1"/>
  <c r="A2845" i="3"/>
  <c r="S2844" i="3"/>
  <c r="Q2844" i="3"/>
  <c r="R2844" i="3" s="1"/>
  <c r="A2846" i="3" l="1"/>
  <c r="S2845" i="3"/>
  <c r="P2846" i="3"/>
  <c r="Q2845" i="3"/>
  <c r="R2845" i="3" s="1"/>
  <c r="P2847" i="3" l="1"/>
  <c r="A2847" i="3"/>
  <c r="S2846" i="3"/>
  <c r="Q2846" i="3"/>
  <c r="R2846" i="3" s="1"/>
  <c r="A2848" i="3" l="1"/>
  <c r="S2847" i="3"/>
  <c r="P2848" i="3"/>
  <c r="Q2847" i="3"/>
  <c r="R2847" i="3" s="1"/>
  <c r="P2849" i="3" l="1"/>
  <c r="S2848" i="3"/>
  <c r="Q2848" i="3"/>
  <c r="R2848" i="3" s="1"/>
  <c r="A2849" i="3"/>
  <c r="A2850" i="3" l="1"/>
  <c r="P2850" i="3"/>
  <c r="Q2849" i="3"/>
  <c r="R2849" i="3" s="1"/>
  <c r="S2849" i="3"/>
  <c r="P2851" i="3" l="1"/>
  <c r="Q2850" i="3"/>
  <c r="R2850" i="3" s="1"/>
  <c r="A2851" i="3"/>
  <c r="S2850" i="3"/>
  <c r="A2852" i="3" l="1"/>
  <c r="P2852" i="3"/>
  <c r="Q2851" i="3"/>
  <c r="R2851" i="3" s="1"/>
  <c r="S2851" i="3"/>
  <c r="P2853" i="3" l="1"/>
  <c r="A2853" i="3"/>
  <c r="S2852" i="3"/>
  <c r="Q2852" i="3"/>
  <c r="R2852" i="3" s="1"/>
  <c r="A2854" i="3" l="1"/>
  <c r="S2853" i="3"/>
  <c r="P2854" i="3"/>
  <c r="Q2853" i="3"/>
  <c r="R2853" i="3" s="1"/>
  <c r="P2855" i="3" l="1"/>
  <c r="A2855" i="3"/>
  <c r="S2854" i="3"/>
  <c r="Q2854" i="3"/>
  <c r="R2854" i="3" s="1"/>
  <c r="A2856" i="3" l="1"/>
  <c r="S2855" i="3"/>
  <c r="P2856" i="3"/>
  <c r="Q2855" i="3"/>
  <c r="R2855" i="3" s="1"/>
  <c r="P2857" i="3" l="1"/>
  <c r="S2856" i="3"/>
  <c r="Q2856" i="3"/>
  <c r="R2856" i="3" s="1"/>
  <c r="A2857" i="3"/>
  <c r="A2858" i="3" l="1"/>
  <c r="P2858" i="3"/>
  <c r="Q2857" i="3"/>
  <c r="R2857" i="3" s="1"/>
  <c r="S2857" i="3"/>
  <c r="P2859" i="3" l="1"/>
  <c r="Q2858" i="3"/>
  <c r="R2858" i="3" s="1"/>
  <c r="A2859" i="3"/>
  <c r="S2858" i="3"/>
  <c r="A2860" i="3" l="1"/>
  <c r="S2859" i="3"/>
  <c r="Q2859" i="3"/>
  <c r="R2859" i="3" s="1"/>
  <c r="P2860" i="3"/>
  <c r="P2861" i="3" l="1"/>
  <c r="Q2860" i="3"/>
  <c r="R2860" i="3" s="1"/>
  <c r="S2860" i="3"/>
  <c r="A2861" i="3"/>
  <c r="A2862" i="3" l="1"/>
  <c r="S2861" i="3"/>
  <c r="Q2861" i="3"/>
  <c r="R2861" i="3" s="1"/>
  <c r="P2862" i="3"/>
  <c r="P2863" i="3" l="1"/>
  <c r="Q2862" i="3"/>
  <c r="R2862" i="3" s="1"/>
  <c r="A2863" i="3"/>
  <c r="S2862" i="3"/>
  <c r="A2864" i="3" l="1"/>
  <c r="S2863" i="3"/>
  <c r="Q2863" i="3"/>
  <c r="R2863" i="3" s="1"/>
  <c r="P2864" i="3"/>
  <c r="P2865" i="3" l="1"/>
  <c r="Q2864" i="3"/>
  <c r="R2864" i="3" s="1"/>
  <c r="A2865" i="3"/>
  <c r="S2864" i="3"/>
  <c r="A2866" i="3" l="1"/>
  <c r="S2865" i="3"/>
  <c r="P2866" i="3"/>
  <c r="Q2865" i="3"/>
  <c r="R2865" i="3" s="1"/>
  <c r="P2867" i="3" l="1"/>
  <c r="Q2866" i="3"/>
  <c r="R2866" i="3" s="1"/>
  <c r="A2867" i="3"/>
  <c r="S2866" i="3"/>
  <c r="A2868" i="3" l="1"/>
  <c r="S2867" i="3"/>
  <c r="Q2867" i="3"/>
  <c r="R2867" i="3" s="1"/>
  <c r="P2868" i="3"/>
  <c r="S2868" i="3" l="1"/>
  <c r="P2869" i="3"/>
  <c r="Q2868" i="3"/>
  <c r="R2868" i="3" s="1"/>
  <c r="A2869" i="3"/>
  <c r="Q2869" i="3" l="1"/>
  <c r="R2869" i="3" s="1"/>
  <c r="A2870" i="3"/>
  <c r="S2869" i="3"/>
  <c r="P2870" i="3"/>
  <c r="S2870" i="3" l="1"/>
  <c r="P2871" i="3"/>
  <c r="Q2870" i="3"/>
  <c r="R2870" i="3" s="1"/>
  <c r="A2871" i="3"/>
  <c r="Q2871" i="3" l="1"/>
  <c r="R2871" i="3" s="1"/>
  <c r="A2872" i="3"/>
  <c r="S2871" i="3"/>
  <c r="P2872" i="3"/>
  <c r="S2872" i="3" l="1"/>
  <c r="P2873" i="3"/>
  <c r="Q2872" i="3"/>
  <c r="R2872" i="3" s="1"/>
  <c r="A2873" i="3"/>
  <c r="Q2873" i="3" l="1"/>
  <c r="R2873" i="3" s="1"/>
  <c r="A2874" i="3"/>
  <c r="S2873" i="3"/>
  <c r="P2874" i="3"/>
  <c r="S2874" i="3" l="1"/>
  <c r="P2875" i="3"/>
  <c r="Q2874" i="3"/>
  <c r="R2874" i="3" s="1"/>
  <c r="A2875" i="3"/>
  <c r="Q2875" i="3" l="1"/>
  <c r="R2875" i="3" s="1"/>
  <c r="A2876" i="3"/>
  <c r="S2875" i="3"/>
  <c r="P2876" i="3"/>
  <c r="S2876" i="3" l="1"/>
  <c r="P2877" i="3"/>
  <c r="Q2876" i="3"/>
  <c r="R2876" i="3" s="1"/>
  <c r="A2877" i="3"/>
  <c r="Q2877" i="3" l="1"/>
  <c r="R2877" i="3" s="1"/>
  <c r="A2878" i="3"/>
  <c r="S2877" i="3"/>
  <c r="P2878" i="3"/>
  <c r="S2878" i="3" l="1"/>
  <c r="P2879" i="3"/>
  <c r="Q2878" i="3"/>
  <c r="R2878" i="3" s="1"/>
  <c r="A2879" i="3"/>
  <c r="Q2879" i="3" l="1"/>
  <c r="R2879" i="3" s="1"/>
  <c r="A2880" i="3"/>
  <c r="S2879" i="3"/>
  <c r="P2880" i="3"/>
  <c r="S2880" i="3" l="1"/>
  <c r="P2881" i="3"/>
  <c r="Q2880" i="3"/>
  <c r="R2880" i="3" s="1"/>
  <c r="A2881" i="3"/>
  <c r="Q2881" i="3" l="1"/>
  <c r="R2881" i="3" s="1"/>
  <c r="A2882" i="3"/>
  <c r="S2881" i="3"/>
  <c r="P2882" i="3"/>
  <c r="S2882" i="3" l="1"/>
  <c r="P2883" i="3"/>
  <c r="Q2882" i="3"/>
  <c r="R2882" i="3" s="1"/>
  <c r="A2883" i="3"/>
  <c r="Q2883" i="3" l="1"/>
  <c r="R2883" i="3" s="1"/>
  <c r="A2884" i="3"/>
  <c r="S2883" i="3"/>
  <c r="P2884" i="3"/>
  <c r="S2884" i="3" l="1"/>
  <c r="P2885" i="3"/>
  <c r="Q2884" i="3"/>
  <c r="R2884" i="3" s="1"/>
  <c r="A2885" i="3"/>
  <c r="Q2885" i="3" l="1"/>
  <c r="R2885" i="3" s="1"/>
  <c r="A2886" i="3"/>
  <c r="S2885" i="3"/>
  <c r="P2886" i="3"/>
  <c r="S2886" i="3" l="1"/>
  <c r="P2887" i="3"/>
  <c r="Q2886" i="3"/>
  <c r="R2886" i="3" s="1"/>
  <c r="A2887" i="3"/>
  <c r="Q2887" i="3" l="1"/>
  <c r="R2887" i="3" s="1"/>
  <c r="A2888" i="3"/>
  <c r="S2887" i="3"/>
  <c r="P2888" i="3"/>
  <c r="S2888" i="3" l="1"/>
  <c r="P2889" i="3"/>
  <c r="Q2888" i="3"/>
  <c r="R2888" i="3" s="1"/>
  <c r="A2889" i="3"/>
  <c r="Q2889" i="3" l="1"/>
  <c r="R2889" i="3" s="1"/>
  <c r="A2890" i="3"/>
  <c r="S2889" i="3"/>
  <c r="P2890" i="3"/>
  <c r="S2890" i="3" l="1"/>
  <c r="P2891" i="3"/>
  <c r="Q2890" i="3"/>
  <c r="R2890" i="3" s="1"/>
  <c r="A2891" i="3"/>
  <c r="Q2891" i="3" l="1"/>
  <c r="R2891" i="3" s="1"/>
  <c r="A2892" i="3"/>
  <c r="S2891" i="3"/>
  <c r="P2892" i="3"/>
  <c r="S2892" i="3" l="1"/>
  <c r="P2893" i="3"/>
  <c r="Q2892" i="3"/>
  <c r="R2892" i="3" s="1"/>
  <c r="A2893" i="3"/>
  <c r="Q2893" i="3" l="1"/>
  <c r="R2893" i="3" s="1"/>
  <c r="A2894" i="3"/>
  <c r="S2893" i="3"/>
  <c r="P2894" i="3"/>
  <c r="S2894" i="3" l="1"/>
  <c r="P2895" i="3"/>
  <c r="Q2894" i="3"/>
  <c r="R2894" i="3" s="1"/>
  <c r="A2895" i="3"/>
  <c r="Q2895" i="3" l="1"/>
  <c r="R2895" i="3" s="1"/>
  <c r="A2896" i="3"/>
  <c r="S2895" i="3"/>
  <c r="P2896" i="3"/>
  <c r="S2896" i="3" l="1"/>
  <c r="P2897" i="3"/>
  <c r="Q2896" i="3"/>
  <c r="R2896" i="3" s="1"/>
  <c r="A2897" i="3"/>
  <c r="Q2897" i="3" l="1"/>
  <c r="R2897" i="3" s="1"/>
  <c r="A2898" i="3"/>
  <c r="S2897" i="3"/>
  <c r="P2898" i="3"/>
  <c r="S2898" i="3" l="1"/>
  <c r="P2899" i="3"/>
  <c r="Q2898" i="3"/>
  <c r="R2898" i="3" s="1"/>
  <c r="A2899" i="3"/>
  <c r="Q2899" i="3" l="1"/>
  <c r="R2899" i="3" s="1"/>
  <c r="A2900" i="3"/>
  <c r="S2899" i="3"/>
  <c r="P2900" i="3"/>
  <c r="S2900" i="3" l="1"/>
  <c r="P2901" i="3"/>
  <c r="Q2900" i="3"/>
  <c r="R2900" i="3" s="1"/>
  <c r="A2901" i="3"/>
  <c r="Q2901" i="3" l="1"/>
  <c r="R2901" i="3" s="1"/>
  <c r="A2902" i="3"/>
  <c r="S2901" i="3"/>
  <c r="P2902" i="3"/>
  <c r="S2902" i="3" l="1"/>
  <c r="P2903" i="3"/>
  <c r="Q2902" i="3"/>
  <c r="R2902" i="3" s="1"/>
  <c r="A2903" i="3"/>
  <c r="Q2903" i="3" l="1"/>
  <c r="R2903" i="3" s="1"/>
  <c r="A2904" i="3"/>
  <c r="S2903" i="3"/>
  <c r="P2904" i="3"/>
  <c r="S2904" i="3" l="1"/>
  <c r="P2905" i="3"/>
  <c r="Q2904" i="3"/>
  <c r="R2904" i="3" s="1"/>
  <c r="A2905" i="3"/>
  <c r="Q2905" i="3" l="1"/>
  <c r="R2905" i="3" s="1"/>
  <c r="A2906" i="3"/>
  <c r="S2905" i="3"/>
  <c r="P2906" i="3"/>
  <c r="S2906" i="3" l="1"/>
  <c r="P2907" i="3"/>
  <c r="Q2906" i="3"/>
  <c r="R2906" i="3" s="1"/>
  <c r="A2907" i="3"/>
  <c r="Q2907" i="3" l="1"/>
  <c r="R2907" i="3" s="1"/>
  <c r="A2908" i="3"/>
  <c r="S2907" i="3"/>
  <c r="P2908" i="3"/>
  <c r="S2908" i="3" l="1"/>
  <c r="P2909" i="3"/>
  <c r="Q2908" i="3"/>
  <c r="R2908" i="3" s="1"/>
  <c r="A2909" i="3"/>
  <c r="Q2909" i="3" l="1"/>
  <c r="R2909" i="3" s="1"/>
  <c r="A2910" i="3"/>
  <c r="S2909" i="3"/>
  <c r="P2910" i="3"/>
  <c r="S2910" i="3" l="1"/>
  <c r="P2911" i="3"/>
  <c r="Q2910" i="3"/>
  <c r="R2910" i="3" s="1"/>
  <c r="A2911" i="3"/>
  <c r="Q2911" i="3" l="1"/>
  <c r="R2911" i="3" s="1"/>
  <c r="A2912" i="3"/>
  <c r="S2911" i="3"/>
  <c r="P2912" i="3"/>
  <c r="S2912" i="3" l="1"/>
  <c r="P2913" i="3"/>
  <c r="Q2912" i="3"/>
  <c r="R2912" i="3" s="1"/>
  <c r="A2913" i="3"/>
  <c r="Q2913" i="3" l="1"/>
  <c r="R2913" i="3" s="1"/>
  <c r="A2914" i="3"/>
  <c r="S2913" i="3"/>
  <c r="P2914" i="3"/>
  <c r="S2914" i="3" l="1"/>
  <c r="P2915" i="3"/>
  <c r="Q2914" i="3"/>
  <c r="R2914" i="3" s="1"/>
  <c r="A2915" i="3"/>
  <c r="Q2915" i="3" l="1"/>
  <c r="R2915" i="3" s="1"/>
  <c r="A2916" i="3"/>
  <c r="S2915" i="3"/>
  <c r="P2916" i="3"/>
  <c r="S2916" i="3" l="1"/>
  <c r="P2917" i="3"/>
  <c r="Q2916" i="3"/>
  <c r="R2916" i="3" s="1"/>
  <c r="A2917" i="3"/>
  <c r="Q2917" i="3" l="1"/>
  <c r="R2917" i="3" s="1"/>
  <c r="A2918" i="3"/>
  <c r="S2917" i="3"/>
  <c r="P2918" i="3"/>
  <c r="S2918" i="3" l="1"/>
  <c r="P2919" i="3"/>
  <c r="Q2918" i="3"/>
  <c r="R2918" i="3" s="1"/>
  <c r="A2919" i="3"/>
  <c r="Q2919" i="3" l="1"/>
  <c r="R2919" i="3" s="1"/>
  <c r="A2920" i="3"/>
  <c r="S2919" i="3"/>
  <c r="P2920" i="3"/>
  <c r="S2920" i="3" l="1"/>
  <c r="P2921" i="3"/>
  <c r="Q2920" i="3"/>
  <c r="R2920" i="3" s="1"/>
  <c r="A2921" i="3"/>
  <c r="Q2921" i="3" l="1"/>
  <c r="R2921" i="3" s="1"/>
  <c r="A2922" i="3"/>
  <c r="S2921" i="3"/>
  <c r="P2922" i="3"/>
  <c r="S2922" i="3" l="1"/>
  <c r="P2923" i="3"/>
  <c r="Q2922" i="3"/>
  <c r="R2922" i="3" s="1"/>
  <c r="A2923" i="3"/>
  <c r="Q2923" i="3" l="1"/>
  <c r="R2923" i="3" s="1"/>
  <c r="A2924" i="3"/>
  <c r="S2923" i="3"/>
  <c r="P2924" i="3"/>
  <c r="S2924" i="3" l="1"/>
  <c r="P2925" i="3"/>
  <c r="Q2924" i="3"/>
  <c r="R2924" i="3" s="1"/>
  <c r="A2925" i="3"/>
  <c r="Q2925" i="3" l="1"/>
  <c r="R2925" i="3" s="1"/>
  <c r="A2926" i="3"/>
  <c r="S2925" i="3"/>
  <c r="P2926" i="3"/>
  <c r="S2926" i="3" l="1"/>
  <c r="P2927" i="3"/>
  <c r="Q2926" i="3"/>
  <c r="R2926" i="3" s="1"/>
  <c r="A2927" i="3"/>
  <c r="Q2927" i="3" l="1"/>
  <c r="R2927" i="3" s="1"/>
  <c r="A2928" i="3"/>
  <c r="S2927" i="3"/>
  <c r="P2928" i="3"/>
  <c r="S2928" i="3" l="1"/>
  <c r="P2929" i="3"/>
  <c r="Q2928" i="3"/>
  <c r="R2928" i="3" s="1"/>
  <c r="A2929" i="3"/>
  <c r="Q2929" i="3" l="1"/>
  <c r="R2929" i="3" s="1"/>
  <c r="A2930" i="3"/>
  <c r="S2929" i="3"/>
  <c r="P2930" i="3"/>
  <c r="S2930" i="3" l="1"/>
  <c r="P2931" i="3"/>
  <c r="Q2930" i="3"/>
  <c r="R2930" i="3" s="1"/>
  <c r="A2931" i="3"/>
  <c r="Q2931" i="3" l="1"/>
  <c r="R2931" i="3" s="1"/>
  <c r="A2932" i="3"/>
  <c r="S2931" i="3"/>
  <c r="P2932" i="3"/>
  <c r="S2932" i="3" l="1"/>
  <c r="P2933" i="3"/>
  <c r="Q2932" i="3"/>
  <c r="R2932" i="3" s="1"/>
  <c r="A2933" i="3"/>
  <c r="Q2933" i="3" l="1"/>
  <c r="R2933" i="3" s="1"/>
  <c r="A2934" i="3"/>
  <c r="S2933" i="3"/>
  <c r="P2934" i="3"/>
  <c r="S2934" i="3" l="1"/>
  <c r="P2935" i="3"/>
  <c r="Q2934" i="3"/>
  <c r="R2934" i="3" s="1"/>
  <c r="A2935" i="3"/>
  <c r="Q2935" i="3" l="1"/>
  <c r="R2935" i="3" s="1"/>
  <c r="A2936" i="3"/>
  <c r="S2935" i="3"/>
  <c r="P2936" i="3"/>
  <c r="S2936" i="3" l="1"/>
  <c r="P2937" i="3"/>
  <c r="Q2936" i="3"/>
  <c r="R2936" i="3" s="1"/>
  <c r="A2937" i="3"/>
  <c r="Q2937" i="3" l="1"/>
  <c r="R2937" i="3" s="1"/>
  <c r="A2938" i="3"/>
  <c r="S2937" i="3"/>
  <c r="P2938" i="3"/>
  <c r="S2938" i="3" l="1"/>
  <c r="P2939" i="3"/>
  <c r="Q2938" i="3"/>
  <c r="R2938" i="3" s="1"/>
  <c r="A2939" i="3"/>
  <c r="Q2939" i="3" l="1"/>
  <c r="R2939" i="3" s="1"/>
  <c r="A2940" i="3"/>
  <c r="S2939" i="3"/>
  <c r="P2940" i="3"/>
  <c r="S2940" i="3" l="1"/>
  <c r="P2941" i="3"/>
  <c r="Q2940" i="3"/>
  <c r="R2940" i="3" s="1"/>
  <c r="A2941" i="3"/>
  <c r="Q2941" i="3" l="1"/>
  <c r="R2941" i="3" s="1"/>
  <c r="A2942" i="3"/>
  <c r="S2941" i="3"/>
  <c r="P2942" i="3"/>
  <c r="S2942" i="3" l="1"/>
  <c r="P2943" i="3"/>
  <c r="Q2942" i="3"/>
  <c r="R2942" i="3" s="1"/>
  <c r="A2943" i="3"/>
  <c r="Q2943" i="3" l="1"/>
  <c r="R2943" i="3" s="1"/>
  <c r="A2944" i="3"/>
  <c r="S2943" i="3"/>
  <c r="P2944" i="3"/>
  <c r="S2944" i="3" l="1"/>
  <c r="P2945" i="3"/>
  <c r="Q2944" i="3"/>
  <c r="R2944" i="3" s="1"/>
  <c r="A2945" i="3"/>
  <c r="Q2945" i="3" l="1"/>
  <c r="R2945" i="3" s="1"/>
  <c r="A2946" i="3"/>
  <c r="S2945" i="3"/>
  <c r="P2946" i="3"/>
  <c r="S2946" i="3" l="1"/>
  <c r="P2947" i="3"/>
  <c r="Q2946" i="3"/>
  <c r="R2946" i="3" s="1"/>
  <c r="A2947" i="3"/>
  <c r="Q2947" i="3" l="1"/>
  <c r="R2947" i="3" s="1"/>
  <c r="A2948" i="3"/>
  <c r="S2947" i="3"/>
  <c r="P2948" i="3"/>
  <c r="S2948" i="3" l="1"/>
  <c r="P2949" i="3"/>
  <c r="Q2948" i="3"/>
  <c r="R2948" i="3" s="1"/>
  <c r="A2949" i="3"/>
  <c r="Q2949" i="3" l="1"/>
  <c r="R2949" i="3" s="1"/>
  <c r="A2950" i="3"/>
  <c r="S2949" i="3"/>
  <c r="P2950" i="3"/>
  <c r="S2950" i="3" l="1"/>
  <c r="P2951" i="3"/>
  <c r="Q2950" i="3"/>
  <c r="R2950" i="3" s="1"/>
  <c r="A2951" i="3"/>
  <c r="Q2951" i="3" l="1"/>
  <c r="R2951" i="3" s="1"/>
  <c r="A2952" i="3"/>
  <c r="S2951" i="3"/>
  <c r="P2952" i="3"/>
  <c r="S2952" i="3" l="1"/>
  <c r="P2953" i="3"/>
  <c r="Q2952" i="3"/>
  <c r="R2952" i="3" s="1"/>
  <c r="A2953" i="3"/>
  <c r="Q2953" i="3" l="1"/>
  <c r="R2953" i="3" s="1"/>
  <c r="A2954" i="3"/>
  <c r="S2953" i="3"/>
  <c r="P2954" i="3"/>
  <c r="S2954" i="3" l="1"/>
  <c r="P2955" i="3"/>
  <c r="Q2954" i="3"/>
  <c r="R2954" i="3" s="1"/>
  <c r="A2955" i="3"/>
  <c r="Q2955" i="3" l="1"/>
  <c r="R2955" i="3" s="1"/>
  <c r="A2956" i="3"/>
  <c r="S2955" i="3"/>
  <c r="P2956" i="3"/>
  <c r="S2956" i="3" l="1"/>
  <c r="P2957" i="3"/>
  <c r="Q2956" i="3"/>
  <c r="R2956" i="3" s="1"/>
  <c r="A2957" i="3"/>
  <c r="Q2957" i="3" l="1"/>
  <c r="R2957" i="3" s="1"/>
  <c r="A2958" i="3"/>
  <c r="S2957" i="3"/>
  <c r="P2958" i="3"/>
  <c r="S2958" i="3" l="1"/>
  <c r="P2959" i="3"/>
  <c r="Q2958" i="3"/>
  <c r="R2958" i="3" s="1"/>
  <c r="A2959" i="3"/>
  <c r="Q2959" i="3" l="1"/>
  <c r="R2959" i="3" s="1"/>
  <c r="A2960" i="3"/>
  <c r="S2959" i="3"/>
  <c r="P2960" i="3"/>
  <c r="S2960" i="3" l="1"/>
  <c r="P2961" i="3"/>
  <c r="Q2960" i="3"/>
  <c r="R2960" i="3" s="1"/>
  <c r="A2961" i="3"/>
  <c r="Q2961" i="3" l="1"/>
  <c r="R2961" i="3" s="1"/>
  <c r="A2962" i="3"/>
  <c r="S2961" i="3"/>
  <c r="P2962" i="3"/>
  <c r="S2962" i="3" l="1"/>
  <c r="P2963" i="3"/>
  <c r="Q2962" i="3"/>
  <c r="R2962" i="3" s="1"/>
  <c r="A2963" i="3"/>
  <c r="Q2963" i="3" l="1"/>
  <c r="R2963" i="3" s="1"/>
  <c r="A2964" i="3"/>
  <c r="S2963" i="3"/>
  <c r="P2964" i="3"/>
  <c r="S2964" i="3" l="1"/>
  <c r="P2965" i="3"/>
  <c r="Q2964" i="3"/>
  <c r="R2964" i="3" s="1"/>
  <c r="A2965" i="3"/>
  <c r="Q2965" i="3" l="1"/>
  <c r="R2965" i="3" s="1"/>
  <c r="A2966" i="3"/>
  <c r="S2965" i="3"/>
  <c r="P2966" i="3"/>
  <c r="S2966" i="3" l="1"/>
  <c r="P2967" i="3"/>
  <c r="Q2966" i="3"/>
  <c r="R2966" i="3" s="1"/>
  <c r="A2967" i="3"/>
  <c r="Q2967" i="3" l="1"/>
  <c r="R2967" i="3" s="1"/>
  <c r="A2968" i="3"/>
  <c r="S2967" i="3"/>
  <c r="P2968" i="3"/>
  <c r="S2968" i="3" l="1"/>
  <c r="P2969" i="3"/>
  <c r="Q2968" i="3"/>
  <c r="R2968" i="3" s="1"/>
  <c r="A2969" i="3"/>
  <c r="Q2969" i="3" l="1"/>
  <c r="R2969" i="3" s="1"/>
  <c r="A2970" i="3"/>
  <c r="S2969" i="3"/>
  <c r="P2970" i="3"/>
  <c r="S2970" i="3" l="1"/>
  <c r="P2971" i="3"/>
  <c r="Q2970" i="3"/>
  <c r="R2970" i="3" s="1"/>
  <c r="A2971" i="3"/>
  <c r="Q2971" i="3" l="1"/>
  <c r="R2971" i="3" s="1"/>
  <c r="A2972" i="3"/>
  <c r="S2971" i="3"/>
  <c r="P2972" i="3"/>
  <c r="S2972" i="3" l="1"/>
  <c r="P2973" i="3"/>
  <c r="Q2972" i="3"/>
  <c r="R2972" i="3" s="1"/>
  <c r="A2973" i="3"/>
  <c r="Q2973" i="3" l="1"/>
  <c r="R2973" i="3" s="1"/>
  <c r="A2974" i="3"/>
  <c r="S2973" i="3"/>
  <c r="P2974" i="3"/>
  <c r="S2974" i="3" l="1"/>
  <c r="P2975" i="3"/>
  <c r="Q2974" i="3"/>
  <c r="R2974" i="3" s="1"/>
  <c r="A2975" i="3"/>
  <c r="Q2975" i="3" l="1"/>
  <c r="R2975" i="3" s="1"/>
  <c r="A2976" i="3"/>
  <c r="S2975" i="3"/>
  <c r="P2976" i="3"/>
  <c r="S2976" i="3" l="1"/>
  <c r="P2977" i="3"/>
  <c r="Q2976" i="3"/>
  <c r="R2976" i="3" s="1"/>
  <c r="A2977" i="3"/>
  <c r="Q2977" i="3" l="1"/>
  <c r="R2977" i="3" s="1"/>
  <c r="A2978" i="3"/>
  <c r="S2977" i="3"/>
  <c r="P2978" i="3"/>
  <c r="S2978" i="3" l="1"/>
  <c r="P2979" i="3"/>
  <c r="Q2978" i="3"/>
  <c r="R2978" i="3" s="1"/>
  <c r="A2979" i="3"/>
  <c r="Q2979" i="3" l="1"/>
  <c r="R2979" i="3" s="1"/>
  <c r="A2980" i="3"/>
  <c r="S2979" i="3"/>
  <c r="P2980" i="3"/>
  <c r="S2980" i="3" l="1"/>
  <c r="P2981" i="3"/>
  <c r="Q2980" i="3"/>
  <c r="R2980" i="3" s="1"/>
  <c r="A2981" i="3"/>
  <c r="Q2981" i="3" l="1"/>
  <c r="R2981" i="3" s="1"/>
  <c r="A2982" i="3"/>
  <c r="S2981" i="3"/>
  <c r="P2982" i="3"/>
  <c r="S2982" i="3" l="1"/>
  <c r="P2983" i="3"/>
  <c r="Q2982" i="3"/>
  <c r="R2982" i="3" s="1"/>
  <c r="A2983" i="3"/>
  <c r="Q2983" i="3" l="1"/>
  <c r="R2983" i="3" s="1"/>
  <c r="A2984" i="3"/>
  <c r="S2983" i="3"/>
  <c r="P2984" i="3"/>
  <c r="S2984" i="3" l="1"/>
  <c r="P2985" i="3"/>
  <c r="Q2984" i="3"/>
  <c r="R2984" i="3" s="1"/>
  <c r="A2985" i="3"/>
  <c r="Q2985" i="3" l="1"/>
  <c r="R2985" i="3" s="1"/>
  <c r="A2986" i="3"/>
  <c r="S2985" i="3"/>
  <c r="P2986" i="3"/>
  <c r="S2986" i="3" l="1"/>
  <c r="P2987" i="3"/>
  <c r="Q2986" i="3"/>
  <c r="R2986" i="3" s="1"/>
  <c r="A2987" i="3"/>
  <c r="Q2987" i="3" l="1"/>
  <c r="R2987" i="3" s="1"/>
  <c r="A2988" i="3"/>
  <c r="S2987" i="3"/>
  <c r="P2988" i="3"/>
  <c r="S2988" i="3" l="1"/>
  <c r="P2989" i="3"/>
  <c r="Q2988" i="3"/>
  <c r="R2988" i="3" s="1"/>
  <c r="A2989" i="3"/>
  <c r="Q2989" i="3" l="1"/>
  <c r="R2989" i="3" s="1"/>
  <c r="A2990" i="3"/>
  <c r="S2989" i="3"/>
  <c r="P2990" i="3"/>
  <c r="S2990" i="3" l="1"/>
  <c r="P2991" i="3"/>
  <c r="Q2990" i="3"/>
  <c r="R2990" i="3" s="1"/>
  <c r="A2991" i="3"/>
  <c r="Q2991" i="3" l="1"/>
  <c r="R2991" i="3" s="1"/>
  <c r="A2992" i="3"/>
  <c r="S2991" i="3"/>
  <c r="P2992" i="3"/>
  <c r="S2992" i="3" l="1"/>
  <c r="P2993" i="3"/>
  <c r="Q2992" i="3"/>
  <c r="R2992" i="3" s="1"/>
  <c r="A2993" i="3"/>
  <c r="Q2993" i="3" l="1"/>
  <c r="R2993" i="3" s="1"/>
  <c r="A2994" i="3"/>
  <c r="S2993" i="3"/>
  <c r="P2994" i="3"/>
  <c r="S2994" i="3" l="1"/>
  <c r="P2995" i="3"/>
  <c r="Q2994" i="3"/>
  <c r="R2994" i="3" s="1"/>
  <c r="A2995" i="3"/>
  <c r="Q2995" i="3" l="1"/>
  <c r="R2995" i="3" s="1"/>
  <c r="A2996" i="3"/>
  <c r="S2995" i="3"/>
  <c r="P2996" i="3"/>
  <c r="S2996" i="3" l="1"/>
  <c r="P2997" i="3"/>
  <c r="Q2996" i="3"/>
  <c r="R2996" i="3" s="1"/>
  <c r="A2997" i="3"/>
  <c r="Q2997" i="3" l="1"/>
  <c r="R2997" i="3" s="1"/>
  <c r="A2998" i="3"/>
  <c r="S2997" i="3"/>
  <c r="P2998" i="3"/>
  <c r="S2998" i="3" l="1"/>
  <c r="P2999" i="3"/>
  <c r="Q2998" i="3"/>
  <c r="R2998" i="3" s="1"/>
  <c r="A2999" i="3"/>
  <c r="Q2999" i="3" l="1"/>
  <c r="R2999" i="3" s="1"/>
  <c r="A3000" i="3"/>
  <c r="S2999" i="3"/>
  <c r="P3000" i="3"/>
  <c r="S3000" i="3" l="1"/>
  <c r="P3001" i="3"/>
  <c r="Q3000" i="3"/>
  <c r="R3000" i="3" s="1"/>
  <c r="A3001" i="3"/>
  <c r="Q3001" i="3" l="1"/>
  <c r="R3001" i="3" s="1"/>
  <c r="A3002" i="3"/>
  <c r="S3001" i="3"/>
  <c r="P3002" i="3"/>
  <c r="S3002" i="3" l="1"/>
  <c r="P3003" i="3"/>
  <c r="Q3002" i="3"/>
  <c r="R3002" i="3" s="1"/>
  <c r="A3003" i="3"/>
  <c r="Q3003" i="3" l="1"/>
  <c r="R3003" i="3" s="1"/>
  <c r="A3004" i="3"/>
  <c r="S3003" i="3"/>
  <c r="P3004" i="3"/>
  <c r="S3004" i="3" l="1"/>
  <c r="P3005" i="3"/>
  <c r="Q3004" i="3"/>
  <c r="R3004" i="3" s="1"/>
  <c r="A3005" i="3"/>
  <c r="Q3005" i="3" l="1"/>
  <c r="R3005" i="3" s="1"/>
  <c r="A3006" i="3"/>
  <c r="S3005" i="3"/>
  <c r="P3006" i="3"/>
  <c r="S3006" i="3" l="1"/>
  <c r="P3007" i="3"/>
  <c r="Q3006" i="3"/>
  <c r="R3006" i="3" s="1"/>
  <c r="A3007" i="3"/>
  <c r="Q3007" i="3" l="1"/>
  <c r="R3007" i="3" s="1"/>
  <c r="A3008" i="3"/>
  <c r="S3007" i="3"/>
  <c r="P3008" i="3"/>
  <c r="S3008" i="3" l="1"/>
  <c r="P3009" i="3"/>
  <c r="Q3008" i="3"/>
  <c r="R3008" i="3" s="1"/>
  <c r="A3009" i="3"/>
  <c r="Q3009" i="3" l="1"/>
  <c r="R3009" i="3" s="1"/>
  <c r="A3010" i="3"/>
  <c r="S3009" i="3"/>
  <c r="P3010" i="3"/>
  <c r="S3010" i="3" l="1"/>
  <c r="P3011" i="3"/>
  <c r="Q3010" i="3"/>
  <c r="R3010" i="3" s="1"/>
  <c r="A3011" i="3"/>
  <c r="Q3011" i="3" l="1"/>
  <c r="R3011" i="3" s="1"/>
  <c r="A3012" i="3"/>
  <c r="S3011" i="3"/>
  <c r="P3012" i="3"/>
  <c r="S3012" i="3" l="1"/>
  <c r="P3013" i="3"/>
  <c r="Q3012" i="3"/>
  <c r="R3012" i="3" s="1"/>
  <c r="A3013" i="3"/>
  <c r="Q3013" i="3" l="1"/>
  <c r="R3013" i="3" s="1"/>
  <c r="A3014" i="3"/>
  <c r="S3013" i="3"/>
  <c r="P3014" i="3"/>
  <c r="S3014" i="3" l="1"/>
  <c r="P3015" i="3"/>
  <c r="Q3014" i="3"/>
  <c r="R3014" i="3" s="1"/>
  <c r="A3015" i="3"/>
  <c r="Q3015" i="3" l="1"/>
  <c r="R3015" i="3" s="1"/>
  <c r="A3016" i="3"/>
  <c r="S3015" i="3"/>
  <c r="P3016" i="3"/>
  <c r="S3016" i="3" l="1"/>
  <c r="P3017" i="3"/>
  <c r="Q3016" i="3"/>
  <c r="R3016" i="3" s="1"/>
  <c r="A3017" i="3"/>
  <c r="Q3017" i="3" l="1"/>
  <c r="R3017" i="3" s="1"/>
  <c r="A3018" i="3"/>
  <c r="S3017" i="3"/>
  <c r="P3018" i="3"/>
  <c r="S3018" i="3" l="1"/>
  <c r="P3019" i="3"/>
  <c r="Q3018" i="3"/>
  <c r="R3018" i="3" s="1"/>
  <c r="A3019" i="3"/>
  <c r="Q3019" i="3" l="1"/>
  <c r="R3019" i="3" s="1"/>
  <c r="A3020" i="3"/>
  <c r="S3019" i="3"/>
  <c r="P3020" i="3"/>
  <c r="S3020" i="3" l="1"/>
  <c r="P3021" i="3"/>
  <c r="Q3020" i="3"/>
  <c r="R3020" i="3" s="1"/>
  <c r="A3021" i="3"/>
  <c r="Q3021" i="3" l="1"/>
  <c r="R3021" i="3" s="1"/>
  <c r="A3022" i="3"/>
  <c r="S3021" i="3"/>
  <c r="P3022" i="3"/>
  <c r="S3022" i="3" l="1"/>
  <c r="P3023" i="3"/>
  <c r="Q3022" i="3"/>
  <c r="R3022" i="3" s="1"/>
  <c r="A3023" i="3"/>
  <c r="Q3023" i="3" l="1"/>
  <c r="R3023" i="3" s="1"/>
  <c r="A3024" i="3"/>
  <c r="S3023" i="3"/>
  <c r="P3024" i="3"/>
  <c r="S3024" i="3" l="1"/>
  <c r="P3025" i="3"/>
  <c r="Q3024" i="3"/>
  <c r="R3024" i="3" s="1"/>
  <c r="A3025" i="3"/>
  <c r="Q3025" i="3" l="1"/>
  <c r="R3025" i="3" s="1"/>
  <c r="A3026" i="3"/>
  <c r="S3025" i="3"/>
  <c r="P3026" i="3"/>
  <c r="S3026" i="3" l="1"/>
  <c r="P3027" i="3"/>
  <c r="Q3026" i="3"/>
  <c r="R3026" i="3" s="1"/>
  <c r="A3027" i="3"/>
  <c r="Q3027" i="3" l="1"/>
  <c r="R3027" i="3" s="1"/>
  <c r="A3028" i="3"/>
  <c r="S3027" i="3"/>
  <c r="P3028" i="3"/>
  <c r="S3028" i="3" l="1"/>
  <c r="P3029" i="3"/>
  <c r="Q3028" i="3"/>
  <c r="R3028" i="3" s="1"/>
  <c r="A3029" i="3"/>
  <c r="Q3029" i="3" l="1"/>
  <c r="R3029" i="3" s="1"/>
  <c r="A3030" i="3"/>
  <c r="S3029" i="3"/>
  <c r="P3030" i="3"/>
  <c r="S3030" i="3" l="1"/>
  <c r="P3031" i="3"/>
  <c r="Q3030" i="3"/>
  <c r="R3030" i="3" s="1"/>
  <c r="A3031" i="3"/>
  <c r="Q3031" i="3" l="1"/>
  <c r="R3031" i="3" s="1"/>
  <c r="A3032" i="3"/>
  <c r="S3031" i="3"/>
  <c r="P3032" i="3"/>
  <c r="S3032" i="3" l="1"/>
  <c r="P3033" i="3"/>
  <c r="Q3032" i="3"/>
  <c r="R3032" i="3" s="1"/>
  <c r="A3033" i="3"/>
  <c r="Q3033" i="3" l="1"/>
  <c r="R3033" i="3" s="1"/>
  <c r="A3034" i="3"/>
  <c r="S3033" i="3"/>
  <c r="P3034" i="3"/>
  <c r="S3034" i="3" l="1"/>
  <c r="P3035" i="3"/>
  <c r="Q3034" i="3"/>
  <c r="R3034" i="3" s="1"/>
  <c r="A3035" i="3"/>
  <c r="Q3035" i="3" l="1"/>
  <c r="R3035" i="3" s="1"/>
  <c r="A3036" i="3"/>
  <c r="S3035" i="3"/>
  <c r="P3036" i="3"/>
  <c r="S3036" i="3" l="1"/>
  <c r="P3037" i="3"/>
  <c r="Q3036" i="3"/>
  <c r="R3036" i="3" s="1"/>
  <c r="A3037" i="3"/>
  <c r="Q3037" i="3" l="1"/>
  <c r="R3037" i="3" s="1"/>
  <c r="A3038" i="3"/>
  <c r="S3037" i="3"/>
  <c r="P3038" i="3"/>
  <c r="S3038" i="3" l="1"/>
  <c r="P3039" i="3"/>
  <c r="Q3038" i="3"/>
  <c r="R3038" i="3" s="1"/>
  <c r="A3039" i="3"/>
  <c r="Q3039" i="3" l="1"/>
  <c r="R3039" i="3" s="1"/>
  <c r="A3040" i="3"/>
  <c r="S3039" i="3"/>
  <c r="P3040" i="3"/>
  <c r="S3040" i="3" l="1"/>
  <c r="P3041" i="3"/>
  <c r="Q3040" i="3"/>
  <c r="R3040" i="3" s="1"/>
  <c r="A3041" i="3"/>
  <c r="Q3041" i="3" l="1"/>
  <c r="R3041" i="3" s="1"/>
  <c r="A3042" i="3"/>
  <c r="S3041" i="3"/>
  <c r="P3042" i="3"/>
  <c r="S3042" i="3" l="1"/>
  <c r="P3043" i="3"/>
  <c r="Q3042" i="3"/>
  <c r="R3042" i="3" s="1"/>
  <c r="A3043" i="3"/>
  <c r="Q3043" i="3" l="1"/>
  <c r="R3043" i="3" s="1"/>
  <c r="A3044" i="3"/>
  <c r="S3043" i="3"/>
  <c r="P3044" i="3"/>
  <c r="S3044" i="3" l="1"/>
  <c r="P3045" i="3"/>
  <c r="Q3044" i="3"/>
  <c r="R3044" i="3" s="1"/>
  <c r="A3045" i="3"/>
  <c r="Q3045" i="3" l="1"/>
  <c r="R3045" i="3" s="1"/>
  <c r="A3046" i="3"/>
  <c r="S3045" i="3"/>
  <c r="P3046" i="3"/>
  <c r="S3046" i="3" l="1"/>
  <c r="P3047" i="3"/>
  <c r="Q3046" i="3"/>
  <c r="R3046" i="3" s="1"/>
  <c r="A3047" i="3"/>
  <c r="Q3047" i="3" l="1"/>
  <c r="R3047" i="3" s="1"/>
  <c r="A3048" i="3"/>
  <c r="S3047" i="3"/>
  <c r="P3048" i="3"/>
  <c r="S3048" i="3" l="1"/>
  <c r="P3049" i="3"/>
  <c r="Q3048" i="3"/>
  <c r="R3048" i="3" s="1"/>
  <c r="A3049" i="3"/>
  <c r="Q3049" i="3" l="1"/>
  <c r="R3049" i="3" s="1"/>
  <c r="A3050" i="3"/>
  <c r="S3049" i="3"/>
  <c r="P3050" i="3"/>
  <c r="S3050" i="3" l="1"/>
  <c r="P3051" i="3"/>
  <c r="Q3050" i="3"/>
  <c r="R3050" i="3" s="1"/>
  <c r="A3051" i="3"/>
  <c r="Q3051" i="3" l="1"/>
  <c r="R3051" i="3" s="1"/>
  <c r="A3052" i="3"/>
  <c r="S3051" i="3"/>
  <c r="P3052" i="3"/>
  <c r="S3052" i="3" l="1"/>
  <c r="P3053" i="3"/>
  <c r="Q3052" i="3"/>
  <c r="R3052" i="3" s="1"/>
  <c r="A3053" i="3"/>
  <c r="Q3053" i="3" l="1"/>
  <c r="R3053" i="3" s="1"/>
  <c r="A3054" i="3"/>
  <c r="S3053" i="3"/>
  <c r="P3054" i="3"/>
  <c r="S3054" i="3" l="1"/>
  <c r="P3055" i="3"/>
  <c r="Q3054" i="3"/>
  <c r="R3054" i="3" s="1"/>
  <c r="A3055" i="3"/>
  <c r="Q3055" i="3" l="1"/>
  <c r="R3055" i="3" s="1"/>
  <c r="A3056" i="3"/>
  <c r="S3055" i="3"/>
  <c r="P3056" i="3"/>
  <c r="S3056" i="3" l="1"/>
  <c r="P3057" i="3"/>
  <c r="Q3056" i="3"/>
  <c r="R3056" i="3" s="1"/>
  <c r="A3057" i="3"/>
  <c r="Q3057" i="3" l="1"/>
  <c r="R3057" i="3" s="1"/>
  <c r="A3058" i="3"/>
  <c r="S3057" i="3"/>
  <c r="P3058" i="3"/>
  <c r="S3058" i="3" l="1"/>
  <c r="P3059" i="3"/>
  <c r="Q3058" i="3"/>
  <c r="R3058" i="3" s="1"/>
  <c r="A3059" i="3"/>
  <c r="Q3059" i="3" l="1"/>
  <c r="R3059" i="3" s="1"/>
  <c r="A3060" i="3"/>
  <c r="S3059" i="3"/>
  <c r="P3060" i="3"/>
  <c r="S3060" i="3" l="1"/>
  <c r="P3061" i="3"/>
  <c r="Q3060" i="3"/>
  <c r="R3060" i="3" s="1"/>
  <c r="A3061" i="3"/>
  <c r="Q3061" i="3" l="1"/>
  <c r="R3061" i="3" s="1"/>
  <c r="A3062" i="3"/>
  <c r="S3061" i="3"/>
  <c r="P3062" i="3"/>
  <c r="S3062" i="3" l="1"/>
  <c r="P3063" i="3"/>
  <c r="Q3062" i="3"/>
  <c r="R3062" i="3" s="1"/>
  <c r="A3063" i="3"/>
  <c r="P3064" i="3" l="1"/>
  <c r="Q3063" i="3"/>
  <c r="R3063" i="3" s="1"/>
  <c r="A3064" i="3"/>
  <c r="S3063" i="3"/>
  <c r="A3065" i="3" l="1"/>
  <c r="S3064" i="3"/>
  <c r="P3065" i="3"/>
  <c r="Q3064" i="3"/>
  <c r="R3064" i="3" s="1"/>
  <c r="P3066" i="3" l="1"/>
  <c r="A3066" i="3"/>
  <c r="S3065" i="3"/>
  <c r="Q3065" i="3"/>
  <c r="R3065" i="3" s="1"/>
  <c r="A3067" i="3" l="1"/>
  <c r="S3066" i="3"/>
  <c r="P3067" i="3"/>
  <c r="Q3066" i="3"/>
  <c r="R3066" i="3" s="1"/>
  <c r="P3068" i="3" l="1"/>
  <c r="S3067" i="3"/>
  <c r="Q3067" i="3"/>
  <c r="R3067" i="3" s="1"/>
  <c r="A3068" i="3"/>
  <c r="P3069" i="3" l="1"/>
  <c r="A3069" i="3"/>
  <c r="S3068" i="3"/>
  <c r="Q3068" i="3"/>
  <c r="R3068" i="3" s="1"/>
  <c r="A3070" i="3" l="1"/>
  <c r="P3070" i="3"/>
  <c r="S3069" i="3"/>
  <c r="Q3069" i="3"/>
  <c r="R3069" i="3" s="1"/>
  <c r="P3071" i="3" l="1"/>
  <c r="A3071" i="3"/>
  <c r="S3070" i="3"/>
  <c r="Q3070" i="3"/>
  <c r="R3070" i="3" s="1"/>
  <c r="A3072" i="3" l="1"/>
  <c r="P3072" i="3"/>
  <c r="Q3071" i="3"/>
  <c r="R3071" i="3" s="1"/>
  <c r="S3071" i="3"/>
  <c r="P3073" i="3" l="1"/>
  <c r="A3073" i="3"/>
  <c r="S3072" i="3"/>
  <c r="Q3072" i="3"/>
  <c r="R3072" i="3" s="1"/>
  <c r="A3074" i="3" l="1"/>
  <c r="P3074" i="3"/>
  <c r="S3073" i="3"/>
  <c r="Q3073" i="3"/>
  <c r="R3073" i="3" s="1"/>
  <c r="P3075" i="3" l="1"/>
  <c r="A3075" i="3"/>
  <c r="S3074" i="3"/>
  <c r="Q3074" i="3"/>
  <c r="R3074" i="3" s="1"/>
  <c r="A3076" i="3" l="1"/>
  <c r="P3076" i="3"/>
  <c r="Q3075" i="3"/>
  <c r="R3075" i="3" s="1"/>
  <c r="S3075" i="3"/>
  <c r="P3077" i="3" l="1"/>
  <c r="A3077" i="3"/>
  <c r="S3076" i="3"/>
  <c r="Q3076" i="3"/>
  <c r="R3076" i="3" s="1"/>
  <c r="A3078" i="3" l="1"/>
  <c r="P3078" i="3"/>
  <c r="S3077" i="3"/>
  <c r="Q3077" i="3"/>
  <c r="R3077" i="3" s="1"/>
  <c r="P3079" i="3" l="1"/>
  <c r="A3079" i="3"/>
  <c r="S3078" i="3"/>
  <c r="Q3078" i="3"/>
  <c r="R3078" i="3" s="1"/>
  <c r="A3080" i="3" l="1"/>
  <c r="P3080" i="3"/>
  <c r="Q3079" i="3"/>
  <c r="R3079" i="3" s="1"/>
  <c r="S3079" i="3"/>
  <c r="P3081" i="3" l="1"/>
  <c r="A3081" i="3"/>
  <c r="S3080" i="3"/>
  <c r="Q3080" i="3"/>
  <c r="R3080" i="3" s="1"/>
  <c r="A3082" i="3" l="1"/>
  <c r="P3082" i="3"/>
  <c r="S3081" i="3"/>
  <c r="Q3081" i="3"/>
  <c r="R3081" i="3" s="1"/>
  <c r="P3083" i="3" l="1"/>
  <c r="A3083" i="3"/>
  <c r="S3082" i="3"/>
  <c r="Q3082" i="3"/>
  <c r="R3082" i="3" s="1"/>
  <c r="A3084" i="3" l="1"/>
  <c r="P3084" i="3"/>
  <c r="Q3083" i="3"/>
  <c r="R3083" i="3" s="1"/>
  <c r="S3083" i="3"/>
  <c r="P3085" i="3" l="1"/>
  <c r="A3085" i="3"/>
  <c r="S3084" i="3"/>
  <c r="Q3084" i="3"/>
  <c r="R3084" i="3" s="1"/>
  <c r="A3086" i="3" l="1"/>
  <c r="P3086" i="3"/>
  <c r="S3085" i="3"/>
  <c r="Q3085" i="3"/>
  <c r="R3085" i="3" s="1"/>
  <c r="P3087" i="3" l="1"/>
  <c r="A3087" i="3"/>
  <c r="S3086" i="3"/>
  <c r="Q3086" i="3"/>
  <c r="R3086" i="3" s="1"/>
  <c r="A3088" i="3" l="1"/>
  <c r="P3088" i="3"/>
  <c r="Q3087" i="3"/>
  <c r="R3087" i="3" s="1"/>
  <c r="S3087" i="3"/>
  <c r="P3089" i="3" l="1"/>
  <c r="A3089" i="3"/>
  <c r="S3088" i="3"/>
  <c r="Q3088" i="3"/>
  <c r="R3088" i="3" s="1"/>
  <c r="A3090" i="3" l="1"/>
  <c r="P3090" i="3"/>
  <c r="S3089" i="3"/>
  <c r="Q3089" i="3"/>
  <c r="R3089" i="3" s="1"/>
  <c r="P3091" i="3" l="1"/>
  <c r="A3091" i="3"/>
  <c r="S3090" i="3"/>
  <c r="Q3090" i="3"/>
  <c r="R3090" i="3" s="1"/>
  <c r="A3092" i="3" l="1"/>
  <c r="P3092" i="3"/>
  <c r="Q3091" i="3"/>
  <c r="R3091" i="3" s="1"/>
  <c r="S3091" i="3"/>
  <c r="P3093" i="3" l="1"/>
  <c r="A3093" i="3"/>
  <c r="S3092" i="3"/>
  <c r="Q3092" i="3"/>
  <c r="R3092" i="3" s="1"/>
  <c r="A3094" i="3" l="1"/>
  <c r="P3094" i="3"/>
  <c r="S3093" i="3"/>
  <c r="Q3093" i="3"/>
  <c r="R3093" i="3" s="1"/>
  <c r="P3095" i="3" l="1"/>
  <c r="A3095" i="3"/>
  <c r="S3094" i="3"/>
  <c r="Q3094" i="3"/>
  <c r="R3094" i="3" s="1"/>
  <c r="A3096" i="3" l="1"/>
  <c r="P3096" i="3"/>
  <c r="Q3095" i="3"/>
  <c r="R3095" i="3" s="1"/>
  <c r="S3095" i="3"/>
  <c r="P3097" i="3" l="1"/>
  <c r="A3097" i="3"/>
  <c r="S3096" i="3"/>
  <c r="Q3096" i="3"/>
  <c r="R3096" i="3" s="1"/>
  <c r="A3098" i="3" l="1"/>
  <c r="P3098" i="3"/>
  <c r="S3097" i="3"/>
  <c r="Q3097" i="3"/>
  <c r="R3097" i="3" s="1"/>
  <c r="P3099" i="3" l="1"/>
  <c r="A3099" i="3"/>
  <c r="S3098" i="3"/>
  <c r="Q3098" i="3"/>
  <c r="R3098" i="3" s="1"/>
  <c r="A3100" i="3" l="1"/>
  <c r="P3100" i="3"/>
  <c r="Q3099" i="3"/>
  <c r="R3099" i="3" s="1"/>
  <c r="S3099" i="3"/>
  <c r="P3101" i="3" l="1"/>
  <c r="A3101" i="3"/>
  <c r="S3100" i="3"/>
  <c r="Q3100" i="3"/>
  <c r="R3100" i="3" s="1"/>
  <c r="A3102" i="3" l="1"/>
  <c r="P3102" i="3"/>
  <c r="S3101" i="3"/>
  <c r="Q3101" i="3"/>
  <c r="R3101" i="3" s="1"/>
  <c r="P3103" i="3" l="1"/>
  <c r="A3103" i="3"/>
  <c r="S3102" i="3"/>
  <c r="Q3102" i="3"/>
  <c r="R3102" i="3" s="1"/>
  <c r="A3104" i="3" l="1"/>
  <c r="P3104" i="3"/>
  <c r="Q3103" i="3"/>
  <c r="R3103" i="3" s="1"/>
  <c r="S3103" i="3"/>
  <c r="P3105" i="3" l="1"/>
  <c r="A3105" i="3"/>
  <c r="S3104" i="3"/>
  <c r="Q3104" i="3"/>
  <c r="R3104" i="3" s="1"/>
  <c r="A3106" i="3" l="1"/>
  <c r="P3106" i="3"/>
  <c r="S3105" i="3"/>
  <c r="Q3105" i="3"/>
  <c r="R3105" i="3" s="1"/>
  <c r="P3107" i="3" l="1"/>
  <c r="A3107" i="3"/>
  <c r="S3106" i="3"/>
  <c r="Q3106" i="3"/>
  <c r="R3106" i="3" s="1"/>
  <c r="A3108" i="3" l="1"/>
  <c r="P3108" i="3"/>
  <c r="Q3107" i="3"/>
  <c r="R3107" i="3" s="1"/>
  <c r="S3107" i="3"/>
  <c r="P3109" i="3" l="1"/>
  <c r="A3109" i="3"/>
  <c r="S3108" i="3"/>
  <c r="Q3108" i="3"/>
  <c r="R3108" i="3" s="1"/>
  <c r="A3110" i="3" l="1"/>
  <c r="P3110" i="3"/>
  <c r="S3109" i="3"/>
  <c r="Q3109" i="3"/>
  <c r="R3109" i="3" s="1"/>
  <c r="P3111" i="3" l="1"/>
  <c r="A3111" i="3"/>
  <c r="S3110" i="3"/>
  <c r="Q3110" i="3"/>
  <c r="R3110" i="3" s="1"/>
  <c r="A3112" i="3" l="1"/>
  <c r="P3112" i="3"/>
  <c r="Q3111" i="3"/>
  <c r="R3111" i="3" s="1"/>
  <c r="S3111" i="3"/>
  <c r="P3113" i="3" l="1"/>
  <c r="A3113" i="3"/>
  <c r="S3112" i="3"/>
  <c r="Q3112" i="3"/>
  <c r="R3112" i="3" s="1"/>
  <c r="A3114" i="3" l="1"/>
  <c r="P3114" i="3"/>
  <c r="S3113" i="3"/>
  <c r="Q3113" i="3"/>
  <c r="R3113" i="3" s="1"/>
  <c r="P3115" i="3" l="1"/>
  <c r="A3115" i="3"/>
  <c r="S3114" i="3"/>
  <c r="Q3114" i="3"/>
  <c r="R3114" i="3" s="1"/>
  <c r="A3116" i="3" l="1"/>
  <c r="P3116" i="3"/>
  <c r="Q3115" i="3"/>
  <c r="R3115" i="3" s="1"/>
  <c r="S3115" i="3"/>
  <c r="P3117" i="3" l="1"/>
  <c r="A3117" i="3"/>
  <c r="S3116" i="3"/>
  <c r="Q3116" i="3"/>
  <c r="R3116" i="3" s="1"/>
  <c r="A3118" i="3" l="1"/>
  <c r="P3118" i="3"/>
  <c r="S3117" i="3"/>
  <c r="Q3117" i="3"/>
  <c r="R3117" i="3" s="1"/>
  <c r="P3119" i="3" l="1"/>
  <c r="A3119" i="3"/>
  <c r="S3118" i="3"/>
  <c r="Q3118" i="3"/>
  <c r="R3118" i="3" s="1"/>
  <c r="A3120" i="3" l="1"/>
  <c r="P3120" i="3"/>
  <c r="Q3119" i="3"/>
  <c r="R3119" i="3" s="1"/>
  <c r="S3119" i="3"/>
  <c r="P3121" i="3" l="1"/>
  <c r="A3121" i="3"/>
  <c r="S3120" i="3"/>
  <c r="Q3120" i="3"/>
  <c r="R3120" i="3" s="1"/>
  <c r="A3122" i="3" l="1"/>
  <c r="P3122" i="3"/>
  <c r="S3121" i="3"/>
  <c r="Q3121" i="3"/>
  <c r="R3121" i="3" s="1"/>
  <c r="P3123" i="3" l="1"/>
  <c r="A3123" i="3"/>
  <c r="S3122" i="3"/>
  <c r="Q3122" i="3"/>
  <c r="R3122" i="3" s="1"/>
  <c r="A3124" i="3" l="1"/>
  <c r="P3124" i="3"/>
  <c r="Q3123" i="3"/>
  <c r="R3123" i="3" s="1"/>
  <c r="S3123" i="3"/>
  <c r="P3125" i="3" l="1"/>
  <c r="A3125" i="3"/>
  <c r="S3124" i="3"/>
  <c r="Q3124" i="3"/>
  <c r="R3124" i="3" s="1"/>
  <c r="A3126" i="3" l="1"/>
  <c r="P3126" i="3"/>
  <c r="S3125" i="3"/>
  <c r="Q3125" i="3"/>
  <c r="R3125" i="3" s="1"/>
  <c r="P3127" i="3" l="1"/>
  <c r="A3127" i="3"/>
  <c r="S3126" i="3"/>
  <c r="Q3126" i="3"/>
  <c r="R3126" i="3" s="1"/>
  <c r="A3128" i="3" l="1"/>
  <c r="P3128" i="3"/>
  <c r="Q3127" i="3"/>
  <c r="R3127" i="3" s="1"/>
  <c r="S3127" i="3"/>
  <c r="P3129" i="3" l="1"/>
  <c r="A3129" i="3"/>
  <c r="S3128" i="3"/>
  <c r="Q3128" i="3"/>
  <c r="R3128" i="3" s="1"/>
  <c r="A3130" i="3" l="1"/>
  <c r="P3130" i="3"/>
  <c r="Q3129" i="3"/>
  <c r="R3129" i="3" s="1"/>
  <c r="S3129" i="3"/>
  <c r="P3131" i="3" l="1"/>
  <c r="A3131" i="3"/>
  <c r="S3130" i="3"/>
  <c r="Q3130" i="3"/>
  <c r="R3130" i="3" s="1"/>
  <c r="A3132" i="3" l="1"/>
  <c r="P3132" i="3"/>
  <c r="Q3131" i="3"/>
  <c r="R3131" i="3" s="1"/>
  <c r="S3131" i="3"/>
  <c r="P3133" i="3" l="1"/>
  <c r="A3133" i="3"/>
  <c r="S3132" i="3"/>
  <c r="Q3132" i="3"/>
  <c r="R3132" i="3" s="1"/>
  <c r="A3134" i="3" l="1"/>
  <c r="S3133" i="3"/>
  <c r="P3134" i="3"/>
  <c r="Q3133" i="3"/>
  <c r="R3133" i="3" s="1"/>
  <c r="P3135" i="3" l="1"/>
  <c r="Q3134" i="3"/>
  <c r="R3134" i="3" s="1"/>
  <c r="A3135" i="3"/>
  <c r="S3134" i="3"/>
  <c r="A3136" i="3" l="1"/>
  <c r="S3135" i="3"/>
  <c r="P3136" i="3"/>
  <c r="Q3135" i="3"/>
  <c r="R3135" i="3" s="1"/>
  <c r="P3137" i="3" l="1"/>
  <c r="S3136" i="3"/>
  <c r="Q3136" i="3"/>
  <c r="R3136" i="3" s="1"/>
  <c r="A3137" i="3"/>
  <c r="A3138" i="3" l="1"/>
  <c r="P3138" i="3"/>
  <c r="Q3137" i="3"/>
  <c r="R3137" i="3" s="1"/>
  <c r="S3137" i="3"/>
  <c r="P3139" i="3" l="1"/>
  <c r="Q3138" i="3"/>
  <c r="R3138" i="3" s="1"/>
  <c r="A3139" i="3"/>
  <c r="S3138" i="3"/>
  <c r="A3140" i="3" l="1"/>
  <c r="P3140" i="3"/>
  <c r="Q3139" i="3"/>
  <c r="R3139" i="3" s="1"/>
  <c r="S3139" i="3"/>
  <c r="P3141" i="3" l="1"/>
  <c r="A3141" i="3"/>
  <c r="S3140" i="3"/>
  <c r="Q3140" i="3"/>
  <c r="R3140" i="3" s="1"/>
  <c r="A3142" i="3" l="1"/>
  <c r="S3141" i="3"/>
  <c r="P3142" i="3"/>
  <c r="Q3141" i="3"/>
  <c r="R3141" i="3" s="1"/>
  <c r="P3143" i="3" l="1"/>
  <c r="A3143" i="3"/>
  <c r="S3142" i="3"/>
  <c r="Q3142" i="3"/>
  <c r="R3142" i="3" s="1"/>
  <c r="A3144" i="3" l="1"/>
  <c r="S3143" i="3"/>
  <c r="P3144" i="3"/>
  <c r="Q3143" i="3"/>
  <c r="R3143" i="3" s="1"/>
  <c r="P3145" i="3" l="1"/>
  <c r="S3144" i="3"/>
  <c r="Q3144" i="3"/>
  <c r="R3144" i="3" s="1"/>
  <c r="A3145" i="3"/>
  <c r="A3146" i="3" l="1"/>
  <c r="P3146" i="3"/>
  <c r="Q3145" i="3"/>
  <c r="R3145" i="3" s="1"/>
  <c r="S3145" i="3"/>
  <c r="P3147" i="3" l="1"/>
  <c r="Q3146" i="3"/>
  <c r="R3146" i="3" s="1"/>
  <c r="A3147" i="3"/>
  <c r="S3146" i="3"/>
  <c r="A3148" i="3" l="1"/>
  <c r="P3148" i="3"/>
  <c r="Q3147" i="3"/>
  <c r="R3147" i="3" s="1"/>
  <c r="S3147" i="3"/>
  <c r="P3149" i="3" l="1"/>
  <c r="A3149" i="3"/>
  <c r="S3148" i="3"/>
  <c r="Q3148" i="3"/>
  <c r="R3148" i="3" s="1"/>
  <c r="A3150" i="3" l="1"/>
  <c r="S3149" i="3"/>
  <c r="P3150" i="3"/>
  <c r="Q3149" i="3"/>
  <c r="R3149" i="3" s="1"/>
  <c r="P3151" i="3" l="1"/>
  <c r="A3151" i="3"/>
  <c r="S3150" i="3"/>
  <c r="Q3150" i="3"/>
  <c r="R3150" i="3" s="1"/>
  <c r="A3152" i="3" l="1"/>
  <c r="S3151" i="3"/>
  <c r="P3152" i="3"/>
  <c r="Q3151" i="3"/>
  <c r="R3151" i="3" s="1"/>
  <c r="P3153" i="3" l="1"/>
  <c r="S3152" i="3"/>
  <c r="Q3152" i="3"/>
  <c r="R3152" i="3" s="1"/>
  <c r="A3153" i="3"/>
  <c r="A3154" i="3" l="1"/>
  <c r="P3154" i="3"/>
  <c r="Q3153" i="3"/>
  <c r="R3153" i="3" s="1"/>
  <c r="S3153" i="3"/>
  <c r="P3155" i="3" l="1"/>
  <c r="Q3154" i="3"/>
  <c r="R3154" i="3" s="1"/>
  <c r="A3155" i="3"/>
  <c r="S3154" i="3"/>
  <c r="A3156" i="3" l="1"/>
  <c r="P3156" i="3"/>
  <c r="Q3155" i="3"/>
  <c r="R3155" i="3" s="1"/>
  <c r="S3155" i="3"/>
  <c r="P3157" i="3" l="1"/>
  <c r="A3157" i="3"/>
  <c r="S3156" i="3"/>
  <c r="Q3156" i="3"/>
  <c r="R3156" i="3" s="1"/>
  <c r="A3158" i="3" l="1"/>
  <c r="S3157" i="3"/>
  <c r="P3158" i="3"/>
  <c r="Q3157" i="3"/>
  <c r="R3157" i="3" s="1"/>
  <c r="P3159" i="3" l="1"/>
  <c r="A3159" i="3"/>
  <c r="S3158" i="3"/>
  <c r="Q3158" i="3"/>
  <c r="R3158" i="3" s="1"/>
  <c r="A3160" i="3" l="1"/>
  <c r="S3159" i="3"/>
  <c r="P3160" i="3"/>
  <c r="Q3159" i="3"/>
  <c r="R3159" i="3" s="1"/>
  <c r="P3161" i="3" l="1"/>
  <c r="S3160" i="3"/>
  <c r="Q3160" i="3"/>
  <c r="R3160" i="3" s="1"/>
  <c r="A3161" i="3"/>
  <c r="A3162" i="3" l="1"/>
  <c r="P3162" i="3"/>
  <c r="Q3161" i="3"/>
  <c r="R3161" i="3" s="1"/>
  <c r="S3161" i="3"/>
  <c r="P3163" i="3" l="1"/>
  <c r="Q3162" i="3"/>
  <c r="R3162" i="3" s="1"/>
  <c r="S3162" i="3"/>
  <c r="A3163" i="3"/>
  <c r="A3164" i="3" l="1"/>
  <c r="S3163" i="3"/>
  <c r="Q3163" i="3"/>
  <c r="R3163" i="3" s="1"/>
  <c r="P3164" i="3"/>
  <c r="P3165" i="3" l="1"/>
  <c r="Q3164" i="3"/>
  <c r="R3164" i="3" s="1"/>
  <c r="A3165" i="3"/>
  <c r="S3164" i="3"/>
  <c r="A3166" i="3" l="1"/>
  <c r="S3165" i="3"/>
  <c r="Q3165" i="3"/>
  <c r="R3165" i="3" s="1"/>
  <c r="P3166" i="3"/>
  <c r="A3167" i="3" l="1"/>
  <c r="P3167" i="3"/>
  <c r="Q3166" i="3"/>
  <c r="R3166" i="3" s="1"/>
  <c r="S3166" i="3"/>
  <c r="P3168" i="3" l="1"/>
  <c r="Q3167" i="3"/>
  <c r="R3167" i="3" s="1"/>
  <c r="S3167" i="3"/>
  <c r="A3168" i="3"/>
  <c r="A3169" i="3" l="1"/>
  <c r="P3169" i="3"/>
  <c r="Q3168" i="3"/>
  <c r="R3168" i="3" s="1"/>
  <c r="S3168" i="3"/>
  <c r="P3170" i="3" l="1"/>
  <c r="A3170" i="3"/>
  <c r="S3169" i="3"/>
  <c r="Q3169" i="3"/>
  <c r="R3169" i="3" s="1"/>
  <c r="A3171" i="3" l="1"/>
  <c r="S3170" i="3"/>
  <c r="P3171" i="3"/>
  <c r="Q3170" i="3"/>
  <c r="R3170" i="3" s="1"/>
  <c r="P3172" i="3" l="1"/>
  <c r="A3172" i="3"/>
  <c r="S3171" i="3"/>
  <c r="Q3171" i="3"/>
  <c r="R3171" i="3" s="1"/>
  <c r="A3173" i="3" l="1"/>
  <c r="S3172" i="3"/>
  <c r="Q3172" i="3"/>
  <c r="R3172" i="3" s="1"/>
  <c r="P3173" i="3"/>
  <c r="P3174" i="3" l="1"/>
  <c r="S3173" i="3"/>
  <c r="Q3173" i="3"/>
  <c r="R3173" i="3" s="1"/>
  <c r="A3174" i="3"/>
  <c r="A3175" i="3" l="1"/>
  <c r="P3175" i="3"/>
  <c r="Q3174" i="3"/>
  <c r="R3174" i="3" s="1"/>
  <c r="S3174" i="3"/>
  <c r="P3176" i="3" l="1"/>
  <c r="Q3175" i="3"/>
  <c r="R3175" i="3" s="1"/>
  <c r="A3176" i="3"/>
  <c r="S3175" i="3"/>
  <c r="A3177" i="3" l="1"/>
  <c r="P3177" i="3"/>
  <c r="Q3176" i="3"/>
  <c r="R3176" i="3" s="1"/>
  <c r="S3176" i="3"/>
  <c r="P3178" i="3" l="1"/>
  <c r="A3178" i="3"/>
  <c r="S3177" i="3"/>
  <c r="Q3177" i="3"/>
  <c r="R3177" i="3" s="1"/>
  <c r="A3179" i="3" l="1"/>
  <c r="S3178" i="3"/>
  <c r="Q3178" i="3"/>
  <c r="R3178" i="3" s="1"/>
  <c r="P3179" i="3"/>
  <c r="P3180" i="3" l="1"/>
  <c r="A3180" i="3"/>
  <c r="S3179" i="3"/>
  <c r="Q3179" i="3"/>
  <c r="R3179" i="3" s="1"/>
  <c r="A3181" i="3" l="1"/>
  <c r="S3180" i="3"/>
  <c r="P3181" i="3"/>
  <c r="Q3180" i="3"/>
  <c r="R3180" i="3" s="1"/>
  <c r="P3182" i="3" l="1"/>
  <c r="S3181" i="3"/>
  <c r="Q3181" i="3"/>
  <c r="R3181" i="3" s="1"/>
  <c r="A3182" i="3"/>
  <c r="A3183" i="3" l="1"/>
  <c r="P3183" i="3"/>
  <c r="Q3182" i="3"/>
  <c r="R3182" i="3" s="1"/>
  <c r="S3182" i="3"/>
  <c r="P3184" i="3" l="1"/>
  <c r="Q3183" i="3"/>
  <c r="R3183" i="3" s="1"/>
  <c r="A3184" i="3"/>
  <c r="S3183" i="3"/>
  <c r="A3185" i="3" l="1"/>
  <c r="P3185" i="3"/>
  <c r="Q3184" i="3"/>
  <c r="R3184" i="3" s="1"/>
  <c r="S3184" i="3"/>
  <c r="P3186" i="3" l="1"/>
  <c r="A3186" i="3"/>
  <c r="S3185" i="3"/>
  <c r="Q3185" i="3"/>
  <c r="R3185" i="3" s="1"/>
  <c r="A3187" i="3" l="1"/>
  <c r="S3186" i="3"/>
  <c r="Q3186" i="3"/>
  <c r="R3186" i="3" s="1"/>
  <c r="P3187" i="3"/>
  <c r="P3188" i="3" l="1"/>
  <c r="A3188" i="3"/>
  <c r="S3187" i="3"/>
  <c r="Q3187" i="3"/>
  <c r="R3187" i="3" s="1"/>
  <c r="A3189" i="3" l="1"/>
  <c r="S3188" i="3"/>
  <c r="P3189" i="3"/>
  <c r="Q3188" i="3"/>
  <c r="R3188" i="3" s="1"/>
  <c r="P3190" i="3" l="1"/>
  <c r="S3189" i="3"/>
  <c r="Q3189" i="3"/>
  <c r="R3189" i="3" s="1"/>
  <c r="A3190" i="3"/>
  <c r="A3191" i="3" l="1"/>
  <c r="P3191" i="3"/>
  <c r="Q3190" i="3"/>
  <c r="R3190" i="3" s="1"/>
  <c r="S3190" i="3"/>
  <c r="P3192" i="3" l="1"/>
  <c r="Q3191" i="3"/>
  <c r="R3191" i="3" s="1"/>
  <c r="A3192" i="3"/>
  <c r="S3191" i="3"/>
  <c r="A3193" i="3" l="1"/>
  <c r="P3193" i="3"/>
  <c r="Q3192" i="3"/>
  <c r="R3192" i="3" s="1"/>
  <c r="S3192" i="3"/>
  <c r="P3194" i="3" l="1"/>
  <c r="A3194" i="3"/>
  <c r="S3193" i="3"/>
  <c r="Q3193" i="3"/>
  <c r="R3193" i="3" s="1"/>
  <c r="A3195" i="3" l="1"/>
  <c r="S3194" i="3"/>
  <c r="P3195" i="3"/>
  <c r="Q3194" i="3"/>
  <c r="R3194" i="3" s="1"/>
  <c r="P3196" i="3" l="1"/>
  <c r="A3196" i="3"/>
  <c r="S3195" i="3"/>
  <c r="Q3195" i="3"/>
  <c r="R3195" i="3" s="1"/>
  <c r="A3197" i="3" l="1"/>
  <c r="S3196" i="3"/>
  <c r="P3197" i="3"/>
  <c r="Q3196" i="3"/>
  <c r="R3196" i="3" s="1"/>
  <c r="P3198" i="3" l="1"/>
  <c r="S3197" i="3"/>
  <c r="Q3197" i="3"/>
  <c r="R3197" i="3" s="1"/>
  <c r="A3198" i="3"/>
  <c r="A3199" i="3" l="1"/>
  <c r="P3199" i="3"/>
  <c r="Q3198" i="3"/>
  <c r="R3198" i="3" s="1"/>
  <c r="S3198" i="3"/>
  <c r="P3200" i="3" l="1"/>
  <c r="Q3199" i="3"/>
  <c r="R3199" i="3" s="1"/>
  <c r="A3200" i="3"/>
  <c r="S3199" i="3"/>
  <c r="A3201" i="3" l="1"/>
  <c r="P3201" i="3"/>
  <c r="Q3200" i="3"/>
  <c r="R3200" i="3" s="1"/>
  <c r="S3200" i="3"/>
  <c r="P3202" i="3" l="1"/>
  <c r="A3202" i="3"/>
  <c r="S3201" i="3"/>
  <c r="Q3201" i="3"/>
  <c r="R3201" i="3" s="1"/>
  <c r="A3203" i="3" l="1"/>
  <c r="S3202" i="3"/>
  <c r="P3203" i="3"/>
  <c r="Q3202" i="3"/>
  <c r="R3202" i="3" s="1"/>
  <c r="P3204" i="3" l="1"/>
  <c r="A3204" i="3"/>
  <c r="S3203" i="3"/>
  <c r="Q3203" i="3"/>
  <c r="R3203" i="3" s="1"/>
  <c r="A3205" i="3" l="1"/>
  <c r="S3204" i="3"/>
  <c r="P3205" i="3"/>
  <c r="Q3204" i="3"/>
  <c r="R3204" i="3" s="1"/>
  <c r="P3206" i="3" l="1"/>
  <c r="S3205" i="3"/>
  <c r="Q3205" i="3"/>
  <c r="R3205" i="3" s="1"/>
  <c r="A3206" i="3"/>
  <c r="A3207" i="3" l="1"/>
  <c r="P3207" i="3"/>
  <c r="Q3206" i="3"/>
  <c r="R3206" i="3" s="1"/>
  <c r="S3206" i="3"/>
  <c r="P3208" i="3" l="1"/>
  <c r="Q3207" i="3"/>
  <c r="R3207" i="3" s="1"/>
  <c r="A3208" i="3"/>
  <c r="S3207" i="3"/>
  <c r="A3209" i="3" l="1"/>
  <c r="P3209" i="3"/>
  <c r="Q3208" i="3"/>
  <c r="R3208" i="3" s="1"/>
  <c r="S3208" i="3"/>
  <c r="P3210" i="3" l="1"/>
  <c r="A3210" i="3"/>
  <c r="S3209" i="3"/>
  <c r="Q3209" i="3"/>
  <c r="R3209" i="3" s="1"/>
  <c r="A3211" i="3" l="1"/>
  <c r="S3210" i="3"/>
  <c r="Q3210" i="3"/>
  <c r="R3210" i="3" s="1"/>
  <c r="P3211" i="3"/>
  <c r="P3212" i="3" l="1"/>
  <c r="A3212" i="3"/>
  <c r="S3211" i="3"/>
  <c r="Q3211" i="3"/>
  <c r="R3211" i="3" s="1"/>
  <c r="A3213" i="3" l="1"/>
  <c r="S3212" i="3"/>
  <c r="P3213" i="3"/>
  <c r="Q3212" i="3"/>
  <c r="R3212" i="3" s="1"/>
  <c r="P3214" i="3" l="1"/>
  <c r="S3213" i="3"/>
  <c r="Q3213" i="3"/>
  <c r="R3213" i="3" s="1"/>
  <c r="A3214" i="3"/>
  <c r="A3215" i="3" l="1"/>
  <c r="P3215" i="3"/>
  <c r="Q3214" i="3"/>
  <c r="R3214" i="3" s="1"/>
  <c r="S3214" i="3"/>
  <c r="P3216" i="3" l="1"/>
  <c r="Q3215" i="3"/>
  <c r="R3215" i="3" s="1"/>
  <c r="A3216" i="3"/>
  <c r="S3215" i="3"/>
  <c r="A3217" i="3" l="1"/>
  <c r="P3217" i="3"/>
  <c r="Q3216" i="3"/>
  <c r="R3216" i="3" s="1"/>
  <c r="S3216" i="3"/>
  <c r="P3218" i="3" l="1"/>
  <c r="A3218" i="3"/>
  <c r="S3217" i="3"/>
  <c r="Q3217" i="3"/>
  <c r="R3217" i="3" s="1"/>
  <c r="A3219" i="3" l="1"/>
  <c r="S3218" i="3"/>
  <c r="Q3218" i="3"/>
  <c r="R3218" i="3" s="1"/>
  <c r="P3219" i="3"/>
  <c r="P3220" i="3" l="1"/>
  <c r="A3220" i="3"/>
  <c r="S3219" i="3"/>
  <c r="Q3219" i="3"/>
  <c r="R3219" i="3" s="1"/>
  <c r="A3221" i="3" l="1"/>
  <c r="S3220" i="3"/>
  <c r="P3221" i="3"/>
  <c r="Q3220" i="3"/>
  <c r="R3220" i="3" s="1"/>
  <c r="P3222" i="3" l="1"/>
  <c r="S3221" i="3"/>
  <c r="Q3221" i="3"/>
  <c r="R3221" i="3" s="1"/>
  <c r="A3222" i="3"/>
  <c r="A3223" i="3" l="1"/>
  <c r="P3223" i="3"/>
  <c r="Q3222" i="3"/>
  <c r="R3222" i="3" s="1"/>
  <c r="S3222" i="3"/>
  <c r="P3224" i="3" l="1"/>
  <c r="Q3223" i="3"/>
  <c r="R3223" i="3" s="1"/>
  <c r="A3224" i="3"/>
  <c r="S3223" i="3"/>
  <c r="A3225" i="3" l="1"/>
  <c r="P3225" i="3"/>
  <c r="Q3224" i="3"/>
  <c r="R3224" i="3" s="1"/>
  <c r="S3224" i="3"/>
  <c r="P3226" i="3" l="1"/>
  <c r="A3226" i="3"/>
  <c r="S3225" i="3"/>
  <c r="Q3225" i="3"/>
  <c r="R3225" i="3" s="1"/>
  <c r="A3227" i="3" l="1"/>
  <c r="S3226" i="3"/>
  <c r="P3227" i="3"/>
  <c r="Q3226" i="3"/>
  <c r="R3226" i="3" s="1"/>
  <c r="P3228" i="3" l="1"/>
  <c r="A3228" i="3"/>
  <c r="S3227" i="3"/>
  <c r="Q3227" i="3"/>
  <c r="R3227" i="3" s="1"/>
  <c r="A3229" i="3" l="1"/>
  <c r="S3228" i="3"/>
  <c r="P3229" i="3"/>
  <c r="Q3228" i="3"/>
  <c r="R3228" i="3" s="1"/>
  <c r="P3230" i="3" l="1"/>
  <c r="S3229" i="3"/>
  <c r="Q3229" i="3"/>
  <c r="R3229" i="3" s="1"/>
  <c r="A3230" i="3"/>
  <c r="A3231" i="3" l="1"/>
  <c r="P3231" i="3"/>
  <c r="Q3230" i="3"/>
  <c r="R3230" i="3" s="1"/>
  <c r="S3230" i="3"/>
  <c r="P3232" i="3" l="1"/>
  <c r="Q3231" i="3"/>
  <c r="R3231" i="3" s="1"/>
  <c r="A3232" i="3"/>
  <c r="S3231" i="3"/>
  <c r="A3233" i="3" l="1"/>
  <c r="P3233" i="3"/>
  <c r="Q3232" i="3"/>
  <c r="R3232" i="3" s="1"/>
  <c r="S3232" i="3"/>
  <c r="P3234" i="3" l="1"/>
  <c r="A3234" i="3"/>
  <c r="S3233" i="3"/>
  <c r="Q3233" i="3"/>
  <c r="R3233" i="3" s="1"/>
  <c r="A3235" i="3" l="1"/>
  <c r="S3234" i="3"/>
  <c r="P3235" i="3"/>
  <c r="Q3234" i="3"/>
  <c r="R3234" i="3" s="1"/>
  <c r="P3236" i="3" l="1"/>
  <c r="A3236" i="3"/>
  <c r="S3235" i="3"/>
  <c r="Q3235" i="3"/>
  <c r="R3235" i="3" s="1"/>
  <c r="A3237" i="3" l="1"/>
  <c r="S3236" i="3"/>
  <c r="P3237" i="3"/>
  <c r="Q3236" i="3"/>
  <c r="R3236" i="3" s="1"/>
  <c r="P3238" i="3" l="1"/>
  <c r="S3237" i="3"/>
  <c r="Q3237" i="3"/>
  <c r="R3237" i="3" s="1"/>
  <c r="A3238" i="3"/>
  <c r="A3239" i="3" l="1"/>
  <c r="P3239" i="3"/>
  <c r="Q3238" i="3"/>
  <c r="R3238" i="3" s="1"/>
  <c r="S3238" i="3"/>
  <c r="P3240" i="3" l="1"/>
  <c r="Q3239" i="3"/>
  <c r="R3239" i="3" s="1"/>
  <c r="A3240" i="3"/>
  <c r="S3239" i="3"/>
  <c r="A3241" i="3" l="1"/>
  <c r="P3241" i="3"/>
  <c r="Q3240" i="3"/>
  <c r="R3240" i="3" s="1"/>
  <c r="S3240" i="3"/>
  <c r="P3242" i="3" l="1"/>
  <c r="A3242" i="3"/>
  <c r="S3241" i="3"/>
  <c r="Q3241" i="3"/>
  <c r="R3241" i="3" s="1"/>
  <c r="A3243" i="3" l="1"/>
  <c r="S3242" i="3"/>
  <c r="Q3242" i="3"/>
  <c r="R3242" i="3" s="1"/>
  <c r="P3243" i="3"/>
  <c r="P3244" i="3" l="1"/>
  <c r="A3244" i="3"/>
  <c r="S3243" i="3"/>
  <c r="Q3243" i="3"/>
  <c r="R3243" i="3" s="1"/>
  <c r="A3245" i="3" l="1"/>
  <c r="S3244" i="3"/>
  <c r="P3245" i="3"/>
  <c r="Q3244" i="3"/>
  <c r="R3244" i="3" s="1"/>
  <c r="P3246" i="3" l="1"/>
  <c r="S3245" i="3"/>
  <c r="Q3245" i="3"/>
  <c r="R3245" i="3" s="1"/>
  <c r="A3246" i="3"/>
  <c r="A3247" i="3" l="1"/>
  <c r="P3247" i="3"/>
  <c r="Q3246" i="3"/>
  <c r="R3246" i="3" s="1"/>
  <c r="S3246" i="3"/>
  <c r="P3248" i="3" l="1"/>
  <c r="Q3247" i="3"/>
  <c r="R3247" i="3" s="1"/>
  <c r="A3248" i="3"/>
  <c r="S3247" i="3"/>
  <c r="A3249" i="3" l="1"/>
  <c r="P3249" i="3"/>
  <c r="Q3248" i="3"/>
  <c r="R3248" i="3" s="1"/>
  <c r="S3248" i="3"/>
  <c r="P3250" i="3" l="1"/>
  <c r="A3250" i="3"/>
  <c r="S3249" i="3"/>
  <c r="Q3249" i="3"/>
  <c r="R3249" i="3" s="1"/>
  <c r="A3251" i="3" l="1"/>
  <c r="S3250" i="3"/>
  <c r="P3251" i="3"/>
  <c r="Q3250" i="3"/>
  <c r="R3250" i="3" s="1"/>
  <c r="P3252" i="3" l="1"/>
  <c r="Q3251" i="3"/>
  <c r="R3251" i="3" s="1"/>
  <c r="A3252" i="3"/>
  <c r="S3251" i="3"/>
  <c r="Q3252" i="3" l="1"/>
  <c r="R3252" i="3" s="1"/>
  <c r="A3253" i="3"/>
  <c r="S3252" i="3"/>
  <c r="P3253" i="3"/>
  <c r="S3253" i="3" l="1"/>
  <c r="P3254" i="3"/>
  <c r="Q3253" i="3"/>
  <c r="R3253" i="3" s="1"/>
  <c r="A3254" i="3"/>
  <c r="Q3254" i="3" l="1"/>
  <c r="R3254" i="3" s="1"/>
  <c r="A3255" i="3"/>
  <c r="S3254" i="3"/>
  <c r="P3255" i="3"/>
  <c r="S3255" i="3" l="1"/>
  <c r="P3256" i="3"/>
  <c r="Q3255" i="3"/>
  <c r="R3255" i="3" s="1"/>
  <c r="A3256" i="3"/>
  <c r="Q3256" i="3" l="1"/>
  <c r="R3256" i="3" s="1"/>
  <c r="A3257" i="3"/>
  <c r="S3256" i="3"/>
  <c r="P3257" i="3"/>
  <c r="S3257" i="3" l="1"/>
  <c r="P3258" i="3"/>
  <c r="Q3257" i="3"/>
  <c r="R3257" i="3" s="1"/>
  <c r="A3258" i="3"/>
  <c r="Q3258" i="3" l="1"/>
  <c r="R3258" i="3" s="1"/>
  <c r="A3259" i="3"/>
  <c r="S3258" i="3"/>
  <c r="P3259" i="3"/>
  <c r="S3259" i="3" l="1"/>
  <c r="P3260" i="3"/>
  <c r="Q3259" i="3"/>
  <c r="R3259" i="3" s="1"/>
  <c r="A3260" i="3"/>
  <c r="Q3260" i="3" l="1"/>
  <c r="R3260" i="3" s="1"/>
  <c r="A3261" i="3"/>
  <c r="S3260" i="3"/>
  <c r="P3261" i="3"/>
  <c r="S3261" i="3" l="1"/>
  <c r="P3262" i="3"/>
  <c r="Q3261" i="3"/>
  <c r="R3261" i="3" s="1"/>
  <c r="A3262" i="3"/>
  <c r="Q3262" i="3" l="1"/>
  <c r="R3262" i="3" s="1"/>
  <c r="A3263" i="3"/>
  <c r="S3262" i="3"/>
  <c r="P3263" i="3"/>
  <c r="S3263" i="3" l="1"/>
  <c r="P3264" i="3"/>
  <c r="Q3263" i="3"/>
  <c r="R3263" i="3" s="1"/>
  <c r="A3264" i="3"/>
  <c r="Q3264" i="3" l="1"/>
  <c r="R3264" i="3" s="1"/>
  <c r="A3265" i="3"/>
  <c r="S3264" i="3"/>
  <c r="P3265" i="3"/>
  <c r="S3265" i="3" l="1"/>
  <c r="P3266" i="3"/>
  <c r="Q3265" i="3"/>
  <c r="R3265" i="3" s="1"/>
  <c r="A3266" i="3"/>
  <c r="Q3266" i="3" l="1"/>
  <c r="R3266" i="3" s="1"/>
  <c r="A3267" i="3"/>
  <c r="S3266" i="3"/>
  <c r="P3267" i="3"/>
  <c r="S3267" i="3" l="1"/>
  <c r="P3268" i="3"/>
  <c r="Q3267" i="3"/>
  <c r="R3267" i="3" s="1"/>
  <c r="A3268" i="3"/>
  <c r="Q3268" i="3" l="1"/>
  <c r="R3268" i="3" s="1"/>
  <c r="A3269" i="3"/>
  <c r="S3268" i="3"/>
  <c r="P3269" i="3"/>
  <c r="S3269" i="3" l="1"/>
  <c r="P3270" i="3"/>
  <c r="Q3269" i="3"/>
  <c r="R3269" i="3" s="1"/>
  <c r="A3270" i="3"/>
  <c r="Q3270" i="3" l="1"/>
  <c r="R3270" i="3" s="1"/>
  <c r="A3271" i="3"/>
  <c r="S3270" i="3"/>
  <c r="P3271" i="3"/>
  <c r="S3271" i="3" l="1"/>
  <c r="P3272" i="3"/>
  <c r="Q3271" i="3"/>
  <c r="R3271" i="3" s="1"/>
  <c r="A3272" i="3"/>
  <c r="Q3272" i="3" l="1"/>
  <c r="R3272" i="3" s="1"/>
  <c r="A3273" i="3"/>
  <c r="S3272" i="3"/>
  <c r="P3273" i="3"/>
  <c r="S3273" i="3" l="1"/>
  <c r="P3274" i="3"/>
  <c r="Q3273" i="3"/>
  <c r="R3273" i="3" s="1"/>
  <c r="A3274" i="3"/>
  <c r="Q3274" i="3" l="1"/>
  <c r="R3274" i="3" s="1"/>
  <c r="A3275" i="3"/>
  <c r="S3274" i="3"/>
  <c r="P3275" i="3"/>
  <c r="S3275" i="3" l="1"/>
  <c r="P3276" i="3"/>
  <c r="Q3275" i="3"/>
  <c r="R3275" i="3" s="1"/>
  <c r="A3276" i="3"/>
  <c r="Q3276" i="3" l="1"/>
  <c r="R3276" i="3" s="1"/>
  <c r="A3277" i="3"/>
  <c r="S3276" i="3"/>
  <c r="P3277" i="3"/>
  <c r="S3277" i="3" l="1"/>
  <c r="P3278" i="3"/>
  <c r="Q3277" i="3"/>
  <c r="R3277" i="3" s="1"/>
  <c r="A3278" i="3"/>
  <c r="Q3278" i="3" l="1"/>
  <c r="R3278" i="3" s="1"/>
  <c r="A3279" i="3"/>
  <c r="S3278" i="3"/>
  <c r="P3279" i="3"/>
  <c r="S3279" i="3" l="1"/>
  <c r="P3280" i="3"/>
  <c r="Q3279" i="3"/>
  <c r="R3279" i="3" s="1"/>
  <c r="A3280" i="3"/>
  <c r="Q3280" i="3" l="1"/>
  <c r="R3280" i="3" s="1"/>
  <c r="A3281" i="3"/>
  <c r="S3280" i="3"/>
  <c r="P3281" i="3"/>
  <c r="S3281" i="3" l="1"/>
  <c r="P3282" i="3"/>
  <c r="Q3281" i="3"/>
  <c r="R3281" i="3" s="1"/>
  <c r="A3282" i="3"/>
  <c r="Q3282" i="3" l="1"/>
  <c r="R3282" i="3" s="1"/>
  <c r="A3283" i="3"/>
  <c r="S3282" i="3"/>
  <c r="P3283" i="3"/>
  <c r="S3283" i="3" l="1"/>
  <c r="P3284" i="3"/>
  <c r="Q3283" i="3"/>
  <c r="R3283" i="3" s="1"/>
  <c r="A3284" i="3"/>
  <c r="Q3284" i="3" l="1"/>
  <c r="R3284" i="3" s="1"/>
  <c r="A3285" i="3"/>
  <c r="S3284" i="3"/>
  <c r="P3285" i="3"/>
  <c r="S3285" i="3" l="1"/>
  <c r="P3286" i="3"/>
  <c r="Q3285" i="3"/>
  <c r="R3285" i="3" s="1"/>
  <c r="A3286" i="3"/>
  <c r="Q3286" i="3" l="1"/>
  <c r="R3286" i="3" s="1"/>
  <c r="A3287" i="3"/>
  <c r="S3286" i="3"/>
  <c r="P3287" i="3"/>
  <c r="S3287" i="3" l="1"/>
  <c r="P3288" i="3"/>
  <c r="Q3287" i="3"/>
  <c r="R3287" i="3" s="1"/>
  <c r="A3288" i="3"/>
  <c r="Q3288" i="3" l="1"/>
  <c r="R3288" i="3" s="1"/>
  <c r="A3289" i="3"/>
  <c r="S3288" i="3"/>
  <c r="P3289" i="3"/>
  <c r="S3289" i="3" l="1"/>
  <c r="P3290" i="3"/>
  <c r="Q3289" i="3"/>
  <c r="R3289" i="3" s="1"/>
  <c r="A3290" i="3"/>
  <c r="Q3290" i="3" l="1"/>
  <c r="R3290" i="3" s="1"/>
  <c r="A3291" i="3"/>
  <c r="S3290" i="3"/>
  <c r="P3291" i="3"/>
  <c r="S3291" i="3" l="1"/>
  <c r="P3292" i="3"/>
  <c r="Q3291" i="3"/>
  <c r="R3291" i="3" s="1"/>
  <c r="A3292" i="3"/>
  <c r="Q3292" i="3" l="1"/>
  <c r="R3292" i="3" s="1"/>
  <c r="A3293" i="3"/>
  <c r="S3292" i="3"/>
  <c r="P3293" i="3"/>
  <c r="S3293" i="3" l="1"/>
  <c r="P3294" i="3"/>
  <c r="Q3293" i="3"/>
  <c r="R3293" i="3" s="1"/>
  <c r="A3294" i="3"/>
  <c r="Q3294" i="3" l="1"/>
  <c r="R3294" i="3" s="1"/>
  <c r="A3295" i="3"/>
  <c r="S3294" i="3"/>
  <c r="P3295" i="3"/>
  <c r="S3295" i="3" l="1"/>
  <c r="P3296" i="3"/>
  <c r="Q3295" i="3"/>
  <c r="R3295" i="3" s="1"/>
  <c r="A3296" i="3"/>
  <c r="Q3296" i="3" l="1"/>
  <c r="R3296" i="3" s="1"/>
  <c r="A3297" i="3"/>
  <c r="S3296" i="3"/>
  <c r="P3297" i="3"/>
  <c r="S3297" i="3" l="1"/>
  <c r="P3298" i="3"/>
  <c r="Q3297" i="3"/>
  <c r="R3297" i="3" s="1"/>
  <c r="A3298" i="3"/>
  <c r="Q3298" i="3" l="1"/>
  <c r="R3298" i="3" s="1"/>
  <c r="A3299" i="3"/>
  <c r="S3298" i="3"/>
  <c r="P3299" i="3"/>
  <c r="S3299" i="3" l="1"/>
  <c r="P3300" i="3"/>
  <c r="Q3299" i="3"/>
  <c r="R3299" i="3" s="1"/>
  <c r="A3300" i="3"/>
  <c r="Q3300" i="3" l="1"/>
  <c r="R3300" i="3" s="1"/>
  <c r="A3301" i="3"/>
  <c r="S3300" i="3"/>
  <c r="P3301" i="3"/>
  <c r="S3301" i="3" l="1"/>
  <c r="P3302" i="3"/>
  <c r="Q3301" i="3"/>
  <c r="R3301" i="3" s="1"/>
  <c r="A3302" i="3"/>
  <c r="Q3302" i="3" l="1"/>
  <c r="R3302" i="3" s="1"/>
  <c r="A3303" i="3"/>
  <c r="S3302" i="3"/>
  <c r="P3303" i="3"/>
  <c r="S3303" i="3" l="1"/>
  <c r="P3304" i="3"/>
  <c r="Q3303" i="3"/>
  <c r="R3303" i="3" s="1"/>
  <c r="A3304" i="3"/>
  <c r="Q3304" i="3" l="1"/>
  <c r="R3304" i="3" s="1"/>
  <c r="A3305" i="3"/>
  <c r="S3304" i="3"/>
  <c r="P3305" i="3"/>
  <c r="S3305" i="3" l="1"/>
  <c r="P3306" i="3"/>
  <c r="Q3305" i="3"/>
  <c r="R3305" i="3" s="1"/>
  <c r="A3306" i="3"/>
  <c r="Q3306" i="3" l="1"/>
  <c r="R3306" i="3" s="1"/>
  <c r="A3307" i="3"/>
  <c r="S3306" i="3"/>
  <c r="P3307" i="3"/>
  <c r="S3307" i="3" l="1"/>
  <c r="P3308" i="3"/>
  <c r="Q3307" i="3"/>
  <c r="R3307" i="3" s="1"/>
  <c r="A3308" i="3"/>
  <c r="Q3308" i="3" l="1"/>
  <c r="R3308" i="3" s="1"/>
  <c r="A3309" i="3"/>
  <c r="S3308" i="3"/>
  <c r="P3309" i="3"/>
  <c r="S3309" i="3" l="1"/>
  <c r="P3310" i="3"/>
  <c r="Q3309" i="3"/>
  <c r="R3309" i="3" s="1"/>
  <c r="A3310" i="3"/>
  <c r="Q3310" i="3" l="1"/>
  <c r="R3310" i="3" s="1"/>
  <c r="A3311" i="3"/>
  <c r="S3310" i="3"/>
  <c r="P3311" i="3"/>
  <c r="S3311" i="3" l="1"/>
  <c r="P3312" i="3"/>
  <c r="Q3311" i="3"/>
  <c r="R3311" i="3" s="1"/>
  <c r="A3312" i="3"/>
  <c r="Q3312" i="3" l="1"/>
  <c r="R3312" i="3" s="1"/>
  <c r="A3313" i="3"/>
  <c r="S3312" i="3"/>
  <c r="P3313" i="3"/>
  <c r="S3313" i="3" l="1"/>
  <c r="P3314" i="3"/>
  <c r="Q3313" i="3"/>
  <c r="R3313" i="3" s="1"/>
  <c r="A3314" i="3"/>
  <c r="Q3314" i="3" l="1"/>
  <c r="R3314" i="3" s="1"/>
  <c r="A3315" i="3"/>
  <c r="S3314" i="3"/>
  <c r="P3315" i="3"/>
  <c r="S3315" i="3" l="1"/>
  <c r="P3316" i="3"/>
  <c r="Q3315" i="3"/>
  <c r="R3315" i="3" s="1"/>
  <c r="A3316" i="3"/>
  <c r="Q3316" i="3" l="1"/>
  <c r="R3316" i="3" s="1"/>
  <c r="A3317" i="3"/>
  <c r="S3316" i="3"/>
  <c r="P3317" i="3"/>
  <c r="S3317" i="3" l="1"/>
  <c r="P3318" i="3"/>
  <c r="Q3317" i="3"/>
  <c r="R3317" i="3" s="1"/>
  <c r="A3318" i="3"/>
  <c r="Q3318" i="3" l="1"/>
  <c r="R3318" i="3" s="1"/>
  <c r="A3319" i="3"/>
  <c r="S3318" i="3"/>
  <c r="P3319" i="3"/>
  <c r="S3319" i="3" l="1"/>
  <c r="P3320" i="3"/>
  <c r="Q3319" i="3"/>
  <c r="R3319" i="3" s="1"/>
  <c r="A3320" i="3"/>
  <c r="Q3320" i="3" l="1"/>
  <c r="R3320" i="3" s="1"/>
  <c r="A3321" i="3"/>
  <c r="S3320" i="3"/>
  <c r="P3321" i="3"/>
  <c r="S3321" i="3" l="1"/>
  <c r="P3322" i="3"/>
  <c r="Q3321" i="3"/>
  <c r="R3321" i="3" s="1"/>
  <c r="A3322" i="3"/>
  <c r="Q3322" i="3" l="1"/>
  <c r="R3322" i="3" s="1"/>
  <c r="A3323" i="3"/>
  <c r="S3322" i="3"/>
  <c r="P3323" i="3"/>
  <c r="S3323" i="3" l="1"/>
  <c r="P3324" i="3"/>
  <c r="Q3323" i="3"/>
  <c r="R3323" i="3" s="1"/>
  <c r="A3324" i="3"/>
  <c r="Q3324" i="3" l="1"/>
  <c r="R3324" i="3" s="1"/>
  <c r="A3325" i="3"/>
  <c r="S3324" i="3"/>
  <c r="P3325" i="3"/>
  <c r="S3325" i="3" l="1"/>
  <c r="P3326" i="3"/>
  <c r="Q3325" i="3"/>
  <c r="R3325" i="3" s="1"/>
  <c r="A3326" i="3"/>
  <c r="Q3326" i="3" l="1"/>
  <c r="R3326" i="3" s="1"/>
  <c r="A3327" i="3"/>
  <c r="S3326" i="3"/>
  <c r="P3327" i="3"/>
  <c r="S3327" i="3" l="1"/>
  <c r="P3328" i="3"/>
  <c r="Q3327" i="3"/>
  <c r="R3327" i="3" s="1"/>
  <c r="A3328" i="3"/>
  <c r="Q3328" i="3" l="1"/>
  <c r="R3328" i="3" s="1"/>
  <c r="A3329" i="3"/>
  <c r="S3328" i="3"/>
  <c r="P3329" i="3"/>
  <c r="S3329" i="3" l="1"/>
  <c r="P3330" i="3"/>
  <c r="Q3329" i="3"/>
  <c r="R3329" i="3" s="1"/>
  <c r="A3330" i="3"/>
  <c r="Q3330" i="3" l="1"/>
  <c r="R3330" i="3" s="1"/>
  <c r="A3331" i="3"/>
  <c r="S3330" i="3"/>
  <c r="P3331" i="3"/>
  <c r="S3331" i="3" l="1"/>
  <c r="P3332" i="3"/>
  <c r="Q3331" i="3"/>
  <c r="R3331" i="3" s="1"/>
  <c r="A3332" i="3"/>
  <c r="Q3332" i="3" l="1"/>
  <c r="R3332" i="3" s="1"/>
  <c r="A3333" i="3"/>
  <c r="S3332" i="3"/>
  <c r="P3333" i="3"/>
  <c r="S3333" i="3" l="1"/>
  <c r="P3334" i="3"/>
  <c r="Q3333" i="3"/>
  <c r="R3333" i="3" s="1"/>
  <c r="A3334" i="3"/>
  <c r="Q3334" i="3" l="1"/>
  <c r="R3334" i="3" s="1"/>
  <c r="A3335" i="3"/>
  <c r="S3334" i="3"/>
  <c r="P3335" i="3"/>
  <c r="S3335" i="3" l="1"/>
  <c r="P3336" i="3"/>
  <c r="Q3335" i="3"/>
  <c r="R3335" i="3" s="1"/>
  <c r="A3336" i="3"/>
  <c r="Q3336" i="3" l="1"/>
  <c r="R3336" i="3" s="1"/>
  <c r="A3337" i="3"/>
  <c r="S3336" i="3"/>
  <c r="P3337" i="3"/>
  <c r="S3337" i="3" l="1"/>
  <c r="P3338" i="3"/>
  <c r="Q3337" i="3"/>
  <c r="R3337" i="3" s="1"/>
  <c r="A3338" i="3"/>
  <c r="Q3338" i="3" l="1"/>
  <c r="R3338" i="3" s="1"/>
  <c r="A3339" i="3"/>
  <c r="S3338" i="3"/>
  <c r="P3339" i="3"/>
  <c r="S3339" i="3" l="1"/>
  <c r="P3340" i="3"/>
  <c r="Q3339" i="3"/>
  <c r="R3339" i="3" s="1"/>
  <c r="A3340" i="3"/>
  <c r="Q3340" i="3" l="1"/>
  <c r="R3340" i="3" s="1"/>
  <c r="A3341" i="3"/>
  <c r="S3340" i="3"/>
  <c r="P3341" i="3"/>
  <c r="S3341" i="3" l="1"/>
  <c r="P3342" i="3"/>
  <c r="Q3341" i="3"/>
  <c r="R3341" i="3" s="1"/>
  <c r="A3342" i="3"/>
  <c r="Q3342" i="3" l="1"/>
  <c r="R3342" i="3" s="1"/>
  <c r="A3343" i="3"/>
  <c r="S3342" i="3"/>
  <c r="P3343" i="3"/>
  <c r="S3343" i="3" l="1"/>
  <c r="P3344" i="3"/>
  <c r="Q3343" i="3"/>
  <c r="R3343" i="3" s="1"/>
  <c r="A3344" i="3"/>
  <c r="Q3344" i="3" l="1"/>
  <c r="R3344" i="3" s="1"/>
  <c r="A3345" i="3"/>
  <c r="S3344" i="3"/>
  <c r="P3345" i="3"/>
  <c r="S3345" i="3" l="1"/>
  <c r="P3346" i="3"/>
  <c r="Q3345" i="3"/>
  <c r="R3345" i="3" s="1"/>
  <c r="A3346" i="3"/>
  <c r="Q3346" i="3" l="1"/>
  <c r="R3346" i="3" s="1"/>
  <c r="A3347" i="3"/>
  <c r="S3346" i="3"/>
  <c r="P3347" i="3"/>
  <c r="S3347" i="3" l="1"/>
  <c r="P3348" i="3"/>
  <c r="Q3347" i="3"/>
  <c r="R3347" i="3" s="1"/>
  <c r="A3348" i="3"/>
  <c r="Q3348" i="3" l="1"/>
  <c r="R3348" i="3" s="1"/>
  <c r="A3349" i="3"/>
  <c r="S3348" i="3"/>
  <c r="P3349" i="3"/>
  <c r="S3349" i="3" l="1"/>
  <c r="P3350" i="3"/>
  <c r="Q3349" i="3"/>
  <c r="R3349" i="3" s="1"/>
  <c r="A3350" i="3"/>
  <c r="Q3350" i="3" l="1"/>
  <c r="R3350" i="3" s="1"/>
  <c r="A3351" i="3"/>
  <c r="S3350" i="3"/>
  <c r="P3351" i="3"/>
  <c r="S3351" i="3" l="1"/>
  <c r="P3352" i="3"/>
  <c r="Q3351" i="3"/>
  <c r="R3351" i="3" s="1"/>
  <c r="A3352" i="3"/>
  <c r="Q3352" i="3" l="1"/>
  <c r="R3352" i="3" s="1"/>
  <c r="A3353" i="3"/>
  <c r="S3352" i="3"/>
  <c r="P3353" i="3"/>
  <c r="S3353" i="3" l="1"/>
  <c r="P3354" i="3"/>
  <c r="Q3353" i="3"/>
  <c r="R3353" i="3" s="1"/>
  <c r="A3354" i="3"/>
  <c r="Q3354" i="3" l="1"/>
  <c r="R3354" i="3" s="1"/>
  <c r="A3355" i="3"/>
  <c r="S3354" i="3"/>
  <c r="P3355" i="3"/>
  <c r="S3355" i="3" l="1"/>
  <c r="P3356" i="3"/>
  <c r="Q3355" i="3"/>
  <c r="R3355" i="3" s="1"/>
  <c r="A3356" i="3"/>
  <c r="Q3356" i="3" l="1"/>
  <c r="R3356" i="3" s="1"/>
  <c r="A3357" i="3"/>
  <c r="S3356" i="3"/>
  <c r="P3357" i="3"/>
  <c r="S3357" i="3" l="1"/>
  <c r="P3358" i="3"/>
  <c r="Q3357" i="3"/>
  <c r="R3357" i="3" s="1"/>
  <c r="A3358" i="3"/>
  <c r="Q3358" i="3" l="1"/>
  <c r="R3358" i="3" s="1"/>
  <c r="A3359" i="3"/>
  <c r="S3358" i="3"/>
  <c r="P3359" i="3"/>
  <c r="S3359" i="3" l="1"/>
  <c r="P3360" i="3"/>
  <c r="Q3359" i="3"/>
  <c r="R3359" i="3" s="1"/>
  <c r="A3360" i="3"/>
  <c r="Q3360" i="3" l="1"/>
  <c r="R3360" i="3" s="1"/>
  <c r="A3361" i="3"/>
  <c r="S3360" i="3"/>
  <c r="P3361" i="3"/>
  <c r="S3361" i="3" l="1"/>
  <c r="P3362" i="3"/>
  <c r="Q3361" i="3"/>
  <c r="R3361" i="3" s="1"/>
  <c r="A3362" i="3"/>
  <c r="Q3362" i="3" l="1"/>
  <c r="R3362" i="3" s="1"/>
  <c r="A3363" i="3"/>
  <c r="S3362" i="3"/>
  <c r="P3363" i="3"/>
  <c r="S3363" i="3" l="1"/>
  <c r="P3364" i="3"/>
  <c r="Q3363" i="3"/>
  <c r="R3363" i="3" s="1"/>
  <c r="A3364" i="3"/>
  <c r="Q3364" i="3" l="1"/>
  <c r="R3364" i="3" s="1"/>
  <c r="A3365" i="3"/>
  <c r="S3364" i="3"/>
  <c r="P3365" i="3"/>
  <c r="S3365" i="3" l="1"/>
  <c r="P3366" i="3"/>
  <c r="Q3365" i="3"/>
  <c r="R3365" i="3" s="1"/>
  <c r="A3366" i="3"/>
  <c r="Q3366" i="3" l="1"/>
  <c r="R3366" i="3" s="1"/>
  <c r="A3367" i="3"/>
  <c r="S3366" i="3"/>
  <c r="P3367" i="3"/>
  <c r="S3367" i="3" l="1"/>
  <c r="P3368" i="3"/>
  <c r="Q3367" i="3"/>
  <c r="R3367" i="3" s="1"/>
  <c r="A3368" i="3"/>
  <c r="Q3368" i="3" l="1"/>
  <c r="R3368" i="3" s="1"/>
  <c r="A3369" i="3"/>
  <c r="S3368" i="3"/>
  <c r="P3369" i="3"/>
  <c r="S3369" i="3" l="1"/>
  <c r="P3370" i="3"/>
  <c r="Q3369" i="3"/>
  <c r="R3369" i="3" s="1"/>
  <c r="A3370" i="3"/>
  <c r="Q3370" i="3" l="1"/>
  <c r="R3370" i="3" s="1"/>
  <c r="A3371" i="3"/>
  <c r="S3370" i="3"/>
  <c r="P3371" i="3"/>
  <c r="P3372" i="3" l="1"/>
  <c r="S3371" i="3"/>
  <c r="Q3371" i="3"/>
  <c r="R3371" i="3" s="1"/>
  <c r="A3372" i="3"/>
  <c r="A3373" i="3" l="1"/>
  <c r="P3373" i="3"/>
  <c r="Q3372" i="3"/>
  <c r="R3372" i="3" s="1"/>
  <c r="S3372" i="3"/>
  <c r="P3374" i="3" l="1"/>
  <c r="Q3373" i="3"/>
  <c r="R3373" i="3" s="1"/>
  <c r="A3374" i="3"/>
  <c r="S3373" i="3"/>
  <c r="A3375" i="3" l="1"/>
  <c r="P3375" i="3"/>
  <c r="Q3374" i="3"/>
  <c r="R3374" i="3" s="1"/>
  <c r="S3374" i="3"/>
  <c r="P3376" i="3" l="1"/>
  <c r="A3376" i="3"/>
  <c r="S3375" i="3"/>
  <c r="Q3375" i="3"/>
  <c r="R3375" i="3" s="1"/>
  <c r="A3377" i="3" l="1"/>
  <c r="S3376" i="3"/>
  <c r="Q3376" i="3"/>
  <c r="R3376" i="3" s="1"/>
  <c r="P3377" i="3"/>
  <c r="P3378" i="3" l="1"/>
  <c r="A3378" i="3"/>
  <c r="S3377" i="3"/>
  <c r="Q3377" i="3"/>
  <c r="R3377" i="3" s="1"/>
  <c r="A3379" i="3" l="1"/>
  <c r="S3378" i="3"/>
  <c r="P3379" i="3"/>
  <c r="Q3378" i="3"/>
  <c r="R3378" i="3" s="1"/>
  <c r="P3380" i="3" l="1"/>
  <c r="S3379" i="3"/>
  <c r="Q3379" i="3"/>
  <c r="R3379" i="3" s="1"/>
  <c r="A3380" i="3"/>
  <c r="A3381" i="3" l="1"/>
  <c r="P3381" i="3"/>
  <c r="Q3380" i="3"/>
  <c r="R3380" i="3" s="1"/>
  <c r="S3380" i="3"/>
  <c r="P3382" i="3" l="1"/>
  <c r="A3382" i="3"/>
  <c r="Q3381" i="3"/>
  <c r="R3381" i="3" s="1"/>
  <c r="S3381" i="3"/>
  <c r="A3383" i="3" l="1"/>
  <c r="P3383" i="3"/>
  <c r="S3382" i="3"/>
  <c r="Q3382" i="3"/>
  <c r="R3382" i="3" s="1"/>
  <c r="P3384" i="3" l="1"/>
  <c r="A3384" i="3"/>
  <c r="S3383" i="3"/>
  <c r="Q3383" i="3"/>
  <c r="R3383" i="3" s="1"/>
  <c r="A3385" i="3" l="1"/>
  <c r="P3385" i="3"/>
  <c r="S3384" i="3"/>
  <c r="Q3384" i="3"/>
  <c r="R3384" i="3" s="1"/>
  <c r="P3386" i="3" l="1"/>
  <c r="A3386" i="3"/>
  <c r="Q3385" i="3"/>
  <c r="R3385" i="3" s="1"/>
  <c r="S3385" i="3"/>
  <c r="A3387" i="3" l="1"/>
  <c r="P3387" i="3"/>
  <c r="S3386" i="3"/>
  <c r="Q3386" i="3"/>
  <c r="R3386" i="3" s="1"/>
  <c r="P3388" i="3" l="1"/>
  <c r="A3388" i="3"/>
  <c r="S3387" i="3"/>
  <c r="Q3387" i="3"/>
  <c r="R3387" i="3" s="1"/>
  <c r="A3389" i="3" l="1"/>
  <c r="P3389" i="3"/>
  <c r="S3388" i="3"/>
  <c r="Q3388" i="3"/>
  <c r="R3388" i="3" s="1"/>
  <c r="P3390" i="3" l="1"/>
  <c r="A3390" i="3"/>
  <c r="Q3389" i="3"/>
  <c r="R3389" i="3" s="1"/>
  <c r="S3389" i="3"/>
  <c r="A3391" i="3" l="1"/>
  <c r="P3391" i="3"/>
  <c r="S3390" i="3"/>
  <c r="Q3390" i="3"/>
  <c r="R3390" i="3" s="1"/>
  <c r="P3392" i="3" l="1"/>
  <c r="A3392" i="3"/>
  <c r="S3391" i="3"/>
  <c r="Q3391" i="3"/>
  <c r="R3391" i="3" s="1"/>
  <c r="A3393" i="3" l="1"/>
  <c r="P3393" i="3"/>
  <c r="S3392" i="3"/>
  <c r="Q3392" i="3"/>
  <c r="R3392" i="3" s="1"/>
  <c r="P3394" i="3" l="1"/>
  <c r="A3394" i="3"/>
  <c r="Q3393" i="3"/>
  <c r="R3393" i="3" s="1"/>
  <c r="S3393" i="3"/>
  <c r="A3395" i="3" l="1"/>
  <c r="P3395" i="3"/>
  <c r="S3394" i="3"/>
  <c r="Q3394" i="3"/>
  <c r="R3394" i="3" s="1"/>
  <c r="P3396" i="3" l="1"/>
  <c r="A3396" i="3"/>
  <c r="S3395" i="3"/>
  <c r="Q3395" i="3"/>
  <c r="R3395" i="3" s="1"/>
  <c r="A3397" i="3" l="1"/>
  <c r="P3397" i="3"/>
  <c r="S3396" i="3"/>
  <c r="Q3396" i="3"/>
  <c r="R3396" i="3" s="1"/>
  <c r="P3398" i="3" l="1"/>
  <c r="A3398" i="3"/>
  <c r="Q3397" i="3"/>
  <c r="R3397" i="3" s="1"/>
  <c r="S3397" i="3"/>
  <c r="A3399" i="3" l="1"/>
  <c r="P3399" i="3"/>
  <c r="S3398" i="3"/>
  <c r="Q3398" i="3"/>
  <c r="R3398" i="3" s="1"/>
  <c r="P3400" i="3" l="1"/>
  <c r="A3400" i="3"/>
  <c r="S3399" i="3"/>
  <c r="Q3399" i="3"/>
  <c r="R3399" i="3" s="1"/>
  <c r="A3401" i="3" l="1"/>
  <c r="P3401" i="3"/>
  <c r="S3400" i="3"/>
  <c r="Q3400" i="3"/>
  <c r="R3400" i="3" s="1"/>
  <c r="P3402" i="3" l="1"/>
  <c r="A3402" i="3"/>
  <c r="Q3401" i="3"/>
  <c r="R3401" i="3" s="1"/>
  <c r="S3401" i="3"/>
  <c r="A3403" i="3" l="1"/>
  <c r="S3402" i="3"/>
  <c r="P3403" i="3"/>
  <c r="Q3402" i="3"/>
  <c r="R3402" i="3" s="1"/>
  <c r="P3404" i="3" l="1"/>
  <c r="Q3403" i="3"/>
  <c r="R3403" i="3" s="1"/>
  <c r="A3404" i="3"/>
  <c r="S3403" i="3"/>
  <c r="A3405" i="3" l="1"/>
  <c r="S3404" i="3"/>
  <c r="P3405" i="3"/>
  <c r="Q3404" i="3"/>
  <c r="R3404" i="3" s="1"/>
  <c r="P3406" i="3" l="1"/>
  <c r="Q3405" i="3"/>
  <c r="R3405" i="3" s="1"/>
  <c r="A3406" i="3"/>
  <c r="S3405" i="3"/>
  <c r="A3407" i="3" l="1"/>
  <c r="S3406" i="3"/>
  <c r="P3407" i="3"/>
  <c r="Q3406" i="3"/>
  <c r="R3406" i="3" s="1"/>
  <c r="P3408" i="3" l="1"/>
  <c r="Q3407" i="3"/>
  <c r="R3407" i="3" s="1"/>
  <c r="A3408" i="3"/>
  <c r="S3407" i="3"/>
  <c r="A3409" i="3" l="1"/>
  <c r="S3408" i="3"/>
  <c r="P3409" i="3"/>
  <c r="Q3408" i="3"/>
  <c r="R3408" i="3" s="1"/>
  <c r="P3410" i="3" l="1"/>
  <c r="Q3409" i="3"/>
  <c r="R3409" i="3" s="1"/>
  <c r="A3410" i="3"/>
  <c r="S3409" i="3"/>
  <c r="A3411" i="3" l="1"/>
  <c r="S3410" i="3"/>
  <c r="P3411" i="3"/>
  <c r="Q3410" i="3"/>
  <c r="R3410" i="3" s="1"/>
  <c r="P3412" i="3" l="1"/>
  <c r="Q3411" i="3"/>
  <c r="R3411" i="3" s="1"/>
  <c r="A3412" i="3"/>
  <c r="S3411" i="3"/>
  <c r="A3413" i="3" l="1"/>
  <c r="S3412" i="3"/>
  <c r="P3413" i="3"/>
  <c r="Q3412" i="3"/>
  <c r="R3412" i="3" s="1"/>
  <c r="P3414" i="3" l="1"/>
  <c r="Q3413" i="3"/>
  <c r="R3413" i="3" s="1"/>
  <c r="A3414" i="3"/>
  <c r="S3413" i="3"/>
  <c r="A3415" i="3" l="1"/>
  <c r="P3415" i="3"/>
  <c r="Q3414" i="3"/>
  <c r="R3414" i="3" s="1"/>
  <c r="S3414" i="3"/>
  <c r="P3416" i="3" l="1"/>
  <c r="A3416" i="3"/>
  <c r="S3415" i="3"/>
  <c r="Q3415" i="3"/>
  <c r="R3415" i="3" s="1"/>
  <c r="A3417" i="3" l="1"/>
  <c r="S3416" i="3"/>
  <c r="Q3416" i="3"/>
  <c r="R3416" i="3" s="1"/>
  <c r="P3417" i="3"/>
  <c r="P3418" i="3" l="1"/>
  <c r="A3418" i="3"/>
  <c r="S3417" i="3"/>
  <c r="Q3417" i="3"/>
  <c r="R3417" i="3" s="1"/>
  <c r="A3419" i="3" l="1"/>
  <c r="S3418" i="3"/>
  <c r="P3419" i="3"/>
  <c r="Q3418" i="3"/>
  <c r="R3418" i="3" s="1"/>
  <c r="P3420" i="3" l="1"/>
  <c r="S3419" i="3"/>
  <c r="Q3419" i="3"/>
  <c r="R3419" i="3" s="1"/>
  <c r="A3420" i="3"/>
  <c r="A3421" i="3" l="1"/>
  <c r="P3421" i="3"/>
  <c r="Q3420" i="3"/>
  <c r="R3420" i="3" s="1"/>
  <c r="S3420" i="3"/>
  <c r="P3422" i="3" l="1"/>
  <c r="Q3421" i="3"/>
  <c r="R3421" i="3" s="1"/>
  <c r="A3422" i="3"/>
  <c r="S3421" i="3"/>
  <c r="A3423" i="3" l="1"/>
  <c r="P3423" i="3"/>
  <c r="Q3422" i="3"/>
  <c r="R3422" i="3" s="1"/>
  <c r="S3422" i="3"/>
  <c r="P3424" i="3" l="1"/>
  <c r="A3424" i="3"/>
  <c r="S3423" i="3"/>
  <c r="Q3423" i="3"/>
  <c r="R3423" i="3" s="1"/>
  <c r="A3425" i="3" l="1"/>
  <c r="S3424" i="3"/>
  <c r="P3425" i="3"/>
  <c r="Q3424" i="3"/>
  <c r="R3424" i="3" s="1"/>
  <c r="P3426" i="3" l="1"/>
  <c r="A3426" i="3"/>
  <c r="S3425" i="3"/>
  <c r="Q3425" i="3"/>
  <c r="R3425" i="3" s="1"/>
  <c r="A3427" i="3" l="1"/>
  <c r="S3426" i="3"/>
  <c r="P3427" i="3"/>
  <c r="Q3426" i="3"/>
  <c r="R3426" i="3" s="1"/>
  <c r="P3428" i="3" l="1"/>
  <c r="S3427" i="3"/>
  <c r="Q3427" i="3"/>
  <c r="R3427" i="3" s="1"/>
  <c r="A3428" i="3"/>
  <c r="A3429" i="3" l="1"/>
  <c r="P3429" i="3"/>
  <c r="Q3428" i="3"/>
  <c r="R3428" i="3" s="1"/>
  <c r="S3428" i="3"/>
  <c r="S3429" i="3" l="1"/>
  <c r="P3430" i="3"/>
  <c r="Q3429" i="3"/>
  <c r="R3429" i="3" s="1"/>
  <c r="A3430" i="3"/>
  <c r="Q3430" i="3" l="1"/>
  <c r="R3430" i="3" s="1"/>
  <c r="A3431" i="3"/>
  <c r="S3430" i="3"/>
  <c r="P3431" i="3"/>
  <c r="S3431" i="3" l="1"/>
  <c r="P3432" i="3"/>
  <c r="A3432" i="3"/>
  <c r="Q3431" i="3"/>
  <c r="R3431" i="3" s="1"/>
  <c r="Q3432" i="3" l="1"/>
  <c r="R3432" i="3" s="1"/>
  <c r="A3433" i="3"/>
  <c r="S3432" i="3"/>
  <c r="P3433" i="3"/>
  <c r="S3433" i="3" l="1"/>
  <c r="P3434" i="3"/>
  <c r="A3434" i="3"/>
  <c r="Q3433" i="3"/>
  <c r="R3433" i="3" s="1"/>
  <c r="Q3434" i="3" l="1"/>
  <c r="R3434" i="3" s="1"/>
  <c r="A3435" i="3"/>
  <c r="P3435" i="3"/>
  <c r="S3434" i="3"/>
  <c r="S3435" i="3" l="1"/>
  <c r="P3436" i="3"/>
  <c r="A3436" i="3"/>
  <c r="Q3435" i="3"/>
  <c r="R3435" i="3" s="1"/>
  <c r="Q3436" i="3" l="1"/>
  <c r="R3436" i="3" s="1"/>
  <c r="A3437" i="3"/>
  <c r="P3437" i="3"/>
  <c r="S3436" i="3"/>
  <c r="S3437" i="3" l="1"/>
  <c r="P3438" i="3"/>
  <c r="Q3437" i="3"/>
  <c r="R3437" i="3" s="1"/>
  <c r="A3438" i="3"/>
  <c r="Q3438" i="3" l="1"/>
  <c r="R3438" i="3" s="1"/>
  <c r="A3439" i="3"/>
  <c r="S3438" i="3"/>
  <c r="P3439" i="3"/>
  <c r="S3439" i="3" l="1"/>
  <c r="P3440" i="3"/>
  <c r="Q3439" i="3"/>
  <c r="R3439" i="3" s="1"/>
  <c r="A3440" i="3"/>
  <c r="Q3440" i="3" l="1"/>
  <c r="R3440" i="3" s="1"/>
  <c r="A3441" i="3"/>
  <c r="S3440" i="3"/>
  <c r="P3441" i="3"/>
  <c r="P3442" i="3" l="1"/>
  <c r="S3441" i="3"/>
  <c r="Q3441" i="3"/>
  <c r="R3441" i="3" s="1"/>
  <c r="A3442" i="3"/>
  <c r="A3443" i="3" l="1"/>
  <c r="P3443" i="3"/>
  <c r="Q3442" i="3"/>
  <c r="R3442" i="3" s="1"/>
  <c r="S3442" i="3"/>
  <c r="P3444" i="3" l="1"/>
  <c r="Q3443" i="3"/>
  <c r="R3443" i="3" s="1"/>
  <c r="A3444" i="3"/>
  <c r="S3443" i="3"/>
  <c r="A3445" i="3" l="1"/>
  <c r="P3445" i="3"/>
  <c r="Q3444" i="3"/>
  <c r="R3444" i="3" s="1"/>
  <c r="S3444" i="3"/>
  <c r="P3446" i="3" l="1"/>
  <c r="A3446" i="3"/>
  <c r="S3445" i="3"/>
  <c r="Q3445" i="3"/>
  <c r="R3445" i="3" s="1"/>
  <c r="A3447" i="3" l="1"/>
  <c r="S3446" i="3"/>
  <c r="P3447" i="3"/>
  <c r="Q3446" i="3"/>
  <c r="R3446" i="3" s="1"/>
  <c r="P3448" i="3" l="1"/>
  <c r="A3448" i="3"/>
  <c r="S3447" i="3"/>
  <c r="Q3447" i="3"/>
  <c r="R3447" i="3" s="1"/>
  <c r="A3449" i="3" l="1"/>
  <c r="S3448" i="3"/>
  <c r="P3449" i="3"/>
  <c r="Q3448" i="3"/>
  <c r="R3448" i="3" s="1"/>
  <c r="P3450" i="3" l="1"/>
  <c r="S3449" i="3"/>
  <c r="Q3449" i="3"/>
  <c r="R3449" i="3" s="1"/>
  <c r="A3450" i="3"/>
  <c r="A3451" i="3" l="1"/>
  <c r="P3451" i="3"/>
  <c r="Q3450" i="3"/>
  <c r="R3450" i="3" s="1"/>
  <c r="S3450" i="3"/>
  <c r="P3452" i="3" l="1"/>
  <c r="Q3451" i="3"/>
  <c r="R3451" i="3" s="1"/>
  <c r="A3452" i="3"/>
  <c r="S3451" i="3"/>
  <c r="A3453" i="3" l="1"/>
  <c r="P3453" i="3"/>
  <c r="Q3452" i="3"/>
  <c r="R3452" i="3" s="1"/>
  <c r="S3452" i="3"/>
  <c r="P3454" i="3" l="1"/>
  <c r="A3454" i="3"/>
  <c r="S3453" i="3"/>
  <c r="Q3453" i="3"/>
  <c r="R3453" i="3" s="1"/>
  <c r="A3455" i="3" l="1"/>
  <c r="S3454" i="3"/>
  <c r="Q3454" i="3"/>
  <c r="R3454" i="3" s="1"/>
  <c r="P3455" i="3"/>
  <c r="P3456" i="3" l="1"/>
  <c r="A3456" i="3"/>
  <c r="S3455" i="3"/>
  <c r="Q3455" i="3"/>
  <c r="R3455" i="3" s="1"/>
  <c r="A3457" i="3" l="1"/>
  <c r="S3456" i="3"/>
  <c r="P3457" i="3"/>
  <c r="Q3456" i="3"/>
  <c r="R3456" i="3" s="1"/>
  <c r="P3458" i="3" l="1"/>
  <c r="S3457" i="3"/>
  <c r="Q3457" i="3"/>
  <c r="R3457" i="3" s="1"/>
  <c r="A3458" i="3"/>
  <c r="A3459" i="3" l="1"/>
  <c r="P3459" i="3"/>
  <c r="Q3458" i="3"/>
  <c r="R3458" i="3" s="1"/>
  <c r="S3458" i="3"/>
  <c r="P3460" i="3" l="1"/>
  <c r="Q3459" i="3"/>
  <c r="R3459" i="3" s="1"/>
  <c r="A3460" i="3"/>
  <c r="S3459" i="3"/>
  <c r="A3461" i="3" l="1"/>
  <c r="P3461" i="3"/>
  <c r="Q3460" i="3"/>
  <c r="R3460" i="3" s="1"/>
  <c r="S3460" i="3"/>
  <c r="P3462" i="3" l="1"/>
  <c r="A3462" i="3"/>
  <c r="S3461" i="3"/>
  <c r="Q3461" i="3"/>
  <c r="R3461" i="3" s="1"/>
  <c r="A3463" i="3" l="1"/>
  <c r="S3462" i="3"/>
  <c r="Q3462" i="3"/>
  <c r="R3462" i="3" s="1"/>
  <c r="P3463" i="3"/>
  <c r="P3464" i="3" l="1"/>
  <c r="A3464" i="3"/>
  <c r="S3463" i="3"/>
  <c r="Q3463" i="3"/>
  <c r="R3463" i="3" s="1"/>
  <c r="A3465" i="3" l="1"/>
  <c r="S3464" i="3"/>
  <c r="P3465" i="3"/>
  <c r="Q3464" i="3"/>
  <c r="R3464" i="3" s="1"/>
  <c r="P3466" i="3" l="1"/>
  <c r="S3465" i="3"/>
  <c r="Q3465" i="3"/>
  <c r="R3465" i="3" s="1"/>
  <c r="A3466" i="3"/>
  <c r="A3467" i="3" l="1"/>
  <c r="P3467" i="3"/>
  <c r="Q3466" i="3"/>
  <c r="R3466" i="3" s="1"/>
  <c r="S3466" i="3"/>
  <c r="P3468" i="3" l="1"/>
  <c r="Q3467" i="3"/>
  <c r="R3467" i="3" s="1"/>
  <c r="A3468" i="3"/>
  <c r="S3467" i="3"/>
  <c r="A3469" i="3" l="1"/>
  <c r="P3469" i="3"/>
  <c r="Q3468" i="3"/>
  <c r="R3468" i="3" s="1"/>
  <c r="S3468" i="3"/>
  <c r="P3470" i="3" l="1"/>
  <c r="A3470" i="3"/>
  <c r="S3469" i="3"/>
  <c r="Q3469" i="3"/>
  <c r="R3469" i="3" s="1"/>
  <c r="A3471" i="3" l="1"/>
  <c r="S3470" i="3"/>
  <c r="P3471" i="3"/>
  <c r="Q3470" i="3"/>
  <c r="R3470" i="3" s="1"/>
  <c r="P3472" i="3" l="1"/>
  <c r="A3472" i="3"/>
  <c r="S3471" i="3"/>
  <c r="Q3471" i="3"/>
  <c r="R3471" i="3" s="1"/>
  <c r="A3473" i="3" l="1"/>
  <c r="S3472" i="3"/>
  <c r="P3473" i="3"/>
  <c r="Q3472" i="3"/>
  <c r="R3472" i="3" s="1"/>
  <c r="P3474" i="3" l="1"/>
  <c r="S3473" i="3"/>
  <c r="Q3473" i="3"/>
  <c r="R3473" i="3" s="1"/>
  <c r="A3474" i="3"/>
  <c r="A3475" i="3" l="1"/>
  <c r="P3475" i="3"/>
  <c r="Q3474" i="3"/>
  <c r="R3474" i="3" s="1"/>
  <c r="S3474" i="3"/>
  <c r="P3476" i="3" l="1"/>
  <c r="Q3475" i="3"/>
  <c r="R3475" i="3" s="1"/>
  <c r="A3476" i="3"/>
  <c r="S3475" i="3"/>
  <c r="A3477" i="3" l="1"/>
  <c r="P3477" i="3"/>
  <c r="Q3476" i="3"/>
  <c r="R3476" i="3" s="1"/>
  <c r="S3476" i="3"/>
  <c r="P3478" i="3" l="1"/>
  <c r="A3478" i="3"/>
  <c r="S3477" i="3"/>
  <c r="Q3477" i="3"/>
  <c r="R3477" i="3" s="1"/>
  <c r="A3479" i="3" l="1"/>
  <c r="S3478" i="3"/>
  <c r="P3479" i="3"/>
  <c r="Q3478" i="3"/>
  <c r="R3478" i="3" s="1"/>
  <c r="P3480" i="3" l="1"/>
  <c r="A3480" i="3"/>
  <c r="S3479" i="3"/>
  <c r="Q3479" i="3"/>
  <c r="R3479" i="3" s="1"/>
  <c r="A3481" i="3" l="1"/>
  <c r="S3480" i="3"/>
  <c r="P3481" i="3"/>
  <c r="Q3480" i="3"/>
  <c r="R3480" i="3" s="1"/>
  <c r="P3482" i="3" l="1"/>
  <c r="S3481" i="3"/>
  <c r="Q3481" i="3"/>
  <c r="R3481" i="3" s="1"/>
  <c r="A3482" i="3"/>
  <c r="A3483" i="3" l="1"/>
  <c r="P3483" i="3"/>
  <c r="Q3482" i="3"/>
  <c r="R3482" i="3" s="1"/>
  <c r="S3482" i="3"/>
  <c r="P3484" i="3" l="1"/>
  <c r="Q3483" i="3"/>
  <c r="R3483" i="3" s="1"/>
  <c r="A3484" i="3"/>
  <c r="S3483" i="3"/>
  <c r="A3485" i="3" l="1"/>
  <c r="P3485" i="3"/>
  <c r="Q3484" i="3"/>
  <c r="R3484" i="3" s="1"/>
  <c r="S3484" i="3"/>
  <c r="P3486" i="3" l="1"/>
  <c r="A3486" i="3"/>
  <c r="S3485" i="3"/>
  <c r="Q3485" i="3"/>
  <c r="R3485" i="3" s="1"/>
  <c r="A3487" i="3" l="1"/>
  <c r="S3486" i="3"/>
  <c r="Q3486" i="3"/>
  <c r="R3486" i="3" s="1"/>
  <c r="P3487" i="3"/>
  <c r="P3488" i="3" l="1"/>
  <c r="A3488" i="3"/>
  <c r="S3487" i="3"/>
  <c r="Q3487" i="3"/>
  <c r="R3487" i="3" s="1"/>
  <c r="A3489" i="3" l="1"/>
  <c r="S3488" i="3"/>
  <c r="P3489" i="3"/>
  <c r="Q3488" i="3"/>
  <c r="R3488" i="3" s="1"/>
  <c r="P3490" i="3" l="1"/>
  <c r="S3489" i="3"/>
  <c r="Q3489" i="3"/>
  <c r="R3489" i="3" s="1"/>
  <c r="A3490" i="3"/>
  <c r="A3491" i="3" l="1"/>
  <c r="P3491" i="3"/>
  <c r="Q3490" i="3"/>
  <c r="R3490" i="3" s="1"/>
  <c r="S3490" i="3"/>
  <c r="P3492" i="3" l="1"/>
  <c r="Q3491" i="3"/>
  <c r="R3491" i="3" s="1"/>
  <c r="A3492" i="3"/>
  <c r="S3491" i="3"/>
  <c r="A3493" i="3" l="1"/>
  <c r="P3493" i="3"/>
  <c r="Q3492" i="3"/>
  <c r="R3492" i="3" s="1"/>
  <c r="S3492" i="3"/>
  <c r="P3494" i="3" l="1"/>
  <c r="A3494" i="3"/>
  <c r="S3493" i="3"/>
  <c r="Q3493" i="3"/>
  <c r="R3493" i="3" s="1"/>
  <c r="A3495" i="3" l="1"/>
  <c r="S3494" i="3"/>
  <c r="Q3494" i="3"/>
  <c r="R3494" i="3" s="1"/>
  <c r="P3495" i="3"/>
  <c r="P3496" i="3" l="1"/>
  <c r="A3496" i="3"/>
  <c r="S3495" i="3"/>
  <c r="Q3495" i="3"/>
  <c r="R3495" i="3" s="1"/>
  <c r="A3497" i="3" l="1"/>
  <c r="S3496" i="3"/>
  <c r="P3497" i="3"/>
  <c r="Q3496" i="3"/>
  <c r="R3496" i="3" s="1"/>
  <c r="P3498" i="3" l="1"/>
  <c r="S3497" i="3"/>
  <c r="Q3497" i="3"/>
  <c r="R3497" i="3" s="1"/>
  <c r="A3498" i="3"/>
  <c r="A3499" i="3" l="1"/>
  <c r="P3499" i="3"/>
  <c r="Q3498" i="3"/>
  <c r="R3498" i="3" s="1"/>
  <c r="S3498" i="3"/>
  <c r="S3499" i="3" l="1"/>
  <c r="P3500" i="3"/>
  <c r="Q3499" i="3"/>
  <c r="R3499" i="3" s="1"/>
  <c r="A3500" i="3"/>
  <c r="Q3500" i="3" l="1"/>
  <c r="R3500" i="3" s="1"/>
  <c r="A3501" i="3"/>
  <c r="S3500" i="3"/>
  <c r="P3501" i="3"/>
  <c r="S3501" i="3" l="1"/>
  <c r="P3502" i="3"/>
  <c r="A3502" i="3"/>
  <c r="Q3501" i="3"/>
  <c r="R3501" i="3" s="1"/>
  <c r="Q3502" i="3" l="1"/>
  <c r="R3502" i="3" s="1"/>
  <c r="A3503" i="3"/>
  <c r="S3502" i="3"/>
  <c r="P3503" i="3"/>
  <c r="S3503" i="3" l="1"/>
  <c r="P3504" i="3"/>
  <c r="Q3503" i="3"/>
  <c r="R3503" i="3" s="1"/>
  <c r="A3504" i="3"/>
  <c r="Q3504" i="3" l="1"/>
  <c r="R3504" i="3" s="1"/>
  <c r="A3505" i="3"/>
  <c r="S3504" i="3"/>
  <c r="P3505" i="3"/>
  <c r="S3505" i="3" l="1"/>
  <c r="P3506" i="3"/>
  <c r="Q3505" i="3"/>
  <c r="R3505" i="3" s="1"/>
  <c r="A3506" i="3"/>
  <c r="Q3506" i="3" l="1"/>
  <c r="R3506" i="3" s="1"/>
  <c r="A3507" i="3"/>
  <c r="S3506" i="3"/>
  <c r="P3507" i="3"/>
  <c r="S3507" i="3" l="1"/>
  <c r="P3508" i="3"/>
  <c r="Q3507" i="3"/>
  <c r="R3507" i="3" s="1"/>
  <c r="A3508" i="3"/>
  <c r="Q3508" i="3" l="1"/>
  <c r="R3508" i="3" s="1"/>
  <c r="A3509" i="3"/>
  <c r="S3508" i="3"/>
  <c r="P3509" i="3"/>
  <c r="S3509" i="3" l="1"/>
  <c r="P3510" i="3"/>
  <c r="Q3509" i="3"/>
  <c r="R3509" i="3" s="1"/>
  <c r="A3510" i="3"/>
  <c r="Q3510" i="3" l="1"/>
  <c r="R3510" i="3" s="1"/>
  <c r="A3511" i="3"/>
  <c r="S3510" i="3"/>
  <c r="P3511" i="3"/>
  <c r="S3511" i="3" l="1"/>
  <c r="P3512" i="3"/>
  <c r="Q3511" i="3"/>
  <c r="R3511" i="3" s="1"/>
  <c r="A3512" i="3"/>
  <c r="Q3512" i="3" l="1"/>
  <c r="R3512" i="3" s="1"/>
  <c r="A3513" i="3"/>
  <c r="S3512" i="3"/>
  <c r="P3513" i="3"/>
  <c r="S3513" i="3" l="1"/>
  <c r="P3514" i="3"/>
  <c r="Q3513" i="3"/>
  <c r="R3513" i="3" s="1"/>
  <c r="A3514" i="3"/>
  <c r="Q3514" i="3" l="1"/>
  <c r="R3514" i="3" s="1"/>
  <c r="A3515" i="3"/>
  <c r="S3514" i="3"/>
  <c r="P3515" i="3"/>
  <c r="S3515" i="3" l="1"/>
  <c r="P3516" i="3"/>
  <c r="Q3515" i="3"/>
  <c r="R3515" i="3" s="1"/>
  <c r="A3516" i="3"/>
  <c r="Q3516" i="3" l="1"/>
  <c r="R3516" i="3" s="1"/>
  <c r="A3517" i="3"/>
  <c r="S3516" i="3"/>
  <c r="P3517" i="3"/>
  <c r="S3517" i="3" l="1"/>
  <c r="P3518" i="3"/>
  <c r="Q3517" i="3"/>
  <c r="R3517" i="3" s="1"/>
  <c r="A3518" i="3"/>
  <c r="Q3518" i="3" l="1"/>
  <c r="R3518" i="3" s="1"/>
  <c r="A3519" i="3"/>
  <c r="S3518" i="3"/>
  <c r="P3519" i="3"/>
  <c r="S3519" i="3" l="1"/>
  <c r="P3520" i="3"/>
  <c r="Q3519" i="3"/>
  <c r="R3519" i="3" s="1"/>
  <c r="A3520" i="3"/>
  <c r="Q3520" i="3" l="1"/>
  <c r="R3520" i="3" s="1"/>
  <c r="A3521" i="3"/>
  <c r="S3520" i="3"/>
  <c r="P3521" i="3"/>
  <c r="S3521" i="3" l="1"/>
  <c r="P3522" i="3"/>
  <c r="Q3521" i="3"/>
  <c r="R3521" i="3" s="1"/>
  <c r="A3522" i="3"/>
  <c r="Q3522" i="3" l="1"/>
  <c r="R3522" i="3" s="1"/>
  <c r="A3523" i="3"/>
  <c r="S3522" i="3"/>
  <c r="P3523" i="3"/>
  <c r="S3523" i="3" l="1"/>
  <c r="P3524" i="3"/>
  <c r="Q3523" i="3"/>
  <c r="R3523" i="3" s="1"/>
  <c r="A3524" i="3"/>
  <c r="Q3524" i="3" l="1"/>
  <c r="R3524" i="3" s="1"/>
  <c r="A3525" i="3"/>
  <c r="S3524" i="3"/>
  <c r="P3525" i="3"/>
  <c r="S3525" i="3" l="1"/>
  <c r="P3526" i="3"/>
  <c r="Q3525" i="3"/>
  <c r="R3525" i="3" s="1"/>
  <c r="A3526" i="3"/>
  <c r="Q3526" i="3" l="1"/>
  <c r="R3526" i="3" s="1"/>
  <c r="A3527" i="3"/>
  <c r="S3526" i="3"/>
  <c r="P3527" i="3"/>
  <c r="S3527" i="3" l="1"/>
  <c r="P3528" i="3"/>
  <c r="Q3527" i="3"/>
  <c r="R3527" i="3" s="1"/>
  <c r="A3528" i="3"/>
  <c r="Q3528" i="3" l="1"/>
  <c r="R3528" i="3" s="1"/>
  <c r="A3529" i="3"/>
  <c r="S3528" i="3"/>
  <c r="P3529" i="3"/>
  <c r="P3530" i="3" l="1"/>
  <c r="A3530" i="3"/>
  <c r="S3529" i="3"/>
  <c r="Q3529" i="3"/>
  <c r="R3529" i="3" s="1"/>
  <c r="A3531" i="3" l="1"/>
  <c r="S3530" i="3"/>
  <c r="P3531" i="3"/>
  <c r="Q3530" i="3"/>
  <c r="R3530" i="3" s="1"/>
  <c r="P3532" i="3" l="1"/>
  <c r="S3531" i="3"/>
  <c r="Q3531" i="3"/>
  <c r="R3531" i="3" s="1"/>
  <c r="A3532" i="3"/>
  <c r="A3533" i="3" l="1"/>
  <c r="P3533" i="3"/>
  <c r="Q3532" i="3"/>
  <c r="R3532" i="3" s="1"/>
  <c r="S3532" i="3"/>
  <c r="P3534" i="3" l="1"/>
  <c r="Q3533" i="3"/>
  <c r="R3533" i="3" s="1"/>
  <c r="A3534" i="3"/>
  <c r="S3533" i="3"/>
  <c r="A3535" i="3" l="1"/>
  <c r="P3535" i="3"/>
  <c r="Q3534" i="3"/>
  <c r="R3534" i="3" s="1"/>
  <c r="S3534" i="3"/>
  <c r="P3536" i="3" l="1"/>
  <c r="A3536" i="3"/>
  <c r="S3535" i="3"/>
  <c r="Q3535" i="3"/>
  <c r="R3535" i="3" s="1"/>
  <c r="A3537" i="3" l="1"/>
  <c r="S3536" i="3"/>
  <c r="P3537" i="3"/>
  <c r="Q3536" i="3"/>
  <c r="R3536" i="3" s="1"/>
  <c r="P3538" i="3" l="1"/>
  <c r="A3538" i="3"/>
  <c r="S3537" i="3"/>
  <c r="Q3537" i="3"/>
  <c r="R3537" i="3" s="1"/>
  <c r="A3539" i="3" l="1"/>
  <c r="S3538" i="3"/>
  <c r="P3539" i="3"/>
  <c r="Q3538" i="3"/>
  <c r="R3538" i="3" s="1"/>
  <c r="P3540" i="3" l="1"/>
  <c r="S3539" i="3"/>
  <c r="Q3539" i="3"/>
  <c r="R3539" i="3" s="1"/>
  <c r="A3540" i="3"/>
  <c r="A3541" i="3" l="1"/>
  <c r="P3541" i="3"/>
  <c r="Q3540" i="3"/>
  <c r="R3540" i="3" s="1"/>
  <c r="S3540" i="3"/>
  <c r="P3542" i="3" l="1"/>
  <c r="Q3541" i="3"/>
  <c r="R3541" i="3" s="1"/>
  <c r="A3542" i="3"/>
  <c r="S3541" i="3"/>
  <c r="A3543" i="3" l="1"/>
  <c r="P3543" i="3"/>
  <c r="Q3542" i="3"/>
  <c r="R3542" i="3" s="1"/>
  <c r="S3542" i="3"/>
  <c r="P3544" i="3" l="1"/>
  <c r="A3544" i="3"/>
  <c r="S3543" i="3"/>
  <c r="Q3543" i="3"/>
  <c r="R3543" i="3" s="1"/>
  <c r="A3545" i="3" l="1"/>
  <c r="S3544" i="3"/>
  <c r="P3545" i="3"/>
  <c r="Q3544" i="3"/>
  <c r="R3544" i="3" s="1"/>
  <c r="P3546" i="3" l="1"/>
  <c r="A3546" i="3"/>
  <c r="S3545" i="3"/>
  <c r="Q3545" i="3"/>
  <c r="R3545" i="3" s="1"/>
  <c r="A3547" i="3" l="1"/>
  <c r="S3546" i="3"/>
  <c r="P3547" i="3"/>
  <c r="Q3546" i="3"/>
  <c r="R3546" i="3" s="1"/>
  <c r="P3548" i="3" l="1"/>
  <c r="S3547" i="3"/>
  <c r="Q3547" i="3"/>
  <c r="R3547" i="3" s="1"/>
  <c r="A3548" i="3"/>
  <c r="A3549" i="3" l="1"/>
  <c r="P3549" i="3"/>
  <c r="Q3548" i="3"/>
  <c r="R3548" i="3" s="1"/>
  <c r="S3548" i="3"/>
  <c r="P3550" i="3" l="1"/>
  <c r="Q3549" i="3"/>
  <c r="R3549" i="3" s="1"/>
  <c r="A3550" i="3"/>
  <c r="S3549" i="3"/>
  <c r="A3551" i="3" l="1"/>
  <c r="P3551" i="3"/>
  <c r="Q3550" i="3"/>
  <c r="R3550" i="3" s="1"/>
  <c r="S3550" i="3"/>
  <c r="P3552" i="3" l="1"/>
  <c r="A3552" i="3"/>
  <c r="S3551" i="3"/>
  <c r="Q3551" i="3"/>
  <c r="R3551" i="3" s="1"/>
  <c r="A3553" i="3" l="1"/>
  <c r="S3552" i="3"/>
  <c r="Q3552" i="3"/>
  <c r="R3552" i="3" s="1"/>
  <c r="P3553" i="3"/>
  <c r="P3554" i="3" l="1"/>
  <c r="A3554" i="3"/>
  <c r="S3553" i="3"/>
  <c r="Q3553" i="3"/>
  <c r="R3553" i="3" s="1"/>
  <c r="A3555" i="3" l="1"/>
  <c r="S3554" i="3"/>
  <c r="P3555" i="3"/>
  <c r="Q3554" i="3"/>
  <c r="R3554" i="3" s="1"/>
  <c r="P3556" i="3" l="1"/>
  <c r="S3555" i="3"/>
  <c r="Q3555" i="3"/>
  <c r="R3555" i="3" s="1"/>
  <c r="A3556" i="3"/>
  <c r="A3557" i="3" l="1"/>
  <c r="P3557" i="3"/>
  <c r="Q3556" i="3"/>
  <c r="R3556" i="3" s="1"/>
  <c r="S3556" i="3"/>
  <c r="S3557" i="3" l="1"/>
  <c r="P3558" i="3"/>
  <c r="Q3557" i="3"/>
  <c r="R3557" i="3" s="1"/>
  <c r="A3558" i="3"/>
  <c r="Q3558" i="3" l="1"/>
  <c r="R3558" i="3" s="1"/>
  <c r="A3559" i="3"/>
  <c r="S3558" i="3"/>
  <c r="P3559" i="3"/>
  <c r="S3559" i="3" l="1"/>
  <c r="P3560" i="3"/>
  <c r="A3560" i="3"/>
  <c r="Q3559" i="3"/>
  <c r="R3559" i="3" s="1"/>
  <c r="Q3560" i="3" l="1"/>
  <c r="R3560" i="3" s="1"/>
  <c r="A3561" i="3"/>
  <c r="S3560" i="3"/>
  <c r="P3561" i="3"/>
  <c r="S3561" i="3" l="1"/>
  <c r="P3562" i="3"/>
  <c r="A3562" i="3"/>
  <c r="Q3561" i="3"/>
  <c r="R3561" i="3" s="1"/>
  <c r="Q3562" i="3" l="1"/>
  <c r="R3562" i="3" s="1"/>
  <c r="A3563" i="3"/>
  <c r="P3563" i="3"/>
  <c r="S3562" i="3"/>
  <c r="S3563" i="3" l="1"/>
  <c r="P3564" i="3"/>
  <c r="A3564" i="3"/>
  <c r="Q3563" i="3"/>
  <c r="R3563" i="3" s="1"/>
  <c r="Q3564" i="3" l="1"/>
  <c r="R3564" i="3" s="1"/>
  <c r="A3565" i="3"/>
  <c r="P3565" i="3"/>
  <c r="S3564" i="3"/>
  <c r="S3565" i="3" l="1"/>
  <c r="P3566" i="3"/>
  <c r="Q3565" i="3"/>
  <c r="R3565" i="3" s="1"/>
  <c r="A3566" i="3"/>
  <c r="Q3566" i="3" l="1"/>
  <c r="R3566" i="3" s="1"/>
  <c r="A3567" i="3"/>
  <c r="S3566" i="3"/>
  <c r="P3567" i="3"/>
  <c r="S3567" i="3" l="1"/>
  <c r="P3568" i="3"/>
  <c r="A3568" i="3"/>
  <c r="Q3567" i="3"/>
  <c r="R3567" i="3" s="1"/>
  <c r="Q3568" i="3" l="1"/>
  <c r="R3568" i="3" s="1"/>
  <c r="A3569" i="3"/>
  <c r="S3568" i="3"/>
  <c r="P3569" i="3"/>
  <c r="S3569" i="3" l="1"/>
  <c r="P3570" i="3"/>
  <c r="Q3569" i="3"/>
  <c r="R3569" i="3" s="1"/>
  <c r="A3570" i="3"/>
  <c r="Q3570" i="3" l="1"/>
  <c r="R3570" i="3" s="1"/>
  <c r="A3571" i="3"/>
  <c r="S3570" i="3"/>
  <c r="P3571" i="3"/>
  <c r="S3571" i="3" l="1"/>
  <c r="P3572" i="3"/>
  <c r="Q3571" i="3"/>
  <c r="R3571" i="3" s="1"/>
  <c r="A3572" i="3"/>
  <c r="Q3572" i="3" l="1"/>
  <c r="R3572" i="3" s="1"/>
  <c r="A3573" i="3"/>
  <c r="S3572" i="3"/>
  <c r="P3573" i="3"/>
  <c r="S3573" i="3" l="1"/>
  <c r="P3574" i="3"/>
  <c r="Q3573" i="3"/>
  <c r="R3573" i="3" s="1"/>
  <c r="A3574" i="3"/>
  <c r="Q3574" i="3" l="1"/>
  <c r="R3574" i="3" s="1"/>
  <c r="A3575" i="3"/>
  <c r="S3574" i="3"/>
  <c r="P3575" i="3"/>
  <c r="S3575" i="3" l="1"/>
  <c r="P3576" i="3"/>
  <c r="Q3575" i="3"/>
  <c r="R3575" i="3" s="1"/>
  <c r="A3576" i="3"/>
  <c r="Q3576" i="3" l="1"/>
  <c r="R3576" i="3" s="1"/>
  <c r="A3577" i="3"/>
  <c r="S3576" i="3"/>
  <c r="P3577" i="3"/>
  <c r="S3577" i="3" l="1"/>
  <c r="P3578" i="3"/>
  <c r="Q3577" i="3"/>
  <c r="R3577" i="3" s="1"/>
  <c r="A3578" i="3"/>
  <c r="Q3578" i="3" l="1"/>
  <c r="R3578" i="3" s="1"/>
  <c r="A3579" i="3"/>
  <c r="S3578" i="3"/>
  <c r="P3579" i="3"/>
  <c r="S3579" i="3" l="1"/>
  <c r="P3580" i="3"/>
  <c r="Q3579" i="3"/>
  <c r="R3579" i="3" s="1"/>
  <c r="A3580" i="3"/>
  <c r="Q3580" i="3" l="1"/>
  <c r="R3580" i="3" s="1"/>
  <c r="A3581" i="3"/>
  <c r="S3580" i="3"/>
  <c r="P3581" i="3"/>
  <c r="S3581" i="3" l="1"/>
  <c r="P3582" i="3"/>
  <c r="Q3581" i="3"/>
  <c r="R3581" i="3" s="1"/>
  <c r="A3582" i="3"/>
  <c r="Q3582" i="3" l="1"/>
  <c r="R3582" i="3" s="1"/>
  <c r="A3583" i="3"/>
  <c r="S3582" i="3"/>
  <c r="P3583" i="3"/>
  <c r="S3583" i="3" l="1"/>
  <c r="P3584" i="3"/>
  <c r="Q3583" i="3"/>
  <c r="R3583" i="3" s="1"/>
  <c r="A3584" i="3"/>
  <c r="Q3584" i="3" l="1"/>
  <c r="R3584" i="3" s="1"/>
  <c r="A3585" i="3"/>
  <c r="S3584" i="3"/>
  <c r="P3585" i="3"/>
  <c r="P3586" i="3" l="1"/>
  <c r="A3586" i="3"/>
  <c r="S3585" i="3"/>
  <c r="Q3585" i="3"/>
  <c r="A3587" i="3" l="1"/>
  <c r="S3586" i="3"/>
  <c r="P3587" i="3"/>
  <c r="R3585" i="3"/>
  <c r="Q3586" i="3"/>
  <c r="R3586" i="3" s="1"/>
  <c r="S3587" i="3" s="1"/>
  <c r="C21" i="1"/>
  <c r="Q3587" i="3" l="1"/>
  <c r="R3587" i="3" s="1"/>
  <c r="P3588" i="3"/>
  <c r="A3588" i="3"/>
  <c r="B1" i="1"/>
  <c r="Q3588" i="3" l="1"/>
  <c r="R3588" i="3" s="1"/>
  <c r="S3588" i="3"/>
  <c r="A3589" i="3"/>
  <c r="P3589" i="3"/>
  <c r="B5" i="1"/>
  <c r="P3590" i="3" l="1"/>
  <c r="A3590" i="3"/>
  <c r="S3589" i="3"/>
  <c r="Q3589" i="3"/>
  <c r="R3589" i="3" s="1"/>
  <c r="B5" i="5"/>
  <c r="C5" i="5"/>
  <c r="C4" i="5"/>
  <c r="B4" i="5"/>
  <c r="P3591" i="3" l="1"/>
  <c r="Q3590" i="3"/>
  <c r="R3590" i="3" s="1"/>
  <c r="A3591" i="3"/>
  <c r="S3590" i="3"/>
  <c r="C7" i="5"/>
  <c r="F13" i="1" s="1"/>
  <c r="B7" i="5"/>
  <c r="F12" i="1" s="1"/>
  <c r="B3" i="5"/>
  <c r="F10" i="1" s="1"/>
  <c r="C3" i="5"/>
  <c r="F11" i="1" s="1"/>
  <c r="B2" i="5"/>
  <c r="C6" i="5"/>
  <c r="B6" i="5"/>
  <c r="D3" i="5"/>
  <c r="D5" i="5"/>
  <c r="D4" i="5"/>
  <c r="D2" i="5"/>
  <c r="C2" i="5"/>
  <c r="A6" i="5"/>
  <c r="D1" i="5"/>
  <c r="A3592" i="3" l="1"/>
  <c r="Q3591" i="3"/>
  <c r="R3591" i="3" s="1"/>
  <c r="P3592" i="3"/>
  <c r="S3591" i="3"/>
  <c r="E1" i="5"/>
  <c r="F9" i="1" s="1"/>
  <c r="A3593" i="3" l="1"/>
  <c r="S3592" i="3"/>
  <c r="Q3592" i="3"/>
  <c r="R3592" i="3" s="1"/>
  <c r="P3593" i="3"/>
  <c r="C9" i="1"/>
  <c r="G6" i="5"/>
  <c r="F19" i="1" s="1"/>
  <c r="G2" i="5"/>
  <c r="F15" i="1" s="1"/>
  <c r="G3" i="5"/>
  <c r="F16" i="1" s="1"/>
  <c r="G4" i="5"/>
  <c r="F17" i="1" s="1"/>
  <c r="E2" i="5"/>
  <c r="G5" i="5"/>
  <c r="F18" i="1" s="1"/>
  <c r="P3594" i="3" l="1"/>
  <c r="Q3593" i="3"/>
  <c r="R3593" i="3" s="1"/>
  <c r="S3593" i="3"/>
  <c r="A3594" i="3"/>
  <c r="C16" i="1"/>
  <c r="C17" i="1"/>
  <c r="C11" i="1" s="1"/>
  <c r="C18" i="1"/>
  <c r="C12" i="1" s="1"/>
  <c r="C15" i="1"/>
  <c r="C10" i="1" s="1"/>
  <c r="C19" i="1"/>
  <c r="C13" i="1" s="1"/>
  <c r="P3595" i="3" l="1"/>
  <c r="A3595" i="3"/>
  <c r="Q3594" i="3"/>
  <c r="R3594" i="3" s="1"/>
  <c r="S3594" i="3"/>
  <c r="S3595" i="3" l="1"/>
  <c r="P3596" i="3"/>
  <c r="A3596" i="3"/>
  <c r="Q3595" i="3"/>
  <c r="R3595" i="3" s="1"/>
  <c r="Q3596" i="3" l="1"/>
  <c r="R3596" i="3" s="1"/>
  <c r="S3596" i="3"/>
  <c r="P3597" i="3"/>
  <c r="A3597" i="3"/>
  <c r="P3598" i="3" l="1"/>
  <c r="Q3597" i="3"/>
  <c r="R3597" i="3" s="1"/>
  <c r="A3598" i="3"/>
  <c r="S3597" i="3"/>
  <c r="Q3598" i="3" l="1"/>
  <c r="R3598" i="3" s="1"/>
  <c r="S3598" i="3"/>
  <c r="P3599" i="3"/>
  <c r="A3599" i="3"/>
  <c r="A3600" i="3" l="1"/>
  <c r="P3600" i="3"/>
  <c r="Q3599" i="3"/>
  <c r="R3599" i="3" s="1"/>
  <c r="S3599" i="3"/>
  <c r="S3600" i="3" l="1"/>
  <c r="A3601" i="3"/>
  <c r="P3601" i="3"/>
  <c r="Q3600" i="3"/>
  <c r="R3600" i="3" s="1"/>
  <c r="S3601" i="3" s="1"/>
  <c r="P3602" i="3" l="1"/>
  <c r="Q3601" i="3"/>
  <c r="R3601" i="3" s="1"/>
  <c r="A3602" i="3"/>
  <c r="A3603" i="3" l="1"/>
  <c r="P3603" i="3"/>
  <c r="S3602" i="3"/>
  <c r="Q3602" i="3"/>
  <c r="R3602" i="3" s="1"/>
  <c r="P3604" i="3" l="1"/>
  <c r="A3604" i="3"/>
  <c r="Q3603" i="3"/>
  <c r="R3603" i="3" s="1"/>
  <c r="S3603" i="3"/>
  <c r="P3605" i="3" l="1"/>
  <c r="A3605" i="3"/>
  <c r="S3604" i="3"/>
  <c r="Q3604" i="3"/>
  <c r="R3604" i="3" s="1"/>
  <c r="S3605" i="3" l="1"/>
  <c r="Q3605" i="3"/>
  <c r="R3605" i="3" s="1"/>
  <c r="P3606" i="3"/>
  <c r="A3606" i="3"/>
  <c r="Q3606" i="3" l="1"/>
  <c r="R3606" i="3" s="1"/>
  <c r="A3607" i="3"/>
  <c r="S3606" i="3"/>
  <c r="P3607" i="3"/>
  <c r="P3608" i="3" l="1"/>
  <c r="S3607" i="3"/>
  <c r="Q3607" i="3"/>
  <c r="R3607" i="3" s="1"/>
  <c r="A3608" i="3"/>
  <c r="P3609" i="3" l="1"/>
  <c r="A3609" i="3"/>
  <c r="S3608" i="3"/>
  <c r="Q3608" i="3"/>
  <c r="R3608" i="3" s="1"/>
  <c r="A3610" i="3" l="1"/>
  <c r="P3610" i="3"/>
  <c r="S3609" i="3"/>
  <c r="Q3609" i="3"/>
  <c r="R3609" i="3" s="1"/>
  <c r="S3610" i="3" s="1"/>
  <c r="A3611" i="3" l="1"/>
  <c r="P3611" i="3"/>
  <c r="Q3610" i="3"/>
  <c r="R3610" i="3" s="1"/>
  <c r="S3611" i="3" l="1"/>
  <c r="P3612" i="3"/>
  <c r="A3612" i="3"/>
  <c r="Q3611" i="3"/>
  <c r="R3611" i="3" s="1"/>
  <c r="Q3612" i="3" l="1"/>
  <c r="R3612" i="3" s="1"/>
  <c r="A3613" i="3"/>
  <c r="S3612" i="3"/>
  <c r="P3613" i="3"/>
  <c r="S3613" i="3" l="1"/>
  <c r="Q3613" i="3"/>
  <c r="R3613" i="3" s="1"/>
  <c r="P3614" i="3"/>
  <c r="A3614" i="3"/>
  <c r="A3615" i="3" l="1"/>
  <c r="Q3614" i="3"/>
  <c r="R3614" i="3" s="1"/>
  <c r="P3615" i="3"/>
  <c r="S3614" i="3"/>
  <c r="P3616" i="3" l="1"/>
  <c r="S3615" i="3"/>
  <c r="Q3615" i="3"/>
  <c r="R3615" i="3" s="1"/>
  <c r="A3616" i="3"/>
  <c r="A3617" i="3" l="1"/>
  <c r="Q3616" i="3"/>
  <c r="R3616" i="3" s="1"/>
  <c r="S3616" i="3"/>
  <c r="P3617" i="3"/>
  <c r="P3618" i="3" l="1"/>
  <c r="S3617" i="3"/>
  <c r="Q3617" i="3"/>
  <c r="R3617" i="3" s="1"/>
  <c r="A3618" i="3"/>
  <c r="A3619" i="3" l="1"/>
  <c r="S3618" i="3"/>
  <c r="P3619" i="3"/>
  <c r="Q3618" i="3"/>
  <c r="R3618" i="3" s="1"/>
  <c r="Q3619" i="3" l="1"/>
  <c r="R3619" i="3" s="1"/>
  <c r="A3620" i="3"/>
  <c r="P3620" i="3"/>
  <c r="S3619" i="3"/>
  <c r="P3621" i="3" l="1"/>
  <c r="A3621" i="3"/>
  <c r="S3620" i="3"/>
  <c r="Q3620" i="3"/>
  <c r="R3620" i="3" s="1"/>
  <c r="A3622" i="3" l="1"/>
  <c r="S3621" i="3"/>
  <c r="P3622" i="3"/>
  <c r="Q3621" i="3"/>
  <c r="R3621" i="3" s="1"/>
  <c r="A3623" i="3" l="1"/>
  <c r="S3622" i="3"/>
  <c r="P3623" i="3"/>
  <c r="Q3622" i="3"/>
  <c r="R3622" i="3" s="1"/>
  <c r="S3623" i="3" s="1"/>
  <c r="P3624" i="3" l="1"/>
  <c r="Q3623" i="3"/>
  <c r="R3623" i="3" s="1"/>
  <c r="A3624" i="3"/>
  <c r="P3625" i="3" l="1"/>
  <c r="A3625" i="3"/>
  <c r="Q3624" i="3"/>
  <c r="R3624" i="3" s="1"/>
  <c r="S3625" i="3" s="1"/>
  <c r="S3624" i="3"/>
  <c r="A3626" i="3" l="1"/>
  <c r="Q3625" i="3"/>
  <c r="R3625" i="3" s="1"/>
  <c r="P3626" i="3"/>
  <c r="S3626" i="3" l="1"/>
  <c r="A3627" i="3"/>
  <c r="P3627" i="3"/>
  <c r="Q3626" i="3"/>
  <c r="R3626" i="3" s="1"/>
  <c r="S3627" i="3" l="1"/>
  <c r="Q3627" i="3"/>
  <c r="R3627" i="3" s="1"/>
  <c r="A3628" i="3"/>
  <c r="P3628" i="3"/>
  <c r="Q3628" i="3" l="1"/>
  <c r="R3628" i="3" s="1"/>
  <c r="A3629" i="3"/>
  <c r="S3628" i="3"/>
  <c r="P3629" i="3"/>
  <c r="A3630" i="3" l="1"/>
  <c r="P3630" i="3"/>
  <c r="S3629" i="3"/>
  <c r="Q3629" i="3"/>
  <c r="R3629" i="3" s="1"/>
  <c r="P3631" i="3" l="1"/>
  <c r="A3631" i="3"/>
  <c r="S3630" i="3"/>
  <c r="Q3630" i="3"/>
  <c r="R3630" i="3" s="1"/>
  <c r="S3631" i="3" l="1"/>
  <c r="Q3631" i="3"/>
  <c r="R3631" i="3" s="1"/>
  <c r="P3632" i="3"/>
  <c r="A3632" i="3"/>
  <c r="Q3632" i="3" l="1"/>
  <c r="R3632" i="3" s="1"/>
  <c r="A3633" i="3"/>
  <c r="S3632" i="3"/>
  <c r="P3633" i="3"/>
  <c r="P3634" i="3" l="1"/>
  <c r="S3633" i="3"/>
  <c r="Q3633" i="3"/>
  <c r="R3633" i="3" s="1"/>
  <c r="A3634" i="3"/>
  <c r="Q3634" i="3" l="1"/>
  <c r="R3634" i="3" s="1"/>
  <c r="A3635" i="3"/>
  <c r="S3634" i="3"/>
  <c r="P3635" i="3"/>
  <c r="Q3635" i="3" l="1"/>
  <c r="R3635" i="3" s="1"/>
  <c r="P3636" i="3"/>
  <c r="A3636" i="3"/>
  <c r="S3635" i="3"/>
  <c r="A3637" i="3" l="1"/>
  <c r="Q3636" i="3"/>
  <c r="R3636" i="3" s="1"/>
  <c r="S3636" i="3"/>
  <c r="P3637" i="3"/>
  <c r="Q3637" i="3" l="1"/>
  <c r="R3637" i="3" s="1"/>
  <c r="S3637" i="3"/>
  <c r="P3638" i="3"/>
  <c r="A3638" i="3"/>
  <c r="Q3638" i="3" l="1"/>
  <c r="R3638" i="3" s="1"/>
  <c r="S3638" i="3"/>
  <c r="P3639" i="3"/>
  <c r="A3639" i="3"/>
  <c r="Q3639" i="3" l="1"/>
  <c r="R3639" i="3" s="1"/>
  <c r="A3640" i="3"/>
  <c r="S3639" i="3"/>
  <c r="P3640" i="3"/>
  <c r="P3641" i="3" l="1"/>
  <c r="Q3640" i="3"/>
  <c r="R3640" i="3" s="1"/>
  <c r="S3640" i="3"/>
  <c r="A3641" i="3"/>
  <c r="Q3641" i="3" l="1"/>
  <c r="R3641" i="3" s="1"/>
  <c r="A3642" i="3"/>
  <c r="S3641" i="3"/>
  <c r="P3642" i="3"/>
  <c r="A3643" i="3" l="1"/>
  <c r="P3643" i="3"/>
  <c r="S3642" i="3"/>
  <c r="Q3642" i="3"/>
  <c r="R3642" i="3" s="1"/>
  <c r="A3644" i="3" l="1"/>
  <c r="P3644" i="3"/>
  <c r="S3643" i="3"/>
  <c r="Q3643" i="3"/>
  <c r="R3643" i="3" s="1"/>
  <c r="S3644" i="3" s="1"/>
  <c r="Q3644" i="3" l="1"/>
  <c r="R3644" i="3" s="1"/>
  <c r="P3645" i="3"/>
  <c r="A3645" i="3"/>
  <c r="S3645" i="3" l="1"/>
  <c r="A3646" i="3"/>
  <c r="P3646" i="3"/>
  <c r="Q3645" i="3"/>
  <c r="R3645" i="3" s="1"/>
  <c r="P3647" i="3" l="1"/>
  <c r="S3646" i="3"/>
  <c r="A3647" i="3"/>
  <c r="Q3646" i="3"/>
  <c r="R3646" i="3" s="1"/>
  <c r="A3648" i="3" l="1"/>
  <c r="P3648" i="3"/>
  <c r="Q3647" i="3"/>
  <c r="R3647" i="3" s="1"/>
  <c r="S3647" i="3"/>
  <c r="P3649" i="3" l="1"/>
  <c r="Q3648" i="3"/>
  <c r="R3648" i="3" s="1"/>
  <c r="S3648" i="3"/>
  <c r="A3649" i="3"/>
  <c r="A3650" i="3" l="1"/>
  <c r="S3649" i="3"/>
  <c r="Q3649" i="3"/>
  <c r="R3649" i="3" s="1"/>
  <c r="P3650" i="3"/>
  <c r="Q3650" i="3" l="1"/>
  <c r="R3650" i="3" s="1"/>
  <c r="A3651" i="3"/>
  <c r="S3650" i="3"/>
  <c r="P3651" i="3"/>
  <c r="S3651" i="3" l="1"/>
  <c r="P3652" i="3"/>
  <c r="Q3651" i="3"/>
  <c r="R3651" i="3" s="1"/>
  <c r="A3652" i="3"/>
  <c r="P3653" i="3" l="1"/>
  <c r="A3653" i="3"/>
  <c r="S3652" i="3"/>
  <c r="Q3652" i="3"/>
  <c r="R3652" i="3" s="1"/>
  <c r="S3653" i="3" l="1"/>
  <c r="P3654" i="3"/>
  <c r="A3654" i="3"/>
  <c r="Q3653" i="3"/>
  <c r="R3653" i="3" s="1"/>
  <c r="S3654" i="3" s="1"/>
  <c r="A3655" i="3" l="1"/>
  <c r="P3655" i="3"/>
  <c r="Q3654" i="3"/>
  <c r="R3654" i="3" s="1"/>
  <c r="Q3655" i="3" l="1"/>
  <c r="R3655" i="3" s="1"/>
  <c r="P3656" i="3"/>
  <c r="A3656" i="3"/>
  <c r="S3655" i="3"/>
  <c r="A3657" i="3" l="1"/>
  <c r="P3657" i="3"/>
  <c r="Q3656" i="3"/>
  <c r="R3656" i="3" s="1"/>
  <c r="S3656" i="3"/>
  <c r="P3658" i="3" l="1"/>
  <c r="A3658" i="3"/>
  <c r="Q3657" i="3"/>
  <c r="R3657" i="3" s="1"/>
  <c r="S3657" i="3"/>
  <c r="S3658" i="3" l="1"/>
  <c r="Q3658" i="3"/>
  <c r="R3658" i="3" s="1"/>
  <c r="P3659" i="3"/>
  <c r="A3659" i="3"/>
  <c r="Q3659" i="3" l="1"/>
  <c r="R3659" i="3" s="1"/>
  <c r="A3660" i="3"/>
  <c r="S3659" i="3"/>
  <c r="P3660" i="3"/>
  <c r="P3661" i="3" l="1"/>
  <c r="S3660" i="3"/>
  <c r="Q3660" i="3"/>
  <c r="R3660" i="3" s="1"/>
  <c r="A3661" i="3"/>
  <c r="S3661" i="3" l="1"/>
  <c r="A3662" i="3"/>
  <c r="P3662" i="3"/>
  <c r="Q3661" i="3"/>
  <c r="R3661" i="3" s="1"/>
  <c r="Q3662" i="3" l="1"/>
  <c r="R3662" i="3" s="1"/>
  <c r="A3663" i="3"/>
  <c r="S3662" i="3"/>
  <c r="P3663" i="3"/>
  <c r="A3664" i="3" l="1"/>
  <c r="S3663" i="3"/>
  <c r="P3664" i="3"/>
  <c r="Q3663" i="3"/>
  <c r="R3663" i="3" s="1"/>
  <c r="Q3664" i="3" l="1"/>
  <c r="R3664" i="3" s="1"/>
  <c r="A3665" i="3"/>
  <c r="S3664" i="3"/>
  <c r="P3665" i="3"/>
  <c r="Q3665" i="3" l="1"/>
  <c r="R3665" i="3" s="1"/>
  <c r="P3666" i="3"/>
  <c r="A3666" i="3"/>
  <c r="S3665" i="3"/>
  <c r="Q3666" i="3" l="1"/>
  <c r="R3666" i="3" s="1"/>
  <c r="A3667" i="3"/>
  <c r="S3666" i="3"/>
  <c r="P3667" i="3"/>
  <c r="P3668" i="3" l="1"/>
  <c r="A3668" i="3"/>
  <c r="S3667" i="3"/>
  <c r="Q3667" i="3"/>
  <c r="R3667" i="3" s="1"/>
  <c r="A3669" i="3" l="1"/>
  <c r="P3669" i="3"/>
  <c r="S3668" i="3"/>
  <c r="Q3668" i="3"/>
  <c r="R3668" i="3" s="1"/>
  <c r="S3669" i="3" s="1"/>
  <c r="Q3669" i="3" l="1"/>
  <c r="R3669" i="3" s="1"/>
  <c r="P3670" i="3"/>
  <c r="A3670" i="3"/>
  <c r="A3671" i="3" l="1"/>
  <c r="P3671" i="3"/>
  <c r="S3670" i="3"/>
  <c r="Q3670" i="3"/>
  <c r="R3670" i="3" s="1"/>
  <c r="Q3671" i="3" l="1"/>
  <c r="R3671" i="3" s="1"/>
  <c r="S3671" i="3"/>
  <c r="A3672" i="3"/>
  <c r="P3672" i="3"/>
  <c r="A3673" i="3" l="1"/>
  <c r="S3672" i="3"/>
  <c r="P3673" i="3"/>
  <c r="Q3672" i="3"/>
  <c r="R3672" i="3" s="1"/>
  <c r="P3674" i="3" l="1"/>
  <c r="A3674" i="3"/>
  <c r="S3673" i="3"/>
  <c r="Q3673" i="3"/>
  <c r="R3673" i="3" s="1"/>
  <c r="S3674" i="3" l="1"/>
  <c r="P3675" i="3"/>
  <c r="Q3674" i="3"/>
  <c r="R3674" i="3" s="1"/>
  <c r="A3675" i="3"/>
  <c r="P3676" i="3" l="1"/>
  <c r="Q3675" i="3"/>
  <c r="R3675" i="3" s="1"/>
  <c r="S3675" i="3"/>
  <c r="A3676" i="3"/>
  <c r="S3676" i="3" l="1"/>
  <c r="P3677" i="3"/>
  <c r="Q3676" i="3"/>
  <c r="R3676" i="3" s="1"/>
  <c r="A3677" i="3"/>
  <c r="A3678" i="3" l="1"/>
  <c r="P3678" i="3"/>
  <c r="S3677" i="3"/>
  <c r="Q3677" i="3"/>
  <c r="R3677" i="3" s="1"/>
  <c r="S3678" i="3" l="1"/>
  <c r="P3679" i="3"/>
  <c r="A3679" i="3"/>
  <c r="Q3678" i="3"/>
  <c r="R3678" i="3" s="1"/>
  <c r="S3679" i="3" s="1"/>
  <c r="A3680" i="3" l="1"/>
  <c r="Q3679" i="3"/>
  <c r="R3679" i="3" s="1"/>
  <c r="P3680" i="3"/>
  <c r="A3681" i="3" l="1"/>
  <c r="Q3680" i="3"/>
  <c r="R3680" i="3" s="1"/>
  <c r="S3680" i="3"/>
  <c r="P3681" i="3"/>
  <c r="Q3681" i="3" l="1"/>
  <c r="R3681" i="3" s="1"/>
  <c r="P3682" i="3"/>
  <c r="A3682" i="3"/>
  <c r="S3681" i="3"/>
  <c r="A3683" i="3" l="1"/>
  <c r="P3683" i="3"/>
  <c r="S3682" i="3"/>
  <c r="Q3682" i="3"/>
  <c r="R3682" i="3" s="1"/>
  <c r="P3684" i="3" l="1"/>
  <c r="A3684" i="3"/>
  <c r="S3683" i="3"/>
  <c r="Q3683" i="3"/>
  <c r="R3683" i="3" s="1"/>
  <c r="S3684" i="3" l="1"/>
  <c r="P3685" i="3"/>
  <c r="Q3684" i="3"/>
  <c r="R3684" i="3" s="1"/>
  <c r="A3685" i="3"/>
  <c r="Q3685" i="3" l="1"/>
  <c r="R3685" i="3" s="1"/>
  <c r="A3686" i="3"/>
  <c r="S3685" i="3"/>
  <c r="P3686" i="3"/>
  <c r="P3687" i="3" l="1"/>
  <c r="S3686" i="3"/>
  <c r="Q3686" i="3"/>
  <c r="R3686" i="3" s="1"/>
  <c r="A3687" i="3"/>
  <c r="Q3687" i="3" l="1"/>
  <c r="R3687" i="3" s="1"/>
  <c r="P3688" i="3"/>
  <c r="A3688" i="3"/>
  <c r="S3687" i="3"/>
  <c r="Q3688" i="3" l="1"/>
  <c r="R3688" i="3" s="1"/>
  <c r="A3689" i="3"/>
  <c r="S3688" i="3"/>
  <c r="P3689" i="3"/>
  <c r="A3690" i="3" l="1"/>
  <c r="Q3689" i="3"/>
  <c r="R3689" i="3" s="1"/>
  <c r="S3689" i="3"/>
  <c r="P3690" i="3"/>
  <c r="S3690" i="3" l="1"/>
  <c r="P3691" i="3"/>
  <c r="Q3690" i="3"/>
  <c r="R3690" i="3" s="1"/>
  <c r="A3691" i="3"/>
  <c r="P3692" i="3" l="1"/>
  <c r="A3692" i="3"/>
  <c r="S3691" i="3"/>
  <c r="Q3691" i="3"/>
  <c r="R3691" i="3" s="1"/>
  <c r="A3693" i="3" l="1"/>
  <c r="S3692" i="3"/>
  <c r="P3693" i="3"/>
  <c r="Q3692" i="3"/>
  <c r="R3692" i="3" s="1"/>
  <c r="S3693" i="3" l="1"/>
  <c r="P3694" i="3"/>
  <c r="Q3693" i="3"/>
  <c r="R3693" i="3" s="1"/>
  <c r="A3694" i="3"/>
  <c r="S3694" i="3" l="1"/>
  <c r="Q3694" i="3"/>
  <c r="R3694" i="3" s="1"/>
  <c r="A3695" i="3"/>
  <c r="P3695" i="3"/>
  <c r="P3696" i="3" l="1"/>
  <c r="A3696" i="3"/>
  <c r="S3695" i="3"/>
  <c r="Q3695" i="3"/>
  <c r="R3695" i="3" s="1"/>
  <c r="A3697" i="3" l="1"/>
  <c r="P3697" i="3"/>
  <c r="Q3696" i="3"/>
  <c r="R3696" i="3" s="1"/>
  <c r="S3696" i="3"/>
  <c r="Q3697" i="3" l="1"/>
  <c r="R3697" i="3" s="1"/>
  <c r="S3697" i="3"/>
  <c r="A3698" i="3"/>
  <c r="P3698" i="3"/>
  <c r="S3698" i="3" l="1"/>
  <c r="P3699" i="3"/>
  <c r="Q3698" i="3"/>
  <c r="R3698" i="3" s="1"/>
  <c r="A3699" i="3"/>
  <c r="A3700" i="3" l="1"/>
  <c r="Q3699" i="3"/>
  <c r="R3699" i="3" s="1"/>
  <c r="S3699" i="3"/>
  <c r="P3700" i="3"/>
  <c r="S3700" i="3" l="1"/>
  <c r="Q3700" i="3"/>
  <c r="R3700" i="3" s="1"/>
  <c r="A3701" i="3"/>
  <c r="P3701" i="3"/>
  <c r="Q3701" i="3" l="1"/>
  <c r="R3701" i="3" s="1"/>
  <c r="P3702" i="3"/>
  <c r="A3702" i="3"/>
  <c r="S3701" i="3"/>
  <c r="P3703" i="3" l="1"/>
  <c r="Q3702" i="3"/>
  <c r="R3702" i="3" s="1"/>
  <c r="A3703" i="3"/>
  <c r="S3702" i="3"/>
  <c r="Q3703" i="3" l="1"/>
  <c r="R3703" i="3" s="1"/>
  <c r="S3703" i="3"/>
  <c r="P3704" i="3"/>
  <c r="A3704" i="3"/>
  <c r="S3704" i="3" l="1"/>
  <c r="P3705" i="3"/>
  <c r="A3705" i="3"/>
  <c r="Q3704" i="3"/>
  <c r="R3704" i="3" s="1"/>
  <c r="Q3705" i="3" l="1"/>
  <c r="R3705" i="3" s="1"/>
  <c r="A3706" i="3"/>
  <c r="S3705" i="3"/>
  <c r="P3706" i="3"/>
  <c r="P3707" i="3" l="1"/>
  <c r="S3706" i="3"/>
  <c r="Q3706" i="3"/>
  <c r="R3706" i="3" s="1"/>
  <c r="A3707" i="3"/>
  <c r="P3708" i="3" l="1"/>
  <c r="A3708" i="3"/>
  <c r="S3707" i="3"/>
  <c r="Q3707" i="3"/>
  <c r="R3707" i="3" s="1"/>
  <c r="A3709" i="3" l="1"/>
  <c r="S3708" i="3"/>
  <c r="P3709" i="3"/>
  <c r="Q3708" i="3"/>
  <c r="R3708" i="3" s="1"/>
  <c r="S3709" i="3" s="1"/>
  <c r="Q3709" i="3" l="1"/>
  <c r="R3709" i="3" s="1"/>
  <c r="P3710" i="3"/>
  <c r="A3710" i="3"/>
  <c r="Q3710" i="3" l="1"/>
  <c r="R3710" i="3" s="1"/>
  <c r="A3711" i="3"/>
  <c r="S3710" i="3"/>
  <c r="P3711" i="3"/>
  <c r="Q3711" i="3" l="1"/>
  <c r="R3711" i="3" s="1"/>
  <c r="S3711" i="3"/>
  <c r="A3712" i="3"/>
  <c r="P3712" i="3"/>
  <c r="A3713" i="3" l="1"/>
  <c r="S3712" i="3"/>
  <c r="P3713" i="3"/>
  <c r="Q3712" i="3"/>
  <c r="R3712" i="3" s="1"/>
  <c r="P3714" i="3" l="1"/>
  <c r="A3714" i="3"/>
  <c r="Q3713" i="3"/>
  <c r="R3713" i="3" s="1"/>
  <c r="S3713" i="3"/>
  <c r="S3714" i="3" l="1"/>
  <c r="Q3714" i="3"/>
  <c r="R3714" i="3" s="1"/>
  <c r="P3715" i="3"/>
  <c r="A3715" i="3"/>
  <c r="Q3715" i="3" l="1"/>
  <c r="R3715" i="3" s="1"/>
  <c r="A3716" i="3"/>
  <c r="S3715" i="3"/>
  <c r="P3716" i="3"/>
  <c r="P3717" i="3" l="1"/>
  <c r="S3716" i="3"/>
  <c r="Q3716" i="3"/>
  <c r="R3716" i="3" s="1"/>
  <c r="A3717" i="3"/>
  <c r="Q3717" i="3" l="1"/>
  <c r="R3717" i="3" s="1"/>
  <c r="A3718" i="3"/>
  <c r="S3717" i="3"/>
  <c r="P3718" i="3"/>
  <c r="S3718" i="3" l="1"/>
  <c r="P3719" i="3"/>
  <c r="Q3718" i="3"/>
  <c r="R3718" i="3" s="1"/>
  <c r="A3719" i="3"/>
  <c r="P3720" i="3" l="1"/>
  <c r="A3720" i="3"/>
  <c r="Q3719" i="3"/>
  <c r="R3719" i="3" s="1"/>
  <c r="S3719" i="3"/>
  <c r="A3721" i="3" l="1"/>
  <c r="S3720" i="3"/>
  <c r="P3721" i="3"/>
  <c r="Q3720" i="3"/>
  <c r="R3720" i="3" s="1"/>
  <c r="S3721" i="3" s="1"/>
  <c r="Q3721" i="3" l="1"/>
  <c r="R3721" i="3" s="1"/>
  <c r="P3722" i="3"/>
  <c r="A3722" i="3"/>
  <c r="Q3722" i="3" l="1"/>
  <c r="R3722" i="3" s="1"/>
  <c r="P3723" i="3"/>
  <c r="A3723" i="3"/>
  <c r="S3722" i="3"/>
  <c r="Q3723" i="3" l="1"/>
  <c r="R3723" i="3" s="1"/>
  <c r="S3723" i="3"/>
  <c r="P3724" i="3"/>
  <c r="A3724" i="3"/>
  <c r="A3725" i="3" l="1"/>
  <c r="P3725" i="3"/>
  <c r="Q3724" i="3"/>
  <c r="R3724" i="3" s="1"/>
  <c r="S3724" i="3"/>
  <c r="P3726" i="3" l="1"/>
  <c r="A3726" i="3"/>
  <c r="S3725" i="3"/>
  <c r="Q3725" i="3"/>
  <c r="R3725" i="3" s="1"/>
  <c r="A3727" i="3" l="1"/>
  <c r="S3726" i="3"/>
  <c r="Q3726" i="3"/>
  <c r="R3726" i="3" s="1"/>
  <c r="P3727" i="3"/>
  <c r="P3728" i="3" l="1"/>
  <c r="Q3727" i="3"/>
  <c r="R3727" i="3" s="1"/>
  <c r="S3727" i="3"/>
  <c r="A3728" i="3"/>
  <c r="P3729" i="3" l="1"/>
  <c r="A3729" i="3"/>
  <c r="Q3728" i="3"/>
  <c r="R3728" i="3" s="1"/>
  <c r="S3728" i="3"/>
  <c r="A3730" i="3" l="1"/>
  <c r="P3730" i="3"/>
  <c r="S3729" i="3"/>
  <c r="Q3729" i="3"/>
  <c r="R3729" i="3" s="1"/>
  <c r="P3731" i="3" l="1"/>
  <c r="S3730" i="3"/>
  <c r="A3731" i="3"/>
  <c r="Q3730" i="3"/>
  <c r="R3730" i="3" s="1"/>
  <c r="S3731" i="3" s="1"/>
  <c r="Q3731" i="3" l="1"/>
  <c r="R3731" i="3" s="1"/>
  <c r="P3732" i="3"/>
  <c r="A3732" i="3"/>
  <c r="Q3732" i="3" l="1"/>
  <c r="R3732" i="3" s="1"/>
  <c r="P3733" i="3"/>
  <c r="A3733" i="3"/>
  <c r="S3732" i="3"/>
  <c r="A3734" i="3" l="1"/>
  <c r="S3733" i="3"/>
  <c r="Q3733" i="3"/>
  <c r="R3733" i="3" s="1"/>
  <c r="P3734" i="3"/>
  <c r="A3735" i="3" l="1"/>
  <c r="P3735" i="3"/>
  <c r="S3734" i="3"/>
  <c r="Q3734" i="3"/>
  <c r="R3734" i="3" s="1"/>
  <c r="A3736" i="3" l="1"/>
  <c r="Q3735" i="3"/>
  <c r="R3735" i="3" s="1"/>
  <c r="S3735" i="3"/>
  <c r="P3736" i="3"/>
  <c r="P3737" i="3" l="1"/>
  <c r="Q3736" i="3"/>
  <c r="R3736" i="3" s="1"/>
  <c r="S3736" i="3"/>
  <c r="A3737" i="3"/>
  <c r="A3738" i="3" l="1"/>
  <c r="Q3737" i="3"/>
  <c r="R3737" i="3" s="1"/>
  <c r="S3737" i="3"/>
  <c r="P3738" i="3"/>
  <c r="S3738" i="3" l="1"/>
  <c r="A3739" i="3"/>
  <c r="Q3738" i="3"/>
  <c r="R3738" i="3" s="1"/>
  <c r="P3739" i="3"/>
  <c r="S3739" i="3" l="1"/>
  <c r="A3740" i="3"/>
  <c r="P3740" i="3"/>
  <c r="Q3739" i="3"/>
  <c r="R3739" i="3" s="1"/>
  <c r="P3741" i="3" l="1"/>
  <c r="S3740" i="3"/>
  <c r="Q3740" i="3"/>
  <c r="R3740" i="3" s="1"/>
  <c r="A3741" i="3"/>
  <c r="A3742" i="3" l="1"/>
  <c r="P3742" i="3"/>
  <c r="Q3741" i="3"/>
  <c r="R3741" i="3" s="1"/>
  <c r="S3741" i="3"/>
  <c r="Q3742" i="3" l="1"/>
  <c r="R3742" i="3" s="1"/>
  <c r="A3743" i="3"/>
  <c r="S3742" i="3"/>
  <c r="P3743" i="3"/>
  <c r="P3744" i="3" l="1"/>
  <c r="A3744" i="3"/>
  <c r="S3743" i="3"/>
  <c r="Q3743" i="3"/>
  <c r="R3743" i="3" s="1"/>
  <c r="P3745" i="3" l="1"/>
  <c r="S3744" i="3"/>
  <c r="A3745" i="3"/>
  <c r="A3746" i="3" s="1"/>
  <c r="Q3744" i="3"/>
  <c r="R3744" i="3" s="1"/>
  <c r="S3745" i="3" s="1"/>
  <c r="Q3745" i="3" l="1"/>
  <c r="R3745" i="3" s="1"/>
  <c r="P3746" i="3"/>
  <c r="S3746" i="3" l="1"/>
  <c r="P3747" i="3"/>
  <c r="Q3746" i="3"/>
  <c r="R3746" i="3" s="1"/>
  <c r="A3747" i="3"/>
  <c r="S3747" i="3" l="1"/>
  <c r="A3748" i="3"/>
  <c r="P3748" i="3"/>
  <c r="Q3747" i="3"/>
  <c r="R3747" i="3" s="1"/>
  <c r="P3749" i="3" l="1"/>
  <c r="A3749" i="3"/>
  <c r="S3748" i="3"/>
  <c r="Q3748" i="3"/>
  <c r="R3748" i="3" s="1"/>
  <c r="A3750" i="3" l="1"/>
  <c r="P3750" i="3"/>
  <c r="Q3749" i="3"/>
  <c r="R3749" i="3" s="1"/>
  <c r="S3749" i="3"/>
  <c r="Q3750" i="3" l="1"/>
  <c r="R3750" i="3" s="1"/>
  <c r="A3751" i="3"/>
  <c r="S3750" i="3"/>
  <c r="P3751" i="3"/>
  <c r="S3751" i="3" l="1"/>
  <c r="P3752" i="3"/>
  <c r="Q3751" i="3"/>
  <c r="R3751" i="3" s="1"/>
  <c r="A3752" i="3"/>
  <c r="A3753" i="3" l="1"/>
  <c r="Q3752" i="3"/>
  <c r="R3752" i="3" s="1"/>
  <c r="S3752" i="3"/>
  <c r="P3753" i="3"/>
  <c r="Q3753" i="3" l="1"/>
  <c r="R3753" i="3" s="1"/>
  <c r="P3754" i="3"/>
  <c r="A3754" i="3"/>
  <c r="S3753" i="3"/>
  <c r="S3754" i="3" l="1"/>
  <c r="A3755" i="3"/>
  <c r="P3755" i="3"/>
  <c r="Q3754" i="3"/>
  <c r="R3754" i="3" s="1"/>
  <c r="A3756" i="3" l="1"/>
  <c r="Q3755" i="3"/>
  <c r="R3755" i="3" s="1"/>
  <c r="S3755" i="3"/>
  <c r="P3756" i="3"/>
  <c r="S3756" i="3" l="1"/>
  <c r="A3757" i="3"/>
  <c r="P3757" i="3"/>
  <c r="Q3756" i="3"/>
  <c r="R3756" i="3" s="1"/>
  <c r="Q3757" i="3" l="1"/>
  <c r="R3757" i="3" s="1"/>
  <c r="A3758" i="3"/>
  <c r="S3757" i="3"/>
  <c r="P3758" i="3"/>
  <c r="A3759" i="3" l="1"/>
  <c r="P3759" i="3"/>
  <c r="S3758" i="3"/>
  <c r="Q3758" i="3"/>
  <c r="Q3759" i="3" l="1"/>
  <c r="R3759" i="3" s="1"/>
  <c r="S3760" i="3" s="1"/>
  <c r="R3758" i="3"/>
  <c r="S3759" i="3"/>
  <c r="P3760" i="3"/>
  <c r="A3760" i="3"/>
  <c r="A3761" i="3" l="1"/>
  <c r="Q3760" i="3"/>
  <c r="R3760" i="3" s="1"/>
  <c r="P3761" i="3"/>
  <c r="Q3761" i="3" l="1"/>
  <c r="R3761" i="3" s="1"/>
  <c r="A3762" i="3"/>
  <c r="P3762" i="3"/>
  <c r="S3761" i="3"/>
  <c r="P3763" i="3" l="1"/>
  <c r="A3763" i="3"/>
  <c r="S3762" i="3"/>
  <c r="Q3762" i="3"/>
  <c r="R3762" i="3" s="1"/>
  <c r="P3764" i="3" l="1"/>
  <c r="A3764" i="3"/>
  <c r="S3763" i="3"/>
  <c r="Q3763" i="3"/>
  <c r="R3763" i="3" s="1"/>
  <c r="S3764" i="3" l="1"/>
  <c r="Q3764" i="3"/>
  <c r="R3764" i="3" s="1"/>
  <c r="P3765" i="3"/>
  <c r="A3765" i="3"/>
  <c r="P3766" i="3" l="1"/>
  <c r="Q3765" i="3"/>
  <c r="R3765" i="3" s="1"/>
  <c r="S3765" i="3"/>
  <c r="A3766" i="3"/>
  <c r="P3767" i="3" l="1"/>
  <c r="S3766" i="3"/>
  <c r="Q3766" i="3"/>
  <c r="R3766" i="3" s="1"/>
  <c r="A3767" i="3"/>
  <c r="S3767" i="3" l="1"/>
  <c r="A3768" i="3"/>
  <c r="P3768" i="3"/>
  <c r="Q3767" i="3"/>
  <c r="R3767" i="3" s="1"/>
  <c r="Q3768" i="3" l="1"/>
  <c r="R3768" i="3" s="1"/>
  <c r="A3769" i="3"/>
  <c r="S3768" i="3"/>
  <c r="P3769" i="3"/>
  <c r="A3770" i="3" l="1"/>
  <c r="P3770" i="3"/>
  <c r="Q3769" i="3"/>
  <c r="R3769" i="3" s="1"/>
  <c r="S3769" i="3"/>
  <c r="Q3770" i="3" l="1"/>
  <c r="R3770" i="3" s="1"/>
  <c r="S3770" i="3"/>
  <c r="A3771" i="3"/>
  <c r="P3771" i="3"/>
  <c r="S3771" i="3" l="1"/>
  <c r="P3772" i="3"/>
  <c r="A3772" i="3"/>
  <c r="Q3771" i="3"/>
  <c r="R3771" i="3" s="1"/>
  <c r="Q3772" i="3" l="1"/>
  <c r="R3772" i="3" s="1"/>
  <c r="P3773" i="3"/>
  <c r="A3773" i="3"/>
  <c r="S3772" i="3"/>
  <c r="S3773" i="3" l="1"/>
  <c r="P3774" i="3"/>
  <c r="A3774" i="3"/>
  <c r="Q3773" i="3"/>
  <c r="R3773" i="3" s="1"/>
  <c r="Q3774" i="3" l="1"/>
  <c r="R3774" i="3" s="1"/>
  <c r="P3775" i="3"/>
  <c r="S3774" i="3"/>
  <c r="A3775" i="3"/>
  <c r="S3775" i="3" l="1"/>
  <c r="P3776" i="3"/>
  <c r="Q3775" i="3"/>
  <c r="R3775" i="3" s="1"/>
  <c r="A3776" i="3"/>
  <c r="Q3776" i="3" l="1"/>
  <c r="R3776" i="3" s="1"/>
  <c r="P3777" i="3"/>
  <c r="A3777" i="3"/>
  <c r="S3776" i="3"/>
  <c r="S3777" i="3" l="1"/>
  <c r="P3778" i="3"/>
  <c r="Q3777" i="3"/>
  <c r="R3777" i="3" s="1"/>
  <c r="A3778" i="3"/>
  <c r="Q3778" i="3" l="1"/>
  <c r="R3778" i="3" s="1"/>
  <c r="P3779" i="3"/>
  <c r="A3779" i="3"/>
  <c r="S3778" i="3"/>
  <c r="Q3779" i="3" l="1"/>
  <c r="R3779" i="3" s="1"/>
  <c r="P3780" i="3"/>
  <c r="A3780" i="3"/>
  <c r="S3779" i="3"/>
  <c r="A3781" i="3" l="1"/>
  <c r="P3781" i="3"/>
  <c r="Q3780" i="3"/>
  <c r="R3780" i="3" s="1"/>
  <c r="S3780" i="3"/>
  <c r="S3781" i="3" l="1"/>
  <c r="Q3781" i="3"/>
  <c r="R3781" i="3" s="1"/>
  <c r="A3782" i="3"/>
  <c r="P3782" i="3"/>
  <c r="Q3782" i="3" l="1"/>
  <c r="R3782" i="3" s="1"/>
  <c r="S3782" i="3"/>
  <c r="P3783" i="3"/>
  <c r="A3783" i="3"/>
  <c r="S3783" i="3" l="1"/>
  <c r="P3784" i="3"/>
  <c r="A3784" i="3"/>
  <c r="Q3783" i="3"/>
  <c r="R3783" i="3" s="1"/>
  <c r="Q3784" i="3" l="1"/>
  <c r="R3784" i="3" s="1"/>
  <c r="S3784" i="3"/>
  <c r="P3785" i="3"/>
  <c r="A3785" i="3"/>
  <c r="A3786" i="3" l="1"/>
  <c r="P3786" i="3"/>
  <c r="S3785" i="3"/>
  <c r="Q3785" i="3"/>
  <c r="R3785" i="3" s="1"/>
  <c r="S3786" i="3" l="1"/>
  <c r="A3787" i="3"/>
  <c r="P3787" i="3"/>
  <c r="Q3786" i="3"/>
  <c r="R3786" i="3" s="1"/>
  <c r="P3788" i="3" l="1"/>
  <c r="A3788" i="3"/>
  <c r="S3787" i="3"/>
  <c r="Q3787" i="3"/>
  <c r="R3787" i="3" s="1"/>
  <c r="S3788" i="3" s="1"/>
  <c r="Q3788" i="3" l="1"/>
  <c r="R3788" i="3" s="1"/>
  <c r="P3789" i="3"/>
  <c r="A3789" i="3"/>
  <c r="A3790" i="3" l="1"/>
  <c r="S3789" i="3"/>
  <c r="P3790" i="3"/>
  <c r="Q3789" i="3"/>
  <c r="R3789" i="3" s="1"/>
  <c r="P3791" i="3" l="1"/>
  <c r="A3791" i="3"/>
  <c r="S3790" i="3"/>
  <c r="Q3790" i="3"/>
  <c r="R3790" i="3" s="1"/>
  <c r="S3791" i="3" l="1"/>
  <c r="P3792" i="3"/>
  <c r="Q3791" i="3"/>
  <c r="R3791" i="3" s="1"/>
  <c r="A3792" i="3"/>
  <c r="Q3792" i="3" l="1"/>
  <c r="R3792" i="3" s="1"/>
  <c r="A3793" i="3"/>
  <c r="S3792" i="3"/>
  <c r="P3793" i="3"/>
  <c r="P3794" i="3" l="1"/>
  <c r="S3793" i="3"/>
  <c r="Q3793" i="3"/>
  <c r="R3793" i="3" s="1"/>
  <c r="A3794" i="3"/>
  <c r="S3794" i="3" l="1"/>
  <c r="A3795" i="3"/>
  <c r="P3795" i="3"/>
  <c r="Q3794" i="3"/>
  <c r="R3794" i="3" s="1"/>
  <c r="Q3795" i="3" l="1"/>
  <c r="R3795" i="3" s="1"/>
  <c r="A3796" i="3"/>
  <c r="S3795" i="3"/>
  <c r="P3796" i="3"/>
  <c r="P3797" i="3" l="1"/>
  <c r="S3796" i="3"/>
  <c r="Q3796" i="3"/>
  <c r="R3796" i="3" s="1"/>
  <c r="A3797" i="3"/>
  <c r="Q3797" i="3" l="1"/>
  <c r="R3797" i="3" s="1"/>
  <c r="P3798" i="3"/>
  <c r="A3798" i="3"/>
  <c r="S3797" i="3"/>
  <c r="S3798" i="3" l="1"/>
  <c r="P3799" i="3"/>
  <c r="Q3798" i="3"/>
  <c r="R3798" i="3" s="1"/>
  <c r="A3799" i="3"/>
  <c r="Q3799" i="3" l="1"/>
  <c r="R3799" i="3" s="1"/>
  <c r="A3800" i="3"/>
  <c r="S3799" i="3"/>
  <c r="P3800" i="3"/>
  <c r="S3800" i="3" l="1"/>
  <c r="P3801" i="3"/>
  <c r="A3801" i="3"/>
  <c r="Q3800" i="3"/>
  <c r="R3800" i="3" s="1"/>
  <c r="Q3801" i="3" l="1"/>
  <c r="R3801" i="3" s="1"/>
  <c r="S3801" i="3"/>
  <c r="A3802" i="3"/>
  <c r="P3802" i="3"/>
  <c r="A3803" i="3" l="1"/>
  <c r="P3803" i="3"/>
  <c r="S3802" i="3"/>
  <c r="Q3802" i="3"/>
  <c r="R3802" i="3" s="1"/>
  <c r="S3803" i="3" l="1"/>
  <c r="P3804" i="3"/>
  <c r="A3804" i="3"/>
  <c r="Q3803" i="3"/>
  <c r="R3803" i="3" s="1"/>
  <c r="S3804" i="3" s="1"/>
  <c r="A3805" i="3" l="1"/>
  <c r="P3805" i="3"/>
  <c r="Q3804" i="3"/>
  <c r="R3804" i="3" s="1"/>
  <c r="P3806" i="3" l="1"/>
  <c r="S3805" i="3"/>
  <c r="Q3805" i="3"/>
  <c r="R3805" i="3" s="1"/>
  <c r="A3806" i="3"/>
  <c r="A3807" i="3" l="1"/>
  <c r="P3807" i="3"/>
  <c r="S3806" i="3"/>
  <c r="Q3806" i="3"/>
  <c r="R3806" i="3" s="1"/>
  <c r="P3808" i="3" l="1"/>
  <c r="A3808" i="3"/>
  <c r="S3807" i="3"/>
  <c r="Q3807" i="3"/>
  <c r="R3807" i="3" s="1"/>
  <c r="S3808" i="3" l="1"/>
  <c r="Q3808" i="3"/>
  <c r="R3808" i="3" s="1"/>
  <c r="P3809" i="3"/>
  <c r="A3809" i="3"/>
  <c r="Q3809" i="3" l="1"/>
  <c r="R3809" i="3" s="1"/>
  <c r="A3810" i="3"/>
  <c r="S3809" i="3"/>
  <c r="P3810" i="3"/>
  <c r="P3811" i="3" l="1"/>
  <c r="S3810" i="3"/>
  <c r="Q3810" i="3"/>
  <c r="R3810" i="3" s="1"/>
  <c r="A3811" i="3"/>
  <c r="S3811" i="3" l="1"/>
  <c r="P3812" i="3"/>
  <c r="Q3811" i="3"/>
  <c r="R3811" i="3" s="1"/>
  <c r="A3812" i="3"/>
  <c r="Q3812" i="3" l="1"/>
  <c r="R3812" i="3" s="1"/>
  <c r="P3813" i="3"/>
  <c r="A3813" i="3"/>
  <c r="S3812" i="3"/>
  <c r="P3814" i="3" l="1"/>
  <c r="Q3813" i="3"/>
  <c r="R3813" i="3" s="1"/>
  <c r="A3814" i="3"/>
  <c r="S3813" i="3"/>
  <c r="Q3814" i="3" l="1"/>
  <c r="R3814" i="3" s="1"/>
  <c r="S3814" i="3"/>
  <c r="A3815" i="3"/>
  <c r="P3815" i="3"/>
  <c r="S3815" i="3" l="1"/>
  <c r="P3816" i="3"/>
  <c r="Q3815" i="3"/>
  <c r="R3815" i="3" s="1"/>
  <c r="A3816" i="3"/>
  <c r="Q3816" i="3" l="1"/>
  <c r="R3816" i="3" s="1"/>
  <c r="A3817" i="3"/>
  <c r="S3816" i="3"/>
  <c r="P3817" i="3"/>
  <c r="P3818" i="3" l="1"/>
  <c r="A3818" i="3"/>
  <c r="Q3817" i="3"/>
  <c r="R3817" i="3" s="1"/>
  <c r="S3817" i="3"/>
  <c r="A3819" i="3" l="1"/>
  <c r="S3818" i="3"/>
  <c r="P3819" i="3"/>
  <c r="Q3818" i="3"/>
  <c r="R3818" i="3" s="1"/>
  <c r="S3819" i="3" s="1"/>
  <c r="Q3819" i="3" l="1"/>
  <c r="R3819" i="3" s="1"/>
  <c r="P3820" i="3"/>
  <c r="A3820" i="3"/>
  <c r="A3821" i="3" l="1"/>
  <c r="S3820" i="3"/>
  <c r="P3821" i="3"/>
  <c r="Q3820" i="3"/>
  <c r="R3820" i="3" s="1"/>
  <c r="P3822" i="3" l="1"/>
  <c r="Q3821" i="3"/>
  <c r="R3821" i="3" s="1"/>
  <c r="S3821" i="3"/>
  <c r="A3822" i="3"/>
  <c r="P3823" i="3" l="1"/>
  <c r="A3823" i="3"/>
  <c r="S3822" i="3"/>
  <c r="Q3822" i="3"/>
  <c r="R3822" i="3" s="1"/>
  <c r="P3824" i="3" l="1"/>
  <c r="A3824" i="3"/>
  <c r="S3823" i="3"/>
  <c r="Q3823" i="3"/>
  <c r="R3823" i="3" s="1"/>
  <c r="S3824" i="3" l="1"/>
  <c r="Q3824" i="3"/>
  <c r="R3824" i="3" s="1"/>
  <c r="P3825" i="3"/>
  <c r="A3825" i="3"/>
  <c r="P3826" i="3" l="1"/>
  <c r="Q3825" i="3"/>
  <c r="R3825" i="3" s="1"/>
  <c r="S3825" i="3"/>
  <c r="A3826" i="3"/>
  <c r="P3827" i="3" l="1"/>
  <c r="S3826" i="3"/>
  <c r="Q3826" i="3"/>
  <c r="R3826" i="3" s="1"/>
  <c r="A3827" i="3"/>
  <c r="S3827" i="3" l="1"/>
  <c r="A3828" i="3"/>
  <c r="P3828" i="3"/>
  <c r="Q3827" i="3"/>
  <c r="R3827" i="3" s="1"/>
  <c r="Q3828" i="3" l="1"/>
  <c r="R3828" i="3" s="1"/>
  <c r="P3829" i="3"/>
  <c r="A3829" i="3"/>
  <c r="S3828" i="3"/>
  <c r="P3830" i="3" l="1"/>
  <c r="S3829" i="3"/>
  <c r="Q3829" i="3"/>
  <c r="R3829" i="3" s="1"/>
  <c r="A3830" i="3"/>
  <c r="Q3830" i="3" l="1"/>
  <c r="R3830" i="3" s="1"/>
  <c r="S3830" i="3"/>
  <c r="P3831" i="3"/>
  <c r="A3831" i="3"/>
  <c r="S3831" i="3" l="1"/>
  <c r="A3832" i="3"/>
  <c r="Q3831" i="3"/>
  <c r="R3831" i="3" s="1"/>
  <c r="P3832" i="3"/>
  <c r="Q3832" i="3" l="1"/>
  <c r="R3832" i="3" s="1"/>
  <c r="S3832" i="3"/>
  <c r="A3833" i="3"/>
  <c r="P3833" i="3"/>
  <c r="P3834" i="3" l="1"/>
  <c r="A3834" i="3"/>
  <c r="S3833" i="3"/>
  <c r="Q3833" i="3"/>
  <c r="R3833" i="3" s="1"/>
  <c r="S3834" i="3" l="1"/>
  <c r="P3835" i="3"/>
  <c r="A3835" i="3"/>
  <c r="A3836" i="3" s="1"/>
  <c r="Q3834" i="3"/>
  <c r="R3834" i="3" s="1"/>
  <c r="S3835" i="3" l="1"/>
  <c r="P3836" i="3"/>
  <c r="Q3835" i="3"/>
  <c r="R3835" i="3" s="1"/>
  <c r="S3836" i="3" l="1"/>
  <c r="A3837" i="3"/>
  <c r="P3837" i="3"/>
  <c r="Q3836" i="3"/>
  <c r="R3836" i="3" s="1"/>
  <c r="S3837" i="3" l="1"/>
  <c r="P3838" i="3"/>
  <c r="A3838" i="3"/>
  <c r="Q3837" i="3"/>
  <c r="R3837" i="3" s="1"/>
  <c r="S3838" i="3" l="1"/>
  <c r="A3839" i="3"/>
  <c r="P3839" i="3"/>
  <c r="Q3838" i="3"/>
  <c r="R3838" i="3" s="1"/>
  <c r="S3839" i="3" l="1"/>
  <c r="A3840" i="3"/>
  <c r="P3840" i="3"/>
  <c r="Q3839" i="3"/>
  <c r="R3839" i="3" s="1"/>
  <c r="S3840" i="3" s="1"/>
  <c r="A3841" i="3" l="1"/>
  <c r="P3841" i="3"/>
  <c r="Q3840" i="3"/>
  <c r="R3840" i="3" s="1"/>
  <c r="P3842" i="3" l="1"/>
  <c r="A3842" i="3"/>
  <c r="S3841" i="3"/>
  <c r="Q3841" i="3"/>
  <c r="R3841" i="3" s="1"/>
  <c r="P3843" i="3" l="1"/>
  <c r="S3842" i="3"/>
  <c r="Q3842" i="3"/>
  <c r="R3842" i="3" s="1"/>
  <c r="A3843" i="3"/>
  <c r="S3843" i="3" l="1"/>
  <c r="A3844" i="3"/>
  <c r="P3844" i="3"/>
  <c r="Q3843" i="3"/>
  <c r="R3843" i="3" s="1"/>
  <c r="Q3844" i="3" l="1"/>
  <c r="R3844" i="3" s="1"/>
  <c r="S3844" i="3"/>
  <c r="A3845" i="3"/>
  <c r="P3845" i="3"/>
  <c r="Q3845" i="3" l="1"/>
  <c r="R3845" i="3" s="1"/>
  <c r="P3846" i="3"/>
  <c r="A3846" i="3"/>
  <c r="S3845" i="3"/>
  <c r="Q3846" i="3" l="1"/>
  <c r="R3846" i="3" s="1"/>
  <c r="S3846" i="3"/>
  <c r="A3847" i="3"/>
  <c r="P3847" i="3"/>
  <c r="S3847" i="3" l="1"/>
  <c r="P3848" i="3"/>
  <c r="A3848" i="3"/>
  <c r="Q3847" i="3"/>
  <c r="R3847" i="3" s="1"/>
  <c r="Q3848" i="3" l="1"/>
  <c r="R3848" i="3" s="1"/>
  <c r="A3849" i="3"/>
  <c r="S3848" i="3"/>
  <c r="P3849" i="3"/>
  <c r="S3849" i="3" l="1"/>
  <c r="A3850" i="3"/>
  <c r="Q3849" i="3"/>
  <c r="R3849" i="3" s="1"/>
  <c r="P3850" i="3"/>
  <c r="S3850" i="3" l="1"/>
  <c r="P3851" i="3"/>
  <c r="A3851" i="3"/>
  <c r="Q3850" i="3"/>
  <c r="R3850" i="3" s="1"/>
  <c r="Q3851" i="3" l="1"/>
  <c r="R3851" i="3" s="1"/>
  <c r="A3852" i="3"/>
  <c r="S3851" i="3"/>
  <c r="P3852" i="3"/>
  <c r="S3852" i="3" l="1"/>
  <c r="P3853" i="3"/>
  <c r="Q3852" i="3"/>
  <c r="R3852" i="3" s="1"/>
  <c r="P3854" i="3" l="1"/>
  <c r="S3853" i="3"/>
  <c r="Q3853" i="3"/>
  <c r="R3853" i="3" s="1"/>
  <c r="S3854" i="3" l="1"/>
  <c r="P3855" i="3"/>
  <c r="Q3854" i="3"/>
  <c r="R3854" i="3" s="1"/>
  <c r="S3855" i="3" s="1"/>
  <c r="P3856" i="3" l="1"/>
  <c r="Q3855" i="3"/>
  <c r="R3855" i="3" s="1"/>
  <c r="Q3856" i="3" l="1"/>
  <c r="R3856" i="3" s="1"/>
  <c r="P3857" i="3"/>
  <c r="S3856" i="3"/>
  <c r="S3857" i="3" l="1"/>
  <c r="Q3857" i="3"/>
  <c r="R3857" i="3" s="1"/>
  <c r="P3858" i="3"/>
  <c r="Q3858" i="3" l="1"/>
  <c r="R3858" i="3" s="1"/>
  <c r="P3859" i="3"/>
  <c r="S3858" i="3"/>
  <c r="S3859" i="3" l="1"/>
  <c r="P3860" i="3"/>
  <c r="Q3859" i="3"/>
  <c r="R3859" i="3" s="1"/>
  <c r="P3861" i="3" l="1"/>
  <c r="S3860" i="3"/>
  <c r="Q3860" i="3"/>
  <c r="R3860" i="3" s="1"/>
  <c r="S3861" i="3" l="1"/>
  <c r="Q3861" i="3"/>
  <c r="R3861" i="3" l="1"/>
  <c r="Q3862" i="3"/>
  <c r="R3862" i="3" s="1"/>
  <c r="S3863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E22863-0270-A84C-9B79-35B9A7D98D6C}" name="2020-03-30-TradeActivity" type="6" refreshedVersion="0" background="1">
    <textPr prompt="0" sourceFile="/Users/mvlasov/Trading/2020-03-30-TradeActivity.csv">
      <textFields>
        <textField/>
      </textFields>
    </textPr>
  </connection>
  <connection id="2" xr16:uid="{9BBA6E24-A381-8042-968C-FBD474A90DFF}" name="2020-03-30-TradeActivity1" type="6" refreshedVersion="0" background="1">
    <textPr prompt="0" sourceFile="/Users/mvlasov/Trading/2020-03-30-TradeActivity.csv">
      <textFields>
        <textField/>
      </textFields>
    </textPr>
  </connection>
  <connection id="3" xr16:uid="{EE086C60-21A7-4244-892D-6EFDB21ED378}" name="2020-03-30-TradeActivity10" type="6" refreshedVersion="0" background="1">
    <textPr prompt="0" sourceFile="/Users/mvlasov/Trading/2020-03-30-TradeActivity.csv">
      <textFields>
        <textField/>
      </textFields>
    </textPr>
  </connection>
  <connection id="4" xr16:uid="{39EB64DF-54DD-ED47-983E-5932684C06F6}" name="2020-03-30-TradeActivity11" type="6" refreshedVersion="0" background="1">
    <textPr prompt="0" sourceFile="/Users/mvlasov/Trading/2020-03-30-TradeActivity.csv">
      <textFields>
        <textField/>
      </textFields>
    </textPr>
  </connection>
  <connection id="5" xr16:uid="{A00520C8-A7CD-BA42-ADF8-9F08FEF3A961}" name="2020-03-30-TradeActivity2" type="6" refreshedVersion="0" background="1">
    <textPr prompt="0" sourceFile="/Users/mvlasov/Trading/2020-03-30-TradeActivity.csv">
      <textFields>
        <textField/>
      </textFields>
    </textPr>
  </connection>
  <connection id="6" xr16:uid="{C976F3B2-19B4-284E-8EB4-CDF0796ABE4D}" name="2020-03-30-TradeActivity3" type="6" refreshedVersion="0" background="1">
    <textPr prompt="0" sourceFile="/Users/mvlasov/Trading/2020-03-30-TradeActivity.csv">
      <textFields>
        <textField/>
      </textFields>
    </textPr>
  </connection>
  <connection id="7" xr16:uid="{646738B5-FBB8-1E43-BC9A-11260FC667F4}" name="2020-03-30-TradeActivity4" type="6" refreshedVersion="0" background="1">
    <textPr prompt="0" sourceFile="/Users/mvlasov/Trading/2020-03-30-TradeActivity.csv">
      <textFields>
        <textField/>
      </textFields>
    </textPr>
  </connection>
  <connection id="8" xr16:uid="{D89971C9-AD8C-5443-A62E-54992D1B48BF}" name="2020-03-30-TradeActivity5" type="6" refreshedVersion="0" background="1">
    <textPr prompt="0" sourceFile="/Users/mvlasov/Trading/2020-03-30-TradeActivity.csv">
      <textFields>
        <textField/>
      </textFields>
    </textPr>
  </connection>
  <connection id="9" xr16:uid="{B4B6F971-725E-ED40-A52A-75F9D550C7CE}" name="2020-03-30-TradeActivity6" type="6" refreshedVersion="0" background="1">
    <textPr prompt="0" sourceFile="/Users/mvlasov/Trading/2020-03-30-TradeActivity.csv">
      <textFields>
        <textField/>
      </textFields>
    </textPr>
  </connection>
  <connection id="10" xr16:uid="{84E23E57-F5CD-E844-B8D3-9C1E834B9753}" name="2020-03-30-TradeActivity7" type="6" refreshedVersion="0" background="1">
    <textPr prompt="0" sourceFile="/Users/mvlasov/Trading/2020-03-30-TradeActivity.csv">
      <textFields>
        <textField/>
      </textFields>
    </textPr>
  </connection>
  <connection id="11" xr16:uid="{00427604-9256-0C43-AFD7-04E937239A8D}" name="2020-03-30-TradeActivity8" type="6" refreshedVersion="0" background="1">
    <textPr prompt="0" sourceFile="/Users/mvlasov/Trading/2020-03-30-TradeActivity.csv">
      <textFields>
        <textField/>
      </textFields>
    </textPr>
  </connection>
  <connection id="12" xr16:uid="{AF6B89FA-6CF2-3F48-AA36-3CB5AB46EB42}" name="2020-03-30-TradeActivity9" type="6" refreshedVersion="0" background="1">
    <textPr prompt="0" sourceFile="/Users/mvlasov/Trading/2020-03-30-TradeActivity.csv">
      <textFields>
        <textField/>
      </textFields>
    </textPr>
  </connection>
  <connection id="13" xr16:uid="{63376C28-B99B-EF43-B690-458105AE647A}" name="2020-03-31-TradeActivity" type="6" refreshedVersion="0" background="1">
    <textPr prompt="0" sourceFile="/Users/mvlasov/Trading/2020-03-31-TradeActivity.csv">
      <textFields>
        <textField/>
      </textFields>
    </textPr>
  </connection>
  <connection id="14" xr16:uid="{DD7CE8F7-F304-E448-81F8-4D19548F71F3}" name="2020-03-31-TradeActivity1" type="6" refreshedVersion="0" background="1">
    <textPr prompt="0" sourceFile="/Users/mvlasov/Trading/2020-03-31-TradeActivity.csv">
      <textFields>
        <textField/>
      </textFields>
    </textPr>
  </connection>
  <connection id="15" xr16:uid="{44A3A91B-D550-C849-B12B-AB659CC745B8}" name="2020-03-31-TradeActivity2" type="6" refreshedVersion="0" background="1">
    <textPr prompt="0" sourceFile="/Users/mvlasov/Trading/TradeActivity/2020-03-31-TradeActivity.csv">
      <textFields>
        <textField/>
      </textFields>
    </textPr>
  </connection>
  <connection id="16" xr16:uid="{63DF34BE-E23E-AC4B-873E-7DF55C839223}" name="2020-04-02-TradeActivity" type="6" refreshedVersion="0" background="1">
    <textPr prompt="0" sourceFile="/Users/mvlasov/Trading/TradeActivity/2020-04-02-TradeActivity.csv">
      <textFields>
        <textField/>
      </textFields>
    </textPr>
  </connection>
  <connection id="17" xr16:uid="{D1B6BA11-0E79-C242-BD40-60C69DC06B82}" name="2020-04-02-TradeActivity1" type="6" refreshedVersion="0" background="1">
    <textPr prompt="0" sourceFile="/Users/mvlasov/Trading/TradeActivity/2020-04-02-TradeActivity.csv">
      <textFields>
        <textField/>
      </textFields>
    </textPr>
  </connection>
  <connection id="18" xr16:uid="{4A72AA01-CC3B-9642-92B5-8AA4B76EDB14}" name="2020-04-02-TradeActivity2" type="6" refreshedVersion="0" background="1">
    <textPr prompt="0" sourceFile="/Users/mvlasov/Trading/TradeActivity/2020-04-02-TradeActivity.csv">
      <textFields>
        <textField/>
      </textFields>
    </textPr>
  </connection>
  <connection id="19" xr16:uid="{6C00D523-C661-6D42-B159-882A8BED56B3}" name="2020-04-07-TradeActivity" type="6" refreshedVersion="0" background="1">
    <textPr prompt="0" sourceFile="/Users/mvlasov/Trading/TradeActivity/2020-04-07-TradeActivity.csv">
      <textFields>
        <textField/>
      </textFields>
    </textPr>
  </connection>
  <connection id="20" xr16:uid="{B8AB34E7-C084-D449-9F2B-390978675CCE}" name="2020-04-20-TradeActivity" type="6" refreshedVersion="0" background="1">
    <textPr prompt="0" sourceFile="/Users/mvlasov/Trading/TradeActivity/2020-04-20-TradeActivity.csv">
      <textFields>
        <textField/>
      </textFields>
    </textPr>
  </connection>
  <connection id="21" xr16:uid="{E9ACCE34-4934-7C40-AC9F-90AD2290FA48}" name="2020-05-11-TradeActivity" type="6" refreshedVersion="0" background="1">
    <textPr prompt="0" sourceFile="/Users/mvlasov/Trading/TradeActivity/2020-05-11-TradeActivity.csv">
      <textFields>
        <textField/>
      </textFields>
    </textPr>
  </connection>
  <connection id="22" xr16:uid="{8B377CC4-CAF1-0E42-A678-3C29F2ACBC38}" name="2020-05-12-TradeActivity" type="6" refreshedVersion="0" background="1">
    <textPr prompt="0" sourceFile="/Users/mvlasov/Trading/TradeActivity/2020-05-12-TradeActivity.csv">
      <textFields>
        <textField/>
      </textFields>
    </textPr>
  </connection>
  <connection id="23" xr16:uid="{740F8604-C0FC-B546-B6A5-3538544FEE38}" name="2020-05-13-TradeActivity" type="6" refreshedVersion="0" background="1">
    <textPr prompt="0" sourceFile="/Users/mvlasov/Trading/TradeActivity/2020-05-13-TradeActivity.csv">
      <textFields>
        <textField/>
      </textFields>
    </textPr>
  </connection>
  <connection id="24" xr16:uid="{EE9C9F8A-47C3-1C46-99CB-A9B04289F15A}" name="2020-06-08-TradeActivity" type="6" refreshedVersion="0" background="1">
    <textPr prompt="0" sourceFile="/Users/mvlasov/Trading/TradeActivity/2020-06-08-TradeActivity.csv">
      <textFields>
        <textField/>
      </textFields>
    </textPr>
  </connection>
  <connection id="25" xr16:uid="{5F233BEA-ECDC-4842-9B4B-A2AF830C6DE4}" name="2020-06-18-TradeActivity" type="6" refreshedVersion="0" background="1">
    <textPr prompt="0" sourceFile="/Users/mvlasov/Trading/TradeActivity/2020-06-18-TradeActivity.csv">
      <textFields>
        <textField/>
      </textFields>
    </textPr>
  </connection>
  <connection id="26" xr16:uid="{A9D5379B-A01F-F841-A646-730D796C2AD1}" name="2020-08-05-TradeActivity" type="6" refreshedVersion="0" background="1">
    <textPr prompt="0" sourceFile="/Users/mvlasov/Trading/TradeActivity/2020-08-05-TradeActivity.csv">
      <textFields>
        <textField/>
      </textFields>
    </textPr>
  </connection>
  <connection id="27" xr16:uid="{0A0794DB-D60D-FC4A-8C0C-44EC505FFE85}" name="2020-10-28-TradeActivity" type="6" refreshedVersion="0" background="1">
    <textPr prompt="0" sourceFile="/Users/mvlasov/Trading/TradeActivity/2020-10-28-TradeActivity.csv">
      <textFields>
        <textField/>
      </textFields>
    </textPr>
  </connection>
  <connection id="28" xr16:uid="{4B146AE1-AFAF-A943-B513-B9BFEA69013E}" name="2020-11-10-TradeActivity" type="6" refreshedVersion="0" background="1">
    <textPr prompt="0" sourceFile="/Users/mvlasov/Trading/TradeActivity/2020-11-10-TradeActivity.csv">
      <textFields>
        <textField/>
      </textFields>
    </textPr>
  </connection>
  <connection id="29" xr16:uid="{651E4635-CADB-9643-A1A1-C387A544AD43}" name="2021-03-15-TradeActivity" type="6" refreshedVersion="0" background="1">
    <textPr prompt="0" sourceFile="/Users/mvlasov/Trading/TradeActivity/2021-03-15-TradeActivity.csv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<sst xmlns="http://schemas.openxmlformats.org/spreadsheetml/2006/main" count="24884" uniqueCount="102">
  <si>
    <t>`</t>
  </si>
  <si>
    <t>File Path:</t>
  </si>
  <si>
    <t>Spread</t>
  </si>
  <si>
    <t>Side</t>
  </si>
  <si>
    <t>Qty</t>
  </si>
  <si>
    <t>Pos Effect</t>
  </si>
  <si>
    <t>Symbol</t>
  </si>
  <si>
    <t>Exp</t>
  </si>
  <si>
    <t>Strike</t>
  </si>
  <si>
    <t>Type</t>
  </si>
  <si>
    <t>Exec Time</t>
  </si>
  <si>
    <t>Price</t>
  </si>
  <si>
    <t>Net Price</t>
  </si>
  <si>
    <t>Order Type</t>
  </si>
  <si>
    <t>FUTURE</t>
  </si>
  <si>
    <t>SELL</t>
  </si>
  <si>
    <t>TO CLOSE</t>
  </si>
  <si>
    <t>/ESM20</t>
  </si>
  <si>
    <t>STP</t>
  </si>
  <si>
    <t>BUY</t>
  </si>
  <si>
    <t>TO OPEN</t>
  </si>
  <si>
    <t>LMT</t>
  </si>
  <si>
    <t>STOCK</t>
  </si>
  <si>
    <t>VXX</t>
  </si>
  <si>
    <t>MKT</t>
  </si>
  <si>
    <t>Trade id</t>
  </si>
  <si>
    <t>Exec Date</t>
  </si>
  <si>
    <t>CL</t>
  </si>
  <si>
    <t>ES</t>
  </si>
  <si>
    <t>Multiplier</t>
  </si>
  <si>
    <t>Net Size ($)</t>
  </si>
  <si>
    <t>Cost Basis Avg</t>
  </si>
  <si>
    <t>Trade P&amp;L</t>
  </si>
  <si>
    <t>Today's Date:</t>
  </si>
  <si>
    <t>Pull Date:</t>
  </si>
  <si>
    <t>Net Qty</t>
  </si>
  <si>
    <t>/CLK20</t>
  </si>
  <si>
    <t>Row Labels</t>
  </si>
  <si>
    <t>Grand Total</t>
  </si>
  <si>
    <t>Column Labels</t>
  </si>
  <si>
    <t>Sum of Trade P&amp;L</t>
  </si>
  <si>
    <t>Wins</t>
  </si>
  <si>
    <t>Losses</t>
  </si>
  <si>
    <t>Total</t>
  </si>
  <si>
    <t>Avg</t>
  </si>
  <si>
    <t>Min</t>
  </si>
  <si>
    <t>Max</t>
  </si>
  <si>
    <t>Win %</t>
  </si>
  <si>
    <t>Win + Flat %</t>
  </si>
  <si>
    <t>Loss %</t>
  </si>
  <si>
    <t>Big Win %</t>
  </si>
  <si>
    <t>Big Loss %</t>
  </si>
  <si>
    <t>Big Avg</t>
  </si>
  <si>
    <t>Exec Day</t>
  </si>
  <si>
    <t>Set Big:</t>
  </si>
  <si>
    <t>Set Flat:</t>
  </si>
  <si>
    <t>Performance Metrics</t>
  </si>
  <si>
    <t>YTD</t>
  </si>
  <si>
    <t>Avg Win</t>
  </si>
  <si>
    <t>Avg Loss</t>
  </si>
  <si>
    <t>Trades</t>
  </si>
  <si>
    <t>Avg Big Win</t>
  </si>
  <si>
    <t>Avg Big Loss</t>
  </si>
  <si>
    <t>April</t>
  </si>
  <si>
    <t>May</t>
  </si>
  <si>
    <t>June</t>
  </si>
  <si>
    <t>Total P&amp;L</t>
  </si>
  <si>
    <t>July</t>
  </si>
  <si>
    <t>August</t>
  </si>
  <si>
    <t>September</t>
  </si>
  <si>
    <t>November</t>
  </si>
  <si>
    <t>October</t>
  </si>
  <si>
    <t>December</t>
  </si>
  <si>
    <t>/MESM20</t>
  </si>
  <si>
    <t>ME</t>
  </si>
  <si>
    <t>/CLM20</t>
  </si>
  <si>
    <t>/CLN20</t>
  </si>
  <si>
    <t>/CLQ20</t>
  </si>
  <si>
    <t>ETF</t>
  </si>
  <si>
    <t>/ESU20</t>
  </si>
  <si>
    <t>/MESU20</t>
  </si>
  <si>
    <t>/CLU20</t>
  </si>
  <si>
    <t>/CLV20</t>
  </si>
  <si>
    <t>(All)</t>
  </si>
  <si>
    <t>Months</t>
  </si>
  <si>
    <t>/ESZ20</t>
  </si>
  <si>
    <t>/CLZ20</t>
  </si>
  <si>
    <t>/MESZ20</t>
  </si>
  <si>
    <t>/CLF21</t>
  </si>
  <si>
    <t>/ESH21</t>
  </si>
  <si>
    <t>/CLG21</t>
  </si>
  <si>
    <t>January</t>
  </si>
  <si>
    <t>February</t>
  </si>
  <si>
    <t>March</t>
  </si>
  <si>
    <t>/MESH21</t>
  </si>
  <si>
    <t>Years</t>
  </si>
  <si>
    <t>2021</t>
  </si>
  <si>
    <t>/CLH21</t>
  </si>
  <si>
    <t>/CLJ21</t>
  </si>
  <si>
    <t>Mar</t>
  </si>
  <si>
    <t>/MESM21</t>
  </si>
  <si>
    <t>/ESM21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</si>
</sst>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mm/dd/yyyy"/>
    <numFmt numFmtId="165" formatCode="&quot;$&quot;#,###,##0"/>
    <numFmt numFmtId="166" formatCode="&quot;$&quot;##.#0#"/>
    <numFmt numFmtId="167" formatCode="[Color50]&quot;$&quot;###,###.00;[Red]\ \-&quot;$&quot;###,###.00;[Blue]\ &quot;$&quot;0.00"/>
    <numFmt numFmtId="168" formatCode="&quot;$&quot;#,##0.00"/>
  </numFmts>
  <fonts count="10" x14ac:knownFonts="1">
    <font>
      <sz val="1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48">
    <xf numFmtId="0" fontId="0" fillId="0" borderId="0" xfId="0"/>
    <xf numFmtId="16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4" fontId="2" fillId="2" borderId="1" xfId="0" applyNumberFormat="1" applyFont="1" applyFill="1" applyBorder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NumberFormat="1"/>
    <xf numFmtId="0" fontId="4" fillId="3" borderId="0" xfId="0" applyFont="1" applyFill="1" applyBorder="1"/>
    <xf numFmtId="10" fontId="0" fillId="0" borderId="0" xfId="1" applyNumberFormat="1" applyFont="1"/>
    <xf numFmtId="2" fontId="0" fillId="0" borderId="0" xfId="0" applyNumberFormat="1"/>
    <xf numFmtId="6" fontId="0" fillId="4" borderId="0" xfId="0" applyNumberFormat="1" applyFill="1"/>
    <xf numFmtId="0" fontId="0" fillId="0" borderId="0" xfId="0" applyFill="1"/>
    <xf numFmtId="0" fontId="4" fillId="3" borderId="0" xfId="0" applyFont="1" applyFill="1" applyBorder="1" applyAlignment="1">
      <alignment horizontal="left"/>
    </xf>
    <xf numFmtId="0" fontId="5" fillId="0" borderId="0" xfId="0" applyFont="1" applyFill="1" applyBorder="1"/>
    <xf numFmtId="0" fontId="6" fillId="0" borderId="0" xfId="0" applyFont="1"/>
    <xf numFmtId="0" fontId="5" fillId="2" borderId="0" xfId="0" applyFont="1" applyFill="1"/>
    <xf numFmtId="10" fontId="5" fillId="2" borderId="0" xfId="0" applyNumberFormat="1" applyFont="1" applyFill="1"/>
    <xf numFmtId="168" fontId="5" fillId="2" borderId="0" xfId="2" applyNumberFormat="1" applyFont="1" applyFill="1"/>
    <xf numFmtId="0" fontId="5" fillId="2" borderId="0" xfId="2" applyNumberFormat="1" applyFont="1" applyFill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5" xfId="0" applyFont="1" applyFill="1" applyBorder="1"/>
    <xf numFmtId="0" fontId="5" fillId="2" borderId="6" xfId="2" applyNumberFormat="1" applyFont="1" applyFill="1" applyBorder="1"/>
    <xf numFmtId="168" fontId="5" fillId="2" borderId="6" xfId="2" applyNumberFormat="1" applyFont="1" applyFill="1" applyBorder="1"/>
    <xf numFmtId="0" fontId="5" fillId="2" borderId="6" xfId="0" applyFont="1" applyFill="1" applyBorder="1"/>
    <xf numFmtId="10" fontId="5" fillId="2" borderId="6" xfId="0" applyNumberFormat="1" applyFont="1" applyFill="1" applyBorder="1"/>
    <xf numFmtId="0" fontId="0" fillId="2" borderId="6" xfId="0" applyFill="1" applyBorder="1"/>
    <xf numFmtId="168" fontId="5" fillId="2" borderId="7" xfId="2" applyNumberFormat="1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0" xfId="2" applyNumberFormat="1" applyFont="1" applyFill="1"/>
    <xf numFmtId="168" fontId="9" fillId="2" borderId="0" xfId="2" applyNumberFormat="1" applyFont="1" applyFill="1"/>
    <xf numFmtId="10" fontId="9" fillId="2" borderId="0" xfId="0" applyNumberFormat="1" applyFont="1" applyFill="1"/>
    <xf numFmtId="19" fontId="0" fillId="0" borderId="0" xfId="0" applyNumberFormat="1" applyFill="1"/>
    <xf numFmtId="164" fontId="0" fillId="0" borderId="0" xfId="0" applyNumberFormat="1" applyFill="1"/>
    <xf numFmtId="16" fontId="0" fillId="0" borderId="0" xfId="0" applyNumberFormat="1" applyFill="1"/>
    <xf numFmtId="165" fontId="0" fillId="0" borderId="0" xfId="0" applyNumberFormat="1" applyFill="1"/>
    <xf numFmtId="166" fontId="0" fillId="0" borderId="0" xfId="0" applyNumberFormat="1" applyFill="1"/>
    <xf numFmtId="167" fontId="0" fillId="0" borderId="0" xfId="0" applyNumberFormat="1" applyFill="1"/>
  </cellXfs>
  <cellStyles count="3">
    <cellStyle name="Currency" xfId="2" builtinId="4"/>
    <cellStyle name="Normal" xfId="0" builtinId="0"/>
    <cellStyle name="Percent" xfId="1" builtinId="5"/>
  </cellStyles>
  <dxfs count="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0</xdr:row>
          <xdr:rowOff>139700</xdr:rowOff>
        </xdr:from>
        <xdr:to>
          <xdr:col>4</xdr:col>
          <xdr:colOff>38100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Pull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139700</xdr:rowOff>
        </xdr:from>
        <xdr:to>
          <xdr:col>6</xdr:col>
          <xdr:colOff>0</xdr:colOff>
          <xdr:row>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Send to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</xdr:row>
          <xdr:rowOff>76200</xdr:rowOff>
        </xdr:from>
        <xdr:to>
          <xdr:col>1</xdr:col>
          <xdr:colOff>914400</xdr:colOff>
          <xdr:row>1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Drop in Today's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7</xdr:row>
          <xdr:rowOff>38100</xdr:rowOff>
        </xdr:from>
        <xdr:to>
          <xdr:col>6</xdr:col>
          <xdr:colOff>723900</xdr:colOff>
          <xdr:row>9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Analytics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de%20Analyzer%20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Master"/>
      <sheetName val="Analytics"/>
      <sheetName val="Futures"/>
    </sheetNames>
    <sheetDataSet>
      <sheetData sheetId="0"/>
      <sheetData sheetId="1"/>
      <sheetData sheetId="2"/>
      <sheetData sheetId="3">
        <row r="2">
          <cell r="A2" t="str">
            <v>CL</v>
          </cell>
          <cell r="B2">
            <v>1000</v>
          </cell>
        </row>
        <row r="3">
          <cell r="A3" t="str">
            <v>ES</v>
          </cell>
          <cell r="B3">
            <v>50</v>
          </cell>
        </row>
        <row r="4">
          <cell r="A4" t="str">
            <v>ME</v>
          </cell>
          <cell r="B4">
            <v>5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72.440534143519" missingItemsLimit="1048576" createdVersion="6" refreshedVersion="6" minRefreshableVersion="3" recordCount="4130" xr:uid="{80B30E80-9229-4755-9F8D-BA0D83EBDC3D}">
  <cacheSource type="worksheet">
    <worksheetSource name="master_data"/>
  </cacheSource>
  <cacheFields count="22">
    <cacheField name="Trade id" numFmtId="0">
      <sharedItems containsSemiMixedTypes="0" containsString="0" containsNumber="1" containsInteger="1" minValue="0" maxValue="1382" count="138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0" u="1"/>
      </sharedItems>
    </cacheField>
    <cacheField name="Exec Date" numFmtId="164">
      <sharedItems containsSemiMixedTypes="0" containsNonDate="0" containsDate="1" containsString="0" minDate="2020-04-06T00:00:00" maxDate="2021-03-18T00:00:00" count="197">
        <d v="2020-04-06T00:00:00"/>
        <d v="2020-04-07T00:00:00"/>
        <d v="2020-04-08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30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3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8T00:00:00"/>
        <d v="2020-12-29T00:00:00"/>
        <d v="2020-12-30T00:00:00"/>
        <d v="2021-01-04T00:00:00"/>
        <d v="2021-01-05T00:00:00"/>
        <d v="2021-01-06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2T00:00:00"/>
        <d v="2021-02-03T00:00:00"/>
        <d v="2021-02-04T00:00:00"/>
        <d v="2021-02-08T00:00:00"/>
        <d v="2021-02-09T00:00:00"/>
        <d v="2021-02-10T00:00:00"/>
        <d v="2021-02-11T00:00:00"/>
        <d v="2021-02-12T00:00:00"/>
        <d v="2021-02-15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3-01T00:00:00"/>
        <d v="2021-03-02T00:00:00"/>
        <d v="2021-03-03T00:00:00"/>
        <d v="2021-03-04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</sharedItems>
      <fieldGroup par="21" base="1">
        <rangePr autoEnd="0" groupBy="days" startDate="2020-04-06T00:00:00" endDate="2022-12-31T00:00:00"/>
        <groupItems count="368">
          <s v="&lt;4/6/2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1/22"/>
        </groupItems>
      </fieldGroup>
    </cacheField>
    <cacheField name="Exec Day" numFmtId="164">
      <sharedItems/>
    </cacheField>
    <cacheField name="Exec Time" numFmtId="19">
      <sharedItems containsSemiMixedTypes="0" containsNonDate="0" containsDate="1" containsString="0" minDate="1899-12-30T00:01:02" maxDate="1899-12-30T23:46:29"/>
    </cacheField>
    <cacheField name="Spread" numFmtId="0">
      <sharedItems/>
    </cacheField>
    <cacheField name="Side" numFmtId="0">
      <sharedItems/>
    </cacheField>
    <cacheField name="Qty" numFmtId="0">
      <sharedItems containsSemiMixedTypes="0" containsString="0" containsNumber="1" containsInteger="1" minValue="-600" maxValue="600"/>
    </cacheField>
    <cacheField name="Pos Effect" numFmtId="0">
      <sharedItems/>
    </cacheField>
    <cacheField name="Symbol" numFmtId="0">
      <sharedItems count="23">
        <s v="/CLK20"/>
        <s v="/ESM20"/>
        <s v="VXX"/>
        <s v="/MESM20"/>
        <s v="/CLM20"/>
        <s v="/CLN20"/>
        <s v="/CLQ20"/>
        <s v="/ESU20"/>
        <s v="/MESU20"/>
        <s v="/CLU20"/>
        <s v="/CLV20"/>
        <s v="/CLZ20"/>
        <s v="/ESZ20"/>
        <s v="/CLF21"/>
        <s v="/MESZ20"/>
        <s v="/ESH21"/>
        <s v="/CLG21"/>
        <s v="/MESH21"/>
        <s v="/CLH21"/>
        <s v="/CLJ21"/>
        <s v="/ESM21"/>
        <s v="/MESM21"/>
        <s v="/CLJ20" u="1"/>
      </sharedItems>
    </cacheField>
    <cacheField name="Exp" numFmtId="0">
      <sharedItems containsNonDate="0" containsDate="1" containsString="0" containsBlank="1" minDate="2020-01-21T00:00:00" maxDate="2021-06-22T00:00:00"/>
    </cacheField>
    <cacheField name="Strike" numFmtId="0">
      <sharedItems containsNonDate="0" containsString="0" containsBlank="1"/>
    </cacheField>
    <cacheField name="Type" numFmtId="0">
      <sharedItems/>
    </cacheField>
    <cacheField name="Price" numFmtId="0">
      <sharedItems containsSemiMixedTypes="0" containsString="0" containsNumber="1" minValue="12.82" maxValue="3967.25"/>
    </cacheField>
    <cacheField name="Net Price" numFmtId="0">
      <sharedItems containsSemiMixedTypes="0" containsString="0" containsNumber="1" minValue="12.82" maxValue="3967.25"/>
    </cacheField>
    <cacheField name="Order Type" numFmtId="0">
      <sharedItems/>
    </cacheField>
    <cacheField name="Net Qty" numFmtId="0">
      <sharedItems containsSemiMixedTypes="0" containsString="0" containsNumber="1" containsInteger="1" minValue="-700" maxValue="800"/>
    </cacheField>
    <cacheField name="Net Size ($)" numFmtId="165">
      <sharedItems containsSemiMixedTypes="0" containsString="0" containsNumber="1" minValue="-354100" maxValue="356125"/>
    </cacheField>
    <cacheField name="Cost Basis Avg" numFmtId="166">
      <sharedItems containsMixedTypes="1" containsNumber="1" minValue="-9.736666666666375" maxValue="3967.25"/>
    </cacheField>
    <cacheField name="Trade P&amp;L" numFmtId="167">
      <sharedItems containsMixedTypes="1" containsNumber="1" minValue="-8425" maxValue="830.00000000000182"/>
    </cacheField>
    <cacheField name="Months" numFmtId="0" databaseField="0">
      <fieldGroup base="1">
        <rangePr autoEnd="0" groupBy="months" startDate="2020-04-06T00:00:00" endDate="2022-12-31T00:00:00"/>
        <groupItems count="14">
          <s v="&lt;4/6/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2"/>
        </groupItems>
      </fieldGroup>
    </cacheField>
    <cacheField name="Quarters" numFmtId="0" databaseField="0">
      <fieldGroup base="1">
        <rangePr autoEnd="0" groupBy="quarters" startDate="2020-04-06T00:00:00" endDate="2022-12-31T00:00:00"/>
        <groupItems count="6">
          <s v="&lt;4/6/20"/>
          <s v="Qtr1"/>
          <s v="Qtr2"/>
          <s v="Qtr3"/>
          <s v="Qtr4"/>
          <s v="&gt;12/31/22"/>
        </groupItems>
      </fieldGroup>
    </cacheField>
    <cacheField name="Years" numFmtId="0" databaseField="0">
      <fieldGroup base="1">
        <rangePr autoEnd="0" groupBy="years" startDate="2020-04-06T00:00:00" endDate="2022-12-31T00:00:00"/>
        <groupItems count="5">
          <s v="&lt;4/6/20"/>
          <s v="2020"/>
          <s v="2021"/>
          <s v="2022"/>
          <s v="&gt;12/31/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30">
  <r>
    <x v="0"/>
    <x v="0"/>
    <s v="Monday"/>
    <d v="1899-12-30T10:58:34"/>
    <s v="FUTURE"/>
    <s v="BUY"/>
    <n v="1"/>
    <s v="TO OPEN"/>
    <x v="0"/>
    <d v="2020-05-20T00:00:00"/>
    <m/>
    <s v="FUTURE"/>
    <n v="26.5"/>
    <n v="26.5"/>
    <s v="MKT"/>
    <n v="1"/>
    <n v="26500"/>
    <n v="26.5"/>
    <s v=""/>
  </r>
  <r>
    <x v="0"/>
    <x v="0"/>
    <s v="Monday"/>
    <d v="1899-12-30T11:03:29"/>
    <s v="FUTURE"/>
    <s v="SELL"/>
    <n v="-1"/>
    <s v="TO CLOSE"/>
    <x v="0"/>
    <d v="2020-05-20T00:00:00"/>
    <m/>
    <s v="FUTURE"/>
    <n v="26.69"/>
    <n v="26.69"/>
    <s v="LMT"/>
    <n v="0"/>
    <n v="0"/>
    <s v=""/>
    <n v="190.00000000000128"/>
  </r>
  <r>
    <x v="1"/>
    <x v="0"/>
    <s v="Monday"/>
    <d v="1899-12-30T11:20:06"/>
    <s v="FUTURE"/>
    <s v="BUY"/>
    <n v="1"/>
    <s v="TO OPEN"/>
    <x v="0"/>
    <d v="2020-05-20T00:00:00"/>
    <m/>
    <s v="FUTURE"/>
    <n v="26.4"/>
    <n v="26.4"/>
    <s v="LMT"/>
    <n v="1"/>
    <n v="26400"/>
    <n v="26.4"/>
    <s v=""/>
  </r>
  <r>
    <x v="1"/>
    <x v="0"/>
    <s v="Monday"/>
    <d v="1899-12-30T11:21:13"/>
    <s v="FUTURE"/>
    <s v="SELL"/>
    <n v="-1"/>
    <s v="TO CLOSE"/>
    <x v="0"/>
    <d v="2020-05-20T00:00:00"/>
    <m/>
    <s v="FUTURE"/>
    <n v="26.45"/>
    <n v="26.45"/>
    <s v="LMT"/>
    <n v="0"/>
    <n v="0"/>
    <s v=""/>
    <n v="50.000000000000711"/>
  </r>
  <r>
    <x v="2"/>
    <x v="0"/>
    <s v="Monday"/>
    <d v="1899-12-30T11:26:52"/>
    <s v="FUTURE"/>
    <s v="BUY"/>
    <n v="1"/>
    <s v="TO OPEN"/>
    <x v="0"/>
    <d v="2020-05-20T00:00:00"/>
    <m/>
    <s v="FUTURE"/>
    <n v="26.39"/>
    <n v="26.39"/>
    <s v="LMT"/>
    <n v="1"/>
    <n v="26390"/>
    <n v="26.39"/>
    <s v=""/>
  </r>
  <r>
    <x v="2"/>
    <x v="0"/>
    <s v="Monday"/>
    <d v="1899-12-30T11:31:02"/>
    <s v="FUTURE"/>
    <s v="BUY"/>
    <n v="1"/>
    <s v="TO OPEN"/>
    <x v="0"/>
    <d v="2020-05-20T00:00:00"/>
    <m/>
    <s v="FUTURE"/>
    <n v="26.51"/>
    <n v="26.51"/>
    <s v="STP"/>
    <n v="2"/>
    <n v="52900"/>
    <n v="26.45"/>
    <s v=""/>
  </r>
  <r>
    <x v="2"/>
    <x v="0"/>
    <s v="Monday"/>
    <d v="1899-12-30T11:33:27"/>
    <s v="FUTURE"/>
    <s v="SELL"/>
    <n v="-1"/>
    <s v="TO CLOSE"/>
    <x v="0"/>
    <d v="2020-05-20T00:00:00"/>
    <m/>
    <s v="FUTURE"/>
    <n v="26.59"/>
    <n v="26.59"/>
    <s v="LMT"/>
    <n v="1"/>
    <n v="26310"/>
    <n v="26.31"/>
    <s v=""/>
  </r>
  <r>
    <x v="2"/>
    <x v="0"/>
    <s v="Monday"/>
    <d v="1899-12-30T11:44:55"/>
    <s v="FUTURE"/>
    <s v="SELL"/>
    <n v="-1"/>
    <s v="TO CLOSE"/>
    <x v="0"/>
    <d v="2020-05-20T00:00:00"/>
    <m/>
    <s v="FUTURE"/>
    <n v="26.58"/>
    <n v="26.58"/>
    <s v="LMT"/>
    <n v="0"/>
    <n v="0"/>
    <s v=""/>
    <n v="269.99999999999955"/>
  </r>
  <r>
    <x v="3"/>
    <x v="0"/>
    <s v="Monday"/>
    <d v="1899-12-30T11:47:30"/>
    <s v="FUTURE"/>
    <s v="BUY"/>
    <n v="1"/>
    <s v="TO OPEN"/>
    <x v="0"/>
    <d v="2020-05-20T00:00:00"/>
    <m/>
    <s v="FUTURE"/>
    <n v="27.07"/>
    <n v="27.07"/>
    <s v="LMT"/>
    <n v="1"/>
    <n v="27070"/>
    <n v="27.07"/>
    <s v=""/>
  </r>
  <r>
    <x v="3"/>
    <x v="0"/>
    <s v="Monday"/>
    <d v="1899-12-30T11:48:44"/>
    <s v="FUTURE"/>
    <s v="SELL"/>
    <n v="-1"/>
    <s v="TO CLOSE"/>
    <x v="0"/>
    <d v="2020-05-20T00:00:00"/>
    <m/>
    <s v="FUTURE"/>
    <n v="27.25"/>
    <n v="27.25"/>
    <s v="LMT"/>
    <n v="0"/>
    <n v="0"/>
    <s v=""/>
    <n v="179.99999999999972"/>
  </r>
  <r>
    <x v="4"/>
    <x v="0"/>
    <s v="Monday"/>
    <d v="1899-12-30T10:43:15"/>
    <s v="FUTURE"/>
    <s v="SELL"/>
    <n v="-1"/>
    <s v="TO OPEN"/>
    <x v="1"/>
    <d v="2020-06-20T00:00:00"/>
    <m/>
    <s v="FUTURE"/>
    <n v="2596"/>
    <n v="2596"/>
    <s v="LMT"/>
    <n v="-1"/>
    <n v="-129800"/>
    <n v="2596"/>
    <s v=""/>
  </r>
  <r>
    <x v="4"/>
    <x v="0"/>
    <s v="Monday"/>
    <d v="1899-12-30T10:44:09"/>
    <s v="FUTURE"/>
    <s v="BUY"/>
    <n v="1"/>
    <s v="TO CLOSE"/>
    <x v="1"/>
    <d v="2020-06-20T00:00:00"/>
    <m/>
    <s v="FUTURE"/>
    <n v="2594.25"/>
    <n v="2594.25"/>
    <s v="LMT"/>
    <n v="0"/>
    <n v="0"/>
    <s v=""/>
    <n v="87.5"/>
  </r>
  <r>
    <x v="5"/>
    <x v="0"/>
    <s v="Monday"/>
    <d v="1899-12-30T10:33:58"/>
    <s v="STOCK"/>
    <s v="BUY"/>
    <n v="300"/>
    <s v="TO OPEN"/>
    <x v="2"/>
    <m/>
    <m/>
    <s v="STOCK"/>
    <n v="42.49"/>
    <n v="42.49"/>
    <s v="LMT"/>
    <n v="300"/>
    <n v="12747"/>
    <n v="42.49"/>
    <s v=""/>
  </r>
  <r>
    <x v="5"/>
    <x v="0"/>
    <s v="Monday"/>
    <d v="1899-12-30T10:48:07"/>
    <s v="STOCK"/>
    <s v="BUY"/>
    <n v="100"/>
    <s v="TO OPEN"/>
    <x v="2"/>
    <m/>
    <m/>
    <s v="STOCK"/>
    <n v="42.93"/>
    <n v="42.93"/>
    <s v="STP"/>
    <n v="400"/>
    <n v="17040"/>
    <n v="42.6"/>
    <s v=""/>
  </r>
  <r>
    <x v="5"/>
    <x v="0"/>
    <s v="Monday"/>
    <d v="1899-12-30T10:53:49"/>
    <s v="STOCK"/>
    <s v="SELL"/>
    <n v="-192"/>
    <s v="TO CLOSE"/>
    <x v="2"/>
    <m/>
    <m/>
    <s v="STOCK"/>
    <n v="43.06"/>
    <n v="43.06"/>
    <s v="LMT"/>
    <n v="208"/>
    <n v="8772.48"/>
    <n v="42.175384615384615"/>
    <s v=""/>
  </r>
  <r>
    <x v="5"/>
    <x v="0"/>
    <s v="Monday"/>
    <d v="1899-12-30T10:53:49"/>
    <s v="STOCK"/>
    <s v="SELL"/>
    <n v="-8"/>
    <s v="TO CLOSE"/>
    <x v="2"/>
    <m/>
    <m/>
    <s v="STOCK"/>
    <n v="43.06"/>
    <n v="43.06"/>
    <s v="LMT"/>
    <n v="200"/>
    <n v="8428"/>
    <n v="42.14"/>
    <s v=""/>
  </r>
  <r>
    <x v="5"/>
    <x v="0"/>
    <s v="Monday"/>
    <d v="1899-12-30T11:02:14"/>
    <s v="STOCK"/>
    <s v="SELL"/>
    <n v="-54"/>
    <s v="TO CLOSE"/>
    <x v="2"/>
    <m/>
    <m/>
    <s v="STOCK"/>
    <n v="42.93"/>
    <n v="42.93"/>
    <s v="MKT"/>
    <n v="146"/>
    <n v="6109.7800000000007"/>
    <n v="41.847808219178084"/>
    <s v=""/>
  </r>
  <r>
    <x v="5"/>
    <x v="0"/>
    <s v="Monday"/>
    <d v="1899-12-30T11:02:14"/>
    <s v="STOCK"/>
    <s v="SELL"/>
    <n v="-43"/>
    <s v="TO CLOSE"/>
    <x v="2"/>
    <m/>
    <m/>
    <s v="STOCK"/>
    <n v="42.93"/>
    <n v="42.93"/>
    <s v="MKT"/>
    <n v="103"/>
    <n v="4263.7900000000009"/>
    <n v="41.396019417475735"/>
    <s v=""/>
  </r>
  <r>
    <x v="5"/>
    <x v="0"/>
    <s v="Monday"/>
    <d v="1899-12-30T11:02:14"/>
    <s v="STOCK"/>
    <s v="SELL"/>
    <n v="-100"/>
    <s v="TO CLOSE"/>
    <x v="2"/>
    <m/>
    <m/>
    <s v="STOCK"/>
    <n v="42.93"/>
    <n v="42.93"/>
    <s v="MKT"/>
    <n v="3"/>
    <n v="-29.209999999999127"/>
    <n v="-9.736666666666375"/>
    <s v=""/>
  </r>
  <r>
    <x v="5"/>
    <x v="0"/>
    <s v="Monday"/>
    <d v="1899-12-30T11:02:14"/>
    <s v="STOCK"/>
    <s v="SELL"/>
    <n v="-3"/>
    <s v="TO CLOSE"/>
    <x v="2"/>
    <m/>
    <m/>
    <s v="STOCK"/>
    <n v="42.93"/>
    <n v="42.93"/>
    <s v="MKT"/>
    <n v="0"/>
    <n v="0"/>
    <s v=""/>
    <n v="157.99999999999912"/>
  </r>
  <r>
    <x v="6"/>
    <x v="1"/>
    <s v="Tuesday"/>
    <d v="1899-12-30T10:11:40"/>
    <s v="FUTURE"/>
    <s v="BUY"/>
    <n v="1"/>
    <s v="TO OPEN"/>
    <x v="0"/>
    <d v="2020-05-20T00:00:00"/>
    <m/>
    <s v="FUTURE"/>
    <n v="26.58"/>
    <n v="26.58"/>
    <s v="LMT"/>
    <n v="1"/>
    <n v="26580"/>
    <n v="26.58"/>
    <s v=""/>
  </r>
  <r>
    <x v="6"/>
    <x v="1"/>
    <s v="Tuesday"/>
    <d v="1899-12-30T10:40:42"/>
    <s v="FUTURE"/>
    <s v="SELL"/>
    <n v="-1"/>
    <s v="TO CLOSE"/>
    <x v="0"/>
    <d v="2020-05-20T00:00:00"/>
    <m/>
    <s v="FUTURE"/>
    <n v="26.58"/>
    <n v="26.58"/>
    <s v="LMT"/>
    <n v="0"/>
    <n v="0"/>
    <s v=""/>
    <n v="0"/>
  </r>
  <r>
    <x v="7"/>
    <x v="1"/>
    <s v="Tuesday"/>
    <d v="1899-12-30T10:52:07"/>
    <s v="FUTURE"/>
    <s v="SELL"/>
    <n v="-1"/>
    <s v="TO OPEN"/>
    <x v="0"/>
    <d v="2020-05-20T00:00:00"/>
    <m/>
    <s v="FUTURE"/>
    <n v="26.36"/>
    <n v="26.36"/>
    <s v="LMT"/>
    <n v="-1"/>
    <n v="-26360"/>
    <n v="26.36"/>
    <s v=""/>
  </r>
  <r>
    <x v="7"/>
    <x v="1"/>
    <s v="Tuesday"/>
    <d v="1899-12-30T10:54:19"/>
    <s v="FUTURE"/>
    <s v="BUY"/>
    <n v="1"/>
    <s v="TO CLOSE"/>
    <x v="0"/>
    <d v="2020-05-20T00:00:00"/>
    <m/>
    <s v="FUTURE"/>
    <n v="26.35"/>
    <n v="26.35"/>
    <s v="LMT"/>
    <n v="0"/>
    <n v="0"/>
    <s v=""/>
    <n v="9.9999999999980105"/>
  </r>
  <r>
    <x v="8"/>
    <x v="1"/>
    <s v="Tuesday"/>
    <d v="1899-12-30T11:05:06"/>
    <s v="FUTURE"/>
    <s v="BUY"/>
    <n v="1"/>
    <s v="TO OPEN"/>
    <x v="0"/>
    <d v="2020-05-20T00:00:00"/>
    <m/>
    <s v="FUTURE"/>
    <n v="26.35"/>
    <n v="26.35"/>
    <s v="LMT"/>
    <n v="1"/>
    <n v="26350"/>
    <n v="26.35"/>
    <s v=""/>
  </r>
  <r>
    <x v="8"/>
    <x v="1"/>
    <s v="Tuesday"/>
    <d v="1899-12-30T11:16:56"/>
    <s v="FUTURE"/>
    <s v="BUY"/>
    <n v="1"/>
    <s v="TO OPEN"/>
    <x v="0"/>
    <d v="2020-05-20T00:00:00"/>
    <m/>
    <s v="FUTURE"/>
    <n v="26.41"/>
    <n v="26.41"/>
    <s v="LMT"/>
    <n v="2"/>
    <n v="52760"/>
    <n v="26.38"/>
    <s v=""/>
  </r>
  <r>
    <x v="8"/>
    <x v="1"/>
    <s v="Tuesday"/>
    <d v="1899-12-30T11:21:12"/>
    <s v="FUTURE"/>
    <s v="SELL"/>
    <n v="-1"/>
    <s v="TO CLOSE"/>
    <x v="0"/>
    <d v="2020-05-20T00:00:00"/>
    <m/>
    <s v="FUTURE"/>
    <n v="26.42"/>
    <n v="26.42"/>
    <s v="LMT"/>
    <n v="1"/>
    <n v="26340"/>
    <n v="26.34"/>
    <s v=""/>
  </r>
  <r>
    <x v="8"/>
    <x v="1"/>
    <s v="Tuesday"/>
    <d v="1899-12-30T11:28:32"/>
    <s v="FUTURE"/>
    <s v="BUY"/>
    <n v="1"/>
    <s v="TO OPEN"/>
    <x v="0"/>
    <d v="2020-05-20T00:00:00"/>
    <m/>
    <s v="FUTURE"/>
    <n v="26.21"/>
    <n v="26.21"/>
    <s v="LMT"/>
    <n v="2"/>
    <n v="52550"/>
    <n v="26.274999999999999"/>
    <s v=""/>
  </r>
  <r>
    <x v="8"/>
    <x v="1"/>
    <s v="Tuesday"/>
    <d v="1899-12-30T11:29:50"/>
    <s v="FUTURE"/>
    <s v="SELL"/>
    <n v="-1"/>
    <s v="TO CLOSE"/>
    <x v="0"/>
    <d v="2020-05-20T00:00:00"/>
    <m/>
    <s v="FUTURE"/>
    <n v="26.33"/>
    <n v="26.33"/>
    <s v="LMT"/>
    <n v="1"/>
    <n v="26220"/>
    <n v="26.22"/>
    <s v=""/>
  </r>
  <r>
    <x v="8"/>
    <x v="1"/>
    <s v="Tuesday"/>
    <d v="1899-12-30T11:55:27"/>
    <s v="FUTURE"/>
    <s v="BUY"/>
    <n v="1"/>
    <s v="TO OPEN"/>
    <x v="0"/>
    <d v="2020-05-20T00:00:00"/>
    <m/>
    <s v="FUTURE"/>
    <n v="26.12"/>
    <n v="26.12"/>
    <s v="LMT"/>
    <n v="2"/>
    <n v="52340"/>
    <n v="26.17"/>
    <s v=""/>
  </r>
  <r>
    <x v="8"/>
    <x v="1"/>
    <s v="Tuesday"/>
    <d v="1899-12-30T11:59:16"/>
    <s v="FUTURE"/>
    <s v="SELL"/>
    <n v="-1"/>
    <s v="TO CLOSE"/>
    <x v="0"/>
    <d v="2020-05-20T00:00:00"/>
    <m/>
    <s v="FUTURE"/>
    <n v="26.22"/>
    <n v="26.22"/>
    <s v="LMT"/>
    <n v="1"/>
    <n v="26120"/>
    <n v="26.12"/>
    <s v=""/>
  </r>
  <r>
    <x v="8"/>
    <x v="1"/>
    <s v="Tuesday"/>
    <d v="1899-12-30T12:03:51"/>
    <s v="FUTURE"/>
    <s v="SELL"/>
    <n v="-1"/>
    <s v="TO CLOSE"/>
    <x v="0"/>
    <d v="2020-05-20T00:00:00"/>
    <m/>
    <s v="FUTURE"/>
    <n v="26.32"/>
    <n v="26.32"/>
    <s v="LMT"/>
    <n v="0"/>
    <n v="0"/>
    <s v=""/>
    <n v="199.99999999999929"/>
  </r>
  <r>
    <x v="9"/>
    <x v="1"/>
    <s v="Tuesday"/>
    <d v="1899-12-30T13:16:59"/>
    <s v="FUTURE"/>
    <s v="BUY"/>
    <n v="1"/>
    <s v="TO OPEN"/>
    <x v="0"/>
    <d v="2020-05-20T00:00:00"/>
    <m/>
    <s v="FUTURE"/>
    <n v="25.85"/>
    <n v="25.85"/>
    <s v="LMT"/>
    <n v="1"/>
    <n v="25850"/>
    <n v="25.85"/>
    <s v=""/>
  </r>
  <r>
    <x v="9"/>
    <x v="1"/>
    <s v="Tuesday"/>
    <d v="1899-12-30T13:26:24"/>
    <s v="FUTURE"/>
    <s v="BUY"/>
    <n v="1"/>
    <s v="TO OPEN"/>
    <x v="0"/>
    <d v="2020-05-20T00:00:00"/>
    <m/>
    <s v="FUTURE"/>
    <n v="25.55"/>
    <n v="25.55"/>
    <s v="LMT"/>
    <n v="2"/>
    <n v="51400"/>
    <n v="25.7"/>
    <s v=""/>
  </r>
  <r>
    <x v="9"/>
    <x v="1"/>
    <s v="Tuesday"/>
    <d v="1899-12-30T13:41:44"/>
    <s v="FUTURE"/>
    <s v="BUY"/>
    <n v="1"/>
    <s v="TO OPEN"/>
    <x v="0"/>
    <d v="2020-05-20T00:00:00"/>
    <m/>
    <s v="FUTURE"/>
    <n v="25.35"/>
    <n v="25.35"/>
    <s v="LMT"/>
    <n v="3"/>
    <n v="76750"/>
    <n v="25.583333333333332"/>
    <s v=""/>
  </r>
  <r>
    <x v="9"/>
    <x v="1"/>
    <s v="Tuesday"/>
    <d v="1899-12-30T13:46:06"/>
    <s v="FUTURE"/>
    <s v="BUY"/>
    <n v="1"/>
    <s v="TO OPEN"/>
    <x v="0"/>
    <d v="2020-05-20T00:00:00"/>
    <m/>
    <s v="FUTURE"/>
    <n v="25.15"/>
    <n v="25.15"/>
    <s v="LMT"/>
    <n v="4"/>
    <n v="101900"/>
    <n v="25.475000000000001"/>
    <s v=""/>
  </r>
  <r>
    <x v="9"/>
    <x v="1"/>
    <s v="Tuesday"/>
    <d v="1899-12-30T14:00:01"/>
    <s v="FUTURE"/>
    <s v="SELL"/>
    <n v="-3"/>
    <s v="TO CLOSE"/>
    <x v="0"/>
    <d v="2020-05-20T00:00:00"/>
    <m/>
    <s v="FUTURE"/>
    <n v="24.97"/>
    <n v="24.97"/>
    <s v="STP"/>
    <n v="1"/>
    <n v="26990"/>
    <n v="26.99"/>
    <s v=""/>
  </r>
  <r>
    <x v="9"/>
    <x v="1"/>
    <s v="Tuesday"/>
    <d v="1899-12-30T14:01:57"/>
    <s v="FUTURE"/>
    <s v="BUY"/>
    <n v="3"/>
    <s v="TO OPEN"/>
    <x v="0"/>
    <d v="2020-05-20T00:00:00"/>
    <m/>
    <s v="FUTURE"/>
    <n v="24.84"/>
    <n v="24.84"/>
    <s v="STP"/>
    <n v="4"/>
    <n v="101510"/>
    <n v="25.377500000000001"/>
    <s v=""/>
  </r>
  <r>
    <x v="9"/>
    <x v="1"/>
    <s v="Tuesday"/>
    <d v="1899-12-30T14:06:39"/>
    <s v="FUTURE"/>
    <s v="SELL"/>
    <n v="-3"/>
    <s v="TO CLOSE"/>
    <x v="0"/>
    <d v="2020-05-20T00:00:00"/>
    <m/>
    <s v="FUTURE"/>
    <n v="24.48"/>
    <n v="24.48"/>
    <s v="MKT"/>
    <n v="1"/>
    <n v="28070"/>
    <n v="28.07"/>
    <s v=""/>
  </r>
  <r>
    <x v="9"/>
    <x v="1"/>
    <s v="Tuesday"/>
    <d v="1899-12-30T14:06:39"/>
    <s v="FUTURE"/>
    <s v="SELL"/>
    <n v="-1"/>
    <s v="TO CLOSE"/>
    <x v="0"/>
    <d v="2020-05-20T00:00:00"/>
    <m/>
    <s v="FUTURE"/>
    <n v="24.49"/>
    <n v="24.49"/>
    <s v="MKT"/>
    <n v="0"/>
    <n v="0"/>
    <s v=""/>
    <n v="-3580.0000000000018"/>
  </r>
  <r>
    <x v="10"/>
    <x v="1"/>
    <s v="Tuesday"/>
    <d v="1899-12-30T14:29:34"/>
    <s v="FUTURE"/>
    <s v="BUY"/>
    <n v="1"/>
    <s v="TO OPEN"/>
    <x v="0"/>
    <d v="2020-05-20T00:00:00"/>
    <m/>
    <s v="FUTURE"/>
    <n v="23.63"/>
    <n v="23.63"/>
    <s v="MKT"/>
    <n v="1"/>
    <n v="23630"/>
    <n v="23.63"/>
    <s v=""/>
  </r>
  <r>
    <x v="10"/>
    <x v="1"/>
    <s v="Tuesday"/>
    <d v="1899-12-30T14:32:07"/>
    <s v="FUTURE"/>
    <s v="SELL"/>
    <n v="-1"/>
    <s v="TO CLOSE"/>
    <x v="0"/>
    <d v="2020-05-20T00:00:00"/>
    <m/>
    <s v="FUTURE"/>
    <n v="23.73"/>
    <n v="23.73"/>
    <s v="LMT"/>
    <n v="0"/>
    <n v="0"/>
    <s v=""/>
    <n v="100.00000000000142"/>
  </r>
  <r>
    <x v="11"/>
    <x v="1"/>
    <s v="Tuesday"/>
    <d v="1899-12-30T10:08:07"/>
    <s v="STOCK"/>
    <s v="BUY"/>
    <n v="400"/>
    <s v="TO OPEN"/>
    <x v="2"/>
    <m/>
    <m/>
    <s v="STOCK"/>
    <n v="41.396900000000002"/>
    <n v="41.396900000000002"/>
    <s v="MKT"/>
    <n v="400"/>
    <n v="16558.760000000002"/>
    <n v="41.396900000000002"/>
    <s v=""/>
  </r>
  <r>
    <x v="11"/>
    <x v="1"/>
    <s v="Tuesday"/>
    <d v="1899-12-30T10:12:59"/>
    <s v="STOCK"/>
    <s v="SELL"/>
    <n v="-400"/>
    <s v="TO CLOSE"/>
    <x v="2"/>
    <m/>
    <m/>
    <s v="STOCK"/>
    <n v="41.905000000000001"/>
    <n v="41.905000000000001"/>
    <s v="LMT"/>
    <n v="0"/>
    <n v="0"/>
    <s v=""/>
    <n v="203.23999999999955"/>
  </r>
  <r>
    <x v="12"/>
    <x v="1"/>
    <s v="Tuesday"/>
    <d v="1899-12-30T10:18:03"/>
    <s v="STOCK"/>
    <s v="SELL"/>
    <n v="-200"/>
    <s v="TO OPEN"/>
    <x v="2"/>
    <m/>
    <m/>
    <s v="STOCK"/>
    <n v="42.25"/>
    <n v="42.25"/>
    <s v="LMT"/>
    <n v="-200"/>
    <n v="-8450"/>
    <n v="42.25"/>
    <s v=""/>
  </r>
  <r>
    <x v="12"/>
    <x v="1"/>
    <s v="Tuesday"/>
    <d v="1899-12-30T10:18:03"/>
    <s v="STOCK"/>
    <s v="SELL"/>
    <n v="-200"/>
    <s v="TO OPEN"/>
    <x v="2"/>
    <m/>
    <m/>
    <s v="STOCK"/>
    <n v="42.25"/>
    <n v="42.25"/>
    <s v="LMT"/>
    <n v="-400"/>
    <n v="-16900"/>
    <n v="42.25"/>
    <s v=""/>
  </r>
  <r>
    <x v="12"/>
    <x v="1"/>
    <s v="Tuesday"/>
    <d v="1899-12-30T10:24:01"/>
    <s v="STOCK"/>
    <s v="BUY"/>
    <n v="400"/>
    <s v="TO CLOSE"/>
    <x v="2"/>
    <m/>
    <m/>
    <s v="STOCK"/>
    <n v="42.24"/>
    <n v="42.24"/>
    <s v="LMT"/>
    <n v="0"/>
    <n v="0"/>
    <s v=""/>
    <n v="3.9999999999992042"/>
  </r>
  <r>
    <x v="13"/>
    <x v="1"/>
    <s v="Tuesday"/>
    <d v="1899-12-30T10:26:22"/>
    <s v="STOCK"/>
    <s v="SELL"/>
    <n v="-200"/>
    <s v="TO OPEN"/>
    <x v="2"/>
    <m/>
    <m/>
    <s v="STOCK"/>
    <n v="42.344999999999999"/>
    <n v="42.344999999999999"/>
    <s v="MKT"/>
    <n v="-200"/>
    <n v="-8469"/>
    <n v="42.344999999999999"/>
    <s v=""/>
  </r>
  <r>
    <x v="13"/>
    <x v="1"/>
    <s v="Tuesday"/>
    <d v="1899-12-30T10:28:01"/>
    <s v="STOCK"/>
    <s v="BUY"/>
    <n v="200"/>
    <s v="TO CLOSE"/>
    <x v="2"/>
    <m/>
    <m/>
    <s v="STOCK"/>
    <n v="42.11"/>
    <n v="42.11"/>
    <s v="LMT"/>
    <n v="0"/>
    <n v="0"/>
    <s v=""/>
    <n v="46.999999999999886"/>
  </r>
  <r>
    <x v="14"/>
    <x v="1"/>
    <s v="Tuesday"/>
    <d v="1899-12-30T10:31:17"/>
    <s v="STOCK"/>
    <s v="SELL"/>
    <n v="-300"/>
    <s v="TO OPEN"/>
    <x v="2"/>
    <m/>
    <m/>
    <s v="STOCK"/>
    <n v="42.4146"/>
    <n v="42.4146"/>
    <s v="LMT"/>
    <n v="-300"/>
    <n v="-12724.38"/>
    <n v="42.4146"/>
    <s v=""/>
  </r>
  <r>
    <x v="14"/>
    <x v="1"/>
    <s v="Tuesday"/>
    <d v="1899-12-30T10:38:02"/>
    <s v="STOCK"/>
    <s v="BUY"/>
    <n v="7"/>
    <s v="TO CLOSE"/>
    <x v="2"/>
    <m/>
    <m/>
    <s v="STOCK"/>
    <n v="42.2"/>
    <n v="42.2"/>
    <s v="LMT"/>
    <n v="-293"/>
    <n v="-12428.98"/>
    <n v="42.419726962457339"/>
    <s v=""/>
  </r>
  <r>
    <x v="14"/>
    <x v="1"/>
    <s v="Tuesday"/>
    <d v="1899-12-30T10:38:02"/>
    <s v="STOCK"/>
    <s v="BUY"/>
    <n v="93"/>
    <s v="TO CLOSE"/>
    <x v="2"/>
    <m/>
    <m/>
    <s v="STOCK"/>
    <n v="42.2"/>
    <n v="42.2"/>
    <s v="LMT"/>
    <n v="-200"/>
    <n v="-8504.3799999999992"/>
    <n v="42.521899999999995"/>
    <s v=""/>
  </r>
  <r>
    <x v="14"/>
    <x v="1"/>
    <s v="Tuesday"/>
    <d v="1899-12-30T10:41:31"/>
    <s v="STOCK"/>
    <s v="BUY"/>
    <n v="198"/>
    <s v="TO CLOSE"/>
    <x v="2"/>
    <m/>
    <m/>
    <s v="STOCK"/>
    <n v="42.399799999999999"/>
    <n v="42.399799999999999"/>
    <s v="STP"/>
    <n v="-2"/>
    <n v="-109.21959999999854"/>
    <n v="54.609799999999268"/>
    <s v=""/>
  </r>
  <r>
    <x v="14"/>
    <x v="1"/>
    <s v="Tuesday"/>
    <d v="1899-12-30T10:41:31"/>
    <s v="STOCK"/>
    <s v="BUY"/>
    <n v="2"/>
    <s v="TO CLOSE"/>
    <x v="2"/>
    <m/>
    <m/>
    <s v="STOCK"/>
    <n v="42.4"/>
    <n v="42.4"/>
    <s v="STP"/>
    <n v="0"/>
    <n v="0"/>
    <s v=""/>
    <n v="24.419599999998539"/>
  </r>
  <r>
    <x v="15"/>
    <x v="1"/>
    <s v="Tuesday"/>
    <d v="1899-12-30T10:55:58"/>
    <s v="STOCK"/>
    <s v="SELL"/>
    <n v="-100"/>
    <s v="TO OPEN"/>
    <x v="2"/>
    <m/>
    <m/>
    <s v="STOCK"/>
    <n v="43.36"/>
    <n v="43.36"/>
    <s v="LMT"/>
    <n v="-100"/>
    <n v="-4336"/>
    <n v="43.36"/>
    <s v=""/>
  </r>
  <r>
    <x v="15"/>
    <x v="1"/>
    <s v="Tuesday"/>
    <d v="1899-12-30T11:02:49"/>
    <s v="STOCK"/>
    <s v="SELL"/>
    <n v="-44"/>
    <s v="TO OPEN"/>
    <x v="2"/>
    <m/>
    <m/>
    <s v="STOCK"/>
    <n v="43.2"/>
    <n v="43.2"/>
    <s v="LMT"/>
    <n v="-144"/>
    <n v="-6236.8"/>
    <n v="43.31111111111111"/>
    <s v=""/>
  </r>
  <r>
    <x v="15"/>
    <x v="1"/>
    <s v="Tuesday"/>
    <d v="1899-12-30T11:02:49"/>
    <s v="STOCK"/>
    <s v="SELL"/>
    <n v="-2"/>
    <s v="TO OPEN"/>
    <x v="2"/>
    <m/>
    <m/>
    <s v="STOCK"/>
    <n v="43.2"/>
    <n v="43.2"/>
    <s v="LMT"/>
    <n v="-146"/>
    <n v="-6323.2"/>
    <n v="43.30958904109589"/>
    <s v=""/>
  </r>
  <r>
    <x v="15"/>
    <x v="1"/>
    <s v="Tuesday"/>
    <d v="1899-12-30T11:02:49"/>
    <s v="STOCK"/>
    <s v="SELL"/>
    <n v="-54"/>
    <s v="TO OPEN"/>
    <x v="2"/>
    <m/>
    <m/>
    <s v="STOCK"/>
    <n v="43.2"/>
    <n v="43.2"/>
    <s v="LMT"/>
    <n v="-200"/>
    <n v="-8656"/>
    <n v="43.28"/>
    <s v=""/>
  </r>
  <r>
    <x v="15"/>
    <x v="1"/>
    <s v="Tuesday"/>
    <d v="1899-12-30T11:26:03"/>
    <s v="STOCK"/>
    <s v="BUY"/>
    <n v="200"/>
    <s v="TO CLOSE"/>
    <x v="2"/>
    <m/>
    <m/>
    <s v="STOCK"/>
    <n v="43.04"/>
    <n v="43.04"/>
    <s v="LMT"/>
    <n v="0"/>
    <n v="0"/>
    <s v=""/>
    <n v="48.000000000000398"/>
  </r>
  <r>
    <x v="16"/>
    <x v="1"/>
    <s v="Tuesday"/>
    <d v="1899-12-30T11:44:16"/>
    <s v="STOCK"/>
    <s v="BUY"/>
    <n v="300"/>
    <s v="TO OPEN"/>
    <x v="2"/>
    <m/>
    <m/>
    <s v="STOCK"/>
    <n v="42.518900000000002"/>
    <n v="42.518900000000002"/>
    <s v="MKT"/>
    <n v="300"/>
    <n v="12755.67"/>
    <n v="42.518900000000002"/>
    <s v=""/>
  </r>
  <r>
    <x v="16"/>
    <x v="1"/>
    <s v="Tuesday"/>
    <d v="1899-12-30T11:46:46"/>
    <s v="STOCK"/>
    <s v="SELL"/>
    <n v="-300"/>
    <s v="TO CLOSE"/>
    <x v="2"/>
    <m/>
    <m/>
    <s v="STOCK"/>
    <n v="42.31"/>
    <n v="42.31"/>
    <s v="STP"/>
    <n v="0"/>
    <n v="0"/>
    <s v=""/>
    <n v="-62.669999999999959"/>
  </r>
  <r>
    <x v="17"/>
    <x v="1"/>
    <s v="Tuesday"/>
    <d v="1899-12-30T11:51:00"/>
    <s v="STOCK"/>
    <s v="BUY"/>
    <n v="72"/>
    <s v="TO OPEN"/>
    <x v="2"/>
    <m/>
    <m/>
    <s v="STOCK"/>
    <n v="42.179900000000004"/>
    <n v="42.179859999999998"/>
    <s v="MKT"/>
    <n v="72"/>
    <n v="3036.9528"/>
    <n v="42.179900000000004"/>
    <s v=""/>
  </r>
  <r>
    <x v="17"/>
    <x v="1"/>
    <s v="Tuesday"/>
    <d v="1899-12-30T11:51:00"/>
    <s v="STOCK"/>
    <s v="BUY"/>
    <n v="100"/>
    <s v="TO OPEN"/>
    <x v="2"/>
    <m/>
    <m/>
    <s v="STOCK"/>
    <n v="42.179900000000004"/>
    <n v="42.179900000000004"/>
    <s v="MKT"/>
    <n v="172"/>
    <n v="7254.9428000000007"/>
    <n v="42.179900000000004"/>
    <s v=""/>
  </r>
  <r>
    <x v="17"/>
    <x v="1"/>
    <s v="Tuesday"/>
    <d v="1899-12-30T11:51:00"/>
    <s v="STOCK"/>
    <s v="BUY"/>
    <n v="100"/>
    <s v="TO OPEN"/>
    <x v="2"/>
    <m/>
    <m/>
    <s v="STOCK"/>
    <n v="42.179900000000004"/>
    <n v="42.179900000000004"/>
    <s v="MKT"/>
    <n v="272"/>
    <n v="11472.932800000002"/>
    <n v="42.179900000000011"/>
    <s v=""/>
  </r>
  <r>
    <x v="17"/>
    <x v="1"/>
    <s v="Tuesday"/>
    <d v="1899-12-30T11:51:00"/>
    <s v="STOCK"/>
    <s v="BUY"/>
    <n v="28"/>
    <s v="TO OPEN"/>
    <x v="2"/>
    <m/>
    <m/>
    <s v="STOCK"/>
    <n v="42.179900000000004"/>
    <n v="42.18"/>
    <s v="MKT"/>
    <n v="300"/>
    <n v="12653.970000000003"/>
    <n v="42.179900000000011"/>
    <s v=""/>
  </r>
  <r>
    <x v="17"/>
    <x v="1"/>
    <s v="Tuesday"/>
    <d v="1899-12-30T12:00:19"/>
    <s v="STOCK"/>
    <s v="SELL"/>
    <n v="-300"/>
    <s v="TO CLOSE"/>
    <x v="2"/>
    <m/>
    <m/>
    <s v="STOCK"/>
    <n v="41.97"/>
    <n v="41.97"/>
    <s v="STP"/>
    <n v="0"/>
    <n v="0"/>
    <s v=""/>
    <n v="-62.970000000003523"/>
  </r>
  <r>
    <x v="18"/>
    <x v="1"/>
    <s v="Tuesday"/>
    <d v="1899-12-30T13:01:39"/>
    <s v="STOCK"/>
    <s v="BUY"/>
    <n v="300"/>
    <s v="TO OPEN"/>
    <x v="2"/>
    <m/>
    <m/>
    <s v="STOCK"/>
    <n v="41.79"/>
    <n v="41.79"/>
    <s v="LMT"/>
    <n v="300"/>
    <n v="12537"/>
    <n v="41.79"/>
    <s v=""/>
  </r>
  <r>
    <x v="18"/>
    <x v="1"/>
    <s v="Tuesday"/>
    <d v="1899-12-30T13:20:45"/>
    <s v="STOCK"/>
    <s v="SELL"/>
    <n v="-100"/>
    <s v="TO CLOSE"/>
    <x v="2"/>
    <m/>
    <m/>
    <s v="STOCK"/>
    <n v="42.29"/>
    <n v="42.29"/>
    <s v="LMT"/>
    <n v="200"/>
    <n v="8308"/>
    <n v="41.54"/>
    <s v=""/>
  </r>
  <r>
    <x v="18"/>
    <x v="1"/>
    <s v="Tuesday"/>
    <d v="1899-12-30T13:32:02"/>
    <s v="STOCK"/>
    <s v="SELL"/>
    <n v="-100"/>
    <s v="TO CLOSE"/>
    <x v="2"/>
    <m/>
    <m/>
    <s v="STOCK"/>
    <n v="42.2"/>
    <n v="42.2"/>
    <s v="LMT"/>
    <n v="100"/>
    <n v="4088"/>
    <n v="40.880000000000003"/>
    <s v=""/>
  </r>
  <r>
    <x v="18"/>
    <x v="1"/>
    <s v="Tuesday"/>
    <d v="1899-12-30T13:36:03"/>
    <s v="STOCK"/>
    <s v="SELL"/>
    <n v="-5"/>
    <s v="TO CLOSE"/>
    <x v="2"/>
    <m/>
    <m/>
    <s v="STOCK"/>
    <n v="42.25"/>
    <n v="42.25"/>
    <s v="LMT"/>
    <n v="95"/>
    <n v="3876.75"/>
    <n v="40.807894736842108"/>
    <s v=""/>
  </r>
  <r>
    <x v="18"/>
    <x v="1"/>
    <s v="Tuesday"/>
    <d v="1899-12-30T13:36:03"/>
    <s v="STOCK"/>
    <s v="SELL"/>
    <n v="-95"/>
    <s v="TO CLOSE"/>
    <x v="2"/>
    <m/>
    <m/>
    <s v="STOCK"/>
    <n v="42.25"/>
    <n v="42.25"/>
    <s v="LMT"/>
    <n v="0"/>
    <n v="0"/>
    <s v=""/>
    <n v="136.99999999999972"/>
  </r>
  <r>
    <x v="19"/>
    <x v="2"/>
    <s v="Wednesday"/>
    <d v="1899-12-30T09:52:06"/>
    <s v="FUTURE"/>
    <s v="SELL"/>
    <n v="-1"/>
    <s v="TO OPEN"/>
    <x v="0"/>
    <d v="2020-05-20T00:00:00"/>
    <m/>
    <s v="FUTURE"/>
    <n v="24.79"/>
    <n v="24.79"/>
    <s v="LMT"/>
    <n v="-1"/>
    <n v="-24790"/>
    <n v="24.79"/>
    <s v=""/>
  </r>
  <r>
    <x v="19"/>
    <x v="2"/>
    <s v="Wednesday"/>
    <d v="1899-12-30T10:03:19"/>
    <s v="FUTURE"/>
    <s v="SELL"/>
    <n v="-1"/>
    <s v="TO OPEN"/>
    <x v="0"/>
    <d v="2020-05-20T00:00:00"/>
    <m/>
    <s v="FUTURE"/>
    <n v="24.87"/>
    <n v="24.87"/>
    <s v="LMT"/>
    <n v="-2"/>
    <n v="-49660"/>
    <n v="24.83"/>
    <s v=""/>
  </r>
  <r>
    <x v="19"/>
    <x v="2"/>
    <s v="Wednesday"/>
    <d v="1899-12-30T10:18:43"/>
    <s v="FUTURE"/>
    <s v="BUY"/>
    <n v="1"/>
    <s v="TO CLOSE"/>
    <x v="0"/>
    <d v="2020-05-20T00:00:00"/>
    <m/>
    <s v="FUTURE"/>
    <n v="24.69"/>
    <n v="24.69"/>
    <s v="LMT"/>
    <n v="-1"/>
    <n v="-24970"/>
    <n v="24.97"/>
    <s v=""/>
  </r>
  <r>
    <x v="19"/>
    <x v="2"/>
    <s v="Wednesday"/>
    <d v="1899-12-30T10:20:59"/>
    <s v="FUTURE"/>
    <s v="BUY"/>
    <n v="1"/>
    <s v="TO CLOSE"/>
    <x v="0"/>
    <d v="2020-05-20T00:00:00"/>
    <m/>
    <s v="FUTURE"/>
    <n v="24.58"/>
    <n v="24.58"/>
    <s v="LMT"/>
    <n v="0"/>
    <n v="0"/>
    <s v=""/>
    <n v="390.00000000000057"/>
  </r>
  <r>
    <x v="20"/>
    <x v="2"/>
    <s v="Wednesday"/>
    <d v="1899-12-30T10:33:27"/>
    <s v="FUTURE"/>
    <s v="BUY"/>
    <n v="1"/>
    <s v="TO OPEN"/>
    <x v="0"/>
    <d v="2020-05-20T00:00:00"/>
    <m/>
    <s v="FUTURE"/>
    <n v="24.96"/>
    <n v="24.96"/>
    <s v="LMT"/>
    <n v="1"/>
    <n v="24960"/>
    <n v="24.96"/>
    <s v=""/>
  </r>
  <r>
    <x v="20"/>
    <x v="2"/>
    <s v="Wednesday"/>
    <d v="1899-12-30T10:36:59"/>
    <s v="FUTURE"/>
    <s v="SELL"/>
    <n v="-1"/>
    <s v="TO CLOSE"/>
    <x v="0"/>
    <d v="2020-05-20T00:00:00"/>
    <m/>
    <s v="FUTURE"/>
    <n v="24.98"/>
    <n v="24.98"/>
    <s v="STP"/>
    <n v="0"/>
    <n v="0"/>
    <s v=""/>
    <n v="19.999999999999574"/>
  </r>
  <r>
    <x v="21"/>
    <x v="2"/>
    <s v="Wednesday"/>
    <d v="1899-12-30T10:39:56"/>
    <s v="FUTURE"/>
    <s v="SELL"/>
    <n v="-2"/>
    <s v="TO OPEN"/>
    <x v="0"/>
    <d v="2020-05-20T00:00:00"/>
    <m/>
    <s v="FUTURE"/>
    <n v="24.68"/>
    <n v="24.68"/>
    <s v="LMT"/>
    <n v="-2"/>
    <n v="-49360"/>
    <n v="24.68"/>
    <s v=""/>
  </r>
  <r>
    <x v="21"/>
    <x v="2"/>
    <s v="Wednesday"/>
    <d v="1899-12-30T10:41:27"/>
    <s v="FUTURE"/>
    <s v="BUY"/>
    <n v="1"/>
    <s v="TO CLOSE"/>
    <x v="0"/>
    <d v="2020-05-20T00:00:00"/>
    <m/>
    <s v="FUTURE"/>
    <n v="24.46"/>
    <n v="24.46"/>
    <s v="MKT"/>
    <n v="-1"/>
    <n v="-24900"/>
    <n v="24.9"/>
    <s v=""/>
  </r>
  <r>
    <x v="21"/>
    <x v="2"/>
    <s v="Wednesday"/>
    <d v="1899-12-30T10:42:10"/>
    <s v="FUTURE"/>
    <s v="BUY"/>
    <n v="1"/>
    <s v="TO CLOSE"/>
    <x v="0"/>
    <d v="2020-05-20T00:00:00"/>
    <m/>
    <s v="FUTURE"/>
    <n v="24.38"/>
    <n v="24.38"/>
    <s v="STP"/>
    <n v="0"/>
    <n v="0"/>
    <s v=""/>
    <n v="519.99999999999955"/>
  </r>
  <r>
    <x v="22"/>
    <x v="2"/>
    <s v="Wednesday"/>
    <d v="1899-12-30T10:58:00"/>
    <s v="FUTURE"/>
    <s v="BUY"/>
    <n v="1"/>
    <s v="TO OPEN"/>
    <x v="0"/>
    <d v="2020-05-20T00:00:00"/>
    <m/>
    <s v="FUTURE"/>
    <n v="24.3"/>
    <n v="24.3"/>
    <s v="LMT"/>
    <n v="1"/>
    <n v="24300"/>
    <n v="24.3"/>
    <s v=""/>
  </r>
  <r>
    <x v="22"/>
    <x v="2"/>
    <s v="Wednesday"/>
    <d v="1899-12-30T10:59:39"/>
    <s v="FUTURE"/>
    <s v="SELL"/>
    <n v="-1"/>
    <s v="TO CLOSE"/>
    <x v="0"/>
    <d v="2020-05-20T00:00:00"/>
    <m/>
    <s v="FUTURE"/>
    <n v="24.42"/>
    <n v="24.42"/>
    <s v="LMT"/>
    <n v="0"/>
    <n v="0"/>
    <s v=""/>
    <n v="120.00000000000099"/>
  </r>
  <r>
    <x v="23"/>
    <x v="2"/>
    <s v="Wednesday"/>
    <d v="1899-12-30T11:10:52"/>
    <s v="FUTURE"/>
    <s v="BUY"/>
    <n v="1"/>
    <s v="TO OPEN"/>
    <x v="0"/>
    <d v="2020-05-20T00:00:00"/>
    <m/>
    <s v="FUTURE"/>
    <n v="24.61"/>
    <n v="24.61"/>
    <s v="LMT"/>
    <n v="1"/>
    <n v="24610"/>
    <n v="24.61"/>
    <s v=""/>
  </r>
  <r>
    <x v="23"/>
    <x v="2"/>
    <s v="Wednesday"/>
    <d v="1899-12-30T11:11:52"/>
    <s v="FUTURE"/>
    <s v="SELL"/>
    <n v="-1"/>
    <s v="TO CLOSE"/>
    <x v="0"/>
    <d v="2020-05-20T00:00:00"/>
    <m/>
    <s v="FUTURE"/>
    <n v="24.73"/>
    <n v="24.73"/>
    <s v="LMT"/>
    <n v="0"/>
    <n v="0"/>
    <s v=""/>
    <n v="120.00000000000099"/>
  </r>
  <r>
    <x v="24"/>
    <x v="2"/>
    <s v="Wednesday"/>
    <d v="1899-12-30T11:26:16"/>
    <s v="FUTURE"/>
    <s v="SELL"/>
    <n v="-2"/>
    <s v="TO OPEN"/>
    <x v="3"/>
    <d v="2020-06-20T00:00:00"/>
    <m/>
    <s v="FUTURE"/>
    <n v="2703.25"/>
    <n v="2703.25"/>
    <s v="LMT"/>
    <n v="-2"/>
    <n v="-27032.5"/>
    <n v="2703.25"/>
    <s v=""/>
  </r>
  <r>
    <x v="24"/>
    <x v="2"/>
    <s v="Wednesday"/>
    <d v="1899-12-30T11:27:11"/>
    <s v="FUTURE"/>
    <s v="SELL"/>
    <n v="-1"/>
    <s v="TO OPEN"/>
    <x v="3"/>
    <d v="2020-06-20T00:00:00"/>
    <m/>
    <s v="FUTURE"/>
    <n v="2705.5"/>
    <n v="2705.5"/>
    <s v="LMT"/>
    <n v="-3"/>
    <n v="-40560"/>
    <n v="2704"/>
    <s v=""/>
  </r>
  <r>
    <x v="24"/>
    <x v="2"/>
    <s v="Wednesday"/>
    <d v="1899-12-30T11:33:57"/>
    <s v="FUTURE"/>
    <s v="SELL"/>
    <n v="-1"/>
    <s v="TO OPEN"/>
    <x v="3"/>
    <d v="2020-06-20T00:00:00"/>
    <m/>
    <s v="FUTURE"/>
    <n v="2706"/>
    <n v="2706"/>
    <s v="LMT"/>
    <n v="-4"/>
    <n v="-54090"/>
    <n v="2704.5"/>
    <s v=""/>
  </r>
  <r>
    <x v="24"/>
    <x v="2"/>
    <s v="Wednesday"/>
    <d v="1899-12-30T11:35:26"/>
    <s v="FUTURE"/>
    <s v="SELL"/>
    <n v="-2"/>
    <s v="TO OPEN"/>
    <x v="3"/>
    <d v="2020-06-20T00:00:00"/>
    <m/>
    <s v="FUTURE"/>
    <n v="2708.5"/>
    <n v="2708.5"/>
    <s v="LMT"/>
    <n v="-6"/>
    <n v="-81175"/>
    <n v="2705.833333333333"/>
    <s v=""/>
  </r>
  <r>
    <x v="24"/>
    <x v="2"/>
    <s v="Wednesday"/>
    <d v="1899-12-30T11:48:11"/>
    <s v="FUTURE"/>
    <s v="SELL"/>
    <n v="-1"/>
    <s v="TO OPEN"/>
    <x v="3"/>
    <d v="2020-06-20T00:00:00"/>
    <m/>
    <s v="FUTURE"/>
    <n v="2713.5"/>
    <n v="2713.5"/>
    <s v="LMT"/>
    <n v="-7"/>
    <n v="-94742.5"/>
    <n v="2706.9285714285716"/>
    <s v=""/>
  </r>
  <r>
    <x v="24"/>
    <x v="2"/>
    <s v="Wednesday"/>
    <d v="1899-12-30T12:10:48"/>
    <s v="FUTURE"/>
    <s v="BUY"/>
    <n v="2"/>
    <s v="TO CLOSE"/>
    <x v="3"/>
    <d v="2020-06-20T00:00:00"/>
    <m/>
    <s v="FUTURE"/>
    <n v="2701.75"/>
    <n v="2701.75"/>
    <s v="LMT"/>
    <n v="-5"/>
    <n v="-67725"/>
    <n v="2709"/>
    <s v=""/>
  </r>
  <r>
    <x v="24"/>
    <x v="2"/>
    <s v="Wednesday"/>
    <d v="1899-12-30T12:24:47"/>
    <s v="FUTURE"/>
    <s v="SELL"/>
    <n v="-1"/>
    <s v="TO OPEN"/>
    <x v="3"/>
    <d v="2020-06-20T00:00:00"/>
    <m/>
    <s v="FUTURE"/>
    <n v="2713.75"/>
    <n v="2713.75"/>
    <s v="LMT"/>
    <n v="-6"/>
    <n v="-81293.75"/>
    <n v="2709.791666666667"/>
    <s v=""/>
  </r>
  <r>
    <x v="24"/>
    <x v="2"/>
    <s v="Wednesday"/>
    <d v="1899-12-30T12:36:20"/>
    <s v="FUTURE"/>
    <s v="BUY"/>
    <n v="2"/>
    <s v="TO CLOSE"/>
    <x v="3"/>
    <d v="2020-06-20T00:00:00"/>
    <m/>
    <s v="FUTURE"/>
    <n v="2706.25"/>
    <n v="2706.25"/>
    <s v="MKT"/>
    <n v="-4"/>
    <n v="-54231.25"/>
    <n v="2711.5625"/>
    <s v=""/>
  </r>
  <r>
    <x v="24"/>
    <x v="2"/>
    <s v="Wednesday"/>
    <d v="1899-12-30T12:50:05"/>
    <s v="FUTURE"/>
    <s v="SELL"/>
    <n v="-1"/>
    <s v="TO OPEN"/>
    <x v="3"/>
    <d v="2020-06-20T00:00:00"/>
    <m/>
    <s v="FUTURE"/>
    <n v="2717.5"/>
    <n v="2717.5"/>
    <s v="LMT"/>
    <n v="-5"/>
    <n v="-67818.75"/>
    <n v="2712.75"/>
    <s v=""/>
  </r>
  <r>
    <x v="24"/>
    <x v="2"/>
    <s v="Wednesday"/>
    <d v="1899-12-30T13:36:24"/>
    <s v="FUTURE"/>
    <s v="BUY"/>
    <n v="2"/>
    <s v="TO CLOSE"/>
    <x v="3"/>
    <d v="2020-06-20T00:00:00"/>
    <m/>
    <s v="FUTURE"/>
    <n v="2702.25"/>
    <n v="2702.25"/>
    <s v="LMT"/>
    <n v="-3"/>
    <n v="-40796.25"/>
    <n v="2719.75"/>
    <s v=""/>
  </r>
  <r>
    <x v="24"/>
    <x v="2"/>
    <s v="Wednesday"/>
    <d v="1899-12-30T13:42:54"/>
    <s v="FUTURE"/>
    <s v="BUY"/>
    <n v="1"/>
    <s v="TO CLOSE"/>
    <x v="3"/>
    <d v="2020-06-20T00:00:00"/>
    <m/>
    <s v="FUTURE"/>
    <n v="2703"/>
    <n v="2703"/>
    <s v="LMT"/>
    <n v="-2"/>
    <n v="-27281.25"/>
    <n v="2728.125"/>
    <s v=""/>
  </r>
  <r>
    <x v="24"/>
    <x v="2"/>
    <s v="Wednesday"/>
    <d v="1899-12-30T13:44:31"/>
    <s v="FUTURE"/>
    <s v="BUY"/>
    <n v="1"/>
    <s v="TO CLOSE"/>
    <x v="3"/>
    <d v="2020-06-20T00:00:00"/>
    <m/>
    <s v="FUTURE"/>
    <n v="2701.5"/>
    <n v="2701.5"/>
    <s v="MKT"/>
    <n v="-1"/>
    <n v="-13773.75"/>
    <n v="2754.75"/>
    <s v=""/>
  </r>
  <r>
    <x v="24"/>
    <x v="2"/>
    <s v="Wednesday"/>
    <d v="1899-12-30T13:51:19"/>
    <s v="FUTURE"/>
    <s v="BUY"/>
    <n v="1"/>
    <s v="TO CLOSE"/>
    <x v="3"/>
    <d v="2020-06-20T00:00:00"/>
    <m/>
    <s v="FUTURE"/>
    <n v="2705.75"/>
    <n v="2705.75"/>
    <s v="LMT"/>
    <n v="0"/>
    <n v="0"/>
    <s v=""/>
    <n v="245"/>
  </r>
  <r>
    <x v="25"/>
    <x v="2"/>
    <s v="Wednesday"/>
    <d v="1899-12-30T09:55:14"/>
    <s v="STOCK"/>
    <s v="BUY"/>
    <n v="74"/>
    <s v="TO OPEN"/>
    <x v="2"/>
    <m/>
    <m/>
    <s v="STOCK"/>
    <n v="43.33"/>
    <n v="43.33"/>
    <s v="LMT"/>
    <n v="74"/>
    <n v="3206.42"/>
    <n v="43.33"/>
    <s v=""/>
  </r>
  <r>
    <x v="25"/>
    <x v="2"/>
    <s v="Wednesday"/>
    <d v="1899-12-30T09:55:14"/>
    <s v="STOCK"/>
    <s v="BUY"/>
    <n v="100"/>
    <s v="TO OPEN"/>
    <x v="2"/>
    <m/>
    <m/>
    <s v="STOCK"/>
    <n v="43.33"/>
    <n v="43.33"/>
    <s v="LMT"/>
    <n v="174"/>
    <n v="7539.42"/>
    <n v="43.33"/>
    <s v=""/>
  </r>
  <r>
    <x v="25"/>
    <x v="2"/>
    <s v="Wednesday"/>
    <d v="1899-12-30T09:55:14"/>
    <s v="STOCK"/>
    <s v="BUY"/>
    <n v="100"/>
    <s v="TO OPEN"/>
    <x v="2"/>
    <m/>
    <m/>
    <s v="STOCK"/>
    <n v="43.33"/>
    <n v="43.33"/>
    <s v="LMT"/>
    <n v="274"/>
    <n v="11872.42"/>
    <n v="43.33"/>
    <s v=""/>
  </r>
  <r>
    <x v="25"/>
    <x v="2"/>
    <s v="Wednesday"/>
    <d v="1899-12-30T09:55:14"/>
    <s v="STOCK"/>
    <s v="BUY"/>
    <n v="21"/>
    <s v="TO OPEN"/>
    <x v="2"/>
    <m/>
    <m/>
    <s v="STOCK"/>
    <n v="43.33"/>
    <n v="43.33"/>
    <s v="LMT"/>
    <n v="295"/>
    <n v="12782.35"/>
    <n v="43.33"/>
    <s v=""/>
  </r>
  <r>
    <x v="25"/>
    <x v="2"/>
    <s v="Wednesday"/>
    <d v="1899-12-30T09:55:14"/>
    <s v="STOCK"/>
    <s v="BUY"/>
    <n v="100"/>
    <s v="TO OPEN"/>
    <x v="2"/>
    <m/>
    <m/>
    <s v="STOCK"/>
    <n v="43.33"/>
    <n v="43.33"/>
    <s v="LMT"/>
    <n v="395"/>
    <n v="17115.349999999999"/>
    <n v="43.33"/>
    <s v=""/>
  </r>
  <r>
    <x v="25"/>
    <x v="2"/>
    <s v="Wednesday"/>
    <d v="1899-12-30T09:55:14"/>
    <s v="STOCK"/>
    <s v="BUY"/>
    <n v="5"/>
    <s v="TO OPEN"/>
    <x v="2"/>
    <m/>
    <m/>
    <s v="STOCK"/>
    <n v="43.33"/>
    <n v="43.33"/>
    <s v="LMT"/>
    <n v="400"/>
    <n v="17332"/>
    <n v="43.33"/>
    <s v=""/>
  </r>
  <r>
    <x v="25"/>
    <x v="2"/>
    <s v="Wednesday"/>
    <d v="1899-12-30T10:05:32"/>
    <s v="STOCK"/>
    <s v="SELL"/>
    <n v="-100"/>
    <s v="TO CLOSE"/>
    <x v="2"/>
    <m/>
    <m/>
    <s v="STOCK"/>
    <n v="43.39"/>
    <n v="43.39"/>
    <s v="LMT"/>
    <n v="300"/>
    <n v="12993"/>
    <n v="43.31"/>
    <s v=""/>
  </r>
  <r>
    <x v="25"/>
    <x v="2"/>
    <s v="Wednesday"/>
    <d v="1899-12-30T10:05:32"/>
    <s v="STOCK"/>
    <s v="SELL"/>
    <n v="-100"/>
    <s v="TO CLOSE"/>
    <x v="2"/>
    <m/>
    <m/>
    <s v="STOCK"/>
    <n v="43.39"/>
    <n v="43.39"/>
    <s v="LMT"/>
    <n v="200"/>
    <n v="8654"/>
    <n v="43.27"/>
    <s v=""/>
  </r>
  <r>
    <x v="25"/>
    <x v="2"/>
    <s v="Wednesday"/>
    <d v="1899-12-30T10:05:32"/>
    <s v="STOCK"/>
    <s v="SELL"/>
    <n v="-200"/>
    <s v="TO CLOSE"/>
    <x v="2"/>
    <m/>
    <m/>
    <s v="STOCK"/>
    <n v="43.39"/>
    <n v="43.39"/>
    <s v="LMT"/>
    <n v="0"/>
    <n v="0"/>
    <s v=""/>
    <n v="23.999999999999488"/>
  </r>
  <r>
    <x v="26"/>
    <x v="2"/>
    <s v="Wednesday"/>
    <d v="1899-12-30T10:42:32"/>
    <s v="STOCK"/>
    <s v="BUY"/>
    <n v="238"/>
    <s v="TO OPEN"/>
    <x v="2"/>
    <m/>
    <m/>
    <s v="STOCK"/>
    <n v="43.12"/>
    <n v="43.12"/>
    <s v="LMT"/>
    <n v="238"/>
    <n v="10262.56"/>
    <n v="43.12"/>
    <s v=""/>
  </r>
  <r>
    <x v="26"/>
    <x v="2"/>
    <s v="Wednesday"/>
    <d v="1899-12-30T10:42:32"/>
    <s v="STOCK"/>
    <s v="BUY"/>
    <n v="62"/>
    <s v="TO OPEN"/>
    <x v="2"/>
    <m/>
    <m/>
    <s v="STOCK"/>
    <n v="43.12"/>
    <n v="43.12"/>
    <s v="LMT"/>
    <n v="300"/>
    <n v="12936"/>
    <n v="43.12"/>
    <s v=""/>
  </r>
  <r>
    <x v="26"/>
    <x v="2"/>
    <s v="Wednesday"/>
    <d v="1899-12-30T10:42:32"/>
    <s v="STOCK"/>
    <s v="BUY"/>
    <n v="100"/>
    <s v="TO OPEN"/>
    <x v="2"/>
    <m/>
    <m/>
    <s v="STOCK"/>
    <n v="43.115000000000002"/>
    <n v="43.115000000000002"/>
    <s v="LMT"/>
    <n v="400"/>
    <n v="17247.5"/>
    <n v="43.118749999999999"/>
    <s v=""/>
  </r>
  <r>
    <x v="26"/>
    <x v="2"/>
    <s v="Wednesday"/>
    <d v="1899-12-30T10:47:01"/>
    <s v="STOCK"/>
    <s v="SELL"/>
    <n v="-400"/>
    <s v="TO CLOSE"/>
    <x v="2"/>
    <m/>
    <m/>
    <s v="STOCK"/>
    <n v="42.79"/>
    <n v="42.79"/>
    <s v="STP"/>
    <n v="0"/>
    <n v="0"/>
    <s v=""/>
    <n v="-131.49999999999977"/>
  </r>
  <r>
    <x v="27"/>
    <x v="2"/>
    <s v="Wednesday"/>
    <d v="1899-12-30T10:57:18"/>
    <s v="STOCK"/>
    <s v="BUY"/>
    <n v="400"/>
    <s v="TO OPEN"/>
    <x v="2"/>
    <m/>
    <m/>
    <s v="STOCK"/>
    <n v="42.79"/>
    <n v="42.79"/>
    <s v="LMT"/>
    <n v="400"/>
    <n v="17116"/>
    <n v="42.79"/>
    <s v=""/>
  </r>
  <r>
    <x v="27"/>
    <x v="2"/>
    <s v="Wednesday"/>
    <d v="1899-12-30T11:30:15"/>
    <s v="STOCK"/>
    <s v="SELL"/>
    <n v="-400"/>
    <s v="TO CLOSE"/>
    <x v="2"/>
    <m/>
    <m/>
    <s v="STOCK"/>
    <n v="42.28"/>
    <n v="42.28"/>
    <s v="STP"/>
    <n v="0"/>
    <n v="0"/>
    <s v=""/>
    <n v="-203.9999999999992"/>
  </r>
  <r>
    <x v="28"/>
    <x v="2"/>
    <s v="Wednesday"/>
    <d v="1899-12-30T11:31:11"/>
    <s v="STOCK"/>
    <s v="BUY"/>
    <n v="284"/>
    <s v="TO OPEN"/>
    <x v="2"/>
    <m/>
    <m/>
    <s v="STOCK"/>
    <n v="42.435000000000002"/>
    <n v="42.435000000000002"/>
    <s v="MKT"/>
    <n v="284"/>
    <n v="12051.54"/>
    <n v="42.435000000000002"/>
    <s v=""/>
  </r>
  <r>
    <x v="28"/>
    <x v="2"/>
    <s v="Wednesday"/>
    <d v="1899-12-30T11:31:11"/>
    <s v="STOCK"/>
    <s v="BUY"/>
    <n v="6"/>
    <s v="TO OPEN"/>
    <x v="2"/>
    <m/>
    <m/>
    <s v="STOCK"/>
    <n v="42.435000000000002"/>
    <n v="42.435000000000002"/>
    <s v="MKT"/>
    <n v="290"/>
    <n v="12306.150000000001"/>
    <n v="42.435000000000002"/>
    <s v=""/>
  </r>
  <r>
    <x v="28"/>
    <x v="2"/>
    <s v="Wednesday"/>
    <d v="1899-12-30T11:31:11"/>
    <s v="STOCK"/>
    <s v="BUY"/>
    <n v="10"/>
    <s v="TO OPEN"/>
    <x v="2"/>
    <m/>
    <m/>
    <s v="STOCK"/>
    <n v="42.435000000000002"/>
    <n v="42.435000000000002"/>
    <s v="MKT"/>
    <n v="300"/>
    <n v="12730.500000000002"/>
    <n v="42.435000000000009"/>
    <s v=""/>
  </r>
  <r>
    <x v="28"/>
    <x v="2"/>
    <s v="Wednesday"/>
    <d v="1899-12-30T11:31:11"/>
    <s v="STOCK"/>
    <s v="BUY"/>
    <n v="100"/>
    <s v="TO OPEN"/>
    <x v="2"/>
    <m/>
    <m/>
    <s v="STOCK"/>
    <n v="42.435000000000002"/>
    <n v="42.435000000000002"/>
    <s v="MKT"/>
    <n v="400"/>
    <n v="16974"/>
    <n v="42.435000000000002"/>
    <s v=""/>
  </r>
  <r>
    <x v="28"/>
    <x v="2"/>
    <s v="Wednesday"/>
    <d v="1899-12-30T11:38:06"/>
    <s v="STOCK"/>
    <s v="SELL"/>
    <n v="-16"/>
    <s v="TO CLOSE"/>
    <x v="2"/>
    <m/>
    <m/>
    <s v="STOCK"/>
    <n v="42.18"/>
    <n v="42.18"/>
    <s v="STP"/>
    <n v="384"/>
    <n v="16299.12"/>
    <n v="42.445625"/>
    <s v=""/>
  </r>
  <r>
    <x v="28"/>
    <x v="2"/>
    <s v="Wednesday"/>
    <d v="1899-12-30T11:38:06"/>
    <s v="STOCK"/>
    <s v="SELL"/>
    <n v="-100"/>
    <s v="TO CLOSE"/>
    <x v="2"/>
    <m/>
    <m/>
    <s v="STOCK"/>
    <n v="42.18"/>
    <n v="42.18"/>
    <s v="STP"/>
    <n v="284"/>
    <n v="12081.12"/>
    <n v="42.539154929577471"/>
    <s v=""/>
  </r>
  <r>
    <x v="28"/>
    <x v="2"/>
    <s v="Wednesday"/>
    <d v="1899-12-30T11:38:06"/>
    <s v="STOCK"/>
    <s v="SELL"/>
    <n v="-100"/>
    <s v="TO CLOSE"/>
    <x v="2"/>
    <m/>
    <m/>
    <s v="STOCK"/>
    <n v="42.18"/>
    <n v="42.18"/>
    <s v="STP"/>
    <n v="184"/>
    <n v="7863.1200000000008"/>
    <n v="42.73434782608696"/>
    <s v=""/>
  </r>
  <r>
    <x v="28"/>
    <x v="2"/>
    <s v="Wednesday"/>
    <d v="1899-12-30T11:38:06"/>
    <s v="STOCK"/>
    <s v="SELL"/>
    <n v="-4"/>
    <s v="TO CLOSE"/>
    <x v="2"/>
    <m/>
    <m/>
    <s v="STOCK"/>
    <n v="42.18"/>
    <n v="42.18"/>
    <s v="STP"/>
    <n v="180"/>
    <n v="7694.4000000000005"/>
    <n v="42.74666666666667"/>
    <s v=""/>
  </r>
  <r>
    <x v="28"/>
    <x v="2"/>
    <s v="Wednesday"/>
    <d v="1899-12-30T11:38:06"/>
    <s v="STOCK"/>
    <s v="SELL"/>
    <n v="-80"/>
    <s v="TO CLOSE"/>
    <x v="2"/>
    <m/>
    <m/>
    <s v="STOCK"/>
    <n v="42.18"/>
    <n v="42.18"/>
    <s v="STP"/>
    <n v="100"/>
    <n v="4320"/>
    <n v="43.2"/>
    <s v=""/>
  </r>
  <r>
    <x v="28"/>
    <x v="2"/>
    <s v="Wednesday"/>
    <d v="1899-12-30T11:38:06"/>
    <s v="STOCK"/>
    <s v="SELL"/>
    <n v="-100"/>
    <s v="TO CLOSE"/>
    <x v="2"/>
    <m/>
    <m/>
    <s v="STOCK"/>
    <n v="42.18"/>
    <n v="42.18"/>
    <s v="STP"/>
    <n v="0"/>
    <n v="0"/>
    <s v=""/>
    <n v="-102.00000000000031"/>
  </r>
  <r>
    <x v="29"/>
    <x v="2"/>
    <s v="Wednesday"/>
    <d v="1899-12-30T11:43:07"/>
    <s v="STOCK"/>
    <s v="BUY"/>
    <n v="400"/>
    <s v="TO OPEN"/>
    <x v="2"/>
    <m/>
    <m/>
    <s v="STOCK"/>
    <n v="42.3"/>
    <n v="42.3"/>
    <s v="LMT"/>
    <n v="400"/>
    <n v="16920"/>
    <n v="42.3"/>
    <s v=""/>
  </r>
  <r>
    <x v="29"/>
    <x v="2"/>
    <s v="Wednesday"/>
    <d v="1899-12-30T13:28:14"/>
    <s v="STOCK"/>
    <s v="BUY"/>
    <n v="100"/>
    <s v="TO OPEN"/>
    <x v="2"/>
    <m/>
    <m/>
    <s v="STOCK"/>
    <n v="42.505000000000003"/>
    <n v="42.505000000000003"/>
    <s v="STP"/>
    <n v="500"/>
    <n v="21170.5"/>
    <n v="42.341000000000001"/>
    <s v=""/>
  </r>
  <r>
    <x v="29"/>
    <x v="2"/>
    <s v="Wednesday"/>
    <d v="1899-12-30T13:38:48"/>
    <s v="STOCK"/>
    <s v="SELL"/>
    <n v="-100"/>
    <s v="TO CLOSE"/>
    <x v="2"/>
    <m/>
    <m/>
    <s v="STOCK"/>
    <n v="42.76"/>
    <n v="42.76"/>
    <s v="LMT"/>
    <n v="400"/>
    <n v="16894.5"/>
    <n v="42.236249999999998"/>
    <s v=""/>
  </r>
  <r>
    <x v="29"/>
    <x v="2"/>
    <s v="Wednesday"/>
    <d v="1899-12-30T13:42:53"/>
    <s v="STOCK"/>
    <s v="SELL"/>
    <n v="-100"/>
    <s v="TO CLOSE"/>
    <x v="2"/>
    <m/>
    <m/>
    <s v="STOCK"/>
    <n v="42.784999999999997"/>
    <n v="42.784999999999997"/>
    <s v="LMT"/>
    <n v="300"/>
    <n v="12616"/>
    <n v="42.053333333333335"/>
    <s v=""/>
  </r>
  <r>
    <x v="29"/>
    <x v="2"/>
    <s v="Wednesday"/>
    <d v="1899-12-30T13:47:41"/>
    <s v="STOCK"/>
    <s v="SELL"/>
    <n v="-100"/>
    <s v="TO CLOSE"/>
    <x v="2"/>
    <m/>
    <m/>
    <s v="STOCK"/>
    <n v="42.690399999999997"/>
    <n v="42.690399999999997"/>
    <s v="LMT"/>
    <n v="200"/>
    <n v="8346.9599999999991"/>
    <n v="41.734799999999993"/>
    <s v=""/>
  </r>
  <r>
    <x v="29"/>
    <x v="2"/>
    <s v="Wednesday"/>
    <d v="1899-12-30T13:51:36"/>
    <s v="STOCK"/>
    <s v="SELL"/>
    <n v="-200"/>
    <s v="TO CLOSE"/>
    <x v="2"/>
    <m/>
    <m/>
    <s v="STOCK"/>
    <n v="42.720999999999997"/>
    <n v="42.720999999999997"/>
    <s v="MKT"/>
    <n v="0"/>
    <n v="0"/>
    <s v=""/>
    <n v="197.24000000000075"/>
  </r>
  <r>
    <x v="30"/>
    <x v="3"/>
    <s v="Thursday"/>
    <d v="1899-12-30T11:20:04"/>
    <s v="FUTURE"/>
    <s v="BUY"/>
    <n v="1"/>
    <s v="TO OPEN"/>
    <x v="0"/>
    <d v="2020-05-20T00:00:00"/>
    <m/>
    <s v="FUTURE"/>
    <n v="25.97"/>
    <n v="25.97"/>
    <s v="MKT"/>
    <n v="1"/>
    <n v="25970"/>
    <n v="25.97"/>
    <s v=""/>
  </r>
  <r>
    <x v="30"/>
    <x v="3"/>
    <s v="Thursday"/>
    <d v="1899-12-30T11:21:07"/>
    <s v="FUTURE"/>
    <s v="SELL"/>
    <n v="-1"/>
    <s v="TO CLOSE"/>
    <x v="0"/>
    <d v="2020-05-20T00:00:00"/>
    <m/>
    <s v="FUTURE"/>
    <n v="25.98"/>
    <n v="25.98"/>
    <s v="STP"/>
    <n v="0"/>
    <n v="0"/>
    <s v=""/>
    <n v="10.000000000001563"/>
  </r>
  <r>
    <x v="31"/>
    <x v="3"/>
    <s v="Thursday"/>
    <d v="1899-12-30T11:58:03"/>
    <s v="FUTURE"/>
    <s v="BUY"/>
    <n v="1"/>
    <s v="TO OPEN"/>
    <x v="0"/>
    <d v="2020-05-20T00:00:00"/>
    <m/>
    <s v="FUTURE"/>
    <n v="25.9"/>
    <n v="25.9"/>
    <s v="LMT"/>
    <n v="1"/>
    <n v="25900"/>
    <n v="25.9"/>
    <s v=""/>
  </r>
  <r>
    <x v="31"/>
    <x v="3"/>
    <s v="Thursday"/>
    <d v="1899-12-30T12:04:56"/>
    <s v="FUTURE"/>
    <s v="SELL"/>
    <n v="-1"/>
    <s v="TO CLOSE"/>
    <x v="0"/>
    <d v="2020-05-20T00:00:00"/>
    <m/>
    <s v="FUTURE"/>
    <n v="26.2"/>
    <n v="26.2"/>
    <s v="LMT"/>
    <n v="0"/>
    <n v="0"/>
    <s v=""/>
    <n v="300.00000000000068"/>
  </r>
  <r>
    <x v="32"/>
    <x v="3"/>
    <s v="Thursday"/>
    <d v="1899-12-30T14:17:34"/>
    <s v="FUTURE"/>
    <s v="BUY"/>
    <n v="1"/>
    <s v="TO OPEN"/>
    <x v="0"/>
    <d v="2020-05-20T00:00:00"/>
    <m/>
    <s v="FUTURE"/>
    <n v="23.79"/>
    <n v="23.79"/>
    <s v="LMT"/>
    <n v="1"/>
    <n v="23790"/>
    <n v="23.79"/>
    <s v=""/>
  </r>
  <r>
    <x v="32"/>
    <x v="3"/>
    <s v="Thursday"/>
    <d v="1899-12-30T14:17:59"/>
    <s v="FUTURE"/>
    <s v="SELL"/>
    <n v="-1"/>
    <s v="TO CLOSE"/>
    <x v="0"/>
    <d v="2020-05-20T00:00:00"/>
    <m/>
    <s v="FUTURE"/>
    <n v="23.8"/>
    <n v="23.8"/>
    <s v="STP"/>
    <n v="0"/>
    <n v="0"/>
    <s v=""/>
    <n v="10.000000000001563"/>
  </r>
  <r>
    <x v="33"/>
    <x v="3"/>
    <s v="Thursday"/>
    <d v="1899-12-30T14:18:23"/>
    <s v="FUTURE"/>
    <s v="BUY"/>
    <n v="1"/>
    <s v="TO OPEN"/>
    <x v="0"/>
    <d v="2020-05-20T00:00:00"/>
    <m/>
    <s v="FUTURE"/>
    <n v="23.96"/>
    <n v="23.96"/>
    <s v="MKT"/>
    <n v="1"/>
    <n v="23960"/>
    <n v="23.96"/>
    <s v=""/>
  </r>
  <r>
    <x v="33"/>
    <x v="3"/>
    <s v="Thursday"/>
    <d v="1899-12-30T14:30:03"/>
    <s v="FUTURE"/>
    <s v="BUY"/>
    <n v="1"/>
    <s v="TO OPEN"/>
    <x v="0"/>
    <d v="2020-05-20T00:00:00"/>
    <m/>
    <s v="FUTURE"/>
    <n v="22.96"/>
    <n v="22.96"/>
    <s v="STP"/>
    <n v="2"/>
    <n v="46920"/>
    <n v="23.46"/>
    <s v=""/>
  </r>
  <r>
    <x v="33"/>
    <x v="3"/>
    <s v="Thursday"/>
    <d v="1899-12-30T14:46:29"/>
    <s v="FUTURE"/>
    <s v="SELL"/>
    <n v="-1"/>
    <s v="TO CLOSE"/>
    <x v="0"/>
    <d v="2020-05-20T00:00:00"/>
    <m/>
    <s v="FUTURE"/>
    <n v="23.37"/>
    <n v="23.37"/>
    <s v="LMT"/>
    <n v="1"/>
    <n v="23550"/>
    <n v="23.55"/>
    <s v=""/>
  </r>
  <r>
    <x v="33"/>
    <x v="3"/>
    <s v="Thursday"/>
    <d v="1899-12-30T15:04:30"/>
    <s v="FUTURE"/>
    <s v="SELL"/>
    <n v="-1"/>
    <s v="TO CLOSE"/>
    <x v="0"/>
    <d v="2020-05-20T00:00:00"/>
    <m/>
    <s v="FUTURE"/>
    <n v="23.51"/>
    <n v="23.51"/>
    <s v="LMT"/>
    <n v="0"/>
    <n v="0"/>
    <s v=""/>
    <n v="-39.999999999999147"/>
  </r>
  <r>
    <x v="34"/>
    <x v="3"/>
    <s v="Thursday"/>
    <d v="1899-12-30T10:43:12"/>
    <s v="FUTURE"/>
    <s v="SELL"/>
    <n v="-3"/>
    <s v="TO OPEN"/>
    <x v="3"/>
    <d v="2020-06-20T00:00:00"/>
    <m/>
    <s v="FUTURE"/>
    <n v="2793.25"/>
    <n v="2793.25"/>
    <s v="LMT"/>
    <n v="-3"/>
    <n v="-41898.75"/>
    <n v="2793.25"/>
    <s v=""/>
  </r>
  <r>
    <x v="34"/>
    <x v="3"/>
    <s v="Thursday"/>
    <d v="1899-12-30T10:44:27"/>
    <s v="FUTURE"/>
    <s v="SELL"/>
    <n v="-2"/>
    <s v="TO OPEN"/>
    <x v="3"/>
    <d v="2020-06-20T00:00:00"/>
    <m/>
    <s v="FUTURE"/>
    <n v="2791.25"/>
    <n v="2791.25"/>
    <s v="LMT"/>
    <n v="-5"/>
    <n v="-69811.25"/>
    <n v="2792.45"/>
    <s v=""/>
  </r>
  <r>
    <x v="34"/>
    <x v="3"/>
    <s v="Thursday"/>
    <d v="1899-12-30T11:03:48"/>
    <s v="FUTURE"/>
    <s v="BUY"/>
    <n v="2"/>
    <s v="TO CLOSE"/>
    <x v="3"/>
    <d v="2020-06-20T00:00:00"/>
    <m/>
    <s v="FUTURE"/>
    <n v="2775.5"/>
    <n v="2775.5"/>
    <s v="LMT"/>
    <n v="-3"/>
    <n v="-42056.25"/>
    <n v="2803.75"/>
    <s v=""/>
  </r>
  <r>
    <x v="34"/>
    <x v="3"/>
    <s v="Thursday"/>
    <d v="1899-12-30T11:06:18"/>
    <s v="FUTURE"/>
    <s v="BUY"/>
    <n v="3"/>
    <s v="TO CLOSE"/>
    <x v="3"/>
    <d v="2020-06-20T00:00:00"/>
    <m/>
    <s v="FUTURE"/>
    <n v="2772.5"/>
    <n v="2772.5"/>
    <s v="MKT"/>
    <n v="0"/>
    <n v="0"/>
    <s v=""/>
    <n v="468.75"/>
  </r>
  <r>
    <x v="35"/>
    <x v="3"/>
    <s v="Thursday"/>
    <d v="1899-12-30T11:11:08"/>
    <s v="FUTURE"/>
    <s v="SELL"/>
    <n v="-3"/>
    <s v="TO OPEN"/>
    <x v="3"/>
    <d v="2020-06-20T00:00:00"/>
    <m/>
    <s v="FUTURE"/>
    <n v="2778"/>
    <n v="2778"/>
    <s v="MKT"/>
    <n v="-3"/>
    <n v="-41670"/>
    <n v="2778"/>
    <s v=""/>
  </r>
  <r>
    <x v="35"/>
    <x v="3"/>
    <s v="Thursday"/>
    <d v="1899-12-30T11:13:31"/>
    <s v="FUTURE"/>
    <s v="BUY"/>
    <n v="3"/>
    <s v="TO CLOSE"/>
    <x v="3"/>
    <d v="2020-06-20T00:00:00"/>
    <m/>
    <s v="FUTURE"/>
    <n v="2777.5"/>
    <n v="2777.5"/>
    <s v="LMT"/>
    <n v="0"/>
    <n v="0"/>
    <s v=""/>
    <n v="7.5"/>
  </r>
  <r>
    <x v="36"/>
    <x v="3"/>
    <s v="Thursday"/>
    <d v="1899-12-30T11:53:01"/>
    <s v="FUTURE"/>
    <s v="SELL"/>
    <n v="-1"/>
    <s v="TO OPEN"/>
    <x v="3"/>
    <d v="2020-06-20T00:00:00"/>
    <m/>
    <s v="FUTURE"/>
    <n v="2787.5"/>
    <n v="2787.5"/>
    <s v="LMT"/>
    <n v="-1"/>
    <n v="-13937.5"/>
    <n v="2787.5"/>
    <s v=""/>
  </r>
  <r>
    <x v="36"/>
    <x v="3"/>
    <s v="Thursday"/>
    <d v="1899-12-30T11:53:01"/>
    <s v="FUTURE"/>
    <s v="SELL"/>
    <n v="-1"/>
    <s v="TO OPEN"/>
    <x v="3"/>
    <d v="2020-06-20T00:00:00"/>
    <m/>
    <s v="FUTURE"/>
    <n v="2787.5"/>
    <n v="2787.5"/>
    <s v="LMT"/>
    <n v="-2"/>
    <n v="-27875"/>
    <n v="2787.5"/>
    <s v=""/>
  </r>
  <r>
    <x v="36"/>
    <x v="3"/>
    <s v="Thursday"/>
    <d v="1899-12-30T11:53:01"/>
    <s v="FUTURE"/>
    <s v="SELL"/>
    <n v="-1"/>
    <s v="TO OPEN"/>
    <x v="3"/>
    <d v="2020-06-20T00:00:00"/>
    <m/>
    <s v="FUTURE"/>
    <n v="2787.5"/>
    <n v="2787.5"/>
    <s v="LMT"/>
    <n v="-3"/>
    <n v="-41812.5"/>
    <n v="2787.5"/>
    <s v=""/>
  </r>
  <r>
    <x v="36"/>
    <x v="3"/>
    <s v="Thursday"/>
    <d v="1899-12-30T12:06:13"/>
    <s v="FUTURE"/>
    <s v="SELL"/>
    <n v="-2"/>
    <s v="TO OPEN"/>
    <x v="3"/>
    <d v="2020-06-20T00:00:00"/>
    <m/>
    <s v="FUTURE"/>
    <n v="2794.5"/>
    <n v="2794.5"/>
    <s v="LMT"/>
    <n v="-5"/>
    <n v="-69757.5"/>
    <n v="2790.3"/>
    <s v=""/>
  </r>
  <r>
    <x v="36"/>
    <x v="3"/>
    <s v="Thursday"/>
    <d v="1899-12-30T12:27:10"/>
    <s v="FUTURE"/>
    <s v="BUY"/>
    <n v="1"/>
    <s v="TO CLOSE"/>
    <x v="3"/>
    <d v="2020-06-20T00:00:00"/>
    <m/>
    <s v="FUTURE"/>
    <n v="2792.75"/>
    <n v="2792.75"/>
    <s v="LMT"/>
    <n v="-4"/>
    <n v="-55793.75"/>
    <n v="2789.6875"/>
    <s v=""/>
  </r>
  <r>
    <x v="36"/>
    <x v="3"/>
    <s v="Thursday"/>
    <d v="1899-12-30T12:27:11"/>
    <s v="FUTURE"/>
    <s v="BUY"/>
    <n v="1"/>
    <s v="TO CLOSE"/>
    <x v="3"/>
    <d v="2020-06-20T00:00:00"/>
    <m/>
    <s v="FUTURE"/>
    <n v="2792.75"/>
    <n v="2792.75"/>
    <s v="LMT"/>
    <n v="-3"/>
    <n v="-41830"/>
    <n v="2788.666666666667"/>
    <s v=""/>
  </r>
  <r>
    <x v="36"/>
    <x v="3"/>
    <s v="Thursday"/>
    <d v="1899-12-30T12:56:19"/>
    <s v="FUTURE"/>
    <s v="BUY"/>
    <n v="3"/>
    <s v="TO CLOSE"/>
    <x v="3"/>
    <d v="2020-06-20T00:00:00"/>
    <m/>
    <s v="FUTURE"/>
    <n v="2804.5"/>
    <n v="2804.5"/>
    <s v="STP"/>
    <n v="0"/>
    <n v="0"/>
    <s v=""/>
    <n v="-237.49999999999545"/>
  </r>
  <r>
    <x v="37"/>
    <x v="3"/>
    <s v="Thursday"/>
    <d v="1899-12-30T13:12:12"/>
    <s v="FUTURE"/>
    <s v="SELL"/>
    <n v="-3"/>
    <s v="TO OPEN"/>
    <x v="3"/>
    <d v="2020-06-20T00:00:00"/>
    <m/>
    <s v="FUTURE"/>
    <n v="2799"/>
    <n v="2799"/>
    <s v="LMT"/>
    <n v="-3"/>
    <n v="-41985"/>
    <n v="2799"/>
    <s v=""/>
  </r>
  <r>
    <x v="37"/>
    <x v="3"/>
    <s v="Thursday"/>
    <d v="1899-12-30T13:12:12"/>
    <s v="FUTURE"/>
    <s v="SELL"/>
    <n v="-2"/>
    <s v="TO OPEN"/>
    <x v="3"/>
    <d v="2020-06-20T00:00:00"/>
    <m/>
    <s v="FUTURE"/>
    <n v="2799"/>
    <n v="2799"/>
    <s v="LMT"/>
    <n v="-5"/>
    <n v="-69975"/>
    <n v="2799"/>
    <s v=""/>
  </r>
  <r>
    <x v="37"/>
    <x v="3"/>
    <s v="Thursday"/>
    <d v="1899-12-30T13:31:07"/>
    <s v="FUTURE"/>
    <s v="BUY"/>
    <n v="5"/>
    <s v="TO CLOSE"/>
    <x v="3"/>
    <d v="2020-06-20T00:00:00"/>
    <m/>
    <s v="FUTURE"/>
    <n v="2809"/>
    <n v="2809"/>
    <s v="STP"/>
    <n v="0"/>
    <n v="0"/>
    <s v=""/>
    <n v="-250"/>
  </r>
  <r>
    <x v="38"/>
    <x v="3"/>
    <s v="Thursday"/>
    <d v="1899-12-30T13:36:01"/>
    <s v="FUTURE"/>
    <s v="SELL"/>
    <n v="-5"/>
    <s v="TO OPEN"/>
    <x v="3"/>
    <d v="2020-06-20T00:00:00"/>
    <m/>
    <s v="FUTURE"/>
    <n v="2800.5"/>
    <n v="2800.5"/>
    <s v="MKT"/>
    <n v="-5"/>
    <n v="-70012.5"/>
    <n v="2800.5"/>
    <s v=""/>
  </r>
  <r>
    <x v="38"/>
    <x v="3"/>
    <s v="Thursday"/>
    <d v="1899-12-30T13:44:01"/>
    <s v="FUTURE"/>
    <s v="BUY"/>
    <n v="5"/>
    <s v="TO CLOSE"/>
    <x v="3"/>
    <d v="2020-06-20T00:00:00"/>
    <m/>
    <s v="FUTURE"/>
    <n v="2797.75"/>
    <n v="2797.75"/>
    <s v="MKT"/>
    <n v="0"/>
    <n v="0"/>
    <s v=""/>
    <n v="68.75"/>
  </r>
  <r>
    <x v="39"/>
    <x v="3"/>
    <s v="Thursday"/>
    <d v="1899-12-30T13:51:05"/>
    <s v="FUTURE"/>
    <s v="SELL"/>
    <n v="-3"/>
    <s v="TO OPEN"/>
    <x v="3"/>
    <d v="2020-06-20T00:00:00"/>
    <m/>
    <s v="FUTURE"/>
    <n v="2787.25"/>
    <n v="2787.25"/>
    <s v="LMT"/>
    <n v="-3"/>
    <n v="-41808.75"/>
    <n v="2787.25"/>
    <s v=""/>
  </r>
  <r>
    <x v="39"/>
    <x v="3"/>
    <s v="Thursday"/>
    <d v="1899-12-30T13:52:42"/>
    <s v="FUTURE"/>
    <s v="SELL"/>
    <n v="-1"/>
    <s v="TO OPEN"/>
    <x v="3"/>
    <d v="2020-06-20T00:00:00"/>
    <m/>
    <s v="FUTURE"/>
    <n v="2793.25"/>
    <n v="2793.25"/>
    <s v="LMT"/>
    <n v="-4"/>
    <n v="-55775"/>
    <n v="2788.75"/>
    <s v=""/>
  </r>
  <r>
    <x v="39"/>
    <x v="3"/>
    <s v="Thursday"/>
    <d v="1899-12-30T14:04:56"/>
    <s v="FUTURE"/>
    <s v="SELL"/>
    <n v="-1"/>
    <s v="TO OPEN"/>
    <x v="3"/>
    <d v="2020-06-20T00:00:00"/>
    <m/>
    <s v="FUTURE"/>
    <n v="2785"/>
    <n v="2785"/>
    <s v="STP"/>
    <n v="-5"/>
    <n v="-69700"/>
    <n v="2788"/>
    <s v=""/>
  </r>
  <r>
    <x v="39"/>
    <x v="3"/>
    <s v="Thursday"/>
    <d v="1899-12-30T14:05:45"/>
    <s v="FUTURE"/>
    <s v="BUY"/>
    <n v="2"/>
    <s v="TO CLOSE"/>
    <x v="3"/>
    <d v="2020-06-20T00:00:00"/>
    <m/>
    <s v="FUTURE"/>
    <n v="2782.25"/>
    <n v="2782.25"/>
    <s v="LMT"/>
    <n v="-3"/>
    <n v="-41877.5"/>
    <n v="2791.833333333333"/>
    <s v=""/>
  </r>
  <r>
    <x v="39"/>
    <x v="3"/>
    <s v="Thursday"/>
    <d v="1899-12-30T14:08:00"/>
    <s v="FUTURE"/>
    <s v="BUY"/>
    <n v="3"/>
    <s v="TO CLOSE"/>
    <x v="3"/>
    <d v="2020-06-20T00:00:00"/>
    <m/>
    <s v="FUTURE"/>
    <n v="2782"/>
    <n v="2782"/>
    <s v="LMT"/>
    <n v="0"/>
    <n v="0"/>
    <s v=""/>
    <n v="147.49999999999545"/>
  </r>
  <r>
    <x v="40"/>
    <x v="3"/>
    <s v="Thursday"/>
    <d v="1899-12-30T10:18:08"/>
    <s v="STOCK"/>
    <s v="BUY"/>
    <n v="195"/>
    <s v="TO OPEN"/>
    <x v="2"/>
    <m/>
    <m/>
    <s v="STOCK"/>
    <n v="41.994999999999997"/>
    <n v="41.994970000000002"/>
    <s v="MKT"/>
    <n v="195"/>
    <n v="8189.0249999999996"/>
    <n v="41.994999999999997"/>
    <s v=""/>
  </r>
  <r>
    <x v="40"/>
    <x v="3"/>
    <s v="Thursday"/>
    <d v="1899-12-30T10:18:08"/>
    <s v="STOCK"/>
    <s v="BUY"/>
    <n v="5"/>
    <s v="TO OPEN"/>
    <x v="2"/>
    <m/>
    <m/>
    <s v="STOCK"/>
    <n v="41.994999999999997"/>
    <n v="41.996000000000002"/>
    <s v="MKT"/>
    <n v="200"/>
    <n v="8399"/>
    <n v="41.994999999999997"/>
    <s v=""/>
  </r>
  <r>
    <x v="40"/>
    <x v="3"/>
    <s v="Thursday"/>
    <d v="1899-12-30T10:29:15"/>
    <s v="STOCK"/>
    <s v="BUY"/>
    <n v="100"/>
    <s v="TO OPEN"/>
    <x v="2"/>
    <m/>
    <m/>
    <s v="STOCK"/>
    <n v="41.805"/>
    <n v="41.805"/>
    <s v="MKT"/>
    <n v="300"/>
    <n v="12579.5"/>
    <n v="41.931666666666665"/>
    <s v=""/>
  </r>
  <r>
    <x v="40"/>
    <x v="3"/>
    <s v="Thursday"/>
    <d v="1899-12-30T10:32:27"/>
    <s v="STOCK"/>
    <s v="BUY"/>
    <n v="100"/>
    <s v="TO OPEN"/>
    <x v="2"/>
    <m/>
    <m/>
    <s v="STOCK"/>
    <n v="41.81"/>
    <n v="41.81"/>
    <s v="LMT"/>
    <n v="400"/>
    <n v="16760.5"/>
    <n v="41.901249999999997"/>
    <s v=""/>
  </r>
  <r>
    <x v="40"/>
    <x v="3"/>
    <s v="Thursday"/>
    <d v="1899-12-30T11:05:22"/>
    <s v="STOCK"/>
    <s v="SELL"/>
    <n v="-200"/>
    <s v="TO CLOSE"/>
    <x v="2"/>
    <m/>
    <m/>
    <s v="STOCK"/>
    <n v="42.49"/>
    <n v="42.49"/>
    <s v="MKT"/>
    <n v="200"/>
    <n v="8262.5"/>
    <n v="41.3125"/>
    <s v=""/>
  </r>
  <r>
    <x v="40"/>
    <x v="3"/>
    <s v="Thursday"/>
    <d v="1899-12-30T11:06:52"/>
    <s v="STOCK"/>
    <s v="SELL"/>
    <n v="-200"/>
    <s v="TO CLOSE"/>
    <x v="2"/>
    <m/>
    <m/>
    <s v="STOCK"/>
    <n v="42.48"/>
    <n v="42.48"/>
    <s v="LMT"/>
    <n v="0"/>
    <n v="0"/>
    <s v=""/>
    <n v="233.49999999999937"/>
  </r>
  <r>
    <x v="41"/>
    <x v="3"/>
    <s v="Thursday"/>
    <d v="1899-12-30T11:53:10"/>
    <s v="STOCK"/>
    <s v="BUY"/>
    <n v="200"/>
    <s v="TO OPEN"/>
    <x v="2"/>
    <m/>
    <m/>
    <s v="STOCK"/>
    <n v="42.346899999999998"/>
    <n v="42.346899999999998"/>
    <s v="MKT"/>
    <n v="200"/>
    <n v="8469.3799999999992"/>
    <n v="42.346899999999998"/>
    <s v=""/>
  </r>
  <r>
    <x v="41"/>
    <x v="3"/>
    <s v="Thursday"/>
    <d v="1899-12-30T11:55:48"/>
    <s v="STOCK"/>
    <s v="BUY"/>
    <n v="200"/>
    <s v="TO OPEN"/>
    <x v="2"/>
    <m/>
    <m/>
    <s v="STOCK"/>
    <n v="42.25"/>
    <n v="42.25"/>
    <s v="LMT"/>
    <n v="400"/>
    <n v="16919.379999999997"/>
    <n v="42.298449999999995"/>
    <s v=""/>
  </r>
  <r>
    <x v="41"/>
    <x v="3"/>
    <s v="Thursday"/>
    <d v="1899-12-30T12:25:06"/>
    <s v="STOCK"/>
    <s v="SELL"/>
    <n v="-99"/>
    <s v="TO CLOSE"/>
    <x v="2"/>
    <m/>
    <m/>
    <s v="STOCK"/>
    <n v="42.21"/>
    <n v="42.21"/>
    <s v="LMT"/>
    <n v="301"/>
    <n v="12740.589999999997"/>
    <n v="42.327541528239188"/>
    <s v=""/>
  </r>
  <r>
    <x v="41"/>
    <x v="3"/>
    <s v="Thursday"/>
    <d v="1899-12-30T12:25:06"/>
    <s v="STOCK"/>
    <s v="SELL"/>
    <n v="-100"/>
    <s v="TO CLOSE"/>
    <x v="2"/>
    <m/>
    <m/>
    <s v="STOCK"/>
    <n v="42.21"/>
    <n v="42.21"/>
    <s v="LMT"/>
    <n v="201"/>
    <n v="8519.5899999999965"/>
    <n v="42.386019900497494"/>
    <s v=""/>
  </r>
  <r>
    <x v="41"/>
    <x v="3"/>
    <s v="Thursday"/>
    <d v="1899-12-30T12:25:06"/>
    <s v="STOCK"/>
    <s v="SELL"/>
    <n v="-1"/>
    <s v="TO CLOSE"/>
    <x v="2"/>
    <m/>
    <m/>
    <s v="STOCK"/>
    <n v="42.21"/>
    <n v="42.21"/>
    <s v="LMT"/>
    <n v="200"/>
    <n v="8477.3799999999974"/>
    <n v="42.38689999999999"/>
    <s v=""/>
  </r>
  <r>
    <x v="41"/>
    <x v="3"/>
    <s v="Thursday"/>
    <d v="1899-12-30T12:53:50"/>
    <s v="STOCK"/>
    <s v="SELL"/>
    <n v="-200"/>
    <s v="TO CLOSE"/>
    <x v="2"/>
    <m/>
    <m/>
    <s v="STOCK"/>
    <n v="42.14"/>
    <n v="42.14"/>
    <s v="STP"/>
    <n v="0"/>
    <n v="0"/>
    <s v=""/>
    <n v="-49.379999999997892"/>
  </r>
  <r>
    <x v="42"/>
    <x v="3"/>
    <s v="Thursday"/>
    <d v="1899-12-30T13:03:18"/>
    <s v="STOCK"/>
    <s v="BUY"/>
    <n v="400"/>
    <s v="TO OPEN"/>
    <x v="2"/>
    <m/>
    <m/>
    <s v="STOCK"/>
    <n v="42.119900000000001"/>
    <n v="42.119900000000001"/>
    <s v="LMT"/>
    <n v="400"/>
    <n v="16847.96"/>
    <n v="42.119900000000001"/>
    <s v=""/>
  </r>
  <r>
    <x v="42"/>
    <x v="3"/>
    <s v="Thursday"/>
    <d v="1899-12-30T13:24:45"/>
    <s v="STOCK"/>
    <s v="SELL"/>
    <n v="-400"/>
    <s v="TO CLOSE"/>
    <x v="2"/>
    <m/>
    <m/>
    <s v="STOCK"/>
    <n v="42.12"/>
    <n v="42.12"/>
    <s v="LMT"/>
    <n v="0"/>
    <n v="0"/>
    <s v=""/>
    <n v="3.9999999998485691E-2"/>
  </r>
  <r>
    <x v="43"/>
    <x v="3"/>
    <s v="Thursday"/>
    <d v="1899-12-30T13:32:10"/>
    <s v="STOCK"/>
    <s v="BUY"/>
    <n v="400"/>
    <s v="TO OPEN"/>
    <x v="2"/>
    <m/>
    <m/>
    <s v="STOCK"/>
    <n v="42.07"/>
    <n v="42.07"/>
    <s v="LMT"/>
    <n v="400"/>
    <n v="16828"/>
    <n v="42.07"/>
    <s v=""/>
  </r>
  <r>
    <x v="43"/>
    <x v="3"/>
    <s v="Thursday"/>
    <d v="1899-12-30T13:50:40"/>
    <s v="STOCK"/>
    <s v="SELL"/>
    <n v="-200"/>
    <s v="TO CLOSE"/>
    <x v="2"/>
    <m/>
    <m/>
    <s v="STOCK"/>
    <n v="42.25"/>
    <n v="42.25"/>
    <s v="LMT"/>
    <n v="200"/>
    <n v="8378"/>
    <n v="41.89"/>
    <s v=""/>
  </r>
  <r>
    <x v="43"/>
    <x v="3"/>
    <s v="Thursday"/>
    <d v="1899-12-30T14:10:48"/>
    <s v="STOCK"/>
    <s v="SELL"/>
    <n v="-200"/>
    <s v="TO CLOSE"/>
    <x v="2"/>
    <m/>
    <m/>
    <s v="STOCK"/>
    <n v="42.250100000000003"/>
    <n v="42.250100000000003"/>
    <s v="LMT"/>
    <n v="0"/>
    <n v="0"/>
    <s v=""/>
    <n v="72.02000000000055"/>
  </r>
  <r>
    <x v="44"/>
    <x v="4"/>
    <s v="Monday"/>
    <d v="1899-12-30T10:42:20"/>
    <s v="FUTURE"/>
    <s v="SELL"/>
    <n v="-2"/>
    <s v="TO OPEN"/>
    <x v="0"/>
    <d v="2020-05-20T00:00:00"/>
    <m/>
    <s v="FUTURE"/>
    <n v="23.31"/>
    <n v="23.31"/>
    <s v="LMT"/>
    <n v="-2"/>
    <n v="-46620"/>
    <n v="23.31"/>
    <s v=""/>
  </r>
  <r>
    <x v="44"/>
    <x v="4"/>
    <s v="Monday"/>
    <d v="1899-12-30T10:43:49"/>
    <s v="FUTURE"/>
    <s v="BUY"/>
    <n v="1"/>
    <s v="TO CLOSE"/>
    <x v="0"/>
    <d v="2020-05-20T00:00:00"/>
    <m/>
    <s v="FUTURE"/>
    <n v="23.15"/>
    <n v="23.15"/>
    <s v="LMT"/>
    <n v="-1"/>
    <n v="-23470"/>
    <n v="23.47"/>
    <s v=""/>
  </r>
  <r>
    <x v="44"/>
    <x v="4"/>
    <s v="Monday"/>
    <d v="1899-12-30T10:47:52"/>
    <s v="FUTURE"/>
    <s v="BUY"/>
    <n v="1"/>
    <s v="TO CLOSE"/>
    <x v="0"/>
    <d v="2020-05-20T00:00:00"/>
    <m/>
    <s v="FUTURE"/>
    <n v="23.24"/>
    <n v="23.24"/>
    <s v="MKT"/>
    <n v="0"/>
    <n v="0"/>
    <s v=""/>
    <n v="230.00000000000043"/>
  </r>
  <r>
    <x v="45"/>
    <x v="4"/>
    <s v="Monday"/>
    <d v="1899-12-30T11:04:49"/>
    <s v="FUTURE"/>
    <s v="BUY"/>
    <n v="2"/>
    <s v="TO OPEN"/>
    <x v="0"/>
    <d v="2020-05-20T00:00:00"/>
    <m/>
    <s v="FUTURE"/>
    <n v="22.99"/>
    <n v="22.99"/>
    <s v="MKT"/>
    <n v="2"/>
    <n v="45980"/>
    <n v="22.99"/>
    <s v=""/>
  </r>
  <r>
    <x v="45"/>
    <x v="4"/>
    <s v="Monday"/>
    <d v="1899-12-30T11:07:11"/>
    <s v="FUTURE"/>
    <s v="SELL"/>
    <n v="-1"/>
    <s v="TO CLOSE"/>
    <x v="0"/>
    <d v="2020-05-20T00:00:00"/>
    <m/>
    <s v="FUTURE"/>
    <n v="23.02"/>
    <n v="23.02"/>
    <s v="LMT"/>
    <n v="1"/>
    <n v="22960"/>
    <n v="22.96"/>
    <s v=""/>
  </r>
  <r>
    <x v="45"/>
    <x v="4"/>
    <s v="Monday"/>
    <d v="1899-12-30T11:07:12"/>
    <s v="FUTURE"/>
    <s v="SELL"/>
    <n v="-1"/>
    <s v="TO CLOSE"/>
    <x v="0"/>
    <d v="2020-05-20T00:00:00"/>
    <m/>
    <s v="FUTURE"/>
    <n v="23.02"/>
    <n v="23.02"/>
    <s v="LMT"/>
    <n v="0"/>
    <n v="0"/>
    <s v=""/>
    <n v="59.999999999998721"/>
  </r>
  <r>
    <x v="46"/>
    <x v="4"/>
    <s v="Monday"/>
    <d v="1899-12-30T11:53:16"/>
    <s v="FUTURE"/>
    <s v="BUY"/>
    <n v="2"/>
    <s v="TO OPEN"/>
    <x v="0"/>
    <d v="2020-05-20T00:00:00"/>
    <m/>
    <s v="FUTURE"/>
    <n v="23.08"/>
    <n v="23.08"/>
    <s v="MKT"/>
    <n v="2"/>
    <n v="46160"/>
    <n v="23.08"/>
    <s v=""/>
  </r>
  <r>
    <x v="46"/>
    <x v="4"/>
    <s v="Monday"/>
    <d v="1899-12-30T12:00:14"/>
    <s v="FUTURE"/>
    <s v="SELL"/>
    <n v="-2"/>
    <s v="TO CLOSE"/>
    <x v="0"/>
    <d v="2020-05-20T00:00:00"/>
    <m/>
    <s v="FUTURE"/>
    <n v="23"/>
    <n v="23"/>
    <s v="LMT"/>
    <n v="0"/>
    <n v="0"/>
    <s v=""/>
    <n v="-159.99999999999659"/>
  </r>
  <r>
    <x v="47"/>
    <x v="4"/>
    <s v="Monday"/>
    <d v="1899-12-30T12:03:15"/>
    <s v="FUTURE"/>
    <s v="BUY"/>
    <n v="2"/>
    <s v="TO OPEN"/>
    <x v="0"/>
    <d v="2020-05-20T00:00:00"/>
    <m/>
    <s v="FUTURE"/>
    <n v="23.14"/>
    <n v="23.14"/>
    <s v="MKT"/>
    <n v="2"/>
    <n v="46280"/>
    <n v="23.14"/>
    <s v=""/>
  </r>
  <r>
    <x v="47"/>
    <x v="4"/>
    <s v="Monday"/>
    <d v="1899-12-30T12:21:56"/>
    <s v="FUTURE"/>
    <s v="BUY"/>
    <n v="1"/>
    <s v="TO OPEN"/>
    <x v="0"/>
    <d v="2020-05-20T00:00:00"/>
    <m/>
    <s v="FUTURE"/>
    <n v="23.25"/>
    <n v="23.25"/>
    <s v="STP"/>
    <n v="3"/>
    <n v="69530"/>
    <n v="23.176666666666669"/>
    <s v=""/>
  </r>
  <r>
    <x v="47"/>
    <x v="4"/>
    <s v="Monday"/>
    <d v="1899-12-30T12:23:36"/>
    <s v="FUTURE"/>
    <s v="SELL"/>
    <n v="-2"/>
    <s v="TO CLOSE"/>
    <x v="0"/>
    <d v="2020-05-20T00:00:00"/>
    <m/>
    <s v="FUTURE"/>
    <n v="23.26"/>
    <n v="23.26"/>
    <s v="LMT"/>
    <n v="1"/>
    <n v="23010"/>
    <n v="23.01"/>
    <s v=""/>
  </r>
  <r>
    <x v="47"/>
    <x v="4"/>
    <s v="Monday"/>
    <d v="1899-12-30T12:23:54"/>
    <s v="FUTURE"/>
    <s v="SELL"/>
    <n v="-1"/>
    <s v="TO CLOSE"/>
    <x v="0"/>
    <d v="2020-05-20T00:00:00"/>
    <m/>
    <s v="FUTURE"/>
    <n v="23.34"/>
    <n v="23.34"/>
    <s v="LMT"/>
    <n v="0"/>
    <n v="0"/>
    <s v=""/>
    <n v="329.99999999999829"/>
  </r>
  <r>
    <x v="48"/>
    <x v="4"/>
    <s v="Monday"/>
    <d v="1899-12-30T12:39:49"/>
    <s v="FUTURE"/>
    <s v="SELL"/>
    <n v="-1"/>
    <s v="TO OPEN"/>
    <x v="0"/>
    <d v="2020-05-20T00:00:00"/>
    <m/>
    <s v="FUTURE"/>
    <n v="23.18"/>
    <n v="23.18"/>
    <s v="LMT"/>
    <n v="-1"/>
    <n v="-23180"/>
    <n v="23.18"/>
    <s v=""/>
  </r>
  <r>
    <x v="48"/>
    <x v="4"/>
    <s v="Monday"/>
    <d v="1899-12-30T12:58:27"/>
    <s v="FUTURE"/>
    <s v="BUY"/>
    <n v="1"/>
    <s v="TO CLOSE"/>
    <x v="0"/>
    <d v="2020-05-20T00:00:00"/>
    <m/>
    <s v="FUTURE"/>
    <n v="23.07"/>
    <n v="23.07"/>
    <s v="LMT"/>
    <n v="0"/>
    <n v="0"/>
    <s v=""/>
    <n v="109.99999999999943"/>
  </r>
  <r>
    <x v="49"/>
    <x v="4"/>
    <s v="Monday"/>
    <d v="1899-12-30T13:03:56"/>
    <s v="FUTURE"/>
    <s v="BUY"/>
    <n v="1"/>
    <s v="TO OPEN"/>
    <x v="0"/>
    <d v="2020-05-20T00:00:00"/>
    <m/>
    <s v="FUTURE"/>
    <n v="23.07"/>
    <n v="23.07"/>
    <s v="LMT"/>
    <n v="1"/>
    <n v="23070"/>
    <n v="23.07"/>
    <s v=""/>
  </r>
  <r>
    <x v="49"/>
    <x v="4"/>
    <s v="Monday"/>
    <d v="1899-12-30T13:39:28"/>
    <s v="FUTURE"/>
    <s v="SELL"/>
    <n v="-1"/>
    <s v="TO CLOSE"/>
    <x v="0"/>
    <d v="2020-05-20T00:00:00"/>
    <m/>
    <s v="FUTURE"/>
    <n v="23.1"/>
    <n v="23.1"/>
    <s v="LMT"/>
    <n v="0"/>
    <n v="0"/>
    <s v=""/>
    <n v="30.000000000001137"/>
  </r>
  <r>
    <x v="50"/>
    <x v="4"/>
    <s v="Monday"/>
    <d v="1899-12-30T10:31:03"/>
    <s v="FUTURE"/>
    <s v="BUY"/>
    <n v="4"/>
    <s v="TO OPEN"/>
    <x v="3"/>
    <d v="2020-06-20T00:00:00"/>
    <m/>
    <s v="FUTURE"/>
    <n v="2732.75"/>
    <n v="2732.75"/>
    <s v="MKT"/>
    <n v="4"/>
    <n v="54655"/>
    <n v="2732.75"/>
    <s v=""/>
  </r>
  <r>
    <x v="50"/>
    <x v="4"/>
    <s v="Monday"/>
    <d v="1899-12-30T10:37:29"/>
    <s v="FUTURE"/>
    <s v="SELL"/>
    <n v="-4"/>
    <s v="TO CLOSE"/>
    <x v="3"/>
    <d v="2020-06-20T00:00:00"/>
    <m/>
    <s v="FUTURE"/>
    <n v="2724"/>
    <n v="2724"/>
    <s v="STP"/>
    <n v="0"/>
    <n v="0"/>
    <s v=""/>
    <n v="-175"/>
  </r>
  <r>
    <x v="51"/>
    <x v="4"/>
    <s v="Monday"/>
    <d v="1899-12-30T10:48:52"/>
    <s v="FUTURE"/>
    <s v="BUY"/>
    <n v="1"/>
    <s v="TO OPEN"/>
    <x v="3"/>
    <d v="2020-06-20T00:00:00"/>
    <m/>
    <s v="FUTURE"/>
    <n v="2727"/>
    <n v="2727"/>
    <s v="LMT"/>
    <n v="1"/>
    <n v="13635"/>
    <n v="2727"/>
    <s v=""/>
  </r>
  <r>
    <x v="51"/>
    <x v="4"/>
    <s v="Monday"/>
    <d v="1899-12-30T10:48:52"/>
    <s v="FUTURE"/>
    <s v="BUY"/>
    <n v="2"/>
    <s v="TO OPEN"/>
    <x v="3"/>
    <d v="2020-06-20T00:00:00"/>
    <m/>
    <s v="FUTURE"/>
    <n v="2727"/>
    <n v="2727"/>
    <s v="LMT"/>
    <n v="3"/>
    <n v="40905"/>
    <n v="2727"/>
    <s v=""/>
  </r>
  <r>
    <x v="51"/>
    <x v="4"/>
    <s v="Monday"/>
    <d v="1899-12-30T10:48:52"/>
    <s v="FUTURE"/>
    <s v="BUY"/>
    <n v="2"/>
    <s v="TO OPEN"/>
    <x v="3"/>
    <d v="2020-06-20T00:00:00"/>
    <m/>
    <s v="FUTURE"/>
    <n v="2727"/>
    <n v="2727"/>
    <s v="LMT"/>
    <n v="5"/>
    <n v="68175"/>
    <n v="2727"/>
    <s v=""/>
  </r>
  <r>
    <x v="51"/>
    <x v="4"/>
    <s v="Monday"/>
    <d v="1899-12-30T11:06:35"/>
    <s v="FUTURE"/>
    <s v="SELL"/>
    <n v="-5"/>
    <s v="TO CLOSE"/>
    <x v="3"/>
    <d v="2020-06-20T00:00:00"/>
    <m/>
    <s v="FUTURE"/>
    <n v="2715.25"/>
    <n v="2715.25"/>
    <s v="STP"/>
    <n v="0"/>
    <n v="0"/>
    <s v=""/>
    <n v="-293.75"/>
  </r>
  <r>
    <x v="52"/>
    <x v="4"/>
    <s v="Monday"/>
    <d v="1899-12-30T11:12:37"/>
    <s v="FUTURE"/>
    <s v="BUY"/>
    <n v="5"/>
    <s v="TO OPEN"/>
    <x v="3"/>
    <d v="2020-06-20T00:00:00"/>
    <m/>
    <s v="FUTURE"/>
    <n v="2719.75"/>
    <n v="2719.75"/>
    <s v="MKT"/>
    <n v="5"/>
    <n v="67993.75"/>
    <n v="2719.75"/>
    <s v=""/>
  </r>
  <r>
    <x v="52"/>
    <x v="4"/>
    <s v="Monday"/>
    <d v="1899-12-30T11:23:28"/>
    <s v="FUTURE"/>
    <s v="BUY"/>
    <n v="2"/>
    <s v="TO OPEN"/>
    <x v="3"/>
    <d v="2020-06-20T00:00:00"/>
    <m/>
    <s v="FUTURE"/>
    <n v="2726.75"/>
    <n v="2726.75"/>
    <s v="STP"/>
    <n v="7"/>
    <n v="95261.25"/>
    <n v="2721.75"/>
    <s v=""/>
  </r>
  <r>
    <x v="52"/>
    <x v="4"/>
    <s v="Monday"/>
    <d v="1899-12-30T11:26:40"/>
    <s v="FUTURE"/>
    <s v="SELL"/>
    <n v="-2"/>
    <s v="TO CLOSE"/>
    <x v="3"/>
    <d v="2020-06-20T00:00:00"/>
    <m/>
    <s v="FUTURE"/>
    <n v="2729.75"/>
    <n v="2729.75"/>
    <s v="LMT"/>
    <n v="5"/>
    <n v="67963.75"/>
    <n v="2718.55"/>
    <s v=""/>
  </r>
  <r>
    <x v="52"/>
    <x v="4"/>
    <s v="Monday"/>
    <d v="1899-12-30T11:28:49"/>
    <s v="FUTURE"/>
    <s v="SELL"/>
    <n v="-2"/>
    <s v="TO CLOSE"/>
    <x v="3"/>
    <d v="2020-06-20T00:00:00"/>
    <m/>
    <s v="FUTURE"/>
    <n v="2731.75"/>
    <n v="2731.75"/>
    <s v="LMT"/>
    <n v="3"/>
    <n v="40646.25"/>
    <n v="2709.75"/>
    <s v=""/>
  </r>
  <r>
    <x v="52"/>
    <x v="4"/>
    <s v="Monday"/>
    <d v="1899-12-30T11:46:23"/>
    <s v="FUTURE"/>
    <s v="SELL"/>
    <n v="-1"/>
    <s v="TO CLOSE"/>
    <x v="3"/>
    <d v="2020-06-20T00:00:00"/>
    <m/>
    <s v="FUTURE"/>
    <n v="2731.25"/>
    <n v="2731.25"/>
    <s v="LMT"/>
    <n v="2"/>
    <n v="26990"/>
    <n v="2699"/>
    <s v=""/>
  </r>
  <r>
    <x v="52"/>
    <x v="4"/>
    <s v="Monday"/>
    <d v="1899-12-30T11:48:47"/>
    <s v="FUTURE"/>
    <s v="SELL"/>
    <n v="-1"/>
    <s v="TO CLOSE"/>
    <x v="3"/>
    <d v="2020-06-20T00:00:00"/>
    <m/>
    <s v="FUTURE"/>
    <n v="2733.75"/>
    <n v="2733.75"/>
    <s v="MKT"/>
    <n v="1"/>
    <n v="13321.25"/>
    <n v="2664.25"/>
    <s v=""/>
  </r>
  <r>
    <x v="52"/>
    <x v="4"/>
    <s v="Monday"/>
    <d v="1899-12-30T11:50:29"/>
    <s v="FUTURE"/>
    <s v="SELL"/>
    <n v="-1"/>
    <s v="TO CLOSE"/>
    <x v="3"/>
    <d v="2020-06-20T00:00:00"/>
    <m/>
    <s v="FUTURE"/>
    <n v="2733.75"/>
    <n v="2733.75"/>
    <s v="MKT"/>
    <n v="0"/>
    <n v="0"/>
    <s v=""/>
    <n v="347.5"/>
  </r>
  <r>
    <x v="53"/>
    <x v="4"/>
    <s v="Monday"/>
    <d v="1899-12-30T10:30:11"/>
    <s v="STOCK"/>
    <s v="SELL"/>
    <n v="-400"/>
    <s v="TO OPEN"/>
    <x v="2"/>
    <m/>
    <m/>
    <s v="STOCK"/>
    <n v="41.825000000000003"/>
    <n v="41.825000000000003"/>
    <s v="LMT"/>
    <n v="-400"/>
    <n v="-16730"/>
    <n v="41.825000000000003"/>
    <s v=""/>
  </r>
  <r>
    <x v="53"/>
    <x v="4"/>
    <s v="Monday"/>
    <d v="1899-12-30T11:02:45"/>
    <s v="STOCK"/>
    <s v="BUY"/>
    <n v="400"/>
    <s v="TO CLOSE"/>
    <x v="2"/>
    <m/>
    <m/>
    <s v="STOCK"/>
    <n v="42.13"/>
    <n v="42.13"/>
    <s v="STP"/>
    <n v="0"/>
    <n v="0"/>
    <s v=""/>
    <n v="-121.99999999999989"/>
  </r>
  <r>
    <x v="54"/>
    <x v="4"/>
    <s v="Monday"/>
    <d v="1899-12-30T11:09:57"/>
    <s v="STOCK"/>
    <s v="BUY"/>
    <n v="400"/>
    <s v="TO OPEN"/>
    <x v="2"/>
    <m/>
    <m/>
    <s v="STOCK"/>
    <n v="42.36"/>
    <n v="42.36"/>
    <s v="LMT"/>
    <n v="400"/>
    <n v="16944"/>
    <n v="42.36"/>
    <s v=""/>
  </r>
  <r>
    <x v="54"/>
    <x v="4"/>
    <s v="Monday"/>
    <d v="1899-12-30T11:12:29"/>
    <s v="STOCK"/>
    <s v="SELL"/>
    <n v="-400"/>
    <s v="TO CLOSE"/>
    <x v="2"/>
    <m/>
    <m/>
    <s v="STOCK"/>
    <n v="42.130099999999999"/>
    <n v="42.130099999999999"/>
    <s v="MKT"/>
    <n v="0"/>
    <n v="0"/>
    <s v=""/>
    <n v="-91.960000000000264"/>
  </r>
  <r>
    <x v="55"/>
    <x v="4"/>
    <s v="Monday"/>
    <d v="1899-12-30T11:13:22"/>
    <s v="STOCK"/>
    <s v="SELL"/>
    <n v="-400"/>
    <s v="TO OPEN"/>
    <x v="2"/>
    <m/>
    <m/>
    <s v="STOCK"/>
    <n v="42.215000000000003"/>
    <n v="42.215000000000003"/>
    <s v="LMT"/>
    <n v="-400"/>
    <n v="-16886"/>
    <n v="42.215000000000003"/>
    <s v=""/>
  </r>
  <r>
    <x v="55"/>
    <x v="4"/>
    <s v="Monday"/>
    <d v="1899-12-30T11:23:28"/>
    <s v="STOCK"/>
    <s v="BUY"/>
    <n v="100"/>
    <s v="TO CLOSE"/>
    <x v="2"/>
    <m/>
    <m/>
    <s v="STOCK"/>
    <n v="42.01"/>
    <n v="42.01"/>
    <s v="LMT"/>
    <n v="-300"/>
    <n v="-12685"/>
    <n v="42.283333333333331"/>
    <s v=""/>
  </r>
  <r>
    <x v="55"/>
    <x v="4"/>
    <s v="Monday"/>
    <d v="1899-12-30T11:28:54"/>
    <s v="STOCK"/>
    <s v="BUY"/>
    <n v="99"/>
    <s v="TO CLOSE"/>
    <x v="2"/>
    <m/>
    <m/>
    <s v="STOCK"/>
    <n v="41.83"/>
    <n v="41.83"/>
    <s v="LMT"/>
    <n v="-201"/>
    <n v="-8543.83"/>
    <n v="42.506616915422882"/>
    <s v=""/>
  </r>
  <r>
    <x v="55"/>
    <x v="4"/>
    <s v="Monday"/>
    <d v="1899-12-30T11:28:54"/>
    <s v="STOCK"/>
    <s v="BUY"/>
    <n v="1"/>
    <s v="TO CLOSE"/>
    <x v="2"/>
    <m/>
    <m/>
    <s v="STOCK"/>
    <n v="41.83"/>
    <n v="41.83"/>
    <s v="LMT"/>
    <n v="-200"/>
    <n v="-8502"/>
    <n v="42.51"/>
    <s v=""/>
  </r>
  <r>
    <x v="55"/>
    <x v="4"/>
    <s v="Monday"/>
    <d v="1899-12-30T11:41:06"/>
    <s v="STOCK"/>
    <s v="BUY"/>
    <n v="100"/>
    <s v="TO CLOSE"/>
    <x v="2"/>
    <m/>
    <m/>
    <s v="STOCK"/>
    <n v="41.969799999999999"/>
    <n v="41.969799999999999"/>
    <s v="MKT"/>
    <n v="-100"/>
    <n v="-4305.0200000000004"/>
    <n v="43.050200000000004"/>
    <s v=""/>
  </r>
  <r>
    <x v="55"/>
    <x v="4"/>
    <s v="Monday"/>
    <d v="1899-12-30T11:41:06"/>
    <s v="STOCK"/>
    <s v="BUY"/>
    <n v="100"/>
    <s v="TO CLOSE"/>
    <x v="2"/>
    <m/>
    <m/>
    <s v="STOCK"/>
    <n v="41.969799999999999"/>
    <n v="41.969799999999999"/>
    <s v="MKT"/>
    <n v="0"/>
    <n v="0"/>
    <s v=""/>
    <n v="108.04000000000045"/>
  </r>
  <r>
    <x v="56"/>
    <x v="4"/>
    <s v="Monday"/>
    <d v="1899-12-30T11:52:41"/>
    <s v="STOCK"/>
    <s v="BUY"/>
    <n v="200"/>
    <s v="TO OPEN"/>
    <x v="2"/>
    <m/>
    <m/>
    <s v="STOCK"/>
    <n v="41.755000000000003"/>
    <n v="41.755000000000003"/>
    <s v="MKT"/>
    <n v="200"/>
    <n v="8351"/>
    <n v="41.755000000000003"/>
    <s v=""/>
  </r>
  <r>
    <x v="56"/>
    <x v="4"/>
    <s v="Monday"/>
    <d v="1899-12-30T12:03:44"/>
    <s v="STOCK"/>
    <s v="SELL"/>
    <n v="-200"/>
    <s v="TO CLOSE"/>
    <x v="2"/>
    <m/>
    <m/>
    <s v="STOCK"/>
    <n v="41.52"/>
    <n v="41.52"/>
    <s v="STP"/>
    <n v="0"/>
    <n v="0"/>
    <s v=""/>
    <n v="-46.999999999999886"/>
  </r>
  <r>
    <x v="57"/>
    <x v="4"/>
    <s v="Monday"/>
    <d v="1899-12-30T12:25:00"/>
    <s v="STOCK"/>
    <s v="BUY"/>
    <n v="200"/>
    <s v="TO OPEN"/>
    <x v="2"/>
    <m/>
    <m/>
    <s v="STOCK"/>
    <n v="41.48"/>
    <n v="41.48"/>
    <s v="LMT"/>
    <n v="200"/>
    <n v="8296"/>
    <n v="41.48"/>
    <s v=""/>
  </r>
  <r>
    <x v="57"/>
    <x v="4"/>
    <s v="Monday"/>
    <d v="1899-12-30T12:25:00"/>
    <s v="STOCK"/>
    <s v="BUY"/>
    <n v="200"/>
    <s v="TO OPEN"/>
    <x v="2"/>
    <m/>
    <m/>
    <s v="STOCK"/>
    <n v="41.48"/>
    <n v="41.48"/>
    <s v="LMT"/>
    <n v="400"/>
    <n v="16592"/>
    <n v="41.48"/>
    <s v=""/>
  </r>
  <r>
    <x v="57"/>
    <x v="4"/>
    <s v="Monday"/>
    <d v="1899-12-30T12:36:11"/>
    <s v="STOCK"/>
    <s v="SELL"/>
    <n v="-200"/>
    <s v="TO CLOSE"/>
    <x v="2"/>
    <m/>
    <m/>
    <s v="STOCK"/>
    <n v="41.59"/>
    <n v="41.59"/>
    <s v="LMT"/>
    <n v="200"/>
    <n v="8274"/>
    <n v="41.37"/>
    <s v=""/>
  </r>
  <r>
    <x v="57"/>
    <x v="4"/>
    <s v="Monday"/>
    <d v="1899-12-30T13:04:44"/>
    <s v="STOCK"/>
    <s v="SELL"/>
    <n v="-94"/>
    <s v="TO CLOSE"/>
    <x v="2"/>
    <m/>
    <m/>
    <s v="STOCK"/>
    <n v="41.814999999999998"/>
    <n v="41.814999999999998"/>
    <s v="MKT"/>
    <n v="106"/>
    <n v="4343.3900000000003"/>
    <n v="40.975377358490569"/>
    <s v=""/>
  </r>
  <r>
    <x v="57"/>
    <x v="4"/>
    <s v="Monday"/>
    <d v="1899-12-30T13:04:44"/>
    <s v="STOCK"/>
    <s v="SELL"/>
    <n v="-100"/>
    <s v="TO CLOSE"/>
    <x v="2"/>
    <m/>
    <m/>
    <s v="STOCK"/>
    <n v="41.814999999999998"/>
    <n v="41.814999999999998"/>
    <s v="MKT"/>
    <n v="6"/>
    <n v="161.89000000000033"/>
    <n v="26.981666666666722"/>
    <s v=""/>
  </r>
  <r>
    <x v="57"/>
    <x v="4"/>
    <s v="Monday"/>
    <d v="1899-12-30T13:04:44"/>
    <s v="STOCK"/>
    <s v="SELL"/>
    <n v="-6"/>
    <s v="TO CLOSE"/>
    <x v="2"/>
    <m/>
    <m/>
    <s v="STOCK"/>
    <n v="41.814999999999998"/>
    <n v="41.814999999999998"/>
    <s v="MKT"/>
    <n v="0"/>
    <n v="0"/>
    <s v=""/>
    <n v="88.999999999999659"/>
  </r>
  <r>
    <x v="58"/>
    <x v="5"/>
    <s v="Tuesday"/>
    <d v="1899-12-30T10:16:07"/>
    <s v="FUTURE"/>
    <s v="SELL"/>
    <n v="-1"/>
    <s v="TO OPEN"/>
    <x v="0"/>
    <d v="2020-05-20T00:00:00"/>
    <m/>
    <s v="FUTURE"/>
    <n v="21.82"/>
    <n v="21.82"/>
    <s v="LMT"/>
    <n v="-1"/>
    <n v="-21820"/>
    <n v="21.82"/>
    <s v=""/>
  </r>
  <r>
    <x v="58"/>
    <x v="5"/>
    <s v="Tuesday"/>
    <d v="1899-12-30T10:16:08"/>
    <s v="FUTURE"/>
    <s v="SELL"/>
    <n v="-1"/>
    <s v="TO OPEN"/>
    <x v="0"/>
    <d v="2020-05-20T00:00:00"/>
    <m/>
    <s v="FUTURE"/>
    <n v="21.82"/>
    <n v="21.82"/>
    <s v="LMT"/>
    <n v="-2"/>
    <n v="-43640"/>
    <n v="21.82"/>
    <s v=""/>
  </r>
  <r>
    <x v="58"/>
    <x v="5"/>
    <s v="Tuesday"/>
    <d v="1899-12-30T10:28:26"/>
    <s v="FUTURE"/>
    <s v="BUY"/>
    <n v="1"/>
    <s v="TO CLOSE"/>
    <x v="0"/>
    <d v="2020-05-20T00:00:00"/>
    <m/>
    <s v="FUTURE"/>
    <n v="21.67"/>
    <n v="21.67"/>
    <s v="LMT"/>
    <n v="-1"/>
    <n v="-21970"/>
    <n v="21.97"/>
    <s v=""/>
  </r>
  <r>
    <x v="58"/>
    <x v="5"/>
    <s v="Tuesday"/>
    <d v="1899-12-30T10:29:46"/>
    <s v="FUTURE"/>
    <s v="BUY"/>
    <n v="1"/>
    <s v="TO CLOSE"/>
    <x v="0"/>
    <d v="2020-05-20T00:00:00"/>
    <m/>
    <s v="FUTURE"/>
    <n v="21.6"/>
    <n v="21.6"/>
    <s v="LMT"/>
    <n v="0"/>
    <n v="0"/>
    <s v=""/>
    <n v="369.99999999999744"/>
  </r>
  <r>
    <x v="59"/>
    <x v="5"/>
    <s v="Tuesday"/>
    <d v="1899-12-30T12:00:50"/>
    <s v="FUTURE"/>
    <s v="BUY"/>
    <n v="1"/>
    <s v="TO OPEN"/>
    <x v="0"/>
    <d v="2020-05-20T00:00:00"/>
    <m/>
    <s v="FUTURE"/>
    <n v="21.24"/>
    <n v="21.24"/>
    <s v="LMT"/>
    <n v="1"/>
    <n v="21240"/>
    <n v="21.24"/>
    <s v=""/>
  </r>
  <r>
    <x v="59"/>
    <x v="5"/>
    <s v="Tuesday"/>
    <d v="1899-12-30T12:01:56"/>
    <s v="FUTURE"/>
    <s v="BUY"/>
    <n v="1"/>
    <s v="TO OPEN"/>
    <x v="0"/>
    <d v="2020-05-20T00:00:00"/>
    <m/>
    <s v="FUTURE"/>
    <n v="21.16"/>
    <n v="21.16"/>
    <s v="LMT"/>
    <n v="2"/>
    <n v="42400"/>
    <n v="21.2"/>
    <s v=""/>
  </r>
  <r>
    <x v="59"/>
    <x v="5"/>
    <s v="Tuesday"/>
    <d v="1899-12-30T12:14:57"/>
    <s v="FUTURE"/>
    <s v="SELL"/>
    <n v="-1"/>
    <s v="TO CLOSE"/>
    <x v="0"/>
    <d v="2020-05-20T00:00:00"/>
    <m/>
    <s v="FUTURE"/>
    <n v="21.24"/>
    <n v="21.24"/>
    <s v="LMT"/>
    <n v="1"/>
    <n v="21160"/>
    <n v="21.16"/>
    <s v=""/>
  </r>
  <r>
    <x v="59"/>
    <x v="5"/>
    <s v="Tuesday"/>
    <d v="1899-12-30T12:23:40"/>
    <s v="FUTURE"/>
    <s v="SELL"/>
    <n v="-1"/>
    <s v="TO CLOSE"/>
    <x v="0"/>
    <d v="2020-05-20T00:00:00"/>
    <m/>
    <s v="FUTURE"/>
    <n v="21.21"/>
    <n v="21.21"/>
    <s v="LMT"/>
    <n v="0"/>
    <n v="0"/>
    <s v=""/>
    <n v="50.000000000000711"/>
  </r>
  <r>
    <x v="60"/>
    <x v="5"/>
    <s v="Tuesday"/>
    <d v="1899-12-30T14:27:53"/>
    <s v="FUTURE"/>
    <s v="BUY"/>
    <n v="1"/>
    <s v="TO OPEN"/>
    <x v="0"/>
    <d v="2020-05-20T00:00:00"/>
    <m/>
    <s v="FUTURE"/>
    <n v="20.07"/>
    <n v="20.07"/>
    <s v="LMT"/>
    <n v="1"/>
    <n v="20070"/>
    <n v="20.07"/>
    <s v=""/>
  </r>
  <r>
    <x v="60"/>
    <x v="5"/>
    <s v="Tuesday"/>
    <d v="1899-12-30T14:31:53"/>
    <s v="FUTURE"/>
    <s v="SELL"/>
    <n v="-1"/>
    <s v="TO CLOSE"/>
    <x v="0"/>
    <d v="2020-05-20T00:00:00"/>
    <m/>
    <s v="FUTURE"/>
    <n v="20.25"/>
    <n v="20.25"/>
    <s v="LMT"/>
    <n v="0"/>
    <n v="0"/>
    <s v=""/>
    <n v="179.99999999999972"/>
  </r>
  <r>
    <x v="61"/>
    <x v="5"/>
    <s v="Tuesday"/>
    <d v="1899-12-30T11:22:27"/>
    <s v="FUTURE"/>
    <s v="BUY"/>
    <n v="1"/>
    <s v="TO OPEN"/>
    <x v="1"/>
    <d v="2020-06-20T00:00:00"/>
    <m/>
    <s v="FUTURE"/>
    <n v="2805.25"/>
    <n v="2805.25"/>
    <s v="MKT"/>
    <n v="1"/>
    <n v="140262.5"/>
    <n v="2805.25"/>
    <s v=""/>
  </r>
  <r>
    <x v="61"/>
    <x v="5"/>
    <s v="Tuesday"/>
    <d v="1899-12-30T11:24:27"/>
    <s v="FUTURE"/>
    <s v="SELL"/>
    <n v="-1"/>
    <s v="TO CLOSE"/>
    <x v="1"/>
    <d v="2020-06-20T00:00:00"/>
    <m/>
    <s v="FUTURE"/>
    <n v="2809.25"/>
    <n v="2809.25"/>
    <s v="LMT"/>
    <n v="0"/>
    <n v="0"/>
    <s v=""/>
    <n v="200"/>
  </r>
  <r>
    <x v="62"/>
    <x v="5"/>
    <s v="Tuesday"/>
    <d v="1899-12-30T11:28:30"/>
    <s v="FUTURE"/>
    <s v="BUY"/>
    <n v="1"/>
    <s v="TO OPEN"/>
    <x v="1"/>
    <d v="2020-06-20T00:00:00"/>
    <m/>
    <s v="FUTURE"/>
    <n v="2808.25"/>
    <n v="2808.25"/>
    <s v="LMT"/>
    <n v="1"/>
    <n v="140412.5"/>
    <n v="2808.25"/>
    <s v=""/>
  </r>
  <r>
    <x v="62"/>
    <x v="5"/>
    <s v="Tuesday"/>
    <d v="1899-12-30T11:28:59"/>
    <s v="FUTURE"/>
    <s v="SELL"/>
    <n v="-1"/>
    <s v="TO CLOSE"/>
    <x v="1"/>
    <d v="2020-06-20T00:00:00"/>
    <m/>
    <s v="FUTURE"/>
    <n v="2805.25"/>
    <n v="2805.25"/>
    <s v="STP"/>
    <n v="0"/>
    <n v="0"/>
    <s v=""/>
    <n v="-150"/>
  </r>
  <r>
    <x v="63"/>
    <x v="5"/>
    <s v="Tuesday"/>
    <d v="1899-12-30T11:31:36"/>
    <s v="FUTURE"/>
    <s v="BUY"/>
    <n v="1"/>
    <s v="TO OPEN"/>
    <x v="1"/>
    <d v="2020-06-20T00:00:00"/>
    <m/>
    <s v="FUTURE"/>
    <n v="2811.25"/>
    <n v="2811.25"/>
    <s v="MKT"/>
    <n v="1"/>
    <n v="140562.5"/>
    <n v="2811.25"/>
    <s v=""/>
  </r>
  <r>
    <x v="63"/>
    <x v="5"/>
    <s v="Tuesday"/>
    <d v="1899-12-30T11:45:21"/>
    <s v="FUTURE"/>
    <s v="SELL"/>
    <n v="-1"/>
    <s v="TO CLOSE"/>
    <x v="1"/>
    <d v="2020-06-20T00:00:00"/>
    <m/>
    <s v="FUTURE"/>
    <n v="2811.75"/>
    <n v="2811.75"/>
    <s v="STP"/>
    <n v="0"/>
    <n v="0"/>
    <s v=""/>
    <n v="25"/>
  </r>
  <r>
    <x v="64"/>
    <x v="5"/>
    <s v="Tuesday"/>
    <d v="1899-12-30T11:47:12"/>
    <s v="FUTURE"/>
    <s v="SELL"/>
    <n v="-1"/>
    <s v="TO OPEN"/>
    <x v="1"/>
    <d v="2020-06-20T00:00:00"/>
    <m/>
    <s v="FUTURE"/>
    <n v="2811.5"/>
    <n v="2811.5"/>
    <s v="LMT"/>
    <n v="-1"/>
    <n v="-140575"/>
    <n v="2811.5"/>
    <s v=""/>
  </r>
  <r>
    <x v="64"/>
    <x v="5"/>
    <s v="Tuesday"/>
    <d v="1899-12-30T11:57:08"/>
    <s v="FUTURE"/>
    <s v="BUY"/>
    <n v="1"/>
    <s v="TO CLOSE"/>
    <x v="1"/>
    <d v="2020-06-20T00:00:00"/>
    <m/>
    <s v="FUTURE"/>
    <n v="2807.25"/>
    <n v="2807.25"/>
    <s v="LMT"/>
    <n v="0"/>
    <n v="0"/>
    <s v=""/>
    <n v="212.5"/>
  </r>
  <r>
    <x v="65"/>
    <x v="5"/>
    <s v="Tuesday"/>
    <d v="1899-12-30T12:14:06"/>
    <s v="FUTURE"/>
    <s v="SELL"/>
    <n v="-1"/>
    <s v="TO OPEN"/>
    <x v="1"/>
    <d v="2020-06-20T00:00:00"/>
    <m/>
    <s v="FUTURE"/>
    <n v="2821.5"/>
    <n v="2821.5"/>
    <s v="LMT"/>
    <n v="-1"/>
    <n v="-141075"/>
    <n v="2821.5"/>
    <s v=""/>
  </r>
  <r>
    <x v="65"/>
    <x v="5"/>
    <s v="Tuesday"/>
    <d v="1899-12-30T13:52:36"/>
    <s v="FUTURE"/>
    <s v="BUY"/>
    <n v="1"/>
    <s v="TO CLOSE"/>
    <x v="1"/>
    <d v="2020-06-20T00:00:00"/>
    <m/>
    <s v="FUTURE"/>
    <n v="2836.75"/>
    <n v="2836.75"/>
    <s v="STP"/>
    <n v="0"/>
    <n v="0"/>
    <s v=""/>
    <n v="-762.5"/>
  </r>
  <r>
    <x v="66"/>
    <x v="5"/>
    <s v="Tuesday"/>
    <d v="1899-12-30T13:58:09"/>
    <s v="FUTURE"/>
    <s v="SELL"/>
    <n v="-1"/>
    <s v="TO OPEN"/>
    <x v="1"/>
    <d v="2020-06-20T00:00:00"/>
    <m/>
    <s v="FUTURE"/>
    <n v="2835.75"/>
    <n v="2835.75"/>
    <s v="LMT"/>
    <n v="-1"/>
    <n v="-141787.5"/>
    <n v="2835.75"/>
    <s v=""/>
  </r>
  <r>
    <x v="66"/>
    <x v="5"/>
    <s v="Tuesday"/>
    <d v="1899-12-30T14:10:23"/>
    <s v="FUTURE"/>
    <s v="BUY"/>
    <n v="1"/>
    <s v="TO CLOSE"/>
    <x v="1"/>
    <d v="2020-06-20T00:00:00"/>
    <m/>
    <s v="FUTURE"/>
    <n v="2834.75"/>
    <n v="2834.75"/>
    <s v="STP"/>
    <n v="0"/>
    <n v="0"/>
    <s v=""/>
    <n v="50"/>
  </r>
  <r>
    <x v="67"/>
    <x v="5"/>
    <s v="Tuesday"/>
    <d v="1899-12-30T14:14:21"/>
    <s v="FUTURE"/>
    <s v="SELL"/>
    <n v="-1"/>
    <s v="TO OPEN"/>
    <x v="1"/>
    <d v="2020-06-20T00:00:00"/>
    <m/>
    <s v="FUTURE"/>
    <n v="2834.75"/>
    <n v="2834.75"/>
    <s v="LMT"/>
    <n v="-1"/>
    <n v="-141737.5"/>
    <n v="2834.75"/>
    <s v=""/>
  </r>
  <r>
    <x v="67"/>
    <x v="5"/>
    <s v="Tuesday"/>
    <d v="1899-12-30T14:20:41"/>
    <s v="FUTURE"/>
    <s v="BUY"/>
    <n v="1"/>
    <s v="TO CLOSE"/>
    <x v="1"/>
    <d v="2020-06-20T00:00:00"/>
    <m/>
    <s v="FUTURE"/>
    <n v="2839.75"/>
    <n v="2839.75"/>
    <s v="STP"/>
    <n v="0"/>
    <n v="0"/>
    <s v=""/>
    <n v="-250"/>
  </r>
  <r>
    <x v="68"/>
    <x v="5"/>
    <s v="Tuesday"/>
    <d v="1899-12-30T14:35:11"/>
    <s v="FUTURE"/>
    <s v="SELL"/>
    <n v="-1"/>
    <s v="TO OPEN"/>
    <x v="1"/>
    <d v="2020-06-20T00:00:00"/>
    <m/>
    <s v="FUTURE"/>
    <n v="2836"/>
    <n v="2836"/>
    <s v="LMT"/>
    <n v="-1"/>
    <n v="-141800"/>
    <n v="2836"/>
    <s v=""/>
  </r>
  <r>
    <x v="68"/>
    <x v="5"/>
    <s v="Tuesday"/>
    <d v="1899-12-30T14:50:38"/>
    <s v="FUTURE"/>
    <s v="BUY"/>
    <n v="1"/>
    <s v="TO CLOSE"/>
    <x v="1"/>
    <d v="2020-06-20T00:00:00"/>
    <m/>
    <s v="FUTURE"/>
    <n v="2835.75"/>
    <n v="2835.75"/>
    <s v="STP"/>
    <n v="0"/>
    <n v="0"/>
    <s v=""/>
    <n v="12.5"/>
  </r>
  <r>
    <x v="69"/>
    <x v="5"/>
    <s v="Tuesday"/>
    <d v="1899-12-30T14:56:06"/>
    <s v="FUTURE"/>
    <s v="SELL"/>
    <n v="-1"/>
    <s v="TO OPEN"/>
    <x v="1"/>
    <d v="2020-06-20T00:00:00"/>
    <m/>
    <s v="FUTURE"/>
    <n v="2836.75"/>
    <n v="2836.75"/>
    <s v="LMT"/>
    <n v="-1"/>
    <n v="-141837.5"/>
    <n v="2836.75"/>
    <s v=""/>
  </r>
  <r>
    <x v="69"/>
    <x v="5"/>
    <s v="Tuesday"/>
    <d v="1899-12-30T15:11:06"/>
    <s v="FUTURE"/>
    <s v="BUY"/>
    <n v="1"/>
    <s v="TO CLOSE"/>
    <x v="1"/>
    <d v="2020-06-20T00:00:00"/>
    <m/>
    <s v="FUTURE"/>
    <n v="2827.25"/>
    <n v="2827.25"/>
    <s v="LMT"/>
    <n v="0"/>
    <n v="0"/>
    <s v=""/>
    <n v="475"/>
  </r>
  <r>
    <x v="70"/>
    <x v="5"/>
    <s v="Tuesday"/>
    <d v="1899-12-30T10:04:50"/>
    <s v="FUTURE"/>
    <s v="SELL"/>
    <n v="-5"/>
    <s v="TO OPEN"/>
    <x v="3"/>
    <d v="2020-06-20T00:00:00"/>
    <m/>
    <s v="FUTURE"/>
    <n v="2824.25"/>
    <n v="2824.25"/>
    <s v="MKT"/>
    <n v="-5"/>
    <n v="-70606.25"/>
    <n v="2824.25"/>
    <s v=""/>
  </r>
  <r>
    <x v="70"/>
    <x v="5"/>
    <s v="Tuesday"/>
    <d v="1899-12-30T10:15:22"/>
    <s v="FUTURE"/>
    <s v="SELL"/>
    <n v="-1"/>
    <s v="TO OPEN"/>
    <x v="3"/>
    <d v="2020-06-20T00:00:00"/>
    <m/>
    <s v="FUTURE"/>
    <n v="2826.75"/>
    <n v="2826.75"/>
    <s v="LMT"/>
    <n v="-6"/>
    <n v="-84740"/>
    <n v="2824.666666666667"/>
    <s v=""/>
  </r>
  <r>
    <x v="70"/>
    <x v="5"/>
    <s v="Tuesday"/>
    <d v="1899-12-30T10:16:42"/>
    <s v="FUTURE"/>
    <s v="SELL"/>
    <n v="-1"/>
    <s v="TO OPEN"/>
    <x v="3"/>
    <d v="2020-06-20T00:00:00"/>
    <m/>
    <s v="FUTURE"/>
    <n v="2830.25"/>
    <n v="2830.25"/>
    <s v="LMT"/>
    <n v="-7"/>
    <n v="-98891.25"/>
    <n v="2825.4642857142858"/>
    <s v=""/>
  </r>
  <r>
    <x v="70"/>
    <x v="5"/>
    <s v="Tuesday"/>
    <d v="1899-12-30T10:41:03"/>
    <s v="FUTURE"/>
    <s v="BUY"/>
    <n v="14"/>
    <s v="TO CLOSE"/>
    <x v="3"/>
    <d v="2020-06-20T00:00:00"/>
    <m/>
    <s v="FUTURE"/>
    <n v="2821"/>
    <n v="2821"/>
    <s v="MKT"/>
    <n v="7"/>
    <n v="98578.75"/>
    <n v="2816.5357142857142"/>
    <s v=""/>
  </r>
  <r>
    <x v="70"/>
    <x v="5"/>
    <s v="Tuesday"/>
    <d v="1899-12-30T10:41:38"/>
    <s v="FUTURE"/>
    <s v="SELL"/>
    <n v="-7"/>
    <s v="TO CLOSE"/>
    <x v="3"/>
    <d v="2020-06-20T00:00:00"/>
    <m/>
    <s v="FUTURE"/>
    <n v="2819"/>
    <n v="2819"/>
    <s v="MKT"/>
    <n v="0"/>
    <n v="0"/>
    <s v=""/>
    <n v="86.250000000002274"/>
  </r>
  <r>
    <x v="71"/>
    <x v="5"/>
    <s v="Tuesday"/>
    <d v="1899-12-30T10:57:44"/>
    <s v="FUTURE"/>
    <s v="BUY"/>
    <n v="5"/>
    <s v="TO OPEN"/>
    <x v="3"/>
    <d v="2020-06-20T00:00:00"/>
    <m/>
    <s v="FUTURE"/>
    <n v="2818.25"/>
    <n v="2818.25"/>
    <s v="MKT"/>
    <n v="5"/>
    <n v="70456.25"/>
    <n v="2818.25"/>
    <s v=""/>
  </r>
  <r>
    <x v="71"/>
    <x v="5"/>
    <s v="Tuesday"/>
    <d v="1899-12-30T11:01:16"/>
    <s v="FUTURE"/>
    <s v="BUY"/>
    <n v="1"/>
    <s v="TO OPEN"/>
    <x v="3"/>
    <d v="2020-06-20T00:00:00"/>
    <m/>
    <s v="FUTURE"/>
    <n v="2815.75"/>
    <n v="2815.75"/>
    <s v="LMT"/>
    <n v="6"/>
    <n v="84535"/>
    <n v="2817.833333333333"/>
    <s v=""/>
  </r>
  <r>
    <x v="71"/>
    <x v="5"/>
    <s v="Tuesday"/>
    <d v="1899-12-30T11:20:01"/>
    <s v="FUTURE"/>
    <s v="SELL"/>
    <n v="-6"/>
    <s v="TO CLOSE"/>
    <x v="3"/>
    <d v="2020-06-20T00:00:00"/>
    <m/>
    <s v="FUTURE"/>
    <n v="2798.5"/>
    <n v="2798.5"/>
    <s v="STP"/>
    <n v="0"/>
    <n v="0"/>
    <s v=""/>
    <n v="-579.99999999999091"/>
  </r>
  <r>
    <x v="72"/>
    <x v="5"/>
    <s v="Tuesday"/>
    <d v="1899-12-30T15:13:39"/>
    <s v="FUTURE"/>
    <s v="SELL"/>
    <n v="-1"/>
    <s v="TO OPEN"/>
    <x v="3"/>
    <d v="2020-06-20T00:00:00"/>
    <m/>
    <s v="FUTURE"/>
    <n v="2828.25"/>
    <n v="2828.25"/>
    <s v="LMT"/>
    <n v="-1"/>
    <n v="-14141.25"/>
    <n v="2828.25"/>
    <s v=""/>
  </r>
  <r>
    <x v="72"/>
    <x v="5"/>
    <s v="Tuesday"/>
    <d v="1899-12-30T15:13:39"/>
    <s v="FUTURE"/>
    <s v="SELL"/>
    <n v="-4"/>
    <s v="TO OPEN"/>
    <x v="3"/>
    <d v="2020-06-20T00:00:00"/>
    <m/>
    <s v="FUTURE"/>
    <n v="2828.25"/>
    <n v="2828.25"/>
    <s v="LMT"/>
    <n v="-5"/>
    <n v="-70706.25"/>
    <n v="2828.25"/>
    <s v=""/>
  </r>
  <r>
    <x v="72"/>
    <x v="5"/>
    <s v="Tuesday"/>
    <d v="1899-12-30T15:13:39"/>
    <s v="FUTURE"/>
    <s v="SELL"/>
    <n v="-1"/>
    <s v="TO OPEN"/>
    <x v="3"/>
    <d v="2020-06-20T00:00:00"/>
    <m/>
    <s v="FUTURE"/>
    <n v="2828.25"/>
    <n v="2828.25"/>
    <s v="LMT"/>
    <n v="-6"/>
    <n v="-84847.5"/>
    <n v="2828.25"/>
    <s v=""/>
  </r>
  <r>
    <x v="72"/>
    <x v="5"/>
    <s v="Tuesday"/>
    <d v="1899-12-30T15:17:27"/>
    <s v="FUTURE"/>
    <s v="BUY"/>
    <n v="6"/>
    <s v="TO CLOSE"/>
    <x v="3"/>
    <d v="2020-06-20T00:00:00"/>
    <m/>
    <s v="FUTURE"/>
    <n v="2827.75"/>
    <n v="2827.75"/>
    <s v="STP"/>
    <n v="0"/>
    <n v="0"/>
    <s v=""/>
    <n v="15"/>
  </r>
  <r>
    <x v="73"/>
    <x v="5"/>
    <s v="Tuesday"/>
    <d v="1899-12-30T15:19:08"/>
    <s v="FUTURE"/>
    <s v="SELL"/>
    <n v="-2"/>
    <s v="TO OPEN"/>
    <x v="3"/>
    <d v="2020-06-20T00:00:00"/>
    <m/>
    <s v="FUTURE"/>
    <n v="2829.75"/>
    <n v="2829.75"/>
    <s v="LMT"/>
    <n v="-2"/>
    <n v="-28297.5"/>
    <n v="2829.75"/>
    <s v=""/>
  </r>
  <r>
    <x v="73"/>
    <x v="5"/>
    <s v="Tuesday"/>
    <d v="1899-12-30T15:19:08"/>
    <s v="FUTURE"/>
    <s v="SELL"/>
    <n v="-4"/>
    <s v="TO OPEN"/>
    <x v="3"/>
    <d v="2020-06-20T00:00:00"/>
    <m/>
    <s v="FUTURE"/>
    <n v="2829.75"/>
    <n v="2829.75"/>
    <s v="LMT"/>
    <n v="-6"/>
    <n v="-84892.5"/>
    <n v="2829.75"/>
    <s v=""/>
  </r>
  <r>
    <x v="73"/>
    <x v="5"/>
    <s v="Tuesday"/>
    <d v="1899-12-30T15:19:51"/>
    <s v="FUTURE"/>
    <s v="BUY"/>
    <n v="6"/>
    <s v="TO CLOSE"/>
    <x v="3"/>
    <d v="2020-06-20T00:00:00"/>
    <m/>
    <s v="FUTURE"/>
    <n v="2829.25"/>
    <n v="2829.25"/>
    <s v="STP"/>
    <n v="0"/>
    <n v="0"/>
    <s v=""/>
    <n v="15"/>
  </r>
  <r>
    <x v="74"/>
    <x v="5"/>
    <s v="Tuesday"/>
    <d v="1899-12-30T15:51:59"/>
    <s v="FUTURE"/>
    <s v="SELL"/>
    <n v="-6"/>
    <s v="TO OPEN"/>
    <x v="3"/>
    <d v="2020-06-20T00:00:00"/>
    <m/>
    <s v="FUTURE"/>
    <n v="2836.5"/>
    <n v="2836.5"/>
    <s v="LMT"/>
    <n v="-6"/>
    <n v="-85095"/>
    <n v="2836.5"/>
    <s v=""/>
  </r>
  <r>
    <x v="74"/>
    <x v="5"/>
    <s v="Tuesday"/>
    <d v="1899-12-30T15:59:03"/>
    <s v="FUTURE"/>
    <s v="BUY"/>
    <n v="6"/>
    <s v="TO CLOSE"/>
    <x v="3"/>
    <d v="2020-06-20T00:00:00"/>
    <m/>
    <s v="FUTURE"/>
    <n v="2835.5"/>
    <n v="2835.5"/>
    <s v="STP"/>
    <n v="0"/>
    <n v="0"/>
    <s v=""/>
    <n v="30"/>
  </r>
  <r>
    <x v="75"/>
    <x v="5"/>
    <s v="Tuesday"/>
    <d v="1899-12-30T10:05:02"/>
    <s v="STOCK"/>
    <s v="BUY"/>
    <n v="200"/>
    <s v="TO OPEN"/>
    <x v="2"/>
    <m/>
    <m/>
    <s v="STOCK"/>
    <n v="37.44"/>
    <n v="37.44"/>
    <s v="LMT"/>
    <n v="200"/>
    <n v="7488"/>
    <n v="37.44"/>
    <s v=""/>
  </r>
  <r>
    <x v="75"/>
    <x v="5"/>
    <s v="Tuesday"/>
    <d v="1899-12-30T10:09:08"/>
    <s v="STOCK"/>
    <s v="BUY"/>
    <n v="200"/>
    <s v="TO OPEN"/>
    <x v="2"/>
    <m/>
    <m/>
    <s v="STOCK"/>
    <n v="37.340000000000003"/>
    <n v="37.340000000000003"/>
    <s v="LMT"/>
    <n v="400"/>
    <n v="14956"/>
    <n v="37.39"/>
    <s v=""/>
  </r>
  <r>
    <x v="75"/>
    <x v="5"/>
    <s v="Tuesday"/>
    <d v="1899-12-30T10:13:56"/>
    <s v="STOCK"/>
    <s v="BUY"/>
    <n v="100"/>
    <s v="TO OPEN"/>
    <x v="2"/>
    <m/>
    <m/>
    <s v="STOCK"/>
    <n v="37.22"/>
    <n v="37.22"/>
    <s v="LMT"/>
    <n v="500"/>
    <n v="18678"/>
    <n v="37.356000000000002"/>
    <s v=""/>
  </r>
  <r>
    <x v="75"/>
    <x v="5"/>
    <s v="Tuesday"/>
    <d v="1899-12-30T10:41:42"/>
    <s v="STOCK"/>
    <s v="SELL"/>
    <n v="-100"/>
    <s v="TO CLOSE"/>
    <x v="2"/>
    <m/>
    <m/>
    <s v="STOCK"/>
    <n v="37.700000000000003"/>
    <n v="37.700000000000003"/>
    <s v="LMT"/>
    <n v="400"/>
    <n v="14908"/>
    <n v="37.270000000000003"/>
    <s v=""/>
  </r>
  <r>
    <x v="75"/>
    <x v="5"/>
    <s v="Tuesday"/>
    <d v="1899-12-30T10:41:42"/>
    <s v="STOCK"/>
    <s v="SELL"/>
    <n v="-100"/>
    <s v="TO CLOSE"/>
    <x v="2"/>
    <m/>
    <m/>
    <s v="STOCK"/>
    <n v="37.700000000000003"/>
    <n v="37.700000000000003"/>
    <s v="LMT"/>
    <n v="300"/>
    <n v="11138"/>
    <n v="37.126666666666665"/>
    <s v=""/>
  </r>
  <r>
    <x v="75"/>
    <x v="5"/>
    <s v="Tuesday"/>
    <d v="1899-12-30T10:47:46"/>
    <s v="STOCK"/>
    <s v="SELL"/>
    <n v="-100"/>
    <s v="TO CLOSE"/>
    <x v="2"/>
    <m/>
    <m/>
    <s v="STOCK"/>
    <n v="37.700000000000003"/>
    <n v="37.700000000000003"/>
    <s v="LMT"/>
    <n v="200"/>
    <n v="7368"/>
    <n v="36.840000000000003"/>
    <s v=""/>
  </r>
  <r>
    <x v="75"/>
    <x v="5"/>
    <s v="Tuesday"/>
    <d v="1899-12-30T10:48:25"/>
    <s v="STOCK"/>
    <s v="SELL"/>
    <n v="-200"/>
    <s v="TO CLOSE"/>
    <x v="2"/>
    <m/>
    <m/>
    <s v="STOCK"/>
    <n v="37.715000000000003"/>
    <n v="37.715000000000003"/>
    <s v="MKT"/>
    <n v="0"/>
    <n v="0"/>
    <s v=""/>
    <n v="175"/>
  </r>
  <r>
    <x v="76"/>
    <x v="5"/>
    <s v="Tuesday"/>
    <d v="1899-12-30T11:00:36"/>
    <s v="STOCK"/>
    <s v="SELL"/>
    <n v="-300"/>
    <s v="TO OPEN"/>
    <x v="2"/>
    <m/>
    <m/>
    <s v="STOCK"/>
    <n v="37.869999999999997"/>
    <n v="37.869999999999997"/>
    <s v="LMT"/>
    <n v="-300"/>
    <n v="-11361"/>
    <n v="37.869999999999997"/>
    <s v=""/>
  </r>
  <r>
    <x v="76"/>
    <x v="5"/>
    <s v="Tuesday"/>
    <d v="1899-12-30T11:11:12"/>
    <s v="STOCK"/>
    <s v="SELL"/>
    <n v="-100"/>
    <s v="TO OPEN"/>
    <x v="2"/>
    <m/>
    <m/>
    <s v="STOCK"/>
    <n v="38.04"/>
    <n v="38.04"/>
    <s v="LMT"/>
    <n v="-400"/>
    <n v="-15165"/>
    <n v="37.912500000000001"/>
    <s v=""/>
  </r>
  <r>
    <x v="76"/>
    <x v="5"/>
    <s v="Tuesday"/>
    <d v="1899-12-30T11:45:31"/>
    <s v="STOCK"/>
    <s v="BUY"/>
    <n v="100"/>
    <s v="TO CLOSE"/>
    <x v="2"/>
    <m/>
    <m/>
    <s v="STOCK"/>
    <n v="37.895000000000003"/>
    <n v="37.895000000000003"/>
    <s v="LMT"/>
    <n v="-300"/>
    <n v="-11375.5"/>
    <n v="37.918333333333337"/>
    <s v=""/>
  </r>
  <r>
    <x v="76"/>
    <x v="5"/>
    <s v="Tuesday"/>
    <d v="1899-12-30T11:45:31"/>
    <s v="STOCK"/>
    <s v="BUY"/>
    <n v="300"/>
    <s v="TO CLOSE"/>
    <x v="2"/>
    <m/>
    <m/>
    <s v="STOCK"/>
    <n v="37.895000000000003"/>
    <n v="37.895000000000003"/>
    <s v="LMT"/>
    <n v="0"/>
    <n v="0"/>
    <s v=""/>
    <n v="7.0000000000000284"/>
  </r>
  <r>
    <x v="77"/>
    <x v="5"/>
    <s v="Tuesday"/>
    <d v="1899-12-30T12:32:19"/>
    <s v="STOCK"/>
    <s v="BUY"/>
    <n v="100"/>
    <s v="TO OPEN"/>
    <x v="2"/>
    <m/>
    <m/>
    <s v="STOCK"/>
    <n v="37.47"/>
    <n v="37.47"/>
    <s v="LMT"/>
    <n v="100"/>
    <n v="3747"/>
    <n v="37.47"/>
    <s v=""/>
  </r>
  <r>
    <x v="77"/>
    <x v="5"/>
    <s v="Tuesday"/>
    <d v="1899-12-30T12:32:19"/>
    <s v="STOCK"/>
    <s v="BUY"/>
    <n v="300"/>
    <s v="TO OPEN"/>
    <x v="2"/>
    <m/>
    <m/>
    <s v="STOCK"/>
    <n v="37.47"/>
    <n v="37.47"/>
    <s v="LMT"/>
    <n v="400"/>
    <n v="14988"/>
    <n v="37.47"/>
    <s v=""/>
  </r>
  <r>
    <x v="77"/>
    <x v="5"/>
    <s v="Tuesday"/>
    <d v="1899-12-30T14:56:51"/>
    <s v="STOCK"/>
    <s v="SELL"/>
    <n v="-375"/>
    <s v="TO CLOSE"/>
    <x v="2"/>
    <m/>
    <m/>
    <s v="STOCK"/>
    <n v="37.159999999999997"/>
    <n v="37.159999999999997"/>
    <s v="STP"/>
    <n v="25"/>
    <n v="1053.0000000000018"/>
    <n v="42.120000000000076"/>
    <s v=""/>
  </r>
  <r>
    <x v="77"/>
    <x v="5"/>
    <s v="Tuesday"/>
    <d v="1899-12-30T14:56:51"/>
    <s v="STOCK"/>
    <s v="SELL"/>
    <n v="-25"/>
    <s v="TO CLOSE"/>
    <x v="2"/>
    <m/>
    <m/>
    <s v="STOCK"/>
    <n v="37.17"/>
    <n v="37.17"/>
    <s v="STP"/>
    <n v="0"/>
    <n v="0"/>
    <s v=""/>
    <n v="-123.75000000000185"/>
  </r>
  <r>
    <x v="78"/>
    <x v="6"/>
    <s v="Wednesday"/>
    <d v="1899-12-30T09:24:33"/>
    <s v="FUTURE"/>
    <s v="BUY"/>
    <n v="2"/>
    <s v="TO OPEN"/>
    <x v="0"/>
    <d v="2020-05-20T00:00:00"/>
    <m/>
    <s v="FUTURE"/>
    <n v="19.93"/>
    <n v="19.93"/>
    <s v="MKT"/>
    <n v="2"/>
    <n v="39860"/>
    <n v="19.93"/>
    <s v=""/>
  </r>
  <r>
    <x v="78"/>
    <x v="6"/>
    <s v="Wednesday"/>
    <d v="1899-12-30T09:41:17"/>
    <s v="FUTURE"/>
    <s v="BUY"/>
    <n v="1"/>
    <s v="TO OPEN"/>
    <x v="0"/>
    <d v="2020-05-20T00:00:00"/>
    <m/>
    <s v="FUTURE"/>
    <n v="20.010000000000002"/>
    <n v="20.010000000000002"/>
    <s v="STP"/>
    <n v="3"/>
    <n v="59870"/>
    <n v="19.956666666666667"/>
    <s v=""/>
  </r>
  <r>
    <x v="78"/>
    <x v="6"/>
    <s v="Wednesday"/>
    <d v="1899-12-30T09:43:57"/>
    <s v="FUTURE"/>
    <s v="SELL"/>
    <n v="-1"/>
    <s v="TO CLOSE"/>
    <x v="0"/>
    <d v="2020-05-20T00:00:00"/>
    <m/>
    <s v="FUTURE"/>
    <n v="20.059999999999999"/>
    <n v="20.059999999999999"/>
    <s v="LMT"/>
    <n v="2"/>
    <n v="39810"/>
    <n v="19.905000000000001"/>
    <s v=""/>
  </r>
  <r>
    <x v="78"/>
    <x v="6"/>
    <s v="Wednesday"/>
    <d v="1899-12-30T09:44:54"/>
    <s v="FUTURE"/>
    <s v="SELL"/>
    <n v="-1"/>
    <s v="TO CLOSE"/>
    <x v="0"/>
    <d v="2020-05-20T00:00:00"/>
    <m/>
    <s v="FUTURE"/>
    <n v="20.100000000000001"/>
    <n v="20.100000000000001"/>
    <s v="LMT"/>
    <n v="1"/>
    <n v="19710"/>
    <n v="19.71"/>
    <s v=""/>
  </r>
  <r>
    <x v="78"/>
    <x v="6"/>
    <s v="Wednesday"/>
    <d v="1899-12-30T09:46:59"/>
    <s v="FUTURE"/>
    <s v="SELL"/>
    <n v="-1"/>
    <s v="TO CLOSE"/>
    <x v="0"/>
    <d v="2020-05-20T00:00:00"/>
    <m/>
    <s v="FUTURE"/>
    <n v="20.03"/>
    <n v="20.03"/>
    <s v="LMT"/>
    <n v="0"/>
    <n v="0"/>
    <s v=""/>
    <n v="320.00000000000028"/>
  </r>
  <r>
    <x v="79"/>
    <x v="6"/>
    <s v="Wednesday"/>
    <d v="1899-12-30T10:42:49"/>
    <s v="FUTURE"/>
    <s v="BUY"/>
    <n v="1"/>
    <s v="TO OPEN"/>
    <x v="0"/>
    <d v="2020-05-20T00:00:00"/>
    <m/>
    <s v="FUTURE"/>
    <n v="20.010000000000002"/>
    <n v="20.010000000000002"/>
    <s v="MKT"/>
    <n v="1"/>
    <n v="20010"/>
    <n v="20.010000000000002"/>
    <s v=""/>
  </r>
  <r>
    <x v="79"/>
    <x v="6"/>
    <s v="Wednesday"/>
    <d v="1899-12-30T10:46:37"/>
    <s v="FUTURE"/>
    <s v="BUY"/>
    <n v="1"/>
    <s v="TO OPEN"/>
    <x v="0"/>
    <d v="2020-05-20T00:00:00"/>
    <m/>
    <s v="FUTURE"/>
    <n v="19.809999999999999"/>
    <n v="19.809999999999999"/>
    <s v="LMT"/>
    <n v="2"/>
    <n v="39820"/>
    <n v="19.91"/>
    <s v=""/>
  </r>
  <r>
    <x v="79"/>
    <x v="6"/>
    <s v="Wednesday"/>
    <d v="1899-12-30T10:58:01"/>
    <s v="FUTURE"/>
    <s v="BUY"/>
    <n v="1"/>
    <s v="TO OPEN"/>
    <x v="0"/>
    <d v="2020-05-20T00:00:00"/>
    <m/>
    <s v="FUTURE"/>
    <n v="19.41"/>
    <n v="19.41"/>
    <s v="LMT"/>
    <n v="3"/>
    <n v="59230"/>
    <n v="19.743333333333332"/>
    <s v=""/>
  </r>
  <r>
    <x v="79"/>
    <x v="6"/>
    <s v="Wednesday"/>
    <d v="1899-12-30T11:00:00"/>
    <s v="FUTURE"/>
    <s v="SELL"/>
    <n v="-1"/>
    <s v="TO CLOSE"/>
    <x v="0"/>
    <d v="2020-05-20T00:00:00"/>
    <m/>
    <s v="FUTURE"/>
    <n v="19.510000000000002"/>
    <n v="19.510000000000002"/>
    <s v="LMT"/>
    <n v="2"/>
    <n v="39720"/>
    <n v="19.86"/>
    <s v=""/>
  </r>
  <r>
    <x v="79"/>
    <x v="6"/>
    <s v="Wednesday"/>
    <d v="1899-12-30T11:11:36"/>
    <s v="FUTURE"/>
    <s v="BUY"/>
    <n v="1"/>
    <s v="TO OPEN"/>
    <x v="0"/>
    <d v="2020-05-20T00:00:00"/>
    <m/>
    <s v="FUTURE"/>
    <n v="19.46"/>
    <n v="19.46"/>
    <s v="LMT"/>
    <n v="3"/>
    <n v="59180"/>
    <n v="19.726666666666667"/>
    <s v=""/>
  </r>
  <r>
    <x v="79"/>
    <x v="6"/>
    <s v="Wednesday"/>
    <d v="1899-12-30T11:20:36"/>
    <s v="FUTURE"/>
    <s v="SELL"/>
    <n v="-1"/>
    <s v="TO CLOSE"/>
    <x v="0"/>
    <d v="2020-05-20T00:00:00"/>
    <m/>
    <s v="FUTURE"/>
    <n v="19.62"/>
    <n v="19.62"/>
    <s v="LMT"/>
    <n v="2"/>
    <n v="39560"/>
    <n v="19.78"/>
    <s v=""/>
  </r>
  <r>
    <x v="79"/>
    <x v="6"/>
    <s v="Wednesday"/>
    <d v="1899-12-30T12:32:50"/>
    <s v="FUTURE"/>
    <s v="SELL"/>
    <n v="-1"/>
    <s v="TO CLOSE"/>
    <x v="0"/>
    <d v="2020-05-20T00:00:00"/>
    <m/>
    <s v="FUTURE"/>
    <n v="19.82"/>
    <n v="19.82"/>
    <s v="LMT"/>
    <n v="1"/>
    <n v="19740"/>
    <n v="19.739999999999998"/>
    <s v=""/>
  </r>
  <r>
    <x v="79"/>
    <x v="6"/>
    <s v="Wednesday"/>
    <d v="1899-12-30T12:34:07"/>
    <s v="FUTURE"/>
    <s v="SELL"/>
    <n v="-1"/>
    <s v="TO CLOSE"/>
    <x v="0"/>
    <d v="2020-05-20T00:00:00"/>
    <m/>
    <s v="FUTURE"/>
    <n v="19.850000000000001"/>
    <n v="19.850000000000001"/>
    <s v="LMT"/>
    <n v="0"/>
    <n v="0"/>
    <s v=""/>
    <n v="110.00000000000298"/>
  </r>
  <r>
    <x v="80"/>
    <x v="6"/>
    <s v="Wednesday"/>
    <d v="1899-12-30T14:30:05"/>
    <s v="FUTURE"/>
    <s v="BUY"/>
    <n v="1"/>
    <s v="TO OPEN"/>
    <x v="0"/>
    <d v="2020-05-20T00:00:00"/>
    <m/>
    <s v="FUTURE"/>
    <n v="19.989999999999998"/>
    <n v="19.989999999999998"/>
    <s v="LMT"/>
    <n v="1"/>
    <n v="19990"/>
    <n v="19.989999999999998"/>
    <s v=""/>
  </r>
  <r>
    <x v="80"/>
    <x v="6"/>
    <s v="Wednesday"/>
    <d v="1899-12-30T14:34:16"/>
    <s v="FUTURE"/>
    <s v="SELL"/>
    <n v="-1"/>
    <s v="TO CLOSE"/>
    <x v="0"/>
    <d v="2020-05-20T00:00:00"/>
    <m/>
    <s v="FUTURE"/>
    <n v="20.059999999999999"/>
    <n v="20.059999999999999"/>
    <s v="LMT"/>
    <n v="0"/>
    <n v="0"/>
    <s v=""/>
    <n v="70.000000000000284"/>
  </r>
  <r>
    <x v="81"/>
    <x v="6"/>
    <s v="Wednesday"/>
    <d v="1899-12-30T10:27:27"/>
    <s v="FUTURE"/>
    <s v="BUY"/>
    <n v="1"/>
    <s v="TO OPEN"/>
    <x v="1"/>
    <d v="2020-06-20T00:00:00"/>
    <m/>
    <s v="FUTURE"/>
    <n v="2756.75"/>
    <n v="2756.75"/>
    <s v="MKT"/>
    <n v="1"/>
    <n v="137837.5"/>
    <n v="2756.75"/>
    <s v=""/>
  </r>
  <r>
    <x v="81"/>
    <x v="6"/>
    <s v="Wednesday"/>
    <d v="1899-12-30T10:32:17"/>
    <s v="FUTURE"/>
    <s v="SELL"/>
    <n v="-1"/>
    <s v="TO CLOSE"/>
    <x v="1"/>
    <d v="2020-06-20T00:00:00"/>
    <m/>
    <s v="FUTURE"/>
    <n v="2762.25"/>
    <n v="2762.25"/>
    <s v="LMT"/>
    <n v="0"/>
    <n v="0"/>
    <s v=""/>
    <n v="275"/>
  </r>
  <r>
    <x v="82"/>
    <x v="6"/>
    <s v="Wednesday"/>
    <d v="1899-12-30T09:53:17"/>
    <s v="FUTURE"/>
    <s v="BUY"/>
    <n v="6"/>
    <s v="TO OPEN"/>
    <x v="3"/>
    <d v="2020-06-20T00:00:00"/>
    <m/>
    <s v="FUTURE"/>
    <n v="2763.75"/>
    <n v="2763.75"/>
    <s v="MKT"/>
    <n v="6"/>
    <n v="82912.5"/>
    <n v="2763.75"/>
    <s v=""/>
  </r>
  <r>
    <x v="82"/>
    <x v="6"/>
    <s v="Wednesday"/>
    <d v="1899-12-30T09:57:37"/>
    <s v="FUTURE"/>
    <s v="SELL"/>
    <n v="-1"/>
    <s v="TO CLOSE"/>
    <x v="3"/>
    <d v="2020-06-20T00:00:00"/>
    <m/>
    <s v="FUTURE"/>
    <n v="2767.75"/>
    <n v="2767.75"/>
    <s v="LMT"/>
    <n v="5"/>
    <n v="69073.75"/>
    <n v="2762.95"/>
    <s v=""/>
  </r>
  <r>
    <x v="82"/>
    <x v="6"/>
    <s v="Wednesday"/>
    <d v="1899-12-30T09:57:37"/>
    <s v="FUTURE"/>
    <s v="SELL"/>
    <n v="-2"/>
    <s v="TO CLOSE"/>
    <x v="3"/>
    <d v="2020-06-20T00:00:00"/>
    <m/>
    <s v="FUTURE"/>
    <n v="2767.75"/>
    <n v="2767.75"/>
    <s v="LMT"/>
    <n v="3"/>
    <n v="41396.25"/>
    <n v="2759.75"/>
    <s v=""/>
  </r>
  <r>
    <x v="82"/>
    <x v="6"/>
    <s v="Wednesday"/>
    <d v="1899-12-30T09:58:08"/>
    <s v="FUTURE"/>
    <s v="SELL"/>
    <n v="-1"/>
    <s v="TO CLOSE"/>
    <x v="3"/>
    <d v="2020-06-20T00:00:00"/>
    <m/>
    <s v="FUTURE"/>
    <n v="2770"/>
    <n v="2770"/>
    <s v="MKT"/>
    <n v="2"/>
    <n v="27546.25"/>
    <n v="2754.625"/>
    <s v=""/>
  </r>
  <r>
    <x v="82"/>
    <x v="6"/>
    <s v="Wednesday"/>
    <d v="1899-12-30T10:01:47"/>
    <s v="FUTURE"/>
    <s v="SELL"/>
    <n v="-2"/>
    <s v="TO CLOSE"/>
    <x v="3"/>
    <d v="2020-06-20T00:00:00"/>
    <m/>
    <s v="FUTURE"/>
    <n v="2768.75"/>
    <n v="2768.75"/>
    <s v="LMT"/>
    <n v="0"/>
    <n v="0"/>
    <s v=""/>
    <n v="141.25"/>
  </r>
  <r>
    <x v="83"/>
    <x v="6"/>
    <s v="Wednesday"/>
    <d v="1899-12-30T11:52:07"/>
    <s v="FUTURE"/>
    <s v="BUY"/>
    <n v="4"/>
    <s v="TO OPEN"/>
    <x v="3"/>
    <d v="2020-06-20T00:00:00"/>
    <m/>
    <s v="FUTURE"/>
    <n v="2759.75"/>
    <n v="2759.75"/>
    <s v="LMT"/>
    <n v="4"/>
    <n v="55195"/>
    <n v="2759.75"/>
    <s v=""/>
  </r>
  <r>
    <x v="83"/>
    <x v="6"/>
    <s v="Wednesday"/>
    <d v="1899-12-30T11:52:07"/>
    <s v="FUTURE"/>
    <s v="BUY"/>
    <n v="1"/>
    <s v="TO OPEN"/>
    <x v="3"/>
    <d v="2020-06-20T00:00:00"/>
    <m/>
    <s v="FUTURE"/>
    <n v="2759.75"/>
    <n v="2759.75"/>
    <s v="LMT"/>
    <n v="5"/>
    <n v="68993.75"/>
    <n v="2759.75"/>
    <s v=""/>
  </r>
  <r>
    <x v="83"/>
    <x v="6"/>
    <s v="Wednesday"/>
    <d v="1899-12-30T12:07:07"/>
    <s v="FUTURE"/>
    <s v="SELL"/>
    <n v="-5"/>
    <s v="TO CLOSE"/>
    <x v="3"/>
    <d v="2020-06-20T00:00:00"/>
    <m/>
    <s v="FUTURE"/>
    <n v="2760.25"/>
    <n v="2760.25"/>
    <s v="STP"/>
    <n v="0"/>
    <n v="0"/>
    <s v=""/>
    <n v="12.5"/>
  </r>
  <r>
    <x v="84"/>
    <x v="6"/>
    <s v="Wednesday"/>
    <d v="1899-12-30T09:26:25"/>
    <s v="STOCK"/>
    <s v="BUY"/>
    <n v="100"/>
    <s v="TO OPEN"/>
    <x v="2"/>
    <m/>
    <m/>
    <s v="STOCK"/>
    <n v="40.07"/>
    <n v="40.07"/>
    <s v="LMT"/>
    <n v="100"/>
    <n v="4007"/>
    <n v="40.07"/>
    <s v=""/>
  </r>
  <r>
    <x v="84"/>
    <x v="6"/>
    <s v="Wednesday"/>
    <d v="1899-12-30T09:26:25"/>
    <s v="STOCK"/>
    <s v="BUY"/>
    <n v="100"/>
    <s v="TO OPEN"/>
    <x v="2"/>
    <m/>
    <m/>
    <s v="STOCK"/>
    <n v="40.07"/>
    <n v="40.07"/>
    <s v="LMT"/>
    <n v="200"/>
    <n v="8014"/>
    <n v="40.07"/>
    <s v=""/>
  </r>
  <r>
    <x v="84"/>
    <x v="6"/>
    <s v="Wednesday"/>
    <d v="1899-12-30T09:32:00"/>
    <s v="STOCK"/>
    <s v="BUY"/>
    <n v="100"/>
    <s v="TO OPEN"/>
    <x v="2"/>
    <m/>
    <m/>
    <s v="STOCK"/>
    <n v="39.82"/>
    <n v="39.82"/>
    <s v="LMT"/>
    <n v="300"/>
    <n v="11996"/>
    <n v="39.986666666666665"/>
    <s v=""/>
  </r>
  <r>
    <x v="84"/>
    <x v="6"/>
    <s v="Wednesday"/>
    <d v="1899-12-30T09:33:10"/>
    <s v="STOCK"/>
    <s v="BUY"/>
    <n v="100"/>
    <s v="TO OPEN"/>
    <x v="2"/>
    <m/>
    <m/>
    <s v="STOCK"/>
    <n v="39.559899999999999"/>
    <n v="39.559899999999999"/>
    <s v="MKT"/>
    <n v="400"/>
    <n v="15951.99"/>
    <n v="39.879975000000002"/>
    <s v=""/>
  </r>
  <r>
    <x v="84"/>
    <x v="6"/>
    <s v="Wednesday"/>
    <d v="1899-12-30T09:46:09"/>
    <s v="STOCK"/>
    <s v="SELL"/>
    <n v="-200"/>
    <s v="TO CLOSE"/>
    <x v="2"/>
    <m/>
    <m/>
    <s v="STOCK"/>
    <n v="40.070099999999996"/>
    <n v="40.070099999999996"/>
    <s v="LMT"/>
    <n v="200"/>
    <n v="7937.97"/>
    <n v="39.68985"/>
    <s v=""/>
  </r>
  <r>
    <x v="84"/>
    <x v="6"/>
    <s v="Wednesday"/>
    <d v="1899-12-30T09:51:20"/>
    <s v="STOCK"/>
    <s v="SELL"/>
    <n v="-100"/>
    <s v="TO CLOSE"/>
    <x v="2"/>
    <m/>
    <m/>
    <s v="STOCK"/>
    <n v="40"/>
    <n v="40"/>
    <s v="LMT"/>
    <n v="100"/>
    <n v="3937.9700000000003"/>
    <n v="39.3797"/>
    <s v=""/>
  </r>
  <r>
    <x v="84"/>
    <x v="6"/>
    <s v="Wednesday"/>
    <d v="1899-12-30T09:51:22"/>
    <s v="STOCK"/>
    <s v="SELL"/>
    <n v="-100"/>
    <s v="TO CLOSE"/>
    <x v="2"/>
    <m/>
    <m/>
    <s v="STOCK"/>
    <n v="40"/>
    <n v="40"/>
    <s v="LMT"/>
    <n v="0"/>
    <n v="0"/>
    <s v=""/>
    <n v="62.03000000000003"/>
  </r>
  <r>
    <x v="85"/>
    <x v="6"/>
    <s v="Wednesday"/>
    <d v="1899-12-30T10:04:20"/>
    <s v="STOCK"/>
    <s v="BUY"/>
    <n v="200"/>
    <s v="TO OPEN"/>
    <x v="2"/>
    <m/>
    <m/>
    <s v="STOCK"/>
    <n v="40.49"/>
    <n v="40.49"/>
    <s v="LMT"/>
    <n v="200"/>
    <n v="8098"/>
    <n v="40.49"/>
    <s v=""/>
  </r>
  <r>
    <x v="85"/>
    <x v="6"/>
    <s v="Wednesday"/>
    <d v="1899-12-30T10:05:55"/>
    <s v="STOCK"/>
    <s v="SELL"/>
    <n v="-100"/>
    <s v="TO CLOSE"/>
    <x v="2"/>
    <m/>
    <m/>
    <s v="STOCK"/>
    <n v="40.5"/>
    <n v="40.5"/>
    <s v="STP"/>
    <n v="100"/>
    <n v="4048"/>
    <n v="40.479999999999997"/>
    <s v=""/>
  </r>
  <r>
    <x v="85"/>
    <x v="6"/>
    <s v="Wednesday"/>
    <d v="1899-12-30T10:05:55"/>
    <s v="STOCK"/>
    <s v="SELL"/>
    <n v="-100"/>
    <s v="TO CLOSE"/>
    <x v="2"/>
    <m/>
    <m/>
    <s v="STOCK"/>
    <n v="40.5"/>
    <n v="40.5"/>
    <s v="STP"/>
    <n v="0"/>
    <n v="0"/>
    <s v=""/>
    <n v="2.0000000000003126"/>
  </r>
  <r>
    <x v="86"/>
    <x v="7"/>
    <s v="Thursday"/>
    <d v="1899-12-30T09:32:40"/>
    <s v="FUTURE"/>
    <s v="BUY"/>
    <n v="1"/>
    <s v="TO OPEN"/>
    <x v="0"/>
    <d v="2020-05-20T00:00:00"/>
    <m/>
    <s v="FUTURE"/>
    <n v="20.3"/>
    <n v="20.3"/>
    <s v="MKT"/>
    <n v="1"/>
    <n v="20300"/>
    <n v="20.3"/>
    <s v=""/>
  </r>
  <r>
    <x v="86"/>
    <x v="7"/>
    <s v="Thursday"/>
    <d v="1899-12-30T09:57:19"/>
    <s v="FUTURE"/>
    <s v="SELL"/>
    <n v="-2"/>
    <s v="TO CLOSE"/>
    <x v="0"/>
    <d v="2020-05-20T00:00:00"/>
    <m/>
    <s v="FUTURE"/>
    <n v="20.100000000000001"/>
    <n v="20.100000000000001"/>
    <s v="LMT"/>
    <n v="-1"/>
    <n v="-19900"/>
    <n v="19.899999999999999"/>
    <s v=""/>
  </r>
  <r>
    <x v="86"/>
    <x v="7"/>
    <s v="Thursday"/>
    <d v="1899-12-30T10:00:40"/>
    <s v="FUTURE"/>
    <s v="SELL"/>
    <n v="-1"/>
    <s v="TO OPEN"/>
    <x v="0"/>
    <d v="2020-05-20T00:00:00"/>
    <m/>
    <s v="FUTURE"/>
    <n v="19.989999999999998"/>
    <n v="19.989999999999998"/>
    <s v="MKT"/>
    <n v="-2"/>
    <n v="-39890"/>
    <n v="19.945"/>
    <s v=""/>
  </r>
  <r>
    <x v="86"/>
    <x v="7"/>
    <s v="Thursday"/>
    <d v="1899-12-30T10:07:01"/>
    <s v="FUTURE"/>
    <s v="BUY"/>
    <n v="1"/>
    <s v="TO CLOSE"/>
    <x v="0"/>
    <d v="2020-05-20T00:00:00"/>
    <m/>
    <s v="FUTURE"/>
    <n v="20"/>
    <n v="20"/>
    <s v="LMT"/>
    <n v="-1"/>
    <n v="-19890"/>
    <n v="19.89"/>
    <s v=""/>
  </r>
  <r>
    <x v="86"/>
    <x v="7"/>
    <s v="Thursday"/>
    <d v="1899-12-30T10:08:30"/>
    <s v="FUTURE"/>
    <s v="SELL"/>
    <n v="-1"/>
    <s v="TO OPEN"/>
    <x v="0"/>
    <d v="2020-05-20T00:00:00"/>
    <m/>
    <s v="FUTURE"/>
    <n v="19.940000000000001"/>
    <n v="19.940000000000001"/>
    <s v="STP"/>
    <n v="-2"/>
    <n v="-39830"/>
    <n v="19.914999999999999"/>
    <s v=""/>
  </r>
  <r>
    <x v="86"/>
    <x v="7"/>
    <s v="Thursday"/>
    <d v="1899-12-30T10:09:59"/>
    <s v="FUTURE"/>
    <s v="SELL"/>
    <n v="-1"/>
    <s v="TO OPEN"/>
    <x v="0"/>
    <d v="2020-05-20T00:00:00"/>
    <m/>
    <s v="FUTURE"/>
    <n v="20.100000000000001"/>
    <n v="20.100000000000001"/>
    <s v="LMT"/>
    <n v="-3"/>
    <n v="-59930"/>
    <n v="19.976666666666667"/>
    <s v=""/>
  </r>
  <r>
    <x v="86"/>
    <x v="7"/>
    <s v="Thursday"/>
    <d v="1899-12-30T10:11:43"/>
    <s v="FUTURE"/>
    <s v="BUY"/>
    <n v="1"/>
    <s v="TO CLOSE"/>
    <x v="0"/>
    <d v="2020-05-20T00:00:00"/>
    <m/>
    <s v="FUTURE"/>
    <n v="20.010000000000002"/>
    <n v="20.010000000000002"/>
    <s v="LMT"/>
    <n v="-2"/>
    <n v="-39920"/>
    <n v="19.96"/>
    <s v=""/>
  </r>
  <r>
    <x v="86"/>
    <x v="7"/>
    <s v="Thursday"/>
    <d v="1899-12-30T10:15:26"/>
    <s v="FUTURE"/>
    <s v="BUY"/>
    <n v="1"/>
    <s v="TO CLOSE"/>
    <x v="0"/>
    <d v="2020-05-20T00:00:00"/>
    <m/>
    <s v="FUTURE"/>
    <n v="19.920000000000002"/>
    <n v="19.920000000000002"/>
    <s v="LMT"/>
    <n v="-1"/>
    <n v="-20000"/>
    <n v="20"/>
    <s v=""/>
  </r>
  <r>
    <x v="86"/>
    <x v="7"/>
    <s v="Thursday"/>
    <d v="1899-12-30T10:16:09"/>
    <s v="FUTURE"/>
    <s v="BUY"/>
    <n v="1"/>
    <s v="TO CLOSE"/>
    <x v="0"/>
    <d v="2020-05-20T00:00:00"/>
    <m/>
    <s v="FUTURE"/>
    <n v="19.96"/>
    <n v="19.96"/>
    <s v="STP"/>
    <n v="0"/>
    <n v="0"/>
    <s v=""/>
    <n v="39.999999999999147"/>
  </r>
  <r>
    <x v="87"/>
    <x v="7"/>
    <s v="Thursday"/>
    <d v="1899-12-30T10:26:25"/>
    <s v="FUTURE"/>
    <s v="BUY"/>
    <n v="1"/>
    <s v="TO OPEN"/>
    <x v="0"/>
    <d v="2020-05-20T00:00:00"/>
    <m/>
    <s v="FUTURE"/>
    <n v="19.940000000000001"/>
    <n v="19.940000000000001"/>
    <s v="MKT"/>
    <n v="1"/>
    <n v="19940"/>
    <n v="19.940000000000001"/>
    <s v=""/>
  </r>
  <r>
    <x v="87"/>
    <x v="7"/>
    <s v="Thursday"/>
    <d v="1899-12-30T10:36:15"/>
    <s v="FUTURE"/>
    <s v="BUY"/>
    <n v="1"/>
    <s v="TO OPEN"/>
    <x v="0"/>
    <d v="2020-05-20T00:00:00"/>
    <m/>
    <s v="FUTURE"/>
    <n v="20.04"/>
    <n v="20.04"/>
    <s v="STP"/>
    <n v="2"/>
    <n v="39980"/>
    <n v="19.989999999999998"/>
    <s v=""/>
  </r>
  <r>
    <x v="87"/>
    <x v="7"/>
    <s v="Thursday"/>
    <d v="1899-12-30T10:41:23"/>
    <s v="FUTURE"/>
    <s v="SELL"/>
    <n v="-1"/>
    <s v="TO CLOSE"/>
    <x v="0"/>
    <d v="2020-05-20T00:00:00"/>
    <m/>
    <s v="FUTURE"/>
    <n v="20.09"/>
    <n v="20.09"/>
    <s v="LMT"/>
    <n v="1"/>
    <n v="19890"/>
    <n v="19.89"/>
    <s v=""/>
  </r>
  <r>
    <x v="87"/>
    <x v="7"/>
    <s v="Thursday"/>
    <d v="1899-12-30T10:42:00"/>
    <s v="FUTURE"/>
    <s v="SELL"/>
    <n v="-1"/>
    <s v="TO CLOSE"/>
    <x v="0"/>
    <d v="2020-05-20T00:00:00"/>
    <m/>
    <s v="FUTURE"/>
    <n v="20.14"/>
    <n v="20.14"/>
    <s v="MKT"/>
    <n v="0"/>
    <n v="0"/>
    <s v=""/>
    <n v="250"/>
  </r>
  <r>
    <x v="88"/>
    <x v="7"/>
    <s v="Thursday"/>
    <d v="1899-12-30T11:25:08"/>
    <s v="FUTURE"/>
    <s v="SELL"/>
    <n v="-1"/>
    <s v="TO OPEN"/>
    <x v="0"/>
    <d v="2020-05-20T00:00:00"/>
    <m/>
    <s v="FUTURE"/>
    <n v="20.100000000000001"/>
    <n v="20.100000000000001"/>
    <s v="LMT"/>
    <n v="-1"/>
    <n v="-20100"/>
    <n v="20.100000000000001"/>
    <s v=""/>
  </r>
  <r>
    <x v="88"/>
    <x v="7"/>
    <s v="Thursday"/>
    <d v="1899-12-30T11:36:25"/>
    <s v="FUTURE"/>
    <s v="BUY"/>
    <n v="1"/>
    <s v="TO CLOSE"/>
    <x v="0"/>
    <d v="2020-05-20T00:00:00"/>
    <m/>
    <s v="FUTURE"/>
    <n v="19.920000000000002"/>
    <n v="19.920000000000002"/>
    <s v="LMT"/>
    <n v="0"/>
    <n v="0"/>
    <s v=""/>
    <n v="179.99999999999972"/>
  </r>
  <r>
    <x v="89"/>
    <x v="7"/>
    <s v="Thursday"/>
    <d v="1899-12-30T11:57:02"/>
    <s v="FUTURE"/>
    <s v="BUY"/>
    <n v="1"/>
    <s v="TO OPEN"/>
    <x v="0"/>
    <d v="2020-05-20T00:00:00"/>
    <m/>
    <s v="FUTURE"/>
    <n v="20.100000000000001"/>
    <n v="20.100000000000001"/>
    <s v="LMT"/>
    <n v="1"/>
    <n v="20100"/>
    <n v="20.100000000000001"/>
    <s v=""/>
  </r>
  <r>
    <x v="89"/>
    <x v="7"/>
    <s v="Thursday"/>
    <d v="1899-12-30T12:27:33"/>
    <s v="FUTURE"/>
    <s v="BUY"/>
    <n v="1"/>
    <s v="TO OPEN"/>
    <x v="0"/>
    <d v="2020-05-20T00:00:00"/>
    <m/>
    <s v="FUTURE"/>
    <n v="19.86"/>
    <n v="19.86"/>
    <s v="LMT"/>
    <n v="2"/>
    <n v="39960"/>
    <n v="19.98"/>
    <s v=""/>
  </r>
  <r>
    <x v="89"/>
    <x v="7"/>
    <s v="Thursday"/>
    <d v="1899-12-30T12:49:20"/>
    <s v="FUTURE"/>
    <s v="BUY"/>
    <n v="1"/>
    <s v="TO OPEN"/>
    <x v="0"/>
    <d v="2020-05-20T00:00:00"/>
    <m/>
    <s v="FUTURE"/>
    <n v="19.75"/>
    <n v="19.75"/>
    <s v="LMT"/>
    <n v="3"/>
    <n v="59710"/>
    <n v="19.903333333333332"/>
    <s v=""/>
  </r>
  <r>
    <x v="89"/>
    <x v="7"/>
    <s v="Thursday"/>
    <d v="1899-12-30T13:29:45"/>
    <s v="FUTURE"/>
    <s v="SELL"/>
    <n v="-1"/>
    <s v="TO CLOSE"/>
    <x v="0"/>
    <d v="2020-05-20T00:00:00"/>
    <m/>
    <s v="FUTURE"/>
    <n v="19.809999999999999"/>
    <n v="19.809999999999999"/>
    <s v="LMT"/>
    <n v="2"/>
    <n v="39900"/>
    <n v="19.95"/>
    <s v=""/>
  </r>
  <r>
    <x v="89"/>
    <x v="7"/>
    <s v="Thursday"/>
    <d v="1899-12-30T13:31:38"/>
    <s v="FUTURE"/>
    <s v="SELL"/>
    <n v="-1"/>
    <s v="TO CLOSE"/>
    <x v="0"/>
    <d v="2020-05-20T00:00:00"/>
    <m/>
    <s v="FUTURE"/>
    <n v="19.91"/>
    <n v="19.91"/>
    <s v="LMT"/>
    <n v="1"/>
    <n v="19990"/>
    <n v="19.989999999999998"/>
    <s v=""/>
  </r>
  <r>
    <x v="89"/>
    <x v="7"/>
    <s v="Thursday"/>
    <d v="1899-12-30T13:53:12"/>
    <s v="FUTURE"/>
    <s v="SELL"/>
    <n v="-1"/>
    <s v="TO CLOSE"/>
    <x v="0"/>
    <d v="2020-05-20T00:00:00"/>
    <m/>
    <s v="FUTURE"/>
    <n v="19.850000000000001"/>
    <n v="19.850000000000001"/>
    <s v="LMT"/>
    <n v="0"/>
    <n v="0"/>
    <s v=""/>
    <n v="-139.99999999999702"/>
  </r>
  <r>
    <x v="90"/>
    <x v="7"/>
    <s v="Thursday"/>
    <d v="1899-12-30T11:16:08"/>
    <s v="FUTURE"/>
    <s v="SELL"/>
    <n v="-2"/>
    <s v="TO OPEN"/>
    <x v="3"/>
    <d v="2020-06-20T00:00:00"/>
    <m/>
    <s v="FUTURE"/>
    <n v="2786.25"/>
    <n v="2786.25"/>
    <s v="LMT"/>
    <n v="-2"/>
    <n v="-27862.5"/>
    <n v="2786.25"/>
    <s v=""/>
  </r>
  <r>
    <x v="90"/>
    <x v="7"/>
    <s v="Thursday"/>
    <d v="1899-12-30T11:16:08"/>
    <s v="FUTURE"/>
    <s v="SELL"/>
    <n v="-1"/>
    <s v="TO OPEN"/>
    <x v="3"/>
    <d v="2020-06-20T00:00:00"/>
    <m/>
    <s v="FUTURE"/>
    <n v="2786.25"/>
    <n v="2786.25"/>
    <s v="LMT"/>
    <n v="-3"/>
    <n v="-41793.75"/>
    <n v="2786.25"/>
    <s v=""/>
  </r>
  <r>
    <x v="90"/>
    <x v="7"/>
    <s v="Thursday"/>
    <d v="1899-12-30T11:16:08"/>
    <s v="FUTURE"/>
    <s v="SELL"/>
    <n v="-2"/>
    <s v="TO OPEN"/>
    <x v="3"/>
    <d v="2020-06-20T00:00:00"/>
    <m/>
    <s v="FUTURE"/>
    <n v="2786.25"/>
    <n v="2786.25"/>
    <s v="LMT"/>
    <n v="-5"/>
    <n v="-69656.25"/>
    <n v="2786.25"/>
    <s v=""/>
  </r>
  <r>
    <x v="90"/>
    <x v="7"/>
    <s v="Thursday"/>
    <d v="1899-12-30T11:34:39"/>
    <s v="FUTURE"/>
    <s v="BUY"/>
    <n v="5"/>
    <s v="TO CLOSE"/>
    <x v="3"/>
    <d v="2020-06-20T00:00:00"/>
    <m/>
    <s v="FUTURE"/>
    <n v="2781.5"/>
    <n v="2781.5"/>
    <s v="LMT"/>
    <n v="0"/>
    <n v="0"/>
    <s v=""/>
    <n v="118.75"/>
  </r>
  <r>
    <x v="91"/>
    <x v="7"/>
    <s v="Thursday"/>
    <d v="1899-12-30T12:37:36"/>
    <s v="FUTURE"/>
    <s v="BUY"/>
    <n v="3"/>
    <s v="TO OPEN"/>
    <x v="3"/>
    <d v="2020-06-20T00:00:00"/>
    <m/>
    <s v="FUTURE"/>
    <n v="2758.5"/>
    <n v="2758.5"/>
    <s v="LMT"/>
    <n v="3"/>
    <n v="41377.5"/>
    <n v="2758.5"/>
    <s v=""/>
  </r>
  <r>
    <x v="91"/>
    <x v="7"/>
    <s v="Thursday"/>
    <d v="1899-12-30T12:40:16"/>
    <s v="FUTURE"/>
    <s v="SELL"/>
    <n v="-1"/>
    <s v="TO CLOSE"/>
    <x v="3"/>
    <d v="2020-06-20T00:00:00"/>
    <m/>
    <s v="FUTURE"/>
    <n v="2762.5"/>
    <n v="2762.5"/>
    <s v="LMT"/>
    <n v="2"/>
    <n v="27565"/>
    <n v="2756.5"/>
    <s v=""/>
  </r>
  <r>
    <x v="91"/>
    <x v="7"/>
    <s v="Thursday"/>
    <d v="1899-12-30T12:40:16"/>
    <s v="FUTURE"/>
    <s v="SELL"/>
    <n v="-2"/>
    <s v="TO CLOSE"/>
    <x v="3"/>
    <d v="2020-06-20T00:00:00"/>
    <m/>
    <s v="FUTURE"/>
    <n v="2762.5"/>
    <n v="2762.5"/>
    <s v="LMT"/>
    <n v="0"/>
    <n v="0"/>
    <s v=""/>
    <n v="60"/>
  </r>
  <r>
    <x v="92"/>
    <x v="7"/>
    <s v="Thursday"/>
    <d v="1899-12-30T09:35:02"/>
    <s v="STOCK"/>
    <s v="BUY"/>
    <n v="400"/>
    <s v="TO OPEN"/>
    <x v="2"/>
    <m/>
    <m/>
    <s v="STOCK"/>
    <n v="40.520000000000003"/>
    <n v="40.520000000000003"/>
    <s v="MKT"/>
    <n v="400"/>
    <n v="16208.000000000002"/>
    <n v="40.520000000000003"/>
    <s v=""/>
  </r>
  <r>
    <x v="92"/>
    <x v="7"/>
    <s v="Thursday"/>
    <d v="1899-12-30T09:37:02"/>
    <s v="STOCK"/>
    <s v="SELL"/>
    <n v="-200"/>
    <s v="TO CLOSE"/>
    <x v="2"/>
    <m/>
    <m/>
    <s v="STOCK"/>
    <n v="40.820300000000003"/>
    <n v="40.820300000000003"/>
    <s v="LMT"/>
    <n v="200"/>
    <n v="8043.9400000000014"/>
    <n v="40.21970000000001"/>
    <s v=""/>
  </r>
  <r>
    <x v="92"/>
    <x v="7"/>
    <s v="Thursday"/>
    <d v="1899-12-30T10:03:49"/>
    <s v="STOCK"/>
    <s v="SELL"/>
    <n v="-189"/>
    <s v="TO CLOSE"/>
    <x v="2"/>
    <m/>
    <m/>
    <s v="STOCK"/>
    <n v="41.59"/>
    <n v="41.59"/>
    <s v="LMT"/>
    <n v="11"/>
    <n v="183.4300000000012"/>
    <n v="16.675454545454656"/>
    <s v=""/>
  </r>
  <r>
    <x v="92"/>
    <x v="7"/>
    <s v="Thursday"/>
    <d v="1899-12-30T10:03:49"/>
    <s v="STOCK"/>
    <s v="SELL"/>
    <n v="-11"/>
    <s v="TO CLOSE"/>
    <x v="2"/>
    <m/>
    <m/>
    <s v="STOCK"/>
    <n v="41.59"/>
    <n v="41.59"/>
    <s v="LMT"/>
    <n v="0"/>
    <n v="0"/>
    <s v=""/>
    <n v="274.05999999999881"/>
  </r>
  <r>
    <x v="93"/>
    <x v="7"/>
    <s v="Thursday"/>
    <d v="1899-12-30T10:20:48"/>
    <s v="STOCK"/>
    <s v="SELL"/>
    <n v="-300"/>
    <s v="TO OPEN"/>
    <x v="2"/>
    <m/>
    <m/>
    <s v="STOCK"/>
    <n v="41.51"/>
    <n v="41.51"/>
    <s v="LMT"/>
    <n v="-300"/>
    <n v="-12453"/>
    <n v="41.51"/>
    <s v=""/>
  </r>
  <r>
    <x v="93"/>
    <x v="7"/>
    <s v="Thursday"/>
    <d v="1899-12-30T10:23:56"/>
    <s v="STOCK"/>
    <s v="BUY"/>
    <n v="100"/>
    <s v="TO CLOSE"/>
    <x v="2"/>
    <m/>
    <m/>
    <s v="STOCK"/>
    <n v="41.21"/>
    <n v="41.21"/>
    <s v="LMT"/>
    <n v="-200"/>
    <n v="-8332"/>
    <n v="41.66"/>
    <s v=""/>
  </r>
  <r>
    <x v="93"/>
    <x v="7"/>
    <s v="Thursday"/>
    <d v="1899-12-30T10:23:56"/>
    <s v="STOCK"/>
    <s v="BUY"/>
    <n v="200"/>
    <s v="TO CLOSE"/>
    <x v="2"/>
    <m/>
    <m/>
    <s v="STOCK"/>
    <n v="41.21"/>
    <n v="41.21"/>
    <s v="LMT"/>
    <n v="0"/>
    <n v="0"/>
    <s v=""/>
    <n v="89.999999999999147"/>
  </r>
  <r>
    <x v="94"/>
    <x v="7"/>
    <s v="Thursday"/>
    <d v="1899-12-30T12:12:03"/>
    <s v="STOCK"/>
    <s v="BUY"/>
    <n v="95"/>
    <s v="TO OPEN"/>
    <x v="2"/>
    <m/>
    <m/>
    <s v="STOCK"/>
    <n v="41.145299999999999"/>
    <n v="41.14526"/>
    <s v="MKT"/>
    <n v="95"/>
    <n v="3908.8035"/>
    <n v="41.145299999999999"/>
    <s v=""/>
  </r>
  <r>
    <x v="94"/>
    <x v="7"/>
    <s v="Thursday"/>
    <d v="1899-12-30T12:12:03"/>
    <s v="STOCK"/>
    <s v="BUY"/>
    <n v="100"/>
    <s v="TO OPEN"/>
    <x v="2"/>
    <m/>
    <m/>
    <s v="STOCK"/>
    <n v="41.145299999999999"/>
    <n v="41.145299999999999"/>
    <s v="MKT"/>
    <n v="195"/>
    <n v="8023.3334999999997"/>
    <n v="41.145299999999999"/>
    <s v=""/>
  </r>
  <r>
    <x v="94"/>
    <x v="7"/>
    <s v="Thursday"/>
    <d v="1899-12-30T12:12:03"/>
    <s v="STOCK"/>
    <s v="BUY"/>
    <n v="100"/>
    <s v="TO OPEN"/>
    <x v="2"/>
    <m/>
    <m/>
    <s v="STOCK"/>
    <n v="41.145299999999999"/>
    <n v="41.145299999999999"/>
    <s v="MKT"/>
    <n v="295"/>
    <n v="12137.863499999999"/>
    <n v="41.145299999999999"/>
    <s v=""/>
  </r>
  <r>
    <x v="94"/>
    <x v="7"/>
    <s v="Thursday"/>
    <d v="1899-12-30T12:12:03"/>
    <s v="STOCK"/>
    <s v="BUY"/>
    <n v="5"/>
    <s v="TO OPEN"/>
    <x v="2"/>
    <m/>
    <m/>
    <s v="STOCK"/>
    <n v="41.145299999999999"/>
    <n v="41.146000000000001"/>
    <s v="MKT"/>
    <n v="300"/>
    <n v="12343.59"/>
    <n v="41.145299999999999"/>
    <s v=""/>
  </r>
  <r>
    <x v="94"/>
    <x v="7"/>
    <s v="Thursday"/>
    <d v="1899-12-30T12:17:05"/>
    <s v="STOCK"/>
    <s v="SELL"/>
    <n v="-100"/>
    <s v="TO CLOSE"/>
    <x v="2"/>
    <m/>
    <m/>
    <s v="STOCK"/>
    <n v="41.37"/>
    <n v="41.37"/>
    <s v="LMT"/>
    <n v="200"/>
    <n v="8206.59"/>
    <n v="41.03295"/>
    <s v=""/>
  </r>
  <r>
    <x v="94"/>
    <x v="7"/>
    <s v="Thursday"/>
    <d v="1899-12-30T12:20:14"/>
    <s v="STOCK"/>
    <s v="SELL"/>
    <n v="-100"/>
    <s v="TO CLOSE"/>
    <x v="2"/>
    <m/>
    <m/>
    <s v="STOCK"/>
    <n v="41.370100000000001"/>
    <n v="41.370100000000001"/>
    <s v="MKT"/>
    <n v="100"/>
    <n v="4069.58"/>
    <n v="40.695799999999998"/>
    <s v=""/>
  </r>
  <r>
    <x v="94"/>
    <x v="7"/>
    <s v="Thursday"/>
    <d v="1899-12-30T12:21:32"/>
    <s v="STOCK"/>
    <s v="SELL"/>
    <n v="-100"/>
    <s v="TO CLOSE"/>
    <x v="2"/>
    <m/>
    <m/>
    <s v="STOCK"/>
    <n v="41.55"/>
    <n v="41.55"/>
    <s v="LMT"/>
    <n v="0"/>
    <n v="0"/>
    <s v=""/>
    <n v="85.419999999999874"/>
  </r>
  <r>
    <x v="95"/>
    <x v="7"/>
    <s v="Thursday"/>
    <d v="1899-12-30T13:56:04"/>
    <s v="STOCK"/>
    <s v="BUY"/>
    <n v="169"/>
    <s v="TO OPEN"/>
    <x v="2"/>
    <m/>
    <m/>
    <s v="STOCK"/>
    <n v="41.32"/>
    <n v="41.32"/>
    <s v="LMT"/>
    <n v="169"/>
    <n v="6983.08"/>
    <n v="41.32"/>
    <s v=""/>
  </r>
  <r>
    <x v="95"/>
    <x v="7"/>
    <s v="Thursday"/>
    <d v="1899-12-30T13:56:06"/>
    <s v="STOCK"/>
    <s v="BUY"/>
    <n v="131"/>
    <s v="TO OPEN"/>
    <x v="2"/>
    <m/>
    <m/>
    <s v="STOCK"/>
    <n v="41.32"/>
    <n v="41.32"/>
    <s v="LMT"/>
    <n v="300"/>
    <n v="12396"/>
    <n v="41.32"/>
    <s v=""/>
  </r>
  <r>
    <x v="95"/>
    <x v="7"/>
    <s v="Thursday"/>
    <d v="1899-12-30T14:01:01"/>
    <s v="STOCK"/>
    <s v="SELL"/>
    <n v="-100"/>
    <s v="TO CLOSE"/>
    <x v="2"/>
    <m/>
    <m/>
    <s v="STOCK"/>
    <n v="41.484999999999999"/>
    <n v="41.484999999999999"/>
    <s v="LMT"/>
    <n v="200"/>
    <n v="8247.5"/>
    <n v="41.237499999999997"/>
    <s v=""/>
  </r>
  <r>
    <x v="95"/>
    <x v="7"/>
    <s v="Thursday"/>
    <d v="1899-12-30T14:02:42"/>
    <s v="STOCK"/>
    <s v="SELL"/>
    <n v="-200"/>
    <s v="TO CLOSE"/>
    <x v="2"/>
    <m/>
    <m/>
    <s v="STOCK"/>
    <n v="41.42"/>
    <n v="41.42"/>
    <s v="STP"/>
    <n v="0"/>
    <n v="0"/>
    <s v=""/>
    <n v="36.500000000000909"/>
  </r>
  <r>
    <x v="96"/>
    <x v="8"/>
    <s v="Friday"/>
    <d v="1899-12-30T09:48:43"/>
    <s v="FUTURE"/>
    <s v="BUY"/>
    <n v="2"/>
    <s v="TO OPEN"/>
    <x v="4"/>
    <d v="2020-06-20T00:00:00"/>
    <m/>
    <s v="FUTURE"/>
    <n v="25.4"/>
    <n v="25.4"/>
    <s v="MKT"/>
    <n v="2"/>
    <n v="50800"/>
    <n v="25.4"/>
    <s v=""/>
  </r>
  <r>
    <x v="96"/>
    <x v="8"/>
    <s v="Friday"/>
    <d v="1899-12-30T09:51:21"/>
    <s v="FUTURE"/>
    <s v="SELL"/>
    <n v="-2"/>
    <s v="TO CLOSE"/>
    <x v="4"/>
    <d v="2020-06-20T00:00:00"/>
    <m/>
    <s v="FUTURE"/>
    <n v="25.45"/>
    <n v="25.45"/>
    <s v="MKT"/>
    <n v="0"/>
    <n v="0"/>
    <s v=""/>
    <n v="100.00000000000142"/>
  </r>
  <r>
    <x v="97"/>
    <x v="8"/>
    <s v="Friday"/>
    <d v="1899-12-30T10:01:13"/>
    <s v="FUTURE"/>
    <s v="BUY"/>
    <n v="2"/>
    <s v="TO OPEN"/>
    <x v="4"/>
    <d v="2020-06-20T00:00:00"/>
    <m/>
    <s v="FUTURE"/>
    <n v="25.39"/>
    <n v="25.39"/>
    <s v="LMT"/>
    <n v="2"/>
    <n v="50780"/>
    <n v="25.39"/>
    <s v=""/>
  </r>
  <r>
    <x v="97"/>
    <x v="8"/>
    <s v="Friday"/>
    <d v="1899-12-30T10:14:44"/>
    <s v="FUTURE"/>
    <s v="SELL"/>
    <n v="-4"/>
    <s v="TO CLOSE"/>
    <x v="4"/>
    <d v="2020-06-20T00:00:00"/>
    <m/>
    <s v="FUTURE"/>
    <n v="25.19"/>
    <n v="25.19"/>
    <s v="MKT"/>
    <n v="-2"/>
    <n v="-49980"/>
    <n v="24.99"/>
    <s v=""/>
  </r>
  <r>
    <x v="97"/>
    <x v="8"/>
    <s v="Friday"/>
    <d v="1899-12-30T10:23:28"/>
    <s v="FUTURE"/>
    <s v="BUY"/>
    <n v="1"/>
    <s v="TO CLOSE"/>
    <x v="4"/>
    <d v="2020-06-20T00:00:00"/>
    <m/>
    <s v="FUTURE"/>
    <n v="25.03"/>
    <n v="25.03"/>
    <s v="LMT"/>
    <n v="-1"/>
    <n v="-24950"/>
    <n v="24.95"/>
    <s v=""/>
  </r>
  <r>
    <x v="97"/>
    <x v="8"/>
    <s v="Friday"/>
    <d v="1899-12-30T10:26:15"/>
    <s v="FUTURE"/>
    <s v="BUY"/>
    <n v="1"/>
    <s v="TO CLOSE"/>
    <x v="4"/>
    <d v="2020-06-20T00:00:00"/>
    <m/>
    <s v="FUTURE"/>
    <n v="25.19"/>
    <n v="25.19"/>
    <s v="LMT"/>
    <n v="0"/>
    <n v="0"/>
    <s v=""/>
    <n v="-240.00000000000199"/>
  </r>
  <r>
    <x v="98"/>
    <x v="8"/>
    <s v="Friday"/>
    <d v="1899-12-30T10:26:31"/>
    <s v="FUTURE"/>
    <s v="BUY"/>
    <n v="2"/>
    <s v="TO CLOSE"/>
    <x v="4"/>
    <d v="2020-06-20T00:00:00"/>
    <m/>
    <s v="FUTURE"/>
    <n v="25.19"/>
    <n v="25.19"/>
    <s v="LMT"/>
    <n v="2"/>
    <n v="50380"/>
    <n v="25.19"/>
    <s v=""/>
  </r>
  <r>
    <x v="98"/>
    <x v="8"/>
    <s v="Friday"/>
    <d v="1899-12-30T10:56:40"/>
    <s v="FUTURE"/>
    <s v="BUY"/>
    <n v="1"/>
    <s v="TO OPEN"/>
    <x v="4"/>
    <d v="2020-06-20T00:00:00"/>
    <m/>
    <s v="FUTURE"/>
    <n v="25.6"/>
    <n v="25.6"/>
    <s v="STP"/>
    <n v="3"/>
    <n v="75980"/>
    <n v="25.326666666666668"/>
    <s v=""/>
  </r>
  <r>
    <x v="98"/>
    <x v="8"/>
    <s v="Friday"/>
    <d v="1899-12-30T11:12:11"/>
    <s v="FUTURE"/>
    <s v="SELL"/>
    <n v="-1"/>
    <s v="TO CLOSE"/>
    <x v="4"/>
    <d v="2020-06-20T00:00:00"/>
    <m/>
    <s v="FUTURE"/>
    <n v="25.53"/>
    <n v="25.53"/>
    <s v="LMT"/>
    <n v="2"/>
    <n v="50450"/>
    <n v="25.225000000000001"/>
    <s v=""/>
  </r>
  <r>
    <x v="98"/>
    <x v="8"/>
    <s v="Friday"/>
    <d v="1899-12-30T11:24:41"/>
    <s v="FUTURE"/>
    <s v="BUY"/>
    <n v="1"/>
    <s v="TO OPEN"/>
    <x v="4"/>
    <d v="2020-06-20T00:00:00"/>
    <m/>
    <s v="FUTURE"/>
    <n v="25.13"/>
    <n v="25.13"/>
    <s v="LMT"/>
    <n v="3"/>
    <n v="75580"/>
    <n v="25.193333333333332"/>
    <s v=""/>
  </r>
  <r>
    <x v="98"/>
    <x v="8"/>
    <s v="Friday"/>
    <d v="1899-12-30T12:04:19"/>
    <s v="FUTURE"/>
    <s v="SELL"/>
    <n v="-1"/>
    <s v="TO CLOSE"/>
    <x v="4"/>
    <d v="2020-06-20T00:00:00"/>
    <m/>
    <s v="FUTURE"/>
    <n v="25.33"/>
    <n v="25.33"/>
    <s v="LMT"/>
    <n v="2"/>
    <n v="50250"/>
    <n v="25.125"/>
    <s v=""/>
  </r>
  <r>
    <x v="98"/>
    <x v="8"/>
    <s v="Friday"/>
    <d v="1899-12-30T12:40:25"/>
    <s v="FUTURE"/>
    <s v="SELL"/>
    <n v="-2"/>
    <s v="TO CLOSE"/>
    <x v="4"/>
    <d v="2020-06-20T00:00:00"/>
    <m/>
    <s v="FUTURE"/>
    <n v="24.97"/>
    <n v="24.97"/>
    <s v="STP"/>
    <n v="0"/>
    <n v="0"/>
    <s v=""/>
    <n v="-310.00000000000227"/>
  </r>
  <r>
    <x v="99"/>
    <x v="8"/>
    <s v="Friday"/>
    <d v="1899-12-30T12:43:59"/>
    <s v="FUTURE"/>
    <s v="SELL"/>
    <n v="-2"/>
    <s v="TO OPEN"/>
    <x v="4"/>
    <d v="2020-06-20T00:00:00"/>
    <m/>
    <s v="FUTURE"/>
    <n v="25.13"/>
    <n v="25.13"/>
    <s v="LMT"/>
    <n v="-2"/>
    <n v="-50260"/>
    <n v="25.13"/>
    <s v=""/>
  </r>
  <r>
    <x v="99"/>
    <x v="8"/>
    <s v="Friday"/>
    <d v="1899-12-30T12:49:47"/>
    <s v="FUTURE"/>
    <s v="BUY"/>
    <n v="4"/>
    <s v="TO CLOSE"/>
    <x v="4"/>
    <d v="2020-06-20T00:00:00"/>
    <m/>
    <s v="FUTURE"/>
    <n v="25.24"/>
    <n v="25.24"/>
    <s v="MKT"/>
    <n v="2"/>
    <n v="50700"/>
    <n v="25.35"/>
    <s v=""/>
  </r>
  <r>
    <x v="99"/>
    <x v="8"/>
    <s v="Friday"/>
    <d v="1899-12-30T13:17:02"/>
    <s v="FUTURE"/>
    <s v="SELL"/>
    <n v="-2"/>
    <s v="TO CLOSE"/>
    <x v="4"/>
    <d v="2020-06-20T00:00:00"/>
    <m/>
    <s v="FUTURE"/>
    <n v="25.03"/>
    <n v="25.03"/>
    <s v="MKT"/>
    <n v="0"/>
    <n v="0"/>
    <s v=""/>
    <n v="-640.00000000000057"/>
  </r>
  <r>
    <x v="100"/>
    <x v="8"/>
    <s v="Friday"/>
    <d v="1899-12-30T13:17:28"/>
    <s v="FUTURE"/>
    <s v="SELL"/>
    <n v="-1"/>
    <s v="TO OPEN"/>
    <x v="4"/>
    <d v="2020-06-20T00:00:00"/>
    <m/>
    <s v="FUTURE"/>
    <n v="25.04"/>
    <n v="25.04"/>
    <s v="LMT"/>
    <n v="-1"/>
    <n v="-25040"/>
    <n v="25.04"/>
    <s v=""/>
  </r>
  <r>
    <x v="100"/>
    <x v="8"/>
    <s v="Friday"/>
    <d v="1899-12-30T13:19:47"/>
    <s v="FUTURE"/>
    <s v="SELL"/>
    <n v="-1"/>
    <s v="TO OPEN"/>
    <x v="4"/>
    <d v="2020-06-20T00:00:00"/>
    <m/>
    <s v="FUTURE"/>
    <n v="25.1"/>
    <n v="25.1"/>
    <s v="LMT"/>
    <n v="-2"/>
    <n v="-50140"/>
    <n v="25.07"/>
    <s v=""/>
  </r>
  <r>
    <x v="100"/>
    <x v="8"/>
    <s v="Friday"/>
    <d v="1899-12-30T13:24:09"/>
    <s v="FUTURE"/>
    <s v="SELL"/>
    <n v="-1"/>
    <s v="TO OPEN"/>
    <x v="4"/>
    <d v="2020-06-20T00:00:00"/>
    <m/>
    <s v="FUTURE"/>
    <n v="24.95"/>
    <n v="24.95"/>
    <s v="STP"/>
    <n v="-3"/>
    <n v="-75090"/>
    <n v="25.03"/>
    <s v=""/>
  </r>
  <r>
    <x v="100"/>
    <x v="8"/>
    <s v="Friday"/>
    <d v="1899-12-30T13:33:26"/>
    <s v="FUTURE"/>
    <s v="BUY"/>
    <n v="3"/>
    <s v="TO CLOSE"/>
    <x v="4"/>
    <d v="2020-06-20T00:00:00"/>
    <m/>
    <s v="FUTURE"/>
    <n v="25.15"/>
    <n v="25.15"/>
    <s v="STP"/>
    <n v="0"/>
    <n v="0"/>
    <s v=""/>
    <n v="-359.99999999999233"/>
  </r>
  <r>
    <x v="101"/>
    <x v="8"/>
    <s v="Friday"/>
    <d v="1899-12-30T13:35:04"/>
    <s v="FUTURE"/>
    <s v="SELL"/>
    <n v="-3"/>
    <s v="TO OPEN"/>
    <x v="4"/>
    <d v="2020-06-20T00:00:00"/>
    <m/>
    <s v="FUTURE"/>
    <n v="25.05"/>
    <n v="25.05"/>
    <s v="LMT"/>
    <n v="-3"/>
    <n v="-75150"/>
    <n v="25.05"/>
    <s v=""/>
  </r>
  <r>
    <x v="101"/>
    <x v="8"/>
    <s v="Friday"/>
    <d v="1899-12-30T13:40:33"/>
    <s v="FUTURE"/>
    <s v="BUY"/>
    <n v="6"/>
    <s v="TO CLOSE"/>
    <x v="4"/>
    <d v="2020-06-20T00:00:00"/>
    <m/>
    <s v="FUTURE"/>
    <n v="25.14"/>
    <n v="25.14"/>
    <s v="MKT"/>
    <n v="3"/>
    <n v="75690"/>
    <n v="25.23"/>
    <s v=""/>
  </r>
  <r>
    <x v="101"/>
    <x v="8"/>
    <s v="Friday"/>
    <d v="1899-12-30T13:49:44"/>
    <s v="FUTURE"/>
    <s v="SELL"/>
    <n v="-3"/>
    <s v="TO CLOSE"/>
    <x v="4"/>
    <d v="2020-06-20T00:00:00"/>
    <m/>
    <s v="FUTURE"/>
    <n v="25.02"/>
    <n v="25.02"/>
    <s v="STP"/>
    <n v="0"/>
    <n v="0"/>
    <s v=""/>
    <n v="-630.0000000000025"/>
  </r>
  <r>
    <x v="102"/>
    <x v="8"/>
    <s v="Friday"/>
    <d v="1899-12-30T14:11:16"/>
    <s v="FUTURE"/>
    <s v="BUY"/>
    <n v="2"/>
    <s v="TO OPEN"/>
    <x v="4"/>
    <d v="2020-06-20T00:00:00"/>
    <m/>
    <s v="FUTURE"/>
    <n v="24.9"/>
    <n v="24.9"/>
    <s v="LMT"/>
    <n v="2"/>
    <n v="49800"/>
    <n v="24.9"/>
    <s v=""/>
  </r>
  <r>
    <x v="102"/>
    <x v="8"/>
    <s v="Friday"/>
    <d v="1899-12-30T14:20:46"/>
    <s v="FUTURE"/>
    <s v="BUY"/>
    <n v="1"/>
    <s v="TO OPEN"/>
    <x v="4"/>
    <d v="2020-06-20T00:00:00"/>
    <m/>
    <s v="FUTURE"/>
    <n v="24.65"/>
    <n v="24.65"/>
    <s v="LMT"/>
    <n v="3"/>
    <n v="74450"/>
    <n v="24.816666666666666"/>
    <s v=""/>
  </r>
  <r>
    <x v="102"/>
    <x v="8"/>
    <s v="Friday"/>
    <d v="1899-12-30T14:21:33"/>
    <s v="FUTURE"/>
    <s v="SELL"/>
    <n v="-1"/>
    <s v="TO CLOSE"/>
    <x v="4"/>
    <d v="2020-06-20T00:00:00"/>
    <m/>
    <s v="FUTURE"/>
    <n v="24.83"/>
    <n v="24.83"/>
    <s v="LMT"/>
    <n v="2"/>
    <n v="49620"/>
    <n v="24.81"/>
    <s v=""/>
  </r>
  <r>
    <x v="102"/>
    <x v="8"/>
    <s v="Friday"/>
    <d v="1899-12-30T14:23:11"/>
    <s v="FUTURE"/>
    <s v="BUY"/>
    <n v="1"/>
    <s v="TO OPEN"/>
    <x v="4"/>
    <d v="2020-06-20T00:00:00"/>
    <m/>
    <s v="FUTURE"/>
    <n v="24.94"/>
    <n v="24.94"/>
    <s v="STP"/>
    <n v="3"/>
    <n v="74560"/>
    <n v="24.853333333333332"/>
    <s v=""/>
  </r>
  <r>
    <x v="102"/>
    <x v="8"/>
    <s v="Friday"/>
    <d v="1899-12-30T14:27:14"/>
    <s v="FUTURE"/>
    <s v="SELL"/>
    <n v="-1"/>
    <s v="TO CLOSE"/>
    <x v="4"/>
    <d v="2020-06-20T00:00:00"/>
    <m/>
    <s v="FUTURE"/>
    <n v="25.09"/>
    <n v="25.09"/>
    <s v="LMT"/>
    <n v="2"/>
    <n v="49470"/>
    <n v="24.734999999999999"/>
    <s v=""/>
  </r>
  <r>
    <x v="102"/>
    <x v="8"/>
    <s v="Friday"/>
    <d v="1899-12-30T14:34:49"/>
    <s v="FUTURE"/>
    <s v="SELL"/>
    <n v="-1"/>
    <s v="TO CLOSE"/>
    <x v="4"/>
    <d v="2020-06-20T00:00:00"/>
    <m/>
    <s v="FUTURE"/>
    <n v="25.14"/>
    <n v="25.14"/>
    <s v="LMT"/>
    <n v="1"/>
    <n v="24330"/>
    <n v="24.33"/>
    <s v=""/>
  </r>
  <r>
    <x v="102"/>
    <x v="8"/>
    <s v="Friday"/>
    <d v="1899-12-30T14:35:10"/>
    <s v="FUTURE"/>
    <s v="SELL"/>
    <n v="-1"/>
    <s v="TO CLOSE"/>
    <x v="4"/>
    <d v="2020-06-20T00:00:00"/>
    <m/>
    <s v="FUTURE"/>
    <n v="25.16"/>
    <n v="25.16"/>
    <s v="LMT"/>
    <n v="0"/>
    <n v="0"/>
    <s v=""/>
    <n v="830.00000000000182"/>
  </r>
  <r>
    <x v="103"/>
    <x v="8"/>
    <s v="Friday"/>
    <d v="1899-12-30T09:54:31"/>
    <s v="FUTURE"/>
    <s v="BUY"/>
    <n v="5"/>
    <s v="TO OPEN"/>
    <x v="3"/>
    <d v="2020-06-20T00:00:00"/>
    <m/>
    <s v="FUTURE"/>
    <n v="2846"/>
    <n v="2846"/>
    <s v="LMT"/>
    <n v="5"/>
    <n v="71150"/>
    <n v="2846"/>
    <s v=""/>
  </r>
  <r>
    <x v="103"/>
    <x v="8"/>
    <s v="Friday"/>
    <d v="1899-12-30T09:56:49"/>
    <s v="FUTURE"/>
    <s v="SELL"/>
    <n v="-5"/>
    <s v="TO CLOSE"/>
    <x v="3"/>
    <d v="2020-06-20T00:00:00"/>
    <m/>
    <s v="FUTURE"/>
    <n v="2849.75"/>
    <n v="2849.75"/>
    <s v="LMT"/>
    <n v="0"/>
    <n v="0"/>
    <s v=""/>
    <n v="93.75"/>
  </r>
  <r>
    <x v="104"/>
    <x v="8"/>
    <s v="Friday"/>
    <d v="1899-12-30T10:01:17"/>
    <s v="STOCK"/>
    <s v="SELL"/>
    <n v="-200"/>
    <s v="TO OPEN"/>
    <x v="2"/>
    <m/>
    <m/>
    <s v="STOCK"/>
    <n v="39.560099999999998"/>
    <n v="39.560099999999998"/>
    <s v="MKT"/>
    <n v="-200"/>
    <n v="-7912.0199999999995"/>
    <n v="39.560099999999998"/>
    <s v=""/>
  </r>
  <r>
    <x v="104"/>
    <x v="8"/>
    <s v="Friday"/>
    <d v="1899-12-30T10:01:17"/>
    <s v="STOCK"/>
    <s v="SELL"/>
    <n v="-100"/>
    <s v="TO OPEN"/>
    <x v="2"/>
    <m/>
    <m/>
    <s v="STOCK"/>
    <n v="39.560099999999998"/>
    <n v="39.560099999999998"/>
    <s v="MKT"/>
    <n v="-300"/>
    <n v="-11868.029999999999"/>
    <n v="39.560099999999998"/>
    <s v=""/>
  </r>
  <r>
    <x v="104"/>
    <x v="8"/>
    <s v="Friday"/>
    <d v="1899-12-30T10:01:17"/>
    <s v="STOCK"/>
    <s v="SELL"/>
    <n v="-100"/>
    <s v="TO OPEN"/>
    <x v="2"/>
    <m/>
    <m/>
    <s v="STOCK"/>
    <n v="39.560099999999998"/>
    <n v="39.560099999999998"/>
    <s v="MKT"/>
    <n v="-400"/>
    <n v="-15824.039999999999"/>
    <n v="39.560099999999998"/>
    <s v=""/>
  </r>
  <r>
    <x v="104"/>
    <x v="8"/>
    <s v="Friday"/>
    <d v="1899-12-30T10:10:21"/>
    <s v="STOCK"/>
    <s v="BUY"/>
    <n v="200"/>
    <s v="TO CLOSE"/>
    <x v="2"/>
    <m/>
    <m/>
    <s v="STOCK"/>
    <n v="39.42"/>
    <n v="39.42"/>
    <s v="LMT"/>
    <n v="-200"/>
    <n v="-7940.0399999999991"/>
    <n v="39.700199999999995"/>
    <s v=""/>
  </r>
  <r>
    <x v="104"/>
    <x v="8"/>
    <s v="Friday"/>
    <d v="1899-12-30T10:13:12"/>
    <s v="STOCK"/>
    <s v="BUY"/>
    <n v="200"/>
    <s v="TO CLOSE"/>
    <x v="2"/>
    <m/>
    <m/>
    <s v="STOCK"/>
    <n v="39.57"/>
    <n v="39.57"/>
    <s v="STP"/>
    <n v="0"/>
    <n v="0"/>
    <s v=""/>
    <n v="26.039999999998997"/>
  </r>
  <r>
    <x v="105"/>
    <x v="8"/>
    <s v="Friday"/>
    <d v="1899-12-30T10:19:52"/>
    <s v="STOCK"/>
    <s v="SELL"/>
    <n v="-200"/>
    <s v="TO OPEN"/>
    <x v="2"/>
    <m/>
    <m/>
    <s v="STOCK"/>
    <n v="39.875"/>
    <n v="39.875"/>
    <s v="MKT"/>
    <n v="-200"/>
    <n v="-7975"/>
    <n v="39.875"/>
    <s v=""/>
  </r>
  <r>
    <x v="105"/>
    <x v="8"/>
    <s v="Friday"/>
    <d v="1899-12-30T10:25:08"/>
    <s v="STOCK"/>
    <s v="SELL"/>
    <n v="-100"/>
    <s v="TO OPEN"/>
    <x v="2"/>
    <m/>
    <m/>
    <s v="STOCK"/>
    <n v="39.980499999999999"/>
    <n v="39.980499999999999"/>
    <s v="LMT"/>
    <n v="-300"/>
    <n v="-11973.05"/>
    <n v="39.910166666666662"/>
    <s v=""/>
  </r>
  <r>
    <x v="105"/>
    <x v="8"/>
    <s v="Friday"/>
    <d v="1899-12-30T10:34:29"/>
    <s v="STOCK"/>
    <s v="SELL"/>
    <n v="-100"/>
    <s v="TO OPEN"/>
    <x v="2"/>
    <m/>
    <m/>
    <s v="STOCK"/>
    <n v="40.070099999999996"/>
    <n v="40.070099999999996"/>
    <s v="MKT"/>
    <n v="-400"/>
    <n v="-15980.06"/>
    <n v="39.950150000000001"/>
    <s v=""/>
  </r>
  <r>
    <x v="105"/>
    <x v="8"/>
    <s v="Friday"/>
    <d v="1899-12-30T13:16:37"/>
    <s v="STOCK"/>
    <s v="BUY"/>
    <n v="100"/>
    <s v="TO CLOSE"/>
    <x v="2"/>
    <m/>
    <m/>
    <s v="STOCK"/>
    <n v="39.784999999999997"/>
    <n v="39.784999999999997"/>
    <s v="MKT"/>
    <n v="-300"/>
    <n v="-12001.56"/>
    <n v="40.005199999999995"/>
    <s v=""/>
  </r>
  <r>
    <x v="105"/>
    <x v="8"/>
    <s v="Friday"/>
    <d v="1899-12-30T13:16:37"/>
    <s v="STOCK"/>
    <s v="BUY"/>
    <n v="100"/>
    <s v="TO CLOSE"/>
    <x v="2"/>
    <m/>
    <m/>
    <s v="STOCK"/>
    <n v="39.784999999999997"/>
    <n v="39.784999999999997"/>
    <s v="MKT"/>
    <n v="-200"/>
    <n v="-8023.0599999999995"/>
    <n v="40.115299999999998"/>
    <s v=""/>
  </r>
  <r>
    <x v="105"/>
    <x v="8"/>
    <s v="Friday"/>
    <d v="1899-12-30T13:16:37"/>
    <s v="STOCK"/>
    <s v="BUY"/>
    <n v="100"/>
    <s v="TO CLOSE"/>
    <x v="2"/>
    <m/>
    <m/>
    <s v="STOCK"/>
    <n v="39.784999999999997"/>
    <n v="39.784999999999997"/>
    <s v="MKT"/>
    <n v="-100"/>
    <n v="-4044.56"/>
    <n v="40.445599999999999"/>
    <s v=""/>
  </r>
  <r>
    <x v="105"/>
    <x v="8"/>
    <s v="Friday"/>
    <d v="1899-12-30T13:16:37"/>
    <s v="STOCK"/>
    <s v="BUY"/>
    <n v="100"/>
    <s v="TO CLOSE"/>
    <x v="2"/>
    <m/>
    <m/>
    <s v="STOCK"/>
    <n v="39.784999999999997"/>
    <n v="39.784999999999997"/>
    <s v="MKT"/>
    <n v="0"/>
    <n v="0"/>
    <s v=""/>
    <n v="66.06000000000023"/>
  </r>
  <r>
    <x v="106"/>
    <x v="9"/>
    <s v="Monday"/>
    <d v="1899-12-30T10:16:44"/>
    <s v="FUTURE"/>
    <s v="SELL"/>
    <n v="-1"/>
    <s v="TO OPEN"/>
    <x v="4"/>
    <d v="2020-06-20T00:00:00"/>
    <m/>
    <s v="FUTURE"/>
    <n v="22.91"/>
    <n v="22.91"/>
    <s v="LMT"/>
    <n v="-1"/>
    <n v="-22910"/>
    <n v="22.91"/>
    <s v=""/>
  </r>
  <r>
    <x v="106"/>
    <x v="9"/>
    <s v="Monday"/>
    <d v="1899-12-30T10:18:37"/>
    <s v="FUTURE"/>
    <s v="BUY"/>
    <n v="1"/>
    <s v="TO CLOSE"/>
    <x v="4"/>
    <d v="2020-06-20T00:00:00"/>
    <m/>
    <s v="FUTURE"/>
    <n v="22.76"/>
    <n v="22.76"/>
    <s v="LMT"/>
    <n v="0"/>
    <n v="0"/>
    <s v=""/>
    <n v="149.99999999999858"/>
  </r>
  <r>
    <x v="107"/>
    <x v="9"/>
    <s v="Monday"/>
    <d v="1899-12-30T14:30:11"/>
    <s v="FUTURE"/>
    <s v="BUY"/>
    <n v="1"/>
    <s v="TO OPEN"/>
    <x v="4"/>
    <d v="2020-06-20T00:00:00"/>
    <m/>
    <s v="FUTURE"/>
    <n v="20.43"/>
    <n v="20.43"/>
    <s v="MKT"/>
    <n v="1"/>
    <n v="20430"/>
    <n v="20.43"/>
    <s v=""/>
  </r>
  <r>
    <x v="107"/>
    <x v="9"/>
    <s v="Monday"/>
    <d v="1899-12-30T14:36:44"/>
    <s v="FUTURE"/>
    <s v="SELL"/>
    <n v="-1"/>
    <s v="TO CLOSE"/>
    <x v="4"/>
    <d v="2020-06-20T00:00:00"/>
    <m/>
    <s v="FUTURE"/>
    <n v="20.92"/>
    <n v="20.92"/>
    <s v="MKT"/>
    <n v="0"/>
    <n v="0"/>
    <s v=""/>
    <n v="490.00000000000199"/>
  </r>
  <r>
    <x v="108"/>
    <x v="9"/>
    <s v="Monday"/>
    <d v="1899-12-30T10:08:59"/>
    <s v="FUTURE"/>
    <s v="BUY"/>
    <n v="1"/>
    <s v="TO OPEN"/>
    <x v="1"/>
    <d v="2020-06-20T00:00:00"/>
    <m/>
    <s v="FUTURE"/>
    <n v="2833"/>
    <n v="2833"/>
    <s v="LMT"/>
    <n v="1"/>
    <n v="141650"/>
    <n v="2833"/>
    <s v=""/>
  </r>
  <r>
    <x v="108"/>
    <x v="9"/>
    <s v="Monday"/>
    <d v="1899-12-30T10:13:39"/>
    <s v="FUTURE"/>
    <s v="SELL"/>
    <n v="-1"/>
    <s v="TO CLOSE"/>
    <x v="1"/>
    <d v="2020-06-20T00:00:00"/>
    <m/>
    <s v="FUTURE"/>
    <n v="2836"/>
    <n v="2836"/>
    <s v="LMT"/>
    <n v="0"/>
    <n v="0"/>
    <s v=""/>
    <n v="150"/>
  </r>
  <r>
    <x v="109"/>
    <x v="9"/>
    <s v="Monday"/>
    <d v="1899-12-30T10:37:14"/>
    <s v="FUTURE"/>
    <s v="SELL"/>
    <n v="-4"/>
    <s v="TO OPEN"/>
    <x v="3"/>
    <d v="2020-06-20T00:00:00"/>
    <m/>
    <s v="FUTURE"/>
    <n v="2834.75"/>
    <n v="2834.75"/>
    <s v="MKT"/>
    <n v="-4"/>
    <n v="-56695"/>
    <n v="2834.75"/>
    <s v=""/>
  </r>
  <r>
    <x v="109"/>
    <x v="9"/>
    <s v="Monday"/>
    <d v="1899-12-30T10:38:08"/>
    <s v="FUTURE"/>
    <s v="SELL"/>
    <n v="-1"/>
    <s v="TO OPEN"/>
    <x v="3"/>
    <d v="2020-06-20T00:00:00"/>
    <m/>
    <s v="FUTURE"/>
    <n v="2836.5"/>
    <n v="2836.5"/>
    <s v="LMT"/>
    <n v="-5"/>
    <n v="-70877.5"/>
    <n v="2835.1"/>
    <s v=""/>
  </r>
  <r>
    <x v="109"/>
    <x v="9"/>
    <s v="Monday"/>
    <d v="1899-12-30T10:44:33"/>
    <s v="FUTURE"/>
    <s v="SELL"/>
    <n v="-2"/>
    <s v="TO OPEN"/>
    <x v="3"/>
    <d v="2020-06-20T00:00:00"/>
    <m/>
    <s v="FUTURE"/>
    <n v="2840.75"/>
    <n v="2840.75"/>
    <s v="MKT"/>
    <n v="-7"/>
    <n v="-99285"/>
    <n v="2836.7142857142858"/>
    <s v=""/>
  </r>
  <r>
    <x v="109"/>
    <x v="9"/>
    <s v="Monday"/>
    <d v="1899-12-30T10:47:16"/>
    <s v="FUTURE"/>
    <s v="SELL"/>
    <n v="-1"/>
    <s v="TO OPEN"/>
    <x v="3"/>
    <d v="2020-06-20T00:00:00"/>
    <m/>
    <s v="FUTURE"/>
    <n v="2846.5"/>
    <n v="2846.5"/>
    <s v="LMT"/>
    <n v="-8"/>
    <n v="-113517.5"/>
    <n v="2837.9375"/>
    <s v=""/>
  </r>
  <r>
    <x v="109"/>
    <x v="9"/>
    <s v="Monday"/>
    <d v="1899-12-30T10:55:49"/>
    <s v="FUTURE"/>
    <s v="SELL"/>
    <n v="-2"/>
    <s v="TO OPEN"/>
    <x v="3"/>
    <d v="2020-06-20T00:00:00"/>
    <m/>
    <s v="FUTURE"/>
    <n v="2853"/>
    <n v="2853"/>
    <s v="MKT"/>
    <n v="-10"/>
    <n v="-142047.5"/>
    <n v="2840.95"/>
    <s v=""/>
  </r>
  <r>
    <x v="109"/>
    <x v="9"/>
    <s v="Monday"/>
    <d v="1899-12-30T11:16:12"/>
    <s v="FUTURE"/>
    <s v="BUY"/>
    <n v="3"/>
    <s v="TO CLOSE"/>
    <x v="3"/>
    <d v="2020-06-20T00:00:00"/>
    <m/>
    <s v="FUTURE"/>
    <n v="2845.25"/>
    <n v="2845.25"/>
    <s v="LMT"/>
    <n v="-7"/>
    <n v="-99368.75"/>
    <n v="2839.1071428571427"/>
    <s v=""/>
  </r>
  <r>
    <x v="109"/>
    <x v="9"/>
    <s v="Monday"/>
    <d v="1899-12-30T11:22:29"/>
    <s v="FUTURE"/>
    <s v="SELL"/>
    <n v="-1"/>
    <s v="TO OPEN"/>
    <x v="3"/>
    <d v="2020-06-20T00:00:00"/>
    <m/>
    <s v="FUTURE"/>
    <n v="2850.25"/>
    <n v="2850.25"/>
    <s v="LMT"/>
    <n v="-8"/>
    <n v="-113620"/>
    <n v="2840.5"/>
    <s v=""/>
  </r>
  <r>
    <x v="109"/>
    <x v="9"/>
    <s v="Monday"/>
    <d v="1899-12-30T11:51:39"/>
    <s v="FUTURE"/>
    <s v="SELL"/>
    <n v="-2"/>
    <s v="TO OPEN"/>
    <x v="3"/>
    <d v="2020-06-20T00:00:00"/>
    <m/>
    <s v="FUTURE"/>
    <n v="2857.75"/>
    <n v="2857.75"/>
    <s v="LMT"/>
    <n v="-10"/>
    <n v="-142197.5"/>
    <n v="2843.95"/>
    <s v=""/>
  </r>
  <r>
    <x v="109"/>
    <x v="9"/>
    <s v="Monday"/>
    <d v="1899-12-30T12:14:23"/>
    <s v="FUTURE"/>
    <s v="BUY"/>
    <n v="1"/>
    <s v="TO CLOSE"/>
    <x v="3"/>
    <d v="2020-06-20T00:00:00"/>
    <m/>
    <s v="FUTURE"/>
    <n v="2849.75"/>
    <n v="2849.75"/>
    <s v="LMT"/>
    <n v="-9"/>
    <n v="-127948.75"/>
    <n v="2843.3055555555557"/>
    <s v=""/>
  </r>
  <r>
    <x v="109"/>
    <x v="9"/>
    <s v="Monday"/>
    <d v="1899-12-30T12:14:23"/>
    <s v="FUTURE"/>
    <s v="BUY"/>
    <n v="2"/>
    <s v="TO CLOSE"/>
    <x v="3"/>
    <d v="2020-06-20T00:00:00"/>
    <m/>
    <s v="FUTURE"/>
    <n v="2849.75"/>
    <n v="2849.75"/>
    <s v="LMT"/>
    <n v="-7"/>
    <n v="-99451.25"/>
    <n v="2841.4642857142858"/>
    <s v=""/>
  </r>
  <r>
    <x v="109"/>
    <x v="9"/>
    <s v="Monday"/>
    <d v="1899-12-30T13:14:28"/>
    <s v="FUTURE"/>
    <s v="BUY"/>
    <n v="2"/>
    <s v="TO CLOSE"/>
    <x v="3"/>
    <d v="2020-06-20T00:00:00"/>
    <m/>
    <s v="FUTURE"/>
    <n v="2842.75"/>
    <n v="2842.75"/>
    <s v="LMT"/>
    <n v="-5"/>
    <n v="-71023.75"/>
    <n v="2840.95"/>
    <s v=""/>
  </r>
  <r>
    <x v="109"/>
    <x v="9"/>
    <s v="Monday"/>
    <d v="1899-12-30T14:13:35"/>
    <s v="FUTURE"/>
    <s v="BUY"/>
    <n v="2"/>
    <s v="TO CLOSE"/>
    <x v="3"/>
    <d v="2020-06-20T00:00:00"/>
    <m/>
    <s v="FUTURE"/>
    <n v="2837.75"/>
    <n v="2837.75"/>
    <s v="LMT"/>
    <n v="-3"/>
    <n v="-42646.25"/>
    <n v="2843.083333333333"/>
    <s v=""/>
  </r>
  <r>
    <x v="109"/>
    <x v="9"/>
    <s v="Monday"/>
    <d v="1899-12-30T14:15:27"/>
    <s v="FUTURE"/>
    <s v="BUY"/>
    <n v="1"/>
    <s v="TO CLOSE"/>
    <x v="3"/>
    <d v="2020-06-20T00:00:00"/>
    <m/>
    <s v="FUTURE"/>
    <n v="2836.75"/>
    <n v="2836.75"/>
    <s v="MKT"/>
    <n v="-2"/>
    <n v="-28462.5"/>
    <n v="2846.25"/>
    <s v=""/>
  </r>
  <r>
    <x v="109"/>
    <x v="9"/>
    <s v="Monday"/>
    <d v="1899-12-30T14:15:42"/>
    <s v="FUTURE"/>
    <s v="BUY"/>
    <n v="2"/>
    <s v="TO CLOSE"/>
    <x v="3"/>
    <d v="2020-06-20T00:00:00"/>
    <m/>
    <s v="FUTURE"/>
    <n v="2836.25"/>
    <n v="2836.25"/>
    <s v="MKT"/>
    <n v="0"/>
    <n v="0"/>
    <s v=""/>
    <n v="100"/>
  </r>
  <r>
    <x v="110"/>
    <x v="9"/>
    <s v="Monday"/>
    <d v="1899-12-30T09:57:05"/>
    <s v="STOCK"/>
    <s v="BUY"/>
    <n v="400"/>
    <s v="TO OPEN"/>
    <x v="2"/>
    <m/>
    <m/>
    <s v="STOCK"/>
    <n v="40.7286"/>
    <n v="40.7286"/>
    <s v="MKT"/>
    <n v="400"/>
    <n v="16291.44"/>
    <n v="40.7286"/>
    <s v=""/>
  </r>
  <r>
    <x v="110"/>
    <x v="9"/>
    <s v="Monday"/>
    <d v="1899-12-30T10:09:37"/>
    <s v="STOCK"/>
    <s v="SELL"/>
    <n v="-200"/>
    <s v="TO CLOSE"/>
    <x v="2"/>
    <m/>
    <m/>
    <s v="STOCK"/>
    <n v="40.850099999999998"/>
    <n v="40.850099999999998"/>
    <s v="LMT"/>
    <n v="200"/>
    <n v="8121.420000000001"/>
    <n v="40.607100000000003"/>
    <s v=""/>
  </r>
  <r>
    <x v="110"/>
    <x v="9"/>
    <s v="Monday"/>
    <d v="1899-12-30T10:34:53"/>
    <s v="STOCK"/>
    <s v="BUY"/>
    <n v="100"/>
    <s v="TO OPEN"/>
    <x v="2"/>
    <m/>
    <m/>
    <s v="STOCK"/>
    <n v="40.729999999999997"/>
    <n v="40.729999999999997"/>
    <s v="LMT"/>
    <n v="300"/>
    <n v="12194.42"/>
    <n v="40.648066666666665"/>
    <s v=""/>
  </r>
  <r>
    <x v="110"/>
    <x v="9"/>
    <s v="Monday"/>
    <d v="1899-12-30T10:50:06"/>
    <s v="STOCK"/>
    <s v="BUY"/>
    <n v="100"/>
    <s v="TO OPEN"/>
    <x v="2"/>
    <m/>
    <m/>
    <s v="STOCK"/>
    <n v="40.377000000000002"/>
    <n v="40.377000000000002"/>
    <s v="LMT"/>
    <n v="400"/>
    <n v="16232.12"/>
    <n v="40.580300000000001"/>
    <s v=""/>
  </r>
  <r>
    <x v="110"/>
    <x v="9"/>
    <s v="Monday"/>
    <d v="1899-12-30T13:11:46"/>
    <s v="STOCK"/>
    <s v="SELL"/>
    <n v="-100"/>
    <s v="TO CLOSE"/>
    <x v="2"/>
    <m/>
    <m/>
    <s v="STOCK"/>
    <n v="40.729999999999997"/>
    <n v="40.729999999999997"/>
    <s v="LMT"/>
    <n v="300"/>
    <n v="12159.12"/>
    <n v="40.5304"/>
    <s v=""/>
  </r>
  <r>
    <x v="110"/>
    <x v="9"/>
    <s v="Monday"/>
    <d v="1899-12-30T13:16:09"/>
    <s v="STOCK"/>
    <s v="SELL"/>
    <n v="-100"/>
    <s v="TO CLOSE"/>
    <x v="2"/>
    <m/>
    <m/>
    <s v="STOCK"/>
    <n v="40.711799999999997"/>
    <n v="40.711799999999997"/>
    <s v="LMT"/>
    <n v="200"/>
    <n v="8087.9400000000005"/>
    <n v="40.439700000000002"/>
    <s v=""/>
  </r>
  <r>
    <x v="110"/>
    <x v="9"/>
    <s v="Monday"/>
    <d v="1899-12-30T13:35:06"/>
    <s v="STOCK"/>
    <s v="SELL"/>
    <n v="-100"/>
    <s v="TO CLOSE"/>
    <x v="2"/>
    <m/>
    <m/>
    <s v="STOCK"/>
    <n v="40.844999999999999"/>
    <n v="40.844999999999999"/>
    <s v="LMT"/>
    <n v="100"/>
    <n v="4003.4400000000005"/>
    <n v="40.034400000000005"/>
    <s v=""/>
  </r>
  <r>
    <x v="110"/>
    <x v="9"/>
    <s v="Monday"/>
    <d v="1899-12-30T13:37:16"/>
    <s v="STOCK"/>
    <s v="BUY"/>
    <n v="100"/>
    <s v="TO OPEN"/>
    <x v="2"/>
    <m/>
    <m/>
    <s v="STOCK"/>
    <n v="40.98"/>
    <n v="40.98"/>
    <s v="STP"/>
    <n v="200"/>
    <n v="8101.4400000000005"/>
    <n v="40.507200000000005"/>
    <s v=""/>
  </r>
  <r>
    <x v="110"/>
    <x v="9"/>
    <s v="Monday"/>
    <d v="1899-12-30T14:01:38"/>
    <s v="STOCK"/>
    <s v="SELL"/>
    <n v="-100"/>
    <s v="TO CLOSE"/>
    <x v="2"/>
    <m/>
    <m/>
    <s v="STOCK"/>
    <n v="40.729999999999997"/>
    <n v="40.729999999999997"/>
    <s v="STP"/>
    <n v="100"/>
    <n v="4028.440000000001"/>
    <n v="40.284400000000012"/>
    <s v=""/>
  </r>
  <r>
    <x v="110"/>
    <x v="9"/>
    <s v="Monday"/>
    <d v="1899-12-30T14:01:38"/>
    <s v="STOCK"/>
    <s v="SELL"/>
    <n v="-100"/>
    <s v="TO CLOSE"/>
    <x v="2"/>
    <m/>
    <m/>
    <s v="STOCK"/>
    <n v="40.729999999999997"/>
    <n v="40.729999999999997"/>
    <s v="STP"/>
    <n v="0"/>
    <n v="0"/>
    <s v=""/>
    <n v="44.559999999998468"/>
  </r>
  <r>
    <x v="111"/>
    <x v="10"/>
    <s v="Tuesday"/>
    <d v="1899-12-30T09:57:56"/>
    <s v="FUTURE"/>
    <s v="BUY"/>
    <n v="1"/>
    <s v="TO OPEN"/>
    <x v="4"/>
    <d v="2020-06-20T00:00:00"/>
    <m/>
    <s v="FUTURE"/>
    <n v="15.69"/>
    <n v="15.69"/>
    <s v="LMT"/>
    <n v="1"/>
    <n v="15690"/>
    <n v="15.69"/>
    <s v=""/>
  </r>
  <r>
    <x v="111"/>
    <x v="10"/>
    <s v="Tuesday"/>
    <d v="1899-12-30T10:07:26"/>
    <s v="FUTURE"/>
    <s v="SELL"/>
    <n v="-1"/>
    <s v="TO CLOSE"/>
    <x v="4"/>
    <d v="2020-06-20T00:00:00"/>
    <m/>
    <s v="FUTURE"/>
    <n v="15.09"/>
    <n v="15.09"/>
    <s v="STP"/>
    <n v="0"/>
    <n v="0"/>
    <s v=""/>
    <n v="-599.99999999999966"/>
  </r>
  <r>
    <x v="112"/>
    <x v="10"/>
    <s v="Tuesday"/>
    <d v="1899-12-30T10:18:07"/>
    <s v="FUTURE"/>
    <s v="SELL"/>
    <n v="-1"/>
    <s v="TO OPEN"/>
    <x v="4"/>
    <d v="2020-06-20T00:00:00"/>
    <m/>
    <s v="FUTURE"/>
    <n v="14.65"/>
    <n v="14.65"/>
    <s v="LMT"/>
    <n v="-1"/>
    <n v="-14650"/>
    <n v="14.65"/>
    <s v=""/>
  </r>
  <r>
    <x v="112"/>
    <x v="10"/>
    <s v="Tuesday"/>
    <d v="1899-12-30T10:18:37"/>
    <s v="FUTURE"/>
    <s v="BUY"/>
    <n v="1"/>
    <s v="TO CLOSE"/>
    <x v="4"/>
    <d v="2020-06-20T00:00:00"/>
    <m/>
    <s v="FUTURE"/>
    <n v="14.54"/>
    <n v="14.54"/>
    <s v="LMT"/>
    <n v="0"/>
    <n v="0"/>
    <s v=""/>
    <n v="110.00000000000121"/>
  </r>
  <r>
    <x v="113"/>
    <x v="10"/>
    <s v="Tuesday"/>
    <d v="1899-12-30T10:20:56"/>
    <s v="FUTURE"/>
    <s v="BUY"/>
    <n v="1"/>
    <s v="TO OPEN"/>
    <x v="4"/>
    <d v="2020-06-20T00:00:00"/>
    <m/>
    <s v="FUTURE"/>
    <n v="15.08"/>
    <n v="15.08"/>
    <s v="LMT"/>
    <n v="1"/>
    <n v="15080"/>
    <n v="15.08"/>
    <s v=""/>
  </r>
  <r>
    <x v="113"/>
    <x v="10"/>
    <s v="Tuesday"/>
    <d v="1899-12-30T10:27:48"/>
    <s v="FUTURE"/>
    <s v="SELL"/>
    <n v="-1"/>
    <s v="TO CLOSE"/>
    <x v="4"/>
    <d v="2020-06-20T00:00:00"/>
    <m/>
    <s v="FUTURE"/>
    <n v="15.1"/>
    <n v="15.1"/>
    <s v="STP"/>
    <n v="0"/>
    <n v="0"/>
    <s v=""/>
    <n v="19.999999999999574"/>
  </r>
  <r>
    <x v="114"/>
    <x v="10"/>
    <s v="Tuesday"/>
    <d v="1899-12-30T10:28:54"/>
    <s v="FUTURE"/>
    <s v="BUY"/>
    <n v="1"/>
    <s v="TO OPEN"/>
    <x v="4"/>
    <d v="2020-06-20T00:00:00"/>
    <m/>
    <s v="FUTURE"/>
    <n v="15.48"/>
    <n v="15.48"/>
    <s v="MKT"/>
    <n v="1"/>
    <n v="15480"/>
    <n v="15.48"/>
    <s v=""/>
  </r>
  <r>
    <x v="114"/>
    <x v="10"/>
    <s v="Tuesday"/>
    <d v="1899-12-30T10:30:06"/>
    <s v="FUTURE"/>
    <s v="SELL"/>
    <n v="-1"/>
    <s v="TO CLOSE"/>
    <x v="4"/>
    <d v="2020-06-20T00:00:00"/>
    <m/>
    <s v="FUTURE"/>
    <n v="15.5"/>
    <n v="15.5"/>
    <s v="STP"/>
    <n v="0"/>
    <n v="0"/>
    <s v=""/>
    <n v="19.999999999999574"/>
  </r>
  <r>
    <x v="115"/>
    <x v="10"/>
    <s v="Tuesday"/>
    <d v="1899-12-30T10:37:22"/>
    <s v="FUTURE"/>
    <s v="SELL"/>
    <n v="-1"/>
    <s v="TO OPEN"/>
    <x v="4"/>
    <d v="2020-06-20T00:00:00"/>
    <m/>
    <s v="FUTURE"/>
    <n v="15.2"/>
    <n v="15.2"/>
    <s v="LMT"/>
    <n v="-1"/>
    <n v="-15200"/>
    <n v="15.2"/>
    <s v=""/>
  </r>
  <r>
    <x v="115"/>
    <x v="10"/>
    <s v="Tuesday"/>
    <d v="1899-12-30T10:39:08"/>
    <s v="FUTURE"/>
    <s v="BUY"/>
    <n v="1"/>
    <s v="TO CLOSE"/>
    <x v="4"/>
    <d v="2020-06-20T00:00:00"/>
    <m/>
    <s v="FUTURE"/>
    <n v="15.35"/>
    <n v="15.35"/>
    <s v="STP"/>
    <n v="0"/>
    <n v="0"/>
    <s v=""/>
    <n v="-150.00000000000034"/>
  </r>
  <r>
    <x v="116"/>
    <x v="10"/>
    <s v="Tuesday"/>
    <d v="1899-12-30T10:40:39"/>
    <s v="FUTURE"/>
    <s v="SELL"/>
    <n v="-1"/>
    <s v="TO OPEN"/>
    <x v="4"/>
    <d v="2020-06-20T00:00:00"/>
    <m/>
    <s v="FUTURE"/>
    <n v="15.24"/>
    <n v="15.24"/>
    <s v="LMT"/>
    <n v="-1"/>
    <n v="-15240"/>
    <n v="15.24"/>
    <s v=""/>
  </r>
  <r>
    <x v="116"/>
    <x v="10"/>
    <s v="Tuesday"/>
    <d v="1899-12-30T10:43:11"/>
    <s v="FUTURE"/>
    <s v="BUY"/>
    <n v="1"/>
    <s v="TO CLOSE"/>
    <x v="4"/>
    <d v="2020-06-20T00:00:00"/>
    <m/>
    <s v="FUTURE"/>
    <n v="14.99"/>
    <n v="14.99"/>
    <s v="LMT"/>
    <n v="0"/>
    <n v="0"/>
    <s v=""/>
    <n v="250"/>
  </r>
  <r>
    <x v="117"/>
    <x v="10"/>
    <s v="Tuesday"/>
    <d v="1899-12-30T10:53:54"/>
    <s v="FUTURE"/>
    <s v="BUY"/>
    <n v="1"/>
    <s v="TO OPEN"/>
    <x v="4"/>
    <d v="2020-06-20T00:00:00"/>
    <m/>
    <s v="FUTURE"/>
    <n v="14.89"/>
    <n v="14.89"/>
    <s v="LMT"/>
    <n v="1"/>
    <n v="14890"/>
    <n v="14.89"/>
    <s v=""/>
  </r>
  <r>
    <x v="117"/>
    <x v="10"/>
    <s v="Tuesday"/>
    <d v="1899-12-30T11:21:32"/>
    <s v="FUTURE"/>
    <s v="BUY"/>
    <n v="1"/>
    <s v="TO OPEN"/>
    <x v="4"/>
    <d v="2020-06-20T00:00:00"/>
    <m/>
    <s v="FUTURE"/>
    <n v="14.4"/>
    <n v="14.4"/>
    <s v="STP"/>
    <n v="2"/>
    <n v="29290"/>
    <n v="14.645"/>
    <s v=""/>
  </r>
  <r>
    <x v="117"/>
    <x v="10"/>
    <s v="Tuesday"/>
    <d v="1899-12-30T11:37:20"/>
    <s v="FUTURE"/>
    <s v="SELL"/>
    <n v="-2"/>
    <s v="TO CLOSE"/>
    <x v="4"/>
    <d v="2020-06-20T00:00:00"/>
    <m/>
    <s v="FUTURE"/>
    <n v="13.67"/>
    <n v="13.67"/>
    <s v="STP"/>
    <n v="0"/>
    <n v="0"/>
    <s v=""/>
    <n v="-1949.9999999999993"/>
  </r>
  <r>
    <x v="118"/>
    <x v="10"/>
    <s v="Tuesday"/>
    <d v="1899-12-30T11:37:49"/>
    <s v="FUTURE"/>
    <s v="BUY"/>
    <n v="1"/>
    <s v="TO OPEN"/>
    <x v="4"/>
    <d v="2020-06-20T00:00:00"/>
    <m/>
    <s v="FUTURE"/>
    <n v="13.66"/>
    <n v="13.66"/>
    <s v="MKT"/>
    <n v="1"/>
    <n v="13660"/>
    <n v="13.66"/>
    <s v=""/>
  </r>
  <r>
    <x v="118"/>
    <x v="10"/>
    <s v="Tuesday"/>
    <d v="1899-12-30T11:39:22"/>
    <s v="FUTURE"/>
    <s v="SELL"/>
    <n v="-1"/>
    <s v="TO CLOSE"/>
    <x v="4"/>
    <d v="2020-06-20T00:00:00"/>
    <m/>
    <s v="FUTURE"/>
    <n v="13.41"/>
    <n v="13.41"/>
    <s v="LMT"/>
    <n v="0"/>
    <n v="0"/>
    <s v=""/>
    <n v="-250"/>
  </r>
  <r>
    <x v="119"/>
    <x v="10"/>
    <s v="Tuesday"/>
    <d v="1899-12-30T11:42:07"/>
    <s v="FUTURE"/>
    <s v="BUY"/>
    <n v="2"/>
    <s v="TO OPEN"/>
    <x v="4"/>
    <d v="2020-06-20T00:00:00"/>
    <m/>
    <s v="FUTURE"/>
    <n v="13.73"/>
    <n v="13.73"/>
    <s v="LMT"/>
    <n v="2"/>
    <n v="27460"/>
    <n v="13.73"/>
    <s v=""/>
  </r>
  <r>
    <x v="119"/>
    <x v="10"/>
    <s v="Tuesday"/>
    <d v="1899-12-30T11:45:21"/>
    <s v="FUTURE"/>
    <s v="SELL"/>
    <n v="-2"/>
    <s v="TO CLOSE"/>
    <x v="4"/>
    <d v="2020-06-20T00:00:00"/>
    <m/>
    <s v="FUTURE"/>
    <n v="13.2"/>
    <n v="13.2"/>
    <s v="STP"/>
    <n v="0"/>
    <n v="0"/>
    <s v=""/>
    <n v="-1060.0000000000023"/>
  </r>
  <r>
    <x v="120"/>
    <x v="10"/>
    <s v="Tuesday"/>
    <d v="1899-12-30T11:48:20"/>
    <s v="FUTURE"/>
    <s v="SELL"/>
    <n v="-1"/>
    <s v="TO OPEN"/>
    <x v="4"/>
    <d v="2020-06-20T00:00:00"/>
    <m/>
    <s v="FUTURE"/>
    <n v="13.07"/>
    <n v="13.07"/>
    <s v="MKT"/>
    <n v="-1"/>
    <n v="-13070"/>
    <n v="13.07"/>
    <s v=""/>
  </r>
  <r>
    <x v="120"/>
    <x v="10"/>
    <s v="Tuesday"/>
    <d v="1899-12-30T11:49:09"/>
    <s v="FUTURE"/>
    <s v="BUY"/>
    <n v="1"/>
    <s v="TO CLOSE"/>
    <x v="4"/>
    <d v="2020-06-20T00:00:00"/>
    <m/>
    <s v="FUTURE"/>
    <n v="13.05"/>
    <n v="13.05"/>
    <s v="STP"/>
    <n v="0"/>
    <n v="0"/>
    <s v=""/>
    <n v="19.999999999999574"/>
  </r>
  <r>
    <x v="121"/>
    <x v="10"/>
    <s v="Tuesday"/>
    <d v="1899-12-30T12:01:59"/>
    <s v="FUTURE"/>
    <s v="BUY"/>
    <n v="1"/>
    <s v="TO OPEN"/>
    <x v="4"/>
    <d v="2020-06-20T00:00:00"/>
    <m/>
    <s v="FUTURE"/>
    <n v="13.51"/>
    <n v="13.51"/>
    <s v="MKT"/>
    <n v="1"/>
    <n v="13510"/>
    <n v="13.51"/>
    <s v=""/>
  </r>
  <r>
    <x v="121"/>
    <x v="10"/>
    <s v="Tuesday"/>
    <d v="1899-12-30T12:11:08"/>
    <s v="FUTURE"/>
    <s v="BUY"/>
    <n v="1"/>
    <s v="TO OPEN"/>
    <x v="4"/>
    <d v="2020-06-20T00:00:00"/>
    <m/>
    <s v="FUTURE"/>
    <n v="13.56"/>
    <n v="13.56"/>
    <s v="STP"/>
    <n v="2"/>
    <n v="27070"/>
    <n v="13.535"/>
    <s v=""/>
  </r>
  <r>
    <x v="121"/>
    <x v="10"/>
    <s v="Tuesday"/>
    <d v="1899-12-30T12:18:28"/>
    <s v="FUTURE"/>
    <s v="SELL"/>
    <n v="-2"/>
    <s v="TO CLOSE"/>
    <x v="4"/>
    <d v="2020-06-20T00:00:00"/>
    <m/>
    <s v="FUTURE"/>
    <n v="12.82"/>
    <n v="12.82"/>
    <s v="STP"/>
    <n v="0"/>
    <n v="0"/>
    <s v=""/>
    <n v="-1429.9999999999998"/>
  </r>
  <r>
    <x v="122"/>
    <x v="10"/>
    <s v="Tuesday"/>
    <d v="1899-12-30T10:08:45"/>
    <s v="FUTURE"/>
    <s v="SELL"/>
    <n v="-1"/>
    <s v="TO OPEN"/>
    <x v="1"/>
    <d v="2020-06-20T00:00:00"/>
    <m/>
    <s v="FUTURE"/>
    <n v="2769.25"/>
    <n v="2769.25"/>
    <s v="LMT"/>
    <n v="-1"/>
    <n v="-138462.5"/>
    <n v="2769.25"/>
    <s v=""/>
  </r>
  <r>
    <x v="122"/>
    <x v="10"/>
    <s v="Tuesday"/>
    <d v="1899-12-30T10:09:28"/>
    <s v="FUTURE"/>
    <s v="BUY"/>
    <n v="1"/>
    <s v="TO CLOSE"/>
    <x v="1"/>
    <d v="2020-06-20T00:00:00"/>
    <m/>
    <s v="FUTURE"/>
    <n v="2766"/>
    <n v="2766"/>
    <s v="LMT"/>
    <n v="0"/>
    <n v="0"/>
    <s v=""/>
    <n v="162.5"/>
  </r>
  <r>
    <x v="123"/>
    <x v="10"/>
    <s v="Tuesday"/>
    <d v="1899-12-30T11:49:57"/>
    <s v="FUTURE"/>
    <s v="BUY"/>
    <n v="5"/>
    <s v="TO OPEN"/>
    <x v="3"/>
    <d v="2020-06-20T00:00:00"/>
    <m/>
    <s v="FUTURE"/>
    <n v="2726"/>
    <n v="2726"/>
    <s v="MKT"/>
    <n v="5"/>
    <n v="68150"/>
    <n v="2726"/>
    <s v=""/>
  </r>
  <r>
    <x v="123"/>
    <x v="10"/>
    <s v="Tuesday"/>
    <d v="1899-12-30T11:56:58"/>
    <s v="FUTURE"/>
    <s v="SELL"/>
    <n v="-3"/>
    <s v="TO CLOSE"/>
    <x v="3"/>
    <d v="2020-06-20T00:00:00"/>
    <m/>
    <s v="FUTURE"/>
    <n v="2731.25"/>
    <n v="2731.25"/>
    <s v="LMT"/>
    <n v="2"/>
    <n v="27181.25"/>
    <n v="2718.125"/>
    <s v=""/>
  </r>
  <r>
    <x v="123"/>
    <x v="10"/>
    <s v="Tuesday"/>
    <d v="1899-12-30T11:58:05"/>
    <s v="FUTURE"/>
    <s v="SELL"/>
    <n v="-1"/>
    <s v="TO CLOSE"/>
    <x v="3"/>
    <d v="2020-06-20T00:00:00"/>
    <m/>
    <s v="FUTURE"/>
    <n v="2732.5"/>
    <n v="2732.5"/>
    <s v="LMT"/>
    <n v="1"/>
    <n v="13518.75"/>
    <n v="2703.75"/>
    <s v=""/>
  </r>
  <r>
    <x v="123"/>
    <x v="10"/>
    <s v="Tuesday"/>
    <d v="1899-12-30T11:58:05"/>
    <s v="FUTURE"/>
    <s v="SELL"/>
    <n v="-1"/>
    <s v="TO CLOSE"/>
    <x v="3"/>
    <d v="2020-06-20T00:00:00"/>
    <m/>
    <s v="FUTURE"/>
    <n v="2732.5"/>
    <n v="2732.5"/>
    <s v="LMT"/>
    <n v="0"/>
    <n v="0"/>
    <s v=""/>
    <n v="143.75"/>
  </r>
  <r>
    <x v="124"/>
    <x v="10"/>
    <s v="Tuesday"/>
    <d v="1899-12-30T10:14:36"/>
    <s v="STOCK"/>
    <s v="BUY"/>
    <n v="300"/>
    <s v="TO OPEN"/>
    <x v="2"/>
    <m/>
    <m/>
    <s v="STOCK"/>
    <n v="46.627400000000002"/>
    <n v="46.627400000000002"/>
    <s v="LMT"/>
    <n v="300"/>
    <n v="13988.220000000001"/>
    <n v="46.627400000000002"/>
    <s v=""/>
  </r>
  <r>
    <x v="124"/>
    <x v="10"/>
    <s v="Tuesday"/>
    <d v="1899-12-30T10:15:56"/>
    <s v="STOCK"/>
    <s v="SELL"/>
    <n v="-138"/>
    <s v="TO CLOSE"/>
    <x v="2"/>
    <m/>
    <m/>
    <s v="STOCK"/>
    <n v="46.63"/>
    <n v="46.63"/>
    <s v="LMT"/>
    <n v="162"/>
    <n v="7553.2800000000007"/>
    <n v="46.625185185185188"/>
    <s v=""/>
  </r>
  <r>
    <x v="124"/>
    <x v="10"/>
    <s v="Tuesday"/>
    <d v="1899-12-30T10:15:56"/>
    <s v="STOCK"/>
    <s v="SELL"/>
    <n v="-162"/>
    <s v="TO CLOSE"/>
    <x v="2"/>
    <m/>
    <m/>
    <s v="STOCK"/>
    <n v="46.63"/>
    <n v="46.63"/>
    <s v="LMT"/>
    <n v="0"/>
    <n v="0"/>
    <s v=""/>
    <n v="0.77999999999993008"/>
  </r>
  <r>
    <x v="125"/>
    <x v="10"/>
    <s v="Tuesday"/>
    <d v="1899-12-30T10:21:13"/>
    <s v="STOCK"/>
    <s v="SELL"/>
    <n v="-200"/>
    <s v="TO OPEN"/>
    <x v="2"/>
    <m/>
    <m/>
    <s v="STOCK"/>
    <n v="46.71"/>
    <n v="46.71"/>
    <s v="LMT"/>
    <n v="-200"/>
    <n v="-9342"/>
    <n v="46.71"/>
    <s v=""/>
  </r>
  <r>
    <x v="125"/>
    <x v="10"/>
    <s v="Tuesday"/>
    <d v="1899-12-30T10:21:13"/>
    <s v="STOCK"/>
    <s v="SELL"/>
    <n v="-200"/>
    <s v="TO OPEN"/>
    <x v="2"/>
    <m/>
    <m/>
    <s v="STOCK"/>
    <n v="46.71"/>
    <n v="46.71"/>
    <s v="LMT"/>
    <n v="-400"/>
    <n v="-18684"/>
    <n v="46.71"/>
    <s v=""/>
  </r>
  <r>
    <x v="125"/>
    <x v="10"/>
    <s v="Tuesday"/>
    <d v="1899-12-30T10:31:03"/>
    <s v="STOCK"/>
    <s v="BUY"/>
    <n v="100"/>
    <s v="TO CLOSE"/>
    <x v="2"/>
    <m/>
    <m/>
    <s v="STOCK"/>
    <n v="46.36"/>
    <n v="46.36"/>
    <s v="LMT"/>
    <n v="-300"/>
    <n v="-14048"/>
    <n v="46.826666666666668"/>
    <s v=""/>
  </r>
  <r>
    <x v="125"/>
    <x v="10"/>
    <s v="Tuesday"/>
    <d v="1899-12-30T10:31:03"/>
    <s v="STOCK"/>
    <s v="BUY"/>
    <n v="100"/>
    <s v="TO CLOSE"/>
    <x v="2"/>
    <m/>
    <m/>
    <s v="STOCK"/>
    <n v="46.36"/>
    <n v="46.36"/>
    <s v="LMT"/>
    <n v="-200"/>
    <n v="-9412"/>
    <n v="47.06"/>
    <s v=""/>
  </r>
  <r>
    <x v="125"/>
    <x v="10"/>
    <s v="Tuesday"/>
    <d v="1899-12-30T10:35:21"/>
    <s v="STOCK"/>
    <s v="BUY"/>
    <n v="95"/>
    <s v="TO CLOSE"/>
    <x v="2"/>
    <m/>
    <m/>
    <s v="STOCK"/>
    <n v="46.63"/>
    <n v="46.63"/>
    <s v="LMT"/>
    <n v="-105"/>
    <n v="-4982.1499999999996"/>
    <n v="47.449047619047619"/>
    <s v=""/>
  </r>
  <r>
    <x v="125"/>
    <x v="10"/>
    <s v="Tuesday"/>
    <d v="1899-12-30T10:35:21"/>
    <s v="STOCK"/>
    <s v="BUY"/>
    <n v="100"/>
    <s v="TO CLOSE"/>
    <x v="2"/>
    <m/>
    <m/>
    <s v="STOCK"/>
    <n v="46.63"/>
    <n v="46.63"/>
    <s v="LMT"/>
    <n v="-5"/>
    <n v="-319.14999999999964"/>
    <n v="63.829999999999927"/>
    <s v=""/>
  </r>
  <r>
    <x v="125"/>
    <x v="10"/>
    <s v="Tuesday"/>
    <d v="1899-12-30T10:35:21"/>
    <s v="STOCK"/>
    <s v="BUY"/>
    <n v="5"/>
    <s v="TO CLOSE"/>
    <x v="2"/>
    <m/>
    <m/>
    <s v="STOCK"/>
    <n v="46.63"/>
    <n v="46.63"/>
    <s v="LMT"/>
    <n v="0"/>
    <n v="0"/>
    <s v=""/>
    <n v="85.999999999999631"/>
  </r>
  <r>
    <x v="126"/>
    <x v="10"/>
    <s v="Tuesday"/>
    <d v="1899-12-30T10:52:29"/>
    <s v="STOCK"/>
    <s v="BUY"/>
    <n v="400"/>
    <s v="TO OPEN"/>
    <x v="2"/>
    <m/>
    <m/>
    <s v="STOCK"/>
    <n v="47.17"/>
    <n v="47.17"/>
    <s v="LMT"/>
    <n v="400"/>
    <n v="18868"/>
    <n v="47.17"/>
    <s v=""/>
  </r>
  <r>
    <x v="126"/>
    <x v="10"/>
    <s v="Tuesday"/>
    <d v="1899-12-30T10:55:54"/>
    <s v="STOCK"/>
    <s v="SELL"/>
    <n v="-400"/>
    <s v="TO CLOSE"/>
    <x v="2"/>
    <m/>
    <m/>
    <s v="STOCK"/>
    <n v="47.085000000000001"/>
    <n v="47.085000000000001"/>
    <s v="LMT"/>
    <n v="0"/>
    <n v="0"/>
    <s v=""/>
    <n v="-34.000000000000341"/>
  </r>
  <r>
    <x v="127"/>
    <x v="10"/>
    <s v="Tuesday"/>
    <d v="1899-12-30T11:04:22"/>
    <s v="STOCK"/>
    <s v="SELL"/>
    <n v="-400"/>
    <s v="TO OPEN"/>
    <x v="2"/>
    <m/>
    <m/>
    <s v="STOCK"/>
    <n v="47.202500000000001"/>
    <n v="47.202500000000001"/>
    <s v="LMT"/>
    <n v="-400"/>
    <n v="-18881"/>
    <n v="47.202500000000001"/>
    <s v=""/>
  </r>
  <r>
    <x v="127"/>
    <x v="10"/>
    <s v="Tuesday"/>
    <d v="1899-12-30T12:19:42"/>
    <s v="STOCK"/>
    <s v="BUY"/>
    <n v="140"/>
    <s v="TO CLOSE"/>
    <x v="2"/>
    <m/>
    <m/>
    <s v="STOCK"/>
    <n v="47.44"/>
    <n v="47.44"/>
    <s v="MKT"/>
    <n v="-260"/>
    <n v="-12239.400000000001"/>
    <n v="47.074615384615392"/>
    <s v=""/>
  </r>
  <r>
    <x v="127"/>
    <x v="10"/>
    <s v="Tuesday"/>
    <d v="1899-12-30T12:19:42"/>
    <s v="STOCK"/>
    <s v="BUY"/>
    <n v="100"/>
    <s v="TO CLOSE"/>
    <x v="2"/>
    <m/>
    <m/>
    <s v="STOCK"/>
    <n v="47.44"/>
    <n v="47.44"/>
    <s v="MKT"/>
    <n v="-160"/>
    <n v="-7495.4000000000015"/>
    <n v="46.846250000000012"/>
    <s v=""/>
  </r>
  <r>
    <x v="127"/>
    <x v="10"/>
    <s v="Tuesday"/>
    <d v="1899-12-30T12:19:42"/>
    <s v="STOCK"/>
    <s v="BUY"/>
    <n v="100"/>
    <s v="TO CLOSE"/>
    <x v="2"/>
    <m/>
    <m/>
    <s v="STOCK"/>
    <n v="47.44"/>
    <n v="47.44"/>
    <s v="MKT"/>
    <n v="-60"/>
    <n v="-2751.4000000000015"/>
    <n v="45.85666666666669"/>
    <s v=""/>
  </r>
  <r>
    <x v="127"/>
    <x v="10"/>
    <s v="Tuesday"/>
    <d v="1899-12-30T12:19:42"/>
    <s v="STOCK"/>
    <s v="BUY"/>
    <n v="40"/>
    <s v="TO CLOSE"/>
    <x v="2"/>
    <m/>
    <m/>
    <s v="STOCK"/>
    <n v="47.439900000000002"/>
    <n v="47.44"/>
    <s v="MKT"/>
    <n v="-20"/>
    <n v="-853.80400000000145"/>
    <n v="42.690200000000075"/>
    <s v=""/>
  </r>
  <r>
    <x v="127"/>
    <x v="10"/>
    <s v="Tuesday"/>
    <d v="1899-12-30T12:19:42"/>
    <s v="STOCK"/>
    <s v="BUY"/>
    <n v="20"/>
    <s v="TO CLOSE"/>
    <x v="2"/>
    <m/>
    <m/>
    <s v="STOCK"/>
    <n v="47.439900000000002"/>
    <n v="47.44"/>
    <s v="MKT"/>
    <n v="0"/>
    <n v="0"/>
    <s v=""/>
    <n v="-94.993999999998522"/>
  </r>
  <r>
    <x v="128"/>
    <x v="11"/>
    <s v="Wednesday"/>
    <d v="1899-12-30T09:47:52"/>
    <s v="FUTURE"/>
    <s v="SELL"/>
    <n v="-1"/>
    <s v="TO OPEN"/>
    <x v="5"/>
    <d v="2020-07-20T00:00:00"/>
    <m/>
    <s v="FUTURE"/>
    <n v="22.42"/>
    <n v="22.42"/>
    <s v="LMT"/>
    <n v="-1"/>
    <n v="-22420"/>
    <n v="22.42"/>
    <s v=""/>
  </r>
  <r>
    <x v="128"/>
    <x v="11"/>
    <s v="Wednesday"/>
    <d v="1899-12-30T09:49:36"/>
    <s v="FUTURE"/>
    <s v="BUY"/>
    <n v="1"/>
    <s v="TO CLOSE"/>
    <x v="5"/>
    <d v="2020-07-20T00:00:00"/>
    <m/>
    <s v="FUTURE"/>
    <n v="21.98"/>
    <n v="21.98"/>
    <s v="LMT"/>
    <n v="0"/>
    <n v="0"/>
    <s v=""/>
    <n v="440.00000000000125"/>
  </r>
  <r>
    <x v="129"/>
    <x v="11"/>
    <s v="Wednesday"/>
    <d v="1899-12-30T10:02:36"/>
    <s v="FUTURE"/>
    <s v="SELL"/>
    <n v="-1"/>
    <s v="TO OPEN"/>
    <x v="5"/>
    <d v="2020-07-20T00:00:00"/>
    <m/>
    <s v="FUTURE"/>
    <n v="21.96"/>
    <n v="21.96"/>
    <s v="LMT"/>
    <n v="-1"/>
    <n v="-21960"/>
    <n v="21.96"/>
    <s v=""/>
  </r>
  <r>
    <x v="129"/>
    <x v="11"/>
    <s v="Wednesday"/>
    <d v="1899-12-30T10:07:09"/>
    <s v="FUTURE"/>
    <s v="BUY"/>
    <n v="1"/>
    <s v="TO CLOSE"/>
    <x v="5"/>
    <d v="2020-07-20T00:00:00"/>
    <m/>
    <s v="FUTURE"/>
    <n v="21.87"/>
    <n v="21.87"/>
    <s v="MKT"/>
    <n v="0"/>
    <n v="0"/>
    <s v=""/>
    <n v="89.999999999999858"/>
  </r>
  <r>
    <x v="130"/>
    <x v="11"/>
    <s v="Wednesday"/>
    <d v="1899-12-30T10:32:14"/>
    <s v="FUTURE"/>
    <s v="BUY"/>
    <n v="1"/>
    <s v="TO OPEN"/>
    <x v="5"/>
    <d v="2020-07-20T00:00:00"/>
    <m/>
    <s v="FUTURE"/>
    <n v="21.2"/>
    <n v="21.2"/>
    <s v="STP"/>
    <n v="1"/>
    <n v="21200"/>
    <n v="21.2"/>
    <s v=""/>
  </r>
  <r>
    <x v="130"/>
    <x v="11"/>
    <s v="Wednesday"/>
    <d v="1899-12-30T10:43:31"/>
    <s v="FUTURE"/>
    <s v="SELL"/>
    <n v="-1"/>
    <s v="TO CLOSE"/>
    <x v="5"/>
    <d v="2020-07-20T00:00:00"/>
    <m/>
    <s v="FUTURE"/>
    <n v="21.71"/>
    <n v="21.71"/>
    <s v="MKT"/>
    <n v="0"/>
    <n v="0"/>
    <s v=""/>
    <n v="510.00000000000159"/>
  </r>
  <r>
    <x v="131"/>
    <x v="11"/>
    <s v="Wednesday"/>
    <d v="1899-12-30T11:23:18"/>
    <s v="FUTURE"/>
    <s v="BUY"/>
    <n v="1"/>
    <s v="TO OPEN"/>
    <x v="6"/>
    <d v="2020-08-20T00:00:00"/>
    <m/>
    <s v="FUTURE"/>
    <n v="23.77"/>
    <n v="23.77"/>
    <s v="LMT"/>
    <n v="1"/>
    <n v="23770"/>
    <n v="23.77"/>
    <s v=""/>
  </r>
  <r>
    <x v="131"/>
    <x v="11"/>
    <s v="Wednesday"/>
    <d v="1899-12-30T11:25:10"/>
    <s v="FUTURE"/>
    <s v="SELL"/>
    <n v="-1"/>
    <s v="TO CLOSE"/>
    <x v="6"/>
    <d v="2020-08-20T00:00:00"/>
    <m/>
    <s v="FUTURE"/>
    <n v="23.78"/>
    <n v="23.78"/>
    <s v="LMT"/>
    <n v="0"/>
    <n v="0"/>
    <s v=""/>
    <n v="10.000000000001563"/>
  </r>
  <r>
    <x v="132"/>
    <x v="11"/>
    <s v="Wednesday"/>
    <d v="1899-12-30T11:05:55"/>
    <s v="FUTURE"/>
    <s v="BUY"/>
    <n v="5"/>
    <s v="TO OPEN"/>
    <x v="3"/>
    <d v="2020-06-20T00:00:00"/>
    <m/>
    <s v="FUTURE"/>
    <n v="2776.5"/>
    <n v="2776.5"/>
    <s v="MKT"/>
    <n v="5"/>
    <n v="69412.5"/>
    <n v="2776.5"/>
    <s v=""/>
  </r>
  <r>
    <x v="132"/>
    <x v="11"/>
    <s v="Wednesday"/>
    <d v="1899-12-30T11:14:52"/>
    <s v="FUTURE"/>
    <s v="SELL"/>
    <n v="-3"/>
    <s v="TO CLOSE"/>
    <x v="3"/>
    <d v="2020-06-20T00:00:00"/>
    <m/>
    <s v="FUTURE"/>
    <n v="2777.5"/>
    <n v="2777.5"/>
    <s v="LMT"/>
    <n v="2"/>
    <n v="27750"/>
    <n v="2775"/>
    <s v=""/>
  </r>
  <r>
    <x v="132"/>
    <x v="11"/>
    <s v="Wednesday"/>
    <d v="1899-12-30T11:15:50"/>
    <s v="FUTURE"/>
    <s v="SELL"/>
    <n v="-2"/>
    <s v="TO CLOSE"/>
    <x v="3"/>
    <d v="2020-06-20T00:00:00"/>
    <m/>
    <s v="FUTURE"/>
    <n v="2780"/>
    <n v="2780"/>
    <s v="LMT"/>
    <n v="0"/>
    <n v="0"/>
    <s v=""/>
    <n v="50"/>
  </r>
  <r>
    <x v="133"/>
    <x v="11"/>
    <s v="Wednesday"/>
    <d v="1899-12-30T09:36:17"/>
    <s v="STOCK"/>
    <s v="SELL"/>
    <n v="-350"/>
    <s v="TO OPEN"/>
    <x v="2"/>
    <m/>
    <m/>
    <s v="STOCK"/>
    <n v="45.14"/>
    <n v="45.14"/>
    <s v="LMT"/>
    <n v="-350"/>
    <n v="-15799"/>
    <n v="45.14"/>
    <s v=""/>
  </r>
  <r>
    <x v="133"/>
    <x v="11"/>
    <s v="Wednesday"/>
    <d v="1899-12-30T10:27:27"/>
    <s v="STOCK"/>
    <s v="BUY"/>
    <n v="100"/>
    <s v="TO CLOSE"/>
    <x v="2"/>
    <m/>
    <m/>
    <s v="STOCK"/>
    <n v="44.559899999999999"/>
    <n v="44.559899999999999"/>
    <s v="MKT"/>
    <n v="-250"/>
    <n v="-11343.01"/>
    <n v="45.372039999999998"/>
    <s v=""/>
  </r>
  <r>
    <x v="133"/>
    <x v="11"/>
    <s v="Wednesday"/>
    <d v="1899-12-30T10:27:27"/>
    <s v="STOCK"/>
    <s v="BUY"/>
    <n v="50"/>
    <s v="TO CLOSE"/>
    <x v="2"/>
    <m/>
    <m/>
    <s v="STOCK"/>
    <n v="44.559899999999999"/>
    <n v="44.56"/>
    <s v="MKT"/>
    <n v="-200"/>
    <n v="-9115.0149999999994"/>
    <n v="45.575074999999998"/>
    <s v=""/>
  </r>
  <r>
    <x v="133"/>
    <x v="11"/>
    <s v="Wednesday"/>
    <d v="1899-12-30T10:44:16"/>
    <s v="STOCK"/>
    <s v="BUY"/>
    <n v="100"/>
    <s v="TO CLOSE"/>
    <x v="2"/>
    <m/>
    <m/>
    <s v="STOCK"/>
    <n v="44.5899"/>
    <n v="44.5899"/>
    <s v="LMT"/>
    <n v="-100"/>
    <n v="-4656.0249999999996"/>
    <n v="46.560249999999996"/>
    <s v=""/>
  </r>
  <r>
    <x v="133"/>
    <x v="11"/>
    <s v="Wednesday"/>
    <d v="1899-12-30T10:46:54"/>
    <s v="STOCK"/>
    <s v="BUY"/>
    <n v="90"/>
    <s v="TO CLOSE"/>
    <x v="2"/>
    <m/>
    <m/>
    <s v="STOCK"/>
    <n v="44.598700000000001"/>
    <n v="44.598669999999998"/>
    <s v="MKT"/>
    <n v="-10"/>
    <n v="-642.14199999999937"/>
    <n v="64.214199999999934"/>
    <s v=""/>
  </r>
  <r>
    <x v="133"/>
    <x v="11"/>
    <s v="Wednesday"/>
    <d v="1899-12-30T10:46:54"/>
    <s v="STOCK"/>
    <s v="BUY"/>
    <n v="10"/>
    <s v="TO CLOSE"/>
    <x v="2"/>
    <m/>
    <m/>
    <s v="STOCK"/>
    <n v="44.598700000000001"/>
    <n v="44.598999999999997"/>
    <s v="MKT"/>
    <n v="0"/>
    <n v="0"/>
    <s v=""/>
    <n v="196.15499999999935"/>
  </r>
  <r>
    <x v="134"/>
    <x v="12"/>
    <s v="Thursday"/>
    <d v="1899-12-30T09:47:51"/>
    <s v="FUTURE"/>
    <s v="SELL"/>
    <n v="-1"/>
    <s v="TO OPEN"/>
    <x v="1"/>
    <d v="2020-06-20T00:00:00"/>
    <m/>
    <s v="FUTURE"/>
    <n v="2813.75"/>
    <n v="2813.75"/>
    <s v="LMT"/>
    <n v="-1"/>
    <n v="-140687.5"/>
    <n v="2813.75"/>
    <s v=""/>
  </r>
  <r>
    <x v="134"/>
    <x v="12"/>
    <s v="Thursday"/>
    <d v="1899-12-30T09:54:38"/>
    <s v="FUTURE"/>
    <s v="BUY"/>
    <n v="1"/>
    <s v="TO CLOSE"/>
    <x v="1"/>
    <d v="2020-06-20T00:00:00"/>
    <m/>
    <s v="FUTURE"/>
    <n v="2810"/>
    <n v="2810"/>
    <s v="MKT"/>
    <n v="0"/>
    <n v="0"/>
    <s v=""/>
    <n v="187.5"/>
  </r>
  <r>
    <x v="135"/>
    <x v="12"/>
    <s v="Thursday"/>
    <d v="1899-12-30T10:04:17"/>
    <s v="FUTURE"/>
    <s v="SELL"/>
    <n v="-1"/>
    <s v="TO OPEN"/>
    <x v="1"/>
    <d v="2020-06-20T00:00:00"/>
    <m/>
    <s v="FUTURE"/>
    <n v="2812"/>
    <n v="2812"/>
    <s v="LMT"/>
    <n v="-1"/>
    <n v="-140600"/>
    <n v="2812"/>
    <s v=""/>
  </r>
  <r>
    <x v="135"/>
    <x v="12"/>
    <s v="Thursday"/>
    <d v="1899-12-30T10:22:28"/>
    <s v="FUTURE"/>
    <s v="BUY"/>
    <n v="1"/>
    <s v="TO CLOSE"/>
    <x v="1"/>
    <d v="2020-06-20T00:00:00"/>
    <m/>
    <s v="FUTURE"/>
    <n v="2822.5"/>
    <n v="2822.5"/>
    <s v="STP"/>
    <n v="0"/>
    <n v="0"/>
    <s v=""/>
    <n v="-525"/>
  </r>
  <r>
    <x v="136"/>
    <x v="12"/>
    <s v="Thursday"/>
    <d v="1899-12-30T10:29:40"/>
    <s v="FUTURE"/>
    <s v="SELL"/>
    <n v="-1"/>
    <s v="TO OPEN"/>
    <x v="1"/>
    <d v="2020-06-20T00:00:00"/>
    <m/>
    <s v="FUTURE"/>
    <n v="2821.5"/>
    <n v="2821.5"/>
    <s v="LMT"/>
    <n v="-1"/>
    <n v="-141075"/>
    <n v="2821.5"/>
    <s v=""/>
  </r>
  <r>
    <x v="136"/>
    <x v="12"/>
    <s v="Thursday"/>
    <d v="1899-12-30T10:58:51"/>
    <s v="FUTURE"/>
    <s v="BUY"/>
    <n v="1"/>
    <s v="TO CLOSE"/>
    <x v="1"/>
    <d v="2020-06-20T00:00:00"/>
    <m/>
    <s v="FUTURE"/>
    <n v="2833.25"/>
    <n v="2833.25"/>
    <s v="STP"/>
    <n v="0"/>
    <n v="0"/>
    <s v=""/>
    <n v="-587.5"/>
  </r>
  <r>
    <x v="137"/>
    <x v="12"/>
    <s v="Thursday"/>
    <d v="1899-12-30T11:11:53"/>
    <s v="FUTURE"/>
    <s v="SELL"/>
    <n v="-1"/>
    <s v="TO OPEN"/>
    <x v="1"/>
    <d v="2020-06-20T00:00:00"/>
    <m/>
    <s v="FUTURE"/>
    <n v="2824.75"/>
    <n v="2824.75"/>
    <s v="MKT"/>
    <n v="-1"/>
    <n v="-141237.5"/>
    <n v="2824.75"/>
    <s v=""/>
  </r>
  <r>
    <x v="137"/>
    <x v="12"/>
    <s v="Thursday"/>
    <d v="1899-12-30T11:48:30"/>
    <s v="FUTURE"/>
    <s v="BUY"/>
    <n v="1"/>
    <s v="TO CLOSE"/>
    <x v="1"/>
    <d v="2020-06-20T00:00:00"/>
    <m/>
    <s v="FUTURE"/>
    <n v="2817"/>
    <n v="2817"/>
    <s v="LMT"/>
    <n v="0"/>
    <n v="0"/>
    <s v=""/>
    <n v="387.5"/>
  </r>
  <r>
    <x v="138"/>
    <x v="12"/>
    <s v="Thursday"/>
    <d v="1899-12-30T12:00:46"/>
    <s v="FUTURE"/>
    <s v="SELL"/>
    <n v="-1"/>
    <s v="TO OPEN"/>
    <x v="1"/>
    <d v="2020-06-20T00:00:00"/>
    <m/>
    <s v="FUTURE"/>
    <n v="2820.25"/>
    <n v="2820.25"/>
    <s v="LMT"/>
    <n v="-1"/>
    <n v="-141012.5"/>
    <n v="2820.25"/>
    <s v=""/>
  </r>
  <r>
    <x v="138"/>
    <x v="12"/>
    <s v="Thursday"/>
    <d v="1899-12-30T12:44:53"/>
    <s v="FUTURE"/>
    <s v="BUY"/>
    <n v="1"/>
    <s v="TO CLOSE"/>
    <x v="1"/>
    <d v="2020-06-20T00:00:00"/>
    <m/>
    <s v="FUTURE"/>
    <n v="2808.25"/>
    <n v="2808.25"/>
    <s v="LMT"/>
    <n v="0"/>
    <n v="0"/>
    <s v=""/>
    <n v="600"/>
  </r>
  <r>
    <x v="139"/>
    <x v="12"/>
    <s v="Thursday"/>
    <d v="1899-12-30T13:40:33"/>
    <s v="FUTURE"/>
    <s v="SELL"/>
    <n v="-1"/>
    <s v="TO OPEN"/>
    <x v="1"/>
    <d v="2020-06-20T00:00:00"/>
    <m/>
    <s v="FUTURE"/>
    <n v="2801"/>
    <n v="2801"/>
    <s v="MKT"/>
    <n v="-1"/>
    <n v="-140050"/>
    <n v="2801"/>
    <s v=""/>
  </r>
  <r>
    <x v="139"/>
    <x v="12"/>
    <s v="Thursday"/>
    <d v="1899-12-30T13:41:40"/>
    <s v="FUTURE"/>
    <s v="BUY"/>
    <n v="1"/>
    <s v="TO CLOSE"/>
    <x v="1"/>
    <d v="2020-06-20T00:00:00"/>
    <m/>
    <s v="FUTURE"/>
    <n v="2798"/>
    <n v="2798"/>
    <s v="LMT"/>
    <n v="0"/>
    <n v="0"/>
    <s v=""/>
    <n v="150"/>
  </r>
  <r>
    <x v="140"/>
    <x v="12"/>
    <s v="Thursday"/>
    <d v="1899-12-30T14:03:46"/>
    <s v="FUTURE"/>
    <s v="BUY"/>
    <n v="1"/>
    <s v="TO OPEN"/>
    <x v="1"/>
    <d v="2020-06-20T00:00:00"/>
    <m/>
    <s v="FUTURE"/>
    <n v="2796.25"/>
    <n v="2796.25"/>
    <s v="MKT"/>
    <n v="1"/>
    <n v="139812.5"/>
    <n v="2796.25"/>
    <s v=""/>
  </r>
  <r>
    <x v="140"/>
    <x v="12"/>
    <s v="Thursday"/>
    <d v="1899-12-30T14:16:38"/>
    <s v="FUTURE"/>
    <s v="SELL"/>
    <n v="-1"/>
    <s v="TO CLOSE"/>
    <x v="1"/>
    <d v="2020-06-20T00:00:00"/>
    <m/>
    <s v="FUTURE"/>
    <n v="2800.25"/>
    <n v="2800.25"/>
    <s v="LMT"/>
    <n v="0"/>
    <n v="0"/>
    <s v=""/>
    <n v="200"/>
  </r>
  <r>
    <x v="141"/>
    <x v="12"/>
    <s v="Thursday"/>
    <d v="1899-12-30T09:48:01"/>
    <s v="STOCK"/>
    <s v="BUY"/>
    <n v="293"/>
    <s v="TO OPEN"/>
    <x v="2"/>
    <m/>
    <m/>
    <s v="STOCK"/>
    <n v="43.28"/>
    <n v="43.28"/>
    <s v="LMT"/>
    <n v="293"/>
    <n v="12681.04"/>
    <n v="43.28"/>
    <s v=""/>
  </r>
  <r>
    <x v="141"/>
    <x v="12"/>
    <s v="Thursday"/>
    <d v="1899-12-30T09:48:01"/>
    <s v="STOCK"/>
    <s v="BUY"/>
    <n v="107"/>
    <s v="TO OPEN"/>
    <x v="2"/>
    <m/>
    <m/>
    <s v="STOCK"/>
    <n v="43.28"/>
    <n v="43.28"/>
    <s v="LMT"/>
    <n v="400"/>
    <n v="17312"/>
    <n v="43.28"/>
    <s v=""/>
  </r>
  <r>
    <x v="141"/>
    <x v="12"/>
    <s v="Thursday"/>
    <d v="1899-12-30T09:57:34"/>
    <s v="STOCK"/>
    <s v="SELL"/>
    <n v="-100"/>
    <s v="TO CLOSE"/>
    <x v="2"/>
    <m/>
    <m/>
    <s v="STOCK"/>
    <n v="43.302700000000002"/>
    <n v="43.302700000000002"/>
    <s v="LMT"/>
    <n v="300"/>
    <n v="12981.73"/>
    <n v="43.272433333333332"/>
    <s v=""/>
  </r>
  <r>
    <x v="141"/>
    <x v="12"/>
    <s v="Thursday"/>
    <d v="1899-12-30T09:57:34"/>
    <s v="STOCK"/>
    <s v="SELL"/>
    <n v="-100"/>
    <s v="TO CLOSE"/>
    <x v="2"/>
    <m/>
    <m/>
    <s v="STOCK"/>
    <n v="43.302700000000002"/>
    <n v="43.302700000000002"/>
    <s v="LMT"/>
    <n v="200"/>
    <n v="8651.4599999999991"/>
    <n v="43.257299999999994"/>
    <s v=""/>
  </r>
  <r>
    <x v="141"/>
    <x v="12"/>
    <s v="Thursday"/>
    <d v="1899-12-30T09:57:34"/>
    <s v="STOCK"/>
    <s v="SELL"/>
    <n v="-100"/>
    <s v="TO CLOSE"/>
    <x v="2"/>
    <m/>
    <m/>
    <s v="STOCK"/>
    <n v="43.302700000000002"/>
    <n v="43.302700000000002"/>
    <s v="LMT"/>
    <n v="100"/>
    <n v="4321.1899999999987"/>
    <n v="43.211899999999986"/>
    <s v=""/>
  </r>
  <r>
    <x v="141"/>
    <x v="12"/>
    <s v="Thursday"/>
    <d v="1899-12-30T09:57:34"/>
    <s v="STOCK"/>
    <s v="SELL"/>
    <n v="-100"/>
    <s v="TO CLOSE"/>
    <x v="2"/>
    <m/>
    <m/>
    <s v="STOCK"/>
    <n v="43.302700000000002"/>
    <n v="43.302700000000002"/>
    <s v="LMT"/>
    <n v="0"/>
    <n v="0"/>
    <s v=""/>
    <n v="9.0800000000015757"/>
  </r>
  <r>
    <x v="142"/>
    <x v="12"/>
    <s v="Thursday"/>
    <d v="1899-12-30T10:03:43"/>
    <s v="STOCK"/>
    <s v="BUY"/>
    <n v="300"/>
    <s v="TO OPEN"/>
    <x v="2"/>
    <m/>
    <m/>
    <s v="STOCK"/>
    <n v="43.269799999999996"/>
    <n v="43.269799999999996"/>
    <s v="LMT"/>
    <n v="300"/>
    <n v="12980.939999999999"/>
    <n v="43.269799999999996"/>
    <s v=""/>
  </r>
  <r>
    <x v="142"/>
    <x v="12"/>
    <s v="Thursday"/>
    <d v="1899-12-30T10:03:43"/>
    <s v="STOCK"/>
    <s v="BUY"/>
    <n v="100"/>
    <s v="TO OPEN"/>
    <x v="2"/>
    <m/>
    <m/>
    <s v="STOCK"/>
    <n v="43.265000000000001"/>
    <n v="43.265000000000001"/>
    <s v="LMT"/>
    <n v="400"/>
    <n v="17307.439999999999"/>
    <n v="43.268599999999999"/>
    <s v=""/>
  </r>
  <r>
    <x v="142"/>
    <x v="12"/>
    <s v="Thursday"/>
    <d v="1899-12-30T10:40:33"/>
    <s v="STOCK"/>
    <s v="BUY"/>
    <n v="200"/>
    <s v="TO OPEN"/>
    <x v="2"/>
    <m/>
    <m/>
    <s v="STOCK"/>
    <n v="42.97"/>
    <n v="42.97"/>
    <s v="LMT"/>
    <n v="600"/>
    <n v="25901.439999999999"/>
    <n v="43.169066666666666"/>
    <s v=""/>
  </r>
  <r>
    <x v="142"/>
    <x v="12"/>
    <s v="Thursday"/>
    <d v="1899-12-30T11:59:22"/>
    <s v="STOCK"/>
    <s v="SELL"/>
    <n v="-100"/>
    <s v="TO CLOSE"/>
    <x v="2"/>
    <m/>
    <m/>
    <s v="STOCK"/>
    <n v="43.201099999999997"/>
    <n v="43.201099999999997"/>
    <s v="LMT"/>
    <n v="500"/>
    <n v="21581.329999999998"/>
    <n v="43.162659999999995"/>
    <s v=""/>
  </r>
  <r>
    <x v="142"/>
    <x v="12"/>
    <s v="Thursday"/>
    <d v="1899-12-30T11:59:22"/>
    <s v="STOCK"/>
    <s v="SELL"/>
    <n v="-100"/>
    <s v="TO CLOSE"/>
    <x v="2"/>
    <m/>
    <m/>
    <s v="STOCK"/>
    <n v="43.201099999999997"/>
    <n v="43.201099999999997"/>
    <s v="LMT"/>
    <n v="400"/>
    <n v="17261.219999999998"/>
    <n v="43.153049999999993"/>
    <s v=""/>
  </r>
  <r>
    <x v="142"/>
    <x v="12"/>
    <s v="Thursday"/>
    <d v="1899-12-30T12:15:25"/>
    <s v="STOCK"/>
    <s v="BUY"/>
    <n v="200"/>
    <s v="TO OPEN"/>
    <x v="2"/>
    <m/>
    <m/>
    <s v="STOCK"/>
    <n v="43.01"/>
    <n v="43.01"/>
    <s v="LMT"/>
    <n v="600"/>
    <n v="25863.219999999998"/>
    <n v="43.105366666666662"/>
    <s v=""/>
  </r>
  <r>
    <x v="142"/>
    <x v="12"/>
    <s v="Thursday"/>
    <d v="1899-12-30T12:44:49"/>
    <s v="STOCK"/>
    <s v="SELL"/>
    <n v="-100"/>
    <s v="TO CLOSE"/>
    <x v="2"/>
    <m/>
    <m/>
    <s v="STOCK"/>
    <n v="43.61"/>
    <n v="43.61"/>
    <s v="LMT"/>
    <n v="500"/>
    <n v="21502.219999999998"/>
    <n v="43.004439999999995"/>
    <s v=""/>
  </r>
  <r>
    <x v="142"/>
    <x v="12"/>
    <s v="Thursday"/>
    <d v="1899-12-30T12:44:49"/>
    <s v="STOCK"/>
    <s v="SELL"/>
    <n v="-200"/>
    <s v="TO CLOSE"/>
    <x v="2"/>
    <m/>
    <m/>
    <s v="STOCK"/>
    <n v="43.61"/>
    <n v="43.61"/>
    <s v="LMT"/>
    <n v="300"/>
    <n v="12780.219999999998"/>
    <n v="42.600733333333324"/>
    <s v=""/>
  </r>
  <r>
    <x v="142"/>
    <x v="12"/>
    <s v="Thursday"/>
    <d v="1899-12-30T12:45:25"/>
    <s v="STOCK"/>
    <s v="SELL"/>
    <n v="-200"/>
    <s v="TO CLOSE"/>
    <x v="2"/>
    <m/>
    <m/>
    <s v="STOCK"/>
    <n v="43.7301"/>
    <n v="43.7301"/>
    <s v="MKT"/>
    <n v="100"/>
    <n v="4034.1999999999971"/>
    <n v="40.34199999999997"/>
    <s v=""/>
  </r>
  <r>
    <x v="142"/>
    <x v="12"/>
    <s v="Thursday"/>
    <d v="1899-12-30T12:45:37"/>
    <s v="STOCK"/>
    <s v="SELL"/>
    <n v="-100"/>
    <s v="TO CLOSE"/>
    <x v="2"/>
    <m/>
    <m/>
    <s v="STOCK"/>
    <n v="43.8431"/>
    <n v="43.8431"/>
    <s v="MKT"/>
    <n v="0"/>
    <n v="0"/>
    <s v=""/>
    <n v="350.11000000000297"/>
  </r>
  <r>
    <x v="143"/>
    <x v="12"/>
    <s v="Thursday"/>
    <d v="1899-12-30T13:30:44"/>
    <s v="STOCK"/>
    <s v="SELL"/>
    <n v="-191"/>
    <s v="TO OPEN"/>
    <x v="2"/>
    <m/>
    <m/>
    <s v="STOCK"/>
    <n v="44.17"/>
    <n v="44.17"/>
    <s v="LMT"/>
    <n v="-191"/>
    <n v="-8436.4700000000012"/>
    <n v="44.170000000000009"/>
    <s v=""/>
  </r>
  <r>
    <x v="143"/>
    <x v="12"/>
    <s v="Thursday"/>
    <d v="1899-12-30T13:30:44"/>
    <s v="STOCK"/>
    <s v="SELL"/>
    <n v="-7"/>
    <s v="TO OPEN"/>
    <x v="2"/>
    <m/>
    <m/>
    <s v="STOCK"/>
    <n v="44.17"/>
    <n v="44.17"/>
    <s v="LMT"/>
    <n v="-198"/>
    <n v="-8745.6600000000017"/>
    <n v="44.170000000000009"/>
    <s v=""/>
  </r>
  <r>
    <x v="143"/>
    <x v="12"/>
    <s v="Thursday"/>
    <d v="1899-12-30T13:30:44"/>
    <s v="STOCK"/>
    <s v="SELL"/>
    <n v="-102"/>
    <s v="TO OPEN"/>
    <x v="2"/>
    <m/>
    <m/>
    <s v="STOCK"/>
    <n v="44.17"/>
    <n v="44.17"/>
    <s v="LMT"/>
    <n v="-300"/>
    <n v="-13251.000000000002"/>
    <n v="44.170000000000009"/>
    <s v=""/>
  </r>
  <r>
    <x v="143"/>
    <x v="12"/>
    <s v="Thursday"/>
    <d v="1899-12-30T13:30:44"/>
    <s v="STOCK"/>
    <s v="SELL"/>
    <n v="-100"/>
    <s v="TO OPEN"/>
    <x v="2"/>
    <m/>
    <m/>
    <s v="STOCK"/>
    <n v="44.17"/>
    <n v="44.17"/>
    <s v="LMT"/>
    <n v="-400"/>
    <n v="-17668"/>
    <n v="44.17"/>
    <s v=""/>
  </r>
  <r>
    <x v="143"/>
    <x v="12"/>
    <s v="Thursday"/>
    <d v="1899-12-30T13:36:33"/>
    <s v="STOCK"/>
    <s v="BUY"/>
    <n v="200"/>
    <s v="TO CLOSE"/>
    <x v="2"/>
    <m/>
    <m/>
    <s v="STOCK"/>
    <n v="43.95"/>
    <n v="43.95"/>
    <s v="LMT"/>
    <n v="-200"/>
    <n v="-8878"/>
    <n v="44.39"/>
    <s v=""/>
  </r>
  <r>
    <x v="143"/>
    <x v="12"/>
    <s v="Thursday"/>
    <d v="1899-12-30T13:39:13"/>
    <s v="STOCK"/>
    <s v="BUY"/>
    <n v="200"/>
    <s v="TO CLOSE"/>
    <x v="2"/>
    <m/>
    <m/>
    <s v="STOCK"/>
    <n v="44.17"/>
    <n v="44.17"/>
    <s v="STP"/>
    <n v="0"/>
    <n v="0"/>
    <s v=""/>
    <n v="43.999999999999773"/>
  </r>
  <r>
    <x v="144"/>
    <x v="12"/>
    <s v="Thursday"/>
    <d v="1899-12-30T13:46:45"/>
    <s v="STOCK"/>
    <s v="SELL"/>
    <n v="-400"/>
    <s v="TO OPEN"/>
    <x v="2"/>
    <m/>
    <m/>
    <s v="STOCK"/>
    <n v="44.2423"/>
    <n v="44.2423"/>
    <s v="LMT"/>
    <n v="-400"/>
    <n v="-17696.919999999998"/>
    <n v="44.242299999999993"/>
    <s v=""/>
  </r>
  <r>
    <x v="144"/>
    <x v="12"/>
    <s v="Thursday"/>
    <d v="1899-12-30T14:03:00"/>
    <s v="STOCK"/>
    <s v="BUY"/>
    <n v="400"/>
    <s v="TO CLOSE"/>
    <x v="2"/>
    <m/>
    <m/>
    <s v="STOCK"/>
    <n v="44.549500000000002"/>
    <n v="44.549500000000002"/>
    <s v="MKT"/>
    <n v="0"/>
    <n v="0"/>
    <s v=""/>
    <n v="-122.88000000000352"/>
  </r>
  <r>
    <x v="145"/>
    <x v="12"/>
    <s v="Thursday"/>
    <d v="1899-12-30T14:13:30"/>
    <s v="STOCK"/>
    <s v="SELL"/>
    <n v="-100"/>
    <s v="TO OPEN"/>
    <x v="2"/>
    <m/>
    <m/>
    <s v="STOCK"/>
    <n v="44.69"/>
    <n v="44.69"/>
    <s v="LMT"/>
    <n v="-100"/>
    <n v="-4469"/>
    <n v="44.69"/>
    <s v=""/>
  </r>
  <r>
    <x v="145"/>
    <x v="12"/>
    <s v="Thursday"/>
    <d v="1899-12-30T14:13:31"/>
    <s v="STOCK"/>
    <s v="SELL"/>
    <n v="-71"/>
    <s v="TO OPEN"/>
    <x v="2"/>
    <m/>
    <m/>
    <s v="STOCK"/>
    <n v="44.69"/>
    <n v="44.69"/>
    <s v="LMT"/>
    <n v="-171"/>
    <n v="-7641.99"/>
    <n v="44.69"/>
    <s v=""/>
  </r>
  <r>
    <x v="145"/>
    <x v="12"/>
    <s v="Thursday"/>
    <d v="1899-12-30T14:13:31"/>
    <s v="STOCK"/>
    <s v="SELL"/>
    <n v="-80"/>
    <s v="TO OPEN"/>
    <x v="2"/>
    <m/>
    <m/>
    <s v="STOCK"/>
    <n v="44.69"/>
    <n v="44.69"/>
    <s v="LMT"/>
    <n v="-251"/>
    <n v="-11217.189999999999"/>
    <n v="44.69"/>
    <s v=""/>
  </r>
  <r>
    <x v="145"/>
    <x v="12"/>
    <s v="Thursday"/>
    <d v="1899-12-30T14:13:31"/>
    <s v="STOCK"/>
    <s v="SELL"/>
    <n v="-149"/>
    <s v="TO OPEN"/>
    <x v="2"/>
    <m/>
    <m/>
    <s v="STOCK"/>
    <n v="44.69"/>
    <n v="44.69"/>
    <s v="LMT"/>
    <n v="-400"/>
    <n v="-17876"/>
    <n v="44.69"/>
    <s v=""/>
  </r>
  <r>
    <x v="145"/>
    <x v="12"/>
    <s v="Thursday"/>
    <d v="1899-12-30T14:18:02"/>
    <s v="STOCK"/>
    <s v="BUY"/>
    <n v="200"/>
    <s v="TO CLOSE"/>
    <x v="2"/>
    <m/>
    <m/>
    <s v="STOCK"/>
    <n v="44.37"/>
    <n v="44.37"/>
    <s v="LMT"/>
    <n v="-200"/>
    <n v="-9002"/>
    <n v="45.01"/>
    <s v=""/>
  </r>
  <r>
    <x v="145"/>
    <x v="12"/>
    <s v="Thursday"/>
    <d v="1899-12-30T14:24:55"/>
    <s v="STOCK"/>
    <s v="BUY"/>
    <n v="100"/>
    <s v="TO CLOSE"/>
    <x v="2"/>
    <m/>
    <m/>
    <s v="STOCK"/>
    <n v="44.22"/>
    <n v="44.22"/>
    <s v="LMT"/>
    <n v="-100"/>
    <n v="-4580"/>
    <n v="45.8"/>
    <s v=""/>
  </r>
  <r>
    <x v="145"/>
    <x v="12"/>
    <s v="Thursday"/>
    <d v="1899-12-30T14:25:32"/>
    <s v="STOCK"/>
    <s v="BUY"/>
    <n v="100"/>
    <s v="TO CLOSE"/>
    <x v="2"/>
    <m/>
    <m/>
    <s v="STOCK"/>
    <n v="44.018999999999998"/>
    <n v="44.018999999999998"/>
    <s v="MKT"/>
    <n v="0"/>
    <n v="0"/>
    <s v=""/>
    <n v="178.09999999999988"/>
  </r>
  <r>
    <x v="146"/>
    <x v="13"/>
    <s v="Friday"/>
    <d v="1899-12-30T09:45:00"/>
    <s v="FUTURE"/>
    <s v="BUY"/>
    <n v="1"/>
    <s v="TO OPEN"/>
    <x v="6"/>
    <d v="2020-08-20T00:00:00"/>
    <m/>
    <s v="FUTURE"/>
    <n v="24.98"/>
    <n v="24.98"/>
    <s v="MKT"/>
    <n v="1"/>
    <n v="24980"/>
    <n v="24.98"/>
    <s v=""/>
  </r>
  <r>
    <x v="146"/>
    <x v="13"/>
    <s v="Friday"/>
    <d v="1899-12-30T09:51:26"/>
    <s v="FUTURE"/>
    <s v="SELL"/>
    <n v="-2"/>
    <s v="TO CLOSE"/>
    <x v="6"/>
    <d v="2020-08-20T00:00:00"/>
    <m/>
    <s v="FUTURE"/>
    <n v="24.71"/>
    <n v="24.71"/>
    <s v="LMT"/>
    <n v="-1"/>
    <n v="-24440"/>
    <n v="24.44"/>
    <s v=""/>
  </r>
  <r>
    <x v="146"/>
    <x v="13"/>
    <s v="Friday"/>
    <d v="1899-12-30T10:05:50"/>
    <s v="FUTURE"/>
    <s v="SELL"/>
    <n v="-1"/>
    <s v="TO OPEN"/>
    <x v="6"/>
    <d v="2020-08-20T00:00:00"/>
    <m/>
    <s v="FUTURE"/>
    <n v="24.52"/>
    <n v="24.52"/>
    <s v="LMT"/>
    <n v="-2"/>
    <n v="-48960"/>
    <n v="24.48"/>
    <s v=""/>
  </r>
  <r>
    <x v="146"/>
    <x v="13"/>
    <s v="Friday"/>
    <d v="1899-12-30T10:11:29"/>
    <s v="FUTURE"/>
    <s v="BUY"/>
    <n v="1"/>
    <s v="TO CLOSE"/>
    <x v="6"/>
    <d v="2020-08-20T00:00:00"/>
    <m/>
    <s v="FUTURE"/>
    <n v="24.41"/>
    <n v="24.41"/>
    <s v="MKT"/>
    <n v="-1"/>
    <n v="-24550"/>
    <n v="24.55"/>
    <s v=""/>
  </r>
  <r>
    <x v="146"/>
    <x v="13"/>
    <s v="Friday"/>
    <d v="1899-12-30T10:13:58"/>
    <s v="FUTURE"/>
    <s v="BUY"/>
    <n v="1"/>
    <s v="TO CLOSE"/>
    <x v="6"/>
    <d v="2020-08-20T00:00:00"/>
    <m/>
    <s v="FUTURE"/>
    <n v="24.26"/>
    <n v="24.26"/>
    <s v="LMT"/>
    <n v="0"/>
    <n v="0"/>
    <s v=""/>
    <n v="289.99999999999915"/>
  </r>
  <r>
    <x v="147"/>
    <x v="13"/>
    <s v="Friday"/>
    <d v="1899-12-30T10:25:30"/>
    <s v="FUTURE"/>
    <s v="BUY"/>
    <n v="1"/>
    <s v="TO OPEN"/>
    <x v="6"/>
    <d v="2020-08-20T00:00:00"/>
    <m/>
    <s v="FUTURE"/>
    <n v="24.37"/>
    <n v="24.37"/>
    <s v="LMT"/>
    <n v="1"/>
    <n v="24370"/>
    <n v="24.37"/>
    <s v=""/>
  </r>
  <r>
    <x v="147"/>
    <x v="13"/>
    <s v="Friday"/>
    <d v="1899-12-30T10:41:25"/>
    <s v="FUTURE"/>
    <s v="BUY"/>
    <n v="1"/>
    <s v="TO OPEN"/>
    <x v="6"/>
    <d v="2020-08-20T00:00:00"/>
    <m/>
    <s v="FUTURE"/>
    <n v="24.25"/>
    <n v="24.25"/>
    <s v="LMT"/>
    <n v="2"/>
    <n v="48620"/>
    <n v="24.31"/>
    <s v=""/>
  </r>
  <r>
    <x v="147"/>
    <x v="13"/>
    <s v="Friday"/>
    <d v="1899-12-30T11:03:12"/>
    <s v="FUTURE"/>
    <s v="BUY"/>
    <n v="1"/>
    <s v="TO OPEN"/>
    <x v="6"/>
    <d v="2020-08-20T00:00:00"/>
    <m/>
    <s v="FUTURE"/>
    <n v="23.85"/>
    <n v="23.85"/>
    <s v="LMT"/>
    <n v="3"/>
    <n v="72470"/>
    <n v="24.156666666666666"/>
    <s v=""/>
  </r>
  <r>
    <x v="147"/>
    <x v="13"/>
    <s v="Friday"/>
    <d v="1899-12-30T11:21:53"/>
    <s v="FUTURE"/>
    <s v="SELL"/>
    <n v="-1"/>
    <s v="TO CLOSE"/>
    <x v="6"/>
    <d v="2020-08-20T00:00:00"/>
    <m/>
    <s v="FUTURE"/>
    <n v="24.22"/>
    <n v="24.22"/>
    <s v="LMT"/>
    <n v="2"/>
    <n v="48250"/>
    <n v="24.125"/>
    <s v=""/>
  </r>
  <r>
    <x v="147"/>
    <x v="13"/>
    <s v="Friday"/>
    <d v="1899-12-30T15:20:58"/>
    <s v="FUTURE"/>
    <s v="SELL"/>
    <n v="-1"/>
    <s v="TO CLOSE"/>
    <x v="6"/>
    <d v="2020-08-20T00:00:00"/>
    <m/>
    <s v="FUTURE"/>
    <n v="24.13"/>
    <n v="24.13"/>
    <s v="LMT"/>
    <n v="1"/>
    <n v="24120"/>
    <n v="24.12"/>
    <s v=""/>
  </r>
  <r>
    <x v="147"/>
    <x v="13"/>
    <s v="Friday"/>
    <d v="1899-12-30T15:20:58"/>
    <s v="FUTURE"/>
    <s v="SELL"/>
    <n v="-1"/>
    <s v="TO CLOSE"/>
    <x v="6"/>
    <d v="2020-08-20T00:00:00"/>
    <m/>
    <s v="FUTURE"/>
    <n v="24.13"/>
    <n v="24.13"/>
    <s v="LMT"/>
    <n v="0"/>
    <n v="0"/>
    <s v=""/>
    <n v="9.9999999999980105"/>
  </r>
  <r>
    <x v="148"/>
    <x v="13"/>
    <s v="Friday"/>
    <d v="1899-12-30T09:57:13"/>
    <s v="STOCK"/>
    <s v="BUY"/>
    <n v="200"/>
    <s v="TO OPEN"/>
    <x v="2"/>
    <m/>
    <m/>
    <s v="STOCK"/>
    <n v="43.61"/>
    <n v="43.61"/>
    <s v="LMT"/>
    <n v="200"/>
    <n v="8722"/>
    <n v="43.61"/>
    <s v=""/>
  </r>
  <r>
    <x v="148"/>
    <x v="13"/>
    <s v="Friday"/>
    <d v="1899-12-30T10:04:03"/>
    <s v="STOCK"/>
    <s v="BUY"/>
    <n v="100"/>
    <s v="TO OPEN"/>
    <x v="2"/>
    <m/>
    <m/>
    <s v="STOCK"/>
    <n v="43.41"/>
    <n v="43.41"/>
    <s v="LMT"/>
    <n v="300"/>
    <n v="13063"/>
    <n v="43.543333333333337"/>
    <s v=""/>
  </r>
  <r>
    <x v="148"/>
    <x v="13"/>
    <s v="Friday"/>
    <d v="1899-12-30T10:25:43"/>
    <s v="STOCK"/>
    <s v="SELL"/>
    <n v="-100"/>
    <s v="TO CLOSE"/>
    <x v="2"/>
    <m/>
    <m/>
    <s v="STOCK"/>
    <n v="43.41"/>
    <n v="43.41"/>
    <s v="LMT"/>
    <n v="200"/>
    <n v="8722"/>
    <n v="43.61"/>
    <s v=""/>
  </r>
  <r>
    <x v="148"/>
    <x v="13"/>
    <s v="Friday"/>
    <d v="1899-12-30T10:36:28"/>
    <s v="STOCK"/>
    <s v="SELL"/>
    <n v="-98"/>
    <s v="TO CLOSE"/>
    <x v="2"/>
    <m/>
    <m/>
    <s v="STOCK"/>
    <n v="43.320099999999996"/>
    <n v="43.320099999999996"/>
    <s v="MKT"/>
    <n v="102"/>
    <n v="4476.6302000000005"/>
    <n v="43.888531372549025"/>
    <s v=""/>
  </r>
  <r>
    <x v="148"/>
    <x v="13"/>
    <s v="Friday"/>
    <d v="1899-12-30T10:36:28"/>
    <s v="STOCK"/>
    <s v="SELL"/>
    <n v="-2"/>
    <s v="TO CLOSE"/>
    <x v="2"/>
    <m/>
    <m/>
    <s v="STOCK"/>
    <n v="43.320099999999996"/>
    <n v="43.32"/>
    <s v="MKT"/>
    <n v="100"/>
    <n v="4389.9900000000007"/>
    <n v="43.899900000000009"/>
    <s v=""/>
  </r>
  <r>
    <x v="148"/>
    <x v="13"/>
    <s v="Friday"/>
    <d v="1899-12-30T10:36:28"/>
    <s v="STOCK"/>
    <s v="SELL"/>
    <n v="-100"/>
    <s v="TO CLOSE"/>
    <x v="2"/>
    <m/>
    <m/>
    <s v="STOCK"/>
    <n v="43.320099999999996"/>
    <n v="43.320099999999996"/>
    <s v="MKT"/>
    <n v="0"/>
    <n v="0"/>
    <s v=""/>
    <n v="-57.980000000001297"/>
  </r>
  <r>
    <x v="149"/>
    <x v="13"/>
    <s v="Friday"/>
    <d v="1899-12-30T10:36:51"/>
    <s v="STOCK"/>
    <s v="SELL"/>
    <n v="-400"/>
    <s v="TO OPEN"/>
    <x v="2"/>
    <m/>
    <m/>
    <s v="STOCK"/>
    <n v="43.32"/>
    <n v="43.32"/>
    <s v="LMT"/>
    <n v="-400"/>
    <n v="-17328"/>
    <n v="43.32"/>
    <s v=""/>
  </r>
  <r>
    <x v="149"/>
    <x v="13"/>
    <s v="Friday"/>
    <d v="1899-12-30T10:48:43"/>
    <s v="STOCK"/>
    <s v="BUY"/>
    <n v="20"/>
    <s v="TO CLOSE"/>
    <x v="2"/>
    <m/>
    <m/>
    <s v="STOCK"/>
    <n v="43.11"/>
    <n v="43.11"/>
    <s v="LMT"/>
    <n v="-380"/>
    <n v="-16465.8"/>
    <n v="43.331052631578949"/>
    <s v=""/>
  </r>
  <r>
    <x v="149"/>
    <x v="13"/>
    <s v="Friday"/>
    <d v="1899-12-30T10:48:43"/>
    <s v="STOCK"/>
    <s v="BUY"/>
    <n v="180"/>
    <s v="TO CLOSE"/>
    <x v="2"/>
    <m/>
    <m/>
    <s v="STOCK"/>
    <n v="43.11"/>
    <n v="43.11"/>
    <s v="LMT"/>
    <n v="-200"/>
    <n v="-8706"/>
    <n v="43.53"/>
    <s v=""/>
  </r>
  <r>
    <x v="149"/>
    <x v="13"/>
    <s v="Friday"/>
    <d v="1899-12-30T11:22:44"/>
    <s v="STOCK"/>
    <s v="SELL"/>
    <n v="-100"/>
    <s v="TO OPEN"/>
    <x v="2"/>
    <m/>
    <m/>
    <s v="STOCK"/>
    <n v="43.445"/>
    <n v="43.445"/>
    <s v="LMT"/>
    <n v="-300"/>
    <n v="-13050.5"/>
    <n v="43.501666666666665"/>
    <s v=""/>
  </r>
  <r>
    <x v="149"/>
    <x v="13"/>
    <s v="Friday"/>
    <d v="1899-12-30T12:36:35"/>
    <s v="STOCK"/>
    <s v="BUY"/>
    <n v="100"/>
    <s v="TO CLOSE"/>
    <x v="2"/>
    <m/>
    <m/>
    <s v="STOCK"/>
    <n v="42.95"/>
    <n v="42.95"/>
    <s v="LMT"/>
    <n v="-200"/>
    <n v="-8755.5"/>
    <n v="43.777500000000003"/>
    <s v=""/>
  </r>
  <r>
    <x v="149"/>
    <x v="13"/>
    <s v="Friday"/>
    <d v="1899-12-30T12:48:33"/>
    <s v="STOCK"/>
    <s v="BUY"/>
    <n v="100"/>
    <s v="TO CLOSE"/>
    <x v="2"/>
    <m/>
    <m/>
    <s v="STOCK"/>
    <n v="42.959899999999998"/>
    <n v="42.959899999999998"/>
    <s v="MKT"/>
    <n v="-100"/>
    <n v="-4459.51"/>
    <n v="44.595100000000002"/>
    <s v=""/>
  </r>
  <r>
    <x v="149"/>
    <x v="13"/>
    <s v="Friday"/>
    <d v="1899-12-30T13:59:25"/>
    <s v="STOCK"/>
    <s v="BUY"/>
    <n v="100"/>
    <s v="TO CLOSE"/>
    <x v="2"/>
    <m/>
    <m/>
    <s v="STOCK"/>
    <n v="42.65"/>
    <n v="42.65"/>
    <s v="LMT"/>
    <n v="0"/>
    <n v="0"/>
    <s v=""/>
    <n v="194.51000000000036"/>
  </r>
  <r>
    <x v="150"/>
    <x v="14"/>
    <s v="Monday"/>
    <d v="1899-12-30T09:08:38"/>
    <s v="FUTURE"/>
    <s v="BUY"/>
    <n v="1"/>
    <s v="TO OPEN"/>
    <x v="6"/>
    <d v="2020-08-20T00:00:00"/>
    <m/>
    <s v="FUTURE"/>
    <n v="21.83"/>
    <n v="21.83"/>
    <s v="LMT"/>
    <n v="1"/>
    <n v="21830"/>
    <n v="21.83"/>
    <s v=""/>
  </r>
  <r>
    <x v="150"/>
    <x v="14"/>
    <s v="Monday"/>
    <d v="1899-12-30T09:13:06"/>
    <s v="FUTURE"/>
    <s v="BUY"/>
    <n v="1"/>
    <s v="TO OPEN"/>
    <x v="6"/>
    <d v="2020-08-20T00:00:00"/>
    <m/>
    <s v="FUTURE"/>
    <n v="21.69"/>
    <n v="21.69"/>
    <s v="LMT"/>
    <n v="2"/>
    <n v="43520"/>
    <n v="21.76"/>
    <s v=""/>
  </r>
  <r>
    <x v="150"/>
    <x v="14"/>
    <s v="Monday"/>
    <d v="1899-12-30T10:59:58"/>
    <s v="FUTURE"/>
    <s v="SELL"/>
    <n v="-2"/>
    <s v="TO CLOSE"/>
    <x v="6"/>
    <d v="2020-08-20T00:00:00"/>
    <m/>
    <s v="FUTURE"/>
    <n v="21.44"/>
    <n v="21.44"/>
    <s v="LMT"/>
    <n v="0"/>
    <n v="0"/>
    <s v=""/>
    <n v="-640.00000000000057"/>
  </r>
  <r>
    <x v="151"/>
    <x v="14"/>
    <s v="Monday"/>
    <d v="1899-12-30T11:36:13"/>
    <s v="FUTURE"/>
    <s v="BUY"/>
    <n v="1"/>
    <s v="TO OPEN"/>
    <x v="6"/>
    <d v="2020-08-20T00:00:00"/>
    <m/>
    <s v="FUTURE"/>
    <n v="21.19"/>
    <n v="21.19"/>
    <s v="LMT"/>
    <n v="1"/>
    <n v="21190"/>
    <n v="21.19"/>
    <s v=""/>
  </r>
  <r>
    <x v="151"/>
    <x v="14"/>
    <s v="Monday"/>
    <d v="1899-12-30T11:42:50"/>
    <s v="FUTURE"/>
    <s v="SELL"/>
    <n v="-1"/>
    <s v="TO CLOSE"/>
    <x v="6"/>
    <d v="2020-08-20T00:00:00"/>
    <m/>
    <s v="FUTURE"/>
    <n v="21.2"/>
    <n v="21.2"/>
    <s v="LMT"/>
    <n v="0"/>
    <n v="0"/>
    <s v=""/>
    <n v="9.9999999999980105"/>
  </r>
  <r>
    <x v="152"/>
    <x v="14"/>
    <s v="Monday"/>
    <d v="1899-12-30T14:01:38"/>
    <s v="FUTURE"/>
    <s v="SELL"/>
    <n v="-1"/>
    <s v="TO OPEN"/>
    <x v="6"/>
    <d v="2020-08-20T00:00:00"/>
    <m/>
    <s v="FUTURE"/>
    <n v="21.34"/>
    <n v="21.34"/>
    <s v="LMT"/>
    <n v="-1"/>
    <n v="-21340"/>
    <n v="21.34"/>
    <s v=""/>
  </r>
  <r>
    <x v="152"/>
    <x v="14"/>
    <s v="Monday"/>
    <d v="1899-12-30T14:02:36"/>
    <s v="FUTURE"/>
    <s v="SELL"/>
    <n v="-1"/>
    <s v="TO OPEN"/>
    <x v="6"/>
    <d v="2020-08-20T00:00:00"/>
    <m/>
    <s v="FUTURE"/>
    <n v="21.44"/>
    <n v="21.44"/>
    <s v="LMT"/>
    <n v="-2"/>
    <n v="-42780"/>
    <n v="21.39"/>
    <s v=""/>
  </r>
  <r>
    <x v="152"/>
    <x v="14"/>
    <s v="Monday"/>
    <d v="1899-12-30T14:08:01"/>
    <s v="FUTURE"/>
    <s v="BUY"/>
    <n v="1"/>
    <s v="TO CLOSE"/>
    <x v="6"/>
    <d v="2020-08-20T00:00:00"/>
    <m/>
    <s v="FUTURE"/>
    <n v="21.29"/>
    <n v="21.29"/>
    <s v="LMT"/>
    <n v="-1"/>
    <n v="-21490"/>
    <n v="21.49"/>
    <s v=""/>
  </r>
  <r>
    <x v="152"/>
    <x v="14"/>
    <s v="Monday"/>
    <d v="1899-12-30T14:14:15"/>
    <s v="FUTURE"/>
    <s v="BUY"/>
    <n v="1"/>
    <s v="TO CLOSE"/>
    <x v="6"/>
    <d v="2020-08-20T00:00:00"/>
    <m/>
    <s v="FUTURE"/>
    <n v="21.24"/>
    <n v="21.24"/>
    <s v="LMT"/>
    <n v="0"/>
    <n v="0"/>
    <s v=""/>
    <n v="250"/>
  </r>
  <r>
    <x v="153"/>
    <x v="14"/>
    <s v="Monday"/>
    <d v="1899-12-30T14:20:27"/>
    <s v="FUTURE"/>
    <s v="BUY"/>
    <n v="1"/>
    <s v="TO OPEN"/>
    <x v="6"/>
    <d v="2020-08-20T00:00:00"/>
    <m/>
    <s v="FUTURE"/>
    <n v="21.29"/>
    <n v="21.29"/>
    <s v="LMT"/>
    <n v="1"/>
    <n v="21290"/>
    <n v="21.29"/>
    <s v=""/>
  </r>
  <r>
    <x v="153"/>
    <x v="14"/>
    <s v="Monday"/>
    <d v="1899-12-30T14:25:36"/>
    <s v="FUTURE"/>
    <s v="SELL"/>
    <n v="-1"/>
    <s v="TO CLOSE"/>
    <x v="6"/>
    <d v="2020-08-20T00:00:00"/>
    <m/>
    <s v="FUTURE"/>
    <n v="21.39"/>
    <n v="21.39"/>
    <s v="LMT"/>
    <n v="0"/>
    <n v="0"/>
    <s v=""/>
    <n v="100.00000000000142"/>
  </r>
  <r>
    <x v="154"/>
    <x v="14"/>
    <s v="Monday"/>
    <d v="1899-12-30T11:01:54"/>
    <s v="FUTURE"/>
    <s v="SELL"/>
    <n v="-1"/>
    <s v="TO OPEN"/>
    <x v="1"/>
    <d v="2020-06-20T00:00:00"/>
    <m/>
    <s v="FUTURE"/>
    <n v="2854"/>
    <n v="2854"/>
    <s v="LMT"/>
    <n v="-1"/>
    <n v="-142700"/>
    <n v="2854"/>
    <s v=""/>
  </r>
  <r>
    <x v="154"/>
    <x v="14"/>
    <s v="Monday"/>
    <d v="1899-12-30T11:33:59"/>
    <s v="FUTURE"/>
    <s v="BUY"/>
    <n v="1"/>
    <s v="TO CLOSE"/>
    <x v="1"/>
    <d v="2020-06-20T00:00:00"/>
    <m/>
    <s v="FUTURE"/>
    <n v="2866.25"/>
    <n v="2866.25"/>
    <s v="STP"/>
    <n v="0"/>
    <n v="0"/>
    <s v=""/>
    <n v="-612.5"/>
  </r>
  <r>
    <x v="155"/>
    <x v="14"/>
    <s v="Monday"/>
    <d v="1899-12-30T11:52:50"/>
    <s v="FUTURE"/>
    <s v="SELL"/>
    <n v="-1"/>
    <s v="TO OPEN"/>
    <x v="1"/>
    <d v="2020-06-20T00:00:00"/>
    <m/>
    <s v="FUTURE"/>
    <n v="2866.5"/>
    <n v="2866.5"/>
    <s v="LMT"/>
    <n v="-1"/>
    <n v="-143325"/>
    <n v="2866.5"/>
    <s v=""/>
  </r>
  <r>
    <x v="155"/>
    <x v="14"/>
    <s v="Monday"/>
    <d v="1899-12-30T14:00:42"/>
    <s v="FUTURE"/>
    <s v="BUY"/>
    <n v="1"/>
    <s v="TO CLOSE"/>
    <x v="1"/>
    <d v="2020-06-20T00:00:00"/>
    <m/>
    <s v="FUTURE"/>
    <n v="2866.25"/>
    <n v="2866.25"/>
    <s v="STP"/>
    <n v="0"/>
    <n v="0"/>
    <s v=""/>
    <n v="12.5"/>
  </r>
  <r>
    <x v="156"/>
    <x v="14"/>
    <s v="Monday"/>
    <d v="1899-12-30T14:26:47"/>
    <s v="FUTURE"/>
    <s v="SELL"/>
    <n v="-1"/>
    <s v="TO OPEN"/>
    <x v="1"/>
    <d v="2020-06-20T00:00:00"/>
    <m/>
    <s v="FUTURE"/>
    <n v="2867.25"/>
    <n v="2867.25"/>
    <s v="LMT"/>
    <n v="-1"/>
    <n v="-143362.5"/>
    <n v="2867.25"/>
    <s v=""/>
  </r>
  <r>
    <x v="156"/>
    <x v="14"/>
    <s v="Monday"/>
    <d v="1899-12-30T15:04:19"/>
    <s v="FUTURE"/>
    <s v="BUY"/>
    <n v="1"/>
    <s v="TO CLOSE"/>
    <x v="1"/>
    <d v="2020-06-20T00:00:00"/>
    <m/>
    <s v="FUTURE"/>
    <n v="2875"/>
    <n v="2875"/>
    <s v="STP"/>
    <n v="0"/>
    <n v="0"/>
    <s v=""/>
    <n v="-387.5"/>
  </r>
  <r>
    <x v="157"/>
    <x v="14"/>
    <s v="Monday"/>
    <d v="1899-12-30T11:00:31"/>
    <s v="STOCK"/>
    <s v="BUY"/>
    <n v="100"/>
    <s v="TO OPEN"/>
    <x v="2"/>
    <m/>
    <m/>
    <s v="STOCK"/>
    <n v="38.49"/>
    <n v="38.49"/>
    <s v="LMT"/>
    <n v="100"/>
    <n v="3849"/>
    <n v="38.49"/>
    <s v=""/>
  </r>
  <r>
    <x v="157"/>
    <x v="14"/>
    <s v="Monday"/>
    <d v="1899-12-30T11:00:31"/>
    <s v="STOCK"/>
    <s v="BUY"/>
    <n v="300"/>
    <s v="TO OPEN"/>
    <x v="2"/>
    <m/>
    <m/>
    <s v="STOCK"/>
    <n v="38.49"/>
    <n v="38.49"/>
    <s v="LMT"/>
    <n v="400"/>
    <n v="15396"/>
    <n v="38.49"/>
    <s v=""/>
  </r>
  <r>
    <x v="157"/>
    <x v="14"/>
    <s v="Monday"/>
    <d v="1899-12-30T11:15:06"/>
    <s v="STOCK"/>
    <s v="BUY"/>
    <n v="100"/>
    <s v="TO OPEN"/>
    <x v="2"/>
    <m/>
    <m/>
    <s v="STOCK"/>
    <n v="38.167000000000002"/>
    <n v="38.167000000000002"/>
    <s v="LMT"/>
    <n v="500"/>
    <n v="19212.7"/>
    <n v="38.425400000000003"/>
    <s v=""/>
  </r>
  <r>
    <x v="157"/>
    <x v="14"/>
    <s v="Monday"/>
    <d v="1899-12-30T11:43:47"/>
    <s v="STOCK"/>
    <s v="BUY"/>
    <n v="100"/>
    <s v="TO OPEN"/>
    <x v="2"/>
    <m/>
    <m/>
    <s v="STOCK"/>
    <n v="37.96"/>
    <n v="37.96"/>
    <s v="LMT"/>
    <n v="600"/>
    <n v="23008.7"/>
    <n v="38.347833333333334"/>
    <s v=""/>
  </r>
  <r>
    <x v="157"/>
    <x v="14"/>
    <s v="Monday"/>
    <d v="1899-12-30T13:22:56"/>
    <s v="STOCK"/>
    <s v="SELL"/>
    <n v="-200"/>
    <s v="TO CLOSE"/>
    <x v="2"/>
    <m/>
    <m/>
    <s v="STOCK"/>
    <n v="38.42"/>
    <n v="38.42"/>
    <s v="LMT"/>
    <n v="400"/>
    <n v="15324.7"/>
    <n v="38.311750000000004"/>
    <s v=""/>
  </r>
  <r>
    <x v="157"/>
    <x v="14"/>
    <s v="Monday"/>
    <d v="1899-12-30T13:49:27"/>
    <s v="STOCK"/>
    <s v="SELL"/>
    <n v="-25"/>
    <s v="TO CLOSE"/>
    <x v="2"/>
    <m/>
    <m/>
    <s v="STOCK"/>
    <n v="38.71"/>
    <n v="38.71"/>
    <s v="LMT"/>
    <n v="375"/>
    <n v="14356.95"/>
    <n v="38.285200000000003"/>
    <s v=""/>
  </r>
  <r>
    <x v="157"/>
    <x v="14"/>
    <s v="Monday"/>
    <d v="1899-12-30T13:49:27"/>
    <s v="STOCK"/>
    <s v="SELL"/>
    <n v="-175"/>
    <s v="TO CLOSE"/>
    <x v="2"/>
    <m/>
    <m/>
    <s v="STOCK"/>
    <n v="38.71"/>
    <n v="38.71"/>
    <s v="LMT"/>
    <n v="200"/>
    <n v="7582.7000000000007"/>
    <n v="37.913500000000006"/>
    <s v=""/>
  </r>
  <r>
    <x v="157"/>
    <x v="14"/>
    <s v="Monday"/>
    <d v="1899-12-30T13:57:56"/>
    <s v="STOCK"/>
    <s v="SELL"/>
    <n v="-200"/>
    <s v="TO CLOSE"/>
    <x v="2"/>
    <m/>
    <m/>
    <s v="STOCK"/>
    <n v="38.585000000000001"/>
    <n v="38.585000000000001"/>
    <s v="MKT"/>
    <n v="0"/>
    <n v="0"/>
    <s v=""/>
    <n v="134.29999999999893"/>
  </r>
  <r>
    <x v="158"/>
    <x v="15"/>
    <s v="Tuesday"/>
    <d v="1899-12-30T09:22:52"/>
    <s v="FUTURE"/>
    <s v="BUY"/>
    <n v="1"/>
    <s v="TO OPEN"/>
    <x v="6"/>
    <d v="2020-08-20T00:00:00"/>
    <m/>
    <s v="FUTURE"/>
    <n v="22.07"/>
    <n v="22.07"/>
    <s v="LMT"/>
    <n v="1"/>
    <n v="22070"/>
    <n v="22.07"/>
    <s v=""/>
  </r>
  <r>
    <x v="158"/>
    <x v="15"/>
    <s v="Tuesday"/>
    <d v="1899-12-30T09:59:05"/>
    <s v="FUTURE"/>
    <s v="SELL"/>
    <n v="-1"/>
    <s v="TO CLOSE"/>
    <x v="6"/>
    <d v="2020-08-20T00:00:00"/>
    <m/>
    <s v="FUTURE"/>
    <n v="22.16"/>
    <n v="22.16"/>
    <s v="LMT"/>
    <n v="0"/>
    <n v="0"/>
    <s v=""/>
    <n v="89.999999999999858"/>
  </r>
  <r>
    <x v="159"/>
    <x v="15"/>
    <s v="Tuesday"/>
    <d v="1899-12-30T10:37:13"/>
    <s v="FUTURE"/>
    <s v="SELL"/>
    <n v="-1"/>
    <s v="TO OPEN"/>
    <x v="6"/>
    <d v="2020-08-20T00:00:00"/>
    <m/>
    <s v="FUTURE"/>
    <n v="21.88"/>
    <n v="21.88"/>
    <s v="LMT"/>
    <n v="-1"/>
    <n v="-21880"/>
    <n v="21.88"/>
    <s v=""/>
  </r>
  <r>
    <x v="159"/>
    <x v="15"/>
    <s v="Tuesday"/>
    <d v="1899-12-30T10:38:05"/>
    <s v="FUTURE"/>
    <s v="BUY"/>
    <n v="1"/>
    <s v="TO CLOSE"/>
    <x v="6"/>
    <d v="2020-08-20T00:00:00"/>
    <m/>
    <s v="FUTURE"/>
    <n v="21.78"/>
    <n v="21.78"/>
    <s v="LMT"/>
    <n v="0"/>
    <n v="0"/>
    <s v=""/>
    <n v="99.999999999997868"/>
  </r>
  <r>
    <x v="160"/>
    <x v="15"/>
    <s v="Tuesday"/>
    <d v="1899-12-30T11:14:26"/>
    <s v="FUTURE"/>
    <s v="BUY"/>
    <n v="1"/>
    <s v="TO OPEN"/>
    <x v="6"/>
    <d v="2020-08-20T00:00:00"/>
    <m/>
    <s v="FUTURE"/>
    <n v="21.44"/>
    <n v="21.44"/>
    <s v="LMT"/>
    <n v="1"/>
    <n v="21440"/>
    <n v="21.44"/>
    <s v=""/>
  </r>
  <r>
    <x v="160"/>
    <x v="15"/>
    <s v="Tuesday"/>
    <d v="1899-12-30T11:16:41"/>
    <s v="FUTURE"/>
    <s v="SELL"/>
    <n v="-1"/>
    <s v="TO CLOSE"/>
    <x v="6"/>
    <d v="2020-08-20T00:00:00"/>
    <m/>
    <s v="FUTURE"/>
    <n v="21.48"/>
    <n v="21.48"/>
    <s v="LMT"/>
    <n v="0"/>
    <n v="0"/>
    <s v=""/>
    <n v="39.999999999999147"/>
  </r>
  <r>
    <x v="161"/>
    <x v="15"/>
    <s v="Tuesday"/>
    <d v="1899-12-30T11:22:50"/>
    <s v="FUTURE"/>
    <s v="BUY"/>
    <n v="1"/>
    <s v="TO OPEN"/>
    <x v="6"/>
    <d v="2020-08-20T00:00:00"/>
    <m/>
    <s v="FUTURE"/>
    <n v="21.38"/>
    <n v="21.38"/>
    <s v="LMT"/>
    <n v="1"/>
    <n v="21380"/>
    <n v="21.38"/>
    <s v=""/>
  </r>
  <r>
    <x v="161"/>
    <x v="15"/>
    <s v="Tuesday"/>
    <d v="1899-12-30T11:25:57"/>
    <s v="FUTURE"/>
    <s v="SELL"/>
    <n v="-1"/>
    <s v="TO CLOSE"/>
    <x v="6"/>
    <d v="2020-08-20T00:00:00"/>
    <m/>
    <s v="FUTURE"/>
    <n v="21.61"/>
    <n v="21.61"/>
    <s v="LMT"/>
    <n v="0"/>
    <n v="0"/>
    <s v=""/>
    <n v="230.00000000000043"/>
  </r>
  <r>
    <x v="162"/>
    <x v="15"/>
    <s v="Tuesday"/>
    <d v="1899-12-30T14:07:56"/>
    <s v="FUTURE"/>
    <s v="SELL"/>
    <n v="-1"/>
    <s v="TO OPEN"/>
    <x v="6"/>
    <d v="2020-08-20T00:00:00"/>
    <m/>
    <s v="FUTURE"/>
    <n v="20.99"/>
    <n v="20.99"/>
    <s v="LMT"/>
    <n v="-1"/>
    <n v="-20990"/>
    <n v="20.99"/>
    <s v=""/>
  </r>
  <r>
    <x v="162"/>
    <x v="15"/>
    <s v="Tuesday"/>
    <d v="1899-12-30T14:15:25"/>
    <s v="FUTURE"/>
    <s v="BUY"/>
    <n v="1"/>
    <s v="TO CLOSE"/>
    <x v="6"/>
    <d v="2020-08-20T00:00:00"/>
    <m/>
    <s v="FUTURE"/>
    <n v="20.95"/>
    <n v="20.95"/>
    <s v="LMT"/>
    <n v="0"/>
    <n v="0"/>
    <s v=""/>
    <n v="39.999999999999147"/>
  </r>
  <r>
    <x v="163"/>
    <x v="15"/>
    <s v="Tuesday"/>
    <d v="1899-12-30T14:20:15"/>
    <s v="FUTURE"/>
    <s v="BUY"/>
    <n v="1"/>
    <s v="TO OPEN"/>
    <x v="6"/>
    <d v="2020-08-20T00:00:00"/>
    <m/>
    <s v="FUTURE"/>
    <n v="21.01"/>
    <n v="21.01"/>
    <s v="LMT"/>
    <n v="1"/>
    <n v="21010"/>
    <n v="21.01"/>
    <s v=""/>
  </r>
  <r>
    <x v="163"/>
    <x v="15"/>
    <s v="Tuesday"/>
    <d v="1899-12-30T14:21:06"/>
    <s v="FUTURE"/>
    <s v="SELL"/>
    <n v="-1"/>
    <s v="TO CLOSE"/>
    <x v="6"/>
    <d v="2020-08-20T00:00:00"/>
    <m/>
    <s v="FUTURE"/>
    <n v="21.12"/>
    <n v="21.12"/>
    <s v="LMT"/>
    <n v="0"/>
    <n v="0"/>
    <s v=""/>
    <n v="109.99999999999943"/>
  </r>
  <r>
    <x v="164"/>
    <x v="15"/>
    <s v="Tuesday"/>
    <d v="1899-12-30T09:24:46"/>
    <s v="FUTURE"/>
    <s v="SELL"/>
    <n v="-1"/>
    <s v="TO OPEN"/>
    <x v="1"/>
    <d v="2020-06-20T00:00:00"/>
    <m/>
    <s v="FUTURE"/>
    <n v="2909"/>
    <n v="2909"/>
    <s v="LMT"/>
    <n v="-1"/>
    <n v="-145450"/>
    <n v="2909"/>
    <s v=""/>
  </r>
  <r>
    <x v="164"/>
    <x v="15"/>
    <s v="Tuesday"/>
    <d v="1899-12-30T09:37:48"/>
    <s v="FUTURE"/>
    <s v="BUY"/>
    <n v="1"/>
    <s v="TO CLOSE"/>
    <x v="1"/>
    <d v="2020-06-20T00:00:00"/>
    <m/>
    <s v="FUTURE"/>
    <n v="2902.25"/>
    <n v="2902.25"/>
    <s v="LMT"/>
    <n v="0"/>
    <n v="0"/>
    <s v=""/>
    <n v="337.5"/>
  </r>
  <r>
    <x v="165"/>
    <x v="15"/>
    <s v="Tuesday"/>
    <d v="1899-12-30T10:04:59"/>
    <s v="FUTURE"/>
    <s v="SELL"/>
    <n v="-1"/>
    <s v="TO OPEN"/>
    <x v="1"/>
    <d v="2020-06-20T00:00:00"/>
    <m/>
    <s v="FUTURE"/>
    <n v="2892.5"/>
    <n v="2892.5"/>
    <s v="LMT"/>
    <n v="-1"/>
    <n v="-144625"/>
    <n v="2892.5"/>
    <s v=""/>
  </r>
  <r>
    <x v="165"/>
    <x v="15"/>
    <s v="Tuesday"/>
    <d v="1899-12-30T10:21:15"/>
    <s v="FUTURE"/>
    <s v="BUY"/>
    <n v="1"/>
    <s v="TO CLOSE"/>
    <x v="1"/>
    <d v="2020-06-20T00:00:00"/>
    <m/>
    <s v="FUTURE"/>
    <n v="2888.5"/>
    <n v="2888.5"/>
    <s v="LMT"/>
    <n v="0"/>
    <n v="0"/>
    <s v=""/>
    <n v="200"/>
  </r>
  <r>
    <x v="166"/>
    <x v="15"/>
    <s v="Tuesday"/>
    <d v="1899-12-30T10:58:36"/>
    <s v="FUTURE"/>
    <s v="BUY"/>
    <n v="1"/>
    <s v="TO OPEN"/>
    <x v="1"/>
    <d v="2020-06-20T00:00:00"/>
    <m/>
    <s v="FUTURE"/>
    <n v="2859.75"/>
    <n v="2859.75"/>
    <s v="LMT"/>
    <n v="1"/>
    <n v="142987.5"/>
    <n v="2859.75"/>
    <s v=""/>
  </r>
  <r>
    <x v="166"/>
    <x v="15"/>
    <s v="Tuesday"/>
    <d v="1899-12-30T11:03:19"/>
    <s v="FUTURE"/>
    <s v="SELL"/>
    <n v="-1"/>
    <s v="TO CLOSE"/>
    <x v="1"/>
    <d v="2020-06-20T00:00:00"/>
    <m/>
    <s v="FUTURE"/>
    <n v="2863"/>
    <n v="2863"/>
    <s v="LMT"/>
    <n v="0"/>
    <n v="0"/>
    <s v=""/>
    <n v="162.5"/>
  </r>
  <r>
    <x v="167"/>
    <x v="15"/>
    <s v="Tuesday"/>
    <d v="1899-12-30T09:44:02"/>
    <s v="STOCK"/>
    <s v="BUY"/>
    <n v="350"/>
    <s v="TO OPEN"/>
    <x v="2"/>
    <m/>
    <m/>
    <s v="STOCK"/>
    <n v="37.22"/>
    <n v="37.22"/>
    <s v="LMT"/>
    <n v="350"/>
    <n v="13027"/>
    <n v="37.22"/>
    <s v=""/>
  </r>
  <r>
    <x v="167"/>
    <x v="15"/>
    <s v="Tuesday"/>
    <d v="1899-12-30T09:59:41"/>
    <s v="STOCK"/>
    <s v="SELL"/>
    <n v="-50"/>
    <s v="TO CLOSE"/>
    <x v="2"/>
    <m/>
    <m/>
    <s v="STOCK"/>
    <n v="37.619999999999997"/>
    <n v="37.619999999999997"/>
    <s v="LMT"/>
    <n v="300"/>
    <n v="11146"/>
    <n v="37.153333333333336"/>
    <s v=""/>
  </r>
  <r>
    <x v="167"/>
    <x v="15"/>
    <s v="Tuesday"/>
    <d v="1899-12-30T10:01:19"/>
    <s v="STOCK"/>
    <s v="SELL"/>
    <n v="-100"/>
    <s v="TO CLOSE"/>
    <x v="2"/>
    <m/>
    <m/>
    <s v="STOCK"/>
    <n v="37.8001"/>
    <n v="37.8001"/>
    <s v="MKT"/>
    <n v="200"/>
    <n v="7365.99"/>
    <n v="36.829949999999997"/>
    <s v=""/>
  </r>
  <r>
    <x v="167"/>
    <x v="15"/>
    <s v="Tuesday"/>
    <d v="1899-12-30T10:23:12"/>
    <s v="STOCK"/>
    <s v="SELL"/>
    <n v="-200"/>
    <s v="TO CLOSE"/>
    <x v="2"/>
    <m/>
    <m/>
    <s v="STOCK"/>
    <n v="37.96"/>
    <n v="37.96"/>
    <s v="LMT"/>
    <n v="0"/>
    <n v="0"/>
    <s v=""/>
    <n v="226.01000000000084"/>
  </r>
  <r>
    <x v="168"/>
    <x v="15"/>
    <s v="Tuesday"/>
    <d v="1899-12-30T10:45:43"/>
    <s v="STOCK"/>
    <s v="SELL"/>
    <n v="-200"/>
    <s v="TO OPEN"/>
    <x v="2"/>
    <m/>
    <m/>
    <s v="STOCK"/>
    <n v="38.545000000000002"/>
    <n v="38.545000000000002"/>
    <s v="LMT"/>
    <n v="-200"/>
    <n v="-7709"/>
    <n v="38.545000000000002"/>
    <s v=""/>
  </r>
  <r>
    <x v="168"/>
    <x v="15"/>
    <s v="Tuesday"/>
    <d v="1899-12-30T10:48:11"/>
    <s v="STOCK"/>
    <s v="SELL"/>
    <n v="-50"/>
    <s v="TO OPEN"/>
    <x v="2"/>
    <m/>
    <m/>
    <s v="STOCK"/>
    <n v="38.67"/>
    <n v="38.67"/>
    <s v="LMT"/>
    <n v="-250"/>
    <n v="-9642.5"/>
    <n v="38.57"/>
    <s v=""/>
  </r>
  <r>
    <x v="168"/>
    <x v="15"/>
    <s v="Tuesday"/>
    <d v="1899-12-30T10:56:26"/>
    <s v="STOCK"/>
    <s v="SELL"/>
    <n v="-50"/>
    <s v="TO OPEN"/>
    <x v="2"/>
    <m/>
    <m/>
    <s v="STOCK"/>
    <n v="39.06"/>
    <n v="39.06"/>
    <s v="STP"/>
    <n v="-300"/>
    <n v="-11595.5"/>
    <n v="38.651666666666664"/>
    <s v=""/>
  </r>
  <r>
    <x v="168"/>
    <x v="15"/>
    <s v="Tuesday"/>
    <d v="1899-12-30T10:57:12"/>
    <s v="STOCK"/>
    <s v="SELL"/>
    <n v="-100"/>
    <s v="TO OPEN"/>
    <x v="2"/>
    <m/>
    <m/>
    <s v="STOCK"/>
    <n v="39.28"/>
    <n v="39.28"/>
    <s v="LMT"/>
    <n v="-400"/>
    <n v="-15523.5"/>
    <n v="38.808750000000003"/>
    <s v=""/>
  </r>
  <r>
    <x v="168"/>
    <x v="15"/>
    <s v="Tuesday"/>
    <d v="1899-12-30T11:07:06"/>
    <s v="STOCK"/>
    <s v="BUY"/>
    <n v="90"/>
    <s v="TO CLOSE"/>
    <x v="2"/>
    <m/>
    <m/>
    <s v="STOCK"/>
    <n v="38.96"/>
    <n v="38.96"/>
    <s v="LMT"/>
    <n v="-310"/>
    <n v="-12017.1"/>
    <n v="38.76483870967742"/>
    <s v=""/>
  </r>
  <r>
    <x v="168"/>
    <x v="15"/>
    <s v="Tuesday"/>
    <d v="1899-12-30T11:07:06"/>
    <s v="STOCK"/>
    <s v="BUY"/>
    <n v="100"/>
    <s v="TO CLOSE"/>
    <x v="2"/>
    <m/>
    <m/>
    <s v="STOCK"/>
    <n v="38.96"/>
    <n v="38.96"/>
    <s v="LMT"/>
    <n v="-210"/>
    <n v="-8121.1"/>
    <n v="38.671904761904763"/>
    <s v=""/>
  </r>
  <r>
    <x v="168"/>
    <x v="15"/>
    <s v="Tuesday"/>
    <d v="1899-12-30T11:07:06"/>
    <s v="STOCK"/>
    <s v="BUY"/>
    <n v="10"/>
    <s v="TO CLOSE"/>
    <x v="2"/>
    <m/>
    <m/>
    <s v="STOCK"/>
    <n v="38.96"/>
    <n v="38.96"/>
    <s v="LMT"/>
    <n v="-200"/>
    <n v="-7731.5"/>
    <n v="38.657499999999999"/>
    <s v=""/>
  </r>
  <r>
    <x v="168"/>
    <x v="15"/>
    <s v="Tuesday"/>
    <d v="1899-12-30T11:14:00"/>
    <s v="STOCK"/>
    <s v="BUY"/>
    <n v="200"/>
    <s v="TO CLOSE"/>
    <x v="2"/>
    <m/>
    <m/>
    <s v="STOCK"/>
    <n v="38.569899999999997"/>
    <n v="38.569899999999997"/>
    <s v="LMT"/>
    <n v="0"/>
    <n v="0"/>
    <s v=""/>
    <n v="17.52000000000038"/>
  </r>
  <r>
    <x v="169"/>
    <x v="16"/>
    <s v="Wednesday"/>
    <d v="1899-12-30T09:37:40"/>
    <s v="FUTURE"/>
    <s v="SELL"/>
    <n v="-1"/>
    <s v="TO OPEN"/>
    <x v="6"/>
    <d v="2020-08-20T00:00:00"/>
    <m/>
    <s v="FUTURE"/>
    <n v="22.61"/>
    <n v="22.61"/>
    <s v="LMT"/>
    <n v="-1"/>
    <n v="-22610"/>
    <n v="22.61"/>
    <s v=""/>
  </r>
  <r>
    <x v="169"/>
    <x v="16"/>
    <s v="Wednesday"/>
    <d v="1899-12-30T09:43:21"/>
    <s v="FUTURE"/>
    <s v="BUY"/>
    <n v="1"/>
    <s v="TO CLOSE"/>
    <x v="6"/>
    <d v="2020-08-20T00:00:00"/>
    <m/>
    <s v="FUTURE"/>
    <n v="22.36"/>
    <n v="22.36"/>
    <s v="LMT"/>
    <n v="0"/>
    <n v="0"/>
    <s v=""/>
    <n v="250"/>
  </r>
  <r>
    <x v="170"/>
    <x v="16"/>
    <s v="Wednesday"/>
    <d v="1899-12-30T09:47:41"/>
    <s v="FUTURE"/>
    <s v="SELL"/>
    <n v="-1"/>
    <s v="TO OPEN"/>
    <x v="6"/>
    <d v="2020-08-20T00:00:00"/>
    <m/>
    <s v="FUTURE"/>
    <n v="22.56"/>
    <n v="22.56"/>
    <s v="LMT"/>
    <n v="-1"/>
    <n v="-22560"/>
    <n v="22.56"/>
    <s v=""/>
  </r>
  <r>
    <x v="170"/>
    <x v="16"/>
    <s v="Wednesday"/>
    <d v="1899-12-30T09:54:53"/>
    <s v="FUTURE"/>
    <s v="SELL"/>
    <n v="-1"/>
    <s v="TO OPEN"/>
    <x v="6"/>
    <d v="2020-08-20T00:00:00"/>
    <m/>
    <s v="FUTURE"/>
    <n v="22.44"/>
    <n v="22.44"/>
    <s v="LMT"/>
    <n v="-2"/>
    <n v="-45000"/>
    <n v="22.5"/>
    <s v=""/>
  </r>
  <r>
    <x v="170"/>
    <x v="16"/>
    <s v="Wednesday"/>
    <d v="1899-12-30T10:01:28"/>
    <s v="FUTURE"/>
    <s v="BUY"/>
    <n v="1"/>
    <s v="TO CLOSE"/>
    <x v="6"/>
    <d v="2020-08-20T00:00:00"/>
    <m/>
    <s v="FUTURE"/>
    <n v="22.33"/>
    <n v="22.33"/>
    <s v="LMT"/>
    <n v="-1"/>
    <n v="-22670"/>
    <n v="22.67"/>
    <s v=""/>
  </r>
  <r>
    <x v="170"/>
    <x v="16"/>
    <s v="Wednesday"/>
    <d v="1899-12-30T10:03:37"/>
    <s v="FUTURE"/>
    <s v="BUY"/>
    <n v="1"/>
    <s v="TO CLOSE"/>
    <x v="6"/>
    <d v="2020-08-20T00:00:00"/>
    <m/>
    <s v="FUTURE"/>
    <n v="22.26"/>
    <n v="22.26"/>
    <s v="LMT"/>
    <n v="0"/>
    <n v="0"/>
    <s v=""/>
    <n v="410.00000000000011"/>
  </r>
  <r>
    <x v="171"/>
    <x v="16"/>
    <s v="Wednesday"/>
    <d v="1899-12-30T10:32:02"/>
    <s v="FUTURE"/>
    <s v="SELL"/>
    <n v="-1"/>
    <s v="TO OPEN"/>
    <x v="6"/>
    <d v="2020-08-20T00:00:00"/>
    <m/>
    <s v="FUTURE"/>
    <n v="22.37"/>
    <n v="22.37"/>
    <s v="LMT"/>
    <n v="-1"/>
    <n v="-22370"/>
    <n v="22.37"/>
    <s v=""/>
  </r>
  <r>
    <x v="171"/>
    <x v="16"/>
    <s v="Wednesday"/>
    <d v="1899-12-30T10:34:51"/>
    <s v="FUTURE"/>
    <s v="BUY"/>
    <n v="1"/>
    <s v="TO CLOSE"/>
    <x v="6"/>
    <d v="2020-08-20T00:00:00"/>
    <m/>
    <s v="FUTURE"/>
    <n v="22.33"/>
    <n v="22.33"/>
    <s v="LMT"/>
    <n v="0"/>
    <n v="0"/>
    <s v=""/>
    <n v="40.0000000000027"/>
  </r>
  <r>
    <x v="172"/>
    <x v="16"/>
    <s v="Wednesday"/>
    <d v="1899-12-30T11:10:53"/>
    <s v="FUTURE"/>
    <s v="SELL"/>
    <n v="-1"/>
    <s v="TO OPEN"/>
    <x v="6"/>
    <d v="2020-08-20T00:00:00"/>
    <m/>
    <s v="FUTURE"/>
    <n v="22.54"/>
    <n v="22.54"/>
    <s v="LMT"/>
    <n v="-1"/>
    <n v="-22540"/>
    <n v="22.54"/>
    <s v=""/>
  </r>
  <r>
    <x v="172"/>
    <x v="16"/>
    <s v="Wednesday"/>
    <d v="1899-12-30T11:35:36"/>
    <s v="FUTURE"/>
    <s v="BUY"/>
    <n v="1"/>
    <s v="TO CLOSE"/>
    <x v="6"/>
    <d v="2020-08-20T00:00:00"/>
    <m/>
    <s v="FUTURE"/>
    <n v="22.54"/>
    <n v="22.54"/>
    <s v="LMT"/>
    <n v="0"/>
    <n v="0"/>
    <s v=""/>
    <n v="0"/>
  </r>
  <r>
    <x v="173"/>
    <x v="16"/>
    <s v="Wednesday"/>
    <d v="1899-12-30T10:46:18"/>
    <s v="FUTURE"/>
    <s v="SELL"/>
    <n v="-1"/>
    <s v="TO OPEN"/>
    <x v="1"/>
    <d v="2020-06-20T00:00:00"/>
    <m/>
    <s v="FUTURE"/>
    <n v="2919.5"/>
    <n v="2919.5"/>
    <s v="LMT"/>
    <n v="-1"/>
    <n v="-145975"/>
    <n v="2919.5"/>
    <s v=""/>
  </r>
  <r>
    <x v="173"/>
    <x v="16"/>
    <s v="Wednesday"/>
    <d v="1899-12-30T16:55:24"/>
    <s v="FUTURE"/>
    <s v="BUY"/>
    <n v="1"/>
    <s v="TO CLOSE"/>
    <x v="1"/>
    <d v="2020-06-20T00:00:00"/>
    <m/>
    <s v="FUTURE"/>
    <n v="2953.5"/>
    <n v="2953.5"/>
    <s v="LMT"/>
    <n v="0"/>
    <n v="0"/>
    <s v=""/>
    <n v="-1700"/>
  </r>
  <r>
    <x v="174"/>
    <x v="16"/>
    <s v="Wednesday"/>
    <d v="1899-12-30T12:32:47"/>
    <s v="FUTURE"/>
    <s v="SELL"/>
    <n v="-5"/>
    <s v="TO OPEN"/>
    <x v="3"/>
    <d v="2020-06-20T00:00:00"/>
    <m/>
    <s v="FUTURE"/>
    <n v="2935.25"/>
    <n v="2935.25"/>
    <s v="LMT"/>
    <n v="-5"/>
    <n v="-73381.25"/>
    <n v="2935.25"/>
    <s v=""/>
  </r>
  <r>
    <x v="174"/>
    <x v="16"/>
    <s v="Wednesday"/>
    <d v="1899-12-30T12:37:19"/>
    <s v="FUTURE"/>
    <s v="SELL"/>
    <n v="-2"/>
    <s v="TO OPEN"/>
    <x v="3"/>
    <d v="2020-06-20T00:00:00"/>
    <m/>
    <s v="FUTURE"/>
    <n v="2938.25"/>
    <n v="2938.25"/>
    <s v="LMT"/>
    <n v="-7"/>
    <n v="-102763.75"/>
    <n v="2936.1071428571427"/>
    <s v=""/>
  </r>
  <r>
    <x v="174"/>
    <x v="16"/>
    <s v="Wednesday"/>
    <d v="1899-12-30T12:41:07"/>
    <s v="FUTURE"/>
    <s v="SELL"/>
    <n v="-1"/>
    <s v="TO OPEN"/>
    <x v="3"/>
    <d v="2020-06-20T00:00:00"/>
    <m/>
    <s v="FUTURE"/>
    <n v="2939.5"/>
    <n v="2939.5"/>
    <s v="LMT"/>
    <n v="-8"/>
    <n v="-117461.25"/>
    <n v="2936.53125"/>
    <s v=""/>
  </r>
  <r>
    <x v="174"/>
    <x v="16"/>
    <s v="Wednesday"/>
    <d v="1899-12-30T13:34:45"/>
    <s v="FUTURE"/>
    <s v="BUY"/>
    <n v="4"/>
    <s v="TO CLOSE"/>
    <x v="3"/>
    <d v="2020-06-20T00:00:00"/>
    <m/>
    <s v="FUTURE"/>
    <n v="2934.25"/>
    <n v="2934.25"/>
    <s v="LMT"/>
    <n v="-4"/>
    <n v="-58776.25"/>
    <n v="2938.8125"/>
    <s v=""/>
  </r>
  <r>
    <x v="174"/>
    <x v="16"/>
    <s v="Wednesday"/>
    <d v="1899-12-30T13:45:20"/>
    <s v="FUTURE"/>
    <s v="BUY"/>
    <n v="4"/>
    <s v="TO CLOSE"/>
    <x v="3"/>
    <d v="2020-06-20T00:00:00"/>
    <m/>
    <s v="FUTURE"/>
    <n v="2932.75"/>
    <n v="2932.75"/>
    <s v="LMT"/>
    <n v="0"/>
    <n v="0"/>
    <s v=""/>
    <n v="121.25"/>
  </r>
  <r>
    <x v="175"/>
    <x v="16"/>
    <s v="Wednesday"/>
    <d v="1899-12-30T15:26:21"/>
    <s v="FUTURE"/>
    <s v="SELL"/>
    <n v="-5"/>
    <s v="TO OPEN"/>
    <x v="3"/>
    <d v="2020-06-20T00:00:00"/>
    <m/>
    <s v="FUTURE"/>
    <n v="2946.5"/>
    <n v="2946.5"/>
    <s v="LMT"/>
    <n v="-5"/>
    <n v="-73662.5"/>
    <n v="2946.5"/>
    <s v=""/>
  </r>
  <r>
    <x v="175"/>
    <x v="16"/>
    <s v="Wednesday"/>
    <d v="1899-12-30T15:50:00"/>
    <s v="FUTURE"/>
    <s v="BUY"/>
    <n v="3"/>
    <s v="TO CLOSE"/>
    <x v="3"/>
    <d v="2020-06-20T00:00:00"/>
    <m/>
    <s v="FUTURE"/>
    <n v="2938.5"/>
    <n v="2938.5"/>
    <s v="LMT"/>
    <n v="-2"/>
    <n v="-29585"/>
    <n v="2958.5"/>
    <s v=""/>
  </r>
  <r>
    <x v="175"/>
    <x v="16"/>
    <s v="Wednesday"/>
    <d v="1899-12-30T15:50:00"/>
    <s v="FUTURE"/>
    <s v="BUY"/>
    <n v="1"/>
    <s v="TO CLOSE"/>
    <x v="3"/>
    <d v="2020-06-20T00:00:00"/>
    <m/>
    <s v="FUTURE"/>
    <n v="2938.5"/>
    <n v="2938.5"/>
    <s v="LMT"/>
    <n v="-1"/>
    <n v="-14892.5"/>
    <n v="2978.5"/>
    <s v=""/>
  </r>
  <r>
    <x v="175"/>
    <x v="16"/>
    <s v="Wednesday"/>
    <d v="1899-12-30T15:50:00"/>
    <s v="FUTURE"/>
    <s v="BUY"/>
    <n v="1"/>
    <s v="TO CLOSE"/>
    <x v="3"/>
    <d v="2020-06-20T00:00:00"/>
    <m/>
    <s v="FUTURE"/>
    <n v="2938.5"/>
    <n v="2938.5"/>
    <s v="LMT"/>
    <n v="0"/>
    <n v="0"/>
    <s v=""/>
    <n v="200"/>
  </r>
  <r>
    <x v="176"/>
    <x v="16"/>
    <s v="Wednesday"/>
    <d v="1899-12-30T10:04:00"/>
    <s v="STOCK"/>
    <s v="BUY"/>
    <n v="200"/>
    <s v="TO OPEN"/>
    <x v="2"/>
    <m/>
    <m/>
    <s v="STOCK"/>
    <n v="36.340000000000003"/>
    <n v="36.340000000000003"/>
    <s v="LMT"/>
    <n v="200"/>
    <n v="7268.0000000000009"/>
    <n v="36.340000000000003"/>
    <s v=""/>
  </r>
  <r>
    <x v="176"/>
    <x v="16"/>
    <s v="Wednesday"/>
    <d v="1899-12-30T10:13:39"/>
    <s v="STOCK"/>
    <s v="BUY"/>
    <n v="100"/>
    <s v="TO OPEN"/>
    <x v="2"/>
    <m/>
    <m/>
    <s v="STOCK"/>
    <n v="36.32"/>
    <n v="36.32"/>
    <s v="LMT"/>
    <n v="300"/>
    <n v="10900"/>
    <n v="36.333333333333336"/>
    <s v=""/>
  </r>
  <r>
    <x v="176"/>
    <x v="16"/>
    <s v="Wednesday"/>
    <d v="1899-12-30T10:13:39"/>
    <s v="STOCK"/>
    <s v="BUY"/>
    <n v="100"/>
    <s v="TO OPEN"/>
    <x v="2"/>
    <m/>
    <m/>
    <s v="STOCK"/>
    <n v="36.32"/>
    <n v="36.32"/>
    <s v="LMT"/>
    <n v="400"/>
    <n v="14532"/>
    <n v="36.33"/>
    <s v=""/>
  </r>
  <r>
    <x v="176"/>
    <x v="16"/>
    <s v="Wednesday"/>
    <d v="1899-12-30T10:16:23"/>
    <s v="STOCK"/>
    <s v="SELL"/>
    <n v="-400"/>
    <s v="TO CLOSE"/>
    <x v="2"/>
    <m/>
    <m/>
    <s v="STOCK"/>
    <n v="36.185000000000002"/>
    <n v="36.185000000000002"/>
    <s v="LMT"/>
    <n v="0"/>
    <n v="0"/>
    <s v=""/>
    <n v="-57.999999999998408"/>
  </r>
  <r>
    <x v="177"/>
    <x v="16"/>
    <s v="Wednesday"/>
    <d v="1899-12-30T10:29:15"/>
    <s v="STOCK"/>
    <s v="BUY"/>
    <n v="1"/>
    <s v="TO OPEN"/>
    <x v="2"/>
    <m/>
    <m/>
    <s v="STOCK"/>
    <n v="35.92"/>
    <n v="35.92"/>
    <s v="LMT"/>
    <n v="1"/>
    <n v="35.92"/>
    <n v="35.92"/>
    <s v=""/>
  </r>
  <r>
    <x v="177"/>
    <x v="16"/>
    <s v="Wednesday"/>
    <d v="1899-12-30T10:29:48"/>
    <s v="STOCK"/>
    <s v="BUY"/>
    <n v="199"/>
    <s v="TO OPEN"/>
    <x v="2"/>
    <m/>
    <m/>
    <s v="STOCK"/>
    <n v="36"/>
    <n v="36"/>
    <s v="LMT"/>
    <n v="200"/>
    <n v="7199.92"/>
    <n v="35.999600000000001"/>
    <s v=""/>
  </r>
  <r>
    <x v="177"/>
    <x v="16"/>
    <s v="Wednesday"/>
    <d v="1899-12-30T10:36:05"/>
    <s v="STOCK"/>
    <s v="SELL"/>
    <n v="-200"/>
    <s v="TO CLOSE"/>
    <x v="2"/>
    <m/>
    <m/>
    <s v="STOCK"/>
    <n v="36.049999999999997"/>
    <n v="36.049999999999997"/>
    <s v="LMT"/>
    <n v="0"/>
    <n v="0"/>
    <s v=""/>
    <n v="10.079999999999245"/>
  </r>
  <r>
    <x v="178"/>
    <x v="16"/>
    <s v="Wednesday"/>
    <d v="1899-12-30T10:39:32"/>
    <s v="STOCK"/>
    <s v="BUY"/>
    <n v="34"/>
    <s v="TO OPEN"/>
    <x v="2"/>
    <m/>
    <m/>
    <s v="STOCK"/>
    <n v="36.17"/>
    <n v="36.17"/>
    <s v="LMT"/>
    <n v="34"/>
    <n v="1229.78"/>
    <n v="36.17"/>
    <s v=""/>
  </r>
  <r>
    <x v="178"/>
    <x v="16"/>
    <s v="Wednesday"/>
    <d v="1899-12-30T10:39:43"/>
    <s v="STOCK"/>
    <s v="BUY"/>
    <n v="366"/>
    <s v="TO OPEN"/>
    <x v="2"/>
    <m/>
    <m/>
    <s v="STOCK"/>
    <n v="36.17"/>
    <n v="36.17"/>
    <s v="LMT"/>
    <n v="400"/>
    <n v="14468.000000000002"/>
    <n v="36.17"/>
    <s v=""/>
  </r>
  <r>
    <x v="178"/>
    <x v="16"/>
    <s v="Wednesday"/>
    <d v="1899-12-30T13:36:44"/>
    <s v="STOCK"/>
    <s v="SELL"/>
    <n v="-200"/>
    <s v="TO CLOSE"/>
    <x v="2"/>
    <m/>
    <m/>
    <s v="STOCK"/>
    <n v="36.299999999999997"/>
    <n v="36.299999999999997"/>
    <s v="LMT"/>
    <n v="200"/>
    <n v="7208.0000000000027"/>
    <n v="36.040000000000013"/>
    <s v=""/>
  </r>
  <r>
    <x v="178"/>
    <x v="16"/>
    <s v="Wednesday"/>
    <d v="1899-12-30T13:56:50"/>
    <s v="STOCK"/>
    <s v="SELL"/>
    <n v="-200"/>
    <s v="TO CLOSE"/>
    <x v="2"/>
    <m/>
    <m/>
    <s v="STOCK"/>
    <n v="36.28"/>
    <n v="36.28"/>
    <s v="LMT"/>
    <n v="0"/>
    <n v="0"/>
    <s v=""/>
    <n v="47.999999999997556"/>
  </r>
  <r>
    <x v="179"/>
    <x v="16"/>
    <s v="Wednesday"/>
    <d v="1899-12-30T15:04:38"/>
    <s v="STOCK"/>
    <s v="BUY"/>
    <n v="300"/>
    <s v="TO OPEN"/>
    <x v="2"/>
    <m/>
    <m/>
    <s v="STOCK"/>
    <n v="36.340000000000003"/>
    <n v="36.340000000000003"/>
    <s v="LMT"/>
    <n v="300"/>
    <n v="10902.000000000002"/>
    <n v="36.340000000000003"/>
    <s v=""/>
  </r>
  <r>
    <x v="179"/>
    <x v="16"/>
    <s v="Wednesday"/>
    <d v="1899-12-30T15:14:04"/>
    <s v="STOCK"/>
    <s v="SELL"/>
    <n v="-300"/>
    <s v="TO CLOSE"/>
    <x v="2"/>
    <m/>
    <m/>
    <s v="STOCK"/>
    <n v="36.43"/>
    <n v="36.43"/>
    <s v="LMT"/>
    <n v="0"/>
    <n v="0"/>
    <s v=""/>
    <n v="26.999999999998892"/>
  </r>
  <r>
    <x v="180"/>
    <x v="17"/>
    <s v="Thursday"/>
    <d v="1899-12-30T09:58:04"/>
    <s v="FUTURE"/>
    <s v="BUY"/>
    <n v="1"/>
    <s v="TO OPEN"/>
    <x v="6"/>
    <d v="2020-08-20T00:00:00"/>
    <m/>
    <s v="FUTURE"/>
    <n v="24.21"/>
    <n v="24.21"/>
    <s v="LMT"/>
    <n v="1"/>
    <n v="24210"/>
    <n v="24.21"/>
    <s v=""/>
  </r>
  <r>
    <x v="180"/>
    <x v="17"/>
    <s v="Thursday"/>
    <d v="1899-12-30T09:58:25"/>
    <s v="FUTURE"/>
    <s v="SELL"/>
    <n v="-1"/>
    <s v="TO CLOSE"/>
    <x v="6"/>
    <d v="2020-08-20T00:00:00"/>
    <m/>
    <s v="FUTURE"/>
    <n v="24.23"/>
    <n v="24.23"/>
    <s v="LMT"/>
    <n v="0"/>
    <n v="0"/>
    <s v=""/>
    <n v="19.999999999999574"/>
  </r>
  <r>
    <x v="181"/>
    <x v="17"/>
    <s v="Thursday"/>
    <d v="1899-12-30T10:03:44"/>
    <s v="FUTURE"/>
    <s v="BUY"/>
    <n v="1"/>
    <s v="TO OPEN"/>
    <x v="6"/>
    <d v="2020-08-20T00:00:00"/>
    <m/>
    <s v="FUTURE"/>
    <n v="24.06"/>
    <n v="24.06"/>
    <s v="LMT"/>
    <n v="1"/>
    <n v="24060"/>
    <n v="24.06"/>
    <s v=""/>
  </r>
  <r>
    <x v="181"/>
    <x v="17"/>
    <s v="Thursday"/>
    <d v="1899-12-30T10:06:07"/>
    <s v="FUTURE"/>
    <s v="SELL"/>
    <n v="-1"/>
    <s v="TO CLOSE"/>
    <x v="6"/>
    <d v="2020-08-20T00:00:00"/>
    <m/>
    <s v="FUTURE"/>
    <n v="24.11"/>
    <n v="24.11"/>
    <s v="LMT"/>
    <n v="0"/>
    <n v="0"/>
    <s v=""/>
    <n v="50.000000000000711"/>
  </r>
  <r>
    <x v="182"/>
    <x v="17"/>
    <s v="Thursday"/>
    <d v="1899-12-30T10:08:28"/>
    <s v="FUTURE"/>
    <s v="SELL"/>
    <n v="-1"/>
    <s v="TO OPEN"/>
    <x v="6"/>
    <d v="2020-08-20T00:00:00"/>
    <m/>
    <s v="FUTURE"/>
    <n v="24.06"/>
    <n v="24.06"/>
    <s v="LMT"/>
    <n v="-1"/>
    <n v="-24060"/>
    <n v="24.06"/>
    <s v=""/>
  </r>
  <r>
    <x v="182"/>
    <x v="17"/>
    <s v="Thursday"/>
    <d v="1899-12-30T10:13:23"/>
    <s v="FUTURE"/>
    <s v="SELL"/>
    <n v="-1"/>
    <s v="TO OPEN"/>
    <x v="6"/>
    <d v="2020-08-20T00:00:00"/>
    <m/>
    <s v="FUTURE"/>
    <n v="24.16"/>
    <n v="24.16"/>
    <s v="LMT"/>
    <n v="-2"/>
    <n v="-48220"/>
    <n v="24.11"/>
    <s v=""/>
  </r>
  <r>
    <x v="182"/>
    <x v="17"/>
    <s v="Thursday"/>
    <d v="1899-12-30T10:26:57"/>
    <s v="FUTURE"/>
    <s v="BUY"/>
    <n v="1"/>
    <s v="TO CLOSE"/>
    <x v="6"/>
    <d v="2020-08-20T00:00:00"/>
    <m/>
    <s v="FUTURE"/>
    <n v="23.89"/>
    <n v="23.89"/>
    <s v="LMT"/>
    <n v="-1"/>
    <n v="-24330"/>
    <n v="24.33"/>
    <s v=""/>
  </r>
  <r>
    <x v="182"/>
    <x v="17"/>
    <s v="Thursday"/>
    <d v="1899-12-30T10:29:40"/>
    <s v="FUTURE"/>
    <s v="BUY"/>
    <n v="1"/>
    <s v="TO CLOSE"/>
    <x v="6"/>
    <d v="2020-08-20T00:00:00"/>
    <m/>
    <s v="FUTURE"/>
    <n v="23.93"/>
    <n v="23.93"/>
    <s v="LMT"/>
    <n v="0"/>
    <n v="0"/>
    <s v=""/>
    <n v="399.99999999999858"/>
  </r>
  <r>
    <x v="183"/>
    <x v="17"/>
    <s v="Thursday"/>
    <d v="1899-12-30T11:04:34"/>
    <s v="FUTURE"/>
    <s v="SELL"/>
    <n v="-1"/>
    <s v="TO OPEN"/>
    <x v="6"/>
    <d v="2020-08-20T00:00:00"/>
    <m/>
    <s v="FUTURE"/>
    <n v="24.01"/>
    <n v="24.01"/>
    <s v="LMT"/>
    <n v="-1"/>
    <n v="-24010"/>
    <n v="24.01"/>
    <s v=""/>
  </r>
  <r>
    <x v="183"/>
    <x v="17"/>
    <s v="Thursday"/>
    <d v="1899-12-30T11:07:11"/>
    <s v="FUTURE"/>
    <s v="BUY"/>
    <n v="1"/>
    <s v="TO CLOSE"/>
    <x v="6"/>
    <d v="2020-08-20T00:00:00"/>
    <m/>
    <s v="FUTURE"/>
    <n v="23.88"/>
    <n v="23.88"/>
    <s v="LMT"/>
    <n v="0"/>
    <n v="0"/>
    <s v=""/>
    <n v="130.00000000000256"/>
  </r>
  <r>
    <x v="184"/>
    <x v="17"/>
    <s v="Thursday"/>
    <d v="1899-12-30T09:52:07"/>
    <s v="FUTURE"/>
    <s v="BUY"/>
    <n v="1"/>
    <s v="TO OPEN"/>
    <x v="1"/>
    <d v="2020-06-20T00:00:00"/>
    <m/>
    <s v="FUTURE"/>
    <n v="2904.25"/>
    <n v="2904.25"/>
    <s v="LMT"/>
    <n v="1"/>
    <n v="145212.5"/>
    <n v="2904.25"/>
    <s v=""/>
  </r>
  <r>
    <x v="184"/>
    <x v="17"/>
    <s v="Thursday"/>
    <d v="1899-12-30T09:56:48"/>
    <s v="FUTURE"/>
    <s v="SELL"/>
    <n v="-1"/>
    <s v="TO CLOSE"/>
    <x v="1"/>
    <d v="2020-06-20T00:00:00"/>
    <m/>
    <s v="FUTURE"/>
    <n v="2909.5"/>
    <n v="2909.5"/>
    <s v="LMT"/>
    <n v="0"/>
    <n v="0"/>
    <s v=""/>
    <n v="262.5"/>
  </r>
  <r>
    <x v="185"/>
    <x v="17"/>
    <s v="Thursday"/>
    <d v="1899-12-30T11:52:53"/>
    <s v="FUTURE"/>
    <s v="SELL"/>
    <n v="-1"/>
    <s v="TO OPEN"/>
    <x v="1"/>
    <d v="2020-06-20T00:00:00"/>
    <m/>
    <s v="FUTURE"/>
    <n v="2898.75"/>
    <n v="2898.75"/>
    <s v="LMT"/>
    <n v="-1"/>
    <n v="-144937.5"/>
    <n v="2898.75"/>
    <s v=""/>
  </r>
  <r>
    <x v="185"/>
    <x v="17"/>
    <s v="Thursday"/>
    <d v="1899-12-30T11:55:46"/>
    <s v="FUTURE"/>
    <s v="BUY"/>
    <n v="1"/>
    <s v="TO CLOSE"/>
    <x v="1"/>
    <d v="2020-06-20T00:00:00"/>
    <m/>
    <s v="FUTURE"/>
    <n v="2897.75"/>
    <n v="2897.75"/>
    <s v="STP"/>
    <n v="0"/>
    <n v="0"/>
    <s v=""/>
    <n v="50"/>
  </r>
  <r>
    <x v="186"/>
    <x v="17"/>
    <s v="Thursday"/>
    <d v="1899-12-30T10:50:52"/>
    <s v="FUTURE"/>
    <s v="BUY"/>
    <n v="1"/>
    <s v="TO OPEN"/>
    <x v="3"/>
    <d v="2020-06-20T00:00:00"/>
    <m/>
    <s v="FUTURE"/>
    <n v="2909.5"/>
    <n v="2909.5"/>
    <s v="LMT"/>
    <n v="1"/>
    <n v="14547.5"/>
    <n v="2909.5"/>
    <s v=""/>
  </r>
  <r>
    <x v="186"/>
    <x v="17"/>
    <s v="Thursday"/>
    <d v="1899-12-30T10:54:00"/>
    <s v="FUTURE"/>
    <s v="BUY"/>
    <n v="1"/>
    <s v="TO OPEN"/>
    <x v="3"/>
    <d v="2020-06-20T00:00:00"/>
    <m/>
    <s v="FUTURE"/>
    <n v="2908.5"/>
    <n v="2908.5"/>
    <s v="LMT"/>
    <n v="2"/>
    <n v="29090"/>
    <n v="2909"/>
    <s v=""/>
  </r>
  <r>
    <x v="186"/>
    <x v="17"/>
    <s v="Thursday"/>
    <d v="1899-12-30T11:01:16"/>
    <s v="FUTURE"/>
    <s v="SELL"/>
    <n v="-2"/>
    <s v="TO CLOSE"/>
    <x v="3"/>
    <d v="2020-06-20T00:00:00"/>
    <m/>
    <s v="FUTURE"/>
    <n v="2914.5"/>
    <n v="2914.5"/>
    <s v="LMT"/>
    <n v="0"/>
    <n v="0"/>
    <s v=""/>
    <n v="55"/>
  </r>
  <r>
    <x v="187"/>
    <x v="17"/>
    <s v="Thursday"/>
    <d v="1899-12-30T09:52:22"/>
    <s v="STOCK"/>
    <s v="SELL"/>
    <n v="-500"/>
    <s v="TO OPEN"/>
    <x v="2"/>
    <m/>
    <m/>
    <s v="ETF"/>
    <n v="38.244999999999997"/>
    <n v="38.244999999999997"/>
    <s v="MKT"/>
    <n v="-500"/>
    <n v="-19122.5"/>
    <n v="38.244999999999997"/>
    <s v=""/>
  </r>
  <r>
    <x v="187"/>
    <x v="17"/>
    <s v="Thursday"/>
    <d v="1899-12-30T09:57:06"/>
    <s v="STOCK"/>
    <s v="BUY"/>
    <n v="500"/>
    <s v="TO CLOSE"/>
    <x v="2"/>
    <m/>
    <m/>
    <s v="ETF"/>
    <n v="37.94"/>
    <n v="37.94"/>
    <s v="LMT"/>
    <n v="0"/>
    <n v="0"/>
    <s v=""/>
    <n v="152.49999999999986"/>
  </r>
  <r>
    <x v="188"/>
    <x v="17"/>
    <s v="Thursday"/>
    <d v="1899-12-30T10:35:37"/>
    <s v="STOCK"/>
    <s v="SELL"/>
    <n v="-100"/>
    <s v="TO OPEN"/>
    <x v="2"/>
    <m/>
    <m/>
    <s v="ETF"/>
    <n v="38.013100000000001"/>
    <n v="38.013100000000001"/>
    <s v="MKT"/>
    <n v="-100"/>
    <n v="-3801.31"/>
    <n v="38.013100000000001"/>
    <s v=""/>
  </r>
  <r>
    <x v="188"/>
    <x v="17"/>
    <s v="Thursday"/>
    <d v="1899-12-30T10:35:37"/>
    <s v="STOCK"/>
    <s v="SELL"/>
    <n v="-100"/>
    <s v="TO OPEN"/>
    <x v="2"/>
    <m/>
    <m/>
    <s v="ETF"/>
    <n v="38.013800000000003"/>
    <n v="38.013800000000003"/>
    <s v="MKT"/>
    <n v="-200"/>
    <n v="-7602.6900000000005"/>
    <n v="38.013450000000006"/>
    <s v=""/>
  </r>
  <r>
    <x v="188"/>
    <x v="17"/>
    <s v="Thursday"/>
    <d v="1899-12-30T10:35:37"/>
    <s v="STOCK"/>
    <s v="SELL"/>
    <n v="-100"/>
    <s v="TO OPEN"/>
    <x v="2"/>
    <m/>
    <m/>
    <s v="ETF"/>
    <n v="38.014099999999999"/>
    <n v="38.014099999999999"/>
    <s v="MKT"/>
    <n v="-300"/>
    <n v="-11404.1"/>
    <n v="38.013666666666666"/>
    <s v=""/>
  </r>
  <r>
    <x v="188"/>
    <x v="17"/>
    <s v="Thursday"/>
    <d v="1899-12-30T10:35:37"/>
    <s v="STOCK"/>
    <s v="SELL"/>
    <n v="-100"/>
    <s v="TO OPEN"/>
    <x v="2"/>
    <m/>
    <m/>
    <s v="ETF"/>
    <n v="38.014099999999999"/>
    <n v="38.014099999999999"/>
    <s v="MKT"/>
    <n v="-400"/>
    <n v="-15205.51"/>
    <n v="38.013775000000003"/>
    <s v=""/>
  </r>
  <r>
    <x v="188"/>
    <x v="17"/>
    <s v="Thursday"/>
    <d v="1899-12-30T11:10:43"/>
    <s v="STOCK"/>
    <s v="BUY"/>
    <n v="400"/>
    <s v="TO CLOSE"/>
    <x v="2"/>
    <m/>
    <m/>
    <s v="ETF"/>
    <n v="38.01"/>
    <n v="38.01"/>
    <s v="LMT"/>
    <n v="0"/>
    <n v="0"/>
    <s v=""/>
    <n v="1.5100000000018099"/>
  </r>
  <r>
    <x v="189"/>
    <x v="18"/>
    <s v="Friday"/>
    <d v="1899-12-30T10:00:05"/>
    <s v="FUTURE"/>
    <s v="SELL"/>
    <n v="-1"/>
    <s v="TO OPEN"/>
    <x v="6"/>
    <d v="2020-08-20T00:00:00"/>
    <m/>
    <s v="FUTURE"/>
    <n v="23.85"/>
    <n v="23.85"/>
    <s v="LMT"/>
    <n v="-1"/>
    <n v="-23850"/>
    <n v="23.85"/>
    <s v=""/>
  </r>
  <r>
    <x v="189"/>
    <x v="18"/>
    <s v="Friday"/>
    <d v="1899-12-30T10:07:11"/>
    <s v="FUTURE"/>
    <s v="BUY"/>
    <n v="1"/>
    <s v="TO CLOSE"/>
    <x v="6"/>
    <d v="2020-08-20T00:00:00"/>
    <m/>
    <s v="FUTURE"/>
    <n v="23.81"/>
    <n v="23.81"/>
    <s v="LMT"/>
    <n v="0"/>
    <n v="0"/>
    <s v=""/>
    <n v="40.0000000000027"/>
  </r>
  <r>
    <x v="190"/>
    <x v="18"/>
    <s v="Friday"/>
    <d v="1899-12-30T10:25:42"/>
    <s v="FUTURE"/>
    <s v="BUY"/>
    <n v="1"/>
    <s v="TO OPEN"/>
    <x v="6"/>
    <d v="2020-08-20T00:00:00"/>
    <m/>
    <s v="FUTURE"/>
    <n v="23.82"/>
    <n v="23.82"/>
    <s v="LMT"/>
    <n v="1"/>
    <n v="23820"/>
    <n v="23.82"/>
    <s v=""/>
  </r>
  <r>
    <x v="190"/>
    <x v="18"/>
    <s v="Friday"/>
    <d v="1899-12-30T10:34:36"/>
    <s v="FUTURE"/>
    <s v="BUY"/>
    <n v="1"/>
    <s v="TO OPEN"/>
    <x v="6"/>
    <d v="2020-08-20T00:00:00"/>
    <m/>
    <s v="FUTURE"/>
    <n v="23.8"/>
    <n v="23.8"/>
    <s v="LMT"/>
    <n v="2"/>
    <n v="47620"/>
    <n v="23.81"/>
    <s v=""/>
  </r>
  <r>
    <x v="190"/>
    <x v="18"/>
    <s v="Friday"/>
    <d v="1899-12-30T10:43:36"/>
    <s v="FUTURE"/>
    <s v="SELL"/>
    <n v="-1"/>
    <s v="TO CLOSE"/>
    <x v="6"/>
    <d v="2020-08-20T00:00:00"/>
    <m/>
    <s v="FUTURE"/>
    <n v="23.99"/>
    <n v="23.99"/>
    <s v="LMT"/>
    <n v="1"/>
    <n v="23630"/>
    <n v="23.63"/>
    <s v=""/>
  </r>
  <r>
    <x v="190"/>
    <x v="18"/>
    <s v="Friday"/>
    <d v="1899-12-30T10:47:34"/>
    <s v="FUTURE"/>
    <s v="SELL"/>
    <n v="-1"/>
    <s v="TO CLOSE"/>
    <x v="6"/>
    <d v="2020-08-20T00:00:00"/>
    <m/>
    <s v="FUTURE"/>
    <n v="24.02"/>
    <n v="24.02"/>
    <s v="LMT"/>
    <n v="0"/>
    <n v="0"/>
    <s v=""/>
    <n v="390.00000000000057"/>
  </r>
  <r>
    <x v="191"/>
    <x v="18"/>
    <s v="Friday"/>
    <d v="1899-12-30T11:22:42"/>
    <s v="FUTURE"/>
    <s v="SELL"/>
    <n v="-1"/>
    <s v="TO OPEN"/>
    <x v="6"/>
    <d v="2020-08-20T00:00:00"/>
    <m/>
    <s v="FUTURE"/>
    <n v="24.01"/>
    <n v="24.01"/>
    <s v="LMT"/>
    <n v="-1"/>
    <n v="-24010"/>
    <n v="24.01"/>
    <s v=""/>
  </r>
  <r>
    <x v="191"/>
    <x v="18"/>
    <s v="Friday"/>
    <d v="1899-12-30T11:28:40"/>
    <s v="FUTURE"/>
    <s v="BUY"/>
    <n v="1"/>
    <s v="TO CLOSE"/>
    <x v="6"/>
    <d v="2020-08-20T00:00:00"/>
    <m/>
    <s v="FUTURE"/>
    <n v="23.97"/>
    <n v="23.97"/>
    <s v="LMT"/>
    <n v="0"/>
    <n v="0"/>
    <s v=""/>
    <n v="40.0000000000027"/>
  </r>
  <r>
    <x v="192"/>
    <x v="18"/>
    <s v="Friday"/>
    <d v="1899-12-30T12:03:06"/>
    <s v="FUTURE"/>
    <s v="BUY"/>
    <n v="1"/>
    <s v="TO OPEN"/>
    <x v="6"/>
    <d v="2020-08-20T00:00:00"/>
    <m/>
    <s v="FUTURE"/>
    <n v="23.71"/>
    <n v="23.71"/>
    <s v="LMT"/>
    <n v="1"/>
    <n v="23710"/>
    <n v="23.71"/>
    <s v=""/>
  </r>
  <r>
    <x v="192"/>
    <x v="18"/>
    <s v="Friday"/>
    <d v="1899-12-30T12:04:32"/>
    <s v="FUTURE"/>
    <s v="SELL"/>
    <n v="-1"/>
    <s v="TO CLOSE"/>
    <x v="6"/>
    <d v="2020-08-20T00:00:00"/>
    <m/>
    <s v="FUTURE"/>
    <n v="23.74"/>
    <n v="23.74"/>
    <s v="LMT"/>
    <n v="0"/>
    <n v="0"/>
    <s v=""/>
    <n v="29.999999999997584"/>
  </r>
  <r>
    <x v="193"/>
    <x v="18"/>
    <s v="Friday"/>
    <d v="1899-12-30T09:58:23"/>
    <s v="FUTURE"/>
    <s v="BUY"/>
    <n v="1"/>
    <s v="TO OPEN"/>
    <x v="1"/>
    <d v="2020-06-20T00:00:00"/>
    <m/>
    <s v="FUTURE"/>
    <n v="2845"/>
    <n v="2845"/>
    <s v="LMT"/>
    <n v="1"/>
    <n v="142250"/>
    <n v="2845"/>
    <s v=""/>
  </r>
  <r>
    <x v="193"/>
    <x v="18"/>
    <s v="Friday"/>
    <d v="1899-12-30T10:00:00"/>
    <s v="FUTURE"/>
    <s v="SELL"/>
    <n v="-1"/>
    <s v="TO CLOSE"/>
    <x v="1"/>
    <d v="2020-06-20T00:00:00"/>
    <m/>
    <s v="FUTURE"/>
    <n v="2851.25"/>
    <n v="2851.25"/>
    <s v="LMT"/>
    <n v="0"/>
    <n v="0"/>
    <s v=""/>
    <n v="312.5"/>
  </r>
  <r>
    <x v="194"/>
    <x v="18"/>
    <s v="Friday"/>
    <d v="1899-12-30T10:15:08"/>
    <s v="FUTURE"/>
    <s v="SELL"/>
    <n v="-1"/>
    <s v="TO OPEN"/>
    <x v="1"/>
    <d v="2020-06-20T00:00:00"/>
    <m/>
    <s v="FUTURE"/>
    <n v="2845.75"/>
    <n v="2845.75"/>
    <s v="STP"/>
    <n v="-1"/>
    <n v="-142287.5"/>
    <n v="2845.75"/>
    <s v=""/>
  </r>
  <r>
    <x v="194"/>
    <x v="18"/>
    <s v="Friday"/>
    <d v="1899-12-30T10:18:10"/>
    <s v="FUTURE"/>
    <s v="BUY"/>
    <n v="1"/>
    <s v="TO CLOSE"/>
    <x v="1"/>
    <d v="2020-06-20T00:00:00"/>
    <m/>
    <s v="FUTURE"/>
    <n v="2842.75"/>
    <n v="2842.75"/>
    <s v="LMT"/>
    <n v="0"/>
    <n v="0"/>
    <s v=""/>
    <n v="150"/>
  </r>
  <r>
    <x v="195"/>
    <x v="18"/>
    <s v="Friday"/>
    <d v="1899-12-30T12:08:56"/>
    <s v="FUTURE"/>
    <s v="BUY"/>
    <n v="1"/>
    <s v="TO OPEN"/>
    <x v="3"/>
    <d v="2020-06-20T00:00:00"/>
    <m/>
    <s v="FUTURE"/>
    <n v="2819.25"/>
    <n v="2819.25"/>
    <s v="LMT"/>
    <n v="1"/>
    <n v="14096.25"/>
    <n v="2819.25"/>
    <s v=""/>
  </r>
  <r>
    <x v="195"/>
    <x v="18"/>
    <s v="Friday"/>
    <d v="1899-12-30T12:08:56"/>
    <s v="FUTURE"/>
    <s v="BUY"/>
    <n v="4"/>
    <s v="TO OPEN"/>
    <x v="3"/>
    <d v="2020-06-20T00:00:00"/>
    <m/>
    <s v="FUTURE"/>
    <n v="2819.25"/>
    <n v="2819.25"/>
    <s v="LMT"/>
    <n v="5"/>
    <n v="70481.25"/>
    <n v="2819.25"/>
    <s v=""/>
  </r>
  <r>
    <x v="195"/>
    <x v="18"/>
    <s v="Friday"/>
    <d v="1899-12-30T12:11:09"/>
    <s v="FUTURE"/>
    <s v="SELL"/>
    <n v="-2"/>
    <s v="TO CLOSE"/>
    <x v="3"/>
    <d v="2020-06-20T00:00:00"/>
    <m/>
    <s v="FUTURE"/>
    <n v="2823"/>
    <n v="2823"/>
    <s v="LMT"/>
    <n v="3"/>
    <n v="42251.25"/>
    <n v="2816.75"/>
    <s v=""/>
  </r>
  <r>
    <x v="195"/>
    <x v="18"/>
    <s v="Friday"/>
    <d v="1899-12-30T12:11:41"/>
    <s v="FUTURE"/>
    <s v="SELL"/>
    <n v="-3"/>
    <s v="TO CLOSE"/>
    <x v="3"/>
    <d v="2020-06-20T00:00:00"/>
    <m/>
    <s v="FUTURE"/>
    <n v="2823.5"/>
    <n v="2823.5"/>
    <s v="LMT"/>
    <n v="0"/>
    <n v="0"/>
    <s v=""/>
    <n v="101.25"/>
  </r>
  <r>
    <x v="196"/>
    <x v="18"/>
    <s v="Friday"/>
    <d v="1899-12-30T10:09:32"/>
    <s v="STOCK"/>
    <s v="SELL"/>
    <n v="-300"/>
    <s v="TO OPEN"/>
    <x v="2"/>
    <m/>
    <m/>
    <s v="STOCK"/>
    <n v="40.54"/>
    <n v="40.54"/>
    <s v="LMT"/>
    <n v="-300"/>
    <n v="-12162"/>
    <n v="40.54"/>
    <s v=""/>
  </r>
  <r>
    <x v="196"/>
    <x v="18"/>
    <s v="Friday"/>
    <d v="1899-12-30T10:14:46"/>
    <s v="STOCK"/>
    <s v="BUY"/>
    <n v="300"/>
    <s v="TO CLOSE"/>
    <x v="2"/>
    <m/>
    <m/>
    <s v="STOCK"/>
    <n v="41.0199"/>
    <n v="41.0199"/>
    <s v="MKT"/>
    <n v="0"/>
    <n v="0"/>
    <s v=""/>
    <n v="-143.9700000000002"/>
  </r>
  <r>
    <x v="197"/>
    <x v="18"/>
    <s v="Friday"/>
    <d v="1899-12-30T10:15:28"/>
    <s v="STOCK"/>
    <s v="BUY"/>
    <n v="400"/>
    <s v="TO OPEN"/>
    <x v="2"/>
    <m/>
    <m/>
    <s v="STOCK"/>
    <n v="40.999899999999997"/>
    <n v="40.999899999999997"/>
    <s v="MKT"/>
    <n v="400"/>
    <n v="16399.96"/>
    <n v="40.999899999999997"/>
    <s v=""/>
  </r>
  <r>
    <x v="197"/>
    <x v="18"/>
    <s v="Friday"/>
    <d v="1899-12-30T10:20:35"/>
    <s v="STOCK"/>
    <s v="SELL"/>
    <n v="-100"/>
    <s v="TO CLOSE"/>
    <x v="2"/>
    <m/>
    <m/>
    <s v="STOCK"/>
    <n v="41.09"/>
    <n v="41.09"/>
    <s v="STP"/>
    <n v="300"/>
    <n v="12290.96"/>
    <n v="40.969866666666661"/>
    <s v=""/>
  </r>
  <r>
    <x v="197"/>
    <x v="18"/>
    <s v="Friday"/>
    <d v="1899-12-30T10:20:35"/>
    <s v="STOCK"/>
    <s v="SELL"/>
    <n v="-100"/>
    <s v="TO CLOSE"/>
    <x v="2"/>
    <m/>
    <m/>
    <s v="STOCK"/>
    <n v="41.09"/>
    <n v="41.09"/>
    <s v="STP"/>
    <n v="200"/>
    <n v="8181.9599999999991"/>
    <n v="40.909799999999997"/>
    <s v=""/>
  </r>
  <r>
    <x v="197"/>
    <x v="18"/>
    <s v="Friday"/>
    <d v="1899-12-30T10:20:35"/>
    <s v="STOCK"/>
    <s v="SELL"/>
    <n v="-100"/>
    <s v="TO CLOSE"/>
    <x v="2"/>
    <m/>
    <m/>
    <s v="STOCK"/>
    <n v="41.09"/>
    <n v="41.09"/>
    <s v="STP"/>
    <n v="100"/>
    <n v="4072.9599999999991"/>
    <n v="40.729599999999991"/>
    <s v=""/>
  </r>
  <r>
    <x v="197"/>
    <x v="18"/>
    <s v="Friday"/>
    <d v="1899-12-30T10:20:35"/>
    <s v="STOCK"/>
    <s v="SELL"/>
    <n v="-100"/>
    <s v="TO CLOSE"/>
    <x v="2"/>
    <m/>
    <m/>
    <s v="STOCK"/>
    <n v="41.09"/>
    <n v="41.09"/>
    <s v="STP"/>
    <n v="0"/>
    <n v="0"/>
    <s v=""/>
    <n v="36.040000000001271"/>
  </r>
  <r>
    <x v="198"/>
    <x v="18"/>
    <s v="Friday"/>
    <d v="1899-12-30T10:21:17"/>
    <s v="STOCK"/>
    <s v="SELL"/>
    <n v="-171"/>
    <s v="TO OPEN"/>
    <x v="2"/>
    <m/>
    <m/>
    <s v="STOCK"/>
    <n v="41.02"/>
    <n v="41.02"/>
    <s v="LMT"/>
    <n v="-171"/>
    <n v="-7014.420000000001"/>
    <n v="41.02"/>
    <s v=""/>
  </r>
  <r>
    <x v="198"/>
    <x v="18"/>
    <s v="Friday"/>
    <d v="1899-12-30T10:21:17"/>
    <s v="STOCK"/>
    <s v="SELL"/>
    <n v="-129"/>
    <s v="TO OPEN"/>
    <x v="2"/>
    <m/>
    <m/>
    <s v="STOCK"/>
    <n v="41.02"/>
    <n v="41.02"/>
    <s v="LMT"/>
    <n v="-300"/>
    <n v="-12306.000000000002"/>
    <n v="41.02"/>
    <s v=""/>
  </r>
  <r>
    <x v="198"/>
    <x v="18"/>
    <s v="Friday"/>
    <d v="1899-12-30T10:23:22"/>
    <s v="STOCK"/>
    <s v="BUY"/>
    <n v="300"/>
    <s v="TO CLOSE"/>
    <x v="2"/>
    <m/>
    <m/>
    <s v="STOCK"/>
    <n v="41.02"/>
    <n v="41.02"/>
    <s v="LMT"/>
    <n v="0"/>
    <n v="0"/>
    <s v=""/>
    <n v="0"/>
  </r>
  <r>
    <x v="199"/>
    <x v="18"/>
    <s v="Friday"/>
    <d v="1899-12-30T11:18:58"/>
    <s v="STOCK"/>
    <s v="BUY"/>
    <n v="400"/>
    <s v="TO OPEN"/>
    <x v="2"/>
    <m/>
    <m/>
    <s v="STOCK"/>
    <n v="40.966999999999999"/>
    <n v="40.966999999999999"/>
    <s v="LMT"/>
    <n v="400"/>
    <n v="16386.8"/>
    <n v="40.966999999999999"/>
    <s v=""/>
  </r>
  <r>
    <x v="199"/>
    <x v="18"/>
    <s v="Friday"/>
    <d v="1899-12-30T11:32:03"/>
    <s v="STOCK"/>
    <s v="SELL"/>
    <n v="-400"/>
    <s v="TO CLOSE"/>
    <x v="2"/>
    <m/>
    <m/>
    <s v="STOCK"/>
    <n v="41.240099999999998"/>
    <n v="41.240099999999998"/>
    <s v="MKT"/>
    <n v="0"/>
    <n v="0"/>
    <s v=""/>
    <n v="109.23999999999978"/>
  </r>
  <r>
    <x v="200"/>
    <x v="19"/>
    <s v="Monday"/>
    <d v="1899-12-30T09:51:06"/>
    <s v="FUTURE"/>
    <s v="BUY"/>
    <n v="1"/>
    <s v="TO OPEN"/>
    <x v="6"/>
    <d v="2020-08-20T00:00:00"/>
    <m/>
    <s v="FUTURE"/>
    <n v="24.09"/>
    <n v="24.09"/>
    <s v="LMT"/>
    <n v="1"/>
    <n v="24090"/>
    <n v="24.09"/>
    <s v=""/>
  </r>
  <r>
    <x v="200"/>
    <x v="19"/>
    <s v="Monday"/>
    <d v="1899-12-30T10:00:35"/>
    <s v="FUTURE"/>
    <s v="SELL"/>
    <n v="-1"/>
    <s v="TO CLOSE"/>
    <x v="6"/>
    <d v="2020-08-20T00:00:00"/>
    <m/>
    <s v="FUTURE"/>
    <n v="24.25"/>
    <n v="24.25"/>
    <s v="LMT"/>
    <n v="0"/>
    <n v="0"/>
    <s v=""/>
    <n v="160.00000000000014"/>
  </r>
  <r>
    <x v="201"/>
    <x v="19"/>
    <s v="Monday"/>
    <d v="1899-12-30T10:03:00"/>
    <s v="FUTURE"/>
    <s v="SELL"/>
    <n v="-1"/>
    <s v="TO OPEN"/>
    <x v="6"/>
    <d v="2020-08-20T00:00:00"/>
    <m/>
    <s v="FUTURE"/>
    <n v="24.45"/>
    <n v="24.45"/>
    <s v="LMT"/>
    <n v="-1"/>
    <n v="-24450"/>
    <n v="24.45"/>
    <s v=""/>
  </r>
  <r>
    <x v="201"/>
    <x v="19"/>
    <s v="Monday"/>
    <d v="1899-12-30T10:29:49"/>
    <s v="FUTURE"/>
    <s v="BUY"/>
    <n v="1"/>
    <s v="TO CLOSE"/>
    <x v="6"/>
    <d v="2020-08-20T00:00:00"/>
    <m/>
    <s v="FUTURE"/>
    <n v="24.4"/>
    <n v="24.4"/>
    <s v="LMT"/>
    <n v="0"/>
    <n v="0"/>
    <s v=""/>
    <n v="50.000000000000711"/>
  </r>
  <r>
    <x v="202"/>
    <x v="19"/>
    <s v="Monday"/>
    <d v="1899-12-30T11:37:05"/>
    <s v="FUTURE"/>
    <s v="BUY"/>
    <n v="1"/>
    <s v="TO OPEN"/>
    <x v="6"/>
    <d v="2020-08-20T00:00:00"/>
    <m/>
    <s v="FUTURE"/>
    <n v="24.05"/>
    <n v="24.05"/>
    <s v="LMT"/>
    <n v="1"/>
    <n v="24050"/>
    <n v="24.05"/>
    <s v=""/>
  </r>
  <r>
    <x v="202"/>
    <x v="19"/>
    <s v="Monday"/>
    <d v="1899-12-30T11:57:36"/>
    <s v="FUTURE"/>
    <s v="SELL"/>
    <n v="-1"/>
    <s v="TO CLOSE"/>
    <x v="6"/>
    <d v="2020-08-20T00:00:00"/>
    <m/>
    <s v="FUTURE"/>
    <n v="24.14"/>
    <n v="24.14"/>
    <s v="LMT"/>
    <n v="0"/>
    <n v="0"/>
    <s v=""/>
    <n v="89.999999999999858"/>
  </r>
  <r>
    <x v="203"/>
    <x v="19"/>
    <s v="Monday"/>
    <d v="1899-12-30T13:44:19"/>
    <s v="FUTURE"/>
    <s v="SELL"/>
    <n v="-1"/>
    <s v="TO OPEN"/>
    <x v="6"/>
    <d v="2020-08-20T00:00:00"/>
    <m/>
    <s v="FUTURE"/>
    <n v="24.14"/>
    <n v="24.14"/>
    <s v="LMT"/>
    <n v="-1"/>
    <n v="-24140"/>
    <n v="24.14"/>
    <s v=""/>
  </r>
  <r>
    <x v="203"/>
    <x v="19"/>
    <s v="Monday"/>
    <d v="1899-12-30T13:55:53"/>
    <s v="FUTURE"/>
    <s v="BUY"/>
    <n v="1"/>
    <s v="TO CLOSE"/>
    <x v="6"/>
    <d v="2020-08-20T00:00:00"/>
    <m/>
    <s v="FUTURE"/>
    <n v="24.45"/>
    <n v="24.45"/>
    <s v="STP"/>
    <n v="0"/>
    <n v="0"/>
    <s v=""/>
    <n v="-309.99999999999875"/>
  </r>
  <r>
    <x v="204"/>
    <x v="19"/>
    <s v="Monday"/>
    <d v="1899-12-30T13:56:33"/>
    <s v="FUTURE"/>
    <s v="BUY"/>
    <n v="1"/>
    <s v="TO OPEN"/>
    <x v="6"/>
    <d v="2020-08-20T00:00:00"/>
    <m/>
    <s v="FUTURE"/>
    <n v="24.43"/>
    <n v="24.43"/>
    <s v="LMT"/>
    <n v="1"/>
    <n v="24430"/>
    <n v="24.43"/>
    <s v=""/>
  </r>
  <r>
    <x v="204"/>
    <x v="19"/>
    <s v="Monday"/>
    <d v="1899-12-30T13:59:58"/>
    <s v="FUTURE"/>
    <s v="SELL"/>
    <n v="-1"/>
    <s v="TO CLOSE"/>
    <x v="6"/>
    <d v="2020-08-20T00:00:00"/>
    <m/>
    <s v="FUTURE"/>
    <n v="24.27"/>
    <n v="24.27"/>
    <s v="MKT"/>
    <n v="0"/>
    <n v="0"/>
    <s v=""/>
    <n v="-160.00000000000014"/>
  </r>
  <r>
    <x v="205"/>
    <x v="19"/>
    <s v="Monday"/>
    <d v="1899-12-30T14:00:01"/>
    <s v="FUTURE"/>
    <s v="SELL"/>
    <n v="-1"/>
    <s v="TO OPEN"/>
    <x v="6"/>
    <d v="2020-08-20T00:00:00"/>
    <m/>
    <s v="FUTURE"/>
    <n v="24.27"/>
    <n v="24.27"/>
    <s v="MKT"/>
    <n v="-1"/>
    <n v="-24270"/>
    <n v="24.27"/>
    <s v=""/>
  </r>
  <r>
    <x v="205"/>
    <x v="19"/>
    <s v="Monday"/>
    <d v="1899-12-30T14:17:51"/>
    <s v="FUTURE"/>
    <s v="BUY"/>
    <n v="1"/>
    <s v="TO CLOSE"/>
    <x v="6"/>
    <d v="2020-08-20T00:00:00"/>
    <m/>
    <s v="FUTURE"/>
    <n v="24.43"/>
    <n v="24.43"/>
    <s v="MKT"/>
    <n v="0"/>
    <n v="0"/>
    <s v=""/>
    <n v="-160.00000000000014"/>
  </r>
  <r>
    <x v="206"/>
    <x v="19"/>
    <s v="Monday"/>
    <d v="1899-12-30T14:17:59"/>
    <s v="FUTURE"/>
    <s v="BUY"/>
    <n v="1"/>
    <s v="TO OPEN"/>
    <x v="6"/>
    <d v="2020-08-20T00:00:00"/>
    <m/>
    <s v="FUTURE"/>
    <n v="24.47"/>
    <n v="24.47"/>
    <s v="MKT"/>
    <n v="1"/>
    <n v="24470"/>
    <n v="24.47"/>
    <s v=""/>
  </r>
  <r>
    <x v="206"/>
    <x v="19"/>
    <s v="Monday"/>
    <d v="1899-12-30T14:23:11"/>
    <s v="FUTURE"/>
    <s v="SELL"/>
    <n v="-1"/>
    <s v="TO CLOSE"/>
    <x v="6"/>
    <d v="2020-08-20T00:00:00"/>
    <m/>
    <s v="FUTURE"/>
    <n v="24.69"/>
    <n v="24.69"/>
    <s v="LMT"/>
    <n v="0"/>
    <n v="0"/>
    <s v=""/>
    <n v="220.00000000000242"/>
  </r>
  <r>
    <x v="207"/>
    <x v="19"/>
    <s v="Monday"/>
    <d v="1899-12-30T14:32:59"/>
    <s v="FUTURE"/>
    <s v="SELL"/>
    <n v="-1"/>
    <s v="TO OPEN"/>
    <x v="6"/>
    <d v="2020-08-20T00:00:00"/>
    <m/>
    <s v="FUTURE"/>
    <n v="24.64"/>
    <n v="24.64"/>
    <s v="LMT"/>
    <n v="-1"/>
    <n v="-24640"/>
    <n v="24.64"/>
    <s v=""/>
  </r>
  <r>
    <x v="207"/>
    <x v="19"/>
    <s v="Monday"/>
    <d v="1899-12-30T14:36:50"/>
    <s v="FUTURE"/>
    <s v="BUY"/>
    <n v="1"/>
    <s v="TO CLOSE"/>
    <x v="6"/>
    <d v="2020-08-20T00:00:00"/>
    <m/>
    <s v="FUTURE"/>
    <n v="24.61"/>
    <n v="24.61"/>
    <s v="LMT"/>
    <n v="0"/>
    <n v="0"/>
    <s v=""/>
    <n v="30.000000000001137"/>
  </r>
  <r>
    <x v="208"/>
    <x v="19"/>
    <s v="Monday"/>
    <d v="1899-12-30T10:30:52"/>
    <s v="FUTURE"/>
    <s v="BUY"/>
    <n v="1"/>
    <s v="TO OPEN"/>
    <x v="1"/>
    <d v="2020-06-20T00:00:00"/>
    <m/>
    <s v="FUTURE"/>
    <n v="2807.5"/>
    <n v="2807.5"/>
    <s v="LMT"/>
    <n v="1"/>
    <n v="140375"/>
    <n v="2807.5"/>
    <s v=""/>
  </r>
  <r>
    <x v="208"/>
    <x v="19"/>
    <s v="Monday"/>
    <d v="1899-12-30T10:49:53"/>
    <s v="FUTURE"/>
    <s v="SELL"/>
    <n v="-1"/>
    <s v="TO CLOSE"/>
    <x v="1"/>
    <d v="2020-06-20T00:00:00"/>
    <m/>
    <s v="FUTURE"/>
    <n v="2810"/>
    <n v="2810"/>
    <s v="LMT"/>
    <n v="0"/>
    <n v="0"/>
    <s v=""/>
    <n v="125"/>
  </r>
  <r>
    <x v="209"/>
    <x v="19"/>
    <s v="Monday"/>
    <d v="1899-12-30T10:56:30"/>
    <s v="FUTURE"/>
    <s v="SELL"/>
    <n v="-1"/>
    <s v="TO OPEN"/>
    <x v="1"/>
    <d v="2020-06-20T00:00:00"/>
    <m/>
    <s v="FUTURE"/>
    <n v="2807.5"/>
    <n v="2807.5"/>
    <s v="LMT"/>
    <n v="-1"/>
    <n v="-140375"/>
    <n v="2807.5"/>
    <s v=""/>
  </r>
  <r>
    <x v="209"/>
    <x v="19"/>
    <s v="Monday"/>
    <d v="1899-12-30T10:58:24"/>
    <s v="FUTURE"/>
    <s v="BUY"/>
    <n v="1"/>
    <s v="TO CLOSE"/>
    <x v="1"/>
    <d v="2020-06-20T00:00:00"/>
    <m/>
    <s v="FUTURE"/>
    <n v="2806.5"/>
    <n v="2806.5"/>
    <s v="LMT"/>
    <n v="0"/>
    <n v="0"/>
    <s v=""/>
    <n v="50"/>
  </r>
  <r>
    <x v="210"/>
    <x v="19"/>
    <s v="Monday"/>
    <d v="1899-12-30T11:04:33"/>
    <s v="FUTURE"/>
    <s v="SELL"/>
    <n v="-1"/>
    <s v="TO OPEN"/>
    <x v="1"/>
    <d v="2020-06-20T00:00:00"/>
    <m/>
    <s v="FUTURE"/>
    <n v="2804.25"/>
    <n v="2804.25"/>
    <s v="LMT"/>
    <n v="-1"/>
    <n v="-140212.5"/>
    <n v="2804.25"/>
    <s v=""/>
  </r>
  <r>
    <x v="210"/>
    <x v="19"/>
    <s v="Monday"/>
    <d v="1899-12-30T11:40:45"/>
    <s v="FUTURE"/>
    <s v="BUY"/>
    <n v="1"/>
    <s v="TO CLOSE"/>
    <x v="1"/>
    <d v="2020-06-20T00:00:00"/>
    <m/>
    <s v="FUTURE"/>
    <n v="2814.25"/>
    <n v="2814.25"/>
    <s v="STP"/>
    <n v="0"/>
    <n v="0"/>
    <s v=""/>
    <n v="-500"/>
  </r>
  <r>
    <x v="211"/>
    <x v="19"/>
    <s v="Monday"/>
    <d v="1899-12-30T11:41:23"/>
    <s v="FUTURE"/>
    <s v="BUY"/>
    <n v="1"/>
    <s v="TO OPEN"/>
    <x v="1"/>
    <d v="2020-06-20T00:00:00"/>
    <m/>
    <s v="FUTURE"/>
    <n v="2814.75"/>
    <n v="2814.75"/>
    <s v="LMT"/>
    <n v="1"/>
    <n v="140737.5"/>
    <n v="2814.75"/>
    <s v=""/>
  </r>
  <r>
    <x v="211"/>
    <x v="19"/>
    <s v="Monday"/>
    <d v="1899-12-30T12:14:52"/>
    <s v="FUTURE"/>
    <s v="SELL"/>
    <n v="-2"/>
    <s v="TO CLOSE"/>
    <x v="1"/>
    <d v="2020-06-20T00:00:00"/>
    <m/>
    <s v="FUTURE"/>
    <n v="2810.75"/>
    <n v="2810.75"/>
    <s v="MKT"/>
    <n v="-1"/>
    <n v="-140337.5"/>
    <n v="2806.75"/>
    <s v=""/>
  </r>
  <r>
    <x v="211"/>
    <x v="19"/>
    <s v="Monday"/>
    <d v="1899-12-30T14:32:08"/>
    <s v="FUTURE"/>
    <s v="BUY"/>
    <n v="1"/>
    <s v="TO CLOSE"/>
    <x v="1"/>
    <d v="2020-06-20T00:00:00"/>
    <m/>
    <s v="FUTURE"/>
    <n v="2814.75"/>
    <n v="2814.75"/>
    <s v="STP"/>
    <n v="0"/>
    <n v="0"/>
    <s v=""/>
    <n v="-400"/>
  </r>
  <r>
    <x v="212"/>
    <x v="19"/>
    <s v="Monday"/>
    <d v="1899-12-30T14:37:25"/>
    <s v="FUTURE"/>
    <s v="SELL"/>
    <n v="-1"/>
    <s v="TO OPEN"/>
    <x v="1"/>
    <d v="2020-06-20T00:00:00"/>
    <m/>
    <s v="FUTURE"/>
    <n v="2810.75"/>
    <n v="2810.75"/>
    <s v="LMT"/>
    <n v="-1"/>
    <n v="-140537.5"/>
    <n v="2810.75"/>
    <s v=""/>
  </r>
  <r>
    <x v="212"/>
    <x v="19"/>
    <s v="Monday"/>
    <d v="1899-12-30T14:43:13"/>
    <s v="FUTURE"/>
    <s v="BUY"/>
    <n v="1"/>
    <s v="TO CLOSE"/>
    <x v="1"/>
    <d v="2020-06-20T00:00:00"/>
    <m/>
    <s v="FUTURE"/>
    <n v="2810"/>
    <n v="2810"/>
    <s v="STP"/>
    <n v="0"/>
    <n v="0"/>
    <s v=""/>
    <n v="37.5"/>
  </r>
  <r>
    <x v="213"/>
    <x v="19"/>
    <s v="Monday"/>
    <d v="1899-12-30T14:45:32"/>
    <s v="FUTURE"/>
    <s v="SELL"/>
    <n v="-1"/>
    <s v="TO OPEN"/>
    <x v="1"/>
    <d v="2020-06-20T00:00:00"/>
    <m/>
    <s v="FUTURE"/>
    <n v="2810.5"/>
    <n v="2810.5"/>
    <s v="LMT"/>
    <n v="-1"/>
    <n v="-140525"/>
    <n v="2810.5"/>
    <s v=""/>
  </r>
  <r>
    <x v="213"/>
    <x v="19"/>
    <s v="Monday"/>
    <d v="1899-12-30T14:51:43"/>
    <s v="FUTURE"/>
    <s v="SELL"/>
    <n v="-1"/>
    <s v="TO OPEN"/>
    <x v="1"/>
    <d v="2020-06-20T00:00:00"/>
    <m/>
    <s v="FUTURE"/>
    <n v="2818.5"/>
    <n v="2818.5"/>
    <s v="LMT"/>
    <n v="-2"/>
    <n v="-281450"/>
    <n v="2814.5"/>
    <s v=""/>
  </r>
  <r>
    <x v="213"/>
    <x v="19"/>
    <s v="Monday"/>
    <d v="1899-12-30T14:55:32"/>
    <s v="FUTURE"/>
    <s v="BUY"/>
    <n v="1"/>
    <s v="TO CLOSE"/>
    <x v="1"/>
    <d v="2020-06-20T00:00:00"/>
    <m/>
    <s v="FUTURE"/>
    <n v="2818.25"/>
    <n v="2818.25"/>
    <s v="LMT"/>
    <n v="-1"/>
    <n v="-140537.5"/>
    <n v="2810.75"/>
    <s v=""/>
  </r>
  <r>
    <x v="213"/>
    <x v="19"/>
    <s v="Monday"/>
    <d v="1899-12-30T15:02:15"/>
    <s v="FUTURE"/>
    <s v="SELL"/>
    <n v="-1"/>
    <s v="TO OPEN"/>
    <x v="1"/>
    <d v="2020-06-20T00:00:00"/>
    <m/>
    <s v="FUTURE"/>
    <n v="2820.25"/>
    <n v="2820.25"/>
    <s v="LMT"/>
    <n v="-2"/>
    <n v="-281550"/>
    <n v="2815.5"/>
    <s v=""/>
  </r>
  <r>
    <x v="213"/>
    <x v="19"/>
    <s v="Monday"/>
    <d v="1899-12-30T15:10:25"/>
    <s v="FUTURE"/>
    <s v="BUY"/>
    <n v="2"/>
    <s v="TO CLOSE"/>
    <x v="1"/>
    <d v="2020-06-20T00:00:00"/>
    <m/>
    <s v="FUTURE"/>
    <n v="2823"/>
    <n v="2823"/>
    <s v="STP"/>
    <n v="0"/>
    <n v="0"/>
    <s v=""/>
    <n v="-750"/>
  </r>
  <r>
    <x v="214"/>
    <x v="19"/>
    <s v="Monday"/>
    <d v="1899-12-30T10:28:20"/>
    <s v="STOCK"/>
    <s v="SELL"/>
    <n v="-74"/>
    <s v="TO OPEN"/>
    <x v="2"/>
    <m/>
    <m/>
    <s v="STOCK"/>
    <n v="42.07"/>
    <n v="42.07"/>
    <s v="LMT"/>
    <n v="-74"/>
    <n v="-3113.18"/>
    <n v="42.07"/>
    <s v=""/>
  </r>
  <r>
    <x v="214"/>
    <x v="19"/>
    <s v="Monday"/>
    <d v="1899-12-30T10:28:20"/>
    <s v="STOCK"/>
    <s v="SELL"/>
    <n v="-100"/>
    <s v="TO OPEN"/>
    <x v="2"/>
    <m/>
    <m/>
    <s v="STOCK"/>
    <n v="42.07"/>
    <n v="42.07"/>
    <s v="LMT"/>
    <n v="-174"/>
    <n v="-7320.18"/>
    <n v="42.07"/>
    <s v=""/>
  </r>
  <r>
    <x v="214"/>
    <x v="19"/>
    <s v="Monday"/>
    <d v="1899-12-30T10:28:20"/>
    <s v="STOCK"/>
    <s v="SELL"/>
    <n v="-126"/>
    <s v="TO OPEN"/>
    <x v="2"/>
    <m/>
    <m/>
    <s v="STOCK"/>
    <n v="42.07"/>
    <n v="42.07"/>
    <s v="LMT"/>
    <n v="-300"/>
    <n v="-12621"/>
    <n v="42.07"/>
    <s v=""/>
  </r>
  <r>
    <x v="214"/>
    <x v="19"/>
    <s v="Monday"/>
    <d v="1899-12-30T10:33:23"/>
    <s v="STOCK"/>
    <s v="SELL"/>
    <n v="-100"/>
    <s v="TO OPEN"/>
    <x v="2"/>
    <m/>
    <m/>
    <s v="STOCK"/>
    <n v="42.19"/>
    <n v="42.19"/>
    <s v="LMT"/>
    <n v="-400"/>
    <n v="-16840"/>
    <n v="42.1"/>
    <s v=""/>
  </r>
  <r>
    <x v="214"/>
    <x v="19"/>
    <s v="Monday"/>
    <d v="1899-12-30T10:47:30"/>
    <s v="STOCK"/>
    <s v="BUY"/>
    <n v="40"/>
    <s v="TO CLOSE"/>
    <x v="2"/>
    <m/>
    <m/>
    <s v="STOCK"/>
    <n v="42.02"/>
    <n v="42.02"/>
    <s v="LMT"/>
    <n v="-360"/>
    <n v="-15159.2"/>
    <n v="42.108888888888892"/>
    <s v=""/>
  </r>
  <r>
    <x v="214"/>
    <x v="19"/>
    <s v="Monday"/>
    <d v="1899-12-30T10:47:30"/>
    <s v="STOCK"/>
    <s v="BUY"/>
    <n v="100"/>
    <s v="TO CLOSE"/>
    <x v="2"/>
    <m/>
    <m/>
    <s v="STOCK"/>
    <n v="42.02"/>
    <n v="42.02"/>
    <s v="LMT"/>
    <n v="-260"/>
    <n v="-10957.2"/>
    <n v="42.143076923076926"/>
    <s v=""/>
  </r>
  <r>
    <x v="214"/>
    <x v="19"/>
    <s v="Monday"/>
    <d v="1899-12-30T10:47:33"/>
    <s v="STOCK"/>
    <s v="BUY"/>
    <n v="141"/>
    <s v="TO CLOSE"/>
    <x v="2"/>
    <m/>
    <m/>
    <s v="STOCK"/>
    <n v="42.02"/>
    <n v="42.02"/>
    <s v="LMT"/>
    <n v="-119"/>
    <n v="-5032.38"/>
    <n v="42.288907563025212"/>
    <s v=""/>
  </r>
  <r>
    <x v="214"/>
    <x v="19"/>
    <s v="Monday"/>
    <d v="1899-12-30T10:47:33"/>
    <s v="STOCK"/>
    <s v="BUY"/>
    <n v="119"/>
    <s v="TO CLOSE"/>
    <x v="2"/>
    <m/>
    <m/>
    <s v="STOCK"/>
    <n v="42.02"/>
    <n v="42.02"/>
    <s v="LMT"/>
    <n v="0"/>
    <n v="0"/>
    <s v=""/>
    <n v="31.999999999999886"/>
  </r>
  <r>
    <x v="215"/>
    <x v="19"/>
    <s v="Monday"/>
    <d v="1899-12-30T10:50:32"/>
    <s v="STOCK"/>
    <s v="BUY"/>
    <n v="397"/>
    <s v="TO OPEN"/>
    <x v="2"/>
    <m/>
    <m/>
    <s v="STOCK"/>
    <n v="41.939300000000003"/>
    <n v="41.93929"/>
    <s v="LMT"/>
    <n v="397"/>
    <n v="16649.902099999999"/>
    <n v="41.939299999999996"/>
    <s v=""/>
  </r>
  <r>
    <x v="215"/>
    <x v="19"/>
    <s v="Monday"/>
    <d v="1899-12-30T10:50:32"/>
    <s v="STOCK"/>
    <s v="BUY"/>
    <n v="3"/>
    <s v="TO OPEN"/>
    <x v="2"/>
    <m/>
    <m/>
    <s v="STOCK"/>
    <n v="41.939300000000003"/>
    <n v="41.94"/>
    <s v="LMT"/>
    <n v="400"/>
    <n v="16775.72"/>
    <n v="41.939300000000003"/>
    <s v=""/>
  </r>
  <r>
    <x v="215"/>
    <x v="19"/>
    <s v="Monday"/>
    <d v="1899-12-30T10:53:27"/>
    <s v="STOCK"/>
    <s v="SELL"/>
    <n v="-388"/>
    <s v="TO CLOSE"/>
    <x v="2"/>
    <m/>
    <m/>
    <s v="STOCK"/>
    <n v="41.97"/>
    <n v="41.97"/>
    <s v="LMT"/>
    <n v="12"/>
    <n v="491.3600000000024"/>
    <n v="40.946666666666864"/>
    <s v=""/>
  </r>
  <r>
    <x v="215"/>
    <x v="19"/>
    <s v="Monday"/>
    <d v="1899-12-30T10:53:27"/>
    <s v="STOCK"/>
    <s v="SELL"/>
    <n v="-12"/>
    <s v="TO CLOSE"/>
    <x v="2"/>
    <m/>
    <m/>
    <s v="STOCK"/>
    <n v="41.97"/>
    <n v="41.97"/>
    <s v="LMT"/>
    <n v="0"/>
    <n v="0"/>
    <s v=""/>
    <n v="12.279999999997614"/>
  </r>
  <r>
    <x v="216"/>
    <x v="19"/>
    <s v="Monday"/>
    <d v="1899-12-30T11:15:22"/>
    <s v="STOCK"/>
    <s v="BUY"/>
    <n v="400"/>
    <s v="TO OPEN"/>
    <x v="2"/>
    <m/>
    <m/>
    <s v="STOCK"/>
    <n v="41.75"/>
    <n v="41.75"/>
    <s v="LMT"/>
    <n v="400"/>
    <n v="16700"/>
    <n v="41.75"/>
    <s v=""/>
  </r>
  <r>
    <x v="216"/>
    <x v="19"/>
    <s v="Monday"/>
    <d v="1899-12-30T11:34:04"/>
    <s v="STOCK"/>
    <s v="SELL"/>
    <n v="-400"/>
    <s v="TO CLOSE"/>
    <x v="2"/>
    <m/>
    <m/>
    <s v="STOCK"/>
    <n v="41.75"/>
    <n v="41.75"/>
    <s v="LMT"/>
    <n v="0"/>
    <n v="0"/>
    <s v=""/>
    <n v="0"/>
  </r>
  <r>
    <x v="217"/>
    <x v="19"/>
    <s v="Monday"/>
    <d v="1899-12-30T12:08:17"/>
    <s v="STOCK"/>
    <s v="BUY"/>
    <n v="400"/>
    <s v="TO OPEN"/>
    <x v="2"/>
    <m/>
    <m/>
    <s v="STOCK"/>
    <n v="41.0199"/>
    <n v="41.0199"/>
    <s v="MKT"/>
    <n v="400"/>
    <n v="16407.96"/>
    <n v="41.0199"/>
    <s v=""/>
  </r>
  <r>
    <x v="217"/>
    <x v="19"/>
    <s v="Monday"/>
    <d v="1899-12-30T13:12:39"/>
    <s v="STOCK"/>
    <s v="SELL"/>
    <n v="-200"/>
    <s v="TO CLOSE"/>
    <x v="2"/>
    <m/>
    <m/>
    <s v="STOCK"/>
    <n v="41.49"/>
    <n v="41.49"/>
    <s v="LMT"/>
    <n v="200"/>
    <n v="8109.9599999999991"/>
    <n v="40.549799999999998"/>
    <s v=""/>
  </r>
  <r>
    <x v="217"/>
    <x v="19"/>
    <s v="Monday"/>
    <d v="1899-12-30T13:19:26"/>
    <s v="STOCK"/>
    <s v="SELL"/>
    <n v="-200"/>
    <s v="TO CLOSE"/>
    <x v="2"/>
    <m/>
    <m/>
    <s v="STOCK"/>
    <n v="41.65"/>
    <n v="41.65"/>
    <s v="LMT"/>
    <n v="0"/>
    <n v="0"/>
    <s v=""/>
    <n v="220.04000000000019"/>
  </r>
  <r>
    <x v="218"/>
    <x v="19"/>
    <s v="Monday"/>
    <d v="1899-12-30T14:45:41"/>
    <s v="STOCK"/>
    <s v="BUY"/>
    <n v="300"/>
    <s v="TO OPEN"/>
    <x v="2"/>
    <m/>
    <m/>
    <s v="STOCK"/>
    <n v="41.104999999999997"/>
    <n v="41.104999999999997"/>
    <s v="LMT"/>
    <n v="300"/>
    <n v="12331.499999999998"/>
    <n v="41.104999999999997"/>
    <s v=""/>
  </r>
  <r>
    <x v="218"/>
    <x v="19"/>
    <s v="Monday"/>
    <d v="1899-12-30T15:09:54"/>
    <s v="STOCK"/>
    <s v="SELL"/>
    <n v="-100"/>
    <s v="TO CLOSE"/>
    <x v="2"/>
    <m/>
    <m/>
    <s v="STOCK"/>
    <n v="40.72"/>
    <n v="40.72"/>
    <s v="MKT"/>
    <n v="200"/>
    <n v="8259.4999999999982"/>
    <n v="41.297499999999992"/>
    <s v=""/>
  </r>
  <r>
    <x v="218"/>
    <x v="19"/>
    <s v="Monday"/>
    <d v="1899-12-30T15:09:54"/>
    <s v="STOCK"/>
    <s v="SELL"/>
    <n v="-100"/>
    <s v="TO CLOSE"/>
    <x v="2"/>
    <m/>
    <m/>
    <s v="STOCK"/>
    <n v="40.72"/>
    <n v="40.72"/>
    <s v="MKT"/>
    <n v="100"/>
    <n v="4187.4999999999982"/>
    <n v="41.874999999999979"/>
    <s v=""/>
  </r>
  <r>
    <x v="218"/>
    <x v="19"/>
    <s v="Monday"/>
    <d v="1899-12-30T15:09:54"/>
    <s v="STOCK"/>
    <s v="SELL"/>
    <n v="-100"/>
    <s v="TO CLOSE"/>
    <x v="2"/>
    <m/>
    <m/>
    <s v="STOCK"/>
    <n v="40.720100000000002"/>
    <n v="40.720100000000002"/>
    <s v="MKT"/>
    <n v="0"/>
    <n v="0"/>
    <s v=""/>
    <n v="-115.48999999999765"/>
  </r>
  <r>
    <x v="219"/>
    <x v="20"/>
    <s v="Tuesday"/>
    <d v="1899-12-30T08:15:47"/>
    <s v="FUTURE"/>
    <s v="SELL"/>
    <n v="-1"/>
    <s v="TO OPEN"/>
    <x v="6"/>
    <d v="2020-08-20T00:00:00"/>
    <m/>
    <s v="FUTURE"/>
    <n v="26.22"/>
    <n v="26.22"/>
    <s v="LMT"/>
    <n v="-1"/>
    <n v="-26220"/>
    <n v="26.22"/>
    <s v=""/>
  </r>
  <r>
    <x v="219"/>
    <x v="20"/>
    <s v="Tuesday"/>
    <d v="1899-12-30T08:19:01"/>
    <s v="FUTURE"/>
    <s v="BUY"/>
    <n v="2"/>
    <s v="TO CLOSE"/>
    <x v="6"/>
    <d v="2020-08-20T00:00:00"/>
    <m/>
    <s v="FUTURE"/>
    <n v="26.34"/>
    <n v="26.34"/>
    <s v="MKT"/>
    <n v="1"/>
    <n v="26460"/>
    <n v="26.46"/>
    <s v=""/>
  </r>
  <r>
    <x v="219"/>
    <x v="20"/>
    <s v="Tuesday"/>
    <d v="1899-12-30T08:37:43"/>
    <s v="FUTURE"/>
    <s v="SELL"/>
    <n v="-1"/>
    <s v="TO CLOSE"/>
    <x v="6"/>
    <d v="2020-08-20T00:00:00"/>
    <m/>
    <s v="FUTURE"/>
    <n v="26.56"/>
    <n v="26.56"/>
    <s v="LMT"/>
    <n v="0"/>
    <n v="0"/>
    <s v=""/>
    <n v="99.999999999997868"/>
  </r>
  <r>
    <x v="220"/>
    <x v="20"/>
    <s v="Tuesday"/>
    <d v="1899-12-30T09:02:29"/>
    <s v="FUTURE"/>
    <s v="SELL"/>
    <n v="-1"/>
    <s v="TO OPEN"/>
    <x v="6"/>
    <d v="2020-08-20T00:00:00"/>
    <m/>
    <s v="FUTURE"/>
    <n v="26.51"/>
    <n v="26.51"/>
    <s v="LMT"/>
    <n v="-1"/>
    <n v="-26510"/>
    <n v="26.51"/>
    <s v=""/>
  </r>
  <r>
    <x v="220"/>
    <x v="20"/>
    <s v="Tuesday"/>
    <d v="1899-12-30T09:07:21"/>
    <s v="FUTURE"/>
    <s v="BUY"/>
    <n v="2"/>
    <s v="TO CLOSE"/>
    <x v="6"/>
    <d v="2020-08-20T00:00:00"/>
    <m/>
    <s v="FUTURE"/>
    <n v="26.6"/>
    <n v="26.6"/>
    <s v="MKT"/>
    <n v="1"/>
    <n v="26690"/>
    <n v="26.69"/>
    <s v=""/>
  </r>
  <r>
    <x v="220"/>
    <x v="20"/>
    <s v="Tuesday"/>
    <d v="1899-12-30T09:10:36"/>
    <s v="FUTURE"/>
    <s v="SELL"/>
    <n v="-1"/>
    <s v="TO CLOSE"/>
    <x v="6"/>
    <d v="2020-08-20T00:00:00"/>
    <m/>
    <s v="FUTURE"/>
    <n v="26.72"/>
    <n v="26.72"/>
    <s v="LMT"/>
    <n v="0"/>
    <n v="0"/>
    <s v=""/>
    <n v="29.999999999997584"/>
  </r>
  <r>
    <x v="221"/>
    <x v="20"/>
    <s v="Tuesday"/>
    <d v="1899-12-30T09:25:55"/>
    <s v="FUTURE"/>
    <s v="SELL"/>
    <n v="-1"/>
    <s v="TO OPEN"/>
    <x v="6"/>
    <d v="2020-08-20T00:00:00"/>
    <m/>
    <s v="FUTURE"/>
    <n v="26.73"/>
    <n v="26.73"/>
    <s v="LMT"/>
    <n v="-1"/>
    <n v="-26730"/>
    <n v="26.73"/>
    <s v=""/>
  </r>
  <r>
    <x v="221"/>
    <x v="20"/>
    <s v="Tuesday"/>
    <d v="1899-12-30T09:37:44"/>
    <s v="FUTURE"/>
    <s v="SELL"/>
    <n v="-1"/>
    <s v="TO OPEN"/>
    <x v="6"/>
    <d v="2020-08-20T00:00:00"/>
    <m/>
    <s v="FUTURE"/>
    <n v="27.07"/>
    <n v="27.07"/>
    <s v="LMT"/>
    <n v="-2"/>
    <n v="-53800"/>
    <n v="26.9"/>
    <s v=""/>
  </r>
  <r>
    <x v="221"/>
    <x v="20"/>
    <s v="Tuesday"/>
    <d v="1899-12-30T09:51:04"/>
    <s v="FUTURE"/>
    <s v="BUY"/>
    <n v="1"/>
    <s v="TO CLOSE"/>
    <x v="6"/>
    <d v="2020-08-20T00:00:00"/>
    <m/>
    <s v="FUTURE"/>
    <n v="26.87"/>
    <n v="26.87"/>
    <s v="LMT"/>
    <n v="-1"/>
    <n v="-26930"/>
    <n v="26.93"/>
    <s v=""/>
  </r>
  <r>
    <x v="221"/>
    <x v="20"/>
    <s v="Tuesday"/>
    <d v="1899-12-30T09:51:31"/>
    <s v="FUTURE"/>
    <s v="BUY"/>
    <n v="1"/>
    <s v="TO CLOSE"/>
    <x v="6"/>
    <d v="2020-08-20T00:00:00"/>
    <m/>
    <s v="FUTURE"/>
    <n v="26.87"/>
    <n v="26.87"/>
    <s v="LMT"/>
    <n v="0"/>
    <n v="0"/>
    <s v=""/>
    <n v="59.999999999998721"/>
  </r>
  <r>
    <x v="222"/>
    <x v="20"/>
    <s v="Tuesday"/>
    <d v="1899-12-30T10:07:38"/>
    <s v="FUTURE"/>
    <s v="SELL"/>
    <n v="-1"/>
    <s v="TO OPEN"/>
    <x v="6"/>
    <d v="2020-08-20T00:00:00"/>
    <m/>
    <s v="FUTURE"/>
    <n v="27.31"/>
    <n v="27.31"/>
    <s v="LMT"/>
    <n v="-1"/>
    <n v="-27310"/>
    <n v="27.31"/>
    <s v=""/>
  </r>
  <r>
    <x v="222"/>
    <x v="20"/>
    <s v="Tuesday"/>
    <d v="1899-12-30T10:11:32"/>
    <s v="FUTURE"/>
    <s v="BUY"/>
    <n v="1"/>
    <s v="TO CLOSE"/>
    <x v="6"/>
    <d v="2020-08-20T00:00:00"/>
    <m/>
    <s v="FUTURE"/>
    <n v="27.16"/>
    <n v="27.16"/>
    <s v="LMT"/>
    <n v="0"/>
    <n v="0"/>
    <s v=""/>
    <n v="149.99999999999858"/>
  </r>
  <r>
    <x v="223"/>
    <x v="20"/>
    <s v="Tuesday"/>
    <d v="1899-12-30T10:27:51"/>
    <s v="FUTURE"/>
    <s v="SELL"/>
    <n v="-1"/>
    <s v="TO OPEN"/>
    <x v="6"/>
    <d v="2020-08-20T00:00:00"/>
    <m/>
    <s v="FUTURE"/>
    <n v="27.25"/>
    <n v="27.25"/>
    <s v="LMT"/>
    <n v="-1"/>
    <n v="-27250"/>
    <n v="27.25"/>
    <s v=""/>
  </r>
  <r>
    <x v="223"/>
    <x v="20"/>
    <s v="Tuesday"/>
    <d v="1899-12-30T10:31:57"/>
    <s v="FUTURE"/>
    <s v="BUY"/>
    <n v="1"/>
    <s v="TO CLOSE"/>
    <x v="6"/>
    <d v="2020-08-20T00:00:00"/>
    <m/>
    <s v="FUTURE"/>
    <n v="27.11"/>
    <n v="27.11"/>
    <s v="LMT"/>
    <n v="0"/>
    <n v="0"/>
    <s v=""/>
    <n v="140.00000000000057"/>
  </r>
  <r>
    <x v="224"/>
    <x v="20"/>
    <s v="Tuesday"/>
    <d v="1899-12-30T10:35:36"/>
    <s v="FUTURE"/>
    <s v="SELL"/>
    <n v="-1"/>
    <s v="TO OPEN"/>
    <x v="6"/>
    <d v="2020-08-20T00:00:00"/>
    <m/>
    <s v="FUTURE"/>
    <n v="27.18"/>
    <n v="27.18"/>
    <s v="LMT"/>
    <n v="-1"/>
    <n v="-27180"/>
    <n v="27.18"/>
    <s v=""/>
  </r>
  <r>
    <x v="224"/>
    <x v="20"/>
    <s v="Tuesday"/>
    <d v="1899-12-30T10:36:27"/>
    <s v="FUTURE"/>
    <s v="BUY"/>
    <n v="1"/>
    <s v="TO CLOSE"/>
    <x v="6"/>
    <d v="2020-08-20T00:00:00"/>
    <m/>
    <s v="FUTURE"/>
    <n v="27.15"/>
    <n v="27.15"/>
    <s v="LMT"/>
    <n v="0"/>
    <n v="0"/>
    <s v=""/>
    <n v="30.000000000001137"/>
  </r>
  <r>
    <x v="225"/>
    <x v="20"/>
    <s v="Tuesday"/>
    <d v="1899-12-30T10:55:15"/>
    <s v="FUTURE"/>
    <s v="BUY"/>
    <n v="2"/>
    <s v="TO OPEN"/>
    <x v="6"/>
    <d v="2020-08-20T00:00:00"/>
    <m/>
    <s v="FUTURE"/>
    <n v="27.17"/>
    <n v="27.17"/>
    <s v="MKT"/>
    <n v="2"/>
    <n v="54340"/>
    <n v="27.17"/>
    <s v=""/>
  </r>
  <r>
    <x v="225"/>
    <x v="20"/>
    <s v="Tuesday"/>
    <d v="1899-12-30T10:58:03"/>
    <s v="FUTURE"/>
    <s v="SELL"/>
    <n v="-3"/>
    <s v="TO CLOSE"/>
    <x v="6"/>
    <d v="2020-08-20T00:00:00"/>
    <m/>
    <s v="FUTURE"/>
    <n v="26.85"/>
    <n v="26.85"/>
    <s v="MKT"/>
    <n v="-1"/>
    <n v="-26210.000000000015"/>
    <n v="26.210000000000015"/>
    <s v=""/>
  </r>
  <r>
    <x v="225"/>
    <x v="20"/>
    <s v="Tuesday"/>
    <d v="1899-12-30T10:58:03"/>
    <s v="FUTURE"/>
    <s v="SELL"/>
    <n v="-1"/>
    <s v="TO CLOSE"/>
    <x v="6"/>
    <d v="2020-08-20T00:00:00"/>
    <m/>
    <s v="FUTURE"/>
    <n v="26.85"/>
    <n v="26.85"/>
    <s v="MKT"/>
    <n v="-2"/>
    <n v="-53060.000000000015"/>
    <n v="26.530000000000008"/>
    <s v=""/>
  </r>
  <r>
    <x v="225"/>
    <x v="20"/>
    <s v="Tuesday"/>
    <d v="1899-12-30T11:23:07"/>
    <s v="FUTURE"/>
    <s v="BUY"/>
    <n v="4"/>
    <s v="TO CLOSE"/>
    <x v="6"/>
    <d v="2020-08-20T00:00:00"/>
    <m/>
    <s v="FUTURE"/>
    <n v="27.22"/>
    <n v="27.22"/>
    <s v="STP"/>
    <n v="2"/>
    <n v="55819.999999999985"/>
    <n v="27.909999999999993"/>
    <s v=""/>
  </r>
  <r>
    <x v="225"/>
    <x v="20"/>
    <s v="Tuesday"/>
    <d v="1899-12-30T11:50:35"/>
    <s v="FUTURE"/>
    <s v="SELL"/>
    <n v="-1"/>
    <s v="TO CLOSE"/>
    <x v="6"/>
    <d v="2020-08-20T00:00:00"/>
    <m/>
    <s v="FUTURE"/>
    <n v="27.38"/>
    <n v="27.38"/>
    <s v="LMT"/>
    <n v="1"/>
    <n v="28439.999999999985"/>
    <n v="28.439999999999987"/>
    <s v=""/>
  </r>
  <r>
    <x v="225"/>
    <x v="20"/>
    <s v="Tuesday"/>
    <d v="1899-12-30T11:50:38"/>
    <s v="FUTURE"/>
    <s v="SELL"/>
    <n v="-2"/>
    <s v="TO CLOSE"/>
    <x v="6"/>
    <d v="2020-08-20T00:00:00"/>
    <m/>
    <s v="FUTURE"/>
    <n v="27.38"/>
    <n v="27.38"/>
    <s v="LMT"/>
    <n v="-1"/>
    <n v="-26320.000000000015"/>
    <n v="26.320000000000014"/>
    <s v=""/>
  </r>
  <r>
    <x v="225"/>
    <x v="20"/>
    <s v="Tuesday"/>
    <d v="1899-12-30T11:50:38"/>
    <s v="FUTURE"/>
    <s v="SELL"/>
    <n v="-1"/>
    <s v="TO CLOSE"/>
    <x v="6"/>
    <d v="2020-08-20T00:00:00"/>
    <m/>
    <s v="FUTURE"/>
    <n v="27.38"/>
    <n v="27.38"/>
    <s v="LMT"/>
    <n v="-2"/>
    <n v="-53700.000000000015"/>
    <n v="26.850000000000009"/>
    <s v=""/>
  </r>
  <r>
    <x v="225"/>
    <x v="20"/>
    <s v="Tuesday"/>
    <d v="1899-12-30T14:08:37"/>
    <s v="FUTURE"/>
    <s v="BUY"/>
    <n v="2"/>
    <s v="TO CLOSE"/>
    <x v="6"/>
    <d v="2020-08-20T00:00:00"/>
    <m/>
    <s v="FUTURE"/>
    <n v="27.78"/>
    <n v="27.78"/>
    <s v="LMT"/>
    <n v="0"/>
    <n v="0"/>
    <s v=""/>
    <n v="-1859.9999999999852"/>
  </r>
  <r>
    <x v="226"/>
    <x v="20"/>
    <s v="Tuesday"/>
    <d v="1899-12-30T08:50:31"/>
    <s v="FUTURE"/>
    <s v="SELL"/>
    <n v="-1"/>
    <s v="TO OPEN"/>
    <x v="1"/>
    <d v="2020-06-20T00:00:00"/>
    <m/>
    <s v="FUTURE"/>
    <n v="2861"/>
    <n v="2861"/>
    <s v="LMT"/>
    <n v="-1"/>
    <n v="-143050"/>
    <n v="2861"/>
    <s v=""/>
  </r>
  <r>
    <x v="226"/>
    <x v="20"/>
    <s v="Tuesday"/>
    <d v="1899-12-30T09:04:35"/>
    <s v="FUTURE"/>
    <s v="BUY"/>
    <n v="1"/>
    <s v="TO CLOSE"/>
    <x v="1"/>
    <d v="2020-06-20T00:00:00"/>
    <m/>
    <s v="FUTURE"/>
    <n v="2860"/>
    <n v="2860"/>
    <s v="LMT"/>
    <n v="0"/>
    <n v="0"/>
    <s v=""/>
    <n v="50"/>
  </r>
  <r>
    <x v="227"/>
    <x v="20"/>
    <s v="Tuesday"/>
    <d v="1899-12-30T09:15:05"/>
    <s v="FUTURE"/>
    <s v="SELL"/>
    <n v="-1"/>
    <s v="TO OPEN"/>
    <x v="1"/>
    <d v="2020-06-20T00:00:00"/>
    <m/>
    <s v="FUTURE"/>
    <n v="2864"/>
    <n v="2864"/>
    <s v="LMT"/>
    <n v="-1"/>
    <n v="-143200"/>
    <n v="2864"/>
    <s v=""/>
  </r>
  <r>
    <x v="227"/>
    <x v="20"/>
    <s v="Tuesday"/>
    <d v="1899-12-30T09:16:58"/>
    <s v="FUTURE"/>
    <s v="BUY"/>
    <n v="1"/>
    <s v="TO CLOSE"/>
    <x v="1"/>
    <d v="2020-06-20T00:00:00"/>
    <m/>
    <s v="FUTURE"/>
    <n v="2861.75"/>
    <n v="2861.75"/>
    <s v="LMT"/>
    <n v="0"/>
    <n v="0"/>
    <s v=""/>
    <n v="112.5"/>
  </r>
  <r>
    <x v="228"/>
    <x v="20"/>
    <s v="Tuesday"/>
    <d v="1899-12-30T09:58:10"/>
    <s v="FUTURE"/>
    <s v="SELL"/>
    <n v="-1"/>
    <s v="TO OPEN"/>
    <x v="1"/>
    <d v="2020-06-20T00:00:00"/>
    <m/>
    <s v="FUTURE"/>
    <n v="2877.25"/>
    <n v="2877.25"/>
    <s v="LMT"/>
    <n v="-1"/>
    <n v="-143862.5"/>
    <n v="2877.25"/>
    <s v=""/>
  </r>
  <r>
    <x v="228"/>
    <x v="20"/>
    <s v="Tuesday"/>
    <d v="1899-12-30T10:11:38"/>
    <s v="FUTURE"/>
    <s v="BUY"/>
    <n v="1"/>
    <s v="TO CLOSE"/>
    <x v="1"/>
    <d v="2020-06-20T00:00:00"/>
    <m/>
    <s v="FUTURE"/>
    <n v="2873.75"/>
    <n v="2873.75"/>
    <s v="LMT"/>
    <n v="0"/>
    <n v="0"/>
    <s v=""/>
    <n v="175"/>
  </r>
  <r>
    <x v="229"/>
    <x v="20"/>
    <s v="Tuesday"/>
    <d v="1899-12-30T10:22:29"/>
    <s v="FUTURE"/>
    <s v="SELL"/>
    <n v="-1"/>
    <s v="TO OPEN"/>
    <x v="1"/>
    <d v="2020-06-20T00:00:00"/>
    <m/>
    <s v="FUTURE"/>
    <n v="2875"/>
    <n v="2875"/>
    <s v="LMT"/>
    <n v="-1"/>
    <n v="-143750"/>
    <n v="2875"/>
    <s v=""/>
  </r>
  <r>
    <x v="229"/>
    <x v="20"/>
    <s v="Tuesday"/>
    <d v="1899-12-30T10:24:54"/>
    <s v="FUTURE"/>
    <s v="BUY"/>
    <n v="1"/>
    <s v="TO CLOSE"/>
    <x v="1"/>
    <d v="2020-06-20T00:00:00"/>
    <m/>
    <s v="FUTURE"/>
    <n v="2874.25"/>
    <n v="2874.25"/>
    <s v="STP"/>
    <n v="0"/>
    <n v="0"/>
    <s v=""/>
    <n v="37.5"/>
  </r>
  <r>
    <x v="230"/>
    <x v="20"/>
    <s v="Tuesday"/>
    <d v="1899-12-30T08:14:58"/>
    <s v="STOCK"/>
    <s v="SELL"/>
    <n v="-50"/>
    <s v="TO OPEN"/>
    <x v="2"/>
    <m/>
    <m/>
    <s v="STOCK"/>
    <n v="39.21"/>
    <n v="39.21"/>
    <s v="LMT"/>
    <n v="-50"/>
    <n v="-1960.5"/>
    <n v="39.21"/>
    <s v=""/>
  </r>
  <r>
    <x v="230"/>
    <x v="20"/>
    <s v="Tuesday"/>
    <d v="1899-12-30T08:15:07"/>
    <s v="STOCK"/>
    <s v="SELL"/>
    <n v="-100"/>
    <s v="TO OPEN"/>
    <x v="2"/>
    <m/>
    <m/>
    <s v="STOCK"/>
    <n v="39.229999999999997"/>
    <n v="39.229999999999997"/>
    <s v="LMT"/>
    <n v="-150"/>
    <n v="-5883.5"/>
    <n v="39.223333333333336"/>
    <s v=""/>
  </r>
  <r>
    <x v="230"/>
    <x v="20"/>
    <s v="Tuesday"/>
    <d v="1899-12-30T08:15:27"/>
    <s v="STOCK"/>
    <s v="SELL"/>
    <n v="-111"/>
    <s v="TO OPEN"/>
    <x v="2"/>
    <m/>
    <m/>
    <s v="STOCK"/>
    <n v="39.21"/>
    <n v="39.21"/>
    <s v="LMT"/>
    <n v="-261"/>
    <n v="-10235.810000000001"/>
    <n v="39.217662835249044"/>
    <s v=""/>
  </r>
  <r>
    <x v="230"/>
    <x v="20"/>
    <s v="Tuesday"/>
    <d v="1899-12-30T08:16:51"/>
    <s v="STOCK"/>
    <s v="SELL"/>
    <n v="-139"/>
    <s v="TO OPEN"/>
    <x v="2"/>
    <m/>
    <m/>
    <s v="STOCK"/>
    <n v="39.21"/>
    <n v="39.21"/>
    <s v="LMT"/>
    <n v="-400"/>
    <n v="-15686.000000000002"/>
    <n v="39.215000000000003"/>
    <s v=""/>
  </r>
  <r>
    <x v="230"/>
    <x v="20"/>
    <s v="Tuesday"/>
    <d v="1899-12-30T08:31:49"/>
    <s v="STOCK"/>
    <s v="BUY"/>
    <n v="200"/>
    <s v="TO CLOSE"/>
    <x v="2"/>
    <m/>
    <m/>
    <s v="STOCK"/>
    <n v="38.94"/>
    <n v="38.94"/>
    <s v="LMT"/>
    <n v="-200"/>
    <n v="-7898.0000000000018"/>
    <n v="39.490000000000009"/>
    <s v=""/>
  </r>
  <r>
    <x v="230"/>
    <x v="20"/>
    <s v="Tuesday"/>
    <d v="1899-12-30T08:31:49"/>
    <s v="STOCK"/>
    <s v="BUY"/>
    <n v="100"/>
    <s v="TO CLOSE"/>
    <x v="2"/>
    <m/>
    <m/>
    <s v="STOCK"/>
    <n v="38.94"/>
    <n v="38.94"/>
    <s v="LMT"/>
    <n v="-100"/>
    <n v="-4004.0000000000018"/>
    <n v="40.04000000000002"/>
    <s v=""/>
  </r>
  <r>
    <x v="230"/>
    <x v="20"/>
    <s v="Tuesday"/>
    <d v="1899-12-30T08:31:49"/>
    <s v="STOCK"/>
    <s v="BUY"/>
    <n v="100"/>
    <s v="TO CLOSE"/>
    <x v="2"/>
    <m/>
    <m/>
    <s v="STOCK"/>
    <n v="38.94"/>
    <n v="38.94"/>
    <s v="LMT"/>
    <n v="0"/>
    <n v="0"/>
    <s v=""/>
    <n v="110.00000000000227"/>
  </r>
  <r>
    <x v="231"/>
    <x v="20"/>
    <s v="Tuesday"/>
    <d v="1899-12-30T10:21:11"/>
    <s v="STOCK"/>
    <s v="BUY"/>
    <n v="183"/>
    <s v="TO OPEN"/>
    <x v="2"/>
    <m/>
    <m/>
    <s v="STOCK"/>
    <n v="38.49"/>
    <n v="38.49"/>
    <s v="LMT"/>
    <n v="183"/>
    <n v="7043.67"/>
    <n v="38.49"/>
    <s v=""/>
  </r>
  <r>
    <x v="231"/>
    <x v="20"/>
    <s v="Tuesday"/>
    <d v="1899-12-30T10:21:11"/>
    <s v="STOCK"/>
    <s v="BUY"/>
    <n v="17"/>
    <s v="TO OPEN"/>
    <x v="2"/>
    <m/>
    <m/>
    <s v="STOCK"/>
    <n v="38.49"/>
    <n v="38.49"/>
    <s v="LMT"/>
    <n v="200"/>
    <n v="7698"/>
    <n v="38.49"/>
    <s v=""/>
  </r>
  <r>
    <x v="231"/>
    <x v="20"/>
    <s v="Tuesday"/>
    <d v="1899-12-30T10:25:51"/>
    <s v="STOCK"/>
    <s v="SELL"/>
    <n v="-200"/>
    <s v="TO CLOSE"/>
    <x v="2"/>
    <m/>
    <m/>
    <s v="STOCK"/>
    <n v="38.560099999999998"/>
    <n v="38.560099999999998"/>
    <s v="MKT"/>
    <n v="0"/>
    <n v="0"/>
    <s v=""/>
    <n v="14.0199999999993"/>
  </r>
  <r>
    <x v="232"/>
    <x v="21"/>
    <s v="Wednesday"/>
    <d v="1899-12-30T09:51:10"/>
    <s v="FUTURE"/>
    <s v="SELL"/>
    <n v="-1"/>
    <s v="TO OPEN"/>
    <x v="6"/>
    <d v="2020-08-20T00:00:00"/>
    <m/>
    <s v="FUTURE"/>
    <n v="27.06"/>
    <n v="27.06"/>
    <s v="LMT"/>
    <n v="-1"/>
    <n v="-27060"/>
    <n v="27.06"/>
    <s v=""/>
  </r>
  <r>
    <x v="232"/>
    <x v="21"/>
    <s v="Wednesday"/>
    <d v="1899-12-30T10:01:52"/>
    <s v="FUTURE"/>
    <s v="BUY"/>
    <n v="1"/>
    <s v="TO CLOSE"/>
    <x v="6"/>
    <d v="2020-08-20T00:00:00"/>
    <m/>
    <s v="FUTURE"/>
    <n v="26.96"/>
    <n v="26.96"/>
    <s v="LMT"/>
    <n v="0"/>
    <n v="0"/>
    <s v=""/>
    <n v="99.999999999997868"/>
  </r>
  <r>
    <x v="233"/>
    <x v="21"/>
    <s v="Wednesday"/>
    <d v="1899-12-30T10:02:37"/>
    <s v="FUTURE"/>
    <s v="BUY"/>
    <n v="1"/>
    <s v="TO OPEN"/>
    <x v="6"/>
    <d v="2020-08-20T00:00:00"/>
    <m/>
    <s v="FUTURE"/>
    <n v="26.98"/>
    <n v="26.98"/>
    <s v="LMT"/>
    <n v="1"/>
    <n v="26980"/>
    <n v="26.98"/>
    <s v=""/>
  </r>
  <r>
    <x v="233"/>
    <x v="21"/>
    <s v="Wednesday"/>
    <d v="1899-12-30T10:09:17"/>
    <s v="FUTURE"/>
    <s v="SELL"/>
    <n v="-1"/>
    <s v="TO CLOSE"/>
    <x v="6"/>
    <d v="2020-08-20T00:00:00"/>
    <m/>
    <s v="FUTURE"/>
    <n v="26.91"/>
    <n v="26.91"/>
    <s v="LMT"/>
    <n v="0"/>
    <n v="0"/>
    <s v=""/>
    <n v="-70.000000000000284"/>
  </r>
  <r>
    <x v="234"/>
    <x v="21"/>
    <s v="Wednesday"/>
    <d v="1899-12-30T10:19:16"/>
    <s v="FUTURE"/>
    <s v="BUY"/>
    <n v="1"/>
    <s v="TO OPEN"/>
    <x v="6"/>
    <d v="2020-08-20T00:00:00"/>
    <m/>
    <s v="FUTURE"/>
    <n v="26.88"/>
    <n v="26.88"/>
    <s v="LMT"/>
    <n v="1"/>
    <n v="26880"/>
    <n v="26.88"/>
    <s v=""/>
  </r>
  <r>
    <x v="234"/>
    <x v="21"/>
    <s v="Wednesday"/>
    <d v="1899-12-30T10:26:38"/>
    <s v="FUTURE"/>
    <s v="SELL"/>
    <n v="-1"/>
    <s v="TO CLOSE"/>
    <x v="6"/>
    <d v="2020-08-20T00:00:00"/>
    <m/>
    <s v="FUTURE"/>
    <n v="26.89"/>
    <n v="26.89"/>
    <s v="STP"/>
    <n v="0"/>
    <n v="0"/>
    <s v=""/>
    <n v="10.000000000001563"/>
  </r>
  <r>
    <x v="235"/>
    <x v="21"/>
    <s v="Wednesday"/>
    <d v="1899-12-30T10:30:00"/>
    <s v="FUTURE"/>
    <s v="BUY"/>
    <n v="1"/>
    <s v="TO OPEN"/>
    <x v="6"/>
    <d v="2020-08-20T00:00:00"/>
    <m/>
    <s v="FUTURE"/>
    <n v="27.06"/>
    <n v="27.06"/>
    <s v="STP"/>
    <n v="1"/>
    <n v="27060"/>
    <n v="27.06"/>
    <s v=""/>
  </r>
  <r>
    <x v="235"/>
    <x v="21"/>
    <s v="Wednesday"/>
    <d v="1899-12-30T10:30:12"/>
    <s v="FUTURE"/>
    <s v="SELL"/>
    <n v="-1"/>
    <s v="TO CLOSE"/>
    <x v="6"/>
    <d v="2020-08-20T00:00:00"/>
    <m/>
    <s v="FUTURE"/>
    <n v="27.35"/>
    <n v="27.35"/>
    <s v="MKT"/>
    <n v="0"/>
    <n v="0"/>
    <s v=""/>
    <n v="290.00000000000273"/>
  </r>
  <r>
    <x v="236"/>
    <x v="21"/>
    <s v="Wednesday"/>
    <d v="1899-12-30T10:34:14"/>
    <s v="FUTURE"/>
    <s v="SELL"/>
    <n v="-1"/>
    <s v="TO OPEN"/>
    <x v="6"/>
    <d v="2020-08-20T00:00:00"/>
    <m/>
    <s v="FUTURE"/>
    <n v="27.45"/>
    <n v="27.45"/>
    <s v="LMT"/>
    <n v="-1"/>
    <n v="-27450"/>
    <n v="27.45"/>
    <s v=""/>
  </r>
  <r>
    <x v="236"/>
    <x v="21"/>
    <s v="Wednesday"/>
    <d v="1899-12-30T10:36:08"/>
    <s v="FUTURE"/>
    <s v="BUY"/>
    <n v="1"/>
    <s v="TO CLOSE"/>
    <x v="6"/>
    <d v="2020-08-20T00:00:00"/>
    <m/>
    <s v="FUTURE"/>
    <n v="27.2"/>
    <n v="27.2"/>
    <s v="MKT"/>
    <n v="0"/>
    <n v="0"/>
    <s v=""/>
    <n v="250"/>
  </r>
  <r>
    <x v="237"/>
    <x v="21"/>
    <s v="Wednesday"/>
    <d v="1899-12-30T11:08:25"/>
    <s v="FUTURE"/>
    <s v="SELL"/>
    <n v="-1"/>
    <s v="TO OPEN"/>
    <x v="6"/>
    <d v="2020-08-20T00:00:00"/>
    <m/>
    <s v="FUTURE"/>
    <n v="26.69"/>
    <n v="26.69"/>
    <s v="LMT"/>
    <n v="-1"/>
    <n v="-26690"/>
    <n v="26.69"/>
    <s v=""/>
  </r>
  <r>
    <x v="237"/>
    <x v="21"/>
    <s v="Wednesday"/>
    <d v="1899-12-30T11:21:13"/>
    <s v="FUTURE"/>
    <s v="BUY"/>
    <n v="1"/>
    <s v="TO CLOSE"/>
    <x v="6"/>
    <d v="2020-08-20T00:00:00"/>
    <m/>
    <s v="FUTURE"/>
    <n v="26.69"/>
    <n v="26.69"/>
    <s v="LMT"/>
    <n v="0"/>
    <n v="0"/>
    <s v=""/>
    <n v="0"/>
  </r>
  <r>
    <x v="238"/>
    <x v="21"/>
    <s v="Wednesday"/>
    <d v="1899-12-30T10:58:39"/>
    <s v="FUTURE"/>
    <s v="SELL"/>
    <n v="-1"/>
    <s v="TO OPEN"/>
    <x v="1"/>
    <d v="2020-06-20T00:00:00"/>
    <m/>
    <s v="FUTURE"/>
    <n v="2869.25"/>
    <n v="2869.25"/>
    <s v="LMT"/>
    <n v="-1"/>
    <n v="-143462.5"/>
    <n v="2869.25"/>
    <s v=""/>
  </r>
  <r>
    <x v="238"/>
    <x v="21"/>
    <s v="Wednesday"/>
    <d v="1899-12-30T11:07:02"/>
    <s v="FUTURE"/>
    <s v="BUY"/>
    <n v="1"/>
    <s v="TO CLOSE"/>
    <x v="1"/>
    <d v="2020-06-20T00:00:00"/>
    <m/>
    <s v="FUTURE"/>
    <n v="2865.5"/>
    <n v="2865.5"/>
    <s v="LMT"/>
    <n v="0"/>
    <n v="0"/>
    <s v=""/>
    <n v="187.5"/>
  </r>
  <r>
    <x v="239"/>
    <x v="21"/>
    <s v="Wednesday"/>
    <d v="1899-12-30T09:57:10"/>
    <s v="STOCK"/>
    <s v="BUY"/>
    <n v="400"/>
    <s v="TO OPEN"/>
    <x v="2"/>
    <m/>
    <m/>
    <s v="STOCK"/>
    <n v="38.5"/>
    <n v="38.5"/>
    <s v="LMT"/>
    <n v="400"/>
    <n v="15400"/>
    <n v="38.5"/>
    <s v=""/>
  </r>
  <r>
    <x v="239"/>
    <x v="21"/>
    <s v="Wednesday"/>
    <d v="1899-12-30T10:07:13"/>
    <s v="STOCK"/>
    <s v="SELL"/>
    <n v="-200"/>
    <s v="TO CLOSE"/>
    <x v="2"/>
    <m/>
    <m/>
    <s v="STOCK"/>
    <n v="38.82"/>
    <n v="38.82"/>
    <s v="LMT"/>
    <n v="200"/>
    <n v="7636"/>
    <n v="38.18"/>
    <s v=""/>
  </r>
  <r>
    <x v="239"/>
    <x v="21"/>
    <s v="Wednesday"/>
    <d v="1899-12-30T10:10:47"/>
    <s v="STOCK"/>
    <s v="SELL"/>
    <n v="-200"/>
    <s v="TO CLOSE"/>
    <x v="2"/>
    <m/>
    <m/>
    <s v="STOCK"/>
    <n v="39.061700000000002"/>
    <n v="39.061700000000002"/>
    <s v="LMT"/>
    <n v="0"/>
    <n v="0"/>
    <s v=""/>
    <n v="176.34000000000043"/>
  </r>
  <r>
    <x v="240"/>
    <x v="22"/>
    <s v="Thursday"/>
    <d v="1899-12-30T09:30:45"/>
    <s v="FUTURE"/>
    <s v="SELL"/>
    <n v="-1"/>
    <s v="TO OPEN"/>
    <x v="6"/>
    <d v="2020-08-20T00:00:00"/>
    <m/>
    <s v="FUTURE"/>
    <n v="28.56"/>
    <n v="28.56"/>
    <s v="LMT"/>
    <n v="-1"/>
    <n v="-28560"/>
    <n v="28.56"/>
    <s v=""/>
  </r>
  <r>
    <x v="240"/>
    <x v="22"/>
    <s v="Thursday"/>
    <d v="1899-12-30T09:50:21"/>
    <s v="FUTURE"/>
    <s v="BUY"/>
    <n v="1"/>
    <s v="TO CLOSE"/>
    <x v="6"/>
    <d v="2020-08-20T00:00:00"/>
    <m/>
    <s v="FUTURE"/>
    <n v="28.46"/>
    <n v="28.46"/>
    <s v="LMT"/>
    <n v="0"/>
    <n v="0"/>
    <s v=""/>
    <n v="99.999999999997868"/>
  </r>
  <r>
    <x v="241"/>
    <x v="22"/>
    <s v="Thursday"/>
    <d v="1899-12-30T11:13:20"/>
    <s v="FUTURE"/>
    <s v="BUY"/>
    <n v="1"/>
    <s v="TO OPEN"/>
    <x v="6"/>
    <d v="2020-08-20T00:00:00"/>
    <m/>
    <s v="FUTURE"/>
    <n v="28.1"/>
    <n v="28.1"/>
    <s v="LMT"/>
    <n v="1"/>
    <n v="28100"/>
    <n v="28.1"/>
    <s v=""/>
  </r>
  <r>
    <x v="241"/>
    <x v="22"/>
    <s v="Thursday"/>
    <d v="1899-12-30T11:23:58"/>
    <s v="FUTURE"/>
    <s v="SELL"/>
    <n v="-1"/>
    <s v="TO CLOSE"/>
    <x v="6"/>
    <d v="2020-08-20T00:00:00"/>
    <m/>
    <s v="FUTURE"/>
    <n v="28.26"/>
    <n v="28.26"/>
    <s v="LMT"/>
    <n v="0"/>
    <n v="0"/>
    <s v=""/>
    <n v="160.00000000000014"/>
  </r>
  <r>
    <x v="242"/>
    <x v="22"/>
    <s v="Thursday"/>
    <d v="1899-12-30T14:28:44"/>
    <s v="FUTURE"/>
    <s v="BUY"/>
    <n v="1"/>
    <s v="TO OPEN"/>
    <x v="6"/>
    <d v="2020-08-20T00:00:00"/>
    <m/>
    <s v="FUTURE"/>
    <n v="26.43"/>
    <n v="26.43"/>
    <s v="LMT"/>
    <n v="1"/>
    <n v="26430"/>
    <n v="26.43"/>
    <s v=""/>
  </r>
  <r>
    <x v="242"/>
    <x v="22"/>
    <s v="Thursday"/>
    <d v="1899-12-30T14:30:17"/>
    <s v="FUTURE"/>
    <s v="SELL"/>
    <n v="-1"/>
    <s v="TO CLOSE"/>
    <x v="6"/>
    <d v="2020-08-20T00:00:00"/>
    <m/>
    <s v="FUTURE"/>
    <n v="26.65"/>
    <n v="26.65"/>
    <s v="LMT"/>
    <n v="0"/>
    <n v="0"/>
    <s v=""/>
    <n v="219.99999999999886"/>
  </r>
  <r>
    <x v="243"/>
    <x v="22"/>
    <s v="Thursday"/>
    <d v="1899-12-30T09:29:38"/>
    <s v="FUTURE"/>
    <s v="SELL"/>
    <n v="-1"/>
    <s v="TO OPEN"/>
    <x v="1"/>
    <d v="2020-06-20T00:00:00"/>
    <m/>
    <s v="FUTURE"/>
    <n v="2874"/>
    <n v="2874"/>
    <s v="LMT"/>
    <n v="-1"/>
    <n v="-143700"/>
    <n v="2874"/>
    <s v=""/>
  </r>
  <r>
    <x v="243"/>
    <x v="22"/>
    <s v="Thursday"/>
    <d v="1899-12-30T15:01:55"/>
    <s v="FUTURE"/>
    <s v="BUY"/>
    <n v="1"/>
    <s v="TO CLOSE"/>
    <x v="1"/>
    <d v="2020-06-20T00:00:00"/>
    <m/>
    <s v="FUTURE"/>
    <n v="2873"/>
    <n v="2873"/>
    <s v="MKT"/>
    <n v="0"/>
    <n v="0"/>
    <s v=""/>
    <n v="50"/>
  </r>
  <r>
    <x v="244"/>
    <x v="22"/>
    <s v="Thursday"/>
    <d v="1899-12-30T10:45:44"/>
    <s v="FUTURE"/>
    <s v="SELL"/>
    <n v="-2"/>
    <s v="TO OPEN"/>
    <x v="3"/>
    <d v="2020-06-20T00:00:00"/>
    <m/>
    <s v="FUTURE"/>
    <n v="2881"/>
    <n v="2881"/>
    <s v="LMT"/>
    <n v="-2"/>
    <n v="-28810"/>
    <n v="2881"/>
    <s v=""/>
  </r>
  <r>
    <x v="244"/>
    <x v="22"/>
    <s v="Thursday"/>
    <d v="1899-12-30T10:45:45"/>
    <s v="FUTURE"/>
    <s v="SELL"/>
    <n v="-1"/>
    <s v="TO OPEN"/>
    <x v="3"/>
    <d v="2020-06-20T00:00:00"/>
    <m/>
    <s v="FUTURE"/>
    <n v="2881"/>
    <n v="2881"/>
    <s v="LMT"/>
    <n v="-3"/>
    <n v="-43215"/>
    <n v="2881"/>
    <s v=""/>
  </r>
  <r>
    <x v="244"/>
    <x v="22"/>
    <s v="Thursday"/>
    <d v="1899-12-30T10:45:45"/>
    <s v="FUTURE"/>
    <s v="SELL"/>
    <n v="-1"/>
    <s v="TO OPEN"/>
    <x v="3"/>
    <d v="2020-06-20T00:00:00"/>
    <m/>
    <s v="FUTURE"/>
    <n v="2881"/>
    <n v="2881"/>
    <s v="LMT"/>
    <n v="-4"/>
    <n v="-57620"/>
    <n v="2881"/>
    <s v=""/>
  </r>
  <r>
    <x v="244"/>
    <x v="22"/>
    <s v="Thursday"/>
    <d v="1899-12-30T10:45:45"/>
    <s v="FUTURE"/>
    <s v="SELL"/>
    <n v="-1"/>
    <s v="TO OPEN"/>
    <x v="3"/>
    <d v="2020-06-20T00:00:00"/>
    <m/>
    <s v="FUTURE"/>
    <n v="2881"/>
    <n v="2881"/>
    <s v="LMT"/>
    <n v="-5"/>
    <n v="-72025"/>
    <n v="2881"/>
    <s v=""/>
  </r>
  <r>
    <x v="244"/>
    <x v="22"/>
    <s v="Thursday"/>
    <d v="1899-12-30T10:48:22"/>
    <s v="FUTURE"/>
    <s v="BUY"/>
    <n v="5"/>
    <s v="TO CLOSE"/>
    <x v="3"/>
    <d v="2020-06-20T00:00:00"/>
    <m/>
    <s v="FUTURE"/>
    <n v="2875"/>
    <n v="2875"/>
    <s v="LMT"/>
    <n v="0"/>
    <n v="0"/>
    <s v=""/>
    <n v="150"/>
  </r>
  <r>
    <x v="245"/>
    <x v="22"/>
    <s v="Thursday"/>
    <d v="1899-12-30T11:44:32"/>
    <s v="FUTURE"/>
    <s v="SELL"/>
    <n v="-1"/>
    <s v="TO OPEN"/>
    <x v="3"/>
    <d v="2020-06-20T00:00:00"/>
    <m/>
    <s v="FUTURE"/>
    <n v="2891"/>
    <n v="2891"/>
    <s v="LMT"/>
    <n v="-1"/>
    <n v="-14455"/>
    <n v="2891"/>
    <s v=""/>
  </r>
  <r>
    <x v="245"/>
    <x v="22"/>
    <s v="Thursday"/>
    <d v="1899-12-30T11:44:32"/>
    <s v="FUTURE"/>
    <s v="SELL"/>
    <n v="-1"/>
    <s v="TO OPEN"/>
    <x v="3"/>
    <d v="2020-06-20T00:00:00"/>
    <m/>
    <s v="FUTURE"/>
    <n v="2891"/>
    <n v="2891"/>
    <s v="LMT"/>
    <n v="-2"/>
    <n v="-28910"/>
    <n v="2891"/>
    <s v=""/>
  </r>
  <r>
    <x v="245"/>
    <x v="22"/>
    <s v="Thursday"/>
    <d v="1899-12-30T11:44:32"/>
    <s v="FUTURE"/>
    <s v="SELL"/>
    <n v="-1"/>
    <s v="TO OPEN"/>
    <x v="3"/>
    <d v="2020-06-20T00:00:00"/>
    <m/>
    <s v="FUTURE"/>
    <n v="2891"/>
    <n v="2891"/>
    <s v="LMT"/>
    <n v="-3"/>
    <n v="-43365"/>
    <n v="2891"/>
    <s v=""/>
  </r>
  <r>
    <x v="245"/>
    <x v="22"/>
    <s v="Thursday"/>
    <d v="1899-12-30T11:44:32"/>
    <s v="FUTURE"/>
    <s v="SELL"/>
    <n v="-2"/>
    <s v="TO OPEN"/>
    <x v="3"/>
    <d v="2020-06-20T00:00:00"/>
    <m/>
    <s v="FUTURE"/>
    <n v="2891"/>
    <n v="2891"/>
    <s v="LMT"/>
    <n v="-5"/>
    <n v="-72275"/>
    <n v="2891"/>
    <s v=""/>
  </r>
  <r>
    <x v="245"/>
    <x v="22"/>
    <s v="Thursday"/>
    <d v="1899-12-30T12:50:27"/>
    <s v="FUTURE"/>
    <s v="BUY"/>
    <n v="5"/>
    <s v="TO CLOSE"/>
    <x v="3"/>
    <d v="2020-06-20T00:00:00"/>
    <m/>
    <s v="FUTURE"/>
    <n v="2886"/>
    <n v="2886"/>
    <s v="LMT"/>
    <n v="0"/>
    <n v="0"/>
    <s v=""/>
    <n v="125"/>
  </r>
  <r>
    <x v="246"/>
    <x v="22"/>
    <s v="Thursday"/>
    <d v="1899-12-30T09:51:37"/>
    <s v="STOCK"/>
    <s v="BUY"/>
    <n v="200"/>
    <s v="TO OPEN"/>
    <x v="2"/>
    <m/>
    <m/>
    <s v="STOCK"/>
    <n v="37.578299999999999"/>
    <n v="37.578299999999999"/>
    <s v="LMT"/>
    <n v="200"/>
    <n v="7515.66"/>
    <n v="37.578299999999999"/>
    <s v=""/>
  </r>
  <r>
    <x v="246"/>
    <x v="22"/>
    <s v="Thursday"/>
    <d v="1899-12-30T09:52:48"/>
    <s v="STOCK"/>
    <s v="BUY"/>
    <n v="100"/>
    <s v="TO OPEN"/>
    <x v="2"/>
    <m/>
    <m/>
    <s v="STOCK"/>
    <n v="37.450000000000003"/>
    <n v="37.450000000000003"/>
    <s v="LMT"/>
    <n v="300"/>
    <n v="11260.66"/>
    <n v="37.535533333333333"/>
    <s v=""/>
  </r>
  <r>
    <x v="246"/>
    <x v="22"/>
    <s v="Thursday"/>
    <d v="1899-12-30T09:56:12"/>
    <s v="STOCK"/>
    <s v="BUY"/>
    <n v="100"/>
    <s v="TO OPEN"/>
    <x v="2"/>
    <m/>
    <m/>
    <s v="STOCK"/>
    <n v="37.380000000000003"/>
    <n v="37.380000000000003"/>
    <s v="LMT"/>
    <n v="400"/>
    <n v="14998.66"/>
    <n v="37.496650000000002"/>
    <s v=""/>
  </r>
  <r>
    <x v="246"/>
    <x v="22"/>
    <s v="Thursday"/>
    <d v="1899-12-30T10:11:17"/>
    <s v="STOCK"/>
    <s v="BUY"/>
    <n v="100"/>
    <s v="TO OPEN"/>
    <x v="2"/>
    <m/>
    <m/>
    <s v="STOCK"/>
    <n v="37.68"/>
    <n v="37.68"/>
    <s v="MKT"/>
    <n v="500"/>
    <n v="18766.66"/>
    <n v="37.533319999999996"/>
    <s v=""/>
  </r>
  <r>
    <x v="246"/>
    <x v="22"/>
    <s v="Thursday"/>
    <d v="1899-12-30T11:12:10"/>
    <s v="STOCK"/>
    <s v="SELL"/>
    <n v="-500"/>
    <s v="TO CLOSE"/>
    <x v="2"/>
    <m/>
    <m/>
    <s v="STOCK"/>
    <n v="37.580100000000002"/>
    <n v="37.580100000000002"/>
    <s v="MKT"/>
    <n v="0"/>
    <n v="0"/>
    <s v=""/>
    <n v="23.390000000002686"/>
  </r>
  <r>
    <x v="247"/>
    <x v="22"/>
    <s v="Thursday"/>
    <d v="1899-12-30T11:27:06"/>
    <s v="STOCK"/>
    <s v="BUY"/>
    <n v="7"/>
    <s v="TO OPEN"/>
    <x v="2"/>
    <m/>
    <m/>
    <s v="STOCK"/>
    <n v="37.58"/>
    <n v="37.58"/>
    <s v="LMT"/>
    <n v="7"/>
    <n v="263.06"/>
    <n v="37.58"/>
    <s v=""/>
  </r>
  <r>
    <x v="247"/>
    <x v="22"/>
    <s v="Thursday"/>
    <d v="1899-12-30T11:27:06"/>
    <s v="STOCK"/>
    <s v="BUY"/>
    <n v="100"/>
    <s v="TO OPEN"/>
    <x v="2"/>
    <m/>
    <m/>
    <s v="STOCK"/>
    <n v="37.58"/>
    <n v="37.58"/>
    <s v="LMT"/>
    <n v="107"/>
    <n v="4021.06"/>
    <n v="37.58"/>
    <s v=""/>
  </r>
  <r>
    <x v="247"/>
    <x v="22"/>
    <s v="Thursday"/>
    <d v="1899-12-30T11:27:06"/>
    <s v="STOCK"/>
    <s v="BUY"/>
    <n v="193"/>
    <s v="TO OPEN"/>
    <x v="2"/>
    <m/>
    <m/>
    <s v="STOCK"/>
    <n v="37.58"/>
    <n v="37.58"/>
    <s v="LMT"/>
    <n v="300"/>
    <n v="11274"/>
    <n v="37.58"/>
    <s v=""/>
  </r>
  <r>
    <x v="247"/>
    <x v="22"/>
    <s v="Thursday"/>
    <d v="1899-12-30T11:27:06"/>
    <s v="STOCK"/>
    <s v="BUY"/>
    <n v="100"/>
    <s v="TO OPEN"/>
    <x v="2"/>
    <m/>
    <m/>
    <s v="STOCK"/>
    <n v="37.58"/>
    <n v="37.58"/>
    <s v="LMT"/>
    <n v="400"/>
    <n v="15032"/>
    <n v="37.58"/>
    <s v=""/>
  </r>
  <r>
    <x v="247"/>
    <x v="22"/>
    <s v="Thursday"/>
    <d v="1899-12-30T11:47:24"/>
    <s v="STOCK"/>
    <s v="BUY"/>
    <n v="100"/>
    <s v="TO OPEN"/>
    <x v="2"/>
    <m/>
    <m/>
    <s v="STOCK"/>
    <n v="37.380000000000003"/>
    <n v="37.380000000000003"/>
    <s v="LMT"/>
    <n v="500"/>
    <n v="18770"/>
    <n v="37.54"/>
    <s v=""/>
  </r>
  <r>
    <x v="247"/>
    <x v="22"/>
    <s v="Thursday"/>
    <d v="1899-12-30T14:26:29"/>
    <s v="STOCK"/>
    <s v="SELL"/>
    <n v="-180"/>
    <s v="TO CLOSE"/>
    <x v="2"/>
    <m/>
    <m/>
    <s v="STOCK"/>
    <n v="37.700000000000003"/>
    <n v="37.700000000000003"/>
    <s v="LMT"/>
    <n v="320"/>
    <n v="11984"/>
    <n v="37.450000000000003"/>
    <s v=""/>
  </r>
  <r>
    <x v="247"/>
    <x v="22"/>
    <s v="Thursday"/>
    <d v="1899-12-30T14:26:29"/>
    <s v="STOCK"/>
    <s v="SELL"/>
    <n v="-20"/>
    <s v="TO CLOSE"/>
    <x v="2"/>
    <m/>
    <m/>
    <s v="STOCK"/>
    <n v="37.700000000000003"/>
    <n v="37.700000000000003"/>
    <s v="LMT"/>
    <n v="300"/>
    <n v="11230"/>
    <n v="37.43333333333333"/>
    <s v=""/>
  </r>
  <r>
    <x v="247"/>
    <x v="22"/>
    <s v="Thursday"/>
    <d v="1899-12-30T14:28:37"/>
    <s v="STOCK"/>
    <s v="SELL"/>
    <n v="-100"/>
    <s v="TO CLOSE"/>
    <x v="2"/>
    <m/>
    <m/>
    <s v="STOCK"/>
    <n v="37.704999999999998"/>
    <n v="37.704999999999998"/>
    <s v="LMT"/>
    <n v="200"/>
    <n v="7459.5"/>
    <n v="37.297499999999999"/>
    <s v=""/>
  </r>
  <r>
    <x v="247"/>
    <x v="22"/>
    <s v="Thursday"/>
    <d v="1899-12-30T14:50:59"/>
    <s v="STOCK"/>
    <s v="SELL"/>
    <n v="-200"/>
    <s v="TO CLOSE"/>
    <x v="2"/>
    <m/>
    <m/>
    <s v="STOCK"/>
    <n v="37.76"/>
    <n v="37.76"/>
    <s v="LMT"/>
    <n v="0"/>
    <n v="0"/>
    <s v=""/>
    <n v="92.499999999999716"/>
  </r>
  <r>
    <x v="248"/>
    <x v="23"/>
    <s v="Friday"/>
    <d v="1899-12-30T09:44:38"/>
    <s v="FUTURE"/>
    <s v="SELL"/>
    <n v="-1"/>
    <s v="TO OPEN"/>
    <x v="6"/>
    <d v="2020-08-20T00:00:00"/>
    <m/>
    <s v="FUTURE"/>
    <n v="27.1"/>
    <n v="27.1"/>
    <s v="LMT"/>
    <n v="-1"/>
    <n v="-27100"/>
    <n v="27.1"/>
    <s v=""/>
  </r>
  <r>
    <x v="248"/>
    <x v="23"/>
    <s v="Friday"/>
    <d v="1899-12-30T11:31:03"/>
    <s v="FUTURE"/>
    <s v="BUY"/>
    <n v="1"/>
    <s v="TO CLOSE"/>
    <x v="6"/>
    <d v="2020-08-20T00:00:00"/>
    <m/>
    <s v="FUTURE"/>
    <n v="27.37"/>
    <n v="27.37"/>
    <s v="STP"/>
    <n v="0"/>
    <n v="0"/>
    <s v=""/>
    <n v="-269.99999999999955"/>
  </r>
  <r>
    <x v="249"/>
    <x v="23"/>
    <s v="Friday"/>
    <d v="1899-12-30T11:31:11"/>
    <s v="FUTURE"/>
    <s v="BUY"/>
    <n v="1"/>
    <s v="TO OPEN"/>
    <x v="6"/>
    <d v="2020-08-20T00:00:00"/>
    <m/>
    <s v="FUTURE"/>
    <n v="27.4"/>
    <n v="27.4"/>
    <s v="MKT"/>
    <n v="1"/>
    <n v="27400"/>
    <n v="27.4"/>
    <s v=""/>
  </r>
  <r>
    <x v="249"/>
    <x v="23"/>
    <s v="Friday"/>
    <d v="1899-12-30T11:34:10"/>
    <s v="FUTURE"/>
    <s v="SELL"/>
    <n v="-1"/>
    <s v="TO CLOSE"/>
    <x v="6"/>
    <d v="2020-08-20T00:00:00"/>
    <m/>
    <s v="FUTURE"/>
    <n v="27.17"/>
    <n v="27.17"/>
    <s v="STP"/>
    <n v="0"/>
    <n v="0"/>
    <s v=""/>
    <n v="-229.99999999999687"/>
  </r>
  <r>
    <x v="250"/>
    <x v="23"/>
    <s v="Friday"/>
    <d v="1899-12-30T11:35:46"/>
    <s v="FUTURE"/>
    <s v="SELL"/>
    <n v="-1"/>
    <s v="TO OPEN"/>
    <x v="6"/>
    <d v="2020-08-20T00:00:00"/>
    <m/>
    <s v="FUTURE"/>
    <n v="27.13"/>
    <n v="27.13"/>
    <s v="LMT"/>
    <n v="-1"/>
    <n v="-27130"/>
    <n v="27.13"/>
    <s v=""/>
  </r>
  <r>
    <x v="250"/>
    <x v="23"/>
    <s v="Friday"/>
    <d v="1899-12-30T12:01:22"/>
    <s v="FUTURE"/>
    <s v="BUY"/>
    <n v="1"/>
    <s v="TO CLOSE"/>
    <x v="6"/>
    <d v="2020-08-20T00:00:00"/>
    <m/>
    <s v="FUTURE"/>
    <n v="27.33"/>
    <n v="27.33"/>
    <s v="STP"/>
    <n v="0"/>
    <n v="0"/>
    <s v=""/>
    <n v="-199.99999999999929"/>
  </r>
  <r>
    <x v="251"/>
    <x v="23"/>
    <s v="Friday"/>
    <d v="1899-12-30T09:55:03"/>
    <s v="FUTURE"/>
    <s v="SELL"/>
    <n v="-1"/>
    <s v="TO OPEN"/>
    <x v="1"/>
    <d v="2020-06-20T00:00:00"/>
    <m/>
    <s v="FUTURE"/>
    <n v="2902.75"/>
    <n v="2902.75"/>
    <s v="LMT"/>
    <n v="-1"/>
    <n v="-145137.5"/>
    <n v="2902.75"/>
    <s v=""/>
  </r>
  <r>
    <x v="251"/>
    <x v="23"/>
    <s v="Friday"/>
    <d v="1899-12-30T10:07:30"/>
    <s v="FUTURE"/>
    <s v="BUY"/>
    <n v="2"/>
    <s v="TO CLOSE"/>
    <x v="1"/>
    <d v="2020-06-20T00:00:00"/>
    <m/>
    <s v="FUTURE"/>
    <n v="2910.5"/>
    <n v="2910.5"/>
    <s v="MKT"/>
    <n v="1"/>
    <n v="145912.5"/>
    <n v="2918.25"/>
    <s v=""/>
  </r>
  <r>
    <x v="251"/>
    <x v="23"/>
    <s v="Friday"/>
    <d v="1899-12-30T10:26:55"/>
    <s v="FUTURE"/>
    <s v="SELL"/>
    <n v="-2"/>
    <s v="TO CLOSE"/>
    <x v="1"/>
    <d v="2020-06-20T00:00:00"/>
    <m/>
    <s v="FUTURE"/>
    <n v="2906.75"/>
    <n v="2906.75"/>
    <s v="LMT"/>
    <n v="-1"/>
    <n v="-144762.5"/>
    <n v="2895.25"/>
    <s v=""/>
  </r>
  <r>
    <x v="251"/>
    <x v="23"/>
    <s v="Friday"/>
    <d v="1899-12-30T11:31:54"/>
    <s v="FUTURE"/>
    <s v="BUY"/>
    <n v="1"/>
    <s v="TO CLOSE"/>
    <x v="1"/>
    <d v="2020-06-20T00:00:00"/>
    <m/>
    <s v="FUTURE"/>
    <n v="2914"/>
    <n v="2914"/>
    <s v="MKT"/>
    <n v="0"/>
    <n v="0"/>
    <s v=""/>
    <n v="-937.5"/>
  </r>
  <r>
    <x v="252"/>
    <x v="23"/>
    <s v="Friday"/>
    <d v="1899-12-30T11:35:35"/>
    <s v="FUTURE"/>
    <s v="BUY"/>
    <n v="1"/>
    <s v="TO OPEN"/>
    <x v="1"/>
    <d v="2020-06-20T00:00:00"/>
    <m/>
    <s v="FUTURE"/>
    <n v="2912.75"/>
    <n v="2912.75"/>
    <s v="MKT"/>
    <n v="1"/>
    <n v="145637.5"/>
    <n v="2912.75"/>
    <s v=""/>
  </r>
  <r>
    <x v="252"/>
    <x v="23"/>
    <s v="Friday"/>
    <d v="1899-12-30T11:52:22"/>
    <s v="FUTURE"/>
    <s v="SELL"/>
    <n v="-1"/>
    <s v="TO CLOSE"/>
    <x v="1"/>
    <d v="2020-06-20T00:00:00"/>
    <m/>
    <s v="FUTURE"/>
    <n v="2912.75"/>
    <n v="2912.75"/>
    <s v="LMT"/>
    <n v="0"/>
    <n v="0"/>
    <s v=""/>
    <n v="0"/>
  </r>
  <r>
    <x v="253"/>
    <x v="23"/>
    <s v="Friday"/>
    <d v="1899-12-30T11:54:00"/>
    <s v="STOCK"/>
    <s v="BUY"/>
    <n v="100"/>
    <s v="TO OPEN"/>
    <x v="2"/>
    <m/>
    <m/>
    <s v="STOCK"/>
    <n v="35.72"/>
    <n v="35.72"/>
    <s v="LMT"/>
    <n v="100"/>
    <n v="3572"/>
    <n v="35.72"/>
    <s v=""/>
  </r>
  <r>
    <x v="253"/>
    <x v="23"/>
    <s v="Friday"/>
    <d v="1899-12-30T11:54:00"/>
    <s v="STOCK"/>
    <s v="BUY"/>
    <n v="100"/>
    <s v="TO OPEN"/>
    <x v="2"/>
    <m/>
    <m/>
    <s v="STOCK"/>
    <n v="35.72"/>
    <n v="35.72"/>
    <s v="LMT"/>
    <n v="200"/>
    <n v="7144"/>
    <n v="35.72"/>
    <s v=""/>
  </r>
  <r>
    <x v="253"/>
    <x v="23"/>
    <s v="Friday"/>
    <d v="1899-12-30T11:54:00"/>
    <s v="STOCK"/>
    <s v="BUY"/>
    <n v="150"/>
    <s v="TO OPEN"/>
    <x v="2"/>
    <m/>
    <m/>
    <s v="STOCK"/>
    <n v="35.72"/>
    <n v="35.72"/>
    <s v="LMT"/>
    <n v="350"/>
    <n v="12502"/>
    <n v="35.72"/>
    <s v=""/>
  </r>
  <r>
    <x v="253"/>
    <x v="23"/>
    <s v="Friday"/>
    <d v="1899-12-30T11:54:01"/>
    <s v="STOCK"/>
    <s v="BUY"/>
    <n v="50"/>
    <s v="TO OPEN"/>
    <x v="2"/>
    <m/>
    <m/>
    <s v="STOCK"/>
    <n v="35.72"/>
    <n v="35.72"/>
    <s v="LMT"/>
    <n v="400"/>
    <n v="14288"/>
    <n v="35.72"/>
    <s v=""/>
  </r>
  <r>
    <x v="253"/>
    <x v="23"/>
    <s v="Friday"/>
    <d v="1899-12-30T11:54:01"/>
    <s v="STOCK"/>
    <s v="BUY"/>
    <n v="100"/>
    <s v="TO OPEN"/>
    <x v="2"/>
    <m/>
    <m/>
    <s v="STOCK"/>
    <n v="35.72"/>
    <n v="35.72"/>
    <s v="LMT"/>
    <n v="500"/>
    <n v="17860"/>
    <n v="35.72"/>
    <s v=""/>
  </r>
  <r>
    <x v="253"/>
    <x v="23"/>
    <s v="Friday"/>
    <d v="1899-12-30T12:01:33"/>
    <s v="STOCK"/>
    <s v="SELL"/>
    <n v="-500"/>
    <s v="TO CLOSE"/>
    <x v="2"/>
    <m/>
    <m/>
    <s v="STOCK"/>
    <n v="35.572099999999999"/>
    <n v="35.572099999999999"/>
    <s v="MKT"/>
    <n v="0"/>
    <n v="0"/>
    <s v=""/>
    <n v="-73.94999999999996"/>
  </r>
  <r>
    <x v="254"/>
    <x v="24"/>
    <s v="Monday"/>
    <d v="1899-12-30T09:33:01"/>
    <s v="FUTURE"/>
    <s v="BUY"/>
    <n v="1"/>
    <s v="TO OPEN"/>
    <x v="6"/>
    <d v="2020-08-20T00:00:00"/>
    <m/>
    <s v="FUTURE"/>
    <n v="27.9"/>
    <n v="27.9"/>
    <s v="MKT"/>
    <n v="1"/>
    <n v="27900"/>
    <n v="27.9"/>
    <s v=""/>
  </r>
  <r>
    <x v="254"/>
    <x v="24"/>
    <s v="Monday"/>
    <d v="1899-12-30T09:44:17"/>
    <s v="FUTURE"/>
    <s v="SELL"/>
    <n v="-2"/>
    <s v="TO CLOSE"/>
    <x v="6"/>
    <d v="2020-08-20T00:00:00"/>
    <m/>
    <s v="FUTURE"/>
    <n v="27.81"/>
    <n v="27.81"/>
    <s v="MKT"/>
    <n v="-1"/>
    <n v="-27720"/>
    <n v="27.72"/>
    <s v=""/>
  </r>
  <r>
    <x v="254"/>
    <x v="24"/>
    <s v="Monday"/>
    <d v="1899-12-30T11:19:17"/>
    <s v="FUTURE"/>
    <s v="BUY"/>
    <n v="1"/>
    <s v="TO CLOSE"/>
    <x v="6"/>
    <d v="2020-08-20T00:00:00"/>
    <m/>
    <s v="FUTURE"/>
    <n v="27.39"/>
    <n v="27.39"/>
    <s v="LMT"/>
    <n v="0"/>
    <n v="0"/>
    <s v=""/>
    <n v="329.99999999999829"/>
  </r>
  <r>
    <x v="255"/>
    <x v="24"/>
    <s v="Monday"/>
    <d v="1899-12-30T11:27:31"/>
    <s v="FUTURE"/>
    <s v="BUY"/>
    <n v="1"/>
    <s v="TO OPEN"/>
    <x v="6"/>
    <d v="2020-08-20T00:00:00"/>
    <m/>
    <s v="FUTURE"/>
    <n v="27.29"/>
    <n v="27.29"/>
    <s v="MKT"/>
    <n v="1"/>
    <n v="27290"/>
    <n v="27.29"/>
    <s v=""/>
  </r>
  <r>
    <x v="255"/>
    <x v="24"/>
    <s v="Monday"/>
    <d v="1899-12-30T11:54:38"/>
    <s v="FUTURE"/>
    <s v="SELL"/>
    <n v="-1"/>
    <s v="TO CLOSE"/>
    <x v="6"/>
    <d v="2020-08-20T00:00:00"/>
    <m/>
    <s v="FUTURE"/>
    <n v="27.31"/>
    <n v="27.31"/>
    <s v="LMT"/>
    <n v="0"/>
    <n v="0"/>
    <s v=""/>
    <n v="19.999999999999574"/>
  </r>
  <r>
    <x v="256"/>
    <x v="24"/>
    <s v="Monday"/>
    <d v="1899-12-30T09:43:47"/>
    <s v="FUTURE"/>
    <s v="BUY"/>
    <n v="1"/>
    <s v="TO OPEN"/>
    <x v="1"/>
    <d v="2020-06-20T00:00:00"/>
    <m/>
    <s v="FUTURE"/>
    <n v="2904.25"/>
    <n v="2904.25"/>
    <s v="LMT"/>
    <n v="1"/>
    <n v="145212.5"/>
    <n v="2904.25"/>
    <s v=""/>
  </r>
  <r>
    <x v="256"/>
    <x v="24"/>
    <s v="Monday"/>
    <d v="1899-12-30T10:18:35"/>
    <s v="FUTURE"/>
    <s v="SELL"/>
    <n v="-1"/>
    <s v="TO CLOSE"/>
    <x v="1"/>
    <d v="2020-06-20T00:00:00"/>
    <m/>
    <s v="FUTURE"/>
    <n v="2901.25"/>
    <n v="2901.25"/>
    <s v="LMT"/>
    <n v="0"/>
    <n v="0"/>
    <s v=""/>
    <n v="-150"/>
  </r>
  <r>
    <x v="257"/>
    <x v="24"/>
    <s v="Monday"/>
    <d v="1899-12-30T10:18:35"/>
    <s v="FUTURE"/>
    <s v="SELL"/>
    <n v="-1"/>
    <s v="TO CLOSE"/>
    <x v="1"/>
    <d v="2020-06-20T00:00:00"/>
    <m/>
    <s v="FUTURE"/>
    <n v="2901.25"/>
    <n v="2901.25"/>
    <s v="LMT"/>
    <n v="-1"/>
    <n v="-145062.5"/>
    <n v="2901.25"/>
    <s v=""/>
  </r>
  <r>
    <x v="257"/>
    <x v="24"/>
    <s v="Monday"/>
    <d v="1899-12-30T11:38:36"/>
    <s v="FUTURE"/>
    <s v="BUY"/>
    <n v="1"/>
    <s v="TO CLOSE"/>
    <x v="1"/>
    <d v="2020-06-20T00:00:00"/>
    <m/>
    <s v="FUTURE"/>
    <n v="2916.25"/>
    <n v="2916.25"/>
    <s v="LMT"/>
    <n v="0"/>
    <n v="0"/>
    <s v=""/>
    <n v="-750"/>
  </r>
  <r>
    <x v="258"/>
    <x v="24"/>
    <s v="Monday"/>
    <d v="1899-12-30T11:55:56"/>
    <s v="FUTURE"/>
    <s v="BUY"/>
    <n v="1"/>
    <s v="TO OPEN"/>
    <x v="1"/>
    <d v="2020-06-20T00:00:00"/>
    <m/>
    <s v="FUTURE"/>
    <n v="2914.75"/>
    <n v="2914.75"/>
    <s v="LMT"/>
    <n v="1"/>
    <n v="145737.5"/>
    <n v="2914.75"/>
    <s v=""/>
  </r>
  <r>
    <x v="258"/>
    <x v="24"/>
    <s v="Monday"/>
    <d v="1899-12-30T12:18:44"/>
    <s v="FUTURE"/>
    <s v="SELL"/>
    <n v="-1"/>
    <s v="TO CLOSE"/>
    <x v="1"/>
    <d v="2020-06-20T00:00:00"/>
    <m/>
    <s v="FUTURE"/>
    <n v="2918.75"/>
    <n v="2918.75"/>
    <s v="LMT"/>
    <n v="0"/>
    <n v="0"/>
    <s v=""/>
    <n v="200"/>
  </r>
  <r>
    <x v="259"/>
    <x v="24"/>
    <s v="Monday"/>
    <d v="1899-12-30T12:20:42"/>
    <s v="FUTURE"/>
    <s v="SELL"/>
    <n v="-1"/>
    <s v="TO OPEN"/>
    <x v="1"/>
    <d v="2020-06-20T00:00:00"/>
    <m/>
    <s v="FUTURE"/>
    <n v="2920.75"/>
    <n v="2920.75"/>
    <s v="LMT"/>
    <n v="-1"/>
    <n v="-146037.5"/>
    <n v="2920.75"/>
    <s v=""/>
  </r>
  <r>
    <x v="259"/>
    <x v="24"/>
    <s v="Monday"/>
    <d v="1899-12-30T14:52:53"/>
    <s v="FUTURE"/>
    <s v="BUY"/>
    <n v="1"/>
    <s v="TO CLOSE"/>
    <x v="1"/>
    <d v="2020-06-20T00:00:00"/>
    <m/>
    <s v="FUTURE"/>
    <n v="2934"/>
    <n v="2934"/>
    <s v="LMT"/>
    <n v="0"/>
    <n v="0"/>
    <s v=""/>
    <n v="-662.5"/>
  </r>
  <r>
    <x v="260"/>
    <x v="24"/>
    <s v="Monday"/>
    <d v="1899-12-30T15:20:21"/>
    <s v="FUTURE"/>
    <s v="SELL"/>
    <n v="-1"/>
    <s v="TO OPEN"/>
    <x v="1"/>
    <d v="2020-06-20T00:00:00"/>
    <m/>
    <s v="FUTURE"/>
    <n v="2934"/>
    <n v="2934"/>
    <s v="LMT"/>
    <n v="-1"/>
    <n v="-146700"/>
    <n v="2934"/>
    <s v=""/>
  </r>
  <r>
    <x v="260"/>
    <x v="24"/>
    <s v="Monday"/>
    <d v="1899-12-30T15:26:54"/>
    <s v="FUTURE"/>
    <s v="BUY"/>
    <n v="1"/>
    <s v="TO CLOSE"/>
    <x v="1"/>
    <d v="2020-06-20T00:00:00"/>
    <m/>
    <s v="FUTURE"/>
    <n v="2930"/>
    <n v="2930"/>
    <s v="LMT"/>
    <n v="0"/>
    <n v="0"/>
    <s v=""/>
    <n v="200"/>
  </r>
  <r>
    <x v="261"/>
    <x v="24"/>
    <s v="Monday"/>
    <d v="1899-12-30T15:37:45"/>
    <s v="FUTURE"/>
    <s v="SELL"/>
    <n v="-1"/>
    <s v="TO OPEN"/>
    <x v="1"/>
    <d v="2020-06-20T00:00:00"/>
    <m/>
    <s v="FUTURE"/>
    <n v="2929"/>
    <n v="2929"/>
    <s v="LMT"/>
    <n v="-1"/>
    <n v="-146450"/>
    <n v="2929"/>
    <s v=""/>
  </r>
  <r>
    <x v="261"/>
    <x v="24"/>
    <s v="Monday"/>
    <d v="1899-12-30T15:42:37"/>
    <s v="FUTURE"/>
    <s v="BUY"/>
    <n v="1"/>
    <s v="TO CLOSE"/>
    <x v="1"/>
    <d v="2020-06-20T00:00:00"/>
    <m/>
    <s v="FUTURE"/>
    <n v="2928.5"/>
    <n v="2928.5"/>
    <s v="LMT"/>
    <n v="0"/>
    <n v="0"/>
    <s v=""/>
    <n v="25"/>
  </r>
  <r>
    <x v="262"/>
    <x v="24"/>
    <s v="Monday"/>
    <d v="1899-12-30T12:55:03"/>
    <s v="FUTURE"/>
    <s v="SELL"/>
    <n v="-5"/>
    <s v="TO OPEN"/>
    <x v="3"/>
    <d v="2020-06-20T00:00:00"/>
    <m/>
    <s v="FUTURE"/>
    <n v="2926.75"/>
    <n v="2926.75"/>
    <s v="LMT"/>
    <n v="-5"/>
    <n v="-73168.75"/>
    <n v="2926.75"/>
    <s v=""/>
  </r>
  <r>
    <x v="262"/>
    <x v="24"/>
    <s v="Monday"/>
    <d v="1899-12-30T13:04:53"/>
    <s v="FUTURE"/>
    <s v="SELL"/>
    <n v="-1"/>
    <s v="TO OPEN"/>
    <x v="3"/>
    <d v="2020-06-20T00:00:00"/>
    <m/>
    <s v="FUTURE"/>
    <n v="2927.75"/>
    <n v="2927.75"/>
    <s v="LMT"/>
    <n v="-6"/>
    <n v="-87807.5"/>
    <n v="2926.916666666667"/>
    <s v=""/>
  </r>
  <r>
    <x v="262"/>
    <x v="24"/>
    <s v="Monday"/>
    <d v="1899-12-30T13:08:37"/>
    <s v="FUTURE"/>
    <s v="SELL"/>
    <n v="-1"/>
    <s v="TO OPEN"/>
    <x v="3"/>
    <d v="2020-06-20T00:00:00"/>
    <m/>
    <s v="FUTURE"/>
    <n v="2930.75"/>
    <n v="2930.75"/>
    <s v="LMT"/>
    <n v="-7"/>
    <n v="-102461.25"/>
    <n v="2927.4642857142858"/>
    <s v=""/>
  </r>
  <r>
    <x v="262"/>
    <x v="24"/>
    <s v="Monday"/>
    <d v="1899-12-30T13:20:45"/>
    <s v="FUTURE"/>
    <s v="SELL"/>
    <n v="-1"/>
    <s v="TO OPEN"/>
    <x v="3"/>
    <d v="2020-06-20T00:00:00"/>
    <m/>
    <s v="FUTURE"/>
    <n v="2932.75"/>
    <n v="2932.75"/>
    <s v="LMT"/>
    <n v="-8"/>
    <n v="-117125"/>
    <n v="2928.125"/>
    <s v=""/>
  </r>
  <r>
    <x v="262"/>
    <x v="24"/>
    <s v="Monday"/>
    <d v="1899-12-30T14:05:43"/>
    <s v="FUTURE"/>
    <s v="BUY"/>
    <n v="4"/>
    <s v="TO CLOSE"/>
    <x v="3"/>
    <d v="2020-06-20T00:00:00"/>
    <m/>
    <s v="FUTURE"/>
    <n v="2925.75"/>
    <n v="2925.75"/>
    <s v="LMT"/>
    <n v="-4"/>
    <n v="-58610"/>
    <n v="2930.5"/>
    <s v=""/>
  </r>
  <r>
    <x v="262"/>
    <x v="24"/>
    <s v="Monday"/>
    <d v="1899-12-30T14:45:21"/>
    <s v="FUTURE"/>
    <s v="SELL"/>
    <n v="-4"/>
    <s v="TO OPEN"/>
    <x v="3"/>
    <d v="2020-06-20T00:00:00"/>
    <m/>
    <s v="FUTURE"/>
    <n v="2930.75"/>
    <n v="2930.75"/>
    <s v="LMT"/>
    <n v="-8"/>
    <n v="-117225"/>
    <n v="2930.625"/>
    <s v=""/>
  </r>
  <r>
    <x v="262"/>
    <x v="24"/>
    <s v="Monday"/>
    <d v="1899-12-30T14:52:43"/>
    <s v="FUTURE"/>
    <s v="BUY"/>
    <n v="8"/>
    <s v="TO CLOSE"/>
    <x v="3"/>
    <d v="2020-06-20T00:00:00"/>
    <m/>
    <s v="FUTURE"/>
    <n v="2934"/>
    <n v="2934"/>
    <s v="MKT"/>
    <n v="0"/>
    <n v="0"/>
    <s v=""/>
    <n v="-135"/>
  </r>
  <r>
    <x v="263"/>
    <x v="24"/>
    <s v="Monday"/>
    <d v="1899-12-30T10:51:24"/>
    <s v="STOCK"/>
    <s v="BUY"/>
    <n v="149"/>
    <s v="TO OPEN"/>
    <x v="2"/>
    <m/>
    <m/>
    <s v="STOCK"/>
    <n v="34.590000000000003"/>
    <n v="34.590000000000003"/>
    <s v="LMT"/>
    <n v="149"/>
    <n v="5153.9100000000008"/>
    <n v="34.590000000000003"/>
    <s v=""/>
  </r>
  <r>
    <x v="263"/>
    <x v="24"/>
    <s v="Monday"/>
    <d v="1899-12-30T10:51:24"/>
    <s v="STOCK"/>
    <s v="BUY"/>
    <n v="1"/>
    <s v="TO OPEN"/>
    <x v="2"/>
    <m/>
    <m/>
    <s v="STOCK"/>
    <n v="34.590000000000003"/>
    <n v="34.590000000000003"/>
    <s v="LMT"/>
    <n v="150"/>
    <n v="5188.5000000000009"/>
    <n v="34.590000000000003"/>
    <s v=""/>
  </r>
  <r>
    <x v="263"/>
    <x v="24"/>
    <s v="Monday"/>
    <d v="1899-12-30T11:36:39"/>
    <s v="STOCK"/>
    <s v="BUY"/>
    <n v="50"/>
    <s v="TO OPEN"/>
    <x v="2"/>
    <m/>
    <m/>
    <s v="STOCK"/>
    <n v="33.9499"/>
    <n v="33.950000000000003"/>
    <s v="LMT"/>
    <n v="200"/>
    <n v="6885.9950000000008"/>
    <n v="34.429975000000006"/>
    <s v=""/>
  </r>
  <r>
    <x v="263"/>
    <x v="24"/>
    <s v="Monday"/>
    <d v="1899-12-30T12:22:38"/>
    <s v="STOCK"/>
    <s v="BUY"/>
    <n v="200"/>
    <s v="TO OPEN"/>
    <x v="2"/>
    <m/>
    <m/>
    <s v="STOCK"/>
    <n v="33.630000000000003"/>
    <n v="33.630000000000003"/>
    <s v="LMT"/>
    <n v="400"/>
    <n v="13611.995000000003"/>
    <n v="34.029987500000004"/>
    <s v=""/>
  </r>
  <r>
    <x v="263"/>
    <x v="24"/>
    <s v="Monday"/>
    <d v="1899-12-30T12:38:22"/>
    <s v="STOCK"/>
    <s v="BUY"/>
    <n v="100"/>
    <s v="TO OPEN"/>
    <x v="2"/>
    <m/>
    <m/>
    <s v="STOCK"/>
    <n v="33.18"/>
    <n v="33.18"/>
    <s v="LMT"/>
    <n v="500"/>
    <n v="16929.995000000003"/>
    <n v="33.859990000000003"/>
    <s v=""/>
  </r>
  <r>
    <x v="263"/>
    <x v="24"/>
    <s v="Monday"/>
    <d v="1899-12-30T14:53:39"/>
    <s v="STOCK"/>
    <s v="SELL"/>
    <n v="-299"/>
    <s v="TO CLOSE"/>
    <x v="2"/>
    <m/>
    <m/>
    <s v="STOCK"/>
    <n v="32.6"/>
    <n v="32.6"/>
    <s v="STP"/>
    <n v="201"/>
    <n v="7182.595000000003"/>
    <n v="35.73430348258708"/>
    <s v=""/>
  </r>
  <r>
    <x v="263"/>
    <x v="24"/>
    <s v="Monday"/>
    <d v="1899-12-30T14:53:39"/>
    <s v="STOCK"/>
    <s v="SELL"/>
    <n v="-101"/>
    <s v="TO CLOSE"/>
    <x v="2"/>
    <m/>
    <m/>
    <s v="STOCK"/>
    <n v="32.61"/>
    <n v="32.61"/>
    <s v="STP"/>
    <n v="100"/>
    <n v="3888.9850000000029"/>
    <n v="38.889850000000031"/>
    <s v=""/>
  </r>
  <r>
    <x v="263"/>
    <x v="24"/>
    <s v="Monday"/>
    <d v="1899-12-30T14:53:39"/>
    <s v="STOCK"/>
    <s v="SELL"/>
    <n v="-100"/>
    <s v="TO CLOSE"/>
    <x v="2"/>
    <m/>
    <m/>
    <s v="STOCK"/>
    <n v="32.61"/>
    <n v="32.61"/>
    <s v="STP"/>
    <n v="0"/>
    <n v="0"/>
    <s v=""/>
    <n v="-627.9850000000032"/>
  </r>
  <r>
    <x v="264"/>
    <x v="24"/>
    <s v="Monday"/>
    <d v="1899-12-30T15:20:29"/>
    <s v="STOCK"/>
    <s v="BUY"/>
    <n v="157"/>
    <s v="TO OPEN"/>
    <x v="2"/>
    <m/>
    <m/>
    <s v="STOCK"/>
    <n v="32.549999999999997"/>
    <n v="32.549999999999997"/>
    <s v="LMT"/>
    <n v="157"/>
    <n v="5110.3499999999995"/>
    <n v="32.549999999999997"/>
    <s v=""/>
  </r>
  <r>
    <x v="264"/>
    <x v="24"/>
    <s v="Monday"/>
    <d v="1899-12-30T15:23:46"/>
    <s v="STOCK"/>
    <s v="BUY"/>
    <n v="343"/>
    <s v="TO OPEN"/>
    <x v="2"/>
    <m/>
    <m/>
    <s v="STOCK"/>
    <n v="32.64"/>
    <n v="32.64"/>
    <s v="LMT"/>
    <n v="500"/>
    <n v="16305.869999999999"/>
    <n v="32.611739999999998"/>
    <s v=""/>
  </r>
  <r>
    <x v="264"/>
    <x v="24"/>
    <s v="Monday"/>
    <d v="1899-12-30T15:28:04"/>
    <s v="STOCK"/>
    <s v="SELL"/>
    <n v="-500"/>
    <s v="TO CLOSE"/>
    <x v="2"/>
    <m/>
    <m/>
    <s v="STOCK"/>
    <n v="32.630000000000003"/>
    <n v="32.630000000000003"/>
    <s v="STP"/>
    <n v="0"/>
    <n v="0"/>
    <s v=""/>
    <n v="9.130000000002525"/>
  </r>
  <r>
    <x v="265"/>
    <x v="25"/>
    <s v="Wednesday"/>
    <d v="1899-12-30T08:11:17"/>
    <s v="FUTURE"/>
    <s v="SELL"/>
    <n v="-1"/>
    <s v="TO OPEN"/>
    <x v="6"/>
    <d v="2020-08-20T00:00:00"/>
    <m/>
    <s v="FUTURE"/>
    <n v="27.36"/>
    <n v="27.36"/>
    <s v="LMT"/>
    <n v="-1"/>
    <n v="-27360"/>
    <n v="27.36"/>
    <s v=""/>
  </r>
  <r>
    <x v="265"/>
    <x v="25"/>
    <s v="Wednesday"/>
    <d v="1899-12-30T08:25:44"/>
    <s v="FUTURE"/>
    <s v="BUY"/>
    <n v="1"/>
    <s v="TO CLOSE"/>
    <x v="6"/>
    <d v="2020-08-20T00:00:00"/>
    <m/>
    <s v="FUTURE"/>
    <n v="27.32"/>
    <n v="27.32"/>
    <s v="LMT"/>
    <n v="0"/>
    <n v="0"/>
    <s v=""/>
    <n v="39.999999999999147"/>
  </r>
  <r>
    <x v="266"/>
    <x v="25"/>
    <s v="Wednesday"/>
    <d v="1899-12-30T08:30:47"/>
    <s v="FUTURE"/>
    <s v="BUY"/>
    <n v="1"/>
    <s v="TO OPEN"/>
    <x v="6"/>
    <d v="2020-08-20T00:00:00"/>
    <m/>
    <s v="FUTURE"/>
    <n v="27.39"/>
    <n v="27.39"/>
    <s v="MKT"/>
    <n v="1"/>
    <n v="27390"/>
    <n v="27.39"/>
    <s v=""/>
  </r>
  <r>
    <x v="266"/>
    <x v="25"/>
    <s v="Wednesday"/>
    <d v="1899-12-30T08:54:53"/>
    <s v="FUTURE"/>
    <s v="SELL"/>
    <n v="-1"/>
    <s v="TO CLOSE"/>
    <x v="6"/>
    <d v="2020-08-20T00:00:00"/>
    <m/>
    <s v="FUTURE"/>
    <n v="27.41"/>
    <n v="27.41"/>
    <s v="LMT"/>
    <n v="0"/>
    <n v="0"/>
    <s v=""/>
    <n v="19.999999999999574"/>
  </r>
  <r>
    <x v="267"/>
    <x v="25"/>
    <s v="Wednesday"/>
    <d v="1899-12-30T08:59:53"/>
    <s v="FUTURE"/>
    <s v="SELL"/>
    <n v="-1"/>
    <s v="TO OPEN"/>
    <x v="6"/>
    <d v="2020-08-20T00:00:00"/>
    <m/>
    <s v="FUTURE"/>
    <n v="27.38"/>
    <n v="27.38"/>
    <s v="LMT"/>
    <n v="-1"/>
    <n v="-27380"/>
    <n v="27.38"/>
    <s v=""/>
  </r>
  <r>
    <x v="267"/>
    <x v="25"/>
    <s v="Wednesday"/>
    <d v="1899-12-30T09:06:27"/>
    <s v="FUTURE"/>
    <s v="BUY"/>
    <n v="1"/>
    <s v="TO CLOSE"/>
    <x v="6"/>
    <d v="2020-08-20T00:00:00"/>
    <m/>
    <s v="FUTURE"/>
    <n v="27.35"/>
    <n v="27.35"/>
    <s v="LMT"/>
    <n v="0"/>
    <n v="0"/>
    <s v=""/>
    <n v="29.999999999997584"/>
  </r>
  <r>
    <x v="268"/>
    <x v="25"/>
    <s v="Wednesday"/>
    <d v="1899-12-30T09:10:40"/>
    <s v="FUTURE"/>
    <s v="BUY"/>
    <n v="1"/>
    <s v="TO OPEN"/>
    <x v="6"/>
    <d v="2020-08-20T00:00:00"/>
    <m/>
    <s v="FUTURE"/>
    <n v="27.35"/>
    <n v="27.35"/>
    <s v="MKT"/>
    <n v="1"/>
    <n v="27350"/>
    <n v="27.35"/>
    <s v=""/>
  </r>
  <r>
    <x v="268"/>
    <x v="25"/>
    <s v="Wednesday"/>
    <d v="1899-12-30T09:18:26"/>
    <s v="FUTURE"/>
    <s v="SELL"/>
    <n v="-1"/>
    <s v="TO CLOSE"/>
    <x v="6"/>
    <d v="2020-08-20T00:00:00"/>
    <m/>
    <s v="FUTURE"/>
    <n v="27.39"/>
    <n v="27.39"/>
    <s v="LMT"/>
    <n v="0"/>
    <n v="0"/>
    <s v=""/>
    <n v="39.999999999999147"/>
  </r>
  <r>
    <x v="269"/>
    <x v="25"/>
    <s v="Wednesday"/>
    <d v="1899-12-30T09:20:43"/>
    <s v="FUTURE"/>
    <s v="BUY"/>
    <n v="1"/>
    <s v="TO OPEN"/>
    <x v="6"/>
    <d v="2020-08-20T00:00:00"/>
    <m/>
    <s v="FUTURE"/>
    <n v="27.48"/>
    <n v="27.48"/>
    <s v="LMT"/>
    <n v="1"/>
    <n v="27480"/>
    <n v="27.48"/>
    <s v=""/>
  </r>
  <r>
    <x v="269"/>
    <x v="25"/>
    <s v="Wednesday"/>
    <d v="1899-12-30T09:37:18"/>
    <s v="FUTURE"/>
    <s v="SELL"/>
    <n v="-1"/>
    <s v="TO CLOSE"/>
    <x v="6"/>
    <d v="2020-08-20T00:00:00"/>
    <m/>
    <s v="FUTURE"/>
    <n v="27.18"/>
    <n v="27.18"/>
    <s v="MKT"/>
    <n v="0"/>
    <n v="0"/>
    <s v=""/>
    <n v="-300.00000000000068"/>
  </r>
  <r>
    <x v="270"/>
    <x v="25"/>
    <s v="Wednesday"/>
    <d v="1899-12-30T09:47:32"/>
    <s v="FUTURE"/>
    <s v="BUY"/>
    <n v="1"/>
    <s v="TO OPEN"/>
    <x v="6"/>
    <d v="2020-08-20T00:00:00"/>
    <m/>
    <s v="FUTURE"/>
    <n v="27.28"/>
    <n v="27.28"/>
    <s v="MKT"/>
    <n v="1"/>
    <n v="27280"/>
    <n v="27.28"/>
    <s v=""/>
  </r>
  <r>
    <x v="270"/>
    <x v="25"/>
    <s v="Wednesday"/>
    <d v="1899-12-30T09:51:56"/>
    <s v="FUTURE"/>
    <s v="SELL"/>
    <n v="-1"/>
    <s v="TO CLOSE"/>
    <x v="6"/>
    <d v="2020-08-20T00:00:00"/>
    <m/>
    <s v="FUTURE"/>
    <n v="27.15"/>
    <n v="27.15"/>
    <s v="STP"/>
    <n v="0"/>
    <n v="0"/>
    <s v=""/>
    <n v="-130.00000000000256"/>
  </r>
  <r>
    <x v="271"/>
    <x v="25"/>
    <s v="Wednesday"/>
    <d v="1899-12-30T09:54:25"/>
    <s v="FUTURE"/>
    <s v="SELL"/>
    <n v="-1"/>
    <s v="TO OPEN"/>
    <x v="6"/>
    <d v="2020-08-20T00:00:00"/>
    <m/>
    <s v="FUTURE"/>
    <n v="27.12"/>
    <n v="27.12"/>
    <s v="LMT"/>
    <n v="-1"/>
    <n v="-27120"/>
    <n v="27.12"/>
    <s v=""/>
  </r>
  <r>
    <x v="271"/>
    <x v="25"/>
    <s v="Wednesday"/>
    <d v="1899-12-30T10:18:50"/>
    <s v="FUTURE"/>
    <s v="BUY"/>
    <n v="1"/>
    <s v="TO CLOSE"/>
    <x v="6"/>
    <d v="2020-08-20T00:00:00"/>
    <m/>
    <s v="FUTURE"/>
    <n v="27.02"/>
    <n v="27.02"/>
    <s v="LMT"/>
    <n v="0"/>
    <n v="0"/>
    <s v=""/>
    <n v="100.00000000000142"/>
  </r>
  <r>
    <x v="272"/>
    <x v="25"/>
    <s v="Wednesday"/>
    <d v="1899-12-30T10:30:09"/>
    <s v="FUTURE"/>
    <s v="SELL"/>
    <n v="-1"/>
    <s v="TO OPEN"/>
    <x v="6"/>
    <d v="2020-08-20T00:00:00"/>
    <m/>
    <s v="FUTURE"/>
    <n v="27.37"/>
    <n v="27.37"/>
    <s v="MKT"/>
    <n v="-1"/>
    <n v="-27370"/>
    <n v="27.37"/>
    <s v=""/>
  </r>
  <r>
    <x v="272"/>
    <x v="25"/>
    <s v="Wednesday"/>
    <d v="1899-12-30T10:31:33"/>
    <s v="FUTURE"/>
    <s v="BUY"/>
    <n v="1"/>
    <s v="TO CLOSE"/>
    <x v="6"/>
    <d v="2020-08-20T00:00:00"/>
    <m/>
    <s v="FUTURE"/>
    <n v="27.63"/>
    <n v="27.63"/>
    <s v="STP"/>
    <n v="0"/>
    <n v="0"/>
    <s v=""/>
    <n v="-259.99999999999801"/>
  </r>
  <r>
    <x v="273"/>
    <x v="25"/>
    <s v="Wednesday"/>
    <d v="1899-12-30T10:35:17"/>
    <s v="FUTURE"/>
    <s v="SELL"/>
    <n v="-1"/>
    <s v="TO OPEN"/>
    <x v="6"/>
    <d v="2020-08-20T00:00:00"/>
    <m/>
    <s v="FUTURE"/>
    <n v="27.72"/>
    <n v="27.72"/>
    <s v="LMT"/>
    <n v="-1"/>
    <n v="-27720"/>
    <n v="27.72"/>
    <s v=""/>
  </r>
  <r>
    <x v="273"/>
    <x v="25"/>
    <s v="Wednesday"/>
    <d v="1899-12-30T10:48:01"/>
    <s v="FUTURE"/>
    <s v="BUY"/>
    <n v="1"/>
    <s v="TO CLOSE"/>
    <x v="6"/>
    <d v="2020-08-20T00:00:00"/>
    <m/>
    <s v="FUTURE"/>
    <n v="27.2"/>
    <n v="27.2"/>
    <s v="LMT"/>
    <n v="0"/>
    <n v="0"/>
    <s v=""/>
    <n v="519.99999999999955"/>
  </r>
  <r>
    <x v="274"/>
    <x v="25"/>
    <s v="Wednesday"/>
    <d v="1899-12-30T10:56:02"/>
    <s v="FUTURE"/>
    <s v="SELL"/>
    <n v="-1"/>
    <s v="TO OPEN"/>
    <x v="6"/>
    <d v="2020-08-20T00:00:00"/>
    <m/>
    <s v="FUTURE"/>
    <n v="27.13"/>
    <n v="27.13"/>
    <s v="LMT"/>
    <n v="-1"/>
    <n v="-27130"/>
    <n v="27.13"/>
    <s v=""/>
  </r>
  <r>
    <x v="274"/>
    <x v="25"/>
    <s v="Wednesday"/>
    <d v="1899-12-30T11:01:45"/>
    <s v="FUTURE"/>
    <s v="BUY"/>
    <n v="1"/>
    <s v="TO CLOSE"/>
    <x v="6"/>
    <d v="2020-08-20T00:00:00"/>
    <m/>
    <s v="FUTURE"/>
    <n v="26.84"/>
    <n v="26.84"/>
    <s v="MKT"/>
    <n v="0"/>
    <n v="0"/>
    <s v=""/>
    <n v="289.99999999999915"/>
  </r>
  <r>
    <x v="275"/>
    <x v="25"/>
    <s v="Wednesday"/>
    <d v="1899-12-30T11:15:07"/>
    <s v="FUTURE"/>
    <s v="BUY"/>
    <n v="1"/>
    <s v="TO OPEN"/>
    <x v="6"/>
    <d v="2020-08-20T00:00:00"/>
    <m/>
    <s v="FUTURE"/>
    <n v="26.93"/>
    <n v="26.93"/>
    <s v="LMT"/>
    <n v="1"/>
    <n v="26930"/>
    <n v="26.93"/>
    <s v=""/>
  </r>
  <r>
    <x v="275"/>
    <x v="25"/>
    <s v="Wednesday"/>
    <d v="1899-12-30T11:17:44"/>
    <s v="FUTURE"/>
    <s v="SELL"/>
    <n v="-1"/>
    <s v="TO CLOSE"/>
    <x v="6"/>
    <d v="2020-08-20T00:00:00"/>
    <m/>
    <s v="FUTURE"/>
    <n v="27.08"/>
    <n v="27.08"/>
    <s v="LMT"/>
    <n v="0"/>
    <n v="0"/>
    <s v=""/>
    <n v="149.99999999999858"/>
  </r>
  <r>
    <x v="276"/>
    <x v="25"/>
    <s v="Wednesday"/>
    <d v="1899-12-30T08:18:53"/>
    <s v="FUTURE"/>
    <s v="SELL"/>
    <n v="-1"/>
    <s v="TO OPEN"/>
    <x v="1"/>
    <d v="2020-06-20T00:00:00"/>
    <m/>
    <s v="FUTURE"/>
    <n v="2872.5"/>
    <n v="2872.5"/>
    <s v="LMT"/>
    <n v="-1"/>
    <n v="-143625"/>
    <n v="2872.5"/>
    <s v=""/>
  </r>
  <r>
    <x v="276"/>
    <x v="25"/>
    <s v="Wednesday"/>
    <d v="1899-12-30T08:24:42"/>
    <s v="FUTURE"/>
    <s v="BUY"/>
    <n v="1"/>
    <s v="TO CLOSE"/>
    <x v="1"/>
    <d v="2020-06-20T00:00:00"/>
    <m/>
    <s v="FUTURE"/>
    <n v="2871.5"/>
    <n v="2871.5"/>
    <s v="LMT"/>
    <n v="0"/>
    <n v="0"/>
    <s v=""/>
    <n v="50"/>
  </r>
  <r>
    <x v="277"/>
    <x v="25"/>
    <s v="Wednesday"/>
    <d v="1899-12-30T09:38:21"/>
    <s v="FUTURE"/>
    <s v="BUY"/>
    <n v="1"/>
    <s v="TO OPEN"/>
    <x v="1"/>
    <d v="2020-06-20T00:00:00"/>
    <m/>
    <s v="FUTURE"/>
    <n v="2839.75"/>
    <n v="2839.75"/>
    <s v="MKT"/>
    <n v="1"/>
    <n v="141987.5"/>
    <n v="2839.75"/>
    <s v=""/>
  </r>
  <r>
    <x v="277"/>
    <x v="25"/>
    <s v="Wednesday"/>
    <d v="1899-12-30T09:39:50"/>
    <s v="FUTURE"/>
    <s v="SELL"/>
    <n v="-1"/>
    <s v="TO CLOSE"/>
    <x v="1"/>
    <d v="2020-06-20T00:00:00"/>
    <m/>
    <s v="FUTURE"/>
    <n v="2843.75"/>
    <n v="2843.75"/>
    <s v="LMT"/>
    <n v="0"/>
    <n v="0"/>
    <s v=""/>
    <n v="200"/>
  </r>
  <r>
    <x v="278"/>
    <x v="25"/>
    <s v="Wednesday"/>
    <d v="1899-12-30T09:43:29"/>
    <s v="FUTURE"/>
    <s v="BUY"/>
    <n v="1"/>
    <s v="TO OPEN"/>
    <x v="1"/>
    <d v="2020-06-20T00:00:00"/>
    <m/>
    <s v="FUTURE"/>
    <n v="2841.75"/>
    <n v="2841.75"/>
    <s v="MKT"/>
    <n v="1"/>
    <n v="142087.5"/>
    <n v="2841.75"/>
    <s v=""/>
  </r>
  <r>
    <x v="278"/>
    <x v="25"/>
    <s v="Wednesday"/>
    <d v="1899-12-30T09:53:45"/>
    <s v="FUTURE"/>
    <s v="SELL"/>
    <n v="-1"/>
    <s v="TO CLOSE"/>
    <x v="1"/>
    <d v="2020-06-20T00:00:00"/>
    <m/>
    <s v="FUTURE"/>
    <n v="2842.25"/>
    <n v="2842.25"/>
    <s v="STP"/>
    <n v="0"/>
    <n v="0"/>
    <s v=""/>
    <n v="25"/>
  </r>
  <r>
    <x v="279"/>
    <x v="25"/>
    <s v="Wednesday"/>
    <d v="1899-12-30T10:21:13"/>
    <s v="FUTURE"/>
    <s v="SELL"/>
    <n v="-1"/>
    <s v="TO OPEN"/>
    <x v="1"/>
    <d v="2020-06-20T00:00:00"/>
    <m/>
    <s v="FUTURE"/>
    <n v="2851.75"/>
    <n v="2851.75"/>
    <s v="LMT"/>
    <n v="-1"/>
    <n v="-142587.5"/>
    <n v="2851.75"/>
    <s v=""/>
  </r>
  <r>
    <x v="279"/>
    <x v="25"/>
    <s v="Wednesday"/>
    <d v="1899-12-30T10:23:22"/>
    <s v="FUTURE"/>
    <s v="BUY"/>
    <n v="1"/>
    <s v="TO CLOSE"/>
    <x v="1"/>
    <d v="2020-06-20T00:00:00"/>
    <m/>
    <s v="FUTURE"/>
    <n v="2850.75"/>
    <n v="2850.75"/>
    <s v="LMT"/>
    <n v="0"/>
    <n v="0"/>
    <s v=""/>
    <n v="50"/>
  </r>
  <r>
    <x v="280"/>
    <x v="25"/>
    <s v="Wednesday"/>
    <d v="1899-12-30T11:28:12"/>
    <s v="FUTURE"/>
    <s v="BUY"/>
    <n v="1"/>
    <s v="TO OPEN"/>
    <x v="1"/>
    <d v="2020-06-20T00:00:00"/>
    <m/>
    <s v="FUTURE"/>
    <n v="2833.75"/>
    <n v="2833.75"/>
    <s v="MKT"/>
    <n v="1"/>
    <n v="141687.5"/>
    <n v="2833.75"/>
    <s v=""/>
  </r>
  <r>
    <x v="280"/>
    <x v="25"/>
    <s v="Wednesday"/>
    <d v="1899-12-30T11:29:57"/>
    <s v="FUTURE"/>
    <s v="SELL"/>
    <n v="-1"/>
    <s v="TO CLOSE"/>
    <x v="1"/>
    <d v="2020-06-20T00:00:00"/>
    <m/>
    <s v="FUTURE"/>
    <n v="2836.75"/>
    <n v="2836.75"/>
    <s v="LMT"/>
    <n v="0"/>
    <n v="0"/>
    <s v=""/>
    <n v="150"/>
  </r>
  <r>
    <x v="281"/>
    <x v="25"/>
    <s v="Wednesday"/>
    <d v="1899-12-30T13:17:29"/>
    <s v="FUTURE"/>
    <s v="BUY"/>
    <n v="1"/>
    <s v="TO OPEN"/>
    <x v="1"/>
    <d v="2020-06-20T00:00:00"/>
    <m/>
    <s v="FUTURE"/>
    <n v="2813.25"/>
    <n v="2813.25"/>
    <s v="LMT"/>
    <n v="1"/>
    <n v="140662.5"/>
    <n v="2813.25"/>
    <s v=""/>
  </r>
  <r>
    <x v="281"/>
    <x v="25"/>
    <s v="Wednesday"/>
    <d v="1899-12-30T13:18:00"/>
    <s v="FUTURE"/>
    <s v="SELL"/>
    <n v="-1"/>
    <s v="TO CLOSE"/>
    <x v="1"/>
    <d v="2020-06-20T00:00:00"/>
    <m/>
    <s v="FUTURE"/>
    <n v="2817.25"/>
    <n v="2817.25"/>
    <s v="LMT"/>
    <n v="0"/>
    <n v="0"/>
    <s v=""/>
    <n v="200"/>
  </r>
  <r>
    <x v="282"/>
    <x v="25"/>
    <s v="Wednesday"/>
    <d v="1899-12-30T15:41:24"/>
    <s v="FUTURE"/>
    <s v="BUY"/>
    <n v="1"/>
    <s v="TO OPEN"/>
    <x v="1"/>
    <d v="2020-06-20T00:00:00"/>
    <m/>
    <s v="FUTURE"/>
    <n v="2802.75"/>
    <n v="2802.75"/>
    <s v="LMT"/>
    <n v="1"/>
    <n v="140137.5"/>
    <n v="2802.75"/>
    <s v=""/>
  </r>
  <r>
    <x v="282"/>
    <x v="25"/>
    <s v="Wednesday"/>
    <d v="1899-12-30T15:44:28"/>
    <s v="FUTURE"/>
    <s v="SELL"/>
    <n v="-1"/>
    <s v="TO CLOSE"/>
    <x v="1"/>
    <d v="2020-06-20T00:00:00"/>
    <m/>
    <s v="FUTURE"/>
    <n v="2803"/>
    <n v="2803"/>
    <s v="STP"/>
    <n v="0"/>
    <n v="0"/>
    <s v=""/>
    <n v="12.5"/>
  </r>
  <r>
    <x v="283"/>
    <x v="25"/>
    <s v="Wednesday"/>
    <d v="1899-12-30T11:49:48"/>
    <s v="FUTURE"/>
    <s v="BUY"/>
    <n v="2"/>
    <s v="TO OPEN"/>
    <x v="3"/>
    <d v="2020-06-20T00:00:00"/>
    <m/>
    <s v="FUTURE"/>
    <n v="2815.5"/>
    <n v="2815.5"/>
    <s v="STP"/>
    <n v="2"/>
    <n v="28155"/>
    <n v="2815.5"/>
    <s v=""/>
  </r>
  <r>
    <x v="283"/>
    <x v="25"/>
    <s v="Wednesday"/>
    <d v="1899-12-30T11:50:44"/>
    <s v="FUTURE"/>
    <s v="BUY"/>
    <n v="1"/>
    <s v="TO OPEN"/>
    <x v="3"/>
    <d v="2020-06-20T00:00:00"/>
    <m/>
    <s v="FUTURE"/>
    <n v="2814"/>
    <n v="2814"/>
    <s v="LMT"/>
    <n v="3"/>
    <n v="42225"/>
    <n v="2815"/>
    <s v=""/>
  </r>
  <r>
    <x v="283"/>
    <x v="25"/>
    <s v="Wednesday"/>
    <d v="1899-12-30T11:54:10"/>
    <s v="FUTURE"/>
    <s v="BUY"/>
    <n v="1"/>
    <s v="TO OPEN"/>
    <x v="3"/>
    <d v="2020-06-20T00:00:00"/>
    <m/>
    <s v="FUTURE"/>
    <n v="2811"/>
    <n v="2811"/>
    <s v="LMT"/>
    <n v="4"/>
    <n v="56280"/>
    <n v="2814"/>
    <s v=""/>
  </r>
  <r>
    <x v="283"/>
    <x v="25"/>
    <s v="Wednesday"/>
    <d v="1899-12-30T12:07:24"/>
    <s v="FUTURE"/>
    <s v="BUY"/>
    <n v="1"/>
    <s v="TO OPEN"/>
    <x v="3"/>
    <d v="2020-06-20T00:00:00"/>
    <m/>
    <s v="FUTURE"/>
    <n v="2804"/>
    <n v="2804"/>
    <s v="LMT"/>
    <n v="5"/>
    <n v="70300"/>
    <n v="2812"/>
    <s v=""/>
  </r>
  <r>
    <x v="283"/>
    <x v="25"/>
    <s v="Wednesday"/>
    <d v="1899-12-30T12:16:13"/>
    <s v="FUTURE"/>
    <s v="BUY"/>
    <n v="1"/>
    <s v="TO OPEN"/>
    <x v="3"/>
    <d v="2020-06-20T00:00:00"/>
    <m/>
    <s v="FUTURE"/>
    <n v="2800"/>
    <n v="2800"/>
    <s v="STP"/>
    <n v="6"/>
    <n v="84300"/>
    <n v="2810"/>
    <s v=""/>
  </r>
  <r>
    <x v="283"/>
    <x v="25"/>
    <s v="Wednesday"/>
    <d v="1899-12-30T12:50:26"/>
    <s v="FUTURE"/>
    <s v="SELL"/>
    <n v="-2"/>
    <s v="TO CLOSE"/>
    <x v="3"/>
    <d v="2020-06-20T00:00:00"/>
    <m/>
    <s v="FUTURE"/>
    <n v="2815.5"/>
    <n v="2815.5"/>
    <s v="LMT"/>
    <n v="4"/>
    <n v="56145"/>
    <n v="2807.25"/>
    <s v=""/>
  </r>
  <r>
    <x v="283"/>
    <x v="25"/>
    <s v="Wednesday"/>
    <d v="1899-12-30T12:51:55"/>
    <s v="FUTURE"/>
    <s v="SELL"/>
    <n v="-2"/>
    <s v="TO CLOSE"/>
    <x v="3"/>
    <d v="2020-06-20T00:00:00"/>
    <m/>
    <s v="FUTURE"/>
    <n v="2815.25"/>
    <n v="2815.25"/>
    <s v="LMT"/>
    <n v="2"/>
    <n v="27992.5"/>
    <n v="2799.25"/>
    <s v=""/>
  </r>
  <r>
    <x v="283"/>
    <x v="25"/>
    <s v="Wednesday"/>
    <d v="1899-12-30T14:05:34"/>
    <s v="FUTURE"/>
    <s v="BUY"/>
    <n v="2"/>
    <s v="TO OPEN"/>
    <x v="3"/>
    <d v="2020-06-20T00:00:00"/>
    <m/>
    <s v="FUTURE"/>
    <n v="2799.75"/>
    <n v="2799.75"/>
    <s v="LMT"/>
    <n v="4"/>
    <n v="55990"/>
    <n v="2799.5"/>
    <s v=""/>
  </r>
  <r>
    <x v="283"/>
    <x v="25"/>
    <s v="Wednesday"/>
    <d v="1899-12-30T14:21:57"/>
    <s v="FUTURE"/>
    <s v="SELL"/>
    <n v="-2"/>
    <s v="TO CLOSE"/>
    <x v="3"/>
    <d v="2020-06-20T00:00:00"/>
    <m/>
    <s v="FUTURE"/>
    <n v="2812.5"/>
    <n v="2812.5"/>
    <s v="LMT"/>
    <n v="2"/>
    <n v="27865"/>
    <n v="2786.5"/>
    <s v=""/>
  </r>
  <r>
    <x v="283"/>
    <x v="25"/>
    <s v="Wednesday"/>
    <d v="1899-12-30T14:31:48"/>
    <s v="FUTURE"/>
    <s v="BUY"/>
    <n v="2"/>
    <s v="TO OPEN"/>
    <x v="3"/>
    <d v="2020-06-20T00:00:00"/>
    <m/>
    <s v="FUTURE"/>
    <n v="2804"/>
    <n v="2804"/>
    <s v="LMT"/>
    <n v="4"/>
    <n v="55905"/>
    <n v="2795.25"/>
    <s v=""/>
  </r>
  <r>
    <x v="283"/>
    <x v="25"/>
    <s v="Wednesday"/>
    <d v="1899-12-30T15:22:37"/>
    <s v="FUTURE"/>
    <s v="SELL"/>
    <n v="-4"/>
    <s v="TO CLOSE"/>
    <x v="3"/>
    <d v="2020-06-20T00:00:00"/>
    <m/>
    <s v="FUTURE"/>
    <n v="2791.5"/>
    <n v="2791.5"/>
    <s v="STP"/>
    <n v="0"/>
    <n v="0"/>
    <s v=""/>
    <n v="-75"/>
  </r>
  <r>
    <x v="284"/>
    <x v="25"/>
    <s v="Wednesday"/>
    <d v="1899-12-30T15:29:47"/>
    <s v="FUTURE"/>
    <s v="BUY"/>
    <n v="6"/>
    <s v="TO OPEN"/>
    <x v="3"/>
    <d v="2020-06-20T00:00:00"/>
    <m/>
    <s v="FUTURE"/>
    <n v="2795.75"/>
    <n v="2795.75"/>
    <s v="STP"/>
    <n v="6"/>
    <n v="83872.5"/>
    <n v="2795.75"/>
    <s v=""/>
  </r>
  <r>
    <x v="284"/>
    <x v="25"/>
    <s v="Wednesday"/>
    <d v="1899-12-30T15:38:51"/>
    <s v="FUTURE"/>
    <s v="SELL"/>
    <n v="-6"/>
    <s v="TO CLOSE"/>
    <x v="3"/>
    <d v="2020-06-20T00:00:00"/>
    <m/>
    <s v="FUTURE"/>
    <n v="2797.5"/>
    <n v="2797.5"/>
    <s v="MKT"/>
    <n v="0"/>
    <n v="0"/>
    <s v=""/>
    <n v="52.5"/>
  </r>
  <r>
    <x v="285"/>
    <x v="25"/>
    <s v="Wednesday"/>
    <d v="1899-12-30T09:14:24"/>
    <s v="STOCK"/>
    <s v="SELL"/>
    <n v="-400"/>
    <s v="TO OPEN"/>
    <x v="2"/>
    <m/>
    <m/>
    <s v="STOCK"/>
    <n v="36.409999999999997"/>
    <n v="36.409999999999997"/>
    <s v="LMT"/>
    <n v="-400"/>
    <n v="-14563.999999999998"/>
    <n v="36.409999999999997"/>
    <s v=""/>
  </r>
  <r>
    <x v="285"/>
    <x v="25"/>
    <s v="Wednesday"/>
    <d v="1899-12-30T09:42:29"/>
    <s v="STOCK"/>
    <s v="BUY"/>
    <n v="400"/>
    <s v="TO CLOSE"/>
    <x v="2"/>
    <m/>
    <m/>
    <s v="STOCK"/>
    <n v="37.549999999999997"/>
    <n v="37.549999999999997"/>
    <s v="STP"/>
    <n v="0"/>
    <n v="0"/>
    <s v=""/>
    <n v="-456.00000000000023"/>
  </r>
  <r>
    <x v="286"/>
    <x v="25"/>
    <s v="Wednesday"/>
    <d v="1899-12-30T09:56:14"/>
    <s v="STOCK"/>
    <s v="BUY"/>
    <n v="400"/>
    <s v="TO OPEN"/>
    <x v="2"/>
    <m/>
    <m/>
    <s v="STOCK"/>
    <n v="37.0565"/>
    <n v="37.0565"/>
    <s v="LMT"/>
    <n v="400"/>
    <n v="14822.6"/>
    <n v="37.0565"/>
    <s v=""/>
  </r>
  <r>
    <x v="286"/>
    <x v="25"/>
    <s v="Wednesday"/>
    <d v="1899-12-30T10:30:52"/>
    <s v="STOCK"/>
    <s v="SELL"/>
    <n v="-400"/>
    <s v="TO CLOSE"/>
    <x v="2"/>
    <m/>
    <m/>
    <s v="STOCK"/>
    <n v="36.070999999999998"/>
    <n v="36.070999999999998"/>
    <s v="STP"/>
    <n v="0"/>
    <n v="0"/>
    <s v=""/>
    <n v="-394.20000000000073"/>
  </r>
  <r>
    <x v="287"/>
    <x v="25"/>
    <s v="Wednesday"/>
    <d v="1899-12-30T10:32:39"/>
    <s v="STOCK"/>
    <s v="SELL"/>
    <n v="-145"/>
    <s v="TO OPEN"/>
    <x v="2"/>
    <m/>
    <m/>
    <s v="STOCK"/>
    <n v="35.85"/>
    <n v="35.85"/>
    <s v="LMT"/>
    <n v="-145"/>
    <n v="-5198.25"/>
    <n v="35.85"/>
    <s v=""/>
  </r>
  <r>
    <x v="287"/>
    <x v="25"/>
    <s v="Wednesday"/>
    <d v="1899-12-30T10:32:39"/>
    <s v="STOCK"/>
    <s v="SELL"/>
    <n v="-128"/>
    <s v="TO OPEN"/>
    <x v="2"/>
    <m/>
    <m/>
    <s v="STOCK"/>
    <n v="35.85"/>
    <n v="35.85"/>
    <s v="LMT"/>
    <n v="-273"/>
    <n v="-9787.0499999999993"/>
    <n v="35.849999999999994"/>
    <s v=""/>
  </r>
  <r>
    <x v="287"/>
    <x v="25"/>
    <s v="Wednesday"/>
    <d v="1899-12-30T10:32:39"/>
    <s v="STOCK"/>
    <s v="SELL"/>
    <n v="-127"/>
    <s v="TO OPEN"/>
    <x v="2"/>
    <m/>
    <m/>
    <s v="STOCK"/>
    <n v="35.85"/>
    <n v="35.85"/>
    <s v="LMT"/>
    <n v="-400"/>
    <n v="-14340"/>
    <n v="35.85"/>
    <s v=""/>
  </r>
  <r>
    <x v="287"/>
    <x v="25"/>
    <s v="Wednesday"/>
    <d v="1899-12-30T10:52:05"/>
    <s v="STOCK"/>
    <s v="BUY"/>
    <n v="400"/>
    <s v="TO CLOSE"/>
    <x v="2"/>
    <m/>
    <m/>
    <s v="STOCK"/>
    <n v="36.619999999999997"/>
    <n v="36.619999999999997"/>
    <s v="STP"/>
    <n v="0"/>
    <n v="0"/>
    <s v=""/>
    <n v="-307.99999999999841"/>
  </r>
  <r>
    <x v="288"/>
    <x v="25"/>
    <s v="Wednesday"/>
    <d v="1899-12-30T10:52:14"/>
    <s v="STOCK"/>
    <s v="BUY"/>
    <n v="400"/>
    <s v="TO OPEN"/>
    <x v="2"/>
    <m/>
    <m/>
    <s v="STOCK"/>
    <n v="36.648000000000003"/>
    <n v="36.648000000000003"/>
    <s v="MKT"/>
    <n v="400"/>
    <n v="14659.2"/>
    <n v="36.648000000000003"/>
    <s v=""/>
  </r>
  <r>
    <x v="288"/>
    <x v="25"/>
    <s v="Wednesday"/>
    <d v="1899-12-30T11:04:06"/>
    <s v="STOCK"/>
    <s v="BUY"/>
    <n v="200"/>
    <s v="TO OPEN"/>
    <x v="2"/>
    <m/>
    <m/>
    <s v="STOCK"/>
    <n v="37.24"/>
    <n v="37.24"/>
    <s v="STP"/>
    <n v="600"/>
    <n v="22107.200000000001"/>
    <n v="36.845333333333336"/>
    <s v=""/>
  </r>
  <r>
    <x v="288"/>
    <x v="25"/>
    <s v="Wednesday"/>
    <d v="1899-12-30T11:11:25"/>
    <s v="STOCK"/>
    <s v="SELL"/>
    <n v="-600"/>
    <s v="TO CLOSE"/>
    <x v="2"/>
    <m/>
    <m/>
    <s v="STOCK"/>
    <n v="36.951000000000001"/>
    <n v="36.951000000000001"/>
    <s v="MKT"/>
    <n v="0"/>
    <n v="0"/>
    <s v=""/>
    <n v="63.399999999998613"/>
  </r>
  <r>
    <x v="289"/>
    <x v="25"/>
    <s v="Wednesday"/>
    <d v="1899-12-30T11:11:43"/>
    <s v="STOCK"/>
    <s v="SELL"/>
    <n v="-408"/>
    <s v="TO OPEN"/>
    <x v="2"/>
    <m/>
    <m/>
    <s v="STOCK"/>
    <n v="36.92"/>
    <n v="36.92"/>
    <s v="LMT"/>
    <n v="-408"/>
    <n v="-15063.36"/>
    <n v="36.92"/>
    <s v=""/>
  </r>
  <r>
    <x v="289"/>
    <x v="25"/>
    <s v="Wednesday"/>
    <d v="1899-12-30T11:11:43"/>
    <s v="STOCK"/>
    <s v="SELL"/>
    <n v="-192"/>
    <s v="TO OPEN"/>
    <x v="2"/>
    <m/>
    <m/>
    <s v="STOCK"/>
    <n v="36.92"/>
    <n v="36.92"/>
    <s v="LMT"/>
    <n v="-600"/>
    <n v="-22152"/>
    <n v="36.92"/>
    <s v=""/>
  </r>
  <r>
    <x v="289"/>
    <x v="25"/>
    <s v="Wednesday"/>
    <d v="1899-12-30T11:14:27"/>
    <s v="STOCK"/>
    <s v="BUY"/>
    <n v="200"/>
    <s v="TO CLOSE"/>
    <x v="2"/>
    <m/>
    <m/>
    <s v="STOCK"/>
    <n v="36.9"/>
    <n v="36.9"/>
    <s v="LMT"/>
    <n v="-400"/>
    <n v="-14772"/>
    <n v="36.93"/>
    <s v=""/>
  </r>
  <r>
    <x v="289"/>
    <x v="25"/>
    <s v="Wednesday"/>
    <d v="1899-12-30T11:19:01"/>
    <s v="STOCK"/>
    <s v="BUY"/>
    <n v="400"/>
    <s v="TO CLOSE"/>
    <x v="2"/>
    <m/>
    <m/>
    <s v="STOCK"/>
    <n v="36.909999999999997"/>
    <n v="36.909999999999997"/>
    <s v="STP"/>
    <n v="0"/>
    <n v="0"/>
    <s v=""/>
    <n v="8.0000000000012506"/>
  </r>
  <r>
    <x v="290"/>
    <x v="25"/>
    <s v="Wednesday"/>
    <d v="1899-12-30T11:20:00"/>
    <s v="STOCK"/>
    <s v="BUY"/>
    <n v="200"/>
    <s v="TO OPEN"/>
    <x v="2"/>
    <m/>
    <m/>
    <s v="STOCK"/>
    <n v="37.159999999999997"/>
    <n v="37.159999999999997"/>
    <s v="MKT"/>
    <n v="200"/>
    <n v="7431.9999999999991"/>
    <n v="37.159999999999997"/>
    <s v=""/>
  </r>
  <r>
    <x v="290"/>
    <x v="25"/>
    <s v="Wednesday"/>
    <d v="1899-12-30T11:20:00"/>
    <s v="STOCK"/>
    <s v="BUY"/>
    <n v="200"/>
    <s v="TO OPEN"/>
    <x v="2"/>
    <m/>
    <m/>
    <s v="STOCK"/>
    <n v="37.159999999999997"/>
    <n v="37.159999999999997"/>
    <s v="MKT"/>
    <n v="400"/>
    <n v="14863.999999999998"/>
    <n v="37.159999999999997"/>
    <s v=""/>
  </r>
  <r>
    <x v="290"/>
    <x v="25"/>
    <s v="Wednesday"/>
    <d v="1899-12-30T11:22:03"/>
    <s v="STOCK"/>
    <s v="SELL"/>
    <n v="-200"/>
    <s v="TO CLOSE"/>
    <x v="2"/>
    <m/>
    <m/>
    <s v="STOCK"/>
    <n v="37.445"/>
    <n v="37.445"/>
    <s v="MKT"/>
    <n v="200"/>
    <n v="7374.9999999999982"/>
    <n v="36.874999999999993"/>
    <s v=""/>
  </r>
  <r>
    <x v="290"/>
    <x v="25"/>
    <s v="Wednesday"/>
    <d v="1899-12-30T11:22:39"/>
    <s v="STOCK"/>
    <s v="BUY"/>
    <n v="200"/>
    <s v="TO OPEN"/>
    <x v="2"/>
    <m/>
    <m/>
    <s v="STOCK"/>
    <n v="37.64"/>
    <n v="37.64"/>
    <s v="STP"/>
    <n v="400"/>
    <n v="14902.999999999998"/>
    <n v="37.257499999999993"/>
    <s v=""/>
  </r>
  <r>
    <x v="290"/>
    <x v="25"/>
    <s v="Wednesday"/>
    <d v="1899-12-30T11:26:30"/>
    <s v="STOCK"/>
    <s v="SELL"/>
    <n v="-400"/>
    <s v="TO CLOSE"/>
    <x v="2"/>
    <m/>
    <m/>
    <s v="STOCK"/>
    <n v="37.729999999999997"/>
    <n v="37.729999999999997"/>
    <s v="STP"/>
    <n v="0"/>
    <n v="0"/>
    <s v=""/>
    <n v="189.00000000000148"/>
  </r>
  <r>
    <x v="291"/>
    <x v="25"/>
    <s v="Wednesday"/>
    <d v="1899-12-30T11:31:15"/>
    <s v="STOCK"/>
    <s v="BUY"/>
    <n v="200"/>
    <s v="TO OPEN"/>
    <x v="2"/>
    <m/>
    <m/>
    <s v="STOCK"/>
    <n v="37.39"/>
    <n v="37.39"/>
    <s v="LMT"/>
    <n v="200"/>
    <n v="7478"/>
    <n v="37.39"/>
    <s v=""/>
  </r>
  <r>
    <x v="291"/>
    <x v="25"/>
    <s v="Wednesday"/>
    <d v="1899-12-30T11:38:26"/>
    <s v="STOCK"/>
    <s v="SELL"/>
    <n v="-200"/>
    <s v="TO CLOSE"/>
    <x v="2"/>
    <m/>
    <m/>
    <s v="STOCK"/>
    <n v="37.835000000000001"/>
    <n v="37.835000000000001"/>
    <s v="MKT"/>
    <n v="0"/>
    <n v="0"/>
    <s v=""/>
    <n v="89.000000000000057"/>
  </r>
  <r>
    <x v="292"/>
    <x v="25"/>
    <s v="Wednesday"/>
    <d v="1899-12-30T11:40:31"/>
    <s v="STOCK"/>
    <s v="SELL"/>
    <n v="-200"/>
    <s v="TO OPEN"/>
    <x v="2"/>
    <m/>
    <m/>
    <s v="STOCK"/>
    <n v="37.762300000000003"/>
    <n v="37.762300000000003"/>
    <s v="LMT"/>
    <n v="-200"/>
    <n v="-7552.4600000000009"/>
    <n v="37.762300000000003"/>
    <s v=""/>
  </r>
  <r>
    <x v="292"/>
    <x v="25"/>
    <s v="Wednesday"/>
    <d v="1899-12-30T11:42:26"/>
    <s v="STOCK"/>
    <s v="BUY"/>
    <n v="200"/>
    <s v="TO CLOSE"/>
    <x v="2"/>
    <m/>
    <m/>
    <s v="STOCK"/>
    <n v="38.079000000000001"/>
    <n v="38.079000000000001"/>
    <s v="STP"/>
    <n v="0"/>
    <n v="0"/>
    <s v=""/>
    <n v="-63.339999999999463"/>
  </r>
  <r>
    <x v="293"/>
    <x v="25"/>
    <s v="Wednesday"/>
    <d v="1899-12-30T11:47:33"/>
    <s v="STOCK"/>
    <s v="SELL"/>
    <n v="-200"/>
    <s v="TO OPEN"/>
    <x v="2"/>
    <m/>
    <m/>
    <s v="STOCK"/>
    <n v="38.46"/>
    <n v="38.46"/>
    <s v="LMT"/>
    <n v="-200"/>
    <n v="-7692"/>
    <n v="38.46"/>
    <s v=""/>
  </r>
  <r>
    <x v="293"/>
    <x v="25"/>
    <s v="Wednesday"/>
    <d v="1899-12-30T11:49:31"/>
    <s v="STOCK"/>
    <s v="SELL"/>
    <n v="-100"/>
    <s v="TO OPEN"/>
    <x v="2"/>
    <m/>
    <m/>
    <s v="STOCK"/>
    <n v="38.69"/>
    <n v="38.69"/>
    <s v="LMT"/>
    <n v="-300"/>
    <n v="-11561"/>
    <n v="38.536666666666669"/>
    <s v=""/>
  </r>
  <r>
    <x v="293"/>
    <x v="25"/>
    <s v="Wednesday"/>
    <d v="1899-12-30T11:56:42"/>
    <s v="STOCK"/>
    <s v="SELL"/>
    <n v="-100"/>
    <s v="TO OPEN"/>
    <x v="2"/>
    <m/>
    <m/>
    <s v="STOCK"/>
    <n v="38.68"/>
    <n v="38.68"/>
    <s v="LMT"/>
    <n v="-400"/>
    <n v="-15429"/>
    <n v="38.572499999999998"/>
    <s v=""/>
  </r>
  <r>
    <x v="293"/>
    <x v="25"/>
    <s v="Wednesday"/>
    <d v="1899-12-30T12:08:49"/>
    <s v="STOCK"/>
    <s v="SELL"/>
    <n v="-100"/>
    <s v="TO OPEN"/>
    <x v="2"/>
    <m/>
    <m/>
    <s v="STOCK"/>
    <n v="39.07"/>
    <n v="39.07"/>
    <s v="LMT"/>
    <n v="-500"/>
    <n v="-19336"/>
    <n v="38.671999999999997"/>
    <s v=""/>
  </r>
  <r>
    <x v="293"/>
    <x v="25"/>
    <s v="Wednesday"/>
    <d v="1899-12-30T15:17:29"/>
    <s v="STOCK"/>
    <s v="BUY"/>
    <n v="300"/>
    <s v="TO CLOSE"/>
    <x v="2"/>
    <m/>
    <m/>
    <s v="STOCK"/>
    <n v="40.21"/>
    <n v="40.21"/>
    <s v="STP"/>
    <n v="-200"/>
    <n v="-7273"/>
    <n v="36.365000000000002"/>
    <s v=""/>
  </r>
  <r>
    <x v="293"/>
    <x v="25"/>
    <s v="Wednesday"/>
    <d v="1899-12-30T15:17:29"/>
    <s v="STOCK"/>
    <s v="BUY"/>
    <n v="100"/>
    <s v="TO CLOSE"/>
    <x v="2"/>
    <m/>
    <m/>
    <s v="STOCK"/>
    <n v="40.21"/>
    <n v="40.21"/>
    <s v="STP"/>
    <n v="-100"/>
    <n v="-3252"/>
    <n v="32.520000000000003"/>
    <s v=""/>
  </r>
  <r>
    <x v="293"/>
    <x v="25"/>
    <s v="Wednesday"/>
    <d v="1899-12-30T15:17:29"/>
    <s v="STOCK"/>
    <s v="BUY"/>
    <n v="100"/>
    <s v="TO CLOSE"/>
    <x v="2"/>
    <m/>
    <m/>
    <s v="STOCK"/>
    <n v="40.21"/>
    <n v="40.21"/>
    <s v="STP"/>
    <n v="0"/>
    <n v="0"/>
    <s v=""/>
    <n v="-768.99999999999977"/>
  </r>
  <r>
    <x v="294"/>
    <x v="25"/>
    <s v="Wednesday"/>
    <d v="1899-12-30T15:20:08"/>
    <s v="STOCK"/>
    <s v="SELL"/>
    <n v="-500"/>
    <s v="TO OPEN"/>
    <x v="2"/>
    <m/>
    <m/>
    <s v="STOCK"/>
    <n v="39.903300000000002"/>
    <n v="39.903300000000002"/>
    <s v="MKT"/>
    <n v="-500"/>
    <n v="-19951.650000000001"/>
    <n v="39.903300000000002"/>
    <s v=""/>
  </r>
  <r>
    <x v="294"/>
    <x v="25"/>
    <s v="Wednesday"/>
    <d v="1899-12-30T15:22:37"/>
    <s v="STOCK"/>
    <s v="BUY"/>
    <n v="190"/>
    <s v="TO CLOSE"/>
    <x v="2"/>
    <m/>
    <m/>
    <s v="STOCK"/>
    <n v="40.4"/>
    <n v="40.4"/>
    <s v="STP"/>
    <n v="-310"/>
    <n v="-12275.650000000001"/>
    <n v="39.598870967741938"/>
    <s v=""/>
  </r>
  <r>
    <x v="294"/>
    <x v="25"/>
    <s v="Wednesday"/>
    <d v="1899-12-30T15:22:37"/>
    <s v="STOCK"/>
    <s v="BUY"/>
    <n v="100"/>
    <s v="TO CLOSE"/>
    <x v="2"/>
    <m/>
    <m/>
    <s v="STOCK"/>
    <n v="40.4"/>
    <n v="40.4"/>
    <s v="STP"/>
    <n v="-210"/>
    <n v="-8235.6500000000015"/>
    <n v="39.217380952380957"/>
    <s v=""/>
  </r>
  <r>
    <x v="294"/>
    <x v="25"/>
    <s v="Wednesday"/>
    <d v="1899-12-30T15:22:37"/>
    <s v="STOCK"/>
    <s v="BUY"/>
    <n v="200"/>
    <s v="TO CLOSE"/>
    <x v="2"/>
    <m/>
    <m/>
    <s v="STOCK"/>
    <n v="40.4"/>
    <n v="40.4"/>
    <s v="STP"/>
    <n v="-10"/>
    <n v="-155.65000000000146"/>
    <n v="15.565000000000145"/>
    <s v=""/>
  </r>
  <r>
    <x v="294"/>
    <x v="25"/>
    <s v="Wednesday"/>
    <d v="1899-12-30T15:22:37"/>
    <s v="STOCK"/>
    <s v="BUY"/>
    <n v="10"/>
    <s v="TO CLOSE"/>
    <x v="2"/>
    <m/>
    <m/>
    <s v="STOCK"/>
    <n v="40.4"/>
    <n v="40.4"/>
    <s v="STP"/>
    <n v="0"/>
    <n v="0"/>
    <s v=""/>
    <n v="-248.34999999999852"/>
  </r>
  <r>
    <x v="295"/>
    <x v="25"/>
    <s v="Wednesday"/>
    <d v="1899-12-30T15:28:21"/>
    <s v="STOCK"/>
    <s v="SELL"/>
    <n v="-100"/>
    <s v="TO OPEN"/>
    <x v="2"/>
    <m/>
    <m/>
    <s v="STOCK"/>
    <n v="40.500100000000003"/>
    <n v="40.500100000000003"/>
    <s v="LMT"/>
    <n v="-100"/>
    <n v="-4050.01"/>
    <n v="40.500100000000003"/>
    <s v=""/>
  </r>
  <r>
    <x v="295"/>
    <x v="25"/>
    <s v="Wednesday"/>
    <d v="1899-12-30T15:28:21"/>
    <s v="STOCK"/>
    <s v="SELL"/>
    <n v="-100"/>
    <s v="TO OPEN"/>
    <x v="2"/>
    <m/>
    <m/>
    <s v="STOCK"/>
    <n v="40.500100000000003"/>
    <n v="40.500100000000003"/>
    <s v="LMT"/>
    <n v="-200"/>
    <n v="-8100.02"/>
    <n v="40.500100000000003"/>
    <s v=""/>
  </r>
  <r>
    <x v="295"/>
    <x v="25"/>
    <s v="Wednesday"/>
    <d v="1899-12-30T15:28:21"/>
    <s v="STOCK"/>
    <s v="SELL"/>
    <n v="-100"/>
    <s v="TO OPEN"/>
    <x v="2"/>
    <m/>
    <m/>
    <s v="STOCK"/>
    <n v="40.500100000000003"/>
    <n v="40.500100000000003"/>
    <s v="LMT"/>
    <n v="-300"/>
    <n v="-12150.03"/>
    <n v="40.500100000000003"/>
    <s v=""/>
  </r>
  <r>
    <x v="295"/>
    <x v="25"/>
    <s v="Wednesday"/>
    <d v="1899-12-30T15:28:21"/>
    <s v="STOCK"/>
    <s v="SELL"/>
    <n v="-10"/>
    <s v="TO OPEN"/>
    <x v="2"/>
    <m/>
    <m/>
    <s v="STOCK"/>
    <n v="40.500100000000003"/>
    <n v="40.5"/>
    <s v="LMT"/>
    <n v="-310"/>
    <n v="-12555.031000000001"/>
    <n v="40.500100000000003"/>
    <s v=""/>
  </r>
  <r>
    <x v="295"/>
    <x v="25"/>
    <s v="Wednesday"/>
    <d v="1899-12-30T15:28:21"/>
    <s v="STOCK"/>
    <s v="SELL"/>
    <n v="-100"/>
    <s v="TO OPEN"/>
    <x v="2"/>
    <m/>
    <m/>
    <s v="STOCK"/>
    <n v="40.505000000000003"/>
    <n v="40.505000000000003"/>
    <s v="LMT"/>
    <n v="-410"/>
    <n v="-16605.531000000003"/>
    <n v="40.501295121951223"/>
    <s v=""/>
  </r>
  <r>
    <x v="295"/>
    <x v="25"/>
    <s v="Wednesday"/>
    <d v="1899-12-30T15:28:22"/>
    <s v="STOCK"/>
    <s v="SELL"/>
    <n v="-90"/>
    <s v="TO OPEN"/>
    <x v="2"/>
    <m/>
    <m/>
    <s v="STOCK"/>
    <n v="40.5"/>
    <n v="40.5"/>
    <s v="LMT"/>
    <n v="-500"/>
    <n v="-20250.531000000003"/>
    <n v="40.501062000000005"/>
    <s v=""/>
  </r>
  <r>
    <x v="295"/>
    <x v="25"/>
    <s v="Wednesday"/>
    <d v="1899-12-30T15:38:56"/>
    <s v="STOCK"/>
    <s v="BUY"/>
    <n v="500"/>
    <s v="TO CLOSE"/>
    <x v="2"/>
    <m/>
    <m/>
    <s v="STOCK"/>
    <n v="40.380000000000003"/>
    <n v="40.380000000000003"/>
    <s v="STP"/>
    <n v="0"/>
    <n v="0"/>
    <s v=""/>
    <n v="60.531000000001001"/>
  </r>
  <r>
    <x v="296"/>
    <x v="26"/>
    <s v="Thursday"/>
    <d v="1899-12-30T09:55:08"/>
    <s v="FUTURE"/>
    <s v="SELL"/>
    <n v="-1"/>
    <s v="TO OPEN"/>
    <x v="6"/>
    <d v="2020-08-20T00:00:00"/>
    <m/>
    <s v="FUTURE"/>
    <n v="27.24"/>
    <n v="27.24"/>
    <s v="LMT"/>
    <n v="-1"/>
    <n v="-27240"/>
    <n v="27.24"/>
    <s v=""/>
  </r>
  <r>
    <x v="296"/>
    <x v="26"/>
    <s v="Thursday"/>
    <d v="1899-12-30T10:14:26"/>
    <s v="FUTURE"/>
    <s v="BUY"/>
    <n v="1"/>
    <s v="TO CLOSE"/>
    <x v="6"/>
    <d v="2020-08-20T00:00:00"/>
    <m/>
    <s v="FUTURE"/>
    <n v="27.61"/>
    <n v="27.61"/>
    <s v="STP"/>
    <n v="0"/>
    <n v="0"/>
    <s v=""/>
    <n v="-370.00000000000102"/>
  </r>
  <r>
    <x v="297"/>
    <x v="26"/>
    <s v="Thursday"/>
    <d v="1899-12-30T10:45:38"/>
    <s v="FUTURE"/>
    <s v="SELL"/>
    <n v="-1"/>
    <s v="TO OPEN"/>
    <x v="6"/>
    <d v="2020-08-20T00:00:00"/>
    <m/>
    <s v="FUTURE"/>
    <n v="27.6"/>
    <n v="27.6"/>
    <s v="LMT"/>
    <n v="-1"/>
    <n v="-27600"/>
    <n v="27.6"/>
    <s v=""/>
  </r>
  <r>
    <x v="297"/>
    <x v="26"/>
    <s v="Thursday"/>
    <d v="1899-12-30T10:50:53"/>
    <s v="FUTURE"/>
    <s v="BUY"/>
    <n v="2"/>
    <s v="TO CLOSE"/>
    <x v="6"/>
    <d v="2020-08-20T00:00:00"/>
    <m/>
    <s v="FUTURE"/>
    <n v="27.79"/>
    <n v="27.79"/>
    <s v="MKT"/>
    <n v="1"/>
    <n v="27980"/>
    <n v="27.98"/>
    <s v=""/>
  </r>
  <r>
    <x v="297"/>
    <x v="26"/>
    <s v="Thursday"/>
    <d v="1899-12-30T11:26:47"/>
    <s v="FUTURE"/>
    <s v="SELL"/>
    <n v="-2"/>
    <s v="TO CLOSE"/>
    <x v="6"/>
    <d v="2020-08-20T00:00:00"/>
    <m/>
    <s v="FUTURE"/>
    <n v="27.59"/>
    <n v="27.59"/>
    <s v="MKT"/>
    <n v="-1"/>
    <n v="-27200"/>
    <n v="27.2"/>
    <s v=""/>
  </r>
  <r>
    <x v="297"/>
    <x v="26"/>
    <s v="Thursday"/>
    <d v="1899-12-30T11:35:42"/>
    <s v="FUTURE"/>
    <s v="BUY"/>
    <n v="1"/>
    <s v="TO CLOSE"/>
    <x v="6"/>
    <d v="2020-08-20T00:00:00"/>
    <m/>
    <s v="FUTURE"/>
    <n v="27.69"/>
    <n v="27.69"/>
    <s v="MKT"/>
    <n v="0"/>
    <n v="0"/>
    <s v=""/>
    <n v="-490.00000000000199"/>
  </r>
  <r>
    <x v="298"/>
    <x v="26"/>
    <s v="Thursday"/>
    <d v="1899-12-30T11:35:42"/>
    <s v="FUTURE"/>
    <s v="BUY"/>
    <n v="1"/>
    <s v="TO CLOSE"/>
    <x v="6"/>
    <d v="2020-08-20T00:00:00"/>
    <m/>
    <s v="FUTURE"/>
    <n v="27.69"/>
    <n v="27.69"/>
    <s v="MKT"/>
    <n v="1"/>
    <n v="27690"/>
    <n v="27.69"/>
    <s v=""/>
  </r>
  <r>
    <x v="298"/>
    <x v="26"/>
    <s v="Thursday"/>
    <d v="1899-12-30T11:50:41"/>
    <s v="FUTURE"/>
    <s v="SELL"/>
    <n v="-1"/>
    <s v="TO CLOSE"/>
    <x v="6"/>
    <d v="2020-08-20T00:00:00"/>
    <m/>
    <s v="FUTURE"/>
    <n v="27.64"/>
    <n v="27.64"/>
    <s v="MKT"/>
    <n v="0"/>
    <n v="0"/>
    <s v=""/>
    <n v="-50.000000000000711"/>
  </r>
  <r>
    <x v="299"/>
    <x v="26"/>
    <s v="Thursday"/>
    <d v="1899-12-30T13:37:05"/>
    <s v="FUTURE"/>
    <s v="SELL"/>
    <n v="-1"/>
    <s v="TO OPEN"/>
    <x v="6"/>
    <d v="2020-08-20T00:00:00"/>
    <m/>
    <s v="FUTURE"/>
    <n v="28.29"/>
    <n v="28.29"/>
    <s v="LMT"/>
    <n v="-1"/>
    <n v="-28290"/>
    <n v="28.29"/>
    <s v=""/>
  </r>
  <r>
    <x v="299"/>
    <x v="26"/>
    <s v="Thursday"/>
    <d v="1899-12-30T15:03:19"/>
    <s v="FUTURE"/>
    <s v="BUY"/>
    <n v="1"/>
    <s v="TO CLOSE"/>
    <x v="6"/>
    <d v="2020-08-20T00:00:00"/>
    <m/>
    <s v="FUTURE"/>
    <n v="28.59"/>
    <n v="28.59"/>
    <s v="LMT"/>
    <n v="0"/>
    <n v="0"/>
    <s v=""/>
    <n v="-300.00000000000068"/>
  </r>
  <r>
    <x v="300"/>
    <x v="26"/>
    <s v="Thursday"/>
    <d v="1899-12-30T10:15:55"/>
    <s v="FUTURE"/>
    <s v="BUY"/>
    <n v="1"/>
    <s v="TO OPEN"/>
    <x v="1"/>
    <d v="2020-06-20T00:00:00"/>
    <m/>
    <s v="FUTURE"/>
    <n v="2772.25"/>
    <n v="2772.25"/>
    <s v="MKT"/>
    <n v="1"/>
    <n v="138612.5"/>
    <n v="2772.25"/>
    <s v=""/>
  </r>
  <r>
    <x v="300"/>
    <x v="26"/>
    <s v="Thursday"/>
    <d v="1899-12-30T10:36:19"/>
    <s v="FUTURE"/>
    <s v="SELL"/>
    <n v="-1"/>
    <s v="TO CLOSE"/>
    <x v="1"/>
    <d v="2020-06-20T00:00:00"/>
    <m/>
    <s v="FUTURE"/>
    <n v="2782.5"/>
    <n v="2782.5"/>
    <s v="LMT"/>
    <n v="0"/>
    <n v="0"/>
    <s v=""/>
    <n v="512.5"/>
  </r>
  <r>
    <x v="301"/>
    <x v="26"/>
    <s v="Thursday"/>
    <d v="1899-12-30T10:39:21"/>
    <s v="FUTURE"/>
    <s v="SELL"/>
    <n v="-1"/>
    <s v="TO OPEN"/>
    <x v="1"/>
    <d v="2020-06-20T00:00:00"/>
    <m/>
    <s v="FUTURE"/>
    <n v="2789.5"/>
    <n v="2789.5"/>
    <s v="MKT"/>
    <n v="-1"/>
    <n v="-139475"/>
    <n v="2789.5"/>
    <s v=""/>
  </r>
  <r>
    <x v="301"/>
    <x v="26"/>
    <s v="Thursday"/>
    <d v="1899-12-30T10:41:47"/>
    <s v="FUTURE"/>
    <s v="BUY"/>
    <n v="1"/>
    <s v="TO CLOSE"/>
    <x v="1"/>
    <d v="2020-06-20T00:00:00"/>
    <m/>
    <s v="FUTURE"/>
    <n v="2786.75"/>
    <n v="2786.75"/>
    <s v="LMT"/>
    <n v="0"/>
    <n v="0"/>
    <s v=""/>
    <n v="137.5"/>
  </r>
  <r>
    <x v="302"/>
    <x v="26"/>
    <s v="Thursday"/>
    <d v="1899-12-30T09:52:00"/>
    <s v="STOCK"/>
    <s v="BUY"/>
    <n v="500"/>
    <s v="TO OPEN"/>
    <x v="2"/>
    <m/>
    <m/>
    <s v="STOCK"/>
    <n v="42.47"/>
    <n v="42.47"/>
    <s v="MKT"/>
    <n v="500"/>
    <n v="21235"/>
    <n v="42.47"/>
    <s v=""/>
  </r>
  <r>
    <x v="302"/>
    <x v="26"/>
    <s v="Thursday"/>
    <d v="1899-12-30T10:19:19"/>
    <s v="STOCK"/>
    <s v="SELL"/>
    <n v="-500"/>
    <s v="TO CLOSE"/>
    <x v="2"/>
    <m/>
    <m/>
    <s v="STOCK"/>
    <n v="42.260100000000001"/>
    <n v="42.260100000000001"/>
    <s v="MKT"/>
    <n v="0"/>
    <n v="0"/>
    <s v=""/>
    <n v="-104.94999999999877"/>
  </r>
  <r>
    <x v="303"/>
    <x v="26"/>
    <s v="Thursday"/>
    <d v="1899-12-30T10:20:19"/>
    <s v="STOCK"/>
    <s v="SELL"/>
    <n v="-400"/>
    <s v="TO OPEN"/>
    <x v="2"/>
    <m/>
    <m/>
    <s v="STOCK"/>
    <n v="42.085000000000001"/>
    <n v="42.085000000000001"/>
    <s v="MKT"/>
    <n v="-400"/>
    <n v="-16834"/>
    <n v="42.085000000000001"/>
    <s v=""/>
  </r>
  <r>
    <x v="303"/>
    <x v="26"/>
    <s v="Thursday"/>
    <d v="1899-12-30T10:36:19"/>
    <s v="STOCK"/>
    <s v="BUY"/>
    <n v="400"/>
    <s v="TO CLOSE"/>
    <x v="2"/>
    <m/>
    <m/>
    <s v="STOCK"/>
    <n v="41.56"/>
    <n v="41.56"/>
    <s v="LMT"/>
    <n v="0"/>
    <n v="0"/>
    <s v=""/>
    <n v="209.99999999999943"/>
  </r>
  <r>
    <x v="304"/>
    <x v="26"/>
    <s v="Thursday"/>
    <d v="1899-12-30T10:49:23"/>
    <s v="STOCK"/>
    <s v="SELL"/>
    <n v="-500"/>
    <s v="TO OPEN"/>
    <x v="2"/>
    <m/>
    <m/>
    <s v="STOCK"/>
    <n v="41.06"/>
    <n v="41.06"/>
    <s v="LMT"/>
    <n v="-500"/>
    <n v="-20530"/>
    <n v="41.06"/>
    <s v=""/>
  </r>
  <r>
    <x v="304"/>
    <x v="26"/>
    <s v="Thursday"/>
    <d v="1899-12-30T10:53:31"/>
    <s v="STOCK"/>
    <s v="BUY"/>
    <n v="500"/>
    <s v="TO CLOSE"/>
    <x v="2"/>
    <m/>
    <m/>
    <s v="STOCK"/>
    <n v="40.637700000000002"/>
    <n v="40.637700000000002"/>
    <s v="LMT"/>
    <n v="0"/>
    <n v="0"/>
    <s v=""/>
    <n v="211.14999999999995"/>
  </r>
  <r>
    <x v="305"/>
    <x v="26"/>
    <s v="Thursday"/>
    <d v="1899-12-30T12:58:18"/>
    <s v="STOCK"/>
    <s v="SELL"/>
    <n v="-400"/>
    <s v="TO OPEN"/>
    <x v="2"/>
    <m/>
    <m/>
    <s v="STOCK"/>
    <n v="39.64"/>
    <n v="39.64"/>
    <s v="LMT"/>
    <n v="-400"/>
    <n v="-15856"/>
    <n v="39.64"/>
    <s v=""/>
  </r>
  <r>
    <x v="305"/>
    <x v="26"/>
    <s v="Thursday"/>
    <d v="1899-12-30T13:29:53"/>
    <s v="STOCK"/>
    <s v="BUY"/>
    <n v="400"/>
    <s v="TO CLOSE"/>
    <x v="2"/>
    <m/>
    <m/>
    <s v="STOCK"/>
    <n v="39.11"/>
    <n v="39.11"/>
    <s v="LMT"/>
    <n v="0"/>
    <n v="0"/>
    <s v=""/>
    <n v="212.00000000000045"/>
  </r>
  <r>
    <x v="306"/>
    <x v="27"/>
    <s v="Friday"/>
    <d v="1899-12-30T14:15:31"/>
    <s v="FUTURE"/>
    <s v="SELL"/>
    <n v="-1"/>
    <s v="TO OPEN"/>
    <x v="6"/>
    <d v="2020-08-20T00:00:00"/>
    <m/>
    <s v="FUTURE"/>
    <n v="30.13"/>
    <n v="30.13"/>
    <s v="LMT"/>
    <n v="-1"/>
    <n v="-30130"/>
    <n v="30.13"/>
    <s v=""/>
  </r>
  <r>
    <x v="306"/>
    <x v="27"/>
    <s v="Friday"/>
    <d v="1899-12-30T14:21:13"/>
    <s v="FUTURE"/>
    <s v="BUY"/>
    <n v="1"/>
    <s v="TO CLOSE"/>
    <x v="6"/>
    <d v="2020-08-20T00:00:00"/>
    <m/>
    <s v="FUTURE"/>
    <n v="30.12"/>
    <n v="30.12"/>
    <s v="STP"/>
    <n v="0"/>
    <n v="0"/>
    <s v=""/>
    <n v="9.9999999999980105"/>
  </r>
  <r>
    <x v="307"/>
    <x v="27"/>
    <s v="Friday"/>
    <d v="1899-12-30T14:28:00"/>
    <s v="FUTURE"/>
    <s v="SELL"/>
    <n v="-1"/>
    <s v="TO OPEN"/>
    <x v="6"/>
    <d v="2020-08-20T00:00:00"/>
    <m/>
    <s v="FUTURE"/>
    <n v="30.05"/>
    <n v="30.05"/>
    <s v="LMT"/>
    <n v="-1"/>
    <n v="-30050"/>
    <n v="30.05"/>
    <s v=""/>
  </r>
  <r>
    <x v="307"/>
    <x v="27"/>
    <s v="Friday"/>
    <d v="1899-12-30T14:34:35"/>
    <s v="FUTURE"/>
    <s v="BUY"/>
    <n v="1"/>
    <s v="TO CLOSE"/>
    <x v="6"/>
    <d v="2020-08-20T00:00:00"/>
    <m/>
    <s v="FUTURE"/>
    <n v="30.04"/>
    <n v="30.04"/>
    <s v="LMT"/>
    <n v="0"/>
    <n v="0"/>
    <s v=""/>
    <n v="10.000000000001563"/>
  </r>
  <r>
    <x v="308"/>
    <x v="27"/>
    <s v="Friday"/>
    <d v="1899-12-30T13:57:54"/>
    <s v="STOCK"/>
    <s v="SELL"/>
    <n v="-177"/>
    <s v="TO OPEN"/>
    <x v="2"/>
    <m/>
    <m/>
    <s v="STOCK"/>
    <n v="37.6"/>
    <n v="37.6"/>
    <s v="LMT"/>
    <n v="-177"/>
    <n v="-6655.2"/>
    <n v="37.6"/>
    <s v=""/>
  </r>
  <r>
    <x v="308"/>
    <x v="27"/>
    <s v="Friday"/>
    <d v="1899-12-30T13:57:54"/>
    <s v="STOCK"/>
    <s v="SELL"/>
    <n v="-23"/>
    <s v="TO OPEN"/>
    <x v="2"/>
    <m/>
    <m/>
    <s v="STOCK"/>
    <n v="37.6"/>
    <n v="37.6"/>
    <s v="LMT"/>
    <n v="-200"/>
    <n v="-7520"/>
    <n v="37.6"/>
    <s v=""/>
  </r>
  <r>
    <x v="308"/>
    <x v="27"/>
    <s v="Friday"/>
    <d v="1899-12-30T13:57:54"/>
    <s v="STOCK"/>
    <s v="SELL"/>
    <n v="-200"/>
    <s v="TO OPEN"/>
    <x v="2"/>
    <m/>
    <m/>
    <s v="STOCK"/>
    <n v="37.6"/>
    <n v="37.6"/>
    <s v="LMT"/>
    <n v="-400"/>
    <n v="-15040"/>
    <n v="37.6"/>
    <s v=""/>
  </r>
  <r>
    <x v="308"/>
    <x v="27"/>
    <s v="Friday"/>
    <d v="1899-12-30T14:13:28"/>
    <s v="STOCK"/>
    <s v="BUY"/>
    <n v="400"/>
    <s v="TO CLOSE"/>
    <x v="2"/>
    <m/>
    <m/>
    <s v="STOCK"/>
    <n v="37.32"/>
    <n v="37.32"/>
    <s v="LMT"/>
    <n v="0"/>
    <n v="0"/>
    <s v=""/>
    <n v="112.00000000000045"/>
  </r>
  <r>
    <x v="309"/>
    <x v="28"/>
    <s v="Monday"/>
    <d v="1899-12-30T08:12:14"/>
    <s v="FUTURE"/>
    <s v="SELL"/>
    <n v="-1"/>
    <s v="TO OPEN"/>
    <x v="6"/>
    <d v="2020-08-20T00:00:00"/>
    <m/>
    <s v="FUTURE"/>
    <n v="32.479999999999997"/>
    <n v="32.479999999999997"/>
    <s v="LMT"/>
    <n v="-1"/>
    <n v="-32479.999999999996"/>
    <n v="32.479999999999997"/>
    <s v=""/>
  </r>
  <r>
    <x v="309"/>
    <x v="28"/>
    <s v="Monday"/>
    <d v="1899-12-30T08:17:35"/>
    <s v="FUTURE"/>
    <s v="BUY"/>
    <n v="1"/>
    <s v="TO CLOSE"/>
    <x v="6"/>
    <d v="2020-08-20T00:00:00"/>
    <m/>
    <s v="FUTURE"/>
    <n v="32.31"/>
    <n v="32.31"/>
    <s v="MKT"/>
    <n v="0"/>
    <n v="0"/>
    <s v=""/>
    <n v="169.9999999999946"/>
  </r>
  <r>
    <x v="310"/>
    <x v="28"/>
    <s v="Monday"/>
    <d v="1899-12-30T09:53:21"/>
    <s v="FUTURE"/>
    <s v="SELL"/>
    <n v="-1"/>
    <s v="TO OPEN"/>
    <x v="6"/>
    <d v="2020-08-20T00:00:00"/>
    <m/>
    <s v="FUTURE"/>
    <n v="32.69"/>
    <n v="32.69"/>
    <s v="LMT"/>
    <n v="-1"/>
    <n v="-32689.999999999996"/>
    <n v="32.69"/>
    <s v=""/>
  </r>
  <r>
    <x v="310"/>
    <x v="28"/>
    <s v="Monday"/>
    <d v="1899-12-30T09:55:51"/>
    <s v="FUTURE"/>
    <s v="BUY"/>
    <n v="1"/>
    <s v="TO CLOSE"/>
    <x v="6"/>
    <d v="2020-08-20T00:00:00"/>
    <m/>
    <s v="FUTURE"/>
    <n v="32.54"/>
    <n v="32.54"/>
    <s v="LMT"/>
    <n v="0"/>
    <n v="0"/>
    <s v=""/>
    <n v="149.99999999999858"/>
  </r>
  <r>
    <x v="311"/>
    <x v="28"/>
    <s v="Monday"/>
    <d v="1899-12-30T13:25:20"/>
    <s v="FUTURE"/>
    <s v="BUY"/>
    <n v="1"/>
    <s v="TO OPEN"/>
    <x v="6"/>
    <d v="2020-08-20T00:00:00"/>
    <m/>
    <s v="FUTURE"/>
    <n v="32.42"/>
    <n v="32.42"/>
    <s v="MKT"/>
    <n v="1"/>
    <n v="32420"/>
    <n v="32.42"/>
    <s v=""/>
  </r>
  <r>
    <x v="311"/>
    <x v="28"/>
    <s v="Monday"/>
    <d v="1899-12-30T13:33:13"/>
    <s v="FUTURE"/>
    <s v="SELL"/>
    <n v="-1"/>
    <s v="TO CLOSE"/>
    <x v="6"/>
    <d v="2020-08-20T00:00:00"/>
    <m/>
    <s v="FUTURE"/>
    <n v="32.090000000000003"/>
    <n v="32.090000000000003"/>
    <s v="MKT"/>
    <n v="0"/>
    <n v="0"/>
    <s v=""/>
    <n v="-329.99999999999829"/>
  </r>
  <r>
    <x v="312"/>
    <x v="28"/>
    <s v="Monday"/>
    <d v="1899-12-30T13:45:48"/>
    <s v="FUTURE"/>
    <s v="BUY"/>
    <n v="1"/>
    <s v="TO OPEN"/>
    <x v="6"/>
    <d v="2020-08-20T00:00:00"/>
    <m/>
    <s v="FUTURE"/>
    <n v="32.119999999999997"/>
    <n v="32.119999999999997"/>
    <s v="LMT"/>
    <n v="1"/>
    <n v="32119.999999999996"/>
    <n v="32.119999999999997"/>
    <s v=""/>
  </r>
  <r>
    <x v="312"/>
    <x v="28"/>
    <s v="Monday"/>
    <d v="1899-12-30T13:46:46"/>
    <s v="FUTURE"/>
    <s v="SELL"/>
    <n v="-1"/>
    <s v="TO CLOSE"/>
    <x v="6"/>
    <d v="2020-08-20T00:00:00"/>
    <m/>
    <s v="FUTURE"/>
    <n v="32.14"/>
    <n v="32.14"/>
    <s v="LMT"/>
    <n v="0"/>
    <n v="0"/>
    <s v=""/>
    <n v="20.000000000003126"/>
  </r>
  <r>
    <x v="313"/>
    <x v="28"/>
    <s v="Monday"/>
    <d v="1899-12-30T08:47:34"/>
    <s v="FUTURE"/>
    <s v="SELL"/>
    <n v="-1"/>
    <s v="TO OPEN"/>
    <x v="1"/>
    <d v="2020-06-20T00:00:00"/>
    <m/>
    <s v="FUTURE"/>
    <n v="2926"/>
    <n v="2926"/>
    <s v="LMT"/>
    <n v="-1"/>
    <n v="-146300"/>
    <n v="2926"/>
    <s v=""/>
  </r>
  <r>
    <x v="313"/>
    <x v="28"/>
    <s v="Monday"/>
    <d v="1899-12-30T08:52:22"/>
    <s v="FUTURE"/>
    <s v="BUY"/>
    <n v="1"/>
    <s v="TO CLOSE"/>
    <x v="1"/>
    <d v="2020-06-20T00:00:00"/>
    <m/>
    <s v="FUTURE"/>
    <n v="2925.5"/>
    <n v="2925.5"/>
    <s v="LMT"/>
    <n v="0"/>
    <n v="0"/>
    <s v=""/>
    <n v="25"/>
  </r>
  <r>
    <x v="314"/>
    <x v="28"/>
    <s v="Monday"/>
    <d v="1899-12-30T09:03:07"/>
    <s v="FUTURE"/>
    <s v="SELL"/>
    <n v="-1"/>
    <s v="TO OPEN"/>
    <x v="1"/>
    <d v="2020-06-20T00:00:00"/>
    <m/>
    <s v="FUTURE"/>
    <n v="2929"/>
    <n v="2929"/>
    <s v="LMT"/>
    <n v="-1"/>
    <n v="-146450"/>
    <n v="2929"/>
    <s v=""/>
  </r>
  <r>
    <x v="314"/>
    <x v="28"/>
    <s v="Monday"/>
    <d v="1899-12-30T09:12:42"/>
    <s v="FUTURE"/>
    <s v="BUY"/>
    <n v="1"/>
    <s v="TO CLOSE"/>
    <x v="1"/>
    <d v="2020-06-20T00:00:00"/>
    <m/>
    <s v="FUTURE"/>
    <n v="2928.5"/>
    <n v="2928.5"/>
    <s v="LMT"/>
    <n v="0"/>
    <n v="0"/>
    <s v=""/>
    <n v="25"/>
  </r>
  <r>
    <x v="315"/>
    <x v="28"/>
    <s v="Monday"/>
    <d v="1899-12-30T10:48:27"/>
    <s v="FUTURE"/>
    <s v="SELL"/>
    <n v="-1"/>
    <s v="TO OPEN"/>
    <x v="1"/>
    <d v="2020-06-20T00:00:00"/>
    <m/>
    <s v="FUTURE"/>
    <n v="2938.5"/>
    <n v="2938.5"/>
    <s v="LMT"/>
    <n v="-1"/>
    <n v="-146925"/>
    <n v="2938.5"/>
    <s v=""/>
  </r>
  <r>
    <x v="315"/>
    <x v="28"/>
    <s v="Monday"/>
    <d v="1899-12-30T11:14:54"/>
    <s v="FUTURE"/>
    <s v="SELL"/>
    <n v="-1"/>
    <s v="TO OPEN"/>
    <x v="1"/>
    <d v="2020-06-20T00:00:00"/>
    <m/>
    <s v="FUTURE"/>
    <n v="2944.5"/>
    <n v="2944.5"/>
    <s v="LMT"/>
    <n v="-2"/>
    <n v="-294150"/>
    <n v="2941.5"/>
    <s v=""/>
  </r>
  <r>
    <x v="315"/>
    <x v="28"/>
    <s v="Monday"/>
    <d v="1899-12-30T13:19:57"/>
    <s v="FUTURE"/>
    <s v="BUY"/>
    <n v="2"/>
    <s v="TO CLOSE"/>
    <x v="1"/>
    <d v="2020-06-20T00:00:00"/>
    <m/>
    <s v="FUTURE"/>
    <n v="2952"/>
    <n v="2952"/>
    <s v="STP"/>
    <n v="0"/>
    <n v="0"/>
    <s v=""/>
    <n v="-1050"/>
  </r>
  <r>
    <x v="316"/>
    <x v="28"/>
    <s v="Monday"/>
    <d v="1899-12-30T13:34:33"/>
    <s v="FUTURE"/>
    <s v="SELL"/>
    <n v="-1"/>
    <s v="TO OPEN"/>
    <x v="1"/>
    <d v="2020-06-20T00:00:00"/>
    <m/>
    <s v="FUTURE"/>
    <n v="2952.5"/>
    <n v="2952.5"/>
    <s v="LMT"/>
    <n v="-1"/>
    <n v="-147625"/>
    <n v="2952.5"/>
    <s v=""/>
  </r>
  <r>
    <x v="316"/>
    <x v="28"/>
    <s v="Monday"/>
    <d v="1899-12-30T13:44:25"/>
    <s v="FUTURE"/>
    <s v="BUY"/>
    <n v="1"/>
    <s v="TO CLOSE"/>
    <x v="1"/>
    <d v="2020-06-20T00:00:00"/>
    <m/>
    <s v="FUTURE"/>
    <n v="2951.5"/>
    <n v="2951.5"/>
    <s v="LMT"/>
    <n v="0"/>
    <n v="0"/>
    <s v=""/>
    <n v="50"/>
  </r>
  <r>
    <x v="317"/>
    <x v="28"/>
    <s v="Monday"/>
    <d v="1899-12-30T13:54:24"/>
    <s v="FUTURE"/>
    <s v="SELL"/>
    <n v="-1"/>
    <s v="TO OPEN"/>
    <x v="1"/>
    <d v="2020-06-20T00:00:00"/>
    <m/>
    <s v="FUTURE"/>
    <n v="2952"/>
    <n v="2952"/>
    <s v="LMT"/>
    <n v="-1"/>
    <n v="-147600"/>
    <n v="2952"/>
    <s v=""/>
  </r>
  <r>
    <x v="317"/>
    <x v="28"/>
    <s v="Monday"/>
    <d v="1899-12-30T14:10:21"/>
    <s v="FUTURE"/>
    <s v="BUY"/>
    <n v="1"/>
    <s v="TO CLOSE"/>
    <x v="1"/>
    <d v="2020-06-20T00:00:00"/>
    <m/>
    <s v="FUTURE"/>
    <n v="2951.5"/>
    <n v="2951.5"/>
    <s v="LMT"/>
    <n v="0"/>
    <n v="0"/>
    <s v=""/>
    <n v="25"/>
  </r>
  <r>
    <x v="318"/>
    <x v="28"/>
    <s v="Monday"/>
    <d v="1899-12-30T14:16:19"/>
    <s v="FUTURE"/>
    <s v="SELL"/>
    <n v="-2"/>
    <s v="TO OPEN"/>
    <x v="1"/>
    <d v="2020-06-20T00:00:00"/>
    <m/>
    <s v="FUTURE"/>
    <n v="2954"/>
    <n v="2954"/>
    <s v="LMT"/>
    <n v="-2"/>
    <n v="-295400"/>
    <n v="2954"/>
    <s v=""/>
  </r>
  <r>
    <x v="318"/>
    <x v="28"/>
    <s v="Monday"/>
    <d v="1899-12-30T14:19:07"/>
    <s v="FUTURE"/>
    <s v="BUY"/>
    <n v="1"/>
    <s v="TO CLOSE"/>
    <x v="1"/>
    <d v="2020-06-20T00:00:00"/>
    <m/>
    <s v="FUTURE"/>
    <n v="2952.5"/>
    <n v="2952.5"/>
    <s v="LMT"/>
    <n v="-1"/>
    <n v="-147775"/>
    <n v="2955.5"/>
    <s v=""/>
  </r>
  <r>
    <x v="318"/>
    <x v="28"/>
    <s v="Monday"/>
    <d v="1899-12-30T14:20:36"/>
    <s v="FUTURE"/>
    <s v="BUY"/>
    <n v="1"/>
    <s v="TO CLOSE"/>
    <x v="1"/>
    <d v="2020-06-20T00:00:00"/>
    <m/>
    <s v="FUTURE"/>
    <n v="2953.75"/>
    <n v="2953.75"/>
    <s v="STP"/>
    <n v="0"/>
    <n v="0"/>
    <s v=""/>
    <n v="87.5"/>
  </r>
  <r>
    <x v="319"/>
    <x v="28"/>
    <s v="Monday"/>
    <d v="1899-12-30T09:45:06"/>
    <s v="STOCK"/>
    <s v="BUY"/>
    <n v="400"/>
    <s v="TO OPEN"/>
    <x v="2"/>
    <m/>
    <m/>
    <s v="STOCK"/>
    <n v="33.947699999999998"/>
    <n v="33.947699999999998"/>
    <s v="LMT"/>
    <n v="400"/>
    <n v="13579.079999999998"/>
    <n v="33.947699999999998"/>
    <s v=""/>
  </r>
  <r>
    <x v="319"/>
    <x v="28"/>
    <s v="Monday"/>
    <d v="1899-12-30T09:49:10"/>
    <s v="STOCK"/>
    <s v="SELL"/>
    <n v="-400"/>
    <s v="TO CLOSE"/>
    <x v="2"/>
    <m/>
    <m/>
    <s v="STOCK"/>
    <n v="34.07"/>
    <n v="34.07"/>
    <s v="LMT"/>
    <n v="0"/>
    <n v="0"/>
    <s v=""/>
    <n v="48.920000000001096"/>
  </r>
  <r>
    <x v="320"/>
    <x v="28"/>
    <s v="Monday"/>
    <d v="1899-12-30T09:58:02"/>
    <s v="STOCK"/>
    <s v="SELL"/>
    <n v="-400"/>
    <s v="TO OPEN"/>
    <x v="2"/>
    <m/>
    <m/>
    <s v="STOCK"/>
    <n v="34.51"/>
    <n v="34.51"/>
    <s v="LMT"/>
    <n v="-400"/>
    <n v="-13804"/>
    <n v="34.51"/>
    <s v=""/>
  </r>
  <r>
    <x v="320"/>
    <x v="28"/>
    <s v="Monday"/>
    <d v="1899-12-30T10:15:28"/>
    <s v="STOCK"/>
    <s v="SELL"/>
    <n v="-200"/>
    <s v="TO OPEN"/>
    <x v="2"/>
    <m/>
    <m/>
    <s v="STOCK"/>
    <n v="34.92"/>
    <n v="34.92"/>
    <s v="LMT"/>
    <n v="-600"/>
    <n v="-20788"/>
    <n v="34.646666666666668"/>
    <s v=""/>
  </r>
  <r>
    <x v="320"/>
    <x v="28"/>
    <s v="Monday"/>
    <d v="1899-12-30T10:16:53"/>
    <s v="STOCK"/>
    <s v="BUY"/>
    <n v="200"/>
    <s v="TO CLOSE"/>
    <x v="2"/>
    <m/>
    <m/>
    <s v="STOCK"/>
    <n v="34.65"/>
    <n v="34.65"/>
    <s v="LMT"/>
    <n v="-400"/>
    <n v="-13858"/>
    <n v="34.645000000000003"/>
    <s v=""/>
  </r>
  <r>
    <x v="320"/>
    <x v="28"/>
    <s v="Monday"/>
    <d v="1899-12-30T10:23:50"/>
    <s v="STOCK"/>
    <s v="BUY"/>
    <n v="200"/>
    <s v="TO CLOSE"/>
    <x v="2"/>
    <m/>
    <m/>
    <s v="STOCK"/>
    <n v="34.51"/>
    <n v="34.51"/>
    <s v="LMT"/>
    <n v="-200"/>
    <n v="-6956"/>
    <n v="34.78"/>
    <s v=""/>
  </r>
  <r>
    <x v="320"/>
    <x v="28"/>
    <s v="Monday"/>
    <d v="1899-12-30T10:41:38"/>
    <s v="STOCK"/>
    <s v="SELL"/>
    <n v="-100"/>
    <s v="TO OPEN"/>
    <x v="2"/>
    <m/>
    <m/>
    <s v="STOCK"/>
    <n v="34.69"/>
    <n v="34.69"/>
    <s v="LMT"/>
    <n v="-300"/>
    <n v="-10425"/>
    <n v="34.75"/>
    <s v=""/>
  </r>
  <r>
    <x v="320"/>
    <x v="28"/>
    <s v="Monday"/>
    <d v="1899-12-30T10:47:31"/>
    <s v="STOCK"/>
    <s v="BUY"/>
    <n v="300"/>
    <s v="TO CLOSE"/>
    <x v="2"/>
    <m/>
    <m/>
    <s v="STOCK"/>
    <n v="34.697299999999998"/>
    <n v="34.697299999999998"/>
    <s v="MKT"/>
    <n v="0"/>
    <n v="0"/>
    <s v=""/>
    <n v="15.810000000000457"/>
  </r>
  <r>
    <x v="321"/>
    <x v="29"/>
    <s v="Tuesday"/>
    <d v="1899-12-30T10:10:29"/>
    <s v="FUTURE"/>
    <s v="SELL"/>
    <n v="-1"/>
    <s v="TO OPEN"/>
    <x v="6"/>
    <d v="2020-08-20T00:00:00"/>
    <m/>
    <s v="FUTURE"/>
    <n v="32.65"/>
    <n v="32.65"/>
    <s v="LMT"/>
    <n v="-1"/>
    <n v="-32650"/>
    <n v="32.65"/>
    <s v=""/>
  </r>
  <r>
    <x v="321"/>
    <x v="29"/>
    <s v="Tuesday"/>
    <d v="1899-12-30T10:19:41"/>
    <s v="FUTURE"/>
    <s v="BUY"/>
    <n v="1"/>
    <s v="TO CLOSE"/>
    <x v="6"/>
    <d v="2020-08-20T00:00:00"/>
    <m/>
    <s v="FUTURE"/>
    <n v="32.61"/>
    <n v="32.61"/>
    <s v="LMT"/>
    <n v="0"/>
    <n v="0"/>
    <s v=""/>
    <n v="39.999999999999147"/>
  </r>
  <r>
    <x v="322"/>
    <x v="29"/>
    <s v="Tuesday"/>
    <d v="1899-12-30T09:24:37"/>
    <s v="FUTURE"/>
    <s v="BUY"/>
    <n v="1"/>
    <s v="TO OPEN"/>
    <x v="1"/>
    <d v="2020-06-20T00:00:00"/>
    <m/>
    <s v="FUTURE"/>
    <n v="2941.5"/>
    <n v="2941.5"/>
    <s v="MKT"/>
    <n v="1"/>
    <n v="147075"/>
    <n v="2941.5"/>
    <s v=""/>
  </r>
  <r>
    <x v="322"/>
    <x v="29"/>
    <s v="Tuesday"/>
    <d v="1899-12-30T10:07:40"/>
    <s v="FUTURE"/>
    <s v="SELL"/>
    <n v="-1"/>
    <s v="TO CLOSE"/>
    <x v="1"/>
    <d v="2020-06-20T00:00:00"/>
    <m/>
    <s v="FUTURE"/>
    <n v="2952.75"/>
    <n v="2952.75"/>
    <s v="LMT"/>
    <n v="0"/>
    <n v="0"/>
    <s v=""/>
    <n v="562.5"/>
  </r>
  <r>
    <x v="323"/>
    <x v="29"/>
    <s v="Tuesday"/>
    <d v="1899-12-30T09:43:33"/>
    <s v="STOCK"/>
    <s v="SELL"/>
    <n v="-300"/>
    <s v="TO OPEN"/>
    <x v="2"/>
    <m/>
    <m/>
    <s v="STOCK"/>
    <n v="34.44"/>
    <n v="34.44"/>
    <s v="LMT"/>
    <n v="-300"/>
    <n v="-10332"/>
    <n v="34.44"/>
    <s v=""/>
  </r>
  <r>
    <x v="323"/>
    <x v="29"/>
    <s v="Tuesday"/>
    <d v="1899-12-30T09:43:33"/>
    <s v="STOCK"/>
    <s v="SELL"/>
    <n v="-100"/>
    <s v="TO OPEN"/>
    <x v="2"/>
    <m/>
    <m/>
    <s v="STOCK"/>
    <n v="34.44"/>
    <n v="34.44"/>
    <s v="LMT"/>
    <n v="-400"/>
    <n v="-13776"/>
    <n v="34.44"/>
    <s v=""/>
  </r>
  <r>
    <x v="323"/>
    <x v="29"/>
    <s v="Tuesday"/>
    <d v="1899-12-30T10:13:05"/>
    <s v="STOCK"/>
    <s v="BUY"/>
    <n v="400"/>
    <s v="TO CLOSE"/>
    <x v="2"/>
    <m/>
    <m/>
    <s v="STOCK"/>
    <n v="33.946800000000003"/>
    <n v="33.946800000000003"/>
    <s v="MKT"/>
    <n v="0"/>
    <n v="0"/>
    <s v=""/>
    <n v="197.27999999999781"/>
  </r>
  <r>
    <x v="324"/>
    <x v="30"/>
    <s v="Wednesday"/>
    <d v="1899-12-30T09:08:48"/>
    <s v="FUTURE"/>
    <s v="SELL"/>
    <n v="-1"/>
    <s v="TO OPEN"/>
    <x v="6"/>
    <d v="2020-08-20T00:00:00"/>
    <m/>
    <s v="FUTURE"/>
    <n v="33.24"/>
    <n v="33.24"/>
    <s v="LMT"/>
    <n v="-1"/>
    <n v="-33240"/>
    <n v="33.24"/>
    <s v=""/>
  </r>
  <r>
    <x v="324"/>
    <x v="30"/>
    <s v="Wednesday"/>
    <d v="1899-12-30T09:39:42"/>
    <s v="FUTURE"/>
    <s v="BUY"/>
    <n v="1"/>
    <s v="TO CLOSE"/>
    <x v="6"/>
    <d v="2020-08-20T00:00:00"/>
    <m/>
    <s v="FUTURE"/>
    <n v="33.380000000000003"/>
    <n v="33.380000000000003"/>
    <s v="STP"/>
    <n v="0"/>
    <n v="0"/>
    <s v=""/>
    <n v="-140.00000000000057"/>
  </r>
  <r>
    <x v="325"/>
    <x v="30"/>
    <s v="Wednesday"/>
    <d v="1899-12-30T11:03:08"/>
    <s v="FUTURE"/>
    <s v="SELL"/>
    <n v="-1"/>
    <s v="TO OPEN"/>
    <x v="6"/>
    <d v="2020-08-20T00:00:00"/>
    <m/>
    <s v="FUTURE"/>
    <n v="33.729999999999997"/>
    <n v="33.729999999999997"/>
    <s v="MKT"/>
    <n v="-1"/>
    <n v="-33730"/>
    <n v="33.729999999999997"/>
    <s v=""/>
  </r>
  <r>
    <x v="325"/>
    <x v="30"/>
    <s v="Wednesday"/>
    <d v="1899-12-30T11:06:16"/>
    <s v="FUTURE"/>
    <s v="BUY"/>
    <n v="1"/>
    <s v="TO CLOSE"/>
    <x v="6"/>
    <d v="2020-08-20T00:00:00"/>
    <m/>
    <s v="FUTURE"/>
    <n v="33.479999999999997"/>
    <n v="33.479999999999997"/>
    <s v="MKT"/>
    <n v="0"/>
    <n v="0"/>
    <s v=""/>
    <n v="250"/>
  </r>
  <r>
    <x v="326"/>
    <x v="30"/>
    <s v="Wednesday"/>
    <d v="1899-12-30T12:06:48"/>
    <s v="FUTURE"/>
    <s v="SELL"/>
    <n v="-1"/>
    <s v="TO OPEN"/>
    <x v="6"/>
    <d v="2020-08-20T00:00:00"/>
    <m/>
    <s v="FUTURE"/>
    <n v="33.49"/>
    <n v="33.49"/>
    <s v="LMT"/>
    <n v="-1"/>
    <n v="-33490"/>
    <n v="33.49"/>
    <s v=""/>
  </r>
  <r>
    <x v="326"/>
    <x v="30"/>
    <s v="Wednesday"/>
    <d v="1899-12-30T12:08:14"/>
    <s v="FUTURE"/>
    <s v="BUY"/>
    <n v="1"/>
    <s v="TO CLOSE"/>
    <x v="6"/>
    <d v="2020-08-20T00:00:00"/>
    <m/>
    <s v="FUTURE"/>
    <n v="33.479999999999997"/>
    <n v="33.479999999999997"/>
    <s v="LMT"/>
    <n v="0"/>
    <n v="0"/>
    <s v=""/>
    <n v="10.000000000005116"/>
  </r>
  <r>
    <x v="327"/>
    <x v="30"/>
    <s v="Wednesday"/>
    <d v="1899-12-30T12:11:22"/>
    <s v="FUTURE"/>
    <s v="SELL"/>
    <n v="-1"/>
    <s v="TO OPEN"/>
    <x v="6"/>
    <d v="2020-08-20T00:00:00"/>
    <m/>
    <s v="FUTURE"/>
    <n v="33.340000000000003"/>
    <n v="33.340000000000003"/>
    <s v="MKT"/>
    <n v="-1"/>
    <n v="-33340"/>
    <n v="33.340000000000003"/>
    <s v=""/>
  </r>
  <r>
    <x v="327"/>
    <x v="30"/>
    <s v="Wednesday"/>
    <d v="1899-12-30T12:15:03"/>
    <s v="FUTURE"/>
    <s v="BUY"/>
    <n v="1"/>
    <s v="TO CLOSE"/>
    <x v="6"/>
    <d v="2020-08-20T00:00:00"/>
    <m/>
    <s v="FUTURE"/>
    <n v="33.32"/>
    <n v="33.32"/>
    <s v="LMT"/>
    <n v="0"/>
    <n v="0"/>
    <s v=""/>
    <n v="20.000000000003126"/>
  </r>
  <r>
    <x v="328"/>
    <x v="30"/>
    <s v="Wednesday"/>
    <d v="1899-12-30T12:30:02"/>
    <s v="FUTURE"/>
    <s v="SELL"/>
    <n v="-1"/>
    <s v="TO OPEN"/>
    <x v="6"/>
    <d v="2020-08-20T00:00:00"/>
    <m/>
    <s v="FUTURE"/>
    <n v="33.369999999999997"/>
    <n v="33.369999999999997"/>
    <s v="LMT"/>
    <n v="-1"/>
    <n v="-33370"/>
    <n v="33.369999999999997"/>
    <s v=""/>
  </r>
  <r>
    <x v="328"/>
    <x v="30"/>
    <s v="Wednesday"/>
    <d v="1899-12-30T12:30:58"/>
    <s v="FUTURE"/>
    <s v="BUY"/>
    <n v="1"/>
    <s v="TO CLOSE"/>
    <x v="6"/>
    <d v="2020-08-20T00:00:00"/>
    <m/>
    <s v="FUTURE"/>
    <n v="33.36"/>
    <n v="33.36"/>
    <s v="LMT"/>
    <n v="0"/>
    <n v="0"/>
    <s v=""/>
    <n v="9.9999999999980105"/>
  </r>
  <r>
    <x v="329"/>
    <x v="30"/>
    <s v="Wednesday"/>
    <d v="1899-12-30T12:45:14"/>
    <s v="FUTURE"/>
    <s v="BUY"/>
    <n v="1"/>
    <s v="TO OPEN"/>
    <x v="6"/>
    <d v="2020-08-20T00:00:00"/>
    <m/>
    <s v="FUTURE"/>
    <n v="33.42"/>
    <n v="33.42"/>
    <s v="MKT"/>
    <n v="1"/>
    <n v="33420"/>
    <n v="33.42"/>
    <s v=""/>
  </r>
  <r>
    <x v="329"/>
    <x v="30"/>
    <s v="Wednesday"/>
    <d v="1899-12-30T12:51:33"/>
    <s v="FUTURE"/>
    <s v="SELL"/>
    <n v="-1"/>
    <s v="TO CLOSE"/>
    <x v="6"/>
    <d v="2020-08-20T00:00:00"/>
    <m/>
    <s v="FUTURE"/>
    <n v="33.51"/>
    <n v="33.51"/>
    <s v="LMT"/>
    <n v="0"/>
    <n v="0"/>
    <s v=""/>
    <n v="89.999999999996305"/>
  </r>
  <r>
    <x v="330"/>
    <x v="30"/>
    <s v="Wednesday"/>
    <d v="1899-12-30T09:44:38"/>
    <s v="FUTURE"/>
    <s v="BUY"/>
    <n v="1"/>
    <s v="TO OPEN"/>
    <x v="1"/>
    <d v="2020-06-20T00:00:00"/>
    <m/>
    <s v="FUTURE"/>
    <n v="2959.5"/>
    <n v="2959.5"/>
    <s v="LMT"/>
    <n v="1"/>
    <n v="147975"/>
    <n v="2959.5"/>
    <s v=""/>
  </r>
  <r>
    <x v="330"/>
    <x v="30"/>
    <s v="Wednesday"/>
    <d v="1899-12-30T09:47:31"/>
    <s v="FUTURE"/>
    <s v="SELL"/>
    <n v="-1"/>
    <s v="TO CLOSE"/>
    <x v="1"/>
    <d v="2020-06-20T00:00:00"/>
    <m/>
    <s v="FUTURE"/>
    <n v="2962.5"/>
    <n v="2962.5"/>
    <s v="LMT"/>
    <n v="0"/>
    <n v="0"/>
    <s v=""/>
    <n v="150"/>
  </r>
  <r>
    <x v="331"/>
    <x v="30"/>
    <s v="Wednesday"/>
    <d v="1899-12-30T10:04:30"/>
    <s v="FUTURE"/>
    <s v="SELL"/>
    <n v="-1"/>
    <s v="TO OPEN"/>
    <x v="1"/>
    <d v="2020-06-20T00:00:00"/>
    <m/>
    <s v="FUTURE"/>
    <n v="2965"/>
    <n v="2965"/>
    <s v="LMT"/>
    <n v="-1"/>
    <n v="-148250"/>
    <n v="2965"/>
    <s v=""/>
  </r>
  <r>
    <x v="331"/>
    <x v="30"/>
    <s v="Wednesday"/>
    <d v="1899-12-30T11:02:37"/>
    <s v="FUTURE"/>
    <s v="BUY"/>
    <n v="1"/>
    <s v="TO CLOSE"/>
    <x v="1"/>
    <d v="2020-06-20T00:00:00"/>
    <m/>
    <s v="FUTURE"/>
    <n v="2970"/>
    <n v="2970"/>
    <s v="STP"/>
    <n v="0"/>
    <n v="0"/>
    <s v=""/>
    <n v="-250"/>
  </r>
  <r>
    <x v="332"/>
    <x v="30"/>
    <s v="Wednesday"/>
    <d v="1899-12-30T11:06:59"/>
    <s v="FUTURE"/>
    <s v="BUY"/>
    <n v="1"/>
    <s v="TO OPEN"/>
    <x v="1"/>
    <d v="2020-06-20T00:00:00"/>
    <m/>
    <s v="FUTURE"/>
    <n v="2969"/>
    <n v="2969"/>
    <s v="MKT"/>
    <n v="1"/>
    <n v="148450"/>
    <n v="2969"/>
    <s v=""/>
  </r>
  <r>
    <x v="332"/>
    <x v="30"/>
    <s v="Wednesday"/>
    <d v="1899-12-30T11:11:13"/>
    <s v="FUTURE"/>
    <s v="SELL"/>
    <n v="-1"/>
    <s v="TO CLOSE"/>
    <x v="1"/>
    <d v="2020-06-20T00:00:00"/>
    <m/>
    <s v="FUTURE"/>
    <n v="2969.25"/>
    <n v="2969.25"/>
    <s v="LMT"/>
    <n v="0"/>
    <n v="0"/>
    <s v=""/>
    <n v="12.5"/>
  </r>
  <r>
    <x v="333"/>
    <x v="30"/>
    <s v="Wednesday"/>
    <d v="1899-12-30T11:15:22"/>
    <s v="FUTURE"/>
    <s v="BUY"/>
    <n v="1"/>
    <s v="TO OPEN"/>
    <x v="1"/>
    <d v="2020-06-20T00:00:00"/>
    <m/>
    <s v="FUTURE"/>
    <n v="2971"/>
    <n v="2971"/>
    <s v="LMT"/>
    <n v="1"/>
    <n v="148550"/>
    <n v="2971"/>
    <s v=""/>
  </r>
  <r>
    <x v="333"/>
    <x v="30"/>
    <s v="Wednesday"/>
    <d v="1899-12-30T11:22:03"/>
    <s v="FUTURE"/>
    <s v="SELL"/>
    <n v="-1"/>
    <s v="TO CLOSE"/>
    <x v="1"/>
    <d v="2020-06-20T00:00:00"/>
    <m/>
    <s v="FUTURE"/>
    <n v="2973.75"/>
    <n v="2973.75"/>
    <s v="LMT"/>
    <n v="0"/>
    <n v="0"/>
    <s v=""/>
    <n v="137.5"/>
  </r>
  <r>
    <x v="334"/>
    <x v="30"/>
    <s v="Wednesday"/>
    <d v="1899-12-30T11:43:59"/>
    <s v="FUTURE"/>
    <s v="SELL"/>
    <n v="-1"/>
    <s v="TO OPEN"/>
    <x v="1"/>
    <d v="2020-06-20T00:00:00"/>
    <m/>
    <s v="FUTURE"/>
    <n v="2973.5"/>
    <n v="2973.5"/>
    <s v="LMT"/>
    <n v="-1"/>
    <n v="-148675"/>
    <n v="2973.5"/>
    <s v=""/>
  </r>
  <r>
    <x v="334"/>
    <x v="30"/>
    <s v="Wednesday"/>
    <d v="1899-12-30T11:58:00"/>
    <s v="FUTURE"/>
    <s v="BUY"/>
    <n v="1"/>
    <s v="TO CLOSE"/>
    <x v="1"/>
    <d v="2020-06-20T00:00:00"/>
    <m/>
    <s v="FUTURE"/>
    <n v="2972"/>
    <n v="2972"/>
    <s v="LMT"/>
    <n v="0"/>
    <n v="0"/>
    <s v=""/>
    <n v="75"/>
  </r>
  <r>
    <x v="335"/>
    <x v="30"/>
    <s v="Wednesday"/>
    <d v="1899-12-30T12:19:04"/>
    <s v="FUTURE"/>
    <s v="BUY"/>
    <n v="1"/>
    <s v="TO OPEN"/>
    <x v="1"/>
    <d v="2020-06-20T00:00:00"/>
    <m/>
    <s v="FUTURE"/>
    <n v="2964"/>
    <n v="2964"/>
    <s v="MKT"/>
    <n v="1"/>
    <n v="148200"/>
    <n v="2964"/>
    <s v=""/>
  </r>
  <r>
    <x v="335"/>
    <x v="30"/>
    <s v="Wednesday"/>
    <d v="1899-12-30T12:19:47"/>
    <s v="FUTURE"/>
    <s v="SELL"/>
    <n v="-1"/>
    <s v="TO CLOSE"/>
    <x v="1"/>
    <d v="2020-06-20T00:00:00"/>
    <m/>
    <s v="FUTURE"/>
    <n v="2964.25"/>
    <n v="2964.25"/>
    <s v="LMT"/>
    <n v="0"/>
    <n v="0"/>
    <s v=""/>
    <n v="12.5"/>
  </r>
  <r>
    <x v="336"/>
    <x v="30"/>
    <s v="Wednesday"/>
    <d v="1899-12-30T12:21:45"/>
    <s v="FUTURE"/>
    <s v="BUY"/>
    <n v="1"/>
    <s v="TO OPEN"/>
    <x v="1"/>
    <d v="2020-06-20T00:00:00"/>
    <m/>
    <s v="FUTURE"/>
    <n v="2964.5"/>
    <n v="2964.5"/>
    <s v="LMT"/>
    <n v="1"/>
    <n v="148225"/>
    <n v="2964.5"/>
    <s v=""/>
  </r>
  <r>
    <x v="336"/>
    <x v="30"/>
    <s v="Wednesday"/>
    <d v="1899-12-30T12:28:32"/>
    <s v="FUTURE"/>
    <s v="SELL"/>
    <n v="-1"/>
    <s v="TO CLOSE"/>
    <x v="1"/>
    <d v="2020-06-20T00:00:00"/>
    <m/>
    <s v="FUTURE"/>
    <n v="2965"/>
    <n v="2965"/>
    <s v="LMT"/>
    <n v="0"/>
    <n v="0"/>
    <s v=""/>
    <n v="25"/>
  </r>
  <r>
    <x v="337"/>
    <x v="30"/>
    <s v="Wednesday"/>
    <d v="1899-12-30T12:57:22"/>
    <s v="FUTURE"/>
    <s v="BUY"/>
    <n v="1"/>
    <s v="TO OPEN"/>
    <x v="1"/>
    <d v="2020-06-20T00:00:00"/>
    <m/>
    <s v="FUTURE"/>
    <n v="2965"/>
    <n v="2965"/>
    <s v="MKT"/>
    <n v="1"/>
    <n v="148250"/>
    <n v="2965"/>
    <s v=""/>
  </r>
  <r>
    <x v="337"/>
    <x v="30"/>
    <s v="Wednesday"/>
    <d v="1899-12-30T13:01:19"/>
    <s v="FUTURE"/>
    <s v="SELL"/>
    <n v="-1"/>
    <s v="TO CLOSE"/>
    <x v="1"/>
    <d v="2020-06-20T00:00:00"/>
    <m/>
    <s v="FUTURE"/>
    <n v="2965.75"/>
    <n v="2965.75"/>
    <s v="LMT"/>
    <n v="0"/>
    <n v="0"/>
    <s v=""/>
    <n v="37.5"/>
  </r>
  <r>
    <x v="338"/>
    <x v="30"/>
    <s v="Wednesday"/>
    <d v="1899-12-30T09:36:26"/>
    <s v="STOCK"/>
    <s v="BUY"/>
    <n v="400"/>
    <s v="TO OPEN"/>
    <x v="2"/>
    <m/>
    <m/>
    <s v="STOCK"/>
    <n v="34.475000000000001"/>
    <n v="34.475000000000001"/>
    <s v="MKT"/>
    <n v="400"/>
    <n v="13790"/>
    <n v="34.475000000000001"/>
    <s v=""/>
  </r>
  <r>
    <x v="338"/>
    <x v="30"/>
    <s v="Wednesday"/>
    <d v="1899-12-30T09:39:24"/>
    <s v="STOCK"/>
    <s v="SELL"/>
    <n v="-400"/>
    <s v="TO CLOSE"/>
    <x v="2"/>
    <m/>
    <m/>
    <s v="STOCK"/>
    <n v="34.280099999999997"/>
    <n v="34.280099999999997"/>
    <s v="MKT"/>
    <n v="0"/>
    <n v="0"/>
    <s v=""/>
    <n v="-77.960000000001628"/>
  </r>
  <r>
    <x v="339"/>
    <x v="30"/>
    <s v="Wednesday"/>
    <d v="1899-12-30T09:40:50"/>
    <s v="STOCK"/>
    <s v="SELL"/>
    <n v="-100"/>
    <s v="TO OPEN"/>
    <x v="2"/>
    <m/>
    <m/>
    <s v="STOCK"/>
    <n v="34.19"/>
    <n v="34.19"/>
    <s v="LMT"/>
    <n v="-100"/>
    <n v="-3419"/>
    <n v="34.19"/>
    <s v=""/>
  </r>
  <r>
    <x v="339"/>
    <x v="30"/>
    <s v="Wednesday"/>
    <d v="1899-12-30T09:40:51"/>
    <s v="STOCK"/>
    <s v="SELL"/>
    <n v="-400"/>
    <s v="TO OPEN"/>
    <x v="2"/>
    <m/>
    <m/>
    <s v="STOCK"/>
    <n v="34.19"/>
    <n v="34.19"/>
    <s v="LMT"/>
    <n v="-500"/>
    <n v="-17095"/>
    <n v="34.19"/>
    <s v=""/>
  </r>
  <r>
    <x v="339"/>
    <x v="30"/>
    <s v="Wednesday"/>
    <d v="1899-12-30T09:49:16"/>
    <s v="STOCK"/>
    <s v="BUY"/>
    <n v="500"/>
    <s v="TO CLOSE"/>
    <x v="2"/>
    <m/>
    <m/>
    <s v="STOCK"/>
    <n v="34.319899999999997"/>
    <n v="34.319899999999997"/>
    <s v="MKT"/>
    <n v="0"/>
    <n v="0"/>
    <s v=""/>
    <n v="-64.949999999999619"/>
  </r>
  <r>
    <x v="340"/>
    <x v="30"/>
    <s v="Wednesday"/>
    <d v="1899-12-30T09:49:49"/>
    <s v="STOCK"/>
    <s v="BUY"/>
    <n v="500"/>
    <s v="TO OPEN"/>
    <x v="2"/>
    <m/>
    <m/>
    <s v="STOCK"/>
    <n v="34.305"/>
    <n v="34.305"/>
    <s v="MKT"/>
    <n v="500"/>
    <n v="17152.5"/>
    <n v="34.305"/>
    <s v=""/>
  </r>
  <r>
    <x v="340"/>
    <x v="30"/>
    <s v="Wednesday"/>
    <d v="1899-12-30T09:55:36"/>
    <s v="STOCK"/>
    <s v="SELL"/>
    <n v="-200"/>
    <s v="TO CLOSE"/>
    <x v="2"/>
    <m/>
    <m/>
    <s v="STOCK"/>
    <n v="34.36"/>
    <n v="34.36"/>
    <s v="LMT"/>
    <n v="300"/>
    <n v="10280.5"/>
    <n v="34.268333333333331"/>
    <s v=""/>
  </r>
  <r>
    <x v="340"/>
    <x v="30"/>
    <s v="Wednesday"/>
    <d v="1899-12-30T10:06:06"/>
    <s v="STOCK"/>
    <s v="BUY"/>
    <n v="100"/>
    <s v="TO OPEN"/>
    <x v="2"/>
    <m/>
    <m/>
    <s v="STOCK"/>
    <n v="34.299900000000001"/>
    <n v="34.299900000000001"/>
    <s v="MKT"/>
    <n v="400"/>
    <n v="13710.49"/>
    <n v="34.276224999999997"/>
    <s v=""/>
  </r>
  <r>
    <x v="340"/>
    <x v="30"/>
    <s v="Wednesday"/>
    <d v="1899-12-30T11:02:52"/>
    <s v="STOCK"/>
    <s v="SELL"/>
    <n v="-400"/>
    <s v="TO CLOSE"/>
    <x v="2"/>
    <m/>
    <m/>
    <s v="STOCK"/>
    <n v="34.162399999999998"/>
    <n v="34.162399999999998"/>
    <s v="LMT"/>
    <n v="0"/>
    <n v="0"/>
    <s v=""/>
    <n v="-45.529999999999404"/>
  </r>
  <r>
    <x v="341"/>
    <x v="30"/>
    <s v="Wednesday"/>
    <d v="1899-12-30T11:25:47"/>
    <s v="STOCK"/>
    <s v="BUY"/>
    <n v="1"/>
    <s v="TO OPEN"/>
    <x v="2"/>
    <m/>
    <m/>
    <s v="STOCK"/>
    <n v="34.14"/>
    <n v="34.14"/>
    <s v="LMT"/>
    <n v="1"/>
    <n v="34.14"/>
    <n v="34.14"/>
    <s v=""/>
  </r>
  <r>
    <x v="341"/>
    <x v="30"/>
    <s v="Wednesday"/>
    <d v="1899-12-30T11:25:47"/>
    <s v="STOCK"/>
    <s v="BUY"/>
    <n v="200"/>
    <s v="TO OPEN"/>
    <x v="2"/>
    <m/>
    <m/>
    <s v="STOCK"/>
    <n v="34.14"/>
    <n v="34.14"/>
    <s v="LMT"/>
    <n v="201"/>
    <n v="6862.14"/>
    <n v="34.14"/>
    <s v=""/>
  </r>
  <r>
    <x v="341"/>
    <x v="30"/>
    <s v="Wednesday"/>
    <d v="1899-12-30T11:25:47"/>
    <s v="STOCK"/>
    <s v="BUY"/>
    <n v="199"/>
    <s v="TO OPEN"/>
    <x v="2"/>
    <m/>
    <m/>
    <s v="STOCK"/>
    <n v="34.14"/>
    <n v="34.14"/>
    <s v="LMT"/>
    <n v="400"/>
    <n v="13656"/>
    <n v="34.14"/>
    <s v=""/>
  </r>
  <r>
    <x v="341"/>
    <x v="30"/>
    <s v="Wednesday"/>
    <d v="1899-12-30T11:30:28"/>
    <s v="STOCK"/>
    <s v="BUY"/>
    <n v="100"/>
    <s v="TO OPEN"/>
    <x v="2"/>
    <m/>
    <m/>
    <s v="STOCK"/>
    <n v="33.97"/>
    <n v="33.97"/>
    <s v="LMT"/>
    <n v="500"/>
    <n v="17053"/>
    <n v="34.106000000000002"/>
    <s v=""/>
  </r>
  <r>
    <x v="341"/>
    <x v="30"/>
    <s v="Wednesday"/>
    <d v="1899-12-30T12:00:28"/>
    <s v="STOCK"/>
    <s v="SELL"/>
    <n v="-1"/>
    <s v="TO CLOSE"/>
    <x v="2"/>
    <m/>
    <m/>
    <s v="STOCK"/>
    <n v="34.11"/>
    <n v="34.11"/>
    <s v="LMT"/>
    <n v="499"/>
    <n v="17018.89"/>
    <n v="34.105991983967932"/>
    <s v=""/>
  </r>
  <r>
    <x v="341"/>
    <x v="30"/>
    <s v="Wednesday"/>
    <d v="1899-12-30T12:00:29"/>
    <s v="STOCK"/>
    <s v="SELL"/>
    <n v="-93"/>
    <s v="TO CLOSE"/>
    <x v="2"/>
    <m/>
    <m/>
    <s v="STOCK"/>
    <n v="34.11"/>
    <n v="34.11"/>
    <s v="LMT"/>
    <n v="406"/>
    <n v="13846.66"/>
    <n v="34.105073891625615"/>
    <s v=""/>
  </r>
  <r>
    <x v="341"/>
    <x v="30"/>
    <s v="Wednesday"/>
    <d v="1899-12-30T12:00:29"/>
    <s v="STOCK"/>
    <s v="SELL"/>
    <n v="-100"/>
    <s v="TO CLOSE"/>
    <x v="2"/>
    <m/>
    <m/>
    <s v="STOCK"/>
    <n v="34.11"/>
    <n v="34.11"/>
    <s v="LMT"/>
    <n v="306"/>
    <n v="10435.66"/>
    <n v="34.103464052287585"/>
    <s v=""/>
  </r>
  <r>
    <x v="341"/>
    <x v="30"/>
    <s v="Wednesday"/>
    <d v="1899-12-30T12:00:29"/>
    <s v="STOCK"/>
    <s v="SELL"/>
    <n v="-100"/>
    <s v="TO CLOSE"/>
    <x v="2"/>
    <m/>
    <m/>
    <s v="STOCK"/>
    <n v="34.11"/>
    <n v="34.11"/>
    <s v="LMT"/>
    <n v="206"/>
    <n v="7024.66"/>
    <n v="34.100291262135919"/>
    <s v=""/>
  </r>
  <r>
    <x v="341"/>
    <x v="30"/>
    <s v="Wednesday"/>
    <d v="1899-12-30T12:00:29"/>
    <s v="STOCK"/>
    <s v="SELL"/>
    <n v="-106"/>
    <s v="TO CLOSE"/>
    <x v="2"/>
    <m/>
    <m/>
    <s v="STOCK"/>
    <n v="34.11"/>
    <n v="34.11"/>
    <s v="LMT"/>
    <n v="100"/>
    <n v="3409"/>
    <n v="34.090000000000003"/>
    <s v=""/>
  </r>
  <r>
    <x v="341"/>
    <x v="30"/>
    <s v="Wednesday"/>
    <d v="1899-12-30T12:00:29"/>
    <s v="STOCK"/>
    <s v="SELL"/>
    <n v="-100"/>
    <s v="TO CLOSE"/>
    <x v="2"/>
    <m/>
    <m/>
    <s v="STOCK"/>
    <n v="34.11"/>
    <n v="34.11"/>
    <s v="LMT"/>
    <n v="0"/>
    <n v="0"/>
    <s v=""/>
    <n v="1.9999999999996021"/>
  </r>
  <r>
    <x v="342"/>
    <x v="30"/>
    <s v="Wednesday"/>
    <d v="1899-12-30T12:20:17"/>
    <s v="STOCK"/>
    <s v="SELL"/>
    <n v="-300"/>
    <s v="TO OPEN"/>
    <x v="2"/>
    <m/>
    <m/>
    <s v="STOCK"/>
    <n v="34.615000000000002"/>
    <n v="34.615000000000002"/>
    <s v="MKT"/>
    <n v="-300"/>
    <n v="-10384.5"/>
    <n v="34.615000000000002"/>
    <s v=""/>
  </r>
  <r>
    <x v="342"/>
    <x v="30"/>
    <s v="Wednesday"/>
    <d v="1899-12-30T12:24:03"/>
    <s v="STOCK"/>
    <s v="SELL"/>
    <n v="-100"/>
    <s v="TO OPEN"/>
    <x v="2"/>
    <m/>
    <m/>
    <s v="STOCK"/>
    <n v="34.741"/>
    <n v="34.741"/>
    <s v="MKT"/>
    <n v="-400"/>
    <n v="-13858.6"/>
    <n v="34.646500000000003"/>
    <s v=""/>
  </r>
  <r>
    <x v="342"/>
    <x v="30"/>
    <s v="Wednesday"/>
    <d v="1899-12-30T12:28:32"/>
    <s v="STOCK"/>
    <s v="BUY"/>
    <n v="400"/>
    <s v="TO CLOSE"/>
    <x v="2"/>
    <m/>
    <m/>
    <s v="STOCK"/>
    <n v="34.619999999999997"/>
    <n v="34.619999999999997"/>
    <s v="LMT"/>
    <n v="0"/>
    <n v="0"/>
    <s v=""/>
    <n v="10.600000000002296"/>
  </r>
  <r>
    <x v="343"/>
    <x v="30"/>
    <s v="Wednesday"/>
    <d v="1899-12-30T12:44:04"/>
    <s v="STOCK"/>
    <s v="BUY"/>
    <n v="200"/>
    <s v="TO OPEN"/>
    <x v="2"/>
    <m/>
    <m/>
    <s v="STOCK"/>
    <n v="34.8491"/>
    <n v="34.8491"/>
    <s v="MKT"/>
    <n v="200"/>
    <n v="6969.82"/>
    <n v="34.8491"/>
    <s v=""/>
  </r>
  <r>
    <x v="343"/>
    <x v="30"/>
    <s v="Wednesday"/>
    <d v="1899-12-30T12:58:44"/>
    <s v="STOCK"/>
    <s v="SELL"/>
    <n v="-100"/>
    <s v="TO CLOSE"/>
    <x v="2"/>
    <m/>
    <m/>
    <s v="STOCK"/>
    <n v="34.555"/>
    <n v="34.555"/>
    <s v="MKT"/>
    <n v="100"/>
    <n v="3514.3199999999997"/>
    <n v="35.1432"/>
    <s v=""/>
  </r>
  <r>
    <x v="343"/>
    <x v="30"/>
    <s v="Wednesday"/>
    <d v="1899-12-30T12:58:44"/>
    <s v="STOCK"/>
    <s v="SELL"/>
    <n v="-100"/>
    <s v="TO CLOSE"/>
    <x v="2"/>
    <m/>
    <m/>
    <s v="STOCK"/>
    <n v="34.555"/>
    <n v="34.555"/>
    <s v="MKT"/>
    <n v="0"/>
    <n v="0"/>
    <s v=""/>
    <n v="-58.82000000000005"/>
  </r>
  <r>
    <x v="344"/>
    <x v="31"/>
    <s v="Thursday"/>
    <d v="1899-12-30T10:28:58"/>
    <s v="FUTURE"/>
    <s v="SELL"/>
    <n v="-1"/>
    <s v="TO OPEN"/>
    <x v="6"/>
    <d v="2020-08-20T00:00:00"/>
    <m/>
    <s v="FUTURE"/>
    <n v="34.75"/>
    <n v="34.75"/>
    <s v="LMT"/>
    <n v="-1"/>
    <n v="-34750"/>
    <n v="34.75"/>
    <s v=""/>
  </r>
  <r>
    <x v="344"/>
    <x v="31"/>
    <s v="Thursday"/>
    <d v="1899-12-30T10:36:37"/>
    <s v="FUTURE"/>
    <s v="BUY"/>
    <n v="1"/>
    <s v="TO CLOSE"/>
    <x v="6"/>
    <d v="2020-08-20T00:00:00"/>
    <m/>
    <s v="FUTURE"/>
    <n v="34.700000000000003"/>
    <n v="34.700000000000003"/>
    <s v="LMT"/>
    <n v="0"/>
    <n v="0"/>
    <s v=""/>
    <n v="49.999999999997158"/>
  </r>
  <r>
    <x v="345"/>
    <x v="31"/>
    <s v="Thursday"/>
    <d v="1899-12-30T10:44:01"/>
    <s v="FUTURE"/>
    <s v="SELL"/>
    <n v="-1"/>
    <s v="TO OPEN"/>
    <x v="6"/>
    <d v="2020-08-20T00:00:00"/>
    <m/>
    <s v="FUTURE"/>
    <n v="34.46"/>
    <n v="34.46"/>
    <s v="LMT"/>
    <n v="-1"/>
    <n v="-34460"/>
    <n v="34.46"/>
    <s v=""/>
  </r>
  <r>
    <x v="345"/>
    <x v="31"/>
    <s v="Thursday"/>
    <d v="1899-12-30T10:44:32"/>
    <s v="FUTURE"/>
    <s v="BUY"/>
    <n v="1"/>
    <s v="TO CLOSE"/>
    <x v="6"/>
    <d v="2020-08-20T00:00:00"/>
    <m/>
    <s v="FUTURE"/>
    <n v="34.450000000000003"/>
    <n v="34.450000000000003"/>
    <s v="STP"/>
    <n v="0"/>
    <n v="0"/>
    <s v=""/>
    <n v="9.9999999999980105"/>
  </r>
  <r>
    <x v="346"/>
    <x v="31"/>
    <s v="Thursday"/>
    <d v="1899-12-30T13:10:28"/>
    <s v="FUTURE"/>
    <s v="BUY"/>
    <n v="1"/>
    <s v="TO OPEN"/>
    <x v="6"/>
    <d v="2020-08-20T00:00:00"/>
    <m/>
    <s v="FUTURE"/>
    <n v="34.200000000000003"/>
    <n v="34.200000000000003"/>
    <s v="MKT"/>
    <n v="1"/>
    <n v="34200"/>
    <n v="34.200000000000003"/>
    <s v=""/>
  </r>
  <r>
    <x v="346"/>
    <x v="31"/>
    <s v="Thursday"/>
    <d v="1899-12-30T13:23:01"/>
    <s v="FUTURE"/>
    <s v="BUY"/>
    <n v="1"/>
    <s v="TO OPEN"/>
    <x v="6"/>
    <d v="2020-08-20T00:00:00"/>
    <m/>
    <s v="FUTURE"/>
    <n v="33.93"/>
    <n v="33.93"/>
    <s v="LMT"/>
    <n v="2"/>
    <n v="68130"/>
    <n v="34.064999999999998"/>
    <s v=""/>
  </r>
  <r>
    <x v="346"/>
    <x v="31"/>
    <s v="Thursday"/>
    <d v="1899-12-30T13:23:34"/>
    <s v="FUTURE"/>
    <s v="SELL"/>
    <n v="-1"/>
    <s v="TO CLOSE"/>
    <x v="6"/>
    <d v="2020-08-20T00:00:00"/>
    <m/>
    <s v="FUTURE"/>
    <n v="33.99"/>
    <n v="33.99"/>
    <s v="LMT"/>
    <n v="1"/>
    <n v="34140"/>
    <n v="34.14"/>
    <s v=""/>
  </r>
  <r>
    <x v="346"/>
    <x v="31"/>
    <s v="Thursday"/>
    <d v="1899-12-30T13:35:30"/>
    <s v="FUTURE"/>
    <s v="SELL"/>
    <n v="-1"/>
    <s v="TO CLOSE"/>
    <x v="6"/>
    <d v="2020-08-20T00:00:00"/>
    <m/>
    <s v="FUTURE"/>
    <n v="34.22"/>
    <n v="34.22"/>
    <s v="MKT"/>
    <n v="0"/>
    <n v="0"/>
    <s v=""/>
    <n v="79.999999999998295"/>
  </r>
  <r>
    <x v="347"/>
    <x v="31"/>
    <s v="Thursday"/>
    <d v="1899-12-30T10:45:18"/>
    <s v="FUTURE"/>
    <s v="SELL"/>
    <n v="-1"/>
    <s v="TO OPEN"/>
    <x v="1"/>
    <d v="2020-06-20T00:00:00"/>
    <m/>
    <s v="FUTURE"/>
    <n v="2955.5"/>
    <n v="2955.5"/>
    <s v="LMT"/>
    <n v="-1"/>
    <n v="-147775"/>
    <n v="2955.5"/>
    <s v=""/>
  </r>
  <r>
    <x v="347"/>
    <x v="31"/>
    <s v="Thursday"/>
    <d v="1899-12-30T10:46:44"/>
    <s v="FUTURE"/>
    <s v="BUY"/>
    <n v="1"/>
    <s v="TO CLOSE"/>
    <x v="1"/>
    <d v="2020-06-20T00:00:00"/>
    <m/>
    <s v="FUTURE"/>
    <n v="2954.5"/>
    <n v="2954.5"/>
    <s v="LMT"/>
    <n v="0"/>
    <n v="0"/>
    <s v=""/>
    <n v="50"/>
  </r>
  <r>
    <x v="348"/>
    <x v="31"/>
    <s v="Thursday"/>
    <d v="1899-12-30T11:32:35"/>
    <s v="FUTURE"/>
    <s v="SELL"/>
    <n v="-1"/>
    <s v="TO OPEN"/>
    <x v="1"/>
    <d v="2020-06-20T00:00:00"/>
    <m/>
    <s v="FUTURE"/>
    <n v="2941.75"/>
    <n v="2941.75"/>
    <s v="LMT"/>
    <n v="-1"/>
    <n v="-147087.5"/>
    <n v="2941.75"/>
    <s v=""/>
  </r>
  <r>
    <x v="348"/>
    <x v="31"/>
    <s v="Thursday"/>
    <d v="1899-12-30T12:00:26"/>
    <s v="FUTURE"/>
    <s v="BUY"/>
    <n v="2"/>
    <s v="TO CLOSE"/>
    <x v="1"/>
    <d v="2020-06-20T00:00:00"/>
    <m/>
    <s v="FUTURE"/>
    <n v="2947.25"/>
    <n v="2947.25"/>
    <s v="MKT"/>
    <n v="1"/>
    <n v="147637.5"/>
    <n v="2952.75"/>
    <s v=""/>
  </r>
  <r>
    <x v="348"/>
    <x v="31"/>
    <s v="Thursday"/>
    <d v="1899-12-30T12:02:17"/>
    <s v="FUTURE"/>
    <s v="SELL"/>
    <n v="-1"/>
    <s v="TO CLOSE"/>
    <x v="1"/>
    <d v="2020-06-20T00:00:00"/>
    <m/>
    <s v="FUTURE"/>
    <n v="2952.5"/>
    <n v="2952.5"/>
    <s v="LMT"/>
    <n v="0"/>
    <n v="0"/>
    <s v=""/>
    <n v="-12.5"/>
  </r>
  <r>
    <x v="349"/>
    <x v="31"/>
    <s v="Thursday"/>
    <d v="1899-12-30T12:37:31"/>
    <s v="FUTURE"/>
    <s v="SELL"/>
    <n v="-1"/>
    <s v="TO OPEN"/>
    <x v="1"/>
    <d v="2020-06-20T00:00:00"/>
    <m/>
    <s v="FUTURE"/>
    <n v="2947.5"/>
    <n v="2947.5"/>
    <s v="LMT"/>
    <n v="-1"/>
    <n v="-147375"/>
    <n v="2947.5"/>
    <s v=""/>
  </r>
  <r>
    <x v="349"/>
    <x v="31"/>
    <s v="Thursday"/>
    <d v="1899-12-30T12:38:33"/>
    <s v="FUTURE"/>
    <s v="BUY"/>
    <n v="1"/>
    <s v="TO CLOSE"/>
    <x v="1"/>
    <d v="2020-06-20T00:00:00"/>
    <m/>
    <s v="FUTURE"/>
    <n v="2947"/>
    <n v="2947"/>
    <s v="LMT"/>
    <n v="0"/>
    <n v="0"/>
    <s v=""/>
    <n v="25"/>
  </r>
  <r>
    <x v="350"/>
    <x v="31"/>
    <s v="Thursday"/>
    <d v="1899-12-30T13:03:16"/>
    <s v="FUTURE"/>
    <s v="BUY"/>
    <n v="1"/>
    <s v="TO OPEN"/>
    <x v="1"/>
    <d v="2020-06-20T00:00:00"/>
    <m/>
    <s v="FUTURE"/>
    <n v="2952.25"/>
    <n v="2952.25"/>
    <s v="MKT"/>
    <n v="1"/>
    <n v="147612.5"/>
    <n v="2952.25"/>
    <s v=""/>
  </r>
  <r>
    <x v="350"/>
    <x v="31"/>
    <s v="Thursday"/>
    <d v="1899-12-30T13:03:24"/>
    <s v="FUTURE"/>
    <s v="SELL"/>
    <n v="-1"/>
    <s v="TO CLOSE"/>
    <x v="1"/>
    <d v="2020-06-20T00:00:00"/>
    <m/>
    <s v="FUTURE"/>
    <n v="2952.5"/>
    <n v="2952.5"/>
    <s v="STP"/>
    <n v="0"/>
    <n v="0"/>
    <s v=""/>
    <n v="12.5"/>
  </r>
  <r>
    <x v="351"/>
    <x v="31"/>
    <s v="Thursday"/>
    <d v="1899-12-30T13:04:37"/>
    <s v="FUTURE"/>
    <s v="BUY"/>
    <n v="1"/>
    <s v="TO OPEN"/>
    <x v="1"/>
    <d v="2020-06-20T00:00:00"/>
    <m/>
    <s v="FUTURE"/>
    <n v="2951.75"/>
    <n v="2951.75"/>
    <s v="MKT"/>
    <n v="1"/>
    <n v="147587.5"/>
    <n v="2951.75"/>
    <s v=""/>
  </r>
  <r>
    <x v="351"/>
    <x v="31"/>
    <s v="Thursday"/>
    <d v="1899-12-30T13:04:56"/>
    <s v="FUTURE"/>
    <s v="SELL"/>
    <n v="-1"/>
    <s v="TO CLOSE"/>
    <x v="1"/>
    <d v="2020-06-20T00:00:00"/>
    <m/>
    <s v="FUTURE"/>
    <n v="2952.25"/>
    <n v="2952.25"/>
    <s v="LMT"/>
    <n v="0"/>
    <n v="0"/>
    <s v=""/>
    <n v="25"/>
  </r>
  <r>
    <x v="352"/>
    <x v="31"/>
    <s v="Thursday"/>
    <d v="1899-12-30T10:52:02"/>
    <s v="FUTURE"/>
    <s v="SELL"/>
    <n v="-5"/>
    <s v="TO OPEN"/>
    <x v="3"/>
    <d v="2020-06-20T00:00:00"/>
    <m/>
    <s v="FUTURE"/>
    <n v="2955.5"/>
    <n v="2955.5"/>
    <s v="LMT"/>
    <n v="-5"/>
    <n v="-73887.5"/>
    <n v="2955.5"/>
    <s v=""/>
  </r>
  <r>
    <x v="352"/>
    <x v="31"/>
    <s v="Thursday"/>
    <d v="1899-12-30T11:04:48"/>
    <s v="FUTURE"/>
    <s v="BUY"/>
    <n v="5"/>
    <s v="TO CLOSE"/>
    <x v="3"/>
    <d v="2020-06-20T00:00:00"/>
    <m/>
    <s v="FUTURE"/>
    <n v="2946.5"/>
    <n v="2946.5"/>
    <s v="MKT"/>
    <n v="0"/>
    <n v="0"/>
    <s v=""/>
    <n v="225"/>
  </r>
  <r>
    <x v="353"/>
    <x v="31"/>
    <s v="Thursday"/>
    <d v="1899-12-30T10:30:29"/>
    <s v="STOCK"/>
    <s v="BUY"/>
    <n v="400"/>
    <s v="TO OPEN"/>
    <x v="2"/>
    <m/>
    <m/>
    <s v="STOCK"/>
    <n v="34.164999999999999"/>
    <n v="34.164999999999999"/>
    <s v="MKT"/>
    <n v="400"/>
    <n v="13666"/>
    <n v="34.164999999999999"/>
    <s v=""/>
  </r>
  <r>
    <x v="353"/>
    <x v="31"/>
    <s v="Thursday"/>
    <d v="1899-12-30T10:39:38"/>
    <s v="STOCK"/>
    <s v="SELL"/>
    <n v="-400"/>
    <s v="TO CLOSE"/>
    <x v="2"/>
    <m/>
    <m/>
    <s v="STOCK"/>
    <n v="34.684800000000003"/>
    <n v="34.684800000000003"/>
    <s v="MKT"/>
    <n v="0"/>
    <n v="0"/>
    <s v=""/>
    <n v="207.92000000000144"/>
  </r>
  <r>
    <x v="354"/>
    <x v="31"/>
    <s v="Thursday"/>
    <d v="1899-12-30T10:58:35"/>
    <s v="STOCK"/>
    <s v="BUY"/>
    <n v="100"/>
    <s v="TO OPEN"/>
    <x v="2"/>
    <m/>
    <m/>
    <s v="STOCK"/>
    <n v="34.335000000000001"/>
    <n v="34.335000000000001"/>
    <s v="MKT"/>
    <n v="100"/>
    <n v="3433.5"/>
    <n v="34.335000000000001"/>
    <s v=""/>
  </r>
  <r>
    <x v="354"/>
    <x v="31"/>
    <s v="Thursday"/>
    <d v="1899-12-30T10:58:35"/>
    <s v="STOCK"/>
    <s v="BUY"/>
    <n v="100"/>
    <s v="TO OPEN"/>
    <x v="2"/>
    <m/>
    <m/>
    <s v="STOCK"/>
    <n v="34.335000000000001"/>
    <n v="34.335000000000001"/>
    <s v="MKT"/>
    <n v="200"/>
    <n v="6867"/>
    <n v="34.335000000000001"/>
    <s v=""/>
  </r>
  <r>
    <x v="354"/>
    <x v="31"/>
    <s v="Thursday"/>
    <d v="1899-12-30T11:00:28"/>
    <s v="STOCK"/>
    <s v="SELL"/>
    <n v="-200"/>
    <s v="TO CLOSE"/>
    <x v="2"/>
    <m/>
    <m/>
    <s v="STOCK"/>
    <n v="34.650100000000002"/>
    <n v="34.650100000000002"/>
    <s v="MKT"/>
    <n v="0"/>
    <n v="0"/>
    <s v=""/>
    <n v="63.020000000000209"/>
  </r>
  <r>
    <x v="355"/>
    <x v="31"/>
    <s v="Thursday"/>
    <d v="1899-12-30T11:41:05"/>
    <s v="STOCK"/>
    <s v="BUY"/>
    <n v="400"/>
    <s v="TO OPEN"/>
    <x v="2"/>
    <m/>
    <m/>
    <s v="STOCK"/>
    <n v="34.489899999999999"/>
    <n v="34.489899999999999"/>
    <s v="MKT"/>
    <n v="400"/>
    <n v="13795.96"/>
    <n v="34.489899999999999"/>
    <s v=""/>
  </r>
  <r>
    <x v="355"/>
    <x v="31"/>
    <s v="Thursday"/>
    <d v="1899-12-30T11:49:01"/>
    <s v="STOCK"/>
    <s v="SELL"/>
    <n v="-200"/>
    <s v="TO CLOSE"/>
    <x v="2"/>
    <m/>
    <m/>
    <s v="STOCK"/>
    <n v="34.53"/>
    <n v="34.53"/>
    <s v="LMT"/>
    <n v="200"/>
    <n v="6889.9599999999991"/>
    <n v="34.449799999999996"/>
    <s v=""/>
  </r>
  <r>
    <x v="355"/>
    <x v="31"/>
    <s v="Thursday"/>
    <d v="1899-12-30T11:49:58"/>
    <s v="STOCK"/>
    <s v="SELL"/>
    <n v="-200"/>
    <s v="TO CLOSE"/>
    <x v="2"/>
    <m/>
    <m/>
    <s v="STOCK"/>
    <n v="34.564999999999998"/>
    <n v="34.564999999999998"/>
    <s v="MKT"/>
    <n v="0"/>
    <n v="0"/>
    <s v=""/>
    <n v="23.040000000000305"/>
  </r>
  <r>
    <x v="356"/>
    <x v="31"/>
    <s v="Thursday"/>
    <d v="1899-12-30T12:39:44"/>
    <s v="STOCK"/>
    <s v="BUY"/>
    <n v="400"/>
    <s v="TO OPEN"/>
    <x v="2"/>
    <m/>
    <m/>
    <s v="STOCK"/>
    <n v="34.829900000000002"/>
    <n v="34.829900000000002"/>
    <s v="MKT"/>
    <n v="400"/>
    <n v="13931.960000000001"/>
    <n v="34.829900000000002"/>
    <s v=""/>
  </r>
  <r>
    <x v="356"/>
    <x v="31"/>
    <s v="Thursday"/>
    <d v="1899-12-30T13:00:01"/>
    <s v="STOCK"/>
    <s v="SELL"/>
    <n v="-400"/>
    <s v="TO CLOSE"/>
    <x v="2"/>
    <m/>
    <m/>
    <s v="STOCK"/>
    <n v="34.6905"/>
    <n v="34.6905"/>
    <s v="STP"/>
    <n v="0"/>
    <n v="0"/>
    <s v=""/>
    <n v="-55.760000000000787"/>
  </r>
  <r>
    <x v="357"/>
    <x v="32"/>
    <s v="Friday"/>
    <d v="1899-12-30T09:05:36"/>
    <s v="FUTURE"/>
    <s v="BUY"/>
    <n v="1"/>
    <s v="TO OPEN"/>
    <x v="6"/>
    <d v="2020-08-20T00:00:00"/>
    <m/>
    <s v="FUTURE"/>
    <n v="33.31"/>
    <n v="33.31"/>
    <s v="MKT"/>
    <n v="1"/>
    <n v="33310"/>
    <n v="33.31"/>
    <s v=""/>
  </r>
  <r>
    <x v="357"/>
    <x v="32"/>
    <s v="Friday"/>
    <d v="1899-12-30T09:09:47"/>
    <s v="FUTURE"/>
    <s v="SELL"/>
    <n v="-1"/>
    <s v="TO CLOSE"/>
    <x v="6"/>
    <d v="2020-08-20T00:00:00"/>
    <m/>
    <s v="FUTURE"/>
    <n v="33.49"/>
    <n v="33.49"/>
    <s v="LMT"/>
    <n v="0"/>
    <n v="0"/>
    <s v=""/>
    <n v="179.99999999999972"/>
  </r>
  <r>
    <x v="358"/>
    <x v="32"/>
    <s v="Friday"/>
    <d v="1899-12-30T09:38:24"/>
    <s v="FUTURE"/>
    <s v="SELL"/>
    <n v="-1"/>
    <s v="TO OPEN"/>
    <x v="6"/>
    <d v="2020-08-20T00:00:00"/>
    <m/>
    <s v="FUTURE"/>
    <n v="33.229999999999997"/>
    <n v="33.229999999999997"/>
    <s v="LMT"/>
    <n v="-1"/>
    <n v="-33230"/>
    <n v="33.229999999999997"/>
    <s v=""/>
  </r>
  <r>
    <x v="358"/>
    <x v="32"/>
    <s v="Friday"/>
    <d v="1899-12-30T09:42:42"/>
    <s v="FUTURE"/>
    <s v="BUY"/>
    <n v="1"/>
    <s v="TO CLOSE"/>
    <x v="6"/>
    <d v="2020-08-20T00:00:00"/>
    <m/>
    <s v="FUTURE"/>
    <n v="32.96"/>
    <n v="32.96"/>
    <s v="LMT"/>
    <n v="0"/>
    <n v="0"/>
    <s v=""/>
    <n v="269.99999999999602"/>
  </r>
  <r>
    <x v="359"/>
    <x v="32"/>
    <s v="Friday"/>
    <d v="1899-12-30T10:48:03"/>
    <s v="FUTURE"/>
    <s v="BUY"/>
    <n v="1"/>
    <s v="TO OPEN"/>
    <x v="6"/>
    <d v="2020-08-20T00:00:00"/>
    <m/>
    <s v="FUTURE"/>
    <n v="32.9"/>
    <n v="32.9"/>
    <s v="LMT"/>
    <n v="1"/>
    <n v="32900"/>
    <n v="32.9"/>
    <s v=""/>
  </r>
  <r>
    <x v="359"/>
    <x v="32"/>
    <s v="Friday"/>
    <d v="1899-12-30T10:49:25"/>
    <s v="FUTURE"/>
    <s v="SELL"/>
    <n v="-1"/>
    <s v="TO CLOSE"/>
    <x v="6"/>
    <d v="2020-08-20T00:00:00"/>
    <m/>
    <s v="FUTURE"/>
    <n v="33.01"/>
    <n v="33.01"/>
    <s v="LMT"/>
    <n v="0"/>
    <n v="0"/>
    <s v=""/>
    <n v="109.99999999999943"/>
  </r>
  <r>
    <x v="360"/>
    <x v="32"/>
    <s v="Friday"/>
    <d v="1899-12-30T13:45:37"/>
    <s v="FUTURE"/>
    <s v="SELL"/>
    <n v="-1"/>
    <s v="TO OPEN"/>
    <x v="6"/>
    <d v="2020-08-20T00:00:00"/>
    <m/>
    <s v="FUTURE"/>
    <n v="33.549999999999997"/>
    <n v="33.549999999999997"/>
    <s v="LMT"/>
    <n v="-1"/>
    <n v="-33550"/>
    <n v="33.549999999999997"/>
    <s v=""/>
  </r>
  <r>
    <x v="360"/>
    <x v="32"/>
    <s v="Friday"/>
    <d v="1899-12-30T13:48:12"/>
    <s v="FUTURE"/>
    <s v="BUY"/>
    <n v="1"/>
    <s v="TO CLOSE"/>
    <x v="6"/>
    <d v="2020-08-20T00:00:00"/>
    <m/>
    <s v="FUTURE"/>
    <n v="33.54"/>
    <n v="33.54"/>
    <s v="LMT"/>
    <n v="0"/>
    <n v="0"/>
    <s v=""/>
    <n v="9.9999999999980105"/>
  </r>
  <r>
    <x v="361"/>
    <x v="32"/>
    <s v="Friday"/>
    <d v="1899-12-30T09:25:20"/>
    <s v="FUTURE"/>
    <s v="BUY"/>
    <n v="1"/>
    <s v="TO OPEN"/>
    <x v="1"/>
    <d v="2020-06-20T00:00:00"/>
    <m/>
    <s v="FUTURE"/>
    <n v="2942.5"/>
    <n v="2942.5"/>
    <s v="LMT"/>
    <n v="1"/>
    <n v="147125"/>
    <n v="2942.5"/>
    <s v=""/>
  </r>
  <r>
    <x v="361"/>
    <x v="32"/>
    <s v="Friday"/>
    <d v="1899-12-30T10:15:08"/>
    <s v="FUTURE"/>
    <s v="SELL"/>
    <n v="-1"/>
    <s v="TO CLOSE"/>
    <x v="1"/>
    <d v="2020-06-20T00:00:00"/>
    <m/>
    <s v="FUTURE"/>
    <n v="2928.5"/>
    <n v="2928.5"/>
    <s v="STP"/>
    <n v="0"/>
    <n v="0"/>
    <s v=""/>
    <n v="-700"/>
  </r>
  <r>
    <x v="362"/>
    <x v="32"/>
    <s v="Friday"/>
    <d v="1899-12-30T10:15:32"/>
    <s v="FUTURE"/>
    <s v="SELL"/>
    <n v="-1"/>
    <s v="TO OPEN"/>
    <x v="1"/>
    <d v="2020-06-20T00:00:00"/>
    <m/>
    <s v="FUTURE"/>
    <n v="2929.75"/>
    <n v="2929.75"/>
    <s v="LMT"/>
    <n v="-1"/>
    <n v="-146487.5"/>
    <n v="2929.75"/>
    <s v=""/>
  </r>
  <r>
    <x v="362"/>
    <x v="32"/>
    <s v="Friday"/>
    <d v="1899-12-30T10:17:11"/>
    <s v="FUTURE"/>
    <s v="BUY"/>
    <n v="2"/>
    <s v="TO CLOSE"/>
    <x v="1"/>
    <d v="2020-06-20T00:00:00"/>
    <m/>
    <s v="FUTURE"/>
    <n v="2933.75"/>
    <n v="2933.75"/>
    <s v="STP"/>
    <n v="1"/>
    <n v="146887.5"/>
    <n v="2937.75"/>
    <s v=""/>
  </r>
  <r>
    <x v="362"/>
    <x v="32"/>
    <s v="Friday"/>
    <d v="1899-12-30T10:26:25"/>
    <s v="FUTURE"/>
    <s v="BUY"/>
    <n v="1"/>
    <s v="TO OPEN"/>
    <x v="1"/>
    <d v="2020-06-20T00:00:00"/>
    <m/>
    <s v="FUTURE"/>
    <n v="2937.25"/>
    <n v="2937.25"/>
    <s v="MKT"/>
    <n v="2"/>
    <n v="293750"/>
    <n v="2937.5"/>
    <s v=""/>
  </r>
  <r>
    <x v="362"/>
    <x v="32"/>
    <s v="Friday"/>
    <d v="1899-12-30T10:47:31"/>
    <s v="FUTURE"/>
    <s v="SELL"/>
    <n v="-1"/>
    <s v="TO CLOSE"/>
    <x v="1"/>
    <d v="2020-06-20T00:00:00"/>
    <m/>
    <s v="FUTURE"/>
    <n v="2939.25"/>
    <n v="2939.25"/>
    <s v="LMT"/>
    <n v="1"/>
    <n v="146787.5"/>
    <n v="2935.75"/>
    <s v=""/>
  </r>
  <r>
    <x v="362"/>
    <x v="32"/>
    <s v="Friday"/>
    <d v="1899-12-30T11:04:43"/>
    <s v="FUTURE"/>
    <s v="BUY"/>
    <n v="1"/>
    <s v="TO OPEN"/>
    <x v="1"/>
    <d v="2020-06-20T00:00:00"/>
    <m/>
    <s v="FUTURE"/>
    <n v="2932.75"/>
    <n v="2932.75"/>
    <s v="MKT"/>
    <n v="2"/>
    <n v="293425"/>
    <n v="2934.25"/>
    <s v=""/>
  </r>
  <r>
    <x v="362"/>
    <x v="32"/>
    <s v="Friday"/>
    <d v="1899-12-30T11:13:04"/>
    <s v="FUTURE"/>
    <s v="SELL"/>
    <n v="-1"/>
    <s v="TO CLOSE"/>
    <x v="1"/>
    <d v="2020-06-20T00:00:00"/>
    <m/>
    <s v="FUTURE"/>
    <n v="2933.25"/>
    <n v="2933.25"/>
    <s v="LMT"/>
    <n v="1"/>
    <n v="146762.5"/>
    <n v="2935.25"/>
    <s v=""/>
  </r>
  <r>
    <x v="362"/>
    <x v="32"/>
    <s v="Friday"/>
    <d v="1899-12-30T13:44:27"/>
    <s v="FUTURE"/>
    <s v="SELL"/>
    <n v="-1"/>
    <s v="TO CLOSE"/>
    <x v="1"/>
    <d v="2020-06-20T00:00:00"/>
    <m/>
    <s v="FUTURE"/>
    <n v="2942.25"/>
    <n v="2942.25"/>
    <s v="LMT"/>
    <n v="0"/>
    <n v="0"/>
    <s v=""/>
    <n v="350"/>
  </r>
  <r>
    <x v="363"/>
    <x v="32"/>
    <s v="Friday"/>
    <d v="1899-12-30T11:01:42"/>
    <s v="STOCK"/>
    <s v="SELL"/>
    <n v="-300"/>
    <s v="TO OPEN"/>
    <x v="2"/>
    <m/>
    <m/>
    <s v="STOCK"/>
    <n v="35.18"/>
    <n v="35.18"/>
    <s v="LMT"/>
    <n v="-300"/>
    <n v="-10554"/>
    <n v="35.18"/>
    <s v=""/>
  </r>
  <r>
    <x v="363"/>
    <x v="32"/>
    <s v="Friday"/>
    <d v="1899-12-30T11:03:05"/>
    <s v="STOCK"/>
    <s v="BUY"/>
    <n v="100"/>
    <s v="TO CLOSE"/>
    <x v="2"/>
    <m/>
    <m/>
    <s v="STOCK"/>
    <n v="35.147599999999997"/>
    <n v="35.147599999999997"/>
    <s v="LMT"/>
    <n v="-200"/>
    <n v="-7039.24"/>
    <n v="35.196199999999997"/>
    <s v=""/>
  </r>
  <r>
    <x v="363"/>
    <x v="32"/>
    <s v="Friday"/>
    <d v="1899-12-30T11:03:23"/>
    <s v="STOCK"/>
    <s v="BUY"/>
    <n v="10"/>
    <s v="TO CLOSE"/>
    <x v="2"/>
    <m/>
    <m/>
    <s v="STOCK"/>
    <n v="35.145000000000003"/>
    <n v="35.145000000000003"/>
    <s v="MKT"/>
    <n v="-190"/>
    <n v="-6687.79"/>
    <n v="35.198894736842107"/>
    <s v=""/>
  </r>
  <r>
    <x v="363"/>
    <x v="32"/>
    <s v="Friday"/>
    <d v="1899-12-30T11:24:52"/>
    <s v="STOCK"/>
    <s v="BUY"/>
    <n v="190"/>
    <s v="TO CLOSE"/>
    <x v="2"/>
    <m/>
    <m/>
    <s v="STOCK"/>
    <n v="35.157600000000002"/>
    <n v="35.157580000000003"/>
    <s v="LMT"/>
    <n v="0"/>
    <n v="0"/>
    <s v=""/>
    <n v="7.8459999999998331"/>
  </r>
  <r>
    <x v="364"/>
    <x v="32"/>
    <s v="Friday"/>
    <d v="1899-12-30T11:37:25"/>
    <s v="STOCK"/>
    <s v="SELL"/>
    <n v="-91"/>
    <s v="TO OPEN"/>
    <x v="2"/>
    <m/>
    <m/>
    <s v="STOCK"/>
    <n v="34.979999999999997"/>
    <n v="34.979999999999997"/>
    <s v="LMT"/>
    <n v="-91"/>
    <n v="-3183.18"/>
    <n v="34.979999999999997"/>
    <s v=""/>
  </r>
  <r>
    <x v="364"/>
    <x v="32"/>
    <s v="Friday"/>
    <d v="1899-12-30T11:37:25"/>
    <s v="STOCK"/>
    <s v="SELL"/>
    <n v="-100"/>
    <s v="TO OPEN"/>
    <x v="2"/>
    <m/>
    <m/>
    <s v="STOCK"/>
    <n v="34.979999999999997"/>
    <n v="34.979999999999997"/>
    <s v="LMT"/>
    <n v="-191"/>
    <n v="-6681.1799999999994"/>
    <n v="34.979999999999997"/>
    <s v=""/>
  </r>
  <r>
    <x v="364"/>
    <x v="32"/>
    <s v="Friday"/>
    <d v="1899-12-30T11:37:25"/>
    <s v="STOCK"/>
    <s v="SELL"/>
    <n v="-100"/>
    <s v="TO OPEN"/>
    <x v="2"/>
    <m/>
    <m/>
    <s v="STOCK"/>
    <n v="34.979999999999997"/>
    <n v="34.979999999999997"/>
    <s v="LMT"/>
    <n v="-291"/>
    <n v="-10179.179999999998"/>
    <n v="34.979999999999997"/>
    <s v=""/>
  </r>
  <r>
    <x v="364"/>
    <x v="32"/>
    <s v="Friday"/>
    <d v="1899-12-30T11:37:25"/>
    <s v="STOCK"/>
    <s v="SELL"/>
    <n v="-100"/>
    <s v="TO OPEN"/>
    <x v="2"/>
    <m/>
    <m/>
    <s v="STOCK"/>
    <n v="34.979999999999997"/>
    <n v="34.979999999999997"/>
    <s v="LMT"/>
    <n v="-391"/>
    <n v="-13677.179999999998"/>
    <n v="34.979999999999997"/>
    <s v=""/>
  </r>
  <r>
    <x v="364"/>
    <x v="32"/>
    <s v="Friday"/>
    <d v="1899-12-30T11:37:25"/>
    <s v="STOCK"/>
    <s v="SELL"/>
    <n v="-9"/>
    <s v="TO OPEN"/>
    <x v="2"/>
    <m/>
    <m/>
    <s v="STOCK"/>
    <n v="34.979999999999997"/>
    <n v="34.979999999999997"/>
    <s v="LMT"/>
    <n v="-400"/>
    <n v="-13991.999999999998"/>
    <n v="34.979999999999997"/>
    <s v=""/>
  </r>
  <r>
    <x v="364"/>
    <x v="32"/>
    <s v="Friday"/>
    <d v="1899-12-30T13:25:35"/>
    <s v="STOCK"/>
    <s v="BUY"/>
    <n v="200"/>
    <s v="TO CLOSE"/>
    <x v="2"/>
    <m/>
    <m/>
    <s v="STOCK"/>
    <n v="34.457099999999997"/>
    <n v="34.457099999999997"/>
    <s v="MKT"/>
    <n v="-200"/>
    <n v="-7100.579999999999"/>
    <n v="35.502899999999997"/>
    <s v=""/>
  </r>
  <r>
    <x v="364"/>
    <x v="32"/>
    <s v="Friday"/>
    <d v="1899-12-30T13:50:24"/>
    <s v="STOCK"/>
    <s v="BUY"/>
    <n v="100"/>
    <s v="TO CLOSE"/>
    <x v="2"/>
    <m/>
    <m/>
    <s v="STOCK"/>
    <n v="34.524999999999999"/>
    <n v="34.524999999999999"/>
    <s v="LMT"/>
    <n v="-100"/>
    <n v="-3648.079999999999"/>
    <n v="36.480799999999988"/>
    <s v=""/>
  </r>
  <r>
    <x v="364"/>
    <x v="32"/>
    <s v="Friday"/>
    <d v="1899-12-30T13:50:24"/>
    <s v="STOCK"/>
    <s v="BUY"/>
    <n v="100"/>
    <s v="TO CLOSE"/>
    <x v="2"/>
    <m/>
    <m/>
    <s v="STOCK"/>
    <n v="34.524999999999999"/>
    <n v="34.524999999999999"/>
    <s v="LMT"/>
    <n v="0"/>
    <n v="0"/>
    <s v=""/>
    <n v="195.57999999999893"/>
  </r>
  <r>
    <x v="365"/>
    <x v="33"/>
    <s v="Tuesday"/>
    <d v="1899-12-30T09:29:47"/>
    <s v="FUTURE"/>
    <s v="SELL"/>
    <n v="-1"/>
    <s v="TO OPEN"/>
    <x v="6"/>
    <d v="2020-08-20T00:00:00"/>
    <m/>
    <s v="FUTURE"/>
    <n v="34.619999999999997"/>
    <n v="34.619999999999997"/>
    <s v="LMT"/>
    <n v="-1"/>
    <n v="-34620"/>
    <n v="34.619999999999997"/>
    <s v=""/>
  </r>
  <r>
    <x v="365"/>
    <x v="33"/>
    <s v="Tuesday"/>
    <d v="1899-12-30T09:41:02"/>
    <s v="FUTURE"/>
    <s v="SELL"/>
    <n v="-1"/>
    <s v="TO OPEN"/>
    <x v="6"/>
    <d v="2020-08-20T00:00:00"/>
    <m/>
    <s v="FUTURE"/>
    <n v="34.82"/>
    <n v="34.82"/>
    <s v="LMT"/>
    <n v="-2"/>
    <n v="-69440"/>
    <n v="34.72"/>
    <s v=""/>
  </r>
  <r>
    <x v="365"/>
    <x v="33"/>
    <s v="Tuesday"/>
    <d v="1899-12-30T09:53:24"/>
    <s v="FUTURE"/>
    <s v="BUY"/>
    <n v="1"/>
    <s v="TO CLOSE"/>
    <x v="6"/>
    <d v="2020-08-20T00:00:00"/>
    <m/>
    <s v="FUTURE"/>
    <n v="34.67"/>
    <n v="34.67"/>
    <s v="LMT"/>
    <n v="-1"/>
    <n v="-34770"/>
    <n v="34.770000000000003"/>
    <s v=""/>
  </r>
  <r>
    <x v="365"/>
    <x v="33"/>
    <s v="Tuesday"/>
    <d v="1899-12-30T10:05:04"/>
    <s v="FUTURE"/>
    <s v="BUY"/>
    <n v="1"/>
    <s v="TO CLOSE"/>
    <x v="6"/>
    <d v="2020-08-20T00:00:00"/>
    <m/>
    <s v="FUTURE"/>
    <n v="34.21"/>
    <n v="34.21"/>
    <s v="LMT"/>
    <n v="0"/>
    <n v="0"/>
    <s v=""/>
    <n v="560.00000000000227"/>
  </r>
  <r>
    <x v="366"/>
    <x v="33"/>
    <s v="Tuesday"/>
    <d v="1899-12-30T09:30:42"/>
    <s v="FUTURE"/>
    <s v="SELL"/>
    <n v="-1"/>
    <s v="TO OPEN"/>
    <x v="1"/>
    <d v="2020-06-20T00:00:00"/>
    <m/>
    <s v="FUTURE"/>
    <n v="3016"/>
    <n v="3016"/>
    <s v="LMT"/>
    <n v="-1"/>
    <n v="-150800"/>
    <n v="3016"/>
    <s v=""/>
  </r>
  <r>
    <x v="366"/>
    <x v="33"/>
    <s v="Tuesday"/>
    <d v="1899-12-30T09:32:08"/>
    <s v="FUTURE"/>
    <s v="BUY"/>
    <n v="1"/>
    <s v="TO CLOSE"/>
    <x v="1"/>
    <d v="2020-06-20T00:00:00"/>
    <m/>
    <s v="FUTURE"/>
    <n v="3013"/>
    <n v="3013"/>
    <s v="LMT"/>
    <n v="0"/>
    <n v="0"/>
    <s v=""/>
    <n v="150"/>
  </r>
  <r>
    <x v="367"/>
    <x v="33"/>
    <s v="Tuesday"/>
    <d v="1899-12-30T10:16:08"/>
    <s v="FUTURE"/>
    <s v="BUY"/>
    <n v="1"/>
    <s v="TO OPEN"/>
    <x v="1"/>
    <d v="2020-06-20T00:00:00"/>
    <m/>
    <s v="FUTURE"/>
    <n v="3004.5"/>
    <n v="3004.5"/>
    <s v="MKT"/>
    <n v="1"/>
    <n v="150225"/>
    <n v="3004.5"/>
    <s v=""/>
  </r>
  <r>
    <x v="367"/>
    <x v="33"/>
    <s v="Tuesday"/>
    <d v="1899-12-30T10:29:59"/>
    <s v="FUTURE"/>
    <s v="SELL"/>
    <n v="-1"/>
    <s v="TO CLOSE"/>
    <x v="1"/>
    <d v="2020-06-20T00:00:00"/>
    <m/>
    <s v="FUTURE"/>
    <n v="3011"/>
    <n v="3011"/>
    <s v="LMT"/>
    <n v="0"/>
    <n v="0"/>
    <s v=""/>
    <n v="325"/>
  </r>
  <r>
    <x v="368"/>
    <x v="33"/>
    <s v="Tuesday"/>
    <d v="1899-12-30T09:46:11"/>
    <s v="FUTURE"/>
    <s v="SELL"/>
    <n v="-4"/>
    <s v="TO OPEN"/>
    <x v="3"/>
    <d v="2020-06-20T00:00:00"/>
    <m/>
    <s v="FUTURE"/>
    <n v="3012"/>
    <n v="3012"/>
    <s v="MKT"/>
    <n v="-4"/>
    <n v="-60240"/>
    <n v="3012"/>
    <s v=""/>
  </r>
  <r>
    <x v="368"/>
    <x v="33"/>
    <s v="Tuesday"/>
    <d v="1899-12-30T10:04:08"/>
    <s v="FUTURE"/>
    <s v="BUY"/>
    <n v="4"/>
    <s v="TO CLOSE"/>
    <x v="3"/>
    <d v="2020-06-20T00:00:00"/>
    <m/>
    <s v="FUTURE"/>
    <n v="3007.25"/>
    <n v="3007.25"/>
    <s v="MKT"/>
    <n v="0"/>
    <n v="0"/>
    <s v=""/>
    <n v="95"/>
  </r>
  <r>
    <x v="369"/>
    <x v="34"/>
    <s v="Wednesday"/>
    <d v="1899-12-30T09:58:05"/>
    <s v="FUTURE"/>
    <s v="SELL"/>
    <n v="-1"/>
    <s v="TO OPEN"/>
    <x v="6"/>
    <d v="2020-08-20T00:00:00"/>
    <m/>
    <s v="FUTURE"/>
    <n v="33.9"/>
    <n v="33.9"/>
    <s v="LMT"/>
    <n v="-1"/>
    <n v="-33900"/>
    <n v="33.9"/>
    <s v=""/>
  </r>
  <r>
    <x v="369"/>
    <x v="34"/>
    <s v="Wednesday"/>
    <d v="1899-12-30T10:00:33"/>
    <s v="FUTURE"/>
    <s v="BUY"/>
    <n v="1"/>
    <s v="TO CLOSE"/>
    <x v="6"/>
    <d v="2020-08-20T00:00:00"/>
    <m/>
    <s v="FUTURE"/>
    <n v="33.659999999999997"/>
    <n v="33.659999999999997"/>
    <s v="LMT"/>
    <n v="0"/>
    <n v="0"/>
    <s v=""/>
    <n v="240.00000000000199"/>
  </r>
  <r>
    <x v="370"/>
    <x v="34"/>
    <s v="Wednesday"/>
    <d v="1899-12-30T10:32:48"/>
    <s v="FUTURE"/>
    <s v="BUY"/>
    <n v="1"/>
    <s v="TO OPEN"/>
    <x v="6"/>
    <d v="2020-08-20T00:00:00"/>
    <m/>
    <s v="FUTURE"/>
    <n v="33.36"/>
    <n v="33.36"/>
    <s v="MKT"/>
    <n v="1"/>
    <n v="33360"/>
    <n v="33.36"/>
    <s v=""/>
  </r>
  <r>
    <x v="370"/>
    <x v="34"/>
    <s v="Wednesday"/>
    <d v="1899-12-30T10:38:47"/>
    <s v="FUTURE"/>
    <s v="SELL"/>
    <n v="-1"/>
    <s v="TO CLOSE"/>
    <x v="6"/>
    <d v="2020-08-20T00:00:00"/>
    <m/>
    <s v="FUTURE"/>
    <n v="33.4"/>
    <n v="33.4"/>
    <s v="LMT"/>
    <n v="0"/>
    <n v="0"/>
    <s v=""/>
    <n v="39.999999999999147"/>
  </r>
  <r>
    <x v="371"/>
    <x v="34"/>
    <s v="Wednesday"/>
    <d v="1899-12-30T11:08:43"/>
    <s v="FUTURE"/>
    <s v="BUY"/>
    <n v="1"/>
    <s v="TO OPEN"/>
    <x v="6"/>
    <d v="2020-08-20T00:00:00"/>
    <m/>
    <s v="FUTURE"/>
    <n v="33.01"/>
    <n v="33.01"/>
    <s v="LMT"/>
    <n v="1"/>
    <n v="33010"/>
    <n v="33.01"/>
    <s v=""/>
  </r>
  <r>
    <x v="371"/>
    <x v="34"/>
    <s v="Wednesday"/>
    <d v="1899-12-30T11:35:26"/>
    <s v="FUTURE"/>
    <s v="SELL"/>
    <n v="-1"/>
    <s v="TO CLOSE"/>
    <x v="6"/>
    <d v="2020-08-20T00:00:00"/>
    <m/>
    <s v="FUTURE"/>
    <n v="33.200000000000003"/>
    <n v="33.200000000000003"/>
    <s v="LMT"/>
    <n v="0"/>
    <n v="0"/>
    <s v=""/>
    <n v="190.00000000000483"/>
  </r>
  <r>
    <x v="372"/>
    <x v="34"/>
    <s v="Wednesday"/>
    <d v="1899-12-30T11:40:58"/>
    <s v="FUTURE"/>
    <s v="BUY"/>
    <n v="1"/>
    <s v="TO OPEN"/>
    <x v="6"/>
    <d v="2020-08-20T00:00:00"/>
    <m/>
    <s v="FUTURE"/>
    <n v="33.17"/>
    <n v="33.17"/>
    <s v="MKT"/>
    <n v="1"/>
    <n v="33170"/>
    <n v="33.17"/>
    <s v=""/>
  </r>
  <r>
    <x v="372"/>
    <x v="34"/>
    <s v="Wednesday"/>
    <d v="1899-12-30T11:56:23"/>
    <s v="FUTURE"/>
    <s v="SELL"/>
    <n v="-1"/>
    <s v="TO CLOSE"/>
    <x v="6"/>
    <d v="2020-08-20T00:00:00"/>
    <m/>
    <s v="FUTURE"/>
    <n v="33.479999999999997"/>
    <n v="33.479999999999997"/>
    <s v="LMT"/>
    <n v="0"/>
    <n v="0"/>
    <s v=""/>
    <n v="309.99999999999517"/>
  </r>
  <r>
    <x v="373"/>
    <x v="34"/>
    <s v="Wednesday"/>
    <d v="1899-12-30T09:50:28"/>
    <s v="FUTURE"/>
    <s v="BUY"/>
    <n v="1"/>
    <s v="TO OPEN"/>
    <x v="1"/>
    <d v="2020-06-20T00:00:00"/>
    <m/>
    <s v="FUTURE"/>
    <n v="3003.25"/>
    <n v="3003.25"/>
    <s v="MKT"/>
    <n v="1"/>
    <n v="150162.5"/>
    <n v="3003.25"/>
    <s v=""/>
  </r>
  <r>
    <x v="373"/>
    <x v="34"/>
    <s v="Wednesday"/>
    <d v="1899-12-30T10:03:11"/>
    <s v="FUTURE"/>
    <s v="BUY"/>
    <n v="1"/>
    <s v="TO OPEN"/>
    <x v="1"/>
    <d v="2020-06-20T00:00:00"/>
    <m/>
    <s v="FUTURE"/>
    <n v="2993.25"/>
    <n v="2993.25"/>
    <s v="LMT"/>
    <n v="2"/>
    <n v="299825"/>
    <n v="2998.25"/>
    <s v=""/>
  </r>
  <r>
    <x v="373"/>
    <x v="34"/>
    <s v="Wednesday"/>
    <d v="1899-12-30T10:06:01"/>
    <s v="FUTURE"/>
    <s v="SELL"/>
    <n v="-1"/>
    <s v="TO CLOSE"/>
    <x v="1"/>
    <d v="2020-06-20T00:00:00"/>
    <m/>
    <s v="FUTURE"/>
    <n v="2997.25"/>
    <n v="2997.25"/>
    <s v="LMT"/>
    <n v="1"/>
    <n v="149962.5"/>
    <n v="2999.25"/>
    <s v=""/>
  </r>
  <r>
    <x v="373"/>
    <x v="34"/>
    <s v="Wednesday"/>
    <d v="1899-12-30T10:15:50"/>
    <s v="FUTURE"/>
    <s v="SELL"/>
    <n v="-1"/>
    <s v="TO CLOSE"/>
    <x v="1"/>
    <d v="2020-06-20T00:00:00"/>
    <m/>
    <s v="FUTURE"/>
    <n v="3002.25"/>
    <n v="3002.25"/>
    <s v="LMT"/>
    <n v="0"/>
    <n v="0"/>
    <s v=""/>
    <n v="150"/>
  </r>
  <r>
    <x v="374"/>
    <x v="34"/>
    <s v="Wednesday"/>
    <d v="1899-12-30T10:28:40"/>
    <s v="FUTURE"/>
    <s v="BUY"/>
    <n v="1"/>
    <s v="TO OPEN"/>
    <x v="1"/>
    <d v="2020-06-20T00:00:00"/>
    <m/>
    <s v="FUTURE"/>
    <n v="2996"/>
    <n v="2996"/>
    <s v="MKT"/>
    <n v="1"/>
    <n v="149800"/>
    <n v="2996"/>
    <s v=""/>
  </r>
  <r>
    <x v="374"/>
    <x v="34"/>
    <s v="Wednesday"/>
    <d v="1899-12-30T12:18:17"/>
    <s v="FUTURE"/>
    <s v="SELL"/>
    <n v="-1"/>
    <s v="TO CLOSE"/>
    <x v="1"/>
    <d v="2020-06-20T00:00:00"/>
    <m/>
    <s v="FUTURE"/>
    <n v="2997"/>
    <n v="2997"/>
    <s v="LMT"/>
    <n v="0"/>
    <n v="0"/>
    <s v=""/>
    <n v="50"/>
  </r>
  <r>
    <x v="375"/>
    <x v="34"/>
    <s v="Wednesday"/>
    <d v="1899-12-30T10:36:29"/>
    <s v="STOCK"/>
    <s v="SELL"/>
    <n v="-200"/>
    <s v="TO OPEN"/>
    <x v="2"/>
    <m/>
    <m/>
    <s v="STOCK"/>
    <n v="34.22"/>
    <n v="34.22"/>
    <s v="LMT"/>
    <n v="-200"/>
    <n v="-6844"/>
    <n v="34.22"/>
    <s v=""/>
  </r>
  <r>
    <x v="375"/>
    <x v="34"/>
    <s v="Wednesday"/>
    <d v="1899-12-30T10:39:41"/>
    <s v="STOCK"/>
    <s v="SELL"/>
    <n v="-100"/>
    <s v="TO OPEN"/>
    <x v="2"/>
    <m/>
    <m/>
    <s v="STOCK"/>
    <n v="34.42"/>
    <n v="34.42"/>
    <s v="LMT"/>
    <n v="-300"/>
    <n v="-10286"/>
    <n v="34.286666666666669"/>
    <s v=""/>
  </r>
  <r>
    <x v="375"/>
    <x v="34"/>
    <s v="Wednesday"/>
    <d v="1899-12-30T10:41:21"/>
    <s v="STOCK"/>
    <s v="SELL"/>
    <n v="-100"/>
    <s v="TO OPEN"/>
    <x v="2"/>
    <m/>
    <m/>
    <s v="STOCK"/>
    <n v="34.620100000000001"/>
    <n v="34.620100000000001"/>
    <s v="STP"/>
    <n v="-400"/>
    <n v="-13748.01"/>
    <n v="34.370024999999998"/>
    <s v=""/>
  </r>
  <r>
    <x v="375"/>
    <x v="34"/>
    <s v="Wednesday"/>
    <d v="1899-12-30T10:48:44"/>
    <s v="STOCK"/>
    <s v="SELL"/>
    <n v="-100"/>
    <s v="TO OPEN"/>
    <x v="2"/>
    <m/>
    <m/>
    <s v="STOCK"/>
    <n v="34.979999999999997"/>
    <n v="34.979999999999997"/>
    <s v="LMT"/>
    <n v="-500"/>
    <n v="-17246.009999999998"/>
    <n v="34.492019999999997"/>
    <s v=""/>
  </r>
  <r>
    <x v="375"/>
    <x v="34"/>
    <s v="Wednesday"/>
    <d v="1899-12-30T10:51:22"/>
    <s v="STOCK"/>
    <s v="SELL"/>
    <n v="-100"/>
    <s v="TO OPEN"/>
    <x v="2"/>
    <m/>
    <m/>
    <s v="STOCK"/>
    <n v="35.15"/>
    <n v="35.15"/>
    <s v="LMT"/>
    <n v="-600"/>
    <n v="-20761.009999999998"/>
    <n v="34.601683333333334"/>
    <s v=""/>
  </r>
  <r>
    <x v="375"/>
    <x v="34"/>
    <s v="Wednesday"/>
    <d v="1899-12-30T10:54:23"/>
    <s v="STOCK"/>
    <s v="BUY"/>
    <n v="200"/>
    <s v="TO CLOSE"/>
    <x v="2"/>
    <m/>
    <m/>
    <s v="STOCK"/>
    <n v="34.880000000000003"/>
    <n v="34.880000000000003"/>
    <s v="LMT"/>
    <n v="-400"/>
    <n v="-13785.009999999998"/>
    <n v="34.462524999999999"/>
    <s v=""/>
  </r>
  <r>
    <x v="375"/>
    <x v="34"/>
    <s v="Wednesday"/>
    <d v="1899-12-30T11:06:35"/>
    <s v="STOCK"/>
    <s v="BUY"/>
    <n v="100"/>
    <s v="TO CLOSE"/>
    <x v="2"/>
    <m/>
    <m/>
    <s v="STOCK"/>
    <n v="34.53"/>
    <n v="34.53"/>
    <s v="LMT"/>
    <n v="-300"/>
    <n v="-10332.009999999998"/>
    <n v="34.440033333333325"/>
    <s v=""/>
  </r>
  <r>
    <x v="375"/>
    <x v="34"/>
    <s v="Wednesday"/>
    <d v="1899-12-30T11:07:26"/>
    <s v="STOCK"/>
    <s v="BUY"/>
    <n v="10"/>
    <s v="TO CLOSE"/>
    <x v="2"/>
    <m/>
    <m/>
    <s v="STOCK"/>
    <n v="34.505000000000003"/>
    <n v="34.505000000000003"/>
    <s v="MKT"/>
    <n v="-290"/>
    <n v="-9986.9599999999991"/>
    <n v="34.437793103448271"/>
    <s v=""/>
  </r>
  <r>
    <x v="375"/>
    <x v="34"/>
    <s v="Wednesday"/>
    <d v="1899-12-30T11:08:17"/>
    <s v="STOCK"/>
    <s v="BUY"/>
    <n v="10"/>
    <s v="TO CLOSE"/>
    <x v="2"/>
    <m/>
    <m/>
    <s v="STOCK"/>
    <n v="34.5199"/>
    <n v="34.520000000000003"/>
    <s v="MKT"/>
    <n v="-280"/>
    <n v="-9641.7609999999986"/>
    <n v="34.434860714285712"/>
    <s v=""/>
  </r>
  <r>
    <x v="375"/>
    <x v="34"/>
    <s v="Wednesday"/>
    <d v="1899-12-30T11:33:14"/>
    <s v="STOCK"/>
    <s v="BUY"/>
    <n v="80"/>
    <s v="TO CLOSE"/>
    <x v="2"/>
    <m/>
    <m/>
    <s v="STOCK"/>
    <n v="34.117100000000001"/>
    <n v="34.117130000000003"/>
    <s v="LMT"/>
    <n v="-200"/>
    <n v="-6912.3929999999982"/>
    <n v="34.561964999999994"/>
    <s v=""/>
  </r>
  <r>
    <x v="375"/>
    <x v="34"/>
    <s v="Wednesday"/>
    <d v="1899-12-30T12:22:09"/>
    <s v="STOCK"/>
    <s v="BUY"/>
    <n v="200"/>
    <s v="TO CLOSE"/>
    <x v="2"/>
    <m/>
    <m/>
    <s v="STOCK"/>
    <n v="33.905000000000001"/>
    <n v="33.905000000000001"/>
    <s v="MKT"/>
    <n v="0"/>
    <n v="0"/>
    <s v=""/>
    <n v="131.39299999999849"/>
  </r>
  <r>
    <x v="376"/>
    <x v="35"/>
    <s v="Thursday"/>
    <d v="1899-12-30T09:40:06"/>
    <s v="FUTURE"/>
    <s v="SELL"/>
    <n v="-1"/>
    <s v="TO OPEN"/>
    <x v="6"/>
    <d v="2020-08-20T00:00:00"/>
    <m/>
    <s v="FUTURE"/>
    <n v="32.97"/>
    <n v="32.97"/>
    <s v="LMT"/>
    <n v="-1"/>
    <n v="-32970"/>
    <n v="32.97"/>
    <s v=""/>
  </r>
  <r>
    <x v="376"/>
    <x v="35"/>
    <s v="Thursday"/>
    <d v="1899-12-30T10:33:55"/>
    <s v="FUTURE"/>
    <s v="BUY"/>
    <n v="1"/>
    <s v="TO CLOSE"/>
    <x v="6"/>
    <d v="2020-08-20T00:00:00"/>
    <m/>
    <s v="FUTURE"/>
    <n v="33.1"/>
    <n v="33.1"/>
    <s v="STP"/>
    <n v="0"/>
    <n v="0"/>
    <s v=""/>
    <n v="-130.00000000000256"/>
  </r>
  <r>
    <x v="377"/>
    <x v="35"/>
    <s v="Thursday"/>
    <d v="1899-12-30T10:59:26"/>
    <s v="FUTURE"/>
    <s v="SELL"/>
    <n v="-1"/>
    <s v="TO OPEN"/>
    <x v="6"/>
    <d v="2020-08-20T00:00:00"/>
    <m/>
    <s v="FUTURE"/>
    <n v="33.14"/>
    <n v="33.14"/>
    <s v="LMT"/>
    <n v="-1"/>
    <n v="-33140"/>
    <n v="33.14"/>
    <s v=""/>
  </r>
  <r>
    <x v="377"/>
    <x v="35"/>
    <s v="Thursday"/>
    <d v="1899-12-30T11:04:14"/>
    <s v="FUTURE"/>
    <s v="BUY"/>
    <n v="1"/>
    <s v="TO CLOSE"/>
    <x v="6"/>
    <d v="2020-08-20T00:00:00"/>
    <m/>
    <s v="FUTURE"/>
    <n v="33.119999999999997"/>
    <n v="33.119999999999997"/>
    <s v="STP"/>
    <n v="0"/>
    <n v="0"/>
    <s v=""/>
    <n v="20.000000000003126"/>
  </r>
  <r>
    <x v="378"/>
    <x v="35"/>
    <s v="Thursday"/>
    <d v="1899-12-30T11:12:31"/>
    <s v="FUTURE"/>
    <s v="SELL"/>
    <n v="-1"/>
    <s v="TO OPEN"/>
    <x v="6"/>
    <d v="2020-08-20T00:00:00"/>
    <m/>
    <s v="FUTURE"/>
    <n v="33.020000000000003"/>
    <n v="33.020000000000003"/>
    <s v="MKT"/>
    <n v="-1"/>
    <n v="-33020"/>
    <n v="33.020000000000003"/>
    <s v=""/>
  </r>
  <r>
    <x v="378"/>
    <x v="35"/>
    <s v="Thursday"/>
    <d v="1899-12-30T11:24:29"/>
    <s v="FUTURE"/>
    <s v="BUY"/>
    <n v="1"/>
    <s v="TO CLOSE"/>
    <x v="6"/>
    <d v="2020-08-20T00:00:00"/>
    <m/>
    <s v="FUTURE"/>
    <n v="33.020000000000003"/>
    <n v="33.020000000000003"/>
    <s v="LMT"/>
    <n v="0"/>
    <n v="0"/>
    <s v=""/>
    <n v="0"/>
  </r>
  <r>
    <x v="379"/>
    <x v="35"/>
    <s v="Thursday"/>
    <d v="1899-12-30T11:30:12"/>
    <s v="FUTURE"/>
    <s v="BUY"/>
    <n v="1"/>
    <s v="TO OPEN"/>
    <x v="6"/>
    <d v="2020-08-20T00:00:00"/>
    <m/>
    <s v="FUTURE"/>
    <n v="33.22"/>
    <n v="33.22"/>
    <s v="MKT"/>
    <n v="1"/>
    <n v="33220"/>
    <n v="33.22"/>
    <s v=""/>
  </r>
  <r>
    <x v="379"/>
    <x v="35"/>
    <s v="Thursday"/>
    <d v="1899-12-30T11:33:38"/>
    <s v="FUTURE"/>
    <s v="SELL"/>
    <n v="-1"/>
    <s v="TO CLOSE"/>
    <x v="6"/>
    <d v="2020-08-20T00:00:00"/>
    <m/>
    <s v="FUTURE"/>
    <n v="33.15"/>
    <n v="33.15"/>
    <s v="LMT"/>
    <n v="0"/>
    <n v="0"/>
    <s v=""/>
    <n v="-70.000000000000284"/>
  </r>
  <r>
    <x v="380"/>
    <x v="35"/>
    <s v="Thursday"/>
    <d v="1899-12-30T11:41:20"/>
    <s v="FUTURE"/>
    <s v="SELL"/>
    <n v="-1"/>
    <s v="TO OPEN"/>
    <x v="6"/>
    <d v="2020-08-20T00:00:00"/>
    <m/>
    <s v="FUTURE"/>
    <n v="33.17"/>
    <n v="33.17"/>
    <s v="LMT"/>
    <n v="-1"/>
    <n v="-33170"/>
    <n v="33.17"/>
    <s v=""/>
  </r>
  <r>
    <x v="380"/>
    <x v="35"/>
    <s v="Thursday"/>
    <d v="1899-12-30T11:47:21"/>
    <s v="FUTURE"/>
    <s v="BUY"/>
    <n v="1"/>
    <s v="TO CLOSE"/>
    <x v="6"/>
    <d v="2020-08-20T00:00:00"/>
    <m/>
    <s v="FUTURE"/>
    <n v="33.340000000000003"/>
    <n v="33.340000000000003"/>
    <s v="STP"/>
    <n v="0"/>
    <n v="0"/>
    <s v=""/>
    <n v="-170.00000000000171"/>
  </r>
  <r>
    <x v="381"/>
    <x v="35"/>
    <s v="Thursday"/>
    <d v="1899-12-30T12:03:08"/>
    <s v="FUTURE"/>
    <s v="BUY"/>
    <n v="2"/>
    <s v="TO OPEN"/>
    <x v="6"/>
    <d v="2020-08-20T00:00:00"/>
    <m/>
    <s v="FUTURE"/>
    <n v="33.69"/>
    <n v="33.69"/>
    <s v="MKT"/>
    <n v="2"/>
    <n v="67380"/>
    <n v="33.69"/>
    <s v=""/>
  </r>
  <r>
    <x v="381"/>
    <x v="35"/>
    <s v="Thursday"/>
    <d v="1899-12-30T12:04:32"/>
    <s v="FUTURE"/>
    <s v="SELL"/>
    <n v="-1"/>
    <s v="TO CLOSE"/>
    <x v="6"/>
    <d v="2020-08-20T00:00:00"/>
    <m/>
    <s v="FUTURE"/>
    <n v="33.74"/>
    <n v="33.74"/>
    <s v="LMT"/>
    <n v="1"/>
    <n v="33640"/>
    <n v="33.64"/>
    <s v=""/>
  </r>
  <r>
    <x v="381"/>
    <x v="35"/>
    <s v="Thursday"/>
    <d v="1899-12-30T12:05:31"/>
    <s v="FUTURE"/>
    <s v="SELL"/>
    <n v="-1"/>
    <s v="TO CLOSE"/>
    <x v="6"/>
    <d v="2020-08-20T00:00:00"/>
    <m/>
    <s v="FUTURE"/>
    <n v="33.799999999999997"/>
    <n v="33.799999999999997"/>
    <s v="MKT"/>
    <n v="0"/>
    <n v="0"/>
    <s v=""/>
    <n v="159.99999999999659"/>
  </r>
  <r>
    <x v="382"/>
    <x v="35"/>
    <s v="Thursday"/>
    <d v="1899-12-30T12:23:42"/>
    <s v="FUTURE"/>
    <s v="SELL"/>
    <n v="-1"/>
    <s v="TO OPEN"/>
    <x v="6"/>
    <d v="2020-08-20T00:00:00"/>
    <m/>
    <s v="FUTURE"/>
    <n v="34.03"/>
    <n v="34.03"/>
    <s v="LMT"/>
    <n v="-1"/>
    <n v="-34030"/>
    <n v="34.03"/>
    <s v=""/>
  </r>
  <r>
    <x v="382"/>
    <x v="35"/>
    <s v="Thursday"/>
    <d v="1899-12-30T12:28:08"/>
    <s v="FUTURE"/>
    <s v="BUY"/>
    <n v="1"/>
    <s v="TO CLOSE"/>
    <x v="6"/>
    <d v="2020-08-20T00:00:00"/>
    <m/>
    <s v="FUTURE"/>
    <n v="33.909999999999997"/>
    <n v="33.909999999999997"/>
    <s v="LMT"/>
    <n v="0"/>
    <n v="0"/>
    <s v=""/>
    <n v="120.00000000000455"/>
  </r>
  <r>
    <x v="383"/>
    <x v="35"/>
    <s v="Thursday"/>
    <d v="1899-12-30T12:43:00"/>
    <s v="FUTURE"/>
    <s v="SELL"/>
    <n v="-1"/>
    <s v="TO OPEN"/>
    <x v="6"/>
    <d v="2020-08-20T00:00:00"/>
    <m/>
    <s v="FUTURE"/>
    <n v="34.11"/>
    <n v="34.11"/>
    <s v="LMT"/>
    <n v="-1"/>
    <n v="-34110"/>
    <n v="34.11"/>
    <s v=""/>
  </r>
  <r>
    <x v="383"/>
    <x v="35"/>
    <s v="Thursday"/>
    <d v="1899-12-30T12:55:01"/>
    <s v="FUTURE"/>
    <s v="SELL"/>
    <n v="-1"/>
    <s v="TO OPEN"/>
    <x v="6"/>
    <d v="2020-08-20T00:00:00"/>
    <m/>
    <s v="FUTURE"/>
    <n v="34.31"/>
    <n v="34.31"/>
    <s v="LMT"/>
    <n v="-2"/>
    <n v="-68420"/>
    <n v="34.21"/>
    <s v=""/>
  </r>
  <r>
    <x v="383"/>
    <x v="35"/>
    <s v="Thursday"/>
    <d v="1899-12-30T13:00:02"/>
    <s v="FUTURE"/>
    <s v="BUY"/>
    <n v="1"/>
    <s v="TO CLOSE"/>
    <x v="6"/>
    <d v="2020-08-20T00:00:00"/>
    <m/>
    <s v="FUTURE"/>
    <n v="34.25"/>
    <n v="34.25"/>
    <s v="LMT"/>
    <n v="-1"/>
    <n v="-34170"/>
    <n v="34.17"/>
    <s v=""/>
  </r>
  <r>
    <x v="383"/>
    <x v="35"/>
    <s v="Thursday"/>
    <d v="1899-12-30T13:01:42"/>
    <s v="FUTURE"/>
    <s v="SELL"/>
    <n v="-1"/>
    <s v="TO OPEN"/>
    <x v="6"/>
    <d v="2020-08-20T00:00:00"/>
    <m/>
    <s v="FUTURE"/>
    <n v="34.35"/>
    <n v="34.35"/>
    <s v="LMT"/>
    <n v="-2"/>
    <n v="-68520"/>
    <n v="34.26"/>
    <s v=""/>
  </r>
  <r>
    <x v="383"/>
    <x v="35"/>
    <s v="Thursday"/>
    <d v="1899-12-30T13:26:46"/>
    <s v="FUTURE"/>
    <s v="BUY"/>
    <n v="1"/>
    <s v="TO CLOSE"/>
    <x v="6"/>
    <d v="2020-08-20T00:00:00"/>
    <m/>
    <s v="FUTURE"/>
    <n v="34.26"/>
    <n v="34.26"/>
    <s v="LMT"/>
    <n v="-1"/>
    <n v="-34260"/>
    <n v="34.26"/>
    <s v=""/>
  </r>
  <r>
    <x v="383"/>
    <x v="35"/>
    <s v="Thursday"/>
    <d v="1899-12-30T14:25:01"/>
    <s v="FUTURE"/>
    <s v="BUY"/>
    <n v="1"/>
    <s v="TO CLOSE"/>
    <x v="6"/>
    <d v="2020-08-20T00:00:00"/>
    <m/>
    <s v="FUTURE"/>
    <n v="34.22"/>
    <n v="34.22"/>
    <s v="LMT"/>
    <n v="0"/>
    <n v="0"/>
    <s v=""/>
    <n v="39.999999999999147"/>
  </r>
  <r>
    <x v="384"/>
    <x v="35"/>
    <s v="Thursday"/>
    <d v="1899-12-30T12:15:23"/>
    <s v="FUTURE"/>
    <s v="SELL"/>
    <n v="-1"/>
    <s v="TO OPEN"/>
    <x v="1"/>
    <d v="2020-06-20T00:00:00"/>
    <m/>
    <s v="FUTURE"/>
    <n v="3053"/>
    <n v="3053"/>
    <s v="LMT"/>
    <n v="-1"/>
    <n v="-152650"/>
    <n v="3053"/>
    <s v=""/>
  </r>
  <r>
    <x v="384"/>
    <x v="35"/>
    <s v="Thursday"/>
    <d v="1899-12-30T12:21:57"/>
    <s v="FUTURE"/>
    <s v="BUY"/>
    <n v="1"/>
    <s v="TO CLOSE"/>
    <x v="1"/>
    <d v="2020-06-20T00:00:00"/>
    <m/>
    <s v="FUTURE"/>
    <n v="3052.5"/>
    <n v="3052.5"/>
    <s v="LMT"/>
    <n v="0"/>
    <n v="0"/>
    <s v=""/>
    <n v="25"/>
  </r>
  <r>
    <x v="385"/>
    <x v="35"/>
    <s v="Thursday"/>
    <d v="1899-12-30T12:30:16"/>
    <s v="FUTURE"/>
    <s v="SELL"/>
    <n v="-1"/>
    <s v="TO OPEN"/>
    <x v="1"/>
    <d v="2020-06-20T00:00:00"/>
    <m/>
    <s v="FUTURE"/>
    <n v="3051"/>
    <n v="3051"/>
    <s v="LMT"/>
    <n v="-1"/>
    <n v="-152550"/>
    <n v="3051"/>
    <s v=""/>
  </r>
  <r>
    <x v="385"/>
    <x v="35"/>
    <s v="Thursday"/>
    <d v="1899-12-30T12:32:22"/>
    <s v="FUTURE"/>
    <s v="BUY"/>
    <n v="1"/>
    <s v="TO CLOSE"/>
    <x v="1"/>
    <d v="2020-06-20T00:00:00"/>
    <m/>
    <s v="FUTURE"/>
    <n v="3050.5"/>
    <n v="3050.5"/>
    <s v="LMT"/>
    <n v="0"/>
    <n v="0"/>
    <s v=""/>
    <n v="25"/>
  </r>
  <r>
    <x v="386"/>
    <x v="35"/>
    <s v="Thursday"/>
    <d v="1899-12-30T09:45:40"/>
    <s v="FUTURE"/>
    <s v="SELL"/>
    <n v="-6"/>
    <s v="TO OPEN"/>
    <x v="3"/>
    <d v="2020-06-20T00:00:00"/>
    <m/>
    <s v="FUTURE"/>
    <n v="3037.75"/>
    <n v="3037.75"/>
    <s v="LMT"/>
    <n v="-6"/>
    <n v="-91132.5"/>
    <n v="3037.75"/>
    <s v=""/>
  </r>
  <r>
    <x v="386"/>
    <x v="35"/>
    <s v="Thursday"/>
    <d v="1899-12-30T10:26:10"/>
    <s v="FUTURE"/>
    <s v="BUY"/>
    <n v="6"/>
    <s v="TO CLOSE"/>
    <x v="3"/>
    <d v="2020-06-20T00:00:00"/>
    <m/>
    <s v="FUTURE"/>
    <n v="3041.25"/>
    <n v="3041.25"/>
    <s v="MKT"/>
    <n v="0"/>
    <n v="0"/>
    <s v=""/>
    <n v="-105"/>
  </r>
  <r>
    <x v="387"/>
    <x v="35"/>
    <s v="Thursday"/>
    <d v="1899-12-30T10:52:18"/>
    <s v="FUTURE"/>
    <s v="SELL"/>
    <n v="-1"/>
    <s v="TO OPEN"/>
    <x v="3"/>
    <d v="2020-06-20T00:00:00"/>
    <m/>
    <s v="FUTURE"/>
    <n v="3045.75"/>
    <n v="3045.75"/>
    <s v="LMT"/>
    <n v="-1"/>
    <n v="-15228.75"/>
    <n v="3045.75"/>
    <s v=""/>
  </r>
  <r>
    <x v="387"/>
    <x v="35"/>
    <s v="Thursday"/>
    <d v="1899-12-30T10:52:18"/>
    <s v="FUTURE"/>
    <s v="SELL"/>
    <n v="-1"/>
    <s v="TO OPEN"/>
    <x v="3"/>
    <d v="2020-06-20T00:00:00"/>
    <m/>
    <s v="FUTURE"/>
    <n v="3045.75"/>
    <n v="3045.75"/>
    <s v="LMT"/>
    <n v="-2"/>
    <n v="-30457.5"/>
    <n v="3045.75"/>
    <s v=""/>
  </r>
  <r>
    <x v="387"/>
    <x v="35"/>
    <s v="Thursday"/>
    <d v="1899-12-30T10:52:18"/>
    <s v="FUTURE"/>
    <s v="SELL"/>
    <n v="-3"/>
    <s v="TO OPEN"/>
    <x v="3"/>
    <d v="2020-06-20T00:00:00"/>
    <m/>
    <s v="FUTURE"/>
    <n v="3045.75"/>
    <n v="3045.75"/>
    <s v="LMT"/>
    <n v="-5"/>
    <n v="-76143.75"/>
    <n v="3045.75"/>
    <s v=""/>
  </r>
  <r>
    <x v="387"/>
    <x v="35"/>
    <s v="Thursday"/>
    <d v="1899-12-30T10:52:18"/>
    <s v="FUTURE"/>
    <s v="SELL"/>
    <n v="-1"/>
    <s v="TO OPEN"/>
    <x v="3"/>
    <d v="2020-06-20T00:00:00"/>
    <m/>
    <s v="FUTURE"/>
    <n v="3045.75"/>
    <n v="3045.75"/>
    <s v="LMT"/>
    <n v="-6"/>
    <n v="-91372.5"/>
    <n v="3045.75"/>
    <s v=""/>
  </r>
  <r>
    <x v="387"/>
    <x v="35"/>
    <s v="Thursday"/>
    <d v="1899-12-30T11:58:13"/>
    <s v="FUTURE"/>
    <s v="BUY"/>
    <n v="6"/>
    <s v="TO CLOSE"/>
    <x v="3"/>
    <d v="2020-06-20T00:00:00"/>
    <m/>
    <s v="FUTURE"/>
    <n v="3051.25"/>
    <n v="3051.25"/>
    <s v="STP"/>
    <n v="0"/>
    <n v="0"/>
    <s v=""/>
    <n v="-165"/>
  </r>
  <r>
    <x v="388"/>
    <x v="35"/>
    <s v="Thursday"/>
    <d v="1899-12-30T12:37:10"/>
    <s v="FUTURE"/>
    <s v="SELL"/>
    <n v="-5"/>
    <s v="TO OPEN"/>
    <x v="3"/>
    <d v="2020-06-20T00:00:00"/>
    <m/>
    <s v="FUTURE"/>
    <n v="3053.75"/>
    <n v="3053.75"/>
    <s v="LMT"/>
    <n v="-5"/>
    <n v="-76343.75"/>
    <n v="3053.75"/>
    <s v=""/>
  </r>
  <r>
    <x v="388"/>
    <x v="35"/>
    <s v="Thursday"/>
    <d v="1899-12-30T13:29:32"/>
    <s v="FUTURE"/>
    <s v="SELL"/>
    <n v="-3"/>
    <s v="TO OPEN"/>
    <x v="3"/>
    <d v="2020-06-20T00:00:00"/>
    <m/>
    <s v="FUTURE"/>
    <n v="3063.75"/>
    <n v="3063.75"/>
    <s v="LMT"/>
    <n v="-8"/>
    <n v="-122300"/>
    <n v="3057.5"/>
    <s v=""/>
  </r>
  <r>
    <x v="388"/>
    <x v="35"/>
    <s v="Thursday"/>
    <d v="1899-12-30T14:10:22"/>
    <s v="FUTURE"/>
    <s v="BUY"/>
    <n v="1"/>
    <s v="TO CLOSE"/>
    <x v="3"/>
    <d v="2020-06-20T00:00:00"/>
    <m/>
    <s v="FUTURE"/>
    <n v="3057.5"/>
    <n v="3057.5"/>
    <s v="LMT"/>
    <n v="-7"/>
    <n v="-107012.5"/>
    <n v="3057.5"/>
    <s v=""/>
  </r>
  <r>
    <x v="388"/>
    <x v="35"/>
    <s v="Thursday"/>
    <d v="1899-12-30T14:10:22"/>
    <s v="FUTURE"/>
    <s v="BUY"/>
    <n v="1"/>
    <s v="TO CLOSE"/>
    <x v="3"/>
    <d v="2020-06-20T00:00:00"/>
    <m/>
    <s v="FUTURE"/>
    <n v="3057.5"/>
    <n v="3057.5"/>
    <s v="LMT"/>
    <n v="-6"/>
    <n v="-91725"/>
    <n v="3057.5"/>
    <s v=""/>
  </r>
  <r>
    <x v="388"/>
    <x v="35"/>
    <s v="Thursday"/>
    <d v="1899-12-30T14:39:56"/>
    <s v="FUTURE"/>
    <s v="BUY"/>
    <n v="2"/>
    <s v="TO CLOSE"/>
    <x v="3"/>
    <d v="2020-06-20T00:00:00"/>
    <m/>
    <s v="FUTURE"/>
    <n v="3056.5"/>
    <n v="3056.5"/>
    <s v="LMT"/>
    <n v="-4"/>
    <n v="-61160"/>
    <n v="3058"/>
    <s v=""/>
  </r>
  <r>
    <x v="388"/>
    <x v="35"/>
    <s v="Thursday"/>
    <d v="1899-12-30T14:42:06"/>
    <s v="FUTURE"/>
    <s v="BUY"/>
    <n v="1"/>
    <s v="TO CLOSE"/>
    <x v="3"/>
    <d v="2020-06-20T00:00:00"/>
    <m/>
    <s v="FUTURE"/>
    <n v="3055.5"/>
    <n v="3055.5"/>
    <s v="LMT"/>
    <n v="-3"/>
    <n v="-45882.5"/>
    <n v="3058.833333333333"/>
    <s v=""/>
  </r>
  <r>
    <x v="388"/>
    <x v="35"/>
    <s v="Thursday"/>
    <d v="1899-12-30T14:43:10"/>
    <s v="FUTURE"/>
    <s v="BUY"/>
    <n v="1"/>
    <s v="TO CLOSE"/>
    <x v="3"/>
    <d v="2020-06-20T00:00:00"/>
    <m/>
    <s v="FUTURE"/>
    <n v="3054.5"/>
    <n v="3054.5"/>
    <s v="LMT"/>
    <n v="-2"/>
    <n v="-30610"/>
    <n v="3061"/>
    <s v=""/>
  </r>
  <r>
    <x v="388"/>
    <x v="35"/>
    <s v="Thursday"/>
    <d v="1899-12-30T14:43:47"/>
    <s v="FUTURE"/>
    <s v="BUY"/>
    <n v="1"/>
    <s v="TO CLOSE"/>
    <x v="3"/>
    <d v="2020-06-20T00:00:00"/>
    <m/>
    <s v="FUTURE"/>
    <n v="3053.5"/>
    <n v="3053.5"/>
    <s v="LMT"/>
    <n v="-1"/>
    <n v="-15342.5"/>
    <n v="3068.5"/>
    <s v=""/>
  </r>
  <r>
    <x v="388"/>
    <x v="35"/>
    <s v="Thursday"/>
    <d v="1899-12-30T14:45:25"/>
    <s v="FUTURE"/>
    <s v="BUY"/>
    <n v="1"/>
    <s v="TO CLOSE"/>
    <x v="3"/>
    <d v="2020-06-20T00:00:00"/>
    <m/>
    <s v="FUTURE"/>
    <n v="3053"/>
    <n v="3053"/>
    <s v="LMT"/>
    <n v="0"/>
    <n v="0"/>
    <s v=""/>
    <n v="77.5"/>
  </r>
  <r>
    <x v="389"/>
    <x v="35"/>
    <s v="Thursday"/>
    <d v="1899-12-30T09:39:04"/>
    <s v="STOCK"/>
    <s v="BUY"/>
    <n v="200"/>
    <s v="TO OPEN"/>
    <x v="2"/>
    <m/>
    <m/>
    <s v="STOCK"/>
    <n v="33.81"/>
    <n v="33.81"/>
    <s v="LMT"/>
    <n v="200"/>
    <n v="6762"/>
    <n v="33.81"/>
    <s v=""/>
  </r>
  <r>
    <x v="389"/>
    <x v="35"/>
    <s v="Thursday"/>
    <d v="1899-12-30T09:53:26"/>
    <s v="STOCK"/>
    <s v="BUY"/>
    <n v="100"/>
    <s v="TO OPEN"/>
    <x v="2"/>
    <m/>
    <m/>
    <s v="STOCK"/>
    <n v="33.51"/>
    <n v="33.51"/>
    <s v="LMT"/>
    <n v="300"/>
    <n v="10113"/>
    <n v="33.71"/>
    <s v=""/>
  </r>
  <r>
    <x v="389"/>
    <x v="35"/>
    <s v="Thursday"/>
    <d v="1899-12-30T10:30:08"/>
    <s v="STOCK"/>
    <s v="SELL"/>
    <n v="-142"/>
    <s v="TO CLOSE"/>
    <x v="2"/>
    <m/>
    <m/>
    <s v="STOCK"/>
    <n v="33.545000000000002"/>
    <n v="33.545000000000002"/>
    <s v="MKT"/>
    <n v="158"/>
    <n v="5349.61"/>
    <n v="33.858291139240507"/>
    <s v=""/>
  </r>
  <r>
    <x v="389"/>
    <x v="35"/>
    <s v="Thursday"/>
    <d v="1899-12-30T10:30:08"/>
    <s v="STOCK"/>
    <s v="SELL"/>
    <n v="-100"/>
    <s v="TO CLOSE"/>
    <x v="2"/>
    <m/>
    <m/>
    <s v="STOCK"/>
    <n v="33.545000000000002"/>
    <n v="33.545000000000002"/>
    <s v="MKT"/>
    <n v="58"/>
    <n v="1995.1099999999997"/>
    <n v="34.398448275862066"/>
    <s v=""/>
  </r>
  <r>
    <x v="389"/>
    <x v="35"/>
    <s v="Thursday"/>
    <d v="1899-12-30T10:30:08"/>
    <s v="STOCK"/>
    <s v="SELL"/>
    <n v="-58"/>
    <s v="TO CLOSE"/>
    <x v="2"/>
    <m/>
    <m/>
    <s v="STOCK"/>
    <n v="33.540100000000002"/>
    <n v="33.540170000000003"/>
    <s v="MKT"/>
    <n v="0"/>
    <n v="0"/>
    <s v=""/>
    <n v="-49.784199999999672"/>
  </r>
  <r>
    <x v="390"/>
    <x v="35"/>
    <s v="Thursday"/>
    <d v="1899-12-30T10:35:12"/>
    <s v="STOCK"/>
    <s v="SELL"/>
    <n v="-400"/>
    <s v="TO OPEN"/>
    <x v="2"/>
    <m/>
    <m/>
    <s v="STOCK"/>
    <n v="33.560099999999998"/>
    <n v="33.560099999999998"/>
    <s v="MKT"/>
    <n v="-400"/>
    <n v="-13424.039999999999"/>
    <n v="33.560099999999998"/>
    <s v=""/>
  </r>
  <r>
    <x v="390"/>
    <x v="35"/>
    <s v="Thursday"/>
    <d v="1899-12-30T10:41:34"/>
    <s v="STOCK"/>
    <s v="BUY"/>
    <n v="400"/>
    <s v="TO CLOSE"/>
    <x v="2"/>
    <m/>
    <m/>
    <s v="STOCK"/>
    <n v="33.51"/>
    <n v="33.51"/>
    <s v="LMT"/>
    <n v="0"/>
    <n v="0"/>
    <s v=""/>
    <n v="20.040000000000191"/>
  </r>
  <r>
    <x v="391"/>
    <x v="35"/>
    <s v="Thursday"/>
    <d v="1899-12-30T11:25:01"/>
    <s v="STOCK"/>
    <s v="BUY"/>
    <n v="200"/>
    <s v="TO OPEN"/>
    <x v="2"/>
    <m/>
    <m/>
    <s v="STOCK"/>
    <n v="33.689900000000002"/>
    <n v="33.689900000000002"/>
    <s v="MKT"/>
    <n v="200"/>
    <n v="6737.9800000000005"/>
    <n v="33.689900000000002"/>
    <s v=""/>
  </r>
  <r>
    <x v="391"/>
    <x v="35"/>
    <s v="Thursday"/>
    <d v="1899-12-30T11:40:15"/>
    <s v="STOCK"/>
    <s v="BUY"/>
    <n v="33"/>
    <s v="TO OPEN"/>
    <x v="2"/>
    <m/>
    <m/>
    <s v="STOCK"/>
    <n v="33.92"/>
    <n v="33.92"/>
    <s v="STP"/>
    <n v="233"/>
    <n v="7857.34"/>
    <n v="33.722489270386269"/>
    <s v=""/>
  </r>
  <r>
    <x v="391"/>
    <x v="35"/>
    <s v="Thursday"/>
    <d v="1899-12-30T11:40:15"/>
    <s v="STOCK"/>
    <s v="BUY"/>
    <n v="40"/>
    <s v="TO OPEN"/>
    <x v="2"/>
    <m/>
    <m/>
    <s v="STOCK"/>
    <n v="33.92"/>
    <n v="33.92"/>
    <s v="STP"/>
    <n v="273"/>
    <n v="9214.14"/>
    <n v="33.751428571428569"/>
    <s v=""/>
  </r>
  <r>
    <x v="391"/>
    <x v="35"/>
    <s v="Thursday"/>
    <d v="1899-12-30T11:40:15"/>
    <s v="STOCK"/>
    <s v="BUY"/>
    <n v="27"/>
    <s v="TO OPEN"/>
    <x v="2"/>
    <m/>
    <m/>
    <s v="STOCK"/>
    <n v="33.92"/>
    <n v="33.92"/>
    <s v="STP"/>
    <n v="300"/>
    <n v="10129.98"/>
    <n v="33.766599999999997"/>
    <s v=""/>
  </r>
  <r>
    <x v="391"/>
    <x v="35"/>
    <s v="Thursday"/>
    <d v="1899-12-30T11:40:15"/>
    <s v="STOCK"/>
    <s v="BUY"/>
    <n v="100"/>
    <s v="TO OPEN"/>
    <x v="2"/>
    <m/>
    <m/>
    <s v="STOCK"/>
    <n v="33.92"/>
    <n v="33.92"/>
    <s v="STP"/>
    <n v="400"/>
    <n v="13521.98"/>
    <n v="33.804949999999998"/>
    <s v=""/>
  </r>
  <r>
    <x v="391"/>
    <x v="35"/>
    <s v="Thursday"/>
    <d v="1899-12-30T11:55:08"/>
    <s v="STOCK"/>
    <s v="SELL"/>
    <n v="-400"/>
    <s v="TO CLOSE"/>
    <x v="2"/>
    <m/>
    <m/>
    <s v="STOCK"/>
    <n v="33.564999999999998"/>
    <n v="33.564999999999998"/>
    <s v="MKT"/>
    <n v="0"/>
    <n v="0"/>
    <s v=""/>
    <n v="-95.980000000000132"/>
  </r>
  <r>
    <x v="392"/>
    <x v="35"/>
    <s v="Thursday"/>
    <d v="1899-12-30T12:17:16"/>
    <s v="STOCK"/>
    <s v="BUY"/>
    <n v="400"/>
    <s v="TO OPEN"/>
    <x v="2"/>
    <m/>
    <m/>
    <s v="STOCK"/>
    <n v="33.549999999999997"/>
    <n v="33.549999999999997"/>
    <s v="LMT"/>
    <n v="400"/>
    <n v="13419.999999999998"/>
    <n v="33.549999999999997"/>
    <s v=""/>
  </r>
  <r>
    <x v="392"/>
    <x v="35"/>
    <s v="Thursday"/>
    <d v="1899-12-30T12:33:12"/>
    <s v="STOCK"/>
    <s v="SELL"/>
    <n v="-400"/>
    <s v="TO CLOSE"/>
    <x v="2"/>
    <m/>
    <m/>
    <s v="STOCK"/>
    <n v="33.57"/>
    <n v="33.57"/>
    <s v="LMT"/>
    <n v="0"/>
    <n v="0"/>
    <s v=""/>
    <n v="8.0000000000012506"/>
  </r>
  <r>
    <x v="393"/>
    <x v="36"/>
    <s v="Friday"/>
    <d v="1899-12-30T09:47:30"/>
    <s v="FUTURE"/>
    <s v="BUY"/>
    <n v="1"/>
    <s v="TO OPEN"/>
    <x v="6"/>
    <d v="2020-08-20T00:00:00"/>
    <m/>
    <s v="FUTURE"/>
    <n v="33.57"/>
    <n v="33.57"/>
    <s v="MKT"/>
    <n v="1"/>
    <n v="33570"/>
    <n v="33.57"/>
    <s v=""/>
  </r>
  <r>
    <x v="393"/>
    <x v="36"/>
    <s v="Friday"/>
    <d v="1899-12-30T10:41:29"/>
    <s v="FUTURE"/>
    <s v="SELL"/>
    <n v="-1"/>
    <s v="TO CLOSE"/>
    <x v="6"/>
    <d v="2020-08-20T00:00:00"/>
    <m/>
    <s v="FUTURE"/>
    <n v="33.82"/>
    <n v="33.82"/>
    <s v="LMT"/>
    <n v="0"/>
    <n v="0"/>
    <s v=""/>
    <n v="250"/>
  </r>
  <r>
    <x v="394"/>
    <x v="36"/>
    <s v="Friday"/>
    <d v="1899-12-30T10:49:09"/>
    <s v="FUTURE"/>
    <s v="SELL"/>
    <n v="-1"/>
    <s v="TO OPEN"/>
    <x v="6"/>
    <d v="2020-08-20T00:00:00"/>
    <m/>
    <s v="FUTURE"/>
    <n v="33.69"/>
    <n v="33.69"/>
    <s v="MKT"/>
    <n v="-1"/>
    <n v="-33690"/>
    <n v="33.69"/>
    <s v=""/>
  </r>
  <r>
    <x v="394"/>
    <x v="36"/>
    <s v="Friday"/>
    <d v="1899-12-30T11:00:26"/>
    <s v="FUTURE"/>
    <s v="BUY"/>
    <n v="2"/>
    <s v="TO CLOSE"/>
    <x v="6"/>
    <d v="2020-08-20T00:00:00"/>
    <m/>
    <s v="FUTURE"/>
    <n v="33.880000000000003"/>
    <n v="33.880000000000003"/>
    <s v="MKT"/>
    <n v="1"/>
    <n v="34070"/>
    <n v="34.07"/>
    <s v=""/>
  </r>
  <r>
    <x v="394"/>
    <x v="36"/>
    <s v="Friday"/>
    <d v="1899-12-30T12:30:38"/>
    <s v="FUTURE"/>
    <s v="BUY"/>
    <n v="1"/>
    <s v="TO OPEN"/>
    <x v="6"/>
    <d v="2020-08-20T00:00:00"/>
    <m/>
    <s v="FUTURE"/>
    <n v="33.61"/>
    <n v="33.61"/>
    <s v="LMT"/>
    <n v="2"/>
    <n v="67680"/>
    <n v="33.840000000000003"/>
    <s v=""/>
  </r>
  <r>
    <x v="394"/>
    <x v="36"/>
    <s v="Friday"/>
    <d v="1899-12-30T13:04:55"/>
    <s v="FUTURE"/>
    <s v="SELL"/>
    <n v="-1"/>
    <s v="TO CLOSE"/>
    <x v="6"/>
    <d v="2020-08-20T00:00:00"/>
    <m/>
    <s v="FUTURE"/>
    <n v="33.770000000000003"/>
    <n v="33.770000000000003"/>
    <s v="LMT"/>
    <n v="1"/>
    <n v="33910"/>
    <n v="33.909999999999997"/>
    <s v=""/>
  </r>
  <r>
    <x v="394"/>
    <x v="36"/>
    <s v="Friday"/>
    <d v="1899-12-30T13:22:00"/>
    <s v="FUTURE"/>
    <s v="SELL"/>
    <n v="-1"/>
    <s v="TO CLOSE"/>
    <x v="6"/>
    <d v="2020-08-20T00:00:00"/>
    <m/>
    <s v="FUTURE"/>
    <n v="34.049999999999997"/>
    <n v="34.049999999999997"/>
    <s v="LMT"/>
    <n v="0"/>
    <n v="0"/>
    <s v=""/>
    <n v="140.00000000000057"/>
  </r>
  <r>
    <x v="395"/>
    <x v="36"/>
    <s v="Friday"/>
    <d v="1899-12-30T13:41:05"/>
    <s v="FUTURE"/>
    <s v="SELL"/>
    <n v="-1"/>
    <s v="TO OPEN"/>
    <x v="6"/>
    <d v="2020-08-20T00:00:00"/>
    <m/>
    <s v="FUTURE"/>
    <n v="34.07"/>
    <n v="34.07"/>
    <s v="MKT"/>
    <n v="-1"/>
    <n v="-34070"/>
    <n v="34.07"/>
    <s v=""/>
  </r>
  <r>
    <x v="395"/>
    <x v="36"/>
    <s v="Friday"/>
    <d v="1899-12-30T13:50:07"/>
    <s v="FUTURE"/>
    <s v="BUY"/>
    <n v="1"/>
    <s v="TO CLOSE"/>
    <x v="6"/>
    <d v="2020-08-20T00:00:00"/>
    <m/>
    <s v="FUTURE"/>
    <n v="34.22"/>
    <n v="34.22"/>
    <s v="STP"/>
    <n v="0"/>
    <n v="0"/>
    <s v=""/>
    <n v="-149.99999999999858"/>
  </r>
  <r>
    <x v="396"/>
    <x v="36"/>
    <s v="Friday"/>
    <d v="1899-12-30T14:28:09"/>
    <s v="FUTURE"/>
    <s v="SELL"/>
    <n v="-1"/>
    <s v="TO OPEN"/>
    <x v="6"/>
    <d v="2020-08-20T00:00:00"/>
    <m/>
    <s v="FUTURE"/>
    <n v="35.729999999999997"/>
    <n v="35.729999999999997"/>
    <s v="LMT"/>
    <n v="-1"/>
    <n v="-35730"/>
    <n v="35.729999999999997"/>
    <s v=""/>
  </r>
  <r>
    <x v="396"/>
    <x v="36"/>
    <s v="Friday"/>
    <d v="1899-12-30T14:29:01"/>
    <s v="FUTURE"/>
    <s v="SELL"/>
    <n v="-1"/>
    <s v="TO OPEN"/>
    <x v="6"/>
    <d v="2020-08-20T00:00:00"/>
    <m/>
    <s v="FUTURE"/>
    <n v="35.89"/>
    <n v="35.89"/>
    <s v="STP"/>
    <n v="-2"/>
    <n v="-71620"/>
    <n v="35.81"/>
    <s v=""/>
  </r>
  <r>
    <x v="396"/>
    <x v="36"/>
    <s v="Friday"/>
    <d v="1899-12-30T14:29:10"/>
    <s v="FUTURE"/>
    <s v="BUY"/>
    <n v="1"/>
    <s v="TO CLOSE"/>
    <x v="6"/>
    <d v="2020-08-20T00:00:00"/>
    <m/>
    <s v="FUTURE"/>
    <n v="35.81"/>
    <n v="35.81"/>
    <s v="LMT"/>
    <n v="-1"/>
    <n v="-35810"/>
    <n v="35.81"/>
    <s v=""/>
  </r>
  <r>
    <x v="396"/>
    <x v="36"/>
    <s v="Friday"/>
    <d v="1899-12-30T14:29:35"/>
    <s v="FUTURE"/>
    <s v="BUY"/>
    <n v="1"/>
    <s v="TO CLOSE"/>
    <x v="6"/>
    <d v="2020-08-20T00:00:00"/>
    <m/>
    <s v="FUTURE"/>
    <n v="35.72"/>
    <n v="35.72"/>
    <s v="LMT"/>
    <n v="0"/>
    <n v="0"/>
    <s v=""/>
    <n v="90.000000000003411"/>
  </r>
  <r>
    <x v="397"/>
    <x v="36"/>
    <s v="Friday"/>
    <d v="1899-12-30T09:48:24"/>
    <s v="FUTURE"/>
    <s v="BUY"/>
    <n v="1"/>
    <s v="TO OPEN"/>
    <x v="1"/>
    <d v="2020-06-20T00:00:00"/>
    <m/>
    <s v="FUTURE"/>
    <n v="3027.5"/>
    <n v="3027.5"/>
    <s v="MKT"/>
    <n v="1"/>
    <n v="151375"/>
    <n v="3027.5"/>
    <s v=""/>
  </r>
  <r>
    <x v="397"/>
    <x v="36"/>
    <s v="Friday"/>
    <d v="1899-12-30T09:58:16"/>
    <s v="FUTURE"/>
    <s v="SELL"/>
    <n v="-1"/>
    <s v="TO CLOSE"/>
    <x v="1"/>
    <d v="2020-06-20T00:00:00"/>
    <m/>
    <s v="FUTURE"/>
    <n v="3018"/>
    <n v="3018"/>
    <s v="STP"/>
    <n v="0"/>
    <n v="0"/>
    <s v=""/>
    <n v="-475"/>
  </r>
  <r>
    <x v="398"/>
    <x v="36"/>
    <s v="Friday"/>
    <d v="1899-12-30T09:59:04"/>
    <s v="FUTURE"/>
    <s v="BUY"/>
    <n v="1"/>
    <s v="TO OPEN"/>
    <x v="1"/>
    <d v="2020-06-20T00:00:00"/>
    <m/>
    <s v="FUTURE"/>
    <n v="3018.25"/>
    <n v="3018.25"/>
    <s v="MKT"/>
    <n v="1"/>
    <n v="150912.5"/>
    <n v="3018.25"/>
    <s v=""/>
  </r>
  <r>
    <x v="398"/>
    <x v="36"/>
    <s v="Friday"/>
    <d v="1899-12-30T10:43:22"/>
    <s v="FUTURE"/>
    <s v="SELL"/>
    <n v="-1"/>
    <s v="TO CLOSE"/>
    <x v="1"/>
    <d v="2020-06-20T00:00:00"/>
    <m/>
    <s v="FUTURE"/>
    <n v="3008.5"/>
    <n v="3008.5"/>
    <s v="STP"/>
    <n v="0"/>
    <n v="0"/>
    <s v=""/>
    <n v="-487.5"/>
  </r>
  <r>
    <x v="399"/>
    <x v="36"/>
    <s v="Friday"/>
    <d v="1899-12-30T10:59:14"/>
    <s v="FUTURE"/>
    <s v="BUY"/>
    <n v="1"/>
    <s v="TO OPEN"/>
    <x v="1"/>
    <d v="2020-06-20T00:00:00"/>
    <m/>
    <s v="FUTURE"/>
    <n v="3007.75"/>
    <n v="3007.75"/>
    <s v="LMT"/>
    <n v="1"/>
    <n v="150387.5"/>
    <n v="3007.75"/>
    <s v=""/>
  </r>
  <r>
    <x v="399"/>
    <x v="36"/>
    <s v="Friday"/>
    <d v="1899-12-30T11:27:07"/>
    <s v="FUTURE"/>
    <s v="SELL"/>
    <n v="-1"/>
    <s v="TO CLOSE"/>
    <x v="1"/>
    <d v="2020-06-20T00:00:00"/>
    <m/>
    <s v="FUTURE"/>
    <n v="3010.75"/>
    <n v="3010.75"/>
    <s v="LMT"/>
    <n v="0"/>
    <n v="0"/>
    <s v=""/>
    <n v="150"/>
  </r>
  <r>
    <x v="400"/>
    <x v="36"/>
    <s v="Friday"/>
    <d v="1899-12-30T11:34:46"/>
    <s v="FUTURE"/>
    <s v="BUY"/>
    <n v="1"/>
    <s v="TO OPEN"/>
    <x v="1"/>
    <d v="2020-06-20T00:00:00"/>
    <m/>
    <s v="FUTURE"/>
    <n v="3009.75"/>
    <n v="3009.75"/>
    <s v="LMT"/>
    <n v="1"/>
    <n v="150487.5"/>
    <n v="3009.75"/>
    <s v=""/>
  </r>
  <r>
    <x v="400"/>
    <x v="36"/>
    <s v="Friday"/>
    <d v="1899-12-30T12:02:15"/>
    <s v="FUTURE"/>
    <s v="SELL"/>
    <n v="-1"/>
    <s v="TO CLOSE"/>
    <x v="1"/>
    <d v="2020-06-20T00:00:00"/>
    <m/>
    <s v="FUTURE"/>
    <n v="3014.75"/>
    <n v="3014.75"/>
    <s v="LMT"/>
    <n v="0"/>
    <n v="0"/>
    <s v=""/>
    <n v="250"/>
  </r>
  <r>
    <x v="401"/>
    <x v="36"/>
    <s v="Friday"/>
    <d v="1899-12-30T12:22:06"/>
    <s v="FUTURE"/>
    <s v="BUY"/>
    <n v="1"/>
    <s v="TO OPEN"/>
    <x v="1"/>
    <d v="2020-06-20T00:00:00"/>
    <m/>
    <s v="FUTURE"/>
    <n v="3005.5"/>
    <n v="3005.5"/>
    <s v="LMT"/>
    <n v="1"/>
    <n v="150275"/>
    <n v="3005.5"/>
    <s v=""/>
  </r>
  <r>
    <x v="401"/>
    <x v="36"/>
    <s v="Friday"/>
    <d v="1899-12-30T12:23:45"/>
    <s v="FUTURE"/>
    <s v="SELL"/>
    <n v="-1"/>
    <s v="TO CLOSE"/>
    <x v="1"/>
    <d v="2020-06-20T00:00:00"/>
    <m/>
    <s v="FUTURE"/>
    <n v="3006.5"/>
    <n v="3006.5"/>
    <s v="LMT"/>
    <n v="0"/>
    <n v="0"/>
    <s v=""/>
    <n v="50"/>
  </r>
  <r>
    <x v="402"/>
    <x v="36"/>
    <s v="Friday"/>
    <d v="1899-12-30T13:47:53"/>
    <s v="FUTURE"/>
    <s v="BUY"/>
    <n v="1"/>
    <s v="TO OPEN"/>
    <x v="1"/>
    <d v="2020-06-20T00:00:00"/>
    <m/>
    <s v="FUTURE"/>
    <n v="3007.75"/>
    <n v="3007.75"/>
    <s v="MKT"/>
    <n v="1"/>
    <n v="150387.5"/>
    <n v="3007.75"/>
    <s v=""/>
  </r>
  <r>
    <x v="402"/>
    <x v="36"/>
    <s v="Friday"/>
    <d v="1899-12-30T14:01:44"/>
    <s v="FUTURE"/>
    <s v="SELL"/>
    <n v="-1"/>
    <s v="TO CLOSE"/>
    <x v="1"/>
    <d v="2020-06-20T00:00:00"/>
    <m/>
    <s v="FUTURE"/>
    <n v="3011.5"/>
    <n v="3011.5"/>
    <s v="LMT"/>
    <n v="0"/>
    <n v="0"/>
    <s v=""/>
    <n v="187.5"/>
  </r>
  <r>
    <x v="403"/>
    <x v="36"/>
    <s v="Friday"/>
    <d v="1899-12-30T14:08:28"/>
    <s v="FUTURE"/>
    <s v="BUY"/>
    <n v="1"/>
    <s v="TO OPEN"/>
    <x v="1"/>
    <d v="2020-06-20T00:00:00"/>
    <m/>
    <s v="FUTURE"/>
    <n v="3017.25"/>
    <n v="3017.25"/>
    <s v="MKT"/>
    <n v="1"/>
    <n v="150862.5"/>
    <n v="3017.25"/>
    <s v=""/>
  </r>
  <r>
    <x v="403"/>
    <x v="36"/>
    <s v="Friday"/>
    <d v="1899-12-30T14:09:00"/>
    <s v="FUTURE"/>
    <s v="SELL"/>
    <n v="-1"/>
    <s v="TO CLOSE"/>
    <x v="1"/>
    <d v="2020-06-20T00:00:00"/>
    <m/>
    <s v="FUTURE"/>
    <n v="3017.75"/>
    <n v="3017.75"/>
    <s v="LMT"/>
    <n v="0"/>
    <n v="0"/>
    <s v=""/>
    <n v="25"/>
  </r>
  <r>
    <x v="404"/>
    <x v="36"/>
    <s v="Friday"/>
    <d v="1899-12-30T12:26:08"/>
    <s v="FUTURE"/>
    <s v="BUY"/>
    <n v="5"/>
    <s v="TO OPEN"/>
    <x v="3"/>
    <d v="2020-06-20T00:00:00"/>
    <m/>
    <s v="FUTURE"/>
    <n v="3006.75"/>
    <n v="3006.75"/>
    <s v="MKT"/>
    <n v="5"/>
    <n v="75168.75"/>
    <n v="3006.75"/>
    <s v=""/>
  </r>
  <r>
    <x v="404"/>
    <x v="36"/>
    <s v="Friday"/>
    <d v="1899-12-30T13:24:43"/>
    <s v="FUTURE"/>
    <s v="SELL"/>
    <n v="-5"/>
    <s v="TO CLOSE"/>
    <x v="3"/>
    <d v="2020-06-20T00:00:00"/>
    <m/>
    <s v="FUTURE"/>
    <n v="3011.75"/>
    <n v="3011.75"/>
    <s v="LMT"/>
    <n v="0"/>
    <n v="0"/>
    <s v=""/>
    <n v="125"/>
  </r>
  <r>
    <x v="405"/>
    <x v="36"/>
    <s v="Friday"/>
    <d v="1899-12-30T11:07:24"/>
    <s v="STOCK"/>
    <s v="SELL"/>
    <n v="-200"/>
    <s v="TO OPEN"/>
    <x v="2"/>
    <m/>
    <m/>
    <s v="STOCK"/>
    <n v="34.93"/>
    <n v="34.93"/>
    <s v="LMT"/>
    <n v="-200"/>
    <n v="-6986"/>
    <n v="34.93"/>
    <s v=""/>
  </r>
  <r>
    <x v="405"/>
    <x v="36"/>
    <s v="Friday"/>
    <d v="1899-12-30T11:57:39"/>
    <s v="STOCK"/>
    <s v="BUY"/>
    <n v="200"/>
    <s v="TO CLOSE"/>
    <x v="2"/>
    <m/>
    <m/>
    <s v="STOCK"/>
    <n v="34.39"/>
    <n v="34.39"/>
    <s v="LMT"/>
    <n v="0"/>
    <n v="0"/>
    <s v=""/>
    <n v="107.99999999999983"/>
  </r>
  <r>
    <x v="406"/>
    <x v="37"/>
    <s v="Monday"/>
    <d v="1899-12-30T09:55:31"/>
    <s v="FUTURE"/>
    <s v="BUY"/>
    <n v="1"/>
    <s v="TO OPEN"/>
    <x v="6"/>
    <d v="2020-08-20T00:00:00"/>
    <m/>
    <s v="FUTURE"/>
    <n v="35.08"/>
    <n v="35.08"/>
    <s v="LMT"/>
    <n v="1"/>
    <n v="35080"/>
    <n v="35.08"/>
    <s v=""/>
  </r>
  <r>
    <x v="406"/>
    <x v="37"/>
    <s v="Monday"/>
    <d v="1899-12-30T10:30:39"/>
    <s v="FUTURE"/>
    <s v="SELL"/>
    <n v="-1"/>
    <s v="TO CLOSE"/>
    <x v="6"/>
    <d v="2020-08-20T00:00:00"/>
    <m/>
    <s v="FUTURE"/>
    <n v="35.369999999999997"/>
    <n v="35.369999999999997"/>
    <s v="LMT"/>
    <n v="0"/>
    <n v="0"/>
    <s v=""/>
    <n v="289.99999999999915"/>
  </r>
  <r>
    <x v="407"/>
    <x v="37"/>
    <s v="Monday"/>
    <d v="1899-12-30T10:46:39"/>
    <s v="FUTURE"/>
    <s v="SELL"/>
    <n v="-1"/>
    <s v="TO OPEN"/>
    <x v="6"/>
    <d v="2020-08-20T00:00:00"/>
    <m/>
    <s v="FUTURE"/>
    <n v="35.130000000000003"/>
    <n v="35.130000000000003"/>
    <s v="LMT"/>
    <n v="-1"/>
    <n v="-35130"/>
    <n v="35.130000000000003"/>
    <s v=""/>
  </r>
  <r>
    <x v="407"/>
    <x v="37"/>
    <s v="Monday"/>
    <d v="1899-12-30T10:53:51"/>
    <s v="FUTURE"/>
    <s v="BUY"/>
    <n v="1"/>
    <s v="TO CLOSE"/>
    <x v="6"/>
    <d v="2020-08-20T00:00:00"/>
    <m/>
    <s v="FUTURE"/>
    <n v="35.1"/>
    <n v="35.1"/>
    <s v="MKT"/>
    <n v="0"/>
    <n v="0"/>
    <s v=""/>
    <n v="30.000000000001137"/>
  </r>
  <r>
    <x v="408"/>
    <x v="37"/>
    <s v="Monday"/>
    <d v="1899-12-30T11:08:27"/>
    <s v="FUTURE"/>
    <s v="BUY"/>
    <n v="1"/>
    <s v="TO OPEN"/>
    <x v="6"/>
    <d v="2020-08-20T00:00:00"/>
    <m/>
    <s v="FUTURE"/>
    <n v="35.03"/>
    <n v="35.03"/>
    <s v="LMT"/>
    <n v="1"/>
    <n v="35030"/>
    <n v="35.03"/>
    <s v=""/>
  </r>
  <r>
    <x v="408"/>
    <x v="37"/>
    <s v="Monday"/>
    <d v="1899-12-30T11:18:06"/>
    <s v="FUTURE"/>
    <s v="SELL"/>
    <n v="-1"/>
    <s v="TO CLOSE"/>
    <x v="6"/>
    <d v="2020-08-20T00:00:00"/>
    <m/>
    <s v="FUTURE"/>
    <n v="35.28"/>
    <n v="35.28"/>
    <s v="LMT"/>
    <n v="0"/>
    <n v="0"/>
    <s v=""/>
    <n v="250"/>
  </r>
  <r>
    <x v="409"/>
    <x v="37"/>
    <s v="Monday"/>
    <d v="1899-12-30T11:43:47"/>
    <s v="FUTURE"/>
    <s v="BUY"/>
    <n v="1"/>
    <s v="TO OPEN"/>
    <x v="6"/>
    <d v="2020-08-20T00:00:00"/>
    <m/>
    <s v="FUTURE"/>
    <n v="35.19"/>
    <n v="35.19"/>
    <s v="MKT"/>
    <n v="1"/>
    <n v="35190"/>
    <n v="35.19"/>
    <s v=""/>
  </r>
  <r>
    <x v="409"/>
    <x v="37"/>
    <s v="Monday"/>
    <d v="1899-12-30T11:46:05"/>
    <s v="FUTURE"/>
    <s v="BUY"/>
    <n v="1"/>
    <s v="TO OPEN"/>
    <x v="6"/>
    <d v="2020-08-20T00:00:00"/>
    <m/>
    <s v="FUTURE"/>
    <n v="35.07"/>
    <n v="35.07"/>
    <s v="LMT"/>
    <n v="2"/>
    <n v="70260"/>
    <n v="35.130000000000003"/>
    <s v=""/>
  </r>
  <r>
    <x v="409"/>
    <x v="37"/>
    <s v="Monday"/>
    <d v="1899-12-30T11:48:52"/>
    <s v="FUTURE"/>
    <s v="SELL"/>
    <n v="-1"/>
    <s v="TO CLOSE"/>
    <x v="6"/>
    <d v="2020-08-20T00:00:00"/>
    <m/>
    <s v="FUTURE"/>
    <n v="35.11"/>
    <n v="35.11"/>
    <s v="LMT"/>
    <n v="1"/>
    <n v="35150"/>
    <n v="35.15"/>
    <s v=""/>
  </r>
  <r>
    <x v="409"/>
    <x v="37"/>
    <s v="Monday"/>
    <d v="1899-12-30T12:32:02"/>
    <s v="FUTURE"/>
    <s v="SELL"/>
    <n v="-1"/>
    <s v="TO CLOSE"/>
    <x v="6"/>
    <d v="2020-08-20T00:00:00"/>
    <m/>
    <s v="FUTURE"/>
    <n v="35.15"/>
    <n v="35.15"/>
    <s v="LMT"/>
    <n v="0"/>
    <n v="0"/>
    <s v=""/>
    <n v="0"/>
  </r>
  <r>
    <x v="410"/>
    <x v="37"/>
    <s v="Monday"/>
    <d v="1899-12-30T09:49:54"/>
    <s v="FUTURE"/>
    <s v="BUY"/>
    <n v="4"/>
    <s v="TO OPEN"/>
    <x v="3"/>
    <d v="2020-06-20T00:00:00"/>
    <m/>
    <s v="FUTURE"/>
    <n v="3041.75"/>
    <n v="3041.75"/>
    <s v="LMT"/>
    <n v="4"/>
    <n v="60835"/>
    <n v="3041.75"/>
    <s v=""/>
  </r>
  <r>
    <x v="410"/>
    <x v="37"/>
    <s v="Monday"/>
    <d v="1899-12-30T09:49:54"/>
    <s v="FUTURE"/>
    <s v="BUY"/>
    <n v="2"/>
    <s v="TO OPEN"/>
    <x v="3"/>
    <d v="2020-06-20T00:00:00"/>
    <m/>
    <s v="FUTURE"/>
    <n v="3041.75"/>
    <n v="3041.75"/>
    <s v="LMT"/>
    <n v="6"/>
    <n v="91252.5"/>
    <n v="3041.75"/>
    <s v=""/>
  </r>
  <r>
    <x v="410"/>
    <x v="37"/>
    <s v="Monday"/>
    <d v="1899-12-30T10:22:47"/>
    <s v="FUTURE"/>
    <s v="SELL"/>
    <n v="-1"/>
    <s v="TO CLOSE"/>
    <x v="3"/>
    <d v="2020-06-20T00:00:00"/>
    <m/>
    <s v="FUTURE"/>
    <n v="3045.75"/>
    <n v="3045.75"/>
    <s v="LMT"/>
    <n v="5"/>
    <n v="76023.75"/>
    <n v="3040.95"/>
    <s v=""/>
  </r>
  <r>
    <x v="410"/>
    <x v="37"/>
    <s v="Monday"/>
    <d v="1899-12-30T10:22:47"/>
    <s v="FUTURE"/>
    <s v="SELL"/>
    <n v="-1"/>
    <s v="TO CLOSE"/>
    <x v="3"/>
    <d v="2020-06-20T00:00:00"/>
    <m/>
    <s v="FUTURE"/>
    <n v="3045.75"/>
    <n v="3045.75"/>
    <s v="LMT"/>
    <n v="4"/>
    <n v="60795"/>
    <n v="3039.75"/>
    <s v=""/>
  </r>
  <r>
    <x v="410"/>
    <x v="37"/>
    <s v="Monday"/>
    <d v="1899-12-30T10:29:42"/>
    <s v="FUTURE"/>
    <s v="SELL"/>
    <n v="-2"/>
    <s v="TO CLOSE"/>
    <x v="3"/>
    <d v="2020-06-20T00:00:00"/>
    <m/>
    <s v="FUTURE"/>
    <n v="3046.75"/>
    <n v="3046.75"/>
    <s v="LMT"/>
    <n v="2"/>
    <n v="30327.5"/>
    <n v="3032.75"/>
    <s v=""/>
  </r>
  <r>
    <x v="410"/>
    <x v="37"/>
    <s v="Monday"/>
    <d v="1899-12-30T10:48:34"/>
    <s v="FUTURE"/>
    <s v="SELL"/>
    <n v="-2"/>
    <s v="TO CLOSE"/>
    <x v="3"/>
    <d v="2020-06-20T00:00:00"/>
    <m/>
    <s v="FUTURE"/>
    <n v="3046.75"/>
    <n v="3046.75"/>
    <s v="LMT"/>
    <n v="0"/>
    <n v="0"/>
    <s v=""/>
    <n v="140"/>
  </r>
  <r>
    <x v="411"/>
    <x v="37"/>
    <s v="Monday"/>
    <d v="1899-12-30T11:11:19"/>
    <s v="FUTURE"/>
    <s v="BUY"/>
    <n v="5"/>
    <s v="TO OPEN"/>
    <x v="3"/>
    <d v="2020-06-20T00:00:00"/>
    <m/>
    <s v="FUTURE"/>
    <n v="3041.5"/>
    <n v="3041.5"/>
    <s v="LMT"/>
    <n v="5"/>
    <n v="76037.5"/>
    <n v="3041.5"/>
    <s v=""/>
  </r>
  <r>
    <x v="411"/>
    <x v="37"/>
    <s v="Monday"/>
    <d v="1899-12-30T11:15:18"/>
    <s v="FUTURE"/>
    <s v="SELL"/>
    <n v="-2"/>
    <s v="TO CLOSE"/>
    <x v="3"/>
    <d v="2020-06-20T00:00:00"/>
    <m/>
    <s v="FUTURE"/>
    <n v="3043.5"/>
    <n v="3043.5"/>
    <s v="LMT"/>
    <n v="3"/>
    <n v="45602.5"/>
    <n v="3040.166666666667"/>
    <s v=""/>
  </r>
  <r>
    <x v="411"/>
    <x v="37"/>
    <s v="Monday"/>
    <d v="1899-12-30T11:19:29"/>
    <s v="FUTURE"/>
    <s v="SELL"/>
    <n v="-3"/>
    <s v="TO CLOSE"/>
    <x v="3"/>
    <d v="2020-06-20T00:00:00"/>
    <m/>
    <s v="FUTURE"/>
    <n v="3043"/>
    <n v="3043"/>
    <s v="LMT"/>
    <n v="0"/>
    <n v="0"/>
    <s v=""/>
    <n v="42.499999999995453"/>
  </r>
  <r>
    <x v="412"/>
    <x v="37"/>
    <s v="Monday"/>
    <d v="1899-12-30T11:43:36"/>
    <s v="FUTURE"/>
    <s v="BUY"/>
    <n v="5"/>
    <s v="TO OPEN"/>
    <x v="3"/>
    <d v="2020-06-20T00:00:00"/>
    <m/>
    <s v="FUTURE"/>
    <n v="3047.25"/>
    <n v="3047.25"/>
    <s v="MKT"/>
    <n v="5"/>
    <n v="76181.25"/>
    <n v="3047.25"/>
    <s v=""/>
  </r>
  <r>
    <x v="412"/>
    <x v="37"/>
    <s v="Monday"/>
    <d v="1899-12-30T12:09:31"/>
    <s v="FUTURE"/>
    <s v="SELL"/>
    <n v="-2"/>
    <s v="TO CLOSE"/>
    <x v="3"/>
    <d v="2020-06-20T00:00:00"/>
    <m/>
    <s v="FUTURE"/>
    <n v="3048.25"/>
    <n v="3048.25"/>
    <s v="LMT"/>
    <n v="3"/>
    <n v="45698.75"/>
    <n v="3046.583333333333"/>
    <s v=""/>
  </r>
  <r>
    <x v="412"/>
    <x v="37"/>
    <s v="Monday"/>
    <d v="1899-12-30T12:22:08"/>
    <s v="FUTURE"/>
    <s v="SELL"/>
    <n v="-3"/>
    <s v="TO CLOSE"/>
    <x v="3"/>
    <d v="2020-06-20T00:00:00"/>
    <m/>
    <s v="FUTURE"/>
    <n v="3049.75"/>
    <n v="3049.75"/>
    <s v="LMT"/>
    <n v="0"/>
    <n v="0"/>
    <s v=""/>
    <n v="47.500000000004547"/>
  </r>
  <r>
    <x v="413"/>
    <x v="38"/>
    <s v="Tuesday"/>
    <d v="1899-12-30T09:46:20"/>
    <s v="FUTURE"/>
    <s v="BUY"/>
    <n v="1"/>
    <s v="TO OPEN"/>
    <x v="6"/>
    <d v="2020-08-20T00:00:00"/>
    <m/>
    <s v="FUTURE"/>
    <n v="36.200000000000003"/>
    <n v="36.200000000000003"/>
    <s v="LMT"/>
    <n v="1"/>
    <n v="36200"/>
    <n v="36.200000000000003"/>
    <s v=""/>
  </r>
  <r>
    <x v="413"/>
    <x v="38"/>
    <s v="Tuesday"/>
    <d v="1899-12-30T09:59:32"/>
    <s v="FUTURE"/>
    <s v="SELL"/>
    <n v="-1"/>
    <s v="TO CLOSE"/>
    <x v="6"/>
    <d v="2020-08-20T00:00:00"/>
    <m/>
    <s v="FUTURE"/>
    <n v="36.28"/>
    <n v="36.28"/>
    <s v="LMT"/>
    <n v="0"/>
    <n v="0"/>
    <s v=""/>
    <n v="79.999999999998295"/>
  </r>
  <r>
    <x v="414"/>
    <x v="38"/>
    <s v="Tuesday"/>
    <d v="1899-12-30T10:04:32"/>
    <s v="FUTURE"/>
    <s v="SELL"/>
    <n v="-1"/>
    <s v="TO OPEN"/>
    <x v="6"/>
    <d v="2020-08-20T00:00:00"/>
    <m/>
    <s v="FUTURE"/>
    <n v="36.200000000000003"/>
    <n v="36.200000000000003"/>
    <s v="MKT"/>
    <n v="-1"/>
    <n v="-36200"/>
    <n v="36.200000000000003"/>
    <s v=""/>
  </r>
  <r>
    <x v="414"/>
    <x v="38"/>
    <s v="Tuesday"/>
    <d v="1899-12-30T10:55:31"/>
    <s v="FUTURE"/>
    <s v="SELL"/>
    <n v="-1"/>
    <s v="TO OPEN"/>
    <x v="6"/>
    <d v="2020-08-20T00:00:00"/>
    <m/>
    <s v="FUTURE"/>
    <n v="36.28"/>
    <n v="36.28"/>
    <s v="LMT"/>
    <n v="-2"/>
    <n v="-72480"/>
    <n v="36.24"/>
    <s v=""/>
  </r>
  <r>
    <x v="414"/>
    <x v="38"/>
    <s v="Tuesday"/>
    <d v="1899-12-30T10:56:36"/>
    <s v="FUTURE"/>
    <s v="BUY"/>
    <n v="1"/>
    <s v="TO CLOSE"/>
    <x v="6"/>
    <d v="2020-08-20T00:00:00"/>
    <m/>
    <s v="FUTURE"/>
    <n v="36.24"/>
    <n v="36.24"/>
    <s v="LMT"/>
    <n v="-1"/>
    <n v="-36240"/>
    <n v="36.24"/>
    <s v=""/>
  </r>
  <r>
    <x v="414"/>
    <x v="38"/>
    <s v="Tuesday"/>
    <d v="1899-12-30T11:02:50"/>
    <s v="FUTURE"/>
    <s v="SELL"/>
    <n v="-1"/>
    <s v="TO OPEN"/>
    <x v="6"/>
    <d v="2020-08-20T00:00:00"/>
    <m/>
    <s v="FUTURE"/>
    <n v="36.44"/>
    <n v="36.44"/>
    <s v="LMT"/>
    <n v="-2"/>
    <n v="-72680"/>
    <n v="36.340000000000003"/>
    <s v=""/>
  </r>
  <r>
    <x v="414"/>
    <x v="38"/>
    <s v="Tuesday"/>
    <d v="1899-12-30T11:04:02"/>
    <s v="FUTURE"/>
    <s v="BUY"/>
    <n v="1"/>
    <s v="TO CLOSE"/>
    <x v="6"/>
    <d v="2020-08-20T00:00:00"/>
    <m/>
    <s v="FUTURE"/>
    <n v="36.32"/>
    <n v="36.32"/>
    <s v="LMT"/>
    <n v="-1"/>
    <n v="-36360"/>
    <n v="36.36"/>
    <s v=""/>
  </r>
  <r>
    <x v="414"/>
    <x v="38"/>
    <s v="Tuesday"/>
    <d v="1899-12-30T11:11:56"/>
    <s v="FUTURE"/>
    <s v="BUY"/>
    <n v="1"/>
    <s v="TO CLOSE"/>
    <x v="6"/>
    <d v="2020-08-20T00:00:00"/>
    <m/>
    <s v="FUTURE"/>
    <n v="36.340000000000003"/>
    <n v="36.340000000000003"/>
    <s v="LMT"/>
    <n v="0"/>
    <n v="0"/>
    <s v=""/>
    <n v="19.999999999996021"/>
  </r>
  <r>
    <x v="415"/>
    <x v="38"/>
    <s v="Tuesday"/>
    <d v="1899-12-30T11:48:42"/>
    <s v="FUTURE"/>
    <s v="SELL"/>
    <n v="-1"/>
    <s v="TO OPEN"/>
    <x v="6"/>
    <d v="2020-08-20T00:00:00"/>
    <m/>
    <s v="FUTURE"/>
    <n v="36.5"/>
    <n v="36.5"/>
    <s v="LMT"/>
    <n v="-1"/>
    <n v="-36500"/>
    <n v="36.5"/>
    <s v=""/>
  </r>
  <r>
    <x v="415"/>
    <x v="38"/>
    <s v="Tuesday"/>
    <d v="1899-12-30T12:25:22"/>
    <s v="FUTURE"/>
    <s v="SELL"/>
    <n v="-1"/>
    <s v="TO OPEN"/>
    <x v="6"/>
    <d v="2020-08-20T00:00:00"/>
    <m/>
    <s v="FUTURE"/>
    <n v="36.68"/>
    <n v="36.68"/>
    <s v="LMT"/>
    <n v="-2"/>
    <n v="-73180"/>
    <n v="36.590000000000003"/>
    <s v=""/>
  </r>
  <r>
    <x v="415"/>
    <x v="38"/>
    <s v="Tuesday"/>
    <d v="1899-12-30T12:32:15"/>
    <s v="FUTURE"/>
    <s v="BUY"/>
    <n v="1"/>
    <s v="TO CLOSE"/>
    <x v="6"/>
    <d v="2020-08-20T00:00:00"/>
    <m/>
    <s v="FUTURE"/>
    <n v="36.770000000000003"/>
    <n v="36.770000000000003"/>
    <s v="LMT"/>
    <n v="-1"/>
    <n v="-36410"/>
    <n v="36.409999999999997"/>
    <s v=""/>
  </r>
  <r>
    <x v="415"/>
    <x v="38"/>
    <s v="Tuesday"/>
    <d v="1899-12-30T12:35:46"/>
    <s v="FUTURE"/>
    <s v="BUY"/>
    <n v="1"/>
    <s v="TO CLOSE"/>
    <x v="6"/>
    <d v="2020-08-20T00:00:00"/>
    <m/>
    <s v="FUTURE"/>
    <n v="36.85"/>
    <n v="36.85"/>
    <s v="STP"/>
    <n v="0"/>
    <n v="0"/>
    <s v=""/>
    <n v="-440.00000000000483"/>
  </r>
  <r>
    <x v="416"/>
    <x v="38"/>
    <s v="Tuesday"/>
    <d v="1899-12-30T12:46:37"/>
    <s v="FUTURE"/>
    <s v="SELL"/>
    <n v="-1"/>
    <s v="TO OPEN"/>
    <x v="6"/>
    <d v="2020-08-20T00:00:00"/>
    <m/>
    <s v="FUTURE"/>
    <n v="36.81"/>
    <n v="36.81"/>
    <s v="LMT"/>
    <n v="-1"/>
    <n v="-36810"/>
    <n v="36.81"/>
    <s v=""/>
  </r>
  <r>
    <x v="416"/>
    <x v="38"/>
    <s v="Tuesday"/>
    <d v="1899-12-30T12:55:46"/>
    <s v="FUTURE"/>
    <s v="SELL"/>
    <n v="-1"/>
    <s v="TO OPEN"/>
    <x v="6"/>
    <d v="2020-08-20T00:00:00"/>
    <m/>
    <s v="FUTURE"/>
    <n v="36.71"/>
    <n v="36.71"/>
    <s v="LMT"/>
    <n v="-2"/>
    <n v="-73520"/>
    <n v="36.76"/>
    <s v=""/>
  </r>
  <r>
    <x v="416"/>
    <x v="38"/>
    <s v="Tuesday"/>
    <d v="1899-12-30T12:57:01"/>
    <s v="FUTURE"/>
    <s v="BUY"/>
    <n v="1"/>
    <s v="TO CLOSE"/>
    <x v="6"/>
    <d v="2020-08-20T00:00:00"/>
    <m/>
    <s v="FUTURE"/>
    <n v="36.700000000000003"/>
    <n v="36.700000000000003"/>
    <s v="LMT"/>
    <n v="-1"/>
    <n v="-36820"/>
    <n v="36.82"/>
    <s v=""/>
  </r>
  <r>
    <x v="416"/>
    <x v="38"/>
    <s v="Tuesday"/>
    <d v="1899-12-30T13:48:12"/>
    <s v="FUTURE"/>
    <s v="BUY"/>
    <n v="1"/>
    <s v="TO CLOSE"/>
    <x v="6"/>
    <d v="2020-08-20T00:00:00"/>
    <m/>
    <s v="FUTURE"/>
    <n v="36.71"/>
    <n v="36.71"/>
    <s v="LMT"/>
    <n v="0"/>
    <n v="0"/>
    <s v=""/>
    <n v="109.99999999999943"/>
  </r>
  <r>
    <x v="417"/>
    <x v="38"/>
    <s v="Tuesday"/>
    <d v="1899-12-30T10:15:45"/>
    <s v="FUTURE"/>
    <s v="SELL"/>
    <n v="-1"/>
    <s v="TO OPEN"/>
    <x v="1"/>
    <d v="2020-06-20T00:00:00"/>
    <m/>
    <s v="FUTURE"/>
    <n v="3059.75"/>
    <n v="3059.75"/>
    <s v="MKT"/>
    <n v="-1"/>
    <n v="-152987.5"/>
    <n v="3059.75"/>
    <s v=""/>
  </r>
  <r>
    <x v="417"/>
    <x v="38"/>
    <s v="Tuesday"/>
    <d v="1899-12-30T10:53:19"/>
    <s v="FUTURE"/>
    <s v="BUY"/>
    <n v="1"/>
    <s v="TO CLOSE"/>
    <x v="1"/>
    <d v="2020-06-20T00:00:00"/>
    <m/>
    <s v="FUTURE"/>
    <n v="3058"/>
    <n v="3058"/>
    <s v="MKT"/>
    <n v="0"/>
    <n v="0"/>
    <s v=""/>
    <n v="87.5"/>
  </r>
  <r>
    <x v="418"/>
    <x v="38"/>
    <s v="Tuesday"/>
    <d v="1899-12-30T11:47:00"/>
    <s v="FUTURE"/>
    <s v="SELL"/>
    <n v="-1"/>
    <s v="TO OPEN"/>
    <x v="1"/>
    <d v="2020-06-20T00:00:00"/>
    <m/>
    <s v="FUTURE"/>
    <n v="3058"/>
    <n v="3058"/>
    <s v="LMT"/>
    <n v="-1"/>
    <n v="-152900"/>
    <n v="3058"/>
    <s v=""/>
  </r>
  <r>
    <x v="418"/>
    <x v="38"/>
    <s v="Tuesday"/>
    <d v="1899-12-30T11:51:51"/>
    <s v="FUTURE"/>
    <s v="BUY"/>
    <n v="1"/>
    <s v="TO CLOSE"/>
    <x v="1"/>
    <d v="2020-06-20T00:00:00"/>
    <m/>
    <s v="FUTURE"/>
    <n v="3055"/>
    <n v="3055"/>
    <s v="LMT"/>
    <n v="0"/>
    <n v="0"/>
    <s v=""/>
    <n v="150"/>
  </r>
  <r>
    <x v="419"/>
    <x v="38"/>
    <s v="Tuesday"/>
    <d v="1899-12-30T12:06:42"/>
    <s v="FUTURE"/>
    <s v="BUY"/>
    <n v="1"/>
    <s v="TO OPEN"/>
    <x v="1"/>
    <d v="2020-06-20T00:00:00"/>
    <m/>
    <s v="FUTURE"/>
    <n v="3057.75"/>
    <n v="3057.75"/>
    <s v="MKT"/>
    <n v="1"/>
    <n v="152887.5"/>
    <n v="3057.75"/>
    <s v=""/>
  </r>
  <r>
    <x v="419"/>
    <x v="38"/>
    <s v="Tuesday"/>
    <d v="1899-12-30T12:07:58"/>
    <s v="FUTURE"/>
    <s v="SELL"/>
    <n v="-1"/>
    <s v="TO CLOSE"/>
    <x v="1"/>
    <d v="2020-06-20T00:00:00"/>
    <m/>
    <s v="FUTURE"/>
    <n v="3058"/>
    <n v="3058"/>
    <s v="LMT"/>
    <n v="0"/>
    <n v="0"/>
    <s v=""/>
    <n v="12.5"/>
  </r>
  <r>
    <x v="420"/>
    <x v="38"/>
    <s v="Tuesday"/>
    <d v="1899-12-30T13:00:36"/>
    <s v="FUTURE"/>
    <s v="SELL"/>
    <n v="-1"/>
    <s v="TO OPEN"/>
    <x v="1"/>
    <d v="2020-06-20T00:00:00"/>
    <m/>
    <s v="FUTURE"/>
    <n v="3060.75"/>
    <n v="3060.75"/>
    <s v="LMT"/>
    <n v="-1"/>
    <n v="-153037.5"/>
    <n v="3060.75"/>
    <s v=""/>
  </r>
  <r>
    <x v="420"/>
    <x v="38"/>
    <s v="Tuesday"/>
    <d v="1899-12-30T13:41:51"/>
    <s v="FUTURE"/>
    <s v="BUY"/>
    <n v="2"/>
    <s v="TO CLOSE"/>
    <x v="1"/>
    <d v="2020-06-20T00:00:00"/>
    <m/>
    <s v="FUTURE"/>
    <n v="3066.75"/>
    <n v="3066.75"/>
    <s v="MKT"/>
    <n v="1"/>
    <n v="153637.5"/>
    <n v="3072.75"/>
    <s v=""/>
  </r>
  <r>
    <x v="420"/>
    <x v="38"/>
    <s v="Tuesday"/>
    <d v="1899-12-30T13:44:21"/>
    <s v="FUTURE"/>
    <s v="SELL"/>
    <n v="-1"/>
    <s v="TO CLOSE"/>
    <x v="1"/>
    <d v="2020-06-20T00:00:00"/>
    <m/>
    <s v="FUTURE"/>
    <n v="3067.75"/>
    <n v="3067.75"/>
    <s v="LMT"/>
    <n v="0"/>
    <n v="0"/>
    <s v=""/>
    <n v="-250"/>
  </r>
  <r>
    <x v="421"/>
    <x v="38"/>
    <s v="Tuesday"/>
    <d v="1899-12-30T14:23:37"/>
    <s v="FUTURE"/>
    <s v="SELL"/>
    <n v="-1"/>
    <s v="TO OPEN"/>
    <x v="1"/>
    <d v="2020-06-20T00:00:00"/>
    <m/>
    <s v="FUTURE"/>
    <n v="3066.75"/>
    <n v="3066.75"/>
    <s v="LMT"/>
    <n v="-1"/>
    <n v="-153337.5"/>
    <n v="3066.75"/>
    <s v=""/>
  </r>
  <r>
    <x v="421"/>
    <x v="38"/>
    <s v="Tuesday"/>
    <d v="1899-12-30T14:28:24"/>
    <s v="FUTURE"/>
    <s v="BUY"/>
    <n v="1"/>
    <s v="TO CLOSE"/>
    <x v="1"/>
    <d v="2020-06-20T00:00:00"/>
    <m/>
    <s v="FUTURE"/>
    <n v="3064.25"/>
    <n v="3064.25"/>
    <s v="LMT"/>
    <n v="0"/>
    <n v="0"/>
    <s v=""/>
    <n v="125"/>
  </r>
  <r>
    <x v="422"/>
    <x v="38"/>
    <s v="Tuesday"/>
    <d v="1899-12-30T11:59:32"/>
    <s v="STOCK"/>
    <s v="BUY"/>
    <n v="400"/>
    <s v="TO OPEN"/>
    <x v="2"/>
    <m/>
    <m/>
    <s v="STOCK"/>
    <n v="33.228400000000001"/>
    <n v="33.228400000000001"/>
    <s v="MKT"/>
    <n v="400"/>
    <n v="13291.36"/>
    <n v="33.228400000000001"/>
    <s v=""/>
  </r>
  <r>
    <x v="422"/>
    <x v="38"/>
    <s v="Tuesday"/>
    <d v="1899-12-30T12:04:14"/>
    <s v="STOCK"/>
    <s v="SELL"/>
    <n v="-200"/>
    <s v="TO CLOSE"/>
    <x v="2"/>
    <m/>
    <m/>
    <s v="STOCK"/>
    <n v="33.229999999999997"/>
    <n v="33.229999999999997"/>
    <s v="LMT"/>
    <n v="200"/>
    <n v="6645.3600000000015"/>
    <n v="33.226800000000004"/>
    <s v=""/>
  </r>
  <r>
    <x v="422"/>
    <x v="38"/>
    <s v="Tuesday"/>
    <d v="1899-12-30T12:04:14"/>
    <s v="STOCK"/>
    <s v="SELL"/>
    <n v="-200"/>
    <s v="TO CLOSE"/>
    <x v="2"/>
    <m/>
    <m/>
    <s v="STOCK"/>
    <n v="33.229999999999997"/>
    <n v="33.229999999999997"/>
    <s v="LMT"/>
    <n v="0"/>
    <n v="0"/>
    <s v=""/>
    <n v="0.63999999999850843"/>
  </r>
  <r>
    <x v="423"/>
    <x v="38"/>
    <s v="Tuesday"/>
    <d v="1899-12-30T14:30:46"/>
    <s v="STOCK"/>
    <s v="BUY"/>
    <n v="400"/>
    <s v="TO OPEN"/>
    <x v="2"/>
    <m/>
    <m/>
    <s v="STOCK"/>
    <n v="32.849899999999998"/>
    <n v="32.849899999999998"/>
    <s v="MKT"/>
    <n v="400"/>
    <n v="13139.96"/>
    <n v="32.849899999999998"/>
    <s v=""/>
  </r>
  <r>
    <x v="423"/>
    <x v="38"/>
    <s v="Tuesday"/>
    <d v="1899-12-30T14:32:14"/>
    <s v="STOCK"/>
    <s v="SELL"/>
    <n v="-400"/>
    <s v="TO CLOSE"/>
    <x v="2"/>
    <m/>
    <m/>
    <s v="STOCK"/>
    <n v="32.85"/>
    <n v="32.85"/>
    <s v="LMT"/>
    <n v="0"/>
    <n v="0"/>
    <s v=""/>
    <n v="4.0000000001327862E-2"/>
  </r>
  <r>
    <x v="424"/>
    <x v="39"/>
    <s v="Wednesday"/>
    <d v="1899-12-30T09:50:57"/>
    <s v="FUTURE"/>
    <s v="SELL"/>
    <n v="-1"/>
    <s v="TO OPEN"/>
    <x v="6"/>
    <d v="2020-08-20T00:00:00"/>
    <m/>
    <s v="FUTURE"/>
    <n v="37.119999999999997"/>
    <n v="37.119999999999997"/>
    <s v="LMT"/>
    <n v="-1"/>
    <n v="-37120"/>
    <n v="37.119999999999997"/>
    <s v=""/>
  </r>
  <r>
    <x v="424"/>
    <x v="39"/>
    <s v="Wednesday"/>
    <d v="1899-12-30T09:54:34"/>
    <s v="FUTURE"/>
    <s v="BUY"/>
    <n v="1"/>
    <s v="TO CLOSE"/>
    <x v="6"/>
    <d v="2020-08-20T00:00:00"/>
    <m/>
    <s v="FUTURE"/>
    <n v="36.9"/>
    <n v="36.9"/>
    <s v="LMT"/>
    <n v="0"/>
    <n v="0"/>
    <s v=""/>
    <n v="219.99999999999886"/>
  </r>
  <r>
    <x v="425"/>
    <x v="39"/>
    <s v="Wednesday"/>
    <d v="1899-12-30T10:30:44"/>
    <s v="FUTURE"/>
    <s v="SELL"/>
    <n v="-1"/>
    <s v="TO OPEN"/>
    <x v="6"/>
    <d v="2020-08-20T00:00:00"/>
    <m/>
    <s v="FUTURE"/>
    <n v="36.99"/>
    <n v="36.99"/>
    <s v="LMT"/>
    <n v="-1"/>
    <n v="-36990"/>
    <n v="36.99"/>
    <s v=""/>
  </r>
  <r>
    <x v="425"/>
    <x v="39"/>
    <s v="Wednesday"/>
    <d v="1899-12-30T10:31:24"/>
    <s v="FUTURE"/>
    <s v="BUY"/>
    <n v="1"/>
    <s v="TO CLOSE"/>
    <x v="6"/>
    <d v="2020-08-20T00:00:00"/>
    <m/>
    <s v="FUTURE"/>
    <n v="36.83"/>
    <n v="36.83"/>
    <s v="MKT"/>
    <n v="0"/>
    <n v="0"/>
    <s v=""/>
    <n v="160.00000000000369"/>
  </r>
  <r>
    <x v="426"/>
    <x v="39"/>
    <s v="Wednesday"/>
    <d v="1899-12-30T10:40:30"/>
    <s v="FUTURE"/>
    <s v="SELL"/>
    <n v="-1"/>
    <s v="TO OPEN"/>
    <x v="6"/>
    <d v="2020-08-20T00:00:00"/>
    <m/>
    <s v="FUTURE"/>
    <n v="36.659999999999997"/>
    <n v="36.659999999999997"/>
    <s v="LMT"/>
    <n v="-1"/>
    <n v="-36660"/>
    <n v="36.659999999999997"/>
    <s v=""/>
  </r>
  <r>
    <x v="426"/>
    <x v="39"/>
    <s v="Wednesday"/>
    <d v="1899-12-30T10:42:47"/>
    <s v="FUTURE"/>
    <s v="BUY"/>
    <n v="1"/>
    <s v="TO CLOSE"/>
    <x v="6"/>
    <d v="2020-08-20T00:00:00"/>
    <m/>
    <s v="FUTURE"/>
    <n v="36.64"/>
    <n v="36.64"/>
    <s v="LMT"/>
    <n v="0"/>
    <n v="0"/>
    <s v=""/>
    <n v="19.999999999996021"/>
  </r>
  <r>
    <x v="427"/>
    <x v="39"/>
    <s v="Wednesday"/>
    <d v="1899-12-30T14:26:33"/>
    <s v="FUTURE"/>
    <s v="SELL"/>
    <n v="-1"/>
    <s v="TO OPEN"/>
    <x v="6"/>
    <d v="2020-08-20T00:00:00"/>
    <m/>
    <s v="FUTURE"/>
    <n v="37.22"/>
    <n v="37.22"/>
    <s v="LMT"/>
    <n v="-1"/>
    <n v="-37220"/>
    <n v="37.22"/>
    <s v=""/>
  </r>
  <r>
    <x v="427"/>
    <x v="39"/>
    <s v="Wednesday"/>
    <d v="1899-12-30T14:27:47"/>
    <s v="FUTURE"/>
    <s v="SELL"/>
    <n v="-1"/>
    <s v="TO OPEN"/>
    <x v="6"/>
    <d v="2020-08-20T00:00:00"/>
    <m/>
    <s v="FUTURE"/>
    <n v="37.42"/>
    <n v="37.42"/>
    <s v="LMT"/>
    <n v="-2"/>
    <n v="-74640"/>
    <n v="37.32"/>
    <s v=""/>
  </r>
  <r>
    <x v="427"/>
    <x v="39"/>
    <s v="Wednesday"/>
    <d v="1899-12-30T15:11:17"/>
    <s v="FUTURE"/>
    <s v="BUY"/>
    <n v="1"/>
    <s v="TO CLOSE"/>
    <x v="6"/>
    <d v="2020-08-20T00:00:00"/>
    <m/>
    <s v="FUTURE"/>
    <n v="37.4"/>
    <n v="37.4"/>
    <s v="LMT"/>
    <n v="-1"/>
    <n v="-37240"/>
    <n v="37.24"/>
    <s v=""/>
  </r>
  <r>
    <x v="427"/>
    <x v="39"/>
    <s v="Wednesday"/>
    <d v="1899-12-30T15:14:45"/>
    <s v="FUTURE"/>
    <s v="BUY"/>
    <n v="1"/>
    <s v="TO CLOSE"/>
    <x v="6"/>
    <d v="2020-08-20T00:00:00"/>
    <m/>
    <s v="FUTURE"/>
    <n v="37.31"/>
    <n v="37.31"/>
    <s v="LMT"/>
    <n v="0"/>
    <n v="0"/>
    <s v=""/>
    <n v="-70.000000000000284"/>
  </r>
  <r>
    <x v="428"/>
    <x v="39"/>
    <s v="Wednesday"/>
    <d v="1899-12-30T09:46:50"/>
    <s v="FUTURE"/>
    <s v="SELL"/>
    <n v="-1"/>
    <s v="TO OPEN"/>
    <x v="1"/>
    <d v="2020-06-20T00:00:00"/>
    <m/>
    <s v="FUTURE"/>
    <n v="3101.75"/>
    <n v="3101.75"/>
    <s v="LMT"/>
    <n v="-1"/>
    <n v="-155087.5"/>
    <n v="3101.75"/>
    <s v=""/>
  </r>
  <r>
    <x v="428"/>
    <x v="39"/>
    <s v="Wednesday"/>
    <d v="1899-12-30T13:13:49"/>
    <s v="FUTURE"/>
    <s v="BUY"/>
    <n v="2"/>
    <s v="TO CLOSE"/>
    <x v="1"/>
    <d v="2020-06-20T00:00:00"/>
    <m/>
    <s v="FUTURE"/>
    <n v="3111"/>
    <n v="3111"/>
    <s v="MKT"/>
    <n v="1"/>
    <n v="156012.5"/>
    <n v="3120.25"/>
    <s v=""/>
  </r>
  <r>
    <x v="428"/>
    <x v="39"/>
    <s v="Wednesday"/>
    <d v="1899-12-30T13:30:31"/>
    <s v="FUTURE"/>
    <s v="SELL"/>
    <n v="-2"/>
    <s v="TO CLOSE"/>
    <x v="1"/>
    <d v="2020-06-20T00:00:00"/>
    <m/>
    <s v="FUTURE"/>
    <n v="3112"/>
    <n v="3112"/>
    <s v="LMT"/>
    <n v="-1"/>
    <n v="-155187.5"/>
    <n v="3103.75"/>
    <s v=""/>
  </r>
  <r>
    <x v="428"/>
    <x v="39"/>
    <s v="Wednesday"/>
    <d v="1899-12-30T13:47:21"/>
    <s v="FUTURE"/>
    <s v="BUY"/>
    <n v="1"/>
    <s v="TO CLOSE"/>
    <x v="1"/>
    <d v="2020-06-20T00:00:00"/>
    <m/>
    <s v="FUTURE"/>
    <n v="3111.75"/>
    <n v="3111.75"/>
    <s v="LMT"/>
    <n v="0"/>
    <n v="0"/>
    <s v=""/>
    <n v="-400"/>
  </r>
  <r>
    <x v="429"/>
    <x v="39"/>
    <s v="Wednesday"/>
    <d v="1899-12-30T13:54:50"/>
    <s v="FUTURE"/>
    <s v="BUY"/>
    <n v="1"/>
    <s v="TO OPEN"/>
    <x v="1"/>
    <d v="2020-06-20T00:00:00"/>
    <m/>
    <s v="FUTURE"/>
    <n v="3110.25"/>
    <n v="3110.25"/>
    <s v="LMT"/>
    <n v="1"/>
    <n v="155512.5"/>
    <n v="3110.25"/>
    <s v=""/>
  </r>
  <r>
    <x v="429"/>
    <x v="39"/>
    <s v="Wednesday"/>
    <d v="1899-12-30T14:02:48"/>
    <s v="FUTURE"/>
    <s v="SELL"/>
    <n v="-1"/>
    <s v="TO CLOSE"/>
    <x v="1"/>
    <d v="2020-06-20T00:00:00"/>
    <m/>
    <s v="FUTURE"/>
    <n v="3115.75"/>
    <n v="3115.75"/>
    <s v="LMT"/>
    <n v="0"/>
    <n v="0"/>
    <s v=""/>
    <n v="275"/>
  </r>
  <r>
    <x v="430"/>
    <x v="39"/>
    <s v="Wednesday"/>
    <d v="1899-12-30T15:34:56"/>
    <s v="FUTURE"/>
    <s v="SELL"/>
    <n v="-1"/>
    <s v="TO OPEN"/>
    <x v="1"/>
    <d v="2020-06-20T00:00:00"/>
    <m/>
    <s v="FUTURE"/>
    <n v="3122.5"/>
    <n v="3122.5"/>
    <s v="LMT"/>
    <n v="-1"/>
    <n v="-156125"/>
    <n v="3122.5"/>
    <s v=""/>
  </r>
  <r>
    <x v="430"/>
    <x v="39"/>
    <s v="Wednesday"/>
    <d v="1899-12-30T15:55:09"/>
    <s v="FUTURE"/>
    <s v="BUY"/>
    <n v="1"/>
    <s v="TO CLOSE"/>
    <x v="1"/>
    <d v="2020-06-20T00:00:00"/>
    <m/>
    <s v="FUTURE"/>
    <n v="3122.25"/>
    <n v="3122.25"/>
    <s v="LMT"/>
    <n v="0"/>
    <n v="0"/>
    <s v=""/>
    <n v="12.5"/>
  </r>
  <r>
    <x v="431"/>
    <x v="39"/>
    <s v="Wednesday"/>
    <d v="1899-12-30T10:23:17"/>
    <s v="FUTURE"/>
    <s v="SELL"/>
    <n v="-3"/>
    <s v="TO OPEN"/>
    <x v="3"/>
    <d v="2020-06-20T00:00:00"/>
    <m/>
    <s v="FUTURE"/>
    <n v="3103.25"/>
    <n v="3103.25"/>
    <s v="LMT"/>
    <n v="-3"/>
    <n v="-46548.75"/>
    <n v="3103.25"/>
    <s v=""/>
  </r>
  <r>
    <x v="431"/>
    <x v="39"/>
    <s v="Wednesday"/>
    <d v="1899-12-30T10:23:17"/>
    <s v="FUTURE"/>
    <s v="SELL"/>
    <n v="-1"/>
    <s v="TO OPEN"/>
    <x v="3"/>
    <d v="2020-06-20T00:00:00"/>
    <m/>
    <s v="FUTURE"/>
    <n v="3103.25"/>
    <n v="3103.25"/>
    <s v="LMT"/>
    <n v="-4"/>
    <n v="-62065"/>
    <n v="3103.25"/>
    <s v=""/>
  </r>
  <r>
    <x v="431"/>
    <x v="39"/>
    <s v="Wednesday"/>
    <d v="1899-12-30T10:25:33"/>
    <s v="FUTURE"/>
    <s v="SELL"/>
    <n v="-1"/>
    <s v="TO OPEN"/>
    <x v="3"/>
    <d v="2020-06-20T00:00:00"/>
    <m/>
    <s v="FUTURE"/>
    <n v="3104.5"/>
    <n v="3104.5"/>
    <s v="LMT"/>
    <n v="-5"/>
    <n v="-77587.5"/>
    <n v="3103.5"/>
    <s v=""/>
  </r>
  <r>
    <x v="431"/>
    <x v="39"/>
    <s v="Wednesday"/>
    <d v="1899-12-30T10:32:01"/>
    <s v="FUTURE"/>
    <s v="SELL"/>
    <n v="-1"/>
    <s v="TO OPEN"/>
    <x v="3"/>
    <d v="2020-06-20T00:00:00"/>
    <m/>
    <s v="FUTURE"/>
    <n v="3106.5"/>
    <n v="3106.5"/>
    <s v="LMT"/>
    <n v="-6"/>
    <n v="-93120"/>
    <n v="3104"/>
    <s v=""/>
  </r>
  <r>
    <x v="431"/>
    <x v="39"/>
    <s v="Wednesday"/>
    <d v="1899-12-30T11:01:46"/>
    <s v="FUTURE"/>
    <s v="SELL"/>
    <n v="-2"/>
    <s v="TO OPEN"/>
    <x v="3"/>
    <d v="2020-06-20T00:00:00"/>
    <m/>
    <s v="FUTURE"/>
    <n v="3110"/>
    <n v="3110"/>
    <s v="LMT"/>
    <n v="-8"/>
    <n v="-124220"/>
    <n v="3105.5"/>
    <s v=""/>
  </r>
  <r>
    <x v="431"/>
    <x v="39"/>
    <s v="Wednesday"/>
    <d v="1899-12-30T13:14:47"/>
    <s v="FUTURE"/>
    <s v="BUY"/>
    <n v="8"/>
    <s v="TO CLOSE"/>
    <x v="3"/>
    <d v="2020-06-20T00:00:00"/>
    <m/>
    <s v="FUTURE"/>
    <n v="3111.25"/>
    <n v="3111.25"/>
    <s v="LMT"/>
    <n v="0"/>
    <n v="0"/>
    <s v=""/>
    <n v="-230"/>
  </r>
  <r>
    <x v="432"/>
    <x v="39"/>
    <s v="Wednesday"/>
    <d v="1899-12-30T14:32:20"/>
    <s v="FUTURE"/>
    <s v="SELL"/>
    <n v="-1"/>
    <s v="TO OPEN"/>
    <x v="3"/>
    <d v="2020-06-20T00:00:00"/>
    <m/>
    <s v="FUTURE"/>
    <n v="3115.5"/>
    <n v="3115.5"/>
    <s v="LMT"/>
    <n v="-1"/>
    <n v="-15577.5"/>
    <n v="3115.5"/>
    <s v=""/>
  </r>
  <r>
    <x v="432"/>
    <x v="39"/>
    <s v="Wednesday"/>
    <d v="1899-12-30T14:32:20"/>
    <s v="FUTURE"/>
    <s v="SELL"/>
    <n v="-5"/>
    <s v="TO OPEN"/>
    <x v="3"/>
    <d v="2020-06-20T00:00:00"/>
    <m/>
    <s v="FUTURE"/>
    <n v="3115.5"/>
    <n v="3115.5"/>
    <s v="LMT"/>
    <n v="-6"/>
    <n v="-93465"/>
    <n v="3115.5"/>
    <s v=""/>
  </r>
  <r>
    <x v="432"/>
    <x v="39"/>
    <s v="Wednesday"/>
    <d v="1899-12-30T15:15:20"/>
    <s v="FUTURE"/>
    <s v="SELL"/>
    <n v="-2"/>
    <s v="TO OPEN"/>
    <x v="3"/>
    <d v="2020-06-20T00:00:00"/>
    <m/>
    <s v="FUTURE"/>
    <n v="3119.5"/>
    <n v="3119.5"/>
    <s v="LMT"/>
    <n v="-8"/>
    <n v="-124660"/>
    <n v="3116.5"/>
    <s v=""/>
  </r>
  <r>
    <x v="432"/>
    <x v="39"/>
    <s v="Wednesday"/>
    <d v="1899-12-30T15:57:35"/>
    <s v="FUTURE"/>
    <s v="BUY"/>
    <n v="1"/>
    <s v="TO CLOSE"/>
    <x v="3"/>
    <d v="2020-06-20T00:00:00"/>
    <m/>
    <s v="FUTURE"/>
    <n v="3118.5"/>
    <n v="3118.5"/>
    <s v="LMT"/>
    <n v="-7"/>
    <n v="-109067.5"/>
    <n v="3116.2142857142858"/>
    <s v=""/>
  </r>
  <r>
    <x v="432"/>
    <x v="39"/>
    <s v="Wednesday"/>
    <d v="1899-12-30T15:57:36"/>
    <s v="FUTURE"/>
    <s v="BUY"/>
    <n v="1"/>
    <s v="TO CLOSE"/>
    <x v="3"/>
    <d v="2020-06-20T00:00:00"/>
    <m/>
    <s v="FUTURE"/>
    <n v="3118.5"/>
    <n v="3118.5"/>
    <s v="LMT"/>
    <n v="-6"/>
    <n v="-93475"/>
    <n v="3115.833333333333"/>
    <s v=""/>
  </r>
  <r>
    <x v="432"/>
    <x v="39"/>
    <s v="Wednesday"/>
    <d v="1899-12-30T15:57:36"/>
    <s v="FUTURE"/>
    <s v="BUY"/>
    <n v="1"/>
    <s v="TO CLOSE"/>
    <x v="3"/>
    <d v="2020-06-20T00:00:00"/>
    <m/>
    <s v="FUTURE"/>
    <n v="3118.5"/>
    <n v="3118.5"/>
    <s v="LMT"/>
    <n v="-5"/>
    <n v="-77882.5"/>
    <n v="3115.3"/>
    <s v=""/>
  </r>
  <r>
    <x v="432"/>
    <x v="39"/>
    <s v="Wednesday"/>
    <d v="1899-12-30T15:57:36"/>
    <s v="FUTURE"/>
    <s v="BUY"/>
    <n v="1"/>
    <s v="TO CLOSE"/>
    <x v="3"/>
    <d v="2020-06-20T00:00:00"/>
    <m/>
    <s v="FUTURE"/>
    <n v="3118.5"/>
    <n v="3118.5"/>
    <s v="LMT"/>
    <n v="-4"/>
    <n v="-62290"/>
    <n v="3114.5"/>
    <s v=""/>
  </r>
  <r>
    <x v="432"/>
    <x v="39"/>
    <s v="Wednesday"/>
    <d v="1899-12-30T15:58:24"/>
    <s v="FUTURE"/>
    <s v="BUY"/>
    <n v="4"/>
    <s v="TO CLOSE"/>
    <x v="3"/>
    <d v="2020-06-20T00:00:00"/>
    <m/>
    <s v="FUTURE"/>
    <n v="3117.5"/>
    <n v="3117.5"/>
    <s v="LMT"/>
    <n v="0"/>
    <n v="0"/>
    <s v=""/>
    <n v="-60"/>
  </r>
  <r>
    <x v="433"/>
    <x v="39"/>
    <s v="Wednesday"/>
    <d v="1899-12-30T11:32:56"/>
    <s v="STOCK"/>
    <s v="BUY"/>
    <n v="109"/>
    <s v="TO OPEN"/>
    <x v="2"/>
    <m/>
    <m/>
    <s v="STOCK"/>
    <n v="31.6"/>
    <n v="31.6"/>
    <s v="LMT"/>
    <n v="109"/>
    <n v="3444.4"/>
    <n v="31.6"/>
    <s v=""/>
  </r>
  <r>
    <x v="433"/>
    <x v="39"/>
    <s v="Wednesday"/>
    <d v="1899-12-30T11:32:56"/>
    <s v="STOCK"/>
    <s v="BUY"/>
    <n v="291"/>
    <s v="TO OPEN"/>
    <x v="2"/>
    <m/>
    <m/>
    <s v="STOCK"/>
    <n v="31.6"/>
    <n v="31.6"/>
    <s v="LMT"/>
    <n v="400"/>
    <n v="12640"/>
    <n v="31.6"/>
    <s v=""/>
  </r>
  <r>
    <x v="433"/>
    <x v="39"/>
    <s v="Wednesday"/>
    <d v="1899-12-30T11:38:50"/>
    <s v="STOCK"/>
    <s v="SELL"/>
    <n v="-200"/>
    <s v="TO CLOSE"/>
    <x v="2"/>
    <m/>
    <m/>
    <s v="STOCK"/>
    <n v="31.715"/>
    <n v="31.715"/>
    <s v="LMT"/>
    <n v="200"/>
    <n v="6297"/>
    <n v="31.484999999999999"/>
    <s v=""/>
  </r>
  <r>
    <x v="433"/>
    <x v="39"/>
    <s v="Wednesday"/>
    <d v="1899-12-30T11:44:18"/>
    <s v="STOCK"/>
    <s v="SELL"/>
    <n v="-200"/>
    <s v="TO CLOSE"/>
    <x v="2"/>
    <m/>
    <m/>
    <s v="STOCK"/>
    <n v="31.722899999999999"/>
    <n v="31.722899999999999"/>
    <s v="LMT"/>
    <n v="0"/>
    <n v="0"/>
    <s v=""/>
    <n v="47.579999999999956"/>
  </r>
  <r>
    <x v="434"/>
    <x v="40"/>
    <s v="Thursday"/>
    <d v="1899-12-30T09:47:36"/>
    <s v="FUTURE"/>
    <s v="SELL"/>
    <n v="-1"/>
    <s v="TO OPEN"/>
    <x v="6"/>
    <d v="2020-08-20T00:00:00"/>
    <m/>
    <s v="FUTURE"/>
    <n v="36.9"/>
    <n v="36.9"/>
    <s v="LMT"/>
    <n v="-1"/>
    <n v="-36900"/>
    <n v="36.9"/>
    <s v=""/>
  </r>
  <r>
    <x v="434"/>
    <x v="40"/>
    <s v="Thursday"/>
    <d v="1899-12-30T10:00:56"/>
    <s v="FUTURE"/>
    <s v="BUY"/>
    <n v="1"/>
    <s v="TO CLOSE"/>
    <x v="6"/>
    <d v="2020-08-20T00:00:00"/>
    <m/>
    <s v="FUTURE"/>
    <n v="37.1"/>
    <n v="37.1"/>
    <s v="STP"/>
    <n v="0"/>
    <n v="0"/>
    <s v=""/>
    <n v="-200.00000000000284"/>
  </r>
  <r>
    <x v="435"/>
    <x v="40"/>
    <s v="Thursday"/>
    <d v="1899-12-30T10:01:14"/>
    <s v="FUTURE"/>
    <s v="BUY"/>
    <n v="2"/>
    <s v="TO OPEN"/>
    <x v="6"/>
    <d v="2020-08-20T00:00:00"/>
    <m/>
    <s v="FUTURE"/>
    <n v="37.119999999999997"/>
    <n v="37.119999999999997"/>
    <s v="MKT"/>
    <n v="2"/>
    <n v="74240"/>
    <n v="37.119999999999997"/>
    <s v=""/>
  </r>
  <r>
    <x v="435"/>
    <x v="40"/>
    <s v="Thursday"/>
    <d v="1899-12-30T10:15:31"/>
    <s v="FUTURE"/>
    <s v="SELL"/>
    <n v="-1"/>
    <s v="TO CLOSE"/>
    <x v="6"/>
    <d v="2020-08-20T00:00:00"/>
    <m/>
    <s v="FUTURE"/>
    <n v="37.22"/>
    <n v="37.22"/>
    <s v="LMT"/>
    <n v="1"/>
    <n v="37020"/>
    <n v="37.020000000000003"/>
    <s v=""/>
  </r>
  <r>
    <x v="435"/>
    <x v="40"/>
    <s v="Thursday"/>
    <d v="1899-12-30T10:23:47"/>
    <s v="FUTURE"/>
    <s v="SELL"/>
    <n v="-1"/>
    <s v="TO CLOSE"/>
    <x v="6"/>
    <d v="2020-08-20T00:00:00"/>
    <m/>
    <s v="FUTURE"/>
    <n v="37.020000000000003"/>
    <n v="37.020000000000003"/>
    <s v="MKT"/>
    <n v="0"/>
    <n v="0"/>
    <s v=""/>
    <n v="0"/>
  </r>
  <r>
    <x v="436"/>
    <x v="40"/>
    <s v="Thursday"/>
    <d v="1899-12-30T10:23:47"/>
    <s v="FUTURE"/>
    <s v="SELL"/>
    <n v="-1"/>
    <s v="TO CLOSE"/>
    <x v="6"/>
    <d v="2020-08-20T00:00:00"/>
    <m/>
    <s v="FUTURE"/>
    <n v="37.020000000000003"/>
    <n v="37.020000000000003"/>
    <s v="MKT"/>
    <n v="-1"/>
    <n v="-37020"/>
    <n v="37.020000000000003"/>
    <s v=""/>
  </r>
  <r>
    <x v="436"/>
    <x v="40"/>
    <s v="Thursday"/>
    <d v="1899-12-30T10:23:47"/>
    <s v="FUTURE"/>
    <s v="SELL"/>
    <n v="-1"/>
    <s v="TO CLOSE"/>
    <x v="6"/>
    <d v="2020-08-20T00:00:00"/>
    <m/>
    <s v="FUTURE"/>
    <n v="37.03"/>
    <n v="37.03"/>
    <s v="MKT"/>
    <n v="-2"/>
    <n v="-74050"/>
    <n v="37.024999999999999"/>
    <s v=""/>
  </r>
  <r>
    <x v="436"/>
    <x v="40"/>
    <s v="Thursday"/>
    <d v="1899-12-30T10:41:11"/>
    <s v="FUTURE"/>
    <s v="BUY"/>
    <n v="2"/>
    <s v="TO CLOSE"/>
    <x v="6"/>
    <d v="2020-08-20T00:00:00"/>
    <m/>
    <s v="FUTURE"/>
    <n v="37.15"/>
    <n v="37.15"/>
    <s v="STP"/>
    <n v="0"/>
    <n v="0"/>
    <s v=""/>
    <n v="-250"/>
  </r>
  <r>
    <x v="437"/>
    <x v="40"/>
    <s v="Thursday"/>
    <d v="1899-12-30T10:43:33"/>
    <s v="FUTURE"/>
    <s v="SELL"/>
    <n v="-1"/>
    <s v="TO OPEN"/>
    <x v="6"/>
    <d v="2020-08-20T00:00:00"/>
    <m/>
    <s v="FUTURE"/>
    <n v="37.07"/>
    <n v="37.07"/>
    <s v="LMT"/>
    <n v="-1"/>
    <n v="-37070"/>
    <n v="37.07"/>
    <s v=""/>
  </r>
  <r>
    <x v="437"/>
    <x v="40"/>
    <s v="Thursday"/>
    <d v="1899-12-30T11:02:50"/>
    <s v="FUTURE"/>
    <s v="BUY"/>
    <n v="1"/>
    <s v="TO CLOSE"/>
    <x v="6"/>
    <d v="2020-08-20T00:00:00"/>
    <m/>
    <s v="FUTURE"/>
    <n v="36.979999999999997"/>
    <n v="36.979999999999997"/>
    <s v="LMT"/>
    <n v="0"/>
    <n v="0"/>
    <s v=""/>
    <n v="90.000000000003411"/>
  </r>
  <r>
    <x v="438"/>
    <x v="40"/>
    <s v="Thursday"/>
    <d v="1899-12-30T11:14:14"/>
    <s v="FUTURE"/>
    <s v="SELL"/>
    <n v="-1"/>
    <s v="TO OPEN"/>
    <x v="6"/>
    <d v="2020-08-20T00:00:00"/>
    <m/>
    <s v="FUTURE"/>
    <n v="36.78"/>
    <n v="36.78"/>
    <s v="MKT"/>
    <n v="-1"/>
    <n v="-36780"/>
    <n v="36.78"/>
    <s v=""/>
  </r>
  <r>
    <x v="438"/>
    <x v="40"/>
    <s v="Thursday"/>
    <d v="1899-12-30T11:31:51"/>
    <s v="FUTURE"/>
    <s v="BUY"/>
    <n v="2"/>
    <s v="TO CLOSE"/>
    <x v="6"/>
    <d v="2020-08-20T00:00:00"/>
    <m/>
    <s v="FUTURE"/>
    <n v="36.93"/>
    <n v="36.93"/>
    <s v="MKT"/>
    <n v="1"/>
    <n v="37080"/>
    <n v="37.08"/>
    <s v=""/>
  </r>
  <r>
    <x v="438"/>
    <x v="40"/>
    <s v="Thursday"/>
    <d v="1899-12-30T11:42:27"/>
    <s v="FUTURE"/>
    <s v="SELL"/>
    <n v="-1"/>
    <s v="TO CLOSE"/>
    <x v="6"/>
    <d v="2020-08-20T00:00:00"/>
    <m/>
    <s v="FUTURE"/>
    <n v="37.08"/>
    <n v="37.08"/>
    <s v="LMT"/>
    <n v="0"/>
    <n v="0"/>
    <s v=""/>
    <n v="0"/>
  </r>
  <r>
    <x v="439"/>
    <x v="40"/>
    <s v="Thursday"/>
    <d v="1899-12-30T10:43:02"/>
    <s v="FUTURE"/>
    <s v="SELL"/>
    <n v="-1"/>
    <s v="TO OPEN"/>
    <x v="1"/>
    <d v="2020-06-20T00:00:00"/>
    <m/>
    <s v="FUTURE"/>
    <n v="3123.5"/>
    <n v="3123.5"/>
    <s v="LMT"/>
    <n v="-1"/>
    <n v="-156175"/>
    <n v="3123.5"/>
    <s v=""/>
  </r>
  <r>
    <x v="439"/>
    <x v="40"/>
    <s v="Thursday"/>
    <d v="1899-12-30T11:07:42"/>
    <s v="FUTURE"/>
    <s v="BUY"/>
    <n v="1"/>
    <s v="TO CLOSE"/>
    <x v="1"/>
    <d v="2020-06-20T00:00:00"/>
    <m/>
    <s v="FUTURE"/>
    <n v="3120.25"/>
    <n v="3120.25"/>
    <s v="LMT"/>
    <n v="0"/>
    <n v="0"/>
    <s v=""/>
    <n v="162.5"/>
  </r>
  <r>
    <x v="440"/>
    <x v="40"/>
    <s v="Thursday"/>
    <d v="1899-12-30T11:29:48"/>
    <s v="FUTURE"/>
    <s v="BUY"/>
    <n v="1"/>
    <s v="TO OPEN"/>
    <x v="1"/>
    <d v="2020-06-20T00:00:00"/>
    <m/>
    <s v="FUTURE"/>
    <n v="3111.5"/>
    <n v="3111.5"/>
    <s v="MKT"/>
    <n v="1"/>
    <n v="155575"/>
    <n v="3111.5"/>
    <s v=""/>
  </r>
  <r>
    <x v="440"/>
    <x v="40"/>
    <s v="Thursday"/>
    <d v="1899-12-30T11:39:02"/>
    <s v="FUTURE"/>
    <s v="SELL"/>
    <n v="-1"/>
    <s v="TO CLOSE"/>
    <x v="1"/>
    <d v="2020-06-20T00:00:00"/>
    <m/>
    <s v="FUTURE"/>
    <n v="3112.5"/>
    <n v="3112.5"/>
    <s v="LMT"/>
    <n v="0"/>
    <n v="0"/>
    <s v=""/>
    <n v="50"/>
  </r>
  <r>
    <x v="441"/>
    <x v="40"/>
    <s v="Thursday"/>
    <d v="1899-12-30T11:43:38"/>
    <s v="FUTURE"/>
    <s v="SELL"/>
    <n v="-1"/>
    <s v="TO OPEN"/>
    <x v="1"/>
    <d v="2020-06-20T00:00:00"/>
    <m/>
    <s v="FUTURE"/>
    <n v="3111.5"/>
    <n v="3111.5"/>
    <s v="MKT"/>
    <n v="-1"/>
    <n v="-155575"/>
    <n v="3111.5"/>
    <s v=""/>
  </r>
  <r>
    <x v="441"/>
    <x v="40"/>
    <s v="Thursday"/>
    <d v="1899-12-30T11:44:36"/>
    <s v="FUTURE"/>
    <s v="BUY"/>
    <n v="1"/>
    <s v="TO CLOSE"/>
    <x v="1"/>
    <d v="2020-06-20T00:00:00"/>
    <m/>
    <s v="FUTURE"/>
    <n v="3111.25"/>
    <n v="3111.25"/>
    <s v="LMT"/>
    <n v="0"/>
    <n v="0"/>
    <s v=""/>
    <n v="12.5"/>
  </r>
  <r>
    <x v="442"/>
    <x v="40"/>
    <s v="Thursday"/>
    <d v="1899-12-30T11:46:01"/>
    <s v="FUTURE"/>
    <s v="BUY"/>
    <n v="1"/>
    <s v="TO OPEN"/>
    <x v="1"/>
    <d v="2020-06-20T00:00:00"/>
    <m/>
    <s v="FUTURE"/>
    <n v="3112.75"/>
    <n v="3112.75"/>
    <s v="MKT"/>
    <n v="1"/>
    <n v="155637.5"/>
    <n v="3112.75"/>
    <s v=""/>
  </r>
  <r>
    <x v="442"/>
    <x v="40"/>
    <s v="Thursday"/>
    <d v="1899-12-30T12:24:27"/>
    <s v="FUTURE"/>
    <s v="SELL"/>
    <n v="-1"/>
    <s v="TO CLOSE"/>
    <x v="1"/>
    <d v="2020-06-20T00:00:00"/>
    <m/>
    <s v="FUTURE"/>
    <n v="3113.75"/>
    <n v="3113.75"/>
    <s v="LMT"/>
    <n v="0"/>
    <n v="0"/>
    <s v=""/>
    <n v="50"/>
  </r>
  <r>
    <x v="443"/>
    <x v="40"/>
    <s v="Thursday"/>
    <d v="1899-12-30T13:18:55"/>
    <s v="FUTURE"/>
    <s v="BUY"/>
    <n v="1"/>
    <s v="TO OPEN"/>
    <x v="1"/>
    <d v="2020-06-20T00:00:00"/>
    <m/>
    <s v="FUTURE"/>
    <n v="3105"/>
    <n v="3105"/>
    <s v="LMT"/>
    <n v="1"/>
    <n v="155250"/>
    <n v="3105"/>
    <s v=""/>
  </r>
  <r>
    <x v="443"/>
    <x v="40"/>
    <s v="Thursday"/>
    <d v="1899-12-30T13:39:59"/>
    <s v="FUTURE"/>
    <s v="SELL"/>
    <n v="-1"/>
    <s v="TO CLOSE"/>
    <x v="1"/>
    <d v="2020-06-20T00:00:00"/>
    <m/>
    <s v="FUTURE"/>
    <n v="3107.5"/>
    <n v="3107.5"/>
    <s v="LMT"/>
    <n v="0"/>
    <n v="0"/>
    <s v=""/>
    <n v="125"/>
  </r>
  <r>
    <x v="444"/>
    <x v="40"/>
    <s v="Thursday"/>
    <d v="1899-12-30T09:47:00"/>
    <s v="FUTURE"/>
    <s v="BUY"/>
    <n v="8"/>
    <s v="TO OPEN"/>
    <x v="3"/>
    <d v="2020-06-20T00:00:00"/>
    <m/>
    <s v="FUTURE"/>
    <n v="3109.5"/>
    <n v="3109.5"/>
    <s v="LMT"/>
    <n v="8"/>
    <n v="124380"/>
    <n v="3109.5"/>
    <s v=""/>
  </r>
  <r>
    <x v="444"/>
    <x v="40"/>
    <s v="Thursday"/>
    <d v="1899-12-30T09:50:39"/>
    <s v="FUTURE"/>
    <s v="SELL"/>
    <n v="-1"/>
    <s v="TO CLOSE"/>
    <x v="3"/>
    <d v="2020-06-20T00:00:00"/>
    <m/>
    <s v="FUTURE"/>
    <n v="3113.5"/>
    <n v="3113.5"/>
    <s v="LMT"/>
    <n v="7"/>
    <n v="108812.5"/>
    <n v="3108.9285714285716"/>
    <s v=""/>
  </r>
  <r>
    <x v="444"/>
    <x v="40"/>
    <s v="Thursday"/>
    <d v="1899-12-30T09:50:39"/>
    <s v="FUTURE"/>
    <s v="SELL"/>
    <n v="-1"/>
    <s v="TO CLOSE"/>
    <x v="3"/>
    <d v="2020-06-20T00:00:00"/>
    <m/>
    <s v="FUTURE"/>
    <n v="3113.5"/>
    <n v="3113.5"/>
    <s v="LMT"/>
    <n v="6"/>
    <n v="93245"/>
    <n v="3108.166666666667"/>
    <s v=""/>
  </r>
  <r>
    <x v="444"/>
    <x v="40"/>
    <s v="Thursday"/>
    <d v="1899-12-30T09:50:39"/>
    <s v="FUTURE"/>
    <s v="SELL"/>
    <n v="-2"/>
    <s v="TO CLOSE"/>
    <x v="3"/>
    <d v="2020-06-20T00:00:00"/>
    <m/>
    <s v="FUTURE"/>
    <n v="3113.5"/>
    <n v="3113.5"/>
    <s v="LMT"/>
    <n v="4"/>
    <n v="62110"/>
    <n v="3105.5"/>
    <s v=""/>
  </r>
  <r>
    <x v="444"/>
    <x v="40"/>
    <s v="Thursday"/>
    <d v="1899-12-30T09:59:45"/>
    <s v="FUTURE"/>
    <s v="SELL"/>
    <n v="-2"/>
    <s v="TO CLOSE"/>
    <x v="3"/>
    <d v="2020-06-20T00:00:00"/>
    <m/>
    <s v="FUTURE"/>
    <n v="3118"/>
    <n v="3118"/>
    <s v="LMT"/>
    <n v="2"/>
    <n v="30930"/>
    <n v="3093"/>
    <s v=""/>
  </r>
  <r>
    <x v="444"/>
    <x v="40"/>
    <s v="Thursday"/>
    <d v="1899-12-30T10:18:58"/>
    <s v="FUTURE"/>
    <s v="SELL"/>
    <n v="-2"/>
    <s v="TO CLOSE"/>
    <x v="3"/>
    <d v="2020-06-20T00:00:00"/>
    <m/>
    <s v="FUTURE"/>
    <n v="3122.25"/>
    <n v="3122.25"/>
    <s v="LMT"/>
    <n v="0"/>
    <n v="0"/>
    <s v=""/>
    <n v="292.5"/>
  </r>
  <r>
    <x v="445"/>
    <x v="40"/>
    <s v="Thursday"/>
    <d v="1899-12-30T11:20:39"/>
    <s v="FUTURE"/>
    <s v="BUY"/>
    <n v="1"/>
    <s v="TO OPEN"/>
    <x v="3"/>
    <d v="2020-06-20T00:00:00"/>
    <m/>
    <s v="FUTURE"/>
    <n v="3110.75"/>
    <n v="3110.75"/>
    <s v="STP"/>
    <n v="1"/>
    <n v="15553.75"/>
    <n v="3110.75"/>
    <s v=""/>
  </r>
  <r>
    <x v="445"/>
    <x v="40"/>
    <s v="Thursday"/>
    <d v="1899-12-30T11:23:12"/>
    <s v="FUTURE"/>
    <s v="SELL"/>
    <n v="-1"/>
    <s v="TO CLOSE"/>
    <x v="3"/>
    <d v="2020-06-20T00:00:00"/>
    <m/>
    <s v="FUTURE"/>
    <n v="3113.25"/>
    <n v="3113.25"/>
    <s v="LMT"/>
    <n v="0"/>
    <n v="0"/>
    <s v=""/>
    <n v="12.5"/>
  </r>
  <r>
    <x v="446"/>
    <x v="41"/>
    <s v="Friday"/>
    <d v="1899-12-30T09:23:14"/>
    <s v="FUTURE"/>
    <s v="SELL"/>
    <n v="-1"/>
    <s v="TO OPEN"/>
    <x v="6"/>
    <d v="2020-08-20T00:00:00"/>
    <m/>
    <s v="FUTURE"/>
    <n v="39.24"/>
    <n v="39.24"/>
    <s v="MKT"/>
    <n v="-1"/>
    <n v="-39240"/>
    <n v="39.24"/>
    <s v=""/>
  </r>
  <r>
    <x v="446"/>
    <x v="41"/>
    <s v="Friday"/>
    <d v="1899-12-30T09:30:18"/>
    <s v="FUTURE"/>
    <s v="BUY"/>
    <n v="1"/>
    <s v="TO CLOSE"/>
    <x v="6"/>
    <d v="2020-08-20T00:00:00"/>
    <m/>
    <s v="FUTURE"/>
    <n v="39.18"/>
    <n v="39.18"/>
    <s v="LMT"/>
    <n v="0"/>
    <n v="0"/>
    <s v=""/>
    <n v="60.000000000002274"/>
  </r>
  <r>
    <x v="447"/>
    <x v="41"/>
    <s v="Friday"/>
    <d v="1899-12-30T09:40:47"/>
    <s v="FUTURE"/>
    <s v="BUY"/>
    <n v="1"/>
    <s v="TO OPEN"/>
    <x v="6"/>
    <d v="2020-08-20T00:00:00"/>
    <m/>
    <s v="FUTURE"/>
    <n v="39.19"/>
    <n v="39.19"/>
    <s v="LMT"/>
    <n v="1"/>
    <n v="39190"/>
    <n v="39.19"/>
    <s v=""/>
  </r>
  <r>
    <x v="447"/>
    <x v="41"/>
    <s v="Friday"/>
    <d v="1899-12-30T09:43:21"/>
    <s v="FUTURE"/>
    <s v="SELL"/>
    <n v="-1"/>
    <s v="TO CLOSE"/>
    <x v="6"/>
    <d v="2020-08-20T00:00:00"/>
    <m/>
    <s v="FUTURE"/>
    <n v="39.19"/>
    <n v="39.19"/>
    <s v="LMT"/>
    <n v="0"/>
    <n v="0"/>
    <s v=""/>
    <n v="0"/>
  </r>
  <r>
    <x v="448"/>
    <x v="41"/>
    <s v="Friday"/>
    <d v="1899-12-30T09:48:46"/>
    <s v="FUTURE"/>
    <s v="BUY"/>
    <n v="1"/>
    <s v="TO OPEN"/>
    <x v="6"/>
    <d v="2020-08-20T00:00:00"/>
    <m/>
    <s v="FUTURE"/>
    <n v="39.33"/>
    <n v="39.33"/>
    <s v="MKT"/>
    <n v="1"/>
    <n v="39330"/>
    <n v="39.33"/>
    <s v=""/>
  </r>
  <r>
    <x v="448"/>
    <x v="41"/>
    <s v="Friday"/>
    <d v="1899-12-30T09:55:24"/>
    <s v="FUTURE"/>
    <s v="SELL"/>
    <n v="-1"/>
    <s v="TO CLOSE"/>
    <x v="6"/>
    <d v="2020-08-20T00:00:00"/>
    <m/>
    <s v="FUTURE"/>
    <n v="39.409999999999997"/>
    <n v="39.409999999999997"/>
    <s v="LMT"/>
    <n v="0"/>
    <n v="0"/>
    <s v=""/>
    <n v="79.999999999998295"/>
  </r>
  <r>
    <x v="449"/>
    <x v="41"/>
    <s v="Friday"/>
    <d v="1899-12-30T10:00:38"/>
    <s v="FUTURE"/>
    <s v="SELL"/>
    <n v="-1"/>
    <s v="TO OPEN"/>
    <x v="6"/>
    <d v="2020-08-20T00:00:00"/>
    <m/>
    <s v="FUTURE"/>
    <n v="39.22"/>
    <n v="39.22"/>
    <s v="LMT"/>
    <n v="-1"/>
    <n v="-39220"/>
    <n v="39.22"/>
    <s v=""/>
  </r>
  <r>
    <x v="449"/>
    <x v="41"/>
    <s v="Friday"/>
    <d v="1899-12-30T11:27:31"/>
    <s v="FUTURE"/>
    <s v="BUY"/>
    <n v="2"/>
    <s v="TO CLOSE"/>
    <x v="6"/>
    <d v="2020-08-20T00:00:00"/>
    <m/>
    <s v="FUTURE"/>
    <n v="39.54"/>
    <n v="39.54"/>
    <s v="MKT"/>
    <n v="1"/>
    <n v="39860"/>
    <n v="39.86"/>
    <s v=""/>
  </r>
  <r>
    <x v="449"/>
    <x v="41"/>
    <s v="Friday"/>
    <d v="1899-12-30T11:28:21"/>
    <s v="FUTURE"/>
    <s v="SELL"/>
    <n v="-1"/>
    <s v="TO CLOSE"/>
    <x v="6"/>
    <d v="2020-08-20T00:00:00"/>
    <m/>
    <s v="FUTURE"/>
    <n v="39.380000000000003"/>
    <n v="39.380000000000003"/>
    <s v="MKT"/>
    <n v="0"/>
    <n v="0"/>
    <s v=""/>
    <n v="-479.99999999999687"/>
  </r>
  <r>
    <x v="450"/>
    <x v="41"/>
    <s v="Friday"/>
    <d v="1899-12-30T11:41:45"/>
    <s v="FUTURE"/>
    <s v="SELL"/>
    <n v="-1"/>
    <s v="TO OPEN"/>
    <x v="6"/>
    <d v="2020-08-20T00:00:00"/>
    <m/>
    <s v="FUTURE"/>
    <n v="39.479999999999997"/>
    <n v="39.479999999999997"/>
    <s v="LMT"/>
    <n v="-1"/>
    <n v="-39480"/>
    <n v="39.479999999999997"/>
    <s v=""/>
  </r>
  <r>
    <x v="450"/>
    <x v="41"/>
    <s v="Friday"/>
    <d v="1899-12-30T11:46:12"/>
    <s v="FUTURE"/>
    <s v="BUY"/>
    <n v="1"/>
    <s v="TO CLOSE"/>
    <x v="6"/>
    <d v="2020-08-20T00:00:00"/>
    <m/>
    <s v="FUTURE"/>
    <n v="39.479999999999997"/>
    <n v="39.479999999999997"/>
    <s v="LMT"/>
    <n v="0"/>
    <n v="0"/>
    <s v=""/>
    <n v="0"/>
  </r>
  <r>
    <x v="451"/>
    <x v="41"/>
    <s v="Friday"/>
    <d v="1899-12-30T11:52:45"/>
    <s v="FUTURE"/>
    <s v="SELL"/>
    <n v="-1"/>
    <s v="TO OPEN"/>
    <x v="6"/>
    <d v="2020-08-20T00:00:00"/>
    <m/>
    <s v="FUTURE"/>
    <n v="39.450000000000003"/>
    <n v="39.450000000000003"/>
    <s v="LMT"/>
    <n v="-1"/>
    <n v="-39450"/>
    <n v="39.450000000000003"/>
    <s v=""/>
  </r>
  <r>
    <x v="451"/>
    <x v="41"/>
    <s v="Friday"/>
    <d v="1899-12-30T11:56:57"/>
    <s v="FUTURE"/>
    <s v="BUY"/>
    <n v="1"/>
    <s v="TO CLOSE"/>
    <x v="6"/>
    <d v="2020-08-20T00:00:00"/>
    <m/>
    <s v="FUTURE"/>
    <n v="39.29"/>
    <n v="39.29"/>
    <s v="LMT"/>
    <n v="0"/>
    <n v="0"/>
    <s v=""/>
    <n v="160.00000000000369"/>
  </r>
  <r>
    <x v="452"/>
    <x v="41"/>
    <s v="Friday"/>
    <d v="1899-12-30T12:27:02"/>
    <s v="FUTURE"/>
    <s v="SELL"/>
    <n v="-1"/>
    <s v="TO OPEN"/>
    <x v="6"/>
    <d v="2020-08-20T00:00:00"/>
    <m/>
    <s v="FUTURE"/>
    <n v="39.340000000000003"/>
    <n v="39.340000000000003"/>
    <s v="LMT"/>
    <n v="-1"/>
    <n v="-39340"/>
    <n v="39.340000000000003"/>
    <s v=""/>
  </r>
  <r>
    <x v="452"/>
    <x v="41"/>
    <s v="Friday"/>
    <d v="1899-12-30T12:31:23"/>
    <s v="FUTURE"/>
    <s v="BUY"/>
    <n v="1"/>
    <s v="TO CLOSE"/>
    <x v="6"/>
    <d v="2020-08-20T00:00:00"/>
    <m/>
    <s v="FUTURE"/>
    <n v="39.43"/>
    <n v="39.43"/>
    <s v="MKT"/>
    <n v="0"/>
    <n v="0"/>
    <s v=""/>
    <n v="-89.999999999996305"/>
  </r>
  <r>
    <x v="453"/>
    <x v="41"/>
    <s v="Friday"/>
    <d v="1899-12-30T12:40:42"/>
    <s v="FUTURE"/>
    <s v="BUY"/>
    <n v="1"/>
    <s v="TO OPEN"/>
    <x v="6"/>
    <d v="2020-08-20T00:00:00"/>
    <m/>
    <s v="FUTURE"/>
    <n v="39.44"/>
    <n v="39.44"/>
    <s v="MKT"/>
    <n v="1"/>
    <n v="39440"/>
    <n v="39.44"/>
    <s v=""/>
  </r>
  <r>
    <x v="453"/>
    <x v="41"/>
    <s v="Friday"/>
    <d v="1899-12-30T13:07:47"/>
    <s v="FUTURE"/>
    <s v="SELL"/>
    <n v="-1"/>
    <s v="TO CLOSE"/>
    <x v="6"/>
    <d v="2020-08-20T00:00:00"/>
    <m/>
    <s v="FUTURE"/>
    <n v="39.61"/>
    <n v="39.61"/>
    <s v="LMT"/>
    <n v="0"/>
    <n v="0"/>
    <s v=""/>
    <n v="170.00000000000171"/>
  </r>
  <r>
    <x v="454"/>
    <x v="41"/>
    <s v="Friday"/>
    <d v="1899-12-30T09:30:34"/>
    <s v="FUTURE"/>
    <s v="SELL"/>
    <n v="-1"/>
    <s v="TO OPEN"/>
    <x v="1"/>
    <d v="2020-06-20T00:00:00"/>
    <m/>
    <s v="FUTURE"/>
    <n v="3170.75"/>
    <n v="3170.75"/>
    <s v="LMT"/>
    <n v="-1"/>
    <n v="-158537.5"/>
    <n v="3170.75"/>
    <s v=""/>
  </r>
  <r>
    <x v="454"/>
    <x v="41"/>
    <s v="Friday"/>
    <d v="1899-12-30T09:31:41"/>
    <s v="FUTURE"/>
    <s v="BUY"/>
    <n v="1"/>
    <s v="TO CLOSE"/>
    <x v="1"/>
    <d v="2020-06-20T00:00:00"/>
    <m/>
    <s v="FUTURE"/>
    <n v="3169.75"/>
    <n v="3169.75"/>
    <s v="LMT"/>
    <n v="0"/>
    <n v="0"/>
    <s v=""/>
    <n v="50"/>
  </r>
  <r>
    <x v="455"/>
    <x v="41"/>
    <s v="Friday"/>
    <d v="1899-12-30T09:36:20"/>
    <s v="FUTURE"/>
    <s v="SELL"/>
    <n v="-1"/>
    <s v="TO OPEN"/>
    <x v="1"/>
    <d v="2020-06-20T00:00:00"/>
    <m/>
    <s v="FUTURE"/>
    <n v="3173.25"/>
    <n v="3173.25"/>
    <s v="LMT"/>
    <n v="-1"/>
    <n v="-158662.5"/>
    <n v="3173.25"/>
    <s v=""/>
  </r>
  <r>
    <x v="455"/>
    <x v="41"/>
    <s v="Friday"/>
    <d v="1899-12-30T11:03:34"/>
    <s v="FUTURE"/>
    <s v="BUY"/>
    <n v="2"/>
    <s v="TO CLOSE"/>
    <x v="1"/>
    <d v="2020-06-20T00:00:00"/>
    <m/>
    <s v="FUTURE"/>
    <n v="3192"/>
    <n v="3192"/>
    <s v="MKT"/>
    <n v="1"/>
    <n v="160537.5"/>
    <n v="3210.75"/>
    <s v=""/>
  </r>
  <r>
    <x v="455"/>
    <x v="41"/>
    <s v="Friday"/>
    <d v="1899-12-30T11:08:36"/>
    <s v="FUTURE"/>
    <s v="SELL"/>
    <n v="-2"/>
    <s v="TO CLOSE"/>
    <x v="1"/>
    <d v="2020-06-20T00:00:00"/>
    <m/>
    <s v="FUTURE"/>
    <n v="3193"/>
    <n v="3193"/>
    <s v="LMT"/>
    <n v="-1"/>
    <n v="-158762.5"/>
    <n v="3175.25"/>
    <s v=""/>
  </r>
  <r>
    <x v="455"/>
    <x v="41"/>
    <s v="Friday"/>
    <d v="1899-12-30T11:29:07"/>
    <s v="FUTURE"/>
    <s v="BUY"/>
    <n v="1"/>
    <s v="TO CLOSE"/>
    <x v="1"/>
    <d v="2020-06-20T00:00:00"/>
    <m/>
    <s v="FUTURE"/>
    <n v="3203"/>
    <n v="3203"/>
    <s v="MKT"/>
    <n v="0"/>
    <n v="0"/>
    <s v=""/>
    <n v="-1387.5"/>
  </r>
  <r>
    <x v="456"/>
    <x v="41"/>
    <s v="Friday"/>
    <d v="1899-12-30T11:39:24"/>
    <s v="FUTURE"/>
    <s v="BUY"/>
    <n v="1"/>
    <s v="TO OPEN"/>
    <x v="1"/>
    <d v="2020-06-20T00:00:00"/>
    <m/>
    <s v="FUTURE"/>
    <n v="3201.25"/>
    <n v="3201.25"/>
    <s v="MKT"/>
    <n v="1"/>
    <n v="160062.5"/>
    <n v="3201.25"/>
    <s v=""/>
  </r>
  <r>
    <x v="456"/>
    <x v="41"/>
    <s v="Friday"/>
    <d v="1899-12-30T11:51:48"/>
    <s v="FUTURE"/>
    <s v="SELL"/>
    <n v="-1"/>
    <s v="TO CLOSE"/>
    <x v="1"/>
    <d v="2020-06-20T00:00:00"/>
    <m/>
    <s v="FUTURE"/>
    <n v="3204"/>
    <n v="3204"/>
    <s v="LMT"/>
    <n v="0"/>
    <n v="0"/>
    <s v=""/>
    <n v="137.5"/>
  </r>
  <r>
    <x v="457"/>
    <x v="41"/>
    <s v="Friday"/>
    <d v="1899-12-30T11:53:13"/>
    <s v="FUTURE"/>
    <s v="SELL"/>
    <n v="-1"/>
    <s v="TO OPEN"/>
    <x v="1"/>
    <d v="2020-06-20T00:00:00"/>
    <m/>
    <s v="FUTURE"/>
    <n v="3204"/>
    <n v="3204"/>
    <s v="LMT"/>
    <n v="-1"/>
    <n v="-160200"/>
    <n v="3204"/>
    <s v=""/>
  </r>
  <r>
    <x v="457"/>
    <x v="41"/>
    <s v="Friday"/>
    <d v="1899-12-30T11:58:44"/>
    <s v="FUTURE"/>
    <s v="BUY"/>
    <n v="1"/>
    <s v="TO CLOSE"/>
    <x v="1"/>
    <d v="2020-06-20T00:00:00"/>
    <m/>
    <s v="FUTURE"/>
    <n v="3201"/>
    <n v="3201"/>
    <s v="LMT"/>
    <n v="0"/>
    <n v="0"/>
    <s v=""/>
    <n v="150"/>
  </r>
  <r>
    <x v="458"/>
    <x v="41"/>
    <s v="Friday"/>
    <d v="1899-12-30T12:02:23"/>
    <s v="FUTURE"/>
    <s v="BUY"/>
    <n v="1"/>
    <s v="TO OPEN"/>
    <x v="1"/>
    <d v="2020-06-20T00:00:00"/>
    <m/>
    <s v="FUTURE"/>
    <n v="3200.5"/>
    <n v="3200.5"/>
    <s v="MKT"/>
    <n v="1"/>
    <n v="160025"/>
    <n v="3200.5"/>
    <s v=""/>
  </r>
  <r>
    <x v="458"/>
    <x v="41"/>
    <s v="Friday"/>
    <d v="1899-12-30T12:06:10"/>
    <s v="FUTURE"/>
    <s v="SELL"/>
    <n v="-1"/>
    <s v="TO CLOSE"/>
    <x v="1"/>
    <d v="2020-06-20T00:00:00"/>
    <m/>
    <s v="FUTURE"/>
    <n v="3201.5"/>
    <n v="3201.5"/>
    <s v="LMT"/>
    <n v="0"/>
    <n v="0"/>
    <s v=""/>
    <n v="50"/>
  </r>
  <r>
    <x v="459"/>
    <x v="41"/>
    <s v="Friday"/>
    <d v="1899-12-30T12:08:57"/>
    <s v="FUTURE"/>
    <s v="SELL"/>
    <n v="-1"/>
    <s v="TO OPEN"/>
    <x v="1"/>
    <d v="2020-06-20T00:00:00"/>
    <m/>
    <s v="FUTURE"/>
    <n v="3200"/>
    <n v="3200"/>
    <s v="LMT"/>
    <n v="-1"/>
    <n v="-160000"/>
    <n v="3200"/>
    <s v=""/>
  </r>
  <r>
    <x v="459"/>
    <x v="41"/>
    <s v="Friday"/>
    <d v="1899-12-30T12:13:44"/>
    <s v="FUTURE"/>
    <s v="BUY"/>
    <n v="1"/>
    <s v="TO CLOSE"/>
    <x v="1"/>
    <d v="2020-06-20T00:00:00"/>
    <m/>
    <s v="FUTURE"/>
    <n v="3199"/>
    <n v="3199"/>
    <s v="LMT"/>
    <n v="0"/>
    <n v="0"/>
    <s v=""/>
    <n v="50"/>
  </r>
  <r>
    <x v="460"/>
    <x v="41"/>
    <s v="Friday"/>
    <d v="1899-12-30T12:20:34"/>
    <s v="FUTURE"/>
    <s v="BUY"/>
    <n v="1"/>
    <s v="TO OPEN"/>
    <x v="1"/>
    <d v="2020-06-20T00:00:00"/>
    <m/>
    <s v="FUTURE"/>
    <n v="3193.25"/>
    <n v="3193.25"/>
    <s v="MKT"/>
    <n v="1"/>
    <n v="159662.5"/>
    <n v="3193.25"/>
    <s v=""/>
  </r>
  <r>
    <x v="460"/>
    <x v="41"/>
    <s v="Friday"/>
    <d v="1899-12-30T12:21:04"/>
    <s v="FUTURE"/>
    <s v="SELL"/>
    <n v="-1"/>
    <s v="TO CLOSE"/>
    <x v="1"/>
    <d v="2020-06-20T00:00:00"/>
    <m/>
    <s v="FUTURE"/>
    <n v="3195.25"/>
    <n v="3195.25"/>
    <s v="LMT"/>
    <n v="0"/>
    <n v="0"/>
    <s v=""/>
    <n v="100"/>
  </r>
  <r>
    <x v="461"/>
    <x v="41"/>
    <s v="Friday"/>
    <d v="1899-12-30T12:31:58"/>
    <s v="FUTURE"/>
    <s v="BUY"/>
    <n v="1"/>
    <s v="TO OPEN"/>
    <x v="1"/>
    <d v="2020-06-20T00:00:00"/>
    <m/>
    <s v="FUTURE"/>
    <n v="3199.25"/>
    <n v="3199.25"/>
    <s v="MKT"/>
    <n v="1"/>
    <n v="159962.5"/>
    <n v="3199.25"/>
    <s v=""/>
  </r>
  <r>
    <x v="461"/>
    <x v="41"/>
    <s v="Friday"/>
    <d v="1899-12-30T13:10:06"/>
    <s v="FUTURE"/>
    <s v="SELL"/>
    <n v="-1"/>
    <s v="TO CLOSE"/>
    <x v="1"/>
    <d v="2020-06-20T00:00:00"/>
    <m/>
    <s v="FUTURE"/>
    <n v="3198"/>
    <n v="3198"/>
    <s v="LMT"/>
    <n v="0"/>
    <n v="0"/>
    <s v=""/>
    <n v="-62.5"/>
  </r>
  <r>
    <x v="462"/>
    <x v="41"/>
    <s v="Friday"/>
    <d v="1899-12-30T13:18:44"/>
    <s v="FUTURE"/>
    <s v="BUY"/>
    <n v="1"/>
    <s v="TO OPEN"/>
    <x v="1"/>
    <d v="2020-06-20T00:00:00"/>
    <m/>
    <s v="FUTURE"/>
    <n v="3199.75"/>
    <n v="3199.75"/>
    <s v="MKT"/>
    <n v="1"/>
    <n v="159987.5"/>
    <n v="3199.75"/>
    <s v=""/>
  </r>
  <r>
    <x v="462"/>
    <x v="41"/>
    <s v="Friday"/>
    <d v="1899-12-30T13:21:43"/>
    <s v="FUTURE"/>
    <s v="SELL"/>
    <n v="-1"/>
    <s v="TO CLOSE"/>
    <x v="1"/>
    <d v="2020-06-20T00:00:00"/>
    <m/>
    <s v="FUTURE"/>
    <n v="3200.5"/>
    <n v="3200.5"/>
    <s v="LMT"/>
    <n v="0"/>
    <n v="0"/>
    <s v=""/>
    <n v="37.5"/>
  </r>
  <r>
    <x v="463"/>
    <x v="41"/>
    <s v="Friday"/>
    <d v="1899-12-30T09:57:23"/>
    <s v="STOCK"/>
    <s v="BUY"/>
    <n v="300"/>
    <s v="TO OPEN"/>
    <x v="2"/>
    <m/>
    <m/>
    <s v="STOCK"/>
    <n v="29.239799999999999"/>
    <n v="29.239799999999999"/>
    <s v="MKT"/>
    <n v="300"/>
    <n v="8771.94"/>
    <n v="29.239800000000002"/>
    <s v=""/>
  </r>
  <r>
    <x v="463"/>
    <x v="41"/>
    <s v="Friday"/>
    <d v="1899-12-30T11:38:20"/>
    <s v="STOCK"/>
    <s v="SELL"/>
    <n v="-300"/>
    <s v="TO CLOSE"/>
    <x v="2"/>
    <m/>
    <m/>
    <s v="STOCK"/>
    <n v="29.375"/>
    <n v="29.375"/>
    <s v="LMT"/>
    <n v="0"/>
    <n v="0"/>
    <s v=""/>
    <n v="40.559999999999263"/>
  </r>
  <r>
    <x v="464"/>
    <x v="42"/>
    <s v="Monday"/>
    <d v="1899-12-30T09:06:37"/>
    <s v="FUTURE"/>
    <s v="BUY"/>
    <n v="1"/>
    <s v="TO OPEN"/>
    <x v="6"/>
    <d v="2020-08-20T00:00:00"/>
    <m/>
    <s v="FUTURE"/>
    <n v="39.15"/>
    <n v="39.15"/>
    <s v="LMT"/>
    <n v="1"/>
    <n v="39150"/>
    <n v="39.15"/>
    <s v=""/>
  </r>
  <r>
    <x v="464"/>
    <x v="42"/>
    <s v="Monday"/>
    <d v="1899-12-30T09:12:11"/>
    <s v="FUTURE"/>
    <s v="SELL"/>
    <n v="-1"/>
    <s v="TO CLOSE"/>
    <x v="6"/>
    <d v="2020-08-20T00:00:00"/>
    <m/>
    <s v="FUTURE"/>
    <n v="39.29"/>
    <n v="39.29"/>
    <s v="LMT"/>
    <n v="0"/>
    <n v="0"/>
    <s v=""/>
    <n v="140.00000000000057"/>
  </r>
  <r>
    <x v="465"/>
    <x v="42"/>
    <s v="Monday"/>
    <d v="1899-12-30T09:30:38"/>
    <s v="FUTURE"/>
    <s v="BUY"/>
    <n v="1"/>
    <s v="TO OPEN"/>
    <x v="6"/>
    <d v="2020-08-20T00:00:00"/>
    <m/>
    <s v="FUTURE"/>
    <n v="39.119999999999997"/>
    <n v="39.119999999999997"/>
    <s v="MKT"/>
    <n v="1"/>
    <n v="39120"/>
    <n v="39.119999999999997"/>
    <s v=""/>
  </r>
  <r>
    <x v="465"/>
    <x v="42"/>
    <s v="Monday"/>
    <d v="1899-12-30T09:53:23"/>
    <s v="FUTURE"/>
    <s v="SELL"/>
    <n v="-1"/>
    <s v="TO CLOSE"/>
    <x v="6"/>
    <d v="2020-08-20T00:00:00"/>
    <m/>
    <s v="FUTURE"/>
    <n v="39.119999999999997"/>
    <n v="39.119999999999997"/>
    <s v="LMT"/>
    <n v="0"/>
    <n v="0"/>
    <s v=""/>
    <n v="0"/>
  </r>
  <r>
    <x v="466"/>
    <x v="42"/>
    <s v="Monday"/>
    <d v="1899-12-30T09:58:06"/>
    <s v="FUTURE"/>
    <s v="BUY"/>
    <n v="1"/>
    <s v="TO OPEN"/>
    <x v="6"/>
    <d v="2020-08-20T00:00:00"/>
    <m/>
    <s v="FUTURE"/>
    <n v="39.07"/>
    <n v="39.07"/>
    <s v="LMT"/>
    <n v="1"/>
    <n v="39070"/>
    <n v="39.07"/>
    <s v=""/>
  </r>
  <r>
    <x v="466"/>
    <x v="42"/>
    <s v="Monday"/>
    <d v="1899-12-30T10:01:22"/>
    <s v="FUTURE"/>
    <s v="SELL"/>
    <n v="-1"/>
    <s v="TO CLOSE"/>
    <x v="6"/>
    <d v="2020-08-20T00:00:00"/>
    <m/>
    <s v="FUTURE"/>
    <n v="39.090000000000003"/>
    <n v="39.090000000000003"/>
    <s v="LMT"/>
    <n v="0"/>
    <n v="0"/>
    <s v=""/>
    <n v="20.000000000003126"/>
  </r>
  <r>
    <x v="467"/>
    <x v="42"/>
    <s v="Monday"/>
    <d v="1899-12-30T10:42:28"/>
    <s v="FUTURE"/>
    <s v="BUY"/>
    <n v="1"/>
    <s v="TO OPEN"/>
    <x v="6"/>
    <d v="2020-08-20T00:00:00"/>
    <m/>
    <s v="FUTURE"/>
    <n v="38.520000000000003"/>
    <n v="38.520000000000003"/>
    <s v="LMT"/>
    <n v="1"/>
    <n v="38520"/>
    <n v="38.520000000000003"/>
    <s v=""/>
  </r>
  <r>
    <x v="467"/>
    <x v="42"/>
    <s v="Monday"/>
    <d v="1899-12-30T10:50:47"/>
    <s v="FUTURE"/>
    <s v="SELL"/>
    <n v="-1"/>
    <s v="TO CLOSE"/>
    <x v="6"/>
    <d v="2020-08-20T00:00:00"/>
    <m/>
    <s v="FUTURE"/>
    <n v="38.72"/>
    <n v="38.72"/>
    <s v="LMT"/>
    <n v="0"/>
    <n v="0"/>
    <s v=""/>
    <n v="199.99999999999574"/>
  </r>
  <r>
    <x v="468"/>
    <x v="42"/>
    <s v="Monday"/>
    <d v="1899-12-30T11:30:01"/>
    <s v="FUTURE"/>
    <s v="BUY"/>
    <n v="1"/>
    <s v="TO OPEN"/>
    <x v="6"/>
    <d v="2020-08-20T00:00:00"/>
    <m/>
    <s v="FUTURE"/>
    <n v="38.65"/>
    <n v="38.65"/>
    <s v="LMT"/>
    <n v="1"/>
    <n v="38650"/>
    <n v="38.65"/>
    <s v=""/>
  </r>
  <r>
    <x v="468"/>
    <x v="42"/>
    <s v="Monday"/>
    <d v="1899-12-30T12:09:00"/>
    <s v="FUTURE"/>
    <s v="BUY"/>
    <n v="1"/>
    <s v="TO OPEN"/>
    <x v="6"/>
    <d v="2020-08-20T00:00:00"/>
    <m/>
    <s v="FUTURE"/>
    <n v="38.450000000000003"/>
    <n v="38.450000000000003"/>
    <s v="LMT"/>
    <n v="2"/>
    <n v="77100"/>
    <n v="38.549999999999997"/>
    <s v=""/>
  </r>
  <r>
    <x v="468"/>
    <x v="42"/>
    <s v="Monday"/>
    <d v="1899-12-30T12:09:21"/>
    <s v="FUTURE"/>
    <s v="SELL"/>
    <n v="-1"/>
    <s v="TO CLOSE"/>
    <x v="6"/>
    <d v="2020-08-20T00:00:00"/>
    <m/>
    <s v="FUTURE"/>
    <n v="38.520000000000003"/>
    <n v="38.520000000000003"/>
    <s v="LMT"/>
    <n v="1"/>
    <n v="38580"/>
    <n v="38.58"/>
    <s v=""/>
  </r>
  <r>
    <x v="468"/>
    <x v="42"/>
    <s v="Monday"/>
    <d v="1899-12-30T12:46:32"/>
    <s v="FUTURE"/>
    <s v="SELL"/>
    <n v="-1"/>
    <s v="TO CLOSE"/>
    <x v="6"/>
    <d v="2020-08-20T00:00:00"/>
    <m/>
    <s v="FUTURE"/>
    <n v="38.61"/>
    <n v="38.61"/>
    <s v="LMT"/>
    <n v="0"/>
    <n v="0"/>
    <s v=""/>
    <n v="30.000000000001137"/>
  </r>
  <r>
    <x v="469"/>
    <x v="42"/>
    <s v="Monday"/>
    <d v="1899-12-30T09:53:34"/>
    <s v="FUTURE"/>
    <s v="BUY"/>
    <n v="1"/>
    <s v="TO OPEN"/>
    <x v="1"/>
    <d v="2020-06-20T00:00:00"/>
    <m/>
    <s v="FUTURE"/>
    <n v="3203.75"/>
    <n v="3203.75"/>
    <s v="LMT"/>
    <n v="1"/>
    <n v="160187.5"/>
    <n v="3203.75"/>
    <s v=""/>
  </r>
  <r>
    <x v="469"/>
    <x v="42"/>
    <s v="Monday"/>
    <d v="1899-12-30T09:55:56"/>
    <s v="FUTURE"/>
    <s v="SELL"/>
    <n v="-1"/>
    <s v="TO CLOSE"/>
    <x v="1"/>
    <d v="2020-06-20T00:00:00"/>
    <m/>
    <s v="FUTURE"/>
    <n v="3206"/>
    <n v="3206"/>
    <s v="LMT"/>
    <n v="0"/>
    <n v="0"/>
    <s v=""/>
    <n v="112.5"/>
  </r>
  <r>
    <x v="470"/>
    <x v="42"/>
    <s v="Monday"/>
    <d v="1899-12-30T12:01:47"/>
    <s v="FUTURE"/>
    <s v="SELL"/>
    <n v="-1"/>
    <s v="TO OPEN"/>
    <x v="1"/>
    <d v="2020-06-20T00:00:00"/>
    <m/>
    <s v="FUTURE"/>
    <n v="3205.75"/>
    <n v="3205.75"/>
    <s v="LMT"/>
    <n v="-1"/>
    <n v="-160287.5"/>
    <n v="3205.75"/>
    <s v=""/>
  </r>
  <r>
    <x v="470"/>
    <x v="42"/>
    <s v="Monday"/>
    <d v="1899-12-30T12:04:59"/>
    <s v="FUTURE"/>
    <s v="BUY"/>
    <n v="1"/>
    <s v="TO CLOSE"/>
    <x v="1"/>
    <d v="2020-06-20T00:00:00"/>
    <m/>
    <s v="FUTURE"/>
    <n v="3205.25"/>
    <n v="3205.25"/>
    <s v="LMT"/>
    <n v="0"/>
    <n v="0"/>
    <s v=""/>
    <n v="25"/>
  </r>
  <r>
    <x v="471"/>
    <x v="42"/>
    <s v="Monday"/>
    <d v="1899-12-30T12:16:44"/>
    <s v="FUTURE"/>
    <s v="SELL"/>
    <n v="-1"/>
    <s v="TO OPEN"/>
    <x v="1"/>
    <d v="2020-06-20T00:00:00"/>
    <m/>
    <s v="FUTURE"/>
    <n v="3204"/>
    <n v="3204"/>
    <s v="LMT"/>
    <n v="-1"/>
    <n v="-160200"/>
    <n v="3204"/>
    <s v=""/>
  </r>
  <r>
    <x v="471"/>
    <x v="42"/>
    <s v="Monday"/>
    <d v="1899-12-30T12:21:46"/>
    <s v="FUTURE"/>
    <s v="BUY"/>
    <n v="1"/>
    <s v="TO CLOSE"/>
    <x v="1"/>
    <d v="2020-06-20T00:00:00"/>
    <m/>
    <s v="FUTURE"/>
    <n v="3205.5"/>
    <n v="3205.5"/>
    <s v="STP"/>
    <n v="0"/>
    <n v="0"/>
    <s v=""/>
    <n v="-75"/>
  </r>
  <r>
    <x v="472"/>
    <x v="42"/>
    <s v="Monday"/>
    <d v="1899-12-30T12:21:58"/>
    <s v="FUTURE"/>
    <s v="BUY"/>
    <n v="1"/>
    <s v="TO OPEN"/>
    <x v="1"/>
    <d v="2020-06-20T00:00:00"/>
    <m/>
    <s v="FUTURE"/>
    <n v="3205.25"/>
    <n v="3205.25"/>
    <s v="MKT"/>
    <n v="1"/>
    <n v="160262.5"/>
    <n v="3205.25"/>
    <s v=""/>
  </r>
  <r>
    <x v="472"/>
    <x v="42"/>
    <s v="Monday"/>
    <d v="1899-12-30T12:39:18"/>
    <s v="FUTURE"/>
    <s v="SELL"/>
    <n v="-1"/>
    <s v="TO CLOSE"/>
    <x v="1"/>
    <d v="2020-06-20T00:00:00"/>
    <m/>
    <s v="FUTURE"/>
    <n v="3205.5"/>
    <n v="3205.5"/>
    <s v="LMT"/>
    <n v="0"/>
    <n v="0"/>
    <s v=""/>
    <n v="12.5"/>
  </r>
  <r>
    <x v="473"/>
    <x v="42"/>
    <s v="Monday"/>
    <d v="1899-12-30T12:44:25"/>
    <s v="FUTURE"/>
    <s v="BUY"/>
    <n v="1"/>
    <s v="TO OPEN"/>
    <x v="1"/>
    <d v="2020-06-20T00:00:00"/>
    <m/>
    <s v="FUTURE"/>
    <n v="3206"/>
    <n v="3206"/>
    <s v="MKT"/>
    <n v="1"/>
    <n v="160300"/>
    <n v="3206"/>
    <s v=""/>
  </r>
  <r>
    <x v="473"/>
    <x v="42"/>
    <s v="Monday"/>
    <d v="1899-12-30T12:47:27"/>
    <s v="FUTURE"/>
    <s v="SELL"/>
    <n v="-1"/>
    <s v="TO CLOSE"/>
    <x v="1"/>
    <d v="2020-06-20T00:00:00"/>
    <m/>
    <s v="FUTURE"/>
    <n v="3206.25"/>
    <n v="3206.25"/>
    <s v="LMT"/>
    <n v="0"/>
    <n v="0"/>
    <s v=""/>
    <n v="12.5"/>
  </r>
  <r>
    <x v="474"/>
    <x v="42"/>
    <s v="Monday"/>
    <d v="1899-12-30T08:57:20"/>
    <s v="FUTURE"/>
    <s v="BUY"/>
    <n v="1"/>
    <s v="TO OPEN"/>
    <x v="3"/>
    <d v="2020-06-20T00:00:00"/>
    <m/>
    <s v="FUTURE"/>
    <n v="3206"/>
    <n v="3206"/>
    <s v="LMT"/>
    <n v="1"/>
    <n v="16030"/>
    <n v="3206"/>
    <s v=""/>
  </r>
  <r>
    <x v="474"/>
    <x v="42"/>
    <s v="Monday"/>
    <d v="1899-12-30T08:57:20"/>
    <s v="FUTURE"/>
    <s v="BUY"/>
    <n v="1"/>
    <s v="TO OPEN"/>
    <x v="3"/>
    <d v="2020-06-20T00:00:00"/>
    <m/>
    <s v="FUTURE"/>
    <n v="3206"/>
    <n v="3206"/>
    <s v="LMT"/>
    <n v="2"/>
    <n v="32060"/>
    <n v="3206"/>
    <s v=""/>
  </r>
  <r>
    <x v="474"/>
    <x v="42"/>
    <s v="Monday"/>
    <d v="1899-12-30T09:30:16"/>
    <s v="FUTURE"/>
    <s v="BUY"/>
    <n v="1"/>
    <s v="TO OPEN"/>
    <x v="3"/>
    <d v="2020-06-20T00:00:00"/>
    <m/>
    <s v="FUTURE"/>
    <n v="3200"/>
    <n v="3200"/>
    <s v="LMT"/>
    <n v="3"/>
    <n v="48060"/>
    <n v="3204"/>
    <s v=""/>
  </r>
  <r>
    <x v="474"/>
    <x v="42"/>
    <s v="Monday"/>
    <d v="1899-12-30T09:43:40"/>
    <s v="FUTURE"/>
    <s v="BUY"/>
    <n v="1"/>
    <s v="TO OPEN"/>
    <x v="3"/>
    <d v="2020-06-20T00:00:00"/>
    <m/>
    <s v="FUTURE"/>
    <n v="3208"/>
    <n v="3208"/>
    <s v="STP"/>
    <n v="4"/>
    <n v="64100"/>
    <n v="3205"/>
    <s v=""/>
  </r>
  <r>
    <x v="474"/>
    <x v="42"/>
    <s v="Monday"/>
    <d v="1899-12-30T10:18:24"/>
    <s v="FUTURE"/>
    <s v="BUY"/>
    <n v="1"/>
    <s v="TO OPEN"/>
    <x v="3"/>
    <d v="2020-06-20T00:00:00"/>
    <m/>
    <s v="FUTURE"/>
    <n v="3200"/>
    <n v="3200"/>
    <s v="LMT"/>
    <n v="5"/>
    <n v="80100"/>
    <n v="3204"/>
    <s v=""/>
  </r>
  <r>
    <x v="474"/>
    <x v="42"/>
    <s v="Monday"/>
    <d v="1899-12-30T11:17:52"/>
    <s v="FUTURE"/>
    <s v="SELL"/>
    <n v="-1"/>
    <s v="TO CLOSE"/>
    <x v="3"/>
    <d v="2020-06-20T00:00:00"/>
    <m/>
    <s v="FUTURE"/>
    <n v="3209.5"/>
    <n v="3209.5"/>
    <s v="MKT"/>
    <n v="4"/>
    <n v="64052.5"/>
    <n v="3202.625"/>
    <s v=""/>
  </r>
  <r>
    <x v="474"/>
    <x v="42"/>
    <s v="Monday"/>
    <d v="1899-12-30T11:29:26"/>
    <s v="FUTURE"/>
    <s v="SELL"/>
    <n v="-1"/>
    <s v="TO CLOSE"/>
    <x v="3"/>
    <d v="2020-06-20T00:00:00"/>
    <m/>
    <s v="FUTURE"/>
    <n v="3209.5"/>
    <n v="3209.5"/>
    <s v="LMT"/>
    <n v="3"/>
    <n v="48005"/>
    <n v="3200.333333333333"/>
    <s v=""/>
  </r>
  <r>
    <x v="474"/>
    <x v="42"/>
    <s v="Monday"/>
    <d v="1899-12-30T11:33:47"/>
    <s v="FUTURE"/>
    <s v="SELL"/>
    <n v="-1"/>
    <s v="TO CLOSE"/>
    <x v="3"/>
    <d v="2020-06-20T00:00:00"/>
    <m/>
    <s v="FUTURE"/>
    <n v="3209.25"/>
    <n v="3209.25"/>
    <s v="MKT"/>
    <n v="2"/>
    <n v="31958.75"/>
    <n v="3195.875"/>
    <s v=""/>
  </r>
  <r>
    <x v="474"/>
    <x v="42"/>
    <s v="Monday"/>
    <d v="1899-12-30T11:50:31"/>
    <s v="FUTURE"/>
    <s v="SELL"/>
    <n v="-1"/>
    <s v="TO CLOSE"/>
    <x v="3"/>
    <d v="2020-06-20T00:00:00"/>
    <m/>
    <s v="FUTURE"/>
    <n v="3208.25"/>
    <n v="3208.25"/>
    <s v="LMT"/>
    <n v="1"/>
    <n v="15917.5"/>
    <n v="3183.5"/>
    <s v=""/>
  </r>
  <r>
    <x v="474"/>
    <x v="42"/>
    <s v="Monday"/>
    <d v="1899-12-30T12:02:05"/>
    <s v="FUTURE"/>
    <s v="SELL"/>
    <n v="-1"/>
    <s v="TO CLOSE"/>
    <x v="3"/>
    <d v="2020-06-20T00:00:00"/>
    <m/>
    <s v="FUTURE"/>
    <n v="3206.25"/>
    <n v="3206.25"/>
    <s v="LMT"/>
    <n v="0"/>
    <n v="0"/>
    <s v=""/>
    <n v="113.75"/>
  </r>
  <r>
    <x v="475"/>
    <x v="42"/>
    <s v="Monday"/>
    <d v="1899-12-30T10:19:11"/>
    <s v="STOCK"/>
    <s v="SELL"/>
    <n v="-300"/>
    <s v="TO OPEN"/>
    <x v="2"/>
    <m/>
    <m/>
    <s v="STOCK"/>
    <n v="29.68"/>
    <n v="29.68"/>
    <s v="LMT"/>
    <n v="-300"/>
    <n v="-8904"/>
    <n v="29.68"/>
    <s v=""/>
  </r>
  <r>
    <x v="475"/>
    <x v="42"/>
    <s v="Monday"/>
    <d v="1899-12-30T10:48:39"/>
    <s v="STOCK"/>
    <s v="BUY"/>
    <n v="100"/>
    <s v="TO CLOSE"/>
    <x v="2"/>
    <m/>
    <m/>
    <s v="STOCK"/>
    <n v="29.38"/>
    <n v="29.38"/>
    <s v="LMT"/>
    <n v="-200"/>
    <n v="-5966"/>
    <n v="29.83"/>
    <s v=""/>
  </r>
  <r>
    <x v="475"/>
    <x v="42"/>
    <s v="Monday"/>
    <d v="1899-12-30T10:53:02"/>
    <s v="STOCK"/>
    <s v="BUY"/>
    <n v="100"/>
    <s v="TO CLOSE"/>
    <x v="2"/>
    <m/>
    <m/>
    <s v="STOCK"/>
    <n v="29.33"/>
    <n v="29.33"/>
    <s v="LMT"/>
    <n v="-100"/>
    <n v="-3033"/>
    <n v="30.33"/>
    <s v=""/>
  </r>
  <r>
    <x v="475"/>
    <x v="42"/>
    <s v="Monday"/>
    <d v="1899-12-30T12:47:59"/>
    <s v="STOCK"/>
    <s v="BUY"/>
    <n v="100"/>
    <s v="TO CLOSE"/>
    <x v="2"/>
    <m/>
    <m/>
    <s v="STOCK"/>
    <n v="29.535"/>
    <n v="29.535"/>
    <s v="MKT"/>
    <n v="0"/>
    <n v="0"/>
    <s v=""/>
    <n v="79.499999999999815"/>
  </r>
  <r>
    <x v="476"/>
    <x v="43"/>
    <s v="Tuesday"/>
    <d v="1899-12-30T09:30:39"/>
    <s v="FUTURE"/>
    <s v="SELL"/>
    <n v="-1"/>
    <s v="TO OPEN"/>
    <x v="6"/>
    <d v="2020-08-20T00:00:00"/>
    <m/>
    <s v="FUTURE"/>
    <n v="38.159999999999997"/>
    <n v="38.159999999999997"/>
    <s v="LMT"/>
    <n v="-1"/>
    <n v="-38160"/>
    <n v="38.159999999999997"/>
    <s v=""/>
  </r>
  <r>
    <x v="476"/>
    <x v="43"/>
    <s v="Tuesday"/>
    <d v="1899-12-30T09:34:50"/>
    <s v="FUTURE"/>
    <s v="BUY"/>
    <n v="2"/>
    <s v="TO CLOSE"/>
    <x v="6"/>
    <d v="2020-08-20T00:00:00"/>
    <m/>
    <s v="FUTURE"/>
    <n v="38.22"/>
    <n v="38.22"/>
    <s v="MKT"/>
    <n v="1"/>
    <n v="38280"/>
    <n v="38.28"/>
    <s v=""/>
  </r>
  <r>
    <x v="476"/>
    <x v="43"/>
    <s v="Tuesday"/>
    <d v="1899-12-30T09:35:21"/>
    <s v="FUTURE"/>
    <s v="BUY"/>
    <n v="1"/>
    <s v="TO OPEN"/>
    <x v="6"/>
    <d v="2020-08-20T00:00:00"/>
    <m/>
    <s v="FUTURE"/>
    <n v="38.22"/>
    <n v="38.22"/>
    <s v="MKT"/>
    <n v="2"/>
    <n v="76500"/>
    <n v="38.25"/>
    <s v=""/>
  </r>
  <r>
    <x v="476"/>
    <x v="43"/>
    <s v="Tuesday"/>
    <d v="1899-12-30T09:36:16"/>
    <s v="FUTURE"/>
    <s v="SELL"/>
    <n v="-1"/>
    <s v="TO CLOSE"/>
    <x v="6"/>
    <d v="2020-08-20T00:00:00"/>
    <m/>
    <s v="FUTURE"/>
    <n v="38.28"/>
    <n v="38.28"/>
    <s v="LMT"/>
    <n v="1"/>
    <n v="38220"/>
    <n v="38.22"/>
    <s v=""/>
  </r>
  <r>
    <x v="476"/>
    <x v="43"/>
    <s v="Tuesday"/>
    <d v="1899-12-30T09:46:15"/>
    <s v="FUTURE"/>
    <s v="SELL"/>
    <n v="-1"/>
    <s v="TO CLOSE"/>
    <x v="6"/>
    <d v="2020-08-20T00:00:00"/>
    <m/>
    <s v="FUTURE"/>
    <n v="38.33"/>
    <n v="38.33"/>
    <s v="LMT"/>
    <n v="0"/>
    <n v="0"/>
    <s v=""/>
    <n v="109.99999999999943"/>
  </r>
  <r>
    <x v="477"/>
    <x v="43"/>
    <s v="Tuesday"/>
    <d v="1899-12-30T10:00:46"/>
    <s v="FUTURE"/>
    <s v="SELL"/>
    <n v="-1"/>
    <s v="TO OPEN"/>
    <x v="6"/>
    <d v="2020-08-20T00:00:00"/>
    <m/>
    <s v="FUTURE"/>
    <n v="38.159999999999997"/>
    <n v="38.159999999999997"/>
    <s v="LMT"/>
    <n v="-1"/>
    <n v="-38160"/>
    <n v="38.159999999999997"/>
    <s v=""/>
  </r>
  <r>
    <x v="477"/>
    <x v="43"/>
    <s v="Tuesday"/>
    <d v="1899-12-30T10:04:15"/>
    <s v="FUTURE"/>
    <s v="BUY"/>
    <n v="1"/>
    <s v="TO CLOSE"/>
    <x v="6"/>
    <d v="2020-08-20T00:00:00"/>
    <m/>
    <s v="FUTURE"/>
    <n v="38.11"/>
    <n v="38.11"/>
    <s v="LMT"/>
    <n v="0"/>
    <n v="0"/>
    <s v=""/>
    <n v="49.999999999997158"/>
  </r>
  <r>
    <x v="478"/>
    <x v="43"/>
    <s v="Tuesday"/>
    <d v="1899-12-30T10:17:17"/>
    <s v="FUTURE"/>
    <s v="BUY"/>
    <n v="1"/>
    <s v="TO OPEN"/>
    <x v="6"/>
    <d v="2020-08-20T00:00:00"/>
    <m/>
    <s v="FUTURE"/>
    <n v="38.03"/>
    <n v="38.03"/>
    <s v="LMT"/>
    <n v="1"/>
    <n v="38030"/>
    <n v="38.03"/>
    <s v=""/>
  </r>
  <r>
    <x v="478"/>
    <x v="43"/>
    <s v="Tuesday"/>
    <d v="1899-12-30T10:26:02"/>
    <s v="FUTURE"/>
    <s v="SELL"/>
    <n v="-1"/>
    <s v="TO CLOSE"/>
    <x v="6"/>
    <d v="2020-08-20T00:00:00"/>
    <m/>
    <s v="FUTURE"/>
    <n v="38.200000000000003"/>
    <n v="38.200000000000003"/>
    <s v="LMT"/>
    <n v="0"/>
    <n v="0"/>
    <s v=""/>
    <n v="170.00000000000171"/>
  </r>
  <r>
    <x v="479"/>
    <x v="43"/>
    <s v="Tuesday"/>
    <d v="1899-12-30T09:33:09"/>
    <s v="FUTURE"/>
    <s v="BUY"/>
    <n v="1"/>
    <s v="TO OPEN"/>
    <x v="1"/>
    <d v="2020-06-20T00:00:00"/>
    <m/>
    <s v="FUTURE"/>
    <n v="3195.75"/>
    <n v="3195.75"/>
    <s v="LMT"/>
    <n v="1"/>
    <n v="159787.5"/>
    <n v="3195.75"/>
    <s v=""/>
  </r>
  <r>
    <x v="479"/>
    <x v="43"/>
    <s v="Tuesday"/>
    <d v="1899-12-30T09:33:48"/>
    <s v="FUTURE"/>
    <s v="SELL"/>
    <n v="-1"/>
    <s v="TO CLOSE"/>
    <x v="1"/>
    <d v="2020-06-20T00:00:00"/>
    <m/>
    <s v="FUTURE"/>
    <n v="3198"/>
    <n v="3198"/>
    <s v="LMT"/>
    <n v="0"/>
    <n v="0"/>
    <s v=""/>
    <n v="112.5"/>
  </r>
  <r>
    <x v="480"/>
    <x v="43"/>
    <s v="Tuesday"/>
    <d v="1899-12-30T10:06:49"/>
    <s v="FUTURE"/>
    <s v="BUY"/>
    <n v="1"/>
    <s v="TO OPEN"/>
    <x v="1"/>
    <d v="2020-06-20T00:00:00"/>
    <m/>
    <s v="FUTURE"/>
    <n v="3193.5"/>
    <n v="3193.5"/>
    <s v="LMT"/>
    <n v="1"/>
    <n v="159675"/>
    <n v="3193.5"/>
    <s v=""/>
  </r>
  <r>
    <x v="480"/>
    <x v="43"/>
    <s v="Tuesday"/>
    <d v="1899-12-30T10:07:12"/>
    <s v="FUTURE"/>
    <s v="SELL"/>
    <n v="-1"/>
    <s v="TO CLOSE"/>
    <x v="1"/>
    <d v="2020-06-20T00:00:00"/>
    <m/>
    <s v="FUTURE"/>
    <n v="3194.5"/>
    <n v="3194.5"/>
    <s v="LMT"/>
    <n v="0"/>
    <n v="0"/>
    <s v=""/>
    <n v="50"/>
  </r>
  <r>
    <x v="481"/>
    <x v="43"/>
    <s v="Tuesday"/>
    <d v="1899-12-30T10:10:20"/>
    <s v="FUTURE"/>
    <s v="BUY"/>
    <n v="1"/>
    <s v="TO OPEN"/>
    <x v="1"/>
    <d v="2020-06-20T00:00:00"/>
    <m/>
    <s v="FUTURE"/>
    <n v="3194"/>
    <n v="3194"/>
    <s v="LMT"/>
    <n v="1"/>
    <n v="159700"/>
    <n v="3194"/>
    <s v=""/>
  </r>
  <r>
    <x v="481"/>
    <x v="43"/>
    <s v="Tuesday"/>
    <d v="1899-12-30T10:19:16"/>
    <s v="FUTURE"/>
    <s v="SELL"/>
    <n v="-1"/>
    <s v="TO CLOSE"/>
    <x v="1"/>
    <d v="2020-06-20T00:00:00"/>
    <m/>
    <s v="FUTURE"/>
    <n v="3197.25"/>
    <n v="3197.25"/>
    <s v="LMT"/>
    <n v="0"/>
    <n v="0"/>
    <s v=""/>
    <n v="162.5"/>
  </r>
  <r>
    <x v="482"/>
    <x v="43"/>
    <s v="Tuesday"/>
    <d v="1899-12-30T09:45:25"/>
    <s v="STOCK"/>
    <s v="SELL"/>
    <n v="-272"/>
    <s v="TO OPEN"/>
    <x v="2"/>
    <m/>
    <m/>
    <s v="STOCK"/>
    <n v="30.61"/>
    <n v="30.61"/>
    <s v="LMT"/>
    <n v="-272"/>
    <n v="-8325.92"/>
    <n v="30.61"/>
    <s v=""/>
  </r>
  <r>
    <x v="482"/>
    <x v="43"/>
    <s v="Tuesday"/>
    <d v="1899-12-30T09:45:25"/>
    <s v="STOCK"/>
    <s v="SELL"/>
    <n v="-28"/>
    <s v="TO OPEN"/>
    <x v="2"/>
    <m/>
    <m/>
    <s v="STOCK"/>
    <n v="30.61"/>
    <n v="30.61"/>
    <s v="LMT"/>
    <n v="-300"/>
    <n v="-9183"/>
    <n v="30.61"/>
    <s v=""/>
  </r>
  <r>
    <x v="482"/>
    <x v="43"/>
    <s v="Tuesday"/>
    <d v="1899-12-30T09:47:06"/>
    <s v="STOCK"/>
    <s v="BUY"/>
    <n v="300"/>
    <s v="TO CLOSE"/>
    <x v="2"/>
    <m/>
    <m/>
    <s v="STOCK"/>
    <n v="30.6099"/>
    <n v="30.6099"/>
    <s v="LMT"/>
    <n v="0"/>
    <n v="0"/>
    <s v=""/>
    <n v="2.9999999999930083E-2"/>
  </r>
  <r>
    <x v="483"/>
    <x v="44"/>
    <s v="Wednesday"/>
    <d v="1899-12-30T10:17:45"/>
    <s v="FUTURE"/>
    <s v="SELL"/>
    <n v="-1"/>
    <s v="TO OPEN"/>
    <x v="6"/>
    <d v="2020-08-20T00:00:00"/>
    <m/>
    <s v="FUTURE"/>
    <n v="38.29"/>
    <n v="38.29"/>
    <s v="LMT"/>
    <n v="-1"/>
    <n v="-38290"/>
    <n v="38.29"/>
    <s v=""/>
  </r>
  <r>
    <x v="483"/>
    <x v="44"/>
    <s v="Wednesday"/>
    <d v="1899-12-30T10:22:36"/>
    <s v="FUTURE"/>
    <s v="BUY"/>
    <n v="1"/>
    <s v="TO CLOSE"/>
    <x v="6"/>
    <d v="2020-08-20T00:00:00"/>
    <m/>
    <s v="FUTURE"/>
    <n v="38.24"/>
    <n v="38.24"/>
    <s v="LMT"/>
    <n v="0"/>
    <n v="0"/>
    <s v=""/>
    <n v="49.999999999997158"/>
  </r>
  <r>
    <x v="484"/>
    <x v="44"/>
    <s v="Wednesday"/>
    <d v="1899-12-30T10:30:40"/>
    <s v="FUTURE"/>
    <s v="BUY"/>
    <n v="1"/>
    <s v="TO OPEN"/>
    <x v="6"/>
    <d v="2020-08-20T00:00:00"/>
    <m/>
    <s v="FUTURE"/>
    <n v="38.299999999999997"/>
    <n v="38.299999999999997"/>
    <s v="MKT"/>
    <n v="1"/>
    <n v="38300"/>
    <n v="38.299999999999997"/>
    <s v=""/>
  </r>
  <r>
    <x v="484"/>
    <x v="44"/>
    <s v="Wednesday"/>
    <d v="1899-12-30T10:48:05"/>
    <s v="FUTURE"/>
    <s v="SELL"/>
    <n v="-1"/>
    <s v="TO CLOSE"/>
    <x v="6"/>
    <d v="2020-08-20T00:00:00"/>
    <m/>
    <s v="FUTURE"/>
    <n v="38.36"/>
    <n v="38.36"/>
    <s v="LMT"/>
    <n v="0"/>
    <n v="0"/>
    <s v=""/>
    <n v="60.000000000002274"/>
  </r>
  <r>
    <x v="485"/>
    <x v="44"/>
    <s v="Wednesday"/>
    <d v="1899-12-30T10:49:49"/>
    <s v="FUTURE"/>
    <s v="BUY"/>
    <n v="2"/>
    <s v="TO OPEN"/>
    <x v="6"/>
    <d v="2020-08-20T00:00:00"/>
    <m/>
    <s v="FUTURE"/>
    <n v="38.450000000000003"/>
    <n v="38.450000000000003"/>
    <s v="MKT"/>
    <n v="2"/>
    <n v="76900"/>
    <n v="38.450000000000003"/>
    <s v=""/>
  </r>
  <r>
    <x v="485"/>
    <x v="44"/>
    <s v="Wednesday"/>
    <d v="1899-12-30T10:52:36"/>
    <s v="FUTURE"/>
    <s v="SELL"/>
    <n v="-1"/>
    <s v="TO CLOSE"/>
    <x v="6"/>
    <d v="2020-08-20T00:00:00"/>
    <m/>
    <s v="FUTURE"/>
    <n v="38.21"/>
    <n v="38.21"/>
    <s v="LMT"/>
    <n v="1"/>
    <n v="38690"/>
    <n v="38.69"/>
    <s v=""/>
  </r>
  <r>
    <x v="485"/>
    <x v="44"/>
    <s v="Wednesday"/>
    <d v="1899-12-30T10:52:36"/>
    <s v="FUTURE"/>
    <s v="SELL"/>
    <n v="-1"/>
    <s v="TO CLOSE"/>
    <x v="6"/>
    <d v="2020-08-20T00:00:00"/>
    <m/>
    <s v="FUTURE"/>
    <n v="38.21"/>
    <n v="38.21"/>
    <s v="LMT"/>
    <n v="0"/>
    <n v="0"/>
    <s v=""/>
    <n v="-479.99999999999687"/>
  </r>
  <r>
    <x v="486"/>
    <x v="44"/>
    <s v="Wednesday"/>
    <d v="1899-12-30T10:55:02"/>
    <s v="FUTURE"/>
    <s v="SELL"/>
    <n v="-2"/>
    <s v="TO OPEN"/>
    <x v="6"/>
    <d v="2020-08-20T00:00:00"/>
    <m/>
    <s v="FUTURE"/>
    <n v="38.200000000000003"/>
    <n v="38.200000000000003"/>
    <s v="MKT"/>
    <n v="-2"/>
    <n v="-76400"/>
    <n v="38.200000000000003"/>
    <s v=""/>
  </r>
  <r>
    <x v="486"/>
    <x v="44"/>
    <s v="Wednesday"/>
    <d v="1899-12-30T11:01:28"/>
    <s v="FUTURE"/>
    <s v="BUY"/>
    <n v="1"/>
    <s v="TO CLOSE"/>
    <x v="6"/>
    <d v="2020-08-20T00:00:00"/>
    <m/>
    <s v="FUTURE"/>
    <n v="38.299999999999997"/>
    <n v="38.299999999999997"/>
    <s v="STP"/>
    <n v="-1"/>
    <n v="-38100"/>
    <n v="38.1"/>
    <s v=""/>
  </r>
  <r>
    <x v="486"/>
    <x v="44"/>
    <s v="Wednesday"/>
    <d v="1899-12-30T11:01:28"/>
    <s v="FUTURE"/>
    <s v="BUY"/>
    <n v="1"/>
    <s v="TO CLOSE"/>
    <x v="6"/>
    <d v="2020-08-20T00:00:00"/>
    <m/>
    <s v="FUTURE"/>
    <n v="38.299999999999997"/>
    <n v="38.299999999999997"/>
    <s v="STP"/>
    <n v="0"/>
    <n v="0"/>
    <s v=""/>
    <n v="-199.99999999999574"/>
  </r>
  <r>
    <x v="487"/>
    <x v="44"/>
    <s v="Wednesday"/>
    <d v="1899-12-30T11:04:47"/>
    <s v="FUTURE"/>
    <s v="BUY"/>
    <n v="1"/>
    <s v="TO OPEN"/>
    <x v="6"/>
    <d v="2020-08-20T00:00:00"/>
    <m/>
    <s v="FUTURE"/>
    <n v="38.39"/>
    <n v="38.39"/>
    <s v="MKT"/>
    <n v="1"/>
    <n v="38390"/>
    <n v="38.39"/>
    <s v=""/>
  </r>
  <r>
    <x v="487"/>
    <x v="44"/>
    <s v="Wednesday"/>
    <d v="1899-12-30T11:19:12"/>
    <s v="FUTURE"/>
    <s v="SELL"/>
    <n v="-1"/>
    <s v="TO CLOSE"/>
    <x v="6"/>
    <d v="2020-08-20T00:00:00"/>
    <m/>
    <s v="FUTURE"/>
    <n v="38.51"/>
    <n v="38.51"/>
    <s v="LMT"/>
    <n v="0"/>
    <n v="0"/>
    <s v=""/>
    <n v="119.99999999999744"/>
  </r>
  <r>
    <x v="488"/>
    <x v="44"/>
    <s v="Wednesday"/>
    <d v="1899-12-30T11:23:12"/>
    <s v="FUTURE"/>
    <s v="BUY"/>
    <n v="2"/>
    <s v="TO OPEN"/>
    <x v="6"/>
    <d v="2020-08-20T00:00:00"/>
    <m/>
    <s v="FUTURE"/>
    <n v="38.68"/>
    <n v="38.68"/>
    <s v="MKT"/>
    <n v="2"/>
    <n v="77360"/>
    <n v="38.68"/>
    <s v=""/>
  </r>
  <r>
    <x v="488"/>
    <x v="44"/>
    <s v="Wednesday"/>
    <d v="1899-12-30T11:23:26"/>
    <s v="FUTURE"/>
    <s v="SELL"/>
    <n v="-1"/>
    <s v="TO CLOSE"/>
    <x v="6"/>
    <d v="2020-08-20T00:00:00"/>
    <m/>
    <s v="FUTURE"/>
    <n v="38.79"/>
    <n v="38.79"/>
    <s v="LMT"/>
    <n v="1"/>
    <n v="38570"/>
    <n v="38.57"/>
    <s v=""/>
  </r>
  <r>
    <x v="488"/>
    <x v="44"/>
    <s v="Wednesday"/>
    <d v="1899-12-30T11:23:42"/>
    <s v="FUTURE"/>
    <s v="SELL"/>
    <n v="-1"/>
    <s v="TO CLOSE"/>
    <x v="6"/>
    <d v="2020-08-20T00:00:00"/>
    <m/>
    <s v="FUTURE"/>
    <n v="38.89"/>
    <n v="38.89"/>
    <s v="MKT"/>
    <n v="0"/>
    <n v="0"/>
    <s v=""/>
    <n v="320.00000000000028"/>
  </r>
  <r>
    <x v="489"/>
    <x v="44"/>
    <s v="Wednesday"/>
    <d v="1899-12-30T12:00:44"/>
    <s v="FUTURE"/>
    <s v="SELL"/>
    <n v="-1"/>
    <s v="TO OPEN"/>
    <x v="6"/>
    <d v="2020-08-20T00:00:00"/>
    <m/>
    <s v="FUTURE"/>
    <n v="38.89"/>
    <n v="38.89"/>
    <s v="LMT"/>
    <n v="-1"/>
    <n v="-38890"/>
    <n v="38.89"/>
    <s v=""/>
  </r>
  <r>
    <x v="489"/>
    <x v="44"/>
    <s v="Wednesday"/>
    <d v="1899-12-30T12:24:01"/>
    <s v="FUTURE"/>
    <s v="SELL"/>
    <n v="-1"/>
    <s v="TO OPEN"/>
    <x v="6"/>
    <d v="2020-08-20T00:00:00"/>
    <m/>
    <s v="FUTURE"/>
    <n v="39.19"/>
    <n v="39.19"/>
    <s v="LMT"/>
    <n v="-2"/>
    <n v="-78080"/>
    <n v="39.04"/>
    <s v=""/>
  </r>
  <r>
    <x v="489"/>
    <x v="44"/>
    <s v="Wednesday"/>
    <d v="1899-12-30T12:29:13"/>
    <s v="FUTURE"/>
    <s v="BUY"/>
    <n v="1"/>
    <s v="TO CLOSE"/>
    <x v="6"/>
    <d v="2020-08-20T00:00:00"/>
    <m/>
    <s v="FUTURE"/>
    <n v="39.119999999999997"/>
    <n v="39.119999999999997"/>
    <s v="LMT"/>
    <n v="-1"/>
    <n v="-38960"/>
    <n v="38.96"/>
    <s v=""/>
  </r>
  <r>
    <x v="489"/>
    <x v="44"/>
    <s v="Wednesday"/>
    <d v="1899-12-30T12:39:28"/>
    <s v="FUTURE"/>
    <s v="BUY"/>
    <n v="1"/>
    <s v="TO CLOSE"/>
    <x v="6"/>
    <d v="2020-08-20T00:00:00"/>
    <m/>
    <s v="FUTURE"/>
    <n v="38.99"/>
    <n v="38.99"/>
    <s v="LMT"/>
    <n v="0"/>
    <n v="0"/>
    <s v=""/>
    <n v="-30.000000000001137"/>
  </r>
  <r>
    <x v="490"/>
    <x v="44"/>
    <s v="Wednesday"/>
    <d v="1899-12-30T10:09:53"/>
    <s v="FUTURE"/>
    <s v="BUY"/>
    <n v="1"/>
    <s v="TO OPEN"/>
    <x v="1"/>
    <d v="2020-06-20T00:00:00"/>
    <m/>
    <s v="FUTURE"/>
    <n v="3202.25"/>
    <n v="3202.25"/>
    <s v="LMT"/>
    <n v="1"/>
    <n v="160112.5"/>
    <n v="3202.25"/>
    <s v=""/>
  </r>
  <r>
    <x v="490"/>
    <x v="44"/>
    <s v="Wednesday"/>
    <d v="1899-12-30T10:14:16"/>
    <s v="FUTURE"/>
    <s v="SELL"/>
    <n v="-1"/>
    <s v="TO CLOSE"/>
    <x v="1"/>
    <d v="2020-06-20T00:00:00"/>
    <m/>
    <s v="FUTURE"/>
    <n v="3192.5"/>
    <n v="3192.5"/>
    <s v="STP"/>
    <n v="0"/>
    <n v="0"/>
    <s v=""/>
    <n v="-487.5"/>
  </r>
  <r>
    <x v="491"/>
    <x v="44"/>
    <s v="Wednesday"/>
    <d v="1899-12-30T10:31:09"/>
    <s v="FUTURE"/>
    <s v="BUY"/>
    <n v="1"/>
    <s v="TO OPEN"/>
    <x v="1"/>
    <d v="2020-06-20T00:00:00"/>
    <m/>
    <s v="FUTURE"/>
    <n v="3188.75"/>
    <n v="3188.75"/>
    <s v="MKT"/>
    <n v="1"/>
    <n v="159437.5"/>
    <n v="3188.75"/>
    <s v=""/>
  </r>
  <r>
    <x v="491"/>
    <x v="44"/>
    <s v="Wednesday"/>
    <d v="1899-12-30T10:47:09"/>
    <s v="FUTURE"/>
    <s v="SELL"/>
    <n v="-1"/>
    <s v="TO CLOSE"/>
    <x v="1"/>
    <d v="2020-06-20T00:00:00"/>
    <m/>
    <s v="FUTURE"/>
    <n v="3194.5"/>
    <n v="3194.5"/>
    <s v="LMT"/>
    <n v="0"/>
    <n v="0"/>
    <s v=""/>
    <n v="287.5"/>
  </r>
  <r>
    <x v="492"/>
    <x v="44"/>
    <s v="Wednesday"/>
    <d v="1899-12-30T11:01:33"/>
    <s v="FUTURE"/>
    <s v="BUY"/>
    <n v="2"/>
    <s v="TO OPEN"/>
    <x v="1"/>
    <d v="2020-06-20T00:00:00"/>
    <m/>
    <s v="FUTURE"/>
    <n v="3186.5"/>
    <n v="3186.5"/>
    <s v="MKT"/>
    <n v="2"/>
    <n v="318650"/>
    <n v="3186.5"/>
    <s v=""/>
  </r>
  <r>
    <x v="492"/>
    <x v="44"/>
    <s v="Wednesday"/>
    <d v="1899-12-30T11:04:39"/>
    <s v="FUTURE"/>
    <s v="SELL"/>
    <n v="-1"/>
    <s v="TO CLOSE"/>
    <x v="1"/>
    <d v="2020-06-20T00:00:00"/>
    <m/>
    <s v="FUTURE"/>
    <n v="3189"/>
    <n v="3189"/>
    <s v="LMT"/>
    <n v="1"/>
    <n v="159200"/>
    <n v="3184"/>
    <s v=""/>
  </r>
  <r>
    <x v="492"/>
    <x v="44"/>
    <s v="Wednesday"/>
    <d v="1899-12-30T11:18:52"/>
    <s v="FUTURE"/>
    <s v="SELL"/>
    <n v="-1"/>
    <s v="TO CLOSE"/>
    <x v="1"/>
    <d v="2020-06-20T00:00:00"/>
    <m/>
    <s v="FUTURE"/>
    <n v="3194.75"/>
    <n v="3194.75"/>
    <s v="LMT"/>
    <n v="0"/>
    <n v="0"/>
    <s v=""/>
    <n v="537.5"/>
  </r>
  <r>
    <x v="493"/>
    <x v="44"/>
    <s v="Wednesday"/>
    <d v="1899-12-30T11:54:53"/>
    <s v="FUTURE"/>
    <s v="BUY"/>
    <n v="1"/>
    <s v="TO OPEN"/>
    <x v="1"/>
    <d v="2020-06-20T00:00:00"/>
    <m/>
    <s v="FUTURE"/>
    <n v="3197.5"/>
    <n v="3197.5"/>
    <s v="MKT"/>
    <n v="1"/>
    <n v="159875"/>
    <n v="3197.5"/>
    <s v=""/>
  </r>
  <r>
    <x v="493"/>
    <x v="44"/>
    <s v="Wednesday"/>
    <d v="1899-12-30T11:57:14"/>
    <s v="FUTURE"/>
    <s v="BUY"/>
    <n v="1"/>
    <s v="TO OPEN"/>
    <x v="1"/>
    <d v="2020-06-20T00:00:00"/>
    <m/>
    <s v="FUTURE"/>
    <n v="3194.5"/>
    <n v="3194.5"/>
    <s v="LMT"/>
    <n v="2"/>
    <n v="319600"/>
    <n v="3196"/>
    <s v=""/>
  </r>
  <r>
    <x v="493"/>
    <x v="44"/>
    <s v="Wednesday"/>
    <d v="1899-12-30T11:59:03"/>
    <s v="FUTURE"/>
    <s v="SELL"/>
    <n v="-1"/>
    <s v="TO CLOSE"/>
    <x v="1"/>
    <d v="2020-06-20T00:00:00"/>
    <m/>
    <s v="FUTURE"/>
    <n v="3195.5"/>
    <n v="3195.5"/>
    <s v="LMT"/>
    <n v="1"/>
    <n v="159825"/>
    <n v="3196.5"/>
    <s v=""/>
  </r>
  <r>
    <x v="493"/>
    <x v="44"/>
    <s v="Wednesday"/>
    <d v="1899-12-30T12:23:35"/>
    <s v="FUTURE"/>
    <s v="SELL"/>
    <n v="-1"/>
    <s v="TO CLOSE"/>
    <x v="1"/>
    <d v="2020-06-20T00:00:00"/>
    <m/>
    <s v="FUTURE"/>
    <n v="3200.5"/>
    <n v="3200.5"/>
    <s v="LMT"/>
    <n v="0"/>
    <n v="0"/>
    <s v=""/>
    <n v="200"/>
  </r>
  <r>
    <x v="494"/>
    <x v="44"/>
    <s v="Wednesday"/>
    <d v="1899-12-30T10:28:21"/>
    <s v="STOCK"/>
    <s v="SELL"/>
    <n v="-300"/>
    <s v="TO OPEN"/>
    <x v="2"/>
    <m/>
    <m/>
    <s v="STOCK"/>
    <n v="31.962399999999999"/>
    <n v="31.962399999999999"/>
    <s v="LMT"/>
    <n v="-300"/>
    <n v="-9588.7199999999993"/>
    <n v="31.962399999999999"/>
    <s v=""/>
  </r>
  <r>
    <x v="494"/>
    <x v="44"/>
    <s v="Wednesday"/>
    <d v="1899-12-30T10:37:57"/>
    <s v="STOCK"/>
    <s v="BUY"/>
    <n v="100"/>
    <s v="TO CLOSE"/>
    <x v="2"/>
    <m/>
    <m/>
    <s v="STOCK"/>
    <n v="31.68"/>
    <n v="31.68"/>
    <s v="LMT"/>
    <n v="-200"/>
    <n v="-6420.7199999999993"/>
    <n v="32.1036"/>
    <s v=""/>
  </r>
  <r>
    <x v="494"/>
    <x v="44"/>
    <s v="Wednesday"/>
    <d v="1899-12-30T10:49:11"/>
    <s v="STOCK"/>
    <s v="BUY"/>
    <n v="100"/>
    <s v="TO CLOSE"/>
    <x v="2"/>
    <m/>
    <m/>
    <s v="STOCK"/>
    <n v="31.629899999999999"/>
    <n v="31.629899999999999"/>
    <s v="MKT"/>
    <n v="-100"/>
    <n v="-3257.7299999999996"/>
    <n v="32.577299999999994"/>
    <s v=""/>
  </r>
  <r>
    <x v="494"/>
    <x v="44"/>
    <s v="Wednesday"/>
    <d v="1899-12-30T11:09:51"/>
    <s v="STOCK"/>
    <s v="SELL"/>
    <n v="-100"/>
    <s v="TO OPEN"/>
    <x v="2"/>
    <m/>
    <m/>
    <s v="STOCK"/>
    <n v="31.4023"/>
    <n v="31.4023"/>
    <s v="LMT"/>
    <n v="-200"/>
    <n v="-6397.9599999999991"/>
    <n v="31.989799999999995"/>
    <s v=""/>
  </r>
  <r>
    <x v="494"/>
    <x v="44"/>
    <s v="Wednesday"/>
    <d v="1899-12-30T11:19:29"/>
    <s v="STOCK"/>
    <s v="BUY"/>
    <n v="200"/>
    <s v="TO CLOSE"/>
    <x v="2"/>
    <m/>
    <m/>
    <s v="STOCK"/>
    <n v="31.04"/>
    <n v="31.04"/>
    <s v="LMT"/>
    <n v="0"/>
    <n v="0"/>
    <s v=""/>
    <n v="189.95999999999924"/>
  </r>
  <r>
    <x v="495"/>
    <x v="45"/>
    <s v="Thursday"/>
    <d v="1899-12-30T09:00:04"/>
    <s v="FUTURE"/>
    <s v="BUY"/>
    <n v="1"/>
    <s v="TO OPEN"/>
    <x v="6"/>
    <d v="2020-08-20T00:00:00"/>
    <m/>
    <s v="FUTURE"/>
    <n v="37.26"/>
    <n v="37.26"/>
    <s v="LMT"/>
    <n v="1"/>
    <n v="37260"/>
    <n v="37.26"/>
    <s v=""/>
  </r>
  <r>
    <x v="495"/>
    <x v="45"/>
    <s v="Thursday"/>
    <d v="1899-12-30T09:31:12"/>
    <s v="FUTURE"/>
    <s v="BUY"/>
    <n v="1"/>
    <s v="TO OPEN"/>
    <x v="6"/>
    <d v="2020-08-20T00:00:00"/>
    <m/>
    <s v="FUTURE"/>
    <n v="36.9"/>
    <n v="36.9"/>
    <s v="LMT"/>
    <n v="2"/>
    <n v="74160"/>
    <n v="37.08"/>
    <s v=""/>
  </r>
  <r>
    <x v="495"/>
    <x v="45"/>
    <s v="Thursday"/>
    <d v="1899-12-30T10:09:57"/>
    <s v="FUTURE"/>
    <s v="SELL"/>
    <n v="-1"/>
    <s v="TO CLOSE"/>
    <x v="6"/>
    <d v="2020-08-20T00:00:00"/>
    <m/>
    <s v="FUTURE"/>
    <n v="37.21"/>
    <n v="37.21"/>
    <s v="LMT"/>
    <n v="1"/>
    <n v="36950"/>
    <n v="36.950000000000003"/>
    <s v=""/>
  </r>
  <r>
    <x v="495"/>
    <x v="45"/>
    <s v="Thursday"/>
    <d v="1899-12-30T10:12:24"/>
    <s v="FUTURE"/>
    <s v="SELL"/>
    <n v="-1"/>
    <s v="TO CLOSE"/>
    <x v="6"/>
    <d v="2020-08-20T00:00:00"/>
    <m/>
    <s v="FUTURE"/>
    <n v="37.270000000000003"/>
    <n v="37.270000000000003"/>
    <s v="MKT"/>
    <n v="0"/>
    <n v="0"/>
    <s v=""/>
    <n v="320.00000000000028"/>
  </r>
  <r>
    <x v="496"/>
    <x v="45"/>
    <s v="Thursday"/>
    <d v="1899-12-30T09:00:58"/>
    <s v="FUTURE"/>
    <s v="BUY"/>
    <n v="1"/>
    <s v="TO OPEN"/>
    <x v="1"/>
    <d v="2020-06-20T00:00:00"/>
    <m/>
    <s v="FUTURE"/>
    <n v="3105"/>
    <n v="3105"/>
    <s v="MKT"/>
    <n v="1"/>
    <n v="155250"/>
    <n v="3105"/>
    <s v=""/>
  </r>
  <r>
    <x v="496"/>
    <x v="45"/>
    <s v="Thursday"/>
    <d v="1899-12-30T09:19:12"/>
    <s v="FUTURE"/>
    <s v="SELL"/>
    <n v="-1"/>
    <s v="TO CLOSE"/>
    <x v="1"/>
    <d v="2020-06-20T00:00:00"/>
    <m/>
    <s v="FUTURE"/>
    <n v="3109.5"/>
    <n v="3109.5"/>
    <s v="LMT"/>
    <n v="0"/>
    <n v="0"/>
    <s v=""/>
    <n v="225"/>
  </r>
  <r>
    <x v="497"/>
    <x v="45"/>
    <s v="Thursday"/>
    <d v="1899-12-30T10:13:55"/>
    <s v="FUTURE"/>
    <s v="BUY"/>
    <n v="1"/>
    <s v="TO OPEN"/>
    <x v="1"/>
    <d v="2020-06-20T00:00:00"/>
    <m/>
    <s v="FUTURE"/>
    <n v="3113"/>
    <n v="3113"/>
    <s v="MKT"/>
    <n v="1"/>
    <n v="155650"/>
    <n v="3113"/>
    <s v=""/>
  </r>
  <r>
    <x v="497"/>
    <x v="45"/>
    <s v="Thursday"/>
    <d v="1899-12-30T10:14:14"/>
    <s v="FUTURE"/>
    <s v="SELL"/>
    <n v="-1"/>
    <s v="TO CLOSE"/>
    <x v="1"/>
    <d v="2020-06-20T00:00:00"/>
    <m/>
    <s v="FUTURE"/>
    <n v="3114"/>
    <n v="3114"/>
    <s v="LMT"/>
    <n v="0"/>
    <n v="0"/>
    <s v=""/>
    <n v="50"/>
  </r>
  <r>
    <x v="498"/>
    <x v="45"/>
    <s v="Thursday"/>
    <d v="1899-12-30T09:40:59"/>
    <s v="FUTURE"/>
    <s v="BUY"/>
    <n v="4"/>
    <s v="TO OPEN"/>
    <x v="3"/>
    <d v="2020-06-20T00:00:00"/>
    <m/>
    <s v="FUTURE"/>
    <n v="3101"/>
    <n v="3101"/>
    <s v="MKT"/>
    <n v="4"/>
    <n v="62020"/>
    <n v="3101"/>
    <s v=""/>
  </r>
  <r>
    <x v="498"/>
    <x v="45"/>
    <s v="Thursday"/>
    <d v="1899-12-30T09:46:31"/>
    <s v="FUTURE"/>
    <s v="SELL"/>
    <n v="-2"/>
    <s v="TO CLOSE"/>
    <x v="3"/>
    <d v="2020-06-20T00:00:00"/>
    <m/>
    <s v="FUTURE"/>
    <n v="3110"/>
    <n v="3110"/>
    <s v="LMT"/>
    <n v="2"/>
    <n v="30920"/>
    <n v="3092"/>
    <s v=""/>
  </r>
  <r>
    <x v="498"/>
    <x v="45"/>
    <s v="Thursday"/>
    <d v="1899-12-30T09:47:41"/>
    <s v="FUTURE"/>
    <s v="SELL"/>
    <n v="-2"/>
    <s v="TO CLOSE"/>
    <x v="3"/>
    <d v="2020-06-20T00:00:00"/>
    <m/>
    <s v="FUTURE"/>
    <n v="3112.75"/>
    <n v="3112.75"/>
    <s v="LMT"/>
    <n v="0"/>
    <n v="0"/>
    <s v=""/>
    <n v="207.5"/>
  </r>
  <r>
    <x v="499"/>
    <x v="45"/>
    <s v="Thursday"/>
    <d v="1899-12-30T10:06:18"/>
    <s v="FUTURE"/>
    <s v="BUY"/>
    <n v="2"/>
    <s v="TO OPEN"/>
    <x v="3"/>
    <d v="2020-06-20T00:00:00"/>
    <m/>
    <s v="FUTURE"/>
    <n v="3107"/>
    <n v="3107"/>
    <s v="MKT"/>
    <n v="2"/>
    <n v="31070"/>
    <n v="3107"/>
    <s v=""/>
  </r>
  <r>
    <x v="499"/>
    <x v="45"/>
    <s v="Thursday"/>
    <d v="1899-12-30T10:14:46"/>
    <s v="FUTURE"/>
    <s v="SELL"/>
    <n v="-2"/>
    <s v="TO CLOSE"/>
    <x v="3"/>
    <d v="2020-06-20T00:00:00"/>
    <m/>
    <s v="FUTURE"/>
    <n v="3111.5"/>
    <n v="3111.5"/>
    <s v="LMT"/>
    <n v="0"/>
    <n v="0"/>
    <s v=""/>
    <n v="45"/>
  </r>
  <r>
    <x v="500"/>
    <x v="46"/>
    <s v="Friday"/>
    <d v="1899-12-30T12:51:11"/>
    <s v="STOCK"/>
    <s v="SELL"/>
    <n v="-115"/>
    <s v="TO OPEN"/>
    <x v="2"/>
    <m/>
    <m/>
    <s v="STOCK"/>
    <n v="42.41"/>
    <n v="42.41"/>
    <s v="LMT"/>
    <n v="-115"/>
    <n v="-4877.1499999999996"/>
    <n v="42.41"/>
    <s v=""/>
  </r>
  <r>
    <x v="500"/>
    <x v="46"/>
    <s v="Friday"/>
    <d v="1899-12-30T12:51:11"/>
    <s v="STOCK"/>
    <s v="SELL"/>
    <n v="-170"/>
    <s v="TO OPEN"/>
    <x v="2"/>
    <m/>
    <m/>
    <s v="STOCK"/>
    <n v="42.41"/>
    <n v="42.41"/>
    <s v="LMT"/>
    <n v="-285"/>
    <n v="-12086.849999999999"/>
    <n v="42.41"/>
    <s v=""/>
  </r>
  <r>
    <x v="500"/>
    <x v="46"/>
    <s v="Friday"/>
    <d v="1899-12-30T12:51:11"/>
    <s v="STOCK"/>
    <s v="SELL"/>
    <n v="-115"/>
    <s v="TO OPEN"/>
    <x v="2"/>
    <m/>
    <m/>
    <s v="STOCK"/>
    <n v="42.41"/>
    <n v="42.41"/>
    <s v="LMT"/>
    <n v="-400"/>
    <n v="-16964"/>
    <n v="42.41"/>
    <s v=""/>
  </r>
  <r>
    <x v="500"/>
    <x v="46"/>
    <s v="Friday"/>
    <d v="1899-12-30T12:51:40"/>
    <s v="STOCK"/>
    <s v="BUY"/>
    <n v="100"/>
    <s v="TO CLOSE"/>
    <x v="2"/>
    <m/>
    <m/>
    <s v="STOCK"/>
    <n v="41.990099999999998"/>
    <n v="41.990099999999998"/>
    <s v="LMT"/>
    <n v="-300"/>
    <n v="-12764.99"/>
    <n v="42.549966666666663"/>
    <s v=""/>
  </r>
  <r>
    <x v="500"/>
    <x v="46"/>
    <s v="Friday"/>
    <d v="1899-12-30T12:56:59"/>
    <s v="STOCK"/>
    <s v="BUY"/>
    <n v="100"/>
    <s v="TO CLOSE"/>
    <x v="2"/>
    <m/>
    <m/>
    <s v="STOCK"/>
    <n v="42.02"/>
    <n v="42.02"/>
    <s v="LMT"/>
    <n v="-200"/>
    <n v="-8562.99"/>
    <n v="42.814949999999996"/>
    <s v=""/>
  </r>
  <r>
    <x v="500"/>
    <x v="46"/>
    <s v="Friday"/>
    <d v="1899-12-30T12:58:13"/>
    <s v="STOCK"/>
    <s v="BUY"/>
    <n v="100"/>
    <s v="TO CLOSE"/>
    <x v="2"/>
    <m/>
    <m/>
    <s v="STOCK"/>
    <n v="41.78"/>
    <n v="41.78"/>
    <s v="LMT"/>
    <n v="-100"/>
    <n v="-4384.99"/>
    <n v="43.849899999999998"/>
    <s v=""/>
  </r>
  <r>
    <x v="500"/>
    <x v="46"/>
    <s v="Friday"/>
    <d v="1899-12-30T12:58:27"/>
    <s v="STOCK"/>
    <s v="BUY"/>
    <n v="100"/>
    <s v="TO CLOSE"/>
    <x v="2"/>
    <m/>
    <m/>
    <s v="STOCK"/>
    <n v="41.715000000000003"/>
    <n v="41.715000000000003"/>
    <s v="MKT"/>
    <n v="0"/>
    <n v="0"/>
    <s v=""/>
    <n v="213.48999999999947"/>
  </r>
  <r>
    <x v="501"/>
    <x v="47"/>
    <s v="Monday"/>
    <d v="1899-12-30T09:38:45"/>
    <s v="FUTURE"/>
    <s v="BUY"/>
    <n v="1"/>
    <s v="TO OPEN"/>
    <x v="6"/>
    <d v="2020-08-20T00:00:00"/>
    <m/>
    <s v="FUTURE"/>
    <n v="35.020000000000003"/>
    <n v="35.020000000000003"/>
    <s v="LMT"/>
    <n v="1"/>
    <n v="35020"/>
    <n v="35.020000000000003"/>
    <s v=""/>
  </r>
  <r>
    <x v="501"/>
    <x v="47"/>
    <s v="Monday"/>
    <d v="1899-12-30T09:54:46"/>
    <s v="FUTURE"/>
    <s v="SELL"/>
    <n v="-1"/>
    <s v="TO CLOSE"/>
    <x v="6"/>
    <d v="2020-08-20T00:00:00"/>
    <m/>
    <s v="FUTURE"/>
    <n v="35.25"/>
    <n v="35.25"/>
    <s v="LMT"/>
    <n v="0"/>
    <n v="0"/>
    <s v=""/>
    <n v="229.99999999999687"/>
  </r>
  <r>
    <x v="502"/>
    <x v="47"/>
    <s v="Monday"/>
    <d v="1899-12-30T09:37:19"/>
    <s v="FUTURE"/>
    <s v="BUY"/>
    <n v="1"/>
    <s v="TO OPEN"/>
    <x v="7"/>
    <d v="2020-09-20T00:00:00"/>
    <m/>
    <s v="FUTURE"/>
    <n v="2970"/>
    <n v="2970"/>
    <s v="MKT"/>
    <n v="1"/>
    <n v="148500"/>
    <n v="2970"/>
    <s v=""/>
  </r>
  <r>
    <x v="502"/>
    <x v="47"/>
    <s v="Monday"/>
    <d v="1899-12-30T09:54:15"/>
    <s v="FUTURE"/>
    <s v="SELL"/>
    <n v="-1"/>
    <s v="TO CLOSE"/>
    <x v="7"/>
    <d v="2020-09-20T00:00:00"/>
    <m/>
    <s v="FUTURE"/>
    <n v="2981.75"/>
    <n v="2981.75"/>
    <s v="LMT"/>
    <n v="0"/>
    <n v="0"/>
    <s v=""/>
    <n v="587.5"/>
  </r>
  <r>
    <x v="503"/>
    <x v="48"/>
    <s v="Tuesday"/>
    <d v="1899-12-30T09:41:58"/>
    <s v="FUTURE"/>
    <s v="BUY"/>
    <n v="1"/>
    <s v="TO OPEN"/>
    <x v="6"/>
    <d v="2020-08-20T00:00:00"/>
    <m/>
    <s v="FUTURE"/>
    <n v="38.909999999999997"/>
    <n v="38.909999999999997"/>
    <s v="LMT"/>
    <n v="1"/>
    <n v="38910"/>
    <n v="38.909999999999997"/>
    <s v=""/>
  </r>
  <r>
    <x v="503"/>
    <x v="48"/>
    <s v="Tuesday"/>
    <d v="1899-12-30T09:56:41"/>
    <s v="FUTURE"/>
    <s v="SELL"/>
    <n v="-1"/>
    <s v="TO CLOSE"/>
    <x v="6"/>
    <d v="2020-08-20T00:00:00"/>
    <m/>
    <s v="FUTURE"/>
    <n v="39.119999999999997"/>
    <n v="39.119999999999997"/>
    <s v="LMT"/>
    <n v="0"/>
    <n v="0"/>
    <s v=""/>
    <n v="210.00000000000085"/>
  </r>
  <r>
    <x v="504"/>
    <x v="48"/>
    <s v="Tuesday"/>
    <d v="1899-12-30T10:35:44"/>
    <s v="FUTURE"/>
    <s v="SELL"/>
    <n v="-1"/>
    <s v="TO OPEN"/>
    <x v="6"/>
    <d v="2020-08-20T00:00:00"/>
    <m/>
    <s v="FUTURE"/>
    <n v="39.22"/>
    <n v="39.22"/>
    <s v="LMT"/>
    <n v="-1"/>
    <n v="-39220"/>
    <n v="39.22"/>
    <s v=""/>
  </r>
  <r>
    <x v="504"/>
    <x v="48"/>
    <s v="Tuesday"/>
    <d v="1899-12-30T10:37:31"/>
    <s v="FUTURE"/>
    <s v="BUY"/>
    <n v="1"/>
    <s v="TO CLOSE"/>
    <x v="6"/>
    <d v="2020-08-20T00:00:00"/>
    <m/>
    <s v="FUTURE"/>
    <n v="39.17"/>
    <n v="39.17"/>
    <s v="LMT"/>
    <n v="0"/>
    <n v="0"/>
    <s v=""/>
    <n v="49.999999999997158"/>
  </r>
  <r>
    <x v="505"/>
    <x v="48"/>
    <s v="Tuesday"/>
    <d v="1899-12-30T10:52:35"/>
    <s v="FUTURE"/>
    <s v="BUY"/>
    <n v="1"/>
    <s v="TO OPEN"/>
    <x v="6"/>
    <d v="2020-08-20T00:00:00"/>
    <m/>
    <s v="FUTURE"/>
    <n v="38.57"/>
    <n v="38.57"/>
    <s v="MKT"/>
    <n v="1"/>
    <n v="38570"/>
    <n v="38.57"/>
    <s v=""/>
  </r>
  <r>
    <x v="505"/>
    <x v="48"/>
    <s v="Tuesday"/>
    <d v="1899-12-30T11:34:00"/>
    <s v="FUTURE"/>
    <s v="BUY"/>
    <n v="1"/>
    <s v="TO OPEN"/>
    <x v="6"/>
    <d v="2020-08-20T00:00:00"/>
    <m/>
    <s v="FUTURE"/>
    <n v="37.76"/>
    <n v="37.76"/>
    <s v="MKT"/>
    <n v="2"/>
    <n v="76330"/>
    <n v="38.164999999999999"/>
    <s v=""/>
  </r>
  <r>
    <x v="505"/>
    <x v="48"/>
    <s v="Tuesday"/>
    <d v="1899-12-30T12:41:25"/>
    <s v="FUTURE"/>
    <s v="SELL"/>
    <n v="-1"/>
    <s v="TO CLOSE"/>
    <x v="6"/>
    <d v="2020-08-20T00:00:00"/>
    <m/>
    <s v="FUTURE"/>
    <n v="38.17"/>
    <n v="38.17"/>
    <s v="LMT"/>
    <n v="1"/>
    <n v="38160"/>
    <n v="38.159999999999997"/>
    <s v=""/>
  </r>
  <r>
    <x v="505"/>
    <x v="48"/>
    <s v="Tuesday"/>
    <d v="1899-12-30T12:43:40"/>
    <s v="FUTURE"/>
    <s v="SELL"/>
    <n v="-1"/>
    <s v="TO CLOSE"/>
    <x v="6"/>
    <d v="2020-08-20T00:00:00"/>
    <m/>
    <s v="FUTURE"/>
    <n v="38.26"/>
    <n v="38.26"/>
    <s v="LMT"/>
    <n v="0"/>
    <n v="0"/>
    <s v=""/>
    <n v="100.00000000000142"/>
  </r>
  <r>
    <x v="506"/>
    <x v="48"/>
    <s v="Tuesday"/>
    <d v="1899-12-30T12:48:21"/>
    <s v="FUTURE"/>
    <s v="BUY"/>
    <n v="1"/>
    <s v="TO OPEN"/>
    <x v="6"/>
    <d v="2020-08-20T00:00:00"/>
    <m/>
    <s v="FUTURE"/>
    <n v="38.19"/>
    <n v="38.19"/>
    <s v="MKT"/>
    <n v="1"/>
    <n v="38190"/>
    <n v="38.19"/>
    <s v=""/>
  </r>
  <r>
    <x v="506"/>
    <x v="48"/>
    <s v="Tuesday"/>
    <d v="1899-12-30T12:52:48"/>
    <s v="FUTURE"/>
    <s v="SELL"/>
    <n v="-1"/>
    <s v="TO CLOSE"/>
    <x v="6"/>
    <d v="2020-08-20T00:00:00"/>
    <m/>
    <s v="FUTURE"/>
    <n v="38.22"/>
    <n v="38.22"/>
    <s v="LMT"/>
    <n v="0"/>
    <n v="0"/>
    <s v=""/>
    <n v="30.000000000001137"/>
  </r>
  <r>
    <x v="507"/>
    <x v="48"/>
    <s v="Tuesday"/>
    <d v="1899-12-30T09:27:41"/>
    <s v="FUTURE"/>
    <s v="BUY"/>
    <n v="1"/>
    <s v="TO OPEN"/>
    <x v="7"/>
    <d v="2020-09-20T00:00:00"/>
    <m/>
    <s v="FUTURE"/>
    <n v="3140.5"/>
    <n v="3140.5"/>
    <s v="LMT"/>
    <n v="1"/>
    <n v="157025"/>
    <n v="3140.5"/>
    <s v=""/>
  </r>
  <r>
    <x v="507"/>
    <x v="48"/>
    <s v="Tuesday"/>
    <d v="1899-12-30T09:35:08"/>
    <s v="FUTURE"/>
    <s v="BUY"/>
    <n v="1"/>
    <s v="TO OPEN"/>
    <x v="7"/>
    <d v="2020-09-20T00:00:00"/>
    <m/>
    <s v="FUTURE"/>
    <n v="3131.75"/>
    <n v="3131.75"/>
    <s v="MKT"/>
    <n v="2"/>
    <n v="313612.5"/>
    <n v="3136.125"/>
    <s v=""/>
  </r>
  <r>
    <x v="507"/>
    <x v="48"/>
    <s v="Tuesday"/>
    <d v="1899-12-30T09:38:07"/>
    <s v="FUTURE"/>
    <s v="SELL"/>
    <n v="-1"/>
    <s v="TO CLOSE"/>
    <x v="7"/>
    <d v="2020-09-20T00:00:00"/>
    <m/>
    <s v="FUTURE"/>
    <n v="3135.25"/>
    <n v="3135.25"/>
    <s v="LMT"/>
    <n v="1"/>
    <n v="156850"/>
    <n v="3137"/>
    <s v=""/>
  </r>
  <r>
    <x v="507"/>
    <x v="48"/>
    <s v="Tuesday"/>
    <d v="1899-12-30T10:16:43"/>
    <s v="FUTURE"/>
    <s v="SELL"/>
    <n v="-1"/>
    <s v="TO CLOSE"/>
    <x v="7"/>
    <d v="2020-09-20T00:00:00"/>
    <m/>
    <s v="FUTURE"/>
    <n v="3140.5"/>
    <n v="3140.5"/>
    <s v="LMT"/>
    <n v="0"/>
    <n v="0"/>
    <s v=""/>
    <n v="175"/>
  </r>
  <r>
    <x v="508"/>
    <x v="48"/>
    <s v="Tuesday"/>
    <d v="1899-12-30T10:50:58"/>
    <s v="FUTURE"/>
    <s v="BUY"/>
    <n v="1"/>
    <s v="TO OPEN"/>
    <x v="7"/>
    <d v="2020-09-20T00:00:00"/>
    <m/>
    <s v="FUTURE"/>
    <n v="3116"/>
    <n v="3116"/>
    <s v="MKT"/>
    <n v="1"/>
    <n v="155800"/>
    <n v="3116"/>
    <s v=""/>
  </r>
  <r>
    <x v="508"/>
    <x v="48"/>
    <s v="Tuesday"/>
    <d v="1899-12-30T11:32:05"/>
    <s v="FUTURE"/>
    <s v="SELL"/>
    <n v="-1"/>
    <s v="TO CLOSE"/>
    <x v="7"/>
    <d v="2020-09-20T00:00:00"/>
    <m/>
    <s v="FUTURE"/>
    <n v="3117.25"/>
    <n v="3117.25"/>
    <s v="MKT"/>
    <n v="0"/>
    <n v="0"/>
    <s v=""/>
    <n v="62.5"/>
  </r>
  <r>
    <x v="509"/>
    <x v="48"/>
    <s v="Tuesday"/>
    <d v="1899-12-30T09:40:57"/>
    <s v="STOCK"/>
    <s v="SELL"/>
    <n v="-200"/>
    <s v="TO OPEN"/>
    <x v="2"/>
    <m/>
    <m/>
    <s v="STOCK"/>
    <n v="35.630000000000003"/>
    <n v="35.630000000000003"/>
    <s v="LMT"/>
    <n v="-200"/>
    <n v="-7126.0000000000009"/>
    <n v="35.630000000000003"/>
    <s v=""/>
  </r>
  <r>
    <x v="509"/>
    <x v="48"/>
    <s v="Tuesday"/>
    <d v="1899-12-30T09:52:10"/>
    <s v="STOCK"/>
    <s v="SELL"/>
    <n v="-100"/>
    <s v="TO OPEN"/>
    <x v="2"/>
    <m/>
    <m/>
    <s v="STOCK"/>
    <n v="36.034999999999997"/>
    <n v="36.034999999999997"/>
    <s v="MKT"/>
    <n v="-300"/>
    <n v="-10729.5"/>
    <n v="35.765000000000001"/>
    <s v=""/>
  </r>
  <r>
    <x v="509"/>
    <x v="48"/>
    <s v="Tuesday"/>
    <d v="1899-12-30T09:55:48"/>
    <s v="STOCK"/>
    <s v="BUY"/>
    <n v="100"/>
    <s v="TO CLOSE"/>
    <x v="2"/>
    <m/>
    <m/>
    <s v="STOCK"/>
    <n v="35.19"/>
    <n v="35.19"/>
    <s v="LMT"/>
    <n v="-200"/>
    <n v="-7210.5"/>
    <n v="36.052500000000002"/>
    <s v=""/>
  </r>
  <r>
    <x v="509"/>
    <x v="48"/>
    <s v="Tuesday"/>
    <d v="1899-12-30T10:01:22"/>
    <s v="STOCK"/>
    <s v="BUY"/>
    <n v="100"/>
    <s v="TO CLOSE"/>
    <x v="2"/>
    <m/>
    <m/>
    <s v="STOCK"/>
    <n v="35.11"/>
    <n v="35.11"/>
    <s v="LMT"/>
    <n v="-100"/>
    <n v="-3699.5"/>
    <n v="36.994999999999997"/>
    <s v=""/>
  </r>
  <r>
    <x v="509"/>
    <x v="48"/>
    <s v="Tuesday"/>
    <d v="1899-12-30T10:16:19"/>
    <s v="STOCK"/>
    <s v="BUY"/>
    <n v="100"/>
    <s v="TO CLOSE"/>
    <x v="2"/>
    <m/>
    <m/>
    <s v="STOCK"/>
    <n v="34.99"/>
    <n v="34.99"/>
    <s v="LMT"/>
    <n v="0"/>
    <n v="0"/>
    <s v=""/>
    <n v="200.49999999999955"/>
  </r>
  <r>
    <x v="510"/>
    <x v="48"/>
    <s v="Tuesday"/>
    <d v="1899-12-30T12:13:12"/>
    <s v="STOCK"/>
    <s v="SELL"/>
    <n v="-22"/>
    <s v="TO OPEN"/>
    <x v="2"/>
    <m/>
    <m/>
    <s v="STOCK"/>
    <n v="37.46"/>
    <n v="37.46"/>
    <s v="LMT"/>
    <n v="-22"/>
    <n v="-824.12"/>
    <n v="37.46"/>
    <s v=""/>
  </r>
  <r>
    <x v="510"/>
    <x v="48"/>
    <s v="Tuesday"/>
    <d v="1899-12-30T12:13:12"/>
    <s v="STOCK"/>
    <s v="SELL"/>
    <n v="-178"/>
    <s v="TO OPEN"/>
    <x v="2"/>
    <m/>
    <m/>
    <s v="STOCK"/>
    <n v="37.46"/>
    <n v="37.46"/>
    <s v="LMT"/>
    <n v="-200"/>
    <n v="-7492"/>
    <n v="37.46"/>
    <s v=""/>
  </r>
  <r>
    <x v="510"/>
    <x v="48"/>
    <s v="Tuesday"/>
    <d v="1899-12-30T12:13:12"/>
    <s v="STOCK"/>
    <s v="SELL"/>
    <n v="-100"/>
    <s v="TO OPEN"/>
    <x v="2"/>
    <m/>
    <m/>
    <s v="STOCK"/>
    <n v="37.46"/>
    <n v="37.46"/>
    <s v="LMT"/>
    <n v="-300"/>
    <n v="-11238"/>
    <n v="37.46"/>
    <s v=""/>
  </r>
  <r>
    <x v="510"/>
    <x v="48"/>
    <s v="Tuesday"/>
    <d v="1899-12-30T12:15:26"/>
    <s v="STOCK"/>
    <s v="BUY"/>
    <n v="100"/>
    <s v="TO CLOSE"/>
    <x v="2"/>
    <m/>
    <m/>
    <s v="STOCK"/>
    <n v="37.279899999999998"/>
    <n v="37.279899999999998"/>
    <s v="LMT"/>
    <n v="-200"/>
    <n v="-7510.01"/>
    <n v="37.550049999999999"/>
    <s v=""/>
  </r>
  <r>
    <x v="510"/>
    <x v="48"/>
    <s v="Tuesday"/>
    <d v="1899-12-30T12:28:35"/>
    <s v="STOCK"/>
    <s v="BUY"/>
    <n v="100"/>
    <s v="TO CLOSE"/>
    <x v="2"/>
    <m/>
    <m/>
    <s v="STOCK"/>
    <n v="36.96"/>
    <n v="36.96"/>
    <s v="LMT"/>
    <n v="-100"/>
    <n v="-3814.01"/>
    <n v="38.140100000000004"/>
    <s v=""/>
  </r>
  <r>
    <x v="510"/>
    <x v="48"/>
    <s v="Tuesday"/>
    <d v="1899-12-30T12:29:15"/>
    <s v="STOCK"/>
    <s v="BUY"/>
    <n v="100"/>
    <s v="TO CLOSE"/>
    <x v="2"/>
    <m/>
    <m/>
    <s v="STOCK"/>
    <n v="36.969900000000003"/>
    <n v="36.969900000000003"/>
    <s v="MKT"/>
    <n v="0"/>
    <n v="0"/>
    <s v=""/>
    <n v="117.02000000000012"/>
  </r>
  <r>
    <x v="511"/>
    <x v="49"/>
    <s v="Wednesday"/>
    <d v="1899-12-30T09:44:11"/>
    <s v="FUTURE"/>
    <s v="BUY"/>
    <n v="1"/>
    <s v="TO OPEN"/>
    <x v="6"/>
    <d v="2020-08-20T00:00:00"/>
    <m/>
    <s v="FUTURE"/>
    <n v="38.200000000000003"/>
    <n v="38.200000000000003"/>
    <s v="MKT"/>
    <n v="1"/>
    <n v="38200"/>
    <n v="38.200000000000003"/>
    <s v=""/>
  </r>
  <r>
    <x v="511"/>
    <x v="49"/>
    <s v="Wednesday"/>
    <d v="1899-12-30T09:46:41"/>
    <s v="FUTURE"/>
    <s v="BUY"/>
    <n v="1"/>
    <s v="TO OPEN"/>
    <x v="6"/>
    <d v="2020-08-20T00:00:00"/>
    <m/>
    <s v="FUTURE"/>
    <n v="38.14"/>
    <n v="38.14"/>
    <s v="LMT"/>
    <n v="2"/>
    <n v="76340"/>
    <n v="38.17"/>
    <s v=""/>
  </r>
  <r>
    <x v="511"/>
    <x v="49"/>
    <s v="Wednesday"/>
    <d v="1899-12-30T09:48:37"/>
    <s v="FUTURE"/>
    <s v="SELL"/>
    <n v="-1"/>
    <s v="TO CLOSE"/>
    <x v="6"/>
    <d v="2020-08-20T00:00:00"/>
    <m/>
    <s v="FUTURE"/>
    <n v="38.24"/>
    <n v="38.24"/>
    <s v="LMT"/>
    <n v="1"/>
    <n v="38100"/>
    <n v="38.1"/>
    <s v=""/>
  </r>
  <r>
    <x v="511"/>
    <x v="49"/>
    <s v="Wednesday"/>
    <d v="1899-12-30T09:51:37"/>
    <s v="FUTURE"/>
    <s v="SELL"/>
    <n v="-1"/>
    <s v="TO CLOSE"/>
    <x v="6"/>
    <d v="2020-08-20T00:00:00"/>
    <m/>
    <s v="FUTURE"/>
    <n v="38.29"/>
    <n v="38.29"/>
    <s v="LMT"/>
    <n v="0"/>
    <n v="0"/>
    <s v=""/>
    <n v="189.99999999999773"/>
  </r>
  <r>
    <x v="512"/>
    <x v="49"/>
    <s v="Wednesday"/>
    <d v="1899-12-30T10:35:59"/>
    <s v="FUTURE"/>
    <s v="BUY"/>
    <n v="1"/>
    <s v="TO OPEN"/>
    <x v="6"/>
    <d v="2020-08-20T00:00:00"/>
    <m/>
    <s v="FUTURE"/>
    <n v="38.47"/>
    <n v="38.47"/>
    <s v="MKT"/>
    <n v="1"/>
    <n v="38470"/>
    <n v="38.47"/>
    <s v=""/>
  </r>
  <r>
    <x v="512"/>
    <x v="49"/>
    <s v="Wednesday"/>
    <d v="1899-12-30T10:36:54"/>
    <s v="FUTURE"/>
    <s v="SELL"/>
    <n v="-1"/>
    <s v="TO CLOSE"/>
    <x v="6"/>
    <d v="2020-08-20T00:00:00"/>
    <m/>
    <s v="FUTURE"/>
    <n v="38.479999999999997"/>
    <n v="38.479999999999997"/>
    <s v="LMT"/>
    <n v="0"/>
    <n v="0"/>
    <s v=""/>
    <n v="9.9999999999980105"/>
  </r>
  <r>
    <x v="513"/>
    <x v="49"/>
    <s v="Wednesday"/>
    <d v="1899-12-30T10:43:59"/>
    <s v="FUTURE"/>
    <s v="BUY"/>
    <n v="1"/>
    <s v="TO OPEN"/>
    <x v="6"/>
    <d v="2020-08-20T00:00:00"/>
    <m/>
    <s v="FUTURE"/>
    <n v="38.43"/>
    <n v="38.43"/>
    <s v="MKT"/>
    <n v="1"/>
    <n v="38430"/>
    <n v="38.43"/>
    <s v=""/>
  </r>
  <r>
    <x v="513"/>
    <x v="49"/>
    <s v="Wednesday"/>
    <d v="1899-12-30T10:44:43"/>
    <s v="FUTURE"/>
    <s v="SELL"/>
    <n v="-1"/>
    <s v="TO CLOSE"/>
    <x v="6"/>
    <d v="2020-08-20T00:00:00"/>
    <m/>
    <s v="FUTURE"/>
    <n v="38.44"/>
    <n v="38.44"/>
    <s v="LMT"/>
    <n v="0"/>
    <n v="0"/>
    <s v=""/>
    <n v="9.9999999999980105"/>
  </r>
  <r>
    <x v="514"/>
    <x v="49"/>
    <s v="Wednesday"/>
    <d v="1899-12-30T10:02:14"/>
    <s v="FUTURE"/>
    <s v="BUY"/>
    <n v="1"/>
    <s v="TO OPEN"/>
    <x v="7"/>
    <d v="2020-09-20T00:00:00"/>
    <m/>
    <s v="FUTURE"/>
    <n v="3114.5"/>
    <n v="3114.5"/>
    <s v="LMT"/>
    <n v="1"/>
    <n v="155725"/>
    <n v="3114.5"/>
    <s v=""/>
  </r>
  <r>
    <x v="514"/>
    <x v="49"/>
    <s v="Wednesday"/>
    <d v="1899-12-30T10:02:37"/>
    <s v="FUTURE"/>
    <s v="SELL"/>
    <n v="-1"/>
    <s v="TO CLOSE"/>
    <x v="7"/>
    <d v="2020-09-20T00:00:00"/>
    <m/>
    <s v="FUTURE"/>
    <n v="3115.25"/>
    <n v="3115.25"/>
    <s v="LMT"/>
    <n v="0"/>
    <n v="0"/>
    <s v=""/>
    <n v="37.5"/>
  </r>
  <r>
    <x v="515"/>
    <x v="49"/>
    <s v="Wednesday"/>
    <d v="1899-12-30T10:31:29"/>
    <s v="FUTURE"/>
    <s v="BUY"/>
    <n v="1"/>
    <s v="TO OPEN"/>
    <x v="7"/>
    <d v="2020-09-20T00:00:00"/>
    <m/>
    <s v="FUTURE"/>
    <n v="3102.75"/>
    <n v="3102.75"/>
    <s v="MKT"/>
    <n v="1"/>
    <n v="155137.5"/>
    <n v="3102.75"/>
    <s v=""/>
  </r>
  <r>
    <x v="515"/>
    <x v="49"/>
    <s v="Wednesday"/>
    <d v="1899-12-30T10:32:01"/>
    <s v="FUTURE"/>
    <s v="SELL"/>
    <n v="-1"/>
    <s v="TO CLOSE"/>
    <x v="7"/>
    <d v="2020-09-20T00:00:00"/>
    <m/>
    <s v="FUTURE"/>
    <n v="3107"/>
    <n v="3107"/>
    <s v="LMT"/>
    <n v="0"/>
    <n v="0"/>
    <s v=""/>
    <n v="212.5"/>
  </r>
  <r>
    <x v="516"/>
    <x v="49"/>
    <s v="Wednesday"/>
    <d v="1899-12-30T10:41:27"/>
    <s v="FUTURE"/>
    <s v="BUY"/>
    <n v="3"/>
    <s v="TO OPEN"/>
    <x v="8"/>
    <d v="2020-09-20T00:00:00"/>
    <m/>
    <s v="FUTURE"/>
    <n v="3107.75"/>
    <n v="3107.75"/>
    <s v="MKT"/>
    <n v="3"/>
    <n v="46616.25"/>
    <n v="3107.75"/>
    <s v=""/>
  </r>
  <r>
    <x v="516"/>
    <x v="49"/>
    <s v="Wednesday"/>
    <d v="1899-12-30T10:46:15"/>
    <s v="FUTURE"/>
    <s v="SELL"/>
    <n v="-1"/>
    <s v="TO CLOSE"/>
    <x v="8"/>
    <d v="2020-09-20T00:00:00"/>
    <m/>
    <s v="FUTURE"/>
    <n v="3112.75"/>
    <n v="3112.75"/>
    <s v="LMT"/>
    <n v="2"/>
    <n v="31052.5"/>
    <n v="3105.25"/>
    <s v=""/>
  </r>
  <r>
    <x v="516"/>
    <x v="49"/>
    <s v="Wednesday"/>
    <d v="1899-12-30T10:51:33"/>
    <s v="FUTURE"/>
    <s v="SELL"/>
    <n v="-1"/>
    <s v="TO CLOSE"/>
    <x v="8"/>
    <d v="2020-09-20T00:00:00"/>
    <m/>
    <s v="FUTURE"/>
    <n v="3111.25"/>
    <n v="3111.25"/>
    <s v="MKT"/>
    <n v="1"/>
    <n v="15496.25"/>
    <n v="3099.25"/>
    <s v=""/>
  </r>
  <r>
    <x v="516"/>
    <x v="49"/>
    <s v="Wednesday"/>
    <d v="1899-12-30T10:53:33"/>
    <s v="FUTURE"/>
    <s v="SELL"/>
    <n v="-1"/>
    <s v="TO CLOSE"/>
    <x v="8"/>
    <d v="2020-09-20T00:00:00"/>
    <m/>
    <s v="FUTURE"/>
    <n v="3115.75"/>
    <n v="3115.75"/>
    <s v="LMT"/>
    <n v="0"/>
    <n v="0"/>
    <s v=""/>
    <n v="82.5"/>
  </r>
  <r>
    <x v="517"/>
    <x v="49"/>
    <s v="Wednesday"/>
    <d v="1899-12-30T10:39:26"/>
    <s v="STOCK"/>
    <s v="SELL"/>
    <n v="-300"/>
    <s v="TO OPEN"/>
    <x v="2"/>
    <m/>
    <m/>
    <s v="STOCK"/>
    <n v="37.185000000000002"/>
    <n v="37.185000000000002"/>
    <s v="LMT"/>
    <n v="-300"/>
    <n v="-11155.5"/>
    <n v="37.185000000000002"/>
    <s v=""/>
  </r>
  <r>
    <x v="517"/>
    <x v="49"/>
    <s v="Wednesday"/>
    <d v="1899-12-30T10:49:43"/>
    <s v="STOCK"/>
    <s v="BUY"/>
    <n v="100"/>
    <s v="TO CLOSE"/>
    <x v="2"/>
    <m/>
    <m/>
    <s v="STOCK"/>
    <n v="37.14"/>
    <n v="37.14"/>
    <s v="LMT"/>
    <n v="-200"/>
    <n v="-7441.5"/>
    <n v="37.207500000000003"/>
    <s v=""/>
  </r>
  <r>
    <x v="517"/>
    <x v="49"/>
    <s v="Wednesday"/>
    <d v="1899-12-30T10:49:43"/>
    <s v="STOCK"/>
    <s v="BUY"/>
    <n v="100"/>
    <s v="TO CLOSE"/>
    <x v="2"/>
    <m/>
    <m/>
    <s v="STOCK"/>
    <n v="37.14"/>
    <n v="37.14"/>
    <s v="LMT"/>
    <n v="-100"/>
    <n v="-3727.5"/>
    <n v="37.274999999999999"/>
    <s v=""/>
  </r>
  <r>
    <x v="517"/>
    <x v="49"/>
    <s v="Wednesday"/>
    <d v="1899-12-30T10:49:43"/>
    <s v="STOCK"/>
    <s v="BUY"/>
    <n v="100"/>
    <s v="TO CLOSE"/>
    <x v="2"/>
    <m/>
    <m/>
    <s v="STOCK"/>
    <n v="37.14"/>
    <n v="37.14"/>
    <s v="LMT"/>
    <n v="0"/>
    <n v="0"/>
    <s v=""/>
    <n v="13.499999999999801"/>
  </r>
  <r>
    <x v="518"/>
    <x v="50"/>
    <s v="Thursday"/>
    <d v="1899-12-30T09:40:04"/>
    <s v="FUTURE"/>
    <s v="BUY"/>
    <n v="1"/>
    <s v="TO OPEN"/>
    <x v="6"/>
    <d v="2020-08-20T00:00:00"/>
    <m/>
    <s v="FUTURE"/>
    <n v="38.11"/>
    <n v="38.11"/>
    <s v="MKT"/>
    <n v="1"/>
    <n v="38110"/>
    <n v="38.11"/>
    <s v=""/>
  </r>
  <r>
    <x v="518"/>
    <x v="50"/>
    <s v="Thursday"/>
    <d v="1899-12-30T09:48:13"/>
    <s v="FUTURE"/>
    <s v="SELL"/>
    <n v="-1"/>
    <s v="TO CLOSE"/>
    <x v="6"/>
    <d v="2020-08-20T00:00:00"/>
    <m/>
    <s v="FUTURE"/>
    <n v="38.270000000000003"/>
    <n v="38.270000000000003"/>
    <s v="LMT"/>
    <n v="0"/>
    <n v="0"/>
    <s v=""/>
    <n v="160.00000000000369"/>
  </r>
  <r>
    <x v="519"/>
    <x v="50"/>
    <s v="Thursday"/>
    <d v="1899-12-30T10:06:07"/>
    <s v="FUTURE"/>
    <s v="BUY"/>
    <n v="2"/>
    <s v="TO OPEN"/>
    <x v="6"/>
    <d v="2020-08-20T00:00:00"/>
    <m/>
    <s v="FUTURE"/>
    <n v="38.32"/>
    <n v="38.32"/>
    <s v="MKT"/>
    <n v="2"/>
    <n v="76640"/>
    <n v="38.32"/>
    <s v=""/>
  </r>
  <r>
    <x v="519"/>
    <x v="50"/>
    <s v="Thursday"/>
    <d v="1899-12-30T10:07:02"/>
    <s v="FUTURE"/>
    <s v="SELL"/>
    <n v="-1"/>
    <s v="TO CLOSE"/>
    <x v="6"/>
    <d v="2020-08-20T00:00:00"/>
    <m/>
    <s v="FUTURE"/>
    <n v="38.36"/>
    <n v="38.36"/>
    <s v="LMT"/>
    <n v="1"/>
    <n v="38280"/>
    <n v="38.28"/>
    <s v=""/>
  </r>
  <r>
    <x v="519"/>
    <x v="50"/>
    <s v="Thursday"/>
    <d v="1899-12-30T10:13:14"/>
    <s v="FUTURE"/>
    <s v="SELL"/>
    <n v="-1"/>
    <s v="TO CLOSE"/>
    <x v="6"/>
    <d v="2020-08-20T00:00:00"/>
    <m/>
    <s v="FUTURE"/>
    <n v="38.450000000000003"/>
    <n v="38.450000000000003"/>
    <s v="LMT"/>
    <n v="0"/>
    <n v="0"/>
    <s v=""/>
    <n v="170.00000000000171"/>
  </r>
  <r>
    <x v="520"/>
    <x v="50"/>
    <s v="Thursday"/>
    <d v="1899-12-30T09:40:31"/>
    <s v="FUTURE"/>
    <s v="BUY"/>
    <n v="1"/>
    <s v="TO OPEN"/>
    <x v="7"/>
    <d v="2020-09-20T00:00:00"/>
    <m/>
    <s v="FUTURE"/>
    <n v="3091.75"/>
    <n v="3091.75"/>
    <s v="LMT"/>
    <n v="1"/>
    <n v="154587.5"/>
    <n v="3091.75"/>
    <s v=""/>
  </r>
  <r>
    <x v="520"/>
    <x v="50"/>
    <s v="Thursday"/>
    <d v="1899-12-30T09:47:25"/>
    <s v="FUTURE"/>
    <s v="SELL"/>
    <n v="-1"/>
    <s v="TO CLOSE"/>
    <x v="7"/>
    <d v="2020-09-20T00:00:00"/>
    <m/>
    <s v="FUTURE"/>
    <n v="3097.25"/>
    <n v="3097.25"/>
    <s v="LMT"/>
    <n v="0"/>
    <n v="0"/>
    <s v=""/>
    <n v="275"/>
  </r>
  <r>
    <x v="521"/>
    <x v="50"/>
    <s v="Thursday"/>
    <d v="1899-12-30T10:09:44"/>
    <s v="FUTURE"/>
    <s v="BUY"/>
    <n v="4"/>
    <s v="TO OPEN"/>
    <x v="8"/>
    <d v="2020-09-20T00:00:00"/>
    <m/>
    <s v="FUTURE"/>
    <n v="3103.5"/>
    <n v="3103.5"/>
    <s v="MKT"/>
    <n v="4"/>
    <n v="62070"/>
    <n v="3103.5"/>
    <s v=""/>
  </r>
  <r>
    <x v="521"/>
    <x v="50"/>
    <s v="Thursday"/>
    <d v="1899-12-30T10:17:55"/>
    <s v="FUTURE"/>
    <s v="BUY"/>
    <n v="1"/>
    <s v="TO OPEN"/>
    <x v="8"/>
    <d v="2020-09-20T00:00:00"/>
    <m/>
    <s v="FUTURE"/>
    <n v="3100.5"/>
    <n v="3100.5"/>
    <s v="MKT"/>
    <n v="5"/>
    <n v="77572.5"/>
    <n v="3102.9"/>
    <s v=""/>
  </r>
  <r>
    <x v="521"/>
    <x v="50"/>
    <s v="Thursday"/>
    <d v="1899-12-30T10:35:20"/>
    <s v="FUTURE"/>
    <s v="SELL"/>
    <n v="-1"/>
    <s v="TO CLOSE"/>
    <x v="8"/>
    <d v="2020-09-20T00:00:00"/>
    <m/>
    <s v="FUTURE"/>
    <n v="3104.5"/>
    <n v="3104.5"/>
    <s v="MKT"/>
    <n v="4"/>
    <n v="62050"/>
    <n v="3102.5"/>
    <s v=""/>
  </r>
  <r>
    <x v="521"/>
    <x v="50"/>
    <s v="Thursday"/>
    <d v="1899-12-30T10:58:01"/>
    <s v="FUTURE"/>
    <s v="SELL"/>
    <n v="-2"/>
    <s v="TO CLOSE"/>
    <x v="8"/>
    <d v="2020-09-20T00:00:00"/>
    <m/>
    <s v="FUTURE"/>
    <n v="3105"/>
    <n v="3105"/>
    <s v="LMT"/>
    <n v="2"/>
    <n v="31000"/>
    <n v="3100"/>
    <s v=""/>
  </r>
  <r>
    <x v="521"/>
    <x v="50"/>
    <s v="Thursday"/>
    <d v="1899-12-30T11:07:30"/>
    <s v="FUTURE"/>
    <s v="SELL"/>
    <n v="-1"/>
    <s v="TO CLOSE"/>
    <x v="8"/>
    <d v="2020-09-20T00:00:00"/>
    <m/>
    <s v="FUTURE"/>
    <n v="3106.5"/>
    <n v="3106.5"/>
    <s v="MKT"/>
    <n v="1"/>
    <n v="15467.5"/>
    <n v="3093.5"/>
    <s v=""/>
  </r>
  <r>
    <x v="521"/>
    <x v="50"/>
    <s v="Thursday"/>
    <d v="1899-12-30T11:23:21"/>
    <s v="FUTURE"/>
    <s v="SELL"/>
    <n v="-1"/>
    <s v="TO CLOSE"/>
    <x v="8"/>
    <d v="2020-09-20T00:00:00"/>
    <m/>
    <s v="FUTURE"/>
    <n v="3103"/>
    <n v="3103"/>
    <s v="STP"/>
    <n v="0"/>
    <n v="0"/>
    <s v=""/>
    <n v="47.5"/>
  </r>
  <r>
    <x v="522"/>
    <x v="50"/>
    <s v="Thursday"/>
    <d v="1899-12-30T10:14:27"/>
    <s v="STOCK"/>
    <s v="SELL"/>
    <n v="-300"/>
    <s v="TO OPEN"/>
    <x v="2"/>
    <m/>
    <m/>
    <s v="STOCK"/>
    <n v="37.024999999999999"/>
    <n v="37.024999999999999"/>
    <s v="MKT"/>
    <n v="-300"/>
    <n v="-11107.5"/>
    <n v="37.024999999999999"/>
    <s v=""/>
  </r>
  <r>
    <x v="522"/>
    <x v="50"/>
    <s v="Thursday"/>
    <d v="1899-12-30T10:23:15"/>
    <s v="STOCK"/>
    <s v="SELL"/>
    <n v="-100"/>
    <s v="TO OPEN"/>
    <x v="2"/>
    <m/>
    <m/>
    <s v="STOCK"/>
    <n v="37.22"/>
    <n v="37.22"/>
    <s v="LMT"/>
    <n v="-400"/>
    <n v="-14829.5"/>
    <n v="37.073749999999997"/>
    <s v=""/>
  </r>
  <r>
    <x v="522"/>
    <x v="50"/>
    <s v="Thursday"/>
    <d v="1899-12-30T10:56:49"/>
    <s v="STOCK"/>
    <s v="BUY"/>
    <n v="100"/>
    <s v="TO CLOSE"/>
    <x v="2"/>
    <m/>
    <m/>
    <s v="STOCK"/>
    <n v="37.07"/>
    <n v="37.07"/>
    <s v="LMT"/>
    <n v="-300"/>
    <n v="-11122.5"/>
    <n v="37.075000000000003"/>
    <s v=""/>
  </r>
  <r>
    <x v="522"/>
    <x v="50"/>
    <s v="Thursday"/>
    <d v="1899-12-30T10:59:39"/>
    <s v="STOCK"/>
    <s v="BUY"/>
    <n v="100"/>
    <s v="TO CLOSE"/>
    <x v="2"/>
    <m/>
    <m/>
    <s v="STOCK"/>
    <n v="36.835000000000001"/>
    <n v="36.835000000000001"/>
    <s v="MKT"/>
    <n v="-200"/>
    <n v="-7439"/>
    <n v="37.195"/>
    <s v=""/>
  </r>
  <r>
    <x v="522"/>
    <x v="50"/>
    <s v="Thursday"/>
    <d v="1899-12-30T11:07:35"/>
    <s v="STOCK"/>
    <s v="BUY"/>
    <n v="100"/>
    <s v="TO CLOSE"/>
    <x v="2"/>
    <m/>
    <m/>
    <s v="STOCK"/>
    <n v="36.807699999999997"/>
    <n v="36.807699999999997"/>
    <s v="MKT"/>
    <n v="-100"/>
    <n v="-3758.2300000000005"/>
    <n v="37.582300000000004"/>
    <s v=""/>
  </r>
  <r>
    <x v="522"/>
    <x v="50"/>
    <s v="Thursday"/>
    <d v="1899-12-30T11:16:52"/>
    <s v="STOCK"/>
    <s v="BUY"/>
    <n v="100"/>
    <s v="TO CLOSE"/>
    <x v="2"/>
    <m/>
    <m/>
    <s v="STOCK"/>
    <n v="36.814999999999998"/>
    <n v="36.814999999999998"/>
    <s v="MKT"/>
    <n v="0"/>
    <n v="0"/>
    <s v=""/>
    <n v="76.730000000000587"/>
  </r>
  <r>
    <x v="523"/>
    <x v="51"/>
    <s v="Friday"/>
    <d v="1899-12-30T09:29:10"/>
    <s v="FUTURE"/>
    <s v="BUY"/>
    <n v="1"/>
    <s v="TO OPEN"/>
    <x v="6"/>
    <d v="2020-08-20T00:00:00"/>
    <m/>
    <s v="FUTURE"/>
    <n v="40.299999999999997"/>
    <n v="40.299999999999997"/>
    <s v="MKT"/>
    <n v="1"/>
    <n v="40300"/>
    <n v="40.299999999999997"/>
    <s v=""/>
  </r>
  <r>
    <x v="523"/>
    <x v="51"/>
    <s v="Friday"/>
    <d v="1899-12-30T10:17:15"/>
    <s v="FUTURE"/>
    <s v="SELL"/>
    <n v="-1"/>
    <s v="TO CLOSE"/>
    <x v="6"/>
    <d v="2020-08-20T00:00:00"/>
    <m/>
    <s v="FUTURE"/>
    <n v="40.47"/>
    <n v="40.47"/>
    <s v="LMT"/>
    <n v="0"/>
    <n v="0"/>
    <s v=""/>
    <n v="170.00000000000171"/>
  </r>
  <r>
    <x v="524"/>
    <x v="51"/>
    <s v="Friday"/>
    <d v="1899-12-30T11:15:33"/>
    <s v="FUTURE"/>
    <s v="BUY"/>
    <n v="1"/>
    <s v="TO OPEN"/>
    <x v="6"/>
    <d v="2020-08-20T00:00:00"/>
    <m/>
    <s v="FUTURE"/>
    <n v="40.270000000000003"/>
    <n v="40.270000000000003"/>
    <s v="MKT"/>
    <n v="1"/>
    <n v="40270"/>
    <n v="40.270000000000003"/>
    <s v=""/>
  </r>
  <r>
    <x v="524"/>
    <x v="51"/>
    <s v="Friday"/>
    <d v="1899-12-30T11:18:41"/>
    <s v="FUTURE"/>
    <s v="SELL"/>
    <n v="-1"/>
    <s v="TO CLOSE"/>
    <x v="6"/>
    <d v="2020-08-20T00:00:00"/>
    <m/>
    <s v="FUTURE"/>
    <n v="40.299999999999997"/>
    <n v="40.299999999999997"/>
    <s v="LMT"/>
    <n v="0"/>
    <n v="0"/>
    <s v=""/>
    <n v="29.999999999994031"/>
  </r>
  <r>
    <x v="525"/>
    <x v="51"/>
    <s v="Friday"/>
    <d v="1899-12-30T11:24:45"/>
    <s v="FUTURE"/>
    <s v="BUY"/>
    <n v="1"/>
    <s v="TO OPEN"/>
    <x v="6"/>
    <d v="2020-08-20T00:00:00"/>
    <m/>
    <s v="FUTURE"/>
    <n v="40.299999999999997"/>
    <n v="40.299999999999997"/>
    <s v="MKT"/>
    <n v="1"/>
    <n v="40300"/>
    <n v="40.299999999999997"/>
    <s v=""/>
  </r>
  <r>
    <x v="525"/>
    <x v="51"/>
    <s v="Friday"/>
    <d v="1899-12-30T11:30:19"/>
    <s v="FUTURE"/>
    <s v="SELL"/>
    <n v="-1"/>
    <s v="TO CLOSE"/>
    <x v="6"/>
    <d v="2020-08-20T00:00:00"/>
    <m/>
    <s v="FUTURE"/>
    <n v="40.32"/>
    <n v="40.32"/>
    <s v="LMT"/>
    <n v="0"/>
    <n v="0"/>
    <s v=""/>
    <n v="20.000000000003126"/>
  </r>
  <r>
    <x v="526"/>
    <x v="51"/>
    <s v="Friday"/>
    <d v="1899-12-30T11:03:15"/>
    <s v="FUTURE"/>
    <s v="BUY"/>
    <n v="1"/>
    <s v="TO OPEN"/>
    <x v="7"/>
    <d v="2020-09-20T00:00:00"/>
    <m/>
    <s v="FUTURE"/>
    <n v="3123"/>
    <n v="3123"/>
    <s v="LMT"/>
    <n v="1"/>
    <n v="156150"/>
    <n v="3123"/>
    <s v=""/>
  </r>
  <r>
    <x v="526"/>
    <x v="51"/>
    <s v="Friday"/>
    <d v="1899-12-30T11:04:55"/>
    <s v="FUTURE"/>
    <s v="SELL"/>
    <n v="-1"/>
    <s v="TO CLOSE"/>
    <x v="7"/>
    <d v="2020-09-20T00:00:00"/>
    <m/>
    <s v="FUTURE"/>
    <n v="3126"/>
    <n v="3126"/>
    <s v="LMT"/>
    <n v="0"/>
    <n v="0"/>
    <s v=""/>
    <n v="150"/>
  </r>
  <r>
    <x v="527"/>
    <x v="51"/>
    <s v="Friday"/>
    <d v="1899-12-30T12:15:22"/>
    <s v="FUTURE"/>
    <s v="BUY"/>
    <n v="1"/>
    <s v="TO OPEN"/>
    <x v="7"/>
    <d v="2020-09-20T00:00:00"/>
    <m/>
    <s v="FUTURE"/>
    <n v="3099.25"/>
    <n v="3099.25"/>
    <s v="MKT"/>
    <n v="1"/>
    <n v="154962.5"/>
    <n v="3099.25"/>
    <s v=""/>
  </r>
  <r>
    <x v="527"/>
    <x v="51"/>
    <s v="Friday"/>
    <d v="1899-12-30T12:59:30"/>
    <s v="FUTURE"/>
    <s v="SELL"/>
    <n v="-1"/>
    <s v="TO CLOSE"/>
    <x v="7"/>
    <d v="2020-09-20T00:00:00"/>
    <m/>
    <s v="FUTURE"/>
    <n v="3103.5"/>
    <n v="3103.5"/>
    <s v="LMT"/>
    <n v="0"/>
    <n v="0"/>
    <s v=""/>
    <n v="212.5"/>
  </r>
  <r>
    <x v="528"/>
    <x v="51"/>
    <s v="Friday"/>
    <d v="1899-12-30T08:48:56"/>
    <s v="FUTURE"/>
    <s v="BUY"/>
    <n v="2"/>
    <s v="TO OPEN"/>
    <x v="8"/>
    <d v="2020-09-20T00:00:00"/>
    <m/>
    <s v="FUTURE"/>
    <n v="3134"/>
    <n v="3134"/>
    <s v="LMT"/>
    <n v="2"/>
    <n v="31340"/>
    <n v="3134"/>
    <s v=""/>
  </r>
  <r>
    <x v="528"/>
    <x v="51"/>
    <s v="Friday"/>
    <d v="1899-12-30T09:30:45"/>
    <s v="FUTURE"/>
    <s v="BUY"/>
    <n v="1"/>
    <s v="TO OPEN"/>
    <x v="8"/>
    <d v="2020-09-20T00:00:00"/>
    <m/>
    <s v="FUTURE"/>
    <n v="3136.25"/>
    <n v="3136.25"/>
    <s v="MKT"/>
    <n v="3"/>
    <n v="47021.25"/>
    <n v="3134.75"/>
    <s v=""/>
  </r>
  <r>
    <x v="528"/>
    <x v="51"/>
    <s v="Friday"/>
    <d v="1899-12-30T09:46:45"/>
    <s v="FUTURE"/>
    <s v="BUY"/>
    <n v="1"/>
    <s v="TO OPEN"/>
    <x v="8"/>
    <d v="2020-09-20T00:00:00"/>
    <m/>
    <s v="FUTURE"/>
    <n v="3131.75"/>
    <n v="3131.75"/>
    <s v="LMT"/>
    <n v="4"/>
    <n v="62680"/>
    <n v="3134"/>
    <s v=""/>
  </r>
  <r>
    <x v="528"/>
    <x v="51"/>
    <s v="Friday"/>
    <d v="1899-12-30T09:49:59"/>
    <s v="FUTURE"/>
    <s v="SELL"/>
    <n v="-1"/>
    <s v="TO CLOSE"/>
    <x v="8"/>
    <d v="2020-09-20T00:00:00"/>
    <m/>
    <s v="FUTURE"/>
    <n v="3136.5"/>
    <n v="3136.5"/>
    <s v="LMT"/>
    <n v="3"/>
    <n v="46997.5"/>
    <n v="3133.166666666667"/>
    <s v=""/>
  </r>
  <r>
    <x v="528"/>
    <x v="51"/>
    <s v="Friday"/>
    <d v="1899-12-30T10:02:09"/>
    <s v="FUTURE"/>
    <s v="BUY"/>
    <n v="1"/>
    <s v="TO OPEN"/>
    <x v="8"/>
    <d v="2020-09-20T00:00:00"/>
    <m/>
    <s v="FUTURE"/>
    <n v="3128.5"/>
    <n v="3128.5"/>
    <s v="MKT"/>
    <n v="4"/>
    <n v="62640"/>
    <n v="3132"/>
    <s v=""/>
  </r>
  <r>
    <x v="528"/>
    <x v="51"/>
    <s v="Friday"/>
    <d v="1899-12-30T10:08:53"/>
    <s v="FUTURE"/>
    <s v="SELL"/>
    <n v="-1"/>
    <s v="TO CLOSE"/>
    <x v="8"/>
    <d v="2020-09-20T00:00:00"/>
    <m/>
    <s v="FUTURE"/>
    <n v="3132.5"/>
    <n v="3132.5"/>
    <s v="LMT"/>
    <n v="3"/>
    <n v="46977.5"/>
    <n v="3131.833333333333"/>
    <s v=""/>
  </r>
  <r>
    <x v="528"/>
    <x v="51"/>
    <s v="Friday"/>
    <d v="1899-12-30T10:39:41"/>
    <s v="FUTURE"/>
    <s v="BUY"/>
    <n v="1"/>
    <s v="TO OPEN"/>
    <x v="8"/>
    <d v="2020-09-20T00:00:00"/>
    <m/>
    <s v="FUTURE"/>
    <n v="3126.25"/>
    <n v="3126.25"/>
    <s v="LMT"/>
    <n v="4"/>
    <n v="62608.75"/>
    <n v="3130.4375"/>
    <s v=""/>
  </r>
  <r>
    <x v="528"/>
    <x v="51"/>
    <s v="Friday"/>
    <d v="1899-12-30T10:47:08"/>
    <s v="FUTURE"/>
    <s v="BUY"/>
    <n v="2"/>
    <s v="TO OPEN"/>
    <x v="8"/>
    <d v="2020-09-20T00:00:00"/>
    <m/>
    <s v="FUTURE"/>
    <n v="3124"/>
    <n v="3124"/>
    <s v="MKT"/>
    <n v="6"/>
    <n v="93848.75"/>
    <n v="3128.291666666667"/>
    <s v=""/>
  </r>
  <r>
    <x v="528"/>
    <x v="51"/>
    <s v="Friday"/>
    <d v="1899-12-30T11:58:48"/>
    <s v="FUTURE"/>
    <s v="BUY"/>
    <n v="2"/>
    <s v="TO OPEN"/>
    <x v="8"/>
    <d v="2020-09-20T00:00:00"/>
    <m/>
    <s v="FUTURE"/>
    <n v="3116"/>
    <n v="3116"/>
    <s v="LMT"/>
    <n v="8"/>
    <n v="125008.75"/>
    <n v="3125.21875"/>
    <s v=""/>
  </r>
  <r>
    <x v="528"/>
    <x v="51"/>
    <s v="Friday"/>
    <d v="1899-12-30T13:26:02"/>
    <s v="FUTURE"/>
    <s v="BUY"/>
    <n v="2"/>
    <s v="TO OPEN"/>
    <x v="8"/>
    <d v="2020-09-20T00:00:00"/>
    <m/>
    <s v="FUTURE"/>
    <n v="3088"/>
    <n v="3088"/>
    <s v="LMT"/>
    <n v="10"/>
    <n v="155888.75"/>
    <n v="3117.7750000000001"/>
    <s v=""/>
  </r>
  <r>
    <x v="528"/>
    <x v="51"/>
    <s v="Friday"/>
    <d v="1899-12-30T15:11:37"/>
    <s v="FUTURE"/>
    <s v="SELL"/>
    <n v="-2"/>
    <s v="TO CLOSE"/>
    <x v="8"/>
    <d v="2020-09-20T00:00:00"/>
    <m/>
    <s v="FUTURE"/>
    <n v="3089.5"/>
    <n v="3089.5"/>
    <s v="LMT"/>
    <n v="8"/>
    <n v="124993.75"/>
    <n v="3124.84375"/>
    <s v=""/>
  </r>
  <r>
    <x v="528"/>
    <x v="51"/>
    <s v="Friday"/>
    <d v="1899-12-30T15:15:20"/>
    <s v="FUTURE"/>
    <s v="SELL"/>
    <n v="-2"/>
    <s v="TO CLOSE"/>
    <x v="8"/>
    <d v="2020-09-20T00:00:00"/>
    <m/>
    <s v="FUTURE"/>
    <n v="3098.75"/>
    <n v="3098.75"/>
    <s v="LMT"/>
    <n v="6"/>
    <n v="94006.25"/>
    <n v="3133.541666666667"/>
    <s v=""/>
  </r>
  <r>
    <x v="528"/>
    <x v="51"/>
    <s v="Friday"/>
    <d v="1899-12-30T15:19:39"/>
    <s v="FUTURE"/>
    <s v="SELL"/>
    <n v="-2"/>
    <s v="TO CLOSE"/>
    <x v="8"/>
    <d v="2020-09-20T00:00:00"/>
    <m/>
    <s v="FUTURE"/>
    <n v="3102.5"/>
    <n v="3102.5"/>
    <s v="LMT"/>
    <n v="4"/>
    <n v="62981.25"/>
    <n v="3149.0625"/>
    <s v=""/>
  </r>
  <r>
    <x v="528"/>
    <x v="51"/>
    <s v="Friday"/>
    <d v="1899-12-30T15:23:29"/>
    <s v="FUTURE"/>
    <s v="SELL"/>
    <n v="-4"/>
    <s v="TO CLOSE"/>
    <x v="8"/>
    <d v="2020-09-20T00:00:00"/>
    <m/>
    <s v="FUTURE"/>
    <n v="3102.75"/>
    <n v="3102.75"/>
    <s v="MKT"/>
    <n v="0"/>
    <n v="0"/>
    <s v=""/>
    <n v="-926.25"/>
  </r>
  <r>
    <x v="529"/>
    <x v="51"/>
    <s v="Friday"/>
    <d v="1899-12-30T10:11:16"/>
    <s v="STOCK"/>
    <s v="SELL"/>
    <n v="-59"/>
    <s v="TO OPEN"/>
    <x v="2"/>
    <m/>
    <m/>
    <s v="STOCK"/>
    <n v="35.4"/>
    <n v="35.4"/>
    <s v="MKT"/>
    <n v="-59"/>
    <n v="-2088.6"/>
    <n v="35.4"/>
    <s v=""/>
  </r>
  <r>
    <x v="529"/>
    <x v="51"/>
    <s v="Friday"/>
    <d v="1899-12-30T10:11:16"/>
    <s v="STOCK"/>
    <s v="SELL"/>
    <n v="-41"/>
    <s v="TO OPEN"/>
    <x v="2"/>
    <m/>
    <m/>
    <s v="STOCK"/>
    <n v="35.4"/>
    <n v="35.4"/>
    <s v="MKT"/>
    <n v="-100"/>
    <n v="-3540"/>
    <n v="35.4"/>
    <s v=""/>
  </r>
  <r>
    <x v="529"/>
    <x v="51"/>
    <s v="Friday"/>
    <d v="1899-12-30T10:11:16"/>
    <s v="STOCK"/>
    <s v="SELL"/>
    <n v="-100"/>
    <s v="TO OPEN"/>
    <x v="2"/>
    <m/>
    <m/>
    <s v="STOCK"/>
    <n v="35.4"/>
    <n v="35.4"/>
    <s v="MKT"/>
    <n v="-200"/>
    <n v="-7080"/>
    <n v="35.4"/>
    <s v=""/>
  </r>
  <r>
    <x v="529"/>
    <x v="51"/>
    <s v="Friday"/>
    <d v="1899-12-30T10:20:18"/>
    <s v="STOCK"/>
    <s v="BUY"/>
    <n v="200"/>
    <s v="TO CLOSE"/>
    <x v="2"/>
    <m/>
    <m/>
    <s v="STOCK"/>
    <n v="35.32"/>
    <n v="35.32"/>
    <s v="LMT"/>
    <n v="0"/>
    <n v="0"/>
    <s v=""/>
    <n v="15.999999999999659"/>
  </r>
  <r>
    <x v="530"/>
    <x v="51"/>
    <s v="Friday"/>
    <d v="1899-12-30T10:37:03"/>
    <s v="STOCK"/>
    <s v="SELL"/>
    <n v="-200"/>
    <s v="TO OPEN"/>
    <x v="2"/>
    <m/>
    <m/>
    <s v="STOCK"/>
    <n v="35.549999999999997"/>
    <n v="35.549999999999997"/>
    <s v="LMT"/>
    <n v="-200"/>
    <n v="-7109.9999999999991"/>
    <n v="35.549999999999997"/>
    <s v=""/>
  </r>
  <r>
    <x v="530"/>
    <x v="51"/>
    <s v="Friday"/>
    <d v="1899-12-30T10:45:05"/>
    <s v="STOCK"/>
    <s v="SELL"/>
    <n v="-100"/>
    <s v="TO OPEN"/>
    <x v="2"/>
    <m/>
    <m/>
    <s v="STOCK"/>
    <n v="35.76"/>
    <n v="35.76"/>
    <s v="LMT"/>
    <n v="-300"/>
    <n v="-10686"/>
    <n v="35.619999999999997"/>
    <s v=""/>
  </r>
  <r>
    <x v="530"/>
    <x v="51"/>
    <s v="Friday"/>
    <d v="1899-12-30T11:09:22"/>
    <s v="STOCK"/>
    <s v="BUY"/>
    <n v="100"/>
    <s v="TO CLOSE"/>
    <x v="2"/>
    <m/>
    <m/>
    <s v="STOCK"/>
    <n v="35.564999999999998"/>
    <n v="35.564999999999998"/>
    <s v="MKT"/>
    <n v="-200"/>
    <n v="-7129.5"/>
    <n v="35.647500000000001"/>
    <s v=""/>
  </r>
  <r>
    <x v="530"/>
    <x v="51"/>
    <s v="Friday"/>
    <d v="1899-12-30T11:13:19"/>
    <s v="STOCK"/>
    <s v="BUY"/>
    <n v="200"/>
    <s v="TO CLOSE"/>
    <x v="2"/>
    <m/>
    <m/>
    <s v="STOCK"/>
    <n v="35.465000000000003"/>
    <n v="35.465000000000003"/>
    <s v="MKT"/>
    <n v="0"/>
    <n v="0"/>
    <s v=""/>
    <n v="36.499999999999488"/>
  </r>
  <r>
    <x v="531"/>
    <x v="51"/>
    <s v="Friday"/>
    <d v="1899-12-30T11:53:24"/>
    <s v="STOCK"/>
    <s v="SELL"/>
    <n v="-200"/>
    <s v="TO OPEN"/>
    <x v="2"/>
    <m/>
    <m/>
    <s v="STOCK"/>
    <n v="35.784999999999997"/>
    <n v="35.784999999999997"/>
    <s v="MKT"/>
    <n v="-200"/>
    <n v="-7156.9999999999991"/>
    <n v="35.784999999999997"/>
    <s v=""/>
  </r>
  <r>
    <x v="531"/>
    <x v="51"/>
    <s v="Friday"/>
    <d v="1899-12-30T12:01:25"/>
    <s v="STOCK"/>
    <s v="SELL"/>
    <n v="-100"/>
    <s v="TO OPEN"/>
    <x v="2"/>
    <m/>
    <m/>
    <s v="STOCK"/>
    <n v="35.99"/>
    <n v="35.99"/>
    <s v="LMT"/>
    <n v="-300"/>
    <n v="-10756"/>
    <n v="35.853333333333332"/>
    <s v=""/>
  </r>
  <r>
    <x v="531"/>
    <x v="51"/>
    <s v="Friday"/>
    <d v="1899-12-30T12:13:42"/>
    <s v="STOCK"/>
    <s v="SELL"/>
    <n v="-82"/>
    <s v="TO OPEN"/>
    <x v="2"/>
    <m/>
    <m/>
    <s v="STOCK"/>
    <n v="36.33"/>
    <n v="36.33"/>
    <s v="LMT"/>
    <n v="-382"/>
    <n v="-13735.06"/>
    <n v="35.955654450261775"/>
    <s v=""/>
  </r>
  <r>
    <x v="531"/>
    <x v="51"/>
    <s v="Friday"/>
    <d v="1899-12-30T12:13:43"/>
    <s v="STOCK"/>
    <s v="SELL"/>
    <n v="-18"/>
    <s v="TO OPEN"/>
    <x v="2"/>
    <m/>
    <m/>
    <s v="STOCK"/>
    <n v="36.33"/>
    <n v="36.33"/>
    <s v="LMT"/>
    <n v="-400"/>
    <n v="-14389"/>
    <n v="35.972499999999997"/>
    <s v=""/>
  </r>
  <r>
    <x v="531"/>
    <x v="51"/>
    <s v="Friday"/>
    <d v="1899-12-30T13:19:19"/>
    <s v="STOCK"/>
    <s v="SELL"/>
    <n v="-100"/>
    <s v="TO OPEN"/>
    <x v="2"/>
    <m/>
    <m/>
    <s v="STOCK"/>
    <n v="37.25"/>
    <n v="37.25"/>
    <s v="LMT"/>
    <n v="-500"/>
    <n v="-18114"/>
    <n v="36.228000000000002"/>
    <s v=""/>
  </r>
  <r>
    <x v="531"/>
    <x v="51"/>
    <s v="Friday"/>
    <d v="1899-12-30T15:16:15"/>
    <s v="STOCK"/>
    <s v="BUY"/>
    <n v="200"/>
    <s v="TO CLOSE"/>
    <x v="2"/>
    <m/>
    <m/>
    <s v="STOCK"/>
    <n v="36.814999999999998"/>
    <n v="36.814999999999998"/>
    <s v="LMT"/>
    <n v="-300"/>
    <n v="-10751"/>
    <n v="35.836666666666666"/>
    <s v=""/>
  </r>
  <r>
    <x v="531"/>
    <x v="51"/>
    <s v="Friday"/>
    <d v="1899-12-30T15:22:50"/>
    <s v="STOCK"/>
    <s v="BUY"/>
    <n v="100"/>
    <s v="TO CLOSE"/>
    <x v="2"/>
    <m/>
    <m/>
    <s v="STOCK"/>
    <n v="36.6999"/>
    <n v="36.6999"/>
    <s v="MKT"/>
    <n v="-200"/>
    <n v="-7081.01"/>
    <n v="35.405050000000003"/>
    <s v=""/>
  </r>
  <r>
    <x v="531"/>
    <x v="51"/>
    <s v="Friday"/>
    <d v="1899-12-30T15:25:04"/>
    <s v="STOCK"/>
    <s v="BUY"/>
    <n v="200"/>
    <s v="TO CLOSE"/>
    <x v="2"/>
    <m/>
    <m/>
    <s v="STOCK"/>
    <n v="36.755000000000003"/>
    <n v="36.755000000000003"/>
    <s v="MKT"/>
    <n v="0"/>
    <n v="0"/>
    <s v=""/>
    <n v="-269.98999999999995"/>
  </r>
  <r>
    <x v="532"/>
    <x v="52"/>
    <s v="Monday"/>
    <d v="1899-12-30T10:26:07"/>
    <s v="FUTURE"/>
    <s v="SELL"/>
    <n v="-1"/>
    <s v="TO OPEN"/>
    <x v="6"/>
    <d v="2020-08-20T00:00:00"/>
    <m/>
    <s v="FUTURE"/>
    <n v="40.04"/>
    <n v="40.04"/>
    <s v="LMT"/>
    <n v="-1"/>
    <n v="-40040"/>
    <n v="40.04"/>
    <s v=""/>
  </r>
  <r>
    <x v="532"/>
    <x v="52"/>
    <s v="Monday"/>
    <d v="1899-12-30T10:31:55"/>
    <s v="FUTURE"/>
    <s v="BUY"/>
    <n v="1"/>
    <s v="TO CLOSE"/>
    <x v="6"/>
    <d v="2020-08-20T00:00:00"/>
    <m/>
    <s v="FUTURE"/>
    <n v="39.92"/>
    <n v="39.92"/>
    <s v="LMT"/>
    <n v="0"/>
    <n v="0"/>
    <s v=""/>
    <n v="119.99999999999744"/>
  </r>
  <r>
    <x v="533"/>
    <x v="52"/>
    <s v="Monday"/>
    <d v="1899-12-30T09:51:01"/>
    <s v="FUTURE"/>
    <s v="BUY"/>
    <n v="1"/>
    <s v="TO OPEN"/>
    <x v="7"/>
    <d v="2020-09-20T00:00:00"/>
    <m/>
    <s v="FUTURE"/>
    <n v="3076.5"/>
    <n v="3076.5"/>
    <s v="MKT"/>
    <n v="1"/>
    <n v="153825"/>
    <n v="3076.5"/>
    <s v=""/>
  </r>
  <r>
    <x v="533"/>
    <x v="52"/>
    <s v="Monday"/>
    <d v="1899-12-30T09:56:11"/>
    <s v="FUTURE"/>
    <s v="SELL"/>
    <n v="-1"/>
    <s v="TO CLOSE"/>
    <x v="7"/>
    <d v="2020-09-20T00:00:00"/>
    <m/>
    <s v="FUTURE"/>
    <n v="3082.25"/>
    <n v="3082.25"/>
    <s v="LMT"/>
    <n v="0"/>
    <n v="0"/>
    <s v=""/>
    <n v="287.5"/>
  </r>
  <r>
    <x v="534"/>
    <x v="52"/>
    <s v="Monday"/>
    <d v="1899-12-30T10:54:37"/>
    <s v="FUTURE"/>
    <s v="BUY"/>
    <n v="1"/>
    <s v="TO OPEN"/>
    <x v="7"/>
    <d v="2020-09-20T00:00:00"/>
    <m/>
    <s v="FUTURE"/>
    <n v="3085"/>
    <n v="3085"/>
    <s v="MKT"/>
    <n v="1"/>
    <n v="154250"/>
    <n v="3085"/>
    <s v=""/>
  </r>
  <r>
    <x v="534"/>
    <x v="52"/>
    <s v="Monday"/>
    <d v="1899-12-30T11:14:24"/>
    <s v="FUTURE"/>
    <s v="SELL"/>
    <n v="-1"/>
    <s v="TO CLOSE"/>
    <x v="7"/>
    <d v="2020-09-20T00:00:00"/>
    <m/>
    <s v="FUTURE"/>
    <n v="3085.5"/>
    <n v="3085.5"/>
    <s v="LMT"/>
    <n v="0"/>
    <n v="0"/>
    <s v=""/>
    <n v="25"/>
  </r>
  <r>
    <x v="535"/>
    <x v="52"/>
    <s v="Monday"/>
    <d v="1899-12-30T11:34:21"/>
    <s v="FUTURE"/>
    <s v="BUY"/>
    <n v="1"/>
    <s v="TO OPEN"/>
    <x v="7"/>
    <d v="2020-09-20T00:00:00"/>
    <m/>
    <s v="FUTURE"/>
    <n v="3089"/>
    <n v="3089"/>
    <s v="MKT"/>
    <n v="1"/>
    <n v="154450"/>
    <n v="3089"/>
    <s v=""/>
  </r>
  <r>
    <x v="535"/>
    <x v="52"/>
    <s v="Monday"/>
    <d v="1899-12-30T11:34:52"/>
    <s v="FUTURE"/>
    <s v="SELL"/>
    <n v="-1"/>
    <s v="TO CLOSE"/>
    <x v="7"/>
    <d v="2020-09-20T00:00:00"/>
    <m/>
    <s v="FUTURE"/>
    <n v="3090"/>
    <n v="3090"/>
    <s v="LMT"/>
    <n v="0"/>
    <n v="0"/>
    <s v=""/>
    <n v="50"/>
  </r>
  <r>
    <x v="536"/>
    <x v="52"/>
    <s v="Monday"/>
    <d v="1899-12-30T10:11:35"/>
    <s v="FUTURE"/>
    <s v="BUY"/>
    <n v="4"/>
    <s v="TO OPEN"/>
    <x v="8"/>
    <d v="2020-09-20T00:00:00"/>
    <m/>
    <s v="FUTURE"/>
    <n v="3091.5"/>
    <n v="3091.5"/>
    <s v="MKT"/>
    <n v="4"/>
    <n v="61830"/>
    <n v="3091.5"/>
    <s v=""/>
  </r>
  <r>
    <x v="536"/>
    <x v="52"/>
    <s v="Monday"/>
    <d v="1899-12-30T10:14:15"/>
    <s v="FUTURE"/>
    <s v="SELL"/>
    <n v="-4"/>
    <s v="TO CLOSE"/>
    <x v="8"/>
    <d v="2020-09-20T00:00:00"/>
    <m/>
    <s v="FUTURE"/>
    <n v="3094"/>
    <n v="3094"/>
    <s v="LMT"/>
    <n v="0"/>
    <n v="0"/>
    <s v=""/>
    <n v="50"/>
  </r>
  <r>
    <x v="537"/>
    <x v="52"/>
    <s v="Monday"/>
    <d v="1899-12-30T09:51:45"/>
    <s v="STOCK"/>
    <s v="SELL"/>
    <n v="-400"/>
    <s v="TO OPEN"/>
    <x v="2"/>
    <m/>
    <m/>
    <s v="STOCK"/>
    <n v="37.08"/>
    <n v="37.08"/>
    <s v="LMT"/>
    <n v="-400"/>
    <n v="-14832"/>
    <n v="37.08"/>
    <s v=""/>
  </r>
  <r>
    <x v="537"/>
    <x v="52"/>
    <s v="Monday"/>
    <d v="1899-12-30T09:56:25"/>
    <s v="STOCK"/>
    <s v="BUY"/>
    <n v="400"/>
    <s v="TO CLOSE"/>
    <x v="2"/>
    <m/>
    <m/>
    <s v="STOCK"/>
    <n v="36.954999999999998"/>
    <n v="36.954999999999998"/>
    <s v="LMT"/>
    <n v="0"/>
    <n v="0"/>
    <s v=""/>
    <n v="50"/>
  </r>
  <r>
    <x v="538"/>
    <x v="52"/>
    <s v="Monday"/>
    <d v="1899-12-30T10:08:54"/>
    <s v="STOCK"/>
    <s v="SELL"/>
    <n v="-200"/>
    <s v="TO OPEN"/>
    <x v="2"/>
    <m/>
    <m/>
    <s v="STOCK"/>
    <n v="36.83"/>
    <n v="36.83"/>
    <s v="LMT"/>
    <n v="-200"/>
    <n v="-7366"/>
    <n v="36.83"/>
    <s v=""/>
  </r>
  <r>
    <x v="538"/>
    <x v="52"/>
    <s v="Monday"/>
    <d v="1899-12-30T10:31:37"/>
    <s v="STOCK"/>
    <s v="BUY"/>
    <n v="179"/>
    <s v="TO CLOSE"/>
    <x v="2"/>
    <m/>
    <m/>
    <s v="STOCK"/>
    <n v="36.809800000000003"/>
    <n v="36.809780000000003"/>
    <s v="MKT"/>
    <n v="-21"/>
    <n v="-777.04579999999987"/>
    <n v="37.002180952380947"/>
    <s v=""/>
  </r>
  <r>
    <x v="538"/>
    <x v="52"/>
    <s v="Monday"/>
    <d v="1899-12-30T10:31:37"/>
    <s v="STOCK"/>
    <s v="BUY"/>
    <n v="21"/>
    <s v="TO CLOSE"/>
    <x v="2"/>
    <m/>
    <m/>
    <s v="STOCK"/>
    <n v="36.809800000000003"/>
    <n v="36.81"/>
    <s v="MKT"/>
    <n v="0"/>
    <n v="0"/>
    <s v=""/>
    <n v="4.0399999999998215"/>
  </r>
  <r>
    <x v="539"/>
    <x v="52"/>
    <s v="Monday"/>
    <d v="1899-12-30T10:47:40"/>
    <s v="STOCK"/>
    <s v="SELL"/>
    <n v="-100"/>
    <s v="TO OPEN"/>
    <x v="2"/>
    <m/>
    <m/>
    <s v="STOCK"/>
    <n v="36.78"/>
    <n v="36.78"/>
    <s v="LMT"/>
    <n v="-100"/>
    <n v="-3678"/>
    <n v="36.78"/>
    <s v=""/>
  </r>
  <r>
    <x v="539"/>
    <x v="52"/>
    <s v="Monday"/>
    <d v="1899-12-30T10:47:40"/>
    <s v="STOCK"/>
    <s v="SELL"/>
    <n v="-200"/>
    <s v="TO OPEN"/>
    <x v="2"/>
    <m/>
    <m/>
    <s v="STOCK"/>
    <n v="36.78"/>
    <n v="36.78"/>
    <s v="LMT"/>
    <n v="-300"/>
    <n v="-11034"/>
    <n v="36.78"/>
    <s v=""/>
  </r>
  <r>
    <x v="539"/>
    <x v="52"/>
    <s v="Monday"/>
    <d v="1899-12-30T11:02:34"/>
    <s v="STOCK"/>
    <s v="SELL"/>
    <n v="-100"/>
    <s v="TO OPEN"/>
    <x v="2"/>
    <m/>
    <m/>
    <s v="STOCK"/>
    <n v="37.11"/>
    <n v="37.11"/>
    <s v="LMT"/>
    <n v="-400"/>
    <n v="-14745"/>
    <n v="36.862499999999997"/>
    <s v=""/>
  </r>
  <r>
    <x v="539"/>
    <x v="52"/>
    <s v="Monday"/>
    <d v="1899-12-30T11:04:16"/>
    <s v="STOCK"/>
    <s v="BUY"/>
    <n v="100"/>
    <s v="TO CLOSE"/>
    <x v="2"/>
    <m/>
    <m/>
    <s v="STOCK"/>
    <n v="36.86"/>
    <n v="36.86"/>
    <s v="LMT"/>
    <n v="-300"/>
    <n v="-11059"/>
    <n v="36.863333333333337"/>
    <s v=""/>
  </r>
  <r>
    <x v="539"/>
    <x v="52"/>
    <s v="Monday"/>
    <d v="1899-12-30T11:19:08"/>
    <s v="STOCK"/>
    <s v="BUY"/>
    <n v="100"/>
    <s v="TO CLOSE"/>
    <x v="2"/>
    <m/>
    <m/>
    <s v="STOCK"/>
    <n v="36.57"/>
    <n v="36.57"/>
    <s v="MKT"/>
    <n v="-200"/>
    <n v="-7402"/>
    <n v="37.01"/>
    <s v=""/>
  </r>
  <r>
    <x v="539"/>
    <x v="52"/>
    <s v="Monday"/>
    <d v="1899-12-30T11:28:33"/>
    <s v="STOCK"/>
    <s v="BUY"/>
    <n v="50"/>
    <s v="TO CLOSE"/>
    <x v="2"/>
    <m/>
    <m/>
    <s v="STOCK"/>
    <n v="36.417700000000004"/>
    <n v="36.4176"/>
    <s v="MKT"/>
    <n v="-150"/>
    <n v="-5581.1149999999998"/>
    <n v="37.207433333333334"/>
    <s v=""/>
  </r>
  <r>
    <x v="539"/>
    <x v="52"/>
    <s v="Monday"/>
    <d v="1899-12-30T11:35:15"/>
    <s v="STOCK"/>
    <s v="BUY"/>
    <n v="50"/>
    <s v="TO CLOSE"/>
    <x v="2"/>
    <m/>
    <m/>
    <s v="STOCK"/>
    <n v="36.305"/>
    <n v="36.305"/>
    <s v="LMT"/>
    <n v="-100"/>
    <n v="-3765.8649999999998"/>
    <n v="37.658649999999994"/>
    <s v=""/>
  </r>
  <r>
    <x v="539"/>
    <x v="52"/>
    <s v="Monday"/>
    <d v="1899-12-30T11:36:55"/>
    <s v="STOCK"/>
    <s v="BUY"/>
    <n v="100"/>
    <s v="TO CLOSE"/>
    <x v="2"/>
    <m/>
    <m/>
    <s v="STOCK"/>
    <n v="36.305"/>
    <n v="36.305"/>
    <s v="MKT"/>
    <n v="0"/>
    <n v="0"/>
    <s v=""/>
    <n v="135.36499999999947"/>
  </r>
  <r>
    <x v="540"/>
    <x v="53"/>
    <s v="Tuesday"/>
    <d v="1899-12-30T09:36:12"/>
    <s v="FUTURE"/>
    <s v="BUY"/>
    <n v="1"/>
    <s v="TO OPEN"/>
    <x v="6"/>
    <d v="2020-08-20T00:00:00"/>
    <m/>
    <s v="FUTURE"/>
    <n v="41.1"/>
    <n v="41.1"/>
    <s v="MKT"/>
    <n v="1"/>
    <n v="41100"/>
    <n v="41.1"/>
    <s v=""/>
  </r>
  <r>
    <x v="540"/>
    <x v="53"/>
    <s v="Tuesday"/>
    <d v="1899-12-30T11:21:02"/>
    <s v="FUTURE"/>
    <s v="SELL"/>
    <n v="-1"/>
    <s v="TO CLOSE"/>
    <x v="6"/>
    <d v="2020-08-20T00:00:00"/>
    <m/>
    <s v="FUTURE"/>
    <n v="41.14"/>
    <n v="41.14"/>
    <s v="LMT"/>
    <n v="0"/>
    <n v="0"/>
    <s v=""/>
    <n v="39.999999999999147"/>
  </r>
  <r>
    <x v="541"/>
    <x v="53"/>
    <s v="Tuesday"/>
    <d v="1899-12-30T09:37:53"/>
    <s v="FUTURE"/>
    <s v="BUY"/>
    <n v="1"/>
    <s v="TO OPEN"/>
    <x v="7"/>
    <d v="2020-09-20T00:00:00"/>
    <m/>
    <s v="FUTURE"/>
    <n v="3133"/>
    <n v="3133"/>
    <s v="MKT"/>
    <n v="1"/>
    <n v="156650"/>
    <n v="3133"/>
    <s v=""/>
  </r>
  <r>
    <x v="541"/>
    <x v="53"/>
    <s v="Tuesday"/>
    <d v="1899-12-30T11:23:38"/>
    <s v="FUTURE"/>
    <s v="SELL"/>
    <n v="-1"/>
    <s v="TO CLOSE"/>
    <x v="7"/>
    <d v="2020-09-20T00:00:00"/>
    <m/>
    <s v="FUTURE"/>
    <n v="3139"/>
    <n v="3139"/>
    <s v="LMT"/>
    <n v="0"/>
    <n v="0"/>
    <s v=""/>
    <n v="300"/>
  </r>
  <r>
    <x v="542"/>
    <x v="53"/>
    <s v="Tuesday"/>
    <d v="1899-12-30T12:19:38"/>
    <s v="FUTURE"/>
    <s v="SELL"/>
    <n v="-1"/>
    <s v="TO OPEN"/>
    <x v="7"/>
    <d v="2020-09-20T00:00:00"/>
    <m/>
    <s v="FUTURE"/>
    <n v="3137"/>
    <n v="3137"/>
    <s v="LMT"/>
    <n v="-1"/>
    <n v="-156850"/>
    <n v="3137"/>
    <s v=""/>
  </r>
  <r>
    <x v="542"/>
    <x v="53"/>
    <s v="Tuesday"/>
    <d v="1899-12-30T12:20:20"/>
    <s v="FUTURE"/>
    <s v="BUY"/>
    <n v="1"/>
    <s v="TO CLOSE"/>
    <x v="7"/>
    <d v="2020-09-20T00:00:00"/>
    <m/>
    <s v="FUTURE"/>
    <n v="3136"/>
    <n v="3136"/>
    <s v="LMT"/>
    <n v="0"/>
    <n v="0"/>
    <s v=""/>
    <n v="50"/>
  </r>
  <r>
    <x v="543"/>
    <x v="53"/>
    <s v="Tuesday"/>
    <d v="1899-12-30T12:35:04"/>
    <s v="FUTURE"/>
    <s v="SELL"/>
    <n v="-2"/>
    <s v="TO OPEN"/>
    <x v="8"/>
    <d v="2020-09-20T00:00:00"/>
    <m/>
    <s v="FUTURE"/>
    <n v="3136"/>
    <n v="3136"/>
    <s v="MKT"/>
    <n v="-2"/>
    <n v="-31360"/>
    <n v="3136"/>
    <s v=""/>
  </r>
  <r>
    <x v="543"/>
    <x v="53"/>
    <s v="Tuesday"/>
    <d v="1899-12-30T12:44:36"/>
    <s v="FUTURE"/>
    <s v="BUY"/>
    <n v="1"/>
    <s v="TO CLOSE"/>
    <x v="8"/>
    <d v="2020-09-20T00:00:00"/>
    <m/>
    <s v="FUTURE"/>
    <n v="3135"/>
    <n v="3135"/>
    <s v="LMT"/>
    <n v="-1"/>
    <n v="-15685"/>
    <n v="3137"/>
    <s v=""/>
  </r>
  <r>
    <x v="543"/>
    <x v="53"/>
    <s v="Tuesday"/>
    <d v="1899-12-30T12:45:03"/>
    <s v="FUTURE"/>
    <s v="BUY"/>
    <n v="1"/>
    <s v="TO CLOSE"/>
    <x v="8"/>
    <d v="2020-09-20T00:00:00"/>
    <m/>
    <s v="FUTURE"/>
    <n v="3134.75"/>
    <n v="3134.75"/>
    <s v="LMT"/>
    <n v="0"/>
    <n v="0"/>
    <s v=""/>
    <n v="11.25"/>
  </r>
  <r>
    <x v="544"/>
    <x v="53"/>
    <s v="Tuesday"/>
    <d v="1899-12-30T09:37:24"/>
    <s v="STOCK"/>
    <s v="SELL"/>
    <n v="-200"/>
    <s v="TO OPEN"/>
    <x v="2"/>
    <m/>
    <m/>
    <s v="STOCK"/>
    <n v="33.67"/>
    <n v="33.67"/>
    <s v="LMT"/>
    <n v="-200"/>
    <n v="-6734"/>
    <n v="33.67"/>
    <s v=""/>
  </r>
  <r>
    <x v="544"/>
    <x v="53"/>
    <s v="Tuesday"/>
    <d v="1899-12-30T09:47:12"/>
    <s v="STOCK"/>
    <s v="SELL"/>
    <n v="-100"/>
    <s v="TO OPEN"/>
    <x v="2"/>
    <m/>
    <m/>
    <s v="STOCK"/>
    <n v="33.880000000000003"/>
    <n v="33.880000000000003"/>
    <s v="LMT"/>
    <n v="-300"/>
    <n v="-10122"/>
    <n v="33.74"/>
    <s v=""/>
  </r>
  <r>
    <x v="544"/>
    <x v="53"/>
    <s v="Tuesday"/>
    <d v="1899-12-30T09:58:23"/>
    <s v="STOCK"/>
    <s v="SELL"/>
    <n v="-100"/>
    <s v="TO OPEN"/>
    <x v="2"/>
    <m/>
    <m/>
    <s v="STOCK"/>
    <n v="34.042400000000001"/>
    <n v="34.042400000000001"/>
    <s v="MKT"/>
    <n v="-400"/>
    <n v="-13526.24"/>
    <n v="33.815599999999996"/>
    <s v=""/>
  </r>
  <r>
    <x v="544"/>
    <x v="53"/>
    <s v="Tuesday"/>
    <d v="1899-12-30T11:23:59"/>
    <s v="STOCK"/>
    <s v="BUY"/>
    <n v="135"/>
    <s v="TO CLOSE"/>
    <x v="2"/>
    <m/>
    <m/>
    <s v="STOCK"/>
    <n v="33.729999999999997"/>
    <n v="33.729999999999997"/>
    <s v="LMT"/>
    <n v="-265"/>
    <n v="-8972.69"/>
    <n v="33.859207547169817"/>
    <s v=""/>
  </r>
  <r>
    <x v="544"/>
    <x v="53"/>
    <s v="Tuesday"/>
    <d v="1899-12-30T11:23:59"/>
    <s v="STOCK"/>
    <s v="BUY"/>
    <n v="50"/>
    <s v="TO CLOSE"/>
    <x v="2"/>
    <m/>
    <m/>
    <s v="STOCK"/>
    <n v="33.729999999999997"/>
    <n v="33.729999999999997"/>
    <s v="LMT"/>
    <n v="-215"/>
    <n v="-7286.1900000000005"/>
    <n v="33.88925581395349"/>
    <s v=""/>
  </r>
  <r>
    <x v="544"/>
    <x v="53"/>
    <s v="Tuesday"/>
    <d v="1899-12-30T11:23:59"/>
    <s v="STOCK"/>
    <s v="BUY"/>
    <n v="10"/>
    <s v="TO CLOSE"/>
    <x v="2"/>
    <m/>
    <m/>
    <s v="STOCK"/>
    <n v="33.729999999999997"/>
    <n v="33.729999999999997"/>
    <s v="LMT"/>
    <n v="-205"/>
    <n v="-6948.89"/>
    <n v="33.897024390243907"/>
    <s v=""/>
  </r>
  <r>
    <x v="544"/>
    <x v="53"/>
    <s v="Tuesday"/>
    <d v="1899-12-30T11:23:59"/>
    <s v="STOCK"/>
    <s v="BUY"/>
    <n v="10"/>
    <s v="TO CLOSE"/>
    <x v="2"/>
    <m/>
    <m/>
    <s v="STOCK"/>
    <n v="33.729999999999997"/>
    <n v="33.729999999999997"/>
    <s v="LMT"/>
    <n v="-195"/>
    <n v="-6611.59"/>
    <n v="33.905589743589744"/>
    <s v=""/>
  </r>
  <r>
    <x v="544"/>
    <x v="53"/>
    <s v="Tuesday"/>
    <d v="1899-12-30T11:23:59"/>
    <s v="STOCK"/>
    <s v="BUY"/>
    <n v="11"/>
    <s v="TO CLOSE"/>
    <x v="2"/>
    <m/>
    <m/>
    <s v="STOCK"/>
    <n v="33.729999999999997"/>
    <n v="33.729999999999997"/>
    <s v="LMT"/>
    <n v="-184"/>
    <n v="-6240.56"/>
    <n v="33.916086956521738"/>
    <s v=""/>
  </r>
  <r>
    <x v="544"/>
    <x v="53"/>
    <s v="Tuesday"/>
    <d v="1899-12-30T11:23:59"/>
    <s v="STOCK"/>
    <s v="BUY"/>
    <n v="11"/>
    <s v="TO CLOSE"/>
    <x v="2"/>
    <m/>
    <m/>
    <s v="STOCK"/>
    <n v="33.729999999999997"/>
    <n v="33.729999999999997"/>
    <s v="LMT"/>
    <n v="-173"/>
    <n v="-5869.5300000000007"/>
    <n v="33.927919075144516"/>
    <s v=""/>
  </r>
  <r>
    <x v="544"/>
    <x v="53"/>
    <s v="Tuesday"/>
    <d v="1899-12-30T11:23:59"/>
    <s v="STOCK"/>
    <s v="BUY"/>
    <n v="11"/>
    <s v="TO CLOSE"/>
    <x v="2"/>
    <m/>
    <m/>
    <s v="STOCK"/>
    <n v="33.729999999999997"/>
    <n v="33.729999999999997"/>
    <s v="LMT"/>
    <n v="-162"/>
    <n v="-5498.5000000000009"/>
    <n v="33.941358024691361"/>
    <s v=""/>
  </r>
  <r>
    <x v="544"/>
    <x v="53"/>
    <s v="Tuesday"/>
    <d v="1899-12-30T11:23:59"/>
    <s v="STOCK"/>
    <s v="BUY"/>
    <n v="49"/>
    <s v="TO CLOSE"/>
    <x v="2"/>
    <m/>
    <m/>
    <s v="STOCK"/>
    <n v="33.729999999999997"/>
    <n v="33.729999999999997"/>
    <s v="LMT"/>
    <n v="-113"/>
    <n v="-3845.7300000000014"/>
    <n v="34.033008849557532"/>
    <s v=""/>
  </r>
  <r>
    <x v="544"/>
    <x v="53"/>
    <s v="Tuesday"/>
    <d v="1899-12-30T11:23:59"/>
    <s v="STOCK"/>
    <s v="BUY"/>
    <n v="13"/>
    <s v="TO CLOSE"/>
    <x v="2"/>
    <m/>
    <m/>
    <s v="STOCK"/>
    <n v="33.729999999999997"/>
    <n v="33.729999999999997"/>
    <s v="LMT"/>
    <n v="-100"/>
    <n v="-3407.2400000000016"/>
    <n v="34.072400000000016"/>
    <s v=""/>
  </r>
  <r>
    <x v="544"/>
    <x v="53"/>
    <s v="Tuesday"/>
    <d v="1899-12-30T11:23:59"/>
    <s v="STOCK"/>
    <s v="BUY"/>
    <n v="100"/>
    <s v="TO CLOSE"/>
    <x v="2"/>
    <m/>
    <m/>
    <s v="STOCK"/>
    <n v="33.729999999999997"/>
    <n v="33.729999999999997"/>
    <s v="LMT"/>
    <n v="0"/>
    <n v="0"/>
    <s v=""/>
    <n v="34.240000000001913"/>
  </r>
  <r>
    <x v="545"/>
    <x v="53"/>
    <s v="Tuesday"/>
    <d v="1899-12-30T11:58:51"/>
    <s v="STOCK"/>
    <s v="SELL"/>
    <n v="-100"/>
    <s v="TO OPEN"/>
    <x v="2"/>
    <m/>
    <m/>
    <s v="STOCK"/>
    <n v="33.870100000000001"/>
    <n v="33.870100000000001"/>
    <s v="MKT"/>
    <n v="-100"/>
    <n v="-3387.01"/>
    <n v="33.870100000000001"/>
    <s v=""/>
  </r>
  <r>
    <x v="545"/>
    <x v="53"/>
    <s v="Tuesday"/>
    <d v="1899-12-30T11:58:51"/>
    <s v="STOCK"/>
    <s v="SELL"/>
    <n v="-100"/>
    <s v="TO OPEN"/>
    <x v="2"/>
    <m/>
    <m/>
    <s v="STOCK"/>
    <n v="33.870100000000001"/>
    <n v="33.870100000000001"/>
    <s v="MKT"/>
    <n v="-200"/>
    <n v="-6774.02"/>
    <n v="33.870100000000001"/>
    <s v=""/>
  </r>
  <r>
    <x v="545"/>
    <x v="53"/>
    <s v="Tuesday"/>
    <d v="1899-12-30T11:58:51"/>
    <s v="STOCK"/>
    <s v="SELL"/>
    <n v="-100"/>
    <s v="TO OPEN"/>
    <x v="2"/>
    <m/>
    <m/>
    <s v="STOCK"/>
    <n v="33.870100000000001"/>
    <n v="33.870100000000001"/>
    <s v="MKT"/>
    <n v="-300"/>
    <n v="-10161.030000000001"/>
    <n v="33.870100000000001"/>
    <s v=""/>
  </r>
  <r>
    <x v="545"/>
    <x v="53"/>
    <s v="Tuesday"/>
    <d v="1899-12-30T11:58:51"/>
    <s v="STOCK"/>
    <s v="SELL"/>
    <n v="-100"/>
    <s v="TO OPEN"/>
    <x v="2"/>
    <m/>
    <m/>
    <s v="STOCK"/>
    <n v="33.870100000000001"/>
    <n v="33.870100000000001"/>
    <s v="MKT"/>
    <n v="-400"/>
    <n v="-13548.04"/>
    <n v="33.870100000000001"/>
    <s v=""/>
  </r>
  <r>
    <x v="545"/>
    <x v="53"/>
    <s v="Tuesday"/>
    <d v="1899-12-30T12:02:25"/>
    <s v="STOCK"/>
    <s v="BUY"/>
    <n v="200"/>
    <s v="TO CLOSE"/>
    <x v="2"/>
    <m/>
    <m/>
    <s v="STOCK"/>
    <n v="33.765000000000001"/>
    <n v="33.765000000000001"/>
    <s v="LMT"/>
    <n v="-200"/>
    <n v="-6795.0400000000009"/>
    <n v="33.975200000000001"/>
    <s v=""/>
  </r>
  <r>
    <x v="545"/>
    <x v="53"/>
    <s v="Tuesday"/>
    <d v="1899-12-30T12:04:56"/>
    <s v="STOCK"/>
    <s v="BUY"/>
    <n v="200"/>
    <s v="TO CLOSE"/>
    <x v="2"/>
    <m/>
    <m/>
    <s v="STOCK"/>
    <n v="33.759900000000002"/>
    <n v="33.759900000000002"/>
    <s v="LMT"/>
    <n v="0"/>
    <n v="0"/>
    <s v=""/>
    <n v="43.059999999999832"/>
  </r>
  <r>
    <x v="546"/>
    <x v="54"/>
    <s v="Wednesday"/>
    <d v="1899-12-30T09:39:03"/>
    <s v="FUTURE"/>
    <s v="BUY"/>
    <n v="1"/>
    <s v="TO OPEN"/>
    <x v="6"/>
    <d v="2020-08-20T00:00:00"/>
    <m/>
    <s v="FUTURE"/>
    <n v="39.94"/>
    <n v="39.94"/>
    <s v="MKT"/>
    <n v="1"/>
    <n v="39940"/>
    <n v="39.94"/>
    <s v=""/>
  </r>
  <r>
    <x v="546"/>
    <x v="54"/>
    <s v="Wednesday"/>
    <d v="1899-12-30T09:51:18"/>
    <s v="FUTURE"/>
    <s v="SELL"/>
    <n v="-1"/>
    <s v="TO CLOSE"/>
    <x v="6"/>
    <d v="2020-08-20T00:00:00"/>
    <m/>
    <s v="FUTURE"/>
    <n v="39.71"/>
    <n v="39.71"/>
    <s v="MKT"/>
    <n v="0"/>
    <n v="0"/>
    <s v=""/>
    <n v="-229.99999999999687"/>
  </r>
  <r>
    <x v="547"/>
    <x v="54"/>
    <s v="Wednesday"/>
    <d v="1899-12-30T10:08:42"/>
    <s v="FUTURE"/>
    <s v="BUY"/>
    <n v="1"/>
    <s v="TO OPEN"/>
    <x v="6"/>
    <d v="2020-08-20T00:00:00"/>
    <m/>
    <s v="FUTURE"/>
    <n v="39.479999999999997"/>
    <n v="39.479999999999997"/>
    <s v="MKT"/>
    <n v="1"/>
    <n v="39480"/>
    <n v="39.479999999999997"/>
    <s v=""/>
  </r>
  <r>
    <x v="547"/>
    <x v="54"/>
    <s v="Wednesday"/>
    <d v="1899-12-30T10:27:22"/>
    <s v="FUTURE"/>
    <s v="SELL"/>
    <n v="-1"/>
    <s v="TO CLOSE"/>
    <x v="6"/>
    <d v="2020-08-20T00:00:00"/>
    <m/>
    <s v="FUTURE"/>
    <n v="39.53"/>
    <n v="39.53"/>
    <s v="LMT"/>
    <n v="0"/>
    <n v="0"/>
    <s v=""/>
    <n v="50.000000000004263"/>
  </r>
  <r>
    <x v="548"/>
    <x v="54"/>
    <s v="Wednesday"/>
    <d v="1899-12-30T10:30:12"/>
    <s v="FUTURE"/>
    <s v="BUY"/>
    <n v="1"/>
    <s v="TO OPEN"/>
    <x v="6"/>
    <d v="2020-08-20T00:00:00"/>
    <m/>
    <s v="FUTURE"/>
    <n v="39.5"/>
    <n v="39.5"/>
    <s v="MKT"/>
    <n v="1"/>
    <n v="39500"/>
    <n v="39.5"/>
    <s v=""/>
  </r>
  <r>
    <x v="548"/>
    <x v="54"/>
    <s v="Wednesday"/>
    <d v="1899-12-30T11:15:20"/>
    <s v="FUTURE"/>
    <s v="BUY"/>
    <n v="1"/>
    <s v="TO OPEN"/>
    <x v="6"/>
    <d v="2020-08-20T00:00:00"/>
    <m/>
    <s v="FUTURE"/>
    <n v="38.15"/>
    <n v="38.15"/>
    <s v="MKT"/>
    <n v="2"/>
    <n v="77650"/>
    <n v="38.825000000000003"/>
    <s v=""/>
  </r>
  <r>
    <x v="548"/>
    <x v="54"/>
    <s v="Wednesday"/>
    <d v="1899-12-30T11:16:39"/>
    <s v="FUTURE"/>
    <s v="SELL"/>
    <n v="-2"/>
    <s v="TO CLOSE"/>
    <x v="6"/>
    <d v="2020-08-20T00:00:00"/>
    <m/>
    <s v="FUTURE"/>
    <n v="38.01"/>
    <n v="38.01"/>
    <s v="STP"/>
    <n v="0"/>
    <n v="0"/>
    <s v=""/>
    <n v="-1630.0000000000095"/>
  </r>
  <r>
    <x v="549"/>
    <x v="54"/>
    <s v="Wednesday"/>
    <d v="1899-12-30T11:17:06"/>
    <s v="FUTURE"/>
    <s v="BUY"/>
    <n v="2"/>
    <s v="TO OPEN"/>
    <x v="6"/>
    <d v="2020-08-20T00:00:00"/>
    <m/>
    <s v="FUTURE"/>
    <n v="38.119999999999997"/>
    <n v="38.119999999999997"/>
    <s v="MKT"/>
    <n v="2"/>
    <n v="76240"/>
    <n v="38.119999999999997"/>
    <s v=""/>
  </r>
  <r>
    <x v="549"/>
    <x v="54"/>
    <s v="Wednesday"/>
    <d v="1899-12-30T11:20:03"/>
    <s v="FUTURE"/>
    <s v="SELL"/>
    <n v="-1"/>
    <s v="TO CLOSE"/>
    <x v="6"/>
    <d v="2020-08-20T00:00:00"/>
    <m/>
    <s v="FUTURE"/>
    <n v="38.24"/>
    <n v="38.24"/>
    <s v="LMT"/>
    <n v="1"/>
    <n v="38000"/>
    <n v="38"/>
    <s v=""/>
  </r>
  <r>
    <x v="549"/>
    <x v="54"/>
    <s v="Wednesday"/>
    <d v="1899-12-30T11:33:51"/>
    <s v="FUTURE"/>
    <s v="SELL"/>
    <n v="-1"/>
    <s v="TO CLOSE"/>
    <x v="6"/>
    <d v="2020-08-20T00:00:00"/>
    <m/>
    <s v="FUTURE"/>
    <n v="38.14"/>
    <n v="38.14"/>
    <s v="LMT"/>
    <n v="0"/>
    <n v="0"/>
    <s v=""/>
    <n v="140.00000000000057"/>
  </r>
  <r>
    <x v="550"/>
    <x v="54"/>
    <s v="Wednesday"/>
    <d v="1899-12-30T09:40:02"/>
    <s v="FUTURE"/>
    <s v="BUY"/>
    <n v="1"/>
    <s v="TO OPEN"/>
    <x v="7"/>
    <d v="2020-09-20T00:00:00"/>
    <m/>
    <s v="FUTURE"/>
    <n v="3101.5"/>
    <n v="3101.5"/>
    <s v="MKT"/>
    <n v="1"/>
    <n v="155075"/>
    <n v="3101.5"/>
    <s v=""/>
  </r>
  <r>
    <x v="550"/>
    <x v="54"/>
    <s v="Wednesday"/>
    <d v="1899-12-30T09:49:15"/>
    <s v="FUTURE"/>
    <s v="SELL"/>
    <n v="-1"/>
    <s v="TO CLOSE"/>
    <x v="7"/>
    <d v="2020-09-20T00:00:00"/>
    <m/>
    <s v="FUTURE"/>
    <n v="3092.5"/>
    <n v="3092.5"/>
    <s v="STP"/>
    <n v="0"/>
    <n v="0"/>
    <s v=""/>
    <n v="-450"/>
  </r>
  <r>
    <x v="551"/>
    <x v="54"/>
    <s v="Wednesday"/>
    <d v="1899-12-30T10:02:35"/>
    <s v="FUTURE"/>
    <s v="BUY"/>
    <n v="1"/>
    <s v="TO OPEN"/>
    <x v="7"/>
    <d v="2020-09-20T00:00:00"/>
    <m/>
    <s v="FUTURE"/>
    <n v="3076"/>
    <n v="3076"/>
    <s v="MKT"/>
    <n v="1"/>
    <n v="153800"/>
    <n v="3076"/>
    <s v=""/>
  </r>
  <r>
    <x v="551"/>
    <x v="54"/>
    <s v="Wednesday"/>
    <d v="1899-12-30T10:32:55"/>
    <s v="FUTURE"/>
    <s v="SELL"/>
    <n v="-1"/>
    <s v="TO CLOSE"/>
    <x v="7"/>
    <d v="2020-09-20T00:00:00"/>
    <m/>
    <s v="FUTURE"/>
    <n v="3076"/>
    <n v="3076"/>
    <s v="LMT"/>
    <n v="0"/>
    <n v="0"/>
    <s v=""/>
    <n v="0"/>
  </r>
  <r>
    <x v="552"/>
    <x v="54"/>
    <s v="Wednesday"/>
    <d v="1899-12-30T10:35:25"/>
    <s v="FUTURE"/>
    <s v="BUY"/>
    <n v="1"/>
    <s v="TO OPEN"/>
    <x v="7"/>
    <d v="2020-09-20T00:00:00"/>
    <m/>
    <s v="FUTURE"/>
    <n v="3072.25"/>
    <n v="3072.25"/>
    <s v="MKT"/>
    <n v="1"/>
    <n v="153612.5"/>
    <n v="3072.25"/>
    <s v=""/>
  </r>
  <r>
    <x v="552"/>
    <x v="54"/>
    <s v="Wednesday"/>
    <d v="1899-12-30T11:11:38"/>
    <s v="FUTURE"/>
    <s v="SELL"/>
    <n v="-1"/>
    <s v="TO CLOSE"/>
    <x v="7"/>
    <d v="2020-09-20T00:00:00"/>
    <m/>
    <s v="FUTURE"/>
    <n v="3052.25"/>
    <n v="3052.25"/>
    <s v="STP"/>
    <n v="0"/>
    <n v="0"/>
    <s v=""/>
    <n v="-1000"/>
  </r>
  <r>
    <x v="553"/>
    <x v="54"/>
    <s v="Wednesday"/>
    <d v="1899-12-30T11:21:18"/>
    <s v="FUTURE"/>
    <s v="BUY"/>
    <n v="1"/>
    <s v="TO OPEN"/>
    <x v="7"/>
    <d v="2020-09-20T00:00:00"/>
    <m/>
    <s v="FUTURE"/>
    <n v="3046"/>
    <n v="3046"/>
    <s v="MKT"/>
    <n v="1"/>
    <n v="152300"/>
    <n v="3046"/>
    <s v=""/>
  </r>
  <r>
    <x v="553"/>
    <x v="54"/>
    <s v="Wednesday"/>
    <d v="1899-12-30T11:38:44"/>
    <s v="FUTURE"/>
    <s v="SELL"/>
    <n v="-1"/>
    <s v="TO CLOSE"/>
    <x v="7"/>
    <d v="2020-09-20T00:00:00"/>
    <m/>
    <s v="FUTURE"/>
    <n v="3036.75"/>
    <n v="3036.75"/>
    <s v="STP"/>
    <n v="0"/>
    <n v="0"/>
    <s v=""/>
    <n v="-462.5"/>
  </r>
  <r>
    <x v="554"/>
    <x v="54"/>
    <s v="Wednesday"/>
    <d v="1899-12-30T09:41:39"/>
    <s v="STOCK"/>
    <s v="SELL"/>
    <n v="-300"/>
    <s v="TO OPEN"/>
    <x v="2"/>
    <m/>
    <m/>
    <s v="STOCK"/>
    <n v="34.94"/>
    <n v="34.94"/>
    <s v="LMT"/>
    <n v="-300"/>
    <n v="-10482"/>
    <n v="34.94"/>
    <s v=""/>
  </r>
  <r>
    <x v="554"/>
    <x v="54"/>
    <s v="Wednesday"/>
    <d v="1899-12-30T09:52:18"/>
    <s v="STOCK"/>
    <s v="BUY"/>
    <n v="300"/>
    <s v="TO CLOSE"/>
    <x v="2"/>
    <m/>
    <m/>
    <s v="STOCK"/>
    <n v="35.838999999999999"/>
    <n v="35.838999999999999"/>
    <s v="STP"/>
    <n v="0"/>
    <n v="0"/>
    <s v=""/>
    <n v="-269.70000000000027"/>
  </r>
  <r>
    <x v="555"/>
    <x v="54"/>
    <s v="Wednesday"/>
    <d v="1899-12-30T09:54:10"/>
    <s v="STOCK"/>
    <s v="BUY"/>
    <n v="300"/>
    <s v="TO OPEN"/>
    <x v="2"/>
    <m/>
    <m/>
    <s v="STOCK"/>
    <n v="35.975000000000001"/>
    <n v="35.975000000000001"/>
    <s v="MKT"/>
    <n v="300"/>
    <n v="10792.5"/>
    <n v="35.975000000000001"/>
    <s v=""/>
  </r>
  <r>
    <x v="555"/>
    <x v="54"/>
    <s v="Wednesday"/>
    <d v="1899-12-30T09:59:14"/>
    <s v="STOCK"/>
    <s v="SELL"/>
    <n v="-300"/>
    <s v="TO CLOSE"/>
    <x v="2"/>
    <m/>
    <m/>
    <s v="STOCK"/>
    <n v="35.97"/>
    <n v="35.97"/>
    <s v="STP"/>
    <n v="0"/>
    <n v="0"/>
    <s v=""/>
    <n v="-1.5000000000007674"/>
  </r>
  <r>
    <x v="556"/>
    <x v="54"/>
    <s v="Wednesday"/>
    <d v="1899-12-30T10:05:30"/>
    <s v="STOCK"/>
    <s v="SELL"/>
    <n v="-200"/>
    <s v="TO OPEN"/>
    <x v="2"/>
    <m/>
    <m/>
    <s v="STOCK"/>
    <n v="36.325000000000003"/>
    <n v="36.325000000000003"/>
    <s v="MKT"/>
    <n v="-200"/>
    <n v="-7265.0000000000009"/>
    <n v="36.325000000000003"/>
    <s v=""/>
  </r>
  <r>
    <x v="556"/>
    <x v="54"/>
    <s v="Wednesday"/>
    <d v="1899-12-30T10:08:22"/>
    <s v="STOCK"/>
    <s v="BUY"/>
    <n v="100"/>
    <s v="TO CLOSE"/>
    <x v="2"/>
    <m/>
    <m/>
    <s v="STOCK"/>
    <n v="36.119999999999997"/>
    <n v="36.119999999999997"/>
    <s v="LMT"/>
    <n v="-100"/>
    <n v="-3653.0000000000014"/>
    <n v="36.530000000000015"/>
    <s v=""/>
  </r>
  <r>
    <x v="556"/>
    <x v="54"/>
    <s v="Wednesday"/>
    <d v="1899-12-30T10:08:22"/>
    <s v="STOCK"/>
    <s v="BUY"/>
    <n v="100"/>
    <s v="TO CLOSE"/>
    <x v="2"/>
    <m/>
    <m/>
    <s v="STOCK"/>
    <n v="36.119999999999997"/>
    <n v="36.119999999999997"/>
    <s v="LMT"/>
    <n v="0"/>
    <n v="0"/>
    <s v=""/>
    <n v="41.000000000001791"/>
  </r>
  <r>
    <x v="557"/>
    <x v="54"/>
    <s v="Wednesday"/>
    <d v="1899-12-30T10:43:54"/>
    <s v="STOCK"/>
    <s v="SELL"/>
    <n v="-300"/>
    <s v="TO OPEN"/>
    <x v="2"/>
    <m/>
    <m/>
    <s v="STOCK"/>
    <n v="36.130000000000003"/>
    <n v="36.130000000000003"/>
    <s v="LMT"/>
    <n v="-300"/>
    <n v="-10839"/>
    <n v="36.130000000000003"/>
    <s v=""/>
  </r>
  <r>
    <x v="557"/>
    <x v="54"/>
    <s v="Wednesday"/>
    <d v="1899-12-30T11:14:53"/>
    <s v="STOCK"/>
    <s v="BUY"/>
    <n v="97"/>
    <s v="TO CLOSE"/>
    <x v="2"/>
    <m/>
    <m/>
    <s v="STOCK"/>
    <n v="36.78"/>
    <n v="36.78"/>
    <s v="STP"/>
    <n v="-203"/>
    <n v="-7271.34"/>
    <n v="35.819408866995076"/>
    <s v=""/>
  </r>
  <r>
    <x v="557"/>
    <x v="54"/>
    <s v="Wednesday"/>
    <d v="1899-12-30T11:14:53"/>
    <s v="STOCK"/>
    <s v="BUY"/>
    <n v="20"/>
    <s v="TO CLOSE"/>
    <x v="2"/>
    <m/>
    <m/>
    <s v="STOCK"/>
    <n v="36.78"/>
    <n v="36.78"/>
    <s v="STP"/>
    <n v="-183"/>
    <n v="-6535.74"/>
    <n v="35.714426229508199"/>
    <s v=""/>
  </r>
  <r>
    <x v="557"/>
    <x v="54"/>
    <s v="Wednesday"/>
    <d v="1899-12-30T11:14:53"/>
    <s v="STOCK"/>
    <s v="BUY"/>
    <n v="16"/>
    <s v="TO CLOSE"/>
    <x v="2"/>
    <m/>
    <m/>
    <s v="STOCK"/>
    <n v="36.78"/>
    <n v="36.78"/>
    <s v="STP"/>
    <n v="-167"/>
    <n v="-5947.26"/>
    <n v="35.61233532934132"/>
    <s v=""/>
  </r>
  <r>
    <x v="557"/>
    <x v="54"/>
    <s v="Wednesday"/>
    <d v="1899-12-30T11:14:53"/>
    <s v="STOCK"/>
    <s v="BUY"/>
    <n v="67"/>
    <s v="TO CLOSE"/>
    <x v="2"/>
    <m/>
    <m/>
    <s v="STOCK"/>
    <n v="36.78"/>
    <n v="36.78"/>
    <s v="STP"/>
    <n v="-100"/>
    <n v="-3483"/>
    <n v="34.83"/>
    <s v=""/>
  </r>
  <r>
    <x v="557"/>
    <x v="54"/>
    <s v="Wednesday"/>
    <d v="1899-12-30T11:14:53"/>
    <s v="STOCK"/>
    <s v="BUY"/>
    <n v="100"/>
    <s v="TO CLOSE"/>
    <x v="2"/>
    <m/>
    <m/>
    <s v="STOCK"/>
    <n v="36.770000000000003"/>
    <n v="36.770000000000003"/>
    <s v="STP"/>
    <n v="0"/>
    <n v="0"/>
    <s v=""/>
    <n v="-194.00000000000048"/>
  </r>
  <r>
    <x v="558"/>
    <x v="55"/>
    <s v="Thursday"/>
    <d v="1899-12-30T12:13:20"/>
    <s v="FUTURE"/>
    <s v="BUY"/>
    <n v="1"/>
    <s v="TO OPEN"/>
    <x v="6"/>
    <d v="2020-08-20T00:00:00"/>
    <m/>
    <s v="FUTURE"/>
    <n v="38.65"/>
    <n v="38.65"/>
    <s v="MKT"/>
    <n v="1"/>
    <n v="38650"/>
    <n v="38.65"/>
    <s v=""/>
  </r>
  <r>
    <x v="558"/>
    <x v="55"/>
    <s v="Thursday"/>
    <d v="1899-12-30T12:24:38"/>
    <s v="FUTURE"/>
    <s v="SELL"/>
    <n v="-1"/>
    <s v="TO CLOSE"/>
    <x v="6"/>
    <d v="2020-08-20T00:00:00"/>
    <m/>
    <s v="FUTURE"/>
    <n v="38.659999999999997"/>
    <n v="38.659999999999997"/>
    <s v="LMT"/>
    <n v="0"/>
    <n v="0"/>
    <s v=""/>
    <n v="9.9999999999980105"/>
  </r>
  <r>
    <x v="559"/>
    <x v="55"/>
    <s v="Thursday"/>
    <d v="1899-12-30T13:55:49"/>
    <s v="FUTURE"/>
    <s v="SELL"/>
    <n v="-1"/>
    <s v="TO OPEN"/>
    <x v="7"/>
    <d v="2020-09-20T00:00:00"/>
    <m/>
    <s v="FUTURE"/>
    <n v="3045"/>
    <n v="3045"/>
    <s v="MKT"/>
    <n v="-1"/>
    <n v="-152250"/>
    <n v="3045"/>
    <s v=""/>
  </r>
  <r>
    <x v="559"/>
    <x v="55"/>
    <s v="Thursday"/>
    <d v="1899-12-30T13:59:21"/>
    <s v="FUTURE"/>
    <s v="BUY"/>
    <n v="1"/>
    <s v="TO CLOSE"/>
    <x v="7"/>
    <d v="2020-09-20T00:00:00"/>
    <m/>
    <s v="FUTURE"/>
    <n v="3044.5"/>
    <n v="3044.5"/>
    <s v="LMT"/>
    <n v="0"/>
    <n v="0"/>
    <s v=""/>
    <n v="25"/>
  </r>
  <r>
    <x v="560"/>
    <x v="55"/>
    <s v="Thursday"/>
    <d v="1899-12-30T14:38:55"/>
    <s v="FUTURE"/>
    <s v="BUY"/>
    <n v="2"/>
    <s v="TO OPEN"/>
    <x v="8"/>
    <d v="2020-09-20T00:00:00"/>
    <m/>
    <s v="FUTURE"/>
    <n v="3037.25"/>
    <n v="3037.25"/>
    <s v="MKT"/>
    <n v="2"/>
    <n v="30372.5"/>
    <n v="3037.25"/>
    <s v=""/>
  </r>
  <r>
    <x v="560"/>
    <x v="55"/>
    <s v="Thursday"/>
    <d v="1899-12-30T14:41:53"/>
    <s v="FUTURE"/>
    <s v="SELL"/>
    <n v="-2"/>
    <s v="TO CLOSE"/>
    <x v="8"/>
    <d v="2020-09-20T00:00:00"/>
    <m/>
    <s v="FUTURE"/>
    <n v="3040.75"/>
    <n v="3040.75"/>
    <s v="LMT"/>
    <n v="0"/>
    <n v="0"/>
    <s v=""/>
    <n v="35"/>
  </r>
  <r>
    <x v="561"/>
    <x v="55"/>
    <s v="Thursday"/>
    <d v="1899-12-30T14:48:54"/>
    <s v="FUTURE"/>
    <s v="BUY"/>
    <n v="2"/>
    <s v="TO OPEN"/>
    <x v="8"/>
    <d v="2020-09-20T00:00:00"/>
    <m/>
    <s v="FUTURE"/>
    <n v="3040.25"/>
    <n v="3040.25"/>
    <s v="MKT"/>
    <n v="2"/>
    <n v="30402.5"/>
    <n v="3040.25"/>
    <s v=""/>
  </r>
  <r>
    <x v="561"/>
    <x v="55"/>
    <s v="Thursday"/>
    <d v="1899-12-30T14:52:17"/>
    <s v="FUTURE"/>
    <s v="SELL"/>
    <n v="-2"/>
    <s v="TO CLOSE"/>
    <x v="8"/>
    <d v="2020-09-20T00:00:00"/>
    <m/>
    <s v="FUTURE"/>
    <n v="3042.25"/>
    <n v="3042.25"/>
    <s v="LMT"/>
    <n v="0"/>
    <n v="0"/>
    <s v=""/>
    <n v="20"/>
  </r>
  <r>
    <x v="562"/>
    <x v="55"/>
    <s v="Thursday"/>
    <d v="1899-12-30T12:08:19"/>
    <s v="STOCK"/>
    <s v="SELL"/>
    <n v="-400"/>
    <s v="TO OPEN"/>
    <x v="2"/>
    <m/>
    <m/>
    <s v="STOCK"/>
    <n v="36.330100000000002"/>
    <n v="36.330100000000002"/>
    <s v="LMT"/>
    <n v="-400"/>
    <n v="-14532.04"/>
    <n v="36.330100000000002"/>
    <s v=""/>
  </r>
  <r>
    <x v="562"/>
    <x v="55"/>
    <s v="Thursday"/>
    <d v="1899-12-30T12:19:05"/>
    <s v="STOCK"/>
    <s v="BUY"/>
    <n v="100"/>
    <s v="TO CLOSE"/>
    <x v="2"/>
    <m/>
    <m/>
    <s v="STOCK"/>
    <n v="36.015000000000001"/>
    <n v="36.015000000000001"/>
    <s v="MKT"/>
    <n v="-300"/>
    <n v="-10930.54"/>
    <n v="36.435133333333333"/>
    <s v=""/>
  </r>
  <r>
    <x v="562"/>
    <x v="55"/>
    <s v="Thursday"/>
    <d v="1899-12-30T12:22:02"/>
    <s v="STOCK"/>
    <s v="BUY"/>
    <n v="100"/>
    <s v="TO CLOSE"/>
    <x v="2"/>
    <m/>
    <m/>
    <s v="STOCK"/>
    <n v="35.880000000000003"/>
    <n v="35.880000000000003"/>
    <s v="LMT"/>
    <n v="-200"/>
    <n v="-7342.5400000000009"/>
    <n v="36.712700000000005"/>
    <s v=""/>
  </r>
  <r>
    <x v="562"/>
    <x v="55"/>
    <s v="Thursday"/>
    <d v="1899-12-30T12:25:53"/>
    <s v="STOCK"/>
    <s v="BUY"/>
    <n v="100"/>
    <s v="TO CLOSE"/>
    <x v="2"/>
    <m/>
    <m/>
    <s v="STOCK"/>
    <n v="36.045000000000002"/>
    <n v="36.045000000000002"/>
    <s v="LMT"/>
    <n v="-100"/>
    <n v="-3738.0400000000009"/>
    <n v="37.380400000000009"/>
    <s v=""/>
  </r>
  <r>
    <x v="562"/>
    <x v="55"/>
    <s v="Thursday"/>
    <d v="1899-12-30T12:32:55"/>
    <s v="STOCK"/>
    <s v="BUY"/>
    <n v="100"/>
    <s v="TO CLOSE"/>
    <x v="2"/>
    <m/>
    <m/>
    <s v="STOCK"/>
    <n v="36.174999999999997"/>
    <n v="36.174999999999997"/>
    <s v="MKT"/>
    <n v="0"/>
    <n v="0"/>
    <s v=""/>
    <n v="120.54000000000116"/>
  </r>
  <r>
    <x v="563"/>
    <x v="55"/>
    <s v="Thursday"/>
    <d v="1899-12-30T14:06:24"/>
    <s v="STOCK"/>
    <s v="SELL"/>
    <n v="-2"/>
    <s v="TO OPEN"/>
    <x v="2"/>
    <m/>
    <m/>
    <s v="STOCK"/>
    <n v="36.200000000000003"/>
    <n v="36.200000000000003"/>
    <s v="LMT"/>
    <n v="-2"/>
    <n v="-72.400000000000006"/>
    <n v="36.200000000000003"/>
    <s v=""/>
  </r>
  <r>
    <x v="563"/>
    <x v="55"/>
    <s v="Thursday"/>
    <d v="1899-12-30T14:06:24"/>
    <s v="STOCK"/>
    <s v="SELL"/>
    <n v="-298"/>
    <s v="TO OPEN"/>
    <x v="2"/>
    <m/>
    <m/>
    <s v="STOCK"/>
    <n v="36.200000000000003"/>
    <n v="36.200000000000003"/>
    <s v="LMT"/>
    <n v="-300"/>
    <n v="-10860"/>
    <n v="36.200000000000003"/>
    <s v=""/>
  </r>
  <r>
    <x v="563"/>
    <x v="55"/>
    <s v="Thursday"/>
    <d v="1899-12-30T14:23:55"/>
    <s v="STOCK"/>
    <s v="BUY"/>
    <n v="99"/>
    <s v="TO CLOSE"/>
    <x v="2"/>
    <m/>
    <m/>
    <s v="STOCK"/>
    <n v="36.43"/>
    <n v="36.43"/>
    <s v="STP"/>
    <n v="-201"/>
    <n v="-7253.43"/>
    <n v="36.086716417910452"/>
    <s v=""/>
  </r>
  <r>
    <x v="563"/>
    <x v="55"/>
    <s v="Thursday"/>
    <d v="1899-12-30T14:23:55"/>
    <s v="STOCK"/>
    <s v="BUY"/>
    <n v="1"/>
    <s v="TO CLOSE"/>
    <x v="2"/>
    <m/>
    <m/>
    <s v="STOCK"/>
    <n v="36.43"/>
    <n v="36.43"/>
    <s v="STP"/>
    <n v="-200"/>
    <n v="-7217"/>
    <n v="36.085000000000001"/>
    <s v=""/>
  </r>
  <r>
    <x v="563"/>
    <x v="55"/>
    <s v="Thursday"/>
    <d v="1899-12-30T14:23:55"/>
    <s v="STOCK"/>
    <s v="BUY"/>
    <n v="200"/>
    <s v="TO CLOSE"/>
    <x v="2"/>
    <m/>
    <m/>
    <s v="STOCK"/>
    <n v="36.429000000000002"/>
    <n v="36.429000000000002"/>
    <s v="STP"/>
    <n v="0"/>
    <n v="0"/>
    <s v=""/>
    <n v="-68.800000000000239"/>
  </r>
  <r>
    <x v="564"/>
    <x v="55"/>
    <s v="Thursday"/>
    <d v="1899-12-30T14:27:56"/>
    <s v="STOCK"/>
    <s v="SELL"/>
    <n v="-300"/>
    <s v="TO OPEN"/>
    <x v="2"/>
    <m/>
    <m/>
    <s v="STOCK"/>
    <n v="36.43"/>
    <n v="36.43"/>
    <s v="LMT"/>
    <n v="-300"/>
    <n v="-10929"/>
    <n v="36.43"/>
    <s v=""/>
  </r>
  <r>
    <x v="564"/>
    <x v="55"/>
    <s v="Thursday"/>
    <d v="1899-12-30T14:30:40"/>
    <s v="STOCK"/>
    <s v="BUY"/>
    <n v="300"/>
    <s v="TO CLOSE"/>
    <x v="2"/>
    <m/>
    <m/>
    <s v="STOCK"/>
    <n v="36.579000000000001"/>
    <n v="36.579000000000001"/>
    <s v="STP"/>
    <n v="0"/>
    <n v="0"/>
    <s v=""/>
    <n v="-44.700000000000273"/>
  </r>
  <r>
    <x v="565"/>
    <x v="55"/>
    <s v="Thursday"/>
    <d v="1899-12-30T14:39:04"/>
    <s v="STOCK"/>
    <s v="SELL"/>
    <n v="-400"/>
    <s v="TO OPEN"/>
    <x v="2"/>
    <m/>
    <m/>
    <s v="STOCK"/>
    <n v="36.4801"/>
    <n v="36.4801"/>
    <s v="MKT"/>
    <n v="-400"/>
    <n v="-14592.04"/>
    <n v="36.4801"/>
    <s v=""/>
  </r>
  <r>
    <x v="565"/>
    <x v="55"/>
    <s v="Thursday"/>
    <d v="1899-12-30T14:44:33"/>
    <s v="STOCK"/>
    <s v="BUY"/>
    <n v="400"/>
    <s v="TO CLOSE"/>
    <x v="2"/>
    <m/>
    <m/>
    <s v="STOCK"/>
    <n v="36.4"/>
    <n v="36.4"/>
    <s v="LMT"/>
    <n v="0"/>
    <n v="0"/>
    <s v=""/>
    <n v="32.040000000000646"/>
  </r>
  <r>
    <x v="566"/>
    <x v="55"/>
    <s v="Thursday"/>
    <d v="1899-12-30T14:52:31"/>
    <s v="STOCK"/>
    <s v="SELL"/>
    <n v="-100"/>
    <s v="TO OPEN"/>
    <x v="2"/>
    <m/>
    <m/>
    <s v="STOCK"/>
    <n v="36.295000000000002"/>
    <n v="36.295000000000002"/>
    <s v="MKT"/>
    <n v="-100"/>
    <n v="-3629.5"/>
    <n v="36.295000000000002"/>
    <s v=""/>
  </r>
  <r>
    <x v="566"/>
    <x v="55"/>
    <s v="Thursday"/>
    <d v="1899-12-30T14:52:31"/>
    <s v="STOCK"/>
    <s v="SELL"/>
    <n v="-100"/>
    <s v="TO OPEN"/>
    <x v="2"/>
    <m/>
    <m/>
    <s v="STOCK"/>
    <n v="36.295000000000002"/>
    <n v="36.295000000000002"/>
    <s v="MKT"/>
    <n v="-200"/>
    <n v="-7259"/>
    <n v="36.295000000000002"/>
    <s v=""/>
  </r>
  <r>
    <x v="566"/>
    <x v="55"/>
    <s v="Thursday"/>
    <d v="1899-12-30T14:52:31"/>
    <s v="STOCK"/>
    <s v="SELL"/>
    <n v="-100"/>
    <s v="TO OPEN"/>
    <x v="2"/>
    <m/>
    <m/>
    <s v="STOCK"/>
    <n v="36.295000000000002"/>
    <n v="36.295000000000002"/>
    <s v="MKT"/>
    <n v="-300"/>
    <n v="-10888.5"/>
    <n v="36.295000000000002"/>
    <s v=""/>
  </r>
  <r>
    <x v="566"/>
    <x v="55"/>
    <s v="Thursday"/>
    <d v="1899-12-30T14:52:31"/>
    <s v="STOCK"/>
    <s v="SELL"/>
    <n v="-100"/>
    <s v="TO OPEN"/>
    <x v="2"/>
    <m/>
    <m/>
    <s v="STOCK"/>
    <n v="36.295000000000002"/>
    <n v="36.295000000000002"/>
    <s v="MKT"/>
    <n v="-400"/>
    <n v="-14518"/>
    <n v="36.295000000000002"/>
    <s v=""/>
  </r>
  <r>
    <x v="566"/>
    <x v="55"/>
    <s v="Thursday"/>
    <d v="1899-12-30T15:02:21"/>
    <s v="STOCK"/>
    <s v="BUY"/>
    <n v="100"/>
    <s v="TO CLOSE"/>
    <x v="2"/>
    <m/>
    <m/>
    <s v="STOCK"/>
    <n v="36.204999999999998"/>
    <n v="36.204999999999998"/>
    <s v="MKT"/>
    <n v="-300"/>
    <n v="-10897.5"/>
    <n v="36.325000000000003"/>
    <s v=""/>
  </r>
  <r>
    <x v="566"/>
    <x v="55"/>
    <s v="Thursday"/>
    <d v="1899-12-30T15:03:47"/>
    <s v="STOCK"/>
    <s v="BUY"/>
    <n v="100"/>
    <s v="TO CLOSE"/>
    <x v="2"/>
    <m/>
    <m/>
    <s v="STOCK"/>
    <n v="36.157600000000002"/>
    <n v="36.157600000000002"/>
    <s v="LMT"/>
    <n v="-200"/>
    <n v="-7281.74"/>
    <n v="36.408699999999996"/>
    <s v=""/>
  </r>
  <r>
    <x v="566"/>
    <x v="55"/>
    <s v="Thursday"/>
    <d v="1899-12-30T15:05:18"/>
    <s v="STOCK"/>
    <s v="BUY"/>
    <n v="100"/>
    <s v="TO CLOSE"/>
    <x v="2"/>
    <m/>
    <m/>
    <s v="STOCK"/>
    <n v="36.11"/>
    <n v="36.11"/>
    <s v="LMT"/>
    <n v="-100"/>
    <n v="-3670.74"/>
    <n v="36.7074"/>
    <s v=""/>
  </r>
  <r>
    <x v="566"/>
    <x v="55"/>
    <s v="Thursday"/>
    <d v="1899-12-30T15:06:39"/>
    <s v="STOCK"/>
    <s v="BUY"/>
    <n v="100"/>
    <s v="TO CLOSE"/>
    <x v="2"/>
    <m/>
    <m/>
    <s v="STOCK"/>
    <n v="35.9"/>
    <n v="35.9"/>
    <s v="LMT"/>
    <n v="0"/>
    <n v="0"/>
    <s v=""/>
    <n v="80.740000000000123"/>
  </r>
  <r>
    <x v="567"/>
    <x v="56"/>
    <s v="Friday"/>
    <d v="1899-12-30T13:13:56"/>
    <s v="FUTURE"/>
    <s v="BUY"/>
    <n v="1"/>
    <s v="TO OPEN"/>
    <x v="6"/>
    <d v="2020-08-20T00:00:00"/>
    <m/>
    <s v="FUTURE"/>
    <n v="38.450000000000003"/>
    <n v="38.450000000000003"/>
    <s v="LMT"/>
    <n v="1"/>
    <n v="38450"/>
    <n v="38.450000000000003"/>
    <s v=""/>
  </r>
  <r>
    <x v="567"/>
    <x v="56"/>
    <s v="Friday"/>
    <d v="1899-12-30T14:29:03"/>
    <s v="FUTURE"/>
    <s v="SELL"/>
    <n v="-1"/>
    <s v="TO CLOSE"/>
    <x v="6"/>
    <d v="2020-08-20T00:00:00"/>
    <m/>
    <s v="FUTURE"/>
    <n v="38.57"/>
    <n v="38.57"/>
    <s v="LMT"/>
    <n v="0"/>
    <n v="0"/>
    <s v=""/>
    <n v="119.99999999999744"/>
  </r>
  <r>
    <x v="568"/>
    <x v="56"/>
    <s v="Friday"/>
    <d v="1899-12-30T14:54:30"/>
    <s v="FUTURE"/>
    <s v="BUY"/>
    <n v="1"/>
    <s v="TO OPEN"/>
    <x v="7"/>
    <d v="2020-09-20T00:00:00"/>
    <m/>
    <s v="FUTURE"/>
    <n v="3006"/>
    <n v="3006"/>
    <s v="MKT"/>
    <n v="1"/>
    <n v="150300"/>
    <n v="3006"/>
    <s v=""/>
  </r>
  <r>
    <x v="568"/>
    <x v="56"/>
    <s v="Friday"/>
    <d v="1899-12-30T15:47:55"/>
    <s v="FUTURE"/>
    <s v="SELL"/>
    <n v="-1"/>
    <s v="TO CLOSE"/>
    <x v="7"/>
    <d v="2020-09-20T00:00:00"/>
    <m/>
    <s v="FUTURE"/>
    <n v="3011"/>
    <n v="3011"/>
    <s v="LMT"/>
    <n v="0"/>
    <n v="0"/>
    <s v=""/>
    <n v="250"/>
  </r>
  <r>
    <x v="569"/>
    <x v="56"/>
    <s v="Friday"/>
    <d v="1899-12-30T13:16:33"/>
    <s v="FUTURE"/>
    <s v="BUY"/>
    <n v="6"/>
    <s v="TO OPEN"/>
    <x v="8"/>
    <d v="2020-09-20T00:00:00"/>
    <m/>
    <s v="FUTURE"/>
    <n v="3019.5"/>
    <n v="3019.5"/>
    <s v="MKT"/>
    <n v="6"/>
    <n v="90585"/>
    <n v="3019.5"/>
    <s v=""/>
  </r>
  <r>
    <x v="569"/>
    <x v="56"/>
    <s v="Friday"/>
    <d v="1899-12-30T13:38:10"/>
    <s v="FUTURE"/>
    <s v="SELL"/>
    <n v="-2"/>
    <s v="TO CLOSE"/>
    <x v="8"/>
    <d v="2020-09-20T00:00:00"/>
    <m/>
    <s v="FUTURE"/>
    <n v="3024.25"/>
    <n v="3024.25"/>
    <s v="LMT"/>
    <n v="4"/>
    <n v="60342.5"/>
    <n v="3017.125"/>
    <s v=""/>
  </r>
  <r>
    <x v="569"/>
    <x v="56"/>
    <s v="Friday"/>
    <d v="1899-12-30T14:02:39"/>
    <s v="FUTURE"/>
    <s v="BUY"/>
    <n v="1"/>
    <s v="TO OPEN"/>
    <x v="8"/>
    <d v="2020-09-20T00:00:00"/>
    <m/>
    <s v="FUTURE"/>
    <n v="3017.5"/>
    <n v="3017.5"/>
    <s v="MKT"/>
    <n v="5"/>
    <n v="75430"/>
    <n v="3017.2"/>
    <s v=""/>
  </r>
  <r>
    <x v="569"/>
    <x v="56"/>
    <s v="Friday"/>
    <d v="1899-12-30T14:32:48"/>
    <s v="FUTURE"/>
    <s v="BUY"/>
    <n v="1"/>
    <s v="TO OPEN"/>
    <x v="8"/>
    <d v="2020-09-20T00:00:00"/>
    <m/>
    <s v="FUTURE"/>
    <n v="3008.75"/>
    <n v="3008.75"/>
    <s v="MKT"/>
    <n v="6"/>
    <n v="90473.75"/>
    <n v="3015.791666666667"/>
    <s v=""/>
  </r>
  <r>
    <x v="569"/>
    <x v="56"/>
    <s v="Friday"/>
    <d v="1899-12-30T15:59:59"/>
    <s v="FUTURE"/>
    <s v="SELL"/>
    <n v="-6"/>
    <s v="TO CLOSE"/>
    <x v="8"/>
    <d v="2020-09-20T00:00:00"/>
    <m/>
    <s v="FUTURE"/>
    <n v="3000"/>
    <n v="3000"/>
    <s v="LMT"/>
    <n v="0"/>
    <n v="0"/>
    <s v=""/>
    <n v="-473.75000000000909"/>
  </r>
  <r>
    <x v="570"/>
    <x v="56"/>
    <s v="Friday"/>
    <d v="1899-12-30T13:15:33"/>
    <s v="STOCK"/>
    <s v="SELL"/>
    <n v="-300"/>
    <s v="TO OPEN"/>
    <x v="2"/>
    <m/>
    <m/>
    <s v="STOCK"/>
    <n v="36.865000000000002"/>
    <n v="36.865000000000002"/>
    <s v="MKT"/>
    <n v="-300"/>
    <n v="-11059.5"/>
    <n v="36.865000000000002"/>
    <s v=""/>
  </r>
  <r>
    <x v="570"/>
    <x v="56"/>
    <s v="Friday"/>
    <d v="1899-12-30T14:10:31"/>
    <s v="STOCK"/>
    <s v="SELL"/>
    <n v="-100"/>
    <s v="TO OPEN"/>
    <x v="2"/>
    <m/>
    <m/>
    <s v="STOCK"/>
    <n v="37.195"/>
    <n v="37.195"/>
    <s v="LMT"/>
    <n v="-400"/>
    <n v="-14779"/>
    <n v="36.947499999999998"/>
    <s v=""/>
  </r>
  <r>
    <x v="570"/>
    <x v="56"/>
    <s v="Friday"/>
    <d v="1899-12-30T16:00:55"/>
    <s v="STOCK"/>
    <s v="BUY"/>
    <n v="200"/>
    <s v="TO CLOSE"/>
    <x v="2"/>
    <m/>
    <m/>
    <s v="STOCK"/>
    <n v="37.414999999999999"/>
    <n v="37.414999999999999"/>
    <s v="LMT"/>
    <n v="-200"/>
    <n v="-7296"/>
    <n v="36.479999999999997"/>
    <s v=""/>
  </r>
  <r>
    <x v="570"/>
    <x v="56"/>
    <s v="Friday"/>
    <d v="1899-12-30T16:01:04"/>
    <s v="STOCK"/>
    <s v="BUY"/>
    <n v="200"/>
    <s v="TO CLOSE"/>
    <x v="2"/>
    <m/>
    <m/>
    <s v="STOCK"/>
    <n v="37.479999999999997"/>
    <n v="37.479999999999997"/>
    <s v="LMT"/>
    <n v="0"/>
    <n v="0"/>
    <s v=""/>
    <n v="-200"/>
  </r>
  <r>
    <x v="571"/>
    <x v="57"/>
    <s v="Tuesday"/>
    <d v="1899-12-30T11:44:34"/>
    <s v="FUTURE"/>
    <s v="BUY"/>
    <n v="1"/>
    <s v="TO OPEN"/>
    <x v="6"/>
    <d v="2020-08-20T00:00:00"/>
    <m/>
    <s v="FUTURE"/>
    <n v="39.76"/>
    <n v="39.76"/>
    <s v="LMT"/>
    <n v="1"/>
    <n v="39760"/>
    <n v="39.76"/>
    <s v=""/>
  </r>
  <r>
    <x v="571"/>
    <x v="57"/>
    <s v="Tuesday"/>
    <d v="1899-12-30T12:00:19"/>
    <s v="FUTURE"/>
    <s v="BUY"/>
    <n v="1"/>
    <s v="TO OPEN"/>
    <x v="6"/>
    <d v="2020-08-20T00:00:00"/>
    <m/>
    <s v="FUTURE"/>
    <n v="39.590000000000003"/>
    <n v="39.590000000000003"/>
    <s v="MKT"/>
    <n v="2"/>
    <n v="79350"/>
    <n v="39.674999999999997"/>
    <s v=""/>
  </r>
  <r>
    <x v="571"/>
    <x v="57"/>
    <s v="Tuesday"/>
    <d v="1899-12-30T12:27:02"/>
    <s v="FUTURE"/>
    <s v="SELL"/>
    <n v="-1"/>
    <s v="TO CLOSE"/>
    <x v="6"/>
    <d v="2020-08-20T00:00:00"/>
    <m/>
    <s v="FUTURE"/>
    <n v="39.69"/>
    <n v="39.69"/>
    <s v="LMT"/>
    <n v="1"/>
    <n v="39660"/>
    <n v="39.659999999999997"/>
    <s v=""/>
  </r>
  <r>
    <x v="571"/>
    <x v="57"/>
    <s v="Tuesday"/>
    <d v="1899-12-30T13:05:32"/>
    <s v="FUTURE"/>
    <s v="SELL"/>
    <n v="-1"/>
    <s v="TO CLOSE"/>
    <x v="6"/>
    <d v="2020-08-20T00:00:00"/>
    <m/>
    <s v="FUTURE"/>
    <n v="39.76"/>
    <n v="39.76"/>
    <s v="LMT"/>
    <n v="0"/>
    <n v="0"/>
    <s v=""/>
    <n v="100.00000000000142"/>
  </r>
  <r>
    <x v="572"/>
    <x v="58"/>
    <s v="Monday"/>
    <d v="1899-12-30T11:31:50"/>
    <s v="FUTURE"/>
    <s v="BUY"/>
    <n v="1"/>
    <s v="TO OPEN"/>
    <x v="6"/>
    <d v="2020-08-20T00:00:00"/>
    <m/>
    <s v="FUTURE"/>
    <n v="40.98"/>
    <n v="40.98"/>
    <s v="MKT"/>
    <n v="1"/>
    <n v="40980"/>
    <n v="40.98"/>
    <s v=""/>
  </r>
  <r>
    <x v="572"/>
    <x v="58"/>
    <s v="Monday"/>
    <d v="1899-12-30T11:35:31"/>
    <s v="FUTURE"/>
    <s v="SELL"/>
    <n v="-1"/>
    <s v="TO CLOSE"/>
    <x v="6"/>
    <d v="2020-08-20T00:00:00"/>
    <m/>
    <s v="FUTURE"/>
    <n v="41"/>
    <n v="41"/>
    <s v="LMT"/>
    <n v="0"/>
    <n v="0"/>
    <s v=""/>
    <n v="20.000000000003126"/>
  </r>
  <r>
    <x v="573"/>
    <x v="58"/>
    <s v="Monday"/>
    <d v="1899-12-30T11:57:53"/>
    <s v="FUTURE"/>
    <s v="SELL"/>
    <n v="-1"/>
    <s v="TO OPEN"/>
    <x v="6"/>
    <d v="2020-08-20T00:00:00"/>
    <m/>
    <s v="FUTURE"/>
    <n v="40.71"/>
    <n v="40.71"/>
    <s v="LMT"/>
    <n v="-1"/>
    <n v="-40710"/>
    <n v="40.71"/>
    <s v=""/>
  </r>
  <r>
    <x v="573"/>
    <x v="58"/>
    <s v="Monday"/>
    <d v="1899-12-30T11:59:46"/>
    <s v="FUTURE"/>
    <s v="BUY"/>
    <n v="1"/>
    <s v="TO CLOSE"/>
    <x v="6"/>
    <d v="2020-08-20T00:00:00"/>
    <m/>
    <s v="FUTURE"/>
    <n v="40.58"/>
    <n v="40.58"/>
    <s v="LMT"/>
    <n v="0"/>
    <n v="0"/>
    <s v=""/>
    <n v="130.00000000000256"/>
  </r>
  <r>
    <x v="574"/>
    <x v="58"/>
    <s v="Monday"/>
    <d v="1899-12-30T12:13:05"/>
    <s v="FUTURE"/>
    <s v="BUY"/>
    <n v="1"/>
    <s v="TO OPEN"/>
    <x v="6"/>
    <d v="2020-08-20T00:00:00"/>
    <m/>
    <s v="FUTURE"/>
    <n v="40.65"/>
    <n v="40.65"/>
    <s v="MKT"/>
    <n v="1"/>
    <n v="40650"/>
    <n v="40.65"/>
    <s v=""/>
  </r>
  <r>
    <x v="574"/>
    <x v="58"/>
    <s v="Monday"/>
    <d v="1899-12-30T12:35:34"/>
    <s v="FUTURE"/>
    <s v="BUY"/>
    <n v="1"/>
    <s v="TO OPEN"/>
    <x v="6"/>
    <d v="2020-08-20T00:00:00"/>
    <m/>
    <s v="FUTURE"/>
    <n v="40.409999999999997"/>
    <n v="40.409999999999997"/>
    <s v="LMT"/>
    <n v="2"/>
    <n v="81060"/>
    <n v="40.53"/>
    <s v=""/>
  </r>
  <r>
    <x v="574"/>
    <x v="58"/>
    <s v="Monday"/>
    <d v="1899-12-30T13:13:32"/>
    <s v="FUTURE"/>
    <s v="SELL"/>
    <n v="-1"/>
    <s v="TO CLOSE"/>
    <x v="6"/>
    <d v="2020-08-20T00:00:00"/>
    <m/>
    <s v="FUTURE"/>
    <n v="40.549999999999997"/>
    <n v="40.549999999999997"/>
    <s v="LMT"/>
    <n v="1"/>
    <n v="40510"/>
    <n v="40.51"/>
    <s v=""/>
  </r>
  <r>
    <x v="574"/>
    <x v="58"/>
    <s v="Monday"/>
    <d v="1899-12-30T13:14:08"/>
    <s v="FUTURE"/>
    <s v="SELL"/>
    <n v="-1"/>
    <s v="TO CLOSE"/>
    <x v="6"/>
    <d v="2020-08-20T00:00:00"/>
    <m/>
    <s v="FUTURE"/>
    <n v="40.53"/>
    <n v="40.53"/>
    <s v="LMT"/>
    <n v="0"/>
    <n v="0"/>
    <s v=""/>
    <n v="20.000000000003126"/>
  </r>
  <r>
    <x v="575"/>
    <x v="58"/>
    <s v="Monday"/>
    <d v="1899-12-30T10:01:54"/>
    <s v="FUTURE"/>
    <s v="BUY"/>
    <n v="1"/>
    <s v="TO OPEN"/>
    <x v="7"/>
    <d v="2020-09-20T00:00:00"/>
    <m/>
    <s v="FUTURE"/>
    <n v="3171.5"/>
    <n v="3171.5"/>
    <s v="MKT"/>
    <n v="1"/>
    <n v="158575"/>
    <n v="3171.5"/>
    <s v=""/>
  </r>
  <r>
    <x v="575"/>
    <x v="58"/>
    <s v="Monday"/>
    <d v="1899-12-30T10:06:37"/>
    <s v="FUTURE"/>
    <s v="SELL"/>
    <n v="-1"/>
    <s v="TO CLOSE"/>
    <x v="7"/>
    <d v="2020-09-20T00:00:00"/>
    <m/>
    <s v="FUTURE"/>
    <n v="3160.25"/>
    <n v="3160.25"/>
    <s v="STP"/>
    <n v="0"/>
    <n v="0"/>
    <s v=""/>
    <n v="-562.5"/>
  </r>
  <r>
    <x v="576"/>
    <x v="58"/>
    <s v="Monday"/>
    <d v="1899-12-30T10:07:23"/>
    <s v="FUTURE"/>
    <s v="SELL"/>
    <n v="-1"/>
    <s v="TO OPEN"/>
    <x v="7"/>
    <d v="2020-09-20T00:00:00"/>
    <m/>
    <s v="FUTURE"/>
    <n v="3160.75"/>
    <n v="3160.75"/>
    <s v="MKT"/>
    <n v="-1"/>
    <n v="-158037.5"/>
    <n v="3160.75"/>
    <s v=""/>
  </r>
  <r>
    <x v="576"/>
    <x v="58"/>
    <s v="Monday"/>
    <d v="1899-12-30T10:22:17"/>
    <s v="FUTURE"/>
    <s v="BUY"/>
    <n v="1"/>
    <s v="TO CLOSE"/>
    <x v="7"/>
    <d v="2020-09-20T00:00:00"/>
    <m/>
    <s v="FUTURE"/>
    <n v="3160.5"/>
    <n v="3160.5"/>
    <s v="STP"/>
    <n v="0"/>
    <n v="0"/>
    <s v=""/>
    <n v="12.5"/>
  </r>
  <r>
    <x v="577"/>
    <x v="58"/>
    <s v="Monday"/>
    <d v="1899-12-30T10:22:55"/>
    <s v="FUTURE"/>
    <s v="BUY"/>
    <n v="1"/>
    <s v="TO OPEN"/>
    <x v="7"/>
    <d v="2020-09-20T00:00:00"/>
    <m/>
    <s v="FUTURE"/>
    <n v="3160.25"/>
    <n v="3160.25"/>
    <s v="MKT"/>
    <n v="1"/>
    <n v="158012.5"/>
    <n v="3160.25"/>
    <s v=""/>
  </r>
  <r>
    <x v="577"/>
    <x v="58"/>
    <s v="Monday"/>
    <d v="1899-12-30T10:25:38"/>
    <s v="FUTURE"/>
    <s v="SELL"/>
    <n v="-1"/>
    <s v="TO CLOSE"/>
    <x v="7"/>
    <d v="2020-09-20T00:00:00"/>
    <m/>
    <s v="FUTURE"/>
    <n v="3155"/>
    <n v="3155"/>
    <s v="STP"/>
    <n v="0"/>
    <n v="0"/>
    <s v=""/>
    <n v="-262.5"/>
  </r>
  <r>
    <x v="578"/>
    <x v="58"/>
    <s v="Monday"/>
    <d v="1899-12-30T10:28:55"/>
    <s v="FUTURE"/>
    <s v="BUY"/>
    <n v="1"/>
    <s v="TO OPEN"/>
    <x v="7"/>
    <d v="2020-09-20T00:00:00"/>
    <m/>
    <s v="FUTURE"/>
    <n v="3159.75"/>
    <n v="3159.75"/>
    <s v="MKT"/>
    <n v="1"/>
    <n v="157987.5"/>
    <n v="3159.75"/>
    <s v=""/>
  </r>
  <r>
    <x v="578"/>
    <x v="58"/>
    <s v="Monday"/>
    <d v="1899-12-30T10:33:19"/>
    <s v="FUTURE"/>
    <s v="BUY"/>
    <n v="1"/>
    <s v="TO OPEN"/>
    <x v="7"/>
    <d v="2020-09-20T00:00:00"/>
    <m/>
    <s v="FUTURE"/>
    <n v="3163.75"/>
    <n v="3163.75"/>
    <s v="STP"/>
    <n v="2"/>
    <n v="316175"/>
    <n v="3161.75"/>
    <s v=""/>
  </r>
  <r>
    <x v="578"/>
    <x v="58"/>
    <s v="Monday"/>
    <d v="1899-12-30T10:39:25"/>
    <s v="FUTURE"/>
    <s v="SELL"/>
    <n v="-1"/>
    <s v="TO CLOSE"/>
    <x v="7"/>
    <d v="2020-09-20T00:00:00"/>
    <m/>
    <s v="FUTURE"/>
    <n v="3161.75"/>
    <n v="3161.75"/>
    <s v="LMT"/>
    <n v="1"/>
    <n v="158087.5"/>
    <n v="3161.75"/>
    <s v=""/>
  </r>
  <r>
    <x v="578"/>
    <x v="58"/>
    <s v="Monday"/>
    <d v="1899-12-30T10:40:45"/>
    <s v="FUTURE"/>
    <s v="BUY"/>
    <n v="1"/>
    <s v="TO OPEN"/>
    <x v="7"/>
    <d v="2020-09-20T00:00:00"/>
    <m/>
    <s v="FUTURE"/>
    <n v="3164.25"/>
    <n v="3164.25"/>
    <s v="STP"/>
    <n v="2"/>
    <n v="316300"/>
    <n v="3163"/>
    <s v=""/>
  </r>
  <r>
    <x v="578"/>
    <x v="58"/>
    <s v="Monday"/>
    <d v="1899-12-30T10:47:56"/>
    <s v="FUTURE"/>
    <s v="SELL"/>
    <n v="-1"/>
    <s v="TO CLOSE"/>
    <x v="7"/>
    <d v="2020-09-20T00:00:00"/>
    <m/>
    <s v="FUTURE"/>
    <n v="3167"/>
    <n v="3167"/>
    <s v="LMT"/>
    <n v="1"/>
    <n v="157950"/>
    <n v="3159"/>
    <s v=""/>
  </r>
  <r>
    <x v="578"/>
    <x v="58"/>
    <s v="Monday"/>
    <d v="1899-12-30T11:05:54"/>
    <s v="FUTURE"/>
    <s v="SELL"/>
    <n v="-1"/>
    <s v="TO CLOSE"/>
    <x v="7"/>
    <d v="2020-09-20T00:00:00"/>
    <m/>
    <s v="FUTURE"/>
    <n v="3169.25"/>
    <n v="3169.25"/>
    <s v="LMT"/>
    <n v="0"/>
    <n v="0"/>
    <s v=""/>
    <n v="512.5"/>
  </r>
  <r>
    <x v="579"/>
    <x v="58"/>
    <s v="Monday"/>
    <d v="1899-12-30T12:09:08"/>
    <s v="FUTURE"/>
    <s v="BUY"/>
    <n v="1"/>
    <s v="TO OPEN"/>
    <x v="7"/>
    <d v="2020-09-20T00:00:00"/>
    <m/>
    <s v="FUTURE"/>
    <n v="3163"/>
    <n v="3163"/>
    <s v="MKT"/>
    <n v="1"/>
    <n v="158150"/>
    <n v="3163"/>
    <s v=""/>
  </r>
  <r>
    <x v="579"/>
    <x v="58"/>
    <s v="Monday"/>
    <d v="1899-12-30T12:09:48"/>
    <s v="FUTURE"/>
    <s v="SELL"/>
    <n v="-1"/>
    <s v="TO CLOSE"/>
    <x v="7"/>
    <d v="2020-09-20T00:00:00"/>
    <m/>
    <s v="FUTURE"/>
    <n v="3163.5"/>
    <n v="3163.5"/>
    <s v="LMT"/>
    <n v="0"/>
    <n v="0"/>
    <s v=""/>
    <n v="25"/>
  </r>
  <r>
    <x v="580"/>
    <x v="58"/>
    <s v="Monday"/>
    <d v="1899-12-30T14:35:57"/>
    <s v="FUTURE"/>
    <s v="BUY"/>
    <n v="1"/>
    <s v="TO OPEN"/>
    <x v="7"/>
    <d v="2020-09-20T00:00:00"/>
    <m/>
    <s v="FUTURE"/>
    <n v="3163"/>
    <n v="3163"/>
    <s v="MKT"/>
    <n v="1"/>
    <n v="158150"/>
    <n v="3163"/>
    <s v=""/>
  </r>
  <r>
    <x v="580"/>
    <x v="58"/>
    <s v="Monday"/>
    <d v="1899-12-30T15:36:47"/>
    <s v="FUTURE"/>
    <s v="SELL"/>
    <n v="-1"/>
    <s v="TO CLOSE"/>
    <x v="7"/>
    <d v="2020-09-20T00:00:00"/>
    <m/>
    <s v="FUTURE"/>
    <n v="3164"/>
    <n v="3164"/>
    <s v="STP"/>
    <n v="0"/>
    <n v="0"/>
    <s v=""/>
    <n v="50"/>
  </r>
  <r>
    <x v="581"/>
    <x v="58"/>
    <s v="Monday"/>
    <d v="1899-12-30T12:17:54"/>
    <s v="FUTURE"/>
    <s v="BUY"/>
    <n v="4"/>
    <s v="TO OPEN"/>
    <x v="8"/>
    <d v="2020-09-20T00:00:00"/>
    <m/>
    <s v="FUTURE"/>
    <n v="3163.25"/>
    <n v="3163.25"/>
    <s v="MKT"/>
    <n v="4"/>
    <n v="63265"/>
    <n v="3163.25"/>
    <s v=""/>
  </r>
  <r>
    <x v="581"/>
    <x v="58"/>
    <s v="Monday"/>
    <d v="1899-12-30T12:20:11"/>
    <s v="FUTURE"/>
    <s v="BUY"/>
    <n v="1"/>
    <s v="TO OPEN"/>
    <x v="8"/>
    <d v="2020-09-20T00:00:00"/>
    <m/>
    <s v="FUTURE"/>
    <n v="3162"/>
    <n v="3162"/>
    <s v="LMT"/>
    <n v="5"/>
    <n v="79075"/>
    <n v="3163"/>
    <s v=""/>
  </r>
  <r>
    <x v="581"/>
    <x v="58"/>
    <s v="Monday"/>
    <d v="1899-12-30T12:55:00"/>
    <s v="FUTURE"/>
    <s v="SELL"/>
    <n v="-2"/>
    <s v="TO CLOSE"/>
    <x v="8"/>
    <d v="2020-09-20T00:00:00"/>
    <m/>
    <s v="FUTURE"/>
    <n v="3164.5"/>
    <n v="3164.5"/>
    <s v="LMT"/>
    <n v="3"/>
    <n v="47430"/>
    <n v="3162"/>
    <s v=""/>
  </r>
  <r>
    <x v="581"/>
    <x v="58"/>
    <s v="Monday"/>
    <d v="1899-12-30T12:56:07"/>
    <s v="FUTURE"/>
    <s v="SELL"/>
    <n v="-3"/>
    <s v="TO CLOSE"/>
    <x v="8"/>
    <d v="2020-09-20T00:00:00"/>
    <m/>
    <s v="FUTURE"/>
    <n v="3163.75"/>
    <n v="3163.75"/>
    <s v="LMT"/>
    <n v="0"/>
    <n v="0"/>
    <s v=""/>
    <n v="26.25"/>
  </r>
  <r>
    <x v="582"/>
    <x v="58"/>
    <s v="Monday"/>
    <d v="1899-12-30T10:28:45"/>
    <s v="STOCK"/>
    <s v="SELL"/>
    <n v="-100"/>
    <s v="TO OPEN"/>
    <x v="2"/>
    <m/>
    <m/>
    <s v="STOCK"/>
    <n v="31.802399999999999"/>
    <n v="31.802399999999999"/>
    <s v="MKT"/>
    <n v="-100"/>
    <n v="-3180.24"/>
    <n v="31.802399999999999"/>
    <s v=""/>
  </r>
  <r>
    <x v="582"/>
    <x v="58"/>
    <s v="Monday"/>
    <d v="1899-12-30T10:30:14"/>
    <s v="STOCK"/>
    <s v="SELL"/>
    <n v="-100"/>
    <s v="TO OPEN"/>
    <x v="2"/>
    <m/>
    <m/>
    <s v="STOCK"/>
    <n v="31.84"/>
    <n v="31.84"/>
    <s v="LMT"/>
    <n v="-200"/>
    <n v="-6364.24"/>
    <n v="31.821199999999997"/>
    <s v=""/>
  </r>
  <r>
    <x v="582"/>
    <x v="58"/>
    <s v="Monday"/>
    <d v="1899-12-30T10:54:01"/>
    <s v="STOCK"/>
    <s v="BUY"/>
    <n v="200"/>
    <s v="TO CLOSE"/>
    <x v="2"/>
    <m/>
    <m/>
    <s v="STOCK"/>
    <n v="31.684999999999999"/>
    <n v="31.684999999999999"/>
    <s v="MKT"/>
    <n v="0"/>
    <n v="0"/>
    <s v=""/>
    <n v="27.239999999999753"/>
  </r>
  <r>
    <x v="583"/>
    <x v="58"/>
    <s v="Monday"/>
    <d v="1899-12-30T14:57:22"/>
    <s v="STOCK"/>
    <s v="SELL"/>
    <n v="-100"/>
    <s v="TO OPEN"/>
    <x v="2"/>
    <m/>
    <m/>
    <s v="STOCK"/>
    <n v="32.445"/>
    <n v="32.445"/>
    <s v="LMT"/>
    <n v="-100"/>
    <n v="-3244.5"/>
    <n v="32.445"/>
    <s v=""/>
  </r>
  <r>
    <x v="583"/>
    <x v="58"/>
    <s v="Monday"/>
    <d v="1899-12-30T14:57:22"/>
    <s v="STOCK"/>
    <s v="SELL"/>
    <n v="-200"/>
    <s v="TO OPEN"/>
    <x v="2"/>
    <m/>
    <m/>
    <s v="STOCK"/>
    <n v="32.445"/>
    <n v="32.445"/>
    <s v="LMT"/>
    <n v="-300"/>
    <n v="-9733.5"/>
    <n v="32.445"/>
    <s v=""/>
  </r>
  <r>
    <x v="583"/>
    <x v="58"/>
    <s v="Monday"/>
    <d v="1899-12-30T15:05:15"/>
    <s v="STOCK"/>
    <s v="SELL"/>
    <n v="-100"/>
    <s v="TO OPEN"/>
    <x v="2"/>
    <m/>
    <m/>
    <s v="STOCK"/>
    <n v="32.56"/>
    <n v="32.56"/>
    <s v="MKT"/>
    <n v="-400"/>
    <n v="-12989.5"/>
    <n v="32.473750000000003"/>
    <s v=""/>
  </r>
  <r>
    <x v="583"/>
    <x v="58"/>
    <s v="Monday"/>
    <d v="1899-12-30T15:47:57"/>
    <s v="STOCK"/>
    <s v="BUY"/>
    <n v="150"/>
    <s v="TO CLOSE"/>
    <x v="2"/>
    <m/>
    <m/>
    <s v="STOCK"/>
    <n v="32.47"/>
    <n v="32.47"/>
    <s v="LMT"/>
    <n v="-250"/>
    <n v="-8119"/>
    <n v="32.475999999999999"/>
    <s v=""/>
  </r>
  <r>
    <x v="583"/>
    <x v="58"/>
    <s v="Monday"/>
    <d v="1899-12-30T15:47:57"/>
    <s v="STOCK"/>
    <s v="BUY"/>
    <n v="250"/>
    <s v="TO CLOSE"/>
    <x v="2"/>
    <m/>
    <m/>
    <s v="STOCK"/>
    <n v="32.47"/>
    <n v="32.47"/>
    <s v="LMT"/>
    <n v="0"/>
    <n v="0"/>
    <s v=""/>
    <n v="1.5000000000000568"/>
  </r>
  <r>
    <x v="584"/>
    <x v="59"/>
    <s v="Tuesday"/>
    <d v="1899-12-30T09:17:34"/>
    <s v="FUTURE"/>
    <s v="SELL"/>
    <n v="-1"/>
    <s v="TO OPEN"/>
    <x v="6"/>
    <d v="2020-08-20T00:00:00"/>
    <m/>
    <s v="FUTURE"/>
    <n v="40.25"/>
    <n v="40.25"/>
    <s v="MKT"/>
    <n v="-1"/>
    <n v="-40250"/>
    <n v="40.25"/>
    <s v=""/>
  </r>
  <r>
    <x v="584"/>
    <x v="59"/>
    <s v="Tuesday"/>
    <d v="1899-12-30T09:36:41"/>
    <s v="FUTURE"/>
    <s v="BUY"/>
    <n v="1"/>
    <s v="TO CLOSE"/>
    <x v="6"/>
    <d v="2020-08-20T00:00:00"/>
    <m/>
    <s v="FUTURE"/>
    <n v="40.25"/>
    <n v="40.25"/>
    <s v="LMT"/>
    <n v="0"/>
    <n v="0"/>
    <s v=""/>
    <n v="0"/>
  </r>
  <r>
    <x v="585"/>
    <x v="59"/>
    <s v="Tuesday"/>
    <d v="1899-12-30T09:38:09"/>
    <s v="FUTURE"/>
    <s v="SELL"/>
    <n v="-2"/>
    <s v="TO OPEN"/>
    <x v="6"/>
    <d v="2020-08-20T00:00:00"/>
    <m/>
    <s v="FUTURE"/>
    <n v="40.28"/>
    <n v="40.28"/>
    <s v="MKT"/>
    <n v="-2"/>
    <n v="-80560"/>
    <n v="40.28"/>
    <s v=""/>
  </r>
  <r>
    <x v="585"/>
    <x v="59"/>
    <s v="Tuesday"/>
    <d v="1899-12-30T09:39:14"/>
    <s v="FUTURE"/>
    <s v="BUY"/>
    <n v="1"/>
    <s v="TO CLOSE"/>
    <x v="6"/>
    <d v="2020-08-20T00:00:00"/>
    <m/>
    <s v="FUTURE"/>
    <n v="40.26"/>
    <n v="40.26"/>
    <s v="LMT"/>
    <n v="-1"/>
    <n v="-40300"/>
    <n v="40.299999999999997"/>
    <s v=""/>
  </r>
  <r>
    <x v="585"/>
    <x v="59"/>
    <s v="Tuesday"/>
    <d v="1899-12-30T09:39:46"/>
    <s v="FUTURE"/>
    <s v="BUY"/>
    <n v="1"/>
    <s v="TO CLOSE"/>
    <x v="6"/>
    <d v="2020-08-20T00:00:00"/>
    <m/>
    <s v="FUTURE"/>
    <n v="40.26"/>
    <n v="40.26"/>
    <s v="LMT"/>
    <n v="0"/>
    <n v="0"/>
    <s v=""/>
    <n v="39.999999999999147"/>
  </r>
  <r>
    <x v="586"/>
    <x v="59"/>
    <s v="Tuesday"/>
    <d v="1899-12-30T09:41:23"/>
    <s v="FUTURE"/>
    <s v="SELL"/>
    <n v="-1"/>
    <s v="TO OPEN"/>
    <x v="6"/>
    <d v="2020-08-20T00:00:00"/>
    <m/>
    <s v="FUTURE"/>
    <n v="40.28"/>
    <n v="40.28"/>
    <s v="MKT"/>
    <n v="-1"/>
    <n v="-40280"/>
    <n v="40.28"/>
    <s v=""/>
  </r>
  <r>
    <x v="586"/>
    <x v="59"/>
    <s v="Tuesday"/>
    <d v="1899-12-30T09:45:30"/>
    <s v="FUTURE"/>
    <s v="BUY"/>
    <n v="1"/>
    <s v="TO CLOSE"/>
    <x v="6"/>
    <d v="2020-08-20T00:00:00"/>
    <m/>
    <s v="FUTURE"/>
    <n v="40.35"/>
    <n v="40.35"/>
    <s v="STP"/>
    <n v="0"/>
    <n v="0"/>
    <s v=""/>
    <n v="-70.000000000000284"/>
  </r>
  <r>
    <x v="587"/>
    <x v="59"/>
    <s v="Tuesday"/>
    <d v="1899-12-30T09:47:00"/>
    <s v="FUTURE"/>
    <s v="BUY"/>
    <n v="1"/>
    <s v="TO OPEN"/>
    <x v="6"/>
    <d v="2020-08-20T00:00:00"/>
    <m/>
    <s v="FUTURE"/>
    <n v="40.42"/>
    <n v="40.42"/>
    <s v="MKT"/>
    <n v="1"/>
    <n v="40420"/>
    <n v="40.42"/>
    <s v=""/>
  </r>
  <r>
    <x v="587"/>
    <x v="59"/>
    <s v="Tuesday"/>
    <d v="1899-12-30T10:01:39"/>
    <s v="FUTURE"/>
    <s v="SELL"/>
    <n v="-1"/>
    <s v="TO CLOSE"/>
    <x v="6"/>
    <d v="2020-08-20T00:00:00"/>
    <m/>
    <s v="FUTURE"/>
    <n v="40.590000000000003"/>
    <n v="40.590000000000003"/>
    <s v="LMT"/>
    <n v="0"/>
    <n v="0"/>
    <s v=""/>
    <n v="170.00000000000171"/>
  </r>
  <r>
    <x v="588"/>
    <x v="59"/>
    <s v="Tuesday"/>
    <d v="1899-12-30T12:11:11"/>
    <s v="FUTURE"/>
    <s v="SELL"/>
    <n v="-1"/>
    <s v="TO OPEN"/>
    <x v="6"/>
    <d v="2020-08-20T00:00:00"/>
    <m/>
    <s v="FUTURE"/>
    <n v="40.82"/>
    <n v="40.82"/>
    <s v="LMT"/>
    <n v="-1"/>
    <n v="-40820"/>
    <n v="40.82"/>
    <s v=""/>
  </r>
  <r>
    <x v="588"/>
    <x v="59"/>
    <s v="Tuesday"/>
    <d v="1899-12-30T12:18:55"/>
    <s v="FUTURE"/>
    <s v="BUY"/>
    <n v="2"/>
    <s v="TO CLOSE"/>
    <x v="6"/>
    <d v="2020-08-20T00:00:00"/>
    <m/>
    <s v="FUTURE"/>
    <n v="40.909999999999997"/>
    <n v="40.909999999999997"/>
    <s v="MKT"/>
    <n v="1"/>
    <n v="41000"/>
    <n v="41"/>
    <s v=""/>
  </r>
  <r>
    <x v="588"/>
    <x v="59"/>
    <s v="Tuesday"/>
    <d v="1899-12-30T12:20:06"/>
    <s v="FUTURE"/>
    <s v="BUY"/>
    <n v="1"/>
    <s v="TO OPEN"/>
    <x v="6"/>
    <d v="2020-08-20T00:00:00"/>
    <m/>
    <s v="FUTURE"/>
    <n v="40.880000000000003"/>
    <n v="40.880000000000003"/>
    <s v="LMT"/>
    <n v="2"/>
    <n v="81880"/>
    <n v="40.94"/>
    <s v=""/>
  </r>
  <r>
    <x v="588"/>
    <x v="59"/>
    <s v="Tuesday"/>
    <d v="1899-12-30T12:25:15"/>
    <s v="FUTURE"/>
    <s v="SELL"/>
    <n v="-1"/>
    <s v="TO CLOSE"/>
    <x v="6"/>
    <d v="2020-08-20T00:00:00"/>
    <m/>
    <s v="FUTURE"/>
    <n v="40.9"/>
    <n v="40.9"/>
    <s v="LMT"/>
    <n v="1"/>
    <n v="40980"/>
    <n v="40.98"/>
    <s v=""/>
  </r>
  <r>
    <x v="588"/>
    <x v="59"/>
    <s v="Tuesday"/>
    <d v="1899-12-30T12:36:45"/>
    <s v="FUTURE"/>
    <s v="BUY"/>
    <n v="1"/>
    <s v="TO OPEN"/>
    <x v="6"/>
    <d v="2020-08-20T00:00:00"/>
    <m/>
    <s v="FUTURE"/>
    <n v="40.770000000000003"/>
    <n v="40.770000000000003"/>
    <s v="LMT"/>
    <n v="2"/>
    <n v="81750"/>
    <n v="40.875"/>
    <s v=""/>
  </r>
  <r>
    <x v="588"/>
    <x v="59"/>
    <s v="Tuesday"/>
    <d v="1899-12-30T13:21:16"/>
    <s v="FUTURE"/>
    <s v="SELL"/>
    <n v="-1"/>
    <s v="TO CLOSE"/>
    <x v="6"/>
    <d v="2020-08-20T00:00:00"/>
    <m/>
    <s v="FUTURE"/>
    <n v="40.83"/>
    <n v="40.83"/>
    <s v="LMT"/>
    <n v="1"/>
    <n v="40920"/>
    <n v="40.92"/>
    <s v=""/>
  </r>
  <r>
    <x v="588"/>
    <x v="59"/>
    <s v="Tuesday"/>
    <d v="1899-12-30T14:14:43"/>
    <s v="FUTURE"/>
    <s v="BUY"/>
    <n v="1"/>
    <s v="TO OPEN"/>
    <x v="6"/>
    <d v="2020-08-20T00:00:00"/>
    <m/>
    <s v="FUTURE"/>
    <n v="40.72"/>
    <n v="40.72"/>
    <s v="LMT"/>
    <n v="2"/>
    <n v="81640"/>
    <n v="40.82"/>
    <s v=""/>
  </r>
  <r>
    <x v="588"/>
    <x v="59"/>
    <s v="Tuesday"/>
    <d v="1899-12-30T14:47:06"/>
    <s v="FUTURE"/>
    <s v="SELL"/>
    <n v="-2"/>
    <s v="TO CLOSE"/>
    <x v="6"/>
    <d v="2020-08-20T00:00:00"/>
    <m/>
    <s v="FUTURE"/>
    <n v="40.42"/>
    <n v="40.42"/>
    <s v="STP"/>
    <n v="0"/>
    <n v="0"/>
    <s v=""/>
    <n v="-799.99999999999716"/>
  </r>
  <r>
    <x v="589"/>
    <x v="59"/>
    <s v="Tuesday"/>
    <d v="1899-12-30T14:58:18"/>
    <s v="FUTURE"/>
    <s v="BUY"/>
    <n v="2"/>
    <s v="TO OPEN"/>
    <x v="6"/>
    <d v="2020-08-20T00:00:00"/>
    <m/>
    <s v="FUTURE"/>
    <n v="40.44"/>
    <n v="40.44"/>
    <s v="LMT"/>
    <n v="2"/>
    <n v="80880"/>
    <n v="40.44"/>
    <s v=""/>
  </r>
  <r>
    <x v="589"/>
    <x v="59"/>
    <s v="Tuesday"/>
    <d v="1899-12-30T14:59:19"/>
    <s v="FUTURE"/>
    <s v="SELL"/>
    <n v="-1"/>
    <s v="TO CLOSE"/>
    <x v="6"/>
    <d v="2020-08-20T00:00:00"/>
    <m/>
    <s v="FUTURE"/>
    <n v="40.46"/>
    <n v="40.46"/>
    <s v="LMT"/>
    <n v="1"/>
    <n v="40420"/>
    <n v="40.42"/>
    <s v=""/>
  </r>
  <r>
    <x v="589"/>
    <x v="59"/>
    <s v="Tuesday"/>
    <d v="1899-12-30T14:59:19"/>
    <s v="FUTURE"/>
    <s v="SELL"/>
    <n v="-1"/>
    <s v="TO CLOSE"/>
    <x v="6"/>
    <d v="2020-08-20T00:00:00"/>
    <m/>
    <s v="FUTURE"/>
    <n v="40.46"/>
    <n v="40.46"/>
    <s v="LMT"/>
    <n v="0"/>
    <n v="0"/>
    <s v=""/>
    <n v="39.999999999999147"/>
  </r>
  <r>
    <x v="590"/>
    <x v="59"/>
    <s v="Tuesday"/>
    <d v="1899-12-30T09:32:10"/>
    <s v="FUTURE"/>
    <s v="BUY"/>
    <n v="1"/>
    <s v="TO OPEN"/>
    <x v="7"/>
    <d v="2020-09-20T00:00:00"/>
    <m/>
    <s v="FUTURE"/>
    <n v="3153.5"/>
    <n v="3153.5"/>
    <s v="MKT"/>
    <n v="1"/>
    <n v="157675"/>
    <n v="3153.5"/>
    <s v=""/>
  </r>
  <r>
    <x v="590"/>
    <x v="59"/>
    <s v="Tuesday"/>
    <d v="1899-12-30T09:36:57"/>
    <s v="FUTURE"/>
    <s v="SELL"/>
    <n v="-1"/>
    <s v="TO CLOSE"/>
    <x v="7"/>
    <d v="2020-09-20T00:00:00"/>
    <m/>
    <s v="FUTURE"/>
    <n v="3154"/>
    <n v="3154"/>
    <s v="STP"/>
    <n v="0"/>
    <n v="0"/>
    <s v=""/>
    <n v="25"/>
  </r>
  <r>
    <x v="591"/>
    <x v="59"/>
    <s v="Tuesday"/>
    <d v="1899-12-30T09:40:03"/>
    <s v="FUTURE"/>
    <s v="SELL"/>
    <n v="-1"/>
    <s v="TO OPEN"/>
    <x v="7"/>
    <d v="2020-09-20T00:00:00"/>
    <m/>
    <s v="FUTURE"/>
    <n v="3150.5"/>
    <n v="3150.5"/>
    <s v="LMT"/>
    <n v="-1"/>
    <n v="-157525"/>
    <n v="3150.5"/>
    <s v=""/>
  </r>
  <r>
    <x v="591"/>
    <x v="59"/>
    <s v="Tuesday"/>
    <d v="1899-12-30T09:40:45"/>
    <s v="FUTURE"/>
    <s v="BUY"/>
    <n v="1"/>
    <s v="TO CLOSE"/>
    <x v="7"/>
    <d v="2020-09-20T00:00:00"/>
    <m/>
    <s v="FUTURE"/>
    <n v="3154.5"/>
    <n v="3154.5"/>
    <s v="STP"/>
    <n v="0"/>
    <n v="0"/>
    <s v=""/>
    <n v="-200"/>
  </r>
  <r>
    <x v="592"/>
    <x v="59"/>
    <s v="Tuesday"/>
    <d v="1899-12-30T09:43:01"/>
    <s v="FUTURE"/>
    <s v="BUY"/>
    <n v="1"/>
    <s v="TO OPEN"/>
    <x v="7"/>
    <d v="2020-09-20T00:00:00"/>
    <m/>
    <s v="FUTURE"/>
    <n v="3154.75"/>
    <n v="3154.75"/>
    <s v="MKT"/>
    <n v="1"/>
    <n v="157737.5"/>
    <n v="3154.75"/>
    <s v=""/>
  </r>
  <r>
    <x v="592"/>
    <x v="59"/>
    <s v="Tuesday"/>
    <d v="1899-12-30T09:47:08"/>
    <s v="FUTURE"/>
    <s v="SELL"/>
    <n v="-1"/>
    <s v="TO CLOSE"/>
    <x v="7"/>
    <d v="2020-09-20T00:00:00"/>
    <m/>
    <s v="FUTURE"/>
    <n v="3159.25"/>
    <n v="3159.25"/>
    <s v="LMT"/>
    <n v="0"/>
    <n v="0"/>
    <s v=""/>
    <n v="225"/>
  </r>
  <r>
    <x v="593"/>
    <x v="59"/>
    <s v="Tuesday"/>
    <d v="1899-12-30T09:53:03"/>
    <s v="FUTURE"/>
    <s v="BUY"/>
    <n v="1"/>
    <s v="TO OPEN"/>
    <x v="7"/>
    <d v="2020-09-20T00:00:00"/>
    <m/>
    <s v="FUTURE"/>
    <n v="3158"/>
    <n v="3158"/>
    <s v="MKT"/>
    <n v="1"/>
    <n v="157900"/>
    <n v="3158"/>
    <s v=""/>
  </r>
  <r>
    <x v="593"/>
    <x v="59"/>
    <s v="Tuesday"/>
    <d v="1899-12-30T09:53:36"/>
    <s v="FUTURE"/>
    <s v="SELL"/>
    <n v="-1"/>
    <s v="TO CLOSE"/>
    <x v="7"/>
    <d v="2020-09-20T00:00:00"/>
    <m/>
    <s v="FUTURE"/>
    <n v="3158.5"/>
    <n v="3158.5"/>
    <s v="LMT"/>
    <n v="0"/>
    <n v="0"/>
    <s v=""/>
    <n v="25"/>
  </r>
  <r>
    <x v="594"/>
    <x v="59"/>
    <s v="Tuesday"/>
    <d v="1899-12-30T10:18:58"/>
    <s v="FUTURE"/>
    <s v="SELL"/>
    <n v="-1"/>
    <s v="TO OPEN"/>
    <x v="7"/>
    <d v="2020-09-20T00:00:00"/>
    <m/>
    <s v="FUTURE"/>
    <n v="3167"/>
    <n v="3167"/>
    <s v="MKT"/>
    <n v="-1"/>
    <n v="-158350"/>
    <n v="3167"/>
    <s v=""/>
  </r>
  <r>
    <x v="594"/>
    <x v="59"/>
    <s v="Tuesday"/>
    <d v="1899-12-30T10:23:05"/>
    <s v="FUTURE"/>
    <s v="BUY"/>
    <n v="1"/>
    <s v="TO CLOSE"/>
    <x v="7"/>
    <d v="2020-09-20T00:00:00"/>
    <m/>
    <s v="FUTURE"/>
    <n v="3166.75"/>
    <n v="3166.75"/>
    <s v="STP"/>
    <n v="0"/>
    <n v="0"/>
    <s v=""/>
    <n v="12.5"/>
  </r>
  <r>
    <x v="595"/>
    <x v="59"/>
    <s v="Tuesday"/>
    <d v="1899-12-30T10:28:27"/>
    <s v="FUTURE"/>
    <s v="SELL"/>
    <n v="-1"/>
    <s v="TO OPEN"/>
    <x v="7"/>
    <d v="2020-09-20T00:00:00"/>
    <m/>
    <s v="FUTURE"/>
    <n v="3166"/>
    <n v="3166"/>
    <s v="LMT"/>
    <n v="-1"/>
    <n v="-158300"/>
    <n v="3166"/>
    <s v=""/>
  </r>
  <r>
    <x v="595"/>
    <x v="59"/>
    <s v="Tuesday"/>
    <d v="1899-12-30T10:34:10"/>
    <s v="FUTURE"/>
    <s v="BUY"/>
    <n v="1"/>
    <s v="TO CLOSE"/>
    <x v="7"/>
    <d v="2020-09-20T00:00:00"/>
    <m/>
    <s v="FUTURE"/>
    <n v="3163.5"/>
    <n v="3163.5"/>
    <s v="LMT"/>
    <n v="0"/>
    <n v="0"/>
    <s v=""/>
    <n v="125"/>
  </r>
  <r>
    <x v="596"/>
    <x v="59"/>
    <s v="Tuesday"/>
    <d v="1899-12-30T11:01:55"/>
    <s v="FUTURE"/>
    <s v="SELL"/>
    <n v="-1"/>
    <s v="TO OPEN"/>
    <x v="7"/>
    <d v="2020-09-20T00:00:00"/>
    <m/>
    <s v="FUTURE"/>
    <n v="3166.75"/>
    <n v="3166.75"/>
    <s v="MKT"/>
    <n v="-1"/>
    <n v="-158337.5"/>
    <n v="3166.75"/>
    <s v=""/>
  </r>
  <r>
    <x v="596"/>
    <x v="59"/>
    <s v="Tuesday"/>
    <d v="1899-12-30T11:21:13"/>
    <s v="FUTURE"/>
    <s v="SELL"/>
    <n v="-1"/>
    <s v="TO OPEN"/>
    <x v="7"/>
    <d v="2020-09-20T00:00:00"/>
    <m/>
    <s v="FUTURE"/>
    <n v="3173.25"/>
    <n v="3173.25"/>
    <s v="LMT"/>
    <n v="-2"/>
    <n v="-317000"/>
    <n v="3170"/>
    <s v=""/>
  </r>
  <r>
    <x v="596"/>
    <x v="59"/>
    <s v="Tuesday"/>
    <d v="1899-12-30T11:31:05"/>
    <s v="FUTURE"/>
    <s v="BUY"/>
    <n v="1"/>
    <s v="TO CLOSE"/>
    <x v="7"/>
    <d v="2020-09-20T00:00:00"/>
    <m/>
    <s v="FUTURE"/>
    <n v="3171"/>
    <n v="3171"/>
    <s v="LMT"/>
    <n v="-1"/>
    <n v="-158450"/>
    <n v="3169"/>
    <s v=""/>
  </r>
  <r>
    <x v="596"/>
    <x v="59"/>
    <s v="Tuesday"/>
    <d v="1899-12-30T11:35:39"/>
    <s v="FUTURE"/>
    <s v="BUY"/>
    <n v="1"/>
    <s v="TO CLOSE"/>
    <x v="7"/>
    <d v="2020-09-20T00:00:00"/>
    <m/>
    <s v="FUTURE"/>
    <n v="3168"/>
    <n v="3168"/>
    <s v="STP"/>
    <n v="0"/>
    <n v="0"/>
    <s v=""/>
    <n v="50"/>
  </r>
  <r>
    <x v="597"/>
    <x v="59"/>
    <s v="Tuesday"/>
    <d v="1899-12-30T11:44:19"/>
    <s v="FUTURE"/>
    <s v="BUY"/>
    <n v="1"/>
    <s v="TO OPEN"/>
    <x v="7"/>
    <d v="2020-09-20T00:00:00"/>
    <m/>
    <s v="FUTURE"/>
    <n v="3168"/>
    <n v="3168"/>
    <s v="MKT"/>
    <n v="1"/>
    <n v="158400"/>
    <n v="3168"/>
    <s v=""/>
  </r>
  <r>
    <x v="597"/>
    <x v="59"/>
    <s v="Tuesday"/>
    <d v="1899-12-30T11:49:08"/>
    <s v="FUTURE"/>
    <s v="SELL"/>
    <n v="-1"/>
    <s v="TO CLOSE"/>
    <x v="7"/>
    <d v="2020-09-20T00:00:00"/>
    <m/>
    <s v="FUTURE"/>
    <n v="3169"/>
    <n v="3169"/>
    <s v="LMT"/>
    <n v="0"/>
    <n v="0"/>
    <s v=""/>
    <n v="50"/>
  </r>
  <r>
    <x v="598"/>
    <x v="59"/>
    <s v="Tuesday"/>
    <d v="1899-12-30T15:01:44"/>
    <s v="FUTURE"/>
    <s v="BUY"/>
    <n v="1"/>
    <s v="TO OPEN"/>
    <x v="7"/>
    <d v="2020-09-20T00:00:00"/>
    <m/>
    <s v="FUTURE"/>
    <n v="3151.25"/>
    <n v="3151.25"/>
    <s v="MKT"/>
    <n v="1"/>
    <n v="157562.5"/>
    <n v="3151.25"/>
    <s v=""/>
  </r>
  <r>
    <x v="598"/>
    <x v="59"/>
    <s v="Tuesday"/>
    <d v="1899-12-30T15:03:58"/>
    <s v="FUTURE"/>
    <s v="SELL"/>
    <n v="-1"/>
    <s v="TO CLOSE"/>
    <x v="7"/>
    <d v="2020-09-20T00:00:00"/>
    <m/>
    <s v="FUTURE"/>
    <n v="3148.25"/>
    <n v="3148.25"/>
    <s v="STP"/>
    <n v="0"/>
    <n v="0"/>
    <s v=""/>
    <n v="-150"/>
  </r>
  <r>
    <x v="599"/>
    <x v="59"/>
    <s v="Tuesday"/>
    <d v="1899-12-30T15:04:10"/>
    <s v="FUTURE"/>
    <s v="BUY"/>
    <n v="1"/>
    <s v="TO OPEN"/>
    <x v="7"/>
    <d v="2020-09-20T00:00:00"/>
    <m/>
    <s v="FUTURE"/>
    <n v="3149.5"/>
    <n v="3149.5"/>
    <s v="MKT"/>
    <n v="1"/>
    <n v="157475"/>
    <n v="3149.5"/>
    <s v=""/>
  </r>
  <r>
    <x v="599"/>
    <x v="59"/>
    <s v="Tuesday"/>
    <d v="1899-12-30T15:07:41"/>
    <s v="FUTURE"/>
    <s v="SELL"/>
    <n v="-1"/>
    <s v="TO CLOSE"/>
    <x v="7"/>
    <d v="2020-09-20T00:00:00"/>
    <m/>
    <s v="FUTURE"/>
    <n v="3147.5"/>
    <n v="3147.5"/>
    <s v="STP"/>
    <n v="0"/>
    <n v="0"/>
    <s v=""/>
    <n v="-100"/>
  </r>
  <r>
    <x v="600"/>
    <x v="59"/>
    <s v="Tuesday"/>
    <d v="1899-12-30T15:10:25"/>
    <s v="FUTURE"/>
    <s v="BUY"/>
    <n v="1"/>
    <s v="TO OPEN"/>
    <x v="7"/>
    <d v="2020-09-20T00:00:00"/>
    <m/>
    <s v="FUTURE"/>
    <n v="3148.75"/>
    <n v="3148.75"/>
    <s v="MKT"/>
    <n v="1"/>
    <n v="157437.5"/>
    <n v="3148.75"/>
    <s v=""/>
  </r>
  <r>
    <x v="600"/>
    <x v="59"/>
    <s v="Tuesday"/>
    <d v="1899-12-30T15:12:48"/>
    <s v="FUTURE"/>
    <s v="SELL"/>
    <n v="-1"/>
    <s v="TO CLOSE"/>
    <x v="7"/>
    <d v="2020-09-20T00:00:00"/>
    <m/>
    <s v="FUTURE"/>
    <n v="3146.5"/>
    <n v="3146.5"/>
    <s v="STP"/>
    <n v="0"/>
    <n v="0"/>
    <s v=""/>
    <n v="-112.5"/>
  </r>
  <r>
    <x v="601"/>
    <x v="59"/>
    <s v="Tuesday"/>
    <d v="1899-12-30T15:16:05"/>
    <s v="FUTURE"/>
    <s v="BUY"/>
    <n v="1"/>
    <s v="TO OPEN"/>
    <x v="7"/>
    <d v="2020-09-20T00:00:00"/>
    <m/>
    <s v="FUTURE"/>
    <n v="3147.5"/>
    <n v="3147.5"/>
    <s v="MKT"/>
    <n v="1"/>
    <n v="157375"/>
    <n v="3147.5"/>
    <s v=""/>
  </r>
  <r>
    <x v="601"/>
    <x v="59"/>
    <s v="Tuesday"/>
    <d v="1899-12-30T15:26:06"/>
    <s v="FUTURE"/>
    <s v="SELL"/>
    <n v="-1"/>
    <s v="TO CLOSE"/>
    <x v="7"/>
    <d v="2020-09-20T00:00:00"/>
    <m/>
    <s v="FUTURE"/>
    <n v="3149.5"/>
    <n v="3149.5"/>
    <s v="STP"/>
    <n v="0"/>
    <n v="0"/>
    <s v=""/>
    <n v="100"/>
  </r>
  <r>
    <x v="602"/>
    <x v="59"/>
    <s v="Tuesday"/>
    <d v="1899-12-30T15:27:36"/>
    <s v="FUTURE"/>
    <s v="BUY"/>
    <n v="1"/>
    <s v="TO OPEN"/>
    <x v="7"/>
    <d v="2020-09-20T00:00:00"/>
    <m/>
    <s v="FUTURE"/>
    <n v="3149.25"/>
    <n v="3149.25"/>
    <s v="MKT"/>
    <n v="1"/>
    <n v="157462.5"/>
    <n v="3149.25"/>
    <s v=""/>
  </r>
  <r>
    <x v="602"/>
    <x v="59"/>
    <s v="Tuesday"/>
    <d v="1899-12-30T15:30:02"/>
    <s v="FUTURE"/>
    <s v="BUY"/>
    <n v="1"/>
    <s v="TO OPEN"/>
    <x v="7"/>
    <d v="2020-09-20T00:00:00"/>
    <m/>
    <s v="FUTURE"/>
    <n v="3149.25"/>
    <n v="3149.25"/>
    <s v="STP"/>
    <n v="2"/>
    <n v="314925"/>
    <n v="3149.25"/>
    <s v=""/>
  </r>
  <r>
    <x v="602"/>
    <x v="59"/>
    <s v="Tuesday"/>
    <d v="1899-12-30T15:47:21"/>
    <s v="FUTURE"/>
    <s v="SELL"/>
    <n v="-2"/>
    <s v="TO CLOSE"/>
    <x v="7"/>
    <d v="2020-09-20T00:00:00"/>
    <m/>
    <s v="FUTURE"/>
    <n v="3140.5"/>
    <n v="3140.5"/>
    <s v="STP"/>
    <n v="0"/>
    <n v="0"/>
    <s v=""/>
    <n v="-875"/>
  </r>
  <r>
    <x v="603"/>
    <x v="59"/>
    <s v="Tuesday"/>
    <d v="1899-12-30T09:49:41"/>
    <s v="STOCK"/>
    <s v="SELL"/>
    <n v="-300"/>
    <s v="TO OPEN"/>
    <x v="2"/>
    <m/>
    <m/>
    <s v="STOCK"/>
    <n v="32.092700000000001"/>
    <n v="32.092700000000001"/>
    <s v="MKT"/>
    <n v="-300"/>
    <n v="-9627.81"/>
    <n v="32.092700000000001"/>
    <s v=""/>
  </r>
  <r>
    <x v="603"/>
    <x v="59"/>
    <s v="Tuesday"/>
    <d v="1899-12-30T10:05:20"/>
    <s v="STOCK"/>
    <s v="BUY"/>
    <n v="100"/>
    <s v="TO CLOSE"/>
    <x v="2"/>
    <m/>
    <m/>
    <s v="STOCK"/>
    <n v="31.965"/>
    <n v="31.965"/>
    <s v="MKT"/>
    <n v="-200"/>
    <n v="-6431.3099999999995"/>
    <n v="32.156549999999996"/>
    <s v=""/>
  </r>
  <r>
    <x v="603"/>
    <x v="59"/>
    <s v="Tuesday"/>
    <d v="1899-12-30T10:21:04"/>
    <s v="STOCK"/>
    <s v="BUY"/>
    <n v="200"/>
    <s v="TO CLOSE"/>
    <x v="2"/>
    <m/>
    <m/>
    <s v="STOCK"/>
    <n v="31.956399999999999"/>
    <n v="31.956399999999999"/>
    <s v="MKT"/>
    <n v="0"/>
    <n v="0"/>
    <s v=""/>
    <n v="40.029999999999433"/>
  </r>
  <r>
    <x v="604"/>
    <x v="59"/>
    <s v="Tuesday"/>
    <d v="1899-12-30T12:32:08"/>
    <s v="STOCK"/>
    <s v="SELL"/>
    <n v="-400"/>
    <s v="TO OPEN"/>
    <x v="2"/>
    <m/>
    <m/>
    <s v="STOCK"/>
    <n v="32.085000000000001"/>
    <n v="32.085000000000001"/>
    <s v="MKT"/>
    <n v="-400"/>
    <n v="-12834"/>
    <n v="32.085000000000001"/>
    <s v=""/>
  </r>
  <r>
    <x v="604"/>
    <x v="59"/>
    <s v="Tuesday"/>
    <d v="1899-12-30T12:34:45"/>
    <s v="STOCK"/>
    <s v="BUY"/>
    <n v="50"/>
    <s v="TO CLOSE"/>
    <x v="2"/>
    <m/>
    <m/>
    <s v="STOCK"/>
    <n v="32.06"/>
    <n v="32.06"/>
    <s v="LMT"/>
    <n v="-350"/>
    <n v="-11231"/>
    <n v="32.088571428571427"/>
    <s v=""/>
  </r>
  <r>
    <x v="604"/>
    <x v="59"/>
    <s v="Tuesday"/>
    <d v="1899-12-30T13:24:15"/>
    <s v="STOCK"/>
    <s v="SELL"/>
    <n v="-50"/>
    <s v="TO OPEN"/>
    <x v="2"/>
    <m/>
    <m/>
    <s v="STOCK"/>
    <n v="32.202399999999997"/>
    <n v="32.202399999999997"/>
    <s v="MKT"/>
    <n v="-400"/>
    <n v="-12841.119999999999"/>
    <n v="32.102799999999995"/>
    <s v=""/>
  </r>
  <r>
    <x v="604"/>
    <x v="59"/>
    <s v="Tuesday"/>
    <d v="1899-12-30T14:14:15"/>
    <s v="STOCK"/>
    <s v="BUY"/>
    <n v="100"/>
    <s v="TO CLOSE"/>
    <x v="2"/>
    <m/>
    <m/>
    <s v="STOCK"/>
    <n v="32.03"/>
    <n v="32.03"/>
    <s v="LMT"/>
    <n v="-300"/>
    <n v="-9638.119999999999"/>
    <n v="32.127066666666664"/>
    <s v=""/>
  </r>
  <r>
    <x v="604"/>
    <x v="59"/>
    <s v="Tuesday"/>
    <d v="1899-12-30T14:50:27"/>
    <s v="STOCK"/>
    <s v="BUY"/>
    <n v="300"/>
    <s v="TO CLOSE"/>
    <x v="2"/>
    <m/>
    <m/>
    <s v="STOCK"/>
    <n v="32.639299999999999"/>
    <n v="32.639299999999999"/>
    <s v="STP"/>
    <n v="0"/>
    <n v="0"/>
    <s v=""/>
    <n v="-153.67000000000033"/>
  </r>
  <r>
    <x v="605"/>
    <x v="59"/>
    <s v="Tuesday"/>
    <d v="1899-12-30T15:00:27"/>
    <s v="STOCK"/>
    <s v="SELL"/>
    <n v="-400"/>
    <s v="TO OPEN"/>
    <x v="2"/>
    <m/>
    <m/>
    <s v="STOCK"/>
    <n v="32.611899999999999"/>
    <n v="32.611899999999999"/>
    <s v="MKT"/>
    <n v="-400"/>
    <n v="-13044.76"/>
    <n v="32.611899999999999"/>
    <s v=""/>
  </r>
  <r>
    <x v="605"/>
    <x v="59"/>
    <s v="Tuesday"/>
    <d v="1899-12-30T15:07:44"/>
    <s v="STOCK"/>
    <s v="BUY"/>
    <n v="400"/>
    <s v="TO CLOSE"/>
    <x v="2"/>
    <m/>
    <m/>
    <s v="STOCK"/>
    <n v="32.965000000000003"/>
    <n v="32.965000000000003"/>
    <s v="LMT"/>
    <n v="0"/>
    <n v="0"/>
    <s v=""/>
    <n v="-141.24000000000194"/>
  </r>
  <r>
    <x v="606"/>
    <x v="60"/>
    <s v="Wednesday"/>
    <d v="1899-12-30T08:59:46"/>
    <s v="FUTURE"/>
    <s v="BUY"/>
    <n v="2"/>
    <s v="TO OPEN"/>
    <x v="6"/>
    <d v="2020-08-20T00:00:00"/>
    <m/>
    <s v="FUTURE"/>
    <n v="40.729999999999997"/>
    <n v="40.729999999999997"/>
    <s v="LMT"/>
    <n v="2"/>
    <n v="81460"/>
    <n v="40.729999999999997"/>
    <s v=""/>
  </r>
  <r>
    <x v="606"/>
    <x v="60"/>
    <s v="Wednesday"/>
    <d v="1899-12-30T10:15:07"/>
    <s v="FUTURE"/>
    <s v="SELL"/>
    <n v="-2"/>
    <s v="TO CLOSE"/>
    <x v="6"/>
    <d v="2020-08-20T00:00:00"/>
    <m/>
    <s v="FUTURE"/>
    <n v="40.65"/>
    <n v="40.65"/>
    <s v="STP"/>
    <n v="0"/>
    <n v="0"/>
    <s v=""/>
    <n v="-159.99999999999659"/>
  </r>
  <r>
    <x v="607"/>
    <x v="60"/>
    <s v="Wednesday"/>
    <d v="1899-12-30T10:15:48"/>
    <s v="FUTURE"/>
    <s v="SELL"/>
    <n v="-2"/>
    <s v="TO OPEN"/>
    <x v="6"/>
    <d v="2020-08-20T00:00:00"/>
    <m/>
    <s v="FUTURE"/>
    <n v="40.659999999999997"/>
    <n v="40.659999999999997"/>
    <s v="MKT"/>
    <n v="-2"/>
    <n v="-81320"/>
    <n v="40.659999999999997"/>
    <s v=""/>
  </r>
  <r>
    <x v="607"/>
    <x v="60"/>
    <s v="Wednesday"/>
    <d v="1899-12-30T10:29:03"/>
    <s v="FUTURE"/>
    <s v="BUY"/>
    <n v="1"/>
    <s v="TO CLOSE"/>
    <x v="6"/>
    <d v="2020-08-20T00:00:00"/>
    <m/>
    <s v="FUTURE"/>
    <n v="40.65"/>
    <n v="40.65"/>
    <s v="LMT"/>
    <n v="-1"/>
    <n v="-40670"/>
    <n v="40.67"/>
    <s v=""/>
  </r>
  <r>
    <x v="607"/>
    <x v="60"/>
    <s v="Wednesday"/>
    <d v="1899-12-30T10:29:04"/>
    <s v="FUTURE"/>
    <s v="BUY"/>
    <n v="1"/>
    <s v="TO CLOSE"/>
    <x v="6"/>
    <d v="2020-08-20T00:00:00"/>
    <m/>
    <s v="FUTURE"/>
    <n v="40.65"/>
    <n v="40.65"/>
    <s v="LMT"/>
    <n v="0"/>
    <n v="0"/>
    <s v=""/>
    <n v="20.000000000003126"/>
  </r>
  <r>
    <x v="608"/>
    <x v="60"/>
    <s v="Wednesday"/>
    <d v="1899-12-30T10:30:11"/>
    <s v="FUTURE"/>
    <s v="SELL"/>
    <n v="-1"/>
    <s v="TO OPEN"/>
    <x v="6"/>
    <d v="2020-08-20T00:00:00"/>
    <m/>
    <s v="FUTURE"/>
    <n v="40.58"/>
    <n v="40.58"/>
    <s v="MKT"/>
    <n v="-1"/>
    <n v="-40580"/>
    <n v="40.58"/>
    <s v=""/>
  </r>
  <r>
    <x v="608"/>
    <x v="60"/>
    <s v="Wednesday"/>
    <d v="1899-12-30T10:30:53"/>
    <s v="FUTURE"/>
    <s v="BUY"/>
    <n v="1"/>
    <s v="TO CLOSE"/>
    <x v="6"/>
    <d v="2020-08-20T00:00:00"/>
    <m/>
    <s v="FUTURE"/>
    <n v="40.5"/>
    <n v="40.5"/>
    <s v="MKT"/>
    <n v="0"/>
    <n v="0"/>
    <s v=""/>
    <n v="79.999999999998295"/>
  </r>
  <r>
    <x v="609"/>
    <x v="60"/>
    <s v="Wednesday"/>
    <d v="1899-12-30T10:30:54"/>
    <s v="FUTURE"/>
    <s v="BUY"/>
    <n v="1"/>
    <s v="TO OPEN"/>
    <x v="6"/>
    <d v="2020-08-20T00:00:00"/>
    <m/>
    <s v="FUTURE"/>
    <n v="40.520000000000003"/>
    <n v="40.520000000000003"/>
    <s v="MKT"/>
    <n v="1"/>
    <n v="40520"/>
    <n v="40.520000000000003"/>
    <s v=""/>
  </r>
  <r>
    <x v="609"/>
    <x v="60"/>
    <s v="Wednesday"/>
    <d v="1899-12-30T10:31:59"/>
    <s v="FUTURE"/>
    <s v="SELL"/>
    <n v="-1"/>
    <s v="TO CLOSE"/>
    <x v="6"/>
    <d v="2020-08-20T00:00:00"/>
    <m/>
    <s v="FUTURE"/>
    <n v="40.619999999999997"/>
    <n v="40.619999999999997"/>
    <s v="MKT"/>
    <n v="0"/>
    <n v="0"/>
    <s v=""/>
    <n v="99.999999999994316"/>
  </r>
  <r>
    <x v="610"/>
    <x v="60"/>
    <s v="Wednesday"/>
    <d v="1899-12-30T10:41:44"/>
    <s v="FUTURE"/>
    <s v="BUY"/>
    <n v="1"/>
    <s v="TO OPEN"/>
    <x v="6"/>
    <d v="2020-08-20T00:00:00"/>
    <m/>
    <s v="FUTURE"/>
    <n v="40.729999999999997"/>
    <n v="40.729999999999997"/>
    <s v="MKT"/>
    <n v="1"/>
    <n v="40730"/>
    <n v="40.729999999999997"/>
    <s v=""/>
  </r>
  <r>
    <x v="610"/>
    <x v="60"/>
    <s v="Wednesday"/>
    <d v="1899-12-30T10:44:03"/>
    <s v="FUTURE"/>
    <s v="SELL"/>
    <n v="-1"/>
    <s v="TO CLOSE"/>
    <x v="6"/>
    <d v="2020-08-20T00:00:00"/>
    <m/>
    <s v="FUTURE"/>
    <n v="40.54"/>
    <n v="40.54"/>
    <s v="STP"/>
    <n v="0"/>
    <n v="0"/>
    <s v=""/>
    <n v="-189.99999999999773"/>
  </r>
  <r>
    <x v="611"/>
    <x v="60"/>
    <s v="Wednesday"/>
    <d v="1899-12-30T10:47:02"/>
    <s v="FUTURE"/>
    <s v="BUY"/>
    <n v="2"/>
    <s v="TO OPEN"/>
    <x v="6"/>
    <d v="2020-08-20T00:00:00"/>
    <m/>
    <s v="FUTURE"/>
    <n v="40.590000000000003"/>
    <n v="40.590000000000003"/>
    <s v="MKT"/>
    <n v="2"/>
    <n v="81180"/>
    <n v="40.590000000000003"/>
    <s v=""/>
  </r>
  <r>
    <x v="611"/>
    <x v="60"/>
    <s v="Wednesday"/>
    <d v="1899-12-30T10:48:41"/>
    <s v="FUTURE"/>
    <s v="SELL"/>
    <n v="-1"/>
    <s v="TO CLOSE"/>
    <x v="6"/>
    <d v="2020-08-20T00:00:00"/>
    <m/>
    <s v="FUTURE"/>
    <n v="40.61"/>
    <n v="40.61"/>
    <s v="LMT"/>
    <n v="1"/>
    <n v="40570"/>
    <n v="40.57"/>
    <s v=""/>
  </r>
  <r>
    <x v="611"/>
    <x v="60"/>
    <s v="Wednesday"/>
    <d v="1899-12-30T11:07:31"/>
    <s v="FUTURE"/>
    <s v="SELL"/>
    <n v="-1"/>
    <s v="TO CLOSE"/>
    <x v="6"/>
    <d v="2020-08-20T00:00:00"/>
    <m/>
    <s v="FUTURE"/>
    <n v="40.520000000000003"/>
    <n v="40.520000000000003"/>
    <s v="MKT"/>
    <n v="0"/>
    <n v="0"/>
    <s v=""/>
    <n v="-49.999999999997158"/>
  </r>
  <r>
    <x v="612"/>
    <x v="60"/>
    <s v="Wednesday"/>
    <d v="1899-12-30T11:10:22"/>
    <s v="FUTURE"/>
    <s v="BUY"/>
    <n v="2"/>
    <s v="TO OPEN"/>
    <x v="6"/>
    <d v="2020-08-20T00:00:00"/>
    <m/>
    <s v="FUTURE"/>
    <n v="40.61"/>
    <n v="40.61"/>
    <s v="MKT"/>
    <n v="2"/>
    <n v="81220"/>
    <n v="40.61"/>
    <s v=""/>
  </r>
  <r>
    <x v="612"/>
    <x v="60"/>
    <s v="Wednesday"/>
    <d v="1899-12-30T11:18:38"/>
    <s v="FUTURE"/>
    <s v="SELL"/>
    <n v="-2"/>
    <s v="TO CLOSE"/>
    <x v="6"/>
    <d v="2020-08-20T00:00:00"/>
    <m/>
    <s v="FUTURE"/>
    <n v="40.51"/>
    <n v="40.51"/>
    <s v="STP"/>
    <n v="0"/>
    <n v="0"/>
    <s v=""/>
    <n v="-200.00000000000284"/>
  </r>
  <r>
    <x v="613"/>
    <x v="60"/>
    <s v="Wednesday"/>
    <d v="1899-12-30T11:29:26"/>
    <s v="FUTURE"/>
    <s v="BUY"/>
    <n v="2"/>
    <s v="TO OPEN"/>
    <x v="6"/>
    <d v="2020-08-20T00:00:00"/>
    <m/>
    <s v="FUTURE"/>
    <n v="40.61"/>
    <n v="40.61"/>
    <s v="MKT"/>
    <n v="2"/>
    <n v="81220"/>
    <n v="40.61"/>
    <s v=""/>
  </r>
  <r>
    <x v="613"/>
    <x v="60"/>
    <s v="Wednesday"/>
    <d v="1899-12-30T11:47:16"/>
    <s v="FUTURE"/>
    <s v="SELL"/>
    <n v="-2"/>
    <s v="TO CLOSE"/>
    <x v="6"/>
    <d v="2020-08-20T00:00:00"/>
    <m/>
    <s v="FUTURE"/>
    <n v="40.57"/>
    <n v="40.57"/>
    <s v="STP"/>
    <n v="0"/>
    <n v="0"/>
    <s v=""/>
    <n v="-79.999999999998295"/>
  </r>
  <r>
    <x v="614"/>
    <x v="60"/>
    <s v="Wednesday"/>
    <d v="1899-12-30T11:54:59"/>
    <s v="FUTURE"/>
    <s v="BUY"/>
    <n v="1"/>
    <s v="TO OPEN"/>
    <x v="6"/>
    <d v="2020-08-20T00:00:00"/>
    <m/>
    <s v="FUTURE"/>
    <n v="40.619999999999997"/>
    <n v="40.619999999999997"/>
    <s v="MKT"/>
    <n v="1"/>
    <n v="40620"/>
    <n v="40.619999999999997"/>
    <s v=""/>
  </r>
  <r>
    <x v="614"/>
    <x v="60"/>
    <s v="Wednesday"/>
    <d v="1899-12-30T11:56:20"/>
    <s v="FUTURE"/>
    <s v="SELL"/>
    <n v="-1"/>
    <s v="TO CLOSE"/>
    <x v="6"/>
    <d v="2020-08-20T00:00:00"/>
    <m/>
    <s v="FUTURE"/>
    <n v="40.549999999999997"/>
    <n v="40.549999999999997"/>
    <s v="STP"/>
    <n v="0"/>
    <n v="0"/>
    <s v=""/>
    <n v="-70.000000000000284"/>
  </r>
  <r>
    <x v="615"/>
    <x v="60"/>
    <s v="Wednesday"/>
    <d v="1899-12-30T12:24:34"/>
    <s v="FUTURE"/>
    <s v="BUY"/>
    <n v="1"/>
    <s v="TO OPEN"/>
    <x v="6"/>
    <d v="2020-08-20T00:00:00"/>
    <m/>
    <s v="FUTURE"/>
    <n v="40.89"/>
    <n v="40.89"/>
    <s v="MKT"/>
    <n v="1"/>
    <n v="40890"/>
    <n v="40.89"/>
    <s v=""/>
  </r>
  <r>
    <x v="615"/>
    <x v="60"/>
    <s v="Wednesday"/>
    <d v="1899-12-30T12:27:31"/>
    <s v="FUTURE"/>
    <s v="SELL"/>
    <n v="-1"/>
    <s v="TO CLOSE"/>
    <x v="6"/>
    <d v="2020-08-20T00:00:00"/>
    <m/>
    <s v="FUTURE"/>
    <n v="40.99"/>
    <n v="40.99"/>
    <s v="LMT"/>
    <n v="0"/>
    <n v="0"/>
    <s v=""/>
    <n v="100.00000000000142"/>
  </r>
  <r>
    <x v="616"/>
    <x v="60"/>
    <s v="Wednesday"/>
    <d v="1899-12-30T12:33:13"/>
    <s v="FUTURE"/>
    <s v="BUY"/>
    <n v="1"/>
    <s v="TO OPEN"/>
    <x v="6"/>
    <d v="2020-08-20T00:00:00"/>
    <m/>
    <s v="FUTURE"/>
    <n v="40.96"/>
    <n v="40.96"/>
    <s v="MKT"/>
    <n v="1"/>
    <n v="40960"/>
    <n v="40.96"/>
    <s v=""/>
  </r>
  <r>
    <x v="616"/>
    <x v="60"/>
    <s v="Wednesday"/>
    <d v="1899-12-30T12:49:39"/>
    <s v="FUTURE"/>
    <s v="SELL"/>
    <n v="-1"/>
    <s v="TO CLOSE"/>
    <x v="6"/>
    <d v="2020-08-20T00:00:00"/>
    <m/>
    <s v="FUTURE"/>
    <n v="40.97"/>
    <n v="40.97"/>
    <s v="LMT"/>
    <n v="0"/>
    <n v="0"/>
    <s v=""/>
    <n v="9.9999999999980105"/>
  </r>
  <r>
    <x v="617"/>
    <x v="60"/>
    <s v="Wednesday"/>
    <d v="1899-12-30T10:35:24"/>
    <s v="FUTURE"/>
    <s v="SELL"/>
    <n v="-1"/>
    <s v="TO OPEN"/>
    <x v="7"/>
    <d v="2020-09-20T00:00:00"/>
    <m/>
    <s v="FUTURE"/>
    <n v="3151.75"/>
    <n v="3151.75"/>
    <s v="MKT"/>
    <n v="-1"/>
    <n v="-157587.5"/>
    <n v="3151.75"/>
    <s v=""/>
  </r>
  <r>
    <x v="617"/>
    <x v="60"/>
    <s v="Wednesday"/>
    <d v="1899-12-30T10:39:56"/>
    <s v="FUTURE"/>
    <s v="BUY"/>
    <n v="2"/>
    <s v="TO CLOSE"/>
    <x v="7"/>
    <d v="2020-09-20T00:00:00"/>
    <m/>
    <s v="FUTURE"/>
    <n v="3155"/>
    <n v="3155"/>
    <s v="MKT"/>
    <n v="1"/>
    <n v="157912.5"/>
    <n v="3158.25"/>
    <s v=""/>
  </r>
  <r>
    <x v="617"/>
    <x v="60"/>
    <s v="Wednesday"/>
    <d v="1899-12-30T10:42:10"/>
    <s v="FUTURE"/>
    <s v="SELL"/>
    <n v="-2"/>
    <s v="TO CLOSE"/>
    <x v="7"/>
    <d v="2020-09-20T00:00:00"/>
    <m/>
    <s v="FUTURE"/>
    <n v="3156"/>
    <n v="3156"/>
    <s v="MKT"/>
    <n v="-1"/>
    <n v="-157687.5"/>
    <n v="3153.75"/>
    <s v=""/>
  </r>
  <r>
    <x v="617"/>
    <x v="60"/>
    <s v="Wednesday"/>
    <d v="1899-12-30T10:43:28"/>
    <s v="FUTURE"/>
    <s v="BUY"/>
    <n v="1"/>
    <s v="TO CLOSE"/>
    <x v="7"/>
    <d v="2020-09-20T00:00:00"/>
    <m/>
    <s v="FUTURE"/>
    <n v="3154.75"/>
    <n v="3154.75"/>
    <s v="MKT"/>
    <n v="0"/>
    <n v="0"/>
    <s v=""/>
    <n v="-50"/>
  </r>
  <r>
    <x v="618"/>
    <x v="60"/>
    <s v="Wednesday"/>
    <d v="1899-12-30T10:44:10"/>
    <s v="FUTURE"/>
    <s v="SELL"/>
    <n v="-1"/>
    <s v="TO OPEN"/>
    <x v="7"/>
    <d v="2020-09-20T00:00:00"/>
    <m/>
    <s v="FUTURE"/>
    <n v="3151.5"/>
    <n v="3151.5"/>
    <s v="MKT"/>
    <n v="-1"/>
    <n v="-157575"/>
    <n v="3151.5"/>
    <s v=""/>
  </r>
  <r>
    <x v="618"/>
    <x v="60"/>
    <s v="Wednesday"/>
    <d v="1899-12-30T10:46:54"/>
    <s v="FUTURE"/>
    <s v="BUY"/>
    <n v="1"/>
    <s v="TO CLOSE"/>
    <x v="7"/>
    <d v="2020-09-20T00:00:00"/>
    <m/>
    <s v="FUTURE"/>
    <n v="3151.5"/>
    <n v="3151.5"/>
    <s v="LMT"/>
    <n v="0"/>
    <n v="0"/>
    <s v=""/>
    <n v="0"/>
  </r>
  <r>
    <x v="619"/>
    <x v="60"/>
    <s v="Wednesday"/>
    <d v="1899-12-30T10:49:09"/>
    <s v="FUTURE"/>
    <s v="BUY"/>
    <n v="1"/>
    <s v="TO OPEN"/>
    <x v="7"/>
    <d v="2020-09-20T00:00:00"/>
    <m/>
    <s v="FUTURE"/>
    <n v="3152.5"/>
    <n v="3152.5"/>
    <s v="MKT"/>
    <n v="1"/>
    <n v="157625"/>
    <n v="3152.5"/>
    <s v=""/>
  </r>
  <r>
    <x v="619"/>
    <x v="60"/>
    <s v="Wednesday"/>
    <d v="1899-12-30T11:07:41"/>
    <s v="FUTURE"/>
    <s v="SELL"/>
    <n v="-1"/>
    <s v="TO CLOSE"/>
    <x v="7"/>
    <d v="2020-09-20T00:00:00"/>
    <m/>
    <s v="FUTURE"/>
    <n v="3141"/>
    <n v="3141"/>
    <s v="MKT"/>
    <n v="0"/>
    <n v="0"/>
    <s v=""/>
    <n v="-575"/>
  </r>
  <r>
    <x v="620"/>
    <x v="60"/>
    <s v="Wednesday"/>
    <d v="1899-12-30T11:22:53"/>
    <s v="FUTURE"/>
    <s v="SELL"/>
    <n v="-1"/>
    <s v="TO OPEN"/>
    <x v="7"/>
    <d v="2020-09-20T00:00:00"/>
    <m/>
    <s v="FUTURE"/>
    <n v="3126.75"/>
    <n v="3126.75"/>
    <s v="MKT"/>
    <n v="-1"/>
    <n v="-156337.5"/>
    <n v="3126.75"/>
    <s v=""/>
  </r>
  <r>
    <x v="620"/>
    <x v="60"/>
    <s v="Wednesday"/>
    <d v="1899-12-30T11:24:26"/>
    <s v="FUTURE"/>
    <s v="BUY"/>
    <n v="1"/>
    <s v="TO CLOSE"/>
    <x v="7"/>
    <d v="2020-09-20T00:00:00"/>
    <m/>
    <s v="FUTURE"/>
    <n v="3129.25"/>
    <n v="3129.25"/>
    <s v="STP"/>
    <n v="0"/>
    <n v="0"/>
    <s v=""/>
    <n v="-125"/>
  </r>
  <r>
    <x v="621"/>
    <x v="60"/>
    <s v="Wednesday"/>
    <d v="1899-12-30T11:26:34"/>
    <s v="FUTURE"/>
    <s v="BUY"/>
    <n v="1"/>
    <s v="TO OPEN"/>
    <x v="7"/>
    <d v="2020-09-20T00:00:00"/>
    <m/>
    <s v="FUTURE"/>
    <n v="3128.5"/>
    <n v="3128.5"/>
    <s v="MKT"/>
    <n v="1"/>
    <n v="156425"/>
    <n v="3128.5"/>
    <s v=""/>
  </r>
  <r>
    <x v="621"/>
    <x v="60"/>
    <s v="Wednesday"/>
    <d v="1899-12-30T11:29:20"/>
    <s v="FUTURE"/>
    <s v="SELL"/>
    <n v="-1"/>
    <s v="TO CLOSE"/>
    <x v="7"/>
    <d v="2020-09-20T00:00:00"/>
    <m/>
    <s v="FUTURE"/>
    <n v="3132.25"/>
    <n v="3132.25"/>
    <s v="LMT"/>
    <n v="0"/>
    <n v="0"/>
    <s v=""/>
    <n v="187.5"/>
  </r>
  <r>
    <x v="622"/>
    <x v="60"/>
    <s v="Wednesday"/>
    <d v="1899-12-30T11:54:12"/>
    <s v="FUTURE"/>
    <s v="BUY"/>
    <n v="1"/>
    <s v="TO OPEN"/>
    <x v="7"/>
    <d v="2020-09-20T00:00:00"/>
    <m/>
    <s v="FUTURE"/>
    <n v="3141.75"/>
    <n v="3141.75"/>
    <s v="MKT"/>
    <n v="1"/>
    <n v="157087.5"/>
    <n v="3141.75"/>
    <s v=""/>
  </r>
  <r>
    <x v="622"/>
    <x v="60"/>
    <s v="Wednesday"/>
    <d v="1899-12-30T12:20:09"/>
    <s v="FUTURE"/>
    <s v="SELL"/>
    <n v="-1"/>
    <s v="TO CLOSE"/>
    <x v="7"/>
    <d v="2020-09-20T00:00:00"/>
    <m/>
    <s v="FUTURE"/>
    <n v="3145.5"/>
    <n v="3145.5"/>
    <s v="MKT"/>
    <n v="0"/>
    <n v="0"/>
    <s v=""/>
    <n v="187.5"/>
  </r>
  <r>
    <x v="623"/>
    <x v="60"/>
    <s v="Wednesday"/>
    <d v="1899-12-30T13:20:40"/>
    <s v="FUTURE"/>
    <s v="SELL"/>
    <n v="-1"/>
    <s v="TO OPEN"/>
    <x v="7"/>
    <d v="2020-09-20T00:00:00"/>
    <m/>
    <s v="FUTURE"/>
    <n v="3142.75"/>
    <n v="3142.75"/>
    <s v="LMT"/>
    <n v="-1"/>
    <n v="-157137.5"/>
    <n v="3142.75"/>
    <s v=""/>
  </r>
  <r>
    <x v="623"/>
    <x v="60"/>
    <s v="Wednesday"/>
    <d v="1899-12-30T13:21:26"/>
    <s v="FUTURE"/>
    <s v="BUY"/>
    <n v="1"/>
    <s v="TO CLOSE"/>
    <x v="7"/>
    <d v="2020-09-20T00:00:00"/>
    <m/>
    <s v="FUTURE"/>
    <n v="3141.75"/>
    <n v="3141.75"/>
    <s v="STP"/>
    <n v="0"/>
    <n v="0"/>
    <s v=""/>
    <n v="50"/>
  </r>
  <r>
    <x v="624"/>
    <x v="60"/>
    <s v="Wednesday"/>
    <d v="1899-12-30T12:32:30"/>
    <s v="FUTURE"/>
    <s v="BUY"/>
    <n v="1"/>
    <s v="TO OPEN"/>
    <x v="8"/>
    <d v="2020-09-20T00:00:00"/>
    <m/>
    <s v="FUTURE"/>
    <n v="3146"/>
    <n v="3146"/>
    <s v="MKT"/>
    <n v="1"/>
    <n v="15730"/>
    <n v="3146"/>
    <s v=""/>
  </r>
  <r>
    <x v="624"/>
    <x v="60"/>
    <s v="Wednesday"/>
    <d v="1899-12-30T12:32:38"/>
    <s v="FUTURE"/>
    <s v="BUY"/>
    <n v="4"/>
    <s v="TO OPEN"/>
    <x v="8"/>
    <d v="2020-09-20T00:00:00"/>
    <m/>
    <s v="FUTURE"/>
    <n v="3146"/>
    <n v="3146"/>
    <s v="LMT"/>
    <n v="5"/>
    <n v="78650"/>
    <n v="3146"/>
    <s v=""/>
  </r>
  <r>
    <x v="624"/>
    <x v="60"/>
    <s v="Wednesday"/>
    <d v="1899-12-30T12:45:21"/>
    <s v="FUTURE"/>
    <s v="BUY"/>
    <n v="1"/>
    <s v="TO OPEN"/>
    <x v="8"/>
    <d v="2020-09-20T00:00:00"/>
    <m/>
    <s v="FUTURE"/>
    <n v="3142"/>
    <n v="3142"/>
    <s v="LMT"/>
    <n v="6"/>
    <n v="94360"/>
    <n v="3145.333333333333"/>
    <s v=""/>
  </r>
  <r>
    <x v="624"/>
    <x v="60"/>
    <s v="Wednesday"/>
    <d v="1899-12-30T12:57:59"/>
    <s v="FUTURE"/>
    <s v="SELL"/>
    <n v="-2"/>
    <s v="TO CLOSE"/>
    <x v="8"/>
    <d v="2020-09-20T00:00:00"/>
    <m/>
    <s v="FUTURE"/>
    <n v="3146.25"/>
    <n v="3146.25"/>
    <s v="LMT"/>
    <n v="4"/>
    <n v="62897.5"/>
    <n v="3144.875"/>
    <s v=""/>
  </r>
  <r>
    <x v="624"/>
    <x v="60"/>
    <s v="Wednesday"/>
    <d v="1899-12-30T12:59:03"/>
    <s v="FUTURE"/>
    <s v="SELL"/>
    <n v="-1"/>
    <s v="TO CLOSE"/>
    <x v="8"/>
    <d v="2020-09-20T00:00:00"/>
    <m/>
    <s v="FUTURE"/>
    <n v="3147.75"/>
    <n v="3147.75"/>
    <s v="MKT"/>
    <n v="3"/>
    <n v="47158.75"/>
    <n v="3143.916666666667"/>
    <s v=""/>
  </r>
  <r>
    <x v="624"/>
    <x v="60"/>
    <s v="Wednesday"/>
    <d v="1899-12-30T13:03:08"/>
    <s v="FUTURE"/>
    <s v="SELL"/>
    <n v="-1"/>
    <s v="TO CLOSE"/>
    <x v="8"/>
    <d v="2020-09-20T00:00:00"/>
    <m/>
    <s v="FUTURE"/>
    <n v="3147.25"/>
    <n v="3147.25"/>
    <s v="MKT"/>
    <n v="2"/>
    <n v="31422.5"/>
    <n v="3142.25"/>
    <s v=""/>
  </r>
  <r>
    <x v="624"/>
    <x v="60"/>
    <s v="Wednesday"/>
    <d v="1899-12-30T13:04:40"/>
    <s v="FUTURE"/>
    <s v="SELL"/>
    <n v="-2"/>
    <s v="TO CLOSE"/>
    <x v="8"/>
    <d v="2020-09-20T00:00:00"/>
    <m/>
    <s v="FUTURE"/>
    <n v="3146.75"/>
    <n v="3146.75"/>
    <s v="LMT"/>
    <n v="0"/>
    <n v="0"/>
    <s v=""/>
    <n v="45"/>
  </r>
  <r>
    <x v="625"/>
    <x v="60"/>
    <s v="Wednesday"/>
    <d v="1899-12-30T09:19:53"/>
    <s v="STOCK"/>
    <s v="SELL"/>
    <n v="-100"/>
    <s v="TO OPEN"/>
    <x v="2"/>
    <m/>
    <m/>
    <s v="STOCK"/>
    <n v="33.01"/>
    <n v="33.01"/>
    <s v="LMT"/>
    <n v="-100"/>
    <n v="-3301"/>
    <n v="33.01"/>
    <s v=""/>
  </r>
  <r>
    <x v="625"/>
    <x v="60"/>
    <s v="Wednesday"/>
    <d v="1899-12-30T09:19:55"/>
    <s v="STOCK"/>
    <s v="SELL"/>
    <n v="-36"/>
    <s v="TO OPEN"/>
    <x v="2"/>
    <m/>
    <m/>
    <s v="STOCK"/>
    <n v="33.01"/>
    <n v="33.01"/>
    <s v="LMT"/>
    <n v="-136"/>
    <n v="-4489.3599999999997"/>
    <n v="33.01"/>
    <s v=""/>
  </r>
  <r>
    <x v="625"/>
    <x v="60"/>
    <s v="Wednesday"/>
    <d v="1899-12-30T09:20:20"/>
    <s v="STOCK"/>
    <s v="SELL"/>
    <n v="-100"/>
    <s v="TO OPEN"/>
    <x v="2"/>
    <m/>
    <m/>
    <s v="STOCK"/>
    <n v="33.01"/>
    <n v="33.01"/>
    <s v="LMT"/>
    <n v="-236"/>
    <n v="-7790.36"/>
    <n v="33.01"/>
    <s v=""/>
  </r>
  <r>
    <x v="625"/>
    <x v="60"/>
    <s v="Wednesday"/>
    <d v="1899-12-30T09:20:21"/>
    <s v="STOCK"/>
    <s v="SELL"/>
    <n v="-64"/>
    <s v="TO OPEN"/>
    <x v="2"/>
    <m/>
    <m/>
    <s v="STOCK"/>
    <n v="33.01"/>
    <n v="33.01"/>
    <s v="LMT"/>
    <n v="-300"/>
    <n v="-9903"/>
    <n v="33.01"/>
    <s v=""/>
  </r>
  <r>
    <x v="625"/>
    <x v="60"/>
    <s v="Wednesday"/>
    <d v="1899-12-30T09:34:51"/>
    <s v="STOCK"/>
    <s v="BUY"/>
    <n v="89"/>
    <s v="TO CLOSE"/>
    <x v="2"/>
    <m/>
    <m/>
    <s v="STOCK"/>
    <n v="32.67"/>
    <n v="32.67"/>
    <s v="LMT"/>
    <n v="-211"/>
    <n v="-6995.37"/>
    <n v="33.153412322274882"/>
    <s v=""/>
  </r>
  <r>
    <x v="625"/>
    <x v="60"/>
    <s v="Wednesday"/>
    <d v="1899-12-30T09:34:51"/>
    <s v="STOCK"/>
    <s v="BUY"/>
    <n v="11"/>
    <s v="TO CLOSE"/>
    <x v="2"/>
    <m/>
    <m/>
    <s v="STOCK"/>
    <n v="32.67"/>
    <n v="32.67"/>
    <s v="LMT"/>
    <n v="-200"/>
    <n v="-6636"/>
    <n v="33.18"/>
    <s v=""/>
  </r>
  <r>
    <x v="625"/>
    <x v="60"/>
    <s v="Wednesday"/>
    <d v="1899-12-30T09:48:48"/>
    <s v="STOCK"/>
    <s v="BUY"/>
    <n v="50"/>
    <s v="TO CLOSE"/>
    <x v="2"/>
    <m/>
    <m/>
    <s v="STOCK"/>
    <n v="32.547499999999999"/>
    <n v="32.547600000000003"/>
    <s v="MKT"/>
    <n v="-150"/>
    <n v="-5008.625"/>
    <n v="33.390833333333333"/>
    <s v=""/>
  </r>
  <r>
    <x v="625"/>
    <x v="60"/>
    <s v="Wednesday"/>
    <d v="1899-12-30T10:00:47"/>
    <s v="STOCK"/>
    <s v="BUY"/>
    <n v="50"/>
    <s v="TO CLOSE"/>
    <x v="2"/>
    <m/>
    <m/>
    <s v="STOCK"/>
    <n v="32.549999999999997"/>
    <n v="32.549999999999997"/>
    <s v="MKT"/>
    <n v="-100"/>
    <n v="-3381.125"/>
    <n v="33.811250000000001"/>
    <s v=""/>
  </r>
  <r>
    <x v="625"/>
    <x v="60"/>
    <s v="Wednesday"/>
    <d v="1899-12-30T10:33:03"/>
    <s v="STOCK"/>
    <s v="BUY"/>
    <n v="100"/>
    <s v="TO CLOSE"/>
    <x v="2"/>
    <m/>
    <m/>
    <s v="STOCK"/>
    <n v="32.867600000000003"/>
    <n v="32.867600000000003"/>
    <s v="MKT"/>
    <n v="0"/>
    <n v="0"/>
    <s v=""/>
    <n v="94.36499999999981"/>
  </r>
  <r>
    <x v="626"/>
    <x v="60"/>
    <s v="Wednesday"/>
    <d v="1899-12-30T10:33:03"/>
    <s v="STOCK"/>
    <s v="BUY"/>
    <n v="200"/>
    <s v="TO OPEN"/>
    <x v="2"/>
    <m/>
    <m/>
    <s v="STOCK"/>
    <n v="32.867600000000003"/>
    <n v="32.867600000000003"/>
    <s v="MKT"/>
    <n v="200"/>
    <n v="6573.52"/>
    <n v="32.867600000000003"/>
    <s v=""/>
  </r>
  <r>
    <x v="626"/>
    <x v="60"/>
    <s v="Wednesday"/>
    <d v="1899-12-30T10:41:06"/>
    <s v="STOCK"/>
    <s v="SELL"/>
    <n v="-100"/>
    <s v="TO CLOSE"/>
    <x v="2"/>
    <m/>
    <m/>
    <s v="STOCK"/>
    <n v="33.010100000000001"/>
    <n v="33.010100000000001"/>
    <s v="LMT"/>
    <n v="100"/>
    <n v="3272.51"/>
    <n v="32.725100000000005"/>
    <s v=""/>
  </r>
  <r>
    <x v="626"/>
    <x v="60"/>
    <s v="Wednesday"/>
    <d v="1899-12-30T10:41:06"/>
    <s v="STOCK"/>
    <s v="SELL"/>
    <n v="-100"/>
    <s v="TO CLOSE"/>
    <x v="2"/>
    <m/>
    <m/>
    <s v="STOCK"/>
    <n v="33.010100000000001"/>
    <n v="33.010100000000001"/>
    <s v="LMT"/>
    <n v="0"/>
    <n v="0"/>
    <s v=""/>
    <n v="28.499999999999659"/>
  </r>
  <r>
    <x v="627"/>
    <x v="61"/>
    <s v="Thursday"/>
    <d v="1899-12-30T10:03:25"/>
    <s v="FUTURE"/>
    <s v="BUY"/>
    <n v="1"/>
    <s v="TO OPEN"/>
    <x v="6"/>
    <d v="2020-08-20T00:00:00"/>
    <m/>
    <s v="FUTURE"/>
    <n v="40.54"/>
    <n v="40.54"/>
    <s v="MKT"/>
    <n v="1"/>
    <n v="40540"/>
    <n v="40.54"/>
    <s v=""/>
  </r>
  <r>
    <x v="627"/>
    <x v="61"/>
    <s v="Thursday"/>
    <d v="1899-12-30T10:05:09"/>
    <s v="FUTURE"/>
    <s v="SELL"/>
    <n v="-1"/>
    <s v="TO CLOSE"/>
    <x v="6"/>
    <d v="2020-08-20T00:00:00"/>
    <m/>
    <s v="FUTURE"/>
    <n v="40.549999999999997"/>
    <n v="40.549999999999997"/>
    <s v="LMT"/>
    <n v="0"/>
    <n v="0"/>
    <s v=""/>
    <n v="9.9999999999980105"/>
  </r>
  <r>
    <x v="628"/>
    <x v="61"/>
    <s v="Thursday"/>
    <d v="1899-12-30T10:37:06"/>
    <s v="FUTURE"/>
    <s v="BUY"/>
    <n v="1"/>
    <s v="TO OPEN"/>
    <x v="6"/>
    <d v="2020-08-20T00:00:00"/>
    <m/>
    <s v="FUTURE"/>
    <n v="39.85"/>
    <n v="39.85"/>
    <s v="MKT"/>
    <n v="1"/>
    <n v="39850"/>
    <n v="39.85"/>
    <s v=""/>
  </r>
  <r>
    <x v="628"/>
    <x v="61"/>
    <s v="Thursday"/>
    <d v="1899-12-30T10:37:58"/>
    <s v="FUTURE"/>
    <s v="SELL"/>
    <n v="-1"/>
    <s v="TO CLOSE"/>
    <x v="6"/>
    <d v="2020-08-20T00:00:00"/>
    <m/>
    <s v="FUTURE"/>
    <n v="39.770000000000003"/>
    <n v="39.770000000000003"/>
    <s v="MKT"/>
    <n v="0"/>
    <n v="0"/>
    <s v=""/>
    <n v="-79.999999999998295"/>
  </r>
  <r>
    <x v="629"/>
    <x v="61"/>
    <s v="Thursday"/>
    <d v="1899-12-30T10:47:22"/>
    <s v="FUTURE"/>
    <s v="BUY"/>
    <n v="1"/>
    <s v="TO OPEN"/>
    <x v="6"/>
    <d v="2020-08-20T00:00:00"/>
    <m/>
    <s v="FUTURE"/>
    <n v="39.450000000000003"/>
    <n v="39.450000000000003"/>
    <s v="LMT"/>
    <n v="1"/>
    <n v="39450"/>
    <n v="39.450000000000003"/>
    <s v=""/>
  </r>
  <r>
    <x v="629"/>
    <x v="61"/>
    <s v="Thursday"/>
    <d v="1899-12-30T10:53:17"/>
    <s v="FUTURE"/>
    <s v="SELL"/>
    <n v="-1"/>
    <s v="TO CLOSE"/>
    <x v="6"/>
    <d v="2020-08-20T00:00:00"/>
    <m/>
    <s v="FUTURE"/>
    <n v="39.630000000000003"/>
    <n v="39.630000000000003"/>
    <s v="LMT"/>
    <n v="0"/>
    <n v="0"/>
    <s v=""/>
    <n v="179.99999999999972"/>
  </r>
  <r>
    <x v="630"/>
    <x v="61"/>
    <s v="Thursday"/>
    <d v="1899-12-30T11:06:40"/>
    <s v="FUTURE"/>
    <s v="BUY"/>
    <n v="1"/>
    <s v="TO OPEN"/>
    <x v="6"/>
    <d v="2020-08-20T00:00:00"/>
    <m/>
    <s v="FUTURE"/>
    <n v="39.47"/>
    <n v="39.47"/>
    <s v="LMT"/>
    <n v="1"/>
    <n v="39470"/>
    <n v="39.47"/>
    <s v=""/>
  </r>
  <r>
    <x v="630"/>
    <x v="61"/>
    <s v="Thursday"/>
    <d v="1899-12-30T11:10:05"/>
    <s v="FUTURE"/>
    <s v="SELL"/>
    <n v="-1"/>
    <s v="TO CLOSE"/>
    <x v="6"/>
    <d v="2020-08-20T00:00:00"/>
    <m/>
    <s v="FUTURE"/>
    <n v="39.590000000000003"/>
    <n v="39.590000000000003"/>
    <s v="LMT"/>
    <n v="0"/>
    <n v="0"/>
    <s v=""/>
    <n v="120.00000000000455"/>
  </r>
  <r>
    <x v="631"/>
    <x v="61"/>
    <s v="Thursday"/>
    <d v="1899-12-30T10:15:31"/>
    <s v="FUTURE"/>
    <s v="SELL"/>
    <n v="-1"/>
    <s v="TO OPEN"/>
    <x v="7"/>
    <d v="2020-09-20T00:00:00"/>
    <m/>
    <s v="FUTURE"/>
    <n v="3153.75"/>
    <n v="3153.75"/>
    <s v="MKT"/>
    <n v="-1"/>
    <n v="-157687.5"/>
    <n v="3153.75"/>
    <s v=""/>
  </r>
  <r>
    <x v="631"/>
    <x v="61"/>
    <s v="Thursday"/>
    <d v="1899-12-30T10:17:04"/>
    <s v="FUTURE"/>
    <s v="BUY"/>
    <n v="1"/>
    <s v="TO CLOSE"/>
    <x v="7"/>
    <d v="2020-09-20T00:00:00"/>
    <m/>
    <s v="FUTURE"/>
    <n v="3150.25"/>
    <n v="3150.25"/>
    <s v="LMT"/>
    <n v="0"/>
    <n v="0"/>
    <s v=""/>
    <n v="175"/>
  </r>
  <r>
    <x v="632"/>
    <x v="61"/>
    <s v="Thursday"/>
    <d v="1899-12-30T10:22:19"/>
    <s v="FUTURE"/>
    <s v="SELL"/>
    <n v="-1"/>
    <s v="TO OPEN"/>
    <x v="7"/>
    <d v="2020-09-20T00:00:00"/>
    <m/>
    <s v="FUTURE"/>
    <n v="3151"/>
    <n v="3151"/>
    <s v="MKT"/>
    <n v="-1"/>
    <n v="-157550"/>
    <n v="3151"/>
    <s v=""/>
  </r>
  <r>
    <x v="632"/>
    <x v="61"/>
    <s v="Thursday"/>
    <d v="1899-12-30T10:23:40"/>
    <s v="FUTURE"/>
    <s v="BUY"/>
    <n v="1"/>
    <s v="TO CLOSE"/>
    <x v="7"/>
    <d v="2020-09-20T00:00:00"/>
    <m/>
    <s v="FUTURE"/>
    <n v="3150.75"/>
    <n v="3150.75"/>
    <s v="LMT"/>
    <n v="0"/>
    <n v="0"/>
    <s v=""/>
    <n v="12.5"/>
  </r>
  <r>
    <x v="633"/>
    <x v="61"/>
    <s v="Thursday"/>
    <d v="1899-12-30T10:31:33"/>
    <s v="FUTURE"/>
    <s v="BUY"/>
    <n v="1"/>
    <s v="TO OPEN"/>
    <x v="7"/>
    <d v="2020-09-20T00:00:00"/>
    <m/>
    <s v="FUTURE"/>
    <n v="3151.25"/>
    <n v="3151.25"/>
    <s v="LMT"/>
    <n v="1"/>
    <n v="157562.5"/>
    <n v="3151.25"/>
    <s v=""/>
  </r>
  <r>
    <x v="633"/>
    <x v="61"/>
    <s v="Thursday"/>
    <d v="1899-12-30T10:33:04"/>
    <s v="FUTURE"/>
    <s v="SELL"/>
    <n v="-1"/>
    <s v="TO CLOSE"/>
    <x v="7"/>
    <d v="2020-09-20T00:00:00"/>
    <m/>
    <s v="FUTURE"/>
    <n v="3151.5"/>
    <n v="3151.5"/>
    <s v="STP"/>
    <n v="0"/>
    <n v="0"/>
    <s v=""/>
    <n v="12.5"/>
  </r>
  <r>
    <x v="634"/>
    <x v="61"/>
    <s v="Thursday"/>
    <d v="1899-12-30T10:50:33"/>
    <s v="FUTURE"/>
    <s v="BUY"/>
    <n v="1"/>
    <s v="TO OPEN"/>
    <x v="7"/>
    <d v="2020-09-20T00:00:00"/>
    <m/>
    <s v="FUTURE"/>
    <n v="3132"/>
    <n v="3132"/>
    <s v="MKT"/>
    <n v="1"/>
    <n v="156600"/>
    <n v="3132"/>
    <s v=""/>
  </r>
  <r>
    <x v="634"/>
    <x v="61"/>
    <s v="Thursday"/>
    <d v="1899-12-30T10:54:59"/>
    <s v="FUTURE"/>
    <s v="SELL"/>
    <n v="-1"/>
    <s v="TO CLOSE"/>
    <x v="7"/>
    <d v="2020-09-20T00:00:00"/>
    <m/>
    <s v="FUTURE"/>
    <n v="3130.25"/>
    <n v="3130.25"/>
    <s v="STP"/>
    <n v="0"/>
    <n v="0"/>
    <s v=""/>
    <n v="-87.5"/>
  </r>
  <r>
    <x v="635"/>
    <x v="61"/>
    <s v="Thursday"/>
    <d v="1899-12-30T10:57:18"/>
    <s v="FUTURE"/>
    <s v="BUY"/>
    <n v="1"/>
    <s v="TO OPEN"/>
    <x v="7"/>
    <d v="2020-09-20T00:00:00"/>
    <m/>
    <s v="FUTURE"/>
    <n v="3127.25"/>
    <n v="3127.25"/>
    <s v="MKT"/>
    <n v="1"/>
    <n v="156362.5"/>
    <n v="3127.25"/>
    <s v=""/>
  </r>
  <r>
    <x v="635"/>
    <x v="61"/>
    <s v="Thursday"/>
    <d v="1899-12-30T10:58:27"/>
    <s v="FUTURE"/>
    <s v="SELL"/>
    <n v="-1"/>
    <s v="TO CLOSE"/>
    <x v="7"/>
    <d v="2020-09-20T00:00:00"/>
    <m/>
    <s v="FUTURE"/>
    <n v="3122.25"/>
    <n v="3122.25"/>
    <s v="STP"/>
    <n v="0"/>
    <n v="0"/>
    <s v=""/>
    <n v="-250"/>
  </r>
  <r>
    <x v="636"/>
    <x v="61"/>
    <s v="Thursday"/>
    <d v="1899-12-30T11:00:12"/>
    <s v="FUTURE"/>
    <s v="BUY"/>
    <n v="1"/>
    <s v="TO OPEN"/>
    <x v="7"/>
    <d v="2020-09-20T00:00:00"/>
    <m/>
    <s v="FUTURE"/>
    <n v="3118.75"/>
    <n v="3118.75"/>
    <s v="MKT"/>
    <n v="1"/>
    <n v="155937.5"/>
    <n v="3118.75"/>
    <s v=""/>
  </r>
  <r>
    <x v="636"/>
    <x v="61"/>
    <s v="Thursday"/>
    <d v="1899-12-30T11:15:35"/>
    <s v="FUTURE"/>
    <s v="SELL"/>
    <n v="-1"/>
    <s v="TO CLOSE"/>
    <x v="7"/>
    <d v="2020-09-20T00:00:00"/>
    <m/>
    <s v="FUTURE"/>
    <n v="3119.75"/>
    <n v="3119.75"/>
    <s v="STP"/>
    <n v="0"/>
    <n v="0"/>
    <s v=""/>
    <n v="50"/>
  </r>
  <r>
    <x v="637"/>
    <x v="61"/>
    <s v="Thursday"/>
    <d v="1899-12-30T11:20:24"/>
    <s v="FUTURE"/>
    <s v="BUY"/>
    <n v="1"/>
    <s v="TO OPEN"/>
    <x v="7"/>
    <d v="2020-09-20T00:00:00"/>
    <m/>
    <s v="FUTURE"/>
    <n v="3111.25"/>
    <n v="3111.25"/>
    <s v="LMT"/>
    <n v="1"/>
    <n v="155562.5"/>
    <n v="3111.25"/>
    <s v=""/>
  </r>
  <r>
    <x v="637"/>
    <x v="61"/>
    <s v="Thursday"/>
    <d v="1899-12-30T11:34:33"/>
    <s v="FUTURE"/>
    <s v="SELL"/>
    <n v="-1"/>
    <s v="TO CLOSE"/>
    <x v="7"/>
    <d v="2020-09-20T00:00:00"/>
    <m/>
    <s v="FUTURE"/>
    <n v="3118.75"/>
    <n v="3118.75"/>
    <s v="LMT"/>
    <n v="0"/>
    <n v="0"/>
    <s v=""/>
    <n v="375"/>
  </r>
  <r>
    <x v="638"/>
    <x v="62"/>
    <s v="Friday"/>
    <d v="1899-12-30T10:02:01"/>
    <s v="FUTURE"/>
    <s v="SELL"/>
    <n v="-1"/>
    <s v="TO OPEN"/>
    <x v="6"/>
    <d v="2020-08-20T00:00:00"/>
    <m/>
    <s v="FUTURE"/>
    <n v="39.82"/>
    <n v="39.82"/>
    <s v="LMT"/>
    <n v="-1"/>
    <n v="-39820"/>
    <n v="39.82"/>
    <s v=""/>
  </r>
  <r>
    <x v="638"/>
    <x v="62"/>
    <s v="Friday"/>
    <d v="1899-12-30T10:11:07"/>
    <s v="FUTURE"/>
    <s v="BUY"/>
    <n v="1"/>
    <s v="TO CLOSE"/>
    <x v="6"/>
    <d v="2020-08-20T00:00:00"/>
    <m/>
    <s v="FUTURE"/>
    <n v="39.82"/>
    <n v="39.82"/>
    <s v="STP"/>
    <n v="0"/>
    <n v="0"/>
    <s v=""/>
    <n v="0"/>
  </r>
  <r>
    <x v="639"/>
    <x v="62"/>
    <s v="Friday"/>
    <d v="1899-12-30T10:18:50"/>
    <s v="FUTURE"/>
    <s v="SELL"/>
    <n v="-1"/>
    <s v="TO OPEN"/>
    <x v="6"/>
    <d v="2020-08-20T00:00:00"/>
    <m/>
    <s v="FUTURE"/>
    <n v="39.81"/>
    <n v="39.81"/>
    <s v="MKT"/>
    <n v="-1"/>
    <n v="-39810"/>
    <n v="39.81"/>
    <s v=""/>
  </r>
  <r>
    <x v="639"/>
    <x v="62"/>
    <s v="Friday"/>
    <d v="1899-12-30T10:26:16"/>
    <s v="FUTURE"/>
    <s v="BUY"/>
    <n v="1"/>
    <s v="TO CLOSE"/>
    <x v="6"/>
    <d v="2020-08-20T00:00:00"/>
    <m/>
    <s v="FUTURE"/>
    <n v="39.75"/>
    <n v="39.75"/>
    <s v="MKT"/>
    <n v="0"/>
    <n v="0"/>
    <s v=""/>
    <n v="60.000000000002274"/>
  </r>
  <r>
    <x v="640"/>
    <x v="62"/>
    <s v="Friday"/>
    <d v="1899-12-30T10:34:28"/>
    <s v="FUTURE"/>
    <s v="BUY"/>
    <n v="1"/>
    <s v="TO OPEN"/>
    <x v="6"/>
    <d v="2020-08-20T00:00:00"/>
    <m/>
    <s v="FUTURE"/>
    <n v="39.880000000000003"/>
    <n v="39.880000000000003"/>
    <s v="LMT"/>
    <n v="1"/>
    <n v="39880"/>
    <n v="39.880000000000003"/>
    <s v=""/>
  </r>
  <r>
    <x v="640"/>
    <x v="62"/>
    <s v="Friday"/>
    <d v="1899-12-30T10:39:32"/>
    <s v="FUTURE"/>
    <s v="SELL"/>
    <n v="-1"/>
    <s v="TO CLOSE"/>
    <x v="6"/>
    <d v="2020-08-20T00:00:00"/>
    <m/>
    <s v="FUTURE"/>
    <n v="39.89"/>
    <n v="39.89"/>
    <s v="LMT"/>
    <n v="0"/>
    <n v="0"/>
    <s v=""/>
    <n v="9.9999999999980105"/>
  </r>
  <r>
    <x v="641"/>
    <x v="62"/>
    <s v="Friday"/>
    <d v="1899-12-30T10:49:14"/>
    <s v="FUTURE"/>
    <s v="BUY"/>
    <n v="1"/>
    <s v="TO OPEN"/>
    <x v="6"/>
    <d v="2020-08-20T00:00:00"/>
    <m/>
    <s v="FUTURE"/>
    <n v="40.07"/>
    <n v="40.07"/>
    <s v="MKT"/>
    <n v="1"/>
    <n v="40070"/>
    <n v="40.07"/>
    <s v=""/>
  </r>
  <r>
    <x v="641"/>
    <x v="62"/>
    <s v="Friday"/>
    <d v="1899-12-30T10:49:35"/>
    <s v="FUTURE"/>
    <s v="SELL"/>
    <n v="-1"/>
    <s v="TO CLOSE"/>
    <x v="6"/>
    <d v="2020-08-20T00:00:00"/>
    <m/>
    <s v="FUTURE"/>
    <n v="40.090000000000003"/>
    <n v="40.090000000000003"/>
    <s v="LMT"/>
    <n v="0"/>
    <n v="0"/>
    <s v=""/>
    <n v="20.000000000003126"/>
  </r>
  <r>
    <x v="642"/>
    <x v="62"/>
    <s v="Friday"/>
    <d v="1899-12-30T10:56:44"/>
    <s v="FUTURE"/>
    <s v="SELL"/>
    <n v="-1"/>
    <s v="TO OPEN"/>
    <x v="6"/>
    <d v="2020-08-20T00:00:00"/>
    <m/>
    <s v="FUTURE"/>
    <n v="40.01"/>
    <n v="40.01"/>
    <s v="MKT"/>
    <n v="-1"/>
    <n v="-40010"/>
    <n v="40.01"/>
    <s v=""/>
  </r>
  <r>
    <x v="642"/>
    <x v="62"/>
    <s v="Friday"/>
    <d v="1899-12-30T11:09:26"/>
    <s v="FUTURE"/>
    <s v="BUY"/>
    <n v="2"/>
    <s v="TO CLOSE"/>
    <x v="6"/>
    <d v="2020-08-20T00:00:00"/>
    <m/>
    <s v="FUTURE"/>
    <n v="40.119999999999997"/>
    <n v="40.119999999999997"/>
    <s v="MKT"/>
    <n v="1"/>
    <n v="40230"/>
    <n v="40.229999999999997"/>
    <s v=""/>
  </r>
  <r>
    <x v="642"/>
    <x v="62"/>
    <s v="Friday"/>
    <d v="1899-12-30T11:18:39"/>
    <s v="FUTURE"/>
    <s v="SELL"/>
    <n v="-1"/>
    <s v="TO CLOSE"/>
    <x v="6"/>
    <d v="2020-08-20T00:00:00"/>
    <m/>
    <s v="FUTURE"/>
    <n v="40.24"/>
    <n v="40.24"/>
    <s v="LMT"/>
    <n v="0"/>
    <n v="0"/>
    <s v=""/>
    <n v="10.000000000005116"/>
  </r>
  <r>
    <x v="643"/>
    <x v="62"/>
    <s v="Friday"/>
    <d v="1899-12-30T11:25:32"/>
    <s v="FUTURE"/>
    <s v="SELL"/>
    <n v="-1"/>
    <s v="TO OPEN"/>
    <x v="6"/>
    <d v="2020-08-20T00:00:00"/>
    <m/>
    <s v="FUTURE"/>
    <n v="40.200000000000003"/>
    <n v="40.200000000000003"/>
    <s v="LMT"/>
    <n v="-1"/>
    <n v="-40200"/>
    <n v="40.200000000000003"/>
    <s v=""/>
  </r>
  <r>
    <x v="643"/>
    <x v="62"/>
    <s v="Friday"/>
    <d v="1899-12-30T11:27:13"/>
    <s v="FUTURE"/>
    <s v="BUY"/>
    <n v="1"/>
    <s v="TO CLOSE"/>
    <x v="6"/>
    <d v="2020-08-20T00:00:00"/>
    <m/>
    <s v="FUTURE"/>
    <n v="40.18"/>
    <n v="40.18"/>
    <s v="LMT"/>
    <n v="0"/>
    <n v="0"/>
    <s v=""/>
    <n v="20.000000000003126"/>
  </r>
  <r>
    <x v="644"/>
    <x v="62"/>
    <s v="Friday"/>
    <d v="1899-12-30T11:32:13"/>
    <s v="FUTURE"/>
    <s v="SELL"/>
    <n v="-1"/>
    <s v="TO OPEN"/>
    <x v="6"/>
    <d v="2020-08-20T00:00:00"/>
    <m/>
    <s v="FUTURE"/>
    <n v="40.159999999999997"/>
    <n v="40.159999999999997"/>
    <s v="LMT"/>
    <n v="-1"/>
    <n v="-40160"/>
    <n v="40.159999999999997"/>
    <s v=""/>
  </r>
  <r>
    <x v="644"/>
    <x v="62"/>
    <s v="Friday"/>
    <d v="1899-12-30T11:35:32"/>
    <s v="FUTURE"/>
    <s v="BUY"/>
    <n v="1"/>
    <s v="TO CLOSE"/>
    <x v="6"/>
    <d v="2020-08-20T00:00:00"/>
    <m/>
    <s v="FUTURE"/>
    <n v="40.15"/>
    <n v="40.15"/>
    <s v="LMT"/>
    <n v="0"/>
    <n v="0"/>
    <s v=""/>
    <n v="9.9999999999980105"/>
  </r>
  <r>
    <x v="645"/>
    <x v="62"/>
    <s v="Friday"/>
    <d v="1899-12-30T11:39:25"/>
    <s v="FUTURE"/>
    <s v="SELL"/>
    <n v="-1"/>
    <s v="TO OPEN"/>
    <x v="6"/>
    <d v="2020-08-20T00:00:00"/>
    <m/>
    <s v="FUTURE"/>
    <n v="40.14"/>
    <n v="40.14"/>
    <s v="LMT"/>
    <n v="-1"/>
    <n v="-40140"/>
    <n v="40.14"/>
    <s v=""/>
  </r>
  <r>
    <x v="645"/>
    <x v="62"/>
    <s v="Friday"/>
    <d v="1899-12-30T11:41:26"/>
    <s v="FUTURE"/>
    <s v="BUY"/>
    <n v="1"/>
    <s v="TO CLOSE"/>
    <x v="6"/>
    <d v="2020-08-20T00:00:00"/>
    <m/>
    <s v="FUTURE"/>
    <n v="40.119999999999997"/>
    <n v="40.119999999999997"/>
    <s v="LMT"/>
    <n v="0"/>
    <n v="0"/>
    <s v=""/>
    <n v="20.000000000003126"/>
  </r>
  <r>
    <x v="646"/>
    <x v="62"/>
    <s v="Friday"/>
    <d v="1899-12-30T11:53:53"/>
    <s v="FUTURE"/>
    <s v="SELL"/>
    <n v="-1"/>
    <s v="TO OPEN"/>
    <x v="6"/>
    <d v="2020-08-20T00:00:00"/>
    <m/>
    <s v="FUTURE"/>
    <n v="40.19"/>
    <n v="40.19"/>
    <s v="LMT"/>
    <n v="-1"/>
    <n v="-40190"/>
    <n v="40.19"/>
    <s v=""/>
  </r>
  <r>
    <x v="646"/>
    <x v="62"/>
    <s v="Friday"/>
    <d v="1899-12-30T11:56:21"/>
    <s v="FUTURE"/>
    <s v="BUY"/>
    <n v="1"/>
    <s v="TO CLOSE"/>
    <x v="6"/>
    <d v="2020-08-20T00:00:00"/>
    <m/>
    <s v="FUTURE"/>
    <n v="40.17"/>
    <n v="40.17"/>
    <s v="LMT"/>
    <n v="0"/>
    <n v="0"/>
    <s v=""/>
    <n v="19.999999999996021"/>
  </r>
  <r>
    <x v="647"/>
    <x v="62"/>
    <s v="Friday"/>
    <d v="1899-12-30T10:03:08"/>
    <s v="FUTURE"/>
    <s v="SELL"/>
    <n v="-1"/>
    <s v="TO OPEN"/>
    <x v="7"/>
    <d v="2020-09-20T00:00:00"/>
    <m/>
    <s v="FUTURE"/>
    <n v="3128.5"/>
    <n v="3128.5"/>
    <s v="LMT"/>
    <n v="-1"/>
    <n v="-156425"/>
    <n v="3128.5"/>
    <s v=""/>
  </r>
  <r>
    <x v="647"/>
    <x v="62"/>
    <s v="Friday"/>
    <d v="1899-12-30T10:11:05"/>
    <s v="FUTURE"/>
    <s v="BUY"/>
    <n v="1"/>
    <s v="TO CLOSE"/>
    <x v="7"/>
    <d v="2020-09-20T00:00:00"/>
    <m/>
    <s v="FUTURE"/>
    <n v="3139.5"/>
    <n v="3139.5"/>
    <s v="MKT"/>
    <n v="0"/>
    <n v="0"/>
    <s v=""/>
    <n v="-550"/>
  </r>
  <r>
    <x v="648"/>
    <x v="62"/>
    <s v="Friday"/>
    <d v="1899-12-30T10:14:47"/>
    <s v="FUTURE"/>
    <s v="BUY"/>
    <n v="2"/>
    <s v="TO OPEN"/>
    <x v="7"/>
    <d v="2020-09-20T00:00:00"/>
    <m/>
    <s v="FUTURE"/>
    <n v="3143.75"/>
    <n v="3143.75"/>
    <s v="MKT"/>
    <n v="2"/>
    <n v="314375"/>
    <n v="3143.75"/>
    <s v=""/>
  </r>
  <r>
    <x v="648"/>
    <x v="62"/>
    <s v="Friday"/>
    <d v="1899-12-30T10:15:11"/>
    <s v="FUTURE"/>
    <s v="SELL"/>
    <n v="-1"/>
    <s v="TO CLOSE"/>
    <x v="7"/>
    <d v="2020-09-20T00:00:00"/>
    <m/>
    <s v="FUTURE"/>
    <n v="3145.75"/>
    <n v="3145.75"/>
    <s v="LMT"/>
    <n v="1"/>
    <n v="157087.5"/>
    <n v="3141.75"/>
    <s v=""/>
  </r>
  <r>
    <x v="648"/>
    <x v="62"/>
    <s v="Friday"/>
    <d v="1899-12-30T10:22:46"/>
    <s v="FUTURE"/>
    <s v="SELL"/>
    <n v="-1"/>
    <s v="TO CLOSE"/>
    <x v="7"/>
    <d v="2020-09-20T00:00:00"/>
    <m/>
    <s v="FUTURE"/>
    <n v="3138.75"/>
    <n v="3138.75"/>
    <s v="STP"/>
    <n v="0"/>
    <n v="0"/>
    <s v=""/>
    <n v="-150"/>
  </r>
  <r>
    <x v="649"/>
    <x v="62"/>
    <s v="Friday"/>
    <d v="1899-12-30T10:23:19"/>
    <s v="FUTURE"/>
    <s v="SELL"/>
    <n v="-1"/>
    <s v="TO OPEN"/>
    <x v="7"/>
    <d v="2020-09-20T00:00:00"/>
    <m/>
    <s v="FUTURE"/>
    <n v="3139.25"/>
    <n v="3139.25"/>
    <s v="LMT"/>
    <n v="-1"/>
    <n v="-156962.5"/>
    <n v="3139.25"/>
    <s v=""/>
  </r>
  <r>
    <x v="649"/>
    <x v="62"/>
    <s v="Friday"/>
    <d v="1899-12-30T10:26:22"/>
    <s v="FUTURE"/>
    <s v="BUY"/>
    <n v="2"/>
    <s v="TO CLOSE"/>
    <x v="7"/>
    <d v="2020-09-20T00:00:00"/>
    <m/>
    <s v="FUTURE"/>
    <n v="3145.25"/>
    <n v="3145.25"/>
    <s v="MKT"/>
    <n v="1"/>
    <n v="157562.5"/>
    <n v="3151.25"/>
    <s v=""/>
  </r>
  <r>
    <x v="649"/>
    <x v="62"/>
    <s v="Friday"/>
    <d v="1899-12-30T10:48:14"/>
    <s v="FUTURE"/>
    <s v="SELL"/>
    <n v="-1"/>
    <s v="TO CLOSE"/>
    <x v="7"/>
    <d v="2020-09-20T00:00:00"/>
    <m/>
    <s v="FUTURE"/>
    <n v="3149.25"/>
    <n v="3149.25"/>
    <s v="STP"/>
    <n v="0"/>
    <n v="0"/>
    <s v=""/>
    <n v="-100"/>
  </r>
  <r>
    <x v="650"/>
    <x v="62"/>
    <s v="Friday"/>
    <d v="1899-12-30T10:53:11"/>
    <s v="FUTURE"/>
    <s v="SELL"/>
    <n v="-1"/>
    <s v="TO OPEN"/>
    <x v="7"/>
    <d v="2020-09-20T00:00:00"/>
    <m/>
    <s v="FUTURE"/>
    <n v="3148.25"/>
    <n v="3148.25"/>
    <s v="MKT"/>
    <n v="-1"/>
    <n v="-157412.5"/>
    <n v="3148.25"/>
    <s v=""/>
  </r>
  <r>
    <x v="650"/>
    <x v="62"/>
    <s v="Friday"/>
    <d v="1899-12-30T11:06:57"/>
    <s v="FUTURE"/>
    <s v="BUY"/>
    <n v="1"/>
    <s v="TO CLOSE"/>
    <x v="7"/>
    <d v="2020-09-20T00:00:00"/>
    <m/>
    <s v="FUTURE"/>
    <n v="3146.25"/>
    <n v="3146.25"/>
    <s v="MKT"/>
    <n v="0"/>
    <n v="0"/>
    <s v=""/>
    <n v="100"/>
  </r>
  <r>
    <x v="651"/>
    <x v="62"/>
    <s v="Friday"/>
    <d v="1899-12-30T11:28:21"/>
    <s v="FUTURE"/>
    <s v="SELL"/>
    <n v="-1"/>
    <s v="TO OPEN"/>
    <x v="7"/>
    <d v="2020-09-20T00:00:00"/>
    <m/>
    <s v="FUTURE"/>
    <n v="3152.25"/>
    <n v="3152.25"/>
    <s v="LMT"/>
    <n v="-1"/>
    <n v="-157612.5"/>
    <n v="3152.25"/>
    <s v=""/>
  </r>
  <r>
    <x v="651"/>
    <x v="62"/>
    <s v="Friday"/>
    <d v="1899-12-30T11:29:32"/>
    <s v="FUTURE"/>
    <s v="BUY"/>
    <n v="1"/>
    <s v="TO CLOSE"/>
    <x v="7"/>
    <d v="2020-09-20T00:00:00"/>
    <m/>
    <s v="FUTURE"/>
    <n v="3151.25"/>
    <n v="3151.25"/>
    <s v="LMT"/>
    <n v="0"/>
    <n v="0"/>
    <s v=""/>
    <n v="50"/>
  </r>
  <r>
    <x v="652"/>
    <x v="62"/>
    <s v="Friday"/>
    <d v="1899-12-30T11:34:55"/>
    <s v="FUTURE"/>
    <s v="SELL"/>
    <n v="-1"/>
    <s v="TO OPEN"/>
    <x v="7"/>
    <d v="2020-09-20T00:00:00"/>
    <m/>
    <s v="FUTURE"/>
    <n v="3148.75"/>
    <n v="3148.75"/>
    <s v="LMT"/>
    <n v="-1"/>
    <n v="-157437.5"/>
    <n v="3148.75"/>
    <s v=""/>
  </r>
  <r>
    <x v="652"/>
    <x v="62"/>
    <s v="Friday"/>
    <d v="1899-12-30T11:39:09"/>
    <s v="FUTURE"/>
    <s v="BUY"/>
    <n v="1"/>
    <s v="TO CLOSE"/>
    <x v="7"/>
    <d v="2020-09-20T00:00:00"/>
    <m/>
    <s v="FUTURE"/>
    <n v="3152.75"/>
    <n v="3152.75"/>
    <s v="LMT"/>
    <n v="0"/>
    <n v="0"/>
    <s v=""/>
    <n v="-200"/>
  </r>
  <r>
    <x v="653"/>
    <x v="62"/>
    <s v="Friday"/>
    <d v="1899-12-30T11:41:34"/>
    <s v="FUTURE"/>
    <s v="BUY"/>
    <n v="1"/>
    <s v="TO OPEN"/>
    <x v="7"/>
    <d v="2020-09-20T00:00:00"/>
    <m/>
    <s v="FUTURE"/>
    <n v="3155.25"/>
    <n v="3155.25"/>
    <s v="MKT"/>
    <n v="1"/>
    <n v="157762.5"/>
    <n v="3155.25"/>
    <s v=""/>
  </r>
  <r>
    <x v="653"/>
    <x v="62"/>
    <s v="Friday"/>
    <d v="1899-12-30T11:52:20"/>
    <s v="FUTURE"/>
    <s v="SELL"/>
    <n v="-1"/>
    <s v="TO CLOSE"/>
    <x v="7"/>
    <d v="2020-09-20T00:00:00"/>
    <m/>
    <s v="FUTURE"/>
    <n v="3155.25"/>
    <n v="3155.25"/>
    <s v="LMT"/>
    <n v="0"/>
    <n v="0"/>
    <s v=""/>
    <n v="0"/>
  </r>
  <r>
    <x v="654"/>
    <x v="62"/>
    <s v="Friday"/>
    <d v="1899-12-30T11:57:44"/>
    <s v="FUTURE"/>
    <s v="SELL"/>
    <n v="-1"/>
    <s v="TO OPEN"/>
    <x v="7"/>
    <d v="2020-09-20T00:00:00"/>
    <m/>
    <s v="FUTURE"/>
    <n v="3155.5"/>
    <n v="3155.5"/>
    <s v="LMT"/>
    <n v="-1"/>
    <n v="-157775"/>
    <n v="3155.5"/>
    <s v=""/>
  </r>
  <r>
    <x v="654"/>
    <x v="62"/>
    <s v="Friday"/>
    <d v="1899-12-30T12:10:42"/>
    <s v="FUTURE"/>
    <s v="BUY"/>
    <n v="2"/>
    <s v="TO CLOSE"/>
    <x v="7"/>
    <d v="2020-09-20T00:00:00"/>
    <m/>
    <s v="FUTURE"/>
    <n v="3159.75"/>
    <n v="3159.75"/>
    <s v="MKT"/>
    <n v="1"/>
    <n v="158200"/>
    <n v="3164"/>
    <s v=""/>
  </r>
  <r>
    <x v="654"/>
    <x v="62"/>
    <s v="Friday"/>
    <d v="1899-12-30T12:20:01"/>
    <s v="FUTURE"/>
    <s v="SELL"/>
    <n v="-2"/>
    <s v="TO CLOSE"/>
    <x v="7"/>
    <d v="2020-09-20T00:00:00"/>
    <m/>
    <s v="FUTURE"/>
    <n v="3155.25"/>
    <n v="3155.25"/>
    <s v="LMT"/>
    <n v="-1"/>
    <n v="-157325"/>
    <n v="3146.5"/>
    <s v=""/>
  </r>
  <r>
    <x v="654"/>
    <x v="62"/>
    <s v="Friday"/>
    <d v="1899-12-30T12:23:50"/>
    <s v="FUTURE"/>
    <s v="SELL"/>
    <n v="-1"/>
    <s v="TO OPEN"/>
    <x v="7"/>
    <d v="2020-09-20T00:00:00"/>
    <m/>
    <s v="FUTURE"/>
    <n v="3151.5"/>
    <n v="3151.5"/>
    <s v="MKT"/>
    <n v="-2"/>
    <n v="-314900"/>
    <n v="3149"/>
    <s v=""/>
  </r>
  <r>
    <x v="654"/>
    <x v="62"/>
    <s v="Friday"/>
    <d v="1899-12-30T12:40:51"/>
    <s v="FUTURE"/>
    <s v="BUY"/>
    <n v="1"/>
    <s v="TO CLOSE"/>
    <x v="7"/>
    <d v="2020-09-20T00:00:00"/>
    <m/>
    <s v="FUTURE"/>
    <n v="3148.75"/>
    <n v="3148.75"/>
    <s v="LMT"/>
    <n v="-1"/>
    <n v="-157462.5"/>
    <n v="3149.25"/>
    <s v=""/>
  </r>
  <r>
    <x v="654"/>
    <x v="62"/>
    <s v="Friday"/>
    <d v="1899-12-30T12:42:34"/>
    <s v="FUTURE"/>
    <s v="BUY"/>
    <n v="1"/>
    <s v="TO CLOSE"/>
    <x v="7"/>
    <d v="2020-09-20T00:00:00"/>
    <m/>
    <s v="FUTURE"/>
    <n v="3151.25"/>
    <n v="3151.25"/>
    <s v="STP"/>
    <n v="0"/>
    <n v="0"/>
    <s v=""/>
    <n v="-100"/>
  </r>
  <r>
    <x v="655"/>
    <x v="62"/>
    <s v="Friday"/>
    <d v="1899-12-30T12:44:20"/>
    <s v="FUTURE"/>
    <s v="BUY"/>
    <n v="1"/>
    <s v="TO OPEN"/>
    <x v="7"/>
    <d v="2020-09-20T00:00:00"/>
    <m/>
    <s v="FUTURE"/>
    <n v="3152.5"/>
    <n v="3152.5"/>
    <s v="MKT"/>
    <n v="1"/>
    <n v="157625"/>
    <n v="3152.5"/>
    <s v=""/>
  </r>
  <r>
    <x v="655"/>
    <x v="62"/>
    <s v="Friday"/>
    <d v="1899-12-30T12:44:39"/>
    <s v="FUTURE"/>
    <s v="SELL"/>
    <n v="-1"/>
    <s v="TO CLOSE"/>
    <x v="7"/>
    <d v="2020-09-20T00:00:00"/>
    <m/>
    <s v="FUTURE"/>
    <n v="3153.5"/>
    <n v="3153.5"/>
    <s v="LMT"/>
    <n v="0"/>
    <n v="0"/>
    <s v=""/>
    <n v="50"/>
  </r>
  <r>
    <x v="656"/>
    <x v="62"/>
    <s v="Friday"/>
    <d v="1899-12-30T13:02:00"/>
    <s v="FUTURE"/>
    <s v="SELL"/>
    <n v="-1"/>
    <s v="TO OPEN"/>
    <x v="7"/>
    <d v="2020-09-20T00:00:00"/>
    <m/>
    <s v="FUTURE"/>
    <n v="3155.5"/>
    <n v="3155.5"/>
    <s v="MKT"/>
    <n v="-1"/>
    <n v="-157775"/>
    <n v="3155.5"/>
    <s v=""/>
  </r>
  <r>
    <x v="656"/>
    <x v="62"/>
    <s v="Friday"/>
    <d v="1899-12-30T13:08:07"/>
    <s v="FUTURE"/>
    <s v="BUY"/>
    <n v="1"/>
    <s v="TO CLOSE"/>
    <x v="7"/>
    <d v="2020-09-20T00:00:00"/>
    <m/>
    <s v="FUTURE"/>
    <n v="3157.5"/>
    <n v="3157.5"/>
    <s v="LMT"/>
    <n v="0"/>
    <n v="0"/>
    <s v=""/>
    <n v="-100"/>
  </r>
  <r>
    <x v="657"/>
    <x v="62"/>
    <s v="Friday"/>
    <d v="1899-12-30T13:14:24"/>
    <s v="FUTURE"/>
    <s v="SELL"/>
    <n v="-1"/>
    <s v="TO OPEN"/>
    <x v="7"/>
    <d v="2020-09-20T00:00:00"/>
    <m/>
    <s v="FUTURE"/>
    <n v="3156"/>
    <n v="3156"/>
    <s v="LMT"/>
    <n v="-1"/>
    <n v="-157800"/>
    <n v="3156"/>
    <s v=""/>
  </r>
  <r>
    <x v="657"/>
    <x v="62"/>
    <s v="Friday"/>
    <d v="1899-12-30T13:29:50"/>
    <s v="FUTURE"/>
    <s v="BUY"/>
    <n v="2"/>
    <s v="TO CLOSE"/>
    <x v="7"/>
    <d v="2020-09-20T00:00:00"/>
    <m/>
    <s v="FUTURE"/>
    <n v="3158.5"/>
    <n v="3158.5"/>
    <s v="MKT"/>
    <n v="1"/>
    <n v="158050"/>
    <n v="3161"/>
    <s v=""/>
  </r>
  <r>
    <x v="657"/>
    <x v="62"/>
    <s v="Friday"/>
    <d v="1899-12-30T13:34:14"/>
    <s v="FUTURE"/>
    <s v="SELL"/>
    <n v="-2"/>
    <s v="TO CLOSE"/>
    <x v="7"/>
    <d v="2020-09-20T00:00:00"/>
    <m/>
    <s v="FUTURE"/>
    <n v="3156.75"/>
    <n v="3156.75"/>
    <s v="MKT"/>
    <n v="-1"/>
    <n v="-157625"/>
    <n v="3152.5"/>
    <s v=""/>
  </r>
  <r>
    <x v="657"/>
    <x v="62"/>
    <s v="Friday"/>
    <d v="1899-12-30T13:39:30"/>
    <s v="FUTURE"/>
    <s v="BUY"/>
    <n v="1"/>
    <s v="TO CLOSE"/>
    <x v="7"/>
    <d v="2020-09-20T00:00:00"/>
    <m/>
    <s v="FUTURE"/>
    <n v="3159.5"/>
    <n v="3159.5"/>
    <s v="STP"/>
    <n v="0"/>
    <n v="0"/>
    <s v=""/>
    <n v="-350"/>
  </r>
  <r>
    <x v="658"/>
    <x v="62"/>
    <s v="Friday"/>
    <d v="1899-12-30T13:41:11"/>
    <s v="FUTURE"/>
    <s v="BUY"/>
    <n v="1"/>
    <s v="TO OPEN"/>
    <x v="7"/>
    <d v="2020-09-20T00:00:00"/>
    <m/>
    <s v="FUTURE"/>
    <n v="3162"/>
    <n v="3162"/>
    <s v="MKT"/>
    <n v="1"/>
    <n v="158100"/>
    <n v="3162"/>
    <s v=""/>
  </r>
  <r>
    <x v="658"/>
    <x v="62"/>
    <s v="Friday"/>
    <d v="1899-12-30T13:42:00"/>
    <s v="FUTURE"/>
    <s v="BUY"/>
    <n v="1"/>
    <s v="TO OPEN"/>
    <x v="7"/>
    <d v="2020-09-20T00:00:00"/>
    <m/>
    <s v="FUTURE"/>
    <n v="3161"/>
    <n v="3161"/>
    <s v="LMT"/>
    <n v="2"/>
    <n v="316150"/>
    <n v="3161.5"/>
    <s v=""/>
  </r>
  <r>
    <x v="658"/>
    <x v="62"/>
    <s v="Friday"/>
    <d v="1899-12-30T13:49:56"/>
    <s v="FUTURE"/>
    <s v="SELL"/>
    <n v="-1"/>
    <s v="TO CLOSE"/>
    <x v="7"/>
    <d v="2020-09-20T00:00:00"/>
    <m/>
    <s v="FUTURE"/>
    <n v="3163.5"/>
    <n v="3163.5"/>
    <s v="LMT"/>
    <n v="1"/>
    <n v="157975"/>
    <n v="3159.5"/>
    <s v=""/>
  </r>
  <r>
    <x v="658"/>
    <x v="62"/>
    <s v="Friday"/>
    <d v="1899-12-30T13:52:40"/>
    <s v="FUTURE"/>
    <s v="SELL"/>
    <n v="-1"/>
    <s v="TO CLOSE"/>
    <x v="7"/>
    <d v="2020-09-20T00:00:00"/>
    <m/>
    <s v="FUTURE"/>
    <n v="3165.25"/>
    <n v="3165.25"/>
    <s v="LMT"/>
    <n v="0"/>
    <n v="0"/>
    <s v=""/>
    <n v="287.5"/>
  </r>
  <r>
    <x v="659"/>
    <x v="62"/>
    <s v="Friday"/>
    <d v="1899-12-30T14:15:45"/>
    <s v="FUTURE"/>
    <s v="SELL"/>
    <n v="-1"/>
    <s v="TO OPEN"/>
    <x v="7"/>
    <d v="2020-09-20T00:00:00"/>
    <m/>
    <s v="FUTURE"/>
    <n v="3163.25"/>
    <n v="3163.25"/>
    <s v="LMT"/>
    <n v="-1"/>
    <n v="-158162.5"/>
    <n v="3163.25"/>
    <s v=""/>
  </r>
  <r>
    <x v="659"/>
    <x v="62"/>
    <s v="Friday"/>
    <d v="1899-12-30T14:27:42"/>
    <s v="FUTURE"/>
    <s v="BUY"/>
    <n v="1"/>
    <s v="TO CLOSE"/>
    <x v="7"/>
    <d v="2020-09-20T00:00:00"/>
    <m/>
    <s v="FUTURE"/>
    <n v="3162.75"/>
    <n v="3162.75"/>
    <s v="LMT"/>
    <n v="0"/>
    <n v="0"/>
    <s v=""/>
    <n v="25"/>
  </r>
  <r>
    <x v="660"/>
    <x v="62"/>
    <s v="Friday"/>
    <d v="1899-12-30T15:01:50"/>
    <s v="FUTURE"/>
    <s v="SELL"/>
    <n v="-1"/>
    <s v="TO OPEN"/>
    <x v="7"/>
    <d v="2020-09-20T00:00:00"/>
    <m/>
    <s v="FUTURE"/>
    <n v="3165"/>
    <n v="3165"/>
    <s v="LMT"/>
    <n v="-1"/>
    <n v="-158250"/>
    <n v="3165"/>
    <s v=""/>
  </r>
  <r>
    <x v="660"/>
    <x v="62"/>
    <s v="Friday"/>
    <d v="1899-12-30T15:18:55"/>
    <s v="FUTURE"/>
    <s v="BUY"/>
    <n v="1"/>
    <s v="TO CLOSE"/>
    <x v="7"/>
    <d v="2020-09-20T00:00:00"/>
    <m/>
    <s v="FUTURE"/>
    <n v="3172"/>
    <n v="3172"/>
    <s v="STP"/>
    <n v="0"/>
    <n v="0"/>
    <s v=""/>
    <n v="-350"/>
  </r>
  <r>
    <x v="661"/>
    <x v="63"/>
    <s v="Monday"/>
    <d v="1899-12-30T09:03:05"/>
    <s v="FUTURE"/>
    <s v="BUY"/>
    <n v="1"/>
    <s v="TO OPEN"/>
    <x v="6"/>
    <d v="2020-08-20T00:00:00"/>
    <m/>
    <s v="FUTURE"/>
    <n v="40.229999999999997"/>
    <n v="40.229999999999997"/>
    <s v="MKT"/>
    <n v="1"/>
    <n v="40230"/>
    <n v="40.229999999999997"/>
    <s v=""/>
  </r>
  <r>
    <x v="661"/>
    <x v="63"/>
    <s v="Monday"/>
    <d v="1899-12-30T09:27:32"/>
    <s v="FUTURE"/>
    <s v="SELL"/>
    <n v="-1"/>
    <s v="TO CLOSE"/>
    <x v="6"/>
    <d v="2020-08-20T00:00:00"/>
    <m/>
    <s v="FUTURE"/>
    <n v="40.44"/>
    <n v="40.44"/>
    <s v="LMT"/>
    <n v="0"/>
    <n v="0"/>
    <s v=""/>
    <n v="210.00000000000085"/>
  </r>
  <r>
    <x v="662"/>
    <x v="63"/>
    <s v="Monday"/>
    <d v="1899-12-30T10:12:17"/>
    <s v="FUTURE"/>
    <s v="BUY"/>
    <n v="1"/>
    <s v="TO OPEN"/>
    <x v="6"/>
    <d v="2020-08-20T00:00:00"/>
    <m/>
    <s v="FUTURE"/>
    <n v="40.229999999999997"/>
    <n v="40.229999999999997"/>
    <s v="MKT"/>
    <n v="1"/>
    <n v="40230"/>
    <n v="40.229999999999997"/>
    <s v=""/>
  </r>
  <r>
    <x v="662"/>
    <x v="63"/>
    <s v="Monday"/>
    <d v="1899-12-30T10:16:57"/>
    <s v="FUTURE"/>
    <s v="SELL"/>
    <n v="-1"/>
    <s v="TO CLOSE"/>
    <x v="6"/>
    <d v="2020-08-20T00:00:00"/>
    <m/>
    <s v="FUTURE"/>
    <n v="40.25"/>
    <n v="40.25"/>
    <s v="LMT"/>
    <n v="0"/>
    <n v="0"/>
    <s v=""/>
    <n v="20.000000000003126"/>
  </r>
  <r>
    <x v="663"/>
    <x v="63"/>
    <s v="Monday"/>
    <d v="1899-12-30T09:12:20"/>
    <s v="FUTURE"/>
    <s v="BUY"/>
    <n v="1"/>
    <s v="TO OPEN"/>
    <x v="7"/>
    <d v="2020-09-20T00:00:00"/>
    <m/>
    <s v="FUTURE"/>
    <n v="3201.25"/>
    <n v="3201.25"/>
    <s v="MKT"/>
    <n v="1"/>
    <n v="160062.5"/>
    <n v="3201.25"/>
    <s v=""/>
  </r>
  <r>
    <x v="663"/>
    <x v="63"/>
    <s v="Monday"/>
    <d v="1899-12-30T09:28:14"/>
    <s v="FUTURE"/>
    <s v="SELL"/>
    <n v="-1"/>
    <s v="TO CLOSE"/>
    <x v="7"/>
    <d v="2020-09-20T00:00:00"/>
    <m/>
    <s v="FUTURE"/>
    <n v="3201.5"/>
    <n v="3201.5"/>
    <s v="LMT"/>
    <n v="0"/>
    <n v="0"/>
    <s v=""/>
    <n v="12.5"/>
  </r>
  <r>
    <x v="664"/>
    <x v="63"/>
    <s v="Monday"/>
    <d v="1899-12-30T09:33:10"/>
    <s v="FUTURE"/>
    <s v="BUY"/>
    <n v="1"/>
    <s v="TO OPEN"/>
    <x v="7"/>
    <d v="2020-09-20T00:00:00"/>
    <m/>
    <s v="FUTURE"/>
    <n v="3203.25"/>
    <n v="3203.25"/>
    <s v="MKT"/>
    <n v="1"/>
    <n v="160162.5"/>
    <n v="3203.25"/>
    <s v=""/>
  </r>
  <r>
    <x v="664"/>
    <x v="63"/>
    <s v="Monday"/>
    <d v="1899-12-30T09:38:00"/>
    <s v="FUTURE"/>
    <s v="SELL"/>
    <n v="-1"/>
    <s v="TO CLOSE"/>
    <x v="7"/>
    <d v="2020-09-20T00:00:00"/>
    <m/>
    <s v="FUTURE"/>
    <n v="3197.25"/>
    <n v="3197.25"/>
    <s v="STP"/>
    <n v="0"/>
    <n v="0"/>
    <s v=""/>
    <n v="-300"/>
  </r>
  <r>
    <x v="665"/>
    <x v="63"/>
    <s v="Monday"/>
    <d v="1899-12-30T09:42:39"/>
    <s v="FUTURE"/>
    <s v="BUY"/>
    <n v="1"/>
    <s v="TO OPEN"/>
    <x v="7"/>
    <d v="2020-09-20T00:00:00"/>
    <m/>
    <s v="FUTURE"/>
    <n v="3201.25"/>
    <n v="3201.25"/>
    <s v="MKT"/>
    <n v="1"/>
    <n v="160062.5"/>
    <n v="3201.25"/>
    <s v=""/>
  </r>
  <r>
    <x v="665"/>
    <x v="63"/>
    <s v="Monday"/>
    <d v="1899-12-30T10:00:04"/>
    <s v="FUTURE"/>
    <s v="BUY"/>
    <n v="1"/>
    <s v="TO OPEN"/>
    <x v="7"/>
    <d v="2020-09-20T00:00:00"/>
    <m/>
    <s v="FUTURE"/>
    <n v="3196.25"/>
    <n v="3196.25"/>
    <s v="MKT"/>
    <n v="2"/>
    <n v="319875"/>
    <n v="3198.75"/>
    <s v=""/>
  </r>
  <r>
    <x v="665"/>
    <x v="63"/>
    <s v="Monday"/>
    <d v="1899-12-30T10:11:12"/>
    <s v="FUTURE"/>
    <s v="SELL"/>
    <n v="-1"/>
    <s v="TO CLOSE"/>
    <x v="7"/>
    <d v="2020-09-20T00:00:00"/>
    <m/>
    <s v="FUTURE"/>
    <n v="3202.75"/>
    <n v="3202.75"/>
    <s v="LMT"/>
    <n v="1"/>
    <n v="159737.5"/>
    <n v="3194.75"/>
    <s v=""/>
  </r>
  <r>
    <x v="665"/>
    <x v="63"/>
    <s v="Monday"/>
    <d v="1899-12-30T10:20:27"/>
    <s v="FUTURE"/>
    <s v="SELL"/>
    <n v="-1"/>
    <s v="TO CLOSE"/>
    <x v="7"/>
    <d v="2020-09-20T00:00:00"/>
    <m/>
    <s v="FUTURE"/>
    <n v="3206.75"/>
    <n v="3206.75"/>
    <s v="LMT"/>
    <n v="0"/>
    <n v="0"/>
    <s v=""/>
    <n v="600"/>
  </r>
  <r>
    <x v="666"/>
    <x v="64"/>
    <s v="Tuesday"/>
    <d v="1899-12-30T10:16:11"/>
    <s v="FUTURE"/>
    <s v="BUY"/>
    <n v="1"/>
    <s v="TO OPEN"/>
    <x v="6"/>
    <d v="2020-08-20T00:00:00"/>
    <m/>
    <s v="FUTURE"/>
    <n v="39.880000000000003"/>
    <n v="39.880000000000003"/>
    <s v="MKT"/>
    <n v="1"/>
    <n v="39880"/>
    <n v="39.880000000000003"/>
    <s v=""/>
  </r>
  <r>
    <x v="666"/>
    <x v="64"/>
    <s v="Tuesday"/>
    <d v="1899-12-30T10:23:57"/>
    <s v="FUTURE"/>
    <s v="SELL"/>
    <n v="-1"/>
    <s v="TO CLOSE"/>
    <x v="6"/>
    <d v="2020-08-20T00:00:00"/>
    <m/>
    <s v="FUTURE"/>
    <n v="40.1"/>
    <n v="40.1"/>
    <s v="LMT"/>
    <n v="0"/>
    <n v="0"/>
    <s v=""/>
    <n v="219.99999999999886"/>
  </r>
  <r>
    <x v="667"/>
    <x v="64"/>
    <s v="Tuesday"/>
    <d v="1899-12-30T10:09:18"/>
    <s v="FUTURE"/>
    <s v="SELL"/>
    <n v="-1"/>
    <s v="TO OPEN"/>
    <x v="7"/>
    <d v="2020-09-20T00:00:00"/>
    <m/>
    <s v="FUTURE"/>
    <n v="3125.25"/>
    <n v="3125.25"/>
    <s v="MKT"/>
    <n v="-1"/>
    <n v="-156262.5"/>
    <n v="3125.25"/>
    <s v=""/>
  </r>
  <r>
    <x v="667"/>
    <x v="64"/>
    <s v="Tuesday"/>
    <d v="1899-12-30T10:12:27"/>
    <s v="FUTURE"/>
    <s v="BUY"/>
    <n v="1"/>
    <s v="TO CLOSE"/>
    <x v="7"/>
    <d v="2020-09-20T00:00:00"/>
    <m/>
    <s v="FUTURE"/>
    <n v="3128.75"/>
    <n v="3128.75"/>
    <s v="STP"/>
    <n v="0"/>
    <n v="0"/>
    <s v=""/>
    <n v="-175"/>
  </r>
  <r>
    <x v="668"/>
    <x v="64"/>
    <s v="Tuesday"/>
    <d v="1899-12-30T10:12:31"/>
    <s v="FUTURE"/>
    <s v="BUY"/>
    <n v="1"/>
    <s v="TO OPEN"/>
    <x v="7"/>
    <d v="2020-09-20T00:00:00"/>
    <m/>
    <s v="FUTURE"/>
    <n v="3128.25"/>
    <n v="3128.25"/>
    <s v="MKT"/>
    <n v="1"/>
    <n v="156412.5"/>
    <n v="3128.25"/>
    <s v=""/>
  </r>
  <r>
    <x v="668"/>
    <x v="64"/>
    <s v="Tuesday"/>
    <d v="1899-12-30T10:23:07"/>
    <s v="FUTURE"/>
    <s v="SELL"/>
    <n v="-1"/>
    <s v="TO CLOSE"/>
    <x v="7"/>
    <d v="2020-09-20T00:00:00"/>
    <m/>
    <s v="FUTURE"/>
    <n v="3135.5"/>
    <n v="3135.5"/>
    <s v="LMT"/>
    <n v="0"/>
    <n v="0"/>
    <s v=""/>
    <n v="362.5"/>
  </r>
  <r>
    <x v="669"/>
    <x v="64"/>
    <s v="Tuesday"/>
    <d v="1899-12-30T10:40:29"/>
    <s v="FUTURE"/>
    <s v="BUY"/>
    <n v="1"/>
    <s v="TO OPEN"/>
    <x v="7"/>
    <d v="2020-09-20T00:00:00"/>
    <m/>
    <s v="FUTURE"/>
    <n v="3149"/>
    <n v="3149"/>
    <s v="MKT"/>
    <n v="1"/>
    <n v="157450"/>
    <n v="3149"/>
    <s v=""/>
  </r>
  <r>
    <x v="669"/>
    <x v="64"/>
    <s v="Tuesday"/>
    <d v="1899-12-30T10:40:46"/>
    <s v="FUTURE"/>
    <s v="SELL"/>
    <n v="-1"/>
    <s v="TO CLOSE"/>
    <x v="7"/>
    <d v="2020-09-20T00:00:00"/>
    <m/>
    <s v="FUTURE"/>
    <n v="3149.25"/>
    <n v="3149.25"/>
    <s v="STP"/>
    <n v="0"/>
    <n v="0"/>
    <s v=""/>
    <n v="12.5"/>
  </r>
  <r>
    <x v="670"/>
    <x v="64"/>
    <s v="Tuesday"/>
    <d v="1899-12-30T10:48:03"/>
    <s v="FUTURE"/>
    <s v="BUY"/>
    <n v="1"/>
    <s v="TO OPEN"/>
    <x v="7"/>
    <d v="2020-09-20T00:00:00"/>
    <m/>
    <s v="FUTURE"/>
    <n v="3154"/>
    <n v="3154"/>
    <s v="MKT"/>
    <n v="1"/>
    <n v="157700"/>
    <n v="3154"/>
    <s v=""/>
  </r>
  <r>
    <x v="670"/>
    <x v="64"/>
    <s v="Tuesday"/>
    <d v="1899-12-30T10:48:24"/>
    <s v="FUTURE"/>
    <s v="SELL"/>
    <n v="-1"/>
    <s v="TO CLOSE"/>
    <x v="7"/>
    <d v="2020-09-20T00:00:00"/>
    <m/>
    <s v="FUTURE"/>
    <n v="3156"/>
    <n v="3156"/>
    <s v="LMT"/>
    <n v="0"/>
    <n v="0"/>
    <s v=""/>
    <n v="100"/>
  </r>
  <r>
    <x v="671"/>
    <x v="64"/>
    <s v="Tuesday"/>
    <d v="1899-12-30T11:20:01"/>
    <s v="FUTURE"/>
    <s v="BUY"/>
    <n v="1"/>
    <s v="TO OPEN"/>
    <x v="7"/>
    <d v="2020-09-20T00:00:00"/>
    <m/>
    <s v="FUTURE"/>
    <n v="3154"/>
    <n v="3154"/>
    <s v="LMT"/>
    <n v="1"/>
    <n v="157700"/>
    <n v="3154"/>
    <s v=""/>
  </r>
  <r>
    <x v="671"/>
    <x v="64"/>
    <s v="Tuesday"/>
    <d v="1899-12-30T11:20:27"/>
    <s v="FUTURE"/>
    <s v="SELL"/>
    <n v="-1"/>
    <s v="TO CLOSE"/>
    <x v="7"/>
    <d v="2020-09-20T00:00:00"/>
    <m/>
    <s v="FUTURE"/>
    <n v="3157"/>
    <n v="3157"/>
    <s v="LMT"/>
    <n v="0"/>
    <n v="0"/>
    <s v=""/>
    <n v="150"/>
  </r>
  <r>
    <x v="672"/>
    <x v="64"/>
    <s v="Tuesday"/>
    <d v="1899-12-30T11:51:53"/>
    <s v="FUTURE"/>
    <s v="SELL"/>
    <n v="-1"/>
    <s v="TO OPEN"/>
    <x v="7"/>
    <d v="2020-09-20T00:00:00"/>
    <m/>
    <s v="FUTURE"/>
    <n v="3162"/>
    <n v="3162"/>
    <s v="LMT"/>
    <n v="-1"/>
    <n v="-158100"/>
    <n v="3162"/>
    <s v=""/>
  </r>
  <r>
    <x v="672"/>
    <x v="64"/>
    <s v="Tuesday"/>
    <d v="1899-12-30T11:52:17"/>
    <s v="FUTURE"/>
    <s v="BUY"/>
    <n v="1"/>
    <s v="TO CLOSE"/>
    <x v="7"/>
    <d v="2020-09-20T00:00:00"/>
    <m/>
    <s v="FUTURE"/>
    <n v="3160.75"/>
    <n v="3160.75"/>
    <s v="LMT"/>
    <n v="0"/>
    <n v="0"/>
    <s v=""/>
    <n v="62.5"/>
  </r>
  <r>
    <x v="673"/>
    <x v="64"/>
    <s v="Tuesday"/>
    <d v="1899-12-30T12:20:46"/>
    <s v="FUTURE"/>
    <s v="BUY"/>
    <n v="1"/>
    <s v="TO OPEN"/>
    <x v="7"/>
    <d v="2020-09-20T00:00:00"/>
    <m/>
    <s v="FUTURE"/>
    <n v="3163.75"/>
    <n v="3163.75"/>
    <s v="MKT"/>
    <n v="1"/>
    <n v="158187.5"/>
    <n v="3163.75"/>
    <s v=""/>
  </r>
  <r>
    <x v="673"/>
    <x v="64"/>
    <s v="Tuesday"/>
    <d v="1899-12-30T12:22:02"/>
    <s v="FUTURE"/>
    <s v="SELL"/>
    <n v="-1"/>
    <s v="TO CLOSE"/>
    <x v="7"/>
    <d v="2020-09-20T00:00:00"/>
    <m/>
    <s v="FUTURE"/>
    <n v="3164.75"/>
    <n v="3164.75"/>
    <s v="LMT"/>
    <n v="0"/>
    <n v="0"/>
    <s v=""/>
    <n v="50"/>
  </r>
  <r>
    <x v="674"/>
    <x v="64"/>
    <s v="Tuesday"/>
    <d v="1899-12-30T10:42:13"/>
    <s v="STOCK"/>
    <s v="SELL"/>
    <n v="-133"/>
    <s v="TO OPEN"/>
    <x v="2"/>
    <m/>
    <m/>
    <s v="STOCK"/>
    <n v="34.390099999999997"/>
    <n v="34.390079999999998"/>
    <s v="MKT"/>
    <n v="-133"/>
    <n v="-4573.8832999999995"/>
    <n v="34.390099999999997"/>
    <s v=""/>
  </r>
  <r>
    <x v="674"/>
    <x v="64"/>
    <s v="Tuesday"/>
    <d v="1899-12-30T10:42:13"/>
    <s v="STOCK"/>
    <s v="SELL"/>
    <n v="-100"/>
    <s v="TO OPEN"/>
    <x v="2"/>
    <m/>
    <m/>
    <s v="STOCK"/>
    <n v="34.390099999999997"/>
    <n v="34.390099999999997"/>
    <s v="MKT"/>
    <n v="-233"/>
    <n v="-8012.8932999999997"/>
    <n v="34.390099999999997"/>
    <s v=""/>
  </r>
  <r>
    <x v="674"/>
    <x v="64"/>
    <s v="Tuesday"/>
    <d v="1899-12-30T10:42:13"/>
    <s v="STOCK"/>
    <s v="SELL"/>
    <n v="-67"/>
    <s v="TO OPEN"/>
    <x v="2"/>
    <m/>
    <m/>
    <s v="STOCK"/>
    <n v="34.390099999999997"/>
    <n v="34.390149999999998"/>
    <s v="MKT"/>
    <n v="-300"/>
    <n v="-10317.029999999999"/>
    <n v="34.390099999999997"/>
    <s v=""/>
  </r>
  <r>
    <x v="674"/>
    <x v="64"/>
    <s v="Tuesday"/>
    <d v="1899-12-30T10:48:44"/>
    <s v="STOCK"/>
    <s v="BUY"/>
    <n v="300"/>
    <s v="TO CLOSE"/>
    <x v="2"/>
    <m/>
    <m/>
    <s v="STOCK"/>
    <n v="34.19"/>
    <n v="34.19"/>
    <s v="STP"/>
    <n v="0"/>
    <n v="0"/>
    <s v=""/>
    <n v="60.029999999999717"/>
  </r>
  <r>
    <x v="675"/>
    <x v="65"/>
    <s v="Wednesday"/>
    <d v="1899-12-30T10:30:00"/>
    <s v="FUTURE"/>
    <s v="BUY"/>
    <n v="1"/>
    <s v="TO OPEN"/>
    <x v="6"/>
    <d v="2020-08-20T00:00:00"/>
    <m/>
    <s v="FUTURE"/>
    <n v="40.619999999999997"/>
    <n v="40.619999999999997"/>
    <s v="STP"/>
    <n v="1"/>
    <n v="40620"/>
    <n v="40.619999999999997"/>
    <s v=""/>
  </r>
  <r>
    <x v="675"/>
    <x v="65"/>
    <s v="Wednesday"/>
    <d v="1899-12-30T10:34:54"/>
    <s v="FUTURE"/>
    <s v="SELL"/>
    <n v="-1"/>
    <s v="TO CLOSE"/>
    <x v="6"/>
    <d v="2020-08-20T00:00:00"/>
    <m/>
    <s v="FUTURE"/>
    <n v="40.67"/>
    <n v="40.67"/>
    <s v="LMT"/>
    <n v="0"/>
    <n v="0"/>
    <s v=""/>
    <n v="50.000000000004263"/>
  </r>
  <r>
    <x v="676"/>
    <x v="65"/>
    <s v="Wednesday"/>
    <d v="1899-12-30T11:00:17"/>
    <s v="FUTURE"/>
    <s v="BUY"/>
    <n v="1"/>
    <s v="TO OPEN"/>
    <x v="6"/>
    <d v="2020-08-20T00:00:00"/>
    <m/>
    <s v="FUTURE"/>
    <n v="40.869999999999997"/>
    <n v="40.869999999999997"/>
    <s v="MKT"/>
    <n v="1"/>
    <n v="40870"/>
    <n v="40.869999999999997"/>
    <s v=""/>
  </r>
  <r>
    <x v="676"/>
    <x v="65"/>
    <s v="Wednesday"/>
    <d v="1899-12-30T11:05:31"/>
    <s v="FUTURE"/>
    <s v="SELL"/>
    <n v="-1"/>
    <s v="TO CLOSE"/>
    <x v="6"/>
    <d v="2020-08-20T00:00:00"/>
    <m/>
    <s v="FUTURE"/>
    <n v="40.880000000000003"/>
    <n v="40.880000000000003"/>
    <s v="LMT"/>
    <n v="0"/>
    <n v="0"/>
    <s v=""/>
    <n v="10.000000000005116"/>
  </r>
  <r>
    <x v="677"/>
    <x v="65"/>
    <s v="Wednesday"/>
    <d v="1899-12-30T11:28:59"/>
    <s v="FUTURE"/>
    <s v="BUY"/>
    <n v="1"/>
    <s v="TO OPEN"/>
    <x v="6"/>
    <d v="2020-08-20T00:00:00"/>
    <m/>
    <s v="FUTURE"/>
    <n v="40.89"/>
    <n v="40.89"/>
    <s v="MKT"/>
    <n v="1"/>
    <n v="40890"/>
    <n v="40.89"/>
    <s v=""/>
  </r>
  <r>
    <x v="677"/>
    <x v="65"/>
    <s v="Wednesday"/>
    <d v="1899-12-30T11:35:52"/>
    <s v="FUTURE"/>
    <s v="SELL"/>
    <n v="-1"/>
    <s v="TO CLOSE"/>
    <x v="6"/>
    <d v="2020-08-20T00:00:00"/>
    <m/>
    <s v="FUTURE"/>
    <n v="40.69"/>
    <n v="40.69"/>
    <s v="MKT"/>
    <n v="0"/>
    <n v="0"/>
    <s v=""/>
    <n v="-200.00000000000284"/>
  </r>
  <r>
    <x v="678"/>
    <x v="65"/>
    <s v="Wednesday"/>
    <d v="1899-12-30T12:07:45"/>
    <s v="FUTURE"/>
    <s v="BUY"/>
    <n v="1"/>
    <s v="TO OPEN"/>
    <x v="6"/>
    <d v="2020-08-20T00:00:00"/>
    <m/>
    <s v="FUTURE"/>
    <n v="40.64"/>
    <n v="40.64"/>
    <s v="LMT"/>
    <n v="1"/>
    <n v="40640"/>
    <n v="40.64"/>
    <s v=""/>
  </r>
  <r>
    <x v="678"/>
    <x v="65"/>
    <s v="Wednesday"/>
    <d v="1899-12-30T13:07:09"/>
    <s v="FUTURE"/>
    <s v="SELL"/>
    <n v="-1"/>
    <s v="TO CLOSE"/>
    <x v="6"/>
    <d v="2020-08-20T00:00:00"/>
    <m/>
    <s v="FUTURE"/>
    <n v="40.89"/>
    <n v="40.89"/>
    <s v="LMT"/>
    <n v="0"/>
    <n v="0"/>
    <s v=""/>
    <n v="250"/>
  </r>
  <r>
    <x v="679"/>
    <x v="65"/>
    <s v="Wednesday"/>
    <d v="1899-12-30T10:09:07"/>
    <s v="FUTURE"/>
    <s v="BUY"/>
    <n v="1"/>
    <s v="TO OPEN"/>
    <x v="7"/>
    <d v="2020-09-20T00:00:00"/>
    <m/>
    <s v="FUTURE"/>
    <n v="3217.25"/>
    <n v="3217.25"/>
    <s v="LMT"/>
    <n v="1"/>
    <n v="160862.5"/>
    <n v="3217.25"/>
    <s v=""/>
  </r>
  <r>
    <x v="679"/>
    <x v="65"/>
    <s v="Wednesday"/>
    <d v="1899-12-30T10:28:11"/>
    <s v="FUTURE"/>
    <s v="SELL"/>
    <n v="-1"/>
    <s v="TO CLOSE"/>
    <x v="7"/>
    <d v="2020-09-20T00:00:00"/>
    <m/>
    <s v="FUTURE"/>
    <n v="3222.25"/>
    <n v="3222.25"/>
    <s v="LMT"/>
    <n v="0"/>
    <n v="0"/>
    <s v=""/>
    <n v="250"/>
  </r>
  <r>
    <x v="680"/>
    <x v="65"/>
    <s v="Wednesday"/>
    <d v="1899-12-30T11:30:04"/>
    <s v="FUTURE"/>
    <s v="BUY"/>
    <n v="1"/>
    <s v="TO OPEN"/>
    <x v="7"/>
    <d v="2020-09-20T00:00:00"/>
    <m/>
    <s v="FUTURE"/>
    <n v="3216"/>
    <n v="3216"/>
    <s v="LMT"/>
    <n v="1"/>
    <n v="160800"/>
    <n v="3216"/>
    <s v=""/>
  </r>
  <r>
    <x v="680"/>
    <x v="65"/>
    <s v="Wednesday"/>
    <d v="1899-12-30T11:32:06"/>
    <s v="FUTURE"/>
    <s v="SELL"/>
    <n v="-1"/>
    <s v="TO CLOSE"/>
    <x v="7"/>
    <d v="2020-09-20T00:00:00"/>
    <m/>
    <s v="FUTURE"/>
    <n v="3217"/>
    <n v="3217"/>
    <s v="LMT"/>
    <n v="0"/>
    <n v="0"/>
    <s v=""/>
    <n v="50"/>
  </r>
  <r>
    <x v="681"/>
    <x v="65"/>
    <s v="Wednesday"/>
    <d v="1899-12-30T11:36:35"/>
    <s v="FUTURE"/>
    <s v="BUY"/>
    <n v="1"/>
    <s v="TO OPEN"/>
    <x v="7"/>
    <d v="2020-09-20T00:00:00"/>
    <m/>
    <s v="FUTURE"/>
    <n v="3215.5"/>
    <n v="3215.5"/>
    <s v="MKT"/>
    <n v="1"/>
    <n v="160775"/>
    <n v="3215.5"/>
    <s v=""/>
  </r>
  <r>
    <x v="681"/>
    <x v="65"/>
    <s v="Wednesday"/>
    <d v="1899-12-30T13:45:09"/>
    <s v="FUTURE"/>
    <s v="SELL"/>
    <n v="-1"/>
    <s v="TO CLOSE"/>
    <x v="7"/>
    <d v="2020-09-20T00:00:00"/>
    <m/>
    <s v="FUTURE"/>
    <n v="3215.75"/>
    <n v="3215.75"/>
    <s v="LMT"/>
    <n v="0"/>
    <n v="0"/>
    <s v=""/>
    <n v="12.5"/>
  </r>
  <r>
    <x v="682"/>
    <x v="66"/>
    <s v="Thursday"/>
    <d v="1899-12-30T10:03:39"/>
    <s v="FUTURE"/>
    <s v="BUY"/>
    <n v="1"/>
    <s v="TO OPEN"/>
    <x v="6"/>
    <d v="2020-08-20T00:00:00"/>
    <m/>
    <s v="FUTURE"/>
    <n v="40.79"/>
    <n v="40.79"/>
    <s v="MKT"/>
    <n v="1"/>
    <n v="40790"/>
    <n v="40.79"/>
    <s v=""/>
  </r>
  <r>
    <x v="682"/>
    <x v="66"/>
    <s v="Thursday"/>
    <d v="1899-12-30T10:04:31"/>
    <s v="FUTURE"/>
    <s v="SELL"/>
    <n v="-1"/>
    <s v="TO CLOSE"/>
    <x v="6"/>
    <d v="2020-08-20T00:00:00"/>
    <m/>
    <s v="FUTURE"/>
    <n v="40.729999999999997"/>
    <n v="40.729999999999997"/>
    <s v="STP"/>
    <n v="0"/>
    <n v="0"/>
    <s v=""/>
    <n v="-60.000000000002274"/>
  </r>
  <r>
    <x v="683"/>
    <x v="66"/>
    <s v="Thursday"/>
    <d v="1899-12-30T10:11:38"/>
    <s v="FUTURE"/>
    <s v="BUY"/>
    <n v="1"/>
    <s v="TO OPEN"/>
    <x v="6"/>
    <d v="2020-08-20T00:00:00"/>
    <m/>
    <s v="FUTURE"/>
    <n v="40.81"/>
    <n v="40.81"/>
    <s v="MKT"/>
    <n v="1"/>
    <n v="40810"/>
    <n v="40.81"/>
    <s v=""/>
  </r>
  <r>
    <x v="683"/>
    <x v="66"/>
    <s v="Thursday"/>
    <d v="1899-12-30T10:35:51"/>
    <s v="FUTURE"/>
    <s v="SELL"/>
    <n v="-1"/>
    <s v="TO CLOSE"/>
    <x v="6"/>
    <d v="2020-08-20T00:00:00"/>
    <m/>
    <s v="FUTURE"/>
    <n v="40.950000000000003"/>
    <n v="40.950000000000003"/>
    <s v="LMT"/>
    <n v="0"/>
    <n v="0"/>
    <s v=""/>
    <n v="140.00000000000057"/>
  </r>
  <r>
    <x v="684"/>
    <x v="66"/>
    <s v="Thursday"/>
    <d v="1899-12-30T09:34:47"/>
    <s v="FUTURE"/>
    <s v="SELL"/>
    <n v="-1"/>
    <s v="TO OPEN"/>
    <x v="7"/>
    <d v="2020-09-20T00:00:00"/>
    <m/>
    <s v="FUTURE"/>
    <n v="3194.25"/>
    <n v="3194.25"/>
    <s v="LMT"/>
    <n v="-1"/>
    <n v="-159712.5"/>
    <n v="3194.25"/>
    <s v=""/>
  </r>
  <r>
    <x v="684"/>
    <x v="66"/>
    <s v="Thursday"/>
    <d v="1899-12-30T09:35:04"/>
    <s v="FUTURE"/>
    <s v="BUY"/>
    <n v="1"/>
    <s v="TO CLOSE"/>
    <x v="7"/>
    <d v="2020-09-20T00:00:00"/>
    <m/>
    <s v="FUTURE"/>
    <n v="3192.25"/>
    <n v="3192.25"/>
    <s v="LMT"/>
    <n v="0"/>
    <n v="0"/>
    <s v=""/>
    <n v="100"/>
  </r>
  <r>
    <x v="685"/>
    <x v="66"/>
    <s v="Thursday"/>
    <d v="1899-12-30T10:01:49"/>
    <s v="FUTURE"/>
    <s v="SELL"/>
    <n v="-1"/>
    <s v="TO OPEN"/>
    <x v="7"/>
    <d v="2020-09-20T00:00:00"/>
    <m/>
    <s v="FUTURE"/>
    <n v="3196.25"/>
    <n v="3196.25"/>
    <s v="LMT"/>
    <n v="-1"/>
    <n v="-159812.5"/>
    <n v="3196.25"/>
    <s v=""/>
  </r>
  <r>
    <x v="685"/>
    <x v="66"/>
    <s v="Thursday"/>
    <d v="1899-12-30T10:02:57"/>
    <s v="FUTURE"/>
    <s v="BUY"/>
    <n v="1"/>
    <s v="TO CLOSE"/>
    <x v="7"/>
    <d v="2020-09-20T00:00:00"/>
    <m/>
    <s v="FUTURE"/>
    <n v="3196"/>
    <n v="3196"/>
    <s v="STP"/>
    <n v="0"/>
    <n v="0"/>
    <s v=""/>
    <n v="12.5"/>
  </r>
  <r>
    <x v="686"/>
    <x v="66"/>
    <s v="Thursday"/>
    <d v="1899-12-30T10:04:32"/>
    <s v="FUTURE"/>
    <s v="SELL"/>
    <n v="-1"/>
    <s v="TO OPEN"/>
    <x v="7"/>
    <d v="2020-09-20T00:00:00"/>
    <m/>
    <s v="FUTURE"/>
    <n v="3192.25"/>
    <n v="3192.25"/>
    <s v="MKT"/>
    <n v="-1"/>
    <n v="-159612.5"/>
    <n v="3192.25"/>
    <s v=""/>
  </r>
  <r>
    <x v="686"/>
    <x v="66"/>
    <s v="Thursday"/>
    <d v="1899-12-30T10:11:37"/>
    <s v="FUTURE"/>
    <s v="BUY"/>
    <n v="1"/>
    <s v="TO CLOSE"/>
    <x v="7"/>
    <d v="2020-09-20T00:00:00"/>
    <m/>
    <s v="FUTURE"/>
    <n v="3197.25"/>
    <n v="3197.25"/>
    <s v="STP"/>
    <n v="0"/>
    <n v="0"/>
    <s v=""/>
    <n v="-250"/>
  </r>
  <r>
    <x v="687"/>
    <x v="66"/>
    <s v="Thursday"/>
    <d v="1899-12-30T10:11:45"/>
    <s v="FUTURE"/>
    <s v="BUY"/>
    <n v="1"/>
    <s v="TO OPEN"/>
    <x v="7"/>
    <d v="2020-09-20T00:00:00"/>
    <m/>
    <s v="FUTURE"/>
    <n v="3196.75"/>
    <n v="3196.75"/>
    <s v="MKT"/>
    <n v="1"/>
    <n v="159837.5"/>
    <n v="3196.75"/>
    <s v=""/>
  </r>
  <r>
    <x v="687"/>
    <x v="66"/>
    <s v="Thursday"/>
    <d v="1899-12-30T10:34:15"/>
    <s v="FUTURE"/>
    <s v="SELL"/>
    <n v="-1"/>
    <s v="TO CLOSE"/>
    <x v="7"/>
    <d v="2020-09-20T00:00:00"/>
    <m/>
    <s v="FUTURE"/>
    <n v="3201.75"/>
    <n v="3201.75"/>
    <s v="LMT"/>
    <n v="0"/>
    <n v="0"/>
    <s v=""/>
    <n v="250"/>
  </r>
  <r>
    <x v="688"/>
    <x v="66"/>
    <s v="Thursday"/>
    <d v="1899-12-30T10:53:07"/>
    <s v="FUTURE"/>
    <s v="BUY"/>
    <n v="1"/>
    <s v="TO OPEN"/>
    <x v="7"/>
    <d v="2020-09-20T00:00:00"/>
    <m/>
    <s v="FUTURE"/>
    <n v="3204.75"/>
    <n v="3204.75"/>
    <s v="MKT"/>
    <n v="1"/>
    <n v="160237.5"/>
    <n v="3204.75"/>
    <s v=""/>
  </r>
  <r>
    <x v="688"/>
    <x v="66"/>
    <s v="Thursday"/>
    <d v="1899-12-30T10:55:11"/>
    <s v="FUTURE"/>
    <s v="SELL"/>
    <n v="-1"/>
    <s v="TO CLOSE"/>
    <x v="7"/>
    <d v="2020-09-20T00:00:00"/>
    <m/>
    <s v="FUTURE"/>
    <n v="3205"/>
    <n v="3205"/>
    <s v="LMT"/>
    <n v="0"/>
    <n v="0"/>
    <s v=""/>
    <n v="12.5"/>
  </r>
  <r>
    <x v="689"/>
    <x v="66"/>
    <s v="Thursday"/>
    <d v="1899-12-30T11:15:26"/>
    <s v="FUTURE"/>
    <s v="BUY"/>
    <n v="1"/>
    <s v="TO OPEN"/>
    <x v="7"/>
    <d v="2020-09-20T00:00:00"/>
    <m/>
    <s v="FUTURE"/>
    <n v="3197"/>
    <n v="3197"/>
    <s v="MKT"/>
    <n v="1"/>
    <n v="159850"/>
    <n v="3197"/>
    <s v=""/>
  </r>
  <r>
    <x v="689"/>
    <x v="66"/>
    <s v="Thursday"/>
    <d v="1899-12-30T11:24:39"/>
    <s v="FUTURE"/>
    <s v="SELL"/>
    <n v="-1"/>
    <s v="TO CLOSE"/>
    <x v="7"/>
    <d v="2020-09-20T00:00:00"/>
    <m/>
    <s v="FUTURE"/>
    <n v="3198"/>
    <n v="3198"/>
    <s v="LMT"/>
    <n v="0"/>
    <n v="0"/>
    <s v=""/>
    <n v="50"/>
  </r>
  <r>
    <x v="690"/>
    <x v="66"/>
    <s v="Thursday"/>
    <d v="1899-12-30T13:08:40"/>
    <s v="FUTURE"/>
    <s v="BUY"/>
    <n v="1"/>
    <s v="TO OPEN"/>
    <x v="7"/>
    <d v="2020-09-20T00:00:00"/>
    <m/>
    <s v="FUTURE"/>
    <n v="3200.5"/>
    <n v="3200.5"/>
    <s v="LMT"/>
    <n v="1"/>
    <n v="160025"/>
    <n v="3200.5"/>
    <s v=""/>
  </r>
  <r>
    <x v="690"/>
    <x v="66"/>
    <s v="Thursday"/>
    <d v="1899-12-30T13:10:46"/>
    <s v="FUTURE"/>
    <s v="SELL"/>
    <n v="-1"/>
    <s v="TO CLOSE"/>
    <x v="7"/>
    <d v="2020-09-20T00:00:00"/>
    <m/>
    <s v="FUTURE"/>
    <n v="3201"/>
    <n v="3201"/>
    <s v="LMT"/>
    <n v="0"/>
    <n v="0"/>
    <s v=""/>
    <n v="25"/>
  </r>
  <r>
    <x v="691"/>
    <x v="66"/>
    <s v="Thursday"/>
    <d v="1899-12-30T11:28:09"/>
    <s v="STOCK"/>
    <s v="SELL"/>
    <n v="-400"/>
    <s v="TO OPEN"/>
    <x v="2"/>
    <m/>
    <m/>
    <s v="STOCK"/>
    <n v="32.195"/>
    <n v="32.195"/>
    <s v="LMT"/>
    <n v="-400"/>
    <n v="-12878"/>
    <n v="32.195"/>
    <s v=""/>
  </r>
  <r>
    <x v="691"/>
    <x v="66"/>
    <s v="Thursday"/>
    <d v="1899-12-30T12:08:05"/>
    <s v="STOCK"/>
    <s v="BUY"/>
    <n v="400"/>
    <s v="TO CLOSE"/>
    <x v="2"/>
    <m/>
    <m/>
    <s v="STOCK"/>
    <n v="32.159999999999997"/>
    <n v="32.159999999999997"/>
    <s v="LMT"/>
    <n v="0"/>
    <n v="0"/>
    <s v=""/>
    <n v="14.000000000001478"/>
  </r>
  <r>
    <x v="692"/>
    <x v="67"/>
    <s v="Friday"/>
    <d v="1899-12-30T09:14:18"/>
    <s v="FUTURE"/>
    <s v="BUY"/>
    <n v="2"/>
    <s v="TO OPEN"/>
    <x v="9"/>
    <d v="2020-09-20T00:00:00"/>
    <m/>
    <s v="FUTURE"/>
    <n v="41.01"/>
    <n v="41.01"/>
    <s v="MKT"/>
    <n v="2"/>
    <n v="82020"/>
    <n v="41.01"/>
    <s v=""/>
  </r>
  <r>
    <x v="692"/>
    <x v="67"/>
    <s v="Friday"/>
    <d v="1899-12-30T09:15:03"/>
    <s v="FUTURE"/>
    <s v="SELL"/>
    <n v="-1"/>
    <s v="TO CLOSE"/>
    <x v="9"/>
    <d v="2020-09-20T00:00:00"/>
    <m/>
    <s v="FUTURE"/>
    <n v="41.02"/>
    <n v="41.02"/>
    <s v="LMT"/>
    <n v="1"/>
    <n v="41000"/>
    <n v="41"/>
    <s v=""/>
  </r>
  <r>
    <x v="692"/>
    <x v="67"/>
    <s v="Friday"/>
    <d v="1899-12-30T13:52:34"/>
    <s v="FUTURE"/>
    <s v="SELL"/>
    <n v="-1"/>
    <s v="TO CLOSE"/>
    <x v="9"/>
    <d v="2020-09-20T00:00:00"/>
    <m/>
    <s v="FUTURE"/>
    <n v="40.880000000000003"/>
    <n v="40.880000000000003"/>
    <s v="LMT"/>
    <n v="0"/>
    <n v="0"/>
    <s v=""/>
    <n v="-119.99999999999744"/>
  </r>
  <r>
    <x v="693"/>
    <x v="67"/>
    <s v="Friday"/>
    <d v="1899-12-30T09:29:10"/>
    <s v="FUTURE"/>
    <s v="BUY"/>
    <n v="1"/>
    <s v="TO OPEN"/>
    <x v="7"/>
    <d v="2020-09-20T00:00:00"/>
    <m/>
    <s v="FUTURE"/>
    <n v="3217"/>
    <n v="3217"/>
    <s v="LMT"/>
    <n v="1"/>
    <n v="160850"/>
    <n v="3217"/>
    <s v=""/>
  </r>
  <r>
    <x v="693"/>
    <x v="67"/>
    <s v="Friday"/>
    <d v="1899-12-30T13:56:02"/>
    <s v="FUTURE"/>
    <s v="SELL"/>
    <n v="-1"/>
    <s v="TO CLOSE"/>
    <x v="7"/>
    <d v="2020-09-20T00:00:00"/>
    <m/>
    <s v="FUTURE"/>
    <n v="3211"/>
    <n v="3211"/>
    <s v="LMT"/>
    <n v="0"/>
    <n v="0"/>
    <s v=""/>
    <n v="-300"/>
  </r>
  <r>
    <x v="694"/>
    <x v="67"/>
    <s v="Friday"/>
    <d v="1899-12-30T09:47:48"/>
    <s v="STOCK"/>
    <s v="SELL"/>
    <n v="-300"/>
    <s v="TO OPEN"/>
    <x v="2"/>
    <m/>
    <m/>
    <s v="STOCK"/>
    <n v="31.46"/>
    <n v="31.46"/>
    <s v="LMT"/>
    <n v="-300"/>
    <n v="-9438"/>
    <n v="31.46"/>
    <s v=""/>
  </r>
  <r>
    <x v="694"/>
    <x v="67"/>
    <s v="Friday"/>
    <d v="1899-12-30T09:59:52"/>
    <s v="STOCK"/>
    <s v="BUY"/>
    <n v="300"/>
    <s v="TO CLOSE"/>
    <x v="2"/>
    <m/>
    <m/>
    <s v="STOCK"/>
    <n v="31.45"/>
    <n v="31.45"/>
    <s v="STP"/>
    <n v="0"/>
    <n v="0"/>
    <s v=""/>
    <n v="3.000000000000469"/>
  </r>
  <r>
    <x v="695"/>
    <x v="67"/>
    <s v="Friday"/>
    <d v="1899-12-30T09:59:52"/>
    <s v="STOCK"/>
    <s v="BUY"/>
    <n v="100"/>
    <s v="TO OPEN"/>
    <x v="2"/>
    <m/>
    <m/>
    <s v="STOCK"/>
    <n v="31.449000000000002"/>
    <n v="31.449000000000002"/>
    <s v="STP"/>
    <n v="100"/>
    <n v="3144.9"/>
    <n v="31.449000000000002"/>
    <s v=""/>
  </r>
  <r>
    <x v="695"/>
    <x v="67"/>
    <s v="Friday"/>
    <d v="1899-12-30T10:01:20"/>
    <s v="STOCK"/>
    <s v="SELL"/>
    <n v="-100"/>
    <s v="TO CLOSE"/>
    <x v="2"/>
    <m/>
    <m/>
    <s v="STOCK"/>
    <n v="31.45"/>
    <n v="31.45"/>
    <s v="LMT"/>
    <n v="0"/>
    <n v="0"/>
    <s v=""/>
    <n v="9.9999999999766942E-2"/>
  </r>
  <r>
    <x v="696"/>
    <x v="68"/>
    <s v="Monday"/>
    <d v="1899-12-30T09:35:25"/>
    <s v="FUTURE"/>
    <s v="BUY"/>
    <n v="1"/>
    <s v="TO OPEN"/>
    <x v="9"/>
    <d v="2020-09-20T00:00:00"/>
    <m/>
    <s v="FUTURE"/>
    <n v="40.49"/>
    <n v="40.49"/>
    <s v="LMT"/>
    <n v="1"/>
    <n v="40490"/>
    <n v="40.49"/>
    <s v=""/>
  </r>
  <r>
    <x v="696"/>
    <x v="68"/>
    <s v="Monday"/>
    <d v="1899-12-30T09:38:04"/>
    <s v="FUTURE"/>
    <s v="BUY"/>
    <n v="1"/>
    <s v="TO OPEN"/>
    <x v="9"/>
    <d v="2020-09-20T00:00:00"/>
    <m/>
    <s v="FUTURE"/>
    <n v="40.47"/>
    <n v="40.47"/>
    <s v="MKT"/>
    <n v="2"/>
    <n v="80960"/>
    <n v="40.479999999999997"/>
    <s v=""/>
  </r>
  <r>
    <x v="696"/>
    <x v="68"/>
    <s v="Monday"/>
    <d v="1899-12-30T09:41:12"/>
    <s v="FUTURE"/>
    <s v="SELL"/>
    <n v="-1"/>
    <s v="TO CLOSE"/>
    <x v="9"/>
    <d v="2020-09-20T00:00:00"/>
    <m/>
    <s v="FUTURE"/>
    <n v="40.49"/>
    <n v="40.49"/>
    <s v="LMT"/>
    <n v="1"/>
    <n v="40470"/>
    <n v="40.47"/>
    <s v=""/>
  </r>
  <r>
    <x v="696"/>
    <x v="68"/>
    <s v="Monday"/>
    <d v="1899-12-30T10:00:28"/>
    <s v="FUTURE"/>
    <s v="BUY"/>
    <n v="1"/>
    <s v="TO OPEN"/>
    <x v="9"/>
    <d v="2020-09-20T00:00:00"/>
    <m/>
    <s v="FUTURE"/>
    <n v="39.99"/>
    <n v="39.99"/>
    <s v="LMT"/>
    <n v="2"/>
    <n v="80460"/>
    <n v="40.229999999999997"/>
    <s v=""/>
  </r>
  <r>
    <x v="696"/>
    <x v="68"/>
    <s v="Monday"/>
    <d v="1899-12-30T10:01:05"/>
    <s v="FUTURE"/>
    <s v="SELL"/>
    <n v="-1"/>
    <s v="TO CLOSE"/>
    <x v="9"/>
    <d v="2020-09-20T00:00:00"/>
    <m/>
    <s v="FUTURE"/>
    <n v="40.11"/>
    <n v="40.11"/>
    <s v="LMT"/>
    <n v="1"/>
    <n v="40350"/>
    <n v="40.35"/>
    <s v=""/>
  </r>
  <r>
    <x v="696"/>
    <x v="68"/>
    <s v="Monday"/>
    <d v="1899-12-30T10:04:14"/>
    <s v="FUTURE"/>
    <s v="BUY"/>
    <n v="1"/>
    <s v="TO OPEN"/>
    <x v="9"/>
    <d v="2020-09-20T00:00:00"/>
    <m/>
    <s v="FUTURE"/>
    <n v="40.06"/>
    <n v="40.06"/>
    <s v="MKT"/>
    <n v="2"/>
    <n v="80410"/>
    <n v="40.204999999999998"/>
    <s v=""/>
  </r>
  <r>
    <x v="696"/>
    <x v="68"/>
    <s v="Monday"/>
    <d v="1899-12-30T10:06:34"/>
    <s v="FUTURE"/>
    <s v="SELL"/>
    <n v="-1"/>
    <s v="TO CLOSE"/>
    <x v="9"/>
    <d v="2020-09-20T00:00:00"/>
    <m/>
    <s v="FUTURE"/>
    <n v="40.17"/>
    <n v="40.17"/>
    <s v="LMT"/>
    <n v="1"/>
    <n v="40240"/>
    <n v="40.24"/>
    <s v=""/>
  </r>
  <r>
    <x v="696"/>
    <x v="68"/>
    <s v="Monday"/>
    <d v="1899-12-30T10:25:51"/>
    <s v="FUTURE"/>
    <s v="SELL"/>
    <n v="-1"/>
    <s v="TO CLOSE"/>
    <x v="9"/>
    <d v="2020-09-20T00:00:00"/>
    <m/>
    <s v="FUTURE"/>
    <n v="40.57"/>
    <n v="40.57"/>
    <s v="LMT"/>
    <n v="0"/>
    <n v="0"/>
    <s v=""/>
    <n v="329.99999999999829"/>
  </r>
  <r>
    <x v="697"/>
    <x v="68"/>
    <s v="Monday"/>
    <d v="1899-12-30T11:34:23"/>
    <s v="FUTURE"/>
    <s v="BUY"/>
    <n v="1"/>
    <s v="TO OPEN"/>
    <x v="9"/>
    <d v="2020-09-20T00:00:00"/>
    <m/>
    <s v="FUTURE"/>
    <n v="40.71"/>
    <n v="40.71"/>
    <s v="LMT"/>
    <n v="1"/>
    <n v="40710"/>
    <n v="40.71"/>
    <s v=""/>
  </r>
  <r>
    <x v="697"/>
    <x v="68"/>
    <s v="Monday"/>
    <d v="1899-12-30T11:36:04"/>
    <s v="FUTURE"/>
    <s v="SELL"/>
    <n v="-1"/>
    <s v="TO CLOSE"/>
    <x v="9"/>
    <d v="2020-09-20T00:00:00"/>
    <m/>
    <s v="FUTURE"/>
    <n v="40.72"/>
    <n v="40.72"/>
    <s v="LMT"/>
    <n v="0"/>
    <n v="0"/>
    <s v=""/>
    <n v="9.9999999999980105"/>
  </r>
  <r>
    <x v="698"/>
    <x v="68"/>
    <s v="Monday"/>
    <d v="1899-12-30T11:04:50"/>
    <s v="FUTURE"/>
    <s v="BUY"/>
    <n v="1"/>
    <s v="TO OPEN"/>
    <x v="7"/>
    <d v="2020-09-20T00:00:00"/>
    <m/>
    <s v="FUTURE"/>
    <n v="3224.25"/>
    <n v="3224.25"/>
    <s v="MKT"/>
    <n v="1"/>
    <n v="161212.5"/>
    <n v="3224.25"/>
    <s v=""/>
  </r>
  <r>
    <x v="698"/>
    <x v="68"/>
    <s v="Monday"/>
    <d v="1899-12-30T11:10:42"/>
    <s v="FUTURE"/>
    <s v="SELL"/>
    <n v="-1"/>
    <s v="TO CLOSE"/>
    <x v="7"/>
    <d v="2020-09-20T00:00:00"/>
    <m/>
    <s v="FUTURE"/>
    <n v="3225.25"/>
    <n v="3225.25"/>
    <s v="LMT"/>
    <n v="0"/>
    <n v="0"/>
    <s v=""/>
    <n v="50"/>
  </r>
  <r>
    <x v="699"/>
    <x v="68"/>
    <s v="Monday"/>
    <d v="1899-12-30T12:10:11"/>
    <s v="FUTURE"/>
    <s v="BUY"/>
    <n v="1"/>
    <s v="TO OPEN"/>
    <x v="7"/>
    <d v="2020-09-20T00:00:00"/>
    <m/>
    <s v="FUTURE"/>
    <n v="3227.75"/>
    <n v="3227.75"/>
    <s v="MKT"/>
    <n v="1"/>
    <n v="161387.5"/>
    <n v="3227.75"/>
    <s v=""/>
  </r>
  <r>
    <x v="699"/>
    <x v="68"/>
    <s v="Monday"/>
    <d v="1899-12-30T12:12:54"/>
    <s v="FUTURE"/>
    <s v="SELL"/>
    <n v="-1"/>
    <s v="TO CLOSE"/>
    <x v="7"/>
    <d v="2020-09-20T00:00:00"/>
    <m/>
    <s v="FUTURE"/>
    <n v="3228.25"/>
    <n v="3228.25"/>
    <s v="LMT"/>
    <n v="0"/>
    <n v="0"/>
    <s v=""/>
    <n v="25"/>
  </r>
  <r>
    <x v="700"/>
    <x v="68"/>
    <s v="Monday"/>
    <d v="1899-12-30T10:12:04"/>
    <s v="FUTURE"/>
    <s v="BUY"/>
    <n v="5"/>
    <s v="TO OPEN"/>
    <x v="8"/>
    <d v="2020-09-20T00:00:00"/>
    <m/>
    <s v="FUTURE"/>
    <n v="3217.5"/>
    <n v="3217.5"/>
    <s v="MKT"/>
    <n v="5"/>
    <n v="80437.5"/>
    <n v="3217.5"/>
    <s v=""/>
  </r>
  <r>
    <x v="700"/>
    <x v="68"/>
    <s v="Monday"/>
    <d v="1899-12-30T10:22:02"/>
    <s v="FUTURE"/>
    <s v="BUY"/>
    <n v="2"/>
    <s v="TO OPEN"/>
    <x v="8"/>
    <d v="2020-09-20T00:00:00"/>
    <m/>
    <s v="FUTURE"/>
    <n v="3221.5"/>
    <n v="3221.5"/>
    <s v="STP"/>
    <n v="7"/>
    <n v="112652.5"/>
    <n v="3218.6428571428573"/>
    <s v=""/>
  </r>
  <r>
    <x v="700"/>
    <x v="68"/>
    <s v="Monday"/>
    <d v="1899-12-30T10:26:16"/>
    <s v="FUTURE"/>
    <s v="SELL"/>
    <n v="-3"/>
    <s v="TO CLOSE"/>
    <x v="8"/>
    <d v="2020-09-20T00:00:00"/>
    <m/>
    <s v="FUTURE"/>
    <n v="3222.5"/>
    <n v="3222.5"/>
    <s v="LMT"/>
    <n v="4"/>
    <n v="64315"/>
    <n v="3215.75"/>
    <s v=""/>
  </r>
  <r>
    <x v="700"/>
    <x v="68"/>
    <s v="Monday"/>
    <d v="1899-12-30T10:27:06"/>
    <s v="FUTURE"/>
    <s v="SELL"/>
    <n v="-1"/>
    <s v="TO CLOSE"/>
    <x v="8"/>
    <d v="2020-09-20T00:00:00"/>
    <m/>
    <s v="FUTURE"/>
    <n v="3223.75"/>
    <n v="3223.75"/>
    <s v="MKT"/>
    <n v="3"/>
    <n v="48196.25"/>
    <n v="3213.083333333333"/>
    <s v=""/>
  </r>
  <r>
    <x v="700"/>
    <x v="68"/>
    <s v="Monday"/>
    <d v="1899-12-30T10:29:00"/>
    <s v="FUTURE"/>
    <s v="SELL"/>
    <n v="-1"/>
    <s v="TO CLOSE"/>
    <x v="8"/>
    <d v="2020-09-20T00:00:00"/>
    <m/>
    <s v="FUTURE"/>
    <n v="3225"/>
    <n v="3225"/>
    <s v="LMT"/>
    <n v="2"/>
    <n v="32071.25"/>
    <n v="3207.125"/>
    <s v=""/>
  </r>
  <r>
    <x v="700"/>
    <x v="68"/>
    <s v="Monday"/>
    <d v="1899-12-30T10:30:35"/>
    <s v="FUTURE"/>
    <s v="SELL"/>
    <n v="-2"/>
    <s v="TO CLOSE"/>
    <x v="8"/>
    <d v="2020-09-20T00:00:00"/>
    <m/>
    <s v="FUTURE"/>
    <n v="3226.25"/>
    <n v="3226.25"/>
    <s v="MKT"/>
    <n v="0"/>
    <n v="0"/>
    <s v=""/>
    <n v="191.25"/>
  </r>
  <r>
    <x v="701"/>
    <x v="68"/>
    <s v="Monday"/>
    <d v="1899-12-30T09:35:49"/>
    <s v="STOCK"/>
    <s v="SELL"/>
    <n v="-400"/>
    <s v="TO OPEN"/>
    <x v="2"/>
    <m/>
    <m/>
    <s v="STOCK"/>
    <n v="30.024999999999999"/>
    <n v="30.024999999999999"/>
    <s v="LMT"/>
    <n v="-400"/>
    <n v="-12010"/>
    <n v="30.024999999999999"/>
    <s v=""/>
  </r>
  <r>
    <x v="701"/>
    <x v="68"/>
    <s v="Monday"/>
    <d v="1899-12-30T10:09:53"/>
    <s v="STOCK"/>
    <s v="BUY"/>
    <n v="100"/>
    <s v="TO CLOSE"/>
    <x v="2"/>
    <m/>
    <m/>
    <s v="STOCK"/>
    <n v="29.88"/>
    <n v="29.88"/>
    <s v="LMT"/>
    <n v="-300"/>
    <n v="-9022"/>
    <n v="30.073333333333334"/>
    <s v=""/>
  </r>
  <r>
    <x v="701"/>
    <x v="68"/>
    <s v="Monday"/>
    <d v="1899-12-30T10:26:35"/>
    <s v="STOCK"/>
    <s v="BUY"/>
    <n v="100"/>
    <s v="TO CLOSE"/>
    <x v="2"/>
    <m/>
    <m/>
    <s v="STOCK"/>
    <n v="29.577100000000002"/>
    <n v="29.577100000000002"/>
    <s v="MKT"/>
    <n v="-200"/>
    <n v="-6064.29"/>
    <n v="30.321449999999999"/>
    <s v=""/>
  </r>
  <r>
    <x v="701"/>
    <x v="68"/>
    <s v="Monday"/>
    <d v="1899-12-30T10:34:04"/>
    <s v="STOCK"/>
    <s v="BUY"/>
    <n v="200"/>
    <s v="TO CLOSE"/>
    <x v="2"/>
    <m/>
    <m/>
    <s v="STOCK"/>
    <n v="29.495000000000001"/>
    <n v="29.495000000000001"/>
    <s v="MKT"/>
    <n v="0"/>
    <n v="0"/>
    <s v=""/>
    <n v="165.28999999999954"/>
  </r>
  <r>
    <x v="702"/>
    <x v="69"/>
    <s v="Tuesday"/>
    <d v="1899-12-30T10:27:49"/>
    <s v="FUTURE"/>
    <s v="SELL"/>
    <n v="-1"/>
    <s v="TO OPEN"/>
    <x v="9"/>
    <d v="2020-09-20T00:00:00"/>
    <m/>
    <s v="FUTURE"/>
    <n v="42.25"/>
    <n v="42.25"/>
    <s v="MKT"/>
    <n v="-1"/>
    <n v="-42250"/>
    <n v="42.25"/>
    <s v=""/>
  </r>
  <r>
    <x v="702"/>
    <x v="69"/>
    <s v="Tuesday"/>
    <d v="1899-12-30T10:37:59"/>
    <s v="FUTURE"/>
    <s v="BUY"/>
    <n v="1"/>
    <s v="TO CLOSE"/>
    <x v="9"/>
    <d v="2020-09-20T00:00:00"/>
    <m/>
    <s v="FUTURE"/>
    <n v="42.36"/>
    <n v="42.36"/>
    <s v="LMT"/>
    <n v="0"/>
    <n v="0"/>
    <s v=""/>
    <n v="-109.99999999999943"/>
  </r>
  <r>
    <x v="703"/>
    <x v="69"/>
    <s v="Tuesday"/>
    <d v="1899-12-30T10:39:56"/>
    <s v="FUTURE"/>
    <s v="SELL"/>
    <n v="-2"/>
    <s v="TO OPEN"/>
    <x v="9"/>
    <d v="2020-09-20T00:00:00"/>
    <m/>
    <s v="FUTURE"/>
    <n v="42.28"/>
    <n v="42.28"/>
    <s v="MKT"/>
    <n v="-2"/>
    <n v="-84560"/>
    <n v="42.28"/>
    <s v=""/>
  </r>
  <r>
    <x v="703"/>
    <x v="69"/>
    <s v="Tuesday"/>
    <d v="1899-12-30T10:44:18"/>
    <s v="FUTURE"/>
    <s v="BUY"/>
    <n v="1"/>
    <s v="TO CLOSE"/>
    <x v="9"/>
    <d v="2020-09-20T00:00:00"/>
    <m/>
    <s v="FUTURE"/>
    <n v="42.21"/>
    <n v="42.21"/>
    <s v="LMT"/>
    <n v="-1"/>
    <n v="-42350"/>
    <n v="42.35"/>
    <s v=""/>
  </r>
  <r>
    <x v="703"/>
    <x v="69"/>
    <s v="Tuesday"/>
    <d v="1899-12-30T10:45:55"/>
    <s v="FUTURE"/>
    <s v="BUY"/>
    <n v="1"/>
    <s v="TO CLOSE"/>
    <x v="9"/>
    <d v="2020-09-20T00:00:00"/>
    <m/>
    <s v="FUTURE"/>
    <n v="42.22"/>
    <n v="42.22"/>
    <s v="LMT"/>
    <n v="0"/>
    <n v="0"/>
    <s v=""/>
    <n v="130.00000000000256"/>
  </r>
  <r>
    <x v="704"/>
    <x v="69"/>
    <s v="Tuesday"/>
    <d v="1899-12-30T11:31:11"/>
    <s v="FUTURE"/>
    <s v="SELL"/>
    <n v="-1"/>
    <s v="TO OPEN"/>
    <x v="9"/>
    <d v="2020-09-20T00:00:00"/>
    <m/>
    <s v="FUTURE"/>
    <n v="42.25"/>
    <n v="42.25"/>
    <s v="MKT"/>
    <n v="-1"/>
    <n v="-42250"/>
    <n v="42.25"/>
    <s v=""/>
  </r>
  <r>
    <x v="704"/>
    <x v="69"/>
    <s v="Tuesday"/>
    <d v="1899-12-30T11:32:55"/>
    <s v="FUTURE"/>
    <s v="BUY"/>
    <n v="1"/>
    <s v="TO CLOSE"/>
    <x v="9"/>
    <d v="2020-09-20T00:00:00"/>
    <m/>
    <s v="FUTURE"/>
    <n v="42.21"/>
    <n v="42.21"/>
    <s v="LMT"/>
    <n v="0"/>
    <n v="0"/>
    <s v=""/>
    <n v="39.999999999999147"/>
  </r>
  <r>
    <x v="705"/>
    <x v="69"/>
    <s v="Tuesday"/>
    <d v="1899-12-30T12:32:22"/>
    <s v="FUTURE"/>
    <s v="BUY"/>
    <n v="1"/>
    <s v="TO OPEN"/>
    <x v="9"/>
    <d v="2020-09-20T00:00:00"/>
    <m/>
    <s v="FUTURE"/>
    <n v="41.9"/>
    <n v="41.9"/>
    <s v="LMT"/>
    <n v="1"/>
    <n v="41900"/>
    <n v="41.9"/>
    <s v=""/>
  </r>
  <r>
    <x v="705"/>
    <x v="69"/>
    <s v="Tuesday"/>
    <d v="1899-12-30T14:03:54"/>
    <s v="FUTURE"/>
    <s v="SELL"/>
    <n v="-1"/>
    <s v="TO CLOSE"/>
    <x v="9"/>
    <d v="2020-09-20T00:00:00"/>
    <m/>
    <s v="FUTURE"/>
    <n v="41.91"/>
    <n v="41.91"/>
    <s v="LMT"/>
    <n v="0"/>
    <n v="0"/>
    <s v=""/>
    <n v="9.9999999999980105"/>
  </r>
  <r>
    <x v="706"/>
    <x v="69"/>
    <s v="Tuesday"/>
    <d v="1899-12-30T09:35:30"/>
    <s v="FUTURE"/>
    <s v="SELL"/>
    <n v="-1"/>
    <s v="TO OPEN"/>
    <x v="7"/>
    <d v="2020-09-20T00:00:00"/>
    <m/>
    <s v="FUTURE"/>
    <n v="3262.25"/>
    <n v="3262.25"/>
    <s v="LMT"/>
    <n v="-1"/>
    <n v="-163112.5"/>
    <n v="3262.25"/>
    <s v=""/>
  </r>
  <r>
    <x v="706"/>
    <x v="69"/>
    <s v="Tuesday"/>
    <d v="1899-12-30T09:52:19"/>
    <s v="FUTURE"/>
    <s v="BUY"/>
    <n v="1"/>
    <s v="TO CLOSE"/>
    <x v="7"/>
    <d v="2020-09-20T00:00:00"/>
    <m/>
    <s v="FUTURE"/>
    <n v="3266.25"/>
    <n v="3266.25"/>
    <s v="STP"/>
    <n v="0"/>
    <n v="0"/>
    <s v=""/>
    <n v="-200"/>
  </r>
  <r>
    <x v="707"/>
    <x v="69"/>
    <s v="Tuesday"/>
    <d v="1899-12-30T09:59:34"/>
    <s v="FUTURE"/>
    <s v="BUY"/>
    <n v="1"/>
    <s v="TO OPEN"/>
    <x v="7"/>
    <d v="2020-09-20T00:00:00"/>
    <m/>
    <s v="FUTURE"/>
    <n v="3266.75"/>
    <n v="3266.75"/>
    <s v="MKT"/>
    <n v="1"/>
    <n v="163337.5"/>
    <n v="3266.75"/>
    <s v=""/>
  </r>
  <r>
    <x v="707"/>
    <x v="69"/>
    <s v="Tuesday"/>
    <d v="1899-12-30T10:10:03"/>
    <s v="FUTURE"/>
    <s v="SELL"/>
    <n v="-1"/>
    <s v="TO CLOSE"/>
    <x v="7"/>
    <d v="2020-09-20T00:00:00"/>
    <m/>
    <s v="FUTURE"/>
    <n v="3262.75"/>
    <n v="3262.75"/>
    <s v="LMT"/>
    <n v="0"/>
    <n v="0"/>
    <s v=""/>
    <n v="-200"/>
  </r>
  <r>
    <x v="708"/>
    <x v="69"/>
    <s v="Tuesday"/>
    <d v="1899-12-30T10:10:22"/>
    <s v="FUTURE"/>
    <s v="SELL"/>
    <n v="-2"/>
    <s v="TO OPEN"/>
    <x v="7"/>
    <d v="2020-09-20T00:00:00"/>
    <m/>
    <s v="FUTURE"/>
    <n v="3262"/>
    <n v="3262"/>
    <s v="MKT"/>
    <n v="-2"/>
    <n v="-326200"/>
    <n v="3262"/>
    <s v=""/>
  </r>
  <r>
    <x v="708"/>
    <x v="69"/>
    <s v="Tuesday"/>
    <d v="1899-12-30T10:19:42"/>
    <s v="FUTURE"/>
    <s v="BUY"/>
    <n v="2"/>
    <s v="TO CLOSE"/>
    <x v="7"/>
    <d v="2020-09-20T00:00:00"/>
    <m/>
    <s v="FUTURE"/>
    <n v="3266"/>
    <n v="3266"/>
    <s v="STP"/>
    <n v="0"/>
    <n v="0"/>
    <s v=""/>
    <n v="-400"/>
  </r>
  <r>
    <x v="709"/>
    <x v="69"/>
    <s v="Tuesday"/>
    <d v="1899-12-30T10:25:48"/>
    <s v="FUTURE"/>
    <s v="SELL"/>
    <n v="-2"/>
    <s v="TO OPEN"/>
    <x v="7"/>
    <d v="2020-09-20T00:00:00"/>
    <m/>
    <s v="FUTURE"/>
    <n v="3263"/>
    <n v="3263"/>
    <s v="MKT"/>
    <n v="-2"/>
    <n v="-326300"/>
    <n v="3263"/>
    <s v=""/>
  </r>
  <r>
    <x v="709"/>
    <x v="69"/>
    <s v="Tuesday"/>
    <d v="1899-12-30T10:27:17"/>
    <s v="FUTURE"/>
    <s v="BUY"/>
    <n v="1"/>
    <s v="TO CLOSE"/>
    <x v="7"/>
    <d v="2020-09-20T00:00:00"/>
    <m/>
    <s v="FUTURE"/>
    <n v="3258"/>
    <n v="3258"/>
    <s v="LMT"/>
    <n v="-1"/>
    <n v="-163400"/>
    <n v="3268"/>
    <s v=""/>
  </r>
  <r>
    <x v="709"/>
    <x v="69"/>
    <s v="Tuesday"/>
    <d v="1899-12-30T10:36:38"/>
    <s v="FUTURE"/>
    <s v="BUY"/>
    <n v="1"/>
    <s v="TO CLOSE"/>
    <x v="7"/>
    <d v="2020-09-20T00:00:00"/>
    <m/>
    <s v="FUTURE"/>
    <n v="3256.25"/>
    <n v="3256.25"/>
    <s v="LMT"/>
    <n v="0"/>
    <n v="0"/>
    <s v=""/>
    <n v="587.5"/>
  </r>
  <r>
    <x v="710"/>
    <x v="69"/>
    <s v="Tuesday"/>
    <d v="1899-12-30T10:38:12"/>
    <s v="FUTURE"/>
    <s v="BUY"/>
    <n v="1"/>
    <s v="TO OPEN"/>
    <x v="7"/>
    <d v="2020-09-20T00:00:00"/>
    <m/>
    <s v="FUTURE"/>
    <n v="3260"/>
    <n v="3260"/>
    <s v="MKT"/>
    <n v="1"/>
    <n v="163000"/>
    <n v="3260"/>
    <s v=""/>
  </r>
  <r>
    <x v="710"/>
    <x v="69"/>
    <s v="Tuesday"/>
    <d v="1899-12-30T10:39:30"/>
    <s v="FUTURE"/>
    <s v="SELL"/>
    <n v="-1"/>
    <s v="TO CLOSE"/>
    <x v="7"/>
    <d v="2020-09-20T00:00:00"/>
    <m/>
    <s v="FUTURE"/>
    <n v="3260.25"/>
    <n v="3260.25"/>
    <s v="LMT"/>
    <n v="0"/>
    <n v="0"/>
    <s v=""/>
    <n v="12.5"/>
  </r>
  <r>
    <x v="711"/>
    <x v="69"/>
    <s v="Tuesday"/>
    <d v="1899-12-30T10:46:27"/>
    <s v="FUTURE"/>
    <s v="BUY"/>
    <n v="1"/>
    <s v="TO OPEN"/>
    <x v="7"/>
    <d v="2020-09-20T00:00:00"/>
    <m/>
    <s v="FUTURE"/>
    <n v="3257"/>
    <n v="3257"/>
    <s v="MKT"/>
    <n v="1"/>
    <n v="162850"/>
    <n v="3257"/>
    <s v=""/>
  </r>
  <r>
    <x v="711"/>
    <x v="69"/>
    <s v="Tuesday"/>
    <d v="1899-12-30T10:49:37"/>
    <s v="FUTURE"/>
    <s v="SELL"/>
    <n v="-1"/>
    <s v="TO CLOSE"/>
    <x v="7"/>
    <d v="2020-09-20T00:00:00"/>
    <m/>
    <s v="FUTURE"/>
    <n v="3261.25"/>
    <n v="3261.25"/>
    <s v="LMT"/>
    <n v="0"/>
    <n v="0"/>
    <s v=""/>
    <n v="212.5"/>
  </r>
  <r>
    <x v="712"/>
    <x v="69"/>
    <s v="Tuesday"/>
    <d v="1899-12-30T11:14:01"/>
    <s v="FUTURE"/>
    <s v="BUY"/>
    <n v="1"/>
    <s v="TO OPEN"/>
    <x v="7"/>
    <d v="2020-09-20T00:00:00"/>
    <m/>
    <s v="FUTURE"/>
    <n v="3260.75"/>
    <n v="3260.75"/>
    <s v="MKT"/>
    <n v="1"/>
    <n v="163037.5"/>
    <n v="3260.75"/>
    <s v=""/>
  </r>
  <r>
    <x v="712"/>
    <x v="69"/>
    <s v="Tuesday"/>
    <d v="1899-12-30T11:30:21"/>
    <s v="FUTURE"/>
    <s v="SELL"/>
    <n v="-1"/>
    <s v="TO CLOSE"/>
    <x v="7"/>
    <d v="2020-09-20T00:00:00"/>
    <m/>
    <s v="FUTURE"/>
    <n v="3266.25"/>
    <n v="3266.25"/>
    <s v="LMT"/>
    <n v="0"/>
    <n v="0"/>
    <s v=""/>
    <n v="275"/>
  </r>
  <r>
    <x v="713"/>
    <x v="69"/>
    <s v="Tuesday"/>
    <d v="1899-12-30T13:30:28"/>
    <s v="FUTURE"/>
    <s v="BUY"/>
    <n v="1"/>
    <s v="TO OPEN"/>
    <x v="7"/>
    <d v="2020-09-20T00:00:00"/>
    <m/>
    <s v="FUTURE"/>
    <n v="3262.5"/>
    <n v="3262.5"/>
    <s v="LMT"/>
    <n v="1"/>
    <n v="163125"/>
    <n v="3262.5"/>
    <s v=""/>
  </r>
  <r>
    <x v="713"/>
    <x v="69"/>
    <s v="Tuesday"/>
    <d v="1899-12-30T13:31:59"/>
    <s v="FUTURE"/>
    <s v="SELL"/>
    <n v="-1"/>
    <s v="TO CLOSE"/>
    <x v="7"/>
    <d v="2020-09-20T00:00:00"/>
    <m/>
    <s v="FUTURE"/>
    <n v="3263.5"/>
    <n v="3263.5"/>
    <s v="LMT"/>
    <n v="0"/>
    <n v="0"/>
    <s v=""/>
    <n v="50"/>
  </r>
  <r>
    <x v="714"/>
    <x v="69"/>
    <s v="Tuesday"/>
    <d v="1899-12-30T13:40:56"/>
    <s v="FUTURE"/>
    <s v="BUY"/>
    <n v="1"/>
    <s v="TO OPEN"/>
    <x v="7"/>
    <d v="2020-09-20T00:00:00"/>
    <m/>
    <s v="FUTURE"/>
    <n v="3264.75"/>
    <n v="3264.75"/>
    <s v="MKT"/>
    <n v="1"/>
    <n v="163237.5"/>
    <n v="3264.75"/>
    <s v=""/>
  </r>
  <r>
    <x v="714"/>
    <x v="69"/>
    <s v="Tuesday"/>
    <d v="1899-12-30T14:04:13"/>
    <s v="FUTURE"/>
    <s v="SELL"/>
    <n v="-1"/>
    <s v="TO CLOSE"/>
    <x v="7"/>
    <d v="2020-09-20T00:00:00"/>
    <m/>
    <s v="FUTURE"/>
    <n v="3266.25"/>
    <n v="3266.25"/>
    <s v="MKT"/>
    <n v="0"/>
    <n v="0"/>
    <s v=""/>
    <n v="75"/>
  </r>
  <r>
    <x v="715"/>
    <x v="70"/>
    <s v="Wednesday"/>
    <d v="1899-12-30T09:52:27"/>
    <s v="FUTURE"/>
    <s v="BUY"/>
    <n v="1"/>
    <s v="TO OPEN"/>
    <x v="9"/>
    <d v="2020-09-20T00:00:00"/>
    <m/>
    <s v="FUTURE"/>
    <n v="41.51"/>
    <n v="41.51"/>
    <s v="MKT"/>
    <n v="1"/>
    <n v="41510"/>
    <n v="41.51"/>
    <s v=""/>
  </r>
  <r>
    <x v="715"/>
    <x v="70"/>
    <s v="Wednesday"/>
    <d v="1899-12-30T09:53:52"/>
    <s v="FUTURE"/>
    <s v="SELL"/>
    <n v="-1"/>
    <s v="TO CLOSE"/>
    <x v="9"/>
    <d v="2020-09-20T00:00:00"/>
    <m/>
    <s v="FUTURE"/>
    <n v="41.52"/>
    <n v="41.52"/>
    <s v="LMT"/>
    <n v="0"/>
    <n v="0"/>
    <s v=""/>
    <n v="10.000000000005116"/>
  </r>
  <r>
    <x v="716"/>
    <x v="70"/>
    <s v="Wednesday"/>
    <d v="1899-12-30T10:30:10"/>
    <s v="FUTURE"/>
    <s v="SELL"/>
    <n v="-1"/>
    <s v="TO OPEN"/>
    <x v="9"/>
    <d v="2020-09-20T00:00:00"/>
    <m/>
    <s v="FUTURE"/>
    <n v="41.39"/>
    <n v="41.39"/>
    <s v="MKT"/>
    <n v="-1"/>
    <n v="-41390"/>
    <n v="41.39"/>
    <s v=""/>
  </r>
  <r>
    <x v="716"/>
    <x v="70"/>
    <s v="Wednesday"/>
    <d v="1899-12-30T10:31:18"/>
    <s v="FUTURE"/>
    <s v="BUY"/>
    <n v="1"/>
    <s v="TO CLOSE"/>
    <x v="9"/>
    <d v="2020-09-20T00:00:00"/>
    <m/>
    <s v="FUTURE"/>
    <n v="41.37"/>
    <n v="41.37"/>
    <s v="STP"/>
    <n v="0"/>
    <n v="0"/>
    <s v=""/>
    <n v="20.000000000003126"/>
  </r>
  <r>
    <x v="717"/>
    <x v="70"/>
    <s v="Wednesday"/>
    <d v="1899-12-30T10:38:32"/>
    <s v="FUTURE"/>
    <s v="SELL"/>
    <n v="-1"/>
    <s v="TO OPEN"/>
    <x v="9"/>
    <d v="2020-09-20T00:00:00"/>
    <m/>
    <s v="FUTURE"/>
    <n v="41.41"/>
    <n v="41.41"/>
    <s v="LMT"/>
    <n v="-1"/>
    <n v="-41410"/>
    <n v="41.41"/>
    <s v=""/>
  </r>
  <r>
    <x v="717"/>
    <x v="70"/>
    <s v="Wednesday"/>
    <d v="1899-12-30T10:50:44"/>
    <s v="FUTURE"/>
    <s v="BUY"/>
    <n v="1"/>
    <s v="TO CLOSE"/>
    <x v="9"/>
    <d v="2020-09-20T00:00:00"/>
    <m/>
    <s v="FUTURE"/>
    <n v="41.36"/>
    <n v="41.36"/>
    <s v="LMT"/>
    <n v="0"/>
    <n v="0"/>
    <s v=""/>
    <n v="49.999999999997158"/>
  </r>
  <r>
    <x v="718"/>
    <x v="70"/>
    <s v="Wednesday"/>
    <d v="1899-12-30T11:52:56"/>
    <s v="FUTURE"/>
    <s v="BUY"/>
    <n v="1"/>
    <s v="TO OPEN"/>
    <x v="9"/>
    <d v="2020-09-20T00:00:00"/>
    <m/>
    <s v="FUTURE"/>
    <n v="41.43"/>
    <n v="41.43"/>
    <s v="MKT"/>
    <n v="1"/>
    <n v="41430"/>
    <n v="41.43"/>
    <s v=""/>
  </r>
  <r>
    <x v="718"/>
    <x v="70"/>
    <s v="Wednesday"/>
    <d v="1899-12-30T12:04:45"/>
    <s v="FUTURE"/>
    <s v="SELL"/>
    <n v="-1"/>
    <s v="TO CLOSE"/>
    <x v="9"/>
    <d v="2020-09-20T00:00:00"/>
    <m/>
    <s v="FUTURE"/>
    <n v="41.53"/>
    <n v="41.53"/>
    <s v="LMT"/>
    <n v="0"/>
    <n v="0"/>
    <s v=""/>
    <n v="100.00000000000142"/>
  </r>
  <r>
    <x v="719"/>
    <x v="70"/>
    <s v="Wednesday"/>
    <d v="1899-12-30T09:33:20"/>
    <s v="FUTURE"/>
    <s v="BUY"/>
    <n v="1"/>
    <s v="TO OPEN"/>
    <x v="7"/>
    <d v="2020-09-20T00:00:00"/>
    <m/>
    <s v="FUTURE"/>
    <n v="3248.5"/>
    <n v="3248.5"/>
    <s v="STP"/>
    <n v="1"/>
    <n v="162425"/>
    <n v="3248.5"/>
    <s v=""/>
  </r>
  <r>
    <x v="719"/>
    <x v="70"/>
    <s v="Wednesday"/>
    <d v="1899-12-30T09:35:17"/>
    <s v="FUTURE"/>
    <s v="SELL"/>
    <n v="-1"/>
    <s v="TO CLOSE"/>
    <x v="7"/>
    <d v="2020-09-20T00:00:00"/>
    <m/>
    <s v="FUTURE"/>
    <n v="3252.5"/>
    <n v="3252.5"/>
    <s v="LMT"/>
    <n v="0"/>
    <n v="0"/>
    <s v=""/>
    <n v="200"/>
  </r>
  <r>
    <x v="720"/>
    <x v="70"/>
    <s v="Wednesday"/>
    <d v="1899-12-30T10:06:38"/>
    <s v="FUTURE"/>
    <s v="SELL"/>
    <n v="-1"/>
    <s v="TO OPEN"/>
    <x v="7"/>
    <d v="2020-09-20T00:00:00"/>
    <m/>
    <s v="FUTURE"/>
    <n v="3256.25"/>
    <n v="3256.25"/>
    <s v="MKT"/>
    <n v="-1"/>
    <n v="-162812.5"/>
    <n v="3256.25"/>
    <s v=""/>
  </r>
  <r>
    <x v="720"/>
    <x v="70"/>
    <s v="Wednesday"/>
    <d v="1899-12-30T10:08:28"/>
    <s v="FUTURE"/>
    <s v="BUY"/>
    <n v="1"/>
    <s v="TO CLOSE"/>
    <x v="7"/>
    <d v="2020-09-20T00:00:00"/>
    <m/>
    <s v="FUTURE"/>
    <n v="3255.25"/>
    <n v="3255.25"/>
    <s v="STP"/>
    <n v="0"/>
    <n v="0"/>
    <s v=""/>
    <n v="50"/>
  </r>
  <r>
    <x v="721"/>
    <x v="70"/>
    <s v="Wednesday"/>
    <d v="1899-12-30T10:25:08"/>
    <s v="FUTURE"/>
    <s v="SELL"/>
    <n v="-1"/>
    <s v="TO OPEN"/>
    <x v="7"/>
    <d v="2020-09-20T00:00:00"/>
    <m/>
    <s v="FUTURE"/>
    <n v="3254.75"/>
    <n v="3254.75"/>
    <s v="MKT"/>
    <n v="-1"/>
    <n v="-162737.5"/>
    <n v="3254.75"/>
    <s v=""/>
  </r>
  <r>
    <x v="721"/>
    <x v="70"/>
    <s v="Wednesday"/>
    <d v="1899-12-30T10:28:27"/>
    <s v="FUTURE"/>
    <s v="BUY"/>
    <n v="1"/>
    <s v="TO CLOSE"/>
    <x v="7"/>
    <d v="2020-09-20T00:00:00"/>
    <m/>
    <s v="FUTURE"/>
    <n v="3254.5"/>
    <n v="3254.5"/>
    <s v="LMT"/>
    <n v="0"/>
    <n v="0"/>
    <s v=""/>
    <n v="12.5"/>
  </r>
  <r>
    <x v="722"/>
    <x v="70"/>
    <s v="Wednesday"/>
    <d v="1899-12-30T10:35:46"/>
    <s v="FUTURE"/>
    <s v="BUY"/>
    <n v="1"/>
    <s v="TO OPEN"/>
    <x v="7"/>
    <d v="2020-09-20T00:00:00"/>
    <m/>
    <s v="FUTURE"/>
    <n v="3255"/>
    <n v="3255"/>
    <s v="MKT"/>
    <n v="1"/>
    <n v="162750"/>
    <n v="3255"/>
    <s v=""/>
  </r>
  <r>
    <x v="722"/>
    <x v="70"/>
    <s v="Wednesday"/>
    <d v="1899-12-30T10:37:01"/>
    <s v="FUTURE"/>
    <s v="SELL"/>
    <n v="-1"/>
    <s v="TO CLOSE"/>
    <x v="7"/>
    <d v="2020-09-20T00:00:00"/>
    <m/>
    <s v="FUTURE"/>
    <n v="3255.5"/>
    <n v="3255.5"/>
    <s v="LMT"/>
    <n v="0"/>
    <n v="0"/>
    <s v=""/>
    <n v="25"/>
  </r>
  <r>
    <x v="723"/>
    <x v="70"/>
    <s v="Wednesday"/>
    <d v="1899-12-30T11:20:04"/>
    <s v="FUTURE"/>
    <s v="BUY"/>
    <n v="1"/>
    <s v="TO OPEN"/>
    <x v="7"/>
    <d v="2020-09-20T00:00:00"/>
    <m/>
    <s v="FUTURE"/>
    <n v="3249"/>
    <n v="3249"/>
    <s v="LMT"/>
    <n v="1"/>
    <n v="162450"/>
    <n v="3249"/>
    <s v=""/>
  </r>
  <r>
    <x v="723"/>
    <x v="70"/>
    <s v="Wednesday"/>
    <d v="1899-12-30T11:25:16"/>
    <s v="FUTURE"/>
    <s v="SELL"/>
    <n v="-1"/>
    <s v="TO CLOSE"/>
    <x v="7"/>
    <d v="2020-09-20T00:00:00"/>
    <m/>
    <s v="FUTURE"/>
    <n v="3252.5"/>
    <n v="3252.5"/>
    <s v="STP"/>
    <n v="0"/>
    <n v="0"/>
    <s v=""/>
    <n v="175"/>
  </r>
  <r>
    <x v="724"/>
    <x v="70"/>
    <s v="Wednesday"/>
    <d v="1899-12-30T12:10:14"/>
    <s v="FUTURE"/>
    <s v="BUY"/>
    <n v="1"/>
    <s v="TO OPEN"/>
    <x v="7"/>
    <d v="2020-09-20T00:00:00"/>
    <m/>
    <s v="FUTURE"/>
    <n v="3256"/>
    <n v="3256"/>
    <s v="MKT"/>
    <n v="1"/>
    <n v="162800"/>
    <n v="3256"/>
    <s v=""/>
  </r>
  <r>
    <x v="724"/>
    <x v="70"/>
    <s v="Wednesday"/>
    <d v="1899-12-30T12:11:18"/>
    <s v="FUTURE"/>
    <s v="SELL"/>
    <n v="-1"/>
    <s v="TO CLOSE"/>
    <x v="7"/>
    <d v="2020-09-20T00:00:00"/>
    <m/>
    <s v="FUTURE"/>
    <n v="3258.5"/>
    <n v="3258.5"/>
    <s v="LMT"/>
    <n v="0"/>
    <n v="0"/>
    <s v=""/>
    <n v="125"/>
  </r>
  <r>
    <x v="725"/>
    <x v="70"/>
    <s v="Wednesday"/>
    <d v="1899-12-30T09:40:35"/>
    <s v="STOCK"/>
    <s v="SELL"/>
    <n v="-400"/>
    <s v="TO OPEN"/>
    <x v="2"/>
    <m/>
    <m/>
    <s v="STOCK"/>
    <n v="29.430099999999999"/>
    <n v="29.430099999999999"/>
    <s v="MKT"/>
    <n v="-400"/>
    <n v="-11772.039999999999"/>
    <n v="29.430099999999996"/>
    <s v=""/>
  </r>
  <r>
    <x v="725"/>
    <x v="70"/>
    <s v="Wednesday"/>
    <d v="1899-12-30T09:47:05"/>
    <s v="STOCK"/>
    <s v="BUY"/>
    <n v="400"/>
    <s v="TO CLOSE"/>
    <x v="2"/>
    <m/>
    <m/>
    <s v="STOCK"/>
    <n v="29.31"/>
    <n v="29.31"/>
    <s v="LMT"/>
    <n v="0"/>
    <n v="0"/>
    <s v=""/>
    <n v="48.039999999998884"/>
  </r>
  <r>
    <x v="726"/>
    <x v="70"/>
    <s v="Wednesday"/>
    <d v="1899-12-30T10:06:16"/>
    <s v="STOCK"/>
    <s v="BUY"/>
    <n v="200"/>
    <s v="TO OPEN"/>
    <x v="2"/>
    <m/>
    <m/>
    <s v="STOCK"/>
    <n v="29.6496"/>
    <n v="29.6496"/>
    <s v="MKT"/>
    <n v="200"/>
    <n v="5929.92"/>
    <n v="29.6496"/>
    <s v=""/>
  </r>
  <r>
    <x v="726"/>
    <x v="70"/>
    <s v="Wednesday"/>
    <d v="1899-12-30T10:06:16"/>
    <s v="STOCK"/>
    <s v="BUY"/>
    <n v="100"/>
    <s v="TO OPEN"/>
    <x v="2"/>
    <m/>
    <m/>
    <s v="STOCK"/>
    <n v="29.645"/>
    <n v="29.645"/>
    <s v="MKT"/>
    <n v="300"/>
    <n v="8894.42"/>
    <n v="29.648066666666669"/>
    <s v=""/>
  </r>
  <r>
    <x v="726"/>
    <x v="70"/>
    <s v="Wednesday"/>
    <d v="1899-12-30T10:06:16"/>
    <s v="STOCK"/>
    <s v="BUY"/>
    <n v="100"/>
    <s v="TO OPEN"/>
    <x v="2"/>
    <m/>
    <m/>
    <s v="STOCK"/>
    <n v="29.649799999999999"/>
    <n v="29.649799999999999"/>
    <s v="MKT"/>
    <n v="400"/>
    <n v="11859.4"/>
    <n v="29.648499999999999"/>
    <s v=""/>
  </r>
  <r>
    <x v="726"/>
    <x v="70"/>
    <s v="Wednesday"/>
    <d v="1899-12-30T10:10:02"/>
    <s v="STOCK"/>
    <s v="SELL"/>
    <n v="-100"/>
    <s v="TO CLOSE"/>
    <x v="2"/>
    <m/>
    <m/>
    <s v="STOCK"/>
    <n v="29.66"/>
    <n v="29.66"/>
    <s v="STP"/>
    <n v="300"/>
    <n v="8893.4"/>
    <n v="29.644666666666666"/>
    <s v=""/>
  </r>
  <r>
    <x v="726"/>
    <x v="70"/>
    <s v="Wednesday"/>
    <d v="1899-12-30T10:10:02"/>
    <s v="STOCK"/>
    <s v="SELL"/>
    <n v="-45"/>
    <s v="TO CLOSE"/>
    <x v="2"/>
    <m/>
    <m/>
    <s v="STOCK"/>
    <n v="29.66"/>
    <n v="29.66"/>
    <s v="STP"/>
    <n v="255"/>
    <n v="7558.7"/>
    <n v="29.641960784313724"/>
    <s v=""/>
  </r>
  <r>
    <x v="726"/>
    <x v="70"/>
    <s v="Wednesday"/>
    <d v="1899-12-30T10:10:02"/>
    <s v="STOCK"/>
    <s v="SELL"/>
    <n v="-200"/>
    <s v="TO CLOSE"/>
    <x v="2"/>
    <m/>
    <m/>
    <s v="STOCK"/>
    <n v="29.66"/>
    <n v="29.66"/>
    <s v="STP"/>
    <n v="55"/>
    <n v="1626.6999999999998"/>
    <n v="29.576363636363634"/>
    <s v=""/>
  </r>
  <r>
    <x v="726"/>
    <x v="70"/>
    <s v="Wednesday"/>
    <d v="1899-12-30T10:10:02"/>
    <s v="STOCK"/>
    <s v="SELL"/>
    <n v="-55"/>
    <s v="TO CLOSE"/>
    <x v="2"/>
    <m/>
    <m/>
    <s v="STOCK"/>
    <n v="29.66"/>
    <n v="29.66"/>
    <s v="STP"/>
    <n v="0"/>
    <n v="0"/>
    <s v=""/>
    <n v="4.6000000000001151"/>
  </r>
  <r>
    <x v="727"/>
    <x v="70"/>
    <s v="Wednesday"/>
    <d v="1899-12-30T10:11:24"/>
    <s v="STOCK"/>
    <s v="BUY"/>
    <n v="200"/>
    <s v="TO OPEN"/>
    <x v="2"/>
    <m/>
    <m/>
    <s v="STOCK"/>
    <n v="29.725000000000001"/>
    <n v="29.725000000000001"/>
    <s v="MKT"/>
    <n v="200"/>
    <n v="5945"/>
    <n v="29.725000000000001"/>
    <s v=""/>
  </r>
  <r>
    <x v="727"/>
    <x v="70"/>
    <s v="Wednesday"/>
    <d v="1899-12-30T10:23:44"/>
    <s v="STOCK"/>
    <s v="SELL"/>
    <n v="-200"/>
    <s v="TO CLOSE"/>
    <x v="2"/>
    <m/>
    <m/>
    <s v="STOCK"/>
    <n v="29.96"/>
    <n v="29.96"/>
    <s v="LMT"/>
    <n v="0"/>
    <n v="0"/>
    <s v=""/>
    <n v="46.999999999999886"/>
  </r>
  <r>
    <x v="728"/>
    <x v="70"/>
    <s v="Wednesday"/>
    <d v="1899-12-30T10:23:44"/>
    <s v="STOCK"/>
    <s v="SELL"/>
    <n v="-200"/>
    <s v="TO CLOSE"/>
    <x v="2"/>
    <m/>
    <m/>
    <s v="STOCK"/>
    <n v="29.96"/>
    <n v="29.96"/>
    <s v="LMT"/>
    <n v="-200"/>
    <n v="-5992"/>
    <n v="29.96"/>
    <s v=""/>
  </r>
  <r>
    <x v="728"/>
    <x v="70"/>
    <s v="Wednesday"/>
    <d v="1899-12-30T10:23:55"/>
    <s v="STOCK"/>
    <s v="BUY"/>
    <n v="200"/>
    <s v="TO CLOSE"/>
    <x v="2"/>
    <m/>
    <m/>
    <s v="STOCK"/>
    <n v="29.96"/>
    <n v="29.96"/>
    <s v="LMT"/>
    <n v="0"/>
    <n v="0"/>
    <s v=""/>
    <n v="0"/>
  </r>
  <r>
    <x v="729"/>
    <x v="70"/>
    <s v="Wednesday"/>
    <d v="1899-12-30T10:42:05"/>
    <s v="STOCK"/>
    <s v="BUY"/>
    <n v="100"/>
    <s v="TO OPEN"/>
    <x v="2"/>
    <m/>
    <m/>
    <s v="STOCK"/>
    <n v="29.6999"/>
    <n v="29.6999"/>
    <s v="LMT"/>
    <n v="100"/>
    <n v="2969.99"/>
    <n v="29.6999"/>
    <s v=""/>
  </r>
  <r>
    <x v="729"/>
    <x v="70"/>
    <s v="Wednesday"/>
    <d v="1899-12-30T10:42:05"/>
    <s v="STOCK"/>
    <s v="BUY"/>
    <n v="100"/>
    <s v="TO OPEN"/>
    <x v="2"/>
    <m/>
    <m/>
    <s v="STOCK"/>
    <n v="29.6999"/>
    <n v="29.6999"/>
    <s v="LMT"/>
    <n v="200"/>
    <n v="5939.98"/>
    <n v="29.6999"/>
    <s v=""/>
  </r>
  <r>
    <x v="729"/>
    <x v="70"/>
    <s v="Wednesday"/>
    <d v="1899-12-30T10:51:14"/>
    <s v="STOCK"/>
    <s v="SELL"/>
    <n v="-200"/>
    <s v="TO CLOSE"/>
    <x v="2"/>
    <m/>
    <m/>
    <s v="STOCK"/>
    <n v="29.945"/>
    <n v="29.945"/>
    <s v="LMT"/>
    <n v="0"/>
    <n v="0"/>
    <s v=""/>
    <n v="49.020000000000152"/>
  </r>
  <r>
    <x v="730"/>
    <x v="70"/>
    <s v="Wednesday"/>
    <d v="1899-12-30T10:51:17"/>
    <s v="STOCK"/>
    <s v="SELL"/>
    <n v="-200"/>
    <s v="TO OPEN"/>
    <x v="2"/>
    <m/>
    <m/>
    <s v="STOCK"/>
    <n v="29.940100000000001"/>
    <n v="29.940100000000001"/>
    <s v="LMT"/>
    <n v="-200"/>
    <n v="-5988.02"/>
    <n v="29.940100000000001"/>
    <s v=""/>
  </r>
  <r>
    <x v="730"/>
    <x v="70"/>
    <s v="Wednesday"/>
    <d v="1899-12-30T10:51:35"/>
    <s v="STOCK"/>
    <s v="BUY"/>
    <n v="16"/>
    <s v="TO CLOSE"/>
    <x v="2"/>
    <m/>
    <m/>
    <s v="STOCK"/>
    <n v="29.94"/>
    <n v="29.94"/>
    <s v="LMT"/>
    <n v="-184"/>
    <n v="-5508.9800000000005"/>
    <n v="29.940108695652178"/>
    <s v=""/>
  </r>
  <r>
    <x v="730"/>
    <x v="70"/>
    <s v="Wednesday"/>
    <d v="1899-12-30T10:51:35"/>
    <s v="STOCK"/>
    <s v="BUY"/>
    <n v="41"/>
    <s v="TO CLOSE"/>
    <x v="2"/>
    <m/>
    <m/>
    <s v="STOCK"/>
    <n v="29.94"/>
    <n v="29.94"/>
    <s v="LMT"/>
    <n v="-143"/>
    <n v="-4281.4400000000005"/>
    <n v="29.940139860139865"/>
    <s v=""/>
  </r>
  <r>
    <x v="730"/>
    <x v="70"/>
    <s v="Wednesday"/>
    <d v="1899-12-30T10:51:35"/>
    <s v="STOCK"/>
    <s v="BUY"/>
    <n v="40"/>
    <s v="TO CLOSE"/>
    <x v="2"/>
    <m/>
    <m/>
    <s v="STOCK"/>
    <n v="29.94"/>
    <n v="29.94"/>
    <s v="LMT"/>
    <n v="-103"/>
    <n v="-3083.84"/>
    <n v="29.940194174757284"/>
    <s v=""/>
  </r>
  <r>
    <x v="730"/>
    <x v="70"/>
    <s v="Wednesday"/>
    <d v="1899-12-30T10:51:35"/>
    <s v="STOCK"/>
    <s v="BUY"/>
    <n v="41"/>
    <s v="TO CLOSE"/>
    <x v="2"/>
    <m/>
    <m/>
    <s v="STOCK"/>
    <n v="29.94"/>
    <n v="29.94"/>
    <s v="LMT"/>
    <n v="-62"/>
    <n v="-1856.3000000000002"/>
    <n v="29.940322580645166"/>
    <s v=""/>
  </r>
  <r>
    <x v="730"/>
    <x v="70"/>
    <s v="Wednesday"/>
    <d v="1899-12-30T10:51:35"/>
    <s v="STOCK"/>
    <s v="BUY"/>
    <n v="41"/>
    <s v="TO CLOSE"/>
    <x v="2"/>
    <m/>
    <m/>
    <s v="STOCK"/>
    <n v="29.94"/>
    <n v="29.94"/>
    <s v="LMT"/>
    <n v="-21"/>
    <n v="-628.76000000000022"/>
    <n v="29.940952380952393"/>
    <s v=""/>
  </r>
  <r>
    <x v="730"/>
    <x v="70"/>
    <s v="Wednesday"/>
    <d v="1899-12-30T10:51:35"/>
    <s v="STOCK"/>
    <s v="BUY"/>
    <n v="21"/>
    <s v="TO CLOSE"/>
    <x v="2"/>
    <m/>
    <m/>
    <s v="STOCK"/>
    <n v="29.94"/>
    <n v="29.94"/>
    <s v="LMT"/>
    <n v="0"/>
    <n v="0"/>
    <s v=""/>
    <n v="2.0000000000216289E-2"/>
  </r>
  <r>
    <x v="731"/>
    <x v="70"/>
    <s v="Wednesday"/>
    <d v="1899-12-30T11:18:09"/>
    <s v="STOCK"/>
    <s v="SELL"/>
    <n v="-100"/>
    <s v="TO OPEN"/>
    <x v="2"/>
    <m/>
    <m/>
    <s v="STOCK"/>
    <n v="29.83"/>
    <n v="29.83"/>
    <s v="MKT"/>
    <n v="-100"/>
    <n v="-2983"/>
    <n v="29.83"/>
    <s v=""/>
  </r>
  <r>
    <x v="731"/>
    <x v="70"/>
    <s v="Wednesday"/>
    <d v="1899-12-30T11:18:09"/>
    <s v="STOCK"/>
    <s v="SELL"/>
    <n v="-100"/>
    <s v="TO OPEN"/>
    <x v="2"/>
    <m/>
    <m/>
    <s v="STOCK"/>
    <n v="29.824999999999999"/>
    <n v="29.824999999999999"/>
    <s v="MKT"/>
    <n v="-200"/>
    <n v="-5965.5"/>
    <n v="29.827500000000001"/>
    <s v=""/>
  </r>
  <r>
    <x v="731"/>
    <x v="70"/>
    <s v="Wednesday"/>
    <d v="1899-12-30T11:18:09"/>
    <s v="STOCK"/>
    <s v="SELL"/>
    <n v="-100"/>
    <s v="TO OPEN"/>
    <x v="2"/>
    <m/>
    <m/>
    <s v="STOCK"/>
    <n v="29.824999999999999"/>
    <n v="29.824999999999999"/>
    <s v="MKT"/>
    <n v="-300"/>
    <n v="-8948"/>
    <n v="29.826666666666668"/>
    <s v=""/>
  </r>
  <r>
    <x v="731"/>
    <x v="70"/>
    <s v="Wednesday"/>
    <d v="1899-12-30T11:28:50"/>
    <s v="STOCK"/>
    <s v="BUY"/>
    <n v="300"/>
    <s v="TO CLOSE"/>
    <x v="2"/>
    <m/>
    <m/>
    <s v="STOCK"/>
    <n v="29.657699999999998"/>
    <n v="29.657699999999998"/>
    <s v="MKT"/>
    <n v="0"/>
    <n v="0"/>
    <s v=""/>
    <n v="50.690000000000879"/>
  </r>
  <r>
    <x v="732"/>
    <x v="71"/>
    <s v="Thursday"/>
    <d v="1899-12-30T09:29:05"/>
    <s v="FUTURE"/>
    <s v="SELL"/>
    <n v="-1"/>
    <s v="TO OPEN"/>
    <x v="9"/>
    <d v="2020-09-20T00:00:00"/>
    <m/>
    <s v="FUTURE"/>
    <n v="41.5"/>
    <n v="41.5"/>
    <s v="LMT"/>
    <n v="-1"/>
    <n v="-41500"/>
    <n v="41.5"/>
    <s v=""/>
  </r>
  <r>
    <x v="732"/>
    <x v="71"/>
    <s v="Thursday"/>
    <d v="1899-12-30T09:37:07"/>
    <s v="FUTURE"/>
    <s v="BUY"/>
    <n v="1"/>
    <s v="TO CLOSE"/>
    <x v="9"/>
    <d v="2020-09-20T00:00:00"/>
    <m/>
    <s v="FUTURE"/>
    <n v="41.62"/>
    <n v="41.62"/>
    <s v="MKT"/>
    <n v="0"/>
    <n v="0"/>
    <s v=""/>
    <n v="-119.99999999999744"/>
  </r>
  <r>
    <x v="733"/>
    <x v="71"/>
    <s v="Thursday"/>
    <d v="1899-12-30T09:37:53"/>
    <s v="FUTURE"/>
    <s v="BUY"/>
    <n v="1"/>
    <s v="TO OPEN"/>
    <x v="9"/>
    <d v="2020-09-20T00:00:00"/>
    <m/>
    <s v="FUTURE"/>
    <n v="41.62"/>
    <n v="41.62"/>
    <s v="MKT"/>
    <n v="1"/>
    <n v="41620"/>
    <n v="41.62"/>
    <s v=""/>
  </r>
  <r>
    <x v="733"/>
    <x v="71"/>
    <s v="Thursday"/>
    <d v="1899-12-30T09:42:04"/>
    <s v="FUTURE"/>
    <s v="SELL"/>
    <n v="-1"/>
    <s v="TO CLOSE"/>
    <x v="9"/>
    <d v="2020-09-20T00:00:00"/>
    <m/>
    <s v="FUTURE"/>
    <n v="41.51"/>
    <n v="41.51"/>
    <s v="STP"/>
    <n v="0"/>
    <n v="0"/>
    <s v=""/>
    <n v="-109.99999999999943"/>
  </r>
  <r>
    <x v="734"/>
    <x v="71"/>
    <s v="Thursday"/>
    <d v="1899-12-30T09:43:47"/>
    <s v="FUTURE"/>
    <s v="BUY"/>
    <n v="1"/>
    <s v="TO OPEN"/>
    <x v="9"/>
    <d v="2020-09-20T00:00:00"/>
    <m/>
    <s v="FUTURE"/>
    <n v="41.57"/>
    <n v="41.57"/>
    <s v="LMT"/>
    <n v="1"/>
    <n v="41570"/>
    <n v="41.57"/>
    <s v=""/>
  </r>
  <r>
    <x v="734"/>
    <x v="71"/>
    <s v="Thursday"/>
    <d v="1899-12-30T09:49:54"/>
    <s v="FUTURE"/>
    <s v="SELL"/>
    <n v="-1"/>
    <s v="TO CLOSE"/>
    <x v="9"/>
    <d v="2020-09-20T00:00:00"/>
    <m/>
    <s v="FUTURE"/>
    <n v="41.71"/>
    <n v="41.71"/>
    <s v="LMT"/>
    <n v="0"/>
    <n v="0"/>
    <s v=""/>
    <n v="140.00000000000057"/>
  </r>
  <r>
    <x v="735"/>
    <x v="71"/>
    <s v="Thursday"/>
    <d v="1899-12-30T11:38:47"/>
    <s v="FUTURE"/>
    <s v="BUY"/>
    <n v="1"/>
    <s v="TO OPEN"/>
    <x v="9"/>
    <d v="2020-09-20T00:00:00"/>
    <m/>
    <s v="FUTURE"/>
    <n v="41.84"/>
    <n v="41.84"/>
    <s v="MKT"/>
    <n v="1"/>
    <n v="41840"/>
    <n v="41.84"/>
    <s v=""/>
  </r>
  <r>
    <x v="735"/>
    <x v="71"/>
    <s v="Thursday"/>
    <d v="1899-12-30T11:39:47"/>
    <s v="FUTURE"/>
    <s v="SELL"/>
    <n v="-1"/>
    <s v="TO CLOSE"/>
    <x v="9"/>
    <d v="2020-09-20T00:00:00"/>
    <m/>
    <s v="FUTURE"/>
    <n v="41.89"/>
    <n v="41.89"/>
    <s v="LMT"/>
    <n v="0"/>
    <n v="0"/>
    <s v=""/>
    <n v="49.999999999997158"/>
  </r>
  <r>
    <x v="736"/>
    <x v="71"/>
    <s v="Thursday"/>
    <d v="1899-12-30T09:35:52"/>
    <s v="FUTURE"/>
    <s v="BUY"/>
    <n v="1"/>
    <s v="TO OPEN"/>
    <x v="7"/>
    <d v="2020-09-20T00:00:00"/>
    <m/>
    <s v="FUTURE"/>
    <n v="3265.25"/>
    <n v="3265.25"/>
    <s v="MKT"/>
    <n v="1"/>
    <n v="163262.5"/>
    <n v="3265.25"/>
    <s v=""/>
  </r>
  <r>
    <x v="736"/>
    <x v="71"/>
    <s v="Thursday"/>
    <d v="1899-12-30T09:49:16"/>
    <s v="FUTURE"/>
    <s v="SELL"/>
    <n v="-1"/>
    <s v="TO CLOSE"/>
    <x v="7"/>
    <d v="2020-09-20T00:00:00"/>
    <m/>
    <s v="FUTURE"/>
    <n v="3269.75"/>
    <n v="3269.75"/>
    <s v="LMT"/>
    <n v="0"/>
    <n v="0"/>
    <s v=""/>
    <n v="225"/>
  </r>
  <r>
    <x v="737"/>
    <x v="71"/>
    <s v="Thursday"/>
    <d v="1899-12-30T10:05:45"/>
    <s v="FUTURE"/>
    <s v="BUY"/>
    <n v="1"/>
    <s v="TO OPEN"/>
    <x v="7"/>
    <d v="2020-09-20T00:00:00"/>
    <m/>
    <s v="FUTURE"/>
    <n v="3268.5"/>
    <n v="3268.5"/>
    <s v="MKT"/>
    <n v="1"/>
    <n v="163425"/>
    <n v="3268.5"/>
    <s v=""/>
  </r>
  <r>
    <x v="737"/>
    <x v="71"/>
    <s v="Thursday"/>
    <d v="1899-12-30T10:12:31"/>
    <s v="FUTURE"/>
    <s v="SELL"/>
    <n v="-1"/>
    <s v="TO CLOSE"/>
    <x v="7"/>
    <d v="2020-09-20T00:00:00"/>
    <m/>
    <s v="FUTURE"/>
    <n v="3261.75"/>
    <n v="3261.75"/>
    <s v="MKT"/>
    <n v="0"/>
    <n v="0"/>
    <s v=""/>
    <n v="-337.5"/>
  </r>
  <r>
    <x v="738"/>
    <x v="71"/>
    <s v="Thursday"/>
    <d v="1899-12-30T10:13:27"/>
    <s v="FUTURE"/>
    <s v="SELL"/>
    <n v="-1"/>
    <s v="TO OPEN"/>
    <x v="7"/>
    <d v="2020-09-20T00:00:00"/>
    <m/>
    <s v="FUTURE"/>
    <n v="3260.25"/>
    <n v="3260.25"/>
    <s v="MKT"/>
    <n v="-1"/>
    <n v="-163012.5"/>
    <n v="3260.25"/>
    <s v=""/>
  </r>
  <r>
    <x v="738"/>
    <x v="71"/>
    <s v="Thursday"/>
    <d v="1899-12-30T10:19:56"/>
    <s v="FUTURE"/>
    <s v="BUY"/>
    <n v="1"/>
    <s v="TO CLOSE"/>
    <x v="7"/>
    <d v="2020-09-20T00:00:00"/>
    <m/>
    <s v="FUTURE"/>
    <n v="3256"/>
    <n v="3256"/>
    <s v="LMT"/>
    <n v="0"/>
    <n v="0"/>
    <s v=""/>
    <n v="212.5"/>
  </r>
  <r>
    <x v="739"/>
    <x v="71"/>
    <s v="Thursday"/>
    <d v="1899-12-30T10:28:41"/>
    <s v="FUTURE"/>
    <s v="BUY"/>
    <n v="1"/>
    <s v="TO OPEN"/>
    <x v="7"/>
    <d v="2020-09-20T00:00:00"/>
    <m/>
    <s v="FUTURE"/>
    <n v="3263"/>
    <n v="3263"/>
    <s v="MKT"/>
    <n v="1"/>
    <n v="163150"/>
    <n v="3263"/>
    <s v=""/>
  </r>
  <r>
    <x v="739"/>
    <x v="71"/>
    <s v="Thursday"/>
    <d v="1899-12-30T10:47:44"/>
    <s v="FUTURE"/>
    <s v="SELL"/>
    <n v="-1"/>
    <s v="TO CLOSE"/>
    <x v="7"/>
    <d v="2020-09-20T00:00:00"/>
    <m/>
    <s v="FUTURE"/>
    <n v="3266.5"/>
    <n v="3266.5"/>
    <s v="LMT"/>
    <n v="0"/>
    <n v="0"/>
    <s v=""/>
    <n v="175"/>
  </r>
  <r>
    <x v="740"/>
    <x v="71"/>
    <s v="Thursday"/>
    <d v="1899-12-30T10:57:41"/>
    <s v="FUTURE"/>
    <s v="SELL"/>
    <n v="-1"/>
    <s v="TO OPEN"/>
    <x v="7"/>
    <d v="2020-09-20T00:00:00"/>
    <m/>
    <s v="FUTURE"/>
    <n v="3263.75"/>
    <n v="3263.75"/>
    <s v="MKT"/>
    <n v="-1"/>
    <n v="-163187.5"/>
    <n v="3263.75"/>
    <s v=""/>
  </r>
  <r>
    <x v="740"/>
    <x v="71"/>
    <s v="Thursday"/>
    <d v="1899-12-30T10:58:40"/>
    <s v="FUTURE"/>
    <s v="BUY"/>
    <n v="1"/>
    <s v="TO CLOSE"/>
    <x v="7"/>
    <d v="2020-09-20T00:00:00"/>
    <m/>
    <s v="FUTURE"/>
    <n v="3261.75"/>
    <n v="3261.75"/>
    <s v="LMT"/>
    <n v="0"/>
    <n v="0"/>
    <s v=""/>
    <n v="100"/>
  </r>
  <r>
    <x v="741"/>
    <x v="71"/>
    <s v="Thursday"/>
    <d v="1899-12-30T11:01:24"/>
    <s v="FUTURE"/>
    <s v="BUY"/>
    <n v="1"/>
    <s v="TO OPEN"/>
    <x v="7"/>
    <d v="2020-09-20T00:00:00"/>
    <m/>
    <s v="FUTURE"/>
    <n v="3265.25"/>
    <n v="3265.25"/>
    <s v="MKT"/>
    <n v="1"/>
    <n v="163262.5"/>
    <n v="3265.25"/>
    <s v=""/>
  </r>
  <r>
    <x v="741"/>
    <x v="71"/>
    <s v="Thursday"/>
    <d v="1899-12-30T11:29:51"/>
    <s v="FUTURE"/>
    <s v="SELL"/>
    <n v="-1"/>
    <s v="TO CLOSE"/>
    <x v="7"/>
    <d v="2020-09-20T00:00:00"/>
    <m/>
    <s v="FUTURE"/>
    <n v="3265.75"/>
    <n v="3265.75"/>
    <s v="LMT"/>
    <n v="0"/>
    <n v="0"/>
    <s v=""/>
    <n v="25"/>
  </r>
  <r>
    <x v="742"/>
    <x v="71"/>
    <s v="Thursday"/>
    <d v="1899-12-30T11:32:54"/>
    <s v="FUTURE"/>
    <s v="BUY"/>
    <n v="1"/>
    <s v="TO OPEN"/>
    <x v="7"/>
    <d v="2020-09-20T00:00:00"/>
    <m/>
    <s v="FUTURE"/>
    <n v="3269.25"/>
    <n v="3269.25"/>
    <s v="MKT"/>
    <n v="1"/>
    <n v="163462.5"/>
    <n v="3269.25"/>
    <s v=""/>
  </r>
  <r>
    <x v="742"/>
    <x v="71"/>
    <s v="Thursday"/>
    <d v="1899-12-30T11:33:36"/>
    <s v="FUTURE"/>
    <s v="SELL"/>
    <n v="-1"/>
    <s v="TO CLOSE"/>
    <x v="7"/>
    <d v="2020-09-20T00:00:00"/>
    <m/>
    <s v="FUTURE"/>
    <n v="3270.25"/>
    <n v="3270.25"/>
    <s v="LMT"/>
    <n v="0"/>
    <n v="0"/>
    <s v=""/>
    <n v="50"/>
  </r>
  <r>
    <x v="743"/>
    <x v="71"/>
    <s v="Thursday"/>
    <d v="1899-12-30T11:49:21"/>
    <s v="FUTURE"/>
    <s v="BUY"/>
    <n v="1"/>
    <s v="TO OPEN"/>
    <x v="7"/>
    <d v="2020-09-20T00:00:00"/>
    <m/>
    <s v="FUTURE"/>
    <n v="3269.25"/>
    <n v="3269.25"/>
    <s v="MKT"/>
    <n v="1"/>
    <n v="163462.5"/>
    <n v="3269.25"/>
    <s v=""/>
  </r>
  <r>
    <x v="743"/>
    <x v="71"/>
    <s v="Thursday"/>
    <d v="1899-12-30T12:08:49"/>
    <s v="FUTURE"/>
    <s v="SELL"/>
    <n v="-2"/>
    <s v="TO CLOSE"/>
    <x v="7"/>
    <d v="2020-09-20T00:00:00"/>
    <m/>
    <s v="FUTURE"/>
    <n v="3256"/>
    <n v="3256"/>
    <s v="MKT"/>
    <n v="-1"/>
    <n v="-162137.5"/>
    <n v="3242.75"/>
    <s v=""/>
  </r>
  <r>
    <x v="743"/>
    <x v="71"/>
    <s v="Thursday"/>
    <d v="1899-12-30T12:20:27"/>
    <s v="FUTURE"/>
    <s v="BUY"/>
    <n v="2"/>
    <s v="TO CLOSE"/>
    <x v="7"/>
    <d v="2020-09-20T00:00:00"/>
    <m/>
    <s v="FUTURE"/>
    <n v="3259"/>
    <n v="3259"/>
    <s v="MKT"/>
    <n v="1"/>
    <n v="163762.5"/>
    <n v="3275.25"/>
    <s v=""/>
  </r>
  <r>
    <x v="743"/>
    <x v="71"/>
    <s v="Thursday"/>
    <d v="1899-12-30T12:22:01"/>
    <s v="FUTURE"/>
    <s v="BUY"/>
    <n v="1"/>
    <s v="TO OPEN"/>
    <x v="7"/>
    <d v="2020-09-20T00:00:00"/>
    <m/>
    <s v="FUTURE"/>
    <n v="3260.75"/>
    <n v="3260.75"/>
    <s v="MKT"/>
    <n v="2"/>
    <n v="326800"/>
    <n v="3268"/>
    <s v=""/>
  </r>
  <r>
    <x v="743"/>
    <x v="71"/>
    <s v="Thursday"/>
    <d v="1899-12-30T12:26:50"/>
    <s v="FUTURE"/>
    <s v="SELL"/>
    <n v="-2"/>
    <s v="TO CLOSE"/>
    <x v="7"/>
    <d v="2020-09-20T00:00:00"/>
    <m/>
    <s v="FUTURE"/>
    <n v="3254"/>
    <n v="3254"/>
    <s v="STP"/>
    <n v="0"/>
    <n v="0"/>
    <s v=""/>
    <n v="-1400"/>
  </r>
  <r>
    <x v="744"/>
    <x v="71"/>
    <s v="Thursday"/>
    <d v="1899-12-30T12:30:15"/>
    <s v="FUTURE"/>
    <s v="BUY"/>
    <n v="2"/>
    <s v="TO OPEN"/>
    <x v="7"/>
    <d v="2020-09-20T00:00:00"/>
    <m/>
    <s v="FUTURE"/>
    <n v="3257.25"/>
    <n v="3257.25"/>
    <s v="MKT"/>
    <n v="2"/>
    <n v="325725"/>
    <n v="3257.25"/>
    <s v=""/>
  </r>
  <r>
    <x v="744"/>
    <x v="71"/>
    <s v="Thursday"/>
    <d v="1899-12-30T13:38:00"/>
    <s v="FUTURE"/>
    <s v="SELL"/>
    <n v="-2"/>
    <s v="TO CLOSE"/>
    <x v="7"/>
    <d v="2020-09-20T00:00:00"/>
    <m/>
    <s v="FUTURE"/>
    <n v="3242.5"/>
    <n v="3242.5"/>
    <s v="STP"/>
    <n v="0"/>
    <n v="0"/>
    <s v=""/>
    <n v="-1475"/>
  </r>
  <r>
    <x v="745"/>
    <x v="71"/>
    <s v="Thursday"/>
    <d v="1899-12-30T13:43:19"/>
    <s v="FUTURE"/>
    <s v="SELL"/>
    <n v="-2"/>
    <s v="TO OPEN"/>
    <x v="7"/>
    <d v="2020-09-20T00:00:00"/>
    <m/>
    <s v="FUTURE"/>
    <n v="3236.25"/>
    <n v="3236.25"/>
    <s v="MKT"/>
    <n v="-2"/>
    <n v="-323625"/>
    <n v="3236.25"/>
    <s v=""/>
  </r>
  <r>
    <x v="745"/>
    <x v="71"/>
    <s v="Thursday"/>
    <d v="1899-12-30T13:49:17"/>
    <s v="FUTURE"/>
    <s v="BUY"/>
    <n v="2"/>
    <s v="TO CLOSE"/>
    <x v="7"/>
    <d v="2020-09-20T00:00:00"/>
    <m/>
    <s v="FUTURE"/>
    <n v="3233.5"/>
    <n v="3233.5"/>
    <s v="LMT"/>
    <n v="0"/>
    <n v="0"/>
    <s v=""/>
    <n v="275"/>
  </r>
  <r>
    <x v="746"/>
    <x v="71"/>
    <s v="Thursday"/>
    <d v="1899-12-30T13:51:22"/>
    <s v="FUTURE"/>
    <s v="BUY"/>
    <n v="2"/>
    <s v="TO OPEN"/>
    <x v="7"/>
    <d v="2020-09-20T00:00:00"/>
    <m/>
    <s v="FUTURE"/>
    <n v="3235.75"/>
    <n v="3235.75"/>
    <s v="MKT"/>
    <n v="2"/>
    <n v="323575"/>
    <n v="3235.75"/>
    <s v=""/>
  </r>
  <r>
    <x v="746"/>
    <x v="71"/>
    <s v="Thursday"/>
    <d v="1899-12-30T14:16:30"/>
    <s v="FUTURE"/>
    <s v="SELL"/>
    <n v="-2"/>
    <s v="TO CLOSE"/>
    <x v="7"/>
    <d v="2020-09-20T00:00:00"/>
    <m/>
    <s v="FUTURE"/>
    <n v="3217"/>
    <n v="3217"/>
    <s v="STP"/>
    <n v="0"/>
    <n v="0"/>
    <s v=""/>
    <n v="-1875"/>
  </r>
  <r>
    <x v="747"/>
    <x v="71"/>
    <s v="Thursday"/>
    <d v="1899-12-30T14:22:51"/>
    <s v="FUTURE"/>
    <s v="BUY"/>
    <n v="1"/>
    <s v="TO OPEN"/>
    <x v="7"/>
    <d v="2020-09-20T00:00:00"/>
    <m/>
    <s v="FUTURE"/>
    <n v="3222.5"/>
    <n v="3222.5"/>
    <s v="MKT"/>
    <n v="1"/>
    <n v="161125"/>
    <n v="3222.5"/>
    <s v=""/>
  </r>
  <r>
    <x v="747"/>
    <x v="71"/>
    <s v="Thursday"/>
    <d v="1899-12-30T14:23:49"/>
    <s v="FUTURE"/>
    <s v="SELL"/>
    <n v="-1"/>
    <s v="TO CLOSE"/>
    <x v="7"/>
    <d v="2020-09-20T00:00:00"/>
    <m/>
    <s v="FUTURE"/>
    <n v="3223.5"/>
    <n v="3223.5"/>
    <s v="LMT"/>
    <n v="0"/>
    <n v="0"/>
    <s v=""/>
    <n v="50"/>
  </r>
  <r>
    <x v="748"/>
    <x v="71"/>
    <s v="Thursday"/>
    <d v="1899-12-30T14:28:03"/>
    <s v="FUTURE"/>
    <s v="BUY"/>
    <n v="1"/>
    <s v="TO OPEN"/>
    <x v="7"/>
    <d v="2020-09-20T00:00:00"/>
    <m/>
    <s v="FUTURE"/>
    <n v="3225.75"/>
    <n v="3225.75"/>
    <s v="MKT"/>
    <n v="1"/>
    <n v="161287.5"/>
    <n v="3225.75"/>
    <s v=""/>
  </r>
  <r>
    <x v="748"/>
    <x v="71"/>
    <s v="Thursday"/>
    <d v="1899-12-30T14:30:35"/>
    <s v="FUTURE"/>
    <s v="BUY"/>
    <n v="1"/>
    <s v="TO OPEN"/>
    <x v="7"/>
    <d v="2020-09-20T00:00:00"/>
    <m/>
    <s v="FUTURE"/>
    <n v="3226.75"/>
    <n v="3226.75"/>
    <s v="MKT"/>
    <n v="2"/>
    <n v="322625"/>
    <n v="3226.25"/>
    <s v=""/>
  </r>
  <r>
    <x v="748"/>
    <x v="71"/>
    <s v="Thursday"/>
    <d v="1899-12-30T14:36:59"/>
    <s v="FUTURE"/>
    <s v="SELL"/>
    <n v="-2"/>
    <s v="TO CLOSE"/>
    <x v="7"/>
    <d v="2020-09-20T00:00:00"/>
    <m/>
    <s v="FUTURE"/>
    <n v="3226.5"/>
    <n v="3226.5"/>
    <s v="STP"/>
    <n v="0"/>
    <n v="0"/>
    <s v=""/>
    <n v="25"/>
  </r>
  <r>
    <x v="749"/>
    <x v="71"/>
    <s v="Thursday"/>
    <d v="1899-12-30T14:37:47"/>
    <s v="FUTURE"/>
    <s v="BUY"/>
    <n v="2"/>
    <s v="TO OPEN"/>
    <x v="7"/>
    <d v="2020-09-20T00:00:00"/>
    <m/>
    <s v="FUTURE"/>
    <n v="3225.5"/>
    <n v="3225.5"/>
    <s v="MKT"/>
    <n v="2"/>
    <n v="322550"/>
    <n v="3225.5"/>
    <s v=""/>
  </r>
  <r>
    <x v="749"/>
    <x v="71"/>
    <s v="Thursday"/>
    <d v="1899-12-30T14:53:48"/>
    <s v="FUTURE"/>
    <s v="SELL"/>
    <n v="-1"/>
    <s v="TO CLOSE"/>
    <x v="7"/>
    <d v="2020-09-20T00:00:00"/>
    <m/>
    <s v="FUTURE"/>
    <n v="3231"/>
    <n v="3231"/>
    <s v="LMT"/>
    <n v="1"/>
    <n v="161000"/>
    <n v="3220"/>
    <s v=""/>
  </r>
  <r>
    <x v="749"/>
    <x v="71"/>
    <s v="Thursday"/>
    <d v="1899-12-30T14:57:06"/>
    <s v="FUTURE"/>
    <s v="BUY"/>
    <n v="1"/>
    <s v="TO OPEN"/>
    <x v="7"/>
    <d v="2020-09-20T00:00:00"/>
    <m/>
    <s v="FUTURE"/>
    <n v="3227.5"/>
    <n v="3227.5"/>
    <s v="MKT"/>
    <n v="2"/>
    <n v="322375"/>
    <n v="3223.75"/>
    <s v=""/>
  </r>
  <r>
    <x v="749"/>
    <x v="71"/>
    <s v="Thursday"/>
    <d v="1899-12-30T15:00:06"/>
    <s v="FUTURE"/>
    <s v="SELL"/>
    <n v="-1"/>
    <s v="TO CLOSE"/>
    <x v="7"/>
    <d v="2020-09-20T00:00:00"/>
    <m/>
    <s v="FUTURE"/>
    <n v="3231"/>
    <n v="3231"/>
    <s v="LMT"/>
    <n v="1"/>
    <n v="160825"/>
    <n v="3216.5"/>
    <s v=""/>
  </r>
  <r>
    <x v="749"/>
    <x v="71"/>
    <s v="Thursday"/>
    <d v="1899-12-30T15:10:27"/>
    <s v="FUTURE"/>
    <s v="BUY"/>
    <n v="1"/>
    <s v="TO OPEN"/>
    <x v="7"/>
    <d v="2020-09-20T00:00:00"/>
    <m/>
    <s v="FUTURE"/>
    <n v="3225.5"/>
    <n v="3225.5"/>
    <s v="MKT"/>
    <n v="2"/>
    <n v="322100"/>
    <n v="3221"/>
    <s v=""/>
  </r>
  <r>
    <x v="749"/>
    <x v="71"/>
    <s v="Thursday"/>
    <d v="1899-12-30T15:16:38"/>
    <s v="FUTURE"/>
    <s v="SELL"/>
    <n v="-1"/>
    <s v="TO CLOSE"/>
    <x v="7"/>
    <d v="2020-09-20T00:00:00"/>
    <m/>
    <s v="FUTURE"/>
    <n v="3228"/>
    <n v="3228"/>
    <s v="LMT"/>
    <n v="1"/>
    <n v="160700"/>
    <n v="3214"/>
    <s v=""/>
  </r>
  <r>
    <x v="749"/>
    <x v="71"/>
    <s v="Thursday"/>
    <d v="1899-12-30T15:18:48"/>
    <s v="FUTURE"/>
    <s v="SELL"/>
    <n v="-1"/>
    <s v="TO CLOSE"/>
    <x v="7"/>
    <d v="2020-09-20T00:00:00"/>
    <m/>
    <s v="FUTURE"/>
    <n v="3228.5"/>
    <n v="3228.5"/>
    <s v="LMT"/>
    <n v="0"/>
    <n v="0"/>
    <s v=""/>
    <n v="725"/>
  </r>
  <r>
    <x v="750"/>
    <x v="71"/>
    <s v="Thursday"/>
    <d v="1899-12-30T10:03:27"/>
    <s v="STOCK"/>
    <s v="SELL"/>
    <n v="-400"/>
    <s v="TO OPEN"/>
    <x v="2"/>
    <m/>
    <m/>
    <s v="STOCK"/>
    <n v="28.772400000000001"/>
    <n v="28.772400000000001"/>
    <s v="LMT"/>
    <n v="-400"/>
    <n v="-11508.960000000001"/>
    <n v="28.772400000000001"/>
    <s v=""/>
  </r>
  <r>
    <x v="750"/>
    <x v="71"/>
    <s v="Thursday"/>
    <d v="1899-12-30T10:13:31"/>
    <s v="STOCK"/>
    <s v="BUY"/>
    <n v="400"/>
    <s v="TO CLOSE"/>
    <x v="2"/>
    <m/>
    <m/>
    <s v="STOCK"/>
    <n v="29.004999999999999"/>
    <n v="29.004999999999999"/>
    <s v="MKT"/>
    <n v="0"/>
    <n v="0"/>
    <s v=""/>
    <n v="-93.039999999999168"/>
  </r>
  <r>
    <x v="751"/>
    <x v="71"/>
    <s v="Thursday"/>
    <d v="1899-12-30T10:32:05"/>
    <s v="STOCK"/>
    <s v="SELL"/>
    <n v="-400"/>
    <s v="TO OPEN"/>
    <x v="2"/>
    <m/>
    <m/>
    <s v="STOCK"/>
    <n v="28.97"/>
    <n v="28.97"/>
    <s v="LMT"/>
    <n v="-400"/>
    <n v="-11588"/>
    <n v="28.97"/>
    <s v=""/>
  </r>
  <r>
    <x v="751"/>
    <x v="71"/>
    <s v="Thursday"/>
    <d v="1899-12-30T10:34:26"/>
    <s v="STOCK"/>
    <s v="SELL"/>
    <n v="-100"/>
    <s v="TO OPEN"/>
    <x v="2"/>
    <m/>
    <m/>
    <s v="STOCK"/>
    <n v="29.04"/>
    <n v="29.04"/>
    <s v="LMT"/>
    <n v="-500"/>
    <n v="-14492"/>
    <n v="28.984000000000002"/>
    <s v=""/>
  </r>
  <r>
    <x v="751"/>
    <x v="71"/>
    <s v="Thursday"/>
    <d v="1899-12-30T10:56:00"/>
    <s v="STOCK"/>
    <s v="BUY"/>
    <n v="500"/>
    <s v="TO CLOSE"/>
    <x v="2"/>
    <m/>
    <m/>
    <s v="STOCK"/>
    <n v="29.1892"/>
    <n v="29.1892"/>
    <s v="MKT"/>
    <n v="0"/>
    <n v="0"/>
    <s v=""/>
    <n v="-102.59999999999891"/>
  </r>
  <r>
    <x v="752"/>
    <x v="71"/>
    <s v="Thursday"/>
    <d v="1899-12-30T10:58:19"/>
    <s v="STOCK"/>
    <s v="BUY"/>
    <n v="500"/>
    <s v="TO OPEN"/>
    <x v="2"/>
    <m/>
    <m/>
    <s v="STOCK"/>
    <n v="29.207699999999999"/>
    <n v="29.207699999999999"/>
    <s v="MKT"/>
    <n v="500"/>
    <n v="14603.85"/>
    <n v="29.207699999999999"/>
    <s v=""/>
  </r>
  <r>
    <x v="752"/>
    <x v="71"/>
    <s v="Thursday"/>
    <d v="1899-12-30T10:59:09"/>
    <s v="STOCK"/>
    <s v="SELL"/>
    <n v="-200"/>
    <s v="TO CLOSE"/>
    <x v="2"/>
    <m/>
    <m/>
    <s v="STOCK"/>
    <n v="29.274999999999999"/>
    <n v="29.274999999999999"/>
    <s v="LMT"/>
    <n v="300"/>
    <n v="8748.85"/>
    <n v="29.162833333333335"/>
    <s v=""/>
  </r>
  <r>
    <x v="752"/>
    <x v="71"/>
    <s v="Thursday"/>
    <d v="1899-12-30T11:01:51"/>
    <s v="STOCK"/>
    <s v="SELL"/>
    <n v="-300"/>
    <s v="TO CLOSE"/>
    <x v="2"/>
    <m/>
    <m/>
    <s v="STOCK"/>
    <n v="29.074999999999999"/>
    <n v="29.074999999999999"/>
    <s v="MKT"/>
    <n v="0"/>
    <n v="0"/>
    <s v=""/>
    <n v="-26.350000000000762"/>
  </r>
  <r>
    <x v="753"/>
    <x v="71"/>
    <s v="Thursday"/>
    <d v="1899-12-30T11:01:52"/>
    <s v="STOCK"/>
    <s v="SELL"/>
    <n v="-100"/>
    <s v="TO OPEN"/>
    <x v="2"/>
    <m/>
    <m/>
    <s v="STOCK"/>
    <n v="29.0701"/>
    <n v="29.0701"/>
    <s v="MKT"/>
    <n v="-100"/>
    <n v="-2907.01"/>
    <n v="29.070100000000004"/>
    <s v=""/>
  </r>
  <r>
    <x v="753"/>
    <x v="71"/>
    <s v="Thursday"/>
    <d v="1899-12-30T11:01:52"/>
    <s v="STOCK"/>
    <s v="SELL"/>
    <n v="-300"/>
    <s v="TO OPEN"/>
    <x v="2"/>
    <m/>
    <m/>
    <s v="STOCK"/>
    <n v="29.0701"/>
    <n v="29.0701"/>
    <s v="MKT"/>
    <n v="-400"/>
    <n v="-11628.04"/>
    <n v="29.070100000000004"/>
    <s v=""/>
  </r>
  <r>
    <x v="753"/>
    <x v="71"/>
    <s v="Thursday"/>
    <d v="1899-12-30T11:22:34"/>
    <s v="STOCK"/>
    <s v="BUY"/>
    <n v="400"/>
    <s v="TO CLOSE"/>
    <x v="2"/>
    <m/>
    <m/>
    <s v="STOCK"/>
    <n v="28.97"/>
    <n v="28.97"/>
    <s v="LMT"/>
    <n v="0"/>
    <n v="0"/>
    <s v=""/>
    <n v="40.040000000001896"/>
  </r>
  <r>
    <x v="754"/>
    <x v="71"/>
    <s v="Thursday"/>
    <d v="1899-12-30T11:32:47"/>
    <s v="STOCK"/>
    <s v="SELL"/>
    <n v="-100"/>
    <s v="TO OPEN"/>
    <x v="2"/>
    <m/>
    <m/>
    <s v="STOCK"/>
    <n v="28.82"/>
    <n v="28.82"/>
    <s v="MKT"/>
    <n v="-100"/>
    <n v="-2882"/>
    <n v="28.82"/>
    <s v=""/>
  </r>
  <r>
    <x v="754"/>
    <x v="71"/>
    <s v="Thursday"/>
    <d v="1899-12-30T11:32:47"/>
    <s v="STOCK"/>
    <s v="SELL"/>
    <n v="-100"/>
    <s v="TO OPEN"/>
    <x v="2"/>
    <m/>
    <m/>
    <s v="STOCK"/>
    <n v="28.82"/>
    <n v="28.82"/>
    <s v="MKT"/>
    <n v="-200"/>
    <n v="-5764"/>
    <n v="28.82"/>
    <s v=""/>
  </r>
  <r>
    <x v="754"/>
    <x v="71"/>
    <s v="Thursday"/>
    <d v="1899-12-30T11:32:47"/>
    <s v="STOCK"/>
    <s v="SELL"/>
    <n v="-100"/>
    <s v="TO OPEN"/>
    <x v="2"/>
    <m/>
    <m/>
    <s v="STOCK"/>
    <n v="28.82"/>
    <n v="28.82"/>
    <s v="MKT"/>
    <n v="-300"/>
    <n v="-8646"/>
    <n v="28.82"/>
    <s v=""/>
  </r>
  <r>
    <x v="754"/>
    <x v="71"/>
    <s v="Thursday"/>
    <d v="1899-12-30T11:32:47"/>
    <s v="STOCK"/>
    <s v="SELL"/>
    <n v="-100"/>
    <s v="TO OPEN"/>
    <x v="2"/>
    <m/>
    <m/>
    <s v="STOCK"/>
    <n v="28.82"/>
    <n v="28.82"/>
    <s v="MKT"/>
    <n v="-400"/>
    <n v="-11528"/>
    <n v="28.82"/>
    <s v=""/>
  </r>
  <r>
    <x v="754"/>
    <x v="71"/>
    <s v="Thursday"/>
    <d v="1899-12-30T11:45:10"/>
    <s v="STOCK"/>
    <s v="BUY"/>
    <n v="400"/>
    <s v="TO CLOSE"/>
    <x v="2"/>
    <m/>
    <m/>
    <s v="STOCK"/>
    <n v="28.776499999999999"/>
    <n v="28.776499999999999"/>
    <s v="MKT"/>
    <n v="0"/>
    <n v="0"/>
    <s v=""/>
    <n v="17.400000000000659"/>
  </r>
  <r>
    <x v="755"/>
    <x v="71"/>
    <s v="Thursday"/>
    <d v="1899-12-30T11:53:40"/>
    <s v="STOCK"/>
    <s v="SELL"/>
    <n v="-100"/>
    <s v="TO OPEN"/>
    <x v="2"/>
    <m/>
    <m/>
    <s v="STOCK"/>
    <n v="28.82"/>
    <n v="28.82"/>
    <s v="LMT"/>
    <n v="-100"/>
    <n v="-2882"/>
    <n v="28.82"/>
    <s v=""/>
  </r>
  <r>
    <x v="755"/>
    <x v="71"/>
    <s v="Thursday"/>
    <d v="1899-12-30T11:53:40"/>
    <s v="STOCK"/>
    <s v="SELL"/>
    <n v="-200"/>
    <s v="TO OPEN"/>
    <x v="2"/>
    <m/>
    <m/>
    <s v="STOCK"/>
    <n v="28.82"/>
    <n v="28.82"/>
    <s v="LMT"/>
    <n v="-300"/>
    <n v="-8646"/>
    <n v="28.82"/>
    <s v=""/>
  </r>
  <r>
    <x v="755"/>
    <x v="71"/>
    <s v="Thursday"/>
    <d v="1899-12-30T11:53:40"/>
    <s v="STOCK"/>
    <s v="SELL"/>
    <n v="-100"/>
    <s v="TO OPEN"/>
    <x v="2"/>
    <m/>
    <m/>
    <s v="STOCK"/>
    <n v="28.82"/>
    <n v="28.82"/>
    <s v="LMT"/>
    <n v="-400"/>
    <n v="-11528"/>
    <n v="28.82"/>
    <s v=""/>
  </r>
  <r>
    <x v="755"/>
    <x v="71"/>
    <s v="Thursday"/>
    <d v="1899-12-30T12:09:05"/>
    <s v="STOCK"/>
    <s v="BUY"/>
    <n v="100"/>
    <s v="TO CLOSE"/>
    <x v="2"/>
    <m/>
    <m/>
    <s v="STOCK"/>
    <n v="29.155000000000001"/>
    <n v="29.155000000000001"/>
    <s v="MKT"/>
    <n v="-300"/>
    <n v="-8612.5"/>
    <n v="28.708333333333332"/>
    <s v=""/>
  </r>
  <r>
    <x v="755"/>
    <x v="71"/>
    <s v="Thursday"/>
    <d v="1899-12-30T12:09:05"/>
    <s v="STOCK"/>
    <s v="BUY"/>
    <n v="100"/>
    <s v="TO CLOSE"/>
    <x v="2"/>
    <m/>
    <m/>
    <s v="STOCK"/>
    <n v="29.155000000000001"/>
    <n v="29.155000000000001"/>
    <s v="MKT"/>
    <n v="-200"/>
    <n v="-5697"/>
    <n v="28.484999999999999"/>
    <s v=""/>
  </r>
  <r>
    <x v="755"/>
    <x v="71"/>
    <s v="Thursday"/>
    <d v="1899-12-30T12:09:05"/>
    <s v="STOCK"/>
    <s v="BUY"/>
    <n v="200"/>
    <s v="TO CLOSE"/>
    <x v="2"/>
    <m/>
    <m/>
    <s v="STOCK"/>
    <n v="29.155000000000001"/>
    <n v="29.155000000000001"/>
    <s v="MKT"/>
    <n v="0"/>
    <n v="0"/>
    <s v=""/>
    <n v="-134.00000000000034"/>
  </r>
  <r>
    <x v="756"/>
    <x v="71"/>
    <s v="Thursday"/>
    <d v="1899-12-30T12:09:05"/>
    <s v="STOCK"/>
    <s v="BUY"/>
    <n v="100"/>
    <s v="TO OPEN"/>
    <x v="2"/>
    <m/>
    <m/>
    <s v="STOCK"/>
    <n v="29.155000000000001"/>
    <n v="29.155000000000001"/>
    <s v="MKT"/>
    <n v="100"/>
    <n v="2915.5"/>
    <n v="29.155000000000001"/>
    <s v=""/>
  </r>
  <r>
    <x v="756"/>
    <x v="71"/>
    <s v="Thursday"/>
    <d v="1899-12-30T12:09:05"/>
    <s v="STOCK"/>
    <s v="BUY"/>
    <n v="300"/>
    <s v="TO OPEN"/>
    <x v="2"/>
    <m/>
    <m/>
    <s v="STOCK"/>
    <n v="29.155000000000001"/>
    <n v="29.155000000000001"/>
    <s v="MKT"/>
    <n v="400"/>
    <n v="11662"/>
    <n v="29.155000000000001"/>
    <s v=""/>
  </r>
  <r>
    <x v="756"/>
    <x v="71"/>
    <s v="Thursday"/>
    <d v="1899-12-30T12:10:53"/>
    <s v="STOCK"/>
    <s v="BUY"/>
    <n v="100"/>
    <s v="TO OPEN"/>
    <x v="2"/>
    <m/>
    <m/>
    <s v="STOCK"/>
    <n v="29.069900000000001"/>
    <n v="29.069900000000001"/>
    <s v="MKT"/>
    <n v="500"/>
    <n v="14568.99"/>
    <n v="29.137979999999999"/>
    <s v=""/>
  </r>
  <r>
    <x v="756"/>
    <x v="71"/>
    <s v="Thursday"/>
    <d v="1899-12-30T12:20:42"/>
    <s v="STOCK"/>
    <s v="SELL"/>
    <n v="-500"/>
    <s v="TO CLOSE"/>
    <x v="2"/>
    <m/>
    <m/>
    <s v="STOCK"/>
    <n v="29.082599999999999"/>
    <n v="29.082599999999999"/>
    <s v="MKT"/>
    <n v="0"/>
    <n v="0"/>
    <s v=""/>
    <n v="-27.68999999999977"/>
  </r>
  <r>
    <x v="757"/>
    <x v="71"/>
    <s v="Thursday"/>
    <d v="1899-12-30T12:20:58"/>
    <s v="STOCK"/>
    <s v="SELL"/>
    <n v="-300"/>
    <s v="TO OPEN"/>
    <x v="2"/>
    <m/>
    <m/>
    <s v="STOCK"/>
    <n v="29.045000000000002"/>
    <n v="29.045000000000002"/>
    <s v="MKT"/>
    <n v="-300"/>
    <n v="-8713.5"/>
    <n v="29.045000000000002"/>
    <s v=""/>
  </r>
  <r>
    <x v="757"/>
    <x v="71"/>
    <s v="Thursday"/>
    <d v="1899-12-30T12:21:17"/>
    <s v="STOCK"/>
    <s v="BUY"/>
    <n v="50"/>
    <s v="TO CLOSE"/>
    <x v="2"/>
    <m/>
    <m/>
    <s v="STOCK"/>
    <n v="29.049900000000001"/>
    <n v="29.05"/>
    <s v="MKT"/>
    <n v="-250"/>
    <n v="-7261.0050000000001"/>
    <n v="29.04402"/>
    <s v=""/>
  </r>
  <r>
    <x v="757"/>
    <x v="71"/>
    <s v="Thursday"/>
    <d v="1899-12-30T12:21:37"/>
    <s v="STOCK"/>
    <s v="BUY"/>
    <n v="20"/>
    <s v="TO CLOSE"/>
    <x v="2"/>
    <m/>
    <m/>
    <s v="STOCK"/>
    <n v="29.049900000000001"/>
    <n v="29.05"/>
    <s v="MKT"/>
    <n v="-230"/>
    <n v="-6680.0069999999996"/>
    <n v="29.043508695652172"/>
    <s v=""/>
  </r>
  <r>
    <x v="757"/>
    <x v="71"/>
    <s v="Thursday"/>
    <d v="1899-12-30T12:28:39"/>
    <s v="STOCK"/>
    <s v="BUY"/>
    <n v="30"/>
    <s v="TO CLOSE"/>
    <x v="2"/>
    <m/>
    <m/>
    <s v="STOCK"/>
    <n v="29.094999999999999"/>
    <n v="29.094999999999999"/>
    <s v="MKT"/>
    <n v="-200"/>
    <n v="-5807.1569999999992"/>
    <n v="29.035784999999997"/>
    <s v=""/>
  </r>
  <r>
    <x v="757"/>
    <x v="71"/>
    <s v="Thursday"/>
    <d v="1899-12-30T13:42:35"/>
    <s v="STOCK"/>
    <s v="BUY"/>
    <n v="200"/>
    <s v="TO CLOSE"/>
    <x v="2"/>
    <m/>
    <m/>
    <s v="STOCK"/>
    <n v="29.91"/>
    <n v="29.91"/>
    <s v="MKT"/>
    <n v="0"/>
    <n v="0"/>
    <s v=""/>
    <n v="-174.84300000000061"/>
  </r>
  <r>
    <x v="758"/>
    <x v="71"/>
    <s v="Thursday"/>
    <d v="1899-12-30T13:56:18"/>
    <s v="STOCK"/>
    <s v="SELL"/>
    <n v="-100"/>
    <s v="TO OPEN"/>
    <x v="2"/>
    <m/>
    <m/>
    <s v="STOCK"/>
    <n v="29.800999999999998"/>
    <n v="29.800999999999998"/>
    <s v="MKT"/>
    <n v="-100"/>
    <n v="-2980.1"/>
    <n v="29.800999999999998"/>
    <s v=""/>
  </r>
  <r>
    <x v="758"/>
    <x v="71"/>
    <s v="Thursday"/>
    <d v="1899-12-30T14:16:38"/>
    <s v="STOCK"/>
    <s v="BUY"/>
    <n v="100"/>
    <s v="TO CLOSE"/>
    <x v="2"/>
    <m/>
    <m/>
    <s v="STOCK"/>
    <n v="30.4998"/>
    <n v="30.4998"/>
    <s v="MKT"/>
    <n v="0"/>
    <n v="0"/>
    <s v=""/>
    <n v="-69.880000000000209"/>
  </r>
  <r>
    <x v="759"/>
    <x v="71"/>
    <s v="Thursday"/>
    <d v="1899-12-30T14:23:01"/>
    <s v="STOCK"/>
    <s v="SELL"/>
    <n v="-300"/>
    <s v="TO OPEN"/>
    <x v="2"/>
    <m/>
    <m/>
    <s v="STOCK"/>
    <n v="30.324300000000001"/>
    <n v="30.324300000000001"/>
    <s v="MKT"/>
    <n v="-300"/>
    <n v="-9097.2900000000009"/>
    <n v="30.324300000000004"/>
    <s v=""/>
  </r>
  <r>
    <x v="759"/>
    <x v="71"/>
    <s v="Thursday"/>
    <d v="1899-12-30T14:23:01"/>
    <s v="STOCK"/>
    <s v="SELL"/>
    <n v="-300"/>
    <s v="TO OPEN"/>
    <x v="2"/>
    <m/>
    <m/>
    <s v="STOCK"/>
    <n v="30.324300000000001"/>
    <n v="30.324300000000001"/>
    <s v="MKT"/>
    <n v="-600"/>
    <n v="-18194.580000000002"/>
    <n v="30.324300000000004"/>
    <s v=""/>
  </r>
  <r>
    <x v="759"/>
    <x v="71"/>
    <s v="Thursday"/>
    <d v="1899-12-30T14:26:12"/>
    <s v="STOCK"/>
    <s v="BUY"/>
    <n v="600"/>
    <s v="TO CLOSE"/>
    <x v="2"/>
    <m/>
    <m/>
    <s v="STOCK"/>
    <n v="30.129799999999999"/>
    <n v="30.129799999999999"/>
    <s v="LMT"/>
    <n v="0"/>
    <n v="0"/>
    <s v=""/>
    <n v="116.700000000003"/>
  </r>
  <r>
    <x v="760"/>
    <x v="72"/>
    <s v="Friday"/>
    <d v="1899-12-30T10:23:57"/>
    <s v="FUTURE"/>
    <s v="BUY"/>
    <n v="1"/>
    <s v="TO OPEN"/>
    <x v="9"/>
    <d v="2020-09-20T00:00:00"/>
    <m/>
    <s v="FUTURE"/>
    <n v="41.02"/>
    <n v="41.02"/>
    <s v="LMT"/>
    <n v="1"/>
    <n v="41020"/>
    <n v="41.02"/>
    <s v=""/>
  </r>
  <r>
    <x v="760"/>
    <x v="72"/>
    <s v="Friday"/>
    <d v="1899-12-30T11:04:28"/>
    <s v="FUTURE"/>
    <s v="SELL"/>
    <n v="-1"/>
    <s v="TO CLOSE"/>
    <x v="9"/>
    <d v="2020-09-20T00:00:00"/>
    <m/>
    <s v="FUTURE"/>
    <n v="41.07"/>
    <n v="41.07"/>
    <s v="STP"/>
    <n v="0"/>
    <n v="0"/>
    <s v=""/>
    <n v="49.999999999997158"/>
  </r>
  <r>
    <x v="761"/>
    <x v="72"/>
    <s v="Friday"/>
    <d v="1899-12-30T11:10:14"/>
    <s v="FUTURE"/>
    <s v="BUY"/>
    <n v="1"/>
    <s v="TO OPEN"/>
    <x v="9"/>
    <d v="2020-09-20T00:00:00"/>
    <m/>
    <s v="FUTURE"/>
    <n v="41.12"/>
    <n v="41.12"/>
    <s v="MKT"/>
    <n v="1"/>
    <n v="41120"/>
    <n v="41.12"/>
    <s v=""/>
  </r>
  <r>
    <x v="761"/>
    <x v="72"/>
    <s v="Friday"/>
    <d v="1899-12-30T14:08:33"/>
    <s v="FUTURE"/>
    <s v="SELL"/>
    <n v="-1"/>
    <s v="TO CLOSE"/>
    <x v="9"/>
    <d v="2020-09-20T00:00:00"/>
    <m/>
    <s v="FUTURE"/>
    <n v="41.14"/>
    <n v="41.14"/>
    <s v="LMT"/>
    <n v="0"/>
    <n v="0"/>
    <s v=""/>
    <n v="20.000000000003126"/>
  </r>
  <r>
    <x v="762"/>
    <x v="72"/>
    <s v="Friday"/>
    <d v="1899-12-30T10:38:45"/>
    <s v="FUTURE"/>
    <s v="BUY"/>
    <n v="1"/>
    <s v="TO OPEN"/>
    <x v="7"/>
    <d v="2020-09-20T00:00:00"/>
    <m/>
    <s v="FUTURE"/>
    <n v="3207"/>
    <n v="3207"/>
    <s v="LMT"/>
    <n v="1"/>
    <n v="160350"/>
    <n v="3207"/>
    <s v=""/>
  </r>
  <r>
    <x v="762"/>
    <x v="72"/>
    <s v="Friday"/>
    <d v="1899-12-30T10:57:02"/>
    <s v="FUTURE"/>
    <s v="SELL"/>
    <n v="-1"/>
    <s v="TO CLOSE"/>
    <x v="7"/>
    <d v="2020-09-20T00:00:00"/>
    <m/>
    <s v="FUTURE"/>
    <n v="3213"/>
    <n v="3213"/>
    <s v="LMT"/>
    <n v="0"/>
    <n v="0"/>
    <s v=""/>
    <n v="300"/>
  </r>
  <r>
    <x v="763"/>
    <x v="72"/>
    <s v="Friday"/>
    <d v="1899-12-30T11:12:22"/>
    <s v="FUTURE"/>
    <s v="BUY"/>
    <n v="1"/>
    <s v="TO OPEN"/>
    <x v="7"/>
    <d v="2020-09-20T00:00:00"/>
    <m/>
    <s v="FUTURE"/>
    <n v="3216.5"/>
    <n v="3216.5"/>
    <s v="MKT"/>
    <n v="1"/>
    <n v="160825"/>
    <n v="3216.5"/>
    <s v=""/>
  </r>
  <r>
    <x v="763"/>
    <x v="72"/>
    <s v="Friday"/>
    <d v="1899-12-30T15:03:43"/>
    <s v="FUTURE"/>
    <s v="BUY"/>
    <n v="1"/>
    <s v="TO OPEN"/>
    <x v="7"/>
    <d v="2020-09-20T00:00:00"/>
    <m/>
    <s v="FUTURE"/>
    <n v="3208.5"/>
    <n v="3208.5"/>
    <s v="STP"/>
    <n v="2"/>
    <n v="321250"/>
    <n v="3212.5"/>
    <s v=""/>
  </r>
  <r>
    <x v="763"/>
    <x v="72"/>
    <s v="Friday"/>
    <d v="1899-12-30T15:04:54"/>
    <s v="FUTURE"/>
    <s v="SELL"/>
    <n v="-1"/>
    <s v="TO CLOSE"/>
    <x v="7"/>
    <d v="2020-09-20T00:00:00"/>
    <m/>
    <s v="FUTURE"/>
    <n v="3210.5"/>
    <n v="3210.5"/>
    <s v="LMT"/>
    <n v="1"/>
    <n v="160725"/>
    <n v="3214.5"/>
    <s v=""/>
  </r>
  <r>
    <x v="763"/>
    <x v="72"/>
    <s v="Friday"/>
    <d v="1899-12-30T16:02:33"/>
    <s v="FUTURE"/>
    <s v="SELL"/>
    <n v="-1"/>
    <s v="TO CLOSE"/>
    <x v="7"/>
    <d v="2020-09-20T00:00:00"/>
    <m/>
    <s v="FUTURE"/>
    <n v="3209"/>
    <n v="3209"/>
    <s v="LMT"/>
    <n v="0"/>
    <n v="0"/>
    <s v=""/>
    <n v="-275"/>
  </r>
  <r>
    <x v="764"/>
    <x v="73"/>
    <s v="Monday"/>
    <d v="1899-12-30T09:04:17"/>
    <s v="FUTURE"/>
    <s v="BUY"/>
    <n v="1"/>
    <s v="TO OPEN"/>
    <x v="9"/>
    <d v="2020-09-20T00:00:00"/>
    <m/>
    <s v="FUTURE"/>
    <n v="41.34"/>
    <n v="41.34"/>
    <s v="LMT"/>
    <n v="1"/>
    <n v="41340"/>
    <n v="41.34"/>
    <s v=""/>
  </r>
  <r>
    <x v="764"/>
    <x v="73"/>
    <s v="Monday"/>
    <d v="1899-12-30T09:16:14"/>
    <s v="FUTURE"/>
    <s v="BUY"/>
    <n v="1"/>
    <s v="TO OPEN"/>
    <x v="9"/>
    <d v="2020-09-20T00:00:00"/>
    <m/>
    <s v="FUTURE"/>
    <n v="40.98"/>
    <n v="40.98"/>
    <s v="LMT"/>
    <n v="2"/>
    <n v="82320"/>
    <n v="41.16"/>
    <s v=""/>
  </r>
  <r>
    <x v="764"/>
    <x v="73"/>
    <s v="Monday"/>
    <d v="1899-12-30T10:02:02"/>
    <s v="FUTURE"/>
    <s v="BUY"/>
    <n v="1"/>
    <s v="TO OPEN"/>
    <x v="9"/>
    <d v="2020-09-20T00:00:00"/>
    <m/>
    <s v="FUTURE"/>
    <n v="40.74"/>
    <n v="40.74"/>
    <s v="LMT"/>
    <n v="3"/>
    <n v="123060"/>
    <n v="41.02"/>
    <s v=""/>
  </r>
  <r>
    <x v="764"/>
    <x v="73"/>
    <s v="Monday"/>
    <d v="1899-12-30T12:18:25"/>
    <s v="FUTURE"/>
    <s v="SELL"/>
    <n v="-1"/>
    <s v="TO CLOSE"/>
    <x v="9"/>
    <d v="2020-09-20T00:00:00"/>
    <m/>
    <s v="FUTURE"/>
    <n v="40.94"/>
    <n v="40.94"/>
    <s v="LMT"/>
    <n v="2"/>
    <n v="82120"/>
    <n v="41.06"/>
    <s v=""/>
  </r>
  <r>
    <x v="764"/>
    <x v="73"/>
    <s v="Monday"/>
    <d v="1899-12-30T12:36:29"/>
    <s v="FUTURE"/>
    <s v="SELL"/>
    <n v="-1"/>
    <s v="TO CLOSE"/>
    <x v="9"/>
    <d v="2020-09-20T00:00:00"/>
    <m/>
    <s v="FUTURE"/>
    <n v="41.24"/>
    <n v="41.24"/>
    <s v="LMT"/>
    <n v="1"/>
    <n v="40880"/>
    <n v="40.880000000000003"/>
    <s v=""/>
  </r>
  <r>
    <x v="764"/>
    <x v="73"/>
    <s v="Monday"/>
    <d v="1899-12-30T12:38:19"/>
    <s v="FUTURE"/>
    <s v="BUY"/>
    <n v="1"/>
    <s v="TO OPEN"/>
    <x v="9"/>
    <d v="2020-09-20T00:00:00"/>
    <m/>
    <s v="FUTURE"/>
    <n v="41.14"/>
    <n v="41.14"/>
    <s v="LMT"/>
    <n v="2"/>
    <n v="82020"/>
    <n v="41.01"/>
    <s v=""/>
  </r>
  <r>
    <x v="764"/>
    <x v="73"/>
    <s v="Monday"/>
    <d v="1899-12-30T12:40:23"/>
    <s v="FUTURE"/>
    <s v="SELL"/>
    <n v="-1"/>
    <s v="TO CLOSE"/>
    <x v="9"/>
    <d v="2020-09-20T00:00:00"/>
    <m/>
    <s v="FUTURE"/>
    <n v="41.22"/>
    <n v="41.22"/>
    <s v="LMT"/>
    <n v="1"/>
    <n v="40800"/>
    <n v="40.799999999999997"/>
    <s v=""/>
  </r>
  <r>
    <x v="764"/>
    <x v="73"/>
    <s v="Monday"/>
    <d v="1899-12-30T13:09:06"/>
    <s v="FUTURE"/>
    <s v="SELL"/>
    <n v="-1"/>
    <s v="TO CLOSE"/>
    <x v="9"/>
    <d v="2020-09-20T00:00:00"/>
    <m/>
    <s v="FUTURE"/>
    <n v="41.3"/>
    <n v="41.3"/>
    <s v="LMT"/>
    <n v="0"/>
    <n v="0"/>
    <s v=""/>
    <n v="500"/>
  </r>
  <r>
    <x v="765"/>
    <x v="73"/>
    <s v="Monday"/>
    <d v="1899-12-30T09:34:53"/>
    <s v="STOCK"/>
    <s v="SELL"/>
    <n v="-100"/>
    <s v="TO OPEN"/>
    <x v="2"/>
    <m/>
    <m/>
    <s v="STOCK"/>
    <n v="29.8201"/>
    <n v="29.8201"/>
    <s v="LMT"/>
    <n v="-100"/>
    <n v="-2982.01"/>
    <n v="29.820100000000004"/>
    <s v=""/>
  </r>
  <r>
    <x v="765"/>
    <x v="73"/>
    <s v="Monday"/>
    <d v="1899-12-30T09:34:53"/>
    <s v="STOCK"/>
    <s v="SELL"/>
    <n v="-100"/>
    <s v="TO OPEN"/>
    <x v="2"/>
    <m/>
    <m/>
    <s v="STOCK"/>
    <n v="29.8201"/>
    <n v="29.8201"/>
    <s v="LMT"/>
    <n v="-200"/>
    <n v="-5964.02"/>
    <n v="29.820100000000004"/>
    <s v=""/>
  </r>
  <r>
    <x v="765"/>
    <x v="73"/>
    <s v="Monday"/>
    <d v="1899-12-30T09:34:53"/>
    <s v="STOCK"/>
    <s v="SELL"/>
    <n v="-100"/>
    <s v="TO OPEN"/>
    <x v="2"/>
    <m/>
    <m/>
    <s v="STOCK"/>
    <n v="29.8201"/>
    <n v="29.8201"/>
    <s v="LMT"/>
    <n v="-300"/>
    <n v="-8946.0300000000007"/>
    <n v="29.820100000000004"/>
    <s v=""/>
  </r>
  <r>
    <x v="765"/>
    <x v="73"/>
    <s v="Monday"/>
    <d v="1899-12-30T09:34:53"/>
    <s v="STOCK"/>
    <s v="SELL"/>
    <n v="-100"/>
    <s v="TO OPEN"/>
    <x v="2"/>
    <m/>
    <m/>
    <s v="STOCK"/>
    <n v="29.8201"/>
    <n v="29.8201"/>
    <s v="LMT"/>
    <n v="-400"/>
    <n v="-11928.04"/>
    <n v="29.820100000000004"/>
    <s v=""/>
  </r>
  <r>
    <x v="765"/>
    <x v="73"/>
    <s v="Monday"/>
    <d v="1899-12-30T10:00:45"/>
    <s v="STOCK"/>
    <s v="BUY"/>
    <n v="400"/>
    <s v="TO CLOSE"/>
    <x v="2"/>
    <m/>
    <m/>
    <s v="STOCK"/>
    <n v="29.607399999999998"/>
    <n v="29.607399999999998"/>
    <s v="MKT"/>
    <n v="0"/>
    <n v="0"/>
    <s v=""/>
    <n v="85.080000000002087"/>
  </r>
  <r>
    <x v="766"/>
    <x v="73"/>
    <s v="Monday"/>
    <d v="1899-12-30T12:18:45"/>
    <s v="STOCK"/>
    <s v="SELL"/>
    <n v="-400"/>
    <s v="TO OPEN"/>
    <x v="2"/>
    <m/>
    <m/>
    <s v="STOCK"/>
    <n v="29.975000000000001"/>
    <n v="29.975000000000001"/>
    <s v="MKT"/>
    <n v="-400"/>
    <n v="-11990"/>
    <n v="29.975000000000001"/>
    <s v=""/>
  </r>
  <r>
    <x v="766"/>
    <x v="73"/>
    <s v="Monday"/>
    <d v="1899-12-30T12:48:46"/>
    <s v="STOCK"/>
    <s v="BUY"/>
    <n v="28"/>
    <s v="TO CLOSE"/>
    <x v="2"/>
    <m/>
    <m/>
    <s v="STOCK"/>
    <n v="29.96"/>
    <n v="29.96"/>
    <s v="STP"/>
    <n v="-372"/>
    <n v="-11151.12"/>
    <n v="29.976129032258065"/>
    <s v=""/>
  </r>
  <r>
    <x v="766"/>
    <x v="73"/>
    <s v="Monday"/>
    <d v="1899-12-30T12:48:46"/>
    <s v="STOCK"/>
    <s v="BUY"/>
    <n v="372"/>
    <s v="TO CLOSE"/>
    <x v="2"/>
    <m/>
    <m/>
    <s v="STOCK"/>
    <n v="29.96"/>
    <n v="29.96"/>
    <s v="STP"/>
    <n v="0"/>
    <n v="0"/>
    <s v=""/>
    <n v="5.9999999999998295"/>
  </r>
  <r>
    <x v="767"/>
    <x v="74"/>
    <s v="Tuesday"/>
    <d v="1899-12-30T10:30:21"/>
    <s v="FUTURE"/>
    <s v="BUY"/>
    <n v="1"/>
    <s v="TO OPEN"/>
    <x v="9"/>
    <d v="2020-09-20T00:00:00"/>
    <m/>
    <s v="FUTURE"/>
    <n v="41.26"/>
    <n v="41.26"/>
    <s v="MKT"/>
    <n v="1"/>
    <n v="41260"/>
    <n v="41.26"/>
    <s v=""/>
  </r>
  <r>
    <x v="767"/>
    <x v="74"/>
    <s v="Tuesday"/>
    <d v="1899-12-30T11:05:44"/>
    <s v="FUTURE"/>
    <s v="SELL"/>
    <n v="-1"/>
    <s v="TO CLOSE"/>
    <x v="9"/>
    <d v="2020-09-20T00:00:00"/>
    <m/>
    <s v="FUTURE"/>
    <n v="40.93"/>
    <n v="40.93"/>
    <s v="MKT"/>
    <n v="0"/>
    <n v="0"/>
    <s v=""/>
    <n v="-329.99999999999829"/>
  </r>
  <r>
    <x v="768"/>
    <x v="74"/>
    <s v="Tuesday"/>
    <d v="1899-12-30T11:32:53"/>
    <s v="FUTURE"/>
    <s v="BUY"/>
    <n v="1"/>
    <s v="TO OPEN"/>
    <x v="9"/>
    <d v="2020-09-20T00:00:00"/>
    <m/>
    <s v="FUTURE"/>
    <n v="41.14"/>
    <n v="41.14"/>
    <s v="MKT"/>
    <n v="1"/>
    <n v="41140"/>
    <n v="41.14"/>
    <s v=""/>
  </r>
  <r>
    <x v="768"/>
    <x v="74"/>
    <s v="Tuesday"/>
    <d v="1899-12-30T12:10:00"/>
    <s v="FUTURE"/>
    <s v="SELL"/>
    <n v="-1"/>
    <s v="TO CLOSE"/>
    <x v="9"/>
    <d v="2020-09-20T00:00:00"/>
    <m/>
    <s v="FUTURE"/>
    <n v="41.15"/>
    <n v="41.15"/>
    <s v="LMT"/>
    <n v="0"/>
    <n v="0"/>
    <s v=""/>
    <n v="9.9999999999980105"/>
  </r>
  <r>
    <x v="769"/>
    <x v="74"/>
    <s v="Tuesday"/>
    <d v="1899-12-30T12:39:00"/>
    <s v="FUTURE"/>
    <s v="SELL"/>
    <n v="-1"/>
    <s v="TO OPEN"/>
    <x v="9"/>
    <d v="2020-09-20T00:00:00"/>
    <m/>
    <s v="FUTURE"/>
    <n v="41.02"/>
    <n v="41.02"/>
    <s v="MKT"/>
    <n v="-1"/>
    <n v="-41020"/>
    <n v="41.02"/>
    <s v=""/>
  </r>
  <r>
    <x v="769"/>
    <x v="74"/>
    <s v="Tuesday"/>
    <d v="1899-12-30T13:20:30"/>
    <s v="FUTURE"/>
    <s v="BUY"/>
    <n v="1"/>
    <s v="TO CLOSE"/>
    <x v="9"/>
    <d v="2020-09-20T00:00:00"/>
    <m/>
    <s v="FUTURE"/>
    <n v="41.11"/>
    <n v="41.11"/>
    <s v="STP"/>
    <n v="0"/>
    <n v="0"/>
    <s v=""/>
    <n v="-89.999999999996305"/>
  </r>
  <r>
    <x v="770"/>
    <x v="74"/>
    <s v="Tuesday"/>
    <d v="1899-12-30T13:21:06"/>
    <s v="FUTURE"/>
    <s v="BUY"/>
    <n v="2"/>
    <s v="TO OPEN"/>
    <x v="9"/>
    <d v="2020-09-20T00:00:00"/>
    <m/>
    <s v="FUTURE"/>
    <n v="41.1"/>
    <n v="41.1"/>
    <s v="MKT"/>
    <n v="2"/>
    <n v="82200"/>
    <n v="41.1"/>
    <s v=""/>
  </r>
  <r>
    <x v="770"/>
    <x v="74"/>
    <s v="Tuesday"/>
    <d v="1899-12-30T13:57:00"/>
    <s v="FUTURE"/>
    <s v="SELL"/>
    <n v="-2"/>
    <s v="TO CLOSE"/>
    <x v="9"/>
    <d v="2020-09-20T00:00:00"/>
    <m/>
    <s v="FUTURE"/>
    <n v="40.97"/>
    <n v="40.97"/>
    <s v="STP"/>
    <n v="0"/>
    <n v="0"/>
    <s v=""/>
    <n v="-260.00000000000512"/>
  </r>
  <r>
    <x v="771"/>
    <x v="74"/>
    <s v="Tuesday"/>
    <d v="1899-12-30T14:08:54"/>
    <s v="FUTURE"/>
    <s v="BUY"/>
    <n v="2"/>
    <s v="TO OPEN"/>
    <x v="9"/>
    <d v="2020-09-20T00:00:00"/>
    <m/>
    <s v="FUTURE"/>
    <n v="40.99"/>
    <n v="40.99"/>
    <s v="MKT"/>
    <n v="2"/>
    <n v="81980"/>
    <n v="40.99"/>
    <s v=""/>
  </r>
  <r>
    <x v="771"/>
    <x v="74"/>
    <s v="Tuesday"/>
    <d v="1899-12-30T14:17:03"/>
    <s v="FUTURE"/>
    <s v="SELL"/>
    <n v="-1"/>
    <s v="TO CLOSE"/>
    <x v="9"/>
    <d v="2020-09-20T00:00:00"/>
    <m/>
    <s v="FUTURE"/>
    <n v="41.13"/>
    <n v="41.13"/>
    <s v="LMT"/>
    <n v="1"/>
    <n v="40850"/>
    <n v="40.85"/>
    <s v=""/>
  </r>
  <r>
    <x v="771"/>
    <x v="74"/>
    <s v="Tuesday"/>
    <d v="1899-12-30T14:30:12"/>
    <s v="FUTURE"/>
    <s v="SELL"/>
    <n v="-1"/>
    <s v="TO CLOSE"/>
    <x v="9"/>
    <d v="2020-09-20T00:00:00"/>
    <m/>
    <s v="FUTURE"/>
    <n v="41.02"/>
    <n v="41.02"/>
    <s v="STP"/>
    <n v="0"/>
    <n v="0"/>
    <s v=""/>
    <n v="170.00000000000171"/>
  </r>
  <r>
    <x v="772"/>
    <x v="74"/>
    <s v="Tuesday"/>
    <d v="1899-12-30T10:29:31"/>
    <s v="FUTURE"/>
    <s v="BUY"/>
    <n v="1"/>
    <s v="TO OPEN"/>
    <x v="7"/>
    <d v="2020-09-20T00:00:00"/>
    <m/>
    <s v="FUTURE"/>
    <n v="3227"/>
    <n v="3227"/>
    <s v="MKT"/>
    <n v="1"/>
    <n v="161350"/>
    <n v="3227"/>
    <s v=""/>
  </r>
  <r>
    <x v="772"/>
    <x v="74"/>
    <s v="Tuesday"/>
    <d v="1899-12-30T11:05:52"/>
    <s v="FUTURE"/>
    <s v="SELL"/>
    <n v="-2"/>
    <s v="TO CLOSE"/>
    <x v="7"/>
    <d v="2020-09-20T00:00:00"/>
    <m/>
    <s v="FUTURE"/>
    <n v="3221"/>
    <n v="3221"/>
    <s v="MKT"/>
    <n v="-1"/>
    <n v="-160750"/>
    <n v="3215"/>
    <s v=""/>
  </r>
  <r>
    <x v="772"/>
    <x v="74"/>
    <s v="Tuesday"/>
    <d v="1899-12-30T11:13:45"/>
    <s v="FUTURE"/>
    <s v="BUY"/>
    <n v="2"/>
    <s v="TO CLOSE"/>
    <x v="7"/>
    <d v="2020-09-20T00:00:00"/>
    <m/>
    <s v="FUTURE"/>
    <n v="3227.25"/>
    <n v="3227.25"/>
    <s v="MKT"/>
    <n v="1"/>
    <n v="161975"/>
    <n v="3239.5"/>
    <s v=""/>
  </r>
  <r>
    <x v="772"/>
    <x v="74"/>
    <s v="Tuesday"/>
    <d v="1899-12-30T12:12:29"/>
    <s v="FUTURE"/>
    <s v="SELL"/>
    <n v="-2"/>
    <s v="TO CLOSE"/>
    <x v="7"/>
    <d v="2020-09-20T00:00:00"/>
    <m/>
    <s v="FUTURE"/>
    <n v="3225.5"/>
    <n v="3225.5"/>
    <s v="MKT"/>
    <n v="-1"/>
    <n v="-160575"/>
    <n v="3211.5"/>
    <s v=""/>
  </r>
  <r>
    <x v="772"/>
    <x v="74"/>
    <s v="Tuesday"/>
    <d v="1899-12-30T12:13:14"/>
    <s v="FUTURE"/>
    <s v="SELL"/>
    <n v="-1"/>
    <s v="TO OPEN"/>
    <x v="7"/>
    <d v="2020-09-20T00:00:00"/>
    <m/>
    <s v="FUTURE"/>
    <n v="3227.5"/>
    <n v="3227.5"/>
    <s v="LMT"/>
    <n v="-2"/>
    <n v="-321950"/>
    <n v="3219.5"/>
    <s v=""/>
  </r>
  <r>
    <x v="772"/>
    <x v="74"/>
    <s v="Tuesday"/>
    <d v="1899-12-30T12:30:06"/>
    <s v="FUTURE"/>
    <s v="BUY"/>
    <n v="1"/>
    <s v="TO CLOSE"/>
    <x v="7"/>
    <d v="2020-09-20T00:00:00"/>
    <m/>
    <s v="FUTURE"/>
    <n v="3226.25"/>
    <n v="3226.25"/>
    <s v="LMT"/>
    <n v="-1"/>
    <n v="-160637.5"/>
    <n v="3212.75"/>
    <s v=""/>
  </r>
  <r>
    <x v="772"/>
    <x v="74"/>
    <s v="Tuesday"/>
    <d v="1899-12-30T13:20:55"/>
    <s v="FUTURE"/>
    <s v="BUY"/>
    <n v="1"/>
    <s v="TO CLOSE"/>
    <x v="7"/>
    <d v="2020-09-20T00:00:00"/>
    <m/>
    <s v="FUTURE"/>
    <n v="3231.75"/>
    <n v="3231.75"/>
    <s v="STP"/>
    <n v="0"/>
    <n v="0"/>
    <s v=""/>
    <n v="-950"/>
  </r>
  <r>
    <x v="773"/>
    <x v="74"/>
    <s v="Tuesday"/>
    <d v="1899-12-30T14:29:50"/>
    <s v="FUTURE"/>
    <s v="SELL"/>
    <n v="-1"/>
    <s v="TO OPEN"/>
    <x v="7"/>
    <d v="2020-09-20T00:00:00"/>
    <m/>
    <s v="FUTURE"/>
    <n v="3230.75"/>
    <n v="3230.75"/>
    <s v="MKT"/>
    <n v="-1"/>
    <n v="-161537.5"/>
    <n v="3230.75"/>
    <s v=""/>
  </r>
  <r>
    <x v="773"/>
    <x v="74"/>
    <s v="Tuesday"/>
    <d v="1899-12-30T14:53:58"/>
    <s v="FUTURE"/>
    <s v="BUY"/>
    <n v="1"/>
    <s v="TO CLOSE"/>
    <x v="7"/>
    <d v="2020-09-20T00:00:00"/>
    <m/>
    <s v="FUTURE"/>
    <n v="3230.5"/>
    <n v="3230.5"/>
    <s v="STP"/>
    <n v="0"/>
    <n v="0"/>
    <s v=""/>
    <n v="12.5"/>
  </r>
  <r>
    <x v="774"/>
    <x v="74"/>
    <s v="Tuesday"/>
    <d v="1899-12-30T10:40:05"/>
    <s v="STOCK"/>
    <s v="SELL"/>
    <n v="-100"/>
    <s v="TO OPEN"/>
    <x v="2"/>
    <m/>
    <m/>
    <s v="STOCK"/>
    <n v="28.9801"/>
    <n v="28.9801"/>
    <s v="MKT"/>
    <n v="-100"/>
    <n v="-2898.01"/>
    <n v="28.980100000000004"/>
    <s v=""/>
  </r>
  <r>
    <x v="774"/>
    <x v="74"/>
    <s v="Tuesday"/>
    <d v="1899-12-30T10:40:05"/>
    <s v="STOCK"/>
    <s v="SELL"/>
    <n v="-100"/>
    <s v="TO OPEN"/>
    <x v="2"/>
    <m/>
    <m/>
    <s v="STOCK"/>
    <n v="28.9801"/>
    <n v="28.9801"/>
    <s v="MKT"/>
    <n v="-200"/>
    <n v="-5796.02"/>
    <n v="28.980100000000004"/>
    <s v=""/>
  </r>
  <r>
    <x v="774"/>
    <x v="74"/>
    <s v="Tuesday"/>
    <d v="1899-12-30T10:40:05"/>
    <s v="STOCK"/>
    <s v="SELL"/>
    <n v="-100"/>
    <s v="TO OPEN"/>
    <x v="2"/>
    <m/>
    <m/>
    <s v="STOCK"/>
    <n v="28.9801"/>
    <n v="28.9801"/>
    <s v="MKT"/>
    <n v="-300"/>
    <n v="-8694.0300000000007"/>
    <n v="28.980100000000004"/>
    <s v=""/>
  </r>
  <r>
    <x v="774"/>
    <x v="74"/>
    <s v="Tuesday"/>
    <d v="1899-12-30T11:07:02"/>
    <s v="STOCK"/>
    <s v="BUY"/>
    <n v="300"/>
    <s v="TO CLOSE"/>
    <x v="2"/>
    <m/>
    <m/>
    <s v="STOCK"/>
    <n v="29.059899999999999"/>
    <n v="29.059899999999999"/>
    <s v="MKT"/>
    <n v="0"/>
    <n v="0"/>
    <s v=""/>
    <n v="-23.939999999998562"/>
  </r>
  <r>
    <x v="775"/>
    <x v="74"/>
    <s v="Tuesday"/>
    <d v="1899-12-30T11:07:02"/>
    <s v="STOCK"/>
    <s v="BUY"/>
    <n v="400"/>
    <s v="TO OPEN"/>
    <x v="2"/>
    <m/>
    <m/>
    <s v="STOCK"/>
    <n v="29.055"/>
    <n v="29.055"/>
    <s v="MKT"/>
    <n v="400"/>
    <n v="11622"/>
    <n v="29.055"/>
    <s v=""/>
  </r>
  <r>
    <x v="775"/>
    <x v="74"/>
    <s v="Tuesday"/>
    <d v="1899-12-30T11:14:02"/>
    <s v="STOCK"/>
    <s v="SELL"/>
    <n v="-100"/>
    <s v="TO CLOSE"/>
    <x v="2"/>
    <m/>
    <m/>
    <s v="STOCK"/>
    <n v="28.86"/>
    <n v="28.86"/>
    <s v="MKT"/>
    <n v="300"/>
    <n v="8736"/>
    <n v="29.12"/>
    <s v=""/>
  </r>
  <r>
    <x v="775"/>
    <x v="74"/>
    <s v="Tuesday"/>
    <d v="1899-12-30T11:14:02"/>
    <s v="STOCK"/>
    <s v="SELL"/>
    <n v="-100"/>
    <s v="TO CLOSE"/>
    <x v="2"/>
    <m/>
    <m/>
    <s v="STOCK"/>
    <n v="28.86"/>
    <n v="28.86"/>
    <s v="MKT"/>
    <n v="200"/>
    <n v="5850"/>
    <n v="29.25"/>
    <s v=""/>
  </r>
  <r>
    <x v="775"/>
    <x v="74"/>
    <s v="Tuesday"/>
    <d v="1899-12-30T11:14:02"/>
    <s v="STOCK"/>
    <s v="SELL"/>
    <n v="-100"/>
    <s v="TO CLOSE"/>
    <x v="2"/>
    <m/>
    <m/>
    <s v="STOCK"/>
    <n v="28.86"/>
    <n v="28.86"/>
    <s v="MKT"/>
    <n v="100"/>
    <n v="2964"/>
    <n v="29.64"/>
    <s v=""/>
  </r>
  <r>
    <x v="775"/>
    <x v="74"/>
    <s v="Tuesday"/>
    <d v="1899-12-30T11:14:02"/>
    <s v="STOCK"/>
    <s v="SELL"/>
    <n v="-100"/>
    <s v="TO CLOSE"/>
    <x v="2"/>
    <m/>
    <m/>
    <s v="STOCK"/>
    <n v="28.86"/>
    <n v="28.86"/>
    <s v="MKT"/>
    <n v="0"/>
    <n v="0"/>
    <s v=""/>
    <n v="-78.000000000000114"/>
  </r>
  <r>
    <x v="776"/>
    <x v="74"/>
    <s v="Tuesday"/>
    <d v="1899-12-30T11:14:03"/>
    <s v="STOCK"/>
    <s v="SELL"/>
    <n v="-200"/>
    <s v="TO OPEN"/>
    <x v="2"/>
    <m/>
    <m/>
    <s v="STOCK"/>
    <n v="28.85"/>
    <n v="28.85"/>
    <s v="MKT"/>
    <n v="-200"/>
    <n v="-5770"/>
    <n v="28.85"/>
    <s v=""/>
  </r>
  <r>
    <x v="776"/>
    <x v="74"/>
    <s v="Tuesday"/>
    <d v="1899-12-30T11:14:03"/>
    <s v="STOCK"/>
    <s v="SELL"/>
    <n v="-200"/>
    <s v="TO OPEN"/>
    <x v="2"/>
    <m/>
    <m/>
    <s v="STOCK"/>
    <n v="28.85"/>
    <n v="28.85"/>
    <s v="MKT"/>
    <n v="-400"/>
    <n v="-11540"/>
    <n v="28.85"/>
    <s v=""/>
  </r>
  <r>
    <x v="776"/>
    <x v="74"/>
    <s v="Tuesday"/>
    <d v="1899-12-30T11:32:42"/>
    <s v="STOCK"/>
    <s v="BUY"/>
    <n v="200"/>
    <s v="TO CLOSE"/>
    <x v="2"/>
    <m/>
    <m/>
    <s v="STOCK"/>
    <n v="28.779900000000001"/>
    <n v="28.779900000000001"/>
    <s v="MKT"/>
    <n v="-200"/>
    <n v="-5784.0199999999995"/>
    <n v="28.920099999999998"/>
    <s v=""/>
  </r>
  <r>
    <x v="776"/>
    <x v="74"/>
    <s v="Tuesday"/>
    <d v="1899-12-30T11:33:26"/>
    <s v="STOCK"/>
    <s v="SELL"/>
    <n v="-50"/>
    <s v="TO OPEN"/>
    <x v="2"/>
    <m/>
    <m/>
    <s v="STOCK"/>
    <n v="28.715"/>
    <n v="28.715"/>
    <s v="MKT"/>
    <n v="-250"/>
    <n v="-7219.7699999999995"/>
    <n v="28.879079999999998"/>
    <s v=""/>
  </r>
  <r>
    <x v="776"/>
    <x v="74"/>
    <s v="Tuesday"/>
    <d v="1899-12-30T12:10:50"/>
    <s v="STOCK"/>
    <s v="BUY"/>
    <n v="250"/>
    <s v="TO CLOSE"/>
    <x v="2"/>
    <m/>
    <m/>
    <s v="STOCK"/>
    <n v="28.628399999999999"/>
    <n v="28.628399999999999"/>
    <s v="MKT"/>
    <n v="0"/>
    <n v="0"/>
    <s v=""/>
    <n v="62.669999999999781"/>
  </r>
  <r>
    <x v="777"/>
    <x v="75"/>
    <s v="Wednesday"/>
    <d v="1899-12-30T10:31:07"/>
    <s v="FUTURE"/>
    <s v="BUY"/>
    <n v="1"/>
    <s v="TO OPEN"/>
    <x v="9"/>
    <d v="2020-09-20T00:00:00"/>
    <m/>
    <s v="FUTURE"/>
    <n v="41.41"/>
    <n v="41.41"/>
    <s v="LMT"/>
    <n v="1"/>
    <n v="41410"/>
    <n v="41.41"/>
    <s v=""/>
  </r>
  <r>
    <x v="777"/>
    <x v="75"/>
    <s v="Wednesday"/>
    <d v="1899-12-30T11:00:14"/>
    <s v="FUTURE"/>
    <s v="BUY"/>
    <n v="1"/>
    <s v="TO OPEN"/>
    <x v="9"/>
    <d v="2020-09-20T00:00:00"/>
    <m/>
    <s v="FUTURE"/>
    <n v="41.31"/>
    <n v="41.31"/>
    <s v="LMT"/>
    <n v="2"/>
    <n v="82720"/>
    <n v="41.36"/>
    <s v=""/>
  </r>
  <r>
    <x v="777"/>
    <x v="75"/>
    <s v="Wednesday"/>
    <d v="1899-12-30T11:06:16"/>
    <s v="FUTURE"/>
    <s v="SELL"/>
    <n v="-2"/>
    <s v="TO CLOSE"/>
    <x v="9"/>
    <d v="2020-09-20T00:00:00"/>
    <m/>
    <s v="FUTURE"/>
    <n v="41.16"/>
    <n v="41.16"/>
    <s v="STP"/>
    <n v="0"/>
    <n v="0"/>
    <s v=""/>
    <n v="-400.00000000000568"/>
  </r>
  <r>
    <x v="778"/>
    <x v="75"/>
    <s v="Wednesday"/>
    <d v="1899-12-30T11:07:12"/>
    <s v="FUTURE"/>
    <s v="SELL"/>
    <n v="-1"/>
    <s v="TO OPEN"/>
    <x v="9"/>
    <d v="2020-09-20T00:00:00"/>
    <m/>
    <s v="FUTURE"/>
    <n v="41.23"/>
    <n v="41.23"/>
    <s v="MKT"/>
    <n v="-1"/>
    <n v="-41230"/>
    <n v="41.23"/>
    <s v=""/>
  </r>
  <r>
    <x v="778"/>
    <x v="75"/>
    <s v="Wednesday"/>
    <d v="1899-12-30T11:17:01"/>
    <s v="FUTURE"/>
    <s v="BUY"/>
    <n v="3"/>
    <s v="TO CLOSE"/>
    <x v="9"/>
    <d v="2020-09-20T00:00:00"/>
    <m/>
    <s v="FUTURE"/>
    <n v="41.38"/>
    <n v="41.38"/>
    <s v="MKT"/>
    <n v="2"/>
    <n v="82910.000000000015"/>
    <n v="41.455000000000005"/>
    <s v=""/>
  </r>
  <r>
    <x v="778"/>
    <x v="75"/>
    <s v="Wednesday"/>
    <d v="1899-12-30T11:57:26"/>
    <s v="FUTURE"/>
    <s v="SELL"/>
    <n v="-2"/>
    <s v="TO CLOSE"/>
    <x v="9"/>
    <d v="2020-09-20T00:00:00"/>
    <m/>
    <s v="FUTURE"/>
    <n v="41.28"/>
    <n v="41.28"/>
    <s v="LMT"/>
    <n v="0"/>
    <n v="0"/>
    <s v=""/>
    <n v="-350.00000000000853"/>
  </r>
  <r>
    <x v="779"/>
    <x v="75"/>
    <s v="Wednesday"/>
    <d v="1899-12-30T12:42:11"/>
    <s v="FUTURE"/>
    <s v="SELL"/>
    <n v="-2"/>
    <s v="TO OPEN"/>
    <x v="9"/>
    <d v="2020-09-20T00:00:00"/>
    <m/>
    <s v="FUTURE"/>
    <n v="41.26"/>
    <n v="41.26"/>
    <s v="MKT"/>
    <n v="-2"/>
    <n v="-82520"/>
    <n v="41.26"/>
    <s v=""/>
  </r>
  <r>
    <x v="779"/>
    <x v="75"/>
    <s v="Wednesday"/>
    <d v="1899-12-30T12:57:47"/>
    <s v="FUTURE"/>
    <s v="BUY"/>
    <n v="1"/>
    <s v="TO CLOSE"/>
    <x v="9"/>
    <d v="2020-09-20T00:00:00"/>
    <m/>
    <s v="FUTURE"/>
    <n v="41.24"/>
    <n v="41.24"/>
    <s v="LMT"/>
    <n v="-1"/>
    <n v="-41280"/>
    <n v="41.28"/>
    <s v=""/>
  </r>
  <r>
    <x v="779"/>
    <x v="75"/>
    <s v="Wednesday"/>
    <d v="1899-12-30T13:00:21"/>
    <s v="FUTURE"/>
    <s v="BUY"/>
    <n v="1"/>
    <s v="TO CLOSE"/>
    <x v="9"/>
    <d v="2020-09-20T00:00:00"/>
    <m/>
    <s v="FUTURE"/>
    <n v="41.26"/>
    <n v="41.26"/>
    <s v="STP"/>
    <n v="0"/>
    <n v="0"/>
    <s v=""/>
    <n v="20.000000000003126"/>
  </r>
  <r>
    <x v="780"/>
    <x v="75"/>
    <s v="Wednesday"/>
    <d v="1899-12-30T13:05:19"/>
    <s v="FUTURE"/>
    <s v="SELL"/>
    <n v="-1"/>
    <s v="TO OPEN"/>
    <x v="9"/>
    <d v="2020-09-20T00:00:00"/>
    <m/>
    <s v="FUTURE"/>
    <n v="41.19"/>
    <n v="41.19"/>
    <s v="LMT"/>
    <n v="-1"/>
    <n v="-41190"/>
    <n v="41.19"/>
    <s v=""/>
  </r>
  <r>
    <x v="780"/>
    <x v="75"/>
    <s v="Wednesday"/>
    <d v="1899-12-30T13:28:06"/>
    <s v="FUTURE"/>
    <s v="BUY"/>
    <n v="2"/>
    <s v="TO CLOSE"/>
    <x v="9"/>
    <d v="2020-09-20T00:00:00"/>
    <m/>
    <s v="FUTURE"/>
    <n v="41.24"/>
    <n v="41.24"/>
    <s v="MKT"/>
    <n v="1"/>
    <n v="41290"/>
    <n v="41.29"/>
    <s v=""/>
  </r>
  <r>
    <x v="780"/>
    <x v="75"/>
    <s v="Wednesday"/>
    <d v="1899-12-30T13:29:40"/>
    <s v="FUTURE"/>
    <s v="BUY"/>
    <n v="1"/>
    <s v="TO OPEN"/>
    <x v="9"/>
    <d v="2020-09-20T00:00:00"/>
    <m/>
    <s v="FUTURE"/>
    <n v="41.23"/>
    <n v="41.23"/>
    <s v="LMT"/>
    <n v="2"/>
    <n v="82520"/>
    <n v="41.26"/>
    <s v=""/>
  </r>
  <r>
    <x v="780"/>
    <x v="75"/>
    <s v="Wednesday"/>
    <d v="1899-12-30T13:59:29"/>
    <s v="FUTURE"/>
    <s v="SELL"/>
    <n v="-1"/>
    <s v="TO CLOSE"/>
    <x v="9"/>
    <d v="2020-09-20T00:00:00"/>
    <m/>
    <s v="FUTURE"/>
    <n v="41.26"/>
    <n v="41.26"/>
    <s v="LMT"/>
    <n v="1"/>
    <n v="41260"/>
    <n v="41.26"/>
    <s v=""/>
  </r>
  <r>
    <x v="780"/>
    <x v="75"/>
    <s v="Wednesday"/>
    <d v="1899-12-30T14:16:21"/>
    <s v="FUTURE"/>
    <s v="SELL"/>
    <n v="-1"/>
    <s v="TO CLOSE"/>
    <x v="9"/>
    <d v="2020-09-20T00:00:00"/>
    <m/>
    <s v="FUTURE"/>
    <n v="41.3"/>
    <n v="41.3"/>
    <s v="LMT"/>
    <n v="0"/>
    <n v="0"/>
    <s v=""/>
    <n v="39.999999999999147"/>
  </r>
  <r>
    <x v="781"/>
    <x v="75"/>
    <s v="Wednesday"/>
    <d v="1899-12-30T15:00:46"/>
    <s v="FUTURE"/>
    <s v="BUY"/>
    <n v="1"/>
    <s v="TO OPEN"/>
    <x v="7"/>
    <d v="2020-09-20T00:00:00"/>
    <m/>
    <s v="FUTURE"/>
    <n v="3243.75"/>
    <n v="3243.75"/>
    <s v="LMT"/>
    <n v="1"/>
    <n v="162187.5"/>
    <n v="3243.75"/>
    <s v=""/>
  </r>
  <r>
    <x v="781"/>
    <x v="75"/>
    <s v="Wednesday"/>
    <d v="1899-12-30T15:01:54"/>
    <s v="FUTURE"/>
    <s v="SELL"/>
    <n v="-1"/>
    <s v="TO CLOSE"/>
    <x v="7"/>
    <d v="2020-09-20T00:00:00"/>
    <m/>
    <s v="FUTURE"/>
    <n v="3244"/>
    <n v="3244"/>
    <s v="STP"/>
    <n v="0"/>
    <n v="0"/>
    <s v=""/>
    <n v="12.5"/>
  </r>
  <r>
    <x v="782"/>
    <x v="75"/>
    <s v="Wednesday"/>
    <d v="1899-12-30T15:07:08"/>
    <s v="FUTURE"/>
    <s v="BUY"/>
    <n v="1"/>
    <s v="TO OPEN"/>
    <x v="7"/>
    <d v="2020-09-20T00:00:00"/>
    <m/>
    <s v="FUTURE"/>
    <n v="3242.5"/>
    <n v="3242.5"/>
    <s v="LMT"/>
    <n v="1"/>
    <n v="162125"/>
    <n v="3242.5"/>
    <s v=""/>
  </r>
  <r>
    <x v="782"/>
    <x v="75"/>
    <s v="Wednesday"/>
    <d v="1899-12-30T15:08:10"/>
    <s v="FUTURE"/>
    <s v="SELL"/>
    <n v="-1"/>
    <s v="TO CLOSE"/>
    <x v="7"/>
    <d v="2020-09-20T00:00:00"/>
    <m/>
    <s v="FUTURE"/>
    <n v="3242.75"/>
    <n v="3242.75"/>
    <s v="LMT"/>
    <n v="0"/>
    <n v="0"/>
    <s v=""/>
    <n v="12.5"/>
  </r>
  <r>
    <x v="783"/>
    <x v="75"/>
    <s v="Wednesday"/>
    <d v="1899-12-30T14:00:35"/>
    <s v="STOCK"/>
    <s v="SELL"/>
    <n v="-400"/>
    <s v="TO OPEN"/>
    <x v="2"/>
    <m/>
    <m/>
    <s v="STOCK"/>
    <n v="28.425000000000001"/>
    <n v="28.425000000000001"/>
    <s v="MKT"/>
    <n v="-400"/>
    <n v="-11370"/>
    <n v="28.425000000000001"/>
    <s v=""/>
  </r>
  <r>
    <x v="783"/>
    <x v="75"/>
    <s v="Wednesday"/>
    <d v="1899-12-30T14:02:26"/>
    <s v="STOCK"/>
    <s v="SELL"/>
    <n v="-200"/>
    <s v="TO OPEN"/>
    <x v="2"/>
    <m/>
    <m/>
    <s v="STOCK"/>
    <n v="28.7226"/>
    <n v="28.7226"/>
    <s v="LMT"/>
    <n v="-600"/>
    <n v="-17114.52"/>
    <n v="28.5242"/>
    <s v=""/>
  </r>
  <r>
    <x v="783"/>
    <x v="75"/>
    <s v="Wednesday"/>
    <d v="1899-12-30T14:29:52"/>
    <s v="STOCK"/>
    <s v="BUY"/>
    <n v="100"/>
    <s v="TO CLOSE"/>
    <x v="2"/>
    <m/>
    <m/>
    <s v="STOCK"/>
    <n v="28.675000000000001"/>
    <n v="28.675000000000001"/>
    <s v="LMT"/>
    <n v="-500"/>
    <n v="-14247.02"/>
    <n v="28.494040000000002"/>
    <s v=""/>
  </r>
  <r>
    <x v="783"/>
    <x v="75"/>
    <s v="Wednesday"/>
    <d v="1899-12-30T14:29:52"/>
    <s v="STOCK"/>
    <s v="BUY"/>
    <n v="100"/>
    <s v="TO CLOSE"/>
    <x v="2"/>
    <m/>
    <m/>
    <s v="STOCK"/>
    <n v="28.675000000000001"/>
    <n v="28.675000000000001"/>
    <s v="LMT"/>
    <n v="-400"/>
    <n v="-11379.52"/>
    <n v="28.448800000000002"/>
    <s v=""/>
  </r>
  <r>
    <x v="783"/>
    <x v="75"/>
    <s v="Wednesday"/>
    <d v="1899-12-30T15:02:46"/>
    <s v="STOCK"/>
    <s v="BUY"/>
    <n v="400"/>
    <s v="TO CLOSE"/>
    <x v="2"/>
    <m/>
    <m/>
    <s v="STOCK"/>
    <n v="28.73"/>
    <n v="28.73"/>
    <s v="STP"/>
    <n v="0"/>
    <n v="0"/>
    <s v=""/>
    <n v="-112.47999999999934"/>
  </r>
  <r>
    <x v="784"/>
    <x v="75"/>
    <s v="Wednesday"/>
    <d v="1899-12-30T15:07:25"/>
    <s v="STOCK"/>
    <s v="SELL"/>
    <n v="-200"/>
    <s v="TO OPEN"/>
    <x v="2"/>
    <m/>
    <m/>
    <s v="STOCK"/>
    <n v="28.745000000000001"/>
    <n v="28.745000000000001"/>
    <s v="MKT"/>
    <n v="-200"/>
    <n v="-5749"/>
    <n v="28.745000000000001"/>
    <s v=""/>
  </r>
  <r>
    <x v="784"/>
    <x v="75"/>
    <s v="Wednesday"/>
    <d v="1899-12-30T15:24:04"/>
    <s v="STOCK"/>
    <s v="SELL"/>
    <n v="-200"/>
    <s v="TO OPEN"/>
    <x v="2"/>
    <m/>
    <m/>
    <s v="STOCK"/>
    <n v="28.53"/>
    <n v="28.53"/>
    <s v="LMT"/>
    <n v="-400"/>
    <n v="-11455"/>
    <n v="28.637499999999999"/>
    <s v=""/>
  </r>
  <r>
    <x v="784"/>
    <x v="75"/>
    <s v="Wednesday"/>
    <d v="1899-12-30T16:57:37"/>
    <s v="STOCK"/>
    <s v="BUY"/>
    <n v="200"/>
    <s v="TO CLOSE"/>
    <x v="2"/>
    <m/>
    <m/>
    <s v="STOCK"/>
    <n v="28.33"/>
    <n v="28.33"/>
    <s v="LMT"/>
    <n v="-200"/>
    <n v="-5789"/>
    <n v="28.945"/>
    <s v=""/>
  </r>
  <r>
    <x v="784"/>
    <x v="75"/>
    <s v="Wednesday"/>
    <d v="1899-12-30T20:00:00"/>
    <s v="STOCK"/>
    <s v="BUY"/>
    <n v="200"/>
    <s v="TO CLOSE"/>
    <x v="2"/>
    <m/>
    <m/>
    <s v="STOCK"/>
    <n v="28.57"/>
    <n v="28.57"/>
    <s v="LMT"/>
    <n v="0"/>
    <n v="0"/>
    <s v=""/>
    <n v="75"/>
  </r>
  <r>
    <x v="785"/>
    <x v="76"/>
    <s v="Thursday"/>
    <d v="1899-12-30T10:54:24"/>
    <s v="FUTURE"/>
    <s v="BUY"/>
    <n v="4"/>
    <s v="TO OPEN"/>
    <x v="8"/>
    <d v="2020-09-20T00:00:00"/>
    <m/>
    <s v="FUTURE"/>
    <n v="3206"/>
    <n v="3206"/>
    <s v="LMT"/>
    <n v="4"/>
    <n v="64120"/>
    <n v="3206"/>
    <s v=""/>
  </r>
  <r>
    <x v="785"/>
    <x v="76"/>
    <s v="Thursday"/>
    <d v="1899-12-30T10:57:14"/>
    <s v="FUTURE"/>
    <s v="SELL"/>
    <n v="-1"/>
    <s v="TO CLOSE"/>
    <x v="8"/>
    <d v="2020-09-20T00:00:00"/>
    <m/>
    <s v="FUTURE"/>
    <n v="3210.5"/>
    <n v="3210.5"/>
    <s v="LMT"/>
    <n v="3"/>
    <n v="48067.5"/>
    <n v="3204.5"/>
    <s v=""/>
  </r>
  <r>
    <x v="785"/>
    <x v="76"/>
    <s v="Thursday"/>
    <d v="1899-12-30T11:01:23"/>
    <s v="FUTURE"/>
    <s v="BUY"/>
    <n v="2"/>
    <s v="TO OPEN"/>
    <x v="8"/>
    <d v="2020-09-20T00:00:00"/>
    <m/>
    <s v="FUTURE"/>
    <n v="3211.5"/>
    <n v="3211.5"/>
    <s v="MKT"/>
    <n v="5"/>
    <n v="80182.5"/>
    <n v="3207.3"/>
    <s v=""/>
  </r>
  <r>
    <x v="785"/>
    <x v="76"/>
    <s v="Thursday"/>
    <d v="1899-12-30T11:02:04"/>
    <s v="FUTURE"/>
    <s v="SELL"/>
    <n v="-1"/>
    <s v="TO CLOSE"/>
    <x v="8"/>
    <d v="2020-09-20T00:00:00"/>
    <m/>
    <s v="FUTURE"/>
    <n v="3216"/>
    <n v="3216"/>
    <s v="LMT"/>
    <n v="4"/>
    <n v="64102.5"/>
    <n v="3205.125"/>
    <s v=""/>
  </r>
  <r>
    <x v="785"/>
    <x v="76"/>
    <s v="Thursday"/>
    <d v="1899-12-30T11:03:51"/>
    <s v="FUTURE"/>
    <s v="SELL"/>
    <n v="-2"/>
    <s v="TO CLOSE"/>
    <x v="8"/>
    <d v="2020-09-20T00:00:00"/>
    <m/>
    <s v="FUTURE"/>
    <n v="3217.75"/>
    <n v="3217.75"/>
    <s v="LMT"/>
    <n v="2"/>
    <n v="31925"/>
    <n v="3192.5"/>
    <s v=""/>
  </r>
  <r>
    <x v="785"/>
    <x v="76"/>
    <s v="Thursday"/>
    <d v="1899-12-30T11:09:13"/>
    <s v="FUTURE"/>
    <s v="SELL"/>
    <n v="-2"/>
    <s v="TO CLOSE"/>
    <x v="8"/>
    <d v="2020-09-20T00:00:00"/>
    <m/>
    <s v="FUTURE"/>
    <n v="3216.5"/>
    <n v="3216.5"/>
    <s v="LMT"/>
    <n v="0"/>
    <n v="0"/>
    <s v=""/>
    <n v="240"/>
  </r>
  <r>
    <x v="786"/>
    <x v="76"/>
    <s v="Thursday"/>
    <d v="1899-12-30T12:06:38"/>
    <s v="FUTURE"/>
    <s v="SELL"/>
    <n v="-4"/>
    <s v="TO OPEN"/>
    <x v="8"/>
    <d v="2020-09-20T00:00:00"/>
    <m/>
    <s v="FUTURE"/>
    <n v="3226.5"/>
    <n v="3226.5"/>
    <s v="LMT"/>
    <n v="-4"/>
    <n v="-64530"/>
    <n v="3226.5"/>
    <s v=""/>
  </r>
  <r>
    <x v="786"/>
    <x v="76"/>
    <s v="Thursday"/>
    <d v="1899-12-30T12:09:47"/>
    <s v="FUTURE"/>
    <s v="BUY"/>
    <n v="2"/>
    <s v="TO CLOSE"/>
    <x v="8"/>
    <d v="2020-09-20T00:00:00"/>
    <m/>
    <s v="FUTURE"/>
    <n v="3224"/>
    <n v="3224"/>
    <s v="LMT"/>
    <n v="-2"/>
    <n v="-32290"/>
    <n v="3229"/>
    <s v=""/>
  </r>
  <r>
    <x v="786"/>
    <x v="76"/>
    <s v="Thursday"/>
    <d v="1899-12-30T12:15:49"/>
    <s v="FUTURE"/>
    <s v="BUY"/>
    <n v="2"/>
    <s v="TO CLOSE"/>
    <x v="8"/>
    <d v="2020-09-20T00:00:00"/>
    <m/>
    <s v="FUTURE"/>
    <n v="3228.75"/>
    <n v="3228.75"/>
    <s v="STP"/>
    <n v="0"/>
    <n v="0"/>
    <s v=""/>
    <n v="2.5"/>
  </r>
  <r>
    <x v="787"/>
    <x v="76"/>
    <s v="Thursday"/>
    <d v="1899-12-30T08:00:00"/>
    <s v="STOCK"/>
    <s v="SELL"/>
    <n v="-200"/>
    <s v="TO OPEN"/>
    <x v="2"/>
    <m/>
    <m/>
    <s v="STOCK"/>
    <n v="28.57"/>
    <n v="28.57"/>
    <s v="LMT"/>
    <n v="-200"/>
    <n v="-5714"/>
    <n v="28.57"/>
    <s v=""/>
  </r>
  <r>
    <x v="787"/>
    <x v="76"/>
    <s v="Thursday"/>
    <d v="1899-12-30T10:58:39"/>
    <s v="STOCK"/>
    <s v="SELL"/>
    <n v="-200"/>
    <s v="TO OPEN"/>
    <x v="2"/>
    <m/>
    <m/>
    <s v="STOCK"/>
    <n v="30.4145"/>
    <n v="30.4145"/>
    <s v="LMT"/>
    <n v="-400"/>
    <n v="-11796.9"/>
    <n v="29.492249999999999"/>
    <s v=""/>
  </r>
  <r>
    <x v="787"/>
    <x v="76"/>
    <s v="Thursday"/>
    <d v="1899-12-30T11:15:10"/>
    <s v="STOCK"/>
    <s v="BUY"/>
    <n v="200"/>
    <s v="TO CLOSE"/>
    <x v="2"/>
    <m/>
    <m/>
    <s v="STOCK"/>
    <n v="30.31"/>
    <n v="30.31"/>
    <s v="LMT"/>
    <n v="-200"/>
    <n v="-5734.9"/>
    <n v="28.674499999999998"/>
    <s v=""/>
  </r>
  <r>
    <x v="787"/>
    <x v="76"/>
    <s v="Thursday"/>
    <d v="1899-12-30T20:00:00"/>
    <s v="STOCK"/>
    <s v="BUY"/>
    <n v="200"/>
    <s v="TO CLOSE"/>
    <x v="2"/>
    <m/>
    <m/>
    <s v="STOCK"/>
    <n v="29.2"/>
    <n v="29.2"/>
    <s v="LMT"/>
    <n v="0"/>
    <n v="0"/>
    <s v=""/>
    <n v="-105.10000000000019"/>
  </r>
  <r>
    <x v="788"/>
    <x v="77"/>
    <s v="Friday"/>
    <d v="1899-12-30T11:27:54"/>
    <s v="FUTURE"/>
    <s v="BUY"/>
    <n v="1"/>
    <s v="TO OPEN"/>
    <x v="9"/>
    <d v="2020-09-20T00:00:00"/>
    <m/>
    <s v="FUTURE"/>
    <n v="39.93"/>
    <n v="39.93"/>
    <s v="MKT"/>
    <n v="1"/>
    <n v="39930"/>
    <n v="39.93"/>
    <s v=""/>
  </r>
  <r>
    <x v="788"/>
    <x v="77"/>
    <s v="Friday"/>
    <d v="1899-12-30T13:20:52"/>
    <s v="FUTURE"/>
    <s v="SELL"/>
    <n v="-1"/>
    <s v="TO CLOSE"/>
    <x v="9"/>
    <d v="2020-09-20T00:00:00"/>
    <m/>
    <s v="FUTURE"/>
    <n v="40.21"/>
    <n v="40.21"/>
    <s v="LMT"/>
    <n v="0"/>
    <n v="0"/>
    <s v=""/>
    <n v="280.00000000000114"/>
  </r>
  <r>
    <x v="789"/>
    <x v="77"/>
    <s v="Friday"/>
    <d v="1899-12-30T10:32:54"/>
    <s v="FUTURE"/>
    <s v="BUY"/>
    <n v="5"/>
    <s v="TO OPEN"/>
    <x v="8"/>
    <d v="2020-09-20T00:00:00"/>
    <m/>
    <s v="FUTURE"/>
    <n v="3230"/>
    <n v="3230"/>
    <s v="LMT"/>
    <n v="5"/>
    <n v="80750"/>
    <n v="3230"/>
    <s v=""/>
  </r>
  <r>
    <x v="789"/>
    <x v="77"/>
    <s v="Friday"/>
    <d v="1899-12-30T10:34:19"/>
    <s v="FUTURE"/>
    <s v="BUY"/>
    <n v="1"/>
    <s v="TO OPEN"/>
    <x v="8"/>
    <d v="2020-09-20T00:00:00"/>
    <m/>
    <s v="FUTURE"/>
    <n v="3228.5"/>
    <n v="3228.5"/>
    <s v="LMT"/>
    <n v="6"/>
    <n v="96892.5"/>
    <n v="3229.75"/>
    <s v=""/>
  </r>
  <r>
    <x v="789"/>
    <x v="77"/>
    <s v="Friday"/>
    <d v="1899-12-30T11:00:48"/>
    <s v="FUTURE"/>
    <s v="BUY"/>
    <n v="2"/>
    <s v="TO OPEN"/>
    <x v="8"/>
    <d v="2020-09-20T00:00:00"/>
    <m/>
    <s v="FUTURE"/>
    <n v="3231"/>
    <n v="3231"/>
    <s v="LMT"/>
    <n v="8"/>
    <n v="129202.5"/>
    <n v="3230.0625"/>
    <s v=""/>
  </r>
  <r>
    <x v="789"/>
    <x v="77"/>
    <s v="Friday"/>
    <d v="1899-12-30T11:13:29"/>
    <s v="FUTURE"/>
    <s v="SELL"/>
    <n v="-3"/>
    <s v="TO CLOSE"/>
    <x v="8"/>
    <d v="2020-09-20T00:00:00"/>
    <m/>
    <s v="FUTURE"/>
    <n v="3235.5"/>
    <n v="3235.5"/>
    <s v="LMT"/>
    <n v="5"/>
    <n v="80670"/>
    <n v="3226.8"/>
    <s v=""/>
  </r>
  <r>
    <x v="789"/>
    <x v="77"/>
    <s v="Friday"/>
    <d v="1899-12-30T11:18:05"/>
    <s v="FUTURE"/>
    <s v="SELL"/>
    <n v="-1"/>
    <s v="TO CLOSE"/>
    <x v="8"/>
    <d v="2020-09-20T00:00:00"/>
    <m/>
    <s v="FUTURE"/>
    <n v="3238.25"/>
    <n v="3238.25"/>
    <s v="LMT"/>
    <n v="4"/>
    <n v="64478.75"/>
    <n v="3223.9375"/>
    <s v=""/>
  </r>
  <r>
    <x v="789"/>
    <x v="77"/>
    <s v="Friday"/>
    <d v="1899-12-30T11:18:42"/>
    <s v="FUTURE"/>
    <s v="SELL"/>
    <n v="-1"/>
    <s v="TO CLOSE"/>
    <x v="8"/>
    <d v="2020-09-20T00:00:00"/>
    <m/>
    <s v="FUTURE"/>
    <n v="3242"/>
    <n v="3242"/>
    <s v="MKT"/>
    <n v="3"/>
    <n v="48268.75"/>
    <n v="3217.916666666667"/>
    <s v=""/>
  </r>
  <r>
    <x v="789"/>
    <x v="77"/>
    <s v="Friday"/>
    <d v="1899-12-30T11:33:17"/>
    <s v="FUTURE"/>
    <s v="BUY"/>
    <n v="2"/>
    <s v="TO OPEN"/>
    <x v="8"/>
    <d v="2020-09-20T00:00:00"/>
    <m/>
    <s v="FUTURE"/>
    <n v="3239.25"/>
    <n v="3239.25"/>
    <s v="MKT"/>
    <n v="5"/>
    <n v="80661.25"/>
    <n v="3226.45"/>
    <s v=""/>
  </r>
  <r>
    <x v="789"/>
    <x v="77"/>
    <s v="Friday"/>
    <d v="1899-12-30T11:38:21"/>
    <s v="FUTURE"/>
    <s v="BUY"/>
    <n v="1"/>
    <s v="TO OPEN"/>
    <x v="8"/>
    <d v="2020-09-20T00:00:00"/>
    <m/>
    <s v="FUTURE"/>
    <n v="3236"/>
    <n v="3236"/>
    <s v="MKT"/>
    <n v="6"/>
    <n v="96841.25"/>
    <n v="3228.041666666667"/>
    <s v=""/>
  </r>
  <r>
    <x v="789"/>
    <x v="77"/>
    <s v="Friday"/>
    <d v="1899-12-30T12:23:53"/>
    <s v="FUTURE"/>
    <s v="BUY"/>
    <n v="1"/>
    <s v="TO OPEN"/>
    <x v="8"/>
    <d v="2020-09-20T00:00:00"/>
    <m/>
    <s v="FUTURE"/>
    <n v="3226"/>
    <n v="3226"/>
    <s v="STP"/>
    <n v="7"/>
    <n v="112971.25"/>
    <n v="3227.75"/>
    <s v=""/>
  </r>
  <r>
    <x v="789"/>
    <x v="77"/>
    <s v="Friday"/>
    <d v="1899-12-30T13:05:31"/>
    <s v="FUTURE"/>
    <s v="BUY"/>
    <n v="1"/>
    <s v="TO OPEN"/>
    <x v="8"/>
    <d v="2020-09-20T00:00:00"/>
    <m/>
    <s v="FUTURE"/>
    <n v="3220.5"/>
    <n v="3220.5"/>
    <s v="STP"/>
    <n v="8"/>
    <n v="129073.75"/>
    <n v="3226.84375"/>
    <s v=""/>
  </r>
  <r>
    <x v="789"/>
    <x v="77"/>
    <s v="Friday"/>
    <d v="1899-12-30T13:25:37"/>
    <s v="FUTURE"/>
    <s v="SELL"/>
    <n v="-2"/>
    <s v="TO CLOSE"/>
    <x v="8"/>
    <d v="2020-09-20T00:00:00"/>
    <m/>
    <s v="FUTURE"/>
    <n v="3226"/>
    <n v="3226"/>
    <s v="LMT"/>
    <n v="6"/>
    <n v="96813.75"/>
    <n v="3227.125"/>
    <s v=""/>
  </r>
  <r>
    <x v="789"/>
    <x v="77"/>
    <s v="Friday"/>
    <d v="1899-12-30T13:40:38"/>
    <s v="FUTURE"/>
    <s v="BUY"/>
    <n v="2"/>
    <s v="TO OPEN"/>
    <x v="8"/>
    <d v="2020-09-20T00:00:00"/>
    <m/>
    <s v="FUTURE"/>
    <n v="3224"/>
    <n v="3224"/>
    <s v="LMT"/>
    <n v="8"/>
    <n v="129053.75"/>
    <n v="3226.34375"/>
    <s v=""/>
  </r>
  <r>
    <x v="789"/>
    <x v="77"/>
    <s v="Friday"/>
    <d v="1899-12-30T13:50:32"/>
    <s v="FUTURE"/>
    <s v="SELL"/>
    <n v="-1"/>
    <s v="TO CLOSE"/>
    <x v="8"/>
    <d v="2020-09-20T00:00:00"/>
    <m/>
    <s v="FUTURE"/>
    <n v="3229.25"/>
    <n v="3229.25"/>
    <s v="LMT"/>
    <n v="7"/>
    <n v="112907.5"/>
    <n v="3225.9285714285716"/>
    <s v=""/>
  </r>
  <r>
    <x v="789"/>
    <x v="77"/>
    <s v="Friday"/>
    <d v="1899-12-30T13:50:32"/>
    <s v="FUTURE"/>
    <s v="SELL"/>
    <n v="-1"/>
    <s v="TO CLOSE"/>
    <x v="8"/>
    <d v="2020-09-20T00:00:00"/>
    <m/>
    <s v="FUTURE"/>
    <n v="3229.25"/>
    <n v="3229.25"/>
    <s v="LMT"/>
    <n v="6"/>
    <n v="96761.25"/>
    <n v="3225.375"/>
    <s v=""/>
  </r>
  <r>
    <x v="789"/>
    <x v="77"/>
    <s v="Friday"/>
    <d v="1899-12-30T14:21:19"/>
    <s v="FUTURE"/>
    <s v="BUY"/>
    <n v="2"/>
    <s v="TO OPEN"/>
    <x v="8"/>
    <d v="2020-09-20T00:00:00"/>
    <m/>
    <s v="FUTURE"/>
    <n v="3221.5"/>
    <n v="3221.5"/>
    <s v="MKT"/>
    <n v="8"/>
    <n v="128976.25"/>
    <n v="3224.40625"/>
    <s v=""/>
  </r>
  <r>
    <x v="789"/>
    <x v="77"/>
    <s v="Friday"/>
    <d v="1899-12-30T14:43:48"/>
    <s v="FUTURE"/>
    <s v="SELL"/>
    <n v="-2"/>
    <s v="TO CLOSE"/>
    <x v="8"/>
    <d v="2020-09-20T00:00:00"/>
    <m/>
    <s v="FUTURE"/>
    <n v="3231.5"/>
    <n v="3231.5"/>
    <s v="LMT"/>
    <n v="6"/>
    <n v="96661.25"/>
    <n v="3222.041666666667"/>
    <s v=""/>
  </r>
  <r>
    <x v="789"/>
    <x v="77"/>
    <s v="Friday"/>
    <d v="1899-12-30T14:52:57"/>
    <s v="FUTURE"/>
    <s v="SELL"/>
    <n v="-2"/>
    <s v="TO CLOSE"/>
    <x v="8"/>
    <d v="2020-09-20T00:00:00"/>
    <m/>
    <s v="FUTURE"/>
    <n v="3235.5"/>
    <n v="3235.5"/>
    <s v="LMT"/>
    <n v="4"/>
    <n v="64306.25"/>
    <n v="3215.3125"/>
    <s v=""/>
  </r>
  <r>
    <x v="789"/>
    <x v="77"/>
    <s v="Friday"/>
    <d v="1899-12-30T15:00:13"/>
    <s v="FUTURE"/>
    <s v="SELL"/>
    <n v="-2"/>
    <s v="TO CLOSE"/>
    <x v="8"/>
    <d v="2020-09-20T00:00:00"/>
    <m/>
    <s v="FUTURE"/>
    <n v="3238.5"/>
    <n v="3238.5"/>
    <s v="LMT"/>
    <n v="2"/>
    <n v="31921.25"/>
    <n v="3192.125"/>
    <s v=""/>
  </r>
  <r>
    <x v="789"/>
    <x v="77"/>
    <s v="Friday"/>
    <d v="1899-12-30T15:04:28"/>
    <s v="FUTURE"/>
    <s v="SELL"/>
    <n v="-2"/>
    <s v="TO CLOSE"/>
    <x v="8"/>
    <d v="2020-09-20T00:00:00"/>
    <m/>
    <s v="FUTURE"/>
    <n v="3242.5"/>
    <n v="3242.5"/>
    <s v="LMT"/>
    <n v="0"/>
    <n v="0"/>
    <s v=""/>
    <n v="503.75"/>
  </r>
  <r>
    <x v="790"/>
    <x v="77"/>
    <s v="Friday"/>
    <d v="1899-12-30T08:00:00"/>
    <s v="STOCK"/>
    <s v="SELL"/>
    <n v="-200"/>
    <s v="TO OPEN"/>
    <x v="2"/>
    <m/>
    <m/>
    <s v="STOCK"/>
    <n v="29.2"/>
    <n v="29.2"/>
    <s v="LMT"/>
    <n v="-200"/>
    <n v="-5840"/>
    <n v="29.2"/>
    <s v=""/>
  </r>
  <r>
    <x v="790"/>
    <x v="77"/>
    <s v="Friday"/>
    <d v="1899-12-30T10:48:08"/>
    <s v="STOCK"/>
    <s v="SELL"/>
    <n v="-100"/>
    <s v="TO OPEN"/>
    <x v="2"/>
    <m/>
    <m/>
    <s v="STOCK"/>
    <n v="29.350100000000001"/>
    <n v="29.350100000000001"/>
    <s v="MKT"/>
    <n v="-300"/>
    <n v="-8775.01"/>
    <n v="29.250033333333334"/>
    <s v=""/>
  </r>
  <r>
    <x v="790"/>
    <x v="77"/>
    <s v="Friday"/>
    <d v="1899-12-30T10:48:08"/>
    <s v="STOCK"/>
    <s v="SELL"/>
    <n v="-100"/>
    <s v="TO OPEN"/>
    <x v="2"/>
    <m/>
    <m/>
    <s v="STOCK"/>
    <n v="29.355"/>
    <n v="29.355"/>
    <s v="MKT"/>
    <n v="-400"/>
    <n v="-11710.51"/>
    <n v="29.276275000000002"/>
    <s v=""/>
  </r>
  <r>
    <x v="790"/>
    <x v="77"/>
    <s v="Friday"/>
    <d v="1899-12-30T11:18:33"/>
    <s v="STOCK"/>
    <s v="BUY"/>
    <n v="200"/>
    <s v="TO CLOSE"/>
    <x v="2"/>
    <m/>
    <m/>
    <s v="STOCK"/>
    <n v="28.87"/>
    <n v="28.87"/>
    <s v="LMT"/>
    <n v="-200"/>
    <n v="-5936.51"/>
    <n v="29.682550000000003"/>
    <s v=""/>
  </r>
  <r>
    <x v="790"/>
    <x v="77"/>
    <s v="Friday"/>
    <d v="1899-12-30T13:24:05"/>
    <s v="STOCK"/>
    <s v="SELL"/>
    <n v="-200"/>
    <s v="TO OPEN"/>
    <x v="2"/>
    <m/>
    <m/>
    <s v="STOCK"/>
    <n v="29.475000000000001"/>
    <n v="29.475000000000001"/>
    <s v="LMT"/>
    <n v="-400"/>
    <n v="-11831.51"/>
    <n v="29.578775"/>
    <s v=""/>
  </r>
  <r>
    <x v="790"/>
    <x v="77"/>
    <s v="Friday"/>
    <d v="1899-12-30T14:45:31"/>
    <s v="STOCK"/>
    <s v="BUY"/>
    <n v="100"/>
    <s v="TO CLOSE"/>
    <x v="2"/>
    <m/>
    <m/>
    <s v="STOCK"/>
    <n v="29.17"/>
    <n v="29.17"/>
    <s v="LMT"/>
    <n v="-300"/>
    <n v="-8914.51"/>
    <n v="29.715033333333334"/>
    <s v=""/>
  </r>
  <r>
    <x v="790"/>
    <x v="77"/>
    <s v="Friday"/>
    <d v="1899-12-30T14:53:58"/>
    <s v="STOCK"/>
    <s v="BUY"/>
    <n v="100"/>
    <s v="TO CLOSE"/>
    <x v="2"/>
    <m/>
    <m/>
    <s v="STOCK"/>
    <n v="29.08"/>
    <n v="29.08"/>
    <s v="LMT"/>
    <n v="-200"/>
    <n v="-6006.51"/>
    <n v="30.032550000000001"/>
    <s v=""/>
  </r>
  <r>
    <x v="790"/>
    <x v="77"/>
    <s v="Friday"/>
    <d v="1899-12-30T15:04:13"/>
    <s v="STOCK"/>
    <s v="BUY"/>
    <n v="100"/>
    <s v="TO CLOSE"/>
    <x v="2"/>
    <m/>
    <m/>
    <s v="STOCK"/>
    <n v="29.009899999999998"/>
    <n v="29.009899999999998"/>
    <s v="MKT"/>
    <n v="-100"/>
    <n v="-3105.5200000000004"/>
    <n v="31.055200000000003"/>
    <s v=""/>
  </r>
  <r>
    <x v="790"/>
    <x v="77"/>
    <s v="Friday"/>
    <d v="1899-12-30T15:19:17"/>
    <s v="STOCK"/>
    <s v="BUY"/>
    <n v="100"/>
    <s v="TO CLOSE"/>
    <x v="2"/>
    <m/>
    <m/>
    <s v="STOCK"/>
    <n v="28.86"/>
    <n v="28.86"/>
    <s v="LMT"/>
    <n v="0"/>
    <n v="0"/>
    <s v=""/>
    <n v="219.52000000000032"/>
  </r>
  <r>
    <x v="791"/>
    <x v="78"/>
    <s v="Monday"/>
    <d v="1899-12-30T09:50:38"/>
    <s v="FUTURE"/>
    <s v="BUY"/>
    <n v="1"/>
    <s v="TO OPEN"/>
    <x v="9"/>
    <d v="2020-09-20T00:00:00"/>
    <m/>
    <s v="FUTURE"/>
    <n v="40.380000000000003"/>
    <n v="40.380000000000003"/>
    <s v="MKT"/>
    <n v="1"/>
    <n v="40380"/>
    <n v="40.380000000000003"/>
    <s v=""/>
  </r>
  <r>
    <x v="791"/>
    <x v="78"/>
    <s v="Monday"/>
    <d v="1899-12-30T10:03:04"/>
    <s v="FUTURE"/>
    <s v="SELL"/>
    <n v="-1"/>
    <s v="TO CLOSE"/>
    <x v="9"/>
    <d v="2020-09-20T00:00:00"/>
    <m/>
    <s v="FUTURE"/>
    <n v="40.69"/>
    <n v="40.69"/>
    <s v="LMT"/>
    <n v="0"/>
    <n v="0"/>
    <s v=""/>
    <n v="309.99999999999517"/>
  </r>
  <r>
    <x v="792"/>
    <x v="78"/>
    <s v="Monday"/>
    <d v="1899-12-30T11:35:54"/>
    <s v="FUTURE"/>
    <s v="SELL"/>
    <n v="-1"/>
    <s v="TO OPEN"/>
    <x v="9"/>
    <d v="2020-09-20T00:00:00"/>
    <m/>
    <s v="FUTURE"/>
    <n v="41.09"/>
    <n v="41.09"/>
    <s v="LMT"/>
    <n v="-1"/>
    <n v="-41090"/>
    <n v="41.09"/>
    <s v=""/>
  </r>
  <r>
    <x v="792"/>
    <x v="78"/>
    <s v="Monday"/>
    <d v="1899-12-30T11:53:06"/>
    <s v="FUTURE"/>
    <s v="BUY"/>
    <n v="1"/>
    <s v="TO CLOSE"/>
    <x v="9"/>
    <d v="2020-09-20T00:00:00"/>
    <m/>
    <s v="FUTURE"/>
    <n v="41.04"/>
    <n v="41.04"/>
    <s v="LMT"/>
    <n v="0"/>
    <n v="0"/>
    <s v=""/>
    <n v="50.000000000004263"/>
  </r>
  <r>
    <x v="793"/>
    <x v="78"/>
    <s v="Monday"/>
    <d v="1899-12-30T10:37:38"/>
    <s v="FUTURE"/>
    <s v="SELL"/>
    <n v="-1"/>
    <s v="TO OPEN"/>
    <x v="7"/>
    <d v="2020-09-20T00:00:00"/>
    <m/>
    <s v="FUTURE"/>
    <n v="3287.5"/>
    <n v="3287.5"/>
    <s v="LMT"/>
    <n v="-1"/>
    <n v="-164375"/>
    <n v="3287.5"/>
    <s v=""/>
  </r>
  <r>
    <x v="793"/>
    <x v="78"/>
    <s v="Monday"/>
    <d v="1899-12-30T10:45:43"/>
    <s v="FUTURE"/>
    <s v="BUY"/>
    <n v="1"/>
    <s v="TO CLOSE"/>
    <x v="7"/>
    <d v="2020-09-20T00:00:00"/>
    <m/>
    <s v="FUTURE"/>
    <n v="3282.75"/>
    <n v="3282.75"/>
    <s v="LMT"/>
    <n v="0"/>
    <n v="0"/>
    <s v=""/>
    <n v="237.5"/>
  </r>
  <r>
    <x v="794"/>
    <x v="78"/>
    <s v="Monday"/>
    <d v="1899-12-30T12:06:07"/>
    <s v="FUTURE"/>
    <s v="SELL"/>
    <n v="-6"/>
    <s v="TO OPEN"/>
    <x v="8"/>
    <d v="2020-09-20T00:00:00"/>
    <m/>
    <s v="FUTURE"/>
    <n v="3289"/>
    <n v="3289"/>
    <s v="LMT"/>
    <n v="-6"/>
    <n v="-98670"/>
    <n v="3289"/>
    <s v=""/>
  </r>
  <r>
    <x v="794"/>
    <x v="78"/>
    <s v="Monday"/>
    <d v="1899-12-30T12:40:23"/>
    <s v="FUTURE"/>
    <s v="BUY"/>
    <n v="3"/>
    <s v="TO CLOSE"/>
    <x v="8"/>
    <d v="2020-09-20T00:00:00"/>
    <m/>
    <s v="FUTURE"/>
    <n v="3288"/>
    <n v="3288"/>
    <s v="LMT"/>
    <n v="-3"/>
    <n v="-49350"/>
    <n v="3290"/>
    <s v=""/>
  </r>
  <r>
    <x v="794"/>
    <x v="78"/>
    <s v="Monday"/>
    <d v="1899-12-30T12:42:49"/>
    <s v="FUTURE"/>
    <s v="BUY"/>
    <n v="3"/>
    <s v="TO CLOSE"/>
    <x v="8"/>
    <d v="2020-09-20T00:00:00"/>
    <m/>
    <s v="FUTURE"/>
    <n v="3288.5"/>
    <n v="3288.5"/>
    <s v="LMT"/>
    <n v="0"/>
    <n v="0"/>
    <s v=""/>
    <n v="22.5"/>
  </r>
  <r>
    <x v="795"/>
    <x v="79"/>
    <s v="Tuesday"/>
    <d v="1899-12-30T10:31:34"/>
    <s v="FUTURE"/>
    <s v="SELL"/>
    <n v="-1"/>
    <s v="TO OPEN"/>
    <x v="9"/>
    <d v="2020-09-20T00:00:00"/>
    <m/>
    <s v="FUTURE"/>
    <n v="41.02"/>
    <n v="41.02"/>
    <s v="LMT"/>
    <n v="-1"/>
    <n v="-41020"/>
    <n v="41.02"/>
    <s v=""/>
  </r>
  <r>
    <x v="795"/>
    <x v="79"/>
    <s v="Tuesday"/>
    <d v="1899-12-30T10:34:36"/>
    <s v="FUTURE"/>
    <s v="BUY"/>
    <n v="1"/>
    <s v="TO CLOSE"/>
    <x v="9"/>
    <d v="2020-09-20T00:00:00"/>
    <m/>
    <s v="FUTURE"/>
    <n v="40.99"/>
    <n v="40.99"/>
    <s v="LMT"/>
    <n v="0"/>
    <n v="0"/>
    <s v=""/>
    <n v="30.000000000001137"/>
  </r>
  <r>
    <x v="796"/>
    <x v="79"/>
    <s v="Tuesday"/>
    <d v="1899-12-30T11:05:15"/>
    <s v="FUTURE"/>
    <s v="SELL"/>
    <n v="-1"/>
    <s v="TO OPEN"/>
    <x v="9"/>
    <d v="2020-09-20T00:00:00"/>
    <m/>
    <s v="FUTURE"/>
    <n v="41.34"/>
    <n v="41.34"/>
    <s v="LMT"/>
    <n v="-1"/>
    <n v="-41340"/>
    <n v="41.34"/>
    <s v=""/>
  </r>
  <r>
    <x v="796"/>
    <x v="79"/>
    <s v="Tuesday"/>
    <d v="1899-12-30T11:27:54"/>
    <s v="FUTURE"/>
    <s v="SELL"/>
    <n v="-1"/>
    <s v="TO OPEN"/>
    <x v="9"/>
    <d v="2020-09-20T00:00:00"/>
    <m/>
    <s v="FUTURE"/>
    <n v="41.46"/>
    <n v="41.46"/>
    <s v="LMT"/>
    <n v="-2"/>
    <n v="-82800"/>
    <n v="41.4"/>
    <s v=""/>
  </r>
  <r>
    <x v="796"/>
    <x v="79"/>
    <s v="Tuesday"/>
    <d v="1899-12-30T13:06:23"/>
    <s v="FUTURE"/>
    <s v="BUY"/>
    <n v="1"/>
    <s v="TO CLOSE"/>
    <x v="9"/>
    <d v="2020-09-20T00:00:00"/>
    <m/>
    <s v="FUTURE"/>
    <n v="41.4"/>
    <n v="41.4"/>
    <s v="LMT"/>
    <n v="-1"/>
    <n v="-41400"/>
    <n v="41.4"/>
    <s v=""/>
  </r>
  <r>
    <x v="796"/>
    <x v="79"/>
    <s v="Tuesday"/>
    <d v="1899-12-30T13:45:28"/>
    <s v="FUTURE"/>
    <s v="SELL"/>
    <n v="-1"/>
    <s v="TO OPEN"/>
    <x v="9"/>
    <d v="2020-09-20T00:00:00"/>
    <m/>
    <s v="FUTURE"/>
    <n v="42.02"/>
    <n v="42.02"/>
    <s v="LMT"/>
    <n v="-2"/>
    <n v="-83420"/>
    <n v="41.71"/>
    <s v=""/>
  </r>
  <r>
    <x v="796"/>
    <x v="79"/>
    <s v="Tuesday"/>
    <d v="1899-12-30T14:26:59"/>
    <s v="FUTURE"/>
    <s v="BUY"/>
    <n v="1"/>
    <s v="TO CLOSE"/>
    <x v="9"/>
    <d v="2020-09-20T00:00:00"/>
    <m/>
    <s v="FUTURE"/>
    <n v="41.81"/>
    <n v="41.81"/>
    <s v="LMT"/>
    <n v="-1"/>
    <n v="-41610"/>
    <n v="41.61"/>
    <s v=""/>
  </r>
  <r>
    <x v="796"/>
    <x v="79"/>
    <s v="Tuesday"/>
    <d v="1899-12-30T14:36:47"/>
    <s v="FUTURE"/>
    <s v="BUY"/>
    <n v="1"/>
    <s v="TO CLOSE"/>
    <x v="9"/>
    <d v="2020-09-20T00:00:00"/>
    <m/>
    <s v="FUTURE"/>
    <n v="41.64"/>
    <n v="41.64"/>
    <s v="MKT"/>
    <n v="0"/>
    <n v="0"/>
    <s v=""/>
    <n v="-30.000000000001137"/>
  </r>
  <r>
    <x v="797"/>
    <x v="79"/>
    <s v="Tuesday"/>
    <d v="1899-12-30T09:58:38"/>
    <s v="FUTURE"/>
    <s v="BUY"/>
    <n v="1"/>
    <s v="TO OPEN"/>
    <x v="7"/>
    <d v="2020-09-20T00:00:00"/>
    <m/>
    <s v="FUTURE"/>
    <n v="3286"/>
    <n v="3286"/>
    <s v="MKT"/>
    <n v="1"/>
    <n v="164300"/>
    <n v="3286"/>
    <s v=""/>
  </r>
  <r>
    <x v="797"/>
    <x v="79"/>
    <s v="Tuesday"/>
    <d v="1899-12-30T10:04:07"/>
    <s v="FUTURE"/>
    <s v="SELL"/>
    <n v="-1"/>
    <s v="TO CLOSE"/>
    <x v="7"/>
    <d v="2020-09-20T00:00:00"/>
    <m/>
    <s v="FUTURE"/>
    <n v="3286.5"/>
    <n v="3286.5"/>
    <s v="STP"/>
    <n v="0"/>
    <n v="0"/>
    <s v=""/>
    <n v="25"/>
  </r>
  <r>
    <x v="798"/>
    <x v="79"/>
    <s v="Tuesday"/>
    <d v="1899-12-30T10:36:23"/>
    <s v="FUTURE"/>
    <s v="BUY"/>
    <n v="1"/>
    <s v="TO OPEN"/>
    <x v="7"/>
    <d v="2020-09-20T00:00:00"/>
    <m/>
    <s v="FUTURE"/>
    <n v="3286.75"/>
    <n v="3286.75"/>
    <s v="MKT"/>
    <n v="1"/>
    <n v="164337.5"/>
    <n v="3286.75"/>
    <s v=""/>
  </r>
  <r>
    <x v="798"/>
    <x v="79"/>
    <s v="Tuesday"/>
    <d v="1899-12-30T10:38:37"/>
    <s v="FUTURE"/>
    <s v="SELL"/>
    <n v="-1"/>
    <s v="TO CLOSE"/>
    <x v="7"/>
    <d v="2020-09-20T00:00:00"/>
    <m/>
    <s v="FUTURE"/>
    <n v="3288.75"/>
    <n v="3288.75"/>
    <s v="LMT"/>
    <n v="0"/>
    <n v="0"/>
    <s v=""/>
    <n v="100"/>
  </r>
  <r>
    <x v="799"/>
    <x v="79"/>
    <s v="Tuesday"/>
    <d v="1899-12-30T11:09:37"/>
    <s v="FUTURE"/>
    <s v="SELL"/>
    <n v="-1"/>
    <s v="TO OPEN"/>
    <x v="7"/>
    <d v="2020-09-20T00:00:00"/>
    <m/>
    <s v="FUTURE"/>
    <n v="3292.25"/>
    <n v="3292.25"/>
    <s v="LMT"/>
    <n v="-1"/>
    <n v="-164612.5"/>
    <n v="3292.25"/>
    <s v=""/>
  </r>
  <r>
    <x v="799"/>
    <x v="79"/>
    <s v="Tuesday"/>
    <d v="1899-12-30T11:26:21"/>
    <s v="FUTURE"/>
    <s v="BUY"/>
    <n v="1"/>
    <s v="TO CLOSE"/>
    <x v="7"/>
    <d v="2020-09-20T00:00:00"/>
    <m/>
    <s v="FUTURE"/>
    <n v="3292"/>
    <n v="3292"/>
    <s v="LMT"/>
    <n v="0"/>
    <n v="0"/>
    <s v=""/>
    <n v="12.5"/>
  </r>
  <r>
    <x v="800"/>
    <x v="79"/>
    <s v="Tuesday"/>
    <d v="1899-12-30T13:12:27"/>
    <s v="FUTURE"/>
    <s v="BUY"/>
    <n v="1"/>
    <s v="TO OPEN"/>
    <x v="7"/>
    <d v="2020-09-20T00:00:00"/>
    <m/>
    <s v="FUTURE"/>
    <n v="3289.75"/>
    <n v="3289.75"/>
    <s v="MKT"/>
    <n v="1"/>
    <n v="164487.5"/>
    <n v="3289.75"/>
    <s v=""/>
  </r>
  <r>
    <x v="800"/>
    <x v="79"/>
    <s v="Tuesday"/>
    <d v="1899-12-30T13:13:06"/>
    <s v="FUTURE"/>
    <s v="SELL"/>
    <n v="-1"/>
    <s v="TO CLOSE"/>
    <x v="7"/>
    <d v="2020-09-20T00:00:00"/>
    <m/>
    <s v="FUTURE"/>
    <n v="3290.5"/>
    <n v="3290.5"/>
    <s v="LMT"/>
    <n v="0"/>
    <n v="0"/>
    <s v=""/>
    <n v="37.5"/>
  </r>
  <r>
    <x v="801"/>
    <x v="79"/>
    <s v="Tuesday"/>
    <d v="1899-12-30T11:45:18"/>
    <s v="STOCK"/>
    <s v="BUY"/>
    <n v="400"/>
    <s v="TO OPEN"/>
    <x v="2"/>
    <m/>
    <m/>
    <s v="STOCK"/>
    <n v="27.729900000000001"/>
    <n v="27.729900000000001"/>
    <s v="LMT"/>
    <n v="400"/>
    <n v="11091.960000000001"/>
    <n v="27.729900000000001"/>
    <s v=""/>
  </r>
  <r>
    <x v="801"/>
    <x v="79"/>
    <s v="Tuesday"/>
    <d v="1899-12-30T12:09:27"/>
    <s v="STOCK"/>
    <s v="SELL"/>
    <n v="-1"/>
    <s v="TO CLOSE"/>
    <x v="2"/>
    <m/>
    <m/>
    <s v="STOCK"/>
    <n v="27.87"/>
    <n v="27.87"/>
    <s v="LMT"/>
    <n v="399"/>
    <n v="11064.09"/>
    <n v="27.729548872180452"/>
    <s v=""/>
  </r>
  <r>
    <x v="801"/>
    <x v="79"/>
    <s v="Tuesday"/>
    <d v="1899-12-30T12:09:29"/>
    <s v="STOCK"/>
    <s v="SELL"/>
    <n v="-20"/>
    <s v="TO CLOSE"/>
    <x v="2"/>
    <m/>
    <m/>
    <s v="STOCK"/>
    <n v="27.87"/>
    <n v="27.87"/>
    <s v="LMT"/>
    <n v="379"/>
    <n v="10506.69"/>
    <n v="27.722137203166227"/>
    <s v=""/>
  </r>
  <r>
    <x v="801"/>
    <x v="79"/>
    <s v="Tuesday"/>
    <d v="1899-12-30T12:09:41"/>
    <s v="STOCK"/>
    <s v="SELL"/>
    <n v="-29"/>
    <s v="TO CLOSE"/>
    <x v="2"/>
    <m/>
    <m/>
    <s v="STOCK"/>
    <n v="27.87"/>
    <n v="27.87"/>
    <s v="LMT"/>
    <n v="350"/>
    <n v="9698.4600000000009"/>
    <n v="27.709885714285718"/>
    <s v=""/>
  </r>
  <r>
    <x v="801"/>
    <x v="79"/>
    <s v="Tuesday"/>
    <d v="1899-12-30T12:09:41"/>
    <s v="STOCK"/>
    <s v="SELL"/>
    <n v="-50"/>
    <s v="TO CLOSE"/>
    <x v="2"/>
    <m/>
    <m/>
    <s v="STOCK"/>
    <n v="27.87"/>
    <n v="27.87"/>
    <s v="LMT"/>
    <n v="300"/>
    <n v="8304.9600000000009"/>
    <n v="27.683200000000003"/>
    <s v=""/>
  </r>
  <r>
    <x v="801"/>
    <x v="79"/>
    <s v="Tuesday"/>
    <d v="1899-12-30T12:17:46"/>
    <s v="STOCK"/>
    <s v="SELL"/>
    <n v="-100"/>
    <s v="TO CLOSE"/>
    <x v="2"/>
    <m/>
    <m/>
    <s v="STOCK"/>
    <n v="27.9"/>
    <n v="27.9"/>
    <s v="LMT"/>
    <n v="200"/>
    <n v="5514.9600000000009"/>
    <n v="27.574800000000003"/>
    <s v=""/>
  </r>
  <r>
    <x v="801"/>
    <x v="79"/>
    <s v="Tuesday"/>
    <d v="1899-12-30T12:58:08"/>
    <s v="STOCK"/>
    <s v="SELL"/>
    <n v="-100"/>
    <s v="TO CLOSE"/>
    <x v="2"/>
    <m/>
    <m/>
    <s v="STOCK"/>
    <n v="27.770099999999999"/>
    <n v="27.770099999999999"/>
    <s v="MKT"/>
    <n v="100"/>
    <n v="2737.9500000000012"/>
    <n v="27.379500000000011"/>
    <s v=""/>
  </r>
  <r>
    <x v="801"/>
    <x v="79"/>
    <s v="Tuesday"/>
    <d v="1899-12-30T12:58:08"/>
    <s v="STOCK"/>
    <s v="SELL"/>
    <n v="-100"/>
    <s v="TO CLOSE"/>
    <x v="2"/>
    <m/>
    <m/>
    <s v="STOCK"/>
    <n v="27.770099999999999"/>
    <n v="27.770099999999999"/>
    <s v="MKT"/>
    <n v="0"/>
    <n v="0"/>
    <s v=""/>
    <n v="39.059999999998851"/>
  </r>
  <r>
    <x v="802"/>
    <x v="79"/>
    <s v="Tuesday"/>
    <d v="1899-12-30T13:45:51"/>
    <s v="STOCK"/>
    <s v="BUY"/>
    <n v="200"/>
    <s v="TO OPEN"/>
    <x v="2"/>
    <m/>
    <m/>
    <s v="STOCK"/>
    <n v="27.8171"/>
    <n v="27.8171"/>
    <s v="MKT"/>
    <n v="200"/>
    <n v="5563.42"/>
    <n v="27.8171"/>
    <s v=""/>
  </r>
  <r>
    <x v="802"/>
    <x v="79"/>
    <s v="Tuesday"/>
    <d v="1899-12-30T14:05:54"/>
    <s v="STOCK"/>
    <s v="BUY"/>
    <n v="100"/>
    <s v="TO OPEN"/>
    <x v="2"/>
    <m/>
    <m/>
    <s v="STOCK"/>
    <n v="27.719899999999999"/>
    <n v="27.719899999999999"/>
    <s v="MKT"/>
    <n v="300"/>
    <n v="8335.41"/>
    <n v="27.784700000000001"/>
    <s v=""/>
  </r>
  <r>
    <x v="802"/>
    <x v="79"/>
    <s v="Tuesday"/>
    <d v="1899-12-30T14:30:45"/>
    <s v="STOCK"/>
    <s v="SELL"/>
    <n v="-100"/>
    <s v="TO CLOSE"/>
    <x v="2"/>
    <m/>
    <m/>
    <s v="STOCK"/>
    <n v="27.8401"/>
    <n v="27.8401"/>
    <s v="MKT"/>
    <n v="200"/>
    <n v="5551.4"/>
    <n v="27.756999999999998"/>
    <s v=""/>
  </r>
  <r>
    <x v="802"/>
    <x v="79"/>
    <s v="Tuesday"/>
    <d v="1899-12-30T14:33:22"/>
    <s v="STOCK"/>
    <s v="SELL"/>
    <n v="-164"/>
    <s v="TO CLOSE"/>
    <x v="2"/>
    <m/>
    <m/>
    <s v="STOCK"/>
    <n v="27.962700000000002"/>
    <n v="27.962679999999999"/>
    <s v="MKT"/>
    <n v="36"/>
    <n v="965.51719999999932"/>
    <n v="26.819922222222203"/>
    <s v=""/>
  </r>
  <r>
    <x v="802"/>
    <x v="79"/>
    <s v="Tuesday"/>
    <d v="1899-12-30T14:33:22"/>
    <s v="STOCK"/>
    <s v="SELL"/>
    <n v="-36"/>
    <s v="TO CLOSE"/>
    <x v="2"/>
    <m/>
    <m/>
    <s v="STOCK"/>
    <n v="27.965"/>
    <n v="27.965"/>
    <s v="MKT"/>
    <n v="0"/>
    <n v="0"/>
    <s v=""/>
    <n v="41.222800000000674"/>
  </r>
  <r>
    <x v="803"/>
    <x v="80"/>
    <s v="Wednesday"/>
    <d v="1899-12-30T09:47:04"/>
    <s v="FUTURE"/>
    <s v="BUY"/>
    <n v="1"/>
    <s v="TO OPEN"/>
    <x v="9"/>
    <d v="2020-09-20T00:00:00"/>
    <m/>
    <s v="FUTURE"/>
    <n v="43.29"/>
    <n v="43.29"/>
    <s v="MKT"/>
    <n v="1"/>
    <n v="43290"/>
    <n v="43.29"/>
    <s v=""/>
  </r>
  <r>
    <x v="803"/>
    <x v="80"/>
    <s v="Wednesday"/>
    <d v="1899-12-30T09:50:00"/>
    <s v="FUTURE"/>
    <s v="BUY"/>
    <n v="1"/>
    <s v="TO OPEN"/>
    <x v="9"/>
    <d v="2020-09-20T00:00:00"/>
    <m/>
    <s v="FUTURE"/>
    <n v="43.34"/>
    <n v="43.34"/>
    <s v="MKT"/>
    <n v="2"/>
    <n v="86630"/>
    <n v="43.314999999999998"/>
    <s v=""/>
  </r>
  <r>
    <x v="803"/>
    <x v="80"/>
    <s v="Wednesday"/>
    <d v="1899-12-30T09:53:45"/>
    <s v="FUTURE"/>
    <s v="SELL"/>
    <n v="-1"/>
    <s v="TO CLOSE"/>
    <x v="9"/>
    <d v="2020-09-20T00:00:00"/>
    <m/>
    <s v="FUTURE"/>
    <n v="43.41"/>
    <n v="43.41"/>
    <s v="LMT"/>
    <n v="1"/>
    <n v="43220"/>
    <n v="43.22"/>
    <s v=""/>
  </r>
  <r>
    <x v="803"/>
    <x v="80"/>
    <s v="Wednesday"/>
    <d v="1899-12-30T10:00:24"/>
    <s v="FUTURE"/>
    <s v="SELL"/>
    <n v="-1"/>
    <s v="TO CLOSE"/>
    <x v="9"/>
    <d v="2020-09-20T00:00:00"/>
    <m/>
    <s v="FUTURE"/>
    <n v="43.42"/>
    <n v="43.42"/>
    <s v="LMT"/>
    <n v="0"/>
    <n v="0"/>
    <s v=""/>
    <n v="200.00000000000284"/>
  </r>
  <r>
    <x v="804"/>
    <x v="80"/>
    <s v="Wednesday"/>
    <d v="1899-12-30T10:31:13"/>
    <s v="FUTURE"/>
    <s v="SELL"/>
    <n v="-1"/>
    <s v="TO OPEN"/>
    <x v="9"/>
    <d v="2020-09-20T00:00:00"/>
    <m/>
    <s v="FUTURE"/>
    <n v="43.28"/>
    <n v="43.28"/>
    <s v="MKT"/>
    <n v="-1"/>
    <n v="-43280"/>
    <n v="43.28"/>
    <s v=""/>
  </r>
  <r>
    <x v="804"/>
    <x v="80"/>
    <s v="Wednesday"/>
    <d v="1899-12-30T10:39:46"/>
    <s v="FUTURE"/>
    <s v="BUY"/>
    <n v="1"/>
    <s v="TO CLOSE"/>
    <x v="9"/>
    <d v="2020-09-20T00:00:00"/>
    <m/>
    <s v="FUTURE"/>
    <n v="43.02"/>
    <n v="43.02"/>
    <s v="LMT"/>
    <n v="0"/>
    <n v="0"/>
    <s v=""/>
    <n v="259.99999999999801"/>
  </r>
  <r>
    <x v="805"/>
    <x v="80"/>
    <s v="Wednesday"/>
    <d v="1899-12-30T11:13:19"/>
    <s v="FUTURE"/>
    <s v="SELL"/>
    <n v="-1"/>
    <s v="TO OPEN"/>
    <x v="9"/>
    <d v="2020-09-20T00:00:00"/>
    <m/>
    <s v="FUTURE"/>
    <n v="43.24"/>
    <n v="43.24"/>
    <s v="LMT"/>
    <n v="-1"/>
    <n v="-43240"/>
    <n v="43.24"/>
    <s v=""/>
  </r>
  <r>
    <x v="805"/>
    <x v="80"/>
    <s v="Wednesday"/>
    <d v="1899-12-30T11:29:47"/>
    <s v="FUTURE"/>
    <s v="SELL"/>
    <n v="-1"/>
    <s v="TO OPEN"/>
    <x v="9"/>
    <d v="2020-09-20T00:00:00"/>
    <m/>
    <s v="FUTURE"/>
    <n v="43.34"/>
    <n v="43.34"/>
    <s v="LMT"/>
    <n v="-2"/>
    <n v="-86580"/>
    <n v="43.29"/>
    <s v=""/>
  </r>
  <r>
    <x v="805"/>
    <x v="80"/>
    <s v="Wednesday"/>
    <d v="1899-12-30T11:32:15"/>
    <s v="FUTURE"/>
    <s v="BUY"/>
    <n v="1"/>
    <s v="TO CLOSE"/>
    <x v="9"/>
    <d v="2020-09-20T00:00:00"/>
    <m/>
    <s v="FUTURE"/>
    <n v="43.28"/>
    <n v="43.28"/>
    <s v="LMT"/>
    <n v="-1"/>
    <n v="-43300"/>
    <n v="43.3"/>
    <s v=""/>
  </r>
  <r>
    <x v="805"/>
    <x v="80"/>
    <s v="Wednesday"/>
    <d v="1899-12-30T11:36:11"/>
    <s v="FUTURE"/>
    <s v="BUY"/>
    <n v="1"/>
    <s v="TO CLOSE"/>
    <x v="9"/>
    <d v="2020-09-20T00:00:00"/>
    <m/>
    <s v="FUTURE"/>
    <n v="43.18"/>
    <n v="43.18"/>
    <s v="MKT"/>
    <n v="0"/>
    <n v="0"/>
    <s v=""/>
    <n v="119.99999999999744"/>
  </r>
  <r>
    <x v="806"/>
    <x v="80"/>
    <s v="Wednesday"/>
    <d v="1899-12-30T09:30:18"/>
    <s v="FUTURE"/>
    <s v="BUY"/>
    <n v="1"/>
    <s v="TO OPEN"/>
    <x v="7"/>
    <d v="2020-09-20T00:00:00"/>
    <m/>
    <s v="FUTURE"/>
    <n v="3312.25"/>
    <n v="3312.25"/>
    <s v="LMT"/>
    <n v="1"/>
    <n v="165612.5"/>
    <n v="3312.25"/>
    <s v=""/>
  </r>
  <r>
    <x v="806"/>
    <x v="80"/>
    <s v="Wednesday"/>
    <d v="1899-12-30T09:46:38"/>
    <s v="FUTURE"/>
    <s v="SELL"/>
    <n v="-1"/>
    <s v="TO CLOSE"/>
    <x v="7"/>
    <d v="2020-09-20T00:00:00"/>
    <m/>
    <s v="FUTURE"/>
    <n v="3313.25"/>
    <n v="3313.25"/>
    <s v="STP"/>
    <n v="0"/>
    <n v="0"/>
    <s v=""/>
    <n v="50"/>
  </r>
  <r>
    <x v="807"/>
    <x v="80"/>
    <s v="Wednesday"/>
    <d v="1899-12-30T10:38:22"/>
    <s v="STOCK"/>
    <s v="BUY"/>
    <n v="300"/>
    <s v="TO OPEN"/>
    <x v="2"/>
    <m/>
    <m/>
    <s v="STOCK"/>
    <n v="27.094999999999999"/>
    <n v="27.094999999999999"/>
    <s v="MKT"/>
    <n v="300"/>
    <n v="8128.5"/>
    <n v="27.094999999999999"/>
    <s v=""/>
  </r>
  <r>
    <x v="807"/>
    <x v="80"/>
    <s v="Wednesday"/>
    <d v="1899-12-30T10:40:57"/>
    <s v="STOCK"/>
    <s v="SELL"/>
    <n v="-300"/>
    <s v="TO CLOSE"/>
    <x v="2"/>
    <m/>
    <m/>
    <s v="STOCK"/>
    <n v="27.1"/>
    <n v="27.1"/>
    <s v="LMT"/>
    <n v="0"/>
    <n v="0"/>
    <s v=""/>
    <n v="1.5000000000007674"/>
  </r>
  <r>
    <x v="808"/>
    <x v="80"/>
    <s v="Wednesday"/>
    <d v="1899-12-30T11:08:27"/>
    <s v="STOCK"/>
    <s v="BUY"/>
    <n v="400"/>
    <s v="TO OPEN"/>
    <x v="2"/>
    <m/>
    <m/>
    <s v="STOCK"/>
    <n v="27.317699999999999"/>
    <n v="27.317699999999999"/>
    <s v="LMT"/>
    <n v="400"/>
    <n v="10927.08"/>
    <n v="27.317699999999999"/>
    <s v=""/>
  </r>
  <r>
    <x v="808"/>
    <x v="80"/>
    <s v="Wednesday"/>
    <d v="1899-12-30T11:33:30"/>
    <s v="STOCK"/>
    <s v="SELL"/>
    <n v="-200"/>
    <s v="TO CLOSE"/>
    <x v="2"/>
    <m/>
    <m/>
    <s v="STOCK"/>
    <n v="27.400099999999998"/>
    <n v="27.400099999999998"/>
    <s v="MKT"/>
    <n v="200"/>
    <n v="5447.06"/>
    <n v="27.235300000000002"/>
    <s v=""/>
  </r>
  <r>
    <x v="808"/>
    <x v="80"/>
    <s v="Wednesday"/>
    <d v="1899-12-30T11:36:18"/>
    <s v="STOCK"/>
    <s v="SELL"/>
    <n v="-200"/>
    <s v="TO CLOSE"/>
    <x v="2"/>
    <m/>
    <m/>
    <s v="STOCK"/>
    <n v="27.375"/>
    <n v="27.375"/>
    <s v="MKT"/>
    <n v="0"/>
    <n v="0"/>
    <s v=""/>
    <n v="27.939999999999543"/>
  </r>
  <r>
    <x v="809"/>
    <x v="81"/>
    <s v="Thursday"/>
    <d v="1899-12-30T09:31:26"/>
    <s v="FUTURE"/>
    <s v="BUY"/>
    <n v="1"/>
    <s v="TO OPEN"/>
    <x v="9"/>
    <d v="2020-09-20T00:00:00"/>
    <m/>
    <s v="FUTURE"/>
    <n v="42.57"/>
    <n v="42.57"/>
    <s v="MKT"/>
    <n v="1"/>
    <n v="42570"/>
    <n v="42.57"/>
    <s v=""/>
  </r>
  <r>
    <x v="809"/>
    <x v="81"/>
    <s v="Thursday"/>
    <d v="1899-12-30T09:34:18"/>
    <s v="FUTURE"/>
    <s v="SELL"/>
    <n v="-1"/>
    <s v="TO CLOSE"/>
    <x v="9"/>
    <d v="2020-09-20T00:00:00"/>
    <m/>
    <s v="FUTURE"/>
    <n v="42.62"/>
    <n v="42.62"/>
    <s v="LMT"/>
    <n v="0"/>
    <n v="0"/>
    <s v=""/>
    <n v="49.999999999997158"/>
  </r>
  <r>
    <x v="810"/>
    <x v="81"/>
    <s v="Thursday"/>
    <d v="1899-12-30T10:45:16"/>
    <s v="FUTURE"/>
    <s v="BUY"/>
    <n v="1"/>
    <s v="TO OPEN"/>
    <x v="9"/>
    <d v="2020-09-20T00:00:00"/>
    <m/>
    <s v="FUTURE"/>
    <n v="42"/>
    <n v="42"/>
    <s v="MKT"/>
    <n v="1"/>
    <n v="42000"/>
    <n v="42"/>
    <s v=""/>
  </r>
  <r>
    <x v="810"/>
    <x v="81"/>
    <s v="Thursday"/>
    <d v="1899-12-30T10:47:05"/>
    <s v="FUTURE"/>
    <s v="SELL"/>
    <n v="-1"/>
    <s v="TO CLOSE"/>
    <x v="9"/>
    <d v="2020-09-20T00:00:00"/>
    <m/>
    <s v="FUTURE"/>
    <n v="42.05"/>
    <n v="42.05"/>
    <s v="LMT"/>
    <n v="0"/>
    <n v="0"/>
    <s v=""/>
    <n v="49.999999999997158"/>
  </r>
  <r>
    <x v="811"/>
    <x v="81"/>
    <s v="Thursday"/>
    <d v="1899-12-30T09:32:01"/>
    <s v="FUTURE"/>
    <s v="BUY"/>
    <n v="1"/>
    <s v="TO OPEN"/>
    <x v="7"/>
    <d v="2020-09-20T00:00:00"/>
    <m/>
    <s v="FUTURE"/>
    <n v="3317.5"/>
    <n v="3317.5"/>
    <s v="MKT"/>
    <n v="1"/>
    <n v="165875"/>
    <n v="3317.5"/>
    <s v=""/>
  </r>
  <r>
    <x v="811"/>
    <x v="81"/>
    <s v="Thursday"/>
    <d v="1899-12-30T09:33:39"/>
    <s v="FUTURE"/>
    <s v="SELL"/>
    <n v="-1"/>
    <s v="TO CLOSE"/>
    <x v="7"/>
    <d v="2020-09-20T00:00:00"/>
    <m/>
    <s v="FUTURE"/>
    <n v="3318.25"/>
    <n v="3318.25"/>
    <s v="LMT"/>
    <n v="0"/>
    <n v="0"/>
    <s v=""/>
    <n v="37.5"/>
  </r>
  <r>
    <x v="812"/>
    <x v="81"/>
    <s v="Thursday"/>
    <d v="1899-12-30T09:40:18"/>
    <s v="FUTURE"/>
    <s v="BUY"/>
    <n v="1"/>
    <s v="TO OPEN"/>
    <x v="7"/>
    <d v="2020-09-20T00:00:00"/>
    <m/>
    <s v="FUTURE"/>
    <n v="3315.25"/>
    <n v="3315.25"/>
    <s v="MKT"/>
    <n v="1"/>
    <n v="165762.5"/>
    <n v="3315.25"/>
    <s v=""/>
  </r>
  <r>
    <x v="812"/>
    <x v="81"/>
    <s v="Thursday"/>
    <d v="1899-12-30T09:53:24"/>
    <s v="FUTURE"/>
    <s v="SELL"/>
    <n v="-1"/>
    <s v="TO CLOSE"/>
    <x v="7"/>
    <d v="2020-09-20T00:00:00"/>
    <m/>
    <s v="FUTURE"/>
    <n v="3316.25"/>
    <n v="3316.25"/>
    <s v="LMT"/>
    <n v="0"/>
    <n v="0"/>
    <s v=""/>
    <n v="50"/>
  </r>
  <r>
    <x v="813"/>
    <x v="81"/>
    <s v="Thursday"/>
    <d v="1899-12-30T10:33:36"/>
    <s v="FUTURE"/>
    <s v="SELL"/>
    <n v="-1"/>
    <s v="TO OPEN"/>
    <x v="7"/>
    <d v="2020-09-20T00:00:00"/>
    <m/>
    <s v="FUTURE"/>
    <n v="3324"/>
    <n v="3324"/>
    <s v="MKT"/>
    <n v="-1"/>
    <n v="-166200"/>
    <n v="3324"/>
    <s v=""/>
  </r>
  <r>
    <x v="813"/>
    <x v="81"/>
    <s v="Thursday"/>
    <d v="1899-12-30T10:37:14"/>
    <s v="FUTURE"/>
    <s v="BUY"/>
    <n v="1"/>
    <s v="TO CLOSE"/>
    <x v="7"/>
    <d v="2020-09-20T00:00:00"/>
    <m/>
    <s v="FUTURE"/>
    <n v="3321.75"/>
    <n v="3321.75"/>
    <s v="LMT"/>
    <n v="0"/>
    <n v="0"/>
    <s v=""/>
    <n v="112.5"/>
  </r>
  <r>
    <x v="814"/>
    <x v="81"/>
    <s v="Thursday"/>
    <d v="1899-12-30T15:13:03"/>
    <s v="FUTURE"/>
    <s v="SELL"/>
    <n v="-1"/>
    <s v="TO OPEN"/>
    <x v="7"/>
    <d v="2020-09-20T00:00:00"/>
    <m/>
    <s v="FUTURE"/>
    <n v="3339.25"/>
    <n v="3339.25"/>
    <s v="LMT"/>
    <n v="-1"/>
    <n v="-166962.5"/>
    <n v="3339.25"/>
    <s v=""/>
  </r>
  <r>
    <x v="814"/>
    <x v="81"/>
    <s v="Thursday"/>
    <d v="1899-12-30T15:26:36"/>
    <s v="FUTURE"/>
    <s v="BUY"/>
    <n v="1"/>
    <s v="TO CLOSE"/>
    <x v="7"/>
    <d v="2020-09-20T00:00:00"/>
    <m/>
    <s v="FUTURE"/>
    <n v="3338.25"/>
    <n v="3338.25"/>
    <s v="LMT"/>
    <n v="0"/>
    <n v="0"/>
    <s v=""/>
    <n v="50"/>
  </r>
  <r>
    <x v="815"/>
    <x v="82"/>
    <s v="Friday"/>
    <d v="1899-12-30T10:09:23"/>
    <s v="FUTURE"/>
    <s v="BUY"/>
    <n v="1"/>
    <s v="TO OPEN"/>
    <x v="9"/>
    <d v="2020-09-20T00:00:00"/>
    <m/>
    <s v="FUTURE"/>
    <n v="41.34"/>
    <n v="41.34"/>
    <s v="LMT"/>
    <n v="1"/>
    <n v="41340"/>
    <n v="41.34"/>
    <s v=""/>
  </r>
  <r>
    <x v="815"/>
    <x v="82"/>
    <s v="Friday"/>
    <d v="1899-12-30T10:17:33"/>
    <s v="FUTURE"/>
    <s v="SELL"/>
    <n v="-1"/>
    <s v="TO CLOSE"/>
    <x v="9"/>
    <d v="2020-09-20T00:00:00"/>
    <m/>
    <s v="FUTURE"/>
    <n v="41.38"/>
    <n v="41.38"/>
    <s v="LMT"/>
    <n v="0"/>
    <n v="0"/>
    <s v=""/>
    <n v="39.999999999999147"/>
  </r>
  <r>
    <x v="816"/>
    <x v="82"/>
    <s v="Friday"/>
    <d v="1899-12-30T10:27:20"/>
    <s v="FUTURE"/>
    <s v="BUY"/>
    <n v="2"/>
    <s v="TO OPEN"/>
    <x v="9"/>
    <d v="2020-09-20T00:00:00"/>
    <m/>
    <s v="FUTURE"/>
    <n v="41.35"/>
    <n v="41.35"/>
    <s v="MKT"/>
    <n v="2"/>
    <n v="82700"/>
    <n v="41.35"/>
    <s v=""/>
  </r>
  <r>
    <x v="816"/>
    <x v="82"/>
    <s v="Friday"/>
    <d v="1899-12-30T10:34:49"/>
    <s v="FUTURE"/>
    <s v="BUY"/>
    <n v="1"/>
    <s v="TO OPEN"/>
    <x v="9"/>
    <d v="2020-09-20T00:00:00"/>
    <m/>
    <s v="FUTURE"/>
    <n v="41.51"/>
    <n v="41.51"/>
    <s v="STP"/>
    <n v="3"/>
    <n v="124210"/>
    <n v="41.403333333333336"/>
    <s v=""/>
  </r>
  <r>
    <x v="816"/>
    <x v="82"/>
    <s v="Friday"/>
    <d v="1899-12-30T10:44:46"/>
    <s v="FUTURE"/>
    <s v="SELL"/>
    <n v="-1"/>
    <s v="TO CLOSE"/>
    <x v="9"/>
    <d v="2020-09-20T00:00:00"/>
    <m/>
    <s v="FUTURE"/>
    <n v="41.45"/>
    <n v="41.45"/>
    <s v="LMT"/>
    <n v="2"/>
    <n v="82760"/>
    <n v="41.38"/>
    <s v=""/>
  </r>
  <r>
    <x v="816"/>
    <x v="82"/>
    <s v="Friday"/>
    <d v="1899-12-30T10:57:29"/>
    <s v="FUTURE"/>
    <s v="SELL"/>
    <n v="-2"/>
    <s v="TO CLOSE"/>
    <x v="9"/>
    <d v="2020-09-20T00:00:00"/>
    <m/>
    <s v="FUTURE"/>
    <n v="41.39"/>
    <n v="41.39"/>
    <s v="STP"/>
    <n v="0"/>
    <n v="0"/>
    <s v=""/>
    <n v="19.999999999996021"/>
  </r>
  <r>
    <x v="817"/>
    <x v="82"/>
    <s v="Friday"/>
    <d v="1899-12-30T11:08:43"/>
    <s v="FUTURE"/>
    <s v="BUY"/>
    <n v="3"/>
    <s v="TO OPEN"/>
    <x v="9"/>
    <d v="2020-09-20T00:00:00"/>
    <m/>
    <s v="FUTURE"/>
    <n v="41.44"/>
    <n v="41.44"/>
    <s v="MKT"/>
    <n v="3"/>
    <n v="124320"/>
    <n v="41.44"/>
    <s v=""/>
  </r>
  <r>
    <x v="817"/>
    <x v="82"/>
    <s v="Friday"/>
    <d v="1899-12-30T14:29:37"/>
    <s v="FUTURE"/>
    <s v="SELL"/>
    <n v="-3"/>
    <s v="TO CLOSE"/>
    <x v="9"/>
    <d v="2020-09-20T00:00:00"/>
    <m/>
    <s v="FUTURE"/>
    <n v="41.17"/>
    <n v="41.17"/>
    <s v="LMT"/>
    <n v="0"/>
    <n v="0"/>
    <s v=""/>
    <n v="-809.99999999998806"/>
  </r>
  <r>
    <x v="818"/>
    <x v="82"/>
    <s v="Friday"/>
    <d v="1899-12-30T10:25:03"/>
    <s v="FUTURE"/>
    <s v="SELL"/>
    <n v="-3"/>
    <s v="TO OPEN"/>
    <x v="8"/>
    <d v="2020-09-20T00:00:00"/>
    <m/>
    <s v="FUTURE"/>
    <n v="3333.5"/>
    <n v="3333.5"/>
    <s v="LMT"/>
    <n v="-3"/>
    <n v="-50002.5"/>
    <n v="3333.5"/>
    <s v=""/>
  </r>
  <r>
    <x v="818"/>
    <x v="82"/>
    <s v="Friday"/>
    <d v="1899-12-30T10:30:13"/>
    <s v="FUTURE"/>
    <s v="BUY"/>
    <n v="3"/>
    <s v="TO CLOSE"/>
    <x v="8"/>
    <d v="2020-09-20T00:00:00"/>
    <m/>
    <s v="FUTURE"/>
    <n v="3337.5"/>
    <n v="3337.5"/>
    <s v="STP"/>
    <n v="0"/>
    <n v="0"/>
    <s v=""/>
    <n v="-60"/>
  </r>
  <r>
    <x v="819"/>
    <x v="82"/>
    <s v="Friday"/>
    <d v="1899-12-30T10:37:23"/>
    <s v="FUTURE"/>
    <s v="BUY"/>
    <n v="2"/>
    <s v="TO OPEN"/>
    <x v="8"/>
    <d v="2020-09-20T00:00:00"/>
    <m/>
    <s v="FUTURE"/>
    <n v="3341.25"/>
    <n v="3341.25"/>
    <s v="MKT"/>
    <n v="2"/>
    <n v="33412.5"/>
    <n v="3341.25"/>
    <s v=""/>
  </r>
  <r>
    <x v="819"/>
    <x v="82"/>
    <s v="Friday"/>
    <d v="1899-12-30T10:58:42"/>
    <s v="FUTURE"/>
    <s v="SELL"/>
    <n v="-2"/>
    <s v="TO CLOSE"/>
    <x v="8"/>
    <d v="2020-09-20T00:00:00"/>
    <m/>
    <s v="FUTURE"/>
    <n v="3342.5"/>
    <n v="3342.5"/>
    <s v="LMT"/>
    <n v="0"/>
    <n v="0"/>
    <s v=""/>
    <n v="12.5"/>
  </r>
  <r>
    <x v="820"/>
    <x v="82"/>
    <s v="Friday"/>
    <d v="1899-12-30T11:04:03"/>
    <s v="FUTURE"/>
    <s v="SELL"/>
    <n v="-4"/>
    <s v="TO OPEN"/>
    <x v="8"/>
    <d v="2020-09-20T00:00:00"/>
    <m/>
    <s v="FUTURE"/>
    <n v="3342.25"/>
    <n v="3342.25"/>
    <s v="LMT"/>
    <n v="-4"/>
    <n v="-66845"/>
    <n v="3342.25"/>
    <s v=""/>
  </r>
  <r>
    <x v="820"/>
    <x v="82"/>
    <s v="Friday"/>
    <d v="1899-12-30T11:08:35"/>
    <s v="FUTURE"/>
    <s v="BUY"/>
    <n v="4"/>
    <s v="TO CLOSE"/>
    <x v="8"/>
    <d v="2020-09-20T00:00:00"/>
    <m/>
    <s v="FUTURE"/>
    <n v="3344.25"/>
    <n v="3344.25"/>
    <s v="STP"/>
    <n v="0"/>
    <n v="0"/>
    <s v=""/>
    <n v="-40"/>
  </r>
  <r>
    <x v="821"/>
    <x v="82"/>
    <s v="Friday"/>
    <d v="1899-12-30T11:34:25"/>
    <s v="FUTURE"/>
    <s v="BUY"/>
    <n v="2"/>
    <s v="TO OPEN"/>
    <x v="8"/>
    <d v="2020-09-20T00:00:00"/>
    <m/>
    <s v="FUTURE"/>
    <n v="3340.5"/>
    <n v="3340.5"/>
    <s v="MKT"/>
    <n v="2"/>
    <n v="33405"/>
    <n v="3340.5"/>
    <s v=""/>
  </r>
  <r>
    <x v="821"/>
    <x v="82"/>
    <s v="Friday"/>
    <d v="1899-12-30T11:57:52"/>
    <s v="FUTURE"/>
    <s v="SELL"/>
    <n v="-2"/>
    <s v="TO CLOSE"/>
    <x v="8"/>
    <d v="2020-09-20T00:00:00"/>
    <m/>
    <s v="FUTURE"/>
    <n v="3335.25"/>
    <n v="3335.25"/>
    <s v="STP"/>
    <n v="0"/>
    <n v="0"/>
    <s v=""/>
    <n v="-52.5"/>
  </r>
  <r>
    <x v="822"/>
    <x v="83"/>
    <s v="Monday"/>
    <d v="1899-12-30T09:23:55"/>
    <s v="FUTURE"/>
    <s v="BUY"/>
    <n v="2"/>
    <s v="TO OPEN"/>
    <x v="9"/>
    <d v="2020-09-20T00:00:00"/>
    <m/>
    <s v="FUTURE"/>
    <n v="41.91"/>
    <n v="41.91"/>
    <s v="LMT"/>
    <n v="2"/>
    <n v="83820"/>
    <n v="41.91"/>
    <s v=""/>
  </r>
  <r>
    <x v="822"/>
    <x v="83"/>
    <s v="Monday"/>
    <d v="1899-12-30T09:31:30"/>
    <s v="FUTURE"/>
    <s v="SELL"/>
    <n v="-1"/>
    <s v="TO CLOSE"/>
    <x v="9"/>
    <d v="2020-09-20T00:00:00"/>
    <m/>
    <s v="FUTURE"/>
    <n v="42.07"/>
    <n v="42.07"/>
    <s v="LMT"/>
    <n v="1"/>
    <n v="41750"/>
    <n v="41.75"/>
    <s v=""/>
  </r>
  <r>
    <x v="822"/>
    <x v="83"/>
    <s v="Monday"/>
    <d v="1899-12-30T09:33:38"/>
    <s v="FUTURE"/>
    <s v="SELL"/>
    <n v="-1"/>
    <s v="TO CLOSE"/>
    <x v="9"/>
    <d v="2020-09-20T00:00:00"/>
    <m/>
    <s v="FUTURE"/>
    <n v="42.1"/>
    <n v="42.1"/>
    <s v="LMT"/>
    <n v="0"/>
    <n v="0"/>
    <s v=""/>
    <n v="350.00000000000142"/>
  </r>
  <r>
    <x v="823"/>
    <x v="83"/>
    <s v="Monday"/>
    <d v="1899-12-30T09:58:17"/>
    <s v="FUTURE"/>
    <s v="BUY"/>
    <n v="2"/>
    <s v="TO OPEN"/>
    <x v="9"/>
    <d v="2020-09-20T00:00:00"/>
    <m/>
    <s v="FUTURE"/>
    <n v="42.07"/>
    <n v="42.07"/>
    <s v="LMT"/>
    <n v="2"/>
    <n v="84140"/>
    <n v="42.07"/>
    <s v=""/>
  </r>
  <r>
    <x v="823"/>
    <x v="83"/>
    <s v="Monday"/>
    <d v="1899-12-30T10:08:25"/>
    <s v="FUTURE"/>
    <s v="SELL"/>
    <n v="-1"/>
    <s v="TO CLOSE"/>
    <x v="9"/>
    <d v="2020-09-20T00:00:00"/>
    <m/>
    <s v="FUTURE"/>
    <n v="42.15"/>
    <n v="42.15"/>
    <s v="LMT"/>
    <n v="1"/>
    <n v="41990"/>
    <n v="41.99"/>
    <s v=""/>
  </r>
  <r>
    <x v="823"/>
    <x v="83"/>
    <s v="Monday"/>
    <d v="1899-12-30T10:09:59"/>
    <s v="FUTURE"/>
    <s v="SELL"/>
    <n v="-1"/>
    <s v="TO CLOSE"/>
    <x v="9"/>
    <d v="2020-09-20T00:00:00"/>
    <m/>
    <s v="FUTURE"/>
    <n v="42.1"/>
    <n v="42.1"/>
    <s v="LMT"/>
    <n v="0"/>
    <n v="0"/>
    <s v=""/>
    <n v="109.99999999999943"/>
  </r>
  <r>
    <x v="824"/>
    <x v="83"/>
    <s v="Monday"/>
    <d v="1899-12-30T10:36:31"/>
    <s v="FUTURE"/>
    <s v="BUY"/>
    <n v="1"/>
    <s v="TO OPEN"/>
    <x v="9"/>
    <d v="2020-09-20T00:00:00"/>
    <m/>
    <s v="FUTURE"/>
    <n v="42.07"/>
    <n v="42.07"/>
    <s v="MKT"/>
    <n v="1"/>
    <n v="42070"/>
    <n v="42.07"/>
    <s v=""/>
  </r>
  <r>
    <x v="824"/>
    <x v="83"/>
    <s v="Monday"/>
    <d v="1899-12-30T10:46:18"/>
    <s v="FUTURE"/>
    <s v="BUY"/>
    <n v="1"/>
    <s v="TO OPEN"/>
    <x v="9"/>
    <d v="2020-09-20T00:00:00"/>
    <m/>
    <s v="FUTURE"/>
    <n v="42"/>
    <n v="42"/>
    <s v="MKT"/>
    <n v="2"/>
    <n v="84070"/>
    <n v="42.034999999999997"/>
    <s v=""/>
  </r>
  <r>
    <x v="824"/>
    <x v="83"/>
    <s v="Monday"/>
    <d v="1899-12-30T11:47:26"/>
    <s v="FUTURE"/>
    <s v="SELL"/>
    <n v="-1"/>
    <s v="TO CLOSE"/>
    <x v="9"/>
    <d v="2020-09-20T00:00:00"/>
    <m/>
    <s v="FUTURE"/>
    <n v="42.06"/>
    <n v="42.06"/>
    <s v="LMT"/>
    <n v="1"/>
    <n v="42010"/>
    <n v="42.01"/>
    <s v=""/>
  </r>
  <r>
    <x v="824"/>
    <x v="83"/>
    <s v="Monday"/>
    <d v="1899-12-30T12:17:03"/>
    <s v="FUTURE"/>
    <s v="SELL"/>
    <n v="-1"/>
    <s v="TO CLOSE"/>
    <x v="9"/>
    <d v="2020-09-20T00:00:00"/>
    <m/>
    <s v="FUTURE"/>
    <n v="42.09"/>
    <n v="42.09"/>
    <s v="LMT"/>
    <n v="0"/>
    <n v="0"/>
    <s v=""/>
    <n v="80.0000000000054"/>
  </r>
  <r>
    <x v="825"/>
    <x v="83"/>
    <s v="Monday"/>
    <d v="1899-12-30T09:27:59"/>
    <s v="FUTURE"/>
    <s v="BUY"/>
    <n v="3"/>
    <s v="TO OPEN"/>
    <x v="8"/>
    <d v="2020-09-20T00:00:00"/>
    <m/>
    <s v="FUTURE"/>
    <n v="3350"/>
    <n v="3350"/>
    <s v="MKT"/>
    <n v="3"/>
    <n v="50250"/>
    <n v="3350"/>
    <s v=""/>
  </r>
  <r>
    <x v="825"/>
    <x v="83"/>
    <s v="Monday"/>
    <d v="1899-12-30T09:45:48"/>
    <s v="FUTURE"/>
    <s v="BUY"/>
    <n v="1"/>
    <s v="TO OPEN"/>
    <x v="8"/>
    <d v="2020-09-20T00:00:00"/>
    <m/>
    <s v="FUTURE"/>
    <n v="3354"/>
    <n v="3354"/>
    <s v="LMT"/>
    <n v="4"/>
    <n v="67020"/>
    <n v="3351"/>
    <s v=""/>
  </r>
  <r>
    <x v="825"/>
    <x v="83"/>
    <s v="Monday"/>
    <d v="1899-12-30T09:45:48"/>
    <s v="FUTURE"/>
    <s v="BUY"/>
    <n v="2"/>
    <s v="TO OPEN"/>
    <x v="8"/>
    <d v="2020-09-20T00:00:00"/>
    <m/>
    <s v="FUTURE"/>
    <n v="3354"/>
    <n v="3354"/>
    <s v="LMT"/>
    <n v="6"/>
    <n v="100560"/>
    <n v="3352"/>
    <s v=""/>
  </r>
  <r>
    <x v="825"/>
    <x v="83"/>
    <s v="Monday"/>
    <d v="1899-12-30T11:00:17"/>
    <s v="FUTURE"/>
    <s v="BUY"/>
    <n v="3"/>
    <s v="TO OPEN"/>
    <x v="8"/>
    <d v="2020-09-20T00:00:00"/>
    <m/>
    <s v="FUTURE"/>
    <n v="3331.25"/>
    <n v="3331.25"/>
    <s v="MKT"/>
    <n v="9"/>
    <n v="150528.75"/>
    <n v="3345.0833333333335"/>
    <s v=""/>
  </r>
  <r>
    <x v="825"/>
    <x v="83"/>
    <s v="Monday"/>
    <d v="1899-12-30T11:08:24"/>
    <s v="FUTURE"/>
    <s v="SELL"/>
    <n v="-3"/>
    <s v="TO CLOSE"/>
    <x v="8"/>
    <d v="2020-09-20T00:00:00"/>
    <m/>
    <s v="FUTURE"/>
    <n v="3337.5"/>
    <n v="3337.5"/>
    <s v="LMT"/>
    <n v="6"/>
    <n v="100466.25"/>
    <n v="3348.875"/>
    <s v=""/>
  </r>
  <r>
    <x v="825"/>
    <x v="83"/>
    <s v="Monday"/>
    <d v="1899-12-30T12:54:19"/>
    <s v="FUTURE"/>
    <s v="SELL"/>
    <n v="-3"/>
    <s v="TO CLOSE"/>
    <x v="8"/>
    <d v="2020-09-20T00:00:00"/>
    <m/>
    <s v="FUTURE"/>
    <n v="3350.5"/>
    <n v="3350.5"/>
    <s v="MKT"/>
    <n v="3"/>
    <n v="50208.75"/>
    <n v="3347.25"/>
    <s v=""/>
  </r>
  <r>
    <x v="825"/>
    <x v="83"/>
    <s v="Monday"/>
    <d v="1899-12-30T12:56:18"/>
    <s v="FUTURE"/>
    <s v="SELL"/>
    <n v="-3"/>
    <s v="TO CLOSE"/>
    <x v="8"/>
    <d v="2020-09-20T00:00:00"/>
    <m/>
    <s v="FUTURE"/>
    <n v="3350.5"/>
    <n v="3350.5"/>
    <s v="LMT"/>
    <n v="0"/>
    <n v="0"/>
    <s v=""/>
    <n v="48.75"/>
  </r>
  <r>
    <x v="826"/>
    <x v="84"/>
    <s v="Tuesday"/>
    <d v="1899-12-30T09:34:07"/>
    <s v="FUTURE"/>
    <s v="SELL"/>
    <n v="-2"/>
    <s v="TO OPEN"/>
    <x v="9"/>
    <d v="2020-09-20T00:00:00"/>
    <m/>
    <s v="FUTURE"/>
    <n v="42.65"/>
    <n v="42.65"/>
    <s v="MKT"/>
    <n v="-2"/>
    <n v="-85300"/>
    <n v="42.65"/>
    <s v=""/>
  </r>
  <r>
    <x v="826"/>
    <x v="84"/>
    <s v="Tuesday"/>
    <d v="1899-12-30T09:35:11"/>
    <s v="FUTURE"/>
    <s v="BUY"/>
    <n v="1"/>
    <s v="TO CLOSE"/>
    <x v="9"/>
    <d v="2020-09-20T00:00:00"/>
    <m/>
    <s v="FUTURE"/>
    <n v="42.55"/>
    <n v="42.55"/>
    <s v="LMT"/>
    <n v="-1"/>
    <n v="-42750"/>
    <n v="42.75"/>
    <s v=""/>
  </r>
  <r>
    <x v="826"/>
    <x v="84"/>
    <s v="Tuesday"/>
    <d v="1899-12-30T09:55:24"/>
    <s v="FUTURE"/>
    <s v="BUY"/>
    <n v="1"/>
    <s v="TO CLOSE"/>
    <x v="9"/>
    <d v="2020-09-20T00:00:00"/>
    <m/>
    <s v="FUTURE"/>
    <n v="42.58"/>
    <n v="42.58"/>
    <s v="LMT"/>
    <n v="0"/>
    <n v="0"/>
    <s v=""/>
    <n v="170.00000000000171"/>
  </r>
  <r>
    <x v="827"/>
    <x v="84"/>
    <s v="Tuesday"/>
    <d v="1899-12-30T10:16:50"/>
    <s v="FUTURE"/>
    <s v="BUY"/>
    <n v="1"/>
    <s v="TO OPEN"/>
    <x v="9"/>
    <d v="2020-09-20T00:00:00"/>
    <m/>
    <s v="FUTURE"/>
    <n v="42.39"/>
    <n v="42.39"/>
    <s v="MKT"/>
    <n v="1"/>
    <n v="42390"/>
    <n v="42.39"/>
    <s v=""/>
  </r>
  <r>
    <x v="827"/>
    <x v="84"/>
    <s v="Tuesday"/>
    <d v="1899-12-30T10:18:00"/>
    <s v="FUTURE"/>
    <s v="SELL"/>
    <n v="-1"/>
    <s v="TO CLOSE"/>
    <x v="9"/>
    <d v="2020-09-20T00:00:00"/>
    <m/>
    <s v="FUTURE"/>
    <n v="42.44"/>
    <n v="42.44"/>
    <s v="LMT"/>
    <n v="0"/>
    <n v="0"/>
    <s v=""/>
    <n v="49.999999999997158"/>
  </r>
  <r>
    <x v="828"/>
    <x v="84"/>
    <s v="Tuesday"/>
    <d v="1899-12-30T10:24:24"/>
    <s v="FUTURE"/>
    <s v="BUY"/>
    <n v="1"/>
    <s v="TO OPEN"/>
    <x v="9"/>
    <d v="2020-09-20T00:00:00"/>
    <m/>
    <s v="FUTURE"/>
    <n v="42.41"/>
    <n v="42.41"/>
    <s v="MKT"/>
    <n v="1"/>
    <n v="42410"/>
    <n v="42.41"/>
    <s v=""/>
  </r>
  <r>
    <x v="828"/>
    <x v="84"/>
    <s v="Tuesday"/>
    <d v="1899-12-30T10:28:23"/>
    <s v="FUTURE"/>
    <s v="BUY"/>
    <n v="1"/>
    <s v="TO OPEN"/>
    <x v="9"/>
    <d v="2020-09-20T00:00:00"/>
    <m/>
    <s v="FUTURE"/>
    <n v="42.48"/>
    <n v="42.48"/>
    <s v="STP"/>
    <n v="2"/>
    <n v="84890"/>
    <n v="42.445"/>
    <s v=""/>
  </r>
  <r>
    <x v="828"/>
    <x v="84"/>
    <s v="Tuesday"/>
    <d v="1899-12-30T10:29:10"/>
    <s v="FUTURE"/>
    <s v="SELL"/>
    <n v="-1"/>
    <s v="TO CLOSE"/>
    <x v="9"/>
    <d v="2020-09-20T00:00:00"/>
    <m/>
    <s v="FUTURE"/>
    <n v="42.49"/>
    <n v="42.49"/>
    <s v="LMT"/>
    <n v="1"/>
    <n v="42400"/>
    <n v="42.4"/>
    <s v=""/>
  </r>
  <r>
    <x v="828"/>
    <x v="84"/>
    <s v="Tuesday"/>
    <d v="1899-12-30T10:39:47"/>
    <s v="FUTURE"/>
    <s v="BUY"/>
    <n v="1"/>
    <s v="TO OPEN"/>
    <x v="9"/>
    <d v="2020-09-20T00:00:00"/>
    <m/>
    <s v="FUTURE"/>
    <n v="42.51"/>
    <n v="42.51"/>
    <s v="STP"/>
    <n v="2"/>
    <n v="84910"/>
    <n v="42.454999999999998"/>
    <s v=""/>
  </r>
  <r>
    <x v="828"/>
    <x v="84"/>
    <s v="Tuesday"/>
    <d v="1899-12-30T10:41:29"/>
    <s v="FUTURE"/>
    <s v="SELL"/>
    <n v="-1"/>
    <s v="TO CLOSE"/>
    <x v="9"/>
    <d v="2020-09-20T00:00:00"/>
    <m/>
    <s v="FUTURE"/>
    <n v="42.53"/>
    <n v="42.53"/>
    <s v="LMT"/>
    <n v="1"/>
    <n v="42380"/>
    <n v="42.38"/>
    <s v=""/>
  </r>
  <r>
    <x v="828"/>
    <x v="84"/>
    <s v="Tuesday"/>
    <d v="1899-12-30T10:48:22"/>
    <s v="FUTURE"/>
    <s v="BUY"/>
    <n v="1"/>
    <s v="TO OPEN"/>
    <x v="9"/>
    <d v="2020-09-20T00:00:00"/>
    <m/>
    <s v="FUTURE"/>
    <n v="42.5"/>
    <n v="42.5"/>
    <s v="MKT"/>
    <n v="2"/>
    <n v="84880"/>
    <n v="42.44"/>
    <s v=""/>
  </r>
  <r>
    <x v="828"/>
    <x v="84"/>
    <s v="Tuesday"/>
    <d v="1899-12-30T13:36:44"/>
    <s v="FUTURE"/>
    <s v="BUY"/>
    <n v="1"/>
    <s v="TO OPEN"/>
    <x v="9"/>
    <d v="2020-09-20T00:00:00"/>
    <m/>
    <s v="FUTURE"/>
    <n v="41.87"/>
    <n v="41.87"/>
    <s v="MKT"/>
    <n v="3"/>
    <n v="126750"/>
    <n v="42.25"/>
    <s v=""/>
  </r>
  <r>
    <x v="828"/>
    <x v="84"/>
    <s v="Tuesday"/>
    <d v="1899-12-30T15:18:33"/>
    <s v="FUTURE"/>
    <s v="SELL"/>
    <n v="-3"/>
    <s v="TO CLOSE"/>
    <x v="9"/>
    <d v="2020-09-20T00:00:00"/>
    <m/>
    <s v="FUTURE"/>
    <n v="41.6"/>
    <n v="41.6"/>
    <s v="STP"/>
    <n v="0"/>
    <n v="0"/>
    <s v=""/>
    <n v="-1949.9999999999957"/>
  </r>
  <r>
    <x v="829"/>
    <x v="84"/>
    <s v="Tuesday"/>
    <d v="1899-12-30T09:45:23"/>
    <s v="FUTURE"/>
    <s v="BUY"/>
    <n v="5"/>
    <s v="TO OPEN"/>
    <x v="8"/>
    <d v="2020-09-20T00:00:00"/>
    <m/>
    <s v="FUTURE"/>
    <n v="3370.75"/>
    <n v="3370.75"/>
    <s v="MKT"/>
    <n v="5"/>
    <n v="84268.75"/>
    <n v="3370.75"/>
    <s v=""/>
  </r>
  <r>
    <x v="829"/>
    <x v="84"/>
    <s v="Tuesday"/>
    <d v="1899-12-30T09:58:45"/>
    <s v="FUTURE"/>
    <s v="BUY"/>
    <n v="3"/>
    <s v="TO OPEN"/>
    <x v="8"/>
    <d v="2020-09-20T00:00:00"/>
    <m/>
    <s v="FUTURE"/>
    <n v="3366.25"/>
    <n v="3366.25"/>
    <s v="MKT"/>
    <n v="8"/>
    <n v="134762.5"/>
    <n v="3369.0625"/>
    <s v=""/>
  </r>
  <r>
    <x v="829"/>
    <x v="84"/>
    <s v="Tuesday"/>
    <d v="1899-12-30T12:40:42"/>
    <s v="FUTURE"/>
    <s v="SELL"/>
    <n v="-2"/>
    <s v="TO CLOSE"/>
    <x v="8"/>
    <d v="2020-09-20T00:00:00"/>
    <m/>
    <s v="FUTURE"/>
    <n v="3369.75"/>
    <n v="3369.75"/>
    <s v="MKT"/>
    <n v="6"/>
    <n v="101065"/>
    <n v="3368.8333333333335"/>
    <s v=""/>
  </r>
  <r>
    <x v="829"/>
    <x v="84"/>
    <s v="Tuesday"/>
    <d v="1899-12-30T13:23:38"/>
    <s v="FUTURE"/>
    <s v="SELL"/>
    <n v="-1"/>
    <s v="TO CLOSE"/>
    <x v="8"/>
    <d v="2020-09-20T00:00:00"/>
    <m/>
    <s v="FUTURE"/>
    <n v="3373.75"/>
    <n v="3373.75"/>
    <s v="LMT"/>
    <n v="5"/>
    <n v="84196.25"/>
    <n v="3367.85"/>
    <s v=""/>
  </r>
  <r>
    <x v="829"/>
    <x v="84"/>
    <s v="Tuesday"/>
    <d v="1899-12-30T13:23:38"/>
    <s v="FUTURE"/>
    <s v="SELL"/>
    <n v="-2"/>
    <s v="TO CLOSE"/>
    <x v="8"/>
    <d v="2020-09-20T00:00:00"/>
    <m/>
    <s v="FUTURE"/>
    <n v="3373.75"/>
    <n v="3373.75"/>
    <s v="LMT"/>
    <n v="3"/>
    <n v="50458.75"/>
    <n v="3363.9166666666665"/>
    <s v=""/>
  </r>
  <r>
    <x v="829"/>
    <x v="84"/>
    <s v="Tuesday"/>
    <d v="1899-12-30T13:36:29"/>
    <s v="FUTURE"/>
    <s v="SELL"/>
    <n v="-1"/>
    <s v="TO CLOSE"/>
    <x v="8"/>
    <d v="2020-09-20T00:00:00"/>
    <m/>
    <s v="FUTURE"/>
    <n v="3371"/>
    <n v="3371"/>
    <s v="MKT"/>
    <n v="2"/>
    <n v="33603.75"/>
    <n v="3360.375"/>
    <s v=""/>
  </r>
  <r>
    <x v="829"/>
    <x v="84"/>
    <s v="Tuesday"/>
    <d v="1899-12-30T14:13:45"/>
    <s v="FUTURE"/>
    <s v="SELL"/>
    <n v="-2"/>
    <s v="TO CLOSE"/>
    <x v="8"/>
    <d v="2020-09-20T00:00:00"/>
    <m/>
    <s v="FUTURE"/>
    <n v="3370"/>
    <n v="3370"/>
    <s v="LMT"/>
    <n v="0"/>
    <n v="0"/>
    <s v=""/>
    <n v="96.25"/>
  </r>
  <r>
    <x v="830"/>
    <x v="85"/>
    <s v="Wednesday"/>
    <d v="1899-12-30T09:52:35"/>
    <s v="FUTURE"/>
    <s v="SELL"/>
    <n v="-2"/>
    <s v="TO OPEN"/>
    <x v="9"/>
    <d v="2020-09-20T00:00:00"/>
    <m/>
    <s v="FUTURE"/>
    <n v="42.37"/>
    <n v="42.37"/>
    <s v="LMT"/>
    <n v="-2"/>
    <n v="-84740"/>
    <n v="42.37"/>
    <s v=""/>
  </r>
  <r>
    <x v="830"/>
    <x v="85"/>
    <s v="Wednesday"/>
    <d v="1899-12-30T10:15:29"/>
    <s v="FUTURE"/>
    <s v="BUY"/>
    <n v="1"/>
    <s v="TO CLOSE"/>
    <x v="9"/>
    <d v="2020-09-20T00:00:00"/>
    <m/>
    <s v="FUTURE"/>
    <n v="42.27"/>
    <n v="42.27"/>
    <s v="LMT"/>
    <n v="-1"/>
    <n v="-42470"/>
    <n v="42.47"/>
    <s v=""/>
  </r>
  <r>
    <x v="830"/>
    <x v="85"/>
    <s v="Wednesday"/>
    <d v="1899-12-30T10:32:25"/>
    <s v="FUTURE"/>
    <s v="SELL"/>
    <n v="-1"/>
    <s v="TO OPEN"/>
    <x v="9"/>
    <d v="2020-09-20T00:00:00"/>
    <m/>
    <s v="FUTURE"/>
    <n v="42.45"/>
    <n v="42.45"/>
    <s v="LMT"/>
    <n v="-2"/>
    <n v="-84920"/>
    <n v="42.46"/>
    <s v=""/>
  </r>
  <r>
    <x v="830"/>
    <x v="85"/>
    <s v="Wednesday"/>
    <d v="1899-12-30T12:19:30"/>
    <s v="FUTURE"/>
    <s v="BUY"/>
    <n v="2"/>
    <s v="TO CLOSE"/>
    <x v="9"/>
    <d v="2020-09-20T00:00:00"/>
    <m/>
    <s v="FUTURE"/>
    <n v="42.21"/>
    <n v="42.21"/>
    <s v="LMT"/>
    <n v="0"/>
    <n v="0"/>
    <s v=""/>
    <n v="500"/>
  </r>
  <r>
    <x v="831"/>
    <x v="85"/>
    <s v="Wednesday"/>
    <d v="1899-12-30T10:47:53"/>
    <s v="FUTURE"/>
    <s v="SELL"/>
    <n v="-5"/>
    <s v="TO OPEN"/>
    <x v="8"/>
    <d v="2020-09-20T00:00:00"/>
    <m/>
    <s v="FUTURE"/>
    <n v="3370"/>
    <n v="3370"/>
    <s v="MKT"/>
    <n v="-5"/>
    <n v="-84250"/>
    <n v="3370"/>
    <s v=""/>
  </r>
  <r>
    <x v="831"/>
    <x v="85"/>
    <s v="Wednesday"/>
    <d v="1899-12-30T11:04:28"/>
    <s v="FUTURE"/>
    <s v="SELL"/>
    <n v="-2"/>
    <s v="TO OPEN"/>
    <x v="8"/>
    <d v="2020-09-20T00:00:00"/>
    <m/>
    <s v="FUTURE"/>
    <n v="3374"/>
    <n v="3374"/>
    <s v="LMT"/>
    <n v="-7"/>
    <n v="-117990"/>
    <n v="3371.1428571428573"/>
    <s v=""/>
  </r>
  <r>
    <x v="831"/>
    <x v="85"/>
    <s v="Wednesday"/>
    <d v="1899-12-30T13:18:35"/>
    <s v="FUTURE"/>
    <s v="BUY"/>
    <n v="2"/>
    <s v="TO CLOSE"/>
    <x v="8"/>
    <d v="2020-09-20T00:00:00"/>
    <m/>
    <s v="FUTURE"/>
    <n v="3366.75"/>
    <n v="3366.75"/>
    <s v="LMT"/>
    <n v="-5"/>
    <n v="-84322.5"/>
    <n v="3372.9"/>
    <s v=""/>
  </r>
  <r>
    <x v="831"/>
    <x v="85"/>
    <s v="Wednesday"/>
    <d v="1899-12-30T13:25:03"/>
    <s v="FUTURE"/>
    <s v="BUY"/>
    <n v="3"/>
    <s v="TO CLOSE"/>
    <x v="8"/>
    <d v="2020-09-20T00:00:00"/>
    <m/>
    <s v="FUTURE"/>
    <n v="3367.75"/>
    <n v="3367.75"/>
    <s v="MKT"/>
    <n v="-2"/>
    <n v="-33806.25"/>
    <n v="3380.625"/>
    <s v=""/>
  </r>
  <r>
    <x v="831"/>
    <x v="85"/>
    <s v="Wednesday"/>
    <d v="1899-12-30T13:26:35"/>
    <s v="FUTURE"/>
    <s v="BUY"/>
    <n v="2"/>
    <s v="TO CLOSE"/>
    <x v="8"/>
    <d v="2020-09-20T00:00:00"/>
    <m/>
    <s v="FUTURE"/>
    <n v="3367"/>
    <n v="3367"/>
    <s v="MKT"/>
    <n v="0"/>
    <n v="0"/>
    <s v=""/>
    <n v="136.25"/>
  </r>
  <r>
    <x v="832"/>
    <x v="86"/>
    <s v="Thursday"/>
    <d v="1899-12-30T09:27:45"/>
    <s v="FUTURE"/>
    <s v="SELL"/>
    <n v="-1"/>
    <s v="TO OPEN"/>
    <x v="9"/>
    <d v="2020-09-20T00:00:00"/>
    <m/>
    <s v="FUTURE"/>
    <n v="42.52"/>
    <n v="42.52"/>
    <s v="MKT"/>
    <n v="-1"/>
    <n v="-42520"/>
    <n v="42.52"/>
    <s v=""/>
  </r>
  <r>
    <x v="832"/>
    <x v="86"/>
    <s v="Thursday"/>
    <d v="1899-12-30T11:06:09"/>
    <s v="FUTURE"/>
    <s v="BUY"/>
    <n v="1"/>
    <s v="TO CLOSE"/>
    <x v="9"/>
    <d v="2020-09-20T00:00:00"/>
    <m/>
    <s v="FUTURE"/>
    <n v="42.26"/>
    <n v="42.26"/>
    <s v="LMT"/>
    <n v="0"/>
    <n v="0"/>
    <s v=""/>
    <n v="260.00000000000512"/>
  </r>
  <r>
    <x v="833"/>
    <x v="86"/>
    <s v="Thursday"/>
    <d v="1899-12-30T09:34:22"/>
    <s v="FUTURE"/>
    <s v="SELL"/>
    <n v="-1"/>
    <s v="TO OPEN"/>
    <x v="7"/>
    <d v="2020-09-20T00:00:00"/>
    <m/>
    <s v="FUTURE"/>
    <n v="3368"/>
    <n v="3368"/>
    <s v="LMT"/>
    <n v="-1"/>
    <n v="-168400"/>
    <n v="3368"/>
    <s v=""/>
  </r>
  <r>
    <x v="833"/>
    <x v="86"/>
    <s v="Thursday"/>
    <d v="1899-12-30T14:19:05"/>
    <s v="FUTURE"/>
    <s v="BUY"/>
    <n v="1"/>
    <s v="TO CLOSE"/>
    <x v="7"/>
    <d v="2020-09-20T00:00:00"/>
    <m/>
    <s v="FUTURE"/>
    <n v="3368"/>
    <n v="3368"/>
    <s v="LMT"/>
    <n v="0"/>
    <n v="0"/>
    <s v=""/>
    <n v="0"/>
  </r>
  <r>
    <x v="834"/>
    <x v="86"/>
    <s v="Thursday"/>
    <d v="1899-12-30T10:35:45"/>
    <s v="STOCK"/>
    <s v="BUY"/>
    <n v="400"/>
    <s v="TO OPEN"/>
    <x v="2"/>
    <m/>
    <m/>
    <s v="STOCK"/>
    <n v="25.335000000000001"/>
    <n v="25.335000000000001"/>
    <s v="LMT"/>
    <n v="400"/>
    <n v="10134"/>
    <n v="25.335000000000001"/>
    <s v=""/>
  </r>
  <r>
    <x v="834"/>
    <x v="86"/>
    <s v="Thursday"/>
    <d v="1899-12-30T11:18:15"/>
    <s v="STOCK"/>
    <s v="BUY"/>
    <n v="140"/>
    <s v="TO OPEN"/>
    <x v="2"/>
    <m/>
    <m/>
    <s v="STOCK"/>
    <n v="25.257100000000001"/>
    <n v="25.257069999999999"/>
    <s v="MKT"/>
    <n v="540"/>
    <n v="13669.994000000001"/>
    <n v="25.314803703703706"/>
    <s v=""/>
  </r>
  <r>
    <x v="834"/>
    <x v="86"/>
    <s v="Thursday"/>
    <d v="1899-12-30T12:12:11"/>
    <s v="STOCK"/>
    <s v="BUY"/>
    <n v="60"/>
    <s v="TO OPEN"/>
    <x v="2"/>
    <m/>
    <m/>
    <s v="STOCK"/>
    <n v="25.1675"/>
    <n v="25.1675"/>
    <s v="LMT"/>
    <n v="600"/>
    <n v="15180.044"/>
    <n v="25.300073333333334"/>
    <s v=""/>
  </r>
  <r>
    <x v="834"/>
    <x v="86"/>
    <s v="Thursday"/>
    <d v="1899-12-30T14:11:50"/>
    <s v="STOCK"/>
    <s v="SELL"/>
    <n v="-200"/>
    <s v="TO CLOSE"/>
    <x v="2"/>
    <m/>
    <m/>
    <s v="STOCK"/>
    <n v="25.341699999999999"/>
    <n v="25.341699999999999"/>
    <s v="LMT"/>
    <n v="400"/>
    <n v="10111.704"/>
    <n v="25.279260000000001"/>
    <s v=""/>
  </r>
  <r>
    <x v="834"/>
    <x v="86"/>
    <s v="Thursday"/>
    <d v="1899-12-30T14:14:46"/>
    <s v="STOCK"/>
    <s v="SELL"/>
    <n v="-100"/>
    <s v="TO CLOSE"/>
    <x v="2"/>
    <m/>
    <m/>
    <s v="STOCK"/>
    <n v="25.312899999999999"/>
    <n v="25.312899999999999"/>
    <s v="MKT"/>
    <n v="300"/>
    <n v="7580.4139999999998"/>
    <n v="25.268046666666667"/>
    <s v=""/>
  </r>
  <r>
    <x v="834"/>
    <x v="86"/>
    <s v="Thursday"/>
    <d v="1899-12-30T14:18:07"/>
    <s v="STOCK"/>
    <s v="SELL"/>
    <n v="-100"/>
    <s v="TO CLOSE"/>
    <x v="2"/>
    <m/>
    <m/>
    <s v="STOCK"/>
    <n v="25.315000000000001"/>
    <n v="25.315000000000001"/>
    <s v="MKT"/>
    <n v="200"/>
    <n v="5048.9139999999998"/>
    <n v="25.24457"/>
    <s v=""/>
  </r>
  <r>
    <x v="834"/>
    <x v="86"/>
    <s v="Thursday"/>
    <d v="1899-12-30T14:19:41"/>
    <s v="STOCK"/>
    <s v="SELL"/>
    <n v="-200"/>
    <s v="TO CLOSE"/>
    <x v="2"/>
    <m/>
    <m/>
    <s v="STOCK"/>
    <n v="25.372900000000001"/>
    <n v="25.372900000000001"/>
    <s v="MKT"/>
    <n v="0"/>
    <n v="0"/>
    <s v=""/>
    <n v="25.666000000000366"/>
  </r>
  <r>
    <x v="835"/>
    <x v="87"/>
    <s v="Friday"/>
    <d v="1899-12-30T09:29:13"/>
    <s v="FUTURE"/>
    <s v="SELL"/>
    <n v="-1"/>
    <s v="TO OPEN"/>
    <x v="9"/>
    <d v="2020-09-20T00:00:00"/>
    <m/>
    <s v="FUTURE"/>
    <n v="42.01"/>
    <n v="42.01"/>
    <s v="LMT"/>
    <n v="-1"/>
    <n v="-42010"/>
    <n v="42.01"/>
    <s v=""/>
  </r>
  <r>
    <x v="835"/>
    <x v="87"/>
    <s v="Friday"/>
    <d v="1899-12-30T09:44:38"/>
    <s v="FUTURE"/>
    <s v="BUY"/>
    <n v="1"/>
    <s v="TO CLOSE"/>
    <x v="9"/>
    <d v="2020-09-20T00:00:00"/>
    <m/>
    <s v="FUTURE"/>
    <n v="42.17"/>
    <n v="42.17"/>
    <s v="STP"/>
    <n v="0"/>
    <n v="0"/>
    <s v=""/>
    <n v="-160.00000000000369"/>
  </r>
  <r>
    <x v="836"/>
    <x v="87"/>
    <s v="Friday"/>
    <d v="1899-12-30T09:48:59"/>
    <s v="FUTURE"/>
    <s v="BUY"/>
    <n v="1"/>
    <s v="TO OPEN"/>
    <x v="9"/>
    <d v="2020-09-20T00:00:00"/>
    <m/>
    <s v="FUTURE"/>
    <n v="42.19"/>
    <n v="42.19"/>
    <s v="MKT"/>
    <n v="1"/>
    <n v="42190"/>
    <n v="42.19"/>
    <s v=""/>
  </r>
  <r>
    <x v="836"/>
    <x v="87"/>
    <s v="Friday"/>
    <d v="1899-12-30T10:01:49"/>
    <s v="FUTURE"/>
    <s v="SELL"/>
    <n v="-1"/>
    <s v="TO CLOSE"/>
    <x v="9"/>
    <d v="2020-09-20T00:00:00"/>
    <m/>
    <s v="FUTURE"/>
    <n v="42.24"/>
    <n v="42.24"/>
    <s v="LMT"/>
    <n v="0"/>
    <n v="0"/>
    <s v=""/>
    <n v="50.000000000004263"/>
  </r>
  <r>
    <x v="837"/>
    <x v="87"/>
    <s v="Friday"/>
    <d v="1899-12-30T10:12:38"/>
    <s v="FUTURE"/>
    <s v="SELL"/>
    <n v="-1"/>
    <s v="TO OPEN"/>
    <x v="9"/>
    <d v="2020-09-20T00:00:00"/>
    <m/>
    <s v="FUTURE"/>
    <n v="42.2"/>
    <n v="42.2"/>
    <s v="LMT"/>
    <n v="-1"/>
    <n v="-42200"/>
    <n v="42.2"/>
    <s v=""/>
  </r>
  <r>
    <x v="837"/>
    <x v="87"/>
    <s v="Friday"/>
    <d v="1899-12-30T10:16:16"/>
    <s v="FUTURE"/>
    <s v="BUY"/>
    <n v="1"/>
    <s v="TO CLOSE"/>
    <x v="9"/>
    <d v="2020-09-20T00:00:00"/>
    <m/>
    <s v="FUTURE"/>
    <n v="42.2"/>
    <n v="42.2"/>
    <s v="STP"/>
    <n v="0"/>
    <n v="0"/>
    <s v=""/>
    <n v="0"/>
  </r>
  <r>
    <x v="838"/>
    <x v="87"/>
    <s v="Friday"/>
    <d v="1899-12-30T10:17:46"/>
    <s v="FUTURE"/>
    <s v="SELL"/>
    <n v="-2"/>
    <s v="TO OPEN"/>
    <x v="9"/>
    <d v="2020-09-20T00:00:00"/>
    <m/>
    <s v="FUTURE"/>
    <n v="42.15"/>
    <n v="42.15"/>
    <s v="LMT"/>
    <n v="-2"/>
    <n v="-84300"/>
    <n v="42.15"/>
    <s v=""/>
  </r>
  <r>
    <x v="838"/>
    <x v="87"/>
    <s v="Friday"/>
    <d v="1899-12-30T10:21:13"/>
    <s v="FUTURE"/>
    <s v="BUY"/>
    <n v="2"/>
    <s v="TO CLOSE"/>
    <x v="9"/>
    <d v="2020-09-20T00:00:00"/>
    <m/>
    <s v="FUTURE"/>
    <n v="42.14"/>
    <n v="42.14"/>
    <s v="LMT"/>
    <n v="0"/>
    <n v="0"/>
    <s v=""/>
    <n v="19.999999999996021"/>
  </r>
  <r>
    <x v="839"/>
    <x v="87"/>
    <s v="Friday"/>
    <d v="1899-12-30T10:28:46"/>
    <s v="FUTURE"/>
    <s v="SELL"/>
    <n v="-2"/>
    <s v="TO OPEN"/>
    <x v="9"/>
    <d v="2020-09-20T00:00:00"/>
    <m/>
    <s v="FUTURE"/>
    <n v="42.08"/>
    <n v="42.08"/>
    <s v="MKT"/>
    <n v="-2"/>
    <n v="-84160"/>
    <n v="42.08"/>
    <s v=""/>
  </r>
  <r>
    <x v="839"/>
    <x v="87"/>
    <s v="Friday"/>
    <d v="1899-12-30T10:32:37"/>
    <s v="FUTURE"/>
    <s v="BUY"/>
    <n v="2"/>
    <s v="TO CLOSE"/>
    <x v="9"/>
    <d v="2020-09-20T00:00:00"/>
    <m/>
    <s v="FUTURE"/>
    <n v="42.07"/>
    <n v="42.07"/>
    <s v="LMT"/>
    <n v="0"/>
    <n v="0"/>
    <s v=""/>
    <n v="19.999999999996021"/>
  </r>
  <r>
    <x v="840"/>
    <x v="87"/>
    <s v="Friday"/>
    <d v="1899-12-30T10:36:42"/>
    <s v="FUTURE"/>
    <s v="SELL"/>
    <n v="-1"/>
    <s v="TO OPEN"/>
    <x v="9"/>
    <d v="2020-09-20T00:00:00"/>
    <m/>
    <s v="FUTURE"/>
    <n v="42.03"/>
    <n v="42.03"/>
    <s v="MKT"/>
    <n v="-1"/>
    <n v="-42030"/>
    <n v="42.03"/>
    <s v=""/>
  </r>
  <r>
    <x v="840"/>
    <x v="87"/>
    <s v="Friday"/>
    <d v="1899-12-30T10:39:10"/>
    <s v="FUTURE"/>
    <s v="BUY"/>
    <n v="1"/>
    <s v="TO CLOSE"/>
    <x v="9"/>
    <d v="2020-09-20T00:00:00"/>
    <m/>
    <s v="FUTURE"/>
    <n v="42.02"/>
    <n v="42.02"/>
    <s v="LMT"/>
    <n v="0"/>
    <n v="0"/>
    <s v=""/>
    <n v="9.9999999999980105"/>
  </r>
  <r>
    <x v="841"/>
    <x v="87"/>
    <s v="Friday"/>
    <d v="1899-12-30T10:40:12"/>
    <s v="FUTURE"/>
    <s v="BUY"/>
    <n v="1"/>
    <s v="TO OPEN"/>
    <x v="9"/>
    <d v="2020-09-20T00:00:00"/>
    <m/>
    <s v="FUTURE"/>
    <n v="42.05"/>
    <n v="42.05"/>
    <s v="MKT"/>
    <n v="1"/>
    <n v="42050"/>
    <n v="42.05"/>
    <s v=""/>
  </r>
  <r>
    <x v="841"/>
    <x v="87"/>
    <s v="Friday"/>
    <d v="1899-12-30T10:47:19"/>
    <s v="FUTURE"/>
    <s v="SELL"/>
    <n v="-1"/>
    <s v="TO CLOSE"/>
    <x v="9"/>
    <d v="2020-09-20T00:00:00"/>
    <m/>
    <s v="FUTURE"/>
    <n v="42.21"/>
    <n v="42.21"/>
    <s v="LMT"/>
    <n v="0"/>
    <n v="0"/>
    <s v=""/>
    <n v="160.00000000000369"/>
  </r>
  <r>
    <x v="842"/>
    <x v="87"/>
    <s v="Friday"/>
    <d v="1899-12-30T09:36:16"/>
    <s v="FUTURE"/>
    <s v="BUY"/>
    <n v="1"/>
    <s v="TO OPEN"/>
    <x v="7"/>
    <d v="2020-09-20T00:00:00"/>
    <m/>
    <s v="FUTURE"/>
    <n v="3363.5"/>
    <n v="3363.5"/>
    <s v="MKT"/>
    <n v="1"/>
    <n v="168175"/>
    <n v="3363.5"/>
    <s v=""/>
  </r>
  <r>
    <x v="842"/>
    <x v="87"/>
    <s v="Friday"/>
    <d v="1899-12-30T10:00:27"/>
    <s v="FUTURE"/>
    <s v="SELL"/>
    <n v="-1"/>
    <s v="TO CLOSE"/>
    <x v="7"/>
    <d v="2020-09-20T00:00:00"/>
    <m/>
    <s v="FUTURE"/>
    <n v="3368"/>
    <n v="3368"/>
    <s v="LMT"/>
    <n v="0"/>
    <n v="0"/>
    <s v=""/>
    <n v="225"/>
  </r>
  <r>
    <x v="843"/>
    <x v="87"/>
    <s v="Friday"/>
    <d v="1899-12-30T10:06:16"/>
    <s v="FUTURE"/>
    <s v="BUY"/>
    <n v="1"/>
    <s v="TO OPEN"/>
    <x v="7"/>
    <d v="2020-09-20T00:00:00"/>
    <m/>
    <s v="FUTURE"/>
    <n v="3366.75"/>
    <n v="3366.75"/>
    <s v="LMT"/>
    <n v="1"/>
    <n v="168337.5"/>
    <n v="3366.75"/>
    <s v=""/>
  </r>
  <r>
    <x v="843"/>
    <x v="87"/>
    <s v="Friday"/>
    <d v="1899-12-30T10:11:11"/>
    <s v="FUTURE"/>
    <s v="SELL"/>
    <n v="-1"/>
    <s v="TO CLOSE"/>
    <x v="7"/>
    <d v="2020-09-20T00:00:00"/>
    <m/>
    <s v="FUTURE"/>
    <n v="3366.75"/>
    <n v="3366.75"/>
    <s v="LMT"/>
    <n v="0"/>
    <n v="0"/>
    <s v=""/>
    <n v="0"/>
  </r>
  <r>
    <x v="844"/>
    <x v="87"/>
    <s v="Friday"/>
    <d v="1899-12-30T11:06:32"/>
    <s v="FUTURE"/>
    <s v="BUY"/>
    <n v="1"/>
    <s v="TO OPEN"/>
    <x v="7"/>
    <d v="2020-09-20T00:00:00"/>
    <m/>
    <s v="FUTURE"/>
    <n v="3366"/>
    <n v="3366"/>
    <s v="MKT"/>
    <n v="1"/>
    <n v="168300"/>
    <n v="3366"/>
    <s v=""/>
  </r>
  <r>
    <x v="844"/>
    <x v="87"/>
    <s v="Friday"/>
    <d v="1899-12-30T11:07:09"/>
    <s v="FUTURE"/>
    <s v="SELL"/>
    <n v="-1"/>
    <s v="TO CLOSE"/>
    <x v="7"/>
    <d v="2020-09-20T00:00:00"/>
    <m/>
    <s v="FUTURE"/>
    <n v="3367"/>
    <n v="3367"/>
    <s v="LMT"/>
    <n v="0"/>
    <n v="0"/>
    <s v=""/>
    <n v="50"/>
  </r>
  <r>
    <x v="845"/>
    <x v="87"/>
    <s v="Friday"/>
    <d v="1899-12-30T11:29:02"/>
    <s v="FUTURE"/>
    <s v="SELL"/>
    <n v="-1"/>
    <s v="TO OPEN"/>
    <x v="7"/>
    <d v="2020-09-20T00:00:00"/>
    <m/>
    <s v="FUTURE"/>
    <n v="3371.25"/>
    <n v="3371.25"/>
    <s v="LMT"/>
    <n v="-1"/>
    <n v="-168562.5"/>
    <n v="3371.25"/>
    <s v=""/>
  </r>
  <r>
    <x v="845"/>
    <x v="87"/>
    <s v="Friday"/>
    <d v="1899-12-30T11:42:35"/>
    <s v="FUTURE"/>
    <s v="BUY"/>
    <n v="1"/>
    <s v="TO CLOSE"/>
    <x v="7"/>
    <d v="2020-09-20T00:00:00"/>
    <m/>
    <s v="FUTURE"/>
    <n v="3370.25"/>
    <n v="3370.25"/>
    <s v="LMT"/>
    <n v="0"/>
    <n v="0"/>
    <s v=""/>
    <n v="50"/>
  </r>
  <r>
    <x v="846"/>
    <x v="87"/>
    <s v="Friday"/>
    <d v="1899-12-30T13:46:31"/>
    <s v="FUTURE"/>
    <s v="SELL"/>
    <n v="-1"/>
    <s v="TO OPEN"/>
    <x v="7"/>
    <d v="2020-09-20T00:00:00"/>
    <m/>
    <s v="FUTURE"/>
    <n v="3370.5"/>
    <n v="3370.5"/>
    <s v="LMT"/>
    <n v="-1"/>
    <n v="-168525"/>
    <n v="3370.5"/>
    <s v=""/>
  </r>
  <r>
    <x v="846"/>
    <x v="87"/>
    <s v="Friday"/>
    <d v="1899-12-30T14:06:15"/>
    <s v="FUTURE"/>
    <s v="BUY"/>
    <n v="1"/>
    <s v="TO CLOSE"/>
    <x v="7"/>
    <d v="2020-09-20T00:00:00"/>
    <m/>
    <s v="FUTURE"/>
    <n v="3370.25"/>
    <n v="3370.25"/>
    <s v="LMT"/>
    <n v="0"/>
    <n v="0"/>
    <s v=""/>
    <n v="12.5"/>
  </r>
  <r>
    <x v="847"/>
    <x v="87"/>
    <s v="Friday"/>
    <d v="1899-12-30T10:13:13"/>
    <s v="STOCK"/>
    <s v="BUY"/>
    <n v="400"/>
    <s v="TO OPEN"/>
    <x v="2"/>
    <m/>
    <m/>
    <s v="STOCK"/>
    <n v="25.675000000000001"/>
    <n v="25.675000000000001"/>
    <s v="LMT"/>
    <n v="400"/>
    <n v="10270"/>
    <n v="25.675000000000001"/>
    <s v=""/>
  </r>
  <r>
    <x v="847"/>
    <x v="87"/>
    <s v="Friday"/>
    <d v="1899-12-30T10:22:30"/>
    <s v="STOCK"/>
    <s v="SELL"/>
    <n v="-360"/>
    <s v="TO CLOSE"/>
    <x v="2"/>
    <m/>
    <m/>
    <s v="STOCK"/>
    <n v="25.690999999999999"/>
    <n v="25.690999999999999"/>
    <s v="STP"/>
    <n v="40"/>
    <n v="1021.2399999999998"/>
    <n v="25.530999999999995"/>
    <s v=""/>
  </r>
  <r>
    <x v="847"/>
    <x v="87"/>
    <s v="Friday"/>
    <d v="1899-12-30T10:22:30"/>
    <s v="STOCK"/>
    <s v="SELL"/>
    <n v="-40"/>
    <s v="TO CLOSE"/>
    <x v="2"/>
    <m/>
    <m/>
    <s v="STOCK"/>
    <n v="25.690999999999999"/>
    <n v="25.690999999999999"/>
    <s v="STP"/>
    <n v="0"/>
    <n v="0"/>
    <s v=""/>
    <n v="6.4000000000001478"/>
  </r>
  <r>
    <x v="848"/>
    <x v="87"/>
    <s v="Friday"/>
    <d v="1899-12-30T11:00:33"/>
    <s v="STOCK"/>
    <s v="BUY"/>
    <n v="300"/>
    <s v="TO OPEN"/>
    <x v="2"/>
    <m/>
    <m/>
    <s v="STOCK"/>
    <n v="25.71"/>
    <n v="25.71"/>
    <s v="LMT"/>
    <n v="300"/>
    <n v="7713"/>
    <n v="25.71"/>
    <s v=""/>
  </r>
  <r>
    <x v="848"/>
    <x v="87"/>
    <s v="Friday"/>
    <d v="1899-12-30T11:33:17"/>
    <s v="STOCK"/>
    <s v="BUY"/>
    <n v="300"/>
    <s v="TO OPEN"/>
    <x v="2"/>
    <m/>
    <m/>
    <s v="STOCK"/>
    <n v="25.489799999999999"/>
    <n v="25.489799999999999"/>
    <s v="MKT"/>
    <n v="600"/>
    <n v="15359.939999999999"/>
    <n v="25.599899999999998"/>
    <s v=""/>
  </r>
  <r>
    <x v="848"/>
    <x v="87"/>
    <s v="Friday"/>
    <d v="1899-12-30T11:54:05"/>
    <s v="STOCK"/>
    <s v="SELL"/>
    <n v="-200"/>
    <s v="TO CLOSE"/>
    <x v="2"/>
    <m/>
    <m/>
    <s v="STOCK"/>
    <n v="25.6"/>
    <n v="25.6"/>
    <s v="LMT"/>
    <n v="400"/>
    <n v="10239.939999999999"/>
    <n v="25.599849999999996"/>
    <s v=""/>
  </r>
  <r>
    <x v="848"/>
    <x v="87"/>
    <s v="Friday"/>
    <d v="1899-12-30T13:13:00"/>
    <s v="STOCK"/>
    <s v="SELL"/>
    <n v="-400"/>
    <s v="TO CLOSE"/>
    <x v="2"/>
    <m/>
    <m/>
    <s v="STOCK"/>
    <n v="25.602599999999999"/>
    <n v="25.602599999999999"/>
    <s v="MKT"/>
    <n v="0"/>
    <n v="0"/>
    <s v=""/>
    <n v="1.1000000000009891"/>
  </r>
  <r>
    <x v="849"/>
    <x v="88"/>
    <s v="Monday"/>
    <d v="1899-12-30T09:16:00"/>
    <s v="FUTURE"/>
    <s v="BUY"/>
    <n v="4"/>
    <s v="TO OPEN"/>
    <x v="8"/>
    <d v="2020-09-20T00:00:00"/>
    <m/>
    <s v="FUTURE"/>
    <n v="3378.5"/>
    <n v="3378.5"/>
    <s v="MKT"/>
    <n v="4"/>
    <n v="67570"/>
    <n v="3378.5"/>
    <s v=""/>
  </r>
  <r>
    <x v="849"/>
    <x v="88"/>
    <s v="Monday"/>
    <d v="1899-12-30T10:06:00"/>
    <s v="FUTURE"/>
    <s v="BUY"/>
    <n v="1"/>
    <s v="TO OPEN"/>
    <x v="8"/>
    <d v="2020-09-20T00:00:00"/>
    <m/>
    <s v="FUTURE"/>
    <n v="3376"/>
    <n v="3376"/>
    <s v="LMT"/>
    <n v="5"/>
    <n v="84450"/>
    <n v="3378"/>
    <s v=""/>
  </r>
  <r>
    <x v="849"/>
    <x v="88"/>
    <s v="Monday"/>
    <d v="1899-12-30T10:19:00"/>
    <s v="FUTURE"/>
    <s v="BUY"/>
    <n v="1"/>
    <s v="TO OPEN"/>
    <x v="8"/>
    <d v="2020-09-20T00:00:00"/>
    <m/>
    <s v="FUTURE"/>
    <n v="3375"/>
    <n v="3375"/>
    <s v="LMT"/>
    <n v="6"/>
    <n v="101325"/>
    <n v="3377.5"/>
    <s v=""/>
  </r>
  <r>
    <x v="849"/>
    <x v="88"/>
    <s v="Monday"/>
    <d v="1899-12-30T10:41:00"/>
    <s v="FUTURE"/>
    <s v="SELL"/>
    <n v="-6"/>
    <s v="TO CLOSE"/>
    <x v="8"/>
    <d v="2020-09-20T00:00:00"/>
    <m/>
    <s v="FUTURE"/>
    <n v="3378.5"/>
    <n v="3378.5"/>
    <s v="MKT"/>
    <n v="0"/>
    <n v="0"/>
    <s v=""/>
    <n v="30"/>
  </r>
  <r>
    <x v="850"/>
    <x v="88"/>
    <s v="Monday"/>
    <d v="1899-12-30T09:31:00"/>
    <s v="STOCK"/>
    <s v="SELL"/>
    <n v="-300"/>
    <s v="TO OPEN"/>
    <x v="2"/>
    <m/>
    <m/>
    <s v="STOCK"/>
    <n v="24.94"/>
    <n v="24.94"/>
    <s v="LMT"/>
    <n v="-300"/>
    <n v="-7482"/>
    <n v="24.94"/>
    <s v=""/>
  </r>
  <r>
    <x v="850"/>
    <x v="88"/>
    <s v="Monday"/>
    <d v="1899-12-30T14:00:00"/>
    <s v="STOCK"/>
    <s v="BUY"/>
    <n v="300"/>
    <s v="TO CLOSE"/>
    <x v="2"/>
    <m/>
    <m/>
    <s v="STOCK"/>
    <n v="24.605"/>
    <n v="24.605"/>
    <s v="MKT"/>
    <n v="0"/>
    <n v="0"/>
    <s v=""/>
    <n v="100.50000000000026"/>
  </r>
  <r>
    <x v="851"/>
    <x v="89"/>
    <s v="Tuesday"/>
    <d v="1899-12-30T09:26:46"/>
    <s v="FUTURE"/>
    <s v="BUY"/>
    <n v="1"/>
    <s v="TO OPEN"/>
    <x v="10"/>
    <d v="2020-10-20T00:00:00"/>
    <m/>
    <s v="FUTURE"/>
    <n v="42.49"/>
    <n v="42.49"/>
    <s v="MKT"/>
    <n v="1"/>
    <n v="42490"/>
    <n v="42.49"/>
    <s v=""/>
  </r>
  <r>
    <x v="851"/>
    <x v="89"/>
    <s v="Tuesday"/>
    <d v="1899-12-30T09:29:03"/>
    <s v="FUTURE"/>
    <s v="SELL"/>
    <n v="-1"/>
    <s v="TO CLOSE"/>
    <x v="10"/>
    <d v="2020-10-20T00:00:00"/>
    <m/>
    <s v="FUTURE"/>
    <n v="42.54"/>
    <n v="42.54"/>
    <s v="LMT"/>
    <n v="0"/>
    <n v="0"/>
    <s v=""/>
    <n v="49.999999999997158"/>
  </r>
  <r>
    <x v="852"/>
    <x v="89"/>
    <s v="Tuesday"/>
    <d v="1899-12-30T09:57:15"/>
    <s v="FUTURE"/>
    <s v="SELL"/>
    <n v="-1"/>
    <s v="TO OPEN"/>
    <x v="10"/>
    <d v="2020-10-20T00:00:00"/>
    <m/>
    <s v="FUTURE"/>
    <n v="42.81"/>
    <n v="42.81"/>
    <s v="LMT"/>
    <n v="-1"/>
    <n v="-42810"/>
    <n v="42.81"/>
    <s v=""/>
  </r>
  <r>
    <x v="852"/>
    <x v="89"/>
    <s v="Tuesday"/>
    <d v="1899-12-30T10:07:27"/>
    <s v="FUTURE"/>
    <s v="SELL"/>
    <n v="-1"/>
    <s v="TO OPEN"/>
    <x v="10"/>
    <d v="2020-10-20T00:00:00"/>
    <m/>
    <s v="FUTURE"/>
    <n v="42.75"/>
    <n v="42.75"/>
    <s v="LMT"/>
    <n v="-2"/>
    <n v="-85560"/>
    <n v="42.78"/>
    <s v=""/>
  </r>
  <r>
    <x v="852"/>
    <x v="89"/>
    <s v="Tuesday"/>
    <d v="1899-12-30T10:08:19"/>
    <s v="FUTURE"/>
    <s v="BUY"/>
    <n v="1"/>
    <s v="TO CLOSE"/>
    <x v="10"/>
    <d v="2020-10-20T00:00:00"/>
    <m/>
    <s v="FUTURE"/>
    <n v="42.68"/>
    <n v="42.68"/>
    <s v="LMT"/>
    <n v="-1"/>
    <n v="-42880"/>
    <n v="42.88"/>
    <s v=""/>
  </r>
  <r>
    <x v="852"/>
    <x v="89"/>
    <s v="Tuesday"/>
    <d v="1899-12-30T10:09:18"/>
    <s v="FUTURE"/>
    <s v="BUY"/>
    <n v="1"/>
    <s v="TO CLOSE"/>
    <x v="10"/>
    <d v="2020-10-20T00:00:00"/>
    <m/>
    <s v="FUTURE"/>
    <n v="42.62"/>
    <n v="42.62"/>
    <s v="LMT"/>
    <n v="0"/>
    <n v="0"/>
    <s v=""/>
    <n v="260.00000000000512"/>
  </r>
  <r>
    <x v="853"/>
    <x v="89"/>
    <s v="Tuesday"/>
    <d v="1899-12-30T10:35:27"/>
    <s v="FUTURE"/>
    <s v="BUY"/>
    <n v="2"/>
    <s v="TO OPEN"/>
    <x v="10"/>
    <d v="2020-10-20T00:00:00"/>
    <m/>
    <s v="FUTURE"/>
    <n v="42.62"/>
    <n v="42.62"/>
    <s v="LMT"/>
    <n v="2"/>
    <n v="85240"/>
    <n v="42.62"/>
    <s v=""/>
  </r>
  <r>
    <x v="853"/>
    <x v="89"/>
    <s v="Tuesday"/>
    <d v="1899-12-30T10:41:42"/>
    <s v="FUTURE"/>
    <s v="SELL"/>
    <n v="-2"/>
    <s v="TO CLOSE"/>
    <x v="10"/>
    <d v="2020-10-20T00:00:00"/>
    <m/>
    <s v="FUTURE"/>
    <n v="42.63"/>
    <n v="42.63"/>
    <s v="MKT"/>
    <n v="0"/>
    <n v="0"/>
    <s v=""/>
    <n v="20.000000000010232"/>
  </r>
  <r>
    <x v="854"/>
    <x v="89"/>
    <s v="Tuesday"/>
    <d v="1899-12-30T09:14:21"/>
    <s v="FUTURE"/>
    <s v="SELL"/>
    <n v="-1"/>
    <s v="TO OPEN"/>
    <x v="7"/>
    <d v="2020-09-20T00:00:00"/>
    <m/>
    <s v="FUTURE"/>
    <n v="3383.75"/>
    <n v="3383.75"/>
    <s v="LMT"/>
    <n v="-1"/>
    <n v="-169187.5"/>
    <n v="3383.75"/>
    <s v=""/>
  </r>
  <r>
    <x v="854"/>
    <x v="89"/>
    <s v="Tuesday"/>
    <d v="1899-12-30T09:29:07"/>
    <s v="FUTURE"/>
    <s v="BUY"/>
    <n v="1"/>
    <s v="TO CLOSE"/>
    <x v="7"/>
    <d v="2020-09-20T00:00:00"/>
    <m/>
    <s v="FUTURE"/>
    <n v="3382.75"/>
    <n v="3382.75"/>
    <s v="STP"/>
    <n v="0"/>
    <n v="0"/>
    <s v=""/>
    <n v="50"/>
  </r>
  <r>
    <x v="855"/>
    <x v="89"/>
    <s v="Tuesday"/>
    <d v="1899-12-30T11:07:02"/>
    <s v="FUTURE"/>
    <s v="SELL"/>
    <n v="-1"/>
    <s v="TO OPEN"/>
    <x v="7"/>
    <d v="2020-09-20T00:00:00"/>
    <m/>
    <s v="FUTURE"/>
    <n v="3377.25"/>
    <n v="3377.25"/>
    <s v="LMT"/>
    <n v="-1"/>
    <n v="-168862.5"/>
    <n v="3377.25"/>
    <s v=""/>
  </r>
  <r>
    <x v="855"/>
    <x v="89"/>
    <s v="Tuesday"/>
    <d v="1899-12-30T11:25:50"/>
    <s v="FUTURE"/>
    <s v="SELL"/>
    <n v="-1"/>
    <s v="TO OPEN"/>
    <x v="7"/>
    <d v="2020-09-20T00:00:00"/>
    <m/>
    <s v="FUTURE"/>
    <n v="3382.25"/>
    <n v="3382.25"/>
    <s v="LMT"/>
    <n v="-2"/>
    <n v="-337975"/>
    <n v="3379.75"/>
    <s v=""/>
  </r>
  <r>
    <x v="855"/>
    <x v="89"/>
    <s v="Tuesday"/>
    <d v="1899-12-30T15:15:01"/>
    <s v="FUTURE"/>
    <s v="BUY"/>
    <n v="2"/>
    <s v="TO CLOSE"/>
    <x v="7"/>
    <d v="2020-09-20T00:00:00"/>
    <m/>
    <s v="FUTURE"/>
    <n v="3390.75"/>
    <n v="3390.75"/>
    <s v="STP"/>
    <n v="0"/>
    <n v="0"/>
    <s v=""/>
    <n v="-1100"/>
  </r>
  <r>
    <x v="856"/>
    <x v="90"/>
    <s v="Wednesday"/>
    <d v="1899-12-30T09:03:00"/>
    <s v="FUTURE"/>
    <s v="SELL"/>
    <n v="-1"/>
    <s v="TO OPEN"/>
    <x v="10"/>
    <d v="2020-10-20T00:00:00"/>
    <m/>
    <s v="FUTURE"/>
    <n v="42.6"/>
    <n v="42.6"/>
    <s v="LMT"/>
    <n v="-1"/>
    <n v="-42600"/>
    <n v="42.6"/>
    <s v=""/>
  </r>
  <r>
    <x v="856"/>
    <x v="90"/>
    <s v="Wednesday"/>
    <d v="1899-12-30T09:28:00"/>
    <s v="FUTURE"/>
    <s v="BUY"/>
    <n v="2"/>
    <s v="TO CLOSE"/>
    <x v="10"/>
    <d v="2020-10-20T00:00:00"/>
    <m/>
    <s v="FUTURE"/>
    <n v="42.85"/>
    <n v="42.85"/>
    <s v="MKT"/>
    <n v="1"/>
    <n v="43100"/>
    <n v="43.1"/>
    <s v=""/>
  </r>
  <r>
    <x v="856"/>
    <x v="90"/>
    <s v="Wednesday"/>
    <d v="1899-12-30T09:30:00"/>
    <s v="FUTURE"/>
    <s v="BUY"/>
    <n v="1"/>
    <s v="TO OPEN"/>
    <x v="10"/>
    <d v="2020-10-20T00:00:00"/>
    <m/>
    <s v="FUTURE"/>
    <n v="42.86"/>
    <n v="42.86"/>
    <s v="MKT"/>
    <n v="2"/>
    <n v="85960"/>
    <n v="42.98"/>
    <s v=""/>
  </r>
  <r>
    <x v="856"/>
    <x v="90"/>
    <s v="Wednesday"/>
    <d v="1899-12-30T09:58:00"/>
    <s v="FUTURE"/>
    <s v="BUY"/>
    <n v="1"/>
    <s v="TO OPEN"/>
    <x v="10"/>
    <d v="2020-10-20T00:00:00"/>
    <m/>
    <s v="FUTURE"/>
    <n v="42.65"/>
    <n v="42.65"/>
    <s v="MKT"/>
    <n v="3"/>
    <n v="128610"/>
    <n v="42.87"/>
    <s v=""/>
  </r>
  <r>
    <x v="856"/>
    <x v="90"/>
    <s v="Wednesday"/>
    <d v="1899-12-30T10:20:00"/>
    <s v="FUTURE"/>
    <s v="SELL"/>
    <n v="-3"/>
    <s v="TO CLOSE"/>
    <x v="10"/>
    <d v="2020-10-20T00:00:00"/>
    <m/>
    <s v="FUTURE"/>
    <n v="42.55"/>
    <n v="42.55"/>
    <s v="STP"/>
    <n v="0"/>
    <n v="0"/>
    <s v=""/>
    <n v="-960.00000000000091"/>
  </r>
  <r>
    <x v="857"/>
    <x v="90"/>
    <s v="Wednesday"/>
    <d v="1899-12-30T10:21:00"/>
    <s v="FUTURE"/>
    <s v="SELL"/>
    <n v="-2"/>
    <s v="TO OPEN"/>
    <x v="10"/>
    <d v="2020-10-20T00:00:00"/>
    <m/>
    <s v="FUTURE"/>
    <n v="42.56"/>
    <n v="42.56"/>
    <s v="LMT"/>
    <n v="-2"/>
    <n v="-85120"/>
    <n v="42.56"/>
    <s v=""/>
  </r>
  <r>
    <x v="857"/>
    <x v="90"/>
    <s v="Wednesday"/>
    <d v="1899-12-30T10:29:00"/>
    <s v="FUTURE"/>
    <s v="BUY"/>
    <n v="2"/>
    <s v="TO CLOSE"/>
    <x v="10"/>
    <d v="2020-10-20T00:00:00"/>
    <m/>
    <s v="FUTURE"/>
    <n v="42.61"/>
    <n v="42.61"/>
    <s v="LMT"/>
    <n v="0"/>
    <n v="0"/>
    <s v=""/>
    <n v="-99.999999999994316"/>
  </r>
  <r>
    <x v="858"/>
    <x v="90"/>
    <s v="Wednesday"/>
    <d v="1899-12-30T10:31:00"/>
    <s v="FUTURE"/>
    <s v="BUY"/>
    <n v="2"/>
    <s v="TO OPEN"/>
    <x v="10"/>
    <d v="2020-10-20T00:00:00"/>
    <m/>
    <s v="FUTURE"/>
    <n v="42.73"/>
    <n v="42.73"/>
    <s v="LMT"/>
    <n v="2"/>
    <n v="85460"/>
    <n v="42.73"/>
    <s v=""/>
  </r>
  <r>
    <x v="858"/>
    <x v="90"/>
    <s v="Wednesday"/>
    <d v="1899-12-30T10:32:00"/>
    <s v="FUTURE"/>
    <s v="BUY"/>
    <n v="1"/>
    <s v="TO OPEN"/>
    <x v="10"/>
    <d v="2020-10-20T00:00:00"/>
    <m/>
    <s v="FUTURE"/>
    <n v="42.89"/>
    <n v="42.89"/>
    <s v="STP"/>
    <n v="3"/>
    <n v="128350"/>
    <n v="42.783333333333339"/>
    <s v=""/>
  </r>
  <r>
    <x v="858"/>
    <x v="90"/>
    <s v="Wednesday"/>
    <d v="1899-12-30T10:33:00"/>
    <s v="FUTURE"/>
    <s v="SELL"/>
    <n v="-1"/>
    <s v="TO CLOSE"/>
    <x v="10"/>
    <d v="2020-10-20T00:00:00"/>
    <m/>
    <s v="FUTURE"/>
    <n v="42.96"/>
    <n v="42.96"/>
    <s v="LMT"/>
    <n v="2"/>
    <n v="85390"/>
    <n v="42.695"/>
    <s v=""/>
  </r>
  <r>
    <x v="858"/>
    <x v="90"/>
    <s v="Wednesday"/>
    <d v="1899-12-30T10:34:00"/>
    <s v="FUTURE"/>
    <s v="SELL"/>
    <n v="-1"/>
    <s v="TO CLOSE"/>
    <x v="10"/>
    <d v="2020-10-20T00:00:00"/>
    <m/>
    <s v="FUTURE"/>
    <n v="42.98"/>
    <n v="42.98"/>
    <s v="LMT"/>
    <n v="1"/>
    <n v="42410"/>
    <n v="42.41"/>
    <s v=""/>
  </r>
  <r>
    <x v="858"/>
    <x v="90"/>
    <s v="Wednesday"/>
    <d v="1899-12-30T10:35:00"/>
    <s v="FUTURE"/>
    <s v="SELL"/>
    <n v="-1"/>
    <s v="TO CLOSE"/>
    <x v="10"/>
    <d v="2020-10-20T00:00:00"/>
    <m/>
    <s v="FUTURE"/>
    <n v="42.98"/>
    <n v="42.98"/>
    <s v="MKT"/>
    <n v="0"/>
    <n v="0"/>
    <s v=""/>
    <n v="570.00000000000023"/>
  </r>
  <r>
    <x v="859"/>
    <x v="90"/>
    <s v="Wednesday"/>
    <d v="1899-12-30T10:39:00"/>
    <s v="FUTURE"/>
    <s v="BUY"/>
    <n v="1"/>
    <s v="TO OPEN"/>
    <x v="10"/>
    <d v="2020-10-20T00:00:00"/>
    <m/>
    <s v="FUTURE"/>
    <n v="42.88"/>
    <n v="42.88"/>
    <s v="LMT"/>
    <n v="1"/>
    <n v="42880"/>
    <n v="42.88"/>
    <s v=""/>
  </r>
  <r>
    <x v="859"/>
    <x v="90"/>
    <s v="Wednesday"/>
    <d v="1899-12-30T10:43:00"/>
    <s v="FUTURE"/>
    <s v="SELL"/>
    <n v="-1"/>
    <s v="TO CLOSE"/>
    <x v="10"/>
    <d v="2020-10-20T00:00:00"/>
    <m/>
    <s v="FUTURE"/>
    <n v="42.9"/>
    <n v="42.9"/>
    <s v="LMT"/>
    <n v="0"/>
    <n v="0"/>
    <s v=""/>
    <n v="19.999999999996021"/>
  </r>
  <r>
    <x v="860"/>
    <x v="90"/>
    <s v="Wednesday"/>
    <d v="1899-12-30T10:54:00"/>
    <s v="FUTURE"/>
    <s v="BUY"/>
    <n v="1"/>
    <s v="TO OPEN"/>
    <x v="10"/>
    <d v="2020-10-20T00:00:00"/>
    <m/>
    <s v="FUTURE"/>
    <n v="42.73"/>
    <n v="42.73"/>
    <s v="MKT"/>
    <n v="1"/>
    <n v="42730"/>
    <n v="42.73"/>
    <s v=""/>
  </r>
  <r>
    <x v="860"/>
    <x v="90"/>
    <s v="Wednesday"/>
    <d v="1899-12-30T11:05:00"/>
    <s v="FUTURE"/>
    <s v="SELL"/>
    <n v="-1"/>
    <s v="TO CLOSE"/>
    <x v="10"/>
    <d v="2020-10-20T00:00:00"/>
    <m/>
    <s v="FUTURE"/>
    <n v="42.74"/>
    <n v="42.74"/>
    <s v="LMT"/>
    <n v="0"/>
    <n v="0"/>
    <s v=""/>
    <n v="10.000000000005116"/>
  </r>
  <r>
    <x v="861"/>
    <x v="90"/>
    <s v="Wednesday"/>
    <d v="1899-12-30T11:09:00"/>
    <s v="FUTURE"/>
    <s v="SELL"/>
    <n v="-1"/>
    <s v="TO OPEN"/>
    <x v="10"/>
    <d v="2020-10-20T00:00:00"/>
    <m/>
    <s v="FUTURE"/>
    <n v="42.74"/>
    <n v="42.74"/>
    <s v="LMT"/>
    <n v="-1"/>
    <n v="-42740"/>
    <n v="42.74"/>
    <s v=""/>
  </r>
  <r>
    <x v="861"/>
    <x v="90"/>
    <s v="Wednesday"/>
    <d v="1899-12-30T14:01:00"/>
    <s v="FUTURE"/>
    <s v="BUY"/>
    <n v="1"/>
    <s v="TO CLOSE"/>
    <x v="10"/>
    <d v="2020-10-20T00:00:00"/>
    <m/>
    <s v="FUTURE"/>
    <n v="43.15"/>
    <n v="43.15"/>
    <s v="STP"/>
    <n v="0"/>
    <n v="0"/>
    <s v=""/>
    <n v="-409.99999999999659"/>
  </r>
  <r>
    <x v="862"/>
    <x v="90"/>
    <s v="Wednesday"/>
    <d v="1899-12-30T14:16:00"/>
    <s v="FUTURE"/>
    <s v="SELL"/>
    <n v="-1"/>
    <s v="TO OPEN"/>
    <x v="10"/>
    <d v="2020-10-20T00:00:00"/>
    <m/>
    <s v="FUTURE"/>
    <n v="42.97"/>
    <n v="42.97"/>
    <s v="LMT"/>
    <n v="-1"/>
    <n v="-42970"/>
    <n v="42.97"/>
    <s v=""/>
  </r>
  <r>
    <x v="862"/>
    <x v="90"/>
    <s v="Wednesday"/>
    <d v="1899-12-30T14:24:00"/>
    <s v="FUTURE"/>
    <s v="BUY"/>
    <n v="1"/>
    <s v="TO CLOSE"/>
    <x v="10"/>
    <d v="2020-10-20T00:00:00"/>
    <m/>
    <s v="FUTURE"/>
    <n v="43.07"/>
    <n v="43.07"/>
    <s v="MKT"/>
    <n v="0"/>
    <n v="0"/>
    <s v=""/>
    <n v="-100.00000000000142"/>
  </r>
  <r>
    <x v="863"/>
    <x v="90"/>
    <s v="Wednesday"/>
    <d v="1899-12-30T09:10:00"/>
    <s v="FUTURE"/>
    <s v="BUY"/>
    <n v="1"/>
    <s v="TO OPEN"/>
    <x v="7"/>
    <d v="2020-09-20T00:00:00"/>
    <m/>
    <s v="FUTURE"/>
    <n v="3388.75"/>
    <n v="3388.75"/>
    <s v="MKT"/>
    <n v="1"/>
    <n v="169437.5"/>
    <n v="3388.75"/>
    <s v=""/>
  </r>
  <r>
    <x v="863"/>
    <x v="90"/>
    <s v="Wednesday"/>
    <d v="1899-12-30T09:30:00"/>
    <s v="FUTURE"/>
    <s v="SELL"/>
    <n v="-1"/>
    <s v="TO CLOSE"/>
    <x v="7"/>
    <d v="2020-09-20T00:00:00"/>
    <m/>
    <s v="FUTURE"/>
    <n v="3389.75"/>
    <n v="3389.75"/>
    <s v="STP"/>
    <n v="0"/>
    <n v="0"/>
    <s v=""/>
    <n v="50"/>
  </r>
  <r>
    <x v="864"/>
    <x v="90"/>
    <s v="Wednesday"/>
    <d v="1899-12-30T10:36:00"/>
    <s v="FUTURE"/>
    <s v="BUY"/>
    <n v="1"/>
    <s v="TO OPEN"/>
    <x v="7"/>
    <d v="2020-09-20T00:00:00"/>
    <m/>
    <s v="FUTURE"/>
    <n v="3392"/>
    <n v="3392"/>
    <s v="MKT"/>
    <n v="1"/>
    <n v="169600"/>
    <n v="3392"/>
    <s v=""/>
  </r>
  <r>
    <x v="864"/>
    <x v="90"/>
    <s v="Wednesday"/>
    <d v="1899-12-30T11:14:00"/>
    <s v="FUTURE"/>
    <s v="SELL"/>
    <n v="-1"/>
    <s v="TO CLOSE"/>
    <x v="7"/>
    <d v="2020-09-20T00:00:00"/>
    <m/>
    <s v="FUTURE"/>
    <n v="3389.5"/>
    <n v="3389.5"/>
    <s v="STP"/>
    <n v="0"/>
    <n v="0"/>
    <s v=""/>
    <n v="-125"/>
  </r>
  <r>
    <x v="865"/>
    <x v="90"/>
    <s v="Wednesday"/>
    <d v="1899-12-30T11:23:00"/>
    <s v="FUTURE"/>
    <s v="SELL"/>
    <n v="-1"/>
    <s v="TO OPEN"/>
    <x v="7"/>
    <d v="2020-09-20T00:00:00"/>
    <m/>
    <s v="FUTURE"/>
    <n v="3390.75"/>
    <n v="3390.75"/>
    <s v="LMT"/>
    <n v="-1"/>
    <n v="-169537.5"/>
    <n v="3390.75"/>
    <s v=""/>
  </r>
  <r>
    <x v="865"/>
    <x v="90"/>
    <s v="Wednesday"/>
    <d v="1899-12-30T14:04:00"/>
    <s v="FUTURE"/>
    <s v="BUY"/>
    <n v="1"/>
    <s v="TO CLOSE"/>
    <x v="7"/>
    <d v="2020-09-20T00:00:00"/>
    <m/>
    <s v="FUTURE"/>
    <n v="3394.75"/>
    <n v="3394.75"/>
    <s v="STP"/>
    <n v="0"/>
    <n v="0"/>
    <s v=""/>
    <n v="-200"/>
  </r>
  <r>
    <x v="866"/>
    <x v="90"/>
    <s v="Wednesday"/>
    <d v="1899-12-30T14:05:00"/>
    <s v="FUTURE"/>
    <s v="SELL"/>
    <n v="-2"/>
    <s v="TO OPEN"/>
    <x v="7"/>
    <d v="2020-09-20T00:00:00"/>
    <m/>
    <s v="FUTURE"/>
    <n v="3391.25"/>
    <n v="3391.25"/>
    <s v="MKT"/>
    <n v="-2"/>
    <n v="-339125"/>
    <n v="3391.25"/>
    <s v=""/>
  </r>
  <r>
    <x v="866"/>
    <x v="90"/>
    <s v="Wednesday"/>
    <d v="1899-12-30T14:07:00"/>
    <s v="FUTURE"/>
    <s v="BUY"/>
    <n v="1"/>
    <s v="TO CLOSE"/>
    <x v="7"/>
    <d v="2020-09-20T00:00:00"/>
    <m/>
    <s v="FUTURE"/>
    <n v="3388.5"/>
    <n v="3388.5"/>
    <s v="MKT"/>
    <n v="-1"/>
    <n v="-169700"/>
    <n v="3394"/>
    <s v=""/>
  </r>
  <r>
    <x v="866"/>
    <x v="90"/>
    <s v="Wednesday"/>
    <d v="1899-12-30T14:14:00"/>
    <s v="FUTURE"/>
    <s v="BUY"/>
    <n v="1"/>
    <s v="TO CLOSE"/>
    <x v="7"/>
    <d v="2020-09-20T00:00:00"/>
    <m/>
    <s v="FUTURE"/>
    <n v="3385.75"/>
    <n v="3385.75"/>
    <s v="MKT"/>
    <n v="0"/>
    <n v="0"/>
    <s v=""/>
    <n v="412.5"/>
  </r>
  <r>
    <x v="867"/>
    <x v="90"/>
    <s v="Wednesday"/>
    <d v="1899-12-30T14:19:00"/>
    <s v="FUTURE"/>
    <s v="BUY"/>
    <n v="1"/>
    <s v="TO OPEN"/>
    <x v="7"/>
    <d v="2020-09-20T00:00:00"/>
    <m/>
    <s v="FUTURE"/>
    <n v="3382"/>
    <n v="3382"/>
    <s v="MKT"/>
    <n v="1"/>
    <n v="169100"/>
    <n v="3382"/>
    <s v=""/>
  </r>
  <r>
    <x v="867"/>
    <x v="90"/>
    <s v="Wednesday"/>
    <d v="1899-12-30T14:24:00"/>
    <s v="FUTURE"/>
    <s v="SELL"/>
    <n v="-1"/>
    <s v="TO CLOSE"/>
    <x v="7"/>
    <d v="2020-09-20T00:00:00"/>
    <m/>
    <s v="FUTURE"/>
    <n v="3382.25"/>
    <n v="3382.25"/>
    <s v="STP"/>
    <n v="0"/>
    <n v="0"/>
    <s v=""/>
    <n v="12.5"/>
  </r>
  <r>
    <x v="868"/>
    <x v="90"/>
    <s v="Wednesday"/>
    <d v="1899-12-30T14:26:00"/>
    <s v="FUTURE"/>
    <s v="BUY"/>
    <n v="1"/>
    <s v="TO OPEN"/>
    <x v="7"/>
    <d v="2020-09-20T00:00:00"/>
    <m/>
    <s v="FUTURE"/>
    <n v="3384.25"/>
    <n v="3384.25"/>
    <s v="MKT"/>
    <n v="1"/>
    <n v="169212.5"/>
    <n v="3384.25"/>
    <s v=""/>
  </r>
  <r>
    <x v="868"/>
    <x v="90"/>
    <s v="Wednesday"/>
    <d v="1899-12-30T14:53:00"/>
    <s v="FUTURE"/>
    <s v="SELL"/>
    <n v="-1"/>
    <s v="TO CLOSE"/>
    <x v="7"/>
    <d v="2020-09-20T00:00:00"/>
    <m/>
    <s v="FUTURE"/>
    <n v="3384.5"/>
    <n v="3384.5"/>
    <s v="STP"/>
    <n v="0"/>
    <n v="0"/>
    <s v=""/>
    <n v="12.5"/>
  </r>
  <r>
    <x v="869"/>
    <x v="90"/>
    <s v="Wednesday"/>
    <d v="1899-12-30T11:21:00"/>
    <s v="STOCK"/>
    <s v="BUY"/>
    <n v="400"/>
    <s v="TO OPEN"/>
    <x v="2"/>
    <m/>
    <m/>
    <s v="STOCK"/>
    <n v="24.38"/>
    <n v="24.38"/>
    <s v="LMT"/>
    <n v="400"/>
    <n v="9752"/>
    <n v="24.38"/>
    <s v=""/>
  </r>
  <r>
    <x v="869"/>
    <x v="90"/>
    <s v="Wednesday"/>
    <d v="1899-12-30T12:07:00"/>
    <s v="STOCK"/>
    <s v="BUY"/>
    <n v="100"/>
    <s v="TO OPEN"/>
    <x v="2"/>
    <m/>
    <m/>
    <s v="STOCK"/>
    <n v="24.275300000000001"/>
    <n v="24.275300000000001"/>
    <s v="LMT"/>
    <n v="500"/>
    <n v="12179.53"/>
    <n v="24.359060000000003"/>
    <s v=""/>
  </r>
  <r>
    <x v="869"/>
    <x v="90"/>
    <s v="Wednesday"/>
    <d v="1899-12-30T14:00:00"/>
    <s v="STOCK"/>
    <s v="SELL"/>
    <n v="-500"/>
    <s v="TO CLOSE"/>
    <x v="2"/>
    <m/>
    <m/>
    <s v="STOCK"/>
    <n v="23.96"/>
    <n v="23.96"/>
    <s v="STP"/>
    <n v="0"/>
    <n v="0"/>
    <s v=""/>
    <n v="-199.53000000000111"/>
  </r>
  <r>
    <x v="870"/>
    <x v="90"/>
    <s v="Wednesday"/>
    <d v="1899-12-30T14:13:00"/>
    <s v="STOCK"/>
    <s v="BUY"/>
    <n v="300"/>
    <s v="TO OPEN"/>
    <x v="2"/>
    <m/>
    <m/>
    <s v="STOCK"/>
    <n v="24.145"/>
    <n v="24.145"/>
    <s v="LMT"/>
    <n v="300"/>
    <n v="7243.5"/>
    <n v="24.145"/>
    <s v=""/>
  </r>
  <r>
    <x v="870"/>
    <x v="90"/>
    <s v="Wednesday"/>
    <d v="1899-12-30T14:17:00"/>
    <s v="STOCK"/>
    <s v="SELL"/>
    <n v="-300"/>
    <s v="TO CLOSE"/>
    <x v="2"/>
    <m/>
    <m/>
    <s v="STOCK"/>
    <n v="24.295000000000002"/>
    <n v="24.295000000000002"/>
    <s v="LMT"/>
    <n v="0"/>
    <n v="0"/>
    <s v=""/>
    <n v="45.000000000000639"/>
  </r>
  <r>
    <x v="871"/>
    <x v="90"/>
    <s v="Wednesday"/>
    <d v="1899-12-30T14:26:00"/>
    <s v="STOCK"/>
    <s v="SELL"/>
    <n v="-400"/>
    <s v="TO OPEN"/>
    <x v="2"/>
    <m/>
    <m/>
    <s v="STOCK"/>
    <n v="24.3126"/>
    <n v="24.3126"/>
    <s v="LMT"/>
    <n v="-400"/>
    <n v="-9725.0399999999991"/>
    <n v="24.312599999999996"/>
    <s v=""/>
  </r>
  <r>
    <x v="871"/>
    <x v="90"/>
    <s v="Wednesday"/>
    <d v="1899-12-30T14:28:00"/>
    <s v="STOCK"/>
    <s v="BUY"/>
    <n v="400"/>
    <s v="TO CLOSE"/>
    <x v="2"/>
    <m/>
    <m/>
    <s v="STOCK"/>
    <n v="24.4495"/>
    <n v="24.4495"/>
    <s v="STP"/>
    <n v="0"/>
    <n v="0"/>
    <s v=""/>
    <n v="-54.760000000001696"/>
  </r>
  <r>
    <x v="872"/>
    <x v="90"/>
    <s v="Wednesday"/>
    <d v="1899-12-30T14:29:00"/>
    <s v="STOCK"/>
    <s v="SELL"/>
    <n v="-269"/>
    <s v="TO OPEN"/>
    <x v="2"/>
    <m/>
    <m/>
    <s v="STOCK"/>
    <n v="24.3901"/>
    <n v="24.39011"/>
    <s v="MKT"/>
    <n v="-269"/>
    <n v="-6560.9368999999997"/>
    <n v="24.3901"/>
    <s v=""/>
  </r>
  <r>
    <x v="872"/>
    <x v="90"/>
    <s v="Wednesday"/>
    <d v="1899-12-30T14:29:00"/>
    <s v="STOCK"/>
    <s v="SELL"/>
    <n v="-31"/>
    <s v="TO OPEN"/>
    <x v="2"/>
    <m/>
    <m/>
    <s v="STOCK"/>
    <n v="24.395"/>
    <n v="24.394839999999999"/>
    <s v="MKT"/>
    <n v="-300"/>
    <n v="-7317.1818999999996"/>
    <n v="24.390606333333331"/>
    <s v=""/>
  </r>
  <r>
    <x v="872"/>
    <x v="90"/>
    <s v="Wednesday"/>
    <d v="1899-12-30T14:29:00"/>
    <s v="STOCK"/>
    <s v="SELL"/>
    <n v="-100"/>
    <s v="TO OPEN"/>
    <x v="2"/>
    <m/>
    <m/>
    <s v="STOCK"/>
    <n v="24.395"/>
    <n v="24.395"/>
    <s v="MKT"/>
    <n v="-400"/>
    <n v="-9756.6818999999996"/>
    <n v="24.391704749999999"/>
    <s v=""/>
  </r>
  <r>
    <x v="872"/>
    <x v="90"/>
    <s v="Wednesday"/>
    <d v="1899-12-30T14:30:00"/>
    <s v="STOCK"/>
    <s v="SELL"/>
    <n v="-100"/>
    <s v="TO OPEN"/>
    <x v="2"/>
    <m/>
    <m/>
    <s v="STOCK"/>
    <n v="24.445"/>
    <n v="24.445"/>
    <s v="LMT"/>
    <n v="-500"/>
    <n v="-12201.1819"/>
    <n v="24.4023638"/>
    <s v=""/>
  </r>
  <r>
    <x v="872"/>
    <x v="90"/>
    <s v="Wednesday"/>
    <d v="1899-12-30T15:10:00"/>
    <s v="STOCK"/>
    <s v="BUY"/>
    <n v="300"/>
    <s v="TO CLOSE"/>
    <x v="2"/>
    <m/>
    <m/>
    <s v="STOCK"/>
    <n v="24.129899999999999"/>
    <n v="24.129899999999999"/>
    <s v="MKT"/>
    <n v="-200"/>
    <n v="-4962.2119000000002"/>
    <n v="24.811059500000002"/>
    <s v=""/>
  </r>
  <r>
    <x v="872"/>
    <x v="90"/>
    <s v="Wednesday"/>
    <d v="1899-12-30T15:10:00"/>
    <s v="STOCK"/>
    <s v="BUY"/>
    <n v="100"/>
    <s v="TO CLOSE"/>
    <x v="2"/>
    <m/>
    <m/>
    <s v="STOCK"/>
    <n v="24.12"/>
    <n v="24.12"/>
    <s v="LMT"/>
    <n v="-100"/>
    <n v="-2550.2119000000002"/>
    <n v="25.502119000000004"/>
    <s v=""/>
  </r>
  <r>
    <x v="872"/>
    <x v="90"/>
    <s v="Wednesday"/>
    <d v="1899-12-30T15:10:00"/>
    <s v="STOCK"/>
    <s v="BUY"/>
    <n v="100"/>
    <s v="TO CLOSE"/>
    <x v="2"/>
    <m/>
    <m/>
    <s v="STOCK"/>
    <n v="24.12"/>
    <n v="24.12"/>
    <s v="LMT"/>
    <n v="0"/>
    <n v="0"/>
    <s v=""/>
    <n v="138.2119000000003"/>
  </r>
  <r>
    <x v="873"/>
    <x v="91"/>
    <s v="Thursday"/>
    <d v="1899-12-30T08:55:58"/>
    <s v="FUTURE"/>
    <s v="SELL"/>
    <n v="-1"/>
    <s v="TO OPEN"/>
    <x v="10"/>
    <d v="2020-10-20T00:00:00"/>
    <m/>
    <s v="FUTURE"/>
    <n v="42.74"/>
    <n v="42.74"/>
    <s v="LMT"/>
    <n v="-1"/>
    <n v="-42740"/>
    <n v="42.74"/>
    <s v=""/>
  </r>
  <r>
    <x v="873"/>
    <x v="91"/>
    <s v="Thursday"/>
    <d v="1899-12-30T09:01:00"/>
    <s v="FUTURE"/>
    <s v="BUY"/>
    <n v="1"/>
    <s v="TO CLOSE"/>
    <x v="10"/>
    <d v="2020-10-20T00:00:00"/>
    <m/>
    <s v="FUTURE"/>
    <n v="42.61"/>
    <n v="42.61"/>
    <s v="LMT"/>
    <n v="0"/>
    <n v="0"/>
    <s v=""/>
    <n v="130.00000000000256"/>
  </r>
  <r>
    <x v="874"/>
    <x v="91"/>
    <s v="Thursday"/>
    <d v="1899-12-30T09:09:01"/>
    <s v="FUTURE"/>
    <s v="BUY"/>
    <n v="1"/>
    <s v="TO OPEN"/>
    <x v="10"/>
    <d v="2020-10-20T00:00:00"/>
    <m/>
    <s v="FUTURE"/>
    <n v="42.21"/>
    <n v="42.21"/>
    <s v="MKT"/>
    <n v="1"/>
    <n v="42210"/>
    <n v="42.21"/>
    <s v=""/>
  </r>
  <r>
    <x v="874"/>
    <x v="91"/>
    <s v="Thursday"/>
    <d v="1899-12-30T09:09:54"/>
    <s v="FUTURE"/>
    <s v="SELL"/>
    <n v="-1"/>
    <s v="TO CLOSE"/>
    <x v="10"/>
    <d v="2020-10-20T00:00:00"/>
    <m/>
    <s v="FUTURE"/>
    <n v="42.27"/>
    <n v="42.27"/>
    <s v="LMT"/>
    <n v="0"/>
    <n v="0"/>
    <s v=""/>
    <n v="60.000000000002274"/>
  </r>
  <r>
    <x v="875"/>
    <x v="91"/>
    <s v="Thursday"/>
    <d v="1899-12-30T09:10:57"/>
    <s v="FUTURE"/>
    <s v="BUY"/>
    <n v="1"/>
    <s v="TO OPEN"/>
    <x v="10"/>
    <d v="2020-10-20T00:00:00"/>
    <m/>
    <s v="FUTURE"/>
    <n v="42.21"/>
    <n v="42.21"/>
    <s v="MKT"/>
    <n v="1"/>
    <n v="42210"/>
    <n v="42.21"/>
    <s v=""/>
  </r>
  <r>
    <x v="875"/>
    <x v="91"/>
    <s v="Thursday"/>
    <d v="1899-12-30T09:19:18"/>
    <s v="FUTURE"/>
    <s v="BUY"/>
    <n v="1"/>
    <s v="TO OPEN"/>
    <x v="10"/>
    <d v="2020-10-20T00:00:00"/>
    <m/>
    <s v="FUTURE"/>
    <n v="42.15"/>
    <n v="42.15"/>
    <s v="LMT"/>
    <n v="2"/>
    <n v="84360"/>
    <n v="42.18"/>
    <s v=""/>
  </r>
  <r>
    <x v="875"/>
    <x v="91"/>
    <s v="Thursday"/>
    <d v="1899-12-30T09:25:23"/>
    <s v="FUTURE"/>
    <s v="BUY"/>
    <n v="1"/>
    <s v="TO OPEN"/>
    <x v="10"/>
    <d v="2020-10-20T00:00:00"/>
    <m/>
    <s v="FUTURE"/>
    <n v="41.98"/>
    <n v="41.98"/>
    <s v="LMT"/>
    <n v="3"/>
    <n v="126340"/>
    <n v="42.113333333333337"/>
    <s v=""/>
  </r>
  <r>
    <x v="875"/>
    <x v="91"/>
    <s v="Thursday"/>
    <d v="1899-12-30T10:18:12"/>
    <s v="FUTURE"/>
    <s v="SELL"/>
    <n v="-1"/>
    <s v="TO CLOSE"/>
    <x v="10"/>
    <d v="2020-10-20T00:00:00"/>
    <m/>
    <s v="FUTURE"/>
    <n v="42.18"/>
    <n v="42.18"/>
    <s v="LMT"/>
    <n v="2"/>
    <n v="84160"/>
    <n v="42.08"/>
    <s v=""/>
  </r>
  <r>
    <x v="875"/>
    <x v="91"/>
    <s v="Thursday"/>
    <d v="1899-12-30T10:19:30"/>
    <s v="FUTURE"/>
    <s v="SELL"/>
    <n v="-1"/>
    <s v="TO CLOSE"/>
    <x v="10"/>
    <d v="2020-10-20T00:00:00"/>
    <m/>
    <s v="FUTURE"/>
    <n v="42.28"/>
    <n v="42.28"/>
    <s v="LMT"/>
    <n v="1"/>
    <n v="41880"/>
    <n v="41.88"/>
    <s v=""/>
  </r>
  <r>
    <x v="875"/>
    <x v="91"/>
    <s v="Thursday"/>
    <d v="1899-12-30T10:20:35"/>
    <s v="FUTURE"/>
    <s v="SELL"/>
    <n v="-1"/>
    <s v="TO CLOSE"/>
    <x v="10"/>
    <d v="2020-10-20T00:00:00"/>
    <m/>
    <s v="FUTURE"/>
    <n v="42.39"/>
    <n v="42.39"/>
    <s v="LMT"/>
    <n v="0"/>
    <n v="0"/>
    <s v=""/>
    <n v="509.99999999999801"/>
  </r>
  <r>
    <x v="876"/>
    <x v="91"/>
    <s v="Thursday"/>
    <d v="1899-12-30T10:47:38"/>
    <s v="FUTURE"/>
    <s v="SELL"/>
    <n v="-1"/>
    <s v="TO OPEN"/>
    <x v="10"/>
    <d v="2020-10-20T00:00:00"/>
    <m/>
    <s v="FUTURE"/>
    <n v="42.71"/>
    <n v="42.71"/>
    <s v="MKT"/>
    <n v="-1"/>
    <n v="-42710"/>
    <n v="42.71"/>
    <s v=""/>
  </r>
  <r>
    <x v="876"/>
    <x v="91"/>
    <s v="Thursday"/>
    <d v="1899-12-30T10:58:04"/>
    <s v="FUTURE"/>
    <s v="SELL"/>
    <n v="-1"/>
    <s v="TO OPEN"/>
    <x v="10"/>
    <d v="2020-10-20T00:00:00"/>
    <m/>
    <s v="FUTURE"/>
    <n v="42.81"/>
    <n v="42.81"/>
    <s v="LMT"/>
    <n v="-2"/>
    <n v="-85520"/>
    <n v="42.76"/>
    <s v=""/>
  </r>
  <r>
    <x v="876"/>
    <x v="91"/>
    <s v="Thursday"/>
    <d v="1899-12-30T11:02:48"/>
    <s v="FUTURE"/>
    <s v="BUY"/>
    <n v="1"/>
    <s v="TO CLOSE"/>
    <x v="10"/>
    <d v="2020-10-20T00:00:00"/>
    <m/>
    <s v="FUTURE"/>
    <n v="42.68"/>
    <n v="42.68"/>
    <s v="LMT"/>
    <n v="-1"/>
    <n v="-42840"/>
    <n v="42.84"/>
    <s v=""/>
  </r>
  <r>
    <x v="876"/>
    <x v="91"/>
    <s v="Thursday"/>
    <d v="1899-12-30T11:08:05"/>
    <s v="FUTURE"/>
    <s v="BUY"/>
    <n v="1"/>
    <s v="TO CLOSE"/>
    <x v="10"/>
    <d v="2020-10-20T00:00:00"/>
    <m/>
    <s v="FUTURE"/>
    <n v="42.6"/>
    <n v="42.6"/>
    <s v="MKT"/>
    <n v="0"/>
    <n v="0"/>
    <s v=""/>
    <n v="240.00000000000199"/>
  </r>
  <r>
    <x v="877"/>
    <x v="91"/>
    <s v="Thursday"/>
    <d v="1899-12-30T10:50:16"/>
    <s v="FUTURE"/>
    <s v="BUY"/>
    <n v="1"/>
    <s v="TO OPEN"/>
    <x v="7"/>
    <d v="2020-09-20T00:00:00"/>
    <m/>
    <s v="FUTURE"/>
    <n v="3373.25"/>
    <n v="3373.25"/>
    <s v="MKT"/>
    <n v="1"/>
    <n v="168662.5"/>
    <n v="3373.25"/>
    <s v=""/>
  </r>
  <r>
    <x v="877"/>
    <x v="91"/>
    <s v="Thursday"/>
    <d v="1899-12-30T10:53:46"/>
    <s v="FUTURE"/>
    <s v="SELL"/>
    <n v="-1"/>
    <s v="TO CLOSE"/>
    <x v="7"/>
    <d v="2020-09-20T00:00:00"/>
    <m/>
    <s v="FUTURE"/>
    <n v="3373.5"/>
    <n v="3373.5"/>
    <s v="LMT"/>
    <n v="0"/>
    <n v="0"/>
    <s v=""/>
    <n v="12.5"/>
  </r>
  <r>
    <x v="878"/>
    <x v="92"/>
    <s v="Friday"/>
    <d v="1899-12-30T09:24:13"/>
    <s v="FUTURE"/>
    <s v="BUY"/>
    <n v="1"/>
    <s v="TO OPEN"/>
    <x v="10"/>
    <d v="2020-10-20T00:00:00"/>
    <m/>
    <s v="FUTURE"/>
    <n v="41.99"/>
    <n v="41.99"/>
    <s v="LMT"/>
    <n v="1"/>
    <n v="41990"/>
    <n v="41.99"/>
    <s v=""/>
  </r>
  <r>
    <x v="878"/>
    <x v="92"/>
    <s v="Friday"/>
    <d v="1899-12-30T09:34:21"/>
    <s v="FUTURE"/>
    <s v="BUY"/>
    <n v="1"/>
    <s v="TO OPEN"/>
    <x v="10"/>
    <d v="2020-10-20T00:00:00"/>
    <m/>
    <s v="FUTURE"/>
    <n v="41.95"/>
    <n v="41.95"/>
    <s v="LMT"/>
    <n v="2"/>
    <n v="83940"/>
    <n v="41.97"/>
    <s v=""/>
  </r>
  <r>
    <x v="878"/>
    <x v="92"/>
    <s v="Friday"/>
    <d v="1899-12-30T10:06:14"/>
    <s v="FUTURE"/>
    <s v="BUY"/>
    <n v="1"/>
    <s v="TO OPEN"/>
    <x v="10"/>
    <d v="2020-10-20T00:00:00"/>
    <m/>
    <s v="FUTURE"/>
    <n v="42.09"/>
    <n v="42.09"/>
    <s v="STP"/>
    <n v="3"/>
    <n v="126030"/>
    <n v="42.01"/>
    <s v=""/>
  </r>
  <r>
    <x v="878"/>
    <x v="92"/>
    <s v="Friday"/>
    <d v="1899-12-30T10:07:59"/>
    <s v="FUTURE"/>
    <s v="SELL"/>
    <n v="-1"/>
    <s v="TO CLOSE"/>
    <x v="10"/>
    <d v="2020-10-20T00:00:00"/>
    <m/>
    <s v="FUTURE"/>
    <n v="42.13"/>
    <n v="42.13"/>
    <s v="LMT"/>
    <n v="2"/>
    <n v="83900"/>
    <n v="41.95"/>
    <s v=""/>
  </r>
  <r>
    <x v="878"/>
    <x v="92"/>
    <s v="Friday"/>
    <d v="1899-12-30T10:08:39"/>
    <s v="FUTURE"/>
    <s v="SELL"/>
    <n v="-1"/>
    <s v="TO CLOSE"/>
    <x v="10"/>
    <d v="2020-10-20T00:00:00"/>
    <m/>
    <s v="FUTURE"/>
    <n v="42.19"/>
    <n v="42.19"/>
    <s v="LMT"/>
    <n v="1"/>
    <n v="41710"/>
    <n v="41.71"/>
    <s v=""/>
  </r>
  <r>
    <x v="878"/>
    <x v="92"/>
    <s v="Friday"/>
    <d v="1899-12-30T10:09:45"/>
    <s v="FUTURE"/>
    <s v="SELL"/>
    <n v="-1"/>
    <s v="TO CLOSE"/>
    <x v="10"/>
    <d v="2020-10-20T00:00:00"/>
    <m/>
    <s v="FUTURE"/>
    <n v="42.23"/>
    <n v="42.23"/>
    <s v="LMT"/>
    <n v="0"/>
    <n v="0"/>
    <s v=""/>
    <n v="519.99999999999602"/>
  </r>
  <r>
    <x v="879"/>
    <x v="92"/>
    <s v="Friday"/>
    <d v="1899-12-30T11:21:16"/>
    <s v="FUTURE"/>
    <s v="BUY"/>
    <n v="1"/>
    <s v="TO OPEN"/>
    <x v="10"/>
    <d v="2020-10-20T00:00:00"/>
    <m/>
    <s v="FUTURE"/>
    <n v="41.83"/>
    <n v="41.83"/>
    <s v="MKT"/>
    <n v="1"/>
    <n v="41830"/>
    <n v="41.83"/>
    <s v=""/>
  </r>
  <r>
    <x v="879"/>
    <x v="92"/>
    <s v="Friday"/>
    <d v="1899-12-30T11:23:47"/>
    <s v="FUTURE"/>
    <s v="SELL"/>
    <n v="-1"/>
    <s v="TO CLOSE"/>
    <x v="10"/>
    <d v="2020-10-20T00:00:00"/>
    <m/>
    <s v="FUTURE"/>
    <n v="41.88"/>
    <n v="41.88"/>
    <s v="LMT"/>
    <n v="0"/>
    <n v="0"/>
    <s v=""/>
    <n v="50.000000000004263"/>
  </r>
  <r>
    <x v="880"/>
    <x v="92"/>
    <s v="Friday"/>
    <d v="1899-12-30T11:48:53"/>
    <s v="FUTURE"/>
    <s v="BUY"/>
    <n v="1"/>
    <s v="TO OPEN"/>
    <x v="10"/>
    <d v="2020-10-20T00:00:00"/>
    <m/>
    <s v="FUTURE"/>
    <n v="41.64"/>
    <n v="41.64"/>
    <s v="MKT"/>
    <n v="1"/>
    <n v="41640"/>
    <n v="41.64"/>
    <s v=""/>
  </r>
  <r>
    <x v="880"/>
    <x v="92"/>
    <s v="Friday"/>
    <d v="1899-12-30T12:00:07"/>
    <s v="FUTURE"/>
    <s v="BUY"/>
    <n v="1"/>
    <s v="TO OPEN"/>
    <x v="10"/>
    <d v="2020-10-20T00:00:00"/>
    <m/>
    <s v="FUTURE"/>
    <n v="41.53"/>
    <n v="41.53"/>
    <s v="MKT"/>
    <n v="2"/>
    <n v="83170"/>
    <n v="41.585000000000001"/>
    <s v=""/>
  </r>
  <r>
    <x v="880"/>
    <x v="92"/>
    <s v="Friday"/>
    <d v="1899-12-30T12:37:21"/>
    <s v="FUTURE"/>
    <s v="SELL"/>
    <n v="-1"/>
    <s v="TO CLOSE"/>
    <x v="10"/>
    <d v="2020-10-20T00:00:00"/>
    <m/>
    <s v="FUTURE"/>
    <n v="41.6"/>
    <n v="41.6"/>
    <s v="LMT"/>
    <n v="1"/>
    <n v="41570"/>
    <n v="41.57"/>
    <s v=""/>
  </r>
  <r>
    <x v="880"/>
    <x v="92"/>
    <s v="Friday"/>
    <d v="1899-12-30T12:39:45"/>
    <s v="FUTURE"/>
    <s v="SELL"/>
    <n v="-1"/>
    <s v="TO CLOSE"/>
    <x v="10"/>
    <d v="2020-10-20T00:00:00"/>
    <m/>
    <s v="FUTURE"/>
    <n v="41.59"/>
    <n v="41.59"/>
    <s v="LMT"/>
    <n v="0"/>
    <n v="0"/>
    <s v=""/>
    <n v="20.000000000003126"/>
  </r>
  <r>
    <x v="881"/>
    <x v="92"/>
    <s v="Friday"/>
    <d v="1899-12-30T10:14:15"/>
    <s v="FUTURE"/>
    <s v="BUY"/>
    <n v="1"/>
    <s v="TO OPEN"/>
    <x v="7"/>
    <d v="2020-09-20T00:00:00"/>
    <m/>
    <s v="FUTURE"/>
    <n v="3380.5"/>
    <n v="3380.5"/>
    <s v="MKT"/>
    <n v="1"/>
    <n v="169025"/>
    <n v="3380.5"/>
    <s v=""/>
  </r>
  <r>
    <x v="881"/>
    <x v="92"/>
    <s v="Friday"/>
    <d v="1899-12-30T10:15:35"/>
    <s v="FUTURE"/>
    <s v="SELL"/>
    <n v="-1"/>
    <s v="TO CLOSE"/>
    <x v="7"/>
    <d v="2020-09-20T00:00:00"/>
    <m/>
    <s v="FUTURE"/>
    <n v="3380.75"/>
    <n v="3380.75"/>
    <s v="LMT"/>
    <n v="0"/>
    <n v="0"/>
    <s v=""/>
    <n v="12.5"/>
  </r>
  <r>
    <x v="882"/>
    <x v="92"/>
    <s v="Friday"/>
    <d v="1899-12-30T10:45:01"/>
    <s v="FUTURE"/>
    <s v="SELL"/>
    <n v="-1"/>
    <s v="TO OPEN"/>
    <x v="7"/>
    <d v="2020-09-20T00:00:00"/>
    <m/>
    <s v="FUTURE"/>
    <n v="3385"/>
    <n v="3385"/>
    <s v="LMT"/>
    <n v="-1"/>
    <n v="-169250"/>
    <n v="3385"/>
    <s v=""/>
  </r>
  <r>
    <x v="882"/>
    <x v="92"/>
    <s v="Friday"/>
    <d v="1899-12-30T10:48:14"/>
    <s v="FUTURE"/>
    <s v="BUY"/>
    <n v="1"/>
    <s v="TO CLOSE"/>
    <x v="7"/>
    <d v="2020-09-20T00:00:00"/>
    <m/>
    <s v="FUTURE"/>
    <n v="3384"/>
    <n v="3384"/>
    <s v="LMT"/>
    <n v="0"/>
    <n v="0"/>
    <s v=""/>
    <n v="50"/>
  </r>
  <r>
    <x v="883"/>
    <x v="92"/>
    <s v="Friday"/>
    <d v="1899-12-30T11:27:40"/>
    <s v="STOCK"/>
    <s v="BUY"/>
    <n v="400"/>
    <s v="TO OPEN"/>
    <x v="2"/>
    <m/>
    <m/>
    <s v="STOCK"/>
    <n v="24.809899999999999"/>
    <n v="24.809899999999999"/>
    <s v="MKT"/>
    <n v="400"/>
    <n v="9923.9599999999991"/>
    <n v="24.809899999999999"/>
    <s v=""/>
  </r>
  <r>
    <x v="883"/>
    <x v="92"/>
    <s v="Friday"/>
    <d v="1899-12-30T11:46:33"/>
    <s v="STOCK"/>
    <s v="BUY"/>
    <n v="400"/>
    <s v="TO OPEN"/>
    <x v="2"/>
    <m/>
    <m/>
    <s v="STOCK"/>
    <n v="24.905000000000001"/>
    <n v="24.905000000000001"/>
    <s v="LMT"/>
    <n v="800"/>
    <n v="19885.96"/>
    <n v="24.85745"/>
    <s v=""/>
  </r>
  <r>
    <x v="883"/>
    <x v="92"/>
    <s v="Friday"/>
    <d v="1899-12-30T11:47:47"/>
    <s v="STOCK"/>
    <s v="SELL"/>
    <n v="-400"/>
    <s v="TO CLOSE"/>
    <x v="2"/>
    <m/>
    <m/>
    <s v="STOCK"/>
    <n v="24.912600000000001"/>
    <n v="24.912600000000001"/>
    <s v="MKT"/>
    <n v="400"/>
    <n v="9920.9199999999983"/>
    <n v="24.802299999999995"/>
    <s v=""/>
  </r>
  <r>
    <x v="883"/>
    <x v="92"/>
    <s v="Friday"/>
    <d v="1899-12-30T11:48:33"/>
    <s v="STOCK"/>
    <s v="SELL"/>
    <n v="-400"/>
    <s v="TO CLOSE"/>
    <x v="2"/>
    <m/>
    <m/>
    <s v="STOCK"/>
    <n v="24.895"/>
    <n v="24.895"/>
    <s v="MKT"/>
    <n v="0"/>
    <n v="0"/>
    <s v=""/>
    <n v="37.080000000001689"/>
  </r>
  <r>
    <x v="884"/>
    <x v="92"/>
    <s v="Friday"/>
    <d v="1899-12-30T12:50:48"/>
    <s v="STOCK"/>
    <s v="BUY"/>
    <n v="400"/>
    <s v="TO OPEN"/>
    <x v="2"/>
    <m/>
    <m/>
    <s v="STOCK"/>
    <n v="24.886299999999999"/>
    <n v="24.886299999999999"/>
    <s v="MKT"/>
    <n v="400"/>
    <n v="9954.5199999999986"/>
    <n v="24.886299999999995"/>
    <s v=""/>
  </r>
  <r>
    <x v="884"/>
    <x v="92"/>
    <s v="Friday"/>
    <d v="1899-12-30T13:04:27"/>
    <s v="STOCK"/>
    <s v="SELL"/>
    <n v="-400"/>
    <s v="TO CLOSE"/>
    <x v="2"/>
    <m/>
    <m/>
    <s v="STOCK"/>
    <n v="24.922599999999999"/>
    <n v="24.922599999999999"/>
    <s v="MKT"/>
    <n v="0"/>
    <n v="0"/>
    <s v=""/>
    <n v="14.520000000001687"/>
  </r>
  <r>
    <x v="885"/>
    <x v="93"/>
    <s v="Monday"/>
    <d v="1899-12-30T09:30:19"/>
    <s v="FUTURE"/>
    <s v="BUY"/>
    <n v="1"/>
    <s v="TO OPEN"/>
    <x v="10"/>
    <d v="2020-10-20T00:00:00"/>
    <m/>
    <s v="FUTURE"/>
    <n v="42.49"/>
    <n v="42.49"/>
    <s v="MKT"/>
    <n v="1"/>
    <n v="42490"/>
    <n v="42.49"/>
    <s v=""/>
  </r>
  <r>
    <x v="885"/>
    <x v="93"/>
    <s v="Monday"/>
    <d v="1899-12-30T09:34:57"/>
    <s v="FUTURE"/>
    <s v="BUY"/>
    <n v="1"/>
    <s v="TO OPEN"/>
    <x v="10"/>
    <d v="2020-10-20T00:00:00"/>
    <m/>
    <s v="FUTURE"/>
    <n v="42.47"/>
    <n v="42.47"/>
    <s v="LMT"/>
    <n v="2"/>
    <n v="84960"/>
    <n v="42.48"/>
    <s v=""/>
  </r>
  <r>
    <x v="885"/>
    <x v="93"/>
    <s v="Monday"/>
    <d v="1899-12-30T10:16:41"/>
    <s v="FUTURE"/>
    <s v="SELL"/>
    <n v="-1"/>
    <s v="TO CLOSE"/>
    <x v="10"/>
    <d v="2020-10-20T00:00:00"/>
    <m/>
    <s v="FUTURE"/>
    <n v="42.66"/>
    <n v="42.66"/>
    <s v="LMT"/>
    <n v="1"/>
    <n v="42300"/>
    <n v="42.3"/>
    <s v=""/>
  </r>
  <r>
    <x v="885"/>
    <x v="93"/>
    <s v="Monday"/>
    <d v="1899-12-30T10:20:17"/>
    <s v="FUTURE"/>
    <s v="SELL"/>
    <n v="-1"/>
    <s v="TO CLOSE"/>
    <x v="10"/>
    <d v="2020-10-20T00:00:00"/>
    <m/>
    <s v="FUTURE"/>
    <n v="42.72"/>
    <n v="42.72"/>
    <s v="MKT"/>
    <n v="0"/>
    <n v="0"/>
    <s v=""/>
    <n v="420.00000000000171"/>
  </r>
  <r>
    <x v="886"/>
    <x v="93"/>
    <s v="Monday"/>
    <d v="1899-12-30T10:43:44"/>
    <s v="FUTURE"/>
    <s v="SELL"/>
    <n v="-2"/>
    <s v="TO OPEN"/>
    <x v="10"/>
    <d v="2020-10-20T00:00:00"/>
    <m/>
    <s v="FUTURE"/>
    <n v="42.61"/>
    <n v="42.61"/>
    <s v="MKT"/>
    <n v="-2"/>
    <n v="-85220"/>
    <n v="42.61"/>
    <s v=""/>
  </r>
  <r>
    <x v="886"/>
    <x v="93"/>
    <s v="Monday"/>
    <d v="1899-12-30T10:53:49"/>
    <s v="FUTURE"/>
    <s v="BUY"/>
    <n v="1"/>
    <s v="TO CLOSE"/>
    <x v="10"/>
    <d v="2020-10-20T00:00:00"/>
    <m/>
    <s v="FUTURE"/>
    <n v="42.54"/>
    <n v="42.54"/>
    <s v="MKT"/>
    <n v="-1"/>
    <n v="-42680"/>
    <n v="42.68"/>
    <s v=""/>
  </r>
  <r>
    <x v="886"/>
    <x v="93"/>
    <s v="Monday"/>
    <d v="1899-12-30T10:54:03"/>
    <s v="FUTURE"/>
    <s v="BUY"/>
    <n v="1"/>
    <s v="TO CLOSE"/>
    <x v="10"/>
    <d v="2020-10-20T00:00:00"/>
    <m/>
    <s v="FUTURE"/>
    <n v="42.52"/>
    <n v="42.52"/>
    <s v="MKT"/>
    <n v="0"/>
    <n v="0"/>
    <s v=""/>
    <n v="159.99999999999659"/>
  </r>
  <r>
    <x v="887"/>
    <x v="93"/>
    <s v="Monday"/>
    <d v="1899-12-30T11:21:13"/>
    <s v="FUTURE"/>
    <s v="SELL"/>
    <n v="-2"/>
    <s v="TO OPEN"/>
    <x v="10"/>
    <d v="2020-10-20T00:00:00"/>
    <m/>
    <s v="FUTURE"/>
    <n v="42.58"/>
    <n v="42.58"/>
    <s v="LMT"/>
    <n v="-2"/>
    <n v="-85160"/>
    <n v="42.58"/>
    <s v=""/>
  </r>
  <r>
    <x v="887"/>
    <x v="93"/>
    <s v="Monday"/>
    <d v="1899-12-30T12:02:57"/>
    <s v="FUTURE"/>
    <s v="BUY"/>
    <n v="1"/>
    <s v="TO CLOSE"/>
    <x v="10"/>
    <d v="2020-10-20T00:00:00"/>
    <m/>
    <s v="FUTURE"/>
    <n v="42.57"/>
    <n v="42.57"/>
    <s v="LMT"/>
    <n v="-1"/>
    <n v="-42590"/>
    <n v="42.59"/>
    <s v=""/>
  </r>
  <r>
    <x v="887"/>
    <x v="93"/>
    <s v="Monday"/>
    <d v="1899-12-30T12:03:28"/>
    <s v="FUTURE"/>
    <s v="BUY"/>
    <n v="1"/>
    <s v="TO CLOSE"/>
    <x v="10"/>
    <d v="2020-10-20T00:00:00"/>
    <m/>
    <s v="FUTURE"/>
    <n v="42.56"/>
    <n v="42.56"/>
    <s v="LMT"/>
    <n v="0"/>
    <n v="0"/>
    <s v=""/>
    <n v="30.000000000001137"/>
  </r>
  <r>
    <x v="888"/>
    <x v="93"/>
    <s v="Monday"/>
    <d v="1899-12-30T13:40:58"/>
    <s v="FUTURE"/>
    <s v="BUY"/>
    <n v="1"/>
    <s v="TO OPEN"/>
    <x v="7"/>
    <d v="2020-09-20T00:00:00"/>
    <m/>
    <s v="FUTURE"/>
    <n v="3417.5"/>
    <n v="3417.5"/>
    <s v="MKT"/>
    <n v="1"/>
    <n v="170875"/>
    <n v="3417.5"/>
    <s v=""/>
  </r>
  <r>
    <x v="888"/>
    <x v="93"/>
    <s v="Monday"/>
    <d v="1899-12-30T14:13:29"/>
    <s v="FUTURE"/>
    <s v="SELL"/>
    <n v="-1"/>
    <s v="TO CLOSE"/>
    <x v="7"/>
    <d v="2020-09-20T00:00:00"/>
    <m/>
    <s v="FUTURE"/>
    <n v="3417.75"/>
    <n v="3417.75"/>
    <s v="LMT"/>
    <n v="0"/>
    <n v="0"/>
    <s v=""/>
    <n v="12.5"/>
  </r>
  <r>
    <x v="889"/>
    <x v="93"/>
    <s v="Monday"/>
    <d v="1899-12-30T09:55:24"/>
    <s v="FUTURE"/>
    <s v="BUY"/>
    <n v="5"/>
    <s v="TO OPEN"/>
    <x v="8"/>
    <d v="2020-09-20T00:00:00"/>
    <m/>
    <s v="FUTURE"/>
    <n v="3414.75"/>
    <n v="3414.75"/>
    <s v="MKT"/>
    <n v="5"/>
    <n v="85368.75"/>
    <n v="3414.75"/>
    <s v=""/>
  </r>
  <r>
    <x v="889"/>
    <x v="93"/>
    <s v="Monday"/>
    <d v="1899-12-30T10:16:11"/>
    <s v="FUTURE"/>
    <s v="SELL"/>
    <n v="-2"/>
    <s v="TO CLOSE"/>
    <x v="8"/>
    <d v="2020-09-20T00:00:00"/>
    <m/>
    <s v="FUTURE"/>
    <n v="3419.5"/>
    <n v="3419.5"/>
    <s v="LMT"/>
    <n v="3"/>
    <n v="51173.75"/>
    <n v="3411.5833333333335"/>
    <s v=""/>
  </r>
  <r>
    <x v="889"/>
    <x v="93"/>
    <s v="Monday"/>
    <d v="1899-12-30T10:18:09"/>
    <s v="FUTURE"/>
    <s v="SELL"/>
    <n v="-1"/>
    <s v="TO CLOSE"/>
    <x v="8"/>
    <d v="2020-09-20T00:00:00"/>
    <m/>
    <s v="FUTURE"/>
    <n v="3420.75"/>
    <n v="3420.75"/>
    <s v="LMT"/>
    <n v="2"/>
    <n v="34070"/>
    <n v="3407"/>
    <s v=""/>
  </r>
  <r>
    <x v="889"/>
    <x v="93"/>
    <s v="Monday"/>
    <d v="1899-12-30T10:19:33"/>
    <s v="FUTURE"/>
    <s v="SELL"/>
    <n v="-2"/>
    <s v="TO CLOSE"/>
    <x v="8"/>
    <d v="2020-09-20T00:00:00"/>
    <m/>
    <s v="FUTURE"/>
    <n v="3422.25"/>
    <n v="3422.25"/>
    <s v="MKT"/>
    <n v="0"/>
    <n v="0"/>
    <s v=""/>
    <n v="152.5"/>
  </r>
  <r>
    <x v="890"/>
    <x v="94"/>
    <s v="Tuesday"/>
    <d v="1899-12-30T09:27:09"/>
    <s v="FUTURE"/>
    <s v="SELL"/>
    <n v="-1"/>
    <s v="TO OPEN"/>
    <x v="10"/>
    <d v="2020-10-20T00:00:00"/>
    <m/>
    <s v="FUTURE"/>
    <n v="43.42"/>
    <n v="43.42"/>
    <s v="LMT"/>
    <n v="-1"/>
    <n v="-43420"/>
    <n v="43.42"/>
    <s v=""/>
  </r>
  <r>
    <x v="890"/>
    <x v="94"/>
    <s v="Tuesday"/>
    <d v="1899-12-30T09:41:21"/>
    <s v="FUTURE"/>
    <s v="BUY"/>
    <n v="1"/>
    <s v="TO CLOSE"/>
    <x v="10"/>
    <d v="2020-10-20T00:00:00"/>
    <m/>
    <s v="FUTURE"/>
    <n v="43.4"/>
    <n v="43.4"/>
    <s v="LMT"/>
    <n v="0"/>
    <n v="0"/>
    <s v=""/>
    <n v="20.000000000003126"/>
  </r>
  <r>
    <x v="891"/>
    <x v="94"/>
    <s v="Tuesday"/>
    <d v="1899-12-30T09:31:24"/>
    <s v="FUTURE"/>
    <s v="SELL"/>
    <n v="-1"/>
    <s v="TO OPEN"/>
    <x v="7"/>
    <d v="2020-09-20T00:00:00"/>
    <m/>
    <s v="FUTURE"/>
    <n v="3433.25"/>
    <n v="3433.25"/>
    <s v="LMT"/>
    <n v="-1"/>
    <n v="-171662.5"/>
    <n v="3433.25"/>
    <s v=""/>
  </r>
  <r>
    <x v="891"/>
    <x v="94"/>
    <s v="Tuesday"/>
    <d v="1899-12-30T09:32:53"/>
    <s v="FUTURE"/>
    <s v="BUY"/>
    <n v="1"/>
    <s v="TO CLOSE"/>
    <x v="7"/>
    <d v="2020-09-20T00:00:00"/>
    <m/>
    <s v="FUTURE"/>
    <n v="3430.25"/>
    <n v="3430.25"/>
    <s v="LMT"/>
    <n v="0"/>
    <n v="0"/>
    <s v=""/>
    <n v="150"/>
  </r>
  <r>
    <x v="892"/>
    <x v="94"/>
    <s v="Tuesday"/>
    <d v="1899-12-30T09:45:26"/>
    <s v="FUTURE"/>
    <s v="BUY"/>
    <n v="1"/>
    <s v="TO OPEN"/>
    <x v="7"/>
    <d v="2020-09-20T00:00:00"/>
    <m/>
    <s v="FUTURE"/>
    <n v="3431"/>
    <n v="3431"/>
    <s v="MKT"/>
    <n v="1"/>
    <n v="171550"/>
    <n v="3431"/>
    <s v=""/>
  </r>
  <r>
    <x v="892"/>
    <x v="94"/>
    <s v="Tuesday"/>
    <d v="1899-12-30T12:00:13"/>
    <s v="FUTURE"/>
    <s v="BUY"/>
    <n v="1"/>
    <s v="TO OPEN"/>
    <x v="7"/>
    <d v="2020-09-20T00:00:00"/>
    <m/>
    <s v="FUTURE"/>
    <n v="3427"/>
    <n v="3427"/>
    <s v="LMT"/>
    <n v="2"/>
    <n v="342900"/>
    <n v="3429"/>
    <s v=""/>
  </r>
  <r>
    <x v="892"/>
    <x v="94"/>
    <s v="Tuesday"/>
    <d v="1899-12-30T12:07:45"/>
    <s v="FUTURE"/>
    <s v="SELL"/>
    <n v="-2"/>
    <s v="TO CLOSE"/>
    <x v="7"/>
    <d v="2020-09-20T00:00:00"/>
    <m/>
    <s v="FUTURE"/>
    <n v="3424.25"/>
    <n v="3424.25"/>
    <s v="STP"/>
    <n v="0"/>
    <n v="0"/>
    <s v=""/>
    <n v="-475"/>
  </r>
  <r>
    <x v="893"/>
    <x v="94"/>
    <s v="Tuesday"/>
    <d v="1899-12-30T12:08:47"/>
    <s v="FUTURE"/>
    <s v="BUY"/>
    <n v="2"/>
    <s v="TO OPEN"/>
    <x v="7"/>
    <d v="2020-09-20T00:00:00"/>
    <m/>
    <s v="FUTURE"/>
    <n v="3427"/>
    <n v="3427"/>
    <s v="MKT"/>
    <n v="2"/>
    <n v="342700"/>
    <n v="3427"/>
    <s v=""/>
  </r>
  <r>
    <x v="893"/>
    <x v="94"/>
    <s v="Tuesday"/>
    <d v="1899-12-30T12:46:05"/>
    <s v="FUTURE"/>
    <s v="SELL"/>
    <n v="-1"/>
    <s v="TO CLOSE"/>
    <x v="7"/>
    <d v="2020-09-20T00:00:00"/>
    <m/>
    <s v="FUTURE"/>
    <n v="3430.5"/>
    <n v="3430.5"/>
    <s v="LMT"/>
    <n v="1"/>
    <n v="171175"/>
    <n v="3423.5"/>
    <s v=""/>
  </r>
  <r>
    <x v="893"/>
    <x v="94"/>
    <s v="Tuesday"/>
    <d v="1899-12-30T13:00:14"/>
    <s v="FUTURE"/>
    <s v="BUY"/>
    <n v="1"/>
    <s v="TO OPEN"/>
    <x v="7"/>
    <d v="2020-09-20T00:00:00"/>
    <m/>
    <s v="FUTURE"/>
    <n v="3429.5"/>
    <n v="3429.5"/>
    <s v="LMT"/>
    <n v="2"/>
    <n v="342650"/>
    <n v="3426.5"/>
    <s v=""/>
  </r>
  <r>
    <x v="893"/>
    <x v="94"/>
    <s v="Tuesday"/>
    <d v="1899-12-30T13:02:39"/>
    <s v="FUTURE"/>
    <s v="SELL"/>
    <n v="-2"/>
    <s v="TO CLOSE"/>
    <x v="7"/>
    <d v="2020-09-20T00:00:00"/>
    <m/>
    <s v="FUTURE"/>
    <n v="3430"/>
    <n v="3430"/>
    <s v="MKT"/>
    <n v="0"/>
    <n v="0"/>
    <s v=""/>
    <n v="350"/>
  </r>
  <r>
    <x v="894"/>
    <x v="94"/>
    <s v="Tuesday"/>
    <d v="1899-12-30T09:44:47"/>
    <s v="STOCK"/>
    <s v="BUY"/>
    <n v="400"/>
    <s v="TO OPEN"/>
    <x v="2"/>
    <m/>
    <m/>
    <s v="STOCK"/>
    <n v="24.767399999999999"/>
    <n v="24.767399999999999"/>
    <s v="MKT"/>
    <n v="400"/>
    <n v="9906.9599999999991"/>
    <n v="24.767399999999999"/>
    <s v=""/>
  </r>
  <r>
    <x v="894"/>
    <x v="94"/>
    <s v="Tuesday"/>
    <d v="1899-12-30T09:51:41"/>
    <s v="STOCK"/>
    <s v="SELL"/>
    <n v="-400"/>
    <s v="TO CLOSE"/>
    <x v="2"/>
    <m/>
    <m/>
    <s v="STOCK"/>
    <n v="24.77"/>
    <n v="24.77"/>
    <s v="LMT"/>
    <n v="0"/>
    <n v="0"/>
    <s v=""/>
    <n v="1.0400000000004184"/>
  </r>
  <r>
    <x v="895"/>
    <x v="94"/>
    <s v="Tuesday"/>
    <d v="1899-12-30T09:58:50"/>
    <s v="STOCK"/>
    <s v="SELL"/>
    <n v="-400"/>
    <s v="TO OPEN"/>
    <x v="2"/>
    <m/>
    <m/>
    <s v="STOCK"/>
    <n v="24.870100000000001"/>
    <n v="24.870100000000001"/>
    <s v="MKT"/>
    <n v="-400"/>
    <n v="-9948.0400000000009"/>
    <n v="24.870100000000001"/>
    <s v=""/>
  </r>
  <r>
    <x v="895"/>
    <x v="94"/>
    <s v="Tuesday"/>
    <d v="1899-12-30T10:28:57"/>
    <s v="STOCK"/>
    <s v="SELL"/>
    <n v="-28"/>
    <s v="TO OPEN"/>
    <x v="2"/>
    <m/>
    <m/>
    <s v="STOCK"/>
    <n v="25.06"/>
    <n v="25.06"/>
    <s v="LMT"/>
    <n v="-428"/>
    <n v="-10649.720000000001"/>
    <n v="24.882523364485984"/>
    <s v=""/>
  </r>
  <r>
    <x v="895"/>
    <x v="94"/>
    <s v="Tuesday"/>
    <d v="1899-12-30T10:28:57"/>
    <s v="STOCK"/>
    <s v="SELL"/>
    <n v="-172"/>
    <s v="TO OPEN"/>
    <x v="2"/>
    <m/>
    <m/>
    <s v="STOCK"/>
    <n v="25.06"/>
    <n v="25.06"/>
    <s v="LMT"/>
    <n v="-600"/>
    <n v="-14960.04"/>
    <n v="24.933400000000002"/>
    <s v=""/>
  </r>
  <r>
    <x v="895"/>
    <x v="94"/>
    <s v="Tuesday"/>
    <d v="1899-12-30T11:22:46"/>
    <s v="STOCK"/>
    <s v="BUY"/>
    <n v="9"/>
    <s v="TO CLOSE"/>
    <x v="2"/>
    <m/>
    <m/>
    <s v="STOCK"/>
    <n v="24.92"/>
    <n v="24.92"/>
    <s v="STP"/>
    <n v="-591"/>
    <n v="-14735.76"/>
    <n v="24.933604060913705"/>
    <s v=""/>
  </r>
  <r>
    <x v="895"/>
    <x v="94"/>
    <s v="Tuesday"/>
    <d v="1899-12-30T11:22:46"/>
    <s v="STOCK"/>
    <s v="BUY"/>
    <n v="591"/>
    <s v="TO CLOSE"/>
    <x v="2"/>
    <m/>
    <m/>
    <s v="STOCK"/>
    <n v="24.92"/>
    <n v="24.92"/>
    <s v="STP"/>
    <n v="0"/>
    <n v="0"/>
    <s v=""/>
    <n v="8.0399999999986882"/>
  </r>
  <r>
    <x v="896"/>
    <x v="94"/>
    <s v="Tuesday"/>
    <d v="1899-12-30T11:48:12"/>
    <s v="STOCK"/>
    <s v="SELL"/>
    <n v="-180"/>
    <s v="TO OPEN"/>
    <x v="2"/>
    <m/>
    <m/>
    <s v="STOCK"/>
    <n v="24.960999999999999"/>
    <n v="24.960999999999999"/>
    <s v="MKT"/>
    <n v="-180"/>
    <n v="-4492.9799999999996"/>
    <n v="24.960999999999999"/>
    <s v=""/>
  </r>
  <r>
    <x v="896"/>
    <x v="94"/>
    <s v="Tuesday"/>
    <d v="1899-12-30T11:48:12"/>
    <s v="STOCK"/>
    <s v="SELL"/>
    <n v="-20"/>
    <s v="TO OPEN"/>
    <x v="2"/>
    <m/>
    <m/>
    <s v="STOCK"/>
    <n v="24.960999999999999"/>
    <n v="24.960999999999999"/>
    <s v="MKT"/>
    <n v="-200"/>
    <n v="-4992.2"/>
    <n v="24.960999999999999"/>
    <s v=""/>
  </r>
  <r>
    <x v="896"/>
    <x v="94"/>
    <s v="Tuesday"/>
    <d v="1899-12-30T11:48:12"/>
    <s v="STOCK"/>
    <s v="SELL"/>
    <n v="-200"/>
    <s v="TO OPEN"/>
    <x v="2"/>
    <m/>
    <m/>
    <s v="STOCK"/>
    <n v="24.965"/>
    <n v="24.965"/>
    <s v="MKT"/>
    <n v="-400"/>
    <n v="-9985.2000000000007"/>
    <n v="24.963000000000001"/>
    <s v=""/>
  </r>
  <r>
    <x v="896"/>
    <x v="94"/>
    <s v="Tuesday"/>
    <d v="1899-12-30T11:53:54"/>
    <s v="STOCK"/>
    <s v="BUY"/>
    <n v="400"/>
    <s v="TO CLOSE"/>
    <x v="2"/>
    <m/>
    <m/>
    <s v="STOCK"/>
    <n v="24.908000000000001"/>
    <n v="24.908000000000001"/>
    <s v="MKT"/>
    <n v="0"/>
    <n v="0"/>
    <s v=""/>
    <n v="21.999999999999886"/>
  </r>
  <r>
    <x v="897"/>
    <x v="95"/>
    <s v="Wednesday"/>
    <d v="1899-12-30T08:45:22"/>
    <s v="FUTURE"/>
    <s v="SELL"/>
    <n v="-1"/>
    <s v="TO OPEN"/>
    <x v="10"/>
    <d v="2020-10-20T00:00:00"/>
    <m/>
    <s v="FUTURE"/>
    <n v="43.2"/>
    <n v="43.2"/>
    <s v="LMT"/>
    <n v="-1"/>
    <n v="-43200"/>
    <n v="43.2"/>
    <s v=""/>
  </r>
  <r>
    <x v="897"/>
    <x v="95"/>
    <s v="Wednesday"/>
    <d v="1899-12-30T09:11:53"/>
    <s v="FUTURE"/>
    <s v="SELL"/>
    <n v="-1"/>
    <s v="TO OPEN"/>
    <x v="10"/>
    <d v="2020-10-20T00:00:00"/>
    <m/>
    <s v="FUTURE"/>
    <n v="43.42"/>
    <n v="43.42"/>
    <s v="LMT"/>
    <n v="-2"/>
    <n v="-86620"/>
    <n v="43.31"/>
    <s v=""/>
  </r>
  <r>
    <x v="897"/>
    <x v="95"/>
    <s v="Wednesday"/>
    <d v="1899-12-30T09:25:02"/>
    <s v="FUTURE"/>
    <s v="SELL"/>
    <n v="-1"/>
    <s v="TO OPEN"/>
    <x v="10"/>
    <d v="2020-10-20T00:00:00"/>
    <m/>
    <s v="FUTURE"/>
    <n v="43.63"/>
    <n v="43.63"/>
    <s v="LMT"/>
    <n v="-3"/>
    <n v="-130250"/>
    <n v="43.416666666666664"/>
    <s v=""/>
  </r>
  <r>
    <x v="897"/>
    <x v="95"/>
    <s v="Wednesday"/>
    <d v="1899-12-30T09:32:15"/>
    <s v="FUTURE"/>
    <s v="BUY"/>
    <n v="1"/>
    <s v="TO CLOSE"/>
    <x v="10"/>
    <d v="2020-10-20T00:00:00"/>
    <m/>
    <s v="FUTURE"/>
    <n v="43.51"/>
    <n v="43.51"/>
    <s v="LMT"/>
    <n v="-2"/>
    <n v="-86740"/>
    <n v="43.37"/>
    <s v=""/>
  </r>
  <r>
    <x v="897"/>
    <x v="95"/>
    <s v="Wednesday"/>
    <d v="1899-12-30T10:12:25"/>
    <s v="FUTURE"/>
    <s v="SELL"/>
    <n v="-1"/>
    <s v="TO OPEN"/>
    <x v="10"/>
    <d v="2020-10-20T00:00:00"/>
    <m/>
    <s v="FUTURE"/>
    <n v="43.72"/>
    <n v="43.72"/>
    <s v="LMT"/>
    <n v="-3"/>
    <n v="-130460"/>
    <n v="43.486666666666665"/>
    <s v=""/>
  </r>
  <r>
    <x v="897"/>
    <x v="95"/>
    <s v="Wednesday"/>
    <d v="1899-12-30T10:22:03"/>
    <s v="FUTURE"/>
    <s v="BUY"/>
    <n v="1"/>
    <s v="TO CLOSE"/>
    <x v="10"/>
    <d v="2020-10-20T00:00:00"/>
    <m/>
    <s v="FUTURE"/>
    <n v="43.59"/>
    <n v="43.59"/>
    <s v="LMT"/>
    <n v="-2"/>
    <n v="-86870"/>
    <n v="43.435000000000002"/>
    <s v=""/>
  </r>
  <r>
    <x v="897"/>
    <x v="95"/>
    <s v="Wednesday"/>
    <d v="1899-12-30T11:07:06"/>
    <s v="FUTURE"/>
    <s v="BUY"/>
    <n v="1"/>
    <s v="TO CLOSE"/>
    <x v="10"/>
    <d v="2020-10-20T00:00:00"/>
    <m/>
    <s v="FUTURE"/>
    <n v="43.38"/>
    <n v="43.38"/>
    <s v="LMT"/>
    <n v="-1"/>
    <n v="-43490"/>
    <n v="43.49"/>
    <s v=""/>
  </r>
  <r>
    <x v="897"/>
    <x v="95"/>
    <s v="Wednesday"/>
    <d v="1899-12-30T11:18:14"/>
    <s v="FUTURE"/>
    <s v="BUY"/>
    <n v="1"/>
    <s v="TO CLOSE"/>
    <x v="10"/>
    <d v="2020-10-20T00:00:00"/>
    <m/>
    <s v="FUTURE"/>
    <n v="43.25"/>
    <n v="43.25"/>
    <s v="LMT"/>
    <n v="0"/>
    <n v="0"/>
    <s v=""/>
    <n v="240.00000000000199"/>
  </r>
  <r>
    <x v="898"/>
    <x v="95"/>
    <s v="Wednesday"/>
    <d v="1899-12-30T11:09:07"/>
    <s v="FUTURE"/>
    <s v="SELL"/>
    <n v="-1"/>
    <s v="TO OPEN"/>
    <x v="7"/>
    <d v="2020-09-20T00:00:00"/>
    <m/>
    <s v="FUTURE"/>
    <n v="3452"/>
    <n v="3452"/>
    <s v="MKT"/>
    <n v="-1"/>
    <n v="-172600"/>
    <n v="3452"/>
    <s v=""/>
  </r>
  <r>
    <x v="898"/>
    <x v="95"/>
    <s v="Wednesday"/>
    <d v="1899-12-30T11:23:49"/>
    <s v="FUTURE"/>
    <s v="BUY"/>
    <n v="1"/>
    <s v="TO CLOSE"/>
    <x v="7"/>
    <d v="2020-09-20T00:00:00"/>
    <m/>
    <s v="FUTURE"/>
    <n v="3451.75"/>
    <n v="3451.75"/>
    <s v="LMT"/>
    <n v="0"/>
    <n v="0"/>
    <s v=""/>
    <n v="12.5"/>
  </r>
  <r>
    <x v="899"/>
    <x v="95"/>
    <s v="Wednesday"/>
    <d v="1899-12-30T13:51:03"/>
    <s v="FUTURE"/>
    <s v="SELL"/>
    <n v="-1"/>
    <s v="TO OPEN"/>
    <x v="7"/>
    <d v="2020-09-20T00:00:00"/>
    <m/>
    <s v="FUTURE"/>
    <n v="3468.5"/>
    <n v="3468.5"/>
    <s v="LMT"/>
    <n v="-1"/>
    <n v="-173425"/>
    <n v="3468.5"/>
    <s v=""/>
  </r>
  <r>
    <x v="899"/>
    <x v="95"/>
    <s v="Wednesday"/>
    <d v="1899-12-30T13:51:30"/>
    <s v="FUTURE"/>
    <s v="BUY"/>
    <n v="1"/>
    <s v="TO CLOSE"/>
    <x v="7"/>
    <d v="2020-09-20T00:00:00"/>
    <m/>
    <s v="FUTURE"/>
    <n v="3467.5"/>
    <n v="3467.5"/>
    <s v="LMT"/>
    <n v="0"/>
    <n v="0"/>
    <s v=""/>
    <n v="50"/>
  </r>
  <r>
    <x v="900"/>
    <x v="95"/>
    <s v="Wednesday"/>
    <d v="1899-12-30T14:14:23"/>
    <s v="FUTURE"/>
    <s v="SELL"/>
    <n v="-1"/>
    <s v="TO OPEN"/>
    <x v="7"/>
    <d v="2020-09-20T00:00:00"/>
    <m/>
    <s v="FUTURE"/>
    <n v="3473"/>
    <n v="3473"/>
    <s v="LMT"/>
    <n v="-1"/>
    <n v="-173650"/>
    <n v="3473"/>
    <s v=""/>
  </r>
  <r>
    <x v="900"/>
    <x v="95"/>
    <s v="Wednesday"/>
    <d v="1899-12-30T14:34:26"/>
    <s v="FUTURE"/>
    <s v="BUY"/>
    <n v="1"/>
    <s v="TO CLOSE"/>
    <x v="7"/>
    <d v="2020-09-20T00:00:00"/>
    <m/>
    <s v="FUTURE"/>
    <n v="3472.75"/>
    <n v="3472.75"/>
    <s v="LMT"/>
    <n v="0"/>
    <n v="0"/>
    <s v=""/>
    <n v="12.5"/>
  </r>
  <r>
    <x v="901"/>
    <x v="95"/>
    <s v="Wednesday"/>
    <d v="1899-12-30T11:47:45"/>
    <s v="STOCK"/>
    <s v="BUY"/>
    <n v="400"/>
    <s v="TO OPEN"/>
    <x v="2"/>
    <m/>
    <m/>
    <s v="STOCK"/>
    <n v="23.899799999999999"/>
    <n v="23.899799999999999"/>
    <s v="LMT"/>
    <n v="400"/>
    <n v="9559.92"/>
    <n v="23.899799999999999"/>
    <s v=""/>
  </r>
  <r>
    <x v="901"/>
    <x v="95"/>
    <s v="Wednesday"/>
    <d v="1899-12-30T13:43:27"/>
    <s v="STOCK"/>
    <s v="SELL"/>
    <n v="-200"/>
    <s v="TO CLOSE"/>
    <x v="2"/>
    <m/>
    <m/>
    <s v="STOCK"/>
    <n v="23.952000000000002"/>
    <n v="23.952000000000002"/>
    <s v="MKT"/>
    <n v="200"/>
    <n v="4769.5199999999995"/>
    <n v="23.847599999999996"/>
    <s v=""/>
  </r>
  <r>
    <x v="901"/>
    <x v="95"/>
    <s v="Wednesday"/>
    <d v="1899-12-30T13:52:06"/>
    <s v="STOCK"/>
    <s v="SELL"/>
    <n v="-193"/>
    <s v="TO CLOSE"/>
    <x v="2"/>
    <m/>
    <m/>
    <s v="STOCK"/>
    <n v="24.01"/>
    <n v="24.01"/>
    <s v="LMT"/>
    <n v="7"/>
    <n v="135.58999999999924"/>
    <n v="19.369999999999891"/>
    <s v=""/>
  </r>
  <r>
    <x v="901"/>
    <x v="95"/>
    <s v="Wednesday"/>
    <d v="1899-12-30T13:52:06"/>
    <s v="STOCK"/>
    <s v="SELL"/>
    <n v="-7"/>
    <s v="TO CLOSE"/>
    <x v="2"/>
    <m/>
    <m/>
    <s v="STOCK"/>
    <n v="24.01"/>
    <n v="24.01"/>
    <s v="LMT"/>
    <n v="0"/>
    <n v="0"/>
    <s v=""/>
    <n v="32.480000000000771"/>
  </r>
  <r>
    <x v="902"/>
    <x v="96"/>
    <s v="Thursday"/>
    <d v="1899-12-30T10:01:38"/>
    <s v="FUTURE"/>
    <s v="SELL"/>
    <n v="-1"/>
    <s v="TO OPEN"/>
    <x v="10"/>
    <d v="2020-10-20T00:00:00"/>
    <m/>
    <s v="FUTURE"/>
    <n v="42.93"/>
    <n v="42.93"/>
    <s v="MKT"/>
    <n v="-1"/>
    <n v="-42930"/>
    <n v="42.93"/>
    <s v=""/>
  </r>
  <r>
    <x v="902"/>
    <x v="96"/>
    <s v="Thursday"/>
    <d v="1899-12-30T10:08:30"/>
    <s v="FUTURE"/>
    <s v="SELL"/>
    <n v="-1"/>
    <s v="TO OPEN"/>
    <x v="10"/>
    <d v="2020-10-20T00:00:00"/>
    <m/>
    <s v="FUTURE"/>
    <n v="42.78"/>
    <n v="42.78"/>
    <s v="STP"/>
    <n v="-2"/>
    <n v="-85710"/>
    <n v="42.854999999999997"/>
    <s v=""/>
  </r>
  <r>
    <x v="902"/>
    <x v="96"/>
    <s v="Thursday"/>
    <d v="1899-12-30T10:10:52"/>
    <s v="FUTURE"/>
    <s v="BUY"/>
    <n v="2"/>
    <s v="TO CLOSE"/>
    <x v="10"/>
    <d v="2020-10-20T00:00:00"/>
    <m/>
    <s v="FUTURE"/>
    <n v="42.79"/>
    <n v="42.79"/>
    <s v="MKT"/>
    <n v="0"/>
    <n v="0"/>
    <s v=""/>
    <n v="129.99999999999545"/>
  </r>
  <r>
    <x v="903"/>
    <x v="96"/>
    <s v="Thursday"/>
    <d v="1899-12-30T10:50:42"/>
    <s v="FUTURE"/>
    <s v="BUY"/>
    <n v="1"/>
    <s v="TO OPEN"/>
    <x v="10"/>
    <d v="2020-10-20T00:00:00"/>
    <m/>
    <s v="FUTURE"/>
    <n v="42.64"/>
    <n v="42.64"/>
    <s v="MKT"/>
    <n v="1"/>
    <n v="42640"/>
    <n v="42.64"/>
    <s v=""/>
  </r>
  <r>
    <x v="903"/>
    <x v="96"/>
    <s v="Thursday"/>
    <d v="1899-12-30T11:05:36"/>
    <s v="FUTURE"/>
    <s v="BUY"/>
    <n v="1"/>
    <s v="TO OPEN"/>
    <x v="10"/>
    <d v="2020-10-20T00:00:00"/>
    <m/>
    <s v="FUTURE"/>
    <n v="42.52"/>
    <n v="42.52"/>
    <s v="LMT"/>
    <n v="2"/>
    <n v="85160"/>
    <n v="42.58"/>
    <s v=""/>
  </r>
  <r>
    <x v="903"/>
    <x v="96"/>
    <s v="Thursday"/>
    <d v="1899-12-30T11:17:08"/>
    <s v="FUTURE"/>
    <s v="BUY"/>
    <n v="1"/>
    <s v="TO OPEN"/>
    <x v="10"/>
    <d v="2020-10-20T00:00:00"/>
    <m/>
    <s v="FUTURE"/>
    <n v="42.39"/>
    <n v="42.39"/>
    <s v="LMT"/>
    <n v="3"/>
    <n v="127550"/>
    <n v="42.516666666666666"/>
    <s v=""/>
  </r>
  <r>
    <x v="903"/>
    <x v="96"/>
    <s v="Thursday"/>
    <d v="1899-12-30T11:28:11"/>
    <s v="FUTURE"/>
    <s v="SELL"/>
    <n v="-1"/>
    <s v="TO CLOSE"/>
    <x v="10"/>
    <d v="2020-10-20T00:00:00"/>
    <m/>
    <s v="FUTURE"/>
    <n v="42.56"/>
    <n v="42.56"/>
    <s v="LMT"/>
    <n v="2"/>
    <n v="84990"/>
    <n v="42.494999999999997"/>
    <s v=""/>
  </r>
  <r>
    <x v="903"/>
    <x v="96"/>
    <s v="Thursday"/>
    <d v="1899-12-30T11:28:34"/>
    <s v="FUTURE"/>
    <s v="SELL"/>
    <n v="-1"/>
    <s v="TO CLOSE"/>
    <x v="10"/>
    <d v="2020-10-20T00:00:00"/>
    <m/>
    <s v="FUTURE"/>
    <n v="42.6"/>
    <n v="42.6"/>
    <s v="MKT"/>
    <n v="1"/>
    <n v="42390"/>
    <n v="42.39"/>
    <s v=""/>
  </r>
  <r>
    <x v="903"/>
    <x v="96"/>
    <s v="Thursday"/>
    <d v="1899-12-30T11:28:52"/>
    <s v="FUTURE"/>
    <s v="SELL"/>
    <n v="-1"/>
    <s v="TO CLOSE"/>
    <x v="10"/>
    <d v="2020-10-20T00:00:00"/>
    <m/>
    <s v="FUTURE"/>
    <n v="42.67"/>
    <n v="42.67"/>
    <s v="LMT"/>
    <n v="0"/>
    <n v="0"/>
    <s v=""/>
    <n v="280.00000000000114"/>
  </r>
  <r>
    <x v="904"/>
    <x v="96"/>
    <s v="Thursday"/>
    <d v="1899-12-30T09:34:13"/>
    <s v="FUTURE"/>
    <s v="BUY"/>
    <n v="1"/>
    <s v="TO OPEN"/>
    <x v="7"/>
    <d v="2020-09-20T00:00:00"/>
    <m/>
    <s v="FUTURE"/>
    <n v="3478.75"/>
    <n v="3478.75"/>
    <s v="MKT"/>
    <n v="1"/>
    <n v="173937.5"/>
    <n v="3478.75"/>
    <s v=""/>
  </r>
  <r>
    <x v="904"/>
    <x v="96"/>
    <s v="Thursday"/>
    <d v="1899-12-30T09:50:49"/>
    <s v="FUTURE"/>
    <s v="SELL"/>
    <n v="-1"/>
    <s v="TO CLOSE"/>
    <x v="7"/>
    <d v="2020-09-20T00:00:00"/>
    <m/>
    <s v="FUTURE"/>
    <n v="3485.75"/>
    <n v="3485.75"/>
    <s v="LMT"/>
    <n v="0"/>
    <n v="0"/>
    <s v=""/>
    <n v="350"/>
  </r>
  <r>
    <x v="905"/>
    <x v="97"/>
    <s v="Friday"/>
    <d v="1899-12-30T09:26:28"/>
    <s v="FUTURE"/>
    <s v="BUY"/>
    <n v="1"/>
    <s v="TO OPEN"/>
    <x v="7"/>
    <d v="2020-09-20T00:00:00"/>
    <m/>
    <s v="FUTURE"/>
    <n v="3495"/>
    <n v="3495"/>
    <s v="MKT"/>
    <n v="1"/>
    <n v="174750"/>
    <n v="3495"/>
    <s v=""/>
  </r>
  <r>
    <x v="905"/>
    <x v="97"/>
    <s v="Friday"/>
    <d v="1899-12-30T09:32:04"/>
    <s v="FUTURE"/>
    <s v="BUY"/>
    <n v="1"/>
    <s v="TO OPEN"/>
    <x v="7"/>
    <d v="2020-09-20T00:00:00"/>
    <m/>
    <s v="FUTURE"/>
    <n v="3489"/>
    <n v="3489"/>
    <s v="LMT"/>
    <n v="2"/>
    <n v="349200"/>
    <n v="3492"/>
    <s v=""/>
  </r>
  <r>
    <x v="905"/>
    <x v="97"/>
    <s v="Friday"/>
    <d v="1899-12-30T09:35:29"/>
    <s v="FUTURE"/>
    <s v="SELL"/>
    <n v="-1"/>
    <s v="TO CLOSE"/>
    <x v="7"/>
    <d v="2020-09-20T00:00:00"/>
    <m/>
    <s v="FUTURE"/>
    <n v="3492"/>
    <n v="3492"/>
    <s v="LMT"/>
    <n v="1"/>
    <n v="174600"/>
    <n v="3492"/>
    <s v=""/>
  </r>
  <r>
    <x v="905"/>
    <x v="97"/>
    <s v="Friday"/>
    <d v="1899-12-30T09:48:06"/>
    <s v="FUTURE"/>
    <s v="BUY"/>
    <n v="1"/>
    <s v="TO OPEN"/>
    <x v="7"/>
    <d v="2020-09-20T00:00:00"/>
    <m/>
    <s v="FUTURE"/>
    <n v="3489"/>
    <n v="3489"/>
    <s v="LMT"/>
    <n v="2"/>
    <n v="349050"/>
    <n v="3490.5"/>
    <s v=""/>
  </r>
  <r>
    <x v="905"/>
    <x v="97"/>
    <s v="Friday"/>
    <d v="1899-12-30T11:55:10"/>
    <s v="FUTURE"/>
    <s v="SELL"/>
    <n v="-1"/>
    <s v="TO CLOSE"/>
    <x v="7"/>
    <d v="2020-09-20T00:00:00"/>
    <m/>
    <s v="FUTURE"/>
    <n v="3492"/>
    <n v="3492"/>
    <s v="LMT"/>
    <n v="1"/>
    <n v="174450"/>
    <n v="3489"/>
    <s v=""/>
  </r>
  <r>
    <x v="905"/>
    <x v="97"/>
    <s v="Friday"/>
    <d v="1899-12-30T12:01:06"/>
    <s v="FUTURE"/>
    <s v="BUY"/>
    <n v="1"/>
    <s v="TO OPEN"/>
    <x v="7"/>
    <d v="2020-09-20T00:00:00"/>
    <m/>
    <s v="FUTURE"/>
    <n v="3492"/>
    <n v="3492"/>
    <s v="STP"/>
    <n v="2"/>
    <n v="349050"/>
    <n v="3490.5"/>
    <s v=""/>
  </r>
  <r>
    <x v="905"/>
    <x v="97"/>
    <s v="Friday"/>
    <d v="1899-12-30T12:05:41"/>
    <s v="FUTURE"/>
    <s v="SELL"/>
    <n v="-1"/>
    <s v="TO CLOSE"/>
    <x v="7"/>
    <d v="2020-09-20T00:00:00"/>
    <m/>
    <s v="FUTURE"/>
    <n v="3493"/>
    <n v="3493"/>
    <s v="LMT"/>
    <n v="1"/>
    <n v="174400"/>
    <n v="3488"/>
    <s v=""/>
  </r>
  <r>
    <x v="905"/>
    <x v="97"/>
    <s v="Friday"/>
    <d v="1899-12-30T12:06:15"/>
    <s v="FUTURE"/>
    <s v="SELL"/>
    <n v="-1"/>
    <s v="TO CLOSE"/>
    <x v="7"/>
    <d v="2020-09-20T00:00:00"/>
    <m/>
    <s v="FUTURE"/>
    <n v="3493"/>
    <n v="3493"/>
    <s v="LMT"/>
    <n v="0"/>
    <n v="0"/>
    <s v=""/>
    <n v="250"/>
  </r>
  <r>
    <x v="906"/>
    <x v="98"/>
    <s v="Monday"/>
    <d v="1899-12-30T09:30:44"/>
    <s v="FUTURE"/>
    <s v="SELL"/>
    <n v="-1"/>
    <s v="TO OPEN"/>
    <x v="10"/>
    <d v="2020-10-20T00:00:00"/>
    <m/>
    <s v="FUTURE"/>
    <n v="43.22"/>
    <n v="43.22"/>
    <s v="MKT"/>
    <n v="-1"/>
    <n v="-43220"/>
    <n v="43.22"/>
    <s v=""/>
  </r>
  <r>
    <x v="906"/>
    <x v="98"/>
    <s v="Monday"/>
    <d v="1899-12-30T09:33:55"/>
    <s v="FUTURE"/>
    <s v="BUY"/>
    <n v="1"/>
    <s v="TO CLOSE"/>
    <x v="10"/>
    <d v="2020-10-20T00:00:00"/>
    <m/>
    <s v="FUTURE"/>
    <n v="43.14"/>
    <n v="43.14"/>
    <s v="MKT"/>
    <n v="0"/>
    <n v="0"/>
    <s v=""/>
    <n v="79.999999999998295"/>
  </r>
  <r>
    <x v="907"/>
    <x v="98"/>
    <s v="Monday"/>
    <d v="1899-12-30T10:37:20"/>
    <s v="FUTURE"/>
    <s v="BUY"/>
    <n v="1"/>
    <s v="TO OPEN"/>
    <x v="10"/>
    <d v="2020-10-20T00:00:00"/>
    <m/>
    <s v="FUTURE"/>
    <n v="43.15"/>
    <n v="43.15"/>
    <s v="MKT"/>
    <n v="1"/>
    <n v="43150"/>
    <n v="43.15"/>
    <s v=""/>
  </r>
  <r>
    <x v="907"/>
    <x v="98"/>
    <s v="Monday"/>
    <d v="1899-12-30T10:51:58"/>
    <s v="FUTURE"/>
    <s v="SELL"/>
    <n v="-1"/>
    <s v="TO CLOSE"/>
    <x v="10"/>
    <d v="2020-10-20T00:00:00"/>
    <m/>
    <s v="FUTURE"/>
    <n v="43.08"/>
    <n v="43.08"/>
    <s v="LMT"/>
    <n v="0"/>
    <n v="0"/>
    <s v=""/>
    <n v="-70.000000000000284"/>
  </r>
  <r>
    <x v="908"/>
    <x v="98"/>
    <s v="Monday"/>
    <d v="1899-12-30T10:55:02"/>
    <s v="FUTURE"/>
    <s v="BUY"/>
    <n v="2"/>
    <s v="TO OPEN"/>
    <x v="10"/>
    <d v="2020-10-20T00:00:00"/>
    <m/>
    <s v="FUTURE"/>
    <n v="43.15"/>
    <n v="43.15"/>
    <s v="MKT"/>
    <n v="2"/>
    <n v="86300"/>
    <n v="43.15"/>
    <s v=""/>
  </r>
  <r>
    <x v="908"/>
    <x v="98"/>
    <s v="Monday"/>
    <d v="1899-12-30T10:56:04"/>
    <s v="FUTURE"/>
    <s v="SELL"/>
    <n v="-2"/>
    <s v="TO CLOSE"/>
    <x v="10"/>
    <d v="2020-10-20T00:00:00"/>
    <m/>
    <s v="FUTURE"/>
    <n v="43.17"/>
    <n v="43.17"/>
    <s v="LMT"/>
    <n v="0"/>
    <n v="0"/>
    <s v=""/>
    <n v="40.000000000006253"/>
  </r>
  <r>
    <x v="909"/>
    <x v="98"/>
    <s v="Monday"/>
    <d v="1899-12-30T09:28:19"/>
    <s v="FUTURE"/>
    <s v="SELL"/>
    <n v="-1"/>
    <s v="TO OPEN"/>
    <x v="7"/>
    <d v="2020-09-20T00:00:00"/>
    <m/>
    <s v="FUTURE"/>
    <n v="3502.25"/>
    <n v="3502.25"/>
    <s v="LMT"/>
    <n v="-1"/>
    <n v="-175112.5"/>
    <n v="3502.25"/>
    <s v=""/>
  </r>
  <r>
    <x v="909"/>
    <x v="98"/>
    <s v="Monday"/>
    <d v="1899-12-30T09:35:53"/>
    <s v="FUTURE"/>
    <s v="BUY"/>
    <n v="1"/>
    <s v="TO CLOSE"/>
    <x v="7"/>
    <d v="2020-09-20T00:00:00"/>
    <m/>
    <s v="FUTURE"/>
    <n v="3499.75"/>
    <n v="3499.75"/>
    <s v="MKT"/>
    <n v="0"/>
    <n v="0"/>
    <s v=""/>
    <n v="125"/>
  </r>
  <r>
    <x v="910"/>
    <x v="98"/>
    <s v="Monday"/>
    <d v="1899-12-30T09:44:13"/>
    <s v="FUTURE"/>
    <s v="BUY"/>
    <n v="1"/>
    <s v="TO OPEN"/>
    <x v="7"/>
    <d v="2020-09-20T00:00:00"/>
    <m/>
    <s v="FUTURE"/>
    <n v="3504"/>
    <n v="3504"/>
    <s v="MKT"/>
    <n v="1"/>
    <n v="175200"/>
    <n v="3504"/>
    <s v=""/>
  </r>
  <r>
    <x v="910"/>
    <x v="98"/>
    <s v="Monday"/>
    <d v="1899-12-30T10:07:34"/>
    <s v="FUTURE"/>
    <s v="BUY"/>
    <n v="1"/>
    <s v="TO OPEN"/>
    <x v="7"/>
    <d v="2020-09-20T00:00:00"/>
    <m/>
    <s v="FUTURE"/>
    <n v="3500"/>
    <n v="3500"/>
    <s v="LMT"/>
    <n v="2"/>
    <n v="350200"/>
    <n v="3502"/>
    <s v=""/>
  </r>
  <r>
    <x v="910"/>
    <x v="98"/>
    <s v="Monday"/>
    <d v="1899-12-30T10:31:12"/>
    <s v="FUTURE"/>
    <s v="SELL"/>
    <n v="-1"/>
    <s v="TO CLOSE"/>
    <x v="7"/>
    <d v="2020-09-20T00:00:00"/>
    <m/>
    <s v="FUTURE"/>
    <n v="3502"/>
    <n v="3502"/>
    <s v="LMT"/>
    <n v="1"/>
    <n v="175100"/>
    <n v="3502"/>
    <s v=""/>
  </r>
  <r>
    <x v="910"/>
    <x v="98"/>
    <s v="Monday"/>
    <d v="1899-12-30T10:42:40"/>
    <s v="FUTURE"/>
    <s v="SELL"/>
    <n v="-1"/>
    <s v="TO CLOSE"/>
    <x v="7"/>
    <d v="2020-09-20T00:00:00"/>
    <m/>
    <s v="FUTURE"/>
    <n v="3502.25"/>
    <n v="3502.25"/>
    <s v="STP"/>
    <n v="0"/>
    <n v="0"/>
    <s v=""/>
    <n v="12.5"/>
  </r>
  <r>
    <x v="911"/>
    <x v="98"/>
    <s v="Monday"/>
    <d v="1899-12-30T10:57:09"/>
    <s v="FUTURE"/>
    <s v="BUY"/>
    <n v="2"/>
    <s v="TO OPEN"/>
    <x v="7"/>
    <d v="2020-09-20T00:00:00"/>
    <m/>
    <s v="FUTURE"/>
    <n v="3505.5"/>
    <n v="3505.5"/>
    <s v="MKT"/>
    <n v="2"/>
    <n v="350550"/>
    <n v="3505.5"/>
    <s v=""/>
  </r>
  <r>
    <x v="911"/>
    <x v="98"/>
    <s v="Monday"/>
    <d v="1899-12-30T11:00:43"/>
    <s v="FUTURE"/>
    <s v="SELL"/>
    <n v="-1"/>
    <s v="TO CLOSE"/>
    <x v="7"/>
    <d v="2020-09-20T00:00:00"/>
    <m/>
    <s v="FUTURE"/>
    <n v="3506.75"/>
    <n v="3506.75"/>
    <s v="LMT"/>
    <n v="1"/>
    <n v="175212.5"/>
    <n v="3504.25"/>
    <s v=""/>
  </r>
  <r>
    <x v="911"/>
    <x v="98"/>
    <s v="Monday"/>
    <d v="1899-12-30T11:01:53"/>
    <s v="FUTURE"/>
    <s v="SELL"/>
    <n v="-1"/>
    <s v="TO CLOSE"/>
    <x v="7"/>
    <d v="2020-09-20T00:00:00"/>
    <m/>
    <s v="FUTURE"/>
    <n v="3506.75"/>
    <n v="3506.75"/>
    <s v="MKT"/>
    <n v="0"/>
    <n v="0"/>
    <s v=""/>
    <n v="125"/>
  </r>
  <r>
    <x v="912"/>
    <x v="98"/>
    <s v="Monday"/>
    <d v="1899-12-30T14:20:55"/>
    <s v="FUTURE"/>
    <s v="SELL"/>
    <n v="-1"/>
    <s v="TO OPEN"/>
    <x v="7"/>
    <d v="2020-09-20T00:00:00"/>
    <m/>
    <s v="FUTURE"/>
    <n v="3503.75"/>
    <n v="3503.75"/>
    <s v="MKT"/>
    <n v="-1"/>
    <n v="-175187.5"/>
    <n v="3503.75"/>
    <s v=""/>
  </r>
  <r>
    <x v="912"/>
    <x v="98"/>
    <s v="Monday"/>
    <d v="1899-12-30T14:22:54"/>
    <s v="FUTURE"/>
    <s v="SELL"/>
    <n v="-1"/>
    <s v="TO OPEN"/>
    <x v="7"/>
    <d v="2020-09-20T00:00:00"/>
    <m/>
    <s v="FUTURE"/>
    <n v="3504.25"/>
    <n v="3504.25"/>
    <s v="LMT"/>
    <n v="-2"/>
    <n v="-350400"/>
    <n v="3504"/>
    <s v=""/>
  </r>
  <r>
    <x v="912"/>
    <x v="98"/>
    <s v="Monday"/>
    <d v="1899-12-30T14:28:51"/>
    <s v="FUTURE"/>
    <s v="BUY"/>
    <n v="1"/>
    <s v="TO CLOSE"/>
    <x v="7"/>
    <d v="2020-09-20T00:00:00"/>
    <m/>
    <s v="FUTURE"/>
    <n v="3503.75"/>
    <n v="3503.75"/>
    <s v="LMT"/>
    <n v="-1"/>
    <n v="-175212.5"/>
    <n v="3504.25"/>
    <s v=""/>
  </r>
  <r>
    <x v="912"/>
    <x v="98"/>
    <s v="Monday"/>
    <d v="1899-12-30T14:31:48"/>
    <s v="FUTURE"/>
    <s v="BUY"/>
    <n v="1"/>
    <s v="TO CLOSE"/>
    <x v="7"/>
    <d v="2020-09-20T00:00:00"/>
    <m/>
    <s v="FUTURE"/>
    <n v="3503.25"/>
    <n v="3503.25"/>
    <s v="MKT"/>
    <n v="0"/>
    <n v="0"/>
    <s v=""/>
    <n v="50"/>
  </r>
  <r>
    <x v="913"/>
    <x v="99"/>
    <s v="Tuesday"/>
    <d v="1899-12-30T09:43:45"/>
    <s v="FUTURE"/>
    <s v="BUY"/>
    <n v="2"/>
    <s v="TO OPEN"/>
    <x v="10"/>
    <d v="2020-10-20T00:00:00"/>
    <m/>
    <s v="FUTURE"/>
    <n v="43.12"/>
    <n v="43.12"/>
    <s v="MKT"/>
    <n v="2"/>
    <n v="86240"/>
    <n v="43.12"/>
    <s v=""/>
  </r>
  <r>
    <x v="913"/>
    <x v="99"/>
    <s v="Tuesday"/>
    <d v="1899-12-30T09:45:22"/>
    <s v="FUTURE"/>
    <s v="SELL"/>
    <n v="-1"/>
    <s v="TO CLOSE"/>
    <x v="10"/>
    <d v="2020-10-20T00:00:00"/>
    <m/>
    <s v="FUTURE"/>
    <n v="43.24"/>
    <n v="43.24"/>
    <s v="LMT"/>
    <n v="1"/>
    <n v="43000"/>
    <n v="43"/>
    <s v=""/>
  </r>
  <r>
    <x v="913"/>
    <x v="99"/>
    <s v="Tuesday"/>
    <d v="1899-12-30T09:45:55"/>
    <s v="FUTURE"/>
    <s v="SELL"/>
    <n v="-1"/>
    <s v="TO CLOSE"/>
    <x v="10"/>
    <d v="2020-10-20T00:00:00"/>
    <m/>
    <s v="FUTURE"/>
    <n v="43.31"/>
    <n v="43.31"/>
    <s v="LMT"/>
    <n v="0"/>
    <n v="0"/>
    <s v=""/>
    <n v="310.00000000000227"/>
  </r>
  <r>
    <x v="914"/>
    <x v="99"/>
    <s v="Tuesday"/>
    <d v="1899-12-30T10:08:37"/>
    <s v="FUTURE"/>
    <s v="BUY"/>
    <n v="1"/>
    <s v="TO OPEN"/>
    <x v="7"/>
    <d v="2020-09-20T00:00:00"/>
    <m/>
    <s v="FUTURE"/>
    <n v="3504"/>
    <n v="3504"/>
    <s v="MKT"/>
    <n v="1"/>
    <n v="175200"/>
    <n v="3504"/>
    <s v=""/>
  </r>
  <r>
    <x v="914"/>
    <x v="99"/>
    <s v="Tuesday"/>
    <d v="1899-12-30T10:09:06"/>
    <s v="FUTURE"/>
    <s v="SELL"/>
    <n v="-1"/>
    <s v="TO CLOSE"/>
    <x v="7"/>
    <d v="2020-09-20T00:00:00"/>
    <m/>
    <s v="FUTURE"/>
    <n v="3505"/>
    <n v="3505"/>
    <s v="LMT"/>
    <n v="0"/>
    <n v="0"/>
    <s v=""/>
    <n v="50"/>
  </r>
  <r>
    <x v="915"/>
    <x v="99"/>
    <s v="Tuesday"/>
    <d v="1899-12-30T11:21:17"/>
    <s v="FUTURE"/>
    <s v="SELL"/>
    <n v="-1"/>
    <s v="TO OPEN"/>
    <x v="7"/>
    <d v="2020-09-20T00:00:00"/>
    <m/>
    <s v="FUTURE"/>
    <n v="3507.75"/>
    <n v="3507.75"/>
    <s v="LMT"/>
    <n v="-1"/>
    <n v="-175387.5"/>
    <n v="3507.75"/>
    <s v=""/>
  </r>
  <r>
    <x v="915"/>
    <x v="99"/>
    <s v="Tuesday"/>
    <d v="1899-12-30T11:22:33"/>
    <s v="FUTURE"/>
    <s v="BUY"/>
    <n v="1"/>
    <s v="TO CLOSE"/>
    <x v="7"/>
    <d v="2020-09-20T00:00:00"/>
    <m/>
    <s v="FUTURE"/>
    <n v="3505"/>
    <n v="3505"/>
    <s v="LMT"/>
    <n v="0"/>
    <n v="0"/>
    <s v=""/>
    <n v="137.5"/>
  </r>
  <r>
    <x v="916"/>
    <x v="99"/>
    <s v="Tuesday"/>
    <d v="1899-12-30T13:14:30"/>
    <s v="FUTURE"/>
    <s v="SELL"/>
    <n v="-1"/>
    <s v="TO OPEN"/>
    <x v="7"/>
    <d v="2020-09-20T00:00:00"/>
    <m/>
    <s v="FUTURE"/>
    <n v="3508.5"/>
    <n v="3508.5"/>
    <s v="LMT"/>
    <n v="-1"/>
    <n v="-175425"/>
    <n v="3508.5"/>
    <s v=""/>
  </r>
  <r>
    <x v="916"/>
    <x v="99"/>
    <s v="Tuesday"/>
    <d v="1899-12-30T13:40:58"/>
    <s v="FUTURE"/>
    <s v="SELL"/>
    <n v="-1"/>
    <s v="TO OPEN"/>
    <x v="7"/>
    <d v="2020-09-20T00:00:00"/>
    <m/>
    <s v="FUTURE"/>
    <n v="3511.5"/>
    <n v="3511.5"/>
    <s v="LMT"/>
    <n v="-2"/>
    <n v="-351000"/>
    <n v="3510"/>
    <s v=""/>
  </r>
  <r>
    <x v="916"/>
    <x v="99"/>
    <s v="Tuesday"/>
    <d v="1899-12-30T16:53:47"/>
    <s v="FUTURE"/>
    <s v="BUY"/>
    <n v="2"/>
    <s v="TO CLOSE"/>
    <x v="7"/>
    <d v="2020-09-20T00:00:00"/>
    <m/>
    <s v="FUTURE"/>
    <n v="3530"/>
    <n v="3530"/>
    <s v="STP"/>
    <n v="0"/>
    <n v="0"/>
    <s v=""/>
    <n v="-2000"/>
  </r>
  <r>
    <x v="917"/>
    <x v="99"/>
    <s v="Tuesday"/>
    <d v="1899-12-30T11:01:24"/>
    <s v="STOCK"/>
    <s v="BUY"/>
    <n v="200"/>
    <s v="TO OPEN"/>
    <x v="2"/>
    <m/>
    <m/>
    <s v="STOCK"/>
    <n v="27.4"/>
    <n v="27.4"/>
    <s v="LMT"/>
    <n v="200"/>
    <n v="5480"/>
    <n v="27.4"/>
    <s v=""/>
  </r>
  <r>
    <x v="917"/>
    <x v="99"/>
    <s v="Tuesday"/>
    <d v="1899-12-30T11:01:24"/>
    <s v="STOCK"/>
    <s v="BUY"/>
    <n v="100"/>
    <s v="TO OPEN"/>
    <x v="2"/>
    <m/>
    <m/>
    <s v="STOCK"/>
    <n v="27.4"/>
    <n v="27.4"/>
    <s v="LMT"/>
    <n v="300"/>
    <n v="8220"/>
    <n v="27.4"/>
    <s v=""/>
  </r>
  <r>
    <x v="917"/>
    <x v="99"/>
    <s v="Tuesday"/>
    <d v="1899-12-30T11:12:08"/>
    <s v="STOCK"/>
    <s v="BUY"/>
    <n v="100"/>
    <s v="TO OPEN"/>
    <x v="2"/>
    <m/>
    <m/>
    <s v="STOCK"/>
    <n v="27.1799"/>
    <n v="27.1799"/>
    <s v="MKT"/>
    <n v="400"/>
    <n v="10937.99"/>
    <n v="27.344974999999998"/>
    <s v=""/>
  </r>
  <r>
    <x v="917"/>
    <x v="99"/>
    <s v="Tuesday"/>
    <d v="1899-12-30T11:13:04"/>
    <s v="STOCK"/>
    <s v="BUY"/>
    <n v="100"/>
    <s v="TO OPEN"/>
    <x v="2"/>
    <m/>
    <m/>
    <s v="STOCK"/>
    <n v="27.0899"/>
    <n v="27.0899"/>
    <s v="MKT"/>
    <n v="500"/>
    <n v="13646.98"/>
    <n v="27.293959999999998"/>
    <s v=""/>
  </r>
  <r>
    <x v="917"/>
    <x v="99"/>
    <s v="Tuesday"/>
    <d v="1899-12-30T11:24:37"/>
    <s v="STOCK"/>
    <s v="SELL"/>
    <n v="-100"/>
    <s v="TO CLOSE"/>
    <x v="2"/>
    <m/>
    <m/>
    <s v="STOCK"/>
    <n v="27.3"/>
    <n v="27.3"/>
    <s v="LMT"/>
    <n v="400"/>
    <n v="10916.98"/>
    <n v="27.292449999999999"/>
    <s v=""/>
  </r>
  <r>
    <x v="917"/>
    <x v="99"/>
    <s v="Tuesday"/>
    <d v="1899-12-30T15:36:22"/>
    <s v="STOCK"/>
    <s v="SELL"/>
    <n v="-100"/>
    <s v="TO CLOSE"/>
    <x v="2"/>
    <m/>
    <m/>
    <s v="STOCK"/>
    <n v="27.18"/>
    <n v="27.18"/>
    <s v="LMT"/>
    <n v="300"/>
    <n v="8198.98"/>
    <n v="27.329933333333333"/>
    <s v=""/>
  </r>
  <r>
    <x v="917"/>
    <x v="99"/>
    <s v="Tuesday"/>
    <d v="1899-12-30T15:51:24"/>
    <s v="STOCK"/>
    <s v="SELL"/>
    <n v="-100"/>
    <s v="TO CLOSE"/>
    <x v="2"/>
    <m/>
    <m/>
    <s v="STOCK"/>
    <n v="27.33"/>
    <n v="27.33"/>
    <s v="LMT"/>
    <n v="200"/>
    <n v="5465.98"/>
    <n v="27.329899999999999"/>
    <s v=""/>
  </r>
  <r>
    <x v="917"/>
    <x v="99"/>
    <s v="Tuesday"/>
    <d v="1899-12-30T15:59:21"/>
    <s v="STOCK"/>
    <s v="SELL"/>
    <n v="-200"/>
    <s v="TO CLOSE"/>
    <x v="2"/>
    <m/>
    <m/>
    <s v="STOCK"/>
    <n v="27.34"/>
    <n v="27.34"/>
    <s v="LMT"/>
    <n v="0"/>
    <n v="0"/>
    <s v=""/>
    <n v="2.020000000000266"/>
  </r>
  <r>
    <x v="918"/>
    <x v="100"/>
    <s v="Wednesday"/>
    <d v="1899-12-30T09:31:51"/>
    <s v="FUTURE"/>
    <s v="SELL"/>
    <n v="-2"/>
    <s v="TO OPEN"/>
    <x v="10"/>
    <d v="2020-10-20T00:00:00"/>
    <m/>
    <s v="FUTURE"/>
    <n v="42.72"/>
    <n v="42.72"/>
    <s v="MKT"/>
    <n v="-2"/>
    <n v="-85440"/>
    <n v="42.72"/>
    <s v=""/>
  </r>
  <r>
    <x v="918"/>
    <x v="100"/>
    <s v="Wednesday"/>
    <d v="1899-12-30T09:35:32"/>
    <s v="FUTURE"/>
    <s v="BUY"/>
    <n v="1"/>
    <s v="TO CLOSE"/>
    <x v="10"/>
    <d v="2020-10-20T00:00:00"/>
    <m/>
    <s v="FUTURE"/>
    <n v="42.62"/>
    <n v="42.62"/>
    <s v="LMT"/>
    <n v="-1"/>
    <n v="-42820"/>
    <n v="42.82"/>
    <s v=""/>
  </r>
  <r>
    <x v="918"/>
    <x v="100"/>
    <s v="Wednesday"/>
    <d v="1899-12-30T09:36:49"/>
    <s v="FUTURE"/>
    <s v="BUY"/>
    <n v="1"/>
    <s v="TO CLOSE"/>
    <x v="10"/>
    <d v="2020-10-20T00:00:00"/>
    <m/>
    <s v="FUTURE"/>
    <n v="42.63"/>
    <n v="42.63"/>
    <s v="LMT"/>
    <n v="0"/>
    <n v="0"/>
    <s v=""/>
    <n v="189.99999999999773"/>
  </r>
  <r>
    <x v="919"/>
    <x v="100"/>
    <s v="Wednesday"/>
    <d v="1899-12-30T10:29:27"/>
    <s v="FUTURE"/>
    <s v="BUY"/>
    <n v="1"/>
    <s v="TO OPEN"/>
    <x v="10"/>
    <d v="2020-10-20T00:00:00"/>
    <m/>
    <s v="FUTURE"/>
    <n v="42.35"/>
    <n v="42.35"/>
    <s v="MKT"/>
    <n v="1"/>
    <n v="42350"/>
    <n v="42.35"/>
    <s v=""/>
  </r>
  <r>
    <x v="919"/>
    <x v="100"/>
    <s v="Wednesday"/>
    <d v="1899-12-30T10:30:55"/>
    <s v="FUTURE"/>
    <s v="SELL"/>
    <n v="-1"/>
    <s v="TO CLOSE"/>
    <x v="10"/>
    <d v="2020-10-20T00:00:00"/>
    <m/>
    <s v="FUTURE"/>
    <n v="42.57"/>
    <n v="42.57"/>
    <s v="LMT"/>
    <n v="0"/>
    <n v="0"/>
    <s v=""/>
    <n v="219.99999999999886"/>
  </r>
  <r>
    <x v="920"/>
    <x v="100"/>
    <s v="Wednesday"/>
    <d v="1899-12-30T10:58:05"/>
    <s v="FUTURE"/>
    <s v="BUY"/>
    <n v="1"/>
    <s v="TO OPEN"/>
    <x v="10"/>
    <d v="2020-10-20T00:00:00"/>
    <m/>
    <s v="FUTURE"/>
    <n v="41.87"/>
    <n v="41.87"/>
    <s v="LMT"/>
    <n v="1"/>
    <n v="41870"/>
    <n v="41.87"/>
    <s v=""/>
  </r>
  <r>
    <x v="920"/>
    <x v="100"/>
    <s v="Wednesday"/>
    <d v="1899-12-30T11:24:26"/>
    <s v="FUTURE"/>
    <s v="BUY"/>
    <n v="1"/>
    <s v="TO OPEN"/>
    <x v="10"/>
    <d v="2020-10-20T00:00:00"/>
    <m/>
    <s v="FUTURE"/>
    <n v="41.71"/>
    <n v="41.71"/>
    <s v="LMT"/>
    <n v="2"/>
    <n v="83580"/>
    <n v="41.79"/>
    <s v=""/>
  </r>
  <r>
    <x v="920"/>
    <x v="100"/>
    <s v="Wednesday"/>
    <d v="1899-12-30T11:30:21"/>
    <s v="FUTURE"/>
    <s v="BUY"/>
    <n v="1"/>
    <s v="TO OPEN"/>
    <x v="10"/>
    <d v="2020-10-20T00:00:00"/>
    <m/>
    <s v="FUTURE"/>
    <n v="41.79"/>
    <n v="41.79"/>
    <s v="STP"/>
    <n v="3"/>
    <n v="125370"/>
    <n v="41.79"/>
    <s v=""/>
  </r>
  <r>
    <x v="920"/>
    <x v="100"/>
    <s v="Wednesday"/>
    <d v="1899-12-30T11:31:09"/>
    <s v="FUTURE"/>
    <s v="SELL"/>
    <n v="-1"/>
    <s v="TO CLOSE"/>
    <x v="10"/>
    <d v="2020-10-20T00:00:00"/>
    <m/>
    <s v="FUTURE"/>
    <n v="41.87"/>
    <n v="41.87"/>
    <s v="LMT"/>
    <n v="2"/>
    <n v="83500"/>
    <n v="41.75"/>
    <s v=""/>
  </r>
  <r>
    <x v="920"/>
    <x v="100"/>
    <s v="Wednesday"/>
    <d v="1899-12-30T11:32:53"/>
    <s v="FUTURE"/>
    <s v="SELL"/>
    <n v="-1"/>
    <s v="TO CLOSE"/>
    <x v="10"/>
    <d v="2020-10-20T00:00:00"/>
    <m/>
    <s v="FUTURE"/>
    <n v="41.96"/>
    <n v="41.96"/>
    <s v="LMT"/>
    <n v="1"/>
    <n v="41540"/>
    <n v="41.54"/>
    <s v=""/>
  </r>
  <r>
    <x v="920"/>
    <x v="100"/>
    <s v="Wednesday"/>
    <d v="1899-12-30T11:40:39"/>
    <s v="FUTURE"/>
    <s v="BUY"/>
    <n v="1"/>
    <s v="TO OPEN"/>
    <x v="10"/>
    <d v="2020-10-20T00:00:00"/>
    <m/>
    <s v="FUTURE"/>
    <n v="41.73"/>
    <n v="41.73"/>
    <s v="STP"/>
    <n v="2"/>
    <n v="83270"/>
    <n v="41.634999999999998"/>
    <s v=""/>
  </r>
  <r>
    <x v="920"/>
    <x v="100"/>
    <s v="Wednesday"/>
    <d v="1899-12-30T12:56:47"/>
    <s v="FUTURE"/>
    <s v="BUY"/>
    <n v="1"/>
    <s v="TO OPEN"/>
    <x v="10"/>
    <d v="2020-10-20T00:00:00"/>
    <m/>
    <s v="FUTURE"/>
    <n v="41.55"/>
    <n v="41.55"/>
    <s v="LMT"/>
    <n v="3"/>
    <n v="124820"/>
    <n v="41.606666666666662"/>
    <s v=""/>
  </r>
  <r>
    <x v="920"/>
    <x v="100"/>
    <s v="Wednesday"/>
    <d v="1899-12-30T13:05:49"/>
    <s v="FUTURE"/>
    <s v="SELL"/>
    <n v="-1"/>
    <s v="TO CLOSE"/>
    <x v="10"/>
    <d v="2020-10-20T00:00:00"/>
    <m/>
    <s v="FUTURE"/>
    <n v="41.77"/>
    <n v="41.77"/>
    <s v="LMT"/>
    <n v="2"/>
    <n v="83050"/>
    <n v="41.524999999999999"/>
    <s v=""/>
  </r>
  <r>
    <x v="920"/>
    <x v="100"/>
    <s v="Wednesday"/>
    <d v="1899-12-30T13:32:52"/>
    <s v="FUTURE"/>
    <s v="SELL"/>
    <n v="-1"/>
    <s v="TO CLOSE"/>
    <x v="10"/>
    <d v="2020-10-20T00:00:00"/>
    <m/>
    <s v="FUTURE"/>
    <n v="41.82"/>
    <n v="41.82"/>
    <s v="LMT"/>
    <n v="1"/>
    <n v="41230"/>
    <n v="41.23"/>
    <s v=""/>
  </r>
  <r>
    <x v="920"/>
    <x v="100"/>
    <s v="Wednesday"/>
    <d v="1899-12-30T13:37:34"/>
    <s v="FUTURE"/>
    <s v="SELL"/>
    <n v="-1"/>
    <s v="TO CLOSE"/>
    <x v="10"/>
    <d v="2020-10-20T00:00:00"/>
    <m/>
    <s v="FUTURE"/>
    <n v="41.78"/>
    <n v="41.78"/>
    <s v="LMT"/>
    <n v="0"/>
    <n v="0"/>
    <s v=""/>
    <n v="550.00000000000432"/>
  </r>
  <r>
    <x v="921"/>
    <x v="100"/>
    <s v="Wednesday"/>
    <d v="1899-12-30T09:40:55"/>
    <s v="FUTURE"/>
    <s v="SELL"/>
    <n v="-1"/>
    <s v="TO OPEN"/>
    <x v="7"/>
    <d v="2020-09-20T00:00:00"/>
    <m/>
    <s v="FUTURE"/>
    <n v="3538.75"/>
    <n v="3538.75"/>
    <s v="MKT"/>
    <n v="-1"/>
    <n v="-176937.5"/>
    <n v="3538.75"/>
    <s v=""/>
  </r>
  <r>
    <x v="921"/>
    <x v="100"/>
    <s v="Wednesday"/>
    <d v="1899-12-30T09:46:59"/>
    <s v="FUTURE"/>
    <s v="SELL"/>
    <n v="-1"/>
    <s v="TO OPEN"/>
    <x v="7"/>
    <d v="2020-09-20T00:00:00"/>
    <m/>
    <s v="FUTURE"/>
    <n v="3543.25"/>
    <n v="3543.25"/>
    <s v="MKT"/>
    <n v="-2"/>
    <n v="-354100"/>
    <n v="3541"/>
    <s v=""/>
  </r>
  <r>
    <x v="921"/>
    <x v="100"/>
    <s v="Wednesday"/>
    <d v="1899-12-30T09:49:13"/>
    <s v="FUTURE"/>
    <s v="BUY"/>
    <n v="1"/>
    <s v="TO CLOSE"/>
    <x v="7"/>
    <d v="2020-09-20T00:00:00"/>
    <m/>
    <s v="FUTURE"/>
    <n v="3541"/>
    <n v="3541"/>
    <s v="LMT"/>
    <n v="-1"/>
    <n v="-177050"/>
    <n v="3541"/>
    <s v=""/>
  </r>
  <r>
    <x v="921"/>
    <x v="100"/>
    <s v="Wednesday"/>
    <d v="1899-12-30T09:51:01"/>
    <s v="FUTURE"/>
    <s v="BUY"/>
    <n v="1"/>
    <s v="TO CLOSE"/>
    <x v="7"/>
    <d v="2020-09-20T00:00:00"/>
    <m/>
    <s v="FUTURE"/>
    <n v="3538.25"/>
    <n v="3538.25"/>
    <s v="LMT"/>
    <n v="0"/>
    <n v="0"/>
    <s v=""/>
    <n v="137.5"/>
  </r>
  <r>
    <x v="922"/>
    <x v="100"/>
    <s v="Wednesday"/>
    <d v="1899-12-30T10:11:13"/>
    <s v="FUTURE"/>
    <s v="BUY"/>
    <n v="1"/>
    <s v="TO OPEN"/>
    <x v="7"/>
    <d v="2020-09-20T00:00:00"/>
    <m/>
    <s v="FUTURE"/>
    <n v="3536.75"/>
    <n v="3536.75"/>
    <s v="MKT"/>
    <n v="1"/>
    <n v="176837.5"/>
    <n v="3536.75"/>
    <s v=""/>
  </r>
  <r>
    <x v="922"/>
    <x v="100"/>
    <s v="Wednesday"/>
    <d v="1899-12-30T10:13:58"/>
    <s v="FUTURE"/>
    <s v="SELL"/>
    <n v="-1"/>
    <s v="TO CLOSE"/>
    <x v="7"/>
    <d v="2020-09-20T00:00:00"/>
    <m/>
    <s v="FUTURE"/>
    <n v="3540.5"/>
    <n v="3540.5"/>
    <s v="LMT"/>
    <n v="0"/>
    <n v="0"/>
    <s v=""/>
    <n v="187.5"/>
  </r>
  <r>
    <x v="923"/>
    <x v="101"/>
    <s v="Thursday"/>
    <d v="1899-12-30T09:34:03"/>
    <s v="FUTURE"/>
    <s v="BUY"/>
    <n v="1"/>
    <s v="TO OPEN"/>
    <x v="7"/>
    <d v="2020-09-20T00:00:00"/>
    <m/>
    <s v="FUTURE"/>
    <n v="3562.5"/>
    <n v="3562.5"/>
    <s v="MKT"/>
    <n v="1"/>
    <n v="178125"/>
    <n v="3562.5"/>
    <s v=""/>
  </r>
  <r>
    <x v="923"/>
    <x v="101"/>
    <s v="Thursday"/>
    <d v="1899-12-30T09:36:26"/>
    <s v="FUTURE"/>
    <s v="BUY"/>
    <n v="1"/>
    <s v="TO OPEN"/>
    <x v="7"/>
    <d v="2020-09-20T00:00:00"/>
    <m/>
    <s v="FUTURE"/>
    <n v="3560"/>
    <n v="3560"/>
    <s v="MKT"/>
    <n v="2"/>
    <n v="356125"/>
    <n v="3561.25"/>
    <s v=""/>
  </r>
  <r>
    <x v="923"/>
    <x v="101"/>
    <s v="Thursday"/>
    <d v="1899-12-30T11:17:12"/>
    <s v="FUTURE"/>
    <s v="SELL"/>
    <n v="-2"/>
    <s v="TO CLOSE"/>
    <x v="7"/>
    <d v="2020-09-20T00:00:00"/>
    <m/>
    <s v="FUTURE"/>
    <n v="3477"/>
    <n v="3477"/>
    <s v="LMT"/>
    <n v="0"/>
    <n v="0"/>
    <s v=""/>
    <n v="-8425"/>
  </r>
  <r>
    <x v="924"/>
    <x v="101"/>
    <s v="Thursday"/>
    <d v="1899-12-30T10:35:17"/>
    <s v="STOCK"/>
    <s v="SELL"/>
    <n v="-400"/>
    <s v="TO OPEN"/>
    <x v="2"/>
    <m/>
    <m/>
    <s v="STOCK"/>
    <n v="28.192399999999999"/>
    <n v="28.192399999999999"/>
    <s v="LMT"/>
    <n v="-400"/>
    <n v="-11276.96"/>
    <n v="28.192399999999999"/>
    <s v=""/>
  </r>
  <r>
    <x v="924"/>
    <x v="101"/>
    <s v="Thursday"/>
    <d v="1899-12-30T11:17:18"/>
    <s v="STOCK"/>
    <s v="BUY"/>
    <n v="100"/>
    <s v="TO CLOSE"/>
    <x v="2"/>
    <m/>
    <m/>
    <s v="STOCK"/>
    <n v="29.274999999999999"/>
    <n v="29.274999999999999"/>
    <s v="MKT"/>
    <n v="-300"/>
    <n v="-8349.4599999999991"/>
    <n v="27.831533333333329"/>
    <s v=""/>
  </r>
  <r>
    <x v="924"/>
    <x v="101"/>
    <s v="Thursday"/>
    <d v="1899-12-30T11:17:18"/>
    <s v="STOCK"/>
    <s v="BUY"/>
    <n v="300"/>
    <s v="TO CLOSE"/>
    <x v="2"/>
    <m/>
    <m/>
    <s v="STOCK"/>
    <n v="29.279"/>
    <n v="29.279"/>
    <s v="MKT"/>
    <n v="0"/>
    <n v="0"/>
    <s v=""/>
    <n v="-434.2400000000012"/>
  </r>
  <r>
    <x v="925"/>
    <x v="102"/>
    <s v="Monday"/>
    <d v="1899-12-30T09:01:44"/>
    <s v="STOCK"/>
    <s v="SELL"/>
    <n v="-400"/>
    <s v="TO OPEN"/>
    <x v="2"/>
    <m/>
    <m/>
    <s v="STOCK"/>
    <n v="22.11"/>
    <n v="22.11"/>
    <s v="LMT"/>
    <n v="-400"/>
    <n v="-8844"/>
    <n v="22.11"/>
    <s v=""/>
  </r>
  <r>
    <x v="925"/>
    <x v="102"/>
    <s v="Monday"/>
    <d v="1899-12-30T09:01:53"/>
    <s v="STOCK"/>
    <s v="SELL"/>
    <n v="-100"/>
    <s v="TO OPEN"/>
    <x v="2"/>
    <m/>
    <m/>
    <s v="STOCK"/>
    <n v="22.11"/>
    <n v="22.11"/>
    <s v="LMT"/>
    <n v="-500"/>
    <n v="-11055"/>
    <n v="22.11"/>
    <s v=""/>
  </r>
  <r>
    <x v="925"/>
    <x v="102"/>
    <s v="Monday"/>
    <d v="1899-12-30T10:06:42"/>
    <s v="STOCK"/>
    <s v="BUY"/>
    <n v="500"/>
    <s v="TO CLOSE"/>
    <x v="2"/>
    <m/>
    <m/>
    <s v="STOCK"/>
    <n v="22.569600000000001"/>
    <n v="22.569600000000001"/>
    <s v="STP"/>
    <n v="0"/>
    <n v="0"/>
    <s v=""/>
    <n v="-229.80000000000089"/>
  </r>
  <r>
    <x v="926"/>
    <x v="102"/>
    <s v="Monday"/>
    <d v="1899-12-30T10:44:45"/>
    <s v="STOCK"/>
    <s v="SELL"/>
    <n v="-500"/>
    <s v="TO OPEN"/>
    <x v="2"/>
    <m/>
    <m/>
    <s v="STOCK"/>
    <n v="22.5014"/>
    <n v="22.5014"/>
    <s v="LMT"/>
    <n v="-500"/>
    <n v="-11250.7"/>
    <n v="22.5014"/>
    <s v=""/>
  </r>
  <r>
    <x v="926"/>
    <x v="102"/>
    <s v="Monday"/>
    <d v="1899-12-30T13:02:32"/>
    <s v="STOCK"/>
    <s v="BUY"/>
    <n v="500"/>
    <s v="TO CLOSE"/>
    <x v="2"/>
    <m/>
    <m/>
    <s v="STOCK"/>
    <n v="22.368600000000001"/>
    <n v="22.368600000000001"/>
    <s v="MKT"/>
    <n v="0"/>
    <n v="0"/>
    <s v=""/>
    <n v="66.399999999999793"/>
  </r>
  <r>
    <x v="927"/>
    <x v="102"/>
    <s v="Monday"/>
    <d v="1899-12-30T14:07:57"/>
    <s v="STOCK"/>
    <s v="SELL"/>
    <n v="-500"/>
    <s v="TO OPEN"/>
    <x v="2"/>
    <m/>
    <m/>
    <s v="STOCK"/>
    <n v="22.57"/>
    <n v="22.57"/>
    <s v="LMT"/>
    <n v="-500"/>
    <n v="-11285"/>
    <n v="22.57"/>
    <s v=""/>
  </r>
  <r>
    <x v="927"/>
    <x v="102"/>
    <s v="Monday"/>
    <d v="1899-12-30T15:01:52"/>
    <s v="STOCK"/>
    <s v="BUY"/>
    <n v="500"/>
    <s v="TO CLOSE"/>
    <x v="2"/>
    <m/>
    <m/>
    <s v="STOCK"/>
    <n v="23.24"/>
    <n v="23.24"/>
    <s v="STP"/>
    <n v="0"/>
    <n v="0"/>
    <s v=""/>
    <n v="-334.99999999999909"/>
  </r>
  <r>
    <x v="928"/>
    <x v="103"/>
    <s v="Tuesday"/>
    <d v="1899-12-30T08:13:52"/>
    <s v="STOCK"/>
    <s v="BUY"/>
    <n v="500"/>
    <s v="TO OPEN"/>
    <x v="2"/>
    <m/>
    <m/>
    <s v="STOCK"/>
    <n v="22.99"/>
    <n v="22.99"/>
    <s v="LMT"/>
    <n v="500"/>
    <n v="11495"/>
    <n v="22.99"/>
    <s v=""/>
  </r>
  <r>
    <x v="928"/>
    <x v="103"/>
    <s v="Tuesday"/>
    <d v="1899-12-30T08:38:54"/>
    <s v="STOCK"/>
    <s v="SELL"/>
    <n v="-500"/>
    <s v="TO CLOSE"/>
    <x v="2"/>
    <m/>
    <m/>
    <s v="STOCK"/>
    <n v="23.03"/>
    <n v="23.03"/>
    <s v="LMT"/>
    <n v="0"/>
    <n v="0"/>
    <s v=""/>
    <n v="20.00000000000135"/>
  </r>
  <r>
    <x v="929"/>
    <x v="103"/>
    <s v="Tuesday"/>
    <d v="1899-12-30T09:45:27"/>
    <s v="STOCK"/>
    <s v="SELL"/>
    <n v="-500"/>
    <s v="TO OPEN"/>
    <x v="2"/>
    <m/>
    <m/>
    <s v="STOCK"/>
    <n v="22.9513"/>
    <n v="22.9513"/>
    <s v="MKT"/>
    <n v="-500"/>
    <n v="-11475.65"/>
    <n v="22.9513"/>
    <s v=""/>
  </r>
  <r>
    <x v="929"/>
    <x v="103"/>
    <s v="Tuesday"/>
    <d v="1899-12-30T10:12:51"/>
    <s v="STOCK"/>
    <s v="BUY"/>
    <n v="500"/>
    <s v="TO CLOSE"/>
    <x v="2"/>
    <m/>
    <m/>
    <s v="STOCK"/>
    <n v="23.148599999999998"/>
    <n v="23.148599999999998"/>
    <s v="MKT"/>
    <n v="0"/>
    <n v="0"/>
    <s v=""/>
    <n v="-98.649999999999238"/>
  </r>
  <r>
    <x v="930"/>
    <x v="103"/>
    <s v="Tuesday"/>
    <d v="1899-12-30T10:12:51"/>
    <s v="STOCK"/>
    <s v="BUY"/>
    <n v="500"/>
    <s v="TO OPEN"/>
    <x v="2"/>
    <m/>
    <m/>
    <s v="STOCK"/>
    <n v="23.148599999999998"/>
    <n v="23.148599999999998"/>
    <s v="MKT"/>
    <n v="500"/>
    <n v="11574.3"/>
    <n v="23.148599999999998"/>
    <s v=""/>
  </r>
  <r>
    <x v="930"/>
    <x v="103"/>
    <s v="Tuesday"/>
    <d v="1899-12-30T10:21:19"/>
    <s v="STOCK"/>
    <s v="SELL"/>
    <n v="-200"/>
    <s v="TO CLOSE"/>
    <x v="2"/>
    <m/>
    <m/>
    <s v="STOCK"/>
    <n v="23.26"/>
    <n v="23.26"/>
    <s v="LMT"/>
    <n v="300"/>
    <n v="6922.2999999999993"/>
    <n v="23.074333333333332"/>
    <s v=""/>
  </r>
  <r>
    <x v="930"/>
    <x v="103"/>
    <s v="Tuesday"/>
    <d v="1899-12-30T10:45:42"/>
    <s v="STOCK"/>
    <s v="SELL"/>
    <n v="-300"/>
    <s v="TO CLOSE"/>
    <x v="2"/>
    <m/>
    <m/>
    <s v="STOCK"/>
    <n v="23.150099999999998"/>
    <n v="23.150099999999998"/>
    <s v="LMT"/>
    <n v="0"/>
    <n v="0"/>
    <s v=""/>
    <n v="22.729999999999961"/>
  </r>
  <r>
    <x v="931"/>
    <x v="103"/>
    <s v="Tuesday"/>
    <d v="1899-12-30T10:52:07"/>
    <s v="STOCK"/>
    <s v="SELL"/>
    <n v="-430"/>
    <s v="TO OPEN"/>
    <x v="2"/>
    <m/>
    <m/>
    <s v="STOCK"/>
    <n v="23.17"/>
    <n v="23.17"/>
    <s v="LMT"/>
    <n v="-430"/>
    <n v="-9963.1"/>
    <n v="23.17"/>
    <s v=""/>
  </r>
  <r>
    <x v="931"/>
    <x v="103"/>
    <s v="Tuesday"/>
    <d v="1899-12-30T10:52:08"/>
    <s v="STOCK"/>
    <s v="SELL"/>
    <n v="-70"/>
    <s v="TO OPEN"/>
    <x v="2"/>
    <m/>
    <m/>
    <s v="STOCK"/>
    <n v="23.17"/>
    <n v="23.17"/>
    <s v="LMT"/>
    <n v="-500"/>
    <n v="-11585"/>
    <n v="23.17"/>
    <s v=""/>
  </r>
  <r>
    <x v="931"/>
    <x v="103"/>
    <s v="Tuesday"/>
    <d v="1899-12-30T10:59:53"/>
    <s v="STOCK"/>
    <s v="BUY"/>
    <n v="500"/>
    <s v="TO CLOSE"/>
    <x v="2"/>
    <m/>
    <m/>
    <s v="STOCK"/>
    <n v="23.1586"/>
    <n v="23.1586"/>
    <s v="LMT"/>
    <n v="0"/>
    <n v="0"/>
    <s v=""/>
    <n v="5.7000000000009265"/>
  </r>
  <r>
    <x v="932"/>
    <x v="103"/>
    <s v="Tuesday"/>
    <d v="1899-12-30T11:12:05"/>
    <s v="STOCK"/>
    <s v="SELL"/>
    <n v="-291"/>
    <s v="TO OPEN"/>
    <x v="2"/>
    <m/>
    <m/>
    <s v="STOCK"/>
    <n v="23.19"/>
    <n v="23.19"/>
    <s v="LMT"/>
    <n v="-291"/>
    <n v="-6748.29"/>
    <n v="23.19"/>
    <s v=""/>
  </r>
  <r>
    <x v="932"/>
    <x v="103"/>
    <s v="Tuesday"/>
    <d v="1899-12-30T11:12:05"/>
    <s v="STOCK"/>
    <s v="SELL"/>
    <n v="-209"/>
    <s v="TO OPEN"/>
    <x v="2"/>
    <m/>
    <m/>
    <s v="STOCK"/>
    <n v="23.19"/>
    <n v="23.19"/>
    <s v="LMT"/>
    <n v="-500"/>
    <n v="-11595"/>
    <n v="23.19"/>
    <s v=""/>
  </r>
  <r>
    <x v="932"/>
    <x v="103"/>
    <s v="Tuesday"/>
    <d v="1899-12-30T11:34:52"/>
    <s v="STOCK"/>
    <s v="BUY"/>
    <n v="500"/>
    <s v="TO CLOSE"/>
    <x v="2"/>
    <m/>
    <m/>
    <s v="STOCK"/>
    <n v="23.19"/>
    <n v="23.19"/>
    <s v="STP"/>
    <n v="0"/>
    <n v="0"/>
    <s v=""/>
    <n v="0"/>
  </r>
  <r>
    <x v="933"/>
    <x v="104"/>
    <s v="Wednesday"/>
    <d v="1899-12-30T09:34:30"/>
    <s v="STOCK"/>
    <s v="SELL"/>
    <n v="-500"/>
    <s v="TO OPEN"/>
    <x v="2"/>
    <m/>
    <m/>
    <s v="STOCK"/>
    <n v="23.05"/>
    <n v="23.05"/>
    <s v="LMT"/>
    <n v="-500"/>
    <n v="-11525"/>
    <n v="23.05"/>
    <s v=""/>
  </r>
  <r>
    <x v="933"/>
    <x v="104"/>
    <s v="Wednesday"/>
    <d v="1899-12-30T09:48:26"/>
    <s v="STOCK"/>
    <s v="BUY"/>
    <n v="200"/>
    <s v="TO CLOSE"/>
    <x v="2"/>
    <m/>
    <m/>
    <s v="STOCK"/>
    <n v="22.95"/>
    <n v="22.95"/>
    <s v="LMT"/>
    <n v="-300"/>
    <n v="-6935"/>
    <n v="23.116666666666667"/>
    <s v=""/>
  </r>
  <r>
    <x v="933"/>
    <x v="104"/>
    <s v="Wednesday"/>
    <d v="1899-12-30T09:55:02"/>
    <s v="STOCK"/>
    <s v="BUY"/>
    <n v="100"/>
    <s v="TO CLOSE"/>
    <x v="2"/>
    <m/>
    <m/>
    <s v="STOCK"/>
    <n v="22.85"/>
    <n v="22.85"/>
    <s v="LMT"/>
    <n v="-200"/>
    <n v="-4650"/>
    <n v="23.25"/>
    <s v=""/>
  </r>
  <r>
    <x v="933"/>
    <x v="104"/>
    <s v="Wednesday"/>
    <d v="1899-12-30T09:55:04"/>
    <s v="STOCK"/>
    <s v="BUY"/>
    <n v="50"/>
    <s v="TO CLOSE"/>
    <x v="2"/>
    <m/>
    <m/>
    <s v="STOCK"/>
    <n v="22.85"/>
    <n v="22.85"/>
    <s v="LMT"/>
    <n v="-150"/>
    <n v="-3507.5"/>
    <n v="23.383333333333333"/>
    <s v=""/>
  </r>
  <r>
    <x v="933"/>
    <x v="104"/>
    <s v="Wednesday"/>
    <d v="1899-12-30T09:59:59"/>
    <s v="STOCK"/>
    <s v="BUY"/>
    <n v="150"/>
    <s v="TO CLOSE"/>
    <x v="2"/>
    <m/>
    <m/>
    <s v="STOCK"/>
    <n v="22.849900000000002"/>
    <n v="22.849869999999999"/>
    <s v="MKT"/>
    <n v="0"/>
    <n v="0"/>
    <s v=""/>
    <n v="80.014999999999674"/>
  </r>
  <r>
    <x v="934"/>
    <x v="105"/>
    <s v="Thursday"/>
    <d v="1899-12-30T09:28:52"/>
    <s v="FUTURE"/>
    <s v="BUY"/>
    <n v="1"/>
    <s v="TO OPEN"/>
    <x v="11"/>
    <d v="2020-12-20T00:00:00"/>
    <m/>
    <s v="FUTURE"/>
    <n v="40.340000000000003"/>
    <n v="40.340000000000003"/>
    <s v="LMT"/>
    <n v="1"/>
    <n v="40340"/>
    <n v="40.340000000000003"/>
    <s v=""/>
  </r>
  <r>
    <x v="934"/>
    <x v="105"/>
    <s v="Thursday"/>
    <d v="1899-12-30T09:35:02"/>
    <s v="FUTURE"/>
    <s v="BUY"/>
    <n v="1"/>
    <s v="TO OPEN"/>
    <x v="11"/>
    <d v="2020-12-20T00:00:00"/>
    <m/>
    <s v="FUTURE"/>
    <n v="40.44"/>
    <n v="40.44"/>
    <s v="STP"/>
    <n v="2"/>
    <n v="80780"/>
    <n v="40.39"/>
    <s v=""/>
  </r>
  <r>
    <x v="934"/>
    <x v="105"/>
    <s v="Thursday"/>
    <d v="1899-12-30T09:39:12"/>
    <s v="FUTURE"/>
    <s v="SELL"/>
    <n v="-1"/>
    <s v="TO CLOSE"/>
    <x v="11"/>
    <d v="2020-12-20T00:00:00"/>
    <m/>
    <s v="FUTURE"/>
    <n v="40.46"/>
    <n v="40.46"/>
    <s v="LMT"/>
    <n v="1"/>
    <n v="40320"/>
    <n v="40.32"/>
    <s v=""/>
  </r>
  <r>
    <x v="934"/>
    <x v="105"/>
    <s v="Thursday"/>
    <d v="1899-12-30T09:44:13"/>
    <s v="FUTURE"/>
    <s v="SELL"/>
    <n v="-1"/>
    <s v="TO CLOSE"/>
    <x v="11"/>
    <d v="2020-12-20T00:00:00"/>
    <m/>
    <s v="FUTURE"/>
    <n v="40.479999999999997"/>
    <n v="40.479999999999997"/>
    <s v="LMT"/>
    <n v="0"/>
    <n v="0"/>
    <s v=""/>
    <n v="159.99999999999659"/>
  </r>
  <r>
    <x v="935"/>
    <x v="105"/>
    <s v="Thursday"/>
    <d v="1899-12-30T10:34:10"/>
    <s v="FUTURE"/>
    <s v="SELL"/>
    <n v="-1"/>
    <s v="TO OPEN"/>
    <x v="11"/>
    <d v="2020-12-20T00:00:00"/>
    <m/>
    <s v="FUTURE"/>
    <n v="40.53"/>
    <n v="40.53"/>
    <s v="LMT"/>
    <n v="-1"/>
    <n v="-40530"/>
    <n v="40.53"/>
    <s v=""/>
  </r>
  <r>
    <x v="935"/>
    <x v="105"/>
    <s v="Thursday"/>
    <d v="1899-12-30T10:41:35"/>
    <s v="FUTURE"/>
    <s v="BUY"/>
    <n v="3"/>
    <s v="TO CLOSE"/>
    <x v="11"/>
    <d v="2020-12-20T00:00:00"/>
    <m/>
    <s v="FUTURE"/>
    <n v="40.61"/>
    <n v="40.61"/>
    <s v="MKT"/>
    <n v="2"/>
    <n v="81300"/>
    <n v="40.65"/>
    <s v=""/>
  </r>
  <r>
    <x v="935"/>
    <x v="105"/>
    <s v="Thursday"/>
    <d v="1899-12-30T10:43:11"/>
    <s v="FUTURE"/>
    <s v="SELL"/>
    <n v="-4"/>
    <s v="TO CLOSE"/>
    <x v="11"/>
    <d v="2020-12-20T00:00:00"/>
    <m/>
    <s v="FUTURE"/>
    <n v="40.53"/>
    <n v="40.53"/>
    <s v="MKT"/>
    <n v="-2"/>
    <n v="-80820"/>
    <n v="40.409999999999997"/>
    <s v=""/>
  </r>
  <r>
    <x v="935"/>
    <x v="105"/>
    <s v="Thursday"/>
    <d v="1899-12-30T10:49:50"/>
    <s v="FUTURE"/>
    <s v="BUY"/>
    <n v="2"/>
    <s v="TO CLOSE"/>
    <x v="11"/>
    <d v="2020-12-20T00:00:00"/>
    <m/>
    <s v="FUTURE"/>
    <n v="40.630000000000003"/>
    <n v="40.630000000000003"/>
    <s v="STP"/>
    <n v="0"/>
    <n v="0"/>
    <s v=""/>
    <n v="-440.00000000001194"/>
  </r>
  <r>
    <x v="936"/>
    <x v="105"/>
    <s v="Thursday"/>
    <d v="1899-12-30T10:50:03"/>
    <s v="FUTURE"/>
    <s v="BUY"/>
    <n v="1"/>
    <s v="TO OPEN"/>
    <x v="11"/>
    <d v="2020-12-20T00:00:00"/>
    <m/>
    <s v="FUTURE"/>
    <n v="40.659999999999997"/>
    <n v="40.659999999999997"/>
    <s v="MKT"/>
    <n v="1"/>
    <n v="40660"/>
    <n v="40.659999999999997"/>
    <s v=""/>
  </r>
  <r>
    <x v="936"/>
    <x v="105"/>
    <s v="Thursday"/>
    <d v="1899-12-30T10:52:04"/>
    <s v="FUTURE"/>
    <s v="SELL"/>
    <n v="-1"/>
    <s v="TO CLOSE"/>
    <x v="11"/>
    <d v="2020-12-20T00:00:00"/>
    <m/>
    <s v="FUTURE"/>
    <n v="40.82"/>
    <n v="40.82"/>
    <s v="LMT"/>
    <n v="0"/>
    <n v="0"/>
    <s v=""/>
    <n v="160.00000000000369"/>
  </r>
  <r>
    <x v="937"/>
    <x v="105"/>
    <s v="Thursday"/>
    <d v="1899-12-30T11:31:28"/>
    <s v="FUTURE"/>
    <s v="SELL"/>
    <n v="-1"/>
    <s v="TO OPEN"/>
    <x v="11"/>
    <d v="2020-12-20T00:00:00"/>
    <m/>
    <s v="FUTURE"/>
    <n v="40.93"/>
    <n v="40.93"/>
    <s v="LMT"/>
    <n v="-1"/>
    <n v="-40930"/>
    <n v="40.93"/>
    <s v=""/>
  </r>
  <r>
    <x v="937"/>
    <x v="105"/>
    <s v="Thursday"/>
    <d v="1899-12-30T11:35:05"/>
    <s v="FUTURE"/>
    <s v="BUY"/>
    <n v="1"/>
    <s v="TO CLOSE"/>
    <x v="11"/>
    <d v="2020-12-20T00:00:00"/>
    <m/>
    <s v="FUTURE"/>
    <n v="40.89"/>
    <n v="40.89"/>
    <s v="MKT"/>
    <n v="0"/>
    <n v="0"/>
    <s v=""/>
    <n v="39.999999999999147"/>
  </r>
  <r>
    <x v="938"/>
    <x v="105"/>
    <s v="Thursday"/>
    <d v="1899-12-30T11:52:15"/>
    <s v="FUTURE"/>
    <s v="SELL"/>
    <n v="-2"/>
    <s v="TO OPEN"/>
    <x v="11"/>
    <d v="2020-12-20T00:00:00"/>
    <m/>
    <s v="FUTURE"/>
    <n v="40.840000000000003"/>
    <n v="40.840000000000003"/>
    <s v="LMT"/>
    <n v="-2"/>
    <n v="-81680"/>
    <n v="40.840000000000003"/>
    <s v=""/>
  </r>
  <r>
    <x v="938"/>
    <x v="105"/>
    <s v="Thursday"/>
    <d v="1899-12-30T11:53:03"/>
    <s v="FUTURE"/>
    <s v="BUY"/>
    <n v="2"/>
    <s v="TO CLOSE"/>
    <x v="11"/>
    <d v="2020-12-20T00:00:00"/>
    <m/>
    <s v="FUTURE"/>
    <n v="40.83"/>
    <n v="40.83"/>
    <s v="LMT"/>
    <n v="0"/>
    <n v="0"/>
    <s v=""/>
    <n v="20.000000000010232"/>
  </r>
  <r>
    <x v="939"/>
    <x v="105"/>
    <s v="Thursday"/>
    <d v="1899-12-30T10:54:33"/>
    <s v="FUTURE"/>
    <s v="BUY"/>
    <n v="1"/>
    <s v="TO OPEN"/>
    <x v="12"/>
    <d v="2020-12-20T00:00:00"/>
    <m/>
    <s v="FUTURE"/>
    <n v="3420.75"/>
    <n v="3420.75"/>
    <s v="LMT"/>
    <n v="1"/>
    <n v="171037.5"/>
    <n v="3420.75"/>
    <s v=""/>
  </r>
  <r>
    <x v="939"/>
    <x v="105"/>
    <s v="Thursday"/>
    <d v="1899-12-30T11:00:50"/>
    <s v="FUTURE"/>
    <s v="SELL"/>
    <n v="-1"/>
    <s v="TO CLOSE"/>
    <x v="12"/>
    <d v="2020-12-20T00:00:00"/>
    <m/>
    <s v="FUTURE"/>
    <n v="3426.75"/>
    <n v="3426.75"/>
    <s v="LMT"/>
    <n v="0"/>
    <n v="0"/>
    <s v=""/>
    <n v="300"/>
  </r>
  <r>
    <x v="940"/>
    <x v="105"/>
    <s v="Thursday"/>
    <d v="1899-12-30T12:30:10"/>
    <s v="FUTURE"/>
    <s v="BUY"/>
    <n v="1"/>
    <s v="TO OPEN"/>
    <x v="12"/>
    <d v="2020-12-20T00:00:00"/>
    <m/>
    <s v="FUTURE"/>
    <n v="3426"/>
    <n v="3426"/>
    <s v="LMT"/>
    <n v="1"/>
    <n v="171300"/>
    <n v="3426"/>
    <s v=""/>
  </r>
  <r>
    <x v="940"/>
    <x v="105"/>
    <s v="Thursday"/>
    <d v="1899-12-30T12:55:48"/>
    <s v="FUTURE"/>
    <s v="SELL"/>
    <n v="-1"/>
    <s v="TO CLOSE"/>
    <x v="12"/>
    <d v="2020-12-20T00:00:00"/>
    <m/>
    <s v="FUTURE"/>
    <n v="3430"/>
    <n v="3430"/>
    <s v="LMT"/>
    <n v="0"/>
    <n v="0"/>
    <s v=""/>
    <n v="200"/>
  </r>
  <r>
    <x v="941"/>
    <x v="105"/>
    <s v="Thursday"/>
    <d v="1899-12-30T09:29:01"/>
    <s v="STOCK"/>
    <s v="SELL"/>
    <n v="-400"/>
    <s v="TO OPEN"/>
    <x v="2"/>
    <m/>
    <m/>
    <s v="STOCK"/>
    <n v="22.63"/>
    <n v="22.63"/>
    <s v="LMT"/>
    <n v="-400"/>
    <n v="-9052"/>
    <n v="22.63"/>
    <s v=""/>
  </r>
  <r>
    <x v="941"/>
    <x v="105"/>
    <s v="Thursday"/>
    <d v="1899-12-30T09:46:08"/>
    <s v="STOCK"/>
    <s v="BUY"/>
    <n v="400"/>
    <s v="TO CLOSE"/>
    <x v="2"/>
    <m/>
    <m/>
    <s v="STOCK"/>
    <n v="22.6099"/>
    <n v="22.6099"/>
    <s v="LMT"/>
    <n v="0"/>
    <n v="0"/>
    <s v=""/>
    <n v="8.0399999999997362"/>
  </r>
  <r>
    <x v="942"/>
    <x v="106"/>
    <s v="Friday"/>
    <d v="1899-12-30T09:04:45"/>
    <s v="FUTURE"/>
    <s v="BUY"/>
    <n v="1"/>
    <s v="TO OPEN"/>
    <x v="11"/>
    <d v="2020-12-20T00:00:00"/>
    <m/>
    <s v="FUTURE"/>
    <n v="40.880000000000003"/>
    <n v="40.880000000000003"/>
    <s v="LMT"/>
    <n v="1"/>
    <n v="40880"/>
    <n v="40.880000000000003"/>
    <s v=""/>
  </r>
  <r>
    <x v="942"/>
    <x v="106"/>
    <s v="Friday"/>
    <d v="1899-12-30T09:04:45"/>
    <s v="FUTURE"/>
    <s v="BUY"/>
    <n v="1"/>
    <s v="TO OPEN"/>
    <x v="11"/>
    <d v="2020-12-20T00:00:00"/>
    <m/>
    <s v="FUTURE"/>
    <n v="40.880000000000003"/>
    <n v="40.880000000000003"/>
    <s v="LMT"/>
    <n v="2"/>
    <n v="81760"/>
    <n v="40.880000000000003"/>
    <s v=""/>
  </r>
  <r>
    <x v="942"/>
    <x v="106"/>
    <s v="Friday"/>
    <d v="1899-12-30T11:56:14"/>
    <s v="FUTURE"/>
    <s v="SELL"/>
    <n v="-1"/>
    <s v="TO CLOSE"/>
    <x v="11"/>
    <d v="2020-12-20T00:00:00"/>
    <m/>
    <s v="FUTURE"/>
    <n v="40.1"/>
    <n v="40.1"/>
    <s v="LMT"/>
    <n v="1"/>
    <n v="41660"/>
    <n v="41.66"/>
    <s v=""/>
  </r>
  <r>
    <x v="942"/>
    <x v="106"/>
    <s v="Friday"/>
    <d v="1899-12-30T11:56:53"/>
    <s v="FUTURE"/>
    <s v="SELL"/>
    <n v="-1"/>
    <s v="TO CLOSE"/>
    <x v="11"/>
    <d v="2020-12-20T00:00:00"/>
    <m/>
    <s v="FUTURE"/>
    <n v="40.159999999999997"/>
    <n v="40.159999999999997"/>
    <s v="LMT"/>
    <n v="0"/>
    <n v="0"/>
    <s v=""/>
    <n v="-1500"/>
  </r>
  <r>
    <x v="943"/>
    <x v="106"/>
    <s v="Friday"/>
    <d v="1899-12-30T12:00:27"/>
    <s v="FUTURE"/>
    <s v="BUY"/>
    <n v="1"/>
    <s v="TO OPEN"/>
    <x v="12"/>
    <d v="2020-12-20T00:00:00"/>
    <m/>
    <s v="FUTURE"/>
    <n v="3441.25"/>
    <n v="3441.25"/>
    <s v="MKT"/>
    <n v="1"/>
    <n v="172062.5"/>
    <n v="3441.25"/>
    <s v=""/>
  </r>
  <r>
    <x v="943"/>
    <x v="106"/>
    <s v="Friday"/>
    <d v="1899-12-30T13:58:26"/>
    <s v="FUTURE"/>
    <s v="SELL"/>
    <n v="-1"/>
    <s v="TO CLOSE"/>
    <x v="12"/>
    <d v="2020-12-20T00:00:00"/>
    <m/>
    <s v="FUTURE"/>
    <n v="3445.25"/>
    <n v="3445.25"/>
    <s v="LMT"/>
    <n v="0"/>
    <n v="0"/>
    <s v=""/>
    <n v="200"/>
  </r>
  <r>
    <x v="944"/>
    <x v="106"/>
    <s v="Friday"/>
    <d v="1899-12-30T10:17:59"/>
    <s v="STOCK"/>
    <s v="SELL"/>
    <n v="-400"/>
    <s v="TO OPEN"/>
    <x v="2"/>
    <m/>
    <m/>
    <s v="STOCK"/>
    <n v="22.385000000000002"/>
    <n v="22.385000000000002"/>
    <s v="LMT"/>
    <n v="-400"/>
    <n v="-8954"/>
    <n v="22.385000000000002"/>
    <s v=""/>
  </r>
  <r>
    <x v="944"/>
    <x v="106"/>
    <s v="Friday"/>
    <d v="1899-12-30T10:25:53"/>
    <s v="STOCK"/>
    <s v="SELL"/>
    <n v="-100"/>
    <s v="TO OPEN"/>
    <x v="2"/>
    <m/>
    <m/>
    <s v="STOCK"/>
    <n v="22.524999999999999"/>
    <n v="22.524999999999999"/>
    <s v="LMT"/>
    <n v="-500"/>
    <n v="-11206.5"/>
    <n v="22.413"/>
    <s v=""/>
  </r>
  <r>
    <x v="944"/>
    <x v="106"/>
    <s v="Friday"/>
    <d v="1899-12-30T13:32:48"/>
    <s v="STOCK"/>
    <s v="BUY"/>
    <n v="100"/>
    <s v="TO CLOSE"/>
    <x v="2"/>
    <m/>
    <m/>
    <s v="STOCK"/>
    <n v="22.32"/>
    <n v="22.32"/>
    <s v="LMT"/>
    <n v="-400"/>
    <n v="-8974.5"/>
    <n v="22.436250000000001"/>
    <s v=""/>
  </r>
  <r>
    <x v="944"/>
    <x v="106"/>
    <s v="Friday"/>
    <d v="1899-12-30T13:32:48"/>
    <s v="STOCK"/>
    <s v="BUY"/>
    <n v="100"/>
    <s v="TO CLOSE"/>
    <x v="2"/>
    <m/>
    <m/>
    <s v="STOCK"/>
    <n v="22.32"/>
    <n v="22.32"/>
    <s v="LMT"/>
    <n v="-300"/>
    <n v="-6742.5"/>
    <n v="22.475000000000001"/>
    <s v=""/>
  </r>
  <r>
    <x v="944"/>
    <x v="106"/>
    <s v="Friday"/>
    <d v="1899-12-30T13:46:39"/>
    <s v="STOCK"/>
    <s v="BUY"/>
    <n v="100"/>
    <s v="TO CLOSE"/>
    <x v="2"/>
    <m/>
    <m/>
    <s v="STOCK"/>
    <n v="22.27"/>
    <n v="22.27"/>
    <s v="LMT"/>
    <n v="-200"/>
    <n v="-4515.5"/>
    <n v="22.577500000000001"/>
    <s v=""/>
  </r>
  <r>
    <x v="944"/>
    <x v="106"/>
    <s v="Friday"/>
    <d v="1899-12-30T13:51:30"/>
    <s v="STOCK"/>
    <s v="BUY"/>
    <n v="100"/>
    <s v="TO CLOSE"/>
    <x v="2"/>
    <m/>
    <m/>
    <s v="STOCK"/>
    <n v="22.23"/>
    <n v="22.23"/>
    <s v="LMT"/>
    <n v="-100"/>
    <n v="-2292.5"/>
    <n v="22.925000000000001"/>
    <s v=""/>
  </r>
  <r>
    <x v="944"/>
    <x v="106"/>
    <s v="Friday"/>
    <d v="1899-12-30T13:58:51"/>
    <s v="STOCK"/>
    <s v="BUY"/>
    <n v="100"/>
    <s v="TO CLOSE"/>
    <x v="2"/>
    <m/>
    <m/>
    <s v="STOCK"/>
    <n v="22.239899999999999"/>
    <n v="22.239899999999999"/>
    <s v="MKT"/>
    <n v="0"/>
    <n v="0"/>
    <s v=""/>
    <n v="68.510000000000204"/>
  </r>
  <r>
    <x v="945"/>
    <x v="107"/>
    <s v="Monday"/>
    <d v="1899-12-30T09:07:35"/>
    <s v="FUTURE"/>
    <s v="SELL"/>
    <n v="-1"/>
    <s v="TO OPEN"/>
    <x v="11"/>
    <d v="2020-12-20T00:00:00"/>
    <m/>
    <s v="FUTURE"/>
    <n v="38.78"/>
    <n v="38.78"/>
    <s v="LMT"/>
    <n v="-1"/>
    <n v="-38780"/>
    <n v="38.78"/>
    <s v=""/>
  </r>
  <r>
    <x v="945"/>
    <x v="107"/>
    <s v="Monday"/>
    <d v="1899-12-30T09:14:22"/>
    <s v="FUTURE"/>
    <s v="SELL"/>
    <n v="-1"/>
    <s v="TO OPEN"/>
    <x v="11"/>
    <d v="2020-12-20T00:00:00"/>
    <m/>
    <s v="FUTURE"/>
    <n v="38.96"/>
    <n v="38.96"/>
    <s v="LMT"/>
    <n v="-2"/>
    <n v="-77740"/>
    <n v="38.869999999999997"/>
    <s v=""/>
  </r>
  <r>
    <x v="945"/>
    <x v="107"/>
    <s v="Monday"/>
    <d v="1899-12-30T09:25:15"/>
    <s v="FUTURE"/>
    <s v="BUY"/>
    <n v="1"/>
    <s v="TO CLOSE"/>
    <x v="11"/>
    <d v="2020-12-20T00:00:00"/>
    <m/>
    <s v="FUTURE"/>
    <n v="38.85"/>
    <n v="38.85"/>
    <s v="LMT"/>
    <n v="-1"/>
    <n v="-38890"/>
    <n v="38.89"/>
    <s v=""/>
  </r>
  <r>
    <x v="945"/>
    <x v="107"/>
    <s v="Monday"/>
    <d v="1899-12-30T09:37:15"/>
    <s v="FUTURE"/>
    <s v="SELL"/>
    <n v="-1"/>
    <s v="TO OPEN"/>
    <x v="11"/>
    <d v="2020-12-20T00:00:00"/>
    <m/>
    <s v="FUTURE"/>
    <n v="39.04"/>
    <n v="39.04"/>
    <s v="LMT"/>
    <n v="-2"/>
    <n v="-77930"/>
    <n v="38.965000000000003"/>
    <s v=""/>
  </r>
  <r>
    <x v="945"/>
    <x v="107"/>
    <s v="Monday"/>
    <d v="1899-12-30T09:39:52"/>
    <s v="FUTURE"/>
    <s v="BUY"/>
    <n v="1"/>
    <s v="TO CLOSE"/>
    <x v="11"/>
    <d v="2020-12-20T00:00:00"/>
    <m/>
    <s v="FUTURE"/>
    <n v="38.909999999999997"/>
    <n v="38.909999999999997"/>
    <s v="LMT"/>
    <n v="-1"/>
    <n v="-39020"/>
    <n v="39.020000000000003"/>
    <s v=""/>
  </r>
  <r>
    <x v="945"/>
    <x v="107"/>
    <s v="Monday"/>
    <d v="1899-12-30T09:47:36"/>
    <s v="FUTURE"/>
    <s v="BUY"/>
    <n v="1"/>
    <s v="TO CLOSE"/>
    <x v="11"/>
    <d v="2020-12-20T00:00:00"/>
    <m/>
    <s v="FUTURE"/>
    <n v="38.74"/>
    <n v="38.74"/>
    <s v="MKT"/>
    <n v="0"/>
    <n v="0"/>
    <s v=""/>
    <n v="280.00000000000114"/>
  </r>
  <r>
    <x v="946"/>
    <x v="107"/>
    <s v="Monday"/>
    <d v="1899-12-30T10:47:20"/>
    <s v="FUTURE"/>
    <s v="BUY"/>
    <n v="1"/>
    <s v="TO OPEN"/>
    <x v="11"/>
    <d v="2020-12-20T00:00:00"/>
    <m/>
    <s v="FUTURE"/>
    <n v="38.67"/>
    <n v="38.67"/>
    <s v="LMT"/>
    <n v="1"/>
    <n v="38670"/>
    <n v="38.67"/>
    <s v=""/>
  </r>
  <r>
    <x v="946"/>
    <x v="107"/>
    <s v="Monday"/>
    <d v="1899-12-30T10:53:40"/>
    <s v="FUTURE"/>
    <s v="BUY"/>
    <n v="1"/>
    <s v="TO OPEN"/>
    <x v="11"/>
    <d v="2020-12-20T00:00:00"/>
    <m/>
    <s v="FUTURE"/>
    <n v="38.549999999999997"/>
    <n v="38.549999999999997"/>
    <s v="LMT"/>
    <n v="2"/>
    <n v="77220"/>
    <n v="38.61"/>
    <s v=""/>
  </r>
  <r>
    <x v="946"/>
    <x v="107"/>
    <s v="Monday"/>
    <d v="1899-12-30T11:58:26"/>
    <s v="FUTURE"/>
    <s v="SELL"/>
    <n v="-1"/>
    <s v="TO CLOSE"/>
    <x v="11"/>
    <d v="2020-12-20T00:00:00"/>
    <m/>
    <s v="FUTURE"/>
    <n v="38.72"/>
    <n v="38.72"/>
    <s v="LMT"/>
    <n v="1"/>
    <n v="38500"/>
    <n v="38.5"/>
    <s v=""/>
  </r>
  <r>
    <x v="946"/>
    <x v="107"/>
    <s v="Monday"/>
    <d v="1899-12-30T12:20:08"/>
    <s v="FUTURE"/>
    <s v="BUY"/>
    <n v="1"/>
    <s v="TO OPEN"/>
    <x v="11"/>
    <d v="2020-12-20T00:00:00"/>
    <m/>
    <s v="FUTURE"/>
    <n v="38.520000000000003"/>
    <n v="38.520000000000003"/>
    <s v="LMT"/>
    <n v="2"/>
    <n v="77020"/>
    <n v="38.51"/>
    <s v=""/>
  </r>
  <r>
    <x v="946"/>
    <x v="107"/>
    <s v="Monday"/>
    <d v="1899-12-30T12:25:21"/>
    <s v="FUTURE"/>
    <s v="SELL"/>
    <n v="-1"/>
    <s v="TO CLOSE"/>
    <x v="11"/>
    <d v="2020-12-20T00:00:00"/>
    <m/>
    <s v="FUTURE"/>
    <n v="38.630000000000003"/>
    <n v="38.630000000000003"/>
    <s v="LMT"/>
    <n v="1"/>
    <n v="38390"/>
    <n v="38.39"/>
    <s v=""/>
  </r>
  <r>
    <x v="946"/>
    <x v="107"/>
    <s v="Monday"/>
    <d v="1899-12-30T13:30:00"/>
    <s v="FUTURE"/>
    <s v="BUY"/>
    <n v="1"/>
    <s v="TO OPEN"/>
    <x v="11"/>
    <d v="2020-12-20T00:00:00"/>
    <m/>
    <s v="FUTURE"/>
    <n v="38.42"/>
    <n v="38.42"/>
    <s v="LMT"/>
    <n v="2"/>
    <n v="76810"/>
    <n v="38.405000000000001"/>
    <s v=""/>
  </r>
  <r>
    <x v="946"/>
    <x v="107"/>
    <s v="Monday"/>
    <d v="1899-12-30T14:20:19"/>
    <s v="FUTURE"/>
    <s v="SELL"/>
    <n v="-1"/>
    <s v="TO CLOSE"/>
    <x v="11"/>
    <d v="2020-12-20T00:00:00"/>
    <m/>
    <s v="FUTURE"/>
    <n v="38.520000000000003"/>
    <n v="38.520000000000003"/>
    <s v="LMT"/>
    <n v="1"/>
    <n v="38290"/>
    <n v="38.29"/>
    <s v=""/>
  </r>
  <r>
    <x v="946"/>
    <x v="107"/>
    <s v="Monday"/>
    <d v="1899-12-30T14:39:00"/>
    <s v="FUTURE"/>
    <s v="SELL"/>
    <n v="-1"/>
    <s v="TO CLOSE"/>
    <x v="11"/>
    <d v="2020-12-20T00:00:00"/>
    <m/>
    <s v="FUTURE"/>
    <n v="38.549999999999997"/>
    <n v="38.549999999999997"/>
    <s v="LMT"/>
    <n v="0"/>
    <n v="0"/>
    <s v=""/>
    <n v="259.99999999999801"/>
  </r>
  <r>
    <x v="947"/>
    <x v="107"/>
    <s v="Monday"/>
    <d v="1899-12-30T09:12:03"/>
    <s v="STOCK"/>
    <s v="BUY"/>
    <n v="200"/>
    <s v="TO OPEN"/>
    <x v="2"/>
    <m/>
    <m/>
    <s v="STOCK"/>
    <n v="22.77"/>
    <n v="22.77"/>
    <s v="LMT"/>
    <n v="200"/>
    <n v="4554"/>
    <n v="22.77"/>
    <s v=""/>
  </r>
  <r>
    <x v="947"/>
    <x v="107"/>
    <s v="Monday"/>
    <d v="1899-12-30T09:12:03"/>
    <s v="STOCK"/>
    <s v="BUY"/>
    <n v="200"/>
    <s v="TO OPEN"/>
    <x v="2"/>
    <m/>
    <m/>
    <s v="STOCK"/>
    <n v="22.77"/>
    <n v="22.77"/>
    <s v="LMT"/>
    <n v="400"/>
    <n v="9108"/>
    <n v="22.77"/>
    <s v=""/>
  </r>
  <r>
    <x v="947"/>
    <x v="107"/>
    <s v="Monday"/>
    <d v="1899-12-30T09:32:09"/>
    <s v="STOCK"/>
    <s v="BUY"/>
    <n v="100"/>
    <s v="TO OPEN"/>
    <x v="2"/>
    <m/>
    <m/>
    <s v="STOCK"/>
    <n v="22.62"/>
    <n v="22.62"/>
    <s v="LMT"/>
    <n v="500"/>
    <n v="11370"/>
    <n v="22.74"/>
    <s v=""/>
  </r>
  <r>
    <x v="947"/>
    <x v="107"/>
    <s v="Monday"/>
    <d v="1899-12-30T10:30:52"/>
    <s v="STOCK"/>
    <s v="SELL"/>
    <n v="-100"/>
    <s v="TO CLOSE"/>
    <x v="2"/>
    <m/>
    <m/>
    <s v="STOCK"/>
    <n v="22.84"/>
    <n v="22.84"/>
    <s v="LMT"/>
    <n v="400"/>
    <n v="9086"/>
    <n v="22.715"/>
    <s v=""/>
  </r>
  <r>
    <x v="947"/>
    <x v="107"/>
    <s v="Monday"/>
    <d v="1899-12-30T10:32:21"/>
    <s v="STOCK"/>
    <s v="SELL"/>
    <n v="-10"/>
    <s v="TO CLOSE"/>
    <x v="2"/>
    <m/>
    <m/>
    <s v="STOCK"/>
    <n v="22.95"/>
    <n v="22.95"/>
    <s v="LMT"/>
    <n v="390"/>
    <n v="8856.5"/>
    <n v="22.708974358974359"/>
    <s v=""/>
  </r>
  <r>
    <x v="947"/>
    <x v="107"/>
    <s v="Monday"/>
    <d v="1899-12-30T10:32:36"/>
    <s v="STOCK"/>
    <s v="SELL"/>
    <n v="-190"/>
    <s v="TO CLOSE"/>
    <x v="2"/>
    <m/>
    <m/>
    <s v="STOCK"/>
    <n v="22.95"/>
    <n v="22.95"/>
    <s v="LMT"/>
    <n v="200"/>
    <n v="4496"/>
    <n v="22.48"/>
    <s v=""/>
  </r>
  <r>
    <x v="947"/>
    <x v="107"/>
    <s v="Monday"/>
    <d v="1899-12-30T10:35:39"/>
    <s v="STOCK"/>
    <s v="SELL"/>
    <n v="-87"/>
    <s v="TO CLOSE"/>
    <x v="2"/>
    <m/>
    <m/>
    <s v="STOCK"/>
    <n v="23.01"/>
    <n v="23.01"/>
    <s v="LMT"/>
    <n v="113"/>
    <n v="2494.13"/>
    <n v="22.071946902654869"/>
    <s v=""/>
  </r>
  <r>
    <x v="947"/>
    <x v="107"/>
    <s v="Monday"/>
    <d v="1899-12-30T10:35:39"/>
    <s v="STOCK"/>
    <s v="SELL"/>
    <n v="-13"/>
    <s v="TO CLOSE"/>
    <x v="2"/>
    <m/>
    <m/>
    <s v="STOCK"/>
    <n v="23.01"/>
    <n v="23.01"/>
    <s v="LMT"/>
    <n v="100"/>
    <n v="2195"/>
    <n v="21.95"/>
    <s v=""/>
  </r>
  <r>
    <x v="947"/>
    <x v="107"/>
    <s v="Monday"/>
    <d v="1899-12-30T10:44:52"/>
    <s v="STOCK"/>
    <s v="SELL"/>
    <n v="-100"/>
    <s v="TO CLOSE"/>
    <x v="2"/>
    <m/>
    <m/>
    <s v="STOCK"/>
    <n v="23.040099999999999"/>
    <n v="23.040099999999999"/>
    <s v="MKT"/>
    <n v="0"/>
    <n v="0"/>
    <s v=""/>
    <n v="109.00999999999996"/>
  </r>
  <r>
    <x v="948"/>
    <x v="107"/>
    <s v="Monday"/>
    <d v="1899-12-30T13:14:45"/>
    <s v="STOCK"/>
    <s v="SELL"/>
    <n v="-400"/>
    <s v="TO OPEN"/>
    <x v="2"/>
    <m/>
    <m/>
    <s v="STOCK"/>
    <n v="23.84"/>
    <n v="23.84"/>
    <s v="LMT"/>
    <n v="-400"/>
    <n v="-9536"/>
    <n v="23.84"/>
    <s v=""/>
  </r>
  <r>
    <x v="948"/>
    <x v="107"/>
    <s v="Monday"/>
    <d v="1899-12-30T13:19:44"/>
    <s v="STOCK"/>
    <s v="SELL"/>
    <n v="-100"/>
    <s v="TO OPEN"/>
    <x v="2"/>
    <m/>
    <m/>
    <s v="STOCK"/>
    <n v="23.99"/>
    <n v="23.99"/>
    <s v="LMT"/>
    <n v="-500"/>
    <n v="-11935"/>
    <n v="23.87"/>
    <s v=""/>
  </r>
  <r>
    <x v="948"/>
    <x v="107"/>
    <s v="Monday"/>
    <d v="1899-12-30T13:26:21"/>
    <s v="STOCK"/>
    <s v="SELL"/>
    <n v="-100"/>
    <s v="TO OPEN"/>
    <x v="2"/>
    <m/>
    <m/>
    <s v="STOCK"/>
    <n v="24.180099999999999"/>
    <n v="24.180099999999999"/>
    <s v="LMT"/>
    <n v="-600"/>
    <n v="-14353.01"/>
    <n v="23.921683333333334"/>
    <s v=""/>
  </r>
  <r>
    <x v="948"/>
    <x v="107"/>
    <s v="Monday"/>
    <d v="1899-12-30T13:34:27"/>
    <s v="STOCK"/>
    <s v="SELL"/>
    <n v="-95"/>
    <s v="TO OPEN"/>
    <x v="2"/>
    <m/>
    <m/>
    <s v="STOCK"/>
    <n v="24.38"/>
    <n v="24.38"/>
    <s v="LMT"/>
    <n v="-695"/>
    <n v="-16669.11"/>
    <n v="23.984330935251798"/>
    <s v=""/>
  </r>
  <r>
    <x v="948"/>
    <x v="107"/>
    <s v="Monday"/>
    <d v="1899-12-30T13:34:29"/>
    <s v="STOCK"/>
    <s v="SELL"/>
    <n v="-5"/>
    <s v="TO OPEN"/>
    <x v="2"/>
    <m/>
    <m/>
    <s v="STOCK"/>
    <n v="24.38"/>
    <n v="24.38"/>
    <s v="LMT"/>
    <n v="-700"/>
    <n v="-16791.010000000002"/>
    <n v="23.987157142857146"/>
    <s v=""/>
  </r>
  <r>
    <x v="948"/>
    <x v="107"/>
    <s v="Monday"/>
    <d v="1899-12-30T13:39:37"/>
    <s v="STOCK"/>
    <s v="BUY"/>
    <n v="200"/>
    <s v="TO CLOSE"/>
    <x v="2"/>
    <m/>
    <m/>
    <s v="STOCK"/>
    <n v="24.13"/>
    <n v="24.13"/>
    <s v="LMT"/>
    <n v="-500"/>
    <n v="-11965.010000000002"/>
    <n v="23.930020000000003"/>
    <s v=""/>
  </r>
  <r>
    <x v="948"/>
    <x v="107"/>
    <s v="Monday"/>
    <d v="1899-12-30T13:59:54"/>
    <s v="STOCK"/>
    <s v="BUY"/>
    <n v="200"/>
    <s v="TO CLOSE"/>
    <x v="2"/>
    <m/>
    <m/>
    <s v="STOCK"/>
    <n v="23.91"/>
    <n v="23.91"/>
    <s v="LMT"/>
    <n v="-300"/>
    <n v="-7183.010000000002"/>
    <n v="23.943366666666673"/>
    <s v=""/>
  </r>
  <r>
    <x v="948"/>
    <x v="107"/>
    <s v="Monday"/>
    <d v="1899-12-30T14:21:43"/>
    <s v="STOCK"/>
    <s v="SELL"/>
    <n v="-100"/>
    <s v="TO OPEN"/>
    <x v="2"/>
    <m/>
    <m/>
    <s v="STOCK"/>
    <n v="24.035"/>
    <n v="24.035"/>
    <s v="MKT"/>
    <n v="-400"/>
    <n v="-9586.510000000002"/>
    <n v="23.966275000000007"/>
    <s v=""/>
  </r>
  <r>
    <x v="948"/>
    <x v="107"/>
    <s v="Monday"/>
    <d v="1899-12-30T14:24:56"/>
    <s v="STOCK"/>
    <s v="BUY"/>
    <n v="100"/>
    <s v="TO CLOSE"/>
    <x v="2"/>
    <m/>
    <m/>
    <s v="STOCK"/>
    <n v="23.925000000000001"/>
    <n v="23.925000000000001"/>
    <s v="LMT"/>
    <n v="-300"/>
    <n v="-7194.010000000002"/>
    <n v="23.980033333333338"/>
    <s v=""/>
  </r>
  <r>
    <x v="948"/>
    <x v="107"/>
    <s v="Monday"/>
    <d v="1899-12-30T14:26:36"/>
    <s v="STOCK"/>
    <s v="BUY"/>
    <n v="100"/>
    <s v="TO CLOSE"/>
    <x v="2"/>
    <m/>
    <m/>
    <s v="STOCK"/>
    <n v="23.64"/>
    <n v="23.64"/>
    <s v="LMT"/>
    <n v="-200"/>
    <n v="-4830.010000000002"/>
    <n v="24.150050000000011"/>
    <s v=""/>
  </r>
  <r>
    <x v="948"/>
    <x v="107"/>
    <s v="Monday"/>
    <d v="1899-12-30T14:37:01"/>
    <s v="STOCK"/>
    <s v="BUY"/>
    <n v="100"/>
    <s v="TO CLOSE"/>
    <x v="2"/>
    <m/>
    <m/>
    <s v="STOCK"/>
    <n v="23.7698"/>
    <n v="23.7698"/>
    <s v="LMT"/>
    <n v="-100"/>
    <n v="-2453.030000000002"/>
    <n v="24.530300000000022"/>
    <s v=""/>
  </r>
  <r>
    <x v="948"/>
    <x v="107"/>
    <s v="Monday"/>
    <d v="1899-12-30T14:45:17"/>
    <s v="STOCK"/>
    <s v="BUY"/>
    <n v="100"/>
    <s v="TO CLOSE"/>
    <x v="2"/>
    <m/>
    <m/>
    <s v="STOCK"/>
    <n v="23.94"/>
    <n v="23.94"/>
    <s v="STP"/>
    <n v="0"/>
    <n v="0"/>
    <s v=""/>
    <n v="59.030000000002047"/>
  </r>
  <r>
    <x v="949"/>
    <x v="108"/>
    <s v="Tuesday"/>
    <d v="1899-12-30T09:26:47"/>
    <s v="FUTURE"/>
    <s v="BUY"/>
    <n v="1"/>
    <s v="TO OPEN"/>
    <x v="11"/>
    <d v="2020-12-20T00:00:00"/>
    <m/>
    <s v="FUTURE"/>
    <n v="38.79"/>
    <n v="38.79"/>
    <s v="LMT"/>
    <n v="1"/>
    <n v="38790"/>
    <n v="38.79"/>
    <s v=""/>
  </r>
  <r>
    <x v="949"/>
    <x v="108"/>
    <s v="Tuesday"/>
    <d v="1899-12-30T09:40:39"/>
    <s v="FUTURE"/>
    <s v="SELL"/>
    <n v="-1"/>
    <s v="TO CLOSE"/>
    <x v="11"/>
    <d v="2020-12-20T00:00:00"/>
    <m/>
    <s v="FUTURE"/>
    <n v="38.82"/>
    <n v="38.82"/>
    <s v="MKT"/>
    <n v="0"/>
    <n v="0"/>
    <s v=""/>
    <n v="30.000000000001137"/>
  </r>
  <r>
    <x v="950"/>
    <x v="108"/>
    <s v="Tuesday"/>
    <d v="1899-12-30T10:50:23"/>
    <s v="FUTURE"/>
    <s v="BUY"/>
    <n v="2"/>
    <s v="TO OPEN"/>
    <x v="11"/>
    <d v="2020-12-20T00:00:00"/>
    <m/>
    <s v="FUTURE"/>
    <n v="38.94"/>
    <n v="38.94"/>
    <s v="MKT"/>
    <n v="2"/>
    <n v="77880"/>
    <n v="38.94"/>
    <s v=""/>
  </r>
  <r>
    <x v="950"/>
    <x v="108"/>
    <s v="Tuesday"/>
    <d v="1899-12-30T10:54:44"/>
    <s v="FUTURE"/>
    <s v="SELL"/>
    <n v="-1"/>
    <s v="TO CLOSE"/>
    <x v="11"/>
    <d v="2020-12-20T00:00:00"/>
    <m/>
    <s v="FUTURE"/>
    <n v="38.96"/>
    <n v="38.96"/>
    <s v="LMT"/>
    <n v="1"/>
    <n v="38920"/>
    <n v="38.92"/>
    <s v=""/>
  </r>
  <r>
    <x v="950"/>
    <x v="108"/>
    <s v="Tuesday"/>
    <d v="1899-12-30T10:57:06"/>
    <s v="FUTURE"/>
    <s v="SELL"/>
    <n v="-1"/>
    <s v="TO CLOSE"/>
    <x v="11"/>
    <d v="2020-12-20T00:00:00"/>
    <m/>
    <s v="FUTURE"/>
    <n v="38.94"/>
    <n v="38.94"/>
    <s v="LMT"/>
    <n v="0"/>
    <n v="0"/>
    <s v=""/>
    <n v="19.999999999996021"/>
  </r>
  <r>
    <x v="951"/>
    <x v="108"/>
    <s v="Tuesday"/>
    <d v="1899-12-30T09:56:12"/>
    <s v="FUTURE"/>
    <s v="BUY"/>
    <n v="1"/>
    <s v="TO OPEN"/>
    <x v="12"/>
    <d v="2020-12-20T00:00:00"/>
    <m/>
    <s v="FUTURE"/>
    <n v="3394.25"/>
    <n v="3394.25"/>
    <s v="LMT"/>
    <n v="1"/>
    <n v="169712.5"/>
    <n v="3394.25"/>
    <s v=""/>
  </r>
  <r>
    <x v="951"/>
    <x v="108"/>
    <s v="Tuesday"/>
    <d v="1899-12-30T10:01:57"/>
    <s v="FUTURE"/>
    <s v="SELL"/>
    <n v="-1"/>
    <s v="TO CLOSE"/>
    <x v="12"/>
    <d v="2020-12-20T00:00:00"/>
    <m/>
    <s v="FUTURE"/>
    <n v="3396.25"/>
    <n v="3396.25"/>
    <s v="LMT"/>
    <n v="0"/>
    <n v="0"/>
    <s v=""/>
    <n v="100"/>
  </r>
  <r>
    <x v="952"/>
    <x v="108"/>
    <s v="Tuesday"/>
    <d v="1899-12-30T10:41:30"/>
    <s v="FUTURE"/>
    <s v="BUY"/>
    <n v="1"/>
    <s v="TO OPEN"/>
    <x v="12"/>
    <d v="2020-12-20T00:00:00"/>
    <m/>
    <s v="FUTURE"/>
    <n v="3388.25"/>
    <n v="3388.25"/>
    <s v="LMT"/>
    <n v="1"/>
    <n v="169412.5"/>
    <n v="3388.25"/>
    <s v=""/>
  </r>
  <r>
    <x v="952"/>
    <x v="108"/>
    <s v="Tuesday"/>
    <d v="1899-12-30T10:48:00"/>
    <s v="FUTURE"/>
    <s v="SELL"/>
    <n v="-1"/>
    <s v="TO CLOSE"/>
    <x v="12"/>
    <d v="2020-12-20T00:00:00"/>
    <m/>
    <s v="FUTURE"/>
    <n v="3393.75"/>
    <n v="3393.75"/>
    <s v="LMT"/>
    <n v="0"/>
    <n v="0"/>
    <s v=""/>
    <n v="275"/>
  </r>
  <r>
    <x v="953"/>
    <x v="108"/>
    <s v="Tuesday"/>
    <d v="1899-12-30T11:10:28"/>
    <s v="FUTURE"/>
    <s v="BUY"/>
    <n v="1"/>
    <s v="TO OPEN"/>
    <x v="12"/>
    <d v="2020-12-20T00:00:00"/>
    <m/>
    <s v="FUTURE"/>
    <n v="3392"/>
    <n v="3392"/>
    <s v="MKT"/>
    <n v="1"/>
    <n v="169600"/>
    <n v="3392"/>
    <s v=""/>
  </r>
  <r>
    <x v="953"/>
    <x v="108"/>
    <s v="Tuesday"/>
    <d v="1899-12-30T12:23:10"/>
    <s v="FUTURE"/>
    <s v="SELL"/>
    <n v="-1"/>
    <s v="TO CLOSE"/>
    <x v="12"/>
    <d v="2020-12-20T00:00:00"/>
    <m/>
    <s v="FUTURE"/>
    <n v="3397.5"/>
    <n v="3397.5"/>
    <s v="LMT"/>
    <n v="0"/>
    <n v="0"/>
    <s v=""/>
    <n v="275"/>
  </r>
  <r>
    <x v="954"/>
    <x v="109"/>
    <s v="Wednesday"/>
    <d v="1899-12-30T10:12:59"/>
    <s v="FUTURE"/>
    <s v="BUY"/>
    <n v="1"/>
    <s v="TO OPEN"/>
    <x v="12"/>
    <d v="2020-12-20T00:00:00"/>
    <m/>
    <s v="FUTURE"/>
    <n v="3308.75"/>
    <n v="3308.75"/>
    <s v="MKT"/>
    <n v="1"/>
    <n v="165437.5"/>
    <n v="3308.75"/>
    <s v=""/>
  </r>
  <r>
    <x v="954"/>
    <x v="109"/>
    <s v="Wednesday"/>
    <d v="1899-12-30T16:56:57"/>
    <s v="FUTURE"/>
    <s v="SELL"/>
    <n v="-1"/>
    <s v="TO CLOSE"/>
    <x v="12"/>
    <d v="2020-12-20T00:00:00"/>
    <m/>
    <s v="FUTURE"/>
    <n v="3274.75"/>
    <n v="3274.75"/>
    <s v="LMT"/>
    <n v="0"/>
    <n v="0"/>
    <s v=""/>
    <n v="-1700"/>
  </r>
  <r>
    <x v="955"/>
    <x v="109"/>
    <s v="Wednesday"/>
    <d v="1899-12-30T10:30:30"/>
    <s v="STOCK"/>
    <s v="SELL"/>
    <n v="-200"/>
    <s v="TO OPEN"/>
    <x v="2"/>
    <m/>
    <m/>
    <s v="STOCK"/>
    <n v="27.42"/>
    <n v="27.42"/>
    <s v="LMT"/>
    <n v="-200"/>
    <n v="-5484"/>
    <n v="27.42"/>
    <s v=""/>
  </r>
  <r>
    <x v="955"/>
    <x v="109"/>
    <s v="Wednesday"/>
    <d v="1899-12-30T10:32:20"/>
    <s v="STOCK"/>
    <s v="BUY"/>
    <n v="10"/>
    <s v="TO CLOSE"/>
    <x v="2"/>
    <m/>
    <m/>
    <s v="STOCK"/>
    <n v="27.14"/>
    <n v="27.14"/>
    <s v="LMT"/>
    <n v="-190"/>
    <n v="-5212.6000000000004"/>
    <n v="27.434736842105266"/>
    <s v=""/>
  </r>
  <r>
    <x v="955"/>
    <x v="109"/>
    <s v="Wednesday"/>
    <d v="1899-12-30T10:32:20"/>
    <s v="STOCK"/>
    <s v="BUY"/>
    <n v="90"/>
    <s v="TO CLOSE"/>
    <x v="2"/>
    <m/>
    <m/>
    <s v="STOCK"/>
    <n v="27.14"/>
    <n v="27.14"/>
    <s v="LMT"/>
    <n v="-100"/>
    <n v="-2770.0000000000005"/>
    <n v="27.700000000000003"/>
    <s v=""/>
  </r>
  <r>
    <x v="955"/>
    <x v="109"/>
    <s v="Wednesday"/>
    <d v="1899-12-30T10:33:08"/>
    <s v="STOCK"/>
    <s v="BUY"/>
    <n v="22"/>
    <s v="TO CLOSE"/>
    <x v="2"/>
    <m/>
    <m/>
    <s v="STOCK"/>
    <n v="27.01"/>
    <n v="27.01"/>
    <s v="LMT"/>
    <n v="-78"/>
    <n v="-2175.7800000000007"/>
    <n v="27.894615384615392"/>
    <s v=""/>
  </r>
  <r>
    <x v="955"/>
    <x v="109"/>
    <s v="Wednesday"/>
    <d v="1899-12-30T10:33:08"/>
    <s v="STOCK"/>
    <s v="BUY"/>
    <n v="78"/>
    <s v="TO CLOSE"/>
    <x v="2"/>
    <m/>
    <m/>
    <s v="STOCK"/>
    <n v="27.01"/>
    <n v="27.01"/>
    <s v="LMT"/>
    <n v="0"/>
    <n v="0"/>
    <s v=""/>
    <n v="69.000000000000455"/>
  </r>
  <r>
    <x v="956"/>
    <x v="109"/>
    <s v="Wednesday"/>
    <d v="1899-12-30T10:50:19"/>
    <s v="STOCK"/>
    <s v="SELL"/>
    <n v="-200"/>
    <s v="TO OPEN"/>
    <x v="2"/>
    <m/>
    <m/>
    <s v="STOCK"/>
    <n v="27.26"/>
    <n v="27.26"/>
    <s v="LMT"/>
    <n v="-200"/>
    <n v="-5452"/>
    <n v="27.26"/>
    <s v=""/>
  </r>
  <r>
    <x v="956"/>
    <x v="109"/>
    <s v="Wednesday"/>
    <d v="1899-12-30T11:08:34"/>
    <s v="STOCK"/>
    <s v="BUY"/>
    <n v="74"/>
    <s v="TO CLOSE"/>
    <x v="2"/>
    <m/>
    <m/>
    <s v="STOCK"/>
    <n v="26.81"/>
    <n v="26.81"/>
    <s v="LMT"/>
    <n v="-126"/>
    <n v="-3468.0600000000004"/>
    <n v="27.524285714285718"/>
    <s v=""/>
  </r>
  <r>
    <x v="956"/>
    <x v="109"/>
    <s v="Wednesday"/>
    <d v="1899-12-30T11:08:34"/>
    <s v="STOCK"/>
    <s v="BUY"/>
    <n v="26"/>
    <s v="TO CLOSE"/>
    <x v="2"/>
    <m/>
    <m/>
    <s v="STOCK"/>
    <n v="26.81"/>
    <n v="26.81"/>
    <s v="LMT"/>
    <n v="-100"/>
    <n v="-2771.0000000000005"/>
    <n v="27.710000000000004"/>
    <s v=""/>
  </r>
  <r>
    <x v="956"/>
    <x v="109"/>
    <s v="Wednesday"/>
    <d v="1899-12-30T11:36:31"/>
    <s v="STOCK"/>
    <s v="SELL"/>
    <n v="-100"/>
    <s v="TO OPEN"/>
    <x v="2"/>
    <m/>
    <m/>
    <s v="STOCK"/>
    <n v="27.11"/>
    <n v="27.11"/>
    <s v="LMT"/>
    <n v="-200"/>
    <n v="-5482"/>
    <n v="27.41"/>
    <s v=""/>
  </r>
  <r>
    <x v="956"/>
    <x v="109"/>
    <s v="Wednesday"/>
    <d v="1899-12-30T11:44:35"/>
    <s v="STOCK"/>
    <s v="BUY"/>
    <n v="50"/>
    <s v="TO CLOSE"/>
    <x v="2"/>
    <m/>
    <m/>
    <s v="STOCK"/>
    <n v="26.6098"/>
    <n v="26.6098"/>
    <s v="LMT"/>
    <n v="-150"/>
    <n v="-4151.51"/>
    <n v="27.676733333333335"/>
    <s v=""/>
  </r>
  <r>
    <x v="956"/>
    <x v="109"/>
    <s v="Wednesday"/>
    <d v="1899-12-30T11:46:13"/>
    <s v="STOCK"/>
    <s v="BUY"/>
    <n v="50"/>
    <s v="TO CLOSE"/>
    <x v="2"/>
    <m/>
    <m/>
    <s v="STOCK"/>
    <n v="26.55"/>
    <n v="26.55"/>
    <s v="LMT"/>
    <n v="-100"/>
    <n v="-2824.01"/>
    <n v="28.240100000000002"/>
    <s v=""/>
  </r>
  <r>
    <x v="956"/>
    <x v="109"/>
    <s v="Wednesday"/>
    <d v="1899-12-30T11:48:14"/>
    <s v="STOCK"/>
    <s v="BUY"/>
    <n v="50"/>
    <s v="TO CLOSE"/>
    <x v="2"/>
    <m/>
    <m/>
    <s v="STOCK"/>
    <n v="26.44"/>
    <n v="26.44"/>
    <s v="LMT"/>
    <n v="-50"/>
    <n v="-1502.0100000000002"/>
    <n v="30.040200000000006"/>
    <s v=""/>
  </r>
  <r>
    <x v="956"/>
    <x v="109"/>
    <s v="Wednesday"/>
    <d v="1899-12-30T11:52:17"/>
    <s v="STOCK"/>
    <s v="BUY"/>
    <n v="50"/>
    <s v="TO CLOSE"/>
    <x v="2"/>
    <m/>
    <m/>
    <s v="STOCK"/>
    <n v="26.418099999999999"/>
    <n v="26.417999999999999"/>
    <s v="MKT"/>
    <n v="0"/>
    <n v="0"/>
    <s v=""/>
    <n v="181.10500000000033"/>
  </r>
  <r>
    <x v="957"/>
    <x v="109"/>
    <s v="Wednesday"/>
    <d v="1899-12-30T12:59:07"/>
    <s v="STOCK"/>
    <s v="SELL"/>
    <n v="-200"/>
    <s v="TO OPEN"/>
    <x v="2"/>
    <m/>
    <m/>
    <s v="STOCK"/>
    <n v="26.91"/>
    <n v="26.91"/>
    <s v="LMT"/>
    <n v="-200"/>
    <n v="-5382"/>
    <n v="26.91"/>
    <s v=""/>
  </r>
  <r>
    <x v="957"/>
    <x v="109"/>
    <s v="Wednesday"/>
    <d v="1899-12-30T13:09:30"/>
    <s v="STOCK"/>
    <s v="SELL"/>
    <n v="-100"/>
    <s v="TO OPEN"/>
    <x v="2"/>
    <m/>
    <m/>
    <s v="STOCK"/>
    <n v="27.211099999999998"/>
    <n v="27.211099999999998"/>
    <s v="LMT"/>
    <n v="-300"/>
    <n v="-8103.11"/>
    <n v="27.010366666666666"/>
    <s v=""/>
  </r>
  <r>
    <x v="957"/>
    <x v="109"/>
    <s v="Wednesday"/>
    <d v="1899-12-30T13:15:36"/>
    <s v="STOCK"/>
    <s v="SELL"/>
    <n v="-100"/>
    <s v="TO OPEN"/>
    <x v="2"/>
    <m/>
    <m/>
    <s v="STOCK"/>
    <n v="27.42"/>
    <n v="27.42"/>
    <s v="LMT"/>
    <n v="-400"/>
    <n v="-10845.11"/>
    <n v="27.112775000000003"/>
    <s v=""/>
  </r>
  <r>
    <x v="957"/>
    <x v="109"/>
    <s v="Wednesday"/>
    <d v="1899-12-30T13:33:21"/>
    <s v="STOCK"/>
    <s v="BUY"/>
    <n v="100"/>
    <s v="TO CLOSE"/>
    <x v="2"/>
    <m/>
    <m/>
    <s v="STOCK"/>
    <n v="27.099"/>
    <n v="27.099"/>
    <s v="LMT"/>
    <n v="-300"/>
    <n v="-8135.2100000000009"/>
    <n v="27.117366666666669"/>
    <s v=""/>
  </r>
  <r>
    <x v="957"/>
    <x v="109"/>
    <s v="Wednesday"/>
    <d v="1899-12-30T13:35:29"/>
    <s v="STOCK"/>
    <s v="BUY"/>
    <n v="100"/>
    <s v="TO CLOSE"/>
    <x v="2"/>
    <m/>
    <m/>
    <s v="STOCK"/>
    <n v="26.91"/>
    <n v="26.91"/>
    <s v="LMT"/>
    <n v="-200"/>
    <n v="-5444.2100000000009"/>
    <n v="27.221050000000005"/>
    <s v=""/>
  </r>
  <r>
    <x v="957"/>
    <x v="109"/>
    <s v="Wednesday"/>
    <d v="1899-12-30T14:05:29"/>
    <s v="STOCK"/>
    <s v="SELL"/>
    <n v="-19"/>
    <s v="TO OPEN"/>
    <x v="2"/>
    <m/>
    <m/>
    <s v="STOCK"/>
    <n v="27.36"/>
    <n v="27.36"/>
    <s v="LMT"/>
    <n v="-219"/>
    <n v="-5964.0500000000011"/>
    <n v="27.233105022831054"/>
    <s v=""/>
  </r>
  <r>
    <x v="957"/>
    <x v="109"/>
    <s v="Wednesday"/>
    <d v="1899-12-30T14:05:29"/>
    <s v="STOCK"/>
    <s v="SELL"/>
    <n v="-81"/>
    <s v="TO OPEN"/>
    <x v="2"/>
    <m/>
    <m/>
    <s v="STOCK"/>
    <n v="27.36"/>
    <n v="27.36"/>
    <s v="LMT"/>
    <n v="-300"/>
    <n v="-8180.2100000000009"/>
    <n v="27.267366666666671"/>
    <s v=""/>
  </r>
  <r>
    <x v="957"/>
    <x v="109"/>
    <s v="Wednesday"/>
    <d v="1899-12-30T14:17:36"/>
    <s v="STOCK"/>
    <s v="SELL"/>
    <n v="-2"/>
    <s v="TO OPEN"/>
    <x v="2"/>
    <m/>
    <m/>
    <s v="STOCK"/>
    <n v="27.66"/>
    <n v="27.66"/>
    <s v="LMT"/>
    <n v="-302"/>
    <n v="-8235.5300000000007"/>
    <n v="27.269966887417219"/>
    <s v=""/>
  </r>
  <r>
    <x v="957"/>
    <x v="109"/>
    <s v="Wednesday"/>
    <d v="1899-12-30T14:17:36"/>
    <s v="STOCK"/>
    <s v="SELL"/>
    <n v="-98"/>
    <s v="TO OPEN"/>
    <x v="2"/>
    <m/>
    <m/>
    <s v="STOCK"/>
    <n v="27.66"/>
    <n v="27.66"/>
    <s v="LMT"/>
    <n v="-400"/>
    <n v="-10946.210000000001"/>
    <n v="27.365525000000002"/>
    <s v=""/>
  </r>
  <r>
    <x v="957"/>
    <x v="109"/>
    <s v="Wednesday"/>
    <d v="1899-12-30T14:22:38"/>
    <s v="STOCK"/>
    <s v="BUY"/>
    <n v="95"/>
    <s v="TO CLOSE"/>
    <x v="2"/>
    <m/>
    <m/>
    <s v="STOCK"/>
    <n v="27.38"/>
    <n v="27.38"/>
    <s v="LMT"/>
    <n v="-305"/>
    <n v="-8345.11"/>
    <n v="27.361016393442625"/>
    <s v=""/>
  </r>
  <r>
    <x v="957"/>
    <x v="109"/>
    <s v="Wednesday"/>
    <d v="1899-12-30T14:22:39"/>
    <s v="STOCK"/>
    <s v="BUY"/>
    <n v="5"/>
    <s v="TO CLOSE"/>
    <x v="2"/>
    <m/>
    <m/>
    <s v="STOCK"/>
    <n v="27.38"/>
    <n v="27.38"/>
    <s v="LMT"/>
    <n v="-300"/>
    <n v="-8208.2100000000009"/>
    <n v="27.360700000000005"/>
    <s v=""/>
  </r>
  <r>
    <x v="957"/>
    <x v="109"/>
    <s v="Wednesday"/>
    <d v="1899-12-30T14:25:26"/>
    <s v="STOCK"/>
    <s v="BUY"/>
    <n v="100"/>
    <s v="TO CLOSE"/>
    <x v="2"/>
    <m/>
    <m/>
    <s v="STOCK"/>
    <n v="27.16"/>
    <n v="27.16"/>
    <s v="LMT"/>
    <n v="-200"/>
    <n v="-5492.2100000000009"/>
    <n v="27.461050000000004"/>
    <s v=""/>
  </r>
  <r>
    <x v="957"/>
    <x v="109"/>
    <s v="Wednesday"/>
    <d v="1899-12-30T15:00:49"/>
    <s v="STOCK"/>
    <s v="BUY"/>
    <n v="100"/>
    <s v="TO CLOSE"/>
    <x v="2"/>
    <m/>
    <m/>
    <s v="STOCK"/>
    <n v="26.9283"/>
    <n v="26.9283"/>
    <s v="MKT"/>
    <n v="-100"/>
    <n v="-2799.380000000001"/>
    <n v="27.993800000000011"/>
    <s v=""/>
  </r>
  <r>
    <x v="957"/>
    <x v="109"/>
    <s v="Wednesday"/>
    <d v="1899-12-30T15:26:46"/>
    <s v="STOCK"/>
    <s v="BUY"/>
    <n v="50"/>
    <s v="TO CLOSE"/>
    <x v="2"/>
    <m/>
    <m/>
    <s v="STOCK"/>
    <n v="26.598099999999999"/>
    <n v="26.597999999999999"/>
    <s v="LMT"/>
    <n v="-50"/>
    <n v="-1469.475000000001"/>
    <n v="29.389500000000019"/>
    <s v=""/>
  </r>
  <r>
    <x v="957"/>
    <x v="109"/>
    <s v="Wednesday"/>
    <d v="1899-12-30T15:35:29"/>
    <s v="STOCK"/>
    <s v="BUY"/>
    <n v="50"/>
    <s v="TO CLOSE"/>
    <x v="2"/>
    <m/>
    <m/>
    <s v="STOCK"/>
    <n v="26.605"/>
    <n v="26.605"/>
    <s v="MKT"/>
    <n v="0"/>
    <n v="0"/>
    <s v=""/>
    <n v="139.22500000000096"/>
  </r>
  <r>
    <x v="958"/>
    <x v="110"/>
    <s v="Thursday"/>
    <d v="1899-12-30T08:51:18"/>
    <s v="FUTURE"/>
    <s v="BUY"/>
    <n v="1"/>
    <s v="TO OPEN"/>
    <x v="12"/>
    <d v="2020-12-20T00:00:00"/>
    <m/>
    <s v="FUTURE"/>
    <n v="3274.25"/>
    <n v="3274.25"/>
    <s v="LMT"/>
    <n v="1"/>
    <n v="163712.5"/>
    <n v="3274.25"/>
    <s v=""/>
  </r>
  <r>
    <x v="958"/>
    <x v="110"/>
    <s v="Thursday"/>
    <d v="1899-12-30T10:22:35"/>
    <s v="FUTURE"/>
    <s v="SELL"/>
    <n v="-1"/>
    <s v="TO CLOSE"/>
    <x v="12"/>
    <d v="2020-12-20T00:00:00"/>
    <m/>
    <s v="FUTURE"/>
    <n v="3288.75"/>
    <n v="3288.75"/>
    <s v="LMT"/>
    <n v="0"/>
    <n v="0"/>
    <s v=""/>
    <n v="725"/>
  </r>
  <r>
    <x v="959"/>
    <x v="110"/>
    <s v="Thursday"/>
    <d v="1899-12-30T10:26:39"/>
    <s v="FUTURE"/>
    <s v="SELL"/>
    <n v="-1"/>
    <s v="TO OPEN"/>
    <x v="12"/>
    <d v="2020-12-20T00:00:00"/>
    <m/>
    <s v="FUTURE"/>
    <n v="3284.75"/>
    <n v="3284.75"/>
    <s v="LMT"/>
    <n v="-1"/>
    <n v="-164237.5"/>
    <n v="3284.75"/>
    <s v=""/>
  </r>
  <r>
    <x v="959"/>
    <x v="110"/>
    <s v="Thursday"/>
    <d v="1899-12-30T11:06:11"/>
    <s v="FUTURE"/>
    <s v="BUY"/>
    <n v="1"/>
    <s v="TO CLOSE"/>
    <x v="12"/>
    <d v="2020-12-20T00:00:00"/>
    <m/>
    <s v="FUTURE"/>
    <n v="3284.5"/>
    <n v="3284.5"/>
    <s v="LMT"/>
    <n v="0"/>
    <n v="0"/>
    <s v=""/>
    <n v="12.5"/>
  </r>
  <r>
    <x v="960"/>
    <x v="110"/>
    <s v="Thursday"/>
    <d v="1899-12-30T11:33:49"/>
    <s v="FUTURE"/>
    <s v="SELL"/>
    <n v="-1"/>
    <s v="TO OPEN"/>
    <x v="12"/>
    <d v="2020-12-20T00:00:00"/>
    <m/>
    <s v="FUTURE"/>
    <n v="3286.75"/>
    <n v="3286.75"/>
    <s v="LMT"/>
    <n v="-1"/>
    <n v="-164337.5"/>
    <n v="3286.75"/>
    <s v=""/>
  </r>
  <r>
    <x v="960"/>
    <x v="110"/>
    <s v="Thursday"/>
    <d v="1899-12-30T11:43:54"/>
    <s v="FUTURE"/>
    <s v="BUY"/>
    <n v="1"/>
    <s v="TO CLOSE"/>
    <x v="12"/>
    <d v="2020-12-20T00:00:00"/>
    <m/>
    <s v="FUTURE"/>
    <n v="3282.75"/>
    <n v="3282.75"/>
    <s v="MKT"/>
    <n v="0"/>
    <n v="0"/>
    <s v=""/>
    <n v="200"/>
  </r>
  <r>
    <x v="961"/>
    <x v="110"/>
    <s v="Thursday"/>
    <d v="1899-12-30T12:15:47"/>
    <s v="FUTURE"/>
    <s v="BUY"/>
    <n v="1"/>
    <s v="TO OPEN"/>
    <x v="12"/>
    <d v="2020-12-20T00:00:00"/>
    <m/>
    <s v="FUTURE"/>
    <n v="3287.5"/>
    <n v="3287.5"/>
    <s v="LMT"/>
    <n v="1"/>
    <n v="164375"/>
    <n v="3287.5"/>
    <s v=""/>
  </r>
  <r>
    <x v="961"/>
    <x v="110"/>
    <s v="Thursday"/>
    <d v="1899-12-30T12:18:44"/>
    <s v="FUTURE"/>
    <s v="SELL"/>
    <n v="-1"/>
    <s v="TO CLOSE"/>
    <x v="12"/>
    <d v="2020-12-20T00:00:00"/>
    <m/>
    <s v="FUTURE"/>
    <n v="3288"/>
    <n v="3288"/>
    <s v="STP"/>
    <n v="0"/>
    <n v="0"/>
    <s v=""/>
    <n v="25"/>
  </r>
  <r>
    <x v="962"/>
    <x v="111"/>
    <s v="Friday"/>
    <d v="1899-12-30T09:51:33"/>
    <s v="FUTURE"/>
    <s v="SELL"/>
    <n v="-1"/>
    <s v="TO OPEN"/>
    <x v="12"/>
    <d v="2020-12-20T00:00:00"/>
    <m/>
    <s v="FUTURE"/>
    <n v="3269.5"/>
    <n v="3269.5"/>
    <s v="LMT"/>
    <n v="-1"/>
    <n v="-163475"/>
    <n v="3269.5"/>
    <s v=""/>
  </r>
  <r>
    <x v="962"/>
    <x v="111"/>
    <s v="Friday"/>
    <d v="1899-12-30T10:03:50"/>
    <s v="FUTURE"/>
    <s v="BUY"/>
    <n v="1"/>
    <s v="TO CLOSE"/>
    <x v="12"/>
    <d v="2020-12-20T00:00:00"/>
    <m/>
    <s v="FUTURE"/>
    <n v="3279.5"/>
    <n v="3279.5"/>
    <s v="STP"/>
    <n v="0"/>
    <n v="0"/>
    <s v=""/>
    <n v="-500"/>
  </r>
  <r>
    <x v="963"/>
    <x v="111"/>
    <s v="Friday"/>
    <d v="1899-12-30T10:04:17"/>
    <s v="FUTURE"/>
    <s v="SELL"/>
    <n v="-1"/>
    <s v="TO OPEN"/>
    <x v="12"/>
    <d v="2020-12-20T00:00:00"/>
    <m/>
    <s v="FUTURE"/>
    <n v="3276.75"/>
    <n v="3276.75"/>
    <s v="MKT"/>
    <n v="-1"/>
    <n v="-163837.5"/>
    <n v="3276.75"/>
    <s v=""/>
  </r>
  <r>
    <x v="963"/>
    <x v="111"/>
    <s v="Friday"/>
    <d v="1899-12-30T10:06:47"/>
    <s v="FUTURE"/>
    <s v="BUY"/>
    <n v="2"/>
    <s v="TO CLOSE"/>
    <x v="12"/>
    <d v="2020-12-20T00:00:00"/>
    <m/>
    <s v="FUTURE"/>
    <n v="3284.25"/>
    <n v="3284.25"/>
    <s v="MKT"/>
    <n v="1"/>
    <n v="164587.5"/>
    <n v="3291.75"/>
    <s v=""/>
  </r>
  <r>
    <x v="963"/>
    <x v="111"/>
    <s v="Friday"/>
    <d v="1899-12-30T10:12:26"/>
    <s v="FUTURE"/>
    <s v="SELL"/>
    <n v="-1"/>
    <s v="TO CLOSE"/>
    <x v="12"/>
    <d v="2020-12-20T00:00:00"/>
    <m/>
    <s v="FUTURE"/>
    <n v="3274.25"/>
    <n v="3274.25"/>
    <s v="STP"/>
    <n v="0"/>
    <n v="0"/>
    <s v=""/>
    <n v="-875"/>
  </r>
  <r>
    <x v="964"/>
    <x v="111"/>
    <s v="Friday"/>
    <d v="1899-12-30T10:12:36"/>
    <s v="FUTURE"/>
    <s v="SELL"/>
    <n v="-1"/>
    <s v="TO OPEN"/>
    <x v="12"/>
    <d v="2020-12-20T00:00:00"/>
    <m/>
    <s v="FUTURE"/>
    <n v="3274"/>
    <n v="3274"/>
    <s v="MKT"/>
    <n v="-1"/>
    <n v="-163700"/>
    <n v="3274"/>
    <s v=""/>
  </r>
  <r>
    <x v="964"/>
    <x v="111"/>
    <s v="Friday"/>
    <d v="1899-12-30T10:22:00"/>
    <s v="FUTURE"/>
    <s v="BUY"/>
    <n v="1"/>
    <s v="TO CLOSE"/>
    <x v="12"/>
    <d v="2020-12-20T00:00:00"/>
    <m/>
    <s v="FUTURE"/>
    <n v="3266.25"/>
    <n v="3266.25"/>
    <s v="MKT"/>
    <n v="0"/>
    <n v="0"/>
    <s v=""/>
    <n v="387.5"/>
  </r>
  <r>
    <x v="965"/>
    <x v="111"/>
    <s v="Friday"/>
    <d v="1899-12-30T10:23:04"/>
    <s v="FUTURE"/>
    <s v="BUY"/>
    <n v="1"/>
    <s v="TO OPEN"/>
    <x v="12"/>
    <d v="2020-12-20T00:00:00"/>
    <m/>
    <s v="FUTURE"/>
    <n v="3267"/>
    <n v="3267"/>
    <s v="MKT"/>
    <n v="1"/>
    <n v="163350"/>
    <n v="3267"/>
    <s v=""/>
  </r>
  <r>
    <x v="965"/>
    <x v="111"/>
    <s v="Friday"/>
    <d v="1899-12-30T13:11:20"/>
    <s v="FUTURE"/>
    <s v="SELL"/>
    <n v="-2"/>
    <s v="TO CLOSE"/>
    <x v="12"/>
    <d v="2020-12-20T00:00:00"/>
    <m/>
    <s v="FUTURE"/>
    <n v="3243.75"/>
    <n v="3243.75"/>
    <s v="MKT"/>
    <n v="-1"/>
    <n v="-161025"/>
    <n v="3220.5"/>
    <s v=""/>
  </r>
  <r>
    <x v="965"/>
    <x v="111"/>
    <s v="Friday"/>
    <d v="1899-12-30T13:18:16"/>
    <s v="FUTURE"/>
    <s v="BUY"/>
    <n v="2"/>
    <s v="TO CLOSE"/>
    <x v="12"/>
    <d v="2020-12-20T00:00:00"/>
    <m/>
    <s v="FUTURE"/>
    <n v="3243.25"/>
    <n v="3243.25"/>
    <s v="MKT"/>
    <n v="1"/>
    <n v="163300"/>
    <n v="3266"/>
    <s v=""/>
  </r>
  <r>
    <x v="965"/>
    <x v="111"/>
    <s v="Friday"/>
    <d v="1899-12-30T15:31:12"/>
    <s v="FUTURE"/>
    <s v="SELL"/>
    <n v="-1"/>
    <s v="TO CLOSE"/>
    <x v="12"/>
    <d v="2020-12-20T00:00:00"/>
    <m/>
    <s v="FUTURE"/>
    <n v="3236"/>
    <n v="3236"/>
    <s v="STP"/>
    <n v="0"/>
    <n v="0"/>
    <s v=""/>
    <n v="-1500"/>
  </r>
  <r>
    <x v="966"/>
    <x v="111"/>
    <s v="Friday"/>
    <d v="1899-12-30T10:08:17"/>
    <s v="STOCK"/>
    <s v="SELL"/>
    <n v="-200"/>
    <s v="TO OPEN"/>
    <x v="2"/>
    <m/>
    <m/>
    <s v="STOCK"/>
    <n v="25.84"/>
    <n v="25.84"/>
    <s v="LMT"/>
    <n v="-200"/>
    <n v="-5168"/>
    <n v="25.84"/>
    <s v=""/>
  </r>
  <r>
    <x v="966"/>
    <x v="111"/>
    <s v="Friday"/>
    <d v="1899-12-30T10:08:17"/>
    <s v="STOCK"/>
    <s v="SELL"/>
    <n v="-200"/>
    <s v="TO OPEN"/>
    <x v="2"/>
    <m/>
    <m/>
    <s v="STOCK"/>
    <n v="25.84"/>
    <n v="25.84"/>
    <s v="LMT"/>
    <n v="-400"/>
    <n v="-10336"/>
    <n v="25.84"/>
    <s v=""/>
  </r>
  <r>
    <x v="966"/>
    <x v="111"/>
    <s v="Friday"/>
    <d v="1899-12-30T10:12:31"/>
    <s v="STOCK"/>
    <s v="BUY"/>
    <n v="100"/>
    <s v="TO CLOSE"/>
    <x v="2"/>
    <m/>
    <m/>
    <s v="STOCK"/>
    <n v="26.114999999999998"/>
    <n v="26.114999999999998"/>
    <s v="MKT"/>
    <n v="-300"/>
    <n v="-7724.5"/>
    <n v="25.748333333333335"/>
    <s v=""/>
  </r>
  <r>
    <x v="966"/>
    <x v="111"/>
    <s v="Friday"/>
    <d v="1899-12-30T10:12:31"/>
    <s v="STOCK"/>
    <s v="BUY"/>
    <n v="200"/>
    <s v="TO CLOSE"/>
    <x v="2"/>
    <m/>
    <m/>
    <s v="STOCK"/>
    <n v="26.114999999999998"/>
    <n v="26.114999999999998"/>
    <s v="MKT"/>
    <n v="-100"/>
    <n v="-2501.5"/>
    <n v="25.015000000000001"/>
    <s v=""/>
  </r>
  <r>
    <x v="966"/>
    <x v="111"/>
    <s v="Friday"/>
    <d v="1899-12-30T10:12:31"/>
    <s v="STOCK"/>
    <s v="BUY"/>
    <n v="100"/>
    <s v="TO CLOSE"/>
    <x v="2"/>
    <m/>
    <m/>
    <s v="STOCK"/>
    <n v="26.114999999999998"/>
    <n v="26.114999999999998"/>
    <s v="MKT"/>
    <n v="0"/>
    <n v="0"/>
    <s v=""/>
    <n v="-109.99999999999979"/>
  </r>
  <r>
    <x v="967"/>
    <x v="111"/>
    <s v="Friday"/>
    <d v="1899-12-30T10:12:54"/>
    <s v="STOCK"/>
    <s v="BUY"/>
    <n v="100"/>
    <s v="TO OPEN"/>
    <x v="2"/>
    <m/>
    <m/>
    <s v="STOCK"/>
    <n v="26.145"/>
    <n v="26.145"/>
    <s v="MKT"/>
    <n v="100"/>
    <n v="2614.5"/>
    <n v="26.145"/>
    <s v=""/>
  </r>
  <r>
    <x v="967"/>
    <x v="111"/>
    <s v="Friday"/>
    <d v="1899-12-30T10:12:54"/>
    <s v="STOCK"/>
    <s v="BUY"/>
    <n v="100"/>
    <s v="TO OPEN"/>
    <x v="2"/>
    <m/>
    <m/>
    <s v="STOCK"/>
    <n v="26.145"/>
    <n v="26.145"/>
    <s v="MKT"/>
    <n v="200"/>
    <n v="5229"/>
    <n v="26.145"/>
    <s v=""/>
  </r>
  <r>
    <x v="967"/>
    <x v="111"/>
    <s v="Friday"/>
    <d v="1899-12-30T10:12:54"/>
    <s v="STOCK"/>
    <s v="BUY"/>
    <n v="100"/>
    <s v="TO OPEN"/>
    <x v="2"/>
    <m/>
    <m/>
    <s v="STOCK"/>
    <n v="26.145"/>
    <n v="26.145"/>
    <s v="MKT"/>
    <n v="300"/>
    <n v="7843.5"/>
    <n v="26.145"/>
    <s v=""/>
  </r>
  <r>
    <x v="967"/>
    <x v="111"/>
    <s v="Friday"/>
    <d v="1899-12-30T10:12:54"/>
    <s v="STOCK"/>
    <s v="BUY"/>
    <n v="100"/>
    <s v="TO OPEN"/>
    <x v="2"/>
    <m/>
    <m/>
    <s v="STOCK"/>
    <n v="26.145"/>
    <n v="26.145"/>
    <s v="MKT"/>
    <n v="400"/>
    <n v="10458"/>
    <n v="26.145"/>
    <s v=""/>
  </r>
  <r>
    <x v="967"/>
    <x v="111"/>
    <s v="Friday"/>
    <d v="1899-12-30T10:17:25"/>
    <s v="STOCK"/>
    <s v="SELL"/>
    <n v="-100"/>
    <s v="TO CLOSE"/>
    <x v="2"/>
    <m/>
    <m/>
    <s v="STOCK"/>
    <n v="26.44"/>
    <n v="26.44"/>
    <s v="LMT"/>
    <n v="300"/>
    <n v="7814"/>
    <n v="26.046666666666667"/>
    <s v=""/>
  </r>
  <r>
    <x v="967"/>
    <x v="111"/>
    <s v="Friday"/>
    <d v="1899-12-30T10:23:29"/>
    <s v="STOCK"/>
    <s v="SELL"/>
    <n v="-100"/>
    <s v="TO CLOSE"/>
    <x v="2"/>
    <m/>
    <m/>
    <s v="STOCK"/>
    <n v="26.36"/>
    <n v="26.36"/>
    <s v="LMT"/>
    <n v="200"/>
    <n v="5178"/>
    <n v="25.89"/>
    <s v=""/>
  </r>
  <r>
    <x v="967"/>
    <x v="111"/>
    <s v="Friday"/>
    <d v="1899-12-30T10:24:10"/>
    <s v="STOCK"/>
    <s v="SELL"/>
    <n v="-200"/>
    <s v="TO CLOSE"/>
    <x v="2"/>
    <m/>
    <m/>
    <s v="STOCK"/>
    <n v="26.352"/>
    <n v="26.352"/>
    <s v="MKT"/>
    <n v="0"/>
    <n v="0"/>
    <s v=""/>
    <n v="92.399999999999949"/>
  </r>
  <r>
    <x v="968"/>
    <x v="111"/>
    <s v="Friday"/>
    <d v="1899-12-30T10:24:25"/>
    <s v="STOCK"/>
    <s v="SELL"/>
    <n v="-300"/>
    <s v="TO OPEN"/>
    <x v="2"/>
    <m/>
    <m/>
    <s v="STOCK"/>
    <n v="26.41"/>
    <n v="26.41"/>
    <s v="LMT"/>
    <n v="-300"/>
    <n v="-7923"/>
    <n v="26.41"/>
    <s v=""/>
  </r>
  <r>
    <x v="968"/>
    <x v="111"/>
    <s v="Friday"/>
    <d v="1899-12-30T10:26:38"/>
    <s v="STOCK"/>
    <s v="SELL"/>
    <n v="-100"/>
    <s v="TO OPEN"/>
    <x v="2"/>
    <m/>
    <m/>
    <s v="STOCK"/>
    <n v="26.581900000000001"/>
    <n v="26.581900000000001"/>
    <s v="MKT"/>
    <n v="-400"/>
    <n v="-10581.19"/>
    <n v="26.452975000000002"/>
    <s v=""/>
  </r>
  <r>
    <x v="968"/>
    <x v="111"/>
    <s v="Friday"/>
    <d v="1899-12-30T10:29:46"/>
    <s v="STOCK"/>
    <s v="BUY"/>
    <n v="400"/>
    <s v="TO CLOSE"/>
    <x v="2"/>
    <m/>
    <m/>
    <s v="STOCK"/>
    <n v="26.75"/>
    <n v="26.75"/>
    <s v="MKT"/>
    <n v="0"/>
    <n v="0"/>
    <s v=""/>
    <n v="-118.80999999999915"/>
  </r>
  <r>
    <x v="969"/>
    <x v="111"/>
    <s v="Friday"/>
    <d v="1899-12-30T10:30:16"/>
    <s v="STOCK"/>
    <s v="SELL"/>
    <n v="-400"/>
    <s v="TO OPEN"/>
    <x v="2"/>
    <m/>
    <m/>
    <s v="STOCK"/>
    <n v="26.711500000000001"/>
    <n v="26.711500000000001"/>
    <s v="MKT"/>
    <n v="-400"/>
    <n v="-10684.6"/>
    <n v="26.711500000000001"/>
    <s v=""/>
  </r>
  <r>
    <x v="969"/>
    <x v="111"/>
    <s v="Friday"/>
    <d v="1899-12-30T10:44:33"/>
    <s v="STOCK"/>
    <s v="SELL"/>
    <n v="-25"/>
    <s v="TO OPEN"/>
    <x v="2"/>
    <m/>
    <m/>
    <s v="STOCK"/>
    <n v="26.67"/>
    <n v="26.67"/>
    <s v="MKT"/>
    <n v="-425"/>
    <n v="-11351.35"/>
    <n v="26.709058823529414"/>
    <s v=""/>
  </r>
  <r>
    <x v="969"/>
    <x v="111"/>
    <s v="Friday"/>
    <d v="1899-12-30T10:44:37"/>
    <s v="STOCK"/>
    <s v="SELL"/>
    <n v="-75"/>
    <s v="TO OPEN"/>
    <x v="2"/>
    <m/>
    <m/>
    <s v="STOCK"/>
    <n v="26.684999999999999"/>
    <n v="26.68507"/>
    <s v="MKT"/>
    <n v="-500"/>
    <n v="-13352.725"/>
    <n v="26.705449999999999"/>
    <s v=""/>
  </r>
  <r>
    <x v="969"/>
    <x v="111"/>
    <s v="Friday"/>
    <d v="1899-12-30T11:57:57"/>
    <s v="STOCK"/>
    <s v="BUY"/>
    <n v="200"/>
    <s v="TO CLOSE"/>
    <x v="2"/>
    <m/>
    <m/>
    <s v="STOCK"/>
    <n v="26.29"/>
    <n v="26.29"/>
    <s v="LMT"/>
    <n v="-300"/>
    <n v="-8094.7250000000004"/>
    <n v="26.982416666666669"/>
    <s v=""/>
  </r>
  <r>
    <x v="969"/>
    <x v="111"/>
    <s v="Friday"/>
    <d v="1899-12-30T12:00:28"/>
    <s v="STOCK"/>
    <s v="BUY"/>
    <n v="100"/>
    <s v="TO CLOSE"/>
    <x v="2"/>
    <m/>
    <m/>
    <s v="STOCK"/>
    <n v="26.308900000000001"/>
    <n v="26.308900000000001"/>
    <s v="LMT"/>
    <n v="-200"/>
    <n v="-5463.835"/>
    <n v="27.319175000000001"/>
    <s v=""/>
  </r>
  <r>
    <x v="969"/>
    <x v="111"/>
    <s v="Friday"/>
    <d v="1899-12-30T12:01:54"/>
    <s v="STOCK"/>
    <s v="BUY"/>
    <n v="100"/>
    <s v="TO CLOSE"/>
    <x v="2"/>
    <m/>
    <m/>
    <s v="STOCK"/>
    <n v="26.2"/>
    <n v="26.2"/>
    <s v="LMT"/>
    <n v="-100"/>
    <n v="-2843.835"/>
    <n v="28.43835"/>
    <s v=""/>
  </r>
  <r>
    <x v="969"/>
    <x v="111"/>
    <s v="Friday"/>
    <d v="1899-12-30T12:07:17"/>
    <s v="STOCK"/>
    <s v="BUY"/>
    <n v="100"/>
    <s v="TO CLOSE"/>
    <x v="2"/>
    <m/>
    <m/>
    <s v="STOCK"/>
    <n v="26.07"/>
    <n v="26.07"/>
    <s v="LMT"/>
    <n v="0"/>
    <n v="0"/>
    <s v=""/>
    <n v="236.83499999999995"/>
  </r>
  <r>
    <x v="970"/>
    <x v="111"/>
    <s v="Friday"/>
    <d v="1899-12-30T13:23:31"/>
    <s v="STOCK"/>
    <s v="SELL"/>
    <n v="-200"/>
    <s v="TO OPEN"/>
    <x v="2"/>
    <m/>
    <m/>
    <s v="STOCK"/>
    <n v="26.45"/>
    <n v="26.45"/>
    <s v="LMT"/>
    <n v="-200"/>
    <n v="-5290"/>
    <n v="26.45"/>
    <s v=""/>
  </r>
  <r>
    <x v="970"/>
    <x v="111"/>
    <s v="Friday"/>
    <d v="1899-12-30T13:34:47"/>
    <s v="STOCK"/>
    <s v="SELL"/>
    <n v="-100"/>
    <s v="TO OPEN"/>
    <x v="2"/>
    <m/>
    <m/>
    <s v="STOCK"/>
    <n v="26.6"/>
    <n v="26.6"/>
    <s v="LMT"/>
    <n v="-300"/>
    <n v="-7950"/>
    <n v="26.5"/>
    <s v=""/>
  </r>
  <r>
    <x v="970"/>
    <x v="111"/>
    <s v="Friday"/>
    <d v="1899-12-30T14:00:00"/>
    <s v="STOCK"/>
    <s v="BUY"/>
    <n v="100"/>
    <s v="TO CLOSE"/>
    <x v="2"/>
    <m/>
    <m/>
    <s v="STOCK"/>
    <n v="26.365500000000001"/>
    <n v="26.365500000000001"/>
    <s v="MKT"/>
    <n v="-200"/>
    <n v="-5313.45"/>
    <n v="26.567249999999998"/>
    <s v=""/>
  </r>
  <r>
    <x v="970"/>
    <x v="111"/>
    <s v="Friday"/>
    <d v="1899-12-30T14:30:13"/>
    <s v="STOCK"/>
    <s v="SELL"/>
    <n v="-100"/>
    <s v="TO OPEN"/>
    <x v="2"/>
    <m/>
    <m/>
    <s v="STOCK"/>
    <n v="26.83"/>
    <n v="26.83"/>
    <s v="LMT"/>
    <n v="-300"/>
    <n v="-7996.45"/>
    <n v="26.654833333333332"/>
    <s v=""/>
  </r>
  <r>
    <x v="970"/>
    <x v="111"/>
    <s v="Friday"/>
    <d v="1899-12-30T14:38:42"/>
    <s v="STOCK"/>
    <s v="BUY"/>
    <n v="99"/>
    <s v="TO CLOSE"/>
    <x v="2"/>
    <m/>
    <m/>
    <s v="STOCK"/>
    <n v="26.67"/>
    <n v="26.67"/>
    <s v="LMT"/>
    <n v="-201"/>
    <n v="-5356.119999999999"/>
    <n v="26.647363184079598"/>
    <s v=""/>
  </r>
  <r>
    <x v="970"/>
    <x v="111"/>
    <s v="Friday"/>
    <d v="1899-12-30T14:38:42"/>
    <s v="STOCK"/>
    <s v="BUY"/>
    <n v="1"/>
    <s v="TO CLOSE"/>
    <x v="2"/>
    <m/>
    <m/>
    <s v="STOCK"/>
    <n v="26.67"/>
    <n v="26.67"/>
    <s v="LMT"/>
    <n v="-200"/>
    <n v="-5329.4499999999989"/>
    <n v="26.647249999999996"/>
    <s v=""/>
  </r>
  <r>
    <x v="970"/>
    <x v="111"/>
    <s v="Friday"/>
    <d v="1899-12-30T14:41:13"/>
    <s v="STOCK"/>
    <s v="SELL"/>
    <n v="-100"/>
    <s v="TO OPEN"/>
    <x v="2"/>
    <m/>
    <m/>
    <s v="STOCK"/>
    <n v="26.830100000000002"/>
    <n v="26.830100000000002"/>
    <s v="MKT"/>
    <n v="-300"/>
    <n v="-8012.4599999999991"/>
    <n v="26.708199999999998"/>
    <s v=""/>
  </r>
  <r>
    <x v="970"/>
    <x v="111"/>
    <s v="Friday"/>
    <d v="1899-12-30T14:48:57"/>
    <s v="STOCK"/>
    <s v="BUY"/>
    <n v="100"/>
    <s v="TO CLOSE"/>
    <x v="2"/>
    <m/>
    <m/>
    <s v="STOCK"/>
    <n v="26.58"/>
    <n v="26.58"/>
    <s v="LMT"/>
    <n v="-200"/>
    <n v="-5354.4599999999991"/>
    <n v="26.772299999999994"/>
    <s v=""/>
  </r>
  <r>
    <x v="970"/>
    <x v="111"/>
    <s v="Friday"/>
    <d v="1899-12-30T15:09:11"/>
    <s v="STOCK"/>
    <s v="BUY"/>
    <n v="200"/>
    <s v="TO CLOSE"/>
    <x v="2"/>
    <m/>
    <m/>
    <s v="STOCK"/>
    <n v="26.71"/>
    <n v="26.71"/>
    <s v="STP"/>
    <n v="0"/>
    <n v="0"/>
    <s v=""/>
    <n v="12.459999999998672"/>
  </r>
  <r>
    <x v="971"/>
    <x v="112"/>
    <s v="Monday"/>
    <d v="1899-12-30T08:36:28"/>
    <s v="FUTURE"/>
    <s v="SELL"/>
    <n v="-2"/>
    <s v="TO OPEN"/>
    <x v="11"/>
    <d v="2020-12-20T00:00:00"/>
    <m/>
    <s v="FUTURE"/>
    <n v="35.71"/>
    <n v="35.71"/>
    <s v="LMT"/>
    <n v="-2"/>
    <n v="-71420"/>
    <n v="35.71"/>
    <s v=""/>
  </r>
  <r>
    <x v="971"/>
    <x v="112"/>
    <s v="Monday"/>
    <d v="1899-12-30T08:40:50"/>
    <s v="FUTURE"/>
    <s v="BUY"/>
    <n v="1"/>
    <s v="TO CLOSE"/>
    <x v="11"/>
    <d v="2020-12-20T00:00:00"/>
    <m/>
    <s v="FUTURE"/>
    <n v="35.590000000000003"/>
    <n v="35.590000000000003"/>
    <s v="LMT"/>
    <n v="-1"/>
    <n v="-35830"/>
    <n v="35.83"/>
    <s v=""/>
  </r>
  <r>
    <x v="971"/>
    <x v="112"/>
    <s v="Monday"/>
    <d v="1899-12-30T08:42:09"/>
    <s v="FUTURE"/>
    <s v="BUY"/>
    <n v="1"/>
    <s v="TO CLOSE"/>
    <x v="11"/>
    <d v="2020-12-20T00:00:00"/>
    <m/>
    <s v="FUTURE"/>
    <n v="35.590000000000003"/>
    <n v="35.590000000000003"/>
    <s v="MKT"/>
    <n v="0"/>
    <n v="0"/>
    <s v=""/>
    <n v="239.99999999999488"/>
  </r>
  <r>
    <x v="972"/>
    <x v="112"/>
    <s v="Monday"/>
    <d v="1899-12-30T09:10:07"/>
    <s v="FUTURE"/>
    <s v="BUY"/>
    <n v="1"/>
    <s v="TO OPEN"/>
    <x v="11"/>
    <d v="2020-12-20T00:00:00"/>
    <m/>
    <s v="FUTURE"/>
    <n v="35.299999999999997"/>
    <n v="35.299999999999997"/>
    <s v="MKT"/>
    <n v="1"/>
    <n v="35300"/>
    <n v="35.299999999999997"/>
    <s v=""/>
  </r>
  <r>
    <x v="972"/>
    <x v="112"/>
    <s v="Monday"/>
    <d v="1899-12-30T09:30:32"/>
    <s v="FUTURE"/>
    <s v="SELL"/>
    <n v="-1"/>
    <s v="TO CLOSE"/>
    <x v="11"/>
    <d v="2020-12-20T00:00:00"/>
    <m/>
    <s v="FUTURE"/>
    <n v="35.520000000000003"/>
    <n v="35.520000000000003"/>
    <s v="LMT"/>
    <n v="0"/>
    <n v="0"/>
    <s v=""/>
    <n v="220.00000000000597"/>
  </r>
  <r>
    <x v="973"/>
    <x v="112"/>
    <s v="Monday"/>
    <d v="1899-12-30T10:08:02"/>
    <s v="FUTURE"/>
    <s v="SELL"/>
    <n v="-1"/>
    <s v="TO OPEN"/>
    <x v="11"/>
    <d v="2020-12-20T00:00:00"/>
    <m/>
    <s v="FUTURE"/>
    <n v="36.06"/>
    <n v="36.06"/>
    <s v="LMT"/>
    <n v="-1"/>
    <n v="-36060"/>
    <n v="36.06"/>
    <s v=""/>
  </r>
  <r>
    <x v="973"/>
    <x v="112"/>
    <s v="Monday"/>
    <d v="1899-12-30T10:15:33"/>
    <s v="FUTURE"/>
    <s v="BUY"/>
    <n v="1"/>
    <s v="TO CLOSE"/>
    <x v="11"/>
    <d v="2020-12-20T00:00:00"/>
    <m/>
    <s v="FUTURE"/>
    <n v="35.94"/>
    <n v="35.94"/>
    <s v="LMT"/>
    <n v="0"/>
    <n v="0"/>
    <s v=""/>
    <n v="120.00000000000455"/>
  </r>
  <r>
    <x v="974"/>
    <x v="112"/>
    <s v="Monday"/>
    <d v="1899-12-30T10:19:49"/>
    <s v="FUTURE"/>
    <s v="SELL"/>
    <n v="-1"/>
    <s v="TO OPEN"/>
    <x v="11"/>
    <d v="2020-12-20T00:00:00"/>
    <m/>
    <s v="FUTURE"/>
    <n v="36.17"/>
    <n v="36.17"/>
    <s v="LMT"/>
    <n v="-1"/>
    <n v="-36170"/>
    <n v="36.17"/>
    <s v=""/>
  </r>
  <r>
    <x v="974"/>
    <x v="112"/>
    <s v="Monday"/>
    <d v="1899-12-30T10:31:45"/>
    <s v="FUTURE"/>
    <s v="BUY"/>
    <n v="1"/>
    <s v="TO CLOSE"/>
    <x v="11"/>
    <d v="2020-12-20T00:00:00"/>
    <m/>
    <s v="FUTURE"/>
    <n v="35.97"/>
    <n v="35.97"/>
    <s v="LMT"/>
    <n v="0"/>
    <n v="0"/>
    <s v=""/>
    <n v="200.00000000000284"/>
  </r>
  <r>
    <x v="975"/>
    <x v="112"/>
    <s v="Monday"/>
    <d v="1899-12-30T08:43:27"/>
    <s v="FUTURE"/>
    <s v="BUY"/>
    <n v="1"/>
    <s v="TO OPEN"/>
    <x v="12"/>
    <d v="2020-12-20T00:00:00"/>
    <m/>
    <s v="FUTURE"/>
    <n v="3304.25"/>
    <n v="3304.25"/>
    <s v="MKT"/>
    <n v="1"/>
    <n v="165212.5"/>
    <n v="3304.25"/>
    <s v=""/>
  </r>
  <r>
    <x v="975"/>
    <x v="112"/>
    <s v="Monday"/>
    <d v="1899-12-30T08:50:05"/>
    <s v="FUTURE"/>
    <s v="SELL"/>
    <n v="-1"/>
    <s v="TO CLOSE"/>
    <x v="12"/>
    <d v="2020-12-20T00:00:00"/>
    <m/>
    <s v="FUTURE"/>
    <n v="3299.5"/>
    <n v="3299.5"/>
    <s v="MKT"/>
    <n v="0"/>
    <n v="0"/>
    <s v=""/>
    <n v="-237.5"/>
  </r>
  <r>
    <x v="976"/>
    <x v="112"/>
    <s v="Monday"/>
    <d v="1899-12-30T08:50:21"/>
    <s v="FUTURE"/>
    <s v="SELL"/>
    <n v="-1"/>
    <s v="TO OPEN"/>
    <x v="12"/>
    <d v="2020-12-20T00:00:00"/>
    <m/>
    <s v="FUTURE"/>
    <n v="3300.75"/>
    <n v="3300.75"/>
    <s v="LMT"/>
    <n v="-1"/>
    <n v="-165037.5"/>
    <n v="3300.75"/>
    <s v=""/>
  </r>
  <r>
    <x v="976"/>
    <x v="112"/>
    <s v="Monday"/>
    <d v="1899-12-30T09:03:43"/>
    <s v="FUTURE"/>
    <s v="BUY"/>
    <n v="1"/>
    <s v="TO CLOSE"/>
    <x v="12"/>
    <d v="2020-12-20T00:00:00"/>
    <m/>
    <s v="FUTURE"/>
    <n v="3295"/>
    <n v="3295"/>
    <s v="LMT"/>
    <n v="0"/>
    <n v="0"/>
    <s v=""/>
    <n v="287.5"/>
  </r>
  <r>
    <x v="977"/>
    <x v="112"/>
    <s v="Monday"/>
    <d v="1899-12-30T09:33:13"/>
    <s v="FUTURE"/>
    <s v="BUY"/>
    <n v="1"/>
    <s v="TO OPEN"/>
    <x v="12"/>
    <d v="2020-12-20T00:00:00"/>
    <m/>
    <s v="FUTURE"/>
    <n v="3302.75"/>
    <n v="3302.75"/>
    <s v="MKT"/>
    <n v="1"/>
    <n v="165137.5"/>
    <n v="3302.75"/>
    <s v=""/>
  </r>
  <r>
    <x v="977"/>
    <x v="112"/>
    <s v="Monday"/>
    <d v="1899-12-30T10:00:15"/>
    <s v="FUTURE"/>
    <s v="SELL"/>
    <n v="-1"/>
    <s v="TO CLOSE"/>
    <x v="12"/>
    <d v="2020-12-20T00:00:00"/>
    <m/>
    <s v="FUTURE"/>
    <n v="3312.5"/>
    <n v="3312.5"/>
    <s v="STP"/>
    <n v="0"/>
    <n v="0"/>
    <s v=""/>
    <n v="487.5"/>
  </r>
  <r>
    <x v="978"/>
    <x v="113"/>
    <s v="Tuesday"/>
    <d v="1899-12-30T09:28:10"/>
    <s v="FUTURE"/>
    <s v="SELL"/>
    <n v="-1"/>
    <s v="TO OPEN"/>
    <x v="11"/>
    <d v="2020-12-20T00:00:00"/>
    <m/>
    <s v="FUTURE"/>
    <n v="38.119999999999997"/>
    <n v="38.119999999999997"/>
    <s v="LMT"/>
    <n v="-1"/>
    <n v="-38120"/>
    <n v="38.119999999999997"/>
    <s v=""/>
  </r>
  <r>
    <x v="978"/>
    <x v="113"/>
    <s v="Tuesday"/>
    <d v="1899-12-30T09:30:27"/>
    <s v="FUTURE"/>
    <s v="SELL"/>
    <n v="-1"/>
    <s v="TO OPEN"/>
    <x v="11"/>
    <d v="2020-12-20T00:00:00"/>
    <m/>
    <s v="FUTURE"/>
    <n v="38.18"/>
    <n v="38.18"/>
    <s v="LMT"/>
    <n v="-2"/>
    <n v="-76300"/>
    <n v="38.15"/>
    <s v=""/>
  </r>
  <r>
    <x v="978"/>
    <x v="113"/>
    <s v="Tuesday"/>
    <d v="1899-12-30T09:32:43"/>
    <s v="FUTURE"/>
    <s v="BUY"/>
    <n v="1"/>
    <s v="TO CLOSE"/>
    <x v="11"/>
    <d v="2020-12-20T00:00:00"/>
    <m/>
    <s v="FUTURE"/>
    <n v="38.03"/>
    <n v="38.03"/>
    <s v="LMT"/>
    <n v="-1"/>
    <n v="-38270"/>
    <n v="38.270000000000003"/>
    <s v=""/>
  </r>
  <r>
    <x v="978"/>
    <x v="113"/>
    <s v="Tuesday"/>
    <d v="1899-12-30T09:44:09"/>
    <s v="FUTURE"/>
    <s v="BUY"/>
    <n v="1"/>
    <s v="TO CLOSE"/>
    <x v="11"/>
    <d v="2020-12-20T00:00:00"/>
    <m/>
    <s v="FUTURE"/>
    <n v="38.1"/>
    <n v="38.1"/>
    <s v="MKT"/>
    <n v="0"/>
    <n v="0"/>
    <s v=""/>
    <n v="170.00000000000171"/>
  </r>
  <r>
    <x v="979"/>
    <x v="113"/>
    <s v="Tuesday"/>
    <d v="1899-12-30T09:56:44"/>
    <s v="FUTURE"/>
    <s v="SELL"/>
    <n v="-1"/>
    <s v="TO OPEN"/>
    <x v="11"/>
    <d v="2020-12-20T00:00:00"/>
    <m/>
    <s v="FUTURE"/>
    <n v="38.17"/>
    <n v="38.17"/>
    <s v="LMT"/>
    <n v="-1"/>
    <n v="-38170"/>
    <n v="38.17"/>
    <s v=""/>
  </r>
  <r>
    <x v="979"/>
    <x v="113"/>
    <s v="Tuesday"/>
    <d v="1899-12-30T10:22:46"/>
    <s v="FUTURE"/>
    <s v="BUY"/>
    <n v="1"/>
    <s v="TO CLOSE"/>
    <x v="11"/>
    <d v="2020-12-20T00:00:00"/>
    <m/>
    <s v="FUTURE"/>
    <n v="37.94"/>
    <n v="37.94"/>
    <s v="LMT"/>
    <n v="0"/>
    <n v="0"/>
    <s v=""/>
    <n v="230.00000000000398"/>
  </r>
  <r>
    <x v="980"/>
    <x v="113"/>
    <s v="Tuesday"/>
    <d v="1899-12-30T10:30:31"/>
    <s v="FUTURE"/>
    <s v="SELL"/>
    <n v="-1"/>
    <s v="TO OPEN"/>
    <x v="12"/>
    <d v="2020-12-20T00:00:00"/>
    <m/>
    <s v="FUTURE"/>
    <n v="3375"/>
    <n v="3375"/>
    <s v="LMT"/>
    <n v="-1"/>
    <n v="-168750"/>
    <n v="3375"/>
    <s v=""/>
  </r>
  <r>
    <x v="980"/>
    <x v="113"/>
    <s v="Tuesday"/>
    <d v="1899-12-30T10:35:15"/>
    <s v="FUTURE"/>
    <s v="BUY"/>
    <n v="1"/>
    <s v="TO CLOSE"/>
    <x v="12"/>
    <d v="2020-12-20T00:00:00"/>
    <m/>
    <s v="FUTURE"/>
    <n v="3369.25"/>
    <n v="3369.25"/>
    <s v="LMT"/>
    <n v="0"/>
    <n v="0"/>
    <s v=""/>
    <n v="287.5"/>
  </r>
  <r>
    <x v="981"/>
    <x v="113"/>
    <s v="Tuesday"/>
    <d v="1899-12-30T10:56:50"/>
    <s v="FUTURE"/>
    <s v="SELL"/>
    <n v="-1"/>
    <s v="TO OPEN"/>
    <x v="12"/>
    <d v="2020-12-20T00:00:00"/>
    <m/>
    <s v="FUTURE"/>
    <n v="3373.5"/>
    <n v="3373.5"/>
    <s v="MKT"/>
    <n v="-1"/>
    <n v="-168675"/>
    <n v="3373.5"/>
    <s v=""/>
  </r>
  <r>
    <x v="981"/>
    <x v="113"/>
    <s v="Tuesday"/>
    <d v="1899-12-30T11:55:41"/>
    <s v="FUTURE"/>
    <s v="BUY"/>
    <n v="1"/>
    <s v="TO CLOSE"/>
    <x v="12"/>
    <d v="2020-12-20T00:00:00"/>
    <m/>
    <s v="FUTURE"/>
    <n v="3370.25"/>
    <n v="3370.25"/>
    <s v="LMT"/>
    <n v="0"/>
    <n v="0"/>
    <s v=""/>
    <n v="162.5"/>
  </r>
  <r>
    <x v="982"/>
    <x v="113"/>
    <s v="Tuesday"/>
    <d v="1899-12-30T09:18:26"/>
    <s v="STOCK"/>
    <s v="SELL"/>
    <n v="-300"/>
    <s v="TO OPEN"/>
    <x v="2"/>
    <m/>
    <m/>
    <s v="STOCK"/>
    <n v="25"/>
    <n v="25"/>
    <s v="LMT"/>
    <n v="-300"/>
    <n v="-7500"/>
    <n v="25"/>
    <s v=""/>
  </r>
  <r>
    <x v="982"/>
    <x v="113"/>
    <s v="Tuesday"/>
    <d v="1899-12-30T09:35:01"/>
    <s v="STOCK"/>
    <s v="SELL"/>
    <n v="-50"/>
    <s v="TO OPEN"/>
    <x v="2"/>
    <m/>
    <m/>
    <s v="STOCK"/>
    <n v="25.3"/>
    <n v="25.3"/>
    <s v="LMT"/>
    <n v="-350"/>
    <n v="-8765"/>
    <n v="25.042857142857144"/>
    <s v=""/>
  </r>
  <r>
    <x v="982"/>
    <x v="113"/>
    <s v="Tuesday"/>
    <d v="1899-12-30T09:35:01"/>
    <s v="STOCK"/>
    <s v="SELL"/>
    <n v="-50"/>
    <s v="TO OPEN"/>
    <x v="2"/>
    <m/>
    <m/>
    <s v="STOCK"/>
    <n v="25.3"/>
    <n v="25.3"/>
    <s v="LMT"/>
    <n v="-400"/>
    <n v="-10030"/>
    <n v="25.074999999999999"/>
    <s v=""/>
  </r>
  <r>
    <x v="982"/>
    <x v="113"/>
    <s v="Tuesday"/>
    <d v="1899-12-30T09:44:23"/>
    <s v="STOCK"/>
    <s v="BUY"/>
    <n v="100"/>
    <s v="TO CLOSE"/>
    <x v="2"/>
    <m/>
    <m/>
    <s v="STOCK"/>
    <n v="25.07"/>
    <n v="25.07"/>
    <s v="LMT"/>
    <n v="-300"/>
    <n v="-7523"/>
    <n v="25.076666666666668"/>
    <s v=""/>
  </r>
  <r>
    <x v="982"/>
    <x v="113"/>
    <s v="Tuesday"/>
    <d v="1899-12-30T09:51:20"/>
    <s v="STOCK"/>
    <s v="BUY"/>
    <n v="100"/>
    <s v="TO CLOSE"/>
    <x v="2"/>
    <m/>
    <m/>
    <s v="STOCK"/>
    <n v="25.01"/>
    <n v="25.01"/>
    <s v="LMT"/>
    <n v="-200"/>
    <n v="-5022"/>
    <n v="25.11"/>
    <s v=""/>
  </r>
  <r>
    <x v="982"/>
    <x v="113"/>
    <s v="Tuesday"/>
    <d v="1899-12-30T09:54:03"/>
    <s v="STOCK"/>
    <s v="BUY"/>
    <n v="50"/>
    <s v="TO CLOSE"/>
    <x v="2"/>
    <m/>
    <m/>
    <s v="STOCK"/>
    <n v="24.895"/>
    <n v="24.895"/>
    <s v="LMT"/>
    <n v="-150"/>
    <n v="-3777.25"/>
    <n v="25.181666666666668"/>
    <s v=""/>
  </r>
  <r>
    <x v="982"/>
    <x v="113"/>
    <s v="Tuesday"/>
    <d v="1899-12-30T09:55:13"/>
    <s v="STOCK"/>
    <s v="BUY"/>
    <n v="50"/>
    <s v="TO CLOSE"/>
    <x v="2"/>
    <m/>
    <m/>
    <s v="STOCK"/>
    <n v="24.855"/>
    <n v="24.855"/>
    <s v="LMT"/>
    <n v="-100"/>
    <n v="-2534.5"/>
    <n v="25.344999999999999"/>
    <s v=""/>
  </r>
  <r>
    <x v="982"/>
    <x v="113"/>
    <s v="Tuesday"/>
    <d v="1899-12-30T10:07:09"/>
    <s v="STOCK"/>
    <s v="BUY"/>
    <n v="50"/>
    <s v="TO CLOSE"/>
    <x v="2"/>
    <m/>
    <m/>
    <s v="STOCK"/>
    <n v="24.7881"/>
    <n v="24.788"/>
    <s v="LMT"/>
    <n v="-50"/>
    <n v="-1295.095"/>
    <n v="25.901900000000001"/>
    <s v=""/>
  </r>
  <r>
    <x v="982"/>
    <x v="113"/>
    <s v="Tuesday"/>
    <d v="1899-12-30T10:15:59"/>
    <s v="STOCK"/>
    <s v="BUY"/>
    <n v="50"/>
    <s v="TO CLOSE"/>
    <x v="2"/>
    <m/>
    <m/>
    <s v="STOCK"/>
    <n v="24.655000000000001"/>
    <n v="24.655000000000001"/>
    <s v="MKT"/>
    <n v="0"/>
    <n v="0"/>
    <s v=""/>
    <n v="62.345000000000006"/>
  </r>
  <r>
    <x v="983"/>
    <x v="113"/>
    <s v="Tuesday"/>
    <d v="1899-12-30T11:40:10"/>
    <s v="STOCK"/>
    <s v="BUY"/>
    <n v="200"/>
    <s v="TO OPEN"/>
    <x v="2"/>
    <m/>
    <m/>
    <s v="STOCK"/>
    <n v="24.847999999999999"/>
    <n v="24.847999999999999"/>
    <s v="MKT"/>
    <n v="200"/>
    <n v="4969.5999999999995"/>
    <n v="24.847999999999999"/>
    <s v=""/>
  </r>
  <r>
    <x v="983"/>
    <x v="113"/>
    <s v="Tuesday"/>
    <d v="1899-12-30T11:40:10"/>
    <s v="STOCK"/>
    <s v="BUY"/>
    <n v="100"/>
    <s v="TO OPEN"/>
    <x v="2"/>
    <m/>
    <m/>
    <s v="STOCK"/>
    <n v="24.847999999999999"/>
    <n v="24.847999999999999"/>
    <s v="MKT"/>
    <n v="300"/>
    <n v="7454.4"/>
    <n v="24.847999999999999"/>
    <s v=""/>
  </r>
  <r>
    <x v="983"/>
    <x v="113"/>
    <s v="Tuesday"/>
    <d v="1899-12-30T11:52:40"/>
    <s v="STOCK"/>
    <s v="SELL"/>
    <n v="-300"/>
    <s v="TO CLOSE"/>
    <x v="2"/>
    <m/>
    <m/>
    <s v="STOCK"/>
    <n v="24.864999999999998"/>
    <n v="24.864999999999998"/>
    <s v="LMT"/>
    <n v="0"/>
    <n v="0"/>
    <s v=""/>
    <n v="5.099999999999838"/>
  </r>
  <r>
    <x v="984"/>
    <x v="114"/>
    <s v="Wednesday"/>
    <d v="1899-12-30T09:31:23"/>
    <s v="FUTURE"/>
    <s v="SELL"/>
    <n v="-1"/>
    <s v="TO OPEN"/>
    <x v="11"/>
    <d v="2020-12-20T00:00:00"/>
    <m/>
    <s v="FUTURE"/>
    <n v="38.51"/>
    <n v="38.51"/>
    <s v="LMT"/>
    <n v="-1"/>
    <n v="-38510"/>
    <n v="38.51"/>
    <s v=""/>
  </r>
  <r>
    <x v="984"/>
    <x v="114"/>
    <s v="Wednesday"/>
    <d v="1899-12-30T09:34:56"/>
    <s v="FUTURE"/>
    <s v="BUY"/>
    <n v="1"/>
    <s v="TO CLOSE"/>
    <x v="11"/>
    <d v="2020-12-20T00:00:00"/>
    <m/>
    <s v="FUTURE"/>
    <n v="38.270000000000003"/>
    <n v="38.270000000000003"/>
    <s v="LMT"/>
    <n v="0"/>
    <n v="0"/>
    <s v=""/>
    <n v="239.99999999999488"/>
  </r>
  <r>
    <x v="985"/>
    <x v="114"/>
    <s v="Wednesday"/>
    <d v="1899-12-30T09:54:18"/>
    <s v="FUTURE"/>
    <s v="SELL"/>
    <n v="-1"/>
    <s v="TO OPEN"/>
    <x v="12"/>
    <d v="2020-12-20T00:00:00"/>
    <m/>
    <s v="FUTURE"/>
    <n v="3407.25"/>
    <n v="3407.25"/>
    <s v="LMT"/>
    <n v="-1"/>
    <n v="-170362.5"/>
    <n v="3407.25"/>
    <s v=""/>
  </r>
  <r>
    <x v="985"/>
    <x v="114"/>
    <s v="Wednesday"/>
    <d v="1899-12-30T14:29:23"/>
    <s v="FUTURE"/>
    <s v="BUY"/>
    <n v="1"/>
    <s v="TO CLOSE"/>
    <x v="12"/>
    <d v="2020-12-20T00:00:00"/>
    <m/>
    <s v="FUTURE"/>
    <n v="3461.75"/>
    <n v="3461.75"/>
    <s v="STP"/>
    <n v="0"/>
    <n v="0"/>
    <s v=""/>
    <n v="-2725"/>
  </r>
  <r>
    <x v="986"/>
    <x v="114"/>
    <s v="Wednesday"/>
    <d v="1899-12-30T14:36:18"/>
    <s v="FUTURE"/>
    <s v="BUY"/>
    <n v="1"/>
    <s v="TO OPEN"/>
    <x v="12"/>
    <d v="2020-12-20T00:00:00"/>
    <m/>
    <s v="FUTURE"/>
    <n v="3460.5"/>
    <n v="3460.5"/>
    <s v="MKT"/>
    <n v="1"/>
    <n v="173025"/>
    <n v="3460.5"/>
    <s v=""/>
  </r>
  <r>
    <x v="986"/>
    <x v="114"/>
    <s v="Wednesday"/>
    <d v="1899-12-30T14:40:26"/>
    <s v="FUTURE"/>
    <s v="SELL"/>
    <n v="-1"/>
    <s v="TO CLOSE"/>
    <x v="12"/>
    <d v="2020-12-20T00:00:00"/>
    <m/>
    <s v="FUTURE"/>
    <n v="3453.25"/>
    <n v="3453.25"/>
    <s v="STP"/>
    <n v="0"/>
    <n v="0"/>
    <s v=""/>
    <n v="-362.5"/>
  </r>
  <r>
    <x v="987"/>
    <x v="114"/>
    <s v="Wednesday"/>
    <d v="1899-12-30T14:42:42"/>
    <s v="FUTURE"/>
    <s v="BUY"/>
    <n v="1"/>
    <s v="TO OPEN"/>
    <x v="12"/>
    <d v="2020-12-20T00:00:00"/>
    <m/>
    <s v="FUTURE"/>
    <n v="3453.25"/>
    <n v="3453.25"/>
    <s v="STP"/>
    <n v="1"/>
    <n v="172662.5"/>
    <n v="3453.25"/>
    <s v=""/>
  </r>
  <r>
    <x v="987"/>
    <x v="114"/>
    <s v="Wednesday"/>
    <d v="1899-12-30T14:59:55"/>
    <s v="FUTURE"/>
    <s v="SELL"/>
    <n v="-1"/>
    <s v="TO CLOSE"/>
    <x v="12"/>
    <d v="2020-12-20T00:00:00"/>
    <m/>
    <s v="FUTURE"/>
    <n v="3453.5"/>
    <n v="3453.5"/>
    <s v="STP"/>
    <n v="0"/>
    <n v="0"/>
    <s v=""/>
    <n v="12.5"/>
  </r>
  <r>
    <x v="988"/>
    <x v="114"/>
    <s v="Wednesday"/>
    <d v="1899-12-30T15:02:43"/>
    <s v="FUTURE"/>
    <s v="BUY"/>
    <n v="1"/>
    <s v="TO OPEN"/>
    <x v="12"/>
    <d v="2020-12-20T00:00:00"/>
    <m/>
    <s v="FUTURE"/>
    <n v="3453.75"/>
    <n v="3453.75"/>
    <s v="MKT"/>
    <n v="1"/>
    <n v="172687.5"/>
    <n v="3453.75"/>
    <s v=""/>
  </r>
  <r>
    <x v="988"/>
    <x v="114"/>
    <s v="Wednesday"/>
    <d v="1899-12-30T15:06:03"/>
    <s v="FUTURE"/>
    <s v="SELL"/>
    <n v="-1"/>
    <s v="TO CLOSE"/>
    <x v="12"/>
    <d v="2020-12-20T00:00:00"/>
    <m/>
    <s v="FUTURE"/>
    <n v="3443.75"/>
    <n v="3443.75"/>
    <s v="STP"/>
    <n v="0"/>
    <n v="0"/>
    <s v=""/>
    <n v="-500"/>
  </r>
  <r>
    <x v="989"/>
    <x v="114"/>
    <s v="Wednesday"/>
    <d v="1899-12-30T15:31:32"/>
    <s v="FUTURE"/>
    <s v="BUY"/>
    <n v="1"/>
    <s v="TO OPEN"/>
    <x v="12"/>
    <d v="2020-12-20T00:00:00"/>
    <m/>
    <s v="FUTURE"/>
    <n v="3441.25"/>
    <n v="3441.25"/>
    <s v="STP"/>
    <n v="1"/>
    <n v="172062.5"/>
    <n v="3441.25"/>
    <s v=""/>
  </r>
  <r>
    <x v="989"/>
    <x v="114"/>
    <s v="Wednesday"/>
    <d v="1899-12-30T16:38:53"/>
    <s v="FUTURE"/>
    <s v="SELL"/>
    <n v="-1"/>
    <s v="TO CLOSE"/>
    <x v="12"/>
    <d v="2020-12-20T00:00:00"/>
    <m/>
    <s v="FUTURE"/>
    <n v="3447.75"/>
    <n v="3447.75"/>
    <s v="LMT"/>
    <n v="0"/>
    <n v="0"/>
    <s v=""/>
    <n v="325"/>
  </r>
  <r>
    <x v="990"/>
    <x v="114"/>
    <s v="Wednesday"/>
    <d v="1899-12-30T10:58:55"/>
    <s v="STOCK"/>
    <s v="BUY"/>
    <n v="500"/>
    <s v="TO OPEN"/>
    <x v="2"/>
    <m/>
    <m/>
    <s v="STOCK"/>
    <n v="22.498899999999999"/>
    <n v="22.498899999999999"/>
    <s v="MKT"/>
    <n v="500"/>
    <n v="11249.449999999999"/>
    <n v="22.498899999999999"/>
    <s v=""/>
  </r>
  <r>
    <x v="990"/>
    <x v="114"/>
    <s v="Wednesday"/>
    <d v="1899-12-30T11:11:59"/>
    <s v="STOCK"/>
    <s v="SELL"/>
    <n v="-100"/>
    <s v="TO CLOSE"/>
    <x v="2"/>
    <m/>
    <m/>
    <s v="STOCK"/>
    <n v="22.62"/>
    <n v="22.62"/>
    <s v="LMT"/>
    <n v="400"/>
    <n v="8987.4499999999989"/>
    <n v="22.468624999999996"/>
    <s v=""/>
  </r>
  <r>
    <x v="990"/>
    <x v="114"/>
    <s v="Wednesday"/>
    <d v="1899-12-30T11:28:43"/>
    <s v="STOCK"/>
    <s v="SELL"/>
    <n v="-100"/>
    <s v="TO CLOSE"/>
    <x v="2"/>
    <m/>
    <m/>
    <s v="STOCK"/>
    <n v="22.642299999999999"/>
    <n v="22.642299999999999"/>
    <s v="LMT"/>
    <n v="300"/>
    <n v="6723.2199999999993"/>
    <n v="22.410733333333329"/>
    <s v=""/>
  </r>
  <r>
    <x v="990"/>
    <x v="114"/>
    <s v="Wednesday"/>
    <d v="1899-12-30T11:53:26"/>
    <s v="STOCK"/>
    <s v="SELL"/>
    <n v="-50"/>
    <s v="TO CLOSE"/>
    <x v="2"/>
    <m/>
    <m/>
    <s v="STOCK"/>
    <n v="22.79"/>
    <n v="22.79"/>
    <s v="LMT"/>
    <n v="250"/>
    <n v="5583.7199999999993"/>
    <n v="22.334879999999998"/>
    <s v=""/>
  </r>
  <r>
    <x v="990"/>
    <x v="114"/>
    <s v="Wednesday"/>
    <d v="1899-12-30T11:56:21"/>
    <s v="STOCK"/>
    <s v="SELL"/>
    <n v="-50"/>
    <s v="TO CLOSE"/>
    <x v="2"/>
    <m/>
    <m/>
    <s v="STOCK"/>
    <n v="22.92"/>
    <n v="22.92"/>
    <s v="LMT"/>
    <n v="200"/>
    <n v="4437.7199999999993"/>
    <n v="22.188599999999997"/>
    <s v=""/>
  </r>
  <r>
    <x v="990"/>
    <x v="114"/>
    <s v="Wednesday"/>
    <d v="1899-12-30T12:00:07"/>
    <s v="STOCK"/>
    <s v="SELL"/>
    <n v="-50"/>
    <s v="TO CLOSE"/>
    <x v="2"/>
    <m/>
    <m/>
    <s v="STOCK"/>
    <n v="23"/>
    <n v="23"/>
    <s v="LMT"/>
    <n v="150"/>
    <n v="3287.7199999999993"/>
    <n v="21.91813333333333"/>
    <s v=""/>
  </r>
  <r>
    <x v="990"/>
    <x v="114"/>
    <s v="Wednesday"/>
    <d v="1899-12-30T12:03:22"/>
    <s v="STOCK"/>
    <s v="SELL"/>
    <n v="-50"/>
    <s v="TO CLOSE"/>
    <x v="2"/>
    <m/>
    <m/>
    <s v="STOCK"/>
    <n v="23.011099999999999"/>
    <n v="23.011199999999999"/>
    <s v="LMT"/>
    <n v="100"/>
    <n v="2137.1649999999995"/>
    <n v="21.371649999999995"/>
    <s v=""/>
  </r>
  <r>
    <x v="990"/>
    <x v="114"/>
    <s v="Wednesday"/>
    <d v="1899-12-30T12:07:30"/>
    <s v="STOCK"/>
    <s v="SELL"/>
    <n v="-84"/>
    <s v="TO CLOSE"/>
    <x v="2"/>
    <m/>
    <m/>
    <s v="STOCK"/>
    <n v="22.77"/>
    <n v="22.77"/>
    <s v="STP"/>
    <n v="16"/>
    <n v="224.48499999999945"/>
    <n v="14.030312499999965"/>
    <s v=""/>
  </r>
  <r>
    <x v="990"/>
    <x v="114"/>
    <s v="Wednesday"/>
    <d v="1899-12-30T12:07:30"/>
    <s v="STOCK"/>
    <s v="SELL"/>
    <n v="-11"/>
    <s v="TO CLOSE"/>
    <x v="2"/>
    <m/>
    <m/>
    <s v="STOCK"/>
    <n v="22.77"/>
    <n v="22.77"/>
    <s v="STP"/>
    <n v="5"/>
    <n v="-25.985000000000554"/>
    <n v="-5.1970000000001111"/>
    <s v=""/>
  </r>
  <r>
    <x v="990"/>
    <x v="114"/>
    <s v="Wednesday"/>
    <d v="1899-12-30T12:07:30"/>
    <s v="STOCK"/>
    <s v="SELL"/>
    <n v="-5"/>
    <s v="TO CLOSE"/>
    <x v="2"/>
    <m/>
    <m/>
    <s v="STOCK"/>
    <n v="22.77"/>
    <n v="22.77"/>
    <s v="STP"/>
    <n v="0"/>
    <n v="0"/>
    <s v=""/>
    <n v="139.83500000000055"/>
  </r>
  <r>
    <x v="991"/>
    <x v="114"/>
    <s v="Wednesday"/>
    <d v="1899-12-30T12:36:39"/>
    <s v="STOCK"/>
    <s v="BUY"/>
    <n v="400"/>
    <s v="TO OPEN"/>
    <x v="2"/>
    <m/>
    <m/>
    <s v="STOCK"/>
    <n v="22.614999999999998"/>
    <n v="22.614999999999998"/>
    <s v="MKT"/>
    <n v="400"/>
    <n v="9046"/>
    <n v="22.614999999999998"/>
    <s v=""/>
  </r>
  <r>
    <x v="991"/>
    <x v="114"/>
    <s v="Wednesday"/>
    <d v="1899-12-30T12:45:26"/>
    <s v="STOCK"/>
    <s v="BUY"/>
    <n v="100"/>
    <s v="TO OPEN"/>
    <x v="2"/>
    <m/>
    <m/>
    <s v="STOCK"/>
    <n v="22.49"/>
    <n v="22.49"/>
    <s v="LMT"/>
    <n v="500"/>
    <n v="11295"/>
    <n v="22.59"/>
    <s v=""/>
  </r>
  <r>
    <x v="991"/>
    <x v="114"/>
    <s v="Wednesday"/>
    <d v="1899-12-30T13:43:57"/>
    <s v="STOCK"/>
    <s v="SELL"/>
    <n v="-100"/>
    <s v="TO CLOSE"/>
    <x v="2"/>
    <m/>
    <m/>
    <s v="STOCK"/>
    <n v="22.751100000000001"/>
    <n v="22.751100000000001"/>
    <s v="LMT"/>
    <n v="400"/>
    <n v="9019.89"/>
    <n v="22.549724999999999"/>
    <s v=""/>
  </r>
  <r>
    <x v="991"/>
    <x v="114"/>
    <s v="Wednesday"/>
    <d v="1899-12-30T13:49:36"/>
    <s v="STOCK"/>
    <s v="SELL"/>
    <n v="-100"/>
    <s v="TO CLOSE"/>
    <x v="2"/>
    <m/>
    <m/>
    <s v="STOCK"/>
    <n v="22.68"/>
    <n v="22.68"/>
    <s v="LMT"/>
    <n v="300"/>
    <n v="6751.8899999999994"/>
    <n v="22.5063"/>
    <s v=""/>
  </r>
  <r>
    <x v="991"/>
    <x v="114"/>
    <s v="Wednesday"/>
    <d v="1899-12-30T14:01:09"/>
    <s v="STOCK"/>
    <s v="SELL"/>
    <n v="-300"/>
    <s v="TO CLOSE"/>
    <x v="2"/>
    <m/>
    <m/>
    <s v="STOCK"/>
    <n v="22.591100000000001"/>
    <n v="22.591100000000001"/>
    <s v="MKT"/>
    <n v="0"/>
    <n v="0"/>
    <s v=""/>
    <n v="25.440000000000396"/>
  </r>
  <r>
    <x v="992"/>
    <x v="115"/>
    <s v="Thursday"/>
    <d v="1899-12-30T09:00:13"/>
    <s v="FUTURE"/>
    <s v="SELL"/>
    <n v="-1"/>
    <s v="TO OPEN"/>
    <x v="11"/>
    <d v="2020-12-20T00:00:00"/>
    <m/>
    <s v="FUTURE"/>
    <n v="39"/>
    <n v="39"/>
    <s v="LMT"/>
    <n v="-1"/>
    <n v="-39000"/>
    <n v="39"/>
    <s v=""/>
  </r>
  <r>
    <x v="992"/>
    <x v="115"/>
    <s v="Thursday"/>
    <d v="1899-12-30T09:24:17"/>
    <s v="FUTURE"/>
    <s v="BUY"/>
    <n v="1"/>
    <s v="TO CLOSE"/>
    <x v="11"/>
    <d v="2020-12-20T00:00:00"/>
    <m/>
    <s v="FUTURE"/>
    <n v="38.89"/>
    <n v="38.89"/>
    <s v="LMT"/>
    <n v="0"/>
    <n v="0"/>
    <s v=""/>
    <n v="109.99999999999943"/>
  </r>
  <r>
    <x v="993"/>
    <x v="115"/>
    <s v="Thursday"/>
    <d v="1899-12-30T12:21:00"/>
    <s v="FUTURE"/>
    <s v="BUY"/>
    <n v="1"/>
    <s v="TO OPEN"/>
    <x v="11"/>
    <d v="2020-12-20T00:00:00"/>
    <m/>
    <s v="FUTURE"/>
    <n v="38.590000000000003"/>
    <n v="38.590000000000003"/>
    <s v="LMT"/>
    <n v="1"/>
    <n v="38590"/>
    <n v="38.590000000000003"/>
    <s v=""/>
  </r>
  <r>
    <x v="993"/>
    <x v="115"/>
    <s v="Thursday"/>
    <d v="1899-12-30T12:22:33"/>
    <s v="FUTURE"/>
    <s v="SELL"/>
    <n v="-1"/>
    <s v="TO CLOSE"/>
    <x v="11"/>
    <d v="2020-12-20T00:00:00"/>
    <m/>
    <s v="FUTURE"/>
    <n v="38.64"/>
    <n v="38.64"/>
    <s v="LMT"/>
    <n v="0"/>
    <n v="0"/>
    <s v=""/>
    <n v="49.999999999997158"/>
  </r>
  <r>
    <x v="994"/>
    <x v="115"/>
    <s v="Thursday"/>
    <d v="1899-12-30T12:27:58"/>
    <s v="FUTURE"/>
    <s v="BUY"/>
    <n v="1"/>
    <s v="TO OPEN"/>
    <x v="11"/>
    <d v="2020-12-20T00:00:00"/>
    <m/>
    <s v="FUTURE"/>
    <n v="38.619999999999997"/>
    <n v="38.619999999999997"/>
    <s v="MKT"/>
    <n v="1"/>
    <n v="38620"/>
    <n v="38.619999999999997"/>
    <s v=""/>
  </r>
  <r>
    <x v="994"/>
    <x v="115"/>
    <s v="Thursday"/>
    <d v="1899-12-30T12:35:55"/>
    <s v="FUTURE"/>
    <s v="BUY"/>
    <n v="1"/>
    <s v="TO OPEN"/>
    <x v="11"/>
    <d v="2020-12-20T00:00:00"/>
    <m/>
    <s v="FUTURE"/>
    <n v="38.5"/>
    <n v="38.5"/>
    <s v="LMT"/>
    <n v="2"/>
    <n v="77120"/>
    <n v="38.56"/>
    <s v=""/>
  </r>
  <r>
    <x v="994"/>
    <x v="115"/>
    <s v="Thursday"/>
    <d v="1899-12-30T12:37:28"/>
    <s v="FUTURE"/>
    <s v="SELL"/>
    <n v="-1"/>
    <s v="TO CLOSE"/>
    <x v="11"/>
    <d v="2020-12-20T00:00:00"/>
    <m/>
    <s v="FUTURE"/>
    <n v="38.58"/>
    <n v="38.58"/>
    <s v="LMT"/>
    <n v="1"/>
    <n v="38540"/>
    <n v="38.54"/>
    <s v=""/>
  </r>
  <r>
    <x v="994"/>
    <x v="115"/>
    <s v="Thursday"/>
    <d v="1899-12-30T12:39:21"/>
    <s v="FUTURE"/>
    <s v="SELL"/>
    <n v="-1"/>
    <s v="TO CLOSE"/>
    <x v="11"/>
    <d v="2020-12-20T00:00:00"/>
    <m/>
    <s v="FUTURE"/>
    <n v="38.61"/>
    <n v="38.61"/>
    <s v="MKT"/>
    <n v="0"/>
    <n v="0"/>
    <s v=""/>
    <n v="70.000000000000284"/>
  </r>
  <r>
    <x v="995"/>
    <x v="115"/>
    <s v="Thursday"/>
    <d v="1899-12-30T08:44:44"/>
    <s v="FUTURE"/>
    <s v="SELL"/>
    <n v="-1"/>
    <s v="TO OPEN"/>
    <x v="12"/>
    <d v="2020-12-20T00:00:00"/>
    <m/>
    <s v="FUTURE"/>
    <n v="3495.75"/>
    <n v="3495.75"/>
    <s v="MKT"/>
    <n v="-1"/>
    <n v="-174787.5"/>
    <n v="3495.75"/>
    <s v=""/>
  </r>
  <r>
    <x v="995"/>
    <x v="115"/>
    <s v="Thursday"/>
    <d v="1899-12-30T08:59:02"/>
    <s v="FUTURE"/>
    <s v="BUY"/>
    <n v="1"/>
    <s v="TO CLOSE"/>
    <x v="12"/>
    <d v="2020-12-20T00:00:00"/>
    <m/>
    <s v="FUTURE"/>
    <n v="3495.5"/>
    <n v="3495.5"/>
    <s v="STP"/>
    <n v="0"/>
    <n v="0"/>
    <s v=""/>
    <n v="12.5"/>
  </r>
  <r>
    <x v="996"/>
    <x v="115"/>
    <s v="Thursday"/>
    <d v="1899-12-30T10:00:26"/>
    <s v="FUTURE"/>
    <s v="SELL"/>
    <n v="-1"/>
    <s v="TO OPEN"/>
    <x v="12"/>
    <d v="2020-12-20T00:00:00"/>
    <m/>
    <s v="FUTURE"/>
    <n v="3499.25"/>
    <n v="3499.25"/>
    <s v="LMT"/>
    <n v="-1"/>
    <n v="-174962.5"/>
    <n v="3499.25"/>
    <s v=""/>
  </r>
  <r>
    <x v="996"/>
    <x v="115"/>
    <s v="Thursday"/>
    <d v="1899-12-30T12:17:23"/>
    <s v="FUTURE"/>
    <s v="BUY"/>
    <n v="1"/>
    <s v="TO CLOSE"/>
    <x v="12"/>
    <d v="2020-12-20T00:00:00"/>
    <m/>
    <s v="FUTURE"/>
    <n v="3499"/>
    <n v="3499"/>
    <s v="LMT"/>
    <n v="0"/>
    <n v="0"/>
    <s v=""/>
    <n v="12.5"/>
  </r>
  <r>
    <x v="997"/>
    <x v="115"/>
    <s v="Thursday"/>
    <d v="1899-12-30T15:03:03"/>
    <s v="FUTURE"/>
    <s v="SELL"/>
    <n v="-1"/>
    <s v="TO OPEN"/>
    <x v="12"/>
    <d v="2020-12-20T00:00:00"/>
    <m/>
    <s v="FUTURE"/>
    <n v="3517.5"/>
    <n v="3517.5"/>
    <s v="LMT"/>
    <n v="-1"/>
    <n v="-175875"/>
    <n v="3517.5"/>
    <s v=""/>
  </r>
  <r>
    <x v="997"/>
    <x v="115"/>
    <s v="Thursday"/>
    <d v="1899-12-30T15:08:42"/>
    <s v="FUTURE"/>
    <s v="BUY"/>
    <n v="1"/>
    <s v="TO CLOSE"/>
    <x v="12"/>
    <d v="2020-12-20T00:00:00"/>
    <m/>
    <s v="FUTURE"/>
    <n v="3513.75"/>
    <n v="3513.75"/>
    <s v="LMT"/>
    <n v="0"/>
    <n v="0"/>
    <s v=""/>
    <n v="187.5"/>
  </r>
  <r>
    <x v="998"/>
    <x v="115"/>
    <s v="Thursday"/>
    <d v="1899-12-30T09:50:17"/>
    <s v="STOCK"/>
    <s v="BUY"/>
    <n v="200"/>
    <s v="TO OPEN"/>
    <x v="2"/>
    <m/>
    <m/>
    <s v="STOCK"/>
    <n v="21.618099999999998"/>
    <n v="21.618099999999998"/>
    <s v="MKT"/>
    <n v="200"/>
    <n v="4323.62"/>
    <n v="21.618099999999998"/>
    <s v=""/>
  </r>
  <r>
    <x v="998"/>
    <x v="115"/>
    <s v="Thursday"/>
    <d v="1899-12-30T10:00:42"/>
    <s v="STOCK"/>
    <s v="BUY"/>
    <n v="100"/>
    <s v="TO OPEN"/>
    <x v="2"/>
    <m/>
    <m/>
    <s v="STOCK"/>
    <n v="21.5"/>
    <n v="21.5"/>
    <s v="LMT"/>
    <n v="300"/>
    <n v="6473.62"/>
    <n v="21.578733333333332"/>
    <s v=""/>
  </r>
  <r>
    <x v="998"/>
    <x v="115"/>
    <s v="Thursday"/>
    <d v="1899-12-30T10:33:54"/>
    <s v="STOCK"/>
    <s v="SELL"/>
    <n v="-100"/>
    <s v="TO CLOSE"/>
    <x v="2"/>
    <m/>
    <m/>
    <s v="STOCK"/>
    <n v="21.64"/>
    <n v="21.64"/>
    <s v="LMT"/>
    <n v="200"/>
    <n v="4309.62"/>
    <n v="21.548099999999998"/>
    <s v=""/>
  </r>
  <r>
    <x v="998"/>
    <x v="115"/>
    <s v="Thursday"/>
    <d v="1899-12-30T10:37:34"/>
    <s v="STOCK"/>
    <s v="SELL"/>
    <n v="-50"/>
    <s v="TO CLOSE"/>
    <x v="2"/>
    <m/>
    <m/>
    <s v="STOCK"/>
    <n v="21.68"/>
    <n v="21.68"/>
    <s v="LMT"/>
    <n v="150"/>
    <n v="3225.62"/>
    <n v="21.504133333333332"/>
    <s v=""/>
  </r>
  <r>
    <x v="998"/>
    <x v="115"/>
    <s v="Thursday"/>
    <d v="1899-12-30T10:38:00"/>
    <s v="STOCK"/>
    <s v="SELL"/>
    <n v="-50"/>
    <s v="TO CLOSE"/>
    <x v="2"/>
    <m/>
    <m/>
    <s v="STOCK"/>
    <n v="21.7"/>
    <n v="21.7"/>
    <s v="LMT"/>
    <n v="100"/>
    <n v="2140.62"/>
    <n v="21.406199999999998"/>
    <s v=""/>
  </r>
  <r>
    <x v="998"/>
    <x v="115"/>
    <s v="Thursday"/>
    <d v="1899-12-30T10:38:48"/>
    <s v="STOCK"/>
    <s v="SELL"/>
    <n v="-50"/>
    <s v="TO CLOSE"/>
    <x v="2"/>
    <m/>
    <m/>
    <s v="STOCK"/>
    <n v="21.7319"/>
    <n v="21.731999999999999"/>
    <s v="MKT"/>
    <n v="50"/>
    <n v="1054.0249999999999"/>
    <n v="21.080499999999997"/>
    <s v=""/>
  </r>
  <r>
    <x v="998"/>
    <x v="115"/>
    <s v="Thursday"/>
    <d v="1899-12-30T10:39:21"/>
    <s v="STOCK"/>
    <s v="SELL"/>
    <n v="-50"/>
    <s v="TO CLOSE"/>
    <x v="2"/>
    <m/>
    <m/>
    <s v="STOCK"/>
    <n v="21.7501"/>
    <n v="21.75"/>
    <s v="MKT"/>
    <n v="0"/>
    <n v="0"/>
    <s v=""/>
    <n v="33.480000000000132"/>
  </r>
  <r>
    <x v="999"/>
    <x v="115"/>
    <s v="Thursday"/>
    <d v="1899-12-30T10:46:43"/>
    <s v="STOCK"/>
    <s v="BUY"/>
    <n v="200"/>
    <s v="TO OPEN"/>
    <x v="2"/>
    <m/>
    <m/>
    <s v="STOCK"/>
    <n v="21.658100000000001"/>
    <n v="21.658100000000001"/>
    <s v="MKT"/>
    <n v="200"/>
    <n v="4331.62"/>
    <n v="21.658100000000001"/>
    <s v=""/>
  </r>
  <r>
    <x v="999"/>
    <x v="115"/>
    <s v="Thursday"/>
    <d v="1899-12-30T11:16:59"/>
    <s v="STOCK"/>
    <s v="SELL"/>
    <n v="-100"/>
    <s v="TO CLOSE"/>
    <x v="2"/>
    <m/>
    <m/>
    <s v="STOCK"/>
    <n v="21.831900000000001"/>
    <n v="21.831900000000001"/>
    <s v="LMT"/>
    <n v="100"/>
    <n v="2148.4299999999998"/>
    <n v="21.484299999999998"/>
    <s v=""/>
  </r>
  <r>
    <x v="999"/>
    <x v="115"/>
    <s v="Thursday"/>
    <d v="1899-12-30T11:19:17"/>
    <s v="STOCK"/>
    <s v="SELL"/>
    <n v="-50"/>
    <s v="TO CLOSE"/>
    <x v="2"/>
    <m/>
    <m/>
    <s v="STOCK"/>
    <n v="21.86"/>
    <n v="21.86"/>
    <s v="LMT"/>
    <n v="50"/>
    <n v="1055.4299999999998"/>
    <n v="21.108599999999996"/>
    <s v=""/>
  </r>
  <r>
    <x v="999"/>
    <x v="115"/>
    <s v="Thursday"/>
    <d v="1899-12-30T11:43:53"/>
    <s v="STOCK"/>
    <s v="SELL"/>
    <n v="-50"/>
    <s v="TO CLOSE"/>
    <x v="2"/>
    <m/>
    <m/>
    <s v="STOCK"/>
    <n v="21.960100000000001"/>
    <n v="21.96"/>
    <s v="MKT"/>
    <n v="0"/>
    <n v="0"/>
    <s v=""/>
    <n v="42.575000000000252"/>
  </r>
  <r>
    <x v="1000"/>
    <x v="116"/>
    <s v="Friday"/>
    <d v="1899-12-30T10:21:45"/>
    <s v="FUTURE"/>
    <s v="BUY"/>
    <n v="2"/>
    <s v="TO OPEN"/>
    <x v="11"/>
    <d v="2020-12-20T00:00:00"/>
    <m/>
    <s v="FUTURE"/>
    <n v="37.86"/>
    <n v="37.86"/>
    <s v="MKT"/>
    <n v="2"/>
    <n v="75720"/>
    <n v="37.86"/>
    <s v=""/>
  </r>
  <r>
    <x v="1000"/>
    <x v="116"/>
    <s v="Friday"/>
    <d v="1899-12-30T10:21:59"/>
    <s v="FUTURE"/>
    <s v="SELL"/>
    <n v="-1"/>
    <s v="TO CLOSE"/>
    <x v="11"/>
    <d v="2020-12-20T00:00:00"/>
    <m/>
    <s v="FUTURE"/>
    <n v="37.89"/>
    <n v="37.89"/>
    <s v="LMT"/>
    <n v="1"/>
    <n v="37830"/>
    <n v="37.83"/>
    <s v=""/>
  </r>
  <r>
    <x v="1000"/>
    <x v="116"/>
    <s v="Friday"/>
    <d v="1899-12-30T10:26:33"/>
    <s v="FUTURE"/>
    <s v="SELL"/>
    <n v="-1"/>
    <s v="TO CLOSE"/>
    <x v="11"/>
    <d v="2020-12-20T00:00:00"/>
    <m/>
    <s v="FUTURE"/>
    <n v="37.9"/>
    <n v="37.9"/>
    <s v="LMT"/>
    <n v="0"/>
    <n v="0"/>
    <s v=""/>
    <n v="70.000000000000284"/>
  </r>
  <r>
    <x v="1001"/>
    <x v="116"/>
    <s v="Friday"/>
    <d v="1899-12-30T08:29:03"/>
    <s v="FUTURE"/>
    <s v="BUY"/>
    <n v="1"/>
    <s v="TO OPEN"/>
    <x v="12"/>
    <d v="2020-12-20T00:00:00"/>
    <m/>
    <s v="FUTURE"/>
    <n v="3476"/>
    <n v="3476"/>
    <s v="LMT"/>
    <n v="1"/>
    <n v="173800"/>
    <n v="3476"/>
    <s v=""/>
  </r>
  <r>
    <x v="1001"/>
    <x v="116"/>
    <s v="Friday"/>
    <d v="1899-12-30T08:30:21"/>
    <s v="FUTURE"/>
    <s v="SELL"/>
    <n v="-1"/>
    <s v="TO CLOSE"/>
    <x v="12"/>
    <d v="2020-12-20T00:00:00"/>
    <m/>
    <s v="FUTURE"/>
    <n v="3482"/>
    <n v="3482"/>
    <s v="LMT"/>
    <n v="0"/>
    <n v="0"/>
    <s v=""/>
    <n v="300"/>
  </r>
  <r>
    <x v="1002"/>
    <x v="116"/>
    <s v="Friday"/>
    <d v="1899-12-30T09:07:04"/>
    <s v="FUTURE"/>
    <s v="BUY"/>
    <n v="1"/>
    <s v="TO OPEN"/>
    <x v="12"/>
    <d v="2020-12-20T00:00:00"/>
    <m/>
    <s v="FUTURE"/>
    <n v="3496"/>
    <n v="3496"/>
    <s v="LMT"/>
    <n v="1"/>
    <n v="174800"/>
    <n v="3496"/>
    <s v=""/>
  </r>
  <r>
    <x v="1002"/>
    <x v="116"/>
    <s v="Friday"/>
    <d v="1899-12-30T09:07:41"/>
    <s v="FUTURE"/>
    <s v="SELL"/>
    <n v="-1"/>
    <s v="TO CLOSE"/>
    <x v="12"/>
    <d v="2020-12-20T00:00:00"/>
    <m/>
    <s v="FUTURE"/>
    <n v="3497"/>
    <n v="3497"/>
    <s v="LMT"/>
    <n v="0"/>
    <n v="0"/>
    <s v=""/>
    <n v="50"/>
  </r>
  <r>
    <x v="1003"/>
    <x v="116"/>
    <s v="Friday"/>
    <d v="1899-12-30T09:51:21"/>
    <s v="FUTURE"/>
    <s v="BUY"/>
    <n v="1"/>
    <s v="TO OPEN"/>
    <x v="12"/>
    <d v="2020-12-20T00:00:00"/>
    <m/>
    <s v="FUTURE"/>
    <n v="3486.5"/>
    <n v="3486.5"/>
    <s v="MKT"/>
    <n v="1"/>
    <n v="174325"/>
    <n v="3486.5"/>
    <s v=""/>
  </r>
  <r>
    <x v="1003"/>
    <x v="116"/>
    <s v="Friday"/>
    <d v="1899-12-30T10:00:19"/>
    <s v="FUTURE"/>
    <s v="SELL"/>
    <n v="-1"/>
    <s v="TO CLOSE"/>
    <x v="12"/>
    <d v="2020-12-20T00:00:00"/>
    <m/>
    <s v="FUTURE"/>
    <n v="3486.75"/>
    <n v="3486.75"/>
    <s v="STP"/>
    <n v="0"/>
    <n v="0"/>
    <s v=""/>
    <n v="12.5"/>
  </r>
  <r>
    <x v="1004"/>
    <x v="116"/>
    <s v="Friday"/>
    <d v="1899-12-30T10:01:38"/>
    <s v="FUTURE"/>
    <s v="BUY"/>
    <n v="1"/>
    <s v="TO OPEN"/>
    <x v="12"/>
    <d v="2020-12-20T00:00:00"/>
    <m/>
    <s v="FUTURE"/>
    <n v="3485"/>
    <n v="3485"/>
    <s v="STP"/>
    <n v="1"/>
    <n v="174250"/>
    <n v="3485"/>
    <s v=""/>
  </r>
  <r>
    <x v="1004"/>
    <x v="116"/>
    <s v="Friday"/>
    <d v="1899-12-30T10:08:53"/>
    <s v="FUTURE"/>
    <s v="SELL"/>
    <n v="-1"/>
    <s v="TO CLOSE"/>
    <x v="12"/>
    <d v="2020-12-20T00:00:00"/>
    <m/>
    <s v="FUTURE"/>
    <n v="3492.5"/>
    <n v="3492.5"/>
    <s v="LMT"/>
    <n v="0"/>
    <n v="0"/>
    <s v=""/>
    <n v="375"/>
  </r>
  <r>
    <x v="1005"/>
    <x v="116"/>
    <s v="Friday"/>
    <d v="1899-12-30T10:41:08"/>
    <s v="FUTURE"/>
    <s v="SELL"/>
    <n v="-1"/>
    <s v="TO OPEN"/>
    <x v="12"/>
    <d v="2020-12-20T00:00:00"/>
    <m/>
    <s v="FUTURE"/>
    <n v="3495"/>
    <n v="3495"/>
    <s v="LMT"/>
    <n v="-1"/>
    <n v="-174750"/>
    <n v="3495"/>
    <s v=""/>
  </r>
  <r>
    <x v="1005"/>
    <x v="116"/>
    <s v="Friday"/>
    <d v="1899-12-30T10:58:54"/>
    <s v="FUTURE"/>
    <s v="BUY"/>
    <n v="1"/>
    <s v="TO CLOSE"/>
    <x v="12"/>
    <d v="2020-12-20T00:00:00"/>
    <m/>
    <s v="FUTURE"/>
    <n v="3491"/>
    <n v="3491"/>
    <s v="LMT"/>
    <n v="0"/>
    <n v="0"/>
    <s v=""/>
    <n v="200"/>
  </r>
  <r>
    <x v="1006"/>
    <x v="117"/>
    <s v="Monday"/>
    <d v="1899-12-30T09:05:20"/>
    <s v="FUTURE"/>
    <s v="SELL"/>
    <n v="-1"/>
    <s v="TO OPEN"/>
    <x v="12"/>
    <d v="2020-12-20T00:00:00"/>
    <m/>
    <s v="FUTURE"/>
    <n v="3658"/>
    <n v="3658"/>
    <s v="LMT"/>
    <n v="-1"/>
    <n v="-182900"/>
    <n v="3658"/>
    <s v=""/>
  </r>
  <r>
    <x v="1006"/>
    <x v="117"/>
    <s v="Monday"/>
    <d v="1899-12-30T09:12:51"/>
    <s v="FUTURE"/>
    <s v="BUY"/>
    <n v="1"/>
    <s v="TO CLOSE"/>
    <x v="12"/>
    <d v="2020-12-20T00:00:00"/>
    <m/>
    <s v="FUTURE"/>
    <n v="3657.5"/>
    <n v="3657.5"/>
    <s v="STP"/>
    <n v="0"/>
    <n v="0"/>
    <s v=""/>
    <n v="25"/>
  </r>
  <r>
    <x v="1007"/>
    <x v="117"/>
    <s v="Monday"/>
    <d v="1899-12-30T09:30:11"/>
    <s v="FUTURE"/>
    <s v="BUY"/>
    <n v="1"/>
    <s v="TO OPEN"/>
    <x v="12"/>
    <d v="2020-12-20T00:00:00"/>
    <m/>
    <s v="FUTURE"/>
    <n v="3636.25"/>
    <n v="3636.25"/>
    <s v="MKT"/>
    <n v="1"/>
    <n v="181812.5"/>
    <n v="3636.25"/>
    <s v=""/>
  </r>
  <r>
    <x v="1007"/>
    <x v="117"/>
    <s v="Monday"/>
    <d v="1899-12-30T13:17:51"/>
    <s v="FUTURE"/>
    <s v="SELL"/>
    <n v="-1"/>
    <s v="TO CLOSE"/>
    <x v="12"/>
    <d v="2020-12-20T00:00:00"/>
    <m/>
    <s v="FUTURE"/>
    <n v="3619.25"/>
    <n v="3619.25"/>
    <s v="MKT"/>
    <n v="0"/>
    <n v="0"/>
    <s v=""/>
    <n v="-850"/>
  </r>
  <r>
    <x v="1008"/>
    <x v="117"/>
    <s v="Monday"/>
    <d v="1899-12-30T13:20:25"/>
    <s v="FUTURE"/>
    <s v="SELL"/>
    <n v="-1"/>
    <s v="TO OPEN"/>
    <x v="12"/>
    <d v="2020-12-20T00:00:00"/>
    <m/>
    <s v="FUTURE"/>
    <n v="3617.25"/>
    <n v="3617.25"/>
    <s v="LMT"/>
    <n v="-1"/>
    <n v="-180862.5"/>
    <n v="3617.25"/>
    <s v=""/>
  </r>
  <r>
    <x v="1008"/>
    <x v="117"/>
    <s v="Monday"/>
    <d v="1899-12-30T13:24:09"/>
    <s v="FUTURE"/>
    <s v="BUY"/>
    <n v="1"/>
    <s v="TO CLOSE"/>
    <x v="12"/>
    <d v="2020-12-20T00:00:00"/>
    <m/>
    <s v="FUTURE"/>
    <n v="3617"/>
    <n v="3617"/>
    <s v="STP"/>
    <n v="0"/>
    <n v="0"/>
    <s v=""/>
    <n v="12.5"/>
  </r>
  <r>
    <x v="1009"/>
    <x v="117"/>
    <s v="Monday"/>
    <d v="1899-12-30T13:25:34"/>
    <s v="FUTURE"/>
    <s v="SELL"/>
    <n v="-1"/>
    <s v="TO OPEN"/>
    <x v="12"/>
    <d v="2020-12-20T00:00:00"/>
    <m/>
    <s v="FUTURE"/>
    <n v="3616.25"/>
    <n v="3616.25"/>
    <s v="LMT"/>
    <n v="-1"/>
    <n v="-180812.5"/>
    <n v="3616.25"/>
    <s v=""/>
  </r>
  <r>
    <x v="1009"/>
    <x v="117"/>
    <s v="Monday"/>
    <d v="1899-12-30T13:45:40"/>
    <s v="FUTURE"/>
    <s v="BUY"/>
    <n v="1"/>
    <s v="TO CLOSE"/>
    <x v="12"/>
    <d v="2020-12-20T00:00:00"/>
    <m/>
    <s v="FUTURE"/>
    <n v="3615"/>
    <n v="3615"/>
    <s v="MKT"/>
    <n v="0"/>
    <n v="0"/>
    <s v=""/>
    <n v="62.5"/>
  </r>
  <r>
    <x v="1010"/>
    <x v="117"/>
    <s v="Monday"/>
    <d v="1899-12-30T13:47:37"/>
    <s v="FUTURE"/>
    <s v="BUY"/>
    <n v="1"/>
    <s v="TO OPEN"/>
    <x v="12"/>
    <d v="2020-12-20T00:00:00"/>
    <m/>
    <s v="FUTURE"/>
    <n v="3614.5"/>
    <n v="3614.5"/>
    <s v="MKT"/>
    <n v="1"/>
    <n v="180725"/>
    <n v="3614.5"/>
    <s v=""/>
  </r>
  <r>
    <x v="1010"/>
    <x v="117"/>
    <s v="Monday"/>
    <d v="1899-12-30T14:23:27"/>
    <s v="FUTURE"/>
    <s v="SELL"/>
    <n v="-1"/>
    <s v="TO CLOSE"/>
    <x v="12"/>
    <d v="2020-12-20T00:00:00"/>
    <m/>
    <s v="FUTURE"/>
    <n v="3594"/>
    <n v="3594"/>
    <s v="STP"/>
    <n v="0"/>
    <n v="0"/>
    <s v=""/>
    <n v="-1025"/>
  </r>
  <r>
    <x v="1011"/>
    <x v="117"/>
    <s v="Monday"/>
    <d v="1899-12-30T14:23:32"/>
    <s v="FUTURE"/>
    <s v="SELL"/>
    <n v="-1"/>
    <s v="TO OPEN"/>
    <x v="12"/>
    <d v="2020-12-20T00:00:00"/>
    <m/>
    <s v="FUTURE"/>
    <n v="3594.5"/>
    <n v="3594.5"/>
    <s v="MKT"/>
    <n v="-1"/>
    <n v="-179725"/>
    <n v="3594.5"/>
    <s v=""/>
  </r>
  <r>
    <x v="1011"/>
    <x v="117"/>
    <s v="Monday"/>
    <d v="1899-12-30T14:27:38"/>
    <s v="FUTURE"/>
    <s v="BUY"/>
    <n v="1"/>
    <s v="TO CLOSE"/>
    <x v="12"/>
    <d v="2020-12-20T00:00:00"/>
    <m/>
    <s v="FUTURE"/>
    <n v="3601"/>
    <n v="3601"/>
    <s v="STP"/>
    <n v="0"/>
    <n v="0"/>
    <s v=""/>
    <n v="-325"/>
  </r>
  <r>
    <x v="1012"/>
    <x v="117"/>
    <s v="Monday"/>
    <d v="1899-12-30T14:28:37"/>
    <s v="FUTURE"/>
    <s v="BUY"/>
    <n v="1"/>
    <s v="TO OPEN"/>
    <x v="12"/>
    <d v="2020-12-20T00:00:00"/>
    <m/>
    <s v="FUTURE"/>
    <n v="3598.5"/>
    <n v="3598.5"/>
    <s v="MKT"/>
    <n v="1"/>
    <n v="179925"/>
    <n v="3598.5"/>
    <s v=""/>
  </r>
  <r>
    <x v="1012"/>
    <x v="117"/>
    <s v="Monday"/>
    <d v="1899-12-30T14:31:18"/>
    <s v="FUTURE"/>
    <s v="SELL"/>
    <n v="-1"/>
    <s v="TO CLOSE"/>
    <x v="12"/>
    <d v="2020-12-20T00:00:00"/>
    <m/>
    <s v="FUTURE"/>
    <n v="3592.25"/>
    <n v="3592.25"/>
    <s v="STP"/>
    <n v="0"/>
    <n v="0"/>
    <s v=""/>
    <n v="-312.5"/>
  </r>
  <r>
    <x v="1013"/>
    <x v="117"/>
    <s v="Monday"/>
    <d v="1899-12-30T15:07:51"/>
    <s v="FUTURE"/>
    <s v="BUY"/>
    <n v="1"/>
    <s v="TO OPEN"/>
    <x v="12"/>
    <d v="2020-12-20T00:00:00"/>
    <m/>
    <s v="FUTURE"/>
    <n v="3600.25"/>
    <n v="3600.25"/>
    <s v="LMT"/>
    <n v="1"/>
    <n v="180012.5"/>
    <n v="3600.25"/>
    <s v=""/>
  </r>
  <r>
    <x v="1013"/>
    <x v="117"/>
    <s v="Monday"/>
    <d v="1899-12-30T16:07:28"/>
    <s v="FUTURE"/>
    <s v="SELL"/>
    <n v="-1"/>
    <s v="TO CLOSE"/>
    <x v="12"/>
    <d v="2020-12-20T00:00:00"/>
    <m/>
    <s v="FUTURE"/>
    <n v="3550.25"/>
    <n v="3550.25"/>
    <s v="LMT"/>
    <n v="0"/>
    <n v="0"/>
    <s v=""/>
    <n v="-2500"/>
  </r>
  <r>
    <x v="1014"/>
    <x v="117"/>
    <s v="Monday"/>
    <d v="1899-12-30T19:32:21"/>
    <s v="FUTURE"/>
    <s v="BUY"/>
    <n v="1"/>
    <s v="TO OPEN"/>
    <x v="12"/>
    <d v="2020-12-20T00:00:00"/>
    <m/>
    <s v="FUTURE"/>
    <n v="3535.25"/>
    <n v="3535.25"/>
    <s v="LMT"/>
    <n v="1"/>
    <n v="176762.5"/>
    <n v="3535.25"/>
    <s v=""/>
  </r>
  <r>
    <x v="1014"/>
    <x v="117"/>
    <s v="Monday"/>
    <d v="1899-12-30T20:10:58"/>
    <s v="FUTURE"/>
    <s v="SELL"/>
    <n v="-1"/>
    <s v="TO CLOSE"/>
    <x v="12"/>
    <d v="2020-12-20T00:00:00"/>
    <m/>
    <s v="FUTURE"/>
    <n v="3541.25"/>
    <n v="3541.25"/>
    <s v="STP"/>
    <n v="0"/>
    <n v="0"/>
    <s v=""/>
    <n v="300"/>
  </r>
  <r>
    <x v="1015"/>
    <x v="117"/>
    <s v="Monday"/>
    <d v="1899-12-30T09:57:11"/>
    <s v="STOCK"/>
    <s v="SELL"/>
    <n v="-300"/>
    <s v="TO OPEN"/>
    <x v="2"/>
    <m/>
    <m/>
    <s v="STOCK"/>
    <n v="19.344999999999999"/>
    <n v="19.344999999999999"/>
    <s v="LMT"/>
    <n v="-300"/>
    <n v="-5803.5"/>
    <n v="19.344999999999999"/>
    <s v=""/>
  </r>
  <r>
    <x v="1015"/>
    <x v="117"/>
    <s v="Monday"/>
    <d v="1899-12-30T10:03:51"/>
    <s v="STOCK"/>
    <s v="BUY"/>
    <n v="100"/>
    <s v="TO CLOSE"/>
    <x v="2"/>
    <m/>
    <m/>
    <s v="STOCK"/>
    <n v="19.16"/>
    <n v="19.16"/>
    <s v="LMT"/>
    <n v="-200"/>
    <n v="-3887.5"/>
    <n v="19.4375"/>
    <s v=""/>
  </r>
  <r>
    <x v="1015"/>
    <x v="117"/>
    <s v="Monday"/>
    <d v="1899-12-30T10:05:25"/>
    <s v="STOCK"/>
    <s v="BUY"/>
    <n v="100"/>
    <s v="TO CLOSE"/>
    <x v="2"/>
    <m/>
    <m/>
    <s v="STOCK"/>
    <n v="19.100000000000001"/>
    <n v="19.100000000000001"/>
    <s v="LMT"/>
    <n v="-100"/>
    <n v="-1977.4999999999998"/>
    <n v="19.774999999999999"/>
    <s v=""/>
  </r>
  <r>
    <x v="1015"/>
    <x v="117"/>
    <s v="Monday"/>
    <d v="1899-12-30T10:07:47"/>
    <s v="STOCK"/>
    <s v="BUY"/>
    <n v="100"/>
    <s v="TO CLOSE"/>
    <x v="2"/>
    <m/>
    <m/>
    <s v="STOCK"/>
    <n v="19.059999999999999"/>
    <n v="19.059999999999999"/>
    <s v="LMT"/>
    <n v="0"/>
    <n v="0"/>
    <s v=""/>
    <n v="71.499999999999986"/>
  </r>
  <r>
    <x v="1016"/>
    <x v="117"/>
    <s v="Monday"/>
    <d v="1899-12-30T21:47:25"/>
    <s v="FUTURE"/>
    <s v="BUY"/>
    <n v="1"/>
    <s v="TO OPEN"/>
    <x v="12"/>
    <d v="2020-12-20T00:00:00"/>
    <m/>
    <s v="FUTURE"/>
    <n v="3534.25"/>
    <n v="3534.25"/>
    <s v="LMT"/>
    <n v="1"/>
    <n v="176712.5"/>
    <n v="3534.25"/>
    <s v=""/>
  </r>
  <r>
    <x v="1016"/>
    <x v="118"/>
    <s v="Tuesday"/>
    <d v="1899-12-30T01:50:26"/>
    <s v="FUTURE"/>
    <s v="SELL"/>
    <n v="-1"/>
    <s v="TO CLOSE"/>
    <x v="12"/>
    <d v="2020-12-20T00:00:00"/>
    <m/>
    <s v="FUTURE"/>
    <n v="3534.75"/>
    <n v="3534.75"/>
    <s v="STP"/>
    <n v="0"/>
    <n v="0"/>
    <s v=""/>
    <n v="25"/>
  </r>
  <r>
    <x v="1017"/>
    <x v="118"/>
    <s v="Tuesday"/>
    <d v="1899-12-30T08:13:03"/>
    <s v="FUTURE"/>
    <s v="SELL"/>
    <n v="-1"/>
    <s v="TO OPEN"/>
    <x v="11"/>
    <d v="2020-12-20T00:00:00"/>
    <m/>
    <s v="FUTURE"/>
    <n v="40.479999999999997"/>
    <n v="40.479999999999997"/>
    <s v="MKT"/>
    <n v="-1"/>
    <n v="-40480"/>
    <n v="40.479999999999997"/>
    <s v=""/>
  </r>
  <r>
    <x v="1017"/>
    <x v="118"/>
    <s v="Tuesday"/>
    <d v="1899-12-30T08:17:46"/>
    <s v="FUTURE"/>
    <s v="BUY"/>
    <n v="1"/>
    <s v="TO CLOSE"/>
    <x v="11"/>
    <d v="2020-12-20T00:00:00"/>
    <m/>
    <s v="FUTURE"/>
    <n v="40.36"/>
    <n v="40.36"/>
    <s v="LMT"/>
    <n v="0"/>
    <n v="0"/>
    <s v=""/>
    <n v="119.99999999999744"/>
  </r>
  <r>
    <x v="1018"/>
    <x v="118"/>
    <s v="Tuesday"/>
    <d v="1899-12-30T08:22:29"/>
    <s v="FUTURE"/>
    <s v="BUY"/>
    <n v="1"/>
    <s v="TO OPEN"/>
    <x v="12"/>
    <d v="2020-12-20T00:00:00"/>
    <m/>
    <s v="FUTURE"/>
    <n v="3538.75"/>
    <n v="3538.75"/>
    <s v="LMT"/>
    <n v="1"/>
    <n v="176937.5"/>
    <n v="3538.75"/>
    <s v=""/>
  </r>
  <r>
    <x v="1018"/>
    <x v="118"/>
    <s v="Tuesday"/>
    <d v="1899-12-30T09:26:26"/>
    <s v="FUTURE"/>
    <s v="SELL"/>
    <n v="-2"/>
    <s v="TO CLOSE"/>
    <x v="12"/>
    <d v="2020-12-20T00:00:00"/>
    <m/>
    <s v="FUTURE"/>
    <n v="3529.5"/>
    <n v="3529.5"/>
    <s v="MKT"/>
    <n v="-1"/>
    <n v="-176012.5"/>
    <n v="3520.25"/>
    <s v=""/>
  </r>
  <r>
    <x v="1018"/>
    <x v="118"/>
    <s v="Tuesday"/>
    <d v="1899-12-30T09:29:57"/>
    <s v="FUTURE"/>
    <s v="BUY"/>
    <n v="2"/>
    <s v="TO CLOSE"/>
    <x v="12"/>
    <d v="2020-12-20T00:00:00"/>
    <m/>
    <s v="FUTURE"/>
    <n v="3535.25"/>
    <n v="3535.25"/>
    <s v="MKT"/>
    <n v="1"/>
    <n v="177512.5"/>
    <n v="3550.25"/>
    <s v=""/>
  </r>
  <r>
    <x v="1018"/>
    <x v="118"/>
    <s v="Tuesday"/>
    <d v="1899-12-30T10:35:49"/>
    <s v="FUTURE"/>
    <s v="SELL"/>
    <n v="-1"/>
    <s v="TO CLOSE"/>
    <x v="12"/>
    <d v="2020-12-20T00:00:00"/>
    <m/>
    <s v="FUTURE"/>
    <n v="3518.75"/>
    <n v="3518.75"/>
    <s v="STP"/>
    <n v="0"/>
    <n v="0"/>
    <s v=""/>
    <n v="-1575"/>
  </r>
  <r>
    <x v="1019"/>
    <x v="118"/>
    <s v="Tuesday"/>
    <d v="1899-12-30T11:11:36"/>
    <s v="FUTURE"/>
    <s v="BUY"/>
    <n v="1"/>
    <s v="TO OPEN"/>
    <x v="12"/>
    <d v="2020-12-20T00:00:00"/>
    <m/>
    <s v="FUTURE"/>
    <n v="3530.25"/>
    <n v="3530.25"/>
    <s v="LMT"/>
    <n v="1"/>
    <n v="176512.5"/>
    <n v="3530.25"/>
    <s v=""/>
  </r>
  <r>
    <x v="1019"/>
    <x v="118"/>
    <s v="Tuesday"/>
    <d v="1899-12-30T11:35:25"/>
    <s v="FUTURE"/>
    <s v="SELL"/>
    <n v="-1"/>
    <s v="TO CLOSE"/>
    <x v="12"/>
    <d v="2020-12-20T00:00:00"/>
    <m/>
    <s v="FUTURE"/>
    <n v="3530.75"/>
    <n v="3530.75"/>
    <s v="STP"/>
    <n v="0"/>
    <n v="0"/>
    <s v=""/>
    <n v="25"/>
  </r>
  <r>
    <x v="1020"/>
    <x v="119"/>
    <s v="Wednesday"/>
    <d v="1899-12-30T10:46:47"/>
    <s v="FUTURE"/>
    <s v="SELL"/>
    <n v="-1"/>
    <s v="TO OPEN"/>
    <x v="11"/>
    <d v="2020-12-20T00:00:00"/>
    <m/>
    <s v="FUTURE"/>
    <n v="42.27"/>
    <n v="42.27"/>
    <s v="LMT"/>
    <n v="-1"/>
    <n v="-42270"/>
    <n v="42.27"/>
    <s v=""/>
  </r>
  <r>
    <x v="1020"/>
    <x v="119"/>
    <s v="Wednesday"/>
    <d v="1899-12-30T10:58:12"/>
    <s v="FUTURE"/>
    <s v="BUY"/>
    <n v="1"/>
    <s v="TO CLOSE"/>
    <x v="11"/>
    <d v="2020-12-20T00:00:00"/>
    <m/>
    <s v="FUTURE"/>
    <n v="42.25"/>
    <n v="42.25"/>
    <s v="LMT"/>
    <n v="0"/>
    <n v="0"/>
    <s v=""/>
    <n v="20.000000000003126"/>
  </r>
  <r>
    <x v="1021"/>
    <x v="119"/>
    <s v="Wednesday"/>
    <d v="1899-12-30T11:19:30"/>
    <s v="FUTURE"/>
    <s v="BUY"/>
    <n v="1"/>
    <s v="TO OPEN"/>
    <x v="11"/>
    <d v="2020-12-20T00:00:00"/>
    <m/>
    <s v="FUTURE"/>
    <n v="42.24"/>
    <n v="42.24"/>
    <s v="LMT"/>
    <n v="1"/>
    <n v="42240"/>
    <n v="42.24"/>
    <s v=""/>
  </r>
  <r>
    <x v="1021"/>
    <x v="119"/>
    <s v="Wednesday"/>
    <d v="1899-12-30T11:30:28"/>
    <s v="FUTURE"/>
    <s v="SELL"/>
    <n v="-1"/>
    <s v="TO CLOSE"/>
    <x v="11"/>
    <d v="2020-12-20T00:00:00"/>
    <m/>
    <s v="FUTURE"/>
    <n v="42.26"/>
    <n v="42.26"/>
    <s v="LMT"/>
    <n v="0"/>
    <n v="0"/>
    <s v=""/>
    <n v="19.999999999996021"/>
  </r>
  <r>
    <x v="1022"/>
    <x v="119"/>
    <s v="Wednesday"/>
    <d v="1899-12-30T11:55:24"/>
    <s v="FUTURE"/>
    <s v="BUY"/>
    <n v="1"/>
    <s v="TO OPEN"/>
    <x v="11"/>
    <d v="2020-12-20T00:00:00"/>
    <m/>
    <s v="FUTURE"/>
    <n v="42.23"/>
    <n v="42.23"/>
    <s v="MKT"/>
    <n v="1"/>
    <n v="42230"/>
    <n v="42.23"/>
    <s v=""/>
  </r>
  <r>
    <x v="1022"/>
    <x v="119"/>
    <s v="Wednesday"/>
    <d v="1899-12-30T12:09:09"/>
    <s v="FUTURE"/>
    <s v="SELL"/>
    <n v="-1"/>
    <s v="TO CLOSE"/>
    <x v="11"/>
    <d v="2020-12-20T00:00:00"/>
    <m/>
    <s v="FUTURE"/>
    <n v="42.24"/>
    <n v="42.24"/>
    <s v="LMT"/>
    <n v="0"/>
    <n v="0"/>
    <s v=""/>
    <n v="10.000000000005116"/>
  </r>
  <r>
    <x v="1023"/>
    <x v="119"/>
    <s v="Wednesday"/>
    <d v="1899-12-30T09:34:12"/>
    <s v="FUTURE"/>
    <s v="BUY"/>
    <n v="1"/>
    <s v="TO OPEN"/>
    <x v="12"/>
    <d v="2020-12-20T00:00:00"/>
    <m/>
    <s v="FUTURE"/>
    <n v="3560"/>
    <n v="3560"/>
    <s v="LMT"/>
    <n v="1"/>
    <n v="178000"/>
    <n v="3560"/>
    <s v=""/>
  </r>
  <r>
    <x v="1023"/>
    <x v="119"/>
    <s v="Wednesday"/>
    <d v="1899-12-30T09:44:24"/>
    <s v="FUTURE"/>
    <s v="SELL"/>
    <n v="-1"/>
    <s v="TO CLOSE"/>
    <x v="12"/>
    <d v="2020-12-20T00:00:00"/>
    <m/>
    <s v="FUTURE"/>
    <n v="3564"/>
    <n v="3564"/>
    <s v="MKT"/>
    <n v="0"/>
    <n v="0"/>
    <s v=""/>
    <n v="200"/>
  </r>
  <r>
    <x v="1024"/>
    <x v="120"/>
    <s v="Thursday"/>
    <d v="1899-12-30T10:43:30"/>
    <s v="FUTURE"/>
    <s v="SELL"/>
    <n v="-1"/>
    <s v="TO OPEN"/>
    <x v="11"/>
    <d v="2020-12-20T00:00:00"/>
    <m/>
    <s v="FUTURE"/>
    <n v="42.08"/>
    <n v="42.08"/>
    <s v="MKT"/>
    <n v="-1"/>
    <n v="-42080"/>
    <n v="42.08"/>
    <s v=""/>
  </r>
  <r>
    <x v="1024"/>
    <x v="120"/>
    <s v="Thursday"/>
    <d v="1899-12-30T11:00:00"/>
    <s v="FUTURE"/>
    <s v="BUY"/>
    <n v="1"/>
    <s v="TO CLOSE"/>
    <x v="11"/>
    <d v="2020-12-20T00:00:00"/>
    <m/>
    <s v="FUTURE"/>
    <n v="41.92"/>
    <n v="41.92"/>
    <s v="LMT"/>
    <n v="0"/>
    <n v="0"/>
    <s v=""/>
    <n v="159.99999999999659"/>
  </r>
  <r>
    <x v="1025"/>
    <x v="120"/>
    <s v="Thursday"/>
    <d v="1899-12-30T12:27:18"/>
    <s v="FUTURE"/>
    <s v="SELL"/>
    <n v="-1"/>
    <s v="TO OPEN"/>
    <x v="11"/>
    <d v="2020-12-20T00:00:00"/>
    <m/>
    <s v="FUTURE"/>
    <n v="42.07"/>
    <n v="42.07"/>
    <s v="LMT"/>
    <n v="-1"/>
    <n v="-42070"/>
    <n v="42.07"/>
    <s v=""/>
  </r>
  <r>
    <x v="1025"/>
    <x v="120"/>
    <s v="Thursday"/>
    <d v="1899-12-30T12:42:53"/>
    <s v="FUTURE"/>
    <s v="BUY"/>
    <n v="1"/>
    <s v="TO CLOSE"/>
    <x v="11"/>
    <d v="2020-12-20T00:00:00"/>
    <m/>
    <s v="FUTURE"/>
    <n v="41.89"/>
    <n v="41.89"/>
    <s v="LMT"/>
    <n v="0"/>
    <n v="0"/>
    <s v=""/>
    <n v="179.99999999999972"/>
  </r>
  <r>
    <x v="1026"/>
    <x v="120"/>
    <s v="Thursday"/>
    <d v="1899-12-30T09:58:22"/>
    <s v="FUTURE"/>
    <s v="BUY"/>
    <n v="1"/>
    <s v="TO OPEN"/>
    <x v="12"/>
    <d v="2020-12-20T00:00:00"/>
    <m/>
    <s v="FUTURE"/>
    <n v="3553.25"/>
    <n v="3553.25"/>
    <s v="LMT"/>
    <n v="1"/>
    <n v="177662.5"/>
    <n v="3553.25"/>
    <s v=""/>
  </r>
  <r>
    <x v="1026"/>
    <x v="120"/>
    <s v="Thursday"/>
    <d v="1899-12-30T10:12:22"/>
    <s v="FUTURE"/>
    <s v="SELL"/>
    <n v="-1"/>
    <s v="TO CLOSE"/>
    <x v="12"/>
    <d v="2020-12-20T00:00:00"/>
    <m/>
    <s v="FUTURE"/>
    <n v="3558.25"/>
    <n v="3558.25"/>
    <s v="LMT"/>
    <n v="0"/>
    <n v="0"/>
    <s v=""/>
    <n v="250"/>
  </r>
  <r>
    <x v="1027"/>
    <x v="121"/>
    <s v="Friday"/>
    <d v="1899-12-30T09:20:22"/>
    <s v="FUTURE"/>
    <s v="BUY"/>
    <n v="1"/>
    <s v="TO OPEN"/>
    <x v="11"/>
    <d v="2020-12-20T00:00:00"/>
    <m/>
    <s v="FUTURE"/>
    <n v="40.74"/>
    <n v="40.74"/>
    <s v="MKT"/>
    <n v="1"/>
    <n v="40740"/>
    <n v="40.74"/>
    <s v=""/>
  </r>
  <r>
    <x v="1027"/>
    <x v="121"/>
    <s v="Friday"/>
    <d v="1899-12-30T09:37:36"/>
    <s v="FUTURE"/>
    <s v="BUY"/>
    <n v="1"/>
    <s v="TO OPEN"/>
    <x v="11"/>
    <d v="2020-12-20T00:00:00"/>
    <m/>
    <s v="FUTURE"/>
    <n v="40.54"/>
    <n v="40.54"/>
    <s v="LMT"/>
    <n v="2"/>
    <n v="81280"/>
    <n v="40.64"/>
    <s v=""/>
  </r>
  <r>
    <x v="1027"/>
    <x v="121"/>
    <s v="Friday"/>
    <d v="1899-12-30T16:56:50"/>
    <s v="FUTURE"/>
    <s v="SELL"/>
    <n v="-1"/>
    <s v="TO CLOSE"/>
    <x v="11"/>
    <d v="2020-12-20T00:00:00"/>
    <m/>
    <s v="FUTURE"/>
    <n v="40.14"/>
    <n v="40.14"/>
    <s v="LMT"/>
    <n v="1"/>
    <n v="41140"/>
    <n v="41.14"/>
    <s v=""/>
  </r>
  <r>
    <x v="1027"/>
    <x v="121"/>
    <s v="Friday"/>
    <d v="1899-12-30T16:58:15"/>
    <s v="FUTURE"/>
    <s v="SELL"/>
    <n v="-1"/>
    <s v="TO CLOSE"/>
    <x v="11"/>
    <d v="2020-12-20T00:00:00"/>
    <m/>
    <s v="FUTURE"/>
    <n v="40.14"/>
    <n v="40.14"/>
    <s v="LMT"/>
    <n v="0"/>
    <n v="0"/>
    <s v=""/>
    <n v="-1000"/>
  </r>
  <r>
    <x v="1028"/>
    <x v="122"/>
    <s v="Monday"/>
    <d v="1899-12-30T09:38:44"/>
    <s v="FUTURE"/>
    <s v="SELL"/>
    <n v="-2"/>
    <s v="TO OPEN"/>
    <x v="11"/>
    <d v="2020-12-20T00:00:00"/>
    <m/>
    <s v="FUTURE"/>
    <n v="41.72"/>
    <n v="41.72"/>
    <s v="LMT"/>
    <n v="-2"/>
    <n v="-83440"/>
    <n v="41.72"/>
    <s v=""/>
  </r>
  <r>
    <x v="1028"/>
    <x v="122"/>
    <s v="Monday"/>
    <d v="1899-12-30T09:40:58"/>
    <s v="FUTURE"/>
    <s v="BUY"/>
    <n v="1"/>
    <s v="TO CLOSE"/>
    <x v="11"/>
    <d v="2020-12-20T00:00:00"/>
    <m/>
    <s v="FUTURE"/>
    <n v="41.61"/>
    <n v="41.61"/>
    <s v="STP"/>
    <n v="-1"/>
    <n v="-41830"/>
    <n v="41.83"/>
    <s v=""/>
  </r>
  <r>
    <x v="1028"/>
    <x v="122"/>
    <s v="Monday"/>
    <d v="1899-12-30T09:46:37"/>
    <s v="FUTURE"/>
    <s v="BUY"/>
    <n v="1"/>
    <s v="TO CLOSE"/>
    <x v="11"/>
    <d v="2020-12-20T00:00:00"/>
    <m/>
    <s v="FUTURE"/>
    <n v="41.55"/>
    <n v="41.55"/>
    <s v="LMT"/>
    <n v="0"/>
    <n v="0"/>
    <s v=""/>
    <n v="280.00000000000114"/>
  </r>
  <r>
    <x v="1029"/>
    <x v="122"/>
    <s v="Monday"/>
    <d v="1899-12-30T09:50:56"/>
    <s v="FUTURE"/>
    <s v="BUY"/>
    <n v="1"/>
    <s v="TO OPEN"/>
    <x v="11"/>
    <d v="2020-12-20T00:00:00"/>
    <m/>
    <s v="FUTURE"/>
    <n v="41.46"/>
    <n v="41.46"/>
    <s v="MKT"/>
    <n v="1"/>
    <n v="41460"/>
    <n v="41.46"/>
    <s v=""/>
  </r>
  <r>
    <x v="1029"/>
    <x v="122"/>
    <s v="Monday"/>
    <d v="1899-12-30T09:55:06"/>
    <s v="FUTURE"/>
    <s v="BUY"/>
    <n v="1"/>
    <s v="TO OPEN"/>
    <x v="11"/>
    <d v="2020-12-20T00:00:00"/>
    <m/>
    <s v="FUTURE"/>
    <n v="41.26"/>
    <n v="41.26"/>
    <s v="LMT"/>
    <n v="2"/>
    <n v="82720"/>
    <n v="41.36"/>
    <s v=""/>
  </r>
  <r>
    <x v="1029"/>
    <x v="122"/>
    <s v="Monday"/>
    <d v="1899-12-30T09:58:49"/>
    <s v="FUTURE"/>
    <s v="SELL"/>
    <n v="-1"/>
    <s v="TO CLOSE"/>
    <x v="11"/>
    <d v="2020-12-20T00:00:00"/>
    <m/>
    <s v="FUTURE"/>
    <n v="41.42"/>
    <n v="41.42"/>
    <s v="LMT"/>
    <n v="1"/>
    <n v="41300"/>
    <n v="41.3"/>
    <s v=""/>
  </r>
  <r>
    <x v="1029"/>
    <x v="122"/>
    <s v="Monday"/>
    <d v="1899-12-30T10:04:31"/>
    <s v="FUTURE"/>
    <s v="SELL"/>
    <n v="-1"/>
    <s v="TO CLOSE"/>
    <x v="11"/>
    <d v="2020-12-20T00:00:00"/>
    <m/>
    <s v="FUTURE"/>
    <n v="41.54"/>
    <n v="41.54"/>
    <s v="LMT"/>
    <n v="0"/>
    <n v="0"/>
    <s v=""/>
    <n v="240.00000000000199"/>
  </r>
  <r>
    <x v="1030"/>
    <x v="122"/>
    <s v="Monday"/>
    <d v="1899-12-30T10:49:28"/>
    <s v="FUTURE"/>
    <s v="SELL"/>
    <n v="-1"/>
    <s v="TO OPEN"/>
    <x v="11"/>
    <d v="2020-12-20T00:00:00"/>
    <m/>
    <s v="FUTURE"/>
    <n v="41.65"/>
    <n v="41.65"/>
    <s v="MKT"/>
    <n v="-1"/>
    <n v="-41650"/>
    <n v="41.65"/>
    <s v=""/>
  </r>
  <r>
    <x v="1030"/>
    <x v="122"/>
    <s v="Monday"/>
    <d v="1899-12-30T11:12:26"/>
    <s v="FUTURE"/>
    <s v="BUY"/>
    <n v="1"/>
    <s v="TO CLOSE"/>
    <x v="11"/>
    <d v="2020-12-20T00:00:00"/>
    <m/>
    <s v="FUTURE"/>
    <n v="41.52"/>
    <n v="41.52"/>
    <s v="MKT"/>
    <n v="0"/>
    <n v="0"/>
    <s v=""/>
    <n v="129.99999999999545"/>
  </r>
  <r>
    <x v="1031"/>
    <x v="122"/>
    <s v="Monday"/>
    <d v="1899-12-30T11:25:00"/>
    <s v="FUTURE"/>
    <s v="SELL"/>
    <n v="-1"/>
    <s v="TO OPEN"/>
    <x v="12"/>
    <d v="2020-12-20T00:00:00"/>
    <m/>
    <s v="FUTURE"/>
    <n v="3621.75"/>
    <n v="3621.75"/>
    <s v="LMT"/>
    <n v="-1"/>
    <n v="-181087.5"/>
    <n v="3621.75"/>
    <s v=""/>
  </r>
  <r>
    <x v="1031"/>
    <x v="122"/>
    <s v="Monday"/>
    <d v="1899-12-30T11:31:01"/>
    <s v="FUTURE"/>
    <s v="BUY"/>
    <n v="1"/>
    <s v="TO CLOSE"/>
    <x v="12"/>
    <d v="2020-12-20T00:00:00"/>
    <m/>
    <s v="FUTURE"/>
    <n v="3619.75"/>
    <n v="3619.75"/>
    <s v="LMT"/>
    <n v="0"/>
    <n v="0"/>
    <s v=""/>
    <n v="100"/>
  </r>
  <r>
    <x v="1032"/>
    <x v="123"/>
    <s v="Tuesday"/>
    <d v="1899-12-30T10:29:07"/>
    <s v="FUTURE"/>
    <s v="SELL"/>
    <n v="-1"/>
    <s v="TO OPEN"/>
    <x v="11"/>
    <d v="2020-12-20T00:00:00"/>
    <m/>
    <s v="FUTURE"/>
    <n v="41.18"/>
    <n v="41.18"/>
    <s v="LMT"/>
    <n v="-1"/>
    <n v="-41180"/>
    <n v="41.18"/>
    <s v=""/>
  </r>
  <r>
    <x v="1032"/>
    <x v="123"/>
    <s v="Tuesday"/>
    <d v="1899-12-30T10:35:31"/>
    <s v="FUTURE"/>
    <s v="BUY"/>
    <n v="1"/>
    <s v="TO CLOSE"/>
    <x v="11"/>
    <d v="2020-12-20T00:00:00"/>
    <m/>
    <s v="FUTURE"/>
    <n v="41.08"/>
    <n v="41.08"/>
    <s v="LMT"/>
    <n v="0"/>
    <n v="0"/>
    <s v=""/>
    <n v="100.00000000000142"/>
  </r>
  <r>
    <x v="1033"/>
    <x v="123"/>
    <s v="Tuesday"/>
    <d v="1899-12-30T09:33:11"/>
    <s v="FUTURE"/>
    <s v="BUY"/>
    <n v="1"/>
    <s v="TO OPEN"/>
    <x v="12"/>
    <d v="2020-12-20T00:00:00"/>
    <m/>
    <s v="FUTURE"/>
    <n v="3601.25"/>
    <n v="3601.25"/>
    <s v="LMT"/>
    <n v="1"/>
    <n v="180062.5"/>
    <n v="3601.25"/>
    <s v=""/>
  </r>
  <r>
    <x v="1033"/>
    <x v="123"/>
    <s v="Tuesday"/>
    <d v="1899-12-30T10:27:50"/>
    <s v="FUTURE"/>
    <s v="SELL"/>
    <n v="-1"/>
    <s v="TO CLOSE"/>
    <x v="12"/>
    <d v="2020-12-20T00:00:00"/>
    <m/>
    <s v="FUTURE"/>
    <n v="3596.25"/>
    <n v="3596.25"/>
    <s v="LMT"/>
    <n v="0"/>
    <n v="0"/>
    <s v=""/>
    <n v="-250"/>
  </r>
  <r>
    <x v="1034"/>
    <x v="123"/>
    <s v="Tuesday"/>
    <d v="1899-12-30T10:42:19"/>
    <s v="FUTURE"/>
    <s v="SELL"/>
    <n v="-1"/>
    <s v="TO OPEN"/>
    <x v="12"/>
    <d v="2020-12-20T00:00:00"/>
    <m/>
    <s v="FUTURE"/>
    <n v="3599.5"/>
    <n v="3599.5"/>
    <s v="MKT"/>
    <n v="-1"/>
    <n v="-179975"/>
    <n v="3599.5"/>
    <s v=""/>
  </r>
  <r>
    <x v="1034"/>
    <x v="123"/>
    <s v="Tuesday"/>
    <d v="1899-12-30T15:35:56"/>
    <s v="FUTURE"/>
    <s v="BUY"/>
    <n v="1"/>
    <s v="TO CLOSE"/>
    <x v="12"/>
    <d v="2020-12-20T00:00:00"/>
    <m/>
    <s v="FUTURE"/>
    <n v="3603.5"/>
    <n v="3603.5"/>
    <s v="LMT"/>
    <n v="0"/>
    <n v="0"/>
    <s v=""/>
    <n v="-200"/>
  </r>
  <r>
    <x v="1035"/>
    <x v="123"/>
    <s v="Tuesday"/>
    <d v="1899-12-30T15:38:25"/>
    <s v="FUTURE"/>
    <s v="SELL"/>
    <n v="-1"/>
    <s v="TO OPEN"/>
    <x v="12"/>
    <d v="2020-12-20T00:00:00"/>
    <m/>
    <s v="FUTURE"/>
    <n v="3606.5"/>
    <n v="3606.5"/>
    <s v="LMT"/>
    <n v="-1"/>
    <n v="-180325"/>
    <n v="3606.5"/>
    <s v=""/>
  </r>
  <r>
    <x v="1035"/>
    <x v="123"/>
    <s v="Tuesday"/>
    <d v="1899-12-30T15:39:35"/>
    <s v="FUTURE"/>
    <s v="BUY"/>
    <n v="1"/>
    <s v="TO CLOSE"/>
    <x v="12"/>
    <d v="2020-12-20T00:00:00"/>
    <m/>
    <s v="FUTURE"/>
    <n v="3605.5"/>
    <n v="3605.5"/>
    <s v="STP"/>
    <n v="0"/>
    <n v="0"/>
    <s v=""/>
    <n v="50"/>
  </r>
  <r>
    <x v="1036"/>
    <x v="123"/>
    <s v="Tuesday"/>
    <d v="1899-12-30T11:21:40"/>
    <s v="STOCK"/>
    <s v="BUY"/>
    <n v="300"/>
    <s v="TO OPEN"/>
    <x v="2"/>
    <m/>
    <m/>
    <s v="STOCK"/>
    <n v="18.594999999999999"/>
    <n v="18.594999999999999"/>
    <s v="LMT"/>
    <n v="300"/>
    <n v="5578.5"/>
    <n v="18.594999999999999"/>
    <s v=""/>
  </r>
  <r>
    <x v="1036"/>
    <x v="123"/>
    <s v="Tuesday"/>
    <d v="1899-12-30T11:22:50"/>
    <s v="STOCK"/>
    <s v="SELL"/>
    <n v="-300"/>
    <s v="TO CLOSE"/>
    <x v="2"/>
    <m/>
    <m/>
    <s v="STOCK"/>
    <n v="18.61"/>
    <n v="18.61"/>
    <s v="LMT"/>
    <n v="0"/>
    <n v="0"/>
    <s v=""/>
    <n v="4.5000000000001705"/>
  </r>
  <r>
    <x v="1037"/>
    <x v="124"/>
    <s v="Wednesday"/>
    <d v="1899-12-30T09:52:36"/>
    <s v="FUTURE"/>
    <s v="SELL"/>
    <n v="-2"/>
    <s v="TO OPEN"/>
    <x v="13"/>
    <d v="2020-01-21T00:00:00"/>
    <m/>
    <s v="FUTURE"/>
    <n v="42.14"/>
    <n v="42.14"/>
    <s v="MKT"/>
    <n v="-2"/>
    <n v="-84280"/>
    <n v="42.14"/>
    <s v=""/>
  </r>
  <r>
    <x v="1037"/>
    <x v="124"/>
    <s v="Wednesday"/>
    <d v="1899-12-30T09:55:30"/>
    <s v="FUTURE"/>
    <s v="BUY"/>
    <n v="1"/>
    <s v="TO CLOSE"/>
    <x v="13"/>
    <d v="2020-01-21T00:00:00"/>
    <m/>
    <s v="FUTURE"/>
    <n v="42.05"/>
    <n v="42.05"/>
    <s v="LMT"/>
    <n v="-1"/>
    <n v="-42230"/>
    <n v="42.23"/>
    <s v=""/>
  </r>
  <r>
    <x v="1037"/>
    <x v="124"/>
    <s v="Wednesday"/>
    <d v="1899-12-30T09:57:23"/>
    <s v="FUTURE"/>
    <s v="BUY"/>
    <n v="1"/>
    <s v="TO CLOSE"/>
    <x v="13"/>
    <d v="2020-01-21T00:00:00"/>
    <m/>
    <s v="FUTURE"/>
    <n v="42.1"/>
    <n v="42.1"/>
    <s v="MKT"/>
    <n v="0"/>
    <n v="0"/>
    <s v=""/>
    <n v="129.99999999999545"/>
  </r>
  <r>
    <x v="1038"/>
    <x v="124"/>
    <s v="Wednesday"/>
    <d v="1899-12-30T10:26:30"/>
    <s v="FUTURE"/>
    <s v="SELL"/>
    <n v="-1"/>
    <s v="TO OPEN"/>
    <x v="13"/>
    <d v="2020-01-21T00:00:00"/>
    <m/>
    <s v="FUTURE"/>
    <n v="42.1"/>
    <n v="42.1"/>
    <s v="LMT"/>
    <n v="-1"/>
    <n v="-42100"/>
    <n v="42.1"/>
    <s v=""/>
  </r>
  <r>
    <x v="1038"/>
    <x v="124"/>
    <s v="Wednesday"/>
    <d v="1899-12-30T10:32:44"/>
    <s v="FUTURE"/>
    <s v="SELL"/>
    <n v="-1"/>
    <s v="TO OPEN"/>
    <x v="13"/>
    <d v="2020-01-21T00:00:00"/>
    <m/>
    <s v="FUTURE"/>
    <n v="42"/>
    <n v="42"/>
    <s v="STP"/>
    <n v="-2"/>
    <n v="-84100"/>
    <n v="42.05"/>
    <s v=""/>
  </r>
  <r>
    <x v="1038"/>
    <x v="124"/>
    <s v="Wednesday"/>
    <d v="1899-12-30T10:33:41"/>
    <s v="FUTURE"/>
    <s v="BUY"/>
    <n v="1"/>
    <s v="TO CLOSE"/>
    <x v="13"/>
    <d v="2020-01-21T00:00:00"/>
    <m/>
    <s v="FUTURE"/>
    <n v="41.99"/>
    <n v="41.99"/>
    <s v="LMT"/>
    <n v="-1"/>
    <n v="-42110"/>
    <n v="42.11"/>
    <s v=""/>
  </r>
  <r>
    <x v="1038"/>
    <x v="124"/>
    <s v="Wednesday"/>
    <d v="1899-12-30T10:34:55"/>
    <s v="FUTURE"/>
    <s v="BUY"/>
    <n v="1"/>
    <s v="TO CLOSE"/>
    <x v="13"/>
    <d v="2020-01-21T00:00:00"/>
    <m/>
    <s v="FUTURE"/>
    <n v="42.04"/>
    <n v="42.04"/>
    <s v="STP"/>
    <n v="0"/>
    <n v="0"/>
    <s v=""/>
    <n v="70.000000000000284"/>
  </r>
  <r>
    <x v="1039"/>
    <x v="124"/>
    <s v="Wednesday"/>
    <d v="1899-12-30T11:07:50"/>
    <s v="FUTURE"/>
    <s v="BUY"/>
    <n v="1"/>
    <s v="TO OPEN"/>
    <x v="13"/>
    <d v="2020-01-21T00:00:00"/>
    <m/>
    <s v="FUTURE"/>
    <n v="42.22"/>
    <n v="42.22"/>
    <s v="MKT"/>
    <n v="1"/>
    <n v="42220"/>
    <n v="42.22"/>
    <s v=""/>
  </r>
  <r>
    <x v="1039"/>
    <x v="124"/>
    <s v="Wednesday"/>
    <d v="1899-12-30T11:14:09"/>
    <s v="FUTURE"/>
    <s v="BUY"/>
    <n v="1"/>
    <s v="TO OPEN"/>
    <x v="13"/>
    <d v="2020-01-21T00:00:00"/>
    <m/>
    <s v="FUTURE"/>
    <n v="42.1"/>
    <n v="42.1"/>
    <s v="LMT"/>
    <n v="2"/>
    <n v="84320"/>
    <n v="42.16"/>
    <s v=""/>
  </r>
  <r>
    <x v="1039"/>
    <x v="124"/>
    <s v="Wednesday"/>
    <d v="1899-12-30T11:35:52"/>
    <s v="FUTURE"/>
    <s v="SELL"/>
    <n v="-1"/>
    <s v="TO CLOSE"/>
    <x v="13"/>
    <d v="2020-01-21T00:00:00"/>
    <m/>
    <s v="FUTURE"/>
    <n v="42.17"/>
    <n v="42.17"/>
    <s v="LMT"/>
    <n v="1"/>
    <n v="42150"/>
    <n v="42.15"/>
    <s v=""/>
  </r>
  <r>
    <x v="1039"/>
    <x v="124"/>
    <s v="Wednesday"/>
    <d v="1899-12-30T11:38:16"/>
    <s v="FUTURE"/>
    <s v="SELL"/>
    <n v="-1"/>
    <s v="TO CLOSE"/>
    <x v="13"/>
    <d v="2020-01-21T00:00:00"/>
    <m/>
    <s v="FUTURE"/>
    <n v="42.26"/>
    <n v="42.26"/>
    <s v="LMT"/>
    <n v="0"/>
    <n v="0"/>
    <s v=""/>
    <n v="109.99999999999943"/>
  </r>
  <r>
    <x v="1040"/>
    <x v="124"/>
    <s v="Wednesday"/>
    <d v="1899-12-30T09:14:12"/>
    <s v="FUTURE"/>
    <s v="SELL"/>
    <n v="-1"/>
    <s v="TO OPEN"/>
    <x v="12"/>
    <d v="2020-12-20T00:00:00"/>
    <m/>
    <s v="FUTURE"/>
    <n v="3611.5"/>
    <n v="3611.5"/>
    <s v="LMT"/>
    <n v="-1"/>
    <n v="-180575"/>
    <n v="3611.5"/>
    <s v=""/>
  </r>
  <r>
    <x v="1040"/>
    <x v="124"/>
    <s v="Wednesday"/>
    <d v="1899-12-30T09:19:52"/>
    <s v="FUTURE"/>
    <s v="BUY"/>
    <n v="1"/>
    <s v="TO CLOSE"/>
    <x v="12"/>
    <d v="2020-12-20T00:00:00"/>
    <m/>
    <s v="FUTURE"/>
    <n v="3609.5"/>
    <n v="3609.5"/>
    <s v="LMT"/>
    <n v="0"/>
    <n v="0"/>
    <s v=""/>
    <n v="100"/>
  </r>
  <r>
    <x v="1041"/>
    <x v="124"/>
    <s v="Wednesday"/>
    <d v="1899-12-30T11:43:21"/>
    <s v="FUTURE"/>
    <s v="SELL"/>
    <n v="-1"/>
    <s v="TO OPEN"/>
    <x v="12"/>
    <d v="2020-12-20T00:00:00"/>
    <m/>
    <s v="FUTURE"/>
    <n v="3611.5"/>
    <n v="3611.5"/>
    <s v="LMT"/>
    <n v="-1"/>
    <n v="-180575"/>
    <n v="3611.5"/>
    <s v=""/>
  </r>
  <r>
    <x v="1041"/>
    <x v="124"/>
    <s v="Wednesday"/>
    <d v="1899-12-30T11:45:14"/>
    <s v="FUTURE"/>
    <s v="BUY"/>
    <n v="1"/>
    <s v="TO CLOSE"/>
    <x v="12"/>
    <d v="2020-12-20T00:00:00"/>
    <m/>
    <s v="FUTURE"/>
    <n v="3611.25"/>
    <n v="3611.25"/>
    <s v="STP"/>
    <n v="0"/>
    <n v="0"/>
    <s v=""/>
    <n v="12.5"/>
  </r>
  <r>
    <x v="1042"/>
    <x v="124"/>
    <s v="Wednesday"/>
    <d v="1899-12-30T09:12:19"/>
    <s v="STOCK"/>
    <s v="BUY"/>
    <n v="246"/>
    <s v="TO OPEN"/>
    <x v="2"/>
    <m/>
    <m/>
    <s v="STOCK"/>
    <n v="18.09"/>
    <n v="18.09"/>
    <s v="LMT"/>
    <n v="246"/>
    <n v="4450.1400000000003"/>
    <n v="18.09"/>
    <s v=""/>
  </r>
  <r>
    <x v="1042"/>
    <x v="124"/>
    <s v="Wednesday"/>
    <d v="1899-12-30T09:12:19"/>
    <s v="STOCK"/>
    <s v="BUY"/>
    <n v="54"/>
    <s v="TO OPEN"/>
    <x v="2"/>
    <m/>
    <m/>
    <s v="STOCK"/>
    <n v="18.09"/>
    <n v="18.09"/>
    <s v="LMT"/>
    <n v="300"/>
    <n v="5427"/>
    <n v="18.09"/>
    <s v=""/>
  </r>
  <r>
    <x v="1042"/>
    <x v="124"/>
    <s v="Wednesday"/>
    <d v="1899-12-30T09:51:04"/>
    <s v="STOCK"/>
    <s v="SELL"/>
    <n v="-50"/>
    <s v="TO CLOSE"/>
    <x v="2"/>
    <m/>
    <m/>
    <s v="STOCK"/>
    <n v="18.225000000000001"/>
    <n v="18.225000000000001"/>
    <s v="MKT"/>
    <n v="250"/>
    <n v="4515.75"/>
    <n v="18.062999999999999"/>
    <s v=""/>
  </r>
  <r>
    <x v="1042"/>
    <x v="124"/>
    <s v="Wednesday"/>
    <d v="1899-12-30T09:52:36"/>
    <s v="STOCK"/>
    <s v="SELL"/>
    <n v="-50"/>
    <s v="TO CLOSE"/>
    <x v="2"/>
    <m/>
    <m/>
    <s v="STOCK"/>
    <n v="18.29"/>
    <n v="18.29"/>
    <s v="LMT"/>
    <n v="200"/>
    <n v="3601.25"/>
    <n v="18.006250000000001"/>
    <s v=""/>
  </r>
  <r>
    <x v="1042"/>
    <x v="124"/>
    <s v="Wednesday"/>
    <d v="1899-12-30T09:54:33"/>
    <s v="STOCK"/>
    <s v="SELL"/>
    <n v="-50"/>
    <s v="TO CLOSE"/>
    <x v="2"/>
    <m/>
    <m/>
    <s v="STOCK"/>
    <n v="18.321899999999999"/>
    <n v="18.321999999999999"/>
    <s v="LMT"/>
    <n v="150"/>
    <n v="2685.1549999999997"/>
    <n v="17.901033333333331"/>
    <s v=""/>
  </r>
  <r>
    <x v="1042"/>
    <x v="124"/>
    <s v="Wednesday"/>
    <d v="1899-12-30T09:58:17"/>
    <s v="STOCK"/>
    <s v="SELL"/>
    <n v="-50"/>
    <s v="TO CLOSE"/>
    <x v="2"/>
    <m/>
    <m/>
    <s v="STOCK"/>
    <n v="18.310099999999998"/>
    <n v="18.309999999999999"/>
    <s v="LMT"/>
    <n v="100"/>
    <n v="1769.6499999999999"/>
    <n v="17.6965"/>
    <s v=""/>
  </r>
  <r>
    <x v="1042"/>
    <x v="124"/>
    <s v="Wednesday"/>
    <d v="1899-12-30T09:59:56"/>
    <s v="STOCK"/>
    <s v="SELL"/>
    <n v="-100"/>
    <s v="TO CLOSE"/>
    <x v="2"/>
    <m/>
    <m/>
    <s v="STOCK"/>
    <n v="18.210100000000001"/>
    <n v="18.210100000000001"/>
    <s v="STP"/>
    <n v="0"/>
    <n v="0"/>
    <s v=""/>
    <n v="51.360000000000028"/>
  </r>
  <r>
    <x v="1043"/>
    <x v="124"/>
    <s v="Wednesday"/>
    <d v="1899-12-30T10:38:41"/>
    <s v="STOCK"/>
    <s v="BUY"/>
    <n v="200"/>
    <s v="TO OPEN"/>
    <x v="2"/>
    <m/>
    <m/>
    <s v="STOCK"/>
    <n v="18.1799"/>
    <n v="18.1799"/>
    <s v="LMT"/>
    <n v="200"/>
    <n v="3635.98"/>
    <n v="18.1799"/>
    <s v=""/>
  </r>
  <r>
    <x v="1043"/>
    <x v="124"/>
    <s v="Wednesday"/>
    <d v="1899-12-30T11:57:37"/>
    <s v="STOCK"/>
    <s v="SELL"/>
    <n v="-200"/>
    <s v="TO CLOSE"/>
    <x v="2"/>
    <m/>
    <m/>
    <s v="STOCK"/>
    <n v="18.071899999999999"/>
    <n v="18.071899999999999"/>
    <s v="MKT"/>
    <n v="0"/>
    <n v="0"/>
    <s v=""/>
    <n v="-21.600000000000108"/>
  </r>
  <r>
    <x v="1044"/>
    <x v="125"/>
    <s v="Thursday"/>
    <d v="1899-12-30T10:06:22"/>
    <s v="FUTURE"/>
    <s v="BUY"/>
    <n v="1"/>
    <s v="TO OPEN"/>
    <x v="12"/>
    <d v="2020-12-20T00:00:00"/>
    <m/>
    <s v="FUTURE"/>
    <n v="3561.25"/>
    <n v="3561.25"/>
    <s v="MKT"/>
    <n v="1"/>
    <n v="178062.5"/>
    <n v="3561.25"/>
    <s v=""/>
  </r>
  <r>
    <x v="1044"/>
    <x v="125"/>
    <s v="Thursday"/>
    <d v="1899-12-30T10:45:37"/>
    <s v="FUTURE"/>
    <s v="SELL"/>
    <n v="-1"/>
    <s v="TO CLOSE"/>
    <x v="12"/>
    <d v="2020-12-20T00:00:00"/>
    <m/>
    <s v="FUTURE"/>
    <n v="3565.25"/>
    <n v="3565.25"/>
    <s v="LMT"/>
    <n v="0"/>
    <n v="0"/>
    <s v=""/>
    <n v="200"/>
  </r>
  <r>
    <x v="1045"/>
    <x v="125"/>
    <s v="Thursday"/>
    <d v="1899-12-30T09:45:02"/>
    <s v="STOCK"/>
    <s v="SELL"/>
    <n v="-400"/>
    <s v="TO OPEN"/>
    <x v="2"/>
    <m/>
    <m/>
    <s v="STOCK"/>
    <n v="18.811900000000001"/>
    <n v="18.811900000000001"/>
    <s v="MKT"/>
    <n v="-400"/>
    <n v="-7524.76"/>
    <n v="18.811900000000001"/>
    <s v=""/>
  </r>
  <r>
    <x v="1045"/>
    <x v="125"/>
    <s v="Thursday"/>
    <d v="1899-12-30T09:50:02"/>
    <s v="STOCK"/>
    <s v="BUY"/>
    <n v="100"/>
    <s v="TO CLOSE"/>
    <x v="2"/>
    <m/>
    <m/>
    <s v="STOCK"/>
    <n v="18.690000000000001"/>
    <n v="18.690000000000001"/>
    <s v="LMT"/>
    <n v="-300"/>
    <n v="-5655.76"/>
    <n v="18.852533333333334"/>
    <s v=""/>
  </r>
  <r>
    <x v="1045"/>
    <x v="125"/>
    <s v="Thursday"/>
    <d v="1899-12-30T10:47:25"/>
    <s v="STOCK"/>
    <s v="BUY"/>
    <n v="100"/>
    <s v="TO CLOSE"/>
    <x v="2"/>
    <m/>
    <m/>
    <s v="STOCK"/>
    <n v="18.745000000000001"/>
    <n v="18.745000000000001"/>
    <s v="LMT"/>
    <n v="-200"/>
    <n v="-3781.26"/>
    <n v="18.906300000000002"/>
    <s v=""/>
  </r>
  <r>
    <x v="1045"/>
    <x v="125"/>
    <s v="Thursday"/>
    <d v="1899-12-30T10:52:02"/>
    <s v="STOCK"/>
    <s v="BUY"/>
    <n v="200"/>
    <s v="TO CLOSE"/>
    <x v="2"/>
    <m/>
    <m/>
    <s v="STOCK"/>
    <n v="18.8"/>
    <n v="18.8"/>
    <s v="STP"/>
    <n v="0"/>
    <n v="0"/>
    <s v=""/>
    <n v="21.26000000000019"/>
  </r>
  <r>
    <x v="1046"/>
    <x v="126"/>
    <s v="Friday"/>
    <d v="1899-12-30T10:17:29"/>
    <s v="FUTURE"/>
    <s v="SELL"/>
    <n v="-1"/>
    <s v="TO OPEN"/>
    <x v="12"/>
    <d v="2020-12-20T00:00:00"/>
    <m/>
    <s v="FUTURE"/>
    <n v="3563.5"/>
    <n v="3563.5"/>
    <s v="LMT"/>
    <n v="-1"/>
    <n v="-178175"/>
    <n v="3563.5"/>
    <s v=""/>
  </r>
  <r>
    <x v="1046"/>
    <x v="126"/>
    <s v="Friday"/>
    <d v="1899-12-30T10:37:02"/>
    <s v="FUTURE"/>
    <s v="BUY"/>
    <n v="1"/>
    <s v="TO CLOSE"/>
    <x v="12"/>
    <d v="2020-12-20T00:00:00"/>
    <m/>
    <s v="FUTURE"/>
    <n v="3568.5"/>
    <n v="3568.5"/>
    <s v="STP"/>
    <n v="0"/>
    <n v="0"/>
    <s v=""/>
    <n v="-250"/>
  </r>
  <r>
    <x v="1047"/>
    <x v="126"/>
    <s v="Friday"/>
    <d v="1899-12-30T10:38:00"/>
    <s v="FUTURE"/>
    <s v="BUY"/>
    <n v="1"/>
    <s v="TO OPEN"/>
    <x v="12"/>
    <d v="2020-12-20T00:00:00"/>
    <m/>
    <s v="FUTURE"/>
    <n v="3569.75"/>
    <n v="3569.75"/>
    <s v="LMT"/>
    <n v="1"/>
    <n v="178487.5"/>
    <n v="3569.75"/>
    <s v=""/>
  </r>
  <r>
    <x v="1047"/>
    <x v="126"/>
    <s v="Friday"/>
    <d v="1899-12-30T11:08:06"/>
    <s v="FUTURE"/>
    <s v="SELL"/>
    <n v="-1"/>
    <s v="TO CLOSE"/>
    <x v="12"/>
    <d v="2020-12-20T00:00:00"/>
    <m/>
    <s v="FUTURE"/>
    <n v="3570"/>
    <n v="3570"/>
    <s v="STP"/>
    <n v="0"/>
    <n v="0"/>
    <s v=""/>
    <n v="12.5"/>
  </r>
  <r>
    <x v="1048"/>
    <x v="126"/>
    <s v="Friday"/>
    <d v="1899-12-30T11:46:12"/>
    <s v="FUTURE"/>
    <s v="SELL"/>
    <n v="-1"/>
    <s v="TO OPEN"/>
    <x v="12"/>
    <d v="2020-12-20T00:00:00"/>
    <m/>
    <s v="FUTURE"/>
    <n v="3572.75"/>
    <n v="3572.75"/>
    <s v="LMT"/>
    <n v="-1"/>
    <n v="-178637.5"/>
    <n v="3572.75"/>
    <s v=""/>
  </r>
  <r>
    <x v="1048"/>
    <x v="126"/>
    <s v="Friday"/>
    <d v="1899-12-30T11:48:22"/>
    <s v="FUTURE"/>
    <s v="BUY"/>
    <n v="1"/>
    <s v="TO CLOSE"/>
    <x v="12"/>
    <d v="2020-12-20T00:00:00"/>
    <m/>
    <s v="FUTURE"/>
    <n v="3568.75"/>
    <n v="3568.75"/>
    <s v="LMT"/>
    <n v="0"/>
    <n v="0"/>
    <s v=""/>
    <n v="200"/>
  </r>
  <r>
    <x v="1049"/>
    <x v="126"/>
    <s v="Friday"/>
    <d v="1899-12-30T11:49:55"/>
    <s v="FUTURE"/>
    <s v="SELL"/>
    <n v="-1"/>
    <s v="TO OPEN"/>
    <x v="12"/>
    <d v="2020-12-20T00:00:00"/>
    <m/>
    <s v="FUTURE"/>
    <n v="3565.5"/>
    <n v="3565.5"/>
    <s v="MKT"/>
    <n v="-1"/>
    <n v="-178275"/>
    <n v="3565.5"/>
    <s v=""/>
  </r>
  <r>
    <x v="1049"/>
    <x v="126"/>
    <s v="Friday"/>
    <d v="1899-12-30T12:02:49"/>
    <s v="FUTURE"/>
    <s v="BUY"/>
    <n v="1"/>
    <s v="TO CLOSE"/>
    <x v="12"/>
    <d v="2020-12-20T00:00:00"/>
    <m/>
    <s v="FUTURE"/>
    <n v="3570.5"/>
    <n v="3570.5"/>
    <s v="STP"/>
    <n v="0"/>
    <n v="0"/>
    <s v=""/>
    <n v="-250"/>
  </r>
  <r>
    <x v="1050"/>
    <x v="126"/>
    <s v="Friday"/>
    <d v="1899-12-30T12:03:52"/>
    <s v="FUTURE"/>
    <s v="SELL"/>
    <n v="-1"/>
    <s v="TO OPEN"/>
    <x v="12"/>
    <d v="2020-12-20T00:00:00"/>
    <m/>
    <s v="FUTURE"/>
    <n v="3569.25"/>
    <n v="3569.25"/>
    <s v="MKT"/>
    <n v="-1"/>
    <n v="-178462.5"/>
    <n v="3569.25"/>
    <s v=""/>
  </r>
  <r>
    <x v="1050"/>
    <x v="126"/>
    <s v="Friday"/>
    <d v="1899-12-30T12:13:56"/>
    <s v="FUTURE"/>
    <s v="BUY"/>
    <n v="1"/>
    <s v="TO CLOSE"/>
    <x v="12"/>
    <d v="2020-12-20T00:00:00"/>
    <m/>
    <s v="FUTURE"/>
    <n v="3569"/>
    <n v="3569"/>
    <s v="LMT"/>
    <n v="0"/>
    <n v="0"/>
    <s v=""/>
    <n v="12.5"/>
  </r>
  <r>
    <x v="1051"/>
    <x v="126"/>
    <s v="Friday"/>
    <d v="1899-12-30T12:17:41"/>
    <s v="FUTURE"/>
    <s v="SELL"/>
    <n v="-1"/>
    <s v="TO OPEN"/>
    <x v="12"/>
    <d v="2020-12-20T00:00:00"/>
    <m/>
    <s v="FUTURE"/>
    <n v="3567.5"/>
    <n v="3567.5"/>
    <s v="LMT"/>
    <n v="-1"/>
    <n v="-178375"/>
    <n v="3567.5"/>
    <s v=""/>
  </r>
  <r>
    <x v="1051"/>
    <x v="126"/>
    <s v="Friday"/>
    <d v="1899-12-30T12:25:19"/>
    <s v="FUTURE"/>
    <s v="BUY"/>
    <n v="2"/>
    <s v="TO CLOSE"/>
    <x v="12"/>
    <d v="2020-12-20T00:00:00"/>
    <m/>
    <s v="FUTURE"/>
    <n v="3568.5"/>
    <n v="3568.5"/>
    <s v="MKT"/>
    <n v="1"/>
    <n v="178475"/>
    <n v="3569.5"/>
    <s v=""/>
  </r>
  <r>
    <x v="1051"/>
    <x v="126"/>
    <s v="Friday"/>
    <d v="1899-12-30T12:41:02"/>
    <s v="FUTURE"/>
    <s v="SELL"/>
    <n v="-2"/>
    <s v="TO CLOSE"/>
    <x v="12"/>
    <d v="2020-12-20T00:00:00"/>
    <m/>
    <s v="FUTURE"/>
    <n v="3567"/>
    <n v="3567"/>
    <s v="MKT"/>
    <n v="-1"/>
    <n v="-178225"/>
    <n v="3564.5"/>
    <s v=""/>
  </r>
  <r>
    <x v="1051"/>
    <x v="126"/>
    <s v="Friday"/>
    <d v="1899-12-30T12:42:32"/>
    <s v="FUTURE"/>
    <s v="BUY"/>
    <n v="2"/>
    <s v="TO CLOSE"/>
    <x v="12"/>
    <d v="2020-12-20T00:00:00"/>
    <m/>
    <s v="FUTURE"/>
    <n v="3569.5"/>
    <n v="3569.5"/>
    <s v="MKT"/>
    <n v="1"/>
    <n v="178725"/>
    <n v="3574.5"/>
    <s v=""/>
  </r>
  <r>
    <x v="1051"/>
    <x v="126"/>
    <s v="Friday"/>
    <d v="1899-12-30T12:49:34"/>
    <s v="FUTURE"/>
    <s v="SELL"/>
    <n v="-1"/>
    <s v="TO CLOSE"/>
    <x v="12"/>
    <d v="2020-12-20T00:00:00"/>
    <m/>
    <s v="FUTURE"/>
    <n v="3566.5"/>
    <n v="3566.5"/>
    <s v="STP"/>
    <n v="0"/>
    <n v="0"/>
    <s v=""/>
    <n v="-400"/>
  </r>
  <r>
    <x v="1052"/>
    <x v="126"/>
    <s v="Friday"/>
    <d v="1899-12-30T12:49:43"/>
    <s v="FUTURE"/>
    <s v="SELL"/>
    <n v="-1"/>
    <s v="TO OPEN"/>
    <x v="12"/>
    <d v="2020-12-20T00:00:00"/>
    <m/>
    <s v="FUTURE"/>
    <n v="3566"/>
    <n v="3566"/>
    <s v="MKT"/>
    <n v="-1"/>
    <n v="-178300"/>
    <n v="3566"/>
    <s v=""/>
  </r>
  <r>
    <x v="1052"/>
    <x v="126"/>
    <s v="Friday"/>
    <d v="1899-12-30T12:54:11"/>
    <s v="FUTURE"/>
    <s v="BUY"/>
    <n v="2"/>
    <s v="TO CLOSE"/>
    <x v="12"/>
    <d v="2020-12-20T00:00:00"/>
    <m/>
    <s v="FUTURE"/>
    <n v="3567.75"/>
    <n v="3567.75"/>
    <s v="MKT"/>
    <n v="1"/>
    <n v="178475"/>
    <n v="3569.5"/>
    <s v=""/>
  </r>
  <r>
    <x v="1052"/>
    <x v="126"/>
    <s v="Friday"/>
    <d v="1899-12-30T12:58:40"/>
    <s v="FUTURE"/>
    <s v="SELL"/>
    <n v="-1"/>
    <s v="TO CLOSE"/>
    <x v="12"/>
    <d v="2020-12-20T00:00:00"/>
    <m/>
    <s v="FUTURE"/>
    <n v="3569.75"/>
    <n v="3569.75"/>
    <s v="LMT"/>
    <n v="0"/>
    <n v="0"/>
    <s v=""/>
    <n v="12.5"/>
  </r>
  <r>
    <x v="1053"/>
    <x v="126"/>
    <s v="Friday"/>
    <d v="1899-12-30T13:04:04"/>
    <s v="FUTURE"/>
    <s v="BUY"/>
    <n v="1"/>
    <s v="TO OPEN"/>
    <x v="12"/>
    <d v="2020-12-20T00:00:00"/>
    <m/>
    <s v="FUTURE"/>
    <n v="3568.75"/>
    <n v="3568.75"/>
    <s v="LMT"/>
    <n v="1"/>
    <n v="178437.5"/>
    <n v="3568.75"/>
    <s v=""/>
  </r>
  <r>
    <x v="1053"/>
    <x v="126"/>
    <s v="Friday"/>
    <d v="1899-12-30T13:07:17"/>
    <s v="FUTURE"/>
    <s v="SELL"/>
    <n v="-2"/>
    <s v="TO CLOSE"/>
    <x v="12"/>
    <d v="2020-12-20T00:00:00"/>
    <m/>
    <s v="FUTURE"/>
    <n v="3566.75"/>
    <n v="3566.75"/>
    <s v="MKT"/>
    <n v="-1"/>
    <n v="-178237.5"/>
    <n v="3564.75"/>
    <s v=""/>
  </r>
  <r>
    <x v="1053"/>
    <x v="126"/>
    <s v="Friday"/>
    <d v="1899-12-30T13:07:43"/>
    <s v="FUTURE"/>
    <s v="BUY"/>
    <n v="1"/>
    <s v="TO CLOSE"/>
    <x v="12"/>
    <d v="2020-12-20T00:00:00"/>
    <m/>
    <s v="FUTURE"/>
    <n v="3567.75"/>
    <n v="3567.75"/>
    <s v="MKT"/>
    <n v="0"/>
    <n v="0"/>
    <s v=""/>
    <n v="-150"/>
  </r>
  <r>
    <x v="1054"/>
    <x v="126"/>
    <s v="Friday"/>
    <d v="1899-12-30T13:09:45"/>
    <s v="FUTURE"/>
    <s v="BUY"/>
    <n v="1"/>
    <s v="TO OPEN"/>
    <x v="12"/>
    <d v="2020-12-20T00:00:00"/>
    <m/>
    <s v="FUTURE"/>
    <n v="3568.25"/>
    <n v="3568.25"/>
    <s v="MKT"/>
    <n v="1"/>
    <n v="178412.5"/>
    <n v="3568.25"/>
    <s v=""/>
  </r>
  <r>
    <x v="1054"/>
    <x v="126"/>
    <s v="Friday"/>
    <d v="1899-12-30T13:10:26"/>
    <s v="FUTURE"/>
    <s v="SELL"/>
    <n v="-1"/>
    <s v="TO CLOSE"/>
    <x v="12"/>
    <d v="2020-12-20T00:00:00"/>
    <m/>
    <s v="FUTURE"/>
    <n v="3567"/>
    <n v="3567"/>
    <s v="MKT"/>
    <n v="0"/>
    <n v="0"/>
    <s v=""/>
    <n v="-62.5"/>
  </r>
  <r>
    <x v="1055"/>
    <x v="127"/>
    <s v="Monday"/>
    <d v="1899-12-30T09:29:21"/>
    <s v="FUTURE"/>
    <s v="SELL"/>
    <n v="-1"/>
    <s v="TO OPEN"/>
    <x v="13"/>
    <d v="2020-01-21T00:00:00"/>
    <m/>
    <s v="FUTURE"/>
    <n v="42.83"/>
    <n v="42.83"/>
    <s v="LMT"/>
    <n v="-1"/>
    <n v="-42830"/>
    <n v="42.83"/>
    <s v=""/>
  </r>
  <r>
    <x v="1055"/>
    <x v="127"/>
    <s v="Monday"/>
    <d v="1899-12-30T09:45:41"/>
    <s v="FUTURE"/>
    <s v="BUY"/>
    <n v="1"/>
    <s v="TO CLOSE"/>
    <x v="13"/>
    <d v="2020-01-21T00:00:00"/>
    <m/>
    <s v="FUTURE"/>
    <n v="42.82"/>
    <n v="42.82"/>
    <s v="STP"/>
    <n v="0"/>
    <n v="0"/>
    <s v=""/>
    <n v="9.9999999999980105"/>
  </r>
  <r>
    <x v="1056"/>
    <x v="127"/>
    <s v="Monday"/>
    <d v="1899-12-30T09:47:40"/>
    <s v="FUTURE"/>
    <s v="SELL"/>
    <n v="-2"/>
    <s v="TO OPEN"/>
    <x v="13"/>
    <d v="2020-01-21T00:00:00"/>
    <m/>
    <s v="FUTURE"/>
    <n v="42.74"/>
    <n v="42.74"/>
    <s v="MKT"/>
    <n v="-2"/>
    <n v="-85480"/>
    <n v="42.74"/>
    <s v=""/>
  </r>
  <r>
    <x v="1056"/>
    <x v="127"/>
    <s v="Monday"/>
    <d v="1899-12-30T10:06:29"/>
    <s v="FUTURE"/>
    <s v="BUY"/>
    <n v="1"/>
    <s v="TO CLOSE"/>
    <x v="13"/>
    <d v="2020-01-21T00:00:00"/>
    <m/>
    <s v="FUTURE"/>
    <n v="42.7"/>
    <n v="42.7"/>
    <s v="LMT"/>
    <n v="-1"/>
    <n v="-42780"/>
    <n v="42.78"/>
    <s v=""/>
  </r>
  <r>
    <x v="1056"/>
    <x v="127"/>
    <s v="Monday"/>
    <d v="1899-12-30T10:07:01"/>
    <s v="FUTURE"/>
    <s v="BUY"/>
    <n v="1"/>
    <s v="TO CLOSE"/>
    <x v="13"/>
    <d v="2020-01-21T00:00:00"/>
    <m/>
    <s v="FUTURE"/>
    <n v="42.63"/>
    <n v="42.63"/>
    <s v="LMT"/>
    <n v="0"/>
    <n v="0"/>
    <s v=""/>
    <n v="149.99999999999858"/>
  </r>
  <r>
    <x v="1057"/>
    <x v="127"/>
    <s v="Monday"/>
    <d v="1899-12-30T10:26:08"/>
    <s v="FUTURE"/>
    <s v="SELL"/>
    <n v="-1"/>
    <s v="TO OPEN"/>
    <x v="13"/>
    <d v="2020-01-21T00:00:00"/>
    <m/>
    <s v="FUTURE"/>
    <n v="42.76"/>
    <n v="42.76"/>
    <s v="LMT"/>
    <n v="-1"/>
    <n v="-42760"/>
    <n v="42.76"/>
    <s v=""/>
  </r>
  <r>
    <x v="1057"/>
    <x v="127"/>
    <s v="Monday"/>
    <d v="1899-12-30T10:29:33"/>
    <s v="FUTURE"/>
    <s v="BUY"/>
    <n v="1"/>
    <s v="TO CLOSE"/>
    <x v="13"/>
    <d v="2020-01-21T00:00:00"/>
    <m/>
    <s v="FUTURE"/>
    <n v="42.68"/>
    <n v="42.68"/>
    <s v="LMT"/>
    <n v="0"/>
    <n v="0"/>
    <s v=""/>
    <n v="79.999999999998295"/>
  </r>
  <r>
    <x v="1058"/>
    <x v="127"/>
    <s v="Monday"/>
    <d v="1899-12-30T10:39:17"/>
    <s v="FUTURE"/>
    <s v="BUY"/>
    <n v="1"/>
    <s v="TO OPEN"/>
    <x v="13"/>
    <d v="2020-01-21T00:00:00"/>
    <m/>
    <s v="FUTURE"/>
    <n v="42.89"/>
    <n v="42.89"/>
    <s v="MKT"/>
    <n v="1"/>
    <n v="42890"/>
    <n v="42.89"/>
    <s v=""/>
  </r>
  <r>
    <x v="1058"/>
    <x v="127"/>
    <s v="Monday"/>
    <d v="1899-12-30T10:44:36"/>
    <s v="FUTURE"/>
    <s v="SELL"/>
    <n v="-1"/>
    <s v="TO CLOSE"/>
    <x v="13"/>
    <d v="2020-01-21T00:00:00"/>
    <m/>
    <s v="FUTURE"/>
    <n v="42.9"/>
    <n v="42.9"/>
    <s v="LMT"/>
    <n v="0"/>
    <n v="0"/>
    <s v=""/>
    <n v="9.9999999999980105"/>
  </r>
  <r>
    <x v="1059"/>
    <x v="127"/>
    <s v="Monday"/>
    <d v="1899-12-30T11:36:37"/>
    <s v="FUTURE"/>
    <s v="BUY"/>
    <n v="1"/>
    <s v="TO OPEN"/>
    <x v="13"/>
    <d v="2020-01-21T00:00:00"/>
    <m/>
    <s v="FUTURE"/>
    <n v="42.94"/>
    <n v="42.94"/>
    <s v="LMT"/>
    <n v="1"/>
    <n v="42940"/>
    <n v="42.94"/>
    <s v=""/>
  </r>
  <r>
    <x v="1059"/>
    <x v="127"/>
    <s v="Monday"/>
    <d v="1899-12-30T11:39:46"/>
    <s v="FUTURE"/>
    <s v="SELL"/>
    <n v="-1"/>
    <s v="TO CLOSE"/>
    <x v="13"/>
    <d v="2020-01-21T00:00:00"/>
    <m/>
    <s v="FUTURE"/>
    <n v="42.96"/>
    <n v="42.96"/>
    <s v="LMT"/>
    <n v="0"/>
    <n v="0"/>
    <s v=""/>
    <n v="20.000000000003126"/>
  </r>
  <r>
    <x v="1060"/>
    <x v="127"/>
    <s v="Monday"/>
    <d v="1899-12-30T10:59:18"/>
    <s v="FUTURE"/>
    <s v="SELL"/>
    <n v="-1"/>
    <s v="TO OPEN"/>
    <x v="12"/>
    <d v="2020-12-20T00:00:00"/>
    <m/>
    <s v="FUTURE"/>
    <n v="3571.75"/>
    <n v="3571.75"/>
    <s v="MKT"/>
    <n v="-1"/>
    <n v="-178587.5"/>
    <n v="3571.75"/>
    <s v=""/>
  </r>
  <r>
    <x v="1060"/>
    <x v="127"/>
    <s v="Monday"/>
    <d v="1899-12-30T11:02:35"/>
    <s v="FUTURE"/>
    <s v="BUY"/>
    <n v="1"/>
    <s v="TO CLOSE"/>
    <x v="12"/>
    <d v="2020-12-20T00:00:00"/>
    <m/>
    <s v="FUTURE"/>
    <n v="3570.75"/>
    <n v="3570.75"/>
    <s v="LMT"/>
    <n v="0"/>
    <n v="0"/>
    <s v=""/>
    <n v="50"/>
  </r>
  <r>
    <x v="1061"/>
    <x v="127"/>
    <s v="Monday"/>
    <d v="1899-12-30T11:46:47"/>
    <s v="FUTURE"/>
    <s v="BUY"/>
    <n v="1"/>
    <s v="TO OPEN"/>
    <x v="12"/>
    <d v="2020-12-20T00:00:00"/>
    <m/>
    <s v="FUTURE"/>
    <n v="3554.5"/>
    <n v="3554.5"/>
    <s v="LMT"/>
    <n v="1"/>
    <n v="177725"/>
    <n v="3554.5"/>
    <s v=""/>
  </r>
  <r>
    <x v="1061"/>
    <x v="127"/>
    <s v="Monday"/>
    <d v="1899-12-30T11:49:24"/>
    <s v="FUTURE"/>
    <s v="SELL"/>
    <n v="-1"/>
    <s v="TO CLOSE"/>
    <x v="12"/>
    <d v="2020-12-20T00:00:00"/>
    <m/>
    <s v="FUTURE"/>
    <n v="3557"/>
    <n v="3557"/>
    <s v="LMT"/>
    <n v="0"/>
    <n v="0"/>
    <s v=""/>
    <n v="125"/>
  </r>
  <r>
    <x v="1062"/>
    <x v="127"/>
    <s v="Monday"/>
    <d v="1899-12-30T11:04:34"/>
    <s v="FUTURE"/>
    <s v="SELL"/>
    <n v="-3"/>
    <s v="TO OPEN"/>
    <x v="14"/>
    <d v="2020-12-20T00:00:00"/>
    <m/>
    <s v="FUTURE"/>
    <n v="3567.75"/>
    <n v="3567.75"/>
    <s v="MKT"/>
    <n v="-3"/>
    <n v="-53516.25"/>
    <n v="3567.75"/>
    <s v=""/>
  </r>
  <r>
    <x v="1062"/>
    <x v="127"/>
    <s v="Monday"/>
    <d v="1899-12-30T11:09:42"/>
    <s v="FUTURE"/>
    <s v="BUY"/>
    <n v="1"/>
    <s v="TO CLOSE"/>
    <x v="14"/>
    <d v="2020-12-20T00:00:00"/>
    <m/>
    <s v="FUTURE"/>
    <n v="3563.5"/>
    <n v="3563.5"/>
    <s v="LMT"/>
    <n v="-2"/>
    <n v="-35698.75"/>
    <n v="3569.875"/>
    <s v=""/>
  </r>
  <r>
    <x v="1062"/>
    <x v="127"/>
    <s v="Monday"/>
    <d v="1899-12-30T11:11:34"/>
    <s v="FUTURE"/>
    <s v="BUY"/>
    <n v="1"/>
    <s v="TO CLOSE"/>
    <x v="14"/>
    <d v="2020-12-20T00:00:00"/>
    <m/>
    <s v="FUTURE"/>
    <n v="3557.75"/>
    <n v="3557.75"/>
    <s v="MKT"/>
    <n v="-1"/>
    <n v="-17910"/>
    <n v="3582"/>
    <s v=""/>
  </r>
  <r>
    <x v="1062"/>
    <x v="127"/>
    <s v="Monday"/>
    <d v="1899-12-30T11:14:41"/>
    <s v="FUTURE"/>
    <s v="BUY"/>
    <n v="1"/>
    <s v="TO CLOSE"/>
    <x v="14"/>
    <d v="2020-12-20T00:00:00"/>
    <m/>
    <s v="FUTURE"/>
    <n v="3554"/>
    <n v="3554"/>
    <s v="MKT"/>
    <n v="0"/>
    <n v="0"/>
    <s v=""/>
    <n v="140"/>
  </r>
  <r>
    <x v="1063"/>
    <x v="127"/>
    <s v="Monday"/>
    <d v="1899-12-30T10:57:07"/>
    <s v="STOCK"/>
    <s v="SELL"/>
    <n v="-300"/>
    <s v="TO OPEN"/>
    <x v="2"/>
    <m/>
    <m/>
    <s v="STOCK"/>
    <n v="18.239999999999998"/>
    <n v="18.239999999999998"/>
    <s v="LMT"/>
    <n v="-300"/>
    <n v="-5471.9999999999991"/>
    <n v="18.239999999999998"/>
    <s v=""/>
  </r>
  <r>
    <x v="1063"/>
    <x v="127"/>
    <s v="Monday"/>
    <d v="1899-12-30T11:11:30"/>
    <s v="STOCK"/>
    <s v="SELL"/>
    <n v="-100"/>
    <s v="TO OPEN"/>
    <x v="2"/>
    <m/>
    <m/>
    <s v="STOCK"/>
    <n v="18.5501"/>
    <n v="18.5501"/>
    <s v="MKT"/>
    <n v="-400"/>
    <n v="-7327.0099999999993"/>
    <n v="18.317525"/>
    <s v=""/>
  </r>
  <r>
    <x v="1063"/>
    <x v="127"/>
    <s v="Monday"/>
    <d v="1899-12-30T11:18:57"/>
    <s v="STOCK"/>
    <s v="BUY"/>
    <n v="100"/>
    <s v="TO CLOSE"/>
    <x v="2"/>
    <m/>
    <m/>
    <s v="STOCK"/>
    <n v="18.54"/>
    <n v="18.54"/>
    <s v="STP"/>
    <n v="-300"/>
    <n v="-5473.0099999999993"/>
    <n v="18.243366666666663"/>
    <s v=""/>
  </r>
  <r>
    <x v="1063"/>
    <x v="127"/>
    <s v="Monday"/>
    <d v="1899-12-30T11:20:32"/>
    <s v="STOCK"/>
    <s v="SELL"/>
    <n v="-100"/>
    <s v="TO OPEN"/>
    <x v="2"/>
    <m/>
    <m/>
    <s v="STOCK"/>
    <n v="18.551400000000001"/>
    <n v="18.551400000000001"/>
    <s v="LMT"/>
    <n v="-400"/>
    <n v="-7328.15"/>
    <n v="18.320374999999999"/>
    <s v=""/>
  </r>
  <r>
    <x v="1063"/>
    <x v="127"/>
    <s v="Monday"/>
    <d v="1899-12-30T11:30:13"/>
    <s v="STOCK"/>
    <s v="SELL"/>
    <n v="-100"/>
    <s v="TO OPEN"/>
    <x v="2"/>
    <m/>
    <m/>
    <s v="STOCK"/>
    <n v="18.5701"/>
    <n v="18.5701"/>
    <s v="MKT"/>
    <n v="-500"/>
    <n v="-9185.16"/>
    <n v="18.37032"/>
    <s v=""/>
  </r>
  <r>
    <x v="1063"/>
    <x v="127"/>
    <s v="Monday"/>
    <d v="1899-12-30T11:53:57"/>
    <s v="STOCK"/>
    <s v="BUY"/>
    <n v="100"/>
    <s v="TO CLOSE"/>
    <x v="2"/>
    <m/>
    <m/>
    <s v="STOCK"/>
    <n v="18.46"/>
    <n v="18.46"/>
    <s v="LMT"/>
    <n v="-400"/>
    <n v="-7339.16"/>
    <n v="18.347899999999999"/>
    <s v=""/>
  </r>
  <r>
    <x v="1063"/>
    <x v="127"/>
    <s v="Monday"/>
    <d v="1899-12-30T12:19:12"/>
    <s v="STOCK"/>
    <s v="BUY"/>
    <n v="100"/>
    <s v="TO CLOSE"/>
    <x v="2"/>
    <m/>
    <m/>
    <s v="STOCK"/>
    <n v="18.36"/>
    <n v="18.36"/>
    <s v="LMT"/>
    <n v="-300"/>
    <n v="-5503.16"/>
    <n v="18.343866666666667"/>
    <s v=""/>
  </r>
  <r>
    <x v="1063"/>
    <x v="127"/>
    <s v="Monday"/>
    <d v="1899-12-30T12:23:28"/>
    <s v="STOCK"/>
    <s v="BUY"/>
    <n v="100"/>
    <s v="TO CLOSE"/>
    <x v="2"/>
    <m/>
    <m/>
    <s v="STOCK"/>
    <n v="18.32"/>
    <n v="18.32"/>
    <s v="LMT"/>
    <n v="-200"/>
    <n v="-3671.16"/>
    <n v="18.355799999999999"/>
    <s v=""/>
  </r>
  <r>
    <x v="1063"/>
    <x v="127"/>
    <s v="Monday"/>
    <d v="1899-12-30T12:25:57"/>
    <s v="STOCK"/>
    <s v="BUY"/>
    <n v="200"/>
    <s v="TO CLOSE"/>
    <x v="2"/>
    <m/>
    <m/>
    <s v="STOCK"/>
    <n v="18.338100000000001"/>
    <n v="18.338100000000001"/>
    <s v="MKT"/>
    <n v="0"/>
    <n v="0"/>
    <s v=""/>
    <n v="3.5399999999995657"/>
  </r>
  <r>
    <x v="1064"/>
    <x v="128"/>
    <s v="Tuesday"/>
    <d v="1899-12-30T10:05:52"/>
    <s v="FUTURE"/>
    <s v="SELL"/>
    <n v="-1"/>
    <s v="TO OPEN"/>
    <x v="13"/>
    <d v="2020-01-21T00:00:00"/>
    <m/>
    <s v="FUTURE"/>
    <n v="44.7"/>
    <n v="44.7"/>
    <s v="LMT"/>
    <n v="-1"/>
    <n v="-44700"/>
    <n v="44.7"/>
    <s v=""/>
  </r>
  <r>
    <x v="1064"/>
    <x v="128"/>
    <s v="Tuesday"/>
    <d v="1899-12-30T10:16:46"/>
    <s v="FUTURE"/>
    <s v="SELL"/>
    <n v="-1"/>
    <s v="TO OPEN"/>
    <x v="13"/>
    <d v="2020-01-21T00:00:00"/>
    <m/>
    <s v="FUTURE"/>
    <n v="44.74"/>
    <n v="44.74"/>
    <s v="LMT"/>
    <n v="-2"/>
    <n v="-89440"/>
    <n v="44.72"/>
    <s v=""/>
  </r>
  <r>
    <x v="1064"/>
    <x v="128"/>
    <s v="Tuesday"/>
    <d v="1899-12-30T16:32:11"/>
    <s v="FUTURE"/>
    <s v="BUY"/>
    <n v="1"/>
    <s v="TO CLOSE"/>
    <x v="13"/>
    <d v="2020-01-21T00:00:00"/>
    <m/>
    <s v="FUTURE"/>
    <n v="44.73"/>
    <n v="44.73"/>
    <s v="LMT"/>
    <n v="-1"/>
    <n v="-44710"/>
    <n v="44.71"/>
    <s v=""/>
  </r>
  <r>
    <x v="1064"/>
    <x v="128"/>
    <s v="Tuesday"/>
    <d v="1899-12-30T16:32:35"/>
    <s v="FUTURE"/>
    <s v="BUY"/>
    <n v="1"/>
    <s v="TO CLOSE"/>
    <x v="13"/>
    <d v="2020-01-21T00:00:00"/>
    <m/>
    <s v="FUTURE"/>
    <n v="44.69"/>
    <n v="44.69"/>
    <s v="STP"/>
    <n v="0"/>
    <n v="0"/>
    <s v=""/>
    <n v="20.000000000003126"/>
  </r>
  <r>
    <x v="1065"/>
    <x v="128"/>
    <s v="Tuesday"/>
    <d v="1899-12-30T23:02:42"/>
    <s v="FUTURE"/>
    <s v="SELL"/>
    <n v="-1"/>
    <s v="TO OPEN"/>
    <x v="13"/>
    <d v="2020-01-21T00:00:00"/>
    <m/>
    <s v="FUTURE"/>
    <n v="45.41"/>
    <n v="45.41"/>
    <s v="LMT"/>
    <n v="-1"/>
    <n v="-45410"/>
    <n v="45.41"/>
    <s v=""/>
  </r>
  <r>
    <x v="1065"/>
    <x v="128"/>
    <s v="Tuesday"/>
    <d v="1899-12-30T23:46:29"/>
    <s v="FUTURE"/>
    <s v="BUY"/>
    <n v="1"/>
    <s v="TO CLOSE"/>
    <x v="13"/>
    <d v="2020-01-21T00:00:00"/>
    <m/>
    <s v="FUTURE"/>
    <n v="45.32"/>
    <n v="45.32"/>
    <s v="LMT"/>
    <n v="0"/>
    <n v="0"/>
    <s v=""/>
    <n v="89.999999999996305"/>
  </r>
  <r>
    <x v="1066"/>
    <x v="128"/>
    <s v="Tuesday"/>
    <d v="1899-12-30T10:11:40"/>
    <s v="FUTURE"/>
    <s v="SELL"/>
    <n v="-2"/>
    <s v="TO OPEN"/>
    <x v="14"/>
    <d v="2020-12-20T00:00:00"/>
    <m/>
    <s v="FUTURE"/>
    <n v="3605.75"/>
    <n v="3605.75"/>
    <s v="LMT"/>
    <n v="-2"/>
    <n v="-36057.5"/>
    <n v="3605.75"/>
    <s v=""/>
  </r>
  <r>
    <x v="1066"/>
    <x v="128"/>
    <s v="Tuesday"/>
    <d v="1899-12-30T10:21:58"/>
    <s v="FUTURE"/>
    <s v="SELL"/>
    <n v="-1"/>
    <s v="TO OPEN"/>
    <x v="14"/>
    <d v="2020-12-20T00:00:00"/>
    <m/>
    <s v="FUTURE"/>
    <n v="3608.75"/>
    <n v="3608.75"/>
    <s v="LMT"/>
    <n v="-3"/>
    <n v="-54101.25"/>
    <n v="3606.75"/>
    <s v=""/>
  </r>
  <r>
    <x v="1066"/>
    <x v="128"/>
    <s v="Tuesday"/>
    <d v="1899-12-30T10:41:28"/>
    <s v="FUTURE"/>
    <s v="SELL"/>
    <n v="-1"/>
    <s v="TO OPEN"/>
    <x v="14"/>
    <d v="2020-12-20T00:00:00"/>
    <m/>
    <s v="FUTURE"/>
    <n v="3612.75"/>
    <n v="3612.75"/>
    <s v="LMT"/>
    <n v="-4"/>
    <n v="-72165"/>
    <n v="3608.25"/>
    <s v=""/>
  </r>
  <r>
    <x v="1066"/>
    <x v="128"/>
    <s v="Tuesday"/>
    <d v="1899-12-30T16:32:51"/>
    <s v="FUTURE"/>
    <s v="SELL"/>
    <n v="-1"/>
    <s v="TO OPEN"/>
    <x v="14"/>
    <d v="2020-12-20T00:00:00"/>
    <m/>
    <s v="FUTURE"/>
    <n v="3635"/>
    <n v="3635"/>
    <s v="LMT"/>
    <n v="-5"/>
    <n v="-90340"/>
    <n v="3613.6"/>
    <s v=""/>
  </r>
  <r>
    <x v="1066"/>
    <x v="128"/>
    <s v="Tuesday"/>
    <d v="1899-12-30T20:05:23"/>
    <s v="FUTURE"/>
    <s v="SELL"/>
    <n v="-1"/>
    <s v="TO OPEN"/>
    <x v="14"/>
    <d v="2020-12-20T00:00:00"/>
    <m/>
    <s v="FUTURE"/>
    <n v="3649"/>
    <n v="3649"/>
    <s v="LMT"/>
    <n v="-6"/>
    <n v="-108585"/>
    <n v="3619.5"/>
    <s v=""/>
  </r>
  <r>
    <x v="1066"/>
    <x v="128"/>
    <s v="Tuesday"/>
    <d v="1899-12-30T22:42:38"/>
    <s v="FUTURE"/>
    <s v="BUY"/>
    <n v="1"/>
    <s v="TO CLOSE"/>
    <x v="14"/>
    <d v="2020-12-20T00:00:00"/>
    <m/>
    <s v="FUTURE"/>
    <n v="3639.5"/>
    <n v="3639.5"/>
    <s v="LMT"/>
    <n v="-5"/>
    <n v="-90387.5"/>
    <n v="3615.5"/>
    <s v=""/>
  </r>
  <r>
    <x v="1066"/>
    <x v="129"/>
    <s v="Wednesday"/>
    <d v="1899-12-30T00:20:31"/>
    <s v="FUTURE"/>
    <s v="BUY"/>
    <n v="1"/>
    <s v="TO CLOSE"/>
    <x v="14"/>
    <d v="2020-12-20T00:00:00"/>
    <m/>
    <s v="FUTURE"/>
    <n v="3635"/>
    <n v="3635"/>
    <s v="LMT"/>
    <n v="-4"/>
    <n v="-72212.5"/>
    <n v="3610.625"/>
    <s v=""/>
  </r>
  <r>
    <x v="1066"/>
    <x v="129"/>
    <s v="Wednesday"/>
    <d v="1899-12-30T00:29:37"/>
    <s v="FUTURE"/>
    <s v="BUY"/>
    <n v="2"/>
    <s v="TO CLOSE"/>
    <x v="14"/>
    <d v="2020-12-20T00:00:00"/>
    <m/>
    <s v="FUTURE"/>
    <n v="3636.25"/>
    <n v="3636.25"/>
    <s v="LMT"/>
    <n v="-2"/>
    <n v="-35850"/>
    <n v="3585"/>
    <s v=""/>
  </r>
  <r>
    <x v="1066"/>
    <x v="129"/>
    <s v="Wednesday"/>
    <d v="1899-12-30T01:18:24"/>
    <s v="FUTURE"/>
    <s v="BUY"/>
    <n v="2"/>
    <s v="TO CLOSE"/>
    <x v="14"/>
    <d v="2020-12-20T00:00:00"/>
    <m/>
    <s v="FUTURE"/>
    <n v="3634.5"/>
    <n v="3634.5"/>
    <s v="LMT"/>
    <n v="0"/>
    <n v="0"/>
    <s v=""/>
    <n v="-495"/>
  </r>
  <r>
    <x v="1067"/>
    <x v="129"/>
    <s v="Wednesday"/>
    <d v="1899-12-30T09:37:00"/>
    <s v="FUTURE"/>
    <s v="SELL"/>
    <n v="-1"/>
    <s v="TO OPEN"/>
    <x v="13"/>
    <d v="2020-01-21T00:00:00"/>
    <m/>
    <s v="FUTURE"/>
    <n v="45.48"/>
    <n v="45.48"/>
    <s v="LMT"/>
    <n v="-1"/>
    <n v="-45480"/>
    <n v="45.48"/>
    <s v=""/>
  </r>
  <r>
    <x v="1067"/>
    <x v="129"/>
    <s v="Wednesday"/>
    <d v="1899-12-30T09:40:38"/>
    <s v="FUTURE"/>
    <s v="BUY"/>
    <n v="1"/>
    <s v="TO CLOSE"/>
    <x v="13"/>
    <d v="2020-01-21T00:00:00"/>
    <m/>
    <s v="FUTURE"/>
    <n v="45.37"/>
    <n v="45.37"/>
    <s v="LMT"/>
    <n v="0"/>
    <n v="0"/>
    <s v=""/>
    <n v="109.99999999999943"/>
  </r>
  <r>
    <x v="1068"/>
    <x v="129"/>
    <s v="Wednesday"/>
    <d v="1899-12-30T10:24:36"/>
    <s v="FUTURE"/>
    <s v="SELL"/>
    <n v="-1"/>
    <s v="TO OPEN"/>
    <x v="13"/>
    <d v="2020-01-21T00:00:00"/>
    <m/>
    <s v="FUTURE"/>
    <n v="45.31"/>
    <n v="45.31"/>
    <s v="LMT"/>
    <n v="-1"/>
    <n v="-45310"/>
    <n v="45.31"/>
    <s v=""/>
  </r>
  <r>
    <x v="1068"/>
    <x v="129"/>
    <s v="Wednesday"/>
    <d v="1899-12-30T11:04:35"/>
    <s v="FUTURE"/>
    <s v="BUY"/>
    <n v="1"/>
    <s v="TO CLOSE"/>
    <x v="13"/>
    <d v="2020-01-21T00:00:00"/>
    <m/>
    <s v="FUTURE"/>
    <n v="45.26"/>
    <n v="45.26"/>
    <s v="LMT"/>
    <n v="0"/>
    <n v="0"/>
    <s v=""/>
    <n v="50.000000000004263"/>
  </r>
  <r>
    <x v="1069"/>
    <x v="129"/>
    <s v="Wednesday"/>
    <d v="1899-12-30T12:07:56"/>
    <s v="FUTURE"/>
    <s v="SELL"/>
    <n v="-1"/>
    <s v="TO OPEN"/>
    <x v="13"/>
    <d v="2020-01-21T00:00:00"/>
    <m/>
    <s v="FUTURE"/>
    <n v="45.55"/>
    <n v="45.55"/>
    <s v="LMT"/>
    <n v="-1"/>
    <n v="-45550"/>
    <n v="45.55"/>
    <s v=""/>
  </r>
  <r>
    <x v="1069"/>
    <x v="129"/>
    <s v="Wednesday"/>
    <d v="1899-12-30T12:29:42"/>
    <s v="FUTURE"/>
    <s v="SELL"/>
    <n v="-1"/>
    <s v="TO OPEN"/>
    <x v="13"/>
    <d v="2020-01-21T00:00:00"/>
    <m/>
    <s v="FUTURE"/>
    <n v="45.65"/>
    <n v="45.65"/>
    <s v="LMT"/>
    <n v="-2"/>
    <n v="-91200"/>
    <n v="45.6"/>
    <s v=""/>
  </r>
  <r>
    <x v="1069"/>
    <x v="129"/>
    <s v="Wednesday"/>
    <d v="1899-12-30T14:26:38"/>
    <s v="FUTURE"/>
    <s v="BUY"/>
    <n v="1"/>
    <s v="TO CLOSE"/>
    <x v="13"/>
    <d v="2020-01-21T00:00:00"/>
    <m/>
    <s v="FUTURE"/>
    <n v="45.6"/>
    <n v="45.6"/>
    <s v="LMT"/>
    <n v="-1"/>
    <n v="-45600"/>
    <n v="45.6"/>
    <s v=""/>
  </r>
  <r>
    <x v="1069"/>
    <x v="129"/>
    <s v="Wednesday"/>
    <d v="1899-12-30T14:39:35"/>
    <s v="FUTURE"/>
    <s v="BUY"/>
    <n v="1"/>
    <s v="TO CLOSE"/>
    <x v="13"/>
    <d v="2020-01-21T00:00:00"/>
    <m/>
    <s v="FUTURE"/>
    <n v="45.57"/>
    <n v="45.57"/>
    <s v="LMT"/>
    <n v="0"/>
    <n v="0"/>
    <s v=""/>
    <n v="30.000000000001137"/>
  </r>
  <r>
    <x v="1070"/>
    <x v="130"/>
    <s v="Monday"/>
    <d v="1899-12-30T09:00:24"/>
    <s v="FUTURE"/>
    <s v="SELL"/>
    <n v="-1"/>
    <s v="TO OPEN"/>
    <x v="13"/>
    <d v="2020-01-21T00:00:00"/>
    <m/>
    <s v="FUTURE"/>
    <n v="45.61"/>
    <n v="45.61"/>
    <s v="MKT"/>
    <n v="-1"/>
    <n v="-45610"/>
    <n v="45.61"/>
    <s v=""/>
  </r>
  <r>
    <x v="1070"/>
    <x v="130"/>
    <s v="Monday"/>
    <d v="1899-12-30T09:18:59"/>
    <s v="FUTURE"/>
    <s v="BUY"/>
    <n v="1"/>
    <s v="TO CLOSE"/>
    <x v="13"/>
    <d v="2020-01-21T00:00:00"/>
    <m/>
    <s v="FUTURE"/>
    <n v="45.47"/>
    <n v="45.47"/>
    <s v="LMT"/>
    <n v="0"/>
    <n v="0"/>
    <s v=""/>
    <n v="140.00000000000057"/>
  </r>
  <r>
    <x v="1071"/>
    <x v="130"/>
    <s v="Monday"/>
    <d v="1899-12-30T09:55:13"/>
    <s v="FUTURE"/>
    <s v="BUY"/>
    <n v="1"/>
    <s v="TO OPEN"/>
    <x v="13"/>
    <d v="2020-01-21T00:00:00"/>
    <m/>
    <s v="FUTURE"/>
    <n v="45.31"/>
    <n v="45.31"/>
    <s v="MKT"/>
    <n v="1"/>
    <n v="45310"/>
    <n v="45.31"/>
    <s v=""/>
  </r>
  <r>
    <x v="1071"/>
    <x v="130"/>
    <s v="Monday"/>
    <d v="1899-12-30T10:29:07"/>
    <s v="FUTURE"/>
    <s v="BUY"/>
    <n v="1"/>
    <s v="TO OPEN"/>
    <x v="13"/>
    <d v="2020-01-21T00:00:00"/>
    <m/>
    <s v="FUTURE"/>
    <n v="45.11"/>
    <n v="45.11"/>
    <s v="LMT"/>
    <n v="2"/>
    <n v="90420"/>
    <n v="45.21"/>
    <s v=""/>
  </r>
  <r>
    <x v="1071"/>
    <x v="130"/>
    <s v="Monday"/>
    <d v="1899-12-30T11:14:51"/>
    <s v="FUTURE"/>
    <s v="SELL"/>
    <n v="-1"/>
    <s v="TO CLOSE"/>
    <x v="13"/>
    <d v="2020-01-21T00:00:00"/>
    <m/>
    <s v="FUTURE"/>
    <n v="45.22"/>
    <n v="45.22"/>
    <s v="LMT"/>
    <n v="1"/>
    <n v="45200"/>
    <n v="45.2"/>
    <s v=""/>
  </r>
  <r>
    <x v="1071"/>
    <x v="130"/>
    <s v="Monday"/>
    <d v="1899-12-30T12:44:58"/>
    <s v="FUTURE"/>
    <s v="BUY"/>
    <n v="1"/>
    <s v="TO OPEN"/>
    <x v="13"/>
    <d v="2020-01-21T00:00:00"/>
    <m/>
    <s v="FUTURE"/>
    <n v="44.81"/>
    <n v="44.81"/>
    <s v="LMT"/>
    <n v="2"/>
    <n v="90010"/>
    <n v="45.005000000000003"/>
    <s v=""/>
  </r>
  <r>
    <x v="1071"/>
    <x v="130"/>
    <s v="Monday"/>
    <d v="1899-12-30T14:21:35"/>
    <s v="FUTURE"/>
    <s v="SELL"/>
    <n v="-1"/>
    <s v="TO CLOSE"/>
    <x v="13"/>
    <d v="2020-01-21T00:00:00"/>
    <m/>
    <s v="FUTURE"/>
    <n v="44.94"/>
    <n v="44.94"/>
    <s v="LMT"/>
    <n v="1"/>
    <n v="45070"/>
    <n v="45.07"/>
    <s v=""/>
  </r>
  <r>
    <x v="1071"/>
    <x v="130"/>
    <s v="Monday"/>
    <d v="1899-12-30T14:24:38"/>
    <s v="FUTURE"/>
    <s v="SELL"/>
    <n v="-1"/>
    <s v="TO CLOSE"/>
    <x v="13"/>
    <d v="2020-01-21T00:00:00"/>
    <m/>
    <s v="FUTURE"/>
    <n v="45.05"/>
    <n v="45.05"/>
    <s v="LMT"/>
    <n v="0"/>
    <n v="0"/>
    <s v=""/>
    <n v="-20.000000000003126"/>
  </r>
  <r>
    <x v="1072"/>
    <x v="130"/>
    <s v="Monday"/>
    <d v="1899-12-30T14:28:47"/>
    <s v="FUTURE"/>
    <s v="SELL"/>
    <n v="-1"/>
    <s v="TO OPEN"/>
    <x v="13"/>
    <d v="2020-01-21T00:00:00"/>
    <m/>
    <s v="FUTURE"/>
    <n v="45.41"/>
    <n v="45.41"/>
    <s v="LMT"/>
    <n v="-1"/>
    <n v="-45410"/>
    <n v="45.41"/>
    <s v=""/>
  </r>
  <r>
    <x v="1072"/>
    <x v="130"/>
    <s v="Monday"/>
    <d v="1899-12-30T14:29:01"/>
    <s v="FUTURE"/>
    <s v="BUY"/>
    <n v="1"/>
    <s v="TO CLOSE"/>
    <x v="13"/>
    <d v="2020-01-21T00:00:00"/>
    <m/>
    <s v="FUTURE"/>
    <n v="45.36"/>
    <n v="45.36"/>
    <s v="LMT"/>
    <n v="0"/>
    <n v="0"/>
    <s v=""/>
    <n v="49.999999999997158"/>
  </r>
  <r>
    <x v="1073"/>
    <x v="130"/>
    <s v="Monday"/>
    <d v="1899-12-30T18:00:00"/>
    <s v="FUTURE"/>
    <s v="SELL"/>
    <n v="-1"/>
    <s v="TO OPEN"/>
    <x v="13"/>
    <d v="2020-01-21T00:00:00"/>
    <m/>
    <s v="FUTURE"/>
    <n v="45.08"/>
    <n v="45.08"/>
    <s v="LMT"/>
    <n v="-1"/>
    <n v="-45080"/>
    <n v="45.08"/>
    <s v=""/>
  </r>
  <r>
    <x v="1073"/>
    <x v="130"/>
    <s v="Monday"/>
    <d v="1899-12-30T20:36:21"/>
    <s v="FUTURE"/>
    <s v="BUY"/>
    <n v="1"/>
    <s v="TO CLOSE"/>
    <x v="13"/>
    <d v="2020-01-21T00:00:00"/>
    <m/>
    <s v="FUTURE"/>
    <n v="45.07"/>
    <n v="45.07"/>
    <s v="LMT"/>
    <n v="0"/>
    <n v="0"/>
    <s v=""/>
    <n v="9.9999999999980105"/>
  </r>
  <r>
    <x v="1074"/>
    <x v="130"/>
    <s v="Monday"/>
    <d v="1899-12-30T09:35:52"/>
    <s v="FUTURE"/>
    <s v="SELL"/>
    <n v="-3"/>
    <s v="TO OPEN"/>
    <x v="14"/>
    <d v="2020-12-20T00:00:00"/>
    <m/>
    <s v="FUTURE"/>
    <n v="3626"/>
    <n v="3626"/>
    <s v="MKT"/>
    <n v="-3"/>
    <n v="-54390"/>
    <n v="3626"/>
    <s v=""/>
  </r>
  <r>
    <x v="1074"/>
    <x v="130"/>
    <s v="Monday"/>
    <d v="1899-12-30T09:37:12"/>
    <s v="FUTURE"/>
    <s v="BUY"/>
    <n v="1"/>
    <s v="TO CLOSE"/>
    <x v="14"/>
    <d v="2020-12-20T00:00:00"/>
    <m/>
    <s v="FUTURE"/>
    <n v="3622.75"/>
    <n v="3622.75"/>
    <s v="MKT"/>
    <n v="-2"/>
    <n v="-36276.25"/>
    <n v="3627.625"/>
    <s v=""/>
  </r>
  <r>
    <x v="1074"/>
    <x v="130"/>
    <s v="Monday"/>
    <d v="1899-12-30T09:39:35"/>
    <s v="FUTURE"/>
    <s v="BUY"/>
    <n v="1"/>
    <s v="TO CLOSE"/>
    <x v="14"/>
    <d v="2020-12-20T00:00:00"/>
    <m/>
    <s v="FUTURE"/>
    <n v="3623.25"/>
    <n v="3623.25"/>
    <s v="MKT"/>
    <n v="-1"/>
    <n v="-18160"/>
    <n v="3632"/>
    <s v=""/>
  </r>
  <r>
    <x v="1074"/>
    <x v="130"/>
    <s v="Monday"/>
    <d v="1899-12-30T09:44:05"/>
    <s v="FUTURE"/>
    <s v="BUY"/>
    <n v="1"/>
    <s v="TO CLOSE"/>
    <x v="14"/>
    <d v="2020-12-20T00:00:00"/>
    <m/>
    <s v="FUTURE"/>
    <n v="3623.5"/>
    <n v="3623.5"/>
    <s v="LMT"/>
    <n v="0"/>
    <n v="0"/>
    <s v=""/>
    <n v="42.5"/>
  </r>
  <r>
    <x v="1075"/>
    <x v="130"/>
    <s v="Monday"/>
    <d v="1899-12-30T10:25:55"/>
    <s v="FUTURE"/>
    <s v="BUY"/>
    <n v="3"/>
    <s v="TO OPEN"/>
    <x v="14"/>
    <d v="2020-12-20T00:00:00"/>
    <m/>
    <s v="FUTURE"/>
    <n v="3617.5"/>
    <n v="3617.5"/>
    <s v="LMT"/>
    <n v="3"/>
    <n v="54262.5"/>
    <n v="3617.5"/>
    <s v=""/>
  </r>
  <r>
    <x v="1075"/>
    <x v="130"/>
    <s v="Monday"/>
    <d v="1899-12-30T10:32:48"/>
    <s v="FUTURE"/>
    <s v="BUY"/>
    <n v="1"/>
    <s v="TO OPEN"/>
    <x v="14"/>
    <d v="2020-12-20T00:00:00"/>
    <m/>
    <s v="FUTURE"/>
    <n v="3611.5"/>
    <n v="3611.5"/>
    <s v="LMT"/>
    <n v="4"/>
    <n v="72320"/>
    <n v="3616"/>
    <s v=""/>
  </r>
  <r>
    <x v="1075"/>
    <x v="130"/>
    <s v="Monday"/>
    <d v="1899-12-30T11:23:54"/>
    <s v="FUTURE"/>
    <s v="BUY"/>
    <n v="1"/>
    <s v="TO OPEN"/>
    <x v="14"/>
    <d v="2020-12-20T00:00:00"/>
    <m/>
    <s v="FUTURE"/>
    <n v="3605"/>
    <n v="3605"/>
    <s v="LMT"/>
    <n v="5"/>
    <n v="90345"/>
    <n v="3613.8"/>
    <s v=""/>
  </r>
  <r>
    <x v="1075"/>
    <x v="130"/>
    <s v="Monday"/>
    <d v="1899-12-30T12:31:01"/>
    <s v="FUTURE"/>
    <s v="SELL"/>
    <n v="-1"/>
    <s v="TO CLOSE"/>
    <x v="14"/>
    <d v="2020-12-20T00:00:00"/>
    <m/>
    <s v="FUTURE"/>
    <n v="3610.75"/>
    <n v="3610.75"/>
    <s v="LMT"/>
    <n v="4"/>
    <n v="72291.25"/>
    <n v="3614.5625"/>
    <s v=""/>
  </r>
  <r>
    <x v="1075"/>
    <x v="130"/>
    <s v="Monday"/>
    <d v="1899-12-30T13:28:17"/>
    <s v="FUTURE"/>
    <s v="SELL"/>
    <n v="-2"/>
    <s v="TO CLOSE"/>
    <x v="14"/>
    <d v="2020-12-20T00:00:00"/>
    <m/>
    <s v="FUTURE"/>
    <n v="3613.75"/>
    <n v="3613.75"/>
    <s v="LMT"/>
    <n v="2"/>
    <n v="36153.75"/>
    <n v="3615.375"/>
    <s v=""/>
  </r>
  <r>
    <x v="1075"/>
    <x v="130"/>
    <s v="Monday"/>
    <d v="1899-12-30T14:10:00"/>
    <s v="FUTURE"/>
    <s v="BUY"/>
    <n v="1"/>
    <s v="TO OPEN"/>
    <x v="14"/>
    <d v="2020-12-20T00:00:00"/>
    <m/>
    <s v="FUTURE"/>
    <n v="3609.75"/>
    <n v="3609.75"/>
    <s v="LMT"/>
    <n v="3"/>
    <n v="54202.5"/>
    <n v="3613.5"/>
    <s v=""/>
  </r>
  <r>
    <x v="1075"/>
    <x v="130"/>
    <s v="Monday"/>
    <d v="1899-12-30T14:28:05"/>
    <s v="FUTURE"/>
    <s v="SELL"/>
    <n v="-1"/>
    <s v="TO CLOSE"/>
    <x v="14"/>
    <d v="2020-12-20T00:00:00"/>
    <m/>
    <s v="FUTURE"/>
    <n v="3614.25"/>
    <n v="3614.25"/>
    <s v="LMT"/>
    <n v="2"/>
    <n v="36131.25"/>
    <n v="3613.125"/>
    <s v=""/>
  </r>
  <r>
    <x v="1075"/>
    <x v="130"/>
    <s v="Monday"/>
    <d v="1899-12-30T14:52:33"/>
    <s v="FUTURE"/>
    <s v="SELL"/>
    <n v="-1"/>
    <s v="TO CLOSE"/>
    <x v="14"/>
    <d v="2020-12-20T00:00:00"/>
    <m/>
    <s v="FUTURE"/>
    <n v="3615.5"/>
    <n v="3615.5"/>
    <s v="LMT"/>
    <n v="1"/>
    <n v="18053.75"/>
    <n v="3610.75"/>
    <s v=""/>
  </r>
  <r>
    <x v="1075"/>
    <x v="130"/>
    <s v="Monday"/>
    <d v="1899-12-30T14:57:23"/>
    <s v="FUTURE"/>
    <s v="SELL"/>
    <n v="-1"/>
    <s v="TO CLOSE"/>
    <x v="14"/>
    <d v="2020-12-20T00:00:00"/>
    <m/>
    <s v="FUTURE"/>
    <n v="3619.5"/>
    <n v="3619.5"/>
    <s v="LMT"/>
    <n v="0"/>
    <n v="0"/>
    <s v=""/>
    <n v="43.75"/>
  </r>
  <r>
    <x v="1076"/>
    <x v="130"/>
    <s v="Monday"/>
    <d v="1899-12-30T11:39:29"/>
    <s v="STOCK"/>
    <s v="SELL"/>
    <n v="-60"/>
    <s v="TO OPEN"/>
    <x v="2"/>
    <m/>
    <m/>
    <s v="STOCK"/>
    <n v="17.899999999999999"/>
    <n v="17.899999999999999"/>
    <s v="LMT"/>
    <n v="-60"/>
    <n v="-1074"/>
    <n v="17.899999999999999"/>
    <s v=""/>
  </r>
  <r>
    <x v="1076"/>
    <x v="130"/>
    <s v="Monday"/>
    <d v="1899-12-30T11:40:14"/>
    <s v="STOCK"/>
    <s v="SELL"/>
    <n v="-140"/>
    <s v="TO OPEN"/>
    <x v="2"/>
    <m/>
    <m/>
    <s v="STOCK"/>
    <n v="17.899999999999999"/>
    <n v="17.899999999999999"/>
    <s v="LMT"/>
    <n v="-200"/>
    <n v="-3580"/>
    <n v="17.899999999999999"/>
    <s v=""/>
  </r>
  <r>
    <x v="1076"/>
    <x v="130"/>
    <s v="Monday"/>
    <d v="1899-12-30T11:49:48"/>
    <s v="STOCK"/>
    <s v="BUY"/>
    <n v="75"/>
    <s v="TO CLOSE"/>
    <x v="2"/>
    <m/>
    <m/>
    <s v="STOCK"/>
    <n v="17.715"/>
    <n v="17.714929999999999"/>
    <s v="LMT"/>
    <n v="-125"/>
    <n v="-2251.375"/>
    <n v="18.010999999999999"/>
    <s v=""/>
  </r>
  <r>
    <x v="1076"/>
    <x v="130"/>
    <s v="Monday"/>
    <d v="1899-12-30T11:51:38"/>
    <s v="STOCK"/>
    <s v="BUY"/>
    <n v="50"/>
    <s v="TO CLOSE"/>
    <x v="2"/>
    <m/>
    <m/>
    <s v="STOCK"/>
    <n v="17.64"/>
    <n v="17.64"/>
    <s v="LMT"/>
    <n v="-75"/>
    <n v="-1369.375"/>
    <n v="18.258333333333333"/>
    <s v=""/>
  </r>
  <r>
    <x v="1076"/>
    <x v="130"/>
    <s v="Monday"/>
    <d v="1899-12-30T12:18:38"/>
    <s v="STOCK"/>
    <s v="BUY"/>
    <n v="25"/>
    <s v="TO CLOSE"/>
    <x v="2"/>
    <m/>
    <m/>
    <s v="STOCK"/>
    <n v="17.6099"/>
    <n v="17.61"/>
    <s v="MKT"/>
    <n v="-50"/>
    <n v="-929.12750000000005"/>
    <n v="18.582550000000001"/>
    <s v=""/>
  </r>
  <r>
    <x v="1076"/>
    <x v="130"/>
    <s v="Monday"/>
    <d v="1899-12-30T12:32:15"/>
    <s v="STOCK"/>
    <s v="BUY"/>
    <n v="50"/>
    <s v="TO CLOSE"/>
    <x v="2"/>
    <m/>
    <m/>
    <s v="STOCK"/>
    <n v="17.605599999999999"/>
    <n v="17.605599999999999"/>
    <s v="MKT"/>
    <n v="0"/>
    <n v="0"/>
    <s v=""/>
    <n v="48.84750000000011"/>
  </r>
  <r>
    <x v="1077"/>
    <x v="131"/>
    <s v="Tuesday"/>
    <d v="1899-12-30T09:31:10"/>
    <s v="FUTURE"/>
    <s v="SELL"/>
    <n v="-1"/>
    <s v="TO OPEN"/>
    <x v="13"/>
    <d v="2020-01-21T00:00:00"/>
    <m/>
    <s v="FUTURE"/>
    <n v="45.01"/>
    <n v="45.01"/>
    <s v="LMT"/>
    <n v="-1"/>
    <n v="-45010"/>
    <n v="45.01"/>
    <s v=""/>
  </r>
  <r>
    <x v="1077"/>
    <x v="131"/>
    <s v="Tuesday"/>
    <d v="1899-12-30T09:46:21"/>
    <s v="FUTURE"/>
    <s v="BUY"/>
    <n v="1"/>
    <s v="TO CLOSE"/>
    <x v="13"/>
    <d v="2020-01-21T00:00:00"/>
    <m/>
    <s v="FUTURE"/>
    <n v="44.99"/>
    <n v="44.99"/>
    <s v="LMT"/>
    <n v="0"/>
    <n v="0"/>
    <s v=""/>
    <n v="19.999999999996021"/>
  </r>
  <r>
    <x v="1078"/>
    <x v="131"/>
    <s v="Tuesday"/>
    <d v="1899-12-30T09:57:36"/>
    <s v="FUTURE"/>
    <s v="SELL"/>
    <n v="-2"/>
    <s v="TO OPEN"/>
    <x v="13"/>
    <d v="2020-01-21T00:00:00"/>
    <m/>
    <s v="FUTURE"/>
    <n v="44.94"/>
    <n v="44.94"/>
    <s v="MKT"/>
    <n v="-2"/>
    <n v="-89880"/>
    <n v="44.94"/>
    <s v=""/>
  </r>
  <r>
    <x v="1078"/>
    <x v="131"/>
    <s v="Tuesday"/>
    <d v="1899-12-30T10:00:30"/>
    <s v="FUTURE"/>
    <s v="BUY"/>
    <n v="1"/>
    <s v="TO CLOSE"/>
    <x v="13"/>
    <d v="2020-01-21T00:00:00"/>
    <m/>
    <s v="FUTURE"/>
    <n v="44.92"/>
    <n v="44.92"/>
    <s v="LMT"/>
    <n v="-1"/>
    <n v="-44960"/>
    <n v="44.96"/>
    <s v=""/>
  </r>
  <r>
    <x v="1078"/>
    <x v="131"/>
    <s v="Tuesday"/>
    <d v="1899-12-30T10:01:05"/>
    <s v="FUTURE"/>
    <s v="BUY"/>
    <n v="1"/>
    <s v="TO CLOSE"/>
    <x v="13"/>
    <d v="2020-01-21T00:00:00"/>
    <m/>
    <s v="FUTURE"/>
    <n v="44.77"/>
    <n v="44.77"/>
    <s v="LMT"/>
    <n v="0"/>
    <n v="0"/>
    <s v=""/>
    <n v="189.99999999999773"/>
  </r>
  <r>
    <x v="1079"/>
    <x v="131"/>
    <s v="Tuesday"/>
    <d v="1899-12-30T11:24:59"/>
    <s v="FUTURE"/>
    <s v="SELL"/>
    <n v="-1"/>
    <s v="TO OPEN"/>
    <x v="13"/>
    <d v="2020-01-21T00:00:00"/>
    <m/>
    <s v="FUTURE"/>
    <n v="44.62"/>
    <n v="44.62"/>
    <s v="MKT"/>
    <n v="-1"/>
    <n v="-44620"/>
    <n v="44.62"/>
    <s v=""/>
  </r>
  <r>
    <x v="1079"/>
    <x v="131"/>
    <s v="Tuesday"/>
    <d v="1899-12-30T11:28:21"/>
    <s v="FUTURE"/>
    <s v="BUY"/>
    <n v="1"/>
    <s v="TO CLOSE"/>
    <x v="13"/>
    <d v="2020-01-21T00:00:00"/>
    <m/>
    <s v="FUTURE"/>
    <n v="44.58"/>
    <n v="44.58"/>
    <s v="LMT"/>
    <n v="0"/>
    <n v="0"/>
    <s v=""/>
    <n v="39.999999999999147"/>
  </r>
  <r>
    <x v="1080"/>
    <x v="131"/>
    <s v="Tuesday"/>
    <d v="1899-12-30T13:20:07"/>
    <s v="FUTURE"/>
    <s v="SELL"/>
    <n v="-1"/>
    <s v="TO OPEN"/>
    <x v="12"/>
    <d v="2020-12-20T00:00:00"/>
    <m/>
    <s v="FUTURE"/>
    <n v="3667"/>
    <n v="3667"/>
    <s v="LMT"/>
    <n v="-1"/>
    <n v="-183350"/>
    <n v="3667"/>
    <s v=""/>
  </r>
  <r>
    <x v="1080"/>
    <x v="131"/>
    <s v="Tuesday"/>
    <d v="1899-12-30T15:02:00"/>
    <s v="FUTURE"/>
    <s v="BUY"/>
    <n v="1"/>
    <s v="TO CLOSE"/>
    <x v="12"/>
    <d v="2020-12-20T00:00:00"/>
    <m/>
    <s v="FUTURE"/>
    <n v="3666"/>
    <n v="3666"/>
    <s v="LMT"/>
    <n v="0"/>
    <n v="0"/>
    <s v=""/>
    <n v="50"/>
  </r>
  <r>
    <x v="1081"/>
    <x v="131"/>
    <s v="Tuesday"/>
    <d v="1899-12-30T09:32:13"/>
    <s v="FUTURE"/>
    <s v="SELL"/>
    <n v="-2"/>
    <s v="TO OPEN"/>
    <x v="14"/>
    <d v="2020-12-20T00:00:00"/>
    <m/>
    <s v="FUTURE"/>
    <n v="3655.75"/>
    <n v="3655.75"/>
    <s v="LMT"/>
    <n v="-2"/>
    <n v="-36557.5"/>
    <n v="3655.75"/>
    <s v=""/>
  </r>
  <r>
    <x v="1081"/>
    <x v="131"/>
    <s v="Tuesday"/>
    <d v="1899-12-30T09:51:23"/>
    <s v="FUTURE"/>
    <s v="SELL"/>
    <n v="-1"/>
    <s v="TO OPEN"/>
    <x v="14"/>
    <d v="2020-12-20T00:00:00"/>
    <m/>
    <s v="FUTURE"/>
    <n v="3661.75"/>
    <n v="3661.75"/>
    <s v="LMT"/>
    <n v="-3"/>
    <n v="-54866.25"/>
    <n v="3657.75"/>
    <s v=""/>
  </r>
  <r>
    <x v="1081"/>
    <x v="131"/>
    <s v="Tuesday"/>
    <d v="1899-12-30T10:07:15"/>
    <s v="FUTURE"/>
    <s v="SELL"/>
    <n v="-1"/>
    <s v="TO OPEN"/>
    <x v="14"/>
    <d v="2020-12-20T00:00:00"/>
    <m/>
    <s v="FUTURE"/>
    <n v="3667.75"/>
    <n v="3667.75"/>
    <s v="LMT"/>
    <n v="-4"/>
    <n v="-73205"/>
    <n v="3660.25"/>
    <s v=""/>
  </r>
  <r>
    <x v="1081"/>
    <x v="131"/>
    <s v="Tuesday"/>
    <d v="1899-12-30T10:20:58"/>
    <s v="FUTURE"/>
    <s v="SELL"/>
    <n v="-1"/>
    <s v="TO OPEN"/>
    <x v="14"/>
    <d v="2020-12-20T00:00:00"/>
    <m/>
    <s v="FUTURE"/>
    <n v="3672.75"/>
    <n v="3672.75"/>
    <s v="LMT"/>
    <n v="-5"/>
    <n v="-91568.75"/>
    <n v="3662.75"/>
    <s v=""/>
  </r>
  <r>
    <x v="1081"/>
    <x v="131"/>
    <s v="Tuesday"/>
    <d v="1899-12-30T10:48:53"/>
    <s v="FUTURE"/>
    <s v="BUY"/>
    <n v="1"/>
    <s v="TO CLOSE"/>
    <x v="14"/>
    <d v="2020-12-20T00:00:00"/>
    <m/>
    <s v="FUTURE"/>
    <n v="3659.5"/>
    <n v="3659.5"/>
    <s v="LMT"/>
    <n v="-4"/>
    <n v="-73271.25"/>
    <n v="3663.5625"/>
    <s v=""/>
  </r>
  <r>
    <x v="1081"/>
    <x v="131"/>
    <s v="Tuesday"/>
    <d v="1899-12-30T11:10:08"/>
    <s v="FUTURE"/>
    <s v="SELL"/>
    <n v="-1"/>
    <s v="TO OPEN"/>
    <x v="14"/>
    <d v="2020-12-20T00:00:00"/>
    <m/>
    <s v="FUTURE"/>
    <n v="3669.5"/>
    <n v="3669.5"/>
    <s v="LMT"/>
    <n v="-5"/>
    <n v="-91618.75"/>
    <n v="3664.75"/>
    <s v=""/>
  </r>
  <r>
    <x v="1081"/>
    <x v="131"/>
    <s v="Tuesday"/>
    <d v="1899-12-30T12:01:17"/>
    <s v="FUTURE"/>
    <s v="BUY"/>
    <n v="1"/>
    <s v="TO CLOSE"/>
    <x v="14"/>
    <d v="2020-12-20T00:00:00"/>
    <m/>
    <s v="FUTURE"/>
    <n v="3663.5"/>
    <n v="3663.5"/>
    <s v="LMT"/>
    <n v="-4"/>
    <n v="-73301.25"/>
    <n v="3665.0625"/>
    <s v=""/>
  </r>
  <r>
    <x v="1081"/>
    <x v="131"/>
    <s v="Tuesday"/>
    <d v="1899-12-30T13:00:23"/>
    <s v="FUTURE"/>
    <s v="SELL"/>
    <n v="-1"/>
    <s v="TO OPEN"/>
    <x v="14"/>
    <d v="2020-12-20T00:00:00"/>
    <m/>
    <s v="FUTURE"/>
    <n v="3666"/>
    <n v="3666"/>
    <s v="LMT"/>
    <n v="-5"/>
    <n v="-91631.25"/>
    <n v="3665.25"/>
    <s v=""/>
  </r>
  <r>
    <x v="1081"/>
    <x v="131"/>
    <s v="Tuesday"/>
    <d v="1899-12-30T15:05:37"/>
    <s v="FUTURE"/>
    <s v="BUY"/>
    <n v="1"/>
    <s v="TO CLOSE"/>
    <x v="14"/>
    <d v="2020-12-20T00:00:00"/>
    <m/>
    <s v="FUTURE"/>
    <n v="3663"/>
    <n v="3663"/>
    <s v="LMT"/>
    <n v="-4"/>
    <n v="-73316.25"/>
    <n v="3665.8125"/>
    <s v=""/>
  </r>
  <r>
    <x v="1081"/>
    <x v="131"/>
    <s v="Tuesday"/>
    <d v="1899-12-30T15:05:51"/>
    <s v="FUTURE"/>
    <s v="BUY"/>
    <n v="1"/>
    <s v="TO CLOSE"/>
    <x v="14"/>
    <d v="2020-12-20T00:00:00"/>
    <m/>
    <s v="FUTURE"/>
    <n v="3662.5"/>
    <n v="3662.5"/>
    <s v="LMT"/>
    <n v="-3"/>
    <n v="-55003.75"/>
    <n v="3666.9166666666665"/>
    <s v=""/>
  </r>
  <r>
    <x v="1081"/>
    <x v="131"/>
    <s v="Tuesday"/>
    <d v="1899-12-30T15:06:17"/>
    <s v="FUTURE"/>
    <s v="BUY"/>
    <n v="1"/>
    <s v="TO CLOSE"/>
    <x v="14"/>
    <d v="2020-12-20T00:00:00"/>
    <m/>
    <s v="FUTURE"/>
    <n v="3661.5"/>
    <n v="3661.5"/>
    <s v="LMT"/>
    <n v="-2"/>
    <n v="-36696.25"/>
    <n v="3669.625"/>
    <s v=""/>
  </r>
  <r>
    <x v="1081"/>
    <x v="131"/>
    <s v="Tuesday"/>
    <d v="1899-12-30T15:07:24"/>
    <s v="FUTURE"/>
    <s v="BUY"/>
    <n v="1"/>
    <s v="TO CLOSE"/>
    <x v="14"/>
    <d v="2020-12-20T00:00:00"/>
    <m/>
    <s v="FUTURE"/>
    <n v="3660.25"/>
    <n v="3660.25"/>
    <s v="LMT"/>
    <n v="-1"/>
    <n v="-18395"/>
    <n v="3679"/>
    <s v=""/>
  </r>
  <r>
    <x v="1081"/>
    <x v="131"/>
    <s v="Tuesday"/>
    <d v="1899-12-30T15:07:44"/>
    <s v="FUTURE"/>
    <s v="BUY"/>
    <n v="1"/>
    <s v="TO CLOSE"/>
    <x v="14"/>
    <d v="2020-12-20T00:00:00"/>
    <m/>
    <s v="FUTURE"/>
    <n v="3660.5"/>
    <n v="3660.5"/>
    <s v="MKT"/>
    <n v="0"/>
    <n v="0"/>
    <s v=""/>
    <n v="92.5"/>
  </r>
  <r>
    <x v="1082"/>
    <x v="132"/>
    <s v="Wednesday"/>
    <d v="1899-12-30T09:53:44"/>
    <s v="FUTURE"/>
    <s v="SELL"/>
    <n v="-1"/>
    <s v="TO OPEN"/>
    <x v="13"/>
    <d v="2020-01-21T00:00:00"/>
    <m/>
    <s v="FUTURE"/>
    <n v="44.87"/>
    <n v="44.87"/>
    <s v="LMT"/>
    <n v="-1"/>
    <n v="-44870"/>
    <n v="44.87"/>
    <s v=""/>
  </r>
  <r>
    <x v="1082"/>
    <x v="132"/>
    <s v="Wednesday"/>
    <d v="1899-12-30T09:56:35"/>
    <s v="FUTURE"/>
    <s v="BUY"/>
    <n v="1"/>
    <s v="TO CLOSE"/>
    <x v="13"/>
    <d v="2020-01-21T00:00:00"/>
    <m/>
    <s v="FUTURE"/>
    <n v="44.85"/>
    <n v="44.85"/>
    <s v="LMT"/>
    <n v="0"/>
    <n v="0"/>
    <s v=""/>
    <n v="19.999999999996021"/>
  </r>
  <r>
    <x v="1083"/>
    <x v="132"/>
    <s v="Wednesday"/>
    <d v="1899-12-30T10:00:47"/>
    <s v="FUTURE"/>
    <s v="SELL"/>
    <n v="-1"/>
    <s v="TO OPEN"/>
    <x v="13"/>
    <d v="2020-01-21T00:00:00"/>
    <m/>
    <s v="FUTURE"/>
    <n v="44.88"/>
    <n v="44.88"/>
    <s v="MKT"/>
    <n v="-1"/>
    <n v="-44880"/>
    <n v="44.88"/>
    <s v=""/>
  </r>
  <r>
    <x v="1083"/>
    <x v="132"/>
    <s v="Wednesday"/>
    <d v="1899-12-30T10:04:53"/>
    <s v="FUTURE"/>
    <s v="SELL"/>
    <n v="-1"/>
    <s v="TO OPEN"/>
    <x v="13"/>
    <d v="2020-01-21T00:00:00"/>
    <m/>
    <s v="FUTURE"/>
    <n v="45.08"/>
    <n v="45.08"/>
    <s v="LMT"/>
    <n v="-2"/>
    <n v="-89960"/>
    <n v="44.98"/>
    <s v=""/>
  </r>
  <r>
    <x v="1083"/>
    <x v="132"/>
    <s v="Wednesday"/>
    <d v="1899-12-30T10:05:49"/>
    <s v="FUTURE"/>
    <s v="BUY"/>
    <n v="1"/>
    <s v="TO CLOSE"/>
    <x v="13"/>
    <d v="2020-01-21T00:00:00"/>
    <m/>
    <s v="FUTURE"/>
    <n v="44.98"/>
    <n v="44.98"/>
    <s v="LMT"/>
    <n v="-1"/>
    <n v="-44980"/>
    <n v="44.98"/>
    <s v=""/>
  </r>
  <r>
    <x v="1083"/>
    <x v="132"/>
    <s v="Wednesday"/>
    <d v="1899-12-30T10:08:33"/>
    <s v="FUTURE"/>
    <s v="BUY"/>
    <n v="1"/>
    <s v="TO CLOSE"/>
    <x v="13"/>
    <d v="2020-01-21T00:00:00"/>
    <m/>
    <s v="FUTURE"/>
    <n v="44.77"/>
    <n v="44.77"/>
    <s v="LMT"/>
    <n v="0"/>
    <n v="0"/>
    <s v=""/>
    <n v="209.99999999999375"/>
  </r>
  <r>
    <x v="1084"/>
    <x v="132"/>
    <s v="Wednesday"/>
    <d v="1899-12-30T10:48:05"/>
    <s v="FUTURE"/>
    <s v="SELL"/>
    <n v="-1"/>
    <s v="TO OPEN"/>
    <x v="13"/>
    <d v="2020-01-21T00:00:00"/>
    <m/>
    <s v="FUTURE"/>
    <n v="45.11"/>
    <n v="45.11"/>
    <s v="LMT"/>
    <n v="-1"/>
    <n v="-45110"/>
    <n v="45.11"/>
    <s v=""/>
  </r>
  <r>
    <x v="1084"/>
    <x v="132"/>
    <s v="Wednesday"/>
    <d v="1899-12-30T11:10:03"/>
    <s v="FUTURE"/>
    <s v="SELL"/>
    <n v="-1"/>
    <s v="TO OPEN"/>
    <x v="13"/>
    <d v="2020-01-21T00:00:00"/>
    <m/>
    <s v="FUTURE"/>
    <n v="45.25"/>
    <n v="45.25"/>
    <s v="LMT"/>
    <n v="-2"/>
    <n v="-90360"/>
    <n v="45.18"/>
    <s v=""/>
  </r>
  <r>
    <x v="1084"/>
    <x v="132"/>
    <s v="Wednesday"/>
    <d v="1899-12-30T13:39:38"/>
    <s v="FUTURE"/>
    <s v="BUY"/>
    <n v="1"/>
    <s v="TO CLOSE"/>
    <x v="13"/>
    <d v="2020-01-21T00:00:00"/>
    <m/>
    <s v="FUTURE"/>
    <n v="45.44"/>
    <n v="45.44"/>
    <s v="LMT"/>
    <n v="-1"/>
    <n v="-44920"/>
    <n v="44.92"/>
    <s v=""/>
  </r>
  <r>
    <x v="1084"/>
    <x v="132"/>
    <s v="Wednesday"/>
    <d v="1899-12-30T14:05:19"/>
    <s v="FUTURE"/>
    <s v="BUY"/>
    <n v="1"/>
    <s v="TO CLOSE"/>
    <x v="13"/>
    <d v="2020-01-21T00:00:00"/>
    <m/>
    <s v="FUTURE"/>
    <n v="45.34"/>
    <n v="45.34"/>
    <s v="MKT"/>
    <n v="0"/>
    <n v="0"/>
    <s v=""/>
    <n v="-420.00000000000171"/>
  </r>
  <r>
    <x v="1085"/>
    <x v="132"/>
    <s v="Wednesday"/>
    <d v="1899-12-30T14:17:57"/>
    <s v="FUTURE"/>
    <s v="BUY"/>
    <n v="2"/>
    <s v="TO OPEN"/>
    <x v="13"/>
    <d v="2020-01-21T00:00:00"/>
    <m/>
    <s v="FUTURE"/>
    <n v="45.29"/>
    <n v="45.29"/>
    <s v="MKT"/>
    <n v="2"/>
    <n v="90580"/>
    <n v="45.29"/>
    <s v=""/>
  </r>
  <r>
    <x v="1085"/>
    <x v="132"/>
    <s v="Wednesday"/>
    <d v="1899-12-30T14:22:05"/>
    <s v="FUTURE"/>
    <s v="SELL"/>
    <n v="-1"/>
    <s v="TO CLOSE"/>
    <x v="13"/>
    <d v="2020-01-21T00:00:00"/>
    <m/>
    <s v="FUTURE"/>
    <n v="45.37"/>
    <n v="45.37"/>
    <s v="LMT"/>
    <n v="1"/>
    <n v="45210"/>
    <n v="45.21"/>
    <s v=""/>
  </r>
  <r>
    <x v="1085"/>
    <x v="132"/>
    <s v="Wednesday"/>
    <d v="1899-12-30T14:23:12"/>
    <s v="FUTURE"/>
    <s v="SELL"/>
    <n v="-1"/>
    <s v="TO CLOSE"/>
    <x v="13"/>
    <d v="2020-01-21T00:00:00"/>
    <m/>
    <s v="FUTURE"/>
    <n v="45.34"/>
    <n v="45.34"/>
    <s v="LMT"/>
    <n v="0"/>
    <n v="0"/>
    <s v=""/>
    <n v="130.00000000000256"/>
  </r>
  <r>
    <x v="1086"/>
    <x v="132"/>
    <s v="Wednesday"/>
    <d v="1899-12-30T09:33:08"/>
    <s v="FUTURE"/>
    <s v="SELL"/>
    <n v="-1"/>
    <s v="TO OPEN"/>
    <x v="12"/>
    <d v="2020-12-20T00:00:00"/>
    <m/>
    <s v="FUTURE"/>
    <n v="3645"/>
    <n v="3645"/>
    <s v="LMT"/>
    <n v="-1"/>
    <n v="-182250"/>
    <n v="3645"/>
    <s v=""/>
  </r>
  <r>
    <x v="1086"/>
    <x v="132"/>
    <s v="Wednesday"/>
    <d v="1899-12-30T09:33:31"/>
    <s v="FUTURE"/>
    <s v="BUY"/>
    <n v="1"/>
    <s v="TO CLOSE"/>
    <x v="12"/>
    <d v="2020-12-20T00:00:00"/>
    <m/>
    <s v="FUTURE"/>
    <n v="3644.75"/>
    <n v="3644.75"/>
    <s v="STP"/>
    <n v="0"/>
    <n v="0"/>
    <s v=""/>
    <n v="12.5"/>
  </r>
  <r>
    <x v="1087"/>
    <x v="132"/>
    <s v="Wednesday"/>
    <d v="1899-12-30T09:44:17"/>
    <s v="FUTURE"/>
    <s v="SELL"/>
    <n v="-1"/>
    <s v="TO OPEN"/>
    <x v="12"/>
    <d v="2020-12-20T00:00:00"/>
    <m/>
    <s v="FUTURE"/>
    <n v="3646.5"/>
    <n v="3646.5"/>
    <s v="MKT"/>
    <n v="-1"/>
    <n v="-182325"/>
    <n v="3646.5"/>
    <s v=""/>
  </r>
  <r>
    <x v="1087"/>
    <x v="132"/>
    <s v="Wednesday"/>
    <d v="1899-12-30T09:49:00"/>
    <s v="FUTURE"/>
    <s v="BUY"/>
    <n v="1"/>
    <s v="TO CLOSE"/>
    <x v="12"/>
    <d v="2020-12-20T00:00:00"/>
    <m/>
    <s v="FUTURE"/>
    <n v="3646"/>
    <n v="3646"/>
    <s v="STP"/>
    <n v="0"/>
    <n v="0"/>
    <s v=""/>
    <n v="25"/>
  </r>
  <r>
    <x v="1088"/>
    <x v="132"/>
    <s v="Wednesday"/>
    <d v="1899-12-30T14:49:29"/>
    <s v="FUTURE"/>
    <s v="SELL"/>
    <n v="-1"/>
    <s v="TO OPEN"/>
    <x v="12"/>
    <d v="2020-12-20T00:00:00"/>
    <m/>
    <s v="FUTURE"/>
    <n v="3665.25"/>
    <n v="3665.25"/>
    <s v="LMT"/>
    <n v="-1"/>
    <n v="-183262.5"/>
    <n v="3665.25"/>
    <s v=""/>
  </r>
  <r>
    <x v="1088"/>
    <x v="132"/>
    <s v="Wednesday"/>
    <d v="1899-12-30T15:23:20"/>
    <s v="FUTURE"/>
    <s v="BUY"/>
    <n v="1"/>
    <s v="TO CLOSE"/>
    <x v="12"/>
    <d v="2020-12-20T00:00:00"/>
    <m/>
    <s v="FUTURE"/>
    <n v="3664"/>
    <n v="3664"/>
    <s v="LMT"/>
    <n v="0"/>
    <n v="0"/>
    <s v=""/>
    <n v="62.5"/>
  </r>
  <r>
    <x v="1089"/>
    <x v="132"/>
    <s v="Wednesday"/>
    <d v="1899-12-30T09:22:09"/>
    <s v="FUTURE"/>
    <s v="SELL"/>
    <n v="-2"/>
    <s v="TO OPEN"/>
    <x v="14"/>
    <d v="2020-12-20T00:00:00"/>
    <m/>
    <s v="FUTURE"/>
    <n v="3646"/>
    <n v="3646"/>
    <s v="MKT"/>
    <n v="-2"/>
    <n v="-36460"/>
    <n v="3646"/>
    <s v=""/>
  </r>
  <r>
    <x v="1089"/>
    <x v="132"/>
    <s v="Wednesday"/>
    <d v="1899-12-30T09:38:03"/>
    <s v="FUTURE"/>
    <s v="SELL"/>
    <n v="-1"/>
    <s v="TO OPEN"/>
    <x v="14"/>
    <d v="2020-12-20T00:00:00"/>
    <m/>
    <s v="FUTURE"/>
    <n v="3652"/>
    <n v="3652"/>
    <s v="LMT"/>
    <n v="-3"/>
    <n v="-54720"/>
    <n v="3648"/>
    <s v=""/>
  </r>
  <r>
    <x v="1089"/>
    <x v="132"/>
    <s v="Wednesday"/>
    <d v="1899-12-30T10:28:24"/>
    <s v="FUTURE"/>
    <s v="SELL"/>
    <n v="-1"/>
    <s v="TO OPEN"/>
    <x v="14"/>
    <d v="2020-12-20T00:00:00"/>
    <m/>
    <s v="FUTURE"/>
    <n v="3656"/>
    <n v="3656"/>
    <s v="LMT"/>
    <n v="-4"/>
    <n v="-73000"/>
    <n v="3650"/>
    <s v=""/>
  </r>
  <r>
    <x v="1089"/>
    <x v="132"/>
    <s v="Wednesday"/>
    <d v="1899-12-30T14:45:13"/>
    <s v="FUTURE"/>
    <s v="SELL"/>
    <n v="-1"/>
    <s v="TO OPEN"/>
    <x v="14"/>
    <d v="2020-12-20T00:00:00"/>
    <m/>
    <s v="FUTURE"/>
    <n v="3665"/>
    <n v="3665"/>
    <s v="LMT"/>
    <n v="-5"/>
    <n v="-91325"/>
    <n v="3653"/>
    <s v=""/>
  </r>
  <r>
    <x v="1089"/>
    <x v="133"/>
    <s v="Thursday"/>
    <d v="1899-12-30T00:01:02"/>
    <s v="FUTURE"/>
    <s v="BUY"/>
    <n v="1"/>
    <s v="TO CLOSE"/>
    <x v="14"/>
    <d v="2020-12-20T00:00:00"/>
    <m/>
    <s v="FUTURE"/>
    <n v="3661.75"/>
    <n v="3661.75"/>
    <s v="LMT"/>
    <n v="-4"/>
    <n v="-73016.25"/>
    <n v="3650.8125"/>
    <s v=""/>
  </r>
  <r>
    <x v="1089"/>
    <x v="133"/>
    <s v="Thursday"/>
    <d v="1899-12-30T01:29:41"/>
    <s v="FUTURE"/>
    <s v="BUY"/>
    <n v="4"/>
    <s v="TO CLOSE"/>
    <x v="14"/>
    <d v="2020-12-20T00:00:00"/>
    <m/>
    <s v="FUTURE"/>
    <n v="3665"/>
    <n v="3665"/>
    <s v="MKT"/>
    <n v="0"/>
    <n v="0"/>
    <s v=""/>
    <n v="-283.75"/>
  </r>
  <r>
    <x v="1090"/>
    <x v="133"/>
    <s v="Thursday"/>
    <d v="1899-12-30T11:51:24"/>
    <s v="FUTURE"/>
    <s v="SELL"/>
    <n v="-1"/>
    <s v="TO OPEN"/>
    <x v="13"/>
    <d v="2020-01-21T00:00:00"/>
    <m/>
    <s v="FUTURE"/>
    <n v="45.31"/>
    <n v="45.31"/>
    <s v="LMT"/>
    <n v="-1"/>
    <n v="-45310"/>
    <n v="45.31"/>
    <s v=""/>
  </r>
  <r>
    <x v="1090"/>
    <x v="133"/>
    <s v="Thursday"/>
    <d v="1899-12-30T11:52:40"/>
    <s v="FUTURE"/>
    <s v="BUY"/>
    <n v="1"/>
    <s v="TO CLOSE"/>
    <x v="13"/>
    <d v="2020-01-21T00:00:00"/>
    <m/>
    <s v="FUTURE"/>
    <n v="45.27"/>
    <n v="45.27"/>
    <s v="MKT"/>
    <n v="0"/>
    <n v="0"/>
    <s v=""/>
    <n v="39.999999999999147"/>
  </r>
  <r>
    <x v="1091"/>
    <x v="133"/>
    <s v="Thursday"/>
    <d v="1899-12-30T09:29:51"/>
    <s v="FUTURE"/>
    <s v="SELL"/>
    <n v="-1"/>
    <s v="TO OPEN"/>
    <x v="12"/>
    <d v="2020-12-20T00:00:00"/>
    <m/>
    <s v="FUTURE"/>
    <n v="3667.25"/>
    <n v="3667.25"/>
    <s v="LMT"/>
    <n v="-1"/>
    <n v="-183362.5"/>
    <n v="3667.25"/>
    <s v=""/>
  </r>
  <r>
    <x v="1091"/>
    <x v="133"/>
    <s v="Thursday"/>
    <d v="1899-12-30T10:12:53"/>
    <s v="FUTURE"/>
    <s v="BUY"/>
    <n v="2"/>
    <s v="TO CLOSE"/>
    <x v="12"/>
    <d v="2020-12-20T00:00:00"/>
    <m/>
    <s v="FUTURE"/>
    <n v="3674.5"/>
    <n v="3674.5"/>
    <s v="MKT"/>
    <n v="1"/>
    <n v="184087.5"/>
    <n v="3681.75"/>
    <s v=""/>
  </r>
  <r>
    <x v="1091"/>
    <x v="133"/>
    <s v="Thursday"/>
    <d v="1899-12-30T10:20:04"/>
    <s v="FUTURE"/>
    <s v="SELL"/>
    <n v="-1"/>
    <s v="TO CLOSE"/>
    <x v="12"/>
    <d v="2020-12-20T00:00:00"/>
    <m/>
    <s v="FUTURE"/>
    <n v="3678.75"/>
    <n v="3678.75"/>
    <s v="LMT"/>
    <n v="0"/>
    <n v="0"/>
    <s v=""/>
    <n v="-150"/>
  </r>
  <r>
    <x v="1092"/>
    <x v="133"/>
    <s v="Thursday"/>
    <d v="1899-12-30T10:35:24"/>
    <s v="FUTURE"/>
    <s v="SELL"/>
    <n v="-1"/>
    <s v="TO OPEN"/>
    <x v="12"/>
    <d v="2020-12-20T00:00:00"/>
    <m/>
    <s v="FUTURE"/>
    <n v="3677"/>
    <n v="3677"/>
    <s v="MKT"/>
    <n v="-1"/>
    <n v="-183850"/>
    <n v="3677"/>
    <s v=""/>
  </r>
  <r>
    <x v="1092"/>
    <x v="133"/>
    <s v="Thursday"/>
    <d v="1899-12-30T11:11:08"/>
    <s v="FUTURE"/>
    <s v="BUY"/>
    <n v="1"/>
    <s v="TO CLOSE"/>
    <x v="12"/>
    <d v="2020-12-20T00:00:00"/>
    <m/>
    <s v="FUTURE"/>
    <n v="3669.5"/>
    <n v="3669.5"/>
    <s v="MKT"/>
    <n v="0"/>
    <n v="0"/>
    <s v=""/>
    <n v="375"/>
  </r>
  <r>
    <x v="1093"/>
    <x v="133"/>
    <s v="Thursday"/>
    <d v="1899-12-30T10:47:40"/>
    <s v="FUTURE"/>
    <s v="SELL"/>
    <n v="-4"/>
    <s v="TO OPEN"/>
    <x v="14"/>
    <d v="2020-12-20T00:00:00"/>
    <m/>
    <s v="FUTURE"/>
    <n v="3677.5"/>
    <n v="3677.5"/>
    <s v="LMT"/>
    <n v="-4"/>
    <n v="-73550"/>
    <n v="3677.5"/>
    <s v=""/>
  </r>
  <r>
    <x v="1093"/>
    <x v="133"/>
    <s v="Thursday"/>
    <d v="1899-12-30T11:09:03"/>
    <s v="FUTURE"/>
    <s v="BUY"/>
    <n v="2"/>
    <s v="TO CLOSE"/>
    <x v="14"/>
    <d v="2020-12-20T00:00:00"/>
    <m/>
    <s v="FUTURE"/>
    <n v="3674"/>
    <n v="3674"/>
    <s v="LMT"/>
    <n v="-2"/>
    <n v="-36810"/>
    <n v="3681"/>
    <s v=""/>
  </r>
  <r>
    <x v="1093"/>
    <x v="133"/>
    <s v="Thursday"/>
    <d v="1899-12-30T11:11:29"/>
    <s v="FUTURE"/>
    <s v="BUY"/>
    <n v="2"/>
    <s v="TO CLOSE"/>
    <x v="14"/>
    <d v="2020-12-20T00:00:00"/>
    <m/>
    <s v="FUTURE"/>
    <n v="3670.25"/>
    <n v="3670.25"/>
    <s v="MKT"/>
    <n v="0"/>
    <n v="0"/>
    <s v=""/>
    <n v="107.5"/>
  </r>
  <r>
    <x v="1094"/>
    <x v="134"/>
    <s v="Friday"/>
    <d v="1899-12-30T09:10:06"/>
    <s v="FUTURE"/>
    <s v="SELL"/>
    <n v="-1"/>
    <s v="TO OPEN"/>
    <x v="13"/>
    <d v="2020-01-21T00:00:00"/>
    <m/>
    <s v="FUTURE"/>
    <n v="45.84"/>
    <n v="45.84"/>
    <s v="LMT"/>
    <n v="-1"/>
    <n v="-45840"/>
    <n v="45.84"/>
    <s v=""/>
  </r>
  <r>
    <x v="1094"/>
    <x v="134"/>
    <s v="Friday"/>
    <d v="1899-12-30T09:20:23"/>
    <s v="FUTURE"/>
    <s v="BUY"/>
    <n v="1"/>
    <s v="TO CLOSE"/>
    <x v="13"/>
    <d v="2020-01-21T00:00:00"/>
    <m/>
    <s v="FUTURE"/>
    <n v="45.74"/>
    <n v="45.74"/>
    <s v="LMT"/>
    <n v="0"/>
    <n v="0"/>
    <s v=""/>
    <n v="100.00000000000142"/>
  </r>
  <r>
    <x v="1095"/>
    <x v="134"/>
    <s v="Friday"/>
    <d v="1899-12-30T09:30:31"/>
    <s v="FUTURE"/>
    <s v="SELL"/>
    <n v="-1"/>
    <s v="TO OPEN"/>
    <x v="12"/>
    <d v="2020-12-20T00:00:00"/>
    <m/>
    <s v="FUTURE"/>
    <n v="3673"/>
    <n v="3673"/>
    <s v="LMT"/>
    <n v="-1"/>
    <n v="-183650"/>
    <n v="3673"/>
    <s v=""/>
  </r>
  <r>
    <x v="1095"/>
    <x v="134"/>
    <s v="Friday"/>
    <d v="1899-12-30T14:07:00"/>
    <s v="FUTURE"/>
    <s v="BUY"/>
    <n v="2"/>
    <s v="TO CLOSE"/>
    <x v="12"/>
    <d v="2020-12-20T00:00:00"/>
    <m/>
    <s v="FUTURE"/>
    <n v="3688.75"/>
    <n v="3688.75"/>
    <s v="MKT"/>
    <n v="1"/>
    <n v="185225"/>
    <n v="3704.5"/>
    <s v=""/>
  </r>
  <r>
    <x v="1095"/>
    <x v="134"/>
    <s v="Friday"/>
    <d v="1899-12-30T14:49:06"/>
    <s v="FUTURE"/>
    <s v="SELL"/>
    <n v="-1"/>
    <s v="TO CLOSE"/>
    <x v="12"/>
    <d v="2020-12-20T00:00:00"/>
    <m/>
    <s v="FUTURE"/>
    <n v="3691.5"/>
    <n v="3691.5"/>
    <s v="MKT"/>
    <n v="0"/>
    <n v="0"/>
    <s v=""/>
    <n v="-650"/>
  </r>
  <r>
    <x v="1096"/>
    <x v="134"/>
    <s v="Friday"/>
    <d v="1899-12-30T15:04:02"/>
    <s v="FUTURE"/>
    <s v="SELL"/>
    <n v="-1"/>
    <s v="TO OPEN"/>
    <x v="12"/>
    <d v="2020-12-20T00:00:00"/>
    <m/>
    <s v="FUTURE"/>
    <n v="3691.5"/>
    <n v="3691.5"/>
    <s v="MKT"/>
    <n v="-1"/>
    <n v="-184575"/>
    <n v="3691.5"/>
    <s v=""/>
  </r>
  <r>
    <x v="1096"/>
    <x v="134"/>
    <s v="Friday"/>
    <d v="1899-12-30T15:19:26"/>
    <s v="FUTURE"/>
    <s v="BUY"/>
    <n v="1"/>
    <s v="TO CLOSE"/>
    <x v="12"/>
    <d v="2020-12-20T00:00:00"/>
    <m/>
    <s v="FUTURE"/>
    <n v="3690"/>
    <n v="3690"/>
    <s v="STP"/>
    <n v="0"/>
    <n v="0"/>
    <s v=""/>
    <n v="75"/>
  </r>
  <r>
    <x v="1097"/>
    <x v="134"/>
    <s v="Friday"/>
    <d v="1899-12-30T15:39:06"/>
    <s v="FUTURE"/>
    <s v="SELL"/>
    <n v="-4"/>
    <s v="TO OPEN"/>
    <x v="14"/>
    <d v="2020-12-20T00:00:00"/>
    <m/>
    <s v="FUTURE"/>
    <n v="3691.25"/>
    <n v="3691.25"/>
    <s v="LMT"/>
    <n v="-4"/>
    <n v="-73825"/>
    <n v="3691.25"/>
    <s v=""/>
  </r>
  <r>
    <x v="1097"/>
    <x v="134"/>
    <s v="Friday"/>
    <d v="1899-12-30T15:57:51"/>
    <s v="FUTURE"/>
    <s v="SELL"/>
    <n v="-1"/>
    <s v="TO OPEN"/>
    <x v="14"/>
    <d v="2020-12-20T00:00:00"/>
    <m/>
    <s v="FUTURE"/>
    <n v="3696.25"/>
    <n v="3696.25"/>
    <s v="LMT"/>
    <n v="-5"/>
    <n v="-92306.25"/>
    <n v="3692.25"/>
    <s v=""/>
  </r>
  <r>
    <x v="1097"/>
    <x v="134"/>
    <s v="Friday"/>
    <d v="1899-12-30T16:13:14"/>
    <s v="FUTURE"/>
    <s v="BUY"/>
    <n v="1"/>
    <s v="TO CLOSE"/>
    <x v="14"/>
    <d v="2020-12-20T00:00:00"/>
    <m/>
    <s v="FUTURE"/>
    <n v="3692.25"/>
    <n v="3692.25"/>
    <s v="LMT"/>
    <n v="-4"/>
    <n v="-73845"/>
    <n v="3692.25"/>
    <s v=""/>
  </r>
  <r>
    <x v="1097"/>
    <x v="134"/>
    <s v="Friday"/>
    <d v="1899-12-30T16:13:46"/>
    <s v="FUTURE"/>
    <s v="BUY"/>
    <n v="2"/>
    <s v="TO CLOSE"/>
    <x v="14"/>
    <d v="2020-12-20T00:00:00"/>
    <m/>
    <s v="FUTURE"/>
    <n v="3691.5"/>
    <n v="3691.5"/>
    <s v="LMT"/>
    <n v="-2"/>
    <n v="-36930"/>
    <n v="3693"/>
    <s v=""/>
  </r>
  <r>
    <x v="1097"/>
    <x v="134"/>
    <s v="Friday"/>
    <d v="1899-12-30T16:14:03"/>
    <s v="FUTURE"/>
    <s v="BUY"/>
    <n v="1"/>
    <s v="TO CLOSE"/>
    <x v="14"/>
    <d v="2020-12-20T00:00:00"/>
    <m/>
    <s v="FUTURE"/>
    <n v="3690.75"/>
    <n v="3690.75"/>
    <s v="LMT"/>
    <n v="-1"/>
    <n v="-18476.25"/>
    <n v="3695.25"/>
    <s v=""/>
  </r>
  <r>
    <x v="1097"/>
    <x v="134"/>
    <s v="Friday"/>
    <d v="1899-12-30T16:14:25"/>
    <s v="FUTURE"/>
    <s v="BUY"/>
    <n v="1"/>
    <s v="TO CLOSE"/>
    <x v="14"/>
    <d v="2020-12-20T00:00:00"/>
    <m/>
    <s v="FUTURE"/>
    <n v="3690.5"/>
    <n v="3690.5"/>
    <s v="LMT"/>
    <n v="0"/>
    <n v="0"/>
    <s v=""/>
    <n v="23.75"/>
  </r>
  <r>
    <x v="1098"/>
    <x v="134"/>
    <s v="Friday"/>
    <d v="1899-12-30T10:43:59"/>
    <s v="STOCK"/>
    <s v="BUY"/>
    <n v="400"/>
    <s v="TO OPEN"/>
    <x v="2"/>
    <m/>
    <m/>
    <s v="STOCK"/>
    <n v="17.094999999999999"/>
    <n v="17.094999999999999"/>
    <s v="LMT"/>
    <n v="400"/>
    <n v="6838"/>
    <n v="17.094999999999999"/>
    <s v=""/>
  </r>
  <r>
    <x v="1098"/>
    <x v="134"/>
    <s v="Friday"/>
    <d v="1899-12-30T13:29:28"/>
    <s v="STOCK"/>
    <s v="SELL"/>
    <n v="-100"/>
    <s v="TO CLOSE"/>
    <x v="2"/>
    <m/>
    <m/>
    <s v="STOCK"/>
    <n v="17.11"/>
    <n v="17.11"/>
    <s v="LMT"/>
    <n v="300"/>
    <n v="5127"/>
    <n v="17.09"/>
    <s v=""/>
  </r>
  <r>
    <x v="1098"/>
    <x v="134"/>
    <s v="Friday"/>
    <d v="1899-12-30T13:32:59"/>
    <s v="STOCK"/>
    <s v="SELL"/>
    <n v="-200"/>
    <s v="TO CLOSE"/>
    <x v="2"/>
    <m/>
    <m/>
    <s v="STOCK"/>
    <n v="17.105"/>
    <n v="17.105"/>
    <s v="LMT"/>
    <n v="100"/>
    <n v="1706"/>
    <n v="17.059999999999999"/>
    <s v=""/>
  </r>
  <r>
    <x v="1098"/>
    <x v="134"/>
    <s v="Friday"/>
    <d v="1899-12-30T13:36:25"/>
    <s v="STOCK"/>
    <s v="SELL"/>
    <n v="-100"/>
    <s v="TO CLOSE"/>
    <x v="2"/>
    <m/>
    <m/>
    <s v="STOCK"/>
    <n v="17.079999999999998"/>
    <n v="17.079999999999998"/>
    <s v="LMT"/>
    <n v="0"/>
    <n v="0"/>
    <s v=""/>
    <n v="1.9999999999999574"/>
  </r>
  <r>
    <x v="1099"/>
    <x v="135"/>
    <s v="Monday"/>
    <d v="1899-12-30T09:36:50"/>
    <s v="FUTURE"/>
    <s v="SELL"/>
    <n v="-1"/>
    <s v="TO OPEN"/>
    <x v="13"/>
    <d v="2020-01-21T00:00:00"/>
    <m/>
    <s v="FUTURE"/>
    <n v="45.81"/>
    <n v="45.81"/>
    <s v="LMT"/>
    <n v="-1"/>
    <n v="-45810"/>
    <n v="45.81"/>
    <s v=""/>
  </r>
  <r>
    <x v="1099"/>
    <x v="135"/>
    <s v="Monday"/>
    <d v="1899-12-30T09:42:28"/>
    <s v="FUTURE"/>
    <s v="BUY"/>
    <n v="1"/>
    <s v="TO CLOSE"/>
    <x v="13"/>
    <d v="2020-01-21T00:00:00"/>
    <m/>
    <s v="FUTURE"/>
    <n v="45.69"/>
    <n v="45.69"/>
    <s v="MKT"/>
    <n v="0"/>
    <n v="0"/>
    <s v=""/>
    <n v="120.00000000000455"/>
  </r>
  <r>
    <x v="1100"/>
    <x v="135"/>
    <s v="Monday"/>
    <d v="1899-12-30T09:46:19"/>
    <s v="FUTURE"/>
    <s v="SELL"/>
    <n v="-1"/>
    <s v="TO OPEN"/>
    <x v="12"/>
    <d v="2020-12-20T00:00:00"/>
    <m/>
    <s v="FUTURE"/>
    <n v="3690.5"/>
    <n v="3690.5"/>
    <s v="LMT"/>
    <n v="-1"/>
    <n v="-184525"/>
    <n v="3690.5"/>
    <s v=""/>
  </r>
  <r>
    <x v="1100"/>
    <x v="135"/>
    <s v="Monday"/>
    <d v="1899-12-30T13:05:52"/>
    <s v="FUTURE"/>
    <s v="BUY"/>
    <n v="1"/>
    <s v="TO CLOSE"/>
    <x v="12"/>
    <d v="2020-12-20T00:00:00"/>
    <m/>
    <s v="FUTURE"/>
    <n v="3686.5"/>
    <n v="3686.5"/>
    <s v="LMT"/>
    <n v="0"/>
    <n v="0"/>
    <s v=""/>
    <n v="200"/>
  </r>
  <r>
    <x v="1101"/>
    <x v="136"/>
    <s v="Tuesday"/>
    <d v="1899-12-30T10:17:12"/>
    <s v="FUTURE"/>
    <s v="SELL"/>
    <n v="-1"/>
    <s v="TO OPEN"/>
    <x v="13"/>
    <d v="2020-01-21T00:00:00"/>
    <m/>
    <s v="FUTURE"/>
    <n v="45.41"/>
    <n v="45.41"/>
    <s v="LMT"/>
    <n v="-1"/>
    <n v="-45410"/>
    <n v="45.41"/>
    <s v=""/>
  </r>
  <r>
    <x v="1101"/>
    <x v="136"/>
    <s v="Tuesday"/>
    <d v="1899-12-30T10:32:05"/>
    <s v="FUTURE"/>
    <s v="SELL"/>
    <n v="-1"/>
    <s v="TO OPEN"/>
    <x v="13"/>
    <d v="2020-01-21T00:00:00"/>
    <m/>
    <s v="FUTURE"/>
    <n v="45.61"/>
    <n v="45.61"/>
    <s v="LMT"/>
    <n v="-2"/>
    <n v="-91020"/>
    <n v="45.51"/>
    <s v=""/>
  </r>
  <r>
    <x v="1101"/>
    <x v="136"/>
    <s v="Tuesday"/>
    <d v="1899-12-30T10:34:56"/>
    <s v="FUTURE"/>
    <s v="BUY"/>
    <n v="1"/>
    <s v="TO CLOSE"/>
    <x v="13"/>
    <d v="2020-01-21T00:00:00"/>
    <m/>
    <s v="FUTURE"/>
    <n v="45.55"/>
    <n v="45.55"/>
    <s v="LMT"/>
    <n v="-1"/>
    <n v="-45470"/>
    <n v="45.47"/>
    <s v=""/>
  </r>
  <r>
    <x v="1101"/>
    <x v="136"/>
    <s v="Tuesday"/>
    <d v="1899-12-30T11:33:16"/>
    <s v="FUTURE"/>
    <s v="SELL"/>
    <n v="-1"/>
    <s v="TO OPEN"/>
    <x v="13"/>
    <d v="2020-01-21T00:00:00"/>
    <m/>
    <s v="FUTURE"/>
    <n v="45.73"/>
    <n v="45.73"/>
    <s v="LMT"/>
    <n v="-2"/>
    <n v="-91200"/>
    <n v="45.6"/>
    <s v=""/>
  </r>
  <r>
    <x v="1101"/>
    <x v="136"/>
    <s v="Tuesday"/>
    <d v="1899-12-30T11:39:02"/>
    <s v="FUTURE"/>
    <s v="BUY"/>
    <n v="1"/>
    <s v="TO CLOSE"/>
    <x v="13"/>
    <d v="2020-01-21T00:00:00"/>
    <m/>
    <s v="FUTURE"/>
    <n v="45.64"/>
    <n v="45.64"/>
    <s v="LMT"/>
    <n v="-1"/>
    <n v="-45560"/>
    <n v="45.56"/>
    <s v=""/>
  </r>
  <r>
    <x v="1101"/>
    <x v="136"/>
    <s v="Tuesday"/>
    <d v="1899-12-30T11:43:26"/>
    <s v="FUTURE"/>
    <s v="BUY"/>
    <n v="1"/>
    <s v="TO CLOSE"/>
    <x v="13"/>
    <d v="2020-01-21T00:00:00"/>
    <m/>
    <s v="FUTURE"/>
    <n v="45.51"/>
    <n v="45.51"/>
    <s v="LMT"/>
    <n v="0"/>
    <n v="0"/>
    <s v=""/>
    <n v="50.000000000004263"/>
  </r>
  <r>
    <x v="1102"/>
    <x v="136"/>
    <s v="Tuesday"/>
    <d v="1899-12-30T09:37:09"/>
    <s v="FUTURE"/>
    <s v="BUY"/>
    <n v="1"/>
    <s v="TO OPEN"/>
    <x v="12"/>
    <d v="2020-12-20T00:00:00"/>
    <m/>
    <s v="FUTURE"/>
    <n v="3682.5"/>
    <n v="3682.5"/>
    <s v="LMT"/>
    <n v="1"/>
    <n v="184125"/>
    <n v="3682.5"/>
    <s v=""/>
  </r>
  <r>
    <x v="1102"/>
    <x v="136"/>
    <s v="Tuesday"/>
    <d v="1899-12-30T10:14:08"/>
    <s v="FUTURE"/>
    <s v="SELL"/>
    <n v="-1"/>
    <s v="TO CLOSE"/>
    <x v="12"/>
    <d v="2020-12-20T00:00:00"/>
    <m/>
    <s v="FUTURE"/>
    <n v="3687.5"/>
    <n v="3687.5"/>
    <s v="LMT"/>
    <n v="0"/>
    <n v="0"/>
    <s v=""/>
    <n v="250"/>
  </r>
  <r>
    <x v="1103"/>
    <x v="136"/>
    <s v="Tuesday"/>
    <d v="1899-12-30T12:15:06"/>
    <s v="FUTURE"/>
    <s v="SELL"/>
    <n v="-1"/>
    <s v="TO OPEN"/>
    <x v="12"/>
    <d v="2020-12-20T00:00:00"/>
    <m/>
    <s v="FUTURE"/>
    <n v="3696.25"/>
    <n v="3696.25"/>
    <s v="LMT"/>
    <n v="-1"/>
    <n v="-184812.5"/>
    <n v="3696.25"/>
    <s v=""/>
  </r>
  <r>
    <x v="1103"/>
    <x v="137"/>
    <s v="Wednesday"/>
    <d v="1899-12-30T10:13:30"/>
    <s v="FUTURE"/>
    <s v="BUY"/>
    <n v="1"/>
    <s v="TO CLOSE"/>
    <x v="12"/>
    <d v="2020-12-20T00:00:00"/>
    <m/>
    <s v="FUTURE"/>
    <n v="3694"/>
    <n v="3694"/>
    <s v="LMT"/>
    <n v="0"/>
    <n v="0"/>
    <s v=""/>
    <n v="112.5"/>
  </r>
  <r>
    <x v="1104"/>
    <x v="138"/>
    <s v="Thursday"/>
    <d v="1899-12-30T09:48:06"/>
    <s v="FUTURE"/>
    <s v="BUY"/>
    <n v="1"/>
    <s v="TO OPEN"/>
    <x v="13"/>
    <d v="2020-01-21T00:00:00"/>
    <m/>
    <s v="FUTURE"/>
    <n v="46.69"/>
    <n v="46.69"/>
    <s v="MKT"/>
    <n v="1"/>
    <n v="46690"/>
    <n v="46.69"/>
    <s v=""/>
  </r>
  <r>
    <x v="1104"/>
    <x v="138"/>
    <s v="Thursday"/>
    <d v="1899-12-30T09:49:15"/>
    <s v="FUTURE"/>
    <s v="SELL"/>
    <n v="-1"/>
    <s v="TO CLOSE"/>
    <x v="13"/>
    <d v="2020-01-21T00:00:00"/>
    <m/>
    <s v="FUTURE"/>
    <n v="46.71"/>
    <n v="46.71"/>
    <s v="LMT"/>
    <n v="0"/>
    <n v="0"/>
    <s v=""/>
    <n v="20.000000000003126"/>
  </r>
  <r>
    <x v="1105"/>
    <x v="138"/>
    <s v="Thursday"/>
    <d v="1899-12-30T10:00:30"/>
    <s v="FUTURE"/>
    <s v="SELL"/>
    <n v="-1"/>
    <s v="TO OPEN"/>
    <x v="13"/>
    <d v="2020-01-21T00:00:00"/>
    <m/>
    <s v="FUTURE"/>
    <n v="47.01"/>
    <n v="47.01"/>
    <s v="LMT"/>
    <n v="-1"/>
    <n v="-47010"/>
    <n v="47.01"/>
    <s v=""/>
  </r>
  <r>
    <x v="1105"/>
    <x v="138"/>
    <s v="Thursday"/>
    <d v="1899-12-30T10:09:56"/>
    <s v="FUTURE"/>
    <s v="SELL"/>
    <n v="-1"/>
    <s v="TO OPEN"/>
    <x v="13"/>
    <d v="2020-01-21T00:00:00"/>
    <m/>
    <s v="FUTURE"/>
    <n v="47.23"/>
    <n v="47.23"/>
    <s v="LMT"/>
    <n v="-2"/>
    <n v="-94240"/>
    <n v="47.12"/>
    <s v=""/>
  </r>
  <r>
    <x v="1105"/>
    <x v="138"/>
    <s v="Thursday"/>
    <d v="1899-12-30T12:06:00"/>
    <s v="FUTURE"/>
    <s v="BUY"/>
    <n v="2"/>
    <s v="TO CLOSE"/>
    <x v="13"/>
    <d v="2020-01-21T00:00:00"/>
    <m/>
    <s v="FUTURE"/>
    <n v="47.27"/>
    <n v="47.27"/>
    <s v="MKT"/>
    <n v="0"/>
    <n v="0"/>
    <s v=""/>
    <n v="-300.00000000001137"/>
  </r>
  <r>
    <x v="1106"/>
    <x v="138"/>
    <s v="Thursday"/>
    <d v="1899-12-30T12:06:42"/>
    <s v="FUTURE"/>
    <s v="BUY"/>
    <n v="2"/>
    <s v="TO OPEN"/>
    <x v="13"/>
    <d v="2020-01-21T00:00:00"/>
    <m/>
    <s v="FUTURE"/>
    <n v="47.29"/>
    <n v="47.29"/>
    <s v="MKT"/>
    <n v="2"/>
    <n v="94580"/>
    <n v="47.29"/>
    <s v=""/>
  </r>
  <r>
    <x v="1106"/>
    <x v="138"/>
    <s v="Thursday"/>
    <d v="1899-12-30T14:39:35"/>
    <s v="FUTURE"/>
    <s v="SELL"/>
    <n v="-1"/>
    <s v="TO CLOSE"/>
    <x v="13"/>
    <d v="2020-01-21T00:00:00"/>
    <m/>
    <s v="FUTURE"/>
    <n v="46.94"/>
    <n v="46.94"/>
    <s v="LMT"/>
    <n v="1"/>
    <n v="47640"/>
    <n v="47.64"/>
    <s v=""/>
  </r>
  <r>
    <x v="1106"/>
    <x v="138"/>
    <s v="Thursday"/>
    <d v="1899-12-30T14:58:19"/>
    <s v="FUTURE"/>
    <s v="SELL"/>
    <n v="-1"/>
    <s v="TO CLOSE"/>
    <x v="13"/>
    <d v="2020-01-21T00:00:00"/>
    <m/>
    <s v="FUTURE"/>
    <n v="46.9"/>
    <n v="46.9"/>
    <s v="LMT"/>
    <n v="0"/>
    <n v="0"/>
    <s v=""/>
    <n v="-740.00000000000205"/>
  </r>
  <r>
    <x v="1107"/>
    <x v="138"/>
    <s v="Thursday"/>
    <d v="1899-12-30T15:00:31"/>
    <s v="FUTURE"/>
    <s v="BUY"/>
    <n v="1"/>
    <s v="TO OPEN"/>
    <x v="12"/>
    <d v="2020-12-20T00:00:00"/>
    <m/>
    <s v="FUTURE"/>
    <n v="3662.5"/>
    <n v="3662.5"/>
    <s v="LMT"/>
    <n v="1"/>
    <n v="183125"/>
    <n v="3662.5"/>
    <s v=""/>
  </r>
  <r>
    <x v="1107"/>
    <x v="138"/>
    <s v="Thursday"/>
    <d v="1899-12-30T15:05:12"/>
    <s v="FUTURE"/>
    <s v="SELL"/>
    <n v="-1"/>
    <s v="TO CLOSE"/>
    <x v="12"/>
    <d v="2020-12-20T00:00:00"/>
    <m/>
    <s v="FUTURE"/>
    <n v="3663"/>
    <n v="3663"/>
    <s v="STP"/>
    <n v="0"/>
    <n v="0"/>
    <s v=""/>
    <n v="25"/>
  </r>
  <r>
    <x v="1108"/>
    <x v="138"/>
    <s v="Thursday"/>
    <d v="1899-12-30T13:09:04"/>
    <s v="FUTURE"/>
    <s v="BUY"/>
    <n v="4"/>
    <s v="TO OPEN"/>
    <x v="14"/>
    <d v="2020-12-20T00:00:00"/>
    <m/>
    <s v="FUTURE"/>
    <n v="3669.25"/>
    <n v="3669.25"/>
    <s v="MKT"/>
    <n v="4"/>
    <n v="73385"/>
    <n v="3669.25"/>
    <s v=""/>
  </r>
  <r>
    <x v="1108"/>
    <x v="138"/>
    <s v="Thursday"/>
    <d v="1899-12-30T14:56:35"/>
    <s v="FUTURE"/>
    <s v="BUY"/>
    <n v="1"/>
    <s v="TO OPEN"/>
    <x v="14"/>
    <d v="2020-12-20T00:00:00"/>
    <m/>
    <s v="FUTURE"/>
    <n v="3663"/>
    <n v="3663"/>
    <s v="LMT"/>
    <n v="5"/>
    <n v="91700"/>
    <n v="3668"/>
    <s v=""/>
  </r>
  <r>
    <x v="1108"/>
    <x v="138"/>
    <s v="Thursday"/>
    <d v="1899-12-30T15:28:16"/>
    <s v="FUTURE"/>
    <s v="SELL"/>
    <n v="-1"/>
    <s v="TO CLOSE"/>
    <x v="14"/>
    <d v="2020-12-20T00:00:00"/>
    <m/>
    <s v="FUTURE"/>
    <n v="3669"/>
    <n v="3669"/>
    <s v="LMT"/>
    <n v="4"/>
    <n v="73355"/>
    <n v="3667.75"/>
    <s v=""/>
  </r>
  <r>
    <x v="1108"/>
    <x v="138"/>
    <s v="Thursday"/>
    <d v="1899-12-30T15:30:22"/>
    <s v="FUTURE"/>
    <s v="SELL"/>
    <n v="-2"/>
    <s v="TO CLOSE"/>
    <x v="14"/>
    <d v="2020-12-20T00:00:00"/>
    <m/>
    <s v="FUTURE"/>
    <n v="3670.25"/>
    <n v="3670.25"/>
    <s v="LMT"/>
    <n v="2"/>
    <n v="36652.5"/>
    <n v="3665.25"/>
    <s v=""/>
  </r>
  <r>
    <x v="1108"/>
    <x v="138"/>
    <s v="Thursday"/>
    <d v="1899-12-30T15:37:16"/>
    <s v="FUTURE"/>
    <s v="SELL"/>
    <n v="-1"/>
    <s v="TO CLOSE"/>
    <x v="14"/>
    <d v="2020-12-20T00:00:00"/>
    <m/>
    <s v="FUTURE"/>
    <n v="3669.25"/>
    <n v="3669.25"/>
    <s v="LMT"/>
    <n v="1"/>
    <n v="18306.25"/>
    <n v="3661.25"/>
    <s v=""/>
  </r>
  <r>
    <x v="1108"/>
    <x v="138"/>
    <s v="Thursday"/>
    <d v="1899-12-30T15:38:28"/>
    <s v="FUTURE"/>
    <s v="SELL"/>
    <n v="-1"/>
    <s v="TO CLOSE"/>
    <x v="14"/>
    <d v="2020-12-20T00:00:00"/>
    <m/>
    <s v="FUTURE"/>
    <n v="3669.75"/>
    <n v="3669.75"/>
    <s v="LMT"/>
    <n v="0"/>
    <n v="0"/>
    <s v=""/>
    <n v="42.5"/>
  </r>
  <r>
    <x v="1109"/>
    <x v="139"/>
    <s v="Friday"/>
    <d v="1899-12-30T09:24:08"/>
    <s v="FUTURE"/>
    <s v="BUY"/>
    <n v="2"/>
    <s v="TO OPEN"/>
    <x v="13"/>
    <d v="2020-01-21T00:00:00"/>
    <m/>
    <s v="FUTURE"/>
    <n v="46.82"/>
    <n v="46.82"/>
    <s v="LMT"/>
    <n v="2"/>
    <n v="93640"/>
    <n v="46.82"/>
    <s v=""/>
  </r>
  <r>
    <x v="1109"/>
    <x v="139"/>
    <s v="Friday"/>
    <d v="1899-12-30T10:21:42"/>
    <s v="FUTURE"/>
    <s v="SELL"/>
    <n v="-1"/>
    <s v="TO CLOSE"/>
    <x v="13"/>
    <d v="2020-01-21T00:00:00"/>
    <m/>
    <s v="FUTURE"/>
    <n v="46.9"/>
    <n v="46.9"/>
    <s v="LMT"/>
    <n v="1"/>
    <n v="46740"/>
    <n v="46.74"/>
    <s v=""/>
  </r>
  <r>
    <x v="1109"/>
    <x v="139"/>
    <s v="Friday"/>
    <d v="1899-12-30T10:25:04"/>
    <s v="FUTURE"/>
    <s v="SELL"/>
    <n v="-1"/>
    <s v="TO CLOSE"/>
    <x v="13"/>
    <d v="2020-01-21T00:00:00"/>
    <m/>
    <s v="FUTURE"/>
    <n v="46.89"/>
    <n v="46.89"/>
    <s v="MKT"/>
    <n v="0"/>
    <n v="0"/>
    <s v=""/>
    <n v="149.99999999999858"/>
  </r>
  <r>
    <x v="1110"/>
    <x v="139"/>
    <s v="Friday"/>
    <d v="1899-12-30T11:07:58"/>
    <s v="FUTURE"/>
    <s v="BUY"/>
    <n v="1"/>
    <s v="TO OPEN"/>
    <x v="13"/>
    <d v="2020-01-21T00:00:00"/>
    <m/>
    <s v="FUTURE"/>
    <n v="46.79"/>
    <n v="46.79"/>
    <s v="LMT"/>
    <n v="1"/>
    <n v="46790"/>
    <n v="46.79"/>
    <s v=""/>
  </r>
  <r>
    <x v="1110"/>
    <x v="139"/>
    <s v="Friday"/>
    <d v="1899-12-30T11:40:04"/>
    <s v="FUTURE"/>
    <s v="BUY"/>
    <n v="1"/>
    <s v="TO OPEN"/>
    <x v="13"/>
    <d v="2020-01-21T00:00:00"/>
    <m/>
    <s v="FUTURE"/>
    <n v="46.6"/>
    <n v="46.6"/>
    <s v="LMT"/>
    <n v="2"/>
    <n v="93390"/>
    <n v="46.695"/>
    <s v=""/>
  </r>
  <r>
    <x v="1110"/>
    <x v="139"/>
    <s v="Friday"/>
    <d v="1899-12-30T12:00:03"/>
    <s v="FUTURE"/>
    <s v="SELL"/>
    <n v="-1"/>
    <s v="TO CLOSE"/>
    <x v="13"/>
    <d v="2020-01-21T00:00:00"/>
    <m/>
    <s v="FUTURE"/>
    <n v="46.65"/>
    <n v="46.65"/>
    <s v="LMT"/>
    <n v="1"/>
    <n v="46740"/>
    <n v="46.74"/>
    <s v=""/>
  </r>
  <r>
    <x v="1110"/>
    <x v="139"/>
    <s v="Friday"/>
    <d v="1899-12-30T13:28:24"/>
    <s v="FUTURE"/>
    <s v="BUY"/>
    <n v="1"/>
    <s v="TO OPEN"/>
    <x v="13"/>
    <d v="2020-01-21T00:00:00"/>
    <m/>
    <s v="FUTURE"/>
    <n v="46.54"/>
    <n v="46.54"/>
    <s v="LMT"/>
    <n v="2"/>
    <n v="93280"/>
    <n v="46.64"/>
    <s v=""/>
  </r>
  <r>
    <x v="1110"/>
    <x v="139"/>
    <s v="Friday"/>
    <d v="1899-12-30T14:24:22"/>
    <s v="FUTURE"/>
    <s v="SELL"/>
    <n v="-1"/>
    <s v="TO CLOSE"/>
    <x v="13"/>
    <d v="2020-01-21T00:00:00"/>
    <m/>
    <s v="FUTURE"/>
    <n v="46.66"/>
    <n v="46.66"/>
    <s v="LMT"/>
    <n v="1"/>
    <n v="46620"/>
    <n v="46.62"/>
    <s v=""/>
  </r>
  <r>
    <x v="1110"/>
    <x v="139"/>
    <s v="Friday"/>
    <d v="1899-12-30T14:35:22"/>
    <s v="FUTURE"/>
    <s v="SELL"/>
    <n v="-1"/>
    <s v="TO CLOSE"/>
    <x v="13"/>
    <d v="2020-01-21T00:00:00"/>
    <m/>
    <s v="FUTURE"/>
    <n v="46.6"/>
    <n v="46.6"/>
    <s v="MKT"/>
    <n v="0"/>
    <n v="0"/>
    <s v=""/>
    <n v="-19.999999999996021"/>
  </r>
  <r>
    <x v="1111"/>
    <x v="139"/>
    <s v="Friday"/>
    <d v="1899-12-30T09:55:10"/>
    <s v="STOCK"/>
    <s v="SELL"/>
    <n v="-300"/>
    <s v="TO OPEN"/>
    <x v="2"/>
    <m/>
    <m/>
    <s v="STOCK"/>
    <n v="17.6601"/>
    <n v="17.6601"/>
    <s v="LMT"/>
    <n v="-300"/>
    <n v="-5298.03"/>
    <n v="17.6601"/>
    <s v=""/>
  </r>
  <r>
    <x v="1111"/>
    <x v="139"/>
    <s v="Friday"/>
    <d v="1899-12-30T10:23:26"/>
    <s v="STOCK"/>
    <s v="BUY"/>
    <n v="150"/>
    <s v="TO CLOSE"/>
    <x v="2"/>
    <m/>
    <m/>
    <s v="STOCK"/>
    <n v="17.594999999999999"/>
    <n v="17.594999999999999"/>
    <s v="MKT"/>
    <n v="-150"/>
    <n v="-2658.7799999999997"/>
    <n v="17.725199999999997"/>
    <s v=""/>
  </r>
  <r>
    <x v="1111"/>
    <x v="139"/>
    <s v="Friday"/>
    <d v="1899-12-30T10:30:40"/>
    <s v="STOCK"/>
    <s v="BUY"/>
    <n v="100"/>
    <s v="TO CLOSE"/>
    <x v="2"/>
    <m/>
    <m/>
    <s v="STOCK"/>
    <n v="17.690000000000001"/>
    <n v="17.690000000000001"/>
    <s v="STP"/>
    <n v="-50"/>
    <n v="-889.77999999999952"/>
    <n v="17.79559999999999"/>
    <s v=""/>
  </r>
  <r>
    <x v="1111"/>
    <x v="139"/>
    <s v="Friday"/>
    <d v="1899-12-30T10:30:40"/>
    <s v="STOCK"/>
    <s v="BUY"/>
    <n v="50"/>
    <s v="TO CLOSE"/>
    <x v="2"/>
    <m/>
    <m/>
    <s v="STOCK"/>
    <n v="17.690000000000001"/>
    <n v="17.690000000000001"/>
    <s v="STP"/>
    <n v="0"/>
    <n v="0"/>
    <s v=""/>
    <n v="5.2799999999994185"/>
  </r>
  <r>
    <x v="1112"/>
    <x v="139"/>
    <s v="Friday"/>
    <d v="1899-12-30T11:43:45"/>
    <s v="STOCK"/>
    <s v="SELL"/>
    <n v="-300"/>
    <s v="TO OPEN"/>
    <x v="2"/>
    <m/>
    <m/>
    <s v="STOCK"/>
    <n v="18.055"/>
    <n v="18.055"/>
    <s v="LMT"/>
    <n v="-300"/>
    <n v="-5416.5"/>
    <n v="18.055"/>
    <s v=""/>
  </r>
  <r>
    <x v="1112"/>
    <x v="139"/>
    <s v="Friday"/>
    <d v="1899-12-30T12:05:18"/>
    <s v="STOCK"/>
    <s v="SELL"/>
    <n v="-100"/>
    <s v="TO OPEN"/>
    <x v="2"/>
    <m/>
    <m/>
    <s v="STOCK"/>
    <n v="18.175000000000001"/>
    <n v="18.175000000000001"/>
    <s v="LMT"/>
    <n v="-400"/>
    <n v="-7234"/>
    <n v="18.085000000000001"/>
    <s v=""/>
  </r>
  <r>
    <x v="1112"/>
    <x v="139"/>
    <s v="Friday"/>
    <d v="1899-12-30T12:09:40"/>
    <s v="STOCK"/>
    <s v="SELL"/>
    <n v="-100"/>
    <s v="TO OPEN"/>
    <x v="2"/>
    <m/>
    <m/>
    <s v="STOCK"/>
    <n v="18.22"/>
    <n v="18.22"/>
    <s v="LMT"/>
    <n v="-500"/>
    <n v="-9056"/>
    <n v="18.111999999999998"/>
    <s v=""/>
  </r>
  <r>
    <x v="1112"/>
    <x v="139"/>
    <s v="Friday"/>
    <d v="1899-12-30T12:20:02"/>
    <s v="STOCK"/>
    <s v="SELL"/>
    <n v="-100"/>
    <s v="TO OPEN"/>
    <x v="2"/>
    <m/>
    <m/>
    <s v="STOCK"/>
    <n v="18.424299999999999"/>
    <n v="18.424299999999999"/>
    <s v="LMT"/>
    <n v="-600"/>
    <n v="-10898.43"/>
    <n v="18.16405"/>
    <s v=""/>
  </r>
  <r>
    <x v="1112"/>
    <x v="139"/>
    <s v="Friday"/>
    <d v="1899-12-30T12:59:40"/>
    <s v="STOCK"/>
    <s v="BUY"/>
    <n v="100"/>
    <s v="TO CLOSE"/>
    <x v="2"/>
    <m/>
    <m/>
    <s v="STOCK"/>
    <n v="18.234999999999999"/>
    <n v="18.234999999999999"/>
    <s v="LMT"/>
    <n v="-500"/>
    <n v="-9074.93"/>
    <n v="18.14986"/>
    <s v=""/>
  </r>
  <r>
    <x v="1112"/>
    <x v="139"/>
    <s v="Friday"/>
    <d v="1899-12-30T12:59:40"/>
    <s v="STOCK"/>
    <s v="BUY"/>
    <n v="100"/>
    <s v="TO CLOSE"/>
    <x v="2"/>
    <m/>
    <m/>
    <s v="STOCK"/>
    <n v="18.234999999999999"/>
    <n v="18.234999999999999"/>
    <s v="LMT"/>
    <n v="-400"/>
    <n v="-7251.43"/>
    <n v="18.128575000000001"/>
    <s v=""/>
  </r>
  <r>
    <x v="1112"/>
    <x v="139"/>
    <s v="Friday"/>
    <d v="1899-12-30T13:12:28"/>
    <s v="STOCK"/>
    <s v="BUY"/>
    <n v="100"/>
    <s v="TO CLOSE"/>
    <x v="2"/>
    <m/>
    <m/>
    <s v="STOCK"/>
    <n v="18.12"/>
    <n v="18.12"/>
    <s v="LMT"/>
    <n v="-300"/>
    <n v="-5439.43"/>
    <n v="18.131433333333334"/>
    <s v=""/>
  </r>
  <r>
    <x v="1112"/>
    <x v="139"/>
    <s v="Friday"/>
    <d v="1899-12-30T13:14:05"/>
    <s v="STOCK"/>
    <s v="BUY"/>
    <n v="100"/>
    <s v="TO CLOSE"/>
    <x v="2"/>
    <m/>
    <m/>
    <s v="STOCK"/>
    <n v="18.0898"/>
    <n v="18.0898"/>
    <s v="LMT"/>
    <n v="-200"/>
    <n v="-3630.4500000000003"/>
    <n v="18.152250000000002"/>
    <s v=""/>
  </r>
  <r>
    <x v="1112"/>
    <x v="139"/>
    <s v="Friday"/>
    <d v="1899-12-30T13:40:47"/>
    <s v="STOCK"/>
    <s v="BUY"/>
    <n v="100"/>
    <s v="TO CLOSE"/>
    <x v="2"/>
    <m/>
    <m/>
    <s v="STOCK"/>
    <n v="18.009"/>
    <n v="18.009"/>
    <s v="LMT"/>
    <n v="-100"/>
    <n v="-1829.5500000000002"/>
    <n v="18.295500000000001"/>
    <s v=""/>
  </r>
  <r>
    <x v="1112"/>
    <x v="139"/>
    <s v="Friday"/>
    <d v="1899-12-30T13:47:48"/>
    <s v="STOCK"/>
    <s v="BUY"/>
    <n v="40"/>
    <s v="TO CLOSE"/>
    <x v="2"/>
    <m/>
    <m/>
    <s v="STOCK"/>
    <n v="18.059000000000001"/>
    <n v="18.059000000000001"/>
    <s v="MKT"/>
    <n v="-60"/>
    <n v="-1107.19"/>
    <n v="18.453166666666668"/>
    <s v=""/>
  </r>
  <r>
    <x v="1112"/>
    <x v="139"/>
    <s v="Friday"/>
    <d v="1899-12-30T13:47:48"/>
    <s v="STOCK"/>
    <s v="BUY"/>
    <n v="60"/>
    <s v="TO CLOSE"/>
    <x v="2"/>
    <m/>
    <m/>
    <s v="STOCK"/>
    <n v="18.059000000000001"/>
    <n v="18.059000000000001"/>
    <s v="MKT"/>
    <n v="0"/>
    <n v="0"/>
    <s v=""/>
    <n v="23.65000000000002"/>
  </r>
  <r>
    <x v="1113"/>
    <x v="140"/>
    <s v="Sunday"/>
    <d v="1899-12-30T21:26:40"/>
    <s v="FUTURE"/>
    <s v="SELL"/>
    <n v="-1"/>
    <s v="TO OPEN"/>
    <x v="13"/>
    <d v="2020-01-21T00:00:00"/>
    <m/>
    <s v="FUTURE"/>
    <n v="46.57"/>
    <n v="46.57"/>
    <s v="LMT"/>
    <n v="-1"/>
    <n v="-46570"/>
    <n v="46.57"/>
    <s v=""/>
  </r>
  <r>
    <x v="1113"/>
    <x v="141"/>
    <s v="Monday"/>
    <d v="1899-12-30T08:29:58"/>
    <s v="FUTURE"/>
    <s v="SELL"/>
    <n v="-1"/>
    <s v="TO OPEN"/>
    <x v="13"/>
    <d v="2020-01-21T00:00:00"/>
    <m/>
    <s v="FUTURE"/>
    <n v="47.19"/>
    <n v="47.19"/>
    <s v="LMT"/>
    <n v="-2"/>
    <n v="-93760"/>
    <n v="46.88"/>
    <s v=""/>
  </r>
  <r>
    <x v="1113"/>
    <x v="141"/>
    <s v="Monday"/>
    <d v="1899-12-30T09:19:21"/>
    <s v="FUTURE"/>
    <s v="BUY"/>
    <n v="1"/>
    <s v="TO CLOSE"/>
    <x v="13"/>
    <d v="2020-01-21T00:00:00"/>
    <m/>
    <s v="FUTURE"/>
    <n v="47.06"/>
    <n v="47.06"/>
    <s v="LMT"/>
    <n v="-1"/>
    <n v="-46700"/>
    <n v="46.7"/>
    <s v=""/>
  </r>
  <r>
    <x v="1113"/>
    <x v="141"/>
    <s v="Monday"/>
    <d v="1899-12-30T09:48:46"/>
    <s v="FUTURE"/>
    <s v="BUY"/>
    <n v="1"/>
    <s v="TO CLOSE"/>
    <x v="13"/>
    <d v="2020-01-21T00:00:00"/>
    <m/>
    <s v="FUTURE"/>
    <n v="46.6"/>
    <n v="46.6"/>
    <s v="LMT"/>
    <n v="0"/>
    <n v="0"/>
    <s v=""/>
    <n v="100.00000000000142"/>
  </r>
  <r>
    <x v="1114"/>
    <x v="141"/>
    <s v="Monday"/>
    <d v="1899-12-30T09:51:31"/>
    <s v="FUTURE"/>
    <s v="BUY"/>
    <n v="1"/>
    <s v="TO OPEN"/>
    <x v="13"/>
    <d v="2020-01-21T00:00:00"/>
    <m/>
    <s v="FUTURE"/>
    <n v="46.51"/>
    <n v="46.51"/>
    <s v="LMT"/>
    <n v="1"/>
    <n v="46510"/>
    <n v="46.51"/>
    <s v=""/>
  </r>
  <r>
    <x v="1114"/>
    <x v="141"/>
    <s v="Monday"/>
    <d v="1899-12-30T09:52:02"/>
    <s v="FUTURE"/>
    <s v="SELL"/>
    <n v="-1"/>
    <s v="TO CLOSE"/>
    <x v="13"/>
    <d v="2020-01-21T00:00:00"/>
    <m/>
    <s v="FUTURE"/>
    <n v="46.63"/>
    <n v="46.63"/>
    <s v="LMT"/>
    <n v="0"/>
    <n v="0"/>
    <s v=""/>
    <n v="120.00000000000455"/>
  </r>
  <r>
    <x v="1115"/>
    <x v="141"/>
    <s v="Monday"/>
    <d v="1899-12-30T10:53:57"/>
    <s v="FUTURE"/>
    <s v="BUY"/>
    <n v="1"/>
    <s v="TO OPEN"/>
    <x v="13"/>
    <d v="2020-01-21T00:00:00"/>
    <m/>
    <s v="FUTURE"/>
    <n v="46.26"/>
    <n v="46.26"/>
    <s v="MKT"/>
    <n v="1"/>
    <n v="46260"/>
    <n v="46.26"/>
    <s v=""/>
  </r>
  <r>
    <x v="1115"/>
    <x v="141"/>
    <s v="Monday"/>
    <d v="1899-12-30T10:59:28"/>
    <s v="FUTURE"/>
    <s v="BUY"/>
    <n v="1"/>
    <s v="TO OPEN"/>
    <x v="13"/>
    <d v="2020-01-21T00:00:00"/>
    <m/>
    <s v="FUTURE"/>
    <n v="46.02"/>
    <n v="46.02"/>
    <s v="LMT"/>
    <n v="2"/>
    <n v="92280"/>
    <n v="46.14"/>
    <s v=""/>
  </r>
  <r>
    <x v="1115"/>
    <x v="141"/>
    <s v="Monday"/>
    <d v="1899-12-30T11:20:53"/>
    <s v="FUTURE"/>
    <s v="SELL"/>
    <n v="-1"/>
    <s v="TO CLOSE"/>
    <x v="13"/>
    <d v="2020-01-21T00:00:00"/>
    <m/>
    <s v="FUTURE"/>
    <n v="46.09"/>
    <n v="46.09"/>
    <s v="LMT"/>
    <n v="1"/>
    <n v="46190"/>
    <n v="46.19"/>
    <s v=""/>
  </r>
  <r>
    <x v="1115"/>
    <x v="141"/>
    <s v="Monday"/>
    <d v="1899-12-30T11:23:26"/>
    <s v="FUTURE"/>
    <s v="BUY"/>
    <n v="1"/>
    <s v="TO OPEN"/>
    <x v="13"/>
    <d v="2020-01-21T00:00:00"/>
    <m/>
    <s v="FUTURE"/>
    <n v="45.97"/>
    <n v="45.97"/>
    <s v="LMT"/>
    <n v="2"/>
    <n v="92160"/>
    <n v="46.08"/>
    <s v=""/>
  </r>
  <r>
    <x v="1115"/>
    <x v="141"/>
    <s v="Monday"/>
    <d v="1899-12-30T11:24:34"/>
    <s v="FUTURE"/>
    <s v="SELL"/>
    <n v="-1"/>
    <s v="TO CLOSE"/>
    <x v="13"/>
    <d v="2020-01-21T00:00:00"/>
    <m/>
    <s v="FUTURE"/>
    <n v="46.06"/>
    <n v="46.06"/>
    <s v="LMT"/>
    <n v="1"/>
    <n v="46100"/>
    <n v="46.1"/>
    <s v=""/>
  </r>
  <r>
    <x v="1115"/>
    <x v="141"/>
    <s v="Monday"/>
    <d v="1899-12-30T11:28:07"/>
    <s v="FUTURE"/>
    <s v="SELL"/>
    <n v="-1"/>
    <s v="TO CLOSE"/>
    <x v="13"/>
    <d v="2020-01-21T00:00:00"/>
    <m/>
    <s v="FUTURE"/>
    <n v="46.12"/>
    <n v="46.12"/>
    <s v="LMT"/>
    <n v="0"/>
    <n v="0"/>
    <s v=""/>
    <n v="19.999999999996021"/>
  </r>
  <r>
    <x v="1116"/>
    <x v="141"/>
    <s v="Monday"/>
    <d v="1899-12-30T14:11:36"/>
    <s v="FUTURE"/>
    <s v="SELL"/>
    <n v="-1"/>
    <s v="TO OPEN"/>
    <x v="13"/>
    <d v="2020-01-21T00:00:00"/>
    <m/>
    <s v="FUTURE"/>
    <n v="46.78"/>
    <n v="46.78"/>
    <s v="LMT"/>
    <n v="-1"/>
    <n v="-46780"/>
    <n v="46.78"/>
    <s v=""/>
  </r>
  <r>
    <x v="1116"/>
    <x v="141"/>
    <s v="Monday"/>
    <d v="1899-12-30T14:19:31"/>
    <s v="FUTURE"/>
    <s v="BUY"/>
    <n v="1"/>
    <s v="TO CLOSE"/>
    <x v="13"/>
    <d v="2020-01-21T00:00:00"/>
    <m/>
    <s v="FUTURE"/>
    <n v="46.71"/>
    <n v="46.71"/>
    <s v="MKT"/>
    <n v="0"/>
    <n v="0"/>
    <s v=""/>
    <n v="70.000000000000284"/>
  </r>
  <r>
    <x v="1117"/>
    <x v="141"/>
    <s v="Monday"/>
    <d v="1899-12-30T10:20:20"/>
    <s v="FUTURE"/>
    <s v="SELL"/>
    <n v="-1"/>
    <s v="TO OPEN"/>
    <x v="15"/>
    <d v="2020-03-21T00:00:00"/>
    <m/>
    <s v="FUTURE"/>
    <n v="3687.75"/>
    <n v="3687.75"/>
    <s v="LMT"/>
    <n v="-1"/>
    <n v="-184387.5"/>
    <n v="3687.75"/>
    <s v=""/>
  </r>
  <r>
    <x v="1117"/>
    <x v="141"/>
    <s v="Monday"/>
    <d v="1899-12-30T10:41:41"/>
    <s v="FUTURE"/>
    <s v="BUY"/>
    <n v="1"/>
    <s v="TO CLOSE"/>
    <x v="15"/>
    <d v="2020-03-21T00:00:00"/>
    <m/>
    <s v="FUTURE"/>
    <n v="3684.25"/>
    <n v="3684.25"/>
    <s v="LMT"/>
    <n v="0"/>
    <n v="0"/>
    <s v=""/>
    <n v="175"/>
  </r>
  <r>
    <x v="1118"/>
    <x v="142"/>
    <s v="Tuesday"/>
    <d v="1899-12-30T11:49:37"/>
    <s v="FUTURE"/>
    <s v="SELL"/>
    <n v="-1"/>
    <s v="TO OPEN"/>
    <x v="13"/>
    <d v="2020-01-21T00:00:00"/>
    <m/>
    <s v="FUTURE"/>
    <n v="47.5"/>
    <n v="47.5"/>
    <s v="LMT"/>
    <n v="-1"/>
    <n v="-47500"/>
    <n v="47.5"/>
    <s v=""/>
  </r>
  <r>
    <x v="1118"/>
    <x v="142"/>
    <s v="Tuesday"/>
    <d v="1899-12-30T13:37:34"/>
    <s v="FUTURE"/>
    <s v="BUY"/>
    <n v="1"/>
    <s v="TO CLOSE"/>
    <x v="13"/>
    <d v="2020-01-21T00:00:00"/>
    <m/>
    <s v="FUTURE"/>
    <n v="47.45"/>
    <n v="47.45"/>
    <s v="LMT"/>
    <n v="0"/>
    <n v="0"/>
    <s v=""/>
    <n v="49.999999999997158"/>
  </r>
  <r>
    <x v="1119"/>
    <x v="142"/>
    <s v="Tuesday"/>
    <d v="1899-12-30T16:09:53"/>
    <s v="FUTURE"/>
    <s v="SELL"/>
    <n v="-1"/>
    <s v="TO OPEN"/>
    <x v="13"/>
    <d v="2020-01-21T00:00:00"/>
    <m/>
    <s v="FUTURE"/>
    <n v="47.53"/>
    <n v="47.53"/>
    <s v="LMT"/>
    <n v="-1"/>
    <n v="-47530"/>
    <n v="47.53"/>
    <s v=""/>
  </r>
  <r>
    <x v="1119"/>
    <x v="142"/>
    <s v="Tuesday"/>
    <d v="1899-12-30T16:30:09"/>
    <s v="FUTURE"/>
    <s v="BUY"/>
    <n v="1"/>
    <s v="TO CLOSE"/>
    <x v="13"/>
    <d v="2020-01-21T00:00:00"/>
    <m/>
    <s v="FUTURE"/>
    <n v="47.42"/>
    <n v="47.42"/>
    <s v="LMT"/>
    <n v="0"/>
    <n v="0"/>
    <s v=""/>
    <n v="109.99999999999943"/>
  </r>
  <r>
    <x v="1120"/>
    <x v="142"/>
    <s v="Tuesday"/>
    <d v="1899-12-30T09:35:39"/>
    <s v="FUTURE"/>
    <s v="BUY"/>
    <n v="1"/>
    <s v="TO OPEN"/>
    <x v="15"/>
    <d v="2020-03-21T00:00:00"/>
    <m/>
    <s v="FUTURE"/>
    <n v="3668"/>
    <n v="3668"/>
    <s v="LMT"/>
    <n v="1"/>
    <n v="183400"/>
    <n v="3668"/>
    <s v=""/>
  </r>
  <r>
    <x v="1120"/>
    <x v="142"/>
    <s v="Tuesday"/>
    <d v="1899-12-30T12:32:53"/>
    <s v="FUTURE"/>
    <s v="SELL"/>
    <n v="-1"/>
    <s v="TO CLOSE"/>
    <x v="15"/>
    <d v="2020-03-21T00:00:00"/>
    <m/>
    <s v="FUTURE"/>
    <n v="3669"/>
    <n v="3669"/>
    <s v="LMT"/>
    <n v="0"/>
    <n v="0"/>
    <s v=""/>
    <n v="50"/>
  </r>
  <r>
    <x v="1121"/>
    <x v="142"/>
    <s v="Tuesday"/>
    <d v="1899-12-30T12:36:01"/>
    <s v="STOCK"/>
    <s v="SELL"/>
    <n v="-6"/>
    <s v="TO OPEN"/>
    <x v="2"/>
    <m/>
    <m/>
    <s v="STOCK"/>
    <n v="17.95"/>
    <n v="17.95"/>
    <s v="LMT"/>
    <n v="-6"/>
    <n v="-107.69999999999999"/>
    <n v="17.95"/>
    <s v=""/>
  </r>
  <r>
    <x v="1121"/>
    <x v="142"/>
    <s v="Tuesday"/>
    <d v="1899-12-30T12:36:01"/>
    <s v="STOCK"/>
    <s v="SELL"/>
    <n v="-12"/>
    <s v="TO OPEN"/>
    <x v="2"/>
    <m/>
    <m/>
    <s v="STOCK"/>
    <n v="17.95"/>
    <n v="17.95"/>
    <s v="LMT"/>
    <n v="-18"/>
    <n v="-323.09999999999997"/>
    <n v="17.95"/>
    <s v=""/>
  </r>
  <r>
    <x v="1121"/>
    <x v="142"/>
    <s v="Tuesday"/>
    <d v="1899-12-30T12:37:44"/>
    <s v="STOCK"/>
    <s v="SELL"/>
    <n v="-182"/>
    <s v="TO OPEN"/>
    <x v="2"/>
    <m/>
    <m/>
    <s v="STOCK"/>
    <n v="17.95"/>
    <n v="17.95"/>
    <s v="LMT"/>
    <n v="-200"/>
    <n v="-3590"/>
    <n v="17.95"/>
    <s v=""/>
  </r>
  <r>
    <x v="1121"/>
    <x v="142"/>
    <s v="Tuesday"/>
    <d v="1899-12-30T13:07:06"/>
    <s v="STOCK"/>
    <s v="BUY"/>
    <n v="50"/>
    <s v="TO CLOSE"/>
    <x v="2"/>
    <m/>
    <m/>
    <s v="STOCK"/>
    <n v="17.850000000000001"/>
    <n v="17.850000000000001"/>
    <s v="LMT"/>
    <n v="-150"/>
    <n v="-2697.5"/>
    <n v="17.983333333333334"/>
    <s v=""/>
  </r>
  <r>
    <x v="1121"/>
    <x v="142"/>
    <s v="Tuesday"/>
    <d v="1899-12-30T13:13:39"/>
    <s v="STOCK"/>
    <s v="BUY"/>
    <n v="50"/>
    <s v="TO CLOSE"/>
    <x v="2"/>
    <m/>
    <m/>
    <s v="STOCK"/>
    <n v="17.850000000000001"/>
    <n v="17.850000000000001"/>
    <s v="LMT"/>
    <n v="-100"/>
    <n v="-1805"/>
    <n v="18.05"/>
    <s v=""/>
  </r>
  <r>
    <x v="1121"/>
    <x v="142"/>
    <s v="Tuesday"/>
    <d v="1899-12-30T13:23:50"/>
    <s v="STOCK"/>
    <s v="BUY"/>
    <n v="50"/>
    <s v="TO CLOSE"/>
    <x v="2"/>
    <m/>
    <m/>
    <s v="STOCK"/>
    <n v="17.879799999999999"/>
    <n v="17.879799999999999"/>
    <s v="MKT"/>
    <n v="-50"/>
    <n v="-911.01"/>
    <n v="18.220199999999998"/>
    <s v=""/>
  </r>
  <r>
    <x v="1121"/>
    <x v="142"/>
    <s v="Tuesday"/>
    <d v="1899-12-30T13:34:11"/>
    <s v="STOCK"/>
    <s v="BUY"/>
    <n v="50"/>
    <s v="TO CLOSE"/>
    <x v="2"/>
    <m/>
    <m/>
    <s v="STOCK"/>
    <n v="17.875"/>
    <n v="17.875"/>
    <s v="MKT"/>
    <n v="0"/>
    <n v="0"/>
    <s v=""/>
    <n v="17.25999999999992"/>
  </r>
  <r>
    <x v="1122"/>
    <x v="143"/>
    <s v="Wednesday"/>
    <d v="1899-12-30T09:43:50"/>
    <s v="FUTURE"/>
    <s v="SELL"/>
    <n v="-1"/>
    <s v="TO OPEN"/>
    <x v="13"/>
    <d v="2020-01-21T00:00:00"/>
    <m/>
    <s v="FUTURE"/>
    <n v="47.35"/>
    <n v="47.35"/>
    <s v="MKT"/>
    <n v="-1"/>
    <n v="-47350"/>
    <n v="47.35"/>
    <s v=""/>
  </r>
  <r>
    <x v="1122"/>
    <x v="143"/>
    <s v="Wednesday"/>
    <d v="1899-12-30T10:00:14"/>
    <s v="FUTURE"/>
    <s v="SELL"/>
    <n v="-1"/>
    <s v="TO OPEN"/>
    <x v="13"/>
    <d v="2020-01-21T00:00:00"/>
    <m/>
    <s v="FUTURE"/>
    <n v="47.49"/>
    <n v="47.49"/>
    <s v="LMT"/>
    <n v="-2"/>
    <n v="-94840"/>
    <n v="47.42"/>
    <s v=""/>
  </r>
  <r>
    <x v="1122"/>
    <x v="143"/>
    <s v="Wednesday"/>
    <d v="1899-12-30T10:01:46"/>
    <s v="FUTURE"/>
    <s v="BUY"/>
    <n v="1"/>
    <s v="TO CLOSE"/>
    <x v="13"/>
    <d v="2020-01-21T00:00:00"/>
    <m/>
    <s v="FUTURE"/>
    <n v="47.42"/>
    <n v="47.42"/>
    <s v="LMT"/>
    <n v="-1"/>
    <n v="-47420"/>
    <n v="47.42"/>
    <s v=""/>
  </r>
  <r>
    <x v="1122"/>
    <x v="143"/>
    <s v="Wednesday"/>
    <d v="1899-12-30T10:10:20"/>
    <s v="FUTURE"/>
    <s v="BUY"/>
    <n v="1"/>
    <s v="TO CLOSE"/>
    <x v="13"/>
    <d v="2020-01-21T00:00:00"/>
    <m/>
    <s v="FUTURE"/>
    <n v="47.22"/>
    <n v="47.22"/>
    <s v="LMT"/>
    <n v="0"/>
    <n v="0"/>
    <s v=""/>
    <n v="200.00000000000284"/>
  </r>
  <r>
    <x v="1123"/>
    <x v="143"/>
    <s v="Wednesday"/>
    <d v="1899-12-30T10:44:09"/>
    <s v="FUTURE"/>
    <s v="SELL"/>
    <n v="-1"/>
    <s v="TO OPEN"/>
    <x v="13"/>
    <d v="2020-01-21T00:00:00"/>
    <m/>
    <s v="FUTURE"/>
    <n v="47.5"/>
    <n v="47.5"/>
    <s v="LMT"/>
    <n v="-1"/>
    <n v="-47500"/>
    <n v="47.5"/>
    <s v=""/>
  </r>
  <r>
    <x v="1123"/>
    <x v="143"/>
    <s v="Wednesday"/>
    <d v="1899-12-30T10:44:47"/>
    <s v="FUTURE"/>
    <s v="BUY"/>
    <n v="1"/>
    <s v="TO CLOSE"/>
    <x v="13"/>
    <d v="2020-01-21T00:00:00"/>
    <m/>
    <s v="FUTURE"/>
    <n v="47.45"/>
    <n v="47.45"/>
    <s v="LMT"/>
    <n v="0"/>
    <n v="0"/>
    <s v=""/>
    <n v="49.999999999997158"/>
  </r>
  <r>
    <x v="1124"/>
    <x v="143"/>
    <s v="Wednesday"/>
    <d v="1899-12-30T09:31:11"/>
    <s v="FUTURE"/>
    <s v="SELL"/>
    <n v="-1"/>
    <s v="TO OPEN"/>
    <x v="15"/>
    <d v="2020-03-21T00:00:00"/>
    <m/>
    <s v="FUTURE"/>
    <n v="3691"/>
    <n v="3691"/>
    <s v="LMT"/>
    <n v="-1"/>
    <n v="-184550"/>
    <n v="3691"/>
    <s v=""/>
  </r>
  <r>
    <x v="1124"/>
    <x v="143"/>
    <s v="Wednesday"/>
    <d v="1899-12-30T09:32:59"/>
    <s v="FUTURE"/>
    <s v="BUY"/>
    <n v="1"/>
    <s v="TO CLOSE"/>
    <x v="15"/>
    <d v="2020-03-21T00:00:00"/>
    <m/>
    <s v="FUTURE"/>
    <n v="3690.5"/>
    <n v="3690.5"/>
    <s v="STP"/>
    <n v="0"/>
    <n v="0"/>
    <s v=""/>
    <n v="25"/>
  </r>
  <r>
    <x v="1125"/>
    <x v="143"/>
    <s v="Wednesday"/>
    <d v="1899-12-30T10:08:15"/>
    <s v="FUTURE"/>
    <s v="SELL"/>
    <n v="-1"/>
    <s v="TO OPEN"/>
    <x v="15"/>
    <d v="2020-03-21T00:00:00"/>
    <m/>
    <s v="FUTURE"/>
    <n v="3690"/>
    <n v="3690"/>
    <s v="LMT"/>
    <n v="-1"/>
    <n v="-184500"/>
    <n v="3690"/>
    <s v=""/>
  </r>
  <r>
    <x v="1125"/>
    <x v="143"/>
    <s v="Wednesday"/>
    <d v="1899-12-30T10:14:00"/>
    <s v="FUTURE"/>
    <s v="BUY"/>
    <n v="1"/>
    <s v="TO CLOSE"/>
    <x v="15"/>
    <d v="2020-03-21T00:00:00"/>
    <m/>
    <s v="FUTURE"/>
    <n v="3688"/>
    <n v="3688"/>
    <s v="LMT"/>
    <n v="0"/>
    <n v="0"/>
    <s v=""/>
    <n v="100"/>
  </r>
  <r>
    <x v="1126"/>
    <x v="144"/>
    <s v="Thursday"/>
    <d v="1899-12-30T10:08:36"/>
    <s v="FUTURE"/>
    <s v="SELL"/>
    <n v="-1"/>
    <s v="TO OPEN"/>
    <x v="16"/>
    <d v="2020-02-21T00:00:00"/>
    <m/>
    <s v="FUTURE"/>
    <n v="48.57"/>
    <n v="48.57"/>
    <s v="LMT"/>
    <n v="-1"/>
    <n v="-48570"/>
    <n v="48.57"/>
    <s v=""/>
  </r>
  <r>
    <x v="1126"/>
    <x v="144"/>
    <s v="Thursday"/>
    <d v="1899-12-30T10:21:28"/>
    <s v="FUTURE"/>
    <s v="BUY"/>
    <n v="1"/>
    <s v="TO CLOSE"/>
    <x v="16"/>
    <d v="2020-02-21T00:00:00"/>
    <m/>
    <s v="FUTURE"/>
    <n v="48.47"/>
    <n v="48.47"/>
    <s v="MKT"/>
    <n v="0"/>
    <n v="0"/>
    <s v=""/>
    <n v="100.00000000000142"/>
  </r>
  <r>
    <x v="1127"/>
    <x v="144"/>
    <s v="Thursday"/>
    <d v="1899-12-30T10:40:46"/>
    <s v="FUTURE"/>
    <s v="BUY"/>
    <n v="1"/>
    <s v="TO OPEN"/>
    <x v="16"/>
    <d v="2020-02-21T00:00:00"/>
    <m/>
    <s v="FUTURE"/>
    <n v="48.27"/>
    <n v="48.27"/>
    <s v="LMT"/>
    <n v="1"/>
    <n v="48270"/>
    <n v="48.27"/>
    <s v=""/>
  </r>
  <r>
    <x v="1127"/>
    <x v="144"/>
    <s v="Thursday"/>
    <d v="1899-12-30T10:43:39"/>
    <s v="FUTURE"/>
    <s v="SELL"/>
    <n v="-1"/>
    <s v="TO CLOSE"/>
    <x v="16"/>
    <d v="2020-02-21T00:00:00"/>
    <m/>
    <s v="FUTURE"/>
    <n v="48.32"/>
    <n v="48.32"/>
    <s v="LMT"/>
    <n v="0"/>
    <n v="0"/>
    <s v=""/>
    <n v="49.999999999997158"/>
  </r>
  <r>
    <x v="1128"/>
    <x v="144"/>
    <s v="Thursday"/>
    <d v="1899-12-30T09:52:23"/>
    <s v="FUTURE"/>
    <s v="SELL"/>
    <n v="-1"/>
    <s v="TO OPEN"/>
    <x v="15"/>
    <d v="2020-03-21T00:00:00"/>
    <m/>
    <s v="FUTURE"/>
    <n v="3711.25"/>
    <n v="3711.25"/>
    <s v="LMT"/>
    <n v="-1"/>
    <n v="-185562.5"/>
    <n v="3711.25"/>
    <s v=""/>
  </r>
  <r>
    <x v="1128"/>
    <x v="144"/>
    <s v="Thursday"/>
    <d v="1899-12-30T10:00:01"/>
    <s v="FUTURE"/>
    <s v="BUY"/>
    <n v="1"/>
    <s v="TO CLOSE"/>
    <x v="15"/>
    <d v="2020-03-21T00:00:00"/>
    <m/>
    <s v="FUTURE"/>
    <n v="3710.25"/>
    <n v="3710.25"/>
    <s v="STP"/>
    <n v="0"/>
    <n v="0"/>
    <s v=""/>
    <n v="50"/>
  </r>
  <r>
    <x v="1129"/>
    <x v="144"/>
    <s v="Thursday"/>
    <d v="1899-12-30T10:44:52"/>
    <s v="FUTURE"/>
    <s v="SELL"/>
    <n v="-1"/>
    <s v="TO OPEN"/>
    <x v="15"/>
    <d v="2020-03-21T00:00:00"/>
    <m/>
    <s v="FUTURE"/>
    <n v="3707.5"/>
    <n v="3707.5"/>
    <s v="LMT"/>
    <n v="-1"/>
    <n v="-185375"/>
    <n v="3707.5"/>
    <s v=""/>
  </r>
  <r>
    <x v="1129"/>
    <x v="144"/>
    <s v="Thursday"/>
    <d v="1899-12-30T11:05:05"/>
    <s v="FUTURE"/>
    <s v="BUY"/>
    <n v="1"/>
    <s v="TO CLOSE"/>
    <x v="15"/>
    <d v="2020-03-21T00:00:00"/>
    <m/>
    <s v="FUTURE"/>
    <n v="3707"/>
    <n v="3707"/>
    <s v="STP"/>
    <n v="0"/>
    <n v="0"/>
    <s v=""/>
    <n v="25"/>
  </r>
  <r>
    <x v="1130"/>
    <x v="144"/>
    <s v="Thursday"/>
    <d v="1899-12-30T14:56:23"/>
    <s v="FUTURE"/>
    <s v="SELL"/>
    <n v="-1"/>
    <s v="TO OPEN"/>
    <x v="15"/>
    <d v="2020-03-21T00:00:00"/>
    <m/>
    <s v="FUTURE"/>
    <n v="3712.25"/>
    <n v="3712.25"/>
    <s v="LMT"/>
    <n v="-1"/>
    <n v="-185612.5"/>
    <n v="3712.25"/>
    <s v=""/>
  </r>
  <r>
    <x v="1130"/>
    <x v="144"/>
    <s v="Thursday"/>
    <d v="1899-12-30T15:04:48"/>
    <s v="FUTURE"/>
    <s v="BUY"/>
    <n v="1"/>
    <s v="TO CLOSE"/>
    <x v="15"/>
    <d v="2020-03-21T00:00:00"/>
    <m/>
    <s v="FUTURE"/>
    <n v="3711.75"/>
    <n v="3711.75"/>
    <s v="LMT"/>
    <n v="0"/>
    <n v="0"/>
    <s v=""/>
    <n v="25"/>
  </r>
  <r>
    <x v="1131"/>
    <x v="145"/>
    <s v="Friday"/>
    <d v="1899-12-30T09:07:31"/>
    <s v="FUTURE"/>
    <s v="SELL"/>
    <n v="-1"/>
    <s v="TO OPEN"/>
    <x v="16"/>
    <d v="2020-02-21T00:00:00"/>
    <m/>
    <s v="FUTURE"/>
    <n v="48.83"/>
    <n v="48.83"/>
    <s v="LMT"/>
    <n v="-1"/>
    <n v="-48830"/>
    <n v="48.83"/>
    <s v=""/>
  </r>
  <r>
    <x v="1131"/>
    <x v="145"/>
    <s v="Friday"/>
    <d v="1899-12-30T09:19:41"/>
    <s v="FUTURE"/>
    <s v="SELL"/>
    <n v="-1"/>
    <s v="TO OPEN"/>
    <x v="16"/>
    <d v="2020-02-21T00:00:00"/>
    <m/>
    <s v="FUTURE"/>
    <n v="48.99"/>
    <n v="48.99"/>
    <s v="LMT"/>
    <n v="-2"/>
    <n v="-97820"/>
    <n v="48.91"/>
    <s v=""/>
  </r>
  <r>
    <x v="1131"/>
    <x v="145"/>
    <s v="Friday"/>
    <d v="1899-12-30T09:20:19"/>
    <s v="FUTURE"/>
    <s v="BUY"/>
    <n v="1"/>
    <s v="TO CLOSE"/>
    <x v="16"/>
    <d v="2020-02-21T00:00:00"/>
    <m/>
    <s v="FUTURE"/>
    <n v="48.92"/>
    <n v="48.92"/>
    <s v="LMT"/>
    <n v="-1"/>
    <n v="-48900"/>
    <n v="48.9"/>
    <s v=""/>
  </r>
  <r>
    <x v="1131"/>
    <x v="145"/>
    <s v="Friday"/>
    <d v="1899-12-30T09:39:41"/>
    <s v="FUTURE"/>
    <s v="SELL"/>
    <n v="-1"/>
    <s v="TO OPEN"/>
    <x v="16"/>
    <d v="2020-02-21T00:00:00"/>
    <m/>
    <s v="FUTURE"/>
    <n v="48.99"/>
    <n v="48.99"/>
    <s v="LMT"/>
    <n v="-2"/>
    <n v="-97890"/>
    <n v="48.945"/>
    <s v=""/>
  </r>
  <r>
    <x v="1131"/>
    <x v="145"/>
    <s v="Friday"/>
    <d v="1899-12-30T09:49:34"/>
    <s v="FUTURE"/>
    <s v="BUY"/>
    <n v="1"/>
    <s v="TO CLOSE"/>
    <x v="16"/>
    <d v="2020-02-21T00:00:00"/>
    <m/>
    <s v="FUTURE"/>
    <n v="48.89"/>
    <n v="48.89"/>
    <s v="LMT"/>
    <n v="-1"/>
    <n v="-49000"/>
    <n v="49"/>
    <s v=""/>
  </r>
  <r>
    <x v="1131"/>
    <x v="145"/>
    <s v="Friday"/>
    <d v="1899-12-30T09:54:14"/>
    <s v="FUTURE"/>
    <s v="BUY"/>
    <n v="1"/>
    <s v="TO CLOSE"/>
    <x v="16"/>
    <d v="2020-02-21T00:00:00"/>
    <m/>
    <s v="FUTURE"/>
    <n v="48.8"/>
    <n v="48.8"/>
    <s v="LMT"/>
    <n v="0"/>
    <n v="0"/>
    <s v=""/>
    <n v="200.00000000000284"/>
  </r>
  <r>
    <x v="1132"/>
    <x v="145"/>
    <s v="Friday"/>
    <d v="1899-12-30T11:05:37"/>
    <s v="FUTURE"/>
    <s v="SELL"/>
    <n v="-1"/>
    <s v="TO OPEN"/>
    <x v="16"/>
    <d v="2020-02-21T00:00:00"/>
    <m/>
    <s v="FUTURE"/>
    <n v="49.25"/>
    <n v="49.25"/>
    <s v="LMT"/>
    <n v="-1"/>
    <n v="-49250"/>
    <n v="49.25"/>
    <s v=""/>
  </r>
  <r>
    <x v="1132"/>
    <x v="145"/>
    <s v="Friday"/>
    <d v="1899-12-30T11:12:39"/>
    <s v="FUTURE"/>
    <s v="BUY"/>
    <n v="1"/>
    <s v="TO CLOSE"/>
    <x v="16"/>
    <d v="2020-02-21T00:00:00"/>
    <m/>
    <s v="FUTURE"/>
    <n v="49.15"/>
    <n v="49.15"/>
    <s v="LMT"/>
    <n v="0"/>
    <n v="0"/>
    <s v=""/>
    <n v="100.00000000000142"/>
  </r>
  <r>
    <x v="1133"/>
    <x v="145"/>
    <s v="Friday"/>
    <d v="1899-12-30T10:19:13"/>
    <s v="FUTURE"/>
    <s v="BUY"/>
    <n v="1"/>
    <s v="TO OPEN"/>
    <x v="15"/>
    <d v="2020-03-21T00:00:00"/>
    <m/>
    <s v="FUTURE"/>
    <n v="3700"/>
    <n v="3700"/>
    <s v="MKT"/>
    <n v="1"/>
    <n v="185000"/>
    <n v="3700"/>
    <s v=""/>
  </r>
  <r>
    <x v="1133"/>
    <x v="145"/>
    <s v="Friday"/>
    <d v="1899-12-30T12:32:22"/>
    <s v="FUTURE"/>
    <s v="SELL"/>
    <n v="-1"/>
    <s v="TO CLOSE"/>
    <x v="15"/>
    <d v="2020-03-21T00:00:00"/>
    <m/>
    <s v="FUTURE"/>
    <n v="3695.5"/>
    <n v="3695.5"/>
    <s v="STP"/>
    <n v="0"/>
    <n v="0"/>
    <s v=""/>
    <n v="-225"/>
  </r>
  <r>
    <x v="1134"/>
    <x v="145"/>
    <s v="Friday"/>
    <d v="1899-12-30T14:10:20"/>
    <s v="FUTURE"/>
    <s v="BUY"/>
    <n v="1"/>
    <s v="TO OPEN"/>
    <x v="15"/>
    <d v="2020-03-21T00:00:00"/>
    <m/>
    <s v="FUTURE"/>
    <n v="3686"/>
    <n v="3686"/>
    <s v="LMT"/>
    <n v="1"/>
    <n v="184300"/>
    <n v="3686"/>
    <s v=""/>
  </r>
  <r>
    <x v="1134"/>
    <x v="145"/>
    <s v="Friday"/>
    <d v="1899-12-30T14:41:00"/>
    <s v="FUTURE"/>
    <s v="SELL"/>
    <n v="-1"/>
    <s v="TO CLOSE"/>
    <x v="15"/>
    <d v="2020-03-21T00:00:00"/>
    <m/>
    <s v="FUTURE"/>
    <n v="3687.25"/>
    <n v="3687.25"/>
    <s v="MKT"/>
    <n v="0"/>
    <n v="0"/>
    <s v=""/>
    <n v="62.5"/>
  </r>
  <r>
    <x v="1135"/>
    <x v="145"/>
    <s v="Friday"/>
    <d v="1899-12-30T10:07:40"/>
    <s v="STOCK"/>
    <s v="SELL"/>
    <n v="-400"/>
    <s v="TO OPEN"/>
    <x v="2"/>
    <m/>
    <m/>
    <s v="STOCK"/>
    <n v="17.350000000000001"/>
    <n v="17.350000000000001"/>
    <s v="LMT"/>
    <n v="-400"/>
    <n v="-6940.0000000000009"/>
    <n v="17.350000000000001"/>
    <s v=""/>
  </r>
  <r>
    <x v="1135"/>
    <x v="145"/>
    <s v="Friday"/>
    <d v="1899-12-30T10:08:52"/>
    <s v="STOCK"/>
    <s v="BUY"/>
    <n v="100"/>
    <s v="TO CLOSE"/>
    <x v="2"/>
    <m/>
    <m/>
    <s v="STOCK"/>
    <n v="17.3"/>
    <n v="17.3"/>
    <s v="LMT"/>
    <n v="-300"/>
    <n v="-5210.0000000000009"/>
    <n v="17.366666666666671"/>
    <s v=""/>
  </r>
  <r>
    <x v="1135"/>
    <x v="145"/>
    <s v="Friday"/>
    <d v="1899-12-30T10:10:00"/>
    <s v="STOCK"/>
    <s v="BUY"/>
    <n v="90"/>
    <s v="TO CLOSE"/>
    <x v="2"/>
    <m/>
    <m/>
    <s v="STOCK"/>
    <n v="17.239999999999998"/>
    <n v="17.239999999999998"/>
    <s v="LMT"/>
    <n v="-210"/>
    <n v="-3658.400000000001"/>
    <n v="17.420952380952386"/>
    <s v=""/>
  </r>
  <r>
    <x v="1135"/>
    <x v="145"/>
    <s v="Friday"/>
    <d v="1899-12-30T10:10:00"/>
    <s v="STOCK"/>
    <s v="BUY"/>
    <n v="10"/>
    <s v="TO CLOSE"/>
    <x v="2"/>
    <m/>
    <m/>
    <s v="STOCK"/>
    <n v="17.239999999999998"/>
    <n v="17.239999999999998"/>
    <s v="LMT"/>
    <n v="-200"/>
    <n v="-3486.0000000000009"/>
    <n v="17.430000000000003"/>
    <s v=""/>
  </r>
  <r>
    <x v="1135"/>
    <x v="145"/>
    <s v="Friday"/>
    <d v="1899-12-30T10:11:53"/>
    <s v="STOCK"/>
    <s v="BUY"/>
    <n v="200"/>
    <s v="TO CLOSE"/>
    <x v="2"/>
    <m/>
    <m/>
    <s v="STOCK"/>
    <n v="17.22"/>
    <n v="17.22"/>
    <s v="LMT"/>
    <n v="0"/>
    <n v="0"/>
    <s v=""/>
    <n v="42.000000000000881"/>
  </r>
  <r>
    <x v="1136"/>
    <x v="146"/>
    <s v="Monday"/>
    <d v="1899-12-30T09:16:38"/>
    <s v="FUTURE"/>
    <s v="BUY"/>
    <n v="1"/>
    <s v="TO OPEN"/>
    <x v="16"/>
    <d v="2020-02-21T00:00:00"/>
    <m/>
    <s v="FUTURE"/>
    <n v="47"/>
    <n v="47"/>
    <s v="LMT"/>
    <n v="1"/>
    <n v="47000"/>
    <n v="47"/>
    <s v=""/>
  </r>
  <r>
    <x v="1136"/>
    <x v="146"/>
    <s v="Monday"/>
    <d v="1899-12-30T09:29:57"/>
    <s v="FUTURE"/>
    <s v="SELL"/>
    <n v="-1"/>
    <s v="TO CLOSE"/>
    <x v="16"/>
    <d v="2020-02-21T00:00:00"/>
    <m/>
    <s v="FUTURE"/>
    <n v="47.15"/>
    <n v="47.15"/>
    <s v="LMT"/>
    <n v="0"/>
    <n v="0"/>
    <s v=""/>
    <n v="149.99999999999858"/>
  </r>
  <r>
    <x v="1137"/>
    <x v="146"/>
    <s v="Monday"/>
    <d v="1899-12-30T09:43:30"/>
    <s v="FUTURE"/>
    <s v="SELL"/>
    <n v="-1"/>
    <s v="TO OPEN"/>
    <x v="16"/>
    <d v="2020-02-21T00:00:00"/>
    <m/>
    <s v="FUTURE"/>
    <n v="47.42"/>
    <n v="47.42"/>
    <s v="LMT"/>
    <n v="-1"/>
    <n v="-47420"/>
    <n v="47.42"/>
    <s v=""/>
  </r>
  <r>
    <x v="1137"/>
    <x v="146"/>
    <s v="Monday"/>
    <d v="1899-12-30T09:47:20"/>
    <s v="FUTURE"/>
    <s v="SELL"/>
    <n v="-1"/>
    <s v="TO OPEN"/>
    <x v="16"/>
    <d v="2020-02-21T00:00:00"/>
    <m/>
    <s v="FUTURE"/>
    <n v="47.6"/>
    <n v="47.6"/>
    <s v="LMT"/>
    <n v="-2"/>
    <n v="-95020"/>
    <n v="47.51"/>
    <s v=""/>
  </r>
  <r>
    <x v="1137"/>
    <x v="146"/>
    <s v="Monday"/>
    <d v="1899-12-30T09:47:30"/>
    <s v="FUTURE"/>
    <s v="BUY"/>
    <n v="1"/>
    <s v="TO CLOSE"/>
    <x v="16"/>
    <d v="2020-02-21T00:00:00"/>
    <m/>
    <s v="FUTURE"/>
    <n v="47.52"/>
    <n v="47.52"/>
    <s v="LMT"/>
    <n v="-1"/>
    <n v="-47500"/>
    <n v="47.5"/>
    <s v=""/>
  </r>
  <r>
    <x v="1137"/>
    <x v="146"/>
    <s v="Monday"/>
    <d v="1899-12-30T10:10:09"/>
    <s v="FUTURE"/>
    <s v="BUY"/>
    <n v="1"/>
    <s v="TO CLOSE"/>
    <x v="16"/>
    <d v="2020-02-21T00:00:00"/>
    <m/>
    <s v="FUTURE"/>
    <n v="47.37"/>
    <n v="47.37"/>
    <s v="LMT"/>
    <n v="0"/>
    <n v="0"/>
    <s v=""/>
    <n v="130.00000000000256"/>
  </r>
  <r>
    <x v="1138"/>
    <x v="146"/>
    <s v="Monday"/>
    <d v="1899-12-30T10:17:35"/>
    <s v="FUTURE"/>
    <s v="BUY"/>
    <n v="1"/>
    <s v="TO OPEN"/>
    <x v="15"/>
    <d v="2020-03-21T00:00:00"/>
    <m/>
    <s v="FUTURE"/>
    <n v="3636.5"/>
    <n v="3636.5"/>
    <s v="LMT"/>
    <n v="1"/>
    <n v="181825"/>
    <n v="3636.5"/>
    <s v=""/>
  </r>
  <r>
    <x v="1138"/>
    <x v="146"/>
    <s v="Monday"/>
    <d v="1899-12-30T10:56:38"/>
    <s v="FUTURE"/>
    <s v="SELL"/>
    <n v="-1"/>
    <s v="TO CLOSE"/>
    <x v="15"/>
    <d v="2020-03-21T00:00:00"/>
    <m/>
    <s v="FUTURE"/>
    <n v="3640.75"/>
    <n v="3640.75"/>
    <s v="MKT"/>
    <n v="0"/>
    <n v="0"/>
    <s v=""/>
    <n v="212.5"/>
  </r>
  <r>
    <x v="1139"/>
    <x v="147"/>
    <s v="Tuesday"/>
    <d v="1899-12-30T10:07:50"/>
    <s v="FUTURE"/>
    <s v="BUY"/>
    <n v="1"/>
    <s v="TO OPEN"/>
    <x v="16"/>
    <d v="2020-02-21T00:00:00"/>
    <m/>
    <s v="FUTURE"/>
    <n v="47.19"/>
    <n v="47.19"/>
    <s v="LMT"/>
    <n v="1"/>
    <n v="47190"/>
    <n v="47.19"/>
    <s v=""/>
  </r>
  <r>
    <x v="1139"/>
    <x v="147"/>
    <s v="Tuesday"/>
    <d v="1899-12-30T10:10:06"/>
    <s v="FUTURE"/>
    <s v="SELL"/>
    <n v="-1"/>
    <s v="TO CLOSE"/>
    <x v="16"/>
    <d v="2020-02-21T00:00:00"/>
    <m/>
    <s v="FUTURE"/>
    <n v="47.24"/>
    <n v="47.24"/>
    <s v="LMT"/>
    <n v="0"/>
    <n v="0"/>
    <s v=""/>
    <n v="50.000000000004263"/>
  </r>
  <r>
    <x v="1140"/>
    <x v="147"/>
    <s v="Tuesday"/>
    <d v="1899-12-30T10:12:23"/>
    <s v="FUTURE"/>
    <s v="SELL"/>
    <n v="-1"/>
    <s v="TO OPEN"/>
    <x v="15"/>
    <d v="2020-03-21T00:00:00"/>
    <m/>
    <s v="FUTURE"/>
    <n v="3681.5"/>
    <n v="3681.5"/>
    <s v="LMT"/>
    <n v="-1"/>
    <n v="-184075"/>
    <n v="3681.5"/>
    <s v=""/>
  </r>
  <r>
    <x v="1140"/>
    <x v="147"/>
    <s v="Tuesday"/>
    <d v="1899-12-30T10:12:45"/>
    <s v="FUTURE"/>
    <s v="BUY"/>
    <n v="1"/>
    <s v="TO CLOSE"/>
    <x v="15"/>
    <d v="2020-03-21T00:00:00"/>
    <m/>
    <s v="FUTURE"/>
    <n v="3678.5"/>
    <n v="3678.5"/>
    <s v="LMT"/>
    <n v="0"/>
    <n v="0"/>
    <s v=""/>
    <n v="150"/>
  </r>
  <r>
    <x v="1141"/>
    <x v="147"/>
    <s v="Tuesday"/>
    <d v="1899-12-30T10:50:25"/>
    <s v="FUTURE"/>
    <s v="SELL"/>
    <n v="-1"/>
    <s v="TO OPEN"/>
    <x v="15"/>
    <d v="2020-03-21T00:00:00"/>
    <m/>
    <s v="FUTURE"/>
    <n v="3680"/>
    <n v="3680"/>
    <s v="LMT"/>
    <n v="-1"/>
    <n v="-184000"/>
    <n v="3680"/>
    <s v=""/>
  </r>
  <r>
    <x v="1141"/>
    <x v="147"/>
    <s v="Tuesday"/>
    <d v="1899-12-30T11:35:51"/>
    <s v="FUTURE"/>
    <s v="BUY"/>
    <n v="1"/>
    <s v="TO CLOSE"/>
    <x v="15"/>
    <d v="2020-03-21T00:00:00"/>
    <m/>
    <s v="FUTURE"/>
    <n v="3673"/>
    <n v="3673"/>
    <s v="LMT"/>
    <n v="0"/>
    <n v="0"/>
    <s v=""/>
    <n v="350"/>
  </r>
  <r>
    <x v="1142"/>
    <x v="148"/>
    <s v="Wednesday"/>
    <d v="1899-12-30T09:48:42"/>
    <s v="FUTURE"/>
    <s v="BUY"/>
    <n v="1"/>
    <s v="TO OPEN"/>
    <x v="16"/>
    <d v="2020-02-21T00:00:00"/>
    <m/>
    <s v="FUTURE"/>
    <n v="47.49"/>
    <n v="47.49"/>
    <s v="LMT"/>
    <n v="1"/>
    <n v="47490"/>
    <n v="47.49"/>
    <s v=""/>
  </r>
  <r>
    <x v="1142"/>
    <x v="148"/>
    <s v="Wednesday"/>
    <d v="1899-12-30T09:49:26"/>
    <s v="FUTURE"/>
    <s v="SELL"/>
    <n v="-1"/>
    <s v="TO CLOSE"/>
    <x v="16"/>
    <d v="2020-02-21T00:00:00"/>
    <m/>
    <s v="FUTURE"/>
    <n v="47.54"/>
    <n v="47.54"/>
    <s v="LMT"/>
    <n v="0"/>
    <n v="0"/>
    <s v=""/>
    <n v="49.999999999997158"/>
  </r>
  <r>
    <x v="1143"/>
    <x v="148"/>
    <s v="Wednesday"/>
    <d v="1899-12-30T09:53:44"/>
    <s v="FUTURE"/>
    <s v="SELL"/>
    <n v="-1"/>
    <s v="TO OPEN"/>
    <x v="16"/>
    <d v="2020-02-21T00:00:00"/>
    <m/>
    <s v="FUTURE"/>
    <n v="47.58"/>
    <n v="47.58"/>
    <s v="LMT"/>
    <n v="-1"/>
    <n v="-47580"/>
    <n v="47.58"/>
    <s v=""/>
  </r>
  <r>
    <x v="1143"/>
    <x v="148"/>
    <s v="Wednesday"/>
    <d v="1899-12-30T10:03:15"/>
    <s v="FUTURE"/>
    <s v="SELL"/>
    <n v="-1"/>
    <s v="TO OPEN"/>
    <x v="16"/>
    <d v="2020-02-21T00:00:00"/>
    <m/>
    <s v="FUTURE"/>
    <n v="47.82"/>
    <n v="47.82"/>
    <s v="LMT"/>
    <n v="-2"/>
    <n v="-95400"/>
    <n v="47.7"/>
    <s v=""/>
  </r>
  <r>
    <x v="1143"/>
    <x v="148"/>
    <s v="Wednesday"/>
    <d v="1899-12-30T10:15:47"/>
    <s v="FUTURE"/>
    <s v="BUY"/>
    <n v="1"/>
    <s v="TO CLOSE"/>
    <x v="16"/>
    <d v="2020-02-21T00:00:00"/>
    <m/>
    <s v="FUTURE"/>
    <n v="47.66"/>
    <n v="47.66"/>
    <s v="LMT"/>
    <n v="-1"/>
    <n v="-47740"/>
    <n v="47.74"/>
    <s v=""/>
  </r>
  <r>
    <x v="1143"/>
    <x v="148"/>
    <s v="Wednesday"/>
    <d v="1899-12-30T10:52:59"/>
    <s v="FUTURE"/>
    <s v="SELL"/>
    <n v="-1"/>
    <s v="TO OPEN"/>
    <x v="16"/>
    <d v="2020-02-21T00:00:00"/>
    <m/>
    <s v="FUTURE"/>
    <n v="48"/>
    <n v="48"/>
    <s v="LMT"/>
    <n v="-2"/>
    <n v="-95740"/>
    <n v="47.87"/>
    <s v=""/>
  </r>
  <r>
    <x v="1143"/>
    <x v="148"/>
    <s v="Wednesday"/>
    <d v="1899-12-30T14:45:55"/>
    <s v="FUTURE"/>
    <s v="BUY"/>
    <n v="1"/>
    <s v="TO CLOSE"/>
    <x v="16"/>
    <d v="2020-02-21T00:00:00"/>
    <m/>
    <s v="FUTURE"/>
    <n v="48.02"/>
    <n v="48.02"/>
    <s v="LMT"/>
    <n v="-1"/>
    <n v="-47720"/>
    <n v="47.72"/>
    <s v=""/>
  </r>
  <r>
    <x v="1143"/>
    <x v="148"/>
    <s v="Wednesday"/>
    <d v="1899-12-30T14:53:48"/>
    <s v="FUTURE"/>
    <s v="BUY"/>
    <n v="1"/>
    <s v="TO CLOSE"/>
    <x v="16"/>
    <d v="2020-02-21T00:00:00"/>
    <m/>
    <s v="FUTURE"/>
    <n v="47.98"/>
    <n v="47.98"/>
    <s v="STP"/>
    <n v="0"/>
    <n v="0"/>
    <s v=""/>
    <n v="-259.99999999999801"/>
  </r>
  <r>
    <x v="1144"/>
    <x v="148"/>
    <s v="Wednesday"/>
    <d v="1899-12-30T18:01:28"/>
    <s v="FUTURE"/>
    <s v="SELL"/>
    <n v="-1"/>
    <s v="TO OPEN"/>
    <x v="16"/>
    <d v="2020-02-21T00:00:00"/>
    <m/>
    <s v="FUTURE"/>
    <n v="48.07"/>
    <n v="48.07"/>
    <s v="LMT"/>
    <n v="-1"/>
    <n v="-48070"/>
    <n v="48.07"/>
    <s v=""/>
  </r>
  <r>
    <x v="1144"/>
    <x v="148"/>
    <s v="Wednesday"/>
    <d v="1899-12-30T19:15:44"/>
    <s v="FUTURE"/>
    <s v="BUY"/>
    <n v="1"/>
    <s v="TO CLOSE"/>
    <x v="16"/>
    <d v="2020-02-21T00:00:00"/>
    <m/>
    <s v="FUTURE"/>
    <n v="48.03"/>
    <n v="48.03"/>
    <s v="LMT"/>
    <n v="0"/>
    <n v="0"/>
    <s v=""/>
    <n v="39.999999999999147"/>
  </r>
  <r>
    <x v="1145"/>
    <x v="149"/>
    <s v="Monday"/>
    <d v="1899-12-30T09:56:33"/>
    <s v="FUTURE"/>
    <s v="SELL"/>
    <n v="-1"/>
    <s v="TO OPEN"/>
    <x v="16"/>
    <d v="2021-02-21T00:00:00"/>
    <m/>
    <s v="FUTURE"/>
    <n v="48.29"/>
    <n v="48.29"/>
    <s v="LMT"/>
    <n v="-1"/>
    <n v="-48290"/>
    <n v="48.29"/>
    <s v=""/>
  </r>
  <r>
    <x v="1145"/>
    <x v="149"/>
    <s v="Monday"/>
    <d v="1899-12-30T10:08:01"/>
    <s v="FUTURE"/>
    <s v="BUY"/>
    <n v="1"/>
    <s v="TO CLOSE"/>
    <x v="16"/>
    <d v="2021-02-21T00:00:00"/>
    <m/>
    <s v="FUTURE"/>
    <n v="48.19"/>
    <n v="48.19"/>
    <s v="LMT"/>
    <n v="0"/>
    <n v="0"/>
    <s v=""/>
    <n v="100.00000000000142"/>
  </r>
  <r>
    <x v="1146"/>
    <x v="149"/>
    <s v="Monday"/>
    <d v="1899-12-30T10:28:32"/>
    <s v="FUTURE"/>
    <s v="BUY"/>
    <n v="1"/>
    <s v="TO OPEN"/>
    <x v="16"/>
    <d v="2021-02-21T00:00:00"/>
    <m/>
    <s v="FUTURE"/>
    <n v="48.26"/>
    <n v="48.26"/>
    <s v="LMT"/>
    <n v="1"/>
    <n v="48260"/>
    <n v="48.26"/>
    <s v=""/>
  </r>
  <r>
    <x v="1146"/>
    <x v="149"/>
    <s v="Monday"/>
    <d v="1899-12-30T10:45:44"/>
    <s v="FUTURE"/>
    <s v="SELL"/>
    <n v="-1"/>
    <s v="TO CLOSE"/>
    <x v="16"/>
    <d v="2021-02-21T00:00:00"/>
    <m/>
    <s v="FUTURE"/>
    <n v="48.11"/>
    <n v="48.11"/>
    <s v="LMT"/>
    <n v="0"/>
    <n v="0"/>
    <s v=""/>
    <n v="-149.99999999999858"/>
  </r>
  <r>
    <x v="1147"/>
    <x v="149"/>
    <s v="Monday"/>
    <d v="1899-12-30T10:49:51"/>
    <s v="FUTURE"/>
    <s v="SELL"/>
    <n v="-1"/>
    <s v="TO OPEN"/>
    <x v="16"/>
    <d v="2021-02-21T00:00:00"/>
    <m/>
    <s v="FUTURE"/>
    <n v="48.16"/>
    <n v="48.16"/>
    <s v="LMT"/>
    <n v="-1"/>
    <n v="-48160"/>
    <n v="48.16"/>
    <s v=""/>
  </r>
  <r>
    <x v="1147"/>
    <x v="149"/>
    <s v="Monday"/>
    <d v="1899-12-30T11:01:41"/>
    <s v="FUTURE"/>
    <s v="BUY"/>
    <n v="1"/>
    <s v="TO CLOSE"/>
    <x v="16"/>
    <d v="2021-02-21T00:00:00"/>
    <m/>
    <s v="FUTURE"/>
    <n v="48.11"/>
    <n v="48.11"/>
    <s v="STP"/>
    <n v="0"/>
    <n v="0"/>
    <s v=""/>
    <n v="49.999999999997158"/>
  </r>
  <r>
    <x v="1148"/>
    <x v="149"/>
    <s v="Monday"/>
    <d v="1899-12-30T11:11:24"/>
    <s v="FUTURE"/>
    <s v="BUY"/>
    <n v="1"/>
    <s v="TO OPEN"/>
    <x v="16"/>
    <d v="2021-02-21T00:00:00"/>
    <m/>
    <s v="FUTURE"/>
    <n v="48.11"/>
    <n v="48.11"/>
    <s v="LMT"/>
    <n v="1"/>
    <n v="48110"/>
    <n v="48.11"/>
    <s v=""/>
  </r>
  <r>
    <x v="1148"/>
    <x v="149"/>
    <s v="Monday"/>
    <d v="1899-12-30T11:14:50"/>
    <s v="FUTURE"/>
    <s v="SELL"/>
    <n v="-1"/>
    <s v="TO CLOSE"/>
    <x v="16"/>
    <d v="2021-02-21T00:00:00"/>
    <m/>
    <s v="FUTURE"/>
    <n v="48.16"/>
    <n v="48.16"/>
    <s v="LMT"/>
    <n v="0"/>
    <n v="0"/>
    <s v=""/>
    <n v="49.999999999997158"/>
  </r>
  <r>
    <x v="1149"/>
    <x v="149"/>
    <s v="Monday"/>
    <d v="1899-12-30T14:29:29"/>
    <s v="FUTURE"/>
    <s v="BUY"/>
    <n v="1"/>
    <s v="TO OPEN"/>
    <x v="16"/>
    <d v="2021-02-21T00:00:00"/>
    <m/>
    <s v="FUTURE"/>
    <n v="47.65"/>
    <n v="47.65"/>
    <s v="LMT"/>
    <n v="1"/>
    <n v="47650"/>
    <n v="47.65"/>
    <s v=""/>
  </r>
  <r>
    <x v="1149"/>
    <x v="149"/>
    <s v="Monday"/>
    <d v="1899-12-30T14:45:51"/>
    <s v="FUTURE"/>
    <s v="SELL"/>
    <n v="-1"/>
    <s v="TO CLOSE"/>
    <x v="16"/>
    <d v="2021-02-21T00:00:00"/>
    <m/>
    <s v="FUTURE"/>
    <n v="47.66"/>
    <n v="47.66"/>
    <s v="LMT"/>
    <n v="0"/>
    <n v="0"/>
    <s v=""/>
    <n v="9.9999999999980105"/>
  </r>
  <r>
    <x v="1150"/>
    <x v="149"/>
    <s v="Monday"/>
    <d v="1899-12-30T09:46:00"/>
    <s v="FUTURE"/>
    <s v="SELL"/>
    <n v="-1"/>
    <s v="TO OPEN"/>
    <x v="15"/>
    <d v="2021-03-21T00:00:00"/>
    <m/>
    <s v="FUTURE"/>
    <n v="3719.5"/>
    <n v="3719.5"/>
    <s v="LMT"/>
    <n v="-1"/>
    <n v="-185975"/>
    <n v="3719.5"/>
    <s v=""/>
  </r>
  <r>
    <x v="1150"/>
    <x v="150"/>
    <s v="Tuesday"/>
    <d v="1899-12-30T01:51:53"/>
    <s v="FUTURE"/>
    <s v="BUY"/>
    <n v="1"/>
    <s v="TO CLOSE"/>
    <x v="15"/>
    <d v="2021-03-21T00:00:00"/>
    <m/>
    <s v="FUTURE"/>
    <n v="3744.5"/>
    <n v="3744.5"/>
    <s v="STP"/>
    <n v="0"/>
    <n v="0"/>
    <s v=""/>
    <n v="-1250"/>
  </r>
  <r>
    <x v="1151"/>
    <x v="150"/>
    <s v="Tuesday"/>
    <d v="1899-12-30T09:38:48"/>
    <s v="FUTURE"/>
    <s v="SELL"/>
    <n v="-2"/>
    <s v="TO OPEN"/>
    <x v="16"/>
    <d v="2021-02-21T00:00:00"/>
    <m/>
    <s v="FUTURE"/>
    <n v="48.12"/>
    <n v="48.12"/>
    <s v="LMT"/>
    <n v="-2"/>
    <n v="-96240"/>
    <n v="48.12"/>
    <s v=""/>
  </r>
  <r>
    <x v="1151"/>
    <x v="150"/>
    <s v="Tuesday"/>
    <d v="1899-12-30T10:08:45"/>
    <s v="FUTURE"/>
    <s v="BUY"/>
    <n v="1"/>
    <s v="TO CLOSE"/>
    <x v="16"/>
    <d v="2021-02-21T00:00:00"/>
    <m/>
    <s v="FUTURE"/>
    <n v="48.01"/>
    <n v="48.01"/>
    <s v="LMT"/>
    <n v="-1"/>
    <n v="-48230"/>
    <n v="48.23"/>
    <s v=""/>
  </r>
  <r>
    <x v="1151"/>
    <x v="150"/>
    <s v="Tuesday"/>
    <d v="1899-12-30T10:15:36"/>
    <s v="FUTURE"/>
    <s v="BUY"/>
    <n v="1"/>
    <s v="TO CLOSE"/>
    <x v="16"/>
    <d v="2021-02-21T00:00:00"/>
    <m/>
    <s v="FUTURE"/>
    <n v="47.92"/>
    <n v="47.92"/>
    <s v="LMT"/>
    <n v="0"/>
    <n v="0"/>
    <s v=""/>
    <n v="309.99999999999517"/>
  </r>
  <r>
    <x v="1152"/>
    <x v="150"/>
    <s v="Tuesday"/>
    <d v="1899-12-30T11:17:32"/>
    <s v="FUTURE"/>
    <s v="SELL"/>
    <n v="-1"/>
    <s v="TO OPEN"/>
    <x v="16"/>
    <d v="2021-02-21T00:00:00"/>
    <m/>
    <s v="FUTURE"/>
    <n v="48.17"/>
    <n v="48.17"/>
    <s v="LMT"/>
    <n v="-1"/>
    <n v="-48170"/>
    <n v="48.17"/>
    <s v=""/>
  </r>
  <r>
    <x v="1152"/>
    <x v="150"/>
    <s v="Tuesday"/>
    <d v="1899-12-30T11:23:50"/>
    <s v="FUTURE"/>
    <s v="BUY"/>
    <n v="1"/>
    <s v="TO CLOSE"/>
    <x v="16"/>
    <d v="2021-02-21T00:00:00"/>
    <m/>
    <s v="FUTURE"/>
    <n v="48.12"/>
    <n v="48.12"/>
    <s v="LMT"/>
    <n v="0"/>
    <n v="0"/>
    <s v=""/>
    <n v="50.000000000004263"/>
  </r>
  <r>
    <x v="1153"/>
    <x v="150"/>
    <s v="Tuesday"/>
    <d v="1899-12-30T11:24:12"/>
    <s v="FUTURE"/>
    <s v="BUY"/>
    <n v="1"/>
    <s v="TO OPEN"/>
    <x v="15"/>
    <d v="2021-03-21T00:00:00"/>
    <m/>
    <s v="FUTURE"/>
    <n v="3730.5"/>
    <n v="3730.5"/>
    <s v="LMT"/>
    <n v="1"/>
    <n v="186525"/>
    <n v="3730.5"/>
    <s v=""/>
  </r>
  <r>
    <x v="1153"/>
    <x v="150"/>
    <s v="Tuesday"/>
    <d v="1899-12-30T11:44:35"/>
    <s v="FUTURE"/>
    <s v="SELL"/>
    <n v="-1"/>
    <s v="TO CLOSE"/>
    <x v="15"/>
    <d v="2021-03-21T00:00:00"/>
    <m/>
    <s v="FUTURE"/>
    <n v="3732.5"/>
    <n v="3732.5"/>
    <s v="MKT"/>
    <n v="0"/>
    <n v="0"/>
    <s v=""/>
    <n v="100"/>
  </r>
  <r>
    <x v="1154"/>
    <x v="150"/>
    <s v="Tuesday"/>
    <d v="1899-12-30T15:00:13"/>
    <s v="FUTURE"/>
    <s v="SELL"/>
    <n v="-1"/>
    <s v="TO OPEN"/>
    <x v="16"/>
    <d v="2021-02-21T00:00:00"/>
    <m/>
    <s v="FUTURE"/>
    <n v="48"/>
    <n v="48"/>
    <s v="LMT"/>
    <n v="-1"/>
    <n v="-48000"/>
    <n v="48"/>
    <s v=""/>
  </r>
  <r>
    <x v="1154"/>
    <x v="151"/>
    <s v="Wednesday"/>
    <d v="1899-12-30T09:07:10"/>
    <s v="FUTURE"/>
    <s v="BUY"/>
    <n v="1"/>
    <s v="TO CLOSE"/>
    <x v="16"/>
    <d v="2021-02-21T00:00:00"/>
    <m/>
    <s v="FUTURE"/>
    <n v="47.82"/>
    <n v="47.82"/>
    <s v="LMT"/>
    <n v="0"/>
    <n v="0"/>
    <s v=""/>
    <n v="179.99999999999972"/>
  </r>
  <r>
    <x v="1155"/>
    <x v="151"/>
    <s v="Wednesday"/>
    <d v="1899-12-30T10:30:32"/>
    <s v="FUTURE"/>
    <s v="SELL"/>
    <n v="-1"/>
    <s v="TO OPEN"/>
    <x v="16"/>
    <d v="2021-02-21T00:00:00"/>
    <m/>
    <s v="FUTURE"/>
    <n v="48.26"/>
    <n v="48.26"/>
    <s v="LMT"/>
    <n v="-1"/>
    <n v="-48260"/>
    <n v="48.26"/>
    <s v=""/>
  </r>
  <r>
    <x v="1155"/>
    <x v="151"/>
    <s v="Wednesday"/>
    <d v="1899-12-30T10:46:01"/>
    <s v="FUTURE"/>
    <s v="SELL"/>
    <n v="-1"/>
    <s v="TO OPEN"/>
    <x v="16"/>
    <d v="2021-02-21T00:00:00"/>
    <m/>
    <s v="FUTURE"/>
    <n v="48.46"/>
    <n v="48.46"/>
    <s v="LMT"/>
    <n v="-2"/>
    <n v="-96720"/>
    <n v="48.36"/>
    <s v=""/>
  </r>
  <r>
    <x v="1155"/>
    <x v="151"/>
    <s v="Wednesday"/>
    <d v="1899-12-30T10:53:03"/>
    <s v="FUTURE"/>
    <s v="BUY"/>
    <n v="1"/>
    <s v="TO CLOSE"/>
    <x v="16"/>
    <d v="2021-02-21T00:00:00"/>
    <m/>
    <s v="FUTURE"/>
    <n v="48.41"/>
    <n v="48.41"/>
    <s v="LMT"/>
    <n v="-1"/>
    <n v="-48310"/>
    <n v="48.31"/>
    <s v=""/>
  </r>
  <r>
    <x v="1155"/>
    <x v="151"/>
    <s v="Wednesday"/>
    <d v="1899-12-30T11:01:21"/>
    <s v="FUTURE"/>
    <s v="BUY"/>
    <n v="1"/>
    <s v="TO CLOSE"/>
    <x v="16"/>
    <d v="2021-02-21T00:00:00"/>
    <m/>
    <s v="FUTURE"/>
    <n v="48.27"/>
    <n v="48.27"/>
    <s v="LMT"/>
    <n v="0"/>
    <n v="0"/>
    <s v=""/>
    <n v="39.999999999999147"/>
  </r>
  <r>
    <x v="1156"/>
    <x v="151"/>
    <s v="Wednesday"/>
    <d v="1899-12-30T09:43:24"/>
    <s v="STOCK"/>
    <s v="SELL"/>
    <n v="-300"/>
    <s v="TO OPEN"/>
    <x v="2"/>
    <m/>
    <m/>
    <s v="STOCK"/>
    <n v="17.2834"/>
    <n v="17.2834"/>
    <s v="LMT"/>
    <n v="-300"/>
    <n v="-5185.0200000000004"/>
    <n v="17.2834"/>
    <s v=""/>
  </r>
  <r>
    <x v="1156"/>
    <x v="151"/>
    <s v="Wednesday"/>
    <d v="1899-12-30T09:56:10"/>
    <s v="STOCK"/>
    <s v="BUY"/>
    <n v="300"/>
    <s v="TO CLOSE"/>
    <x v="2"/>
    <m/>
    <m/>
    <s v="STOCK"/>
    <n v="17.215"/>
    <n v="17.215"/>
    <s v="MKT"/>
    <n v="0"/>
    <n v="0"/>
    <s v=""/>
    <n v="20.520000000000138"/>
  </r>
  <r>
    <x v="1157"/>
    <x v="152"/>
    <s v="Monday"/>
    <d v="1899-12-30T14:35:08"/>
    <s v="FUTURE"/>
    <s v="SELL"/>
    <n v="-1"/>
    <s v="TO OPEN"/>
    <x v="16"/>
    <d v="2021-02-21T00:00:00"/>
    <m/>
    <s v="FUTURE"/>
    <n v="47.47"/>
    <n v="47.47"/>
    <s v="MKT"/>
    <n v="-1"/>
    <n v="-47470"/>
    <n v="47.47"/>
    <s v=""/>
  </r>
  <r>
    <x v="1157"/>
    <x v="152"/>
    <s v="Monday"/>
    <d v="1899-12-30T14:56:24"/>
    <s v="FUTURE"/>
    <s v="BUY"/>
    <n v="1"/>
    <s v="TO CLOSE"/>
    <x v="16"/>
    <d v="2021-02-21T00:00:00"/>
    <m/>
    <s v="FUTURE"/>
    <n v="47.57"/>
    <n v="47.57"/>
    <s v="MKT"/>
    <n v="0"/>
    <n v="0"/>
    <s v=""/>
    <n v="-100.00000000000142"/>
  </r>
  <r>
    <x v="1158"/>
    <x v="152"/>
    <s v="Monday"/>
    <d v="1899-12-30T09:48:26"/>
    <s v="FUTURE"/>
    <s v="BUY"/>
    <n v="1"/>
    <s v="TO OPEN"/>
    <x v="15"/>
    <d v="2021-03-21T00:00:00"/>
    <m/>
    <s v="FUTURE"/>
    <n v="3746.5"/>
    <n v="3746.5"/>
    <s v="LMT"/>
    <n v="1"/>
    <n v="187325"/>
    <n v="3746.5"/>
    <s v=""/>
  </r>
  <r>
    <x v="1158"/>
    <x v="152"/>
    <s v="Monday"/>
    <d v="1899-12-30T14:01:42"/>
    <s v="FUTURE"/>
    <s v="SELL"/>
    <n v="-1"/>
    <s v="TO CLOSE"/>
    <x v="15"/>
    <d v="2021-03-21T00:00:00"/>
    <m/>
    <s v="FUTURE"/>
    <n v="3686.5"/>
    <n v="3686.5"/>
    <s v="STP"/>
    <n v="0"/>
    <n v="0"/>
    <s v=""/>
    <n v="-3000"/>
  </r>
  <r>
    <x v="1159"/>
    <x v="152"/>
    <s v="Monday"/>
    <d v="1899-12-30T14:25:33"/>
    <s v="FUTURE"/>
    <s v="BUY"/>
    <n v="1"/>
    <s v="TO OPEN"/>
    <x v="15"/>
    <d v="2021-03-21T00:00:00"/>
    <m/>
    <s v="FUTURE"/>
    <n v="3684"/>
    <n v="3684"/>
    <s v="MKT"/>
    <n v="1"/>
    <n v="184200"/>
    <n v="3684"/>
    <s v=""/>
  </r>
  <r>
    <x v="1159"/>
    <x v="152"/>
    <s v="Monday"/>
    <d v="1899-12-30T14:30:34"/>
    <s v="FUTURE"/>
    <s v="SELL"/>
    <n v="-1"/>
    <s v="TO CLOSE"/>
    <x v="15"/>
    <d v="2021-03-21T00:00:00"/>
    <m/>
    <s v="FUTURE"/>
    <n v="3677.75"/>
    <n v="3677.75"/>
    <s v="STP"/>
    <n v="0"/>
    <n v="0"/>
    <s v=""/>
    <n v="-312.5"/>
  </r>
  <r>
    <x v="1160"/>
    <x v="152"/>
    <s v="Monday"/>
    <d v="1899-12-30T10:23:54"/>
    <s v="FUTURE"/>
    <s v="BUY"/>
    <n v="4"/>
    <s v="TO OPEN"/>
    <x v="17"/>
    <d v="2021-03-21T00:00:00"/>
    <m/>
    <s v="FUTURE"/>
    <n v="3729"/>
    <n v="3729"/>
    <s v="LMT"/>
    <n v="4"/>
    <n v="74580"/>
    <n v="3729"/>
    <s v=""/>
  </r>
  <r>
    <x v="1160"/>
    <x v="152"/>
    <s v="Monday"/>
    <d v="1899-12-30T10:27:14"/>
    <s v="FUTURE"/>
    <s v="BUY"/>
    <n v="2"/>
    <s v="TO OPEN"/>
    <x v="17"/>
    <d v="2021-03-21T00:00:00"/>
    <m/>
    <s v="FUTURE"/>
    <n v="3726.5"/>
    <n v="3726.5"/>
    <s v="LMT"/>
    <n v="6"/>
    <n v="111845"/>
    <n v="3728.1666666666665"/>
    <s v=""/>
  </r>
  <r>
    <x v="1160"/>
    <x v="152"/>
    <s v="Monday"/>
    <d v="1899-12-30T14:05:54"/>
    <s v="FUTURE"/>
    <s v="SELL"/>
    <n v="-6"/>
    <s v="TO CLOSE"/>
    <x v="17"/>
    <d v="2021-03-21T00:00:00"/>
    <m/>
    <s v="FUTURE"/>
    <n v="3684.25"/>
    <n v="3684.25"/>
    <s v="STP"/>
    <n v="0"/>
    <n v="0"/>
    <s v=""/>
    <n v="-1317.4999999999955"/>
  </r>
  <r>
    <x v="1161"/>
    <x v="152"/>
    <s v="Monday"/>
    <d v="1899-12-30T14:08:04"/>
    <s v="FUTURE"/>
    <s v="SELL"/>
    <n v="-6"/>
    <s v="TO OPEN"/>
    <x v="17"/>
    <d v="2021-03-21T00:00:00"/>
    <m/>
    <s v="FUTURE"/>
    <n v="3683.75"/>
    <n v="3683.75"/>
    <s v="MKT"/>
    <n v="-6"/>
    <n v="-110512.5"/>
    <n v="3683.75"/>
    <s v=""/>
  </r>
  <r>
    <x v="1161"/>
    <x v="152"/>
    <s v="Monday"/>
    <d v="1899-12-30T14:09:26"/>
    <s v="FUTURE"/>
    <s v="BUY"/>
    <n v="2"/>
    <s v="TO CLOSE"/>
    <x v="17"/>
    <d v="2021-03-21T00:00:00"/>
    <m/>
    <s v="FUTURE"/>
    <n v="3680.75"/>
    <n v="3680.75"/>
    <s v="LMT"/>
    <n v="-4"/>
    <n v="-73705"/>
    <n v="3685.25"/>
    <s v=""/>
  </r>
  <r>
    <x v="1161"/>
    <x v="152"/>
    <s v="Monday"/>
    <d v="1899-12-30T14:11:38"/>
    <s v="FUTURE"/>
    <s v="BUY"/>
    <n v="1"/>
    <s v="TO CLOSE"/>
    <x v="17"/>
    <d v="2021-03-21T00:00:00"/>
    <m/>
    <s v="FUTURE"/>
    <n v="3677"/>
    <n v="3677"/>
    <s v="LMT"/>
    <n v="-3"/>
    <n v="-55320"/>
    <n v="3688"/>
    <s v=""/>
  </r>
  <r>
    <x v="1161"/>
    <x v="152"/>
    <s v="Monday"/>
    <d v="1899-12-30T14:11:38"/>
    <s v="FUTURE"/>
    <s v="BUY"/>
    <n v="1"/>
    <s v="TO CLOSE"/>
    <x v="17"/>
    <d v="2021-03-21T00:00:00"/>
    <m/>
    <s v="FUTURE"/>
    <n v="3677"/>
    <n v="3677"/>
    <s v="LMT"/>
    <n v="-2"/>
    <n v="-36935"/>
    <n v="3693.5"/>
    <s v=""/>
  </r>
  <r>
    <x v="1161"/>
    <x v="152"/>
    <s v="Monday"/>
    <d v="1899-12-30T14:14:11"/>
    <s v="FUTURE"/>
    <s v="BUY"/>
    <n v="2"/>
    <s v="TO CLOSE"/>
    <x v="17"/>
    <d v="2021-03-21T00:00:00"/>
    <m/>
    <s v="FUTURE"/>
    <n v="3681.25"/>
    <n v="3681.25"/>
    <s v="MKT"/>
    <n v="0"/>
    <n v="0"/>
    <s v=""/>
    <n v="122.5"/>
  </r>
  <r>
    <x v="1162"/>
    <x v="153"/>
    <s v="Tuesday"/>
    <d v="1899-12-30T11:00:05"/>
    <s v="FUTURE"/>
    <s v="SELL"/>
    <n v="-1"/>
    <s v="TO OPEN"/>
    <x v="16"/>
    <d v="2021-02-21T00:00:00"/>
    <m/>
    <s v="FUTURE"/>
    <n v="49.81"/>
    <n v="49.81"/>
    <s v="LMT"/>
    <n v="-1"/>
    <n v="-49810"/>
    <n v="49.81"/>
    <s v=""/>
  </r>
  <r>
    <x v="1162"/>
    <x v="153"/>
    <s v="Tuesday"/>
    <d v="1899-12-30T11:22:14"/>
    <s v="FUTURE"/>
    <s v="BUY"/>
    <n v="1"/>
    <s v="TO CLOSE"/>
    <x v="16"/>
    <d v="2021-02-21T00:00:00"/>
    <m/>
    <s v="FUTURE"/>
    <n v="49.76"/>
    <n v="49.76"/>
    <s v="LMT"/>
    <n v="0"/>
    <n v="0"/>
    <s v=""/>
    <n v="50.000000000004263"/>
  </r>
  <r>
    <x v="1163"/>
    <x v="153"/>
    <s v="Tuesday"/>
    <d v="1899-12-30T11:27:55"/>
    <s v="FUTURE"/>
    <s v="SELL"/>
    <n v="-2"/>
    <s v="TO OPEN"/>
    <x v="16"/>
    <d v="2021-02-21T00:00:00"/>
    <m/>
    <s v="FUTURE"/>
    <n v="49.7"/>
    <n v="49.7"/>
    <s v="MKT"/>
    <n v="-2"/>
    <n v="-99400"/>
    <n v="49.7"/>
    <s v=""/>
  </r>
  <r>
    <x v="1163"/>
    <x v="153"/>
    <s v="Tuesday"/>
    <d v="1899-12-30T11:29:03"/>
    <s v="FUTURE"/>
    <s v="BUY"/>
    <n v="1"/>
    <s v="TO CLOSE"/>
    <x v="16"/>
    <d v="2021-02-21T00:00:00"/>
    <m/>
    <s v="FUTURE"/>
    <n v="49.67"/>
    <n v="49.67"/>
    <s v="LMT"/>
    <n v="-1"/>
    <n v="-49730"/>
    <n v="49.73"/>
    <s v=""/>
  </r>
  <r>
    <x v="1163"/>
    <x v="153"/>
    <s v="Tuesday"/>
    <d v="1899-12-30T11:29:20"/>
    <s v="FUTURE"/>
    <s v="BUY"/>
    <n v="1"/>
    <s v="TO CLOSE"/>
    <x v="16"/>
    <d v="2021-02-21T00:00:00"/>
    <m/>
    <s v="FUTURE"/>
    <n v="49.68"/>
    <n v="49.68"/>
    <s v="STP"/>
    <n v="0"/>
    <n v="0"/>
    <s v=""/>
    <n v="49.999999999997158"/>
  </r>
  <r>
    <x v="1164"/>
    <x v="153"/>
    <s v="Tuesday"/>
    <d v="1899-12-30T12:43:57"/>
    <s v="FUTURE"/>
    <s v="SELL"/>
    <n v="-1"/>
    <s v="TO OPEN"/>
    <x v="16"/>
    <d v="2021-02-21T00:00:00"/>
    <m/>
    <s v="FUTURE"/>
    <n v="49.86"/>
    <n v="49.86"/>
    <s v="LMT"/>
    <n v="-1"/>
    <n v="-49860"/>
    <n v="49.86"/>
    <s v=""/>
  </r>
  <r>
    <x v="1164"/>
    <x v="153"/>
    <s v="Tuesday"/>
    <d v="1899-12-30T12:53:50"/>
    <s v="FUTURE"/>
    <s v="BUY"/>
    <n v="1"/>
    <s v="TO CLOSE"/>
    <x v="16"/>
    <d v="2021-02-21T00:00:00"/>
    <m/>
    <s v="FUTURE"/>
    <n v="49.83"/>
    <n v="49.83"/>
    <s v="MKT"/>
    <n v="0"/>
    <n v="0"/>
    <s v=""/>
    <n v="30.000000000001137"/>
  </r>
  <r>
    <x v="1165"/>
    <x v="153"/>
    <s v="Tuesday"/>
    <d v="1899-12-30T13:51:38"/>
    <s v="FUTURE"/>
    <s v="SELL"/>
    <n v="-1"/>
    <s v="TO OPEN"/>
    <x v="16"/>
    <d v="2021-02-21T00:00:00"/>
    <m/>
    <s v="FUTURE"/>
    <n v="49.98"/>
    <n v="49.98"/>
    <s v="LMT"/>
    <n v="-1"/>
    <n v="-49980"/>
    <n v="49.98"/>
    <s v=""/>
  </r>
  <r>
    <x v="1165"/>
    <x v="153"/>
    <s v="Tuesday"/>
    <d v="1899-12-30T14:30:35"/>
    <s v="FUTURE"/>
    <s v="BUY"/>
    <n v="1"/>
    <s v="TO CLOSE"/>
    <x v="16"/>
    <d v="2021-02-21T00:00:00"/>
    <m/>
    <s v="FUTURE"/>
    <n v="49.86"/>
    <n v="49.86"/>
    <s v="LMT"/>
    <n v="0"/>
    <n v="0"/>
    <s v=""/>
    <n v="119.99999999999744"/>
  </r>
  <r>
    <x v="1166"/>
    <x v="154"/>
    <s v="Wednesday"/>
    <d v="1899-12-30T09:25:18"/>
    <s v="FUTURE"/>
    <s v="SELL"/>
    <n v="-1"/>
    <s v="TO OPEN"/>
    <x v="16"/>
    <d v="2021-02-21T00:00:00"/>
    <m/>
    <s v="FUTURE"/>
    <n v="49.99"/>
    <n v="49.99"/>
    <s v="LMT"/>
    <n v="-1"/>
    <n v="-49990"/>
    <n v="49.99"/>
    <s v=""/>
  </r>
  <r>
    <x v="1166"/>
    <x v="154"/>
    <s v="Wednesday"/>
    <d v="1899-12-30T09:27:22"/>
    <s v="FUTURE"/>
    <s v="BUY"/>
    <n v="1"/>
    <s v="TO CLOSE"/>
    <x v="16"/>
    <d v="2021-02-21T00:00:00"/>
    <m/>
    <s v="FUTURE"/>
    <n v="49.94"/>
    <n v="49.94"/>
    <s v="LMT"/>
    <n v="0"/>
    <n v="0"/>
    <s v=""/>
    <n v="50.000000000004263"/>
  </r>
  <r>
    <x v="1167"/>
    <x v="154"/>
    <s v="Wednesday"/>
    <d v="1899-12-30T09:41:02"/>
    <s v="FUTURE"/>
    <s v="SELL"/>
    <n v="-1"/>
    <s v="TO OPEN"/>
    <x v="16"/>
    <d v="2021-02-21T00:00:00"/>
    <m/>
    <s v="FUTURE"/>
    <n v="50.08"/>
    <n v="50.08"/>
    <s v="LMT"/>
    <n v="-1"/>
    <n v="-50080"/>
    <n v="50.08"/>
    <s v=""/>
  </r>
  <r>
    <x v="1167"/>
    <x v="154"/>
    <s v="Wednesday"/>
    <d v="1899-12-30T09:42:59"/>
    <s v="FUTURE"/>
    <s v="BUY"/>
    <n v="1"/>
    <s v="TO CLOSE"/>
    <x v="16"/>
    <d v="2021-02-21T00:00:00"/>
    <m/>
    <s v="FUTURE"/>
    <n v="50.06"/>
    <n v="50.06"/>
    <s v="LMT"/>
    <n v="0"/>
    <n v="0"/>
    <s v=""/>
    <n v="19.999999999996021"/>
  </r>
  <r>
    <x v="1168"/>
    <x v="154"/>
    <s v="Wednesday"/>
    <d v="1899-12-30T09:50:55"/>
    <s v="FUTURE"/>
    <s v="SELL"/>
    <n v="-1"/>
    <s v="TO OPEN"/>
    <x v="16"/>
    <d v="2021-02-21T00:00:00"/>
    <m/>
    <s v="FUTURE"/>
    <n v="50.07"/>
    <n v="50.07"/>
    <s v="LMT"/>
    <n v="-1"/>
    <n v="-50070"/>
    <n v="50.07"/>
    <s v=""/>
  </r>
  <r>
    <x v="1168"/>
    <x v="154"/>
    <s v="Wednesday"/>
    <d v="1899-12-30T10:01:28"/>
    <s v="FUTURE"/>
    <s v="BUY"/>
    <n v="1"/>
    <s v="TO CLOSE"/>
    <x v="16"/>
    <d v="2021-02-21T00:00:00"/>
    <m/>
    <s v="FUTURE"/>
    <n v="50.03"/>
    <n v="50.03"/>
    <s v="STP"/>
    <n v="0"/>
    <n v="0"/>
    <s v=""/>
    <n v="39.999999999999147"/>
  </r>
  <r>
    <x v="1169"/>
    <x v="154"/>
    <s v="Wednesday"/>
    <d v="1899-12-30T10:28:49"/>
    <s v="FUTURE"/>
    <s v="SELL"/>
    <n v="-1"/>
    <s v="TO OPEN"/>
    <x v="16"/>
    <d v="2021-02-21T00:00:00"/>
    <m/>
    <s v="FUTURE"/>
    <n v="49.9"/>
    <n v="49.9"/>
    <s v="LMT"/>
    <n v="-1"/>
    <n v="-49900"/>
    <n v="49.9"/>
    <s v=""/>
  </r>
  <r>
    <x v="1169"/>
    <x v="154"/>
    <s v="Wednesday"/>
    <d v="1899-12-30T10:30:18"/>
    <s v="FUTURE"/>
    <s v="SELL"/>
    <n v="-1"/>
    <s v="TO OPEN"/>
    <x v="16"/>
    <d v="2021-02-21T00:00:00"/>
    <m/>
    <s v="FUTURE"/>
    <n v="50.23"/>
    <n v="50.23"/>
    <s v="LMT"/>
    <n v="-2"/>
    <n v="-100130"/>
    <n v="50.064999999999998"/>
    <s v=""/>
  </r>
  <r>
    <x v="1169"/>
    <x v="154"/>
    <s v="Wednesday"/>
    <d v="1899-12-30T14:48:57"/>
    <s v="FUTURE"/>
    <s v="BUY"/>
    <n v="1"/>
    <s v="TO CLOSE"/>
    <x v="16"/>
    <d v="2021-02-21T00:00:00"/>
    <m/>
    <s v="FUTURE"/>
    <n v="50.14"/>
    <n v="50.14"/>
    <s v="LMT"/>
    <n v="-1"/>
    <n v="-49990"/>
    <n v="49.99"/>
    <s v=""/>
  </r>
  <r>
    <x v="1169"/>
    <x v="154"/>
    <s v="Wednesday"/>
    <d v="1899-12-30T15:08:05"/>
    <s v="FUTURE"/>
    <s v="BUY"/>
    <n v="1"/>
    <s v="TO CLOSE"/>
    <x v="16"/>
    <d v="2021-02-21T00:00:00"/>
    <m/>
    <s v="FUTURE"/>
    <n v="49.75"/>
    <n v="49.75"/>
    <s v="LMT"/>
    <n v="0"/>
    <n v="0"/>
    <s v=""/>
    <n v="240.00000000000199"/>
  </r>
  <r>
    <x v="1170"/>
    <x v="154"/>
    <s v="Wednesday"/>
    <d v="1899-12-30T09:28:54"/>
    <s v="FUTURE"/>
    <s v="SELL"/>
    <n v="-1"/>
    <s v="TO OPEN"/>
    <x v="15"/>
    <d v="2021-03-21T00:00:00"/>
    <m/>
    <s v="FUTURE"/>
    <n v="3699.5"/>
    <n v="3699.5"/>
    <s v="LMT"/>
    <n v="-1"/>
    <n v="-184975"/>
    <n v="3699.5"/>
    <s v=""/>
  </r>
  <r>
    <x v="1170"/>
    <x v="154"/>
    <s v="Wednesday"/>
    <d v="1899-12-30T09:34:53"/>
    <s v="FUTURE"/>
    <s v="BUY"/>
    <n v="1"/>
    <s v="TO CLOSE"/>
    <x v="15"/>
    <d v="2021-03-21T00:00:00"/>
    <m/>
    <s v="FUTURE"/>
    <n v="3698.25"/>
    <n v="3698.25"/>
    <s v="LMT"/>
    <n v="0"/>
    <n v="0"/>
    <s v=""/>
    <n v="62.5"/>
  </r>
  <r>
    <x v="1171"/>
    <x v="155"/>
    <s v="Monday"/>
    <d v="1899-12-30T10:11:37"/>
    <s v="FUTURE"/>
    <s v="SELL"/>
    <n v="-1"/>
    <s v="TO OPEN"/>
    <x v="16"/>
    <d v="2021-02-21T00:00:00"/>
    <m/>
    <s v="FUTURE"/>
    <n v="51.8"/>
    <n v="51.8"/>
    <s v="LMT"/>
    <n v="-1"/>
    <n v="-51800"/>
    <n v="51.8"/>
    <s v=""/>
  </r>
  <r>
    <x v="1171"/>
    <x v="155"/>
    <s v="Monday"/>
    <d v="1899-12-30T10:22:22"/>
    <s v="FUTURE"/>
    <s v="SELL"/>
    <n v="-1"/>
    <s v="TO OPEN"/>
    <x v="16"/>
    <d v="2021-02-21T00:00:00"/>
    <m/>
    <s v="FUTURE"/>
    <n v="52"/>
    <n v="52"/>
    <s v="LMT"/>
    <n v="-2"/>
    <n v="-103800"/>
    <n v="51.9"/>
    <s v=""/>
  </r>
  <r>
    <x v="1171"/>
    <x v="155"/>
    <s v="Monday"/>
    <d v="1899-12-30T14:43:03"/>
    <s v="FUTURE"/>
    <s v="BUY"/>
    <n v="2"/>
    <s v="TO CLOSE"/>
    <x v="16"/>
    <d v="2021-02-21T00:00:00"/>
    <m/>
    <s v="FUTURE"/>
    <n v="52.13"/>
    <n v="52.13"/>
    <s v="STP"/>
    <n v="0"/>
    <n v="0"/>
    <s v=""/>
    <n v="-460.00000000000796"/>
  </r>
  <r>
    <x v="1172"/>
    <x v="155"/>
    <s v="Monday"/>
    <d v="1899-12-30T19:04:17"/>
    <s v="FUTURE"/>
    <s v="SELL"/>
    <n v="-1"/>
    <s v="TO OPEN"/>
    <x v="16"/>
    <d v="2021-02-21T00:00:00"/>
    <m/>
    <s v="FUTURE"/>
    <n v="52.14"/>
    <n v="52.14"/>
    <s v="LMT"/>
    <n v="-1"/>
    <n v="-52140"/>
    <n v="52.14"/>
    <s v=""/>
  </r>
  <r>
    <x v="1172"/>
    <x v="156"/>
    <s v="Tuesday"/>
    <d v="1899-12-30T01:40:01"/>
    <s v="FUTURE"/>
    <s v="BUY"/>
    <n v="1"/>
    <s v="TO CLOSE"/>
    <x v="16"/>
    <d v="2021-02-21T00:00:00"/>
    <m/>
    <s v="FUTURE"/>
    <n v="52.53"/>
    <n v="52.53"/>
    <s v="STP"/>
    <n v="0"/>
    <n v="0"/>
    <s v=""/>
    <n v="-390.00000000000057"/>
  </r>
  <r>
    <x v="1173"/>
    <x v="156"/>
    <s v="Tuesday"/>
    <d v="1899-12-30T08:46:20"/>
    <s v="FUTURE"/>
    <s v="BUY"/>
    <n v="1"/>
    <s v="TO OPEN"/>
    <x v="16"/>
    <d v="2021-02-21T00:00:00"/>
    <m/>
    <s v="FUTURE"/>
    <n v="52.87"/>
    <n v="52.87"/>
    <s v="LMT"/>
    <n v="1"/>
    <n v="52870"/>
    <n v="52.87"/>
    <s v=""/>
  </r>
  <r>
    <x v="1173"/>
    <x v="156"/>
    <s v="Tuesday"/>
    <d v="1899-12-30T08:57:07"/>
    <s v="FUTURE"/>
    <s v="SELL"/>
    <n v="-1"/>
    <s v="TO CLOSE"/>
    <x v="16"/>
    <d v="2021-02-21T00:00:00"/>
    <m/>
    <s v="FUTURE"/>
    <n v="52.76"/>
    <n v="52.76"/>
    <s v="STP"/>
    <n v="0"/>
    <n v="0"/>
    <s v=""/>
    <n v="-109.99999999999943"/>
  </r>
  <r>
    <x v="1174"/>
    <x v="156"/>
    <s v="Tuesday"/>
    <d v="1899-12-30T09:10:24"/>
    <s v="FUTURE"/>
    <s v="BUY"/>
    <n v="1"/>
    <s v="TO OPEN"/>
    <x v="16"/>
    <d v="2021-02-21T00:00:00"/>
    <m/>
    <s v="FUTURE"/>
    <n v="52.81"/>
    <n v="52.81"/>
    <s v="LMT"/>
    <n v="1"/>
    <n v="52810"/>
    <n v="52.81"/>
    <s v=""/>
  </r>
  <r>
    <x v="1174"/>
    <x v="156"/>
    <s v="Tuesday"/>
    <d v="1899-12-30T09:20:05"/>
    <s v="FUTURE"/>
    <s v="SELL"/>
    <n v="-1"/>
    <s v="TO CLOSE"/>
    <x v="16"/>
    <d v="2021-02-21T00:00:00"/>
    <m/>
    <s v="FUTURE"/>
    <n v="52.84"/>
    <n v="52.84"/>
    <s v="LMT"/>
    <n v="0"/>
    <n v="0"/>
    <s v=""/>
    <n v="30.000000000001137"/>
  </r>
  <r>
    <x v="1175"/>
    <x v="156"/>
    <s v="Tuesday"/>
    <d v="1899-12-30T09:43:01"/>
    <s v="FUTURE"/>
    <s v="BUY"/>
    <n v="1"/>
    <s v="TO OPEN"/>
    <x v="16"/>
    <d v="2021-02-21T00:00:00"/>
    <m/>
    <s v="FUTURE"/>
    <n v="52.71"/>
    <n v="52.71"/>
    <s v="LMT"/>
    <n v="1"/>
    <n v="52710"/>
    <n v="52.71"/>
    <s v=""/>
  </r>
  <r>
    <x v="1175"/>
    <x v="156"/>
    <s v="Tuesday"/>
    <d v="1899-12-30T09:43:37"/>
    <s v="FUTURE"/>
    <s v="SELL"/>
    <n v="-1"/>
    <s v="TO CLOSE"/>
    <x v="16"/>
    <d v="2021-02-21T00:00:00"/>
    <m/>
    <s v="FUTURE"/>
    <n v="52.6"/>
    <n v="52.6"/>
    <s v="STP"/>
    <n v="0"/>
    <n v="0"/>
    <s v=""/>
    <n v="-109.99999999999943"/>
  </r>
  <r>
    <x v="1176"/>
    <x v="156"/>
    <s v="Tuesday"/>
    <d v="1899-12-30T09:54:28"/>
    <s v="FUTURE"/>
    <s v="BUY"/>
    <n v="1"/>
    <s v="TO OPEN"/>
    <x v="16"/>
    <d v="2021-02-21T00:00:00"/>
    <m/>
    <s v="FUTURE"/>
    <n v="52.59"/>
    <n v="52.59"/>
    <s v="LMT"/>
    <n v="1"/>
    <n v="52590"/>
    <n v="52.59"/>
    <s v=""/>
  </r>
  <r>
    <x v="1176"/>
    <x v="156"/>
    <s v="Tuesday"/>
    <d v="1899-12-30T10:01:11"/>
    <s v="FUTURE"/>
    <s v="SELL"/>
    <n v="-1"/>
    <s v="TO CLOSE"/>
    <x v="16"/>
    <d v="2021-02-21T00:00:00"/>
    <m/>
    <s v="FUTURE"/>
    <n v="52.61"/>
    <n v="52.61"/>
    <s v="LMT"/>
    <n v="0"/>
    <n v="0"/>
    <s v=""/>
    <n v="19.999999999996021"/>
  </r>
  <r>
    <x v="1177"/>
    <x v="156"/>
    <s v="Tuesday"/>
    <d v="1899-12-30T11:06:12"/>
    <s v="FUTURE"/>
    <s v="SELL"/>
    <n v="-2"/>
    <s v="TO OPEN"/>
    <x v="16"/>
    <d v="2021-02-21T00:00:00"/>
    <m/>
    <s v="FUTURE"/>
    <n v="53"/>
    <n v="53"/>
    <s v="MKT"/>
    <n v="-2"/>
    <n v="-106000"/>
    <n v="53"/>
    <s v=""/>
  </r>
  <r>
    <x v="1177"/>
    <x v="156"/>
    <s v="Tuesday"/>
    <d v="1899-12-30T11:14:19"/>
    <s v="FUTURE"/>
    <s v="BUY"/>
    <n v="1"/>
    <s v="TO CLOSE"/>
    <x v="16"/>
    <d v="2021-02-21T00:00:00"/>
    <m/>
    <s v="FUTURE"/>
    <n v="52.99"/>
    <n v="52.99"/>
    <s v="LMT"/>
    <n v="-1"/>
    <n v="-53010"/>
    <n v="53.01"/>
    <s v=""/>
  </r>
  <r>
    <x v="1177"/>
    <x v="156"/>
    <s v="Tuesday"/>
    <d v="1899-12-30T12:06:14"/>
    <s v="FUTURE"/>
    <s v="BUY"/>
    <n v="1"/>
    <s v="TO CLOSE"/>
    <x v="16"/>
    <d v="2021-02-21T00:00:00"/>
    <m/>
    <s v="FUTURE"/>
    <n v="52.97"/>
    <n v="52.97"/>
    <s v="MKT"/>
    <n v="0"/>
    <n v="0"/>
    <s v=""/>
    <n v="39.999999999999147"/>
  </r>
  <r>
    <x v="1178"/>
    <x v="156"/>
    <s v="Tuesday"/>
    <d v="1899-12-30T08:58:48"/>
    <s v="FUTURE"/>
    <s v="SELL"/>
    <n v="-1"/>
    <s v="TO OPEN"/>
    <x v="15"/>
    <d v="2021-03-21T00:00:00"/>
    <m/>
    <s v="FUTURE"/>
    <n v="3790.5"/>
    <n v="3790.5"/>
    <s v="LMT"/>
    <n v="-1"/>
    <n v="-189525"/>
    <n v="3790.5"/>
    <s v=""/>
  </r>
  <r>
    <x v="1178"/>
    <x v="156"/>
    <s v="Tuesday"/>
    <d v="1899-12-30T09:09:18"/>
    <s v="FUTURE"/>
    <s v="BUY"/>
    <n v="1"/>
    <s v="TO CLOSE"/>
    <x v="15"/>
    <d v="2021-03-21T00:00:00"/>
    <m/>
    <s v="FUTURE"/>
    <n v="3790.25"/>
    <n v="3790.25"/>
    <s v="STP"/>
    <n v="0"/>
    <n v="0"/>
    <s v=""/>
    <n v="12.5"/>
  </r>
  <r>
    <x v="1179"/>
    <x v="156"/>
    <s v="Tuesday"/>
    <d v="1899-12-30T10:10:57"/>
    <s v="FUTURE"/>
    <s v="BUY"/>
    <n v="1"/>
    <s v="TO OPEN"/>
    <x v="15"/>
    <d v="2021-03-21T00:00:00"/>
    <m/>
    <s v="FUTURE"/>
    <n v="3793.5"/>
    <n v="3793.5"/>
    <s v="LMT"/>
    <n v="1"/>
    <n v="189675"/>
    <n v="3793.5"/>
    <s v=""/>
  </r>
  <r>
    <x v="1179"/>
    <x v="156"/>
    <s v="Tuesday"/>
    <d v="1899-12-30T10:12:51"/>
    <s v="FUTURE"/>
    <s v="SELL"/>
    <n v="-1"/>
    <s v="TO CLOSE"/>
    <x v="15"/>
    <d v="2021-03-21T00:00:00"/>
    <m/>
    <s v="FUTURE"/>
    <n v="3794.5"/>
    <n v="3794.5"/>
    <s v="LMT"/>
    <n v="0"/>
    <n v="0"/>
    <s v=""/>
    <n v="50"/>
  </r>
  <r>
    <x v="1180"/>
    <x v="156"/>
    <s v="Tuesday"/>
    <d v="1899-12-30T11:27:46"/>
    <s v="FUTURE"/>
    <s v="SELL"/>
    <n v="-1"/>
    <s v="TO OPEN"/>
    <x v="15"/>
    <d v="2021-03-21T00:00:00"/>
    <m/>
    <s v="FUTURE"/>
    <n v="3795.25"/>
    <n v="3795.25"/>
    <s v="LMT"/>
    <n v="-1"/>
    <n v="-189762.5"/>
    <n v="3795.25"/>
    <s v=""/>
  </r>
  <r>
    <x v="1180"/>
    <x v="156"/>
    <s v="Tuesday"/>
    <d v="1899-12-30T11:29:01"/>
    <s v="FUTURE"/>
    <s v="BUY"/>
    <n v="1"/>
    <s v="TO CLOSE"/>
    <x v="15"/>
    <d v="2021-03-21T00:00:00"/>
    <m/>
    <s v="FUTURE"/>
    <n v="3795"/>
    <n v="3795"/>
    <s v="LMT"/>
    <n v="0"/>
    <n v="0"/>
    <s v=""/>
    <n v="12.5"/>
  </r>
  <r>
    <x v="1181"/>
    <x v="157"/>
    <s v="Wednesday"/>
    <d v="1899-12-30T09:08:04"/>
    <s v="FUTURE"/>
    <s v="SELL"/>
    <n v="-1"/>
    <s v="TO OPEN"/>
    <x v="16"/>
    <d v="2021-02-21T00:00:00"/>
    <m/>
    <s v="FUTURE"/>
    <n v="53.58"/>
    <n v="53.58"/>
    <s v="LMT"/>
    <n v="-1"/>
    <n v="-53580"/>
    <n v="53.58"/>
    <s v=""/>
  </r>
  <r>
    <x v="1181"/>
    <x v="157"/>
    <s v="Wednesday"/>
    <d v="1899-12-30T09:10:02"/>
    <s v="FUTURE"/>
    <s v="BUY"/>
    <n v="1"/>
    <s v="TO CLOSE"/>
    <x v="16"/>
    <d v="2021-02-21T00:00:00"/>
    <m/>
    <s v="FUTURE"/>
    <n v="53.46"/>
    <n v="53.46"/>
    <s v="LMT"/>
    <n v="0"/>
    <n v="0"/>
    <s v=""/>
    <n v="119.99999999999744"/>
  </r>
  <r>
    <x v="1182"/>
    <x v="157"/>
    <s v="Wednesday"/>
    <d v="1899-12-30T09:30:41"/>
    <s v="FUTURE"/>
    <s v="BUY"/>
    <n v="1"/>
    <s v="TO OPEN"/>
    <x v="16"/>
    <d v="2021-02-21T00:00:00"/>
    <m/>
    <s v="FUTURE"/>
    <n v="52.89"/>
    <n v="52.89"/>
    <s v="LMT"/>
    <n v="1"/>
    <n v="52890"/>
    <n v="52.89"/>
    <s v=""/>
  </r>
  <r>
    <x v="1182"/>
    <x v="157"/>
    <s v="Wednesday"/>
    <d v="1899-12-30T09:36:39"/>
    <s v="FUTURE"/>
    <s v="BUY"/>
    <n v="1"/>
    <s v="TO OPEN"/>
    <x v="16"/>
    <d v="2021-02-21T00:00:00"/>
    <m/>
    <s v="FUTURE"/>
    <n v="52.67"/>
    <n v="52.67"/>
    <s v="LMT"/>
    <n v="2"/>
    <n v="105560"/>
    <n v="52.78"/>
    <s v=""/>
  </r>
  <r>
    <x v="1182"/>
    <x v="157"/>
    <s v="Wednesday"/>
    <d v="1899-12-30T09:56:57"/>
    <s v="FUTURE"/>
    <s v="SELL"/>
    <n v="-1"/>
    <s v="TO CLOSE"/>
    <x v="16"/>
    <d v="2021-02-21T00:00:00"/>
    <m/>
    <s v="FUTURE"/>
    <n v="52.84"/>
    <n v="52.84"/>
    <s v="LMT"/>
    <n v="1"/>
    <n v="52720"/>
    <n v="52.72"/>
    <s v=""/>
  </r>
  <r>
    <x v="1182"/>
    <x v="157"/>
    <s v="Wednesday"/>
    <d v="1899-12-30T10:07:11"/>
    <s v="FUTURE"/>
    <s v="SELL"/>
    <n v="-1"/>
    <s v="TO CLOSE"/>
    <x v="16"/>
    <d v="2021-02-21T00:00:00"/>
    <m/>
    <s v="FUTURE"/>
    <n v="52.9"/>
    <n v="52.9"/>
    <s v="LMT"/>
    <n v="0"/>
    <n v="0"/>
    <s v=""/>
    <n v="179.99999999999972"/>
  </r>
  <r>
    <x v="1183"/>
    <x v="157"/>
    <s v="Wednesday"/>
    <d v="1899-12-30T10:52:55"/>
    <s v="FUTURE"/>
    <s v="SELL"/>
    <n v="-1"/>
    <s v="TO OPEN"/>
    <x v="16"/>
    <d v="2021-02-21T00:00:00"/>
    <m/>
    <s v="FUTURE"/>
    <n v="53.33"/>
    <n v="53.33"/>
    <s v="LMT"/>
    <n v="-1"/>
    <n v="-53330"/>
    <n v="53.33"/>
    <s v=""/>
  </r>
  <r>
    <x v="1183"/>
    <x v="157"/>
    <s v="Wednesday"/>
    <d v="1899-12-30T10:53:36"/>
    <s v="FUTURE"/>
    <s v="BUY"/>
    <n v="1"/>
    <s v="TO CLOSE"/>
    <x v="16"/>
    <d v="2021-02-21T00:00:00"/>
    <m/>
    <s v="FUTURE"/>
    <n v="53.31"/>
    <n v="53.31"/>
    <s v="LMT"/>
    <n v="0"/>
    <n v="0"/>
    <s v=""/>
    <n v="19.999999999996021"/>
  </r>
  <r>
    <x v="1184"/>
    <x v="157"/>
    <s v="Wednesday"/>
    <d v="1899-12-30T11:42:41"/>
    <s v="FUTURE"/>
    <s v="SELL"/>
    <n v="-1"/>
    <s v="TO OPEN"/>
    <x v="16"/>
    <d v="2021-02-21T00:00:00"/>
    <m/>
    <s v="FUTURE"/>
    <n v="53.09"/>
    <n v="53.09"/>
    <s v="LMT"/>
    <n v="-1"/>
    <n v="-53090"/>
    <n v="53.09"/>
    <s v=""/>
  </r>
  <r>
    <x v="1184"/>
    <x v="157"/>
    <s v="Wednesday"/>
    <d v="1899-12-30T11:43:21"/>
    <s v="FUTURE"/>
    <s v="BUY"/>
    <n v="1"/>
    <s v="TO CLOSE"/>
    <x v="16"/>
    <d v="2021-02-21T00:00:00"/>
    <m/>
    <s v="FUTURE"/>
    <n v="53.08"/>
    <n v="53.08"/>
    <s v="MKT"/>
    <n v="0"/>
    <n v="0"/>
    <s v=""/>
    <n v="10.000000000005116"/>
  </r>
  <r>
    <x v="1185"/>
    <x v="158"/>
    <s v="Thursday"/>
    <d v="1899-12-30T09:50:29"/>
    <s v="FUTURE"/>
    <s v="BUY"/>
    <n v="1"/>
    <s v="TO OPEN"/>
    <x v="16"/>
    <d v="2021-02-21T00:00:00"/>
    <m/>
    <s v="FUTURE"/>
    <n v="52.76"/>
    <n v="52.76"/>
    <s v="LMT"/>
    <n v="1"/>
    <n v="52760"/>
    <n v="52.76"/>
    <s v=""/>
  </r>
  <r>
    <x v="1185"/>
    <x v="158"/>
    <s v="Thursday"/>
    <d v="1899-12-30T09:52:45"/>
    <s v="FUTURE"/>
    <s v="SELL"/>
    <n v="-1"/>
    <s v="TO CLOSE"/>
    <x v="16"/>
    <d v="2021-02-21T00:00:00"/>
    <m/>
    <s v="FUTURE"/>
    <n v="52.81"/>
    <n v="52.81"/>
    <s v="LMT"/>
    <n v="0"/>
    <n v="0"/>
    <s v=""/>
    <n v="50.000000000004263"/>
  </r>
  <r>
    <x v="1186"/>
    <x v="158"/>
    <s v="Thursday"/>
    <d v="1899-12-30T10:09:24"/>
    <s v="FUTURE"/>
    <s v="SELL"/>
    <n v="-1"/>
    <s v="TO OPEN"/>
    <x v="16"/>
    <d v="2021-02-21T00:00:00"/>
    <m/>
    <s v="FUTURE"/>
    <n v="52.87"/>
    <n v="52.87"/>
    <s v="LMT"/>
    <n v="-1"/>
    <n v="-52870"/>
    <n v="52.87"/>
    <s v=""/>
  </r>
  <r>
    <x v="1186"/>
    <x v="158"/>
    <s v="Thursday"/>
    <d v="1899-12-30T10:14:09"/>
    <s v="FUTURE"/>
    <s v="BUY"/>
    <n v="1"/>
    <s v="TO CLOSE"/>
    <x v="16"/>
    <d v="2021-02-21T00:00:00"/>
    <m/>
    <s v="FUTURE"/>
    <n v="52.99"/>
    <n v="52.99"/>
    <s v="STP"/>
    <n v="0"/>
    <n v="0"/>
    <s v=""/>
    <n v="-120.00000000000455"/>
  </r>
  <r>
    <x v="1187"/>
    <x v="158"/>
    <s v="Thursday"/>
    <d v="1899-12-30T10:26:23"/>
    <s v="FUTURE"/>
    <s v="SELL"/>
    <n v="-2"/>
    <s v="TO OPEN"/>
    <x v="16"/>
    <d v="2021-02-21T00:00:00"/>
    <m/>
    <s v="FUTURE"/>
    <n v="52.75"/>
    <n v="52.75"/>
    <s v="MKT"/>
    <n v="-2"/>
    <n v="-105500"/>
    <n v="52.75"/>
    <s v=""/>
  </r>
  <r>
    <x v="1187"/>
    <x v="158"/>
    <s v="Thursday"/>
    <d v="1899-12-30T10:27:34"/>
    <s v="FUTURE"/>
    <s v="BUY"/>
    <n v="1"/>
    <s v="TO CLOSE"/>
    <x v="16"/>
    <d v="2021-02-21T00:00:00"/>
    <m/>
    <s v="FUTURE"/>
    <n v="52.72"/>
    <n v="52.72"/>
    <s v="LMT"/>
    <n v="-1"/>
    <n v="-52780"/>
    <n v="52.78"/>
    <s v=""/>
  </r>
  <r>
    <x v="1187"/>
    <x v="158"/>
    <s v="Thursday"/>
    <d v="1899-12-30T10:28:56"/>
    <s v="FUTURE"/>
    <s v="BUY"/>
    <n v="1"/>
    <s v="TO CLOSE"/>
    <x v="16"/>
    <d v="2021-02-21T00:00:00"/>
    <m/>
    <s v="FUTURE"/>
    <n v="52.66"/>
    <n v="52.66"/>
    <s v="LMT"/>
    <n v="0"/>
    <n v="0"/>
    <s v=""/>
    <n v="120.00000000000455"/>
  </r>
  <r>
    <x v="1188"/>
    <x v="158"/>
    <s v="Thursday"/>
    <d v="1899-12-30T10:36:28"/>
    <s v="FUTURE"/>
    <s v="SELL"/>
    <n v="-1"/>
    <s v="TO OPEN"/>
    <x v="16"/>
    <d v="2021-02-21T00:00:00"/>
    <m/>
    <s v="FUTURE"/>
    <n v="52.67"/>
    <n v="52.67"/>
    <s v="LMT"/>
    <n v="-1"/>
    <n v="-52670"/>
    <n v="52.67"/>
    <s v=""/>
  </r>
  <r>
    <x v="1188"/>
    <x v="158"/>
    <s v="Thursday"/>
    <d v="1899-12-30T10:38:47"/>
    <s v="FUTURE"/>
    <s v="BUY"/>
    <n v="1"/>
    <s v="TO CLOSE"/>
    <x v="16"/>
    <d v="2021-02-21T00:00:00"/>
    <m/>
    <s v="FUTURE"/>
    <n v="52.64"/>
    <n v="52.64"/>
    <s v="MKT"/>
    <n v="0"/>
    <n v="0"/>
    <s v=""/>
    <n v="30.000000000001137"/>
  </r>
  <r>
    <x v="1189"/>
    <x v="158"/>
    <s v="Thursday"/>
    <d v="1899-12-30T11:31:31"/>
    <s v="FUTURE"/>
    <s v="SELL"/>
    <n v="-1"/>
    <s v="TO OPEN"/>
    <x v="16"/>
    <d v="2021-02-21T00:00:00"/>
    <m/>
    <s v="FUTURE"/>
    <n v="52.83"/>
    <n v="52.83"/>
    <s v="LMT"/>
    <n v="-1"/>
    <n v="-52830"/>
    <n v="52.83"/>
    <s v=""/>
  </r>
  <r>
    <x v="1189"/>
    <x v="158"/>
    <s v="Thursday"/>
    <d v="1899-12-30T11:40:51"/>
    <s v="FUTURE"/>
    <s v="BUY"/>
    <n v="1"/>
    <s v="TO CLOSE"/>
    <x v="16"/>
    <d v="2021-02-21T00:00:00"/>
    <m/>
    <s v="FUTURE"/>
    <n v="52.81"/>
    <n v="52.81"/>
    <s v="LMT"/>
    <n v="0"/>
    <n v="0"/>
    <s v=""/>
    <n v="19.999999999996021"/>
  </r>
  <r>
    <x v="1190"/>
    <x v="158"/>
    <s v="Thursday"/>
    <d v="1899-12-30T09:58:14"/>
    <s v="FUTURE"/>
    <s v="BUY"/>
    <n v="1"/>
    <s v="TO OPEN"/>
    <x v="15"/>
    <d v="2021-03-21T00:00:00"/>
    <m/>
    <s v="FUTURE"/>
    <n v="3812"/>
    <n v="3812"/>
    <s v="LMT"/>
    <n v="1"/>
    <n v="190600"/>
    <n v="3812"/>
    <s v=""/>
  </r>
  <r>
    <x v="1190"/>
    <x v="158"/>
    <s v="Thursday"/>
    <d v="1899-12-30T10:00:32"/>
    <s v="FUTURE"/>
    <s v="SELL"/>
    <n v="-1"/>
    <s v="TO CLOSE"/>
    <x v="15"/>
    <d v="2021-03-21T00:00:00"/>
    <m/>
    <s v="FUTURE"/>
    <n v="3814.25"/>
    <n v="3814.25"/>
    <s v="LMT"/>
    <n v="0"/>
    <n v="0"/>
    <s v=""/>
    <n v="112.5"/>
  </r>
  <r>
    <x v="1191"/>
    <x v="158"/>
    <s v="Thursday"/>
    <d v="1899-12-30T11:33:46"/>
    <s v="FUTURE"/>
    <s v="SELL"/>
    <n v="-1"/>
    <s v="TO OPEN"/>
    <x v="15"/>
    <d v="2021-03-21T00:00:00"/>
    <m/>
    <s v="FUTURE"/>
    <n v="3810"/>
    <n v="3810"/>
    <s v="LMT"/>
    <n v="-1"/>
    <n v="-190500"/>
    <n v="3810"/>
    <s v=""/>
  </r>
  <r>
    <x v="1191"/>
    <x v="158"/>
    <s v="Thursday"/>
    <d v="1899-12-30T11:35:11"/>
    <s v="FUTURE"/>
    <s v="BUY"/>
    <n v="1"/>
    <s v="TO CLOSE"/>
    <x v="15"/>
    <d v="2021-03-21T00:00:00"/>
    <m/>
    <s v="FUTURE"/>
    <n v="3807.5"/>
    <n v="3807.5"/>
    <s v="LMT"/>
    <n v="0"/>
    <n v="0"/>
    <s v=""/>
    <n v="125"/>
  </r>
  <r>
    <x v="1192"/>
    <x v="159"/>
    <s v="Friday"/>
    <d v="1899-12-30T09:59:16"/>
    <s v="FUTURE"/>
    <s v="BUY"/>
    <n v="1"/>
    <s v="TO OPEN"/>
    <x v="18"/>
    <d v="2021-03-21T00:00:00"/>
    <m/>
    <s v="FUTURE"/>
    <n v="52.96"/>
    <n v="52.96"/>
    <s v="LMT"/>
    <n v="1"/>
    <n v="52960"/>
    <n v="52.96"/>
    <s v=""/>
  </r>
  <r>
    <x v="1192"/>
    <x v="159"/>
    <s v="Friday"/>
    <d v="1899-12-30T10:02:19"/>
    <s v="FUTURE"/>
    <s v="SELL"/>
    <n v="-1"/>
    <s v="TO CLOSE"/>
    <x v="18"/>
    <d v="2021-03-21T00:00:00"/>
    <m/>
    <s v="FUTURE"/>
    <n v="52.88"/>
    <n v="52.88"/>
    <s v="MKT"/>
    <n v="0"/>
    <n v="0"/>
    <s v=""/>
    <n v="-79.999999999998295"/>
  </r>
  <r>
    <x v="1193"/>
    <x v="159"/>
    <s v="Friday"/>
    <d v="1899-12-30T10:45:28"/>
    <s v="FUTURE"/>
    <s v="BUY"/>
    <n v="1"/>
    <s v="TO OPEN"/>
    <x v="18"/>
    <d v="2021-03-21T00:00:00"/>
    <m/>
    <s v="FUTURE"/>
    <n v="52.21"/>
    <n v="52.21"/>
    <s v="MKT"/>
    <n v="1"/>
    <n v="52210"/>
    <n v="52.21"/>
    <s v=""/>
  </r>
  <r>
    <x v="1193"/>
    <x v="159"/>
    <s v="Friday"/>
    <d v="1899-12-30T10:57:28"/>
    <s v="FUTURE"/>
    <s v="BUY"/>
    <n v="1"/>
    <s v="TO OPEN"/>
    <x v="18"/>
    <d v="2021-03-21T00:00:00"/>
    <m/>
    <s v="FUTURE"/>
    <n v="52.09"/>
    <n v="52.09"/>
    <s v="LMT"/>
    <n v="2"/>
    <n v="104300"/>
    <n v="52.15"/>
    <s v=""/>
  </r>
  <r>
    <x v="1193"/>
    <x v="159"/>
    <s v="Friday"/>
    <d v="1899-12-30T10:59:17"/>
    <s v="FUTURE"/>
    <s v="SELL"/>
    <n v="-1"/>
    <s v="TO CLOSE"/>
    <x v="18"/>
    <d v="2021-03-21T00:00:00"/>
    <m/>
    <s v="FUTURE"/>
    <n v="52.15"/>
    <n v="52.15"/>
    <s v="LMT"/>
    <n v="1"/>
    <n v="52150"/>
    <n v="52.15"/>
    <s v=""/>
  </r>
  <r>
    <x v="1193"/>
    <x v="159"/>
    <s v="Friday"/>
    <d v="1899-12-30T11:33:27"/>
    <s v="FUTURE"/>
    <s v="SELL"/>
    <n v="-1"/>
    <s v="TO CLOSE"/>
    <x v="18"/>
    <d v="2021-03-21T00:00:00"/>
    <m/>
    <s v="FUTURE"/>
    <n v="52.36"/>
    <n v="52.36"/>
    <s v="MKT"/>
    <n v="0"/>
    <n v="0"/>
    <s v=""/>
    <n v="210.00000000000085"/>
  </r>
  <r>
    <x v="1194"/>
    <x v="159"/>
    <s v="Friday"/>
    <d v="1899-12-30T09:41:35"/>
    <s v="FUTURE"/>
    <s v="BUY"/>
    <n v="1"/>
    <s v="TO OPEN"/>
    <x v="15"/>
    <d v="2021-03-21T00:00:00"/>
    <m/>
    <s v="FUTURE"/>
    <n v="3776.25"/>
    <n v="3776.25"/>
    <s v="MKT"/>
    <n v="1"/>
    <n v="188812.5"/>
    <n v="3776.25"/>
    <s v=""/>
  </r>
  <r>
    <x v="1194"/>
    <x v="159"/>
    <s v="Friday"/>
    <d v="1899-12-30T09:51:26"/>
    <s v="FUTURE"/>
    <s v="SELL"/>
    <n v="-1"/>
    <s v="TO CLOSE"/>
    <x v="15"/>
    <d v="2021-03-21T00:00:00"/>
    <m/>
    <s v="FUTURE"/>
    <n v="3777.5"/>
    <n v="3777.5"/>
    <s v="MKT"/>
    <n v="0"/>
    <n v="0"/>
    <s v=""/>
    <n v="62.5"/>
  </r>
  <r>
    <x v="1195"/>
    <x v="159"/>
    <s v="Friday"/>
    <d v="1899-12-30T10:04:55"/>
    <s v="FUTURE"/>
    <s v="SELL"/>
    <n v="-1"/>
    <s v="TO OPEN"/>
    <x v="15"/>
    <d v="2021-03-21T00:00:00"/>
    <m/>
    <s v="FUTURE"/>
    <n v="3768.75"/>
    <n v="3768.75"/>
    <s v="MKT"/>
    <n v="-1"/>
    <n v="-188437.5"/>
    <n v="3768.75"/>
    <s v=""/>
  </r>
  <r>
    <x v="1195"/>
    <x v="159"/>
    <s v="Friday"/>
    <d v="1899-12-30T10:05:54"/>
    <s v="FUTURE"/>
    <s v="BUY"/>
    <n v="1"/>
    <s v="TO CLOSE"/>
    <x v="15"/>
    <d v="2021-03-21T00:00:00"/>
    <m/>
    <s v="FUTURE"/>
    <n v="3762.75"/>
    <n v="3762.75"/>
    <s v="LMT"/>
    <n v="0"/>
    <n v="0"/>
    <s v=""/>
    <n v="300"/>
  </r>
  <r>
    <x v="1196"/>
    <x v="160"/>
    <s v="Tuesday"/>
    <d v="1899-12-30T09:34:43"/>
    <s v="FUTURE"/>
    <s v="SELL"/>
    <n v="-1"/>
    <s v="TO OPEN"/>
    <x v="18"/>
    <d v="2021-03-21T00:00:00"/>
    <m/>
    <s v="FUTURE"/>
    <n v="52.86"/>
    <n v="52.86"/>
    <s v="LMT"/>
    <n v="-1"/>
    <n v="-52860"/>
    <n v="52.86"/>
    <s v=""/>
  </r>
  <r>
    <x v="1196"/>
    <x v="160"/>
    <s v="Tuesday"/>
    <d v="1899-12-30T09:40:00"/>
    <s v="FUTURE"/>
    <s v="BUY"/>
    <n v="1"/>
    <s v="TO CLOSE"/>
    <x v="18"/>
    <d v="2021-03-21T00:00:00"/>
    <m/>
    <s v="FUTURE"/>
    <n v="52.94"/>
    <n v="52.94"/>
    <s v="STP"/>
    <n v="0"/>
    <n v="0"/>
    <s v=""/>
    <n v="-79.999999999998295"/>
  </r>
  <r>
    <x v="1197"/>
    <x v="160"/>
    <s v="Tuesday"/>
    <d v="1899-12-30T09:41:57"/>
    <s v="FUTURE"/>
    <s v="SELL"/>
    <n v="-2"/>
    <s v="TO OPEN"/>
    <x v="18"/>
    <d v="2021-03-21T00:00:00"/>
    <m/>
    <s v="FUTURE"/>
    <n v="52.86"/>
    <n v="52.86"/>
    <s v="MKT"/>
    <n v="-2"/>
    <n v="-105720"/>
    <n v="52.86"/>
    <s v=""/>
  </r>
  <r>
    <x v="1197"/>
    <x v="160"/>
    <s v="Tuesday"/>
    <d v="1899-12-30T09:44:37"/>
    <s v="FUTURE"/>
    <s v="BUY"/>
    <n v="1"/>
    <s v="TO CLOSE"/>
    <x v="18"/>
    <d v="2021-03-21T00:00:00"/>
    <m/>
    <s v="FUTURE"/>
    <n v="52.8"/>
    <n v="52.8"/>
    <s v="LMT"/>
    <n v="-1"/>
    <n v="-52920"/>
    <n v="52.92"/>
    <s v=""/>
  </r>
  <r>
    <x v="1197"/>
    <x v="160"/>
    <s v="Tuesday"/>
    <d v="1899-12-30T09:47:08"/>
    <s v="FUTURE"/>
    <s v="BUY"/>
    <n v="1"/>
    <s v="TO CLOSE"/>
    <x v="18"/>
    <d v="2021-03-21T00:00:00"/>
    <m/>
    <s v="FUTURE"/>
    <n v="52.87"/>
    <n v="52.87"/>
    <s v="STP"/>
    <n v="0"/>
    <n v="0"/>
    <s v=""/>
    <n v="50.000000000004263"/>
  </r>
  <r>
    <x v="1198"/>
    <x v="160"/>
    <s v="Tuesday"/>
    <d v="1899-12-30T10:09:41"/>
    <s v="FUTURE"/>
    <s v="BUY"/>
    <n v="1"/>
    <s v="TO OPEN"/>
    <x v="18"/>
    <d v="2021-03-21T00:00:00"/>
    <m/>
    <s v="FUTURE"/>
    <n v="52.72"/>
    <n v="52.72"/>
    <s v="MKT"/>
    <n v="1"/>
    <n v="52720"/>
    <n v="52.72"/>
    <s v=""/>
  </r>
  <r>
    <x v="1198"/>
    <x v="160"/>
    <s v="Tuesday"/>
    <d v="1899-12-30T10:11:45"/>
    <s v="FUTURE"/>
    <s v="SELL"/>
    <n v="-1"/>
    <s v="TO CLOSE"/>
    <x v="18"/>
    <d v="2021-03-21T00:00:00"/>
    <m/>
    <s v="FUTURE"/>
    <n v="52.77"/>
    <n v="52.77"/>
    <s v="LMT"/>
    <n v="0"/>
    <n v="0"/>
    <s v=""/>
    <n v="50.000000000004263"/>
  </r>
  <r>
    <x v="1199"/>
    <x v="160"/>
    <s v="Tuesday"/>
    <d v="1899-12-30T10:30:52"/>
    <s v="FUTURE"/>
    <s v="BUY"/>
    <n v="2"/>
    <s v="TO OPEN"/>
    <x v="18"/>
    <d v="2021-03-21T00:00:00"/>
    <m/>
    <s v="FUTURE"/>
    <n v="52.94"/>
    <n v="52.94"/>
    <s v="MKT"/>
    <n v="2"/>
    <n v="105880"/>
    <n v="52.94"/>
    <s v=""/>
  </r>
  <r>
    <x v="1199"/>
    <x v="160"/>
    <s v="Tuesday"/>
    <d v="1899-12-30T10:34:55"/>
    <s v="FUTURE"/>
    <s v="SELL"/>
    <n v="-1"/>
    <s v="TO CLOSE"/>
    <x v="18"/>
    <d v="2021-03-21T00:00:00"/>
    <m/>
    <s v="FUTURE"/>
    <n v="52.97"/>
    <n v="52.97"/>
    <s v="LMT"/>
    <n v="1"/>
    <n v="52910"/>
    <n v="52.91"/>
    <s v=""/>
  </r>
  <r>
    <x v="1199"/>
    <x v="160"/>
    <s v="Tuesday"/>
    <d v="1899-12-30T10:38:28"/>
    <s v="FUTURE"/>
    <s v="SELL"/>
    <n v="-1"/>
    <s v="TO CLOSE"/>
    <x v="18"/>
    <d v="2021-03-21T00:00:00"/>
    <m/>
    <s v="FUTURE"/>
    <n v="53.04"/>
    <n v="53.04"/>
    <s v="MKT"/>
    <n v="0"/>
    <n v="0"/>
    <s v=""/>
    <n v="130.00000000000256"/>
  </r>
  <r>
    <x v="1200"/>
    <x v="160"/>
    <s v="Tuesday"/>
    <d v="1899-12-30T09:57:12"/>
    <s v="FUTURE"/>
    <s v="BUY"/>
    <n v="1"/>
    <s v="TO OPEN"/>
    <x v="15"/>
    <d v="2021-03-21T00:00:00"/>
    <m/>
    <s v="FUTURE"/>
    <n v="3776.5"/>
    <n v="3776.5"/>
    <s v="LMT"/>
    <n v="1"/>
    <n v="188825"/>
    <n v="3776.5"/>
    <s v=""/>
  </r>
  <r>
    <x v="1200"/>
    <x v="160"/>
    <s v="Tuesday"/>
    <d v="1899-12-30T09:58:31"/>
    <s v="FUTURE"/>
    <s v="SELL"/>
    <n v="-1"/>
    <s v="TO CLOSE"/>
    <x v="15"/>
    <d v="2021-03-21T00:00:00"/>
    <m/>
    <s v="FUTURE"/>
    <n v="3780"/>
    <n v="3780"/>
    <s v="LMT"/>
    <n v="0"/>
    <n v="0"/>
    <s v=""/>
    <n v="175"/>
  </r>
  <r>
    <x v="1201"/>
    <x v="160"/>
    <s v="Tuesday"/>
    <d v="1899-12-30T10:49:50"/>
    <s v="FUTURE"/>
    <s v="BUY"/>
    <n v="1"/>
    <s v="TO OPEN"/>
    <x v="15"/>
    <d v="2021-03-21T00:00:00"/>
    <m/>
    <s v="FUTURE"/>
    <n v="3784.5"/>
    <n v="3784.5"/>
    <s v="LMT"/>
    <n v="1"/>
    <n v="189225"/>
    <n v="3784.5"/>
    <s v=""/>
  </r>
  <r>
    <x v="1201"/>
    <x v="160"/>
    <s v="Tuesday"/>
    <d v="1899-12-30T10:50:36"/>
    <s v="FUTURE"/>
    <s v="SELL"/>
    <n v="-1"/>
    <s v="TO CLOSE"/>
    <x v="15"/>
    <d v="2021-03-21T00:00:00"/>
    <m/>
    <s v="FUTURE"/>
    <n v="3785"/>
    <n v="3785"/>
    <s v="STP"/>
    <n v="0"/>
    <n v="0"/>
    <s v=""/>
    <n v="25"/>
  </r>
  <r>
    <x v="1202"/>
    <x v="161"/>
    <s v="Wednesday"/>
    <d v="1899-12-30T09:33:03"/>
    <s v="FUTURE"/>
    <s v="SELL"/>
    <n v="-1"/>
    <s v="TO OPEN"/>
    <x v="18"/>
    <d v="2021-03-21T00:00:00"/>
    <m/>
    <s v="FUTURE"/>
    <n v="53.65"/>
    <n v="53.65"/>
    <s v="LMT"/>
    <n v="-1"/>
    <n v="-53650"/>
    <n v="53.65"/>
    <s v=""/>
  </r>
  <r>
    <x v="1202"/>
    <x v="161"/>
    <s v="Wednesday"/>
    <d v="1899-12-30T09:45:43"/>
    <s v="FUTURE"/>
    <s v="BUY"/>
    <n v="1"/>
    <s v="TO CLOSE"/>
    <x v="18"/>
    <d v="2021-03-21T00:00:00"/>
    <m/>
    <s v="FUTURE"/>
    <n v="53.64"/>
    <n v="53.64"/>
    <s v="LMT"/>
    <n v="0"/>
    <n v="0"/>
    <s v=""/>
    <n v="9.9999999999980105"/>
  </r>
  <r>
    <x v="1203"/>
    <x v="161"/>
    <s v="Wednesday"/>
    <d v="1899-12-30T09:52:26"/>
    <s v="FUTURE"/>
    <s v="SELL"/>
    <n v="-1"/>
    <s v="TO OPEN"/>
    <x v="18"/>
    <d v="2021-03-21T00:00:00"/>
    <m/>
    <s v="FUTURE"/>
    <n v="53.43"/>
    <n v="53.43"/>
    <s v="MKT"/>
    <n v="-1"/>
    <n v="-53430"/>
    <n v="53.43"/>
    <s v=""/>
  </r>
  <r>
    <x v="1203"/>
    <x v="161"/>
    <s v="Wednesday"/>
    <d v="1899-12-30T09:58:01"/>
    <s v="FUTURE"/>
    <s v="BUY"/>
    <n v="1"/>
    <s v="TO CLOSE"/>
    <x v="18"/>
    <d v="2021-03-21T00:00:00"/>
    <m/>
    <s v="FUTURE"/>
    <n v="53.41"/>
    <n v="53.41"/>
    <s v="MKT"/>
    <n v="0"/>
    <n v="0"/>
    <s v=""/>
    <n v="20.000000000003126"/>
  </r>
  <r>
    <x v="1204"/>
    <x v="161"/>
    <s v="Wednesday"/>
    <d v="1899-12-30T10:16:09"/>
    <s v="FUTURE"/>
    <s v="SELL"/>
    <n v="-1"/>
    <s v="TO OPEN"/>
    <x v="18"/>
    <d v="2021-03-21T00:00:00"/>
    <m/>
    <s v="FUTURE"/>
    <n v="53.54"/>
    <n v="53.54"/>
    <s v="LMT"/>
    <n v="-1"/>
    <n v="-53540"/>
    <n v="53.54"/>
    <s v=""/>
  </r>
  <r>
    <x v="1204"/>
    <x v="161"/>
    <s v="Wednesday"/>
    <d v="1899-12-30T10:26:57"/>
    <s v="FUTURE"/>
    <s v="BUY"/>
    <n v="1"/>
    <s v="TO CLOSE"/>
    <x v="18"/>
    <d v="2021-03-21T00:00:00"/>
    <m/>
    <s v="FUTURE"/>
    <n v="53.39"/>
    <n v="53.39"/>
    <s v="LMT"/>
    <n v="0"/>
    <n v="0"/>
    <s v=""/>
    <n v="149.99999999999858"/>
  </r>
  <r>
    <x v="1205"/>
    <x v="161"/>
    <s v="Wednesday"/>
    <d v="1899-12-30T11:13:41"/>
    <s v="FUTURE"/>
    <s v="BUY"/>
    <n v="1"/>
    <s v="TO OPEN"/>
    <x v="18"/>
    <d v="2021-03-21T00:00:00"/>
    <m/>
    <s v="FUTURE"/>
    <n v="53.43"/>
    <n v="53.43"/>
    <s v="LMT"/>
    <n v="1"/>
    <n v="53430"/>
    <n v="53.43"/>
    <s v=""/>
  </r>
  <r>
    <x v="1205"/>
    <x v="161"/>
    <s v="Wednesday"/>
    <d v="1899-12-30T11:17:37"/>
    <s v="FUTURE"/>
    <s v="SELL"/>
    <n v="-1"/>
    <s v="TO CLOSE"/>
    <x v="18"/>
    <d v="2021-03-21T00:00:00"/>
    <m/>
    <s v="FUTURE"/>
    <n v="53.44"/>
    <n v="53.44"/>
    <s v="STP"/>
    <n v="0"/>
    <n v="0"/>
    <s v=""/>
    <n v="9.9999999999980105"/>
  </r>
  <r>
    <x v="1206"/>
    <x v="161"/>
    <s v="Wednesday"/>
    <d v="1899-12-30T13:54:32"/>
    <s v="FUTURE"/>
    <s v="SELL"/>
    <n v="-1"/>
    <s v="TO OPEN"/>
    <x v="18"/>
    <d v="2021-03-21T00:00:00"/>
    <m/>
    <s v="FUTURE"/>
    <n v="53.38"/>
    <n v="53.38"/>
    <s v="LMT"/>
    <n v="-1"/>
    <n v="-53380"/>
    <n v="53.38"/>
    <s v=""/>
  </r>
  <r>
    <x v="1206"/>
    <x v="161"/>
    <s v="Wednesday"/>
    <d v="1899-12-30T13:58:22"/>
    <s v="FUTURE"/>
    <s v="BUY"/>
    <n v="1"/>
    <s v="TO CLOSE"/>
    <x v="18"/>
    <d v="2021-03-21T00:00:00"/>
    <m/>
    <s v="FUTURE"/>
    <n v="53.34"/>
    <n v="53.34"/>
    <s v="LMT"/>
    <n v="0"/>
    <n v="0"/>
    <s v=""/>
    <n v="39.999999999999147"/>
  </r>
  <r>
    <x v="1207"/>
    <x v="161"/>
    <s v="Wednesday"/>
    <d v="1899-12-30T10:22:08"/>
    <s v="FUTURE"/>
    <s v="SELL"/>
    <n v="-1"/>
    <s v="TO OPEN"/>
    <x v="15"/>
    <d v="2021-03-21T00:00:00"/>
    <m/>
    <s v="FUTURE"/>
    <n v="3831"/>
    <n v="3831"/>
    <s v="LMT"/>
    <n v="-1"/>
    <n v="-191550"/>
    <n v="3831"/>
    <s v=""/>
  </r>
  <r>
    <x v="1207"/>
    <x v="161"/>
    <s v="Wednesday"/>
    <d v="1899-12-30T10:26:58"/>
    <s v="FUTURE"/>
    <s v="BUY"/>
    <n v="1"/>
    <s v="TO CLOSE"/>
    <x v="15"/>
    <d v="2021-03-21T00:00:00"/>
    <m/>
    <s v="FUTURE"/>
    <n v="3829"/>
    <n v="3829"/>
    <s v="LMT"/>
    <n v="0"/>
    <n v="0"/>
    <s v=""/>
    <n v="100"/>
  </r>
  <r>
    <x v="1208"/>
    <x v="161"/>
    <s v="Wednesday"/>
    <d v="1899-12-30T10:43:58"/>
    <s v="FUTURE"/>
    <s v="SELL"/>
    <n v="-1"/>
    <s v="TO OPEN"/>
    <x v="15"/>
    <d v="2021-03-21T00:00:00"/>
    <m/>
    <s v="FUTURE"/>
    <n v="3833.5"/>
    <n v="3833.5"/>
    <s v="LMT"/>
    <n v="-1"/>
    <n v="-191675"/>
    <n v="3833.5"/>
    <s v=""/>
  </r>
  <r>
    <x v="1208"/>
    <x v="161"/>
    <s v="Wednesday"/>
    <d v="1899-12-30T10:55:46"/>
    <s v="FUTURE"/>
    <s v="BUY"/>
    <n v="1"/>
    <s v="TO CLOSE"/>
    <x v="15"/>
    <d v="2021-03-21T00:00:00"/>
    <m/>
    <s v="FUTURE"/>
    <n v="3832.5"/>
    <n v="3832.5"/>
    <s v="LMT"/>
    <n v="0"/>
    <n v="0"/>
    <s v=""/>
    <n v="50"/>
  </r>
  <r>
    <x v="1209"/>
    <x v="161"/>
    <s v="Wednesday"/>
    <d v="1899-12-30T14:20:24"/>
    <s v="FUTURE"/>
    <s v="SELL"/>
    <n v="-1"/>
    <s v="TO OPEN"/>
    <x v="15"/>
    <d v="2021-03-21T00:00:00"/>
    <m/>
    <s v="FUTURE"/>
    <n v="3842"/>
    <n v="3842"/>
    <s v="LMT"/>
    <n v="-1"/>
    <n v="-192100"/>
    <n v="3842"/>
    <s v=""/>
  </r>
  <r>
    <x v="1209"/>
    <x v="161"/>
    <s v="Wednesday"/>
    <d v="1899-12-30T14:21:41"/>
    <s v="FUTURE"/>
    <s v="BUY"/>
    <n v="1"/>
    <s v="TO CLOSE"/>
    <x v="15"/>
    <d v="2021-03-21T00:00:00"/>
    <m/>
    <s v="FUTURE"/>
    <n v="3841.25"/>
    <n v="3841.25"/>
    <s v="LMT"/>
    <n v="0"/>
    <n v="0"/>
    <s v=""/>
    <n v="37.5"/>
  </r>
  <r>
    <x v="1210"/>
    <x v="162"/>
    <s v="Thursday"/>
    <d v="1899-12-30T09:42:21"/>
    <s v="FUTURE"/>
    <s v="SELL"/>
    <n v="-1"/>
    <s v="TO OPEN"/>
    <x v="18"/>
    <d v="2021-03-21T00:00:00"/>
    <m/>
    <s v="FUTURE"/>
    <n v="53.03"/>
    <n v="53.03"/>
    <s v="LMT"/>
    <n v="-1"/>
    <n v="-53030"/>
    <n v="53.03"/>
    <s v=""/>
  </r>
  <r>
    <x v="1210"/>
    <x v="162"/>
    <s v="Thursday"/>
    <d v="1899-12-30T09:44:50"/>
    <s v="FUTURE"/>
    <s v="BUY"/>
    <n v="1"/>
    <s v="TO CLOSE"/>
    <x v="18"/>
    <d v="2021-03-21T00:00:00"/>
    <m/>
    <s v="FUTURE"/>
    <n v="53.01"/>
    <n v="53.01"/>
    <s v="LMT"/>
    <n v="0"/>
    <n v="0"/>
    <s v=""/>
    <n v="20.000000000003126"/>
  </r>
  <r>
    <x v="1211"/>
    <x v="162"/>
    <s v="Thursday"/>
    <d v="1899-12-30T09:48:33"/>
    <s v="FUTURE"/>
    <s v="SELL"/>
    <n v="-1"/>
    <s v="TO OPEN"/>
    <x v="18"/>
    <d v="2021-03-21T00:00:00"/>
    <m/>
    <s v="FUTURE"/>
    <n v="52.93"/>
    <n v="52.93"/>
    <s v="MKT"/>
    <n v="-1"/>
    <n v="-52930"/>
    <n v="52.93"/>
    <s v=""/>
  </r>
  <r>
    <x v="1211"/>
    <x v="162"/>
    <s v="Thursday"/>
    <d v="1899-12-30T09:56:40"/>
    <s v="FUTURE"/>
    <s v="BUY"/>
    <n v="1"/>
    <s v="TO CLOSE"/>
    <x v="18"/>
    <d v="2021-03-21T00:00:00"/>
    <m/>
    <s v="FUTURE"/>
    <n v="52.91"/>
    <n v="52.91"/>
    <s v="LMT"/>
    <n v="0"/>
    <n v="0"/>
    <s v=""/>
    <n v="20.000000000003126"/>
  </r>
  <r>
    <x v="1212"/>
    <x v="162"/>
    <s v="Thursday"/>
    <d v="1899-12-30T10:01:57"/>
    <s v="FUTURE"/>
    <s v="SELL"/>
    <n v="-2"/>
    <s v="TO OPEN"/>
    <x v="18"/>
    <d v="2021-03-21T00:00:00"/>
    <m/>
    <s v="FUTURE"/>
    <n v="52.81"/>
    <n v="52.81"/>
    <s v="LMT"/>
    <n v="-2"/>
    <n v="-105620"/>
    <n v="52.81"/>
    <s v=""/>
  </r>
  <r>
    <x v="1212"/>
    <x v="162"/>
    <s v="Thursday"/>
    <d v="1899-12-30T10:09:51"/>
    <s v="FUTURE"/>
    <s v="BUY"/>
    <n v="2"/>
    <s v="TO CLOSE"/>
    <x v="18"/>
    <d v="2021-03-21T00:00:00"/>
    <m/>
    <s v="FUTURE"/>
    <n v="52.87"/>
    <n v="52.87"/>
    <s v="MKT"/>
    <n v="0"/>
    <n v="0"/>
    <s v=""/>
    <n v="-119.99999999999034"/>
  </r>
  <r>
    <x v="1213"/>
    <x v="162"/>
    <s v="Thursday"/>
    <d v="1899-12-30T10:35:13"/>
    <s v="FUTURE"/>
    <s v="SELL"/>
    <n v="-1"/>
    <s v="TO OPEN"/>
    <x v="18"/>
    <d v="2021-03-21T00:00:00"/>
    <m/>
    <s v="FUTURE"/>
    <n v="53.09"/>
    <n v="53.09"/>
    <s v="LMT"/>
    <n v="-1"/>
    <n v="-53090"/>
    <n v="53.09"/>
    <s v=""/>
  </r>
  <r>
    <x v="1213"/>
    <x v="162"/>
    <s v="Thursday"/>
    <d v="1899-12-30T11:16:59"/>
    <s v="FUTURE"/>
    <s v="SELL"/>
    <n v="-1"/>
    <s v="TO OPEN"/>
    <x v="18"/>
    <d v="2021-03-21T00:00:00"/>
    <m/>
    <s v="FUTURE"/>
    <n v="53.35"/>
    <n v="53.35"/>
    <s v="LMT"/>
    <n v="-2"/>
    <n v="-106440"/>
    <n v="53.22"/>
    <s v=""/>
  </r>
  <r>
    <x v="1213"/>
    <x v="162"/>
    <s v="Thursday"/>
    <d v="1899-12-30T11:23:25"/>
    <s v="FUTURE"/>
    <s v="BUY"/>
    <n v="1"/>
    <s v="TO CLOSE"/>
    <x v="18"/>
    <d v="2021-03-21T00:00:00"/>
    <m/>
    <s v="FUTURE"/>
    <n v="53.26"/>
    <n v="53.26"/>
    <s v="LMT"/>
    <n v="-1"/>
    <n v="-53180"/>
    <n v="53.18"/>
    <s v=""/>
  </r>
  <r>
    <x v="1213"/>
    <x v="162"/>
    <s v="Thursday"/>
    <d v="1899-12-30T11:34:26"/>
    <s v="FUTURE"/>
    <s v="BUY"/>
    <n v="1"/>
    <s v="TO CLOSE"/>
    <x v="18"/>
    <d v="2021-03-21T00:00:00"/>
    <m/>
    <s v="FUTURE"/>
    <n v="53"/>
    <n v="53"/>
    <s v="LMT"/>
    <n v="0"/>
    <n v="0"/>
    <s v=""/>
    <n v="179.99999999999972"/>
  </r>
  <r>
    <x v="1214"/>
    <x v="162"/>
    <s v="Thursday"/>
    <d v="1899-12-30T10:10:17"/>
    <s v="FUTURE"/>
    <s v="BUY"/>
    <n v="1"/>
    <s v="TO OPEN"/>
    <x v="15"/>
    <d v="2021-03-21T00:00:00"/>
    <m/>
    <s v="FUTURE"/>
    <n v="3842.5"/>
    <n v="3842.5"/>
    <s v="MKT"/>
    <n v="1"/>
    <n v="192125"/>
    <n v="3842.5"/>
    <s v=""/>
  </r>
  <r>
    <x v="1214"/>
    <x v="162"/>
    <s v="Thursday"/>
    <d v="1899-12-30T10:12:25"/>
    <s v="FUTURE"/>
    <s v="SELL"/>
    <n v="-1"/>
    <s v="TO CLOSE"/>
    <x v="15"/>
    <d v="2021-03-21T00:00:00"/>
    <m/>
    <s v="FUTURE"/>
    <n v="3846.75"/>
    <n v="3846.75"/>
    <s v="LMT"/>
    <n v="0"/>
    <n v="0"/>
    <s v=""/>
    <n v="212.5"/>
  </r>
  <r>
    <x v="1215"/>
    <x v="163"/>
    <s v="Friday"/>
    <d v="1899-12-30T09:03:07"/>
    <s v="FUTURE"/>
    <s v="BUY"/>
    <n v="1"/>
    <s v="TO OPEN"/>
    <x v="18"/>
    <d v="2021-03-21T00:00:00"/>
    <m/>
    <s v="FUTURE"/>
    <n v="51.57"/>
    <n v="51.57"/>
    <s v="LMT"/>
    <n v="1"/>
    <n v="51570"/>
    <n v="51.57"/>
    <s v=""/>
  </r>
  <r>
    <x v="1215"/>
    <x v="163"/>
    <s v="Friday"/>
    <d v="1899-12-30T09:14:23"/>
    <s v="FUTURE"/>
    <s v="SELL"/>
    <n v="-1"/>
    <s v="TO CLOSE"/>
    <x v="18"/>
    <d v="2021-03-21T00:00:00"/>
    <m/>
    <s v="FUTURE"/>
    <n v="51.8"/>
    <n v="51.8"/>
    <s v="LMT"/>
    <n v="0"/>
    <n v="0"/>
    <s v=""/>
    <n v="229.99999999999687"/>
  </r>
  <r>
    <x v="1216"/>
    <x v="163"/>
    <s v="Friday"/>
    <d v="1899-12-30T09:31:34"/>
    <s v="FUTURE"/>
    <s v="BUY"/>
    <n v="1"/>
    <s v="TO OPEN"/>
    <x v="18"/>
    <d v="2021-03-21T00:00:00"/>
    <m/>
    <s v="FUTURE"/>
    <n v="51.68"/>
    <n v="51.68"/>
    <s v="LMT"/>
    <n v="1"/>
    <n v="51680"/>
    <n v="51.68"/>
    <s v=""/>
  </r>
  <r>
    <x v="1216"/>
    <x v="163"/>
    <s v="Friday"/>
    <d v="1899-12-30T09:33:06"/>
    <s v="FUTURE"/>
    <s v="SELL"/>
    <n v="-1"/>
    <s v="TO CLOSE"/>
    <x v="18"/>
    <d v="2021-03-21T00:00:00"/>
    <m/>
    <s v="FUTURE"/>
    <n v="51.72"/>
    <n v="51.72"/>
    <s v="LMT"/>
    <n v="0"/>
    <n v="0"/>
    <s v=""/>
    <n v="39.999999999999147"/>
  </r>
  <r>
    <x v="1217"/>
    <x v="163"/>
    <s v="Friday"/>
    <d v="1899-12-30T09:40:03"/>
    <s v="FUTURE"/>
    <s v="SELL"/>
    <n v="-1"/>
    <s v="TO OPEN"/>
    <x v="18"/>
    <d v="2021-03-21T00:00:00"/>
    <m/>
    <s v="FUTURE"/>
    <n v="52.04"/>
    <n v="52.04"/>
    <s v="LMT"/>
    <n v="-1"/>
    <n v="-52040"/>
    <n v="52.04"/>
    <s v=""/>
  </r>
  <r>
    <x v="1217"/>
    <x v="163"/>
    <s v="Friday"/>
    <d v="1899-12-30T09:47:32"/>
    <s v="FUTURE"/>
    <s v="SELL"/>
    <n v="-1"/>
    <s v="TO OPEN"/>
    <x v="18"/>
    <d v="2021-03-21T00:00:00"/>
    <m/>
    <s v="FUTURE"/>
    <n v="52.24"/>
    <n v="52.24"/>
    <s v="LMT"/>
    <n v="-2"/>
    <n v="-104280"/>
    <n v="52.14"/>
    <s v=""/>
  </r>
  <r>
    <x v="1217"/>
    <x v="163"/>
    <s v="Friday"/>
    <d v="1899-12-30T09:47:59"/>
    <s v="FUTURE"/>
    <s v="BUY"/>
    <n v="1"/>
    <s v="TO CLOSE"/>
    <x v="18"/>
    <d v="2021-03-21T00:00:00"/>
    <m/>
    <s v="FUTURE"/>
    <n v="52.17"/>
    <n v="52.17"/>
    <s v="LMT"/>
    <n v="-1"/>
    <n v="-52110"/>
    <n v="52.11"/>
    <s v=""/>
  </r>
  <r>
    <x v="1217"/>
    <x v="163"/>
    <s v="Friday"/>
    <d v="1899-12-30T10:03:40"/>
    <s v="FUTURE"/>
    <s v="SELL"/>
    <n v="-1"/>
    <s v="TO OPEN"/>
    <x v="18"/>
    <d v="2021-03-21T00:00:00"/>
    <m/>
    <s v="FUTURE"/>
    <n v="52.41"/>
    <n v="52.41"/>
    <s v="LMT"/>
    <n v="-2"/>
    <n v="-104520"/>
    <n v="52.26"/>
    <s v=""/>
  </r>
  <r>
    <x v="1217"/>
    <x v="163"/>
    <s v="Friday"/>
    <d v="1899-12-30T11:00:06"/>
    <s v="FUTURE"/>
    <s v="BUY"/>
    <n v="1"/>
    <s v="TO CLOSE"/>
    <x v="18"/>
    <d v="2021-03-21T00:00:00"/>
    <m/>
    <s v="FUTURE"/>
    <n v="52.28"/>
    <n v="52.28"/>
    <s v="LMT"/>
    <n v="-1"/>
    <n v="-52240"/>
    <n v="52.24"/>
    <s v=""/>
  </r>
  <r>
    <x v="1217"/>
    <x v="163"/>
    <s v="Friday"/>
    <d v="1899-12-30T11:37:22"/>
    <s v="FUTURE"/>
    <s v="BUY"/>
    <n v="1"/>
    <s v="TO CLOSE"/>
    <x v="18"/>
    <d v="2021-03-21T00:00:00"/>
    <m/>
    <s v="FUTURE"/>
    <n v="52.39"/>
    <n v="52.39"/>
    <s v="MKT"/>
    <n v="0"/>
    <n v="0"/>
    <s v=""/>
    <n v="-149.99999999999858"/>
  </r>
  <r>
    <x v="1218"/>
    <x v="164"/>
    <s v="Monday"/>
    <d v="1899-12-30T10:06:02"/>
    <s v="FUTURE"/>
    <s v="BUY"/>
    <n v="1"/>
    <s v="TO OPEN"/>
    <x v="18"/>
    <d v="2021-03-21T00:00:00"/>
    <m/>
    <s v="FUTURE"/>
    <n v="52.45"/>
    <n v="52.45"/>
    <s v="MKT"/>
    <n v="1"/>
    <n v="52450"/>
    <n v="52.45"/>
    <s v=""/>
  </r>
  <r>
    <x v="1218"/>
    <x v="164"/>
    <s v="Monday"/>
    <d v="1899-12-30T10:13:08"/>
    <s v="FUTURE"/>
    <s v="SELL"/>
    <n v="-1"/>
    <s v="TO CLOSE"/>
    <x v="18"/>
    <d v="2021-03-21T00:00:00"/>
    <m/>
    <s v="FUTURE"/>
    <n v="52.37"/>
    <n v="52.37"/>
    <s v="MKT"/>
    <n v="0"/>
    <n v="0"/>
    <s v=""/>
    <n v="-80.0000000000054"/>
  </r>
  <r>
    <x v="1219"/>
    <x v="164"/>
    <s v="Monday"/>
    <d v="1899-12-30T10:22:29"/>
    <s v="FUTURE"/>
    <s v="BUY"/>
    <n v="2"/>
    <s v="TO OPEN"/>
    <x v="18"/>
    <d v="2021-03-21T00:00:00"/>
    <m/>
    <s v="FUTURE"/>
    <n v="52.44"/>
    <n v="52.44"/>
    <s v="MKT"/>
    <n v="2"/>
    <n v="104880"/>
    <n v="52.44"/>
    <s v=""/>
  </r>
  <r>
    <x v="1219"/>
    <x v="164"/>
    <s v="Monday"/>
    <d v="1899-12-30T10:27:17"/>
    <s v="FUTURE"/>
    <s v="SELL"/>
    <n v="-2"/>
    <s v="TO CLOSE"/>
    <x v="18"/>
    <d v="2021-03-21T00:00:00"/>
    <m/>
    <s v="FUTURE"/>
    <n v="52.38"/>
    <n v="52.38"/>
    <s v="MKT"/>
    <n v="0"/>
    <n v="0"/>
    <s v=""/>
    <n v="-119.99999999999034"/>
  </r>
  <r>
    <x v="1220"/>
    <x v="164"/>
    <s v="Monday"/>
    <d v="1899-12-30T10:50:38"/>
    <s v="FUTURE"/>
    <s v="SELL"/>
    <n v="-1"/>
    <s v="TO OPEN"/>
    <x v="18"/>
    <d v="2021-03-21T00:00:00"/>
    <m/>
    <s v="FUTURE"/>
    <n v="52.3"/>
    <n v="52.3"/>
    <s v="MKT"/>
    <n v="-1"/>
    <n v="-52300"/>
    <n v="52.3"/>
    <s v=""/>
  </r>
  <r>
    <x v="1220"/>
    <x v="164"/>
    <s v="Monday"/>
    <d v="1899-12-30T10:59:53"/>
    <s v="FUTURE"/>
    <s v="BUY"/>
    <n v="1"/>
    <s v="TO CLOSE"/>
    <x v="18"/>
    <d v="2021-03-21T00:00:00"/>
    <m/>
    <s v="FUTURE"/>
    <n v="52.19"/>
    <n v="52.19"/>
    <s v="LMT"/>
    <n v="0"/>
    <n v="0"/>
    <s v=""/>
    <n v="109.99999999999943"/>
  </r>
  <r>
    <x v="1221"/>
    <x v="164"/>
    <s v="Monday"/>
    <d v="1899-12-30T10:30:24"/>
    <s v="FUTURE"/>
    <s v="BUY"/>
    <n v="1"/>
    <s v="TO OPEN"/>
    <x v="15"/>
    <d v="2021-03-21T00:00:00"/>
    <m/>
    <s v="FUTURE"/>
    <n v="3849.75"/>
    <n v="3849.75"/>
    <s v="LMT"/>
    <n v="1"/>
    <n v="192487.5"/>
    <n v="3849.75"/>
    <s v=""/>
  </r>
  <r>
    <x v="1221"/>
    <x v="164"/>
    <s v="Monday"/>
    <d v="1899-12-30T10:36:00"/>
    <s v="FUTURE"/>
    <s v="SELL"/>
    <n v="-1"/>
    <s v="TO CLOSE"/>
    <x v="15"/>
    <d v="2021-03-21T00:00:00"/>
    <m/>
    <s v="FUTURE"/>
    <n v="3846.75"/>
    <n v="3846.75"/>
    <s v="STP"/>
    <n v="0"/>
    <n v="0"/>
    <s v=""/>
    <n v="-150"/>
  </r>
  <r>
    <x v="1222"/>
    <x v="164"/>
    <s v="Monday"/>
    <d v="1899-12-30T11:27:06"/>
    <s v="FUTURE"/>
    <s v="SELL"/>
    <n v="-1"/>
    <s v="TO OPEN"/>
    <x v="15"/>
    <d v="2021-03-21T00:00:00"/>
    <m/>
    <s v="FUTURE"/>
    <n v="3813.25"/>
    <n v="3813.25"/>
    <s v="LMT"/>
    <n v="-1"/>
    <n v="-190662.5"/>
    <n v="3813.25"/>
    <s v=""/>
  </r>
  <r>
    <x v="1222"/>
    <x v="164"/>
    <s v="Monday"/>
    <d v="1899-12-30T11:27:45"/>
    <s v="FUTURE"/>
    <s v="BUY"/>
    <n v="1"/>
    <s v="TO CLOSE"/>
    <x v="15"/>
    <d v="2021-03-21T00:00:00"/>
    <m/>
    <s v="FUTURE"/>
    <n v="3809.25"/>
    <n v="3809.25"/>
    <s v="LMT"/>
    <n v="0"/>
    <n v="0"/>
    <s v=""/>
    <n v="200"/>
  </r>
  <r>
    <x v="1223"/>
    <x v="164"/>
    <s v="Monday"/>
    <d v="1899-12-30T11:54:28"/>
    <s v="FUTURE"/>
    <s v="SELL"/>
    <n v="-1"/>
    <s v="TO OPEN"/>
    <x v="15"/>
    <d v="2021-03-21T00:00:00"/>
    <m/>
    <s v="FUTURE"/>
    <n v="3826.25"/>
    <n v="3826.25"/>
    <s v="LMT"/>
    <n v="-1"/>
    <n v="-191312.5"/>
    <n v="3826.25"/>
    <s v=""/>
  </r>
  <r>
    <x v="1223"/>
    <x v="164"/>
    <s v="Monday"/>
    <d v="1899-12-30T11:55:09"/>
    <s v="FUTURE"/>
    <s v="BUY"/>
    <n v="1"/>
    <s v="TO CLOSE"/>
    <x v="15"/>
    <d v="2021-03-21T00:00:00"/>
    <m/>
    <s v="FUTURE"/>
    <n v="3826"/>
    <n v="3826"/>
    <s v="STP"/>
    <n v="0"/>
    <n v="0"/>
    <s v=""/>
    <n v="12.5"/>
  </r>
  <r>
    <x v="1224"/>
    <x v="164"/>
    <s v="Monday"/>
    <d v="1899-12-30T11:57:23"/>
    <s v="FUTURE"/>
    <s v="SELL"/>
    <n v="-1"/>
    <s v="TO OPEN"/>
    <x v="15"/>
    <d v="2021-03-21T00:00:00"/>
    <m/>
    <s v="FUTURE"/>
    <n v="3826.5"/>
    <n v="3826.5"/>
    <s v="LMT"/>
    <n v="-1"/>
    <n v="-191325"/>
    <n v="3826.5"/>
    <s v=""/>
  </r>
  <r>
    <x v="1224"/>
    <x v="164"/>
    <s v="Monday"/>
    <d v="1899-12-30T12:01:10"/>
    <s v="FUTURE"/>
    <s v="BUY"/>
    <n v="1"/>
    <s v="TO CLOSE"/>
    <x v="15"/>
    <d v="2021-03-21T00:00:00"/>
    <m/>
    <s v="FUTURE"/>
    <n v="3830.5"/>
    <n v="3830.5"/>
    <s v="STP"/>
    <n v="0"/>
    <n v="0"/>
    <s v=""/>
    <n v="-200"/>
  </r>
  <r>
    <x v="1225"/>
    <x v="165"/>
    <s v="Tuesday"/>
    <d v="1899-12-30T09:18:14"/>
    <s v="FUTURE"/>
    <s v="SELL"/>
    <n v="-1"/>
    <s v="TO OPEN"/>
    <x v="18"/>
    <d v="2021-03-21T00:00:00"/>
    <m/>
    <s v="FUTURE"/>
    <n v="52.94"/>
    <n v="52.94"/>
    <s v="LMT"/>
    <n v="-1"/>
    <n v="-52940"/>
    <n v="52.94"/>
    <s v=""/>
  </r>
  <r>
    <x v="1225"/>
    <x v="165"/>
    <s v="Tuesday"/>
    <d v="1899-12-30T09:23:23"/>
    <s v="FUTURE"/>
    <s v="BUY"/>
    <n v="1"/>
    <s v="TO CLOSE"/>
    <x v="18"/>
    <d v="2021-03-21T00:00:00"/>
    <m/>
    <s v="FUTURE"/>
    <n v="52.9"/>
    <n v="52.9"/>
    <s v="LMT"/>
    <n v="0"/>
    <n v="0"/>
    <s v=""/>
    <n v="39.999999999999147"/>
  </r>
  <r>
    <x v="1226"/>
    <x v="165"/>
    <s v="Tuesday"/>
    <d v="1899-12-30T09:34:19"/>
    <s v="FUTURE"/>
    <s v="SELL"/>
    <n v="-1"/>
    <s v="TO OPEN"/>
    <x v="18"/>
    <d v="2021-03-21T00:00:00"/>
    <m/>
    <s v="FUTURE"/>
    <n v="52.99"/>
    <n v="52.99"/>
    <s v="LMT"/>
    <n v="-1"/>
    <n v="-52990"/>
    <n v="52.99"/>
    <s v=""/>
  </r>
  <r>
    <x v="1226"/>
    <x v="165"/>
    <s v="Tuesday"/>
    <d v="1899-12-30T09:48:31"/>
    <s v="FUTURE"/>
    <s v="BUY"/>
    <n v="1"/>
    <s v="TO CLOSE"/>
    <x v="18"/>
    <d v="2021-03-21T00:00:00"/>
    <m/>
    <s v="FUTURE"/>
    <n v="52.84"/>
    <n v="52.84"/>
    <s v="LMT"/>
    <n v="0"/>
    <n v="0"/>
    <s v=""/>
    <n v="149.99999999999858"/>
  </r>
  <r>
    <x v="1227"/>
    <x v="165"/>
    <s v="Tuesday"/>
    <d v="1899-12-30T10:11:48"/>
    <s v="FUTURE"/>
    <s v="SELL"/>
    <n v="-2"/>
    <s v="TO OPEN"/>
    <x v="18"/>
    <d v="2021-03-21T00:00:00"/>
    <m/>
    <s v="FUTURE"/>
    <n v="52.65"/>
    <n v="52.65"/>
    <s v="MKT"/>
    <n v="-2"/>
    <n v="-105300"/>
    <n v="52.65"/>
    <s v=""/>
  </r>
  <r>
    <x v="1227"/>
    <x v="165"/>
    <s v="Tuesday"/>
    <d v="1899-12-30T10:12:28"/>
    <s v="FUTURE"/>
    <s v="BUY"/>
    <n v="1"/>
    <s v="TO CLOSE"/>
    <x v="18"/>
    <d v="2021-03-21T00:00:00"/>
    <m/>
    <s v="FUTURE"/>
    <n v="52.61"/>
    <n v="52.61"/>
    <s v="LMT"/>
    <n v="-1"/>
    <n v="-52690"/>
    <n v="52.69"/>
    <s v=""/>
  </r>
  <r>
    <x v="1227"/>
    <x v="165"/>
    <s v="Tuesday"/>
    <d v="1899-12-30T10:14:06"/>
    <s v="FUTURE"/>
    <s v="BUY"/>
    <n v="1"/>
    <s v="TO CLOSE"/>
    <x v="18"/>
    <d v="2021-03-21T00:00:00"/>
    <m/>
    <s v="FUTURE"/>
    <n v="52.58"/>
    <n v="52.58"/>
    <s v="LMT"/>
    <n v="0"/>
    <n v="0"/>
    <s v=""/>
    <n v="109.99999999999943"/>
  </r>
  <r>
    <x v="1228"/>
    <x v="165"/>
    <s v="Tuesday"/>
    <d v="1899-12-30T10:55:47"/>
    <s v="FUTURE"/>
    <s v="BUY"/>
    <n v="1"/>
    <s v="TO OPEN"/>
    <x v="18"/>
    <d v="2021-03-21T00:00:00"/>
    <m/>
    <s v="FUTURE"/>
    <n v="52.6"/>
    <n v="52.6"/>
    <s v="LMT"/>
    <n v="1"/>
    <n v="52600"/>
    <n v="52.6"/>
    <s v=""/>
  </r>
  <r>
    <x v="1228"/>
    <x v="165"/>
    <s v="Tuesday"/>
    <d v="1899-12-30T11:26:19"/>
    <s v="FUTURE"/>
    <s v="SELL"/>
    <n v="-1"/>
    <s v="TO CLOSE"/>
    <x v="18"/>
    <d v="2021-03-21T00:00:00"/>
    <m/>
    <s v="FUTURE"/>
    <n v="52.61"/>
    <n v="52.61"/>
    <s v="LMT"/>
    <n v="0"/>
    <n v="0"/>
    <s v=""/>
    <n v="9.9999999999980105"/>
  </r>
  <r>
    <x v="1229"/>
    <x v="165"/>
    <s v="Tuesday"/>
    <d v="1899-12-30T09:50:12"/>
    <s v="FUTURE"/>
    <s v="BUY"/>
    <n v="1"/>
    <s v="TO OPEN"/>
    <x v="15"/>
    <d v="2021-03-21T00:00:00"/>
    <m/>
    <s v="FUTURE"/>
    <n v="3853"/>
    <n v="3853"/>
    <s v="LMT"/>
    <n v="1"/>
    <n v="192650"/>
    <n v="3853"/>
    <s v=""/>
  </r>
  <r>
    <x v="1229"/>
    <x v="165"/>
    <s v="Tuesday"/>
    <d v="1899-12-30T09:50:50"/>
    <s v="FUTURE"/>
    <s v="SELL"/>
    <n v="-1"/>
    <s v="TO CLOSE"/>
    <x v="15"/>
    <d v="2021-03-21T00:00:00"/>
    <m/>
    <s v="FUTURE"/>
    <n v="3849"/>
    <n v="3849"/>
    <s v="STP"/>
    <n v="0"/>
    <n v="0"/>
    <s v=""/>
    <n v="-200"/>
  </r>
  <r>
    <x v="1230"/>
    <x v="165"/>
    <s v="Tuesday"/>
    <d v="1899-12-30T09:56:55"/>
    <s v="FUTURE"/>
    <s v="BUY"/>
    <n v="1"/>
    <s v="TO OPEN"/>
    <x v="15"/>
    <d v="2021-03-21T00:00:00"/>
    <m/>
    <s v="FUTURE"/>
    <n v="3851"/>
    <n v="3851"/>
    <s v="LMT"/>
    <n v="1"/>
    <n v="192550"/>
    <n v="3851"/>
    <s v=""/>
  </r>
  <r>
    <x v="1230"/>
    <x v="165"/>
    <s v="Tuesday"/>
    <d v="1899-12-30T10:02:13"/>
    <s v="FUTURE"/>
    <s v="SELL"/>
    <n v="-1"/>
    <s v="TO CLOSE"/>
    <x v="15"/>
    <d v="2021-03-21T00:00:00"/>
    <m/>
    <s v="FUTURE"/>
    <n v="3855.5"/>
    <n v="3855.5"/>
    <s v="LMT"/>
    <n v="0"/>
    <n v="0"/>
    <s v=""/>
    <n v="225"/>
  </r>
  <r>
    <x v="1231"/>
    <x v="165"/>
    <s v="Tuesday"/>
    <d v="1899-12-30T10:39:44"/>
    <s v="FUTURE"/>
    <s v="BUY"/>
    <n v="1"/>
    <s v="TO OPEN"/>
    <x v="15"/>
    <d v="2021-03-21T00:00:00"/>
    <m/>
    <s v="FUTURE"/>
    <n v="3850.75"/>
    <n v="3850.75"/>
    <s v="LMT"/>
    <n v="1"/>
    <n v="192537.5"/>
    <n v="3850.75"/>
    <s v=""/>
  </r>
  <r>
    <x v="1231"/>
    <x v="165"/>
    <s v="Tuesday"/>
    <d v="1899-12-30T10:43:37"/>
    <s v="FUTURE"/>
    <s v="SELL"/>
    <n v="-1"/>
    <s v="TO CLOSE"/>
    <x v="15"/>
    <d v="2021-03-21T00:00:00"/>
    <m/>
    <s v="FUTURE"/>
    <n v="3851.75"/>
    <n v="3851.75"/>
    <s v="LMT"/>
    <n v="0"/>
    <n v="0"/>
    <s v=""/>
    <n v="50"/>
  </r>
  <r>
    <x v="1232"/>
    <x v="166"/>
    <s v="Wednesday"/>
    <d v="1899-12-30T09:47:54"/>
    <s v="FUTURE"/>
    <s v="SELL"/>
    <n v="-1"/>
    <s v="TO OPEN"/>
    <x v="18"/>
    <d v="2021-03-21T00:00:00"/>
    <m/>
    <s v="FUTURE"/>
    <n v="52.02"/>
    <n v="52.02"/>
    <s v="LMT"/>
    <n v="-1"/>
    <n v="-52020"/>
    <n v="52.02"/>
    <s v=""/>
  </r>
  <r>
    <x v="1232"/>
    <x v="166"/>
    <s v="Wednesday"/>
    <d v="1899-12-30T09:51:00"/>
    <s v="FUTURE"/>
    <s v="BUY"/>
    <n v="1"/>
    <s v="TO CLOSE"/>
    <x v="18"/>
    <d v="2021-03-21T00:00:00"/>
    <m/>
    <s v="FUTURE"/>
    <n v="51.88"/>
    <n v="51.88"/>
    <s v="LMT"/>
    <n v="0"/>
    <n v="0"/>
    <s v=""/>
    <n v="140.00000000000057"/>
  </r>
  <r>
    <x v="1233"/>
    <x v="166"/>
    <s v="Wednesday"/>
    <d v="1899-12-30T11:13:27"/>
    <s v="FUTURE"/>
    <s v="SELL"/>
    <n v="-1"/>
    <s v="TO OPEN"/>
    <x v="18"/>
    <d v="2021-03-21T00:00:00"/>
    <m/>
    <s v="FUTURE"/>
    <n v="53.17"/>
    <n v="53.17"/>
    <s v="LMT"/>
    <n v="-1"/>
    <n v="-53170"/>
    <n v="53.17"/>
    <s v=""/>
  </r>
  <r>
    <x v="1233"/>
    <x v="166"/>
    <s v="Wednesday"/>
    <d v="1899-12-30T11:24:56"/>
    <s v="FUTURE"/>
    <s v="BUY"/>
    <n v="1"/>
    <s v="TO CLOSE"/>
    <x v="18"/>
    <d v="2021-03-21T00:00:00"/>
    <m/>
    <s v="FUTURE"/>
    <n v="53.07"/>
    <n v="53.07"/>
    <s v="LMT"/>
    <n v="0"/>
    <n v="0"/>
    <s v=""/>
    <n v="100.00000000000142"/>
  </r>
  <r>
    <x v="1234"/>
    <x v="166"/>
    <s v="Wednesday"/>
    <d v="1899-12-30T11:30:49"/>
    <s v="FUTURE"/>
    <s v="SELL"/>
    <n v="-2"/>
    <s v="TO OPEN"/>
    <x v="18"/>
    <d v="2021-03-21T00:00:00"/>
    <m/>
    <s v="FUTURE"/>
    <n v="53.09"/>
    <n v="53.09"/>
    <s v="LMT"/>
    <n v="-2"/>
    <n v="-106180"/>
    <n v="53.09"/>
    <s v=""/>
  </r>
  <r>
    <x v="1234"/>
    <x v="166"/>
    <s v="Wednesday"/>
    <d v="1899-12-30T12:05:35"/>
    <s v="FUTURE"/>
    <s v="BUY"/>
    <n v="1"/>
    <s v="TO CLOSE"/>
    <x v="18"/>
    <d v="2021-03-21T00:00:00"/>
    <m/>
    <s v="FUTURE"/>
    <n v="53.07"/>
    <n v="53.07"/>
    <s v="LMT"/>
    <n v="-1"/>
    <n v="-53110"/>
    <n v="53.11"/>
    <s v=""/>
  </r>
  <r>
    <x v="1234"/>
    <x v="166"/>
    <s v="Wednesday"/>
    <d v="1899-12-30T12:36:31"/>
    <s v="FUTURE"/>
    <s v="BUY"/>
    <n v="1"/>
    <s v="TO CLOSE"/>
    <x v="18"/>
    <d v="2021-03-21T00:00:00"/>
    <m/>
    <s v="FUTURE"/>
    <n v="53.06"/>
    <n v="53.06"/>
    <s v="LMT"/>
    <n v="0"/>
    <n v="0"/>
    <s v=""/>
    <n v="49.999999999997158"/>
  </r>
  <r>
    <x v="1235"/>
    <x v="166"/>
    <s v="Wednesday"/>
    <d v="1899-12-30T09:30:07"/>
    <s v="FUTURE"/>
    <s v="BUY"/>
    <n v="1"/>
    <s v="TO OPEN"/>
    <x v="15"/>
    <d v="2021-03-21T00:00:00"/>
    <m/>
    <s v="FUTURE"/>
    <n v="3805.25"/>
    <n v="3805.25"/>
    <s v="LMT"/>
    <n v="1"/>
    <n v="190262.5"/>
    <n v="3805.25"/>
    <s v=""/>
  </r>
  <r>
    <x v="1235"/>
    <x v="166"/>
    <s v="Wednesday"/>
    <d v="1899-12-30T09:30:38"/>
    <s v="FUTURE"/>
    <s v="SELL"/>
    <n v="-1"/>
    <s v="TO CLOSE"/>
    <x v="15"/>
    <d v="2021-03-21T00:00:00"/>
    <m/>
    <s v="FUTURE"/>
    <n v="3801.25"/>
    <n v="3801.25"/>
    <s v="STP"/>
    <n v="0"/>
    <n v="0"/>
    <s v=""/>
    <n v="-200"/>
  </r>
  <r>
    <x v="1236"/>
    <x v="166"/>
    <s v="Wednesday"/>
    <d v="1899-12-30T09:31:13"/>
    <s v="FUTURE"/>
    <s v="BUY"/>
    <n v="1"/>
    <s v="TO OPEN"/>
    <x v="15"/>
    <d v="2021-03-21T00:00:00"/>
    <m/>
    <s v="FUTURE"/>
    <n v="3795.25"/>
    <n v="3795.25"/>
    <s v="MKT"/>
    <n v="1"/>
    <n v="189762.5"/>
    <n v="3795.25"/>
    <s v=""/>
  </r>
  <r>
    <x v="1236"/>
    <x v="166"/>
    <s v="Wednesday"/>
    <d v="1899-12-30T09:43:12"/>
    <s v="FUTURE"/>
    <s v="SELL"/>
    <n v="-1"/>
    <s v="TO CLOSE"/>
    <x v="15"/>
    <d v="2021-03-21T00:00:00"/>
    <m/>
    <s v="FUTURE"/>
    <n v="3775"/>
    <n v="3775"/>
    <s v="STP"/>
    <n v="0"/>
    <n v="0"/>
    <s v=""/>
    <n v="-1012.5"/>
  </r>
  <r>
    <x v="1237"/>
    <x v="166"/>
    <s v="Wednesday"/>
    <d v="1899-12-30T09:52:16"/>
    <s v="FUTURE"/>
    <s v="BUY"/>
    <n v="1"/>
    <s v="TO OPEN"/>
    <x v="15"/>
    <d v="2021-03-21T00:00:00"/>
    <m/>
    <s v="FUTURE"/>
    <n v="3766"/>
    <n v="3766"/>
    <s v="LMT"/>
    <n v="1"/>
    <n v="188300"/>
    <n v="3766"/>
    <s v=""/>
  </r>
  <r>
    <x v="1237"/>
    <x v="166"/>
    <s v="Wednesday"/>
    <d v="1899-12-30T09:52:32"/>
    <s v="FUTURE"/>
    <s v="SELL"/>
    <n v="-1"/>
    <s v="TO CLOSE"/>
    <x v="15"/>
    <d v="2021-03-21T00:00:00"/>
    <m/>
    <s v="FUTURE"/>
    <n v="3762"/>
    <n v="3762"/>
    <s v="STP"/>
    <n v="0"/>
    <n v="0"/>
    <s v=""/>
    <n v="-200"/>
  </r>
  <r>
    <x v="1238"/>
    <x v="166"/>
    <s v="Wednesday"/>
    <d v="1899-12-30T09:53:44"/>
    <s v="FUTURE"/>
    <s v="BUY"/>
    <n v="1"/>
    <s v="TO OPEN"/>
    <x v="15"/>
    <d v="2021-03-21T00:00:00"/>
    <m/>
    <s v="FUTURE"/>
    <n v="3760.75"/>
    <n v="3760.75"/>
    <s v="LMT"/>
    <n v="1"/>
    <n v="188037.5"/>
    <n v="3760.75"/>
    <s v=""/>
  </r>
  <r>
    <x v="1238"/>
    <x v="166"/>
    <s v="Wednesday"/>
    <d v="1899-12-30T09:54:44"/>
    <s v="FUTURE"/>
    <s v="SELL"/>
    <n v="-1"/>
    <s v="TO CLOSE"/>
    <x v="15"/>
    <d v="2021-03-21T00:00:00"/>
    <m/>
    <s v="FUTURE"/>
    <n v="3769.25"/>
    <n v="3769.25"/>
    <s v="LMT"/>
    <n v="0"/>
    <n v="0"/>
    <s v=""/>
    <n v="425"/>
  </r>
  <r>
    <x v="1239"/>
    <x v="166"/>
    <s v="Wednesday"/>
    <d v="1899-12-30T10:07:14"/>
    <s v="FUTURE"/>
    <s v="SELL"/>
    <n v="-1"/>
    <s v="TO OPEN"/>
    <x v="15"/>
    <d v="2021-03-21T00:00:00"/>
    <m/>
    <s v="FUTURE"/>
    <n v="3790.5"/>
    <n v="3790.5"/>
    <s v="LMT"/>
    <n v="-1"/>
    <n v="-189525"/>
    <n v="3790.5"/>
    <s v=""/>
  </r>
  <r>
    <x v="1239"/>
    <x v="166"/>
    <s v="Wednesday"/>
    <d v="1899-12-30T10:15:46"/>
    <s v="FUTURE"/>
    <s v="BUY"/>
    <n v="1"/>
    <s v="TO CLOSE"/>
    <x v="15"/>
    <d v="2021-03-21T00:00:00"/>
    <m/>
    <s v="FUTURE"/>
    <n v="3784.25"/>
    <n v="3784.25"/>
    <s v="LMT"/>
    <n v="0"/>
    <n v="0"/>
    <s v=""/>
    <n v="312.5"/>
  </r>
  <r>
    <x v="1240"/>
    <x v="166"/>
    <s v="Wednesday"/>
    <d v="1899-12-30T14:25:24"/>
    <s v="FUTURE"/>
    <s v="BUY"/>
    <n v="1"/>
    <s v="TO OPEN"/>
    <x v="17"/>
    <d v="2021-03-21T00:00:00"/>
    <m/>
    <s v="FUTURE"/>
    <n v="3766.75"/>
    <n v="3766.75"/>
    <s v="LMT"/>
    <n v="1"/>
    <n v="18833.75"/>
    <n v="3766.75"/>
    <s v=""/>
  </r>
  <r>
    <x v="1240"/>
    <x v="166"/>
    <s v="Wednesday"/>
    <d v="1899-12-30T14:33:10"/>
    <s v="FUTURE"/>
    <s v="BUY"/>
    <n v="1"/>
    <s v="TO OPEN"/>
    <x v="17"/>
    <d v="2021-03-21T00:00:00"/>
    <m/>
    <s v="FUTURE"/>
    <n v="3755.25"/>
    <n v="3755.25"/>
    <s v="LMT"/>
    <n v="2"/>
    <n v="37610"/>
    <n v="3761"/>
    <s v=""/>
  </r>
  <r>
    <x v="1240"/>
    <x v="166"/>
    <s v="Wednesday"/>
    <d v="1899-12-30T14:59:00"/>
    <s v="FUTURE"/>
    <s v="BUY"/>
    <n v="1"/>
    <s v="TO OPEN"/>
    <x v="17"/>
    <d v="2021-03-21T00:00:00"/>
    <m/>
    <s v="FUTURE"/>
    <n v="3746"/>
    <n v="3746"/>
    <s v="LMT"/>
    <n v="3"/>
    <n v="56340"/>
    <n v="3756"/>
    <s v=""/>
  </r>
  <r>
    <x v="1240"/>
    <x v="166"/>
    <s v="Wednesday"/>
    <d v="1899-12-30T20:21:40"/>
    <s v="FUTURE"/>
    <s v="SELL"/>
    <n v="-2"/>
    <s v="TO CLOSE"/>
    <x v="17"/>
    <d v="2021-03-21T00:00:00"/>
    <m/>
    <s v="FUTURE"/>
    <n v="3742"/>
    <n v="3742"/>
    <s v="LMT"/>
    <n v="1"/>
    <n v="18920"/>
    <n v="3784"/>
    <s v=""/>
  </r>
  <r>
    <x v="1240"/>
    <x v="166"/>
    <s v="Wednesday"/>
    <d v="1899-12-30T20:30:22"/>
    <s v="FUTURE"/>
    <s v="SELL"/>
    <n v="-1"/>
    <s v="TO CLOSE"/>
    <x v="17"/>
    <d v="2021-03-21T00:00:00"/>
    <m/>
    <s v="FUTURE"/>
    <n v="3744"/>
    <n v="3744"/>
    <s v="LMT"/>
    <n v="0"/>
    <n v="0"/>
    <s v=""/>
    <n v="-200"/>
  </r>
  <r>
    <x v="1241"/>
    <x v="166"/>
    <s v="Wednesday"/>
    <d v="1899-12-30T13:50:20"/>
    <s v="STOCK"/>
    <s v="SELL"/>
    <n v="-100"/>
    <s v="TO OPEN"/>
    <x v="2"/>
    <m/>
    <m/>
    <s v="STOCK"/>
    <n v="18.739999999999998"/>
    <n v="18.739999999999998"/>
    <s v="LMT"/>
    <n v="-100"/>
    <n v="-1873.9999999999998"/>
    <n v="18.739999999999998"/>
    <s v=""/>
  </r>
  <r>
    <x v="1241"/>
    <x v="166"/>
    <s v="Wednesday"/>
    <d v="1899-12-30T13:50:20"/>
    <s v="STOCK"/>
    <s v="SELL"/>
    <n v="-100"/>
    <s v="TO OPEN"/>
    <x v="2"/>
    <m/>
    <m/>
    <s v="STOCK"/>
    <n v="18.739999999999998"/>
    <n v="18.739999999999998"/>
    <s v="LMT"/>
    <n v="-200"/>
    <n v="-3747.9999999999995"/>
    <n v="18.739999999999998"/>
    <s v=""/>
  </r>
  <r>
    <x v="1241"/>
    <x v="166"/>
    <s v="Wednesday"/>
    <d v="1899-12-30T14:18:42"/>
    <s v="STOCK"/>
    <s v="SELL"/>
    <n v="-100"/>
    <s v="TO OPEN"/>
    <x v="2"/>
    <m/>
    <m/>
    <s v="STOCK"/>
    <n v="19.14"/>
    <n v="19.14"/>
    <s v="LMT"/>
    <n v="-300"/>
    <n v="-5662"/>
    <n v="18.873333333333335"/>
    <s v=""/>
  </r>
  <r>
    <x v="1241"/>
    <x v="166"/>
    <s v="Wednesday"/>
    <d v="1899-12-30T15:26:20"/>
    <s v="STOCK"/>
    <s v="SELL"/>
    <n v="-100"/>
    <s v="TO OPEN"/>
    <x v="2"/>
    <m/>
    <m/>
    <s v="STOCK"/>
    <n v="19.78"/>
    <n v="19.78"/>
    <s v="LMT"/>
    <n v="-400"/>
    <n v="-7640"/>
    <n v="19.100000000000001"/>
    <s v=""/>
  </r>
  <r>
    <x v="1241"/>
    <x v="166"/>
    <s v="Wednesday"/>
    <d v="1899-12-30T19:55:58"/>
    <s v="STOCK"/>
    <s v="BUY"/>
    <n v="400"/>
    <s v="TO CLOSE"/>
    <x v="2"/>
    <m/>
    <m/>
    <s v="STOCK"/>
    <n v="20.71"/>
    <n v="20.71"/>
    <s v="LMT"/>
    <n v="0"/>
    <n v="0"/>
    <s v=""/>
    <n v="-643.99999999999977"/>
  </r>
  <r>
    <x v="1242"/>
    <x v="167"/>
    <s v="Thursday"/>
    <d v="1899-12-30T09:41:06"/>
    <s v="FUTURE"/>
    <s v="SELL"/>
    <n v="-2"/>
    <s v="TO OPEN"/>
    <x v="18"/>
    <d v="2021-03-21T00:00:00"/>
    <m/>
    <s v="FUTURE"/>
    <n v="53.32"/>
    <n v="53.32"/>
    <s v="MKT"/>
    <n v="-2"/>
    <n v="-106640"/>
    <n v="53.32"/>
    <s v=""/>
  </r>
  <r>
    <x v="1242"/>
    <x v="167"/>
    <s v="Thursday"/>
    <d v="1899-12-30T09:59:00"/>
    <s v="FUTURE"/>
    <s v="BUY"/>
    <n v="1"/>
    <s v="TO CLOSE"/>
    <x v="18"/>
    <d v="2021-03-21T00:00:00"/>
    <m/>
    <s v="FUTURE"/>
    <n v="53.17"/>
    <n v="53.17"/>
    <s v="LMT"/>
    <n v="-1"/>
    <n v="-53470"/>
    <n v="53.47"/>
    <s v=""/>
  </r>
  <r>
    <x v="1242"/>
    <x v="167"/>
    <s v="Thursday"/>
    <d v="1899-12-30T10:07:45"/>
    <s v="FUTURE"/>
    <s v="BUY"/>
    <n v="1"/>
    <s v="TO CLOSE"/>
    <x v="18"/>
    <d v="2021-03-21T00:00:00"/>
    <m/>
    <s v="FUTURE"/>
    <n v="53.29"/>
    <n v="53.29"/>
    <s v="LMT"/>
    <n v="0"/>
    <n v="0"/>
    <s v=""/>
    <n v="179.99999999999972"/>
  </r>
  <r>
    <x v="1243"/>
    <x v="167"/>
    <s v="Thursday"/>
    <d v="1899-12-30T10:57:14"/>
    <s v="FUTURE"/>
    <s v="BUY"/>
    <n v="1"/>
    <s v="TO OPEN"/>
    <x v="18"/>
    <d v="2021-03-21T00:00:00"/>
    <m/>
    <s v="FUTURE"/>
    <n v="52.78"/>
    <n v="52.78"/>
    <s v="MKT"/>
    <n v="1"/>
    <n v="52780"/>
    <n v="52.78"/>
    <s v=""/>
  </r>
  <r>
    <x v="1243"/>
    <x v="167"/>
    <s v="Thursday"/>
    <d v="1899-12-30T11:24:15"/>
    <s v="FUTURE"/>
    <s v="BUY"/>
    <n v="1"/>
    <s v="TO OPEN"/>
    <x v="18"/>
    <d v="2021-03-21T00:00:00"/>
    <m/>
    <s v="FUTURE"/>
    <n v="52.46"/>
    <n v="52.46"/>
    <s v="LMT"/>
    <n v="2"/>
    <n v="105240"/>
    <n v="52.62"/>
    <s v=""/>
  </r>
  <r>
    <x v="1243"/>
    <x v="167"/>
    <s v="Thursday"/>
    <d v="1899-12-30T11:35:37"/>
    <s v="FUTURE"/>
    <s v="SELL"/>
    <n v="-1"/>
    <s v="TO CLOSE"/>
    <x v="18"/>
    <d v="2021-03-21T00:00:00"/>
    <m/>
    <s v="FUTURE"/>
    <n v="52.56"/>
    <n v="52.56"/>
    <s v="LMT"/>
    <n v="1"/>
    <n v="52680"/>
    <n v="52.68"/>
    <s v=""/>
  </r>
  <r>
    <x v="1243"/>
    <x v="167"/>
    <s v="Thursday"/>
    <d v="1899-12-30T11:45:16"/>
    <s v="FUTURE"/>
    <s v="BUY"/>
    <n v="1"/>
    <s v="TO OPEN"/>
    <x v="18"/>
    <d v="2021-03-21T00:00:00"/>
    <m/>
    <s v="FUTURE"/>
    <n v="52.42"/>
    <n v="52.42"/>
    <s v="LMT"/>
    <n v="2"/>
    <n v="105100"/>
    <n v="52.55"/>
    <s v=""/>
  </r>
  <r>
    <x v="1243"/>
    <x v="167"/>
    <s v="Thursday"/>
    <d v="1899-12-30T12:04:38"/>
    <s v="FUTURE"/>
    <s v="SELL"/>
    <n v="-1"/>
    <s v="TO CLOSE"/>
    <x v="18"/>
    <d v="2021-03-21T00:00:00"/>
    <m/>
    <s v="FUTURE"/>
    <n v="52.53"/>
    <n v="52.53"/>
    <s v="LMT"/>
    <n v="1"/>
    <n v="52570"/>
    <n v="52.57"/>
    <s v=""/>
  </r>
  <r>
    <x v="1243"/>
    <x v="167"/>
    <s v="Thursday"/>
    <d v="1899-12-30T12:18:14"/>
    <s v="FUTURE"/>
    <s v="BUY"/>
    <n v="1"/>
    <s v="TO OPEN"/>
    <x v="18"/>
    <d v="2021-03-21T00:00:00"/>
    <m/>
    <s v="FUTURE"/>
    <n v="52.33"/>
    <n v="52.33"/>
    <s v="LMT"/>
    <n v="2"/>
    <n v="104900"/>
    <n v="52.45"/>
    <s v=""/>
  </r>
  <r>
    <x v="1243"/>
    <x v="167"/>
    <s v="Thursday"/>
    <d v="1899-12-30T12:19:19"/>
    <s v="FUTURE"/>
    <s v="SELL"/>
    <n v="-1"/>
    <s v="TO CLOSE"/>
    <x v="18"/>
    <d v="2021-03-21T00:00:00"/>
    <m/>
    <s v="FUTURE"/>
    <n v="52.42"/>
    <n v="52.42"/>
    <s v="LMT"/>
    <n v="1"/>
    <n v="52480"/>
    <n v="52.48"/>
    <s v=""/>
  </r>
  <r>
    <x v="1243"/>
    <x v="167"/>
    <s v="Thursday"/>
    <d v="1899-12-30T13:30:14"/>
    <s v="FUTURE"/>
    <s v="SELL"/>
    <n v="-1"/>
    <s v="TO CLOSE"/>
    <x v="18"/>
    <d v="2021-03-21T00:00:00"/>
    <m/>
    <s v="FUTURE"/>
    <n v="52.48"/>
    <n v="52.48"/>
    <s v="LMT"/>
    <n v="0"/>
    <n v="0"/>
    <s v=""/>
    <n v="0"/>
  </r>
  <r>
    <x v="1244"/>
    <x v="167"/>
    <s v="Thursday"/>
    <d v="1899-12-30T10:36:19"/>
    <s v="FUTURE"/>
    <s v="SELL"/>
    <n v="-1"/>
    <s v="TO OPEN"/>
    <x v="15"/>
    <d v="2021-03-21T00:00:00"/>
    <m/>
    <s v="FUTURE"/>
    <n v="3795.25"/>
    <n v="3795.25"/>
    <s v="LMT"/>
    <n v="-1"/>
    <n v="-189762.5"/>
    <n v="3795.25"/>
    <s v=""/>
  </r>
  <r>
    <x v="1244"/>
    <x v="167"/>
    <s v="Thursday"/>
    <d v="1899-12-30T10:40:52"/>
    <s v="FUTURE"/>
    <s v="BUY"/>
    <n v="1"/>
    <s v="TO CLOSE"/>
    <x v="15"/>
    <d v="2021-03-21T00:00:00"/>
    <m/>
    <s v="FUTURE"/>
    <n v="3790.75"/>
    <n v="3790.75"/>
    <s v="LMT"/>
    <n v="0"/>
    <n v="0"/>
    <s v=""/>
    <n v="225"/>
  </r>
  <r>
    <x v="1245"/>
    <x v="167"/>
    <s v="Thursday"/>
    <d v="1899-12-30T12:41:37"/>
    <s v="FUTURE"/>
    <s v="SELL"/>
    <n v="-1"/>
    <s v="TO OPEN"/>
    <x v="15"/>
    <d v="2021-03-21T00:00:00"/>
    <m/>
    <s v="FUTURE"/>
    <n v="3819.5"/>
    <n v="3819.5"/>
    <s v="LMT"/>
    <n v="-1"/>
    <n v="-190975"/>
    <n v="3819.5"/>
    <s v=""/>
  </r>
  <r>
    <x v="1245"/>
    <x v="167"/>
    <s v="Thursday"/>
    <d v="1899-12-30T12:42:24"/>
    <s v="FUTURE"/>
    <s v="BUY"/>
    <n v="1"/>
    <s v="TO CLOSE"/>
    <x v="15"/>
    <d v="2021-03-21T00:00:00"/>
    <m/>
    <s v="FUTURE"/>
    <n v="3819.25"/>
    <n v="3819.25"/>
    <s v="STP"/>
    <n v="0"/>
    <n v="0"/>
    <s v=""/>
    <n v="12.5"/>
  </r>
  <r>
    <x v="1246"/>
    <x v="167"/>
    <s v="Thursday"/>
    <d v="1899-12-30T13:05:45"/>
    <s v="FUTURE"/>
    <s v="SELL"/>
    <n v="-1"/>
    <s v="TO OPEN"/>
    <x v="15"/>
    <d v="2021-03-21T00:00:00"/>
    <m/>
    <s v="FUTURE"/>
    <n v="3819.5"/>
    <n v="3819.5"/>
    <s v="LMT"/>
    <n v="-1"/>
    <n v="-190975"/>
    <n v="3819.5"/>
    <s v=""/>
  </r>
  <r>
    <x v="1246"/>
    <x v="167"/>
    <s v="Thursday"/>
    <d v="1899-12-30T13:07:26"/>
    <s v="FUTURE"/>
    <s v="BUY"/>
    <n v="1"/>
    <s v="TO CLOSE"/>
    <x v="15"/>
    <d v="2021-03-21T00:00:00"/>
    <m/>
    <s v="FUTURE"/>
    <n v="3818.25"/>
    <n v="3818.25"/>
    <s v="LMT"/>
    <n v="0"/>
    <n v="0"/>
    <s v=""/>
    <n v="62.5"/>
  </r>
  <r>
    <x v="1247"/>
    <x v="168"/>
    <s v="Friday"/>
    <d v="1899-12-30T09:35:15"/>
    <s v="FUTURE"/>
    <s v="SELL"/>
    <n v="-1"/>
    <s v="TO OPEN"/>
    <x v="18"/>
    <d v="2021-03-21T00:00:00"/>
    <m/>
    <s v="FUTURE"/>
    <n v="52.96"/>
    <n v="52.96"/>
    <s v="LMT"/>
    <n v="-1"/>
    <n v="-52960"/>
    <n v="52.96"/>
    <s v=""/>
  </r>
  <r>
    <x v="1247"/>
    <x v="168"/>
    <s v="Friday"/>
    <d v="1899-12-30T09:39:19"/>
    <s v="FUTURE"/>
    <s v="BUY"/>
    <n v="1"/>
    <s v="TO CLOSE"/>
    <x v="18"/>
    <d v="2021-03-21T00:00:00"/>
    <m/>
    <s v="FUTURE"/>
    <n v="53.04"/>
    <n v="53.04"/>
    <s v="LMT"/>
    <n v="0"/>
    <n v="0"/>
    <s v=""/>
    <n v="-79.999999999998295"/>
  </r>
  <r>
    <x v="1248"/>
    <x v="168"/>
    <s v="Friday"/>
    <d v="1899-12-30T09:40:08"/>
    <s v="FUTURE"/>
    <s v="SELL"/>
    <n v="-2"/>
    <s v="TO OPEN"/>
    <x v="18"/>
    <d v="2021-03-21T00:00:00"/>
    <m/>
    <s v="FUTURE"/>
    <n v="52.98"/>
    <n v="52.98"/>
    <s v="MKT"/>
    <n v="-2"/>
    <n v="-105960"/>
    <n v="52.98"/>
    <s v=""/>
  </r>
  <r>
    <x v="1248"/>
    <x v="168"/>
    <s v="Friday"/>
    <d v="1899-12-30T09:41:40"/>
    <s v="FUTURE"/>
    <s v="BUY"/>
    <n v="1"/>
    <s v="TO CLOSE"/>
    <x v="18"/>
    <d v="2021-03-21T00:00:00"/>
    <m/>
    <s v="FUTURE"/>
    <n v="52.92"/>
    <n v="52.92"/>
    <s v="LMT"/>
    <n v="-1"/>
    <n v="-53040"/>
    <n v="53.04"/>
    <s v=""/>
  </r>
  <r>
    <x v="1248"/>
    <x v="168"/>
    <s v="Friday"/>
    <d v="1899-12-30T09:44:06"/>
    <s v="FUTURE"/>
    <s v="BUY"/>
    <n v="1"/>
    <s v="TO CLOSE"/>
    <x v="18"/>
    <d v="2021-03-21T00:00:00"/>
    <m/>
    <s v="FUTURE"/>
    <n v="52.99"/>
    <n v="52.99"/>
    <s v="STP"/>
    <n v="0"/>
    <n v="0"/>
    <s v=""/>
    <n v="49.999999999997158"/>
  </r>
  <r>
    <x v="1249"/>
    <x v="168"/>
    <s v="Friday"/>
    <d v="1899-12-30T09:50:09"/>
    <s v="FUTURE"/>
    <s v="SELL"/>
    <n v="-1"/>
    <s v="TO OPEN"/>
    <x v="18"/>
    <d v="2021-03-21T00:00:00"/>
    <m/>
    <s v="FUTURE"/>
    <n v="52.89"/>
    <n v="52.89"/>
    <s v="LMT"/>
    <n v="-1"/>
    <n v="-52890"/>
    <n v="52.89"/>
    <s v=""/>
  </r>
  <r>
    <x v="1249"/>
    <x v="168"/>
    <s v="Friday"/>
    <d v="1899-12-30T09:55:50"/>
    <s v="FUTURE"/>
    <s v="BUY"/>
    <n v="1"/>
    <s v="TO CLOSE"/>
    <x v="18"/>
    <d v="2021-03-21T00:00:00"/>
    <m/>
    <s v="FUTURE"/>
    <n v="53.01"/>
    <n v="53.01"/>
    <s v="STP"/>
    <n v="0"/>
    <n v="0"/>
    <s v=""/>
    <n v="-119.99999999999744"/>
  </r>
  <r>
    <x v="1250"/>
    <x v="168"/>
    <s v="Friday"/>
    <d v="1899-12-30T09:56:01"/>
    <s v="FUTURE"/>
    <s v="BUY"/>
    <n v="2"/>
    <s v="TO OPEN"/>
    <x v="18"/>
    <d v="2021-03-21T00:00:00"/>
    <m/>
    <s v="FUTURE"/>
    <n v="53.03"/>
    <n v="53.03"/>
    <s v="MKT"/>
    <n v="2"/>
    <n v="106060"/>
    <n v="53.03"/>
    <s v=""/>
  </r>
  <r>
    <x v="1250"/>
    <x v="168"/>
    <s v="Friday"/>
    <d v="1899-12-30T10:01:55"/>
    <s v="FUTURE"/>
    <s v="SELL"/>
    <n v="-2"/>
    <s v="TO CLOSE"/>
    <x v="18"/>
    <d v="2021-03-21T00:00:00"/>
    <m/>
    <s v="FUTURE"/>
    <n v="52.88"/>
    <n v="52.88"/>
    <s v="MKT"/>
    <n v="0"/>
    <n v="0"/>
    <s v=""/>
    <n v="-299.99999999999716"/>
  </r>
  <r>
    <x v="1251"/>
    <x v="168"/>
    <s v="Friday"/>
    <d v="1899-12-30T10:05:20"/>
    <s v="FUTURE"/>
    <s v="SELL"/>
    <n v="-2"/>
    <s v="TO OPEN"/>
    <x v="18"/>
    <d v="2021-03-21T00:00:00"/>
    <m/>
    <s v="FUTURE"/>
    <n v="52.86"/>
    <n v="52.86"/>
    <s v="MKT"/>
    <n v="-2"/>
    <n v="-105720"/>
    <n v="52.86"/>
    <s v=""/>
  </r>
  <r>
    <x v="1251"/>
    <x v="168"/>
    <s v="Friday"/>
    <d v="1899-12-30T10:09:53"/>
    <s v="FUTURE"/>
    <s v="BUY"/>
    <n v="2"/>
    <s v="TO CLOSE"/>
    <x v="18"/>
    <d v="2021-03-21T00:00:00"/>
    <m/>
    <s v="FUTURE"/>
    <n v="52.85"/>
    <n v="52.85"/>
    <s v="STP"/>
    <n v="0"/>
    <n v="0"/>
    <s v=""/>
    <n v="19.999999999996021"/>
  </r>
  <r>
    <x v="1252"/>
    <x v="168"/>
    <s v="Friday"/>
    <d v="1899-12-30T09:48:20"/>
    <s v="FUTURE"/>
    <s v="BUY"/>
    <n v="1"/>
    <s v="TO OPEN"/>
    <x v="15"/>
    <d v="2021-03-21T00:00:00"/>
    <m/>
    <s v="FUTURE"/>
    <n v="3744.75"/>
    <n v="3744.75"/>
    <s v="LMT"/>
    <n v="1"/>
    <n v="187237.5"/>
    <n v="3744.75"/>
    <s v=""/>
  </r>
  <r>
    <x v="1252"/>
    <x v="168"/>
    <s v="Friday"/>
    <d v="1899-12-30T09:49:07"/>
    <s v="FUTURE"/>
    <s v="SELL"/>
    <n v="-1"/>
    <s v="TO CLOSE"/>
    <x v="15"/>
    <d v="2021-03-21T00:00:00"/>
    <m/>
    <s v="FUTURE"/>
    <n v="3749.75"/>
    <n v="3749.75"/>
    <s v="LMT"/>
    <n v="0"/>
    <n v="0"/>
    <s v=""/>
    <n v="250"/>
  </r>
  <r>
    <x v="1253"/>
    <x v="168"/>
    <s v="Friday"/>
    <d v="1899-12-30T10:02:52"/>
    <s v="FUTURE"/>
    <s v="BUY"/>
    <n v="1"/>
    <s v="TO OPEN"/>
    <x v="15"/>
    <d v="2021-03-21T00:00:00"/>
    <m/>
    <s v="FUTURE"/>
    <n v="3757.5"/>
    <n v="3757.5"/>
    <s v="MKT"/>
    <n v="1"/>
    <n v="187875"/>
    <n v="3757.5"/>
    <s v=""/>
  </r>
  <r>
    <x v="1253"/>
    <x v="168"/>
    <s v="Friday"/>
    <d v="1899-12-30T10:05:13"/>
    <s v="FUTURE"/>
    <s v="SELL"/>
    <n v="-1"/>
    <s v="TO CLOSE"/>
    <x v="15"/>
    <d v="2021-03-21T00:00:00"/>
    <m/>
    <s v="FUTURE"/>
    <n v="3753.5"/>
    <n v="3753.5"/>
    <s v="STP"/>
    <n v="0"/>
    <n v="0"/>
    <s v=""/>
    <n v="-200"/>
  </r>
  <r>
    <x v="1254"/>
    <x v="169"/>
    <s v="Tuesday"/>
    <d v="1899-12-30T09:31:43"/>
    <s v="FUTURE"/>
    <s v="BUY"/>
    <n v="1"/>
    <s v="TO OPEN"/>
    <x v="18"/>
    <d v="2021-03-21T00:00:00"/>
    <m/>
    <s v="FUTURE"/>
    <n v="55.05"/>
    <n v="55.05"/>
    <s v="LMT"/>
    <n v="1"/>
    <n v="55050"/>
    <n v="55.05"/>
    <s v=""/>
  </r>
  <r>
    <x v="1254"/>
    <x v="169"/>
    <s v="Tuesday"/>
    <d v="1899-12-30T09:35:02"/>
    <s v="FUTURE"/>
    <s v="SELL"/>
    <n v="-1"/>
    <s v="TO CLOSE"/>
    <x v="18"/>
    <d v="2021-03-21T00:00:00"/>
    <m/>
    <s v="FUTURE"/>
    <n v="55.15"/>
    <n v="55.15"/>
    <s v="LMT"/>
    <n v="0"/>
    <n v="0"/>
    <s v=""/>
    <n v="100.00000000000142"/>
  </r>
  <r>
    <x v="1255"/>
    <x v="169"/>
    <s v="Tuesday"/>
    <d v="1899-12-30T09:37:28"/>
    <s v="FUTURE"/>
    <s v="SELL"/>
    <n v="-1"/>
    <s v="TO OPEN"/>
    <x v="18"/>
    <d v="2021-03-21T00:00:00"/>
    <m/>
    <s v="FUTURE"/>
    <n v="55.01"/>
    <n v="55.01"/>
    <s v="LMT"/>
    <n v="-1"/>
    <n v="-55010"/>
    <n v="55.01"/>
    <s v=""/>
  </r>
  <r>
    <x v="1255"/>
    <x v="169"/>
    <s v="Tuesday"/>
    <d v="1899-12-30T09:47:57"/>
    <s v="FUTURE"/>
    <s v="BUY"/>
    <n v="1"/>
    <s v="TO CLOSE"/>
    <x v="18"/>
    <d v="2021-03-21T00:00:00"/>
    <m/>
    <s v="FUTURE"/>
    <n v="54.83"/>
    <n v="54.83"/>
    <s v="LMT"/>
    <n v="0"/>
    <n v="0"/>
    <s v=""/>
    <n v="179.99999999999972"/>
  </r>
  <r>
    <x v="1256"/>
    <x v="169"/>
    <s v="Tuesday"/>
    <d v="1899-12-30T10:31:26"/>
    <s v="FUTURE"/>
    <s v="SELL"/>
    <n v="-1"/>
    <s v="TO OPEN"/>
    <x v="18"/>
    <d v="2021-03-21T00:00:00"/>
    <m/>
    <s v="FUTURE"/>
    <n v="54.98"/>
    <n v="54.98"/>
    <s v="LMT"/>
    <n v="-1"/>
    <n v="-54980"/>
    <n v="54.98"/>
    <s v=""/>
  </r>
  <r>
    <x v="1256"/>
    <x v="169"/>
    <s v="Tuesday"/>
    <d v="1899-12-30T10:41:34"/>
    <s v="FUTURE"/>
    <s v="BUY"/>
    <n v="1"/>
    <s v="TO CLOSE"/>
    <x v="18"/>
    <d v="2021-03-21T00:00:00"/>
    <m/>
    <s v="FUTURE"/>
    <n v="54.98"/>
    <n v="54.98"/>
    <s v="STP"/>
    <n v="0"/>
    <n v="0"/>
    <s v=""/>
    <n v="0"/>
  </r>
  <r>
    <x v="1257"/>
    <x v="169"/>
    <s v="Tuesday"/>
    <d v="1899-12-30T10:53:08"/>
    <s v="FUTURE"/>
    <s v="SELL"/>
    <n v="-1"/>
    <s v="TO OPEN"/>
    <x v="18"/>
    <d v="2021-03-21T00:00:00"/>
    <m/>
    <s v="FUTURE"/>
    <n v="55.01"/>
    <n v="55.01"/>
    <s v="LMT"/>
    <n v="-1"/>
    <n v="-55010"/>
    <n v="55.01"/>
    <s v=""/>
  </r>
  <r>
    <x v="1257"/>
    <x v="169"/>
    <s v="Tuesday"/>
    <d v="1899-12-30T11:23:03"/>
    <s v="FUTURE"/>
    <s v="BUY"/>
    <n v="1"/>
    <s v="TO CLOSE"/>
    <x v="18"/>
    <d v="2021-03-21T00:00:00"/>
    <m/>
    <s v="FUTURE"/>
    <n v="54.88"/>
    <n v="54.88"/>
    <s v="LMT"/>
    <n v="0"/>
    <n v="0"/>
    <s v=""/>
    <n v="129.99999999999545"/>
  </r>
  <r>
    <x v="1258"/>
    <x v="169"/>
    <s v="Tuesday"/>
    <d v="1899-12-30T11:00:15"/>
    <s v="FUTURE"/>
    <s v="SELL"/>
    <n v="-1"/>
    <s v="TO OPEN"/>
    <x v="15"/>
    <d v="2021-03-21T00:00:00"/>
    <m/>
    <s v="FUTURE"/>
    <n v="3824"/>
    <n v="3824"/>
    <s v="LMT"/>
    <n v="-1"/>
    <n v="-191200"/>
    <n v="3824"/>
    <s v=""/>
  </r>
  <r>
    <x v="1258"/>
    <x v="169"/>
    <s v="Tuesday"/>
    <d v="1899-12-30T11:05:44"/>
    <s v="FUTURE"/>
    <s v="BUY"/>
    <n v="1"/>
    <s v="TO CLOSE"/>
    <x v="15"/>
    <d v="2021-03-21T00:00:00"/>
    <m/>
    <s v="FUTURE"/>
    <n v="3828"/>
    <n v="3828"/>
    <s v="STP"/>
    <n v="0"/>
    <n v="0"/>
    <s v=""/>
    <n v="-200"/>
  </r>
  <r>
    <x v="1259"/>
    <x v="169"/>
    <s v="Tuesday"/>
    <d v="1899-12-30T11:17:41"/>
    <s v="FUTURE"/>
    <s v="SELL"/>
    <n v="-1"/>
    <s v="TO OPEN"/>
    <x v="15"/>
    <d v="2021-03-21T00:00:00"/>
    <m/>
    <s v="FUTURE"/>
    <n v="3830"/>
    <n v="3830"/>
    <s v="LMT"/>
    <n v="-1"/>
    <n v="-191500"/>
    <n v="3830"/>
    <s v=""/>
  </r>
  <r>
    <x v="1259"/>
    <x v="169"/>
    <s v="Tuesday"/>
    <d v="1899-12-30T11:26:03"/>
    <s v="FUTURE"/>
    <s v="BUY"/>
    <n v="1"/>
    <s v="TO CLOSE"/>
    <x v="15"/>
    <d v="2021-03-21T00:00:00"/>
    <m/>
    <s v="FUTURE"/>
    <n v="3830"/>
    <n v="3830"/>
    <s v="STP"/>
    <n v="0"/>
    <n v="0"/>
    <s v=""/>
    <n v="0"/>
  </r>
  <r>
    <x v="1260"/>
    <x v="169"/>
    <s v="Tuesday"/>
    <d v="1899-12-30T11:28:13"/>
    <s v="FUTURE"/>
    <s v="SELL"/>
    <n v="-1"/>
    <s v="TO OPEN"/>
    <x v="15"/>
    <d v="2021-03-21T00:00:00"/>
    <m/>
    <s v="FUTURE"/>
    <n v="3829"/>
    <n v="3829"/>
    <s v="LMT"/>
    <n v="-1"/>
    <n v="-191450"/>
    <n v="3829"/>
    <s v=""/>
  </r>
  <r>
    <x v="1260"/>
    <x v="169"/>
    <s v="Tuesday"/>
    <d v="1899-12-30T11:31:29"/>
    <s v="FUTURE"/>
    <s v="BUY"/>
    <n v="1"/>
    <s v="TO CLOSE"/>
    <x v="15"/>
    <d v="2021-03-21T00:00:00"/>
    <m/>
    <s v="FUTURE"/>
    <n v="3829"/>
    <n v="3829"/>
    <s v="STP"/>
    <n v="0"/>
    <n v="0"/>
    <s v=""/>
    <n v="0"/>
  </r>
  <r>
    <x v="1261"/>
    <x v="169"/>
    <s v="Tuesday"/>
    <d v="1899-12-30T11:40:47"/>
    <s v="FUTURE"/>
    <s v="SELL"/>
    <n v="-1"/>
    <s v="TO OPEN"/>
    <x v="15"/>
    <d v="2021-03-21T00:00:00"/>
    <m/>
    <s v="FUTURE"/>
    <n v="3831"/>
    <n v="3831"/>
    <s v="LMT"/>
    <n v="-1"/>
    <n v="-191550"/>
    <n v="3831"/>
    <s v=""/>
  </r>
  <r>
    <x v="1261"/>
    <x v="169"/>
    <s v="Tuesday"/>
    <d v="1899-12-30T13:23:00"/>
    <s v="FUTURE"/>
    <s v="BUY"/>
    <n v="1"/>
    <s v="TO CLOSE"/>
    <x v="15"/>
    <d v="2021-03-21T00:00:00"/>
    <m/>
    <s v="FUTURE"/>
    <n v="3826.25"/>
    <n v="3826.25"/>
    <s v="LMT"/>
    <n v="0"/>
    <n v="0"/>
    <s v=""/>
    <n v="237.5"/>
  </r>
  <r>
    <x v="1262"/>
    <x v="170"/>
    <s v="Wednesday"/>
    <d v="1899-12-30T09:48:07"/>
    <s v="FUTURE"/>
    <s v="SELL"/>
    <n v="-2"/>
    <s v="TO OPEN"/>
    <x v="18"/>
    <d v="2021-03-21T00:00:00"/>
    <m/>
    <s v="FUTURE"/>
    <n v="55.67"/>
    <n v="55.67"/>
    <s v="MKT"/>
    <n v="-2"/>
    <n v="-111340"/>
    <n v="55.67"/>
    <s v=""/>
  </r>
  <r>
    <x v="1262"/>
    <x v="170"/>
    <s v="Wednesday"/>
    <d v="1899-12-30T10:29:58"/>
    <s v="FUTURE"/>
    <s v="BUY"/>
    <n v="1"/>
    <s v="TO CLOSE"/>
    <x v="18"/>
    <d v="2021-03-21T00:00:00"/>
    <m/>
    <s v="FUTURE"/>
    <n v="55.87"/>
    <n v="55.87"/>
    <s v="LMT"/>
    <n v="-1"/>
    <n v="-55470"/>
    <n v="55.47"/>
    <s v=""/>
  </r>
  <r>
    <x v="1262"/>
    <x v="170"/>
    <s v="Wednesday"/>
    <d v="1899-12-30T10:45:07"/>
    <s v="FUTURE"/>
    <s v="SELL"/>
    <n v="-1"/>
    <s v="TO OPEN"/>
    <x v="18"/>
    <d v="2021-03-21T00:00:00"/>
    <m/>
    <s v="FUTURE"/>
    <n v="56.07"/>
    <n v="56.07"/>
    <s v="LMT"/>
    <n v="-2"/>
    <n v="-111540"/>
    <n v="55.77"/>
    <s v=""/>
  </r>
  <r>
    <x v="1262"/>
    <x v="170"/>
    <s v="Wednesday"/>
    <d v="1899-12-30T11:14:11"/>
    <s v="FUTURE"/>
    <s v="BUY"/>
    <n v="1"/>
    <s v="TO CLOSE"/>
    <x v="18"/>
    <d v="2021-03-21T00:00:00"/>
    <m/>
    <s v="FUTURE"/>
    <n v="55.91"/>
    <n v="55.91"/>
    <s v="LMT"/>
    <n v="-1"/>
    <n v="-55630"/>
    <n v="55.63"/>
    <s v=""/>
  </r>
  <r>
    <x v="1262"/>
    <x v="170"/>
    <s v="Wednesday"/>
    <d v="1899-12-30T11:34:13"/>
    <s v="FUTURE"/>
    <s v="SELL"/>
    <n v="-1"/>
    <s v="TO OPEN"/>
    <x v="18"/>
    <d v="2021-03-21T00:00:00"/>
    <m/>
    <s v="FUTURE"/>
    <n v="56.07"/>
    <n v="56.07"/>
    <s v="LMT"/>
    <n v="-2"/>
    <n v="-111700"/>
    <n v="55.85"/>
    <s v=""/>
  </r>
  <r>
    <x v="1262"/>
    <x v="170"/>
    <s v="Wednesday"/>
    <d v="1899-12-30T12:56:30"/>
    <s v="FUTURE"/>
    <s v="BUY"/>
    <n v="1"/>
    <s v="TO CLOSE"/>
    <x v="18"/>
    <d v="2021-03-21T00:00:00"/>
    <m/>
    <s v="FUTURE"/>
    <n v="55.92"/>
    <n v="55.92"/>
    <s v="LMT"/>
    <n v="-1"/>
    <n v="-55780"/>
    <n v="55.78"/>
    <s v=""/>
  </r>
  <r>
    <x v="1262"/>
    <x v="170"/>
    <s v="Wednesday"/>
    <d v="1899-12-30T13:02:20"/>
    <s v="FUTURE"/>
    <s v="BUY"/>
    <n v="1"/>
    <s v="TO CLOSE"/>
    <x v="18"/>
    <d v="2021-03-21T00:00:00"/>
    <m/>
    <s v="FUTURE"/>
    <n v="55.78"/>
    <n v="55.78"/>
    <s v="LMT"/>
    <n v="0"/>
    <n v="0"/>
    <s v=""/>
    <n v="0"/>
  </r>
  <r>
    <x v="1263"/>
    <x v="170"/>
    <s v="Wednesday"/>
    <d v="1899-12-30T09:36:20"/>
    <s v="FUTURE"/>
    <s v="SELL"/>
    <n v="-1"/>
    <s v="TO OPEN"/>
    <x v="15"/>
    <d v="2021-03-21T00:00:00"/>
    <m/>
    <s v="FUTURE"/>
    <n v="3826.25"/>
    <n v="3826.25"/>
    <s v="LMT"/>
    <n v="-1"/>
    <n v="-191312.5"/>
    <n v="3826.25"/>
    <s v=""/>
  </r>
  <r>
    <x v="1263"/>
    <x v="170"/>
    <s v="Wednesday"/>
    <d v="1899-12-30T09:37:35"/>
    <s v="FUTURE"/>
    <s v="BUY"/>
    <n v="1"/>
    <s v="TO CLOSE"/>
    <x v="15"/>
    <d v="2021-03-21T00:00:00"/>
    <m/>
    <s v="FUTURE"/>
    <n v="3826"/>
    <n v="3826"/>
    <s v="STP"/>
    <n v="0"/>
    <n v="0"/>
    <s v=""/>
    <n v="12.5"/>
  </r>
  <r>
    <x v="1264"/>
    <x v="170"/>
    <s v="Wednesday"/>
    <d v="1899-12-30T09:43:04"/>
    <s v="FUTURE"/>
    <s v="BUY"/>
    <n v="1"/>
    <s v="TO OPEN"/>
    <x v="15"/>
    <d v="2021-03-21T00:00:00"/>
    <m/>
    <s v="FUTURE"/>
    <n v="3826.25"/>
    <n v="3826.25"/>
    <s v="LMT"/>
    <n v="1"/>
    <n v="191312.5"/>
    <n v="3826.25"/>
    <s v=""/>
  </r>
  <r>
    <x v="1264"/>
    <x v="170"/>
    <s v="Wednesday"/>
    <d v="1899-12-30T09:46:57"/>
    <s v="FUTURE"/>
    <s v="SELL"/>
    <n v="-1"/>
    <s v="TO CLOSE"/>
    <x v="15"/>
    <d v="2021-03-21T00:00:00"/>
    <m/>
    <s v="FUTURE"/>
    <n v="3822.5"/>
    <n v="3822.5"/>
    <s v="STP"/>
    <n v="0"/>
    <n v="0"/>
    <s v=""/>
    <n v="-187.5"/>
  </r>
  <r>
    <x v="1265"/>
    <x v="170"/>
    <s v="Wednesday"/>
    <d v="1899-12-30T10:34:53"/>
    <s v="FUTURE"/>
    <s v="BUY"/>
    <n v="1"/>
    <s v="TO OPEN"/>
    <x v="15"/>
    <d v="2021-03-21T00:00:00"/>
    <m/>
    <s v="FUTURE"/>
    <n v="3812.75"/>
    <n v="3812.75"/>
    <s v="LMT"/>
    <n v="1"/>
    <n v="190637.5"/>
    <n v="3812.75"/>
    <s v=""/>
  </r>
  <r>
    <x v="1265"/>
    <x v="170"/>
    <s v="Wednesday"/>
    <d v="1899-12-30T10:38:06"/>
    <s v="FUTURE"/>
    <s v="SELL"/>
    <n v="-1"/>
    <s v="TO CLOSE"/>
    <x v="15"/>
    <d v="2021-03-21T00:00:00"/>
    <m/>
    <s v="FUTURE"/>
    <n v="3808.25"/>
    <n v="3808.25"/>
    <s v="STP"/>
    <n v="0"/>
    <n v="0"/>
    <s v=""/>
    <n v="-225"/>
  </r>
  <r>
    <x v="1266"/>
    <x v="170"/>
    <s v="Wednesday"/>
    <d v="1899-12-30T10:39:11"/>
    <s v="FUTURE"/>
    <s v="BUY"/>
    <n v="1"/>
    <s v="TO OPEN"/>
    <x v="15"/>
    <d v="2021-03-21T00:00:00"/>
    <m/>
    <s v="FUTURE"/>
    <n v="3811.5"/>
    <n v="3811.5"/>
    <s v="LMT"/>
    <n v="1"/>
    <n v="190575"/>
    <n v="3811.5"/>
    <s v=""/>
  </r>
  <r>
    <x v="1266"/>
    <x v="170"/>
    <s v="Wednesday"/>
    <d v="1899-12-30T10:42:53"/>
    <s v="FUTURE"/>
    <s v="SELL"/>
    <n v="-1"/>
    <s v="TO CLOSE"/>
    <x v="15"/>
    <d v="2021-03-21T00:00:00"/>
    <m/>
    <s v="FUTURE"/>
    <n v="3818.25"/>
    <n v="3818.25"/>
    <s v="LMT"/>
    <n v="0"/>
    <n v="0"/>
    <s v=""/>
    <n v="337.5"/>
  </r>
  <r>
    <x v="1267"/>
    <x v="170"/>
    <s v="Wednesday"/>
    <d v="1899-12-30T11:20:16"/>
    <s v="FUTURE"/>
    <s v="BUY"/>
    <n v="1"/>
    <s v="TO OPEN"/>
    <x v="15"/>
    <d v="2021-03-21T00:00:00"/>
    <m/>
    <s v="FUTURE"/>
    <n v="3820.5"/>
    <n v="3820.5"/>
    <s v="LMT"/>
    <n v="1"/>
    <n v="191025"/>
    <n v="3820.5"/>
    <s v=""/>
  </r>
  <r>
    <x v="1267"/>
    <x v="170"/>
    <s v="Wednesday"/>
    <d v="1899-12-30T11:20:48"/>
    <s v="FUTURE"/>
    <s v="SELL"/>
    <n v="-1"/>
    <s v="TO CLOSE"/>
    <x v="15"/>
    <d v="2021-03-21T00:00:00"/>
    <m/>
    <s v="FUTURE"/>
    <n v="3823.75"/>
    <n v="3823.75"/>
    <s v="LMT"/>
    <n v="0"/>
    <n v="0"/>
    <s v=""/>
    <n v="162.5"/>
  </r>
  <r>
    <x v="1268"/>
    <x v="170"/>
    <s v="Wednesday"/>
    <d v="1899-12-30T11:25:33"/>
    <s v="STOCK"/>
    <s v="SELL"/>
    <n v="-200"/>
    <s v="TO OPEN"/>
    <x v="2"/>
    <m/>
    <m/>
    <s v="STOCK"/>
    <n v="17.63"/>
    <n v="17.63"/>
    <s v="LMT"/>
    <n v="-200"/>
    <n v="-3526"/>
    <n v="17.63"/>
    <s v=""/>
  </r>
  <r>
    <x v="1268"/>
    <x v="170"/>
    <s v="Wednesday"/>
    <d v="1899-12-30T11:47:31"/>
    <s v="STOCK"/>
    <s v="BUY"/>
    <n v="100"/>
    <s v="TO CLOSE"/>
    <x v="2"/>
    <m/>
    <m/>
    <s v="STOCK"/>
    <n v="17.504999999999999"/>
    <n v="17.504999999999999"/>
    <s v="LMT"/>
    <n v="-100"/>
    <n v="-1775.5"/>
    <n v="17.754999999999999"/>
    <s v=""/>
  </r>
  <r>
    <x v="1268"/>
    <x v="170"/>
    <s v="Wednesday"/>
    <d v="1899-12-30T11:58:47"/>
    <s v="STOCK"/>
    <s v="BUY"/>
    <n v="100"/>
    <s v="TO CLOSE"/>
    <x v="2"/>
    <m/>
    <m/>
    <s v="STOCK"/>
    <n v="17.454999999999998"/>
    <n v="17.454999999999998"/>
    <s v="MKT"/>
    <n v="0"/>
    <n v="0"/>
    <s v=""/>
    <n v="30.000000000000071"/>
  </r>
  <r>
    <x v="1269"/>
    <x v="171"/>
    <s v="Thursday"/>
    <d v="1899-12-30T08:58:41"/>
    <s v="FUTURE"/>
    <s v="SELL"/>
    <n v="-1"/>
    <s v="TO OPEN"/>
    <x v="18"/>
    <d v="2021-03-21T00:00:00"/>
    <m/>
    <s v="FUTURE"/>
    <n v="56.06"/>
    <n v="56.06"/>
    <s v="LMT"/>
    <n v="-1"/>
    <n v="-56060"/>
    <n v="56.06"/>
    <s v=""/>
  </r>
  <r>
    <x v="1269"/>
    <x v="171"/>
    <s v="Thursday"/>
    <d v="1899-12-30T09:03:06"/>
    <s v="FUTURE"/>
    <s v="BUY"/>
    <n v="1"/>
    <s v="TO CLOSE"/>
    <x v="18"/>
    <d v="2021-03-21T00:00:00"/>
    <m/>
    <s v="FUTURE"/>
    <n v="55.93"/>
    <n v="55.93"/>
    <s v="LMT"/>
    <n v="0"/>
    <n v="0"/>
    <s v=""/>
    <n v="130.00000000000256"/>
  </r>
  <r>
    <x v="1270"/>
    <x v="171"/>
    <s v="Thursday"/>
    <d v="1899-12-30T09:29:31"/>
    <s v="FUTURE"/>
    <s v="SELL"/>
    <n v="-1"/>
    <s v="TO OPEN"/>
    <x v="18"/>
    <d v="2021-03-21T00:00:00"/>
    <m/>
    <s v="FUTURE"/>
    <n v="55.96"/>
    <n v="55.96"/>
    <s v="LMT"/>
    <n v="-1"/>
    <n v="-55960"/>
    <n v="55.96"/>
    <s v=""/>
  </r>
  <r>
    <x v="1270"/>
    <x v="171"/>
    <s v="Thursday"/>
    <d v="1899-12-30T09:42:07"/>
    <s v="FUTURE"/>
    <s v="BUY"/>
    <n v="1"/>
    <s v="TO CLOSE"/>
    <x v="18"/>
    <d v="2021-03-21T00:00:00"/>
    <m/>
    <s v="FUTURE"/>
    <n v="55.78"/>
    <n v="55.78"/>
    <s v="LMT"/>
    <n v="0"/>
    <n v="0"/>
    <s v=""/>
    <n v="179.99999999999972"/>
  </r>
  <r>
    <x v="1271"/>
    <x v="171"/>
    <s v="Thursday"/>
    <d v="1899-12-30T11:59:55"/>
    <s v="FUTURE"/>
    <s v="SELL"/>
    <n v="-1"/>
    <s v="TO OPEN"/>
    <x v="18"/>
    <d v="2021-03-21T00:00:00"/>
    <m/>
    <s v="FUTURE"/>
    <n v="55.98"/>
    <n v="55.98"/>
    <s v="LMT"/>
    <n v="-1"/>
    <n v="-55980"/>
    <n v="55.98"/>
    <s v=""/>
  </r>
  <r>
    <x v="1271"/>
    <x v="171"/>
    <s v="Thursday"/>
    <d v="1899-12-30T16:06:06"/>
    <s v="FUTURE"/>
    <s v="BUY"/>
    <n v="1"/>
    <s v="TO CLOSE"/>
    <x v="18"/>
    <d v="2021-03-21T00:00:00"/>
    <m/>
    <s v="FUTURE"/>
    <n v="56.36"/>
    <n v="56.36"/>
    <s v="MKT"/>
    <n v="0"/>
    <n v="0"/>
    <s v=""/>
    <n v="-380.00000000000256"/>
  </r>
  <r>
    <x v="1272"/>
    <x v="171"/>
    <s v="Thursday"/>
    <d v="1899-12-30T09:45:55"/>
    <s v="FUTURE"/>
    <s v="SELL"/>
    <n v="-1"/>
    <s v="TO OPEN"/>
    <x v="15"/>
    <d v="2021-03-21T00:00:00"/>
    <m/>
    <s v="FUTURE"/>
    <n v="3833"/>
    <n v="3833"/>
    <s v="LMT"/>
    <n v="-1"/>
    <n v="-191650"/>
    <n v="3833"/>
    <s v=""/>
  </r>
  <r>
    <x v="1272"/>
    <x v="171"/>
    <s v="Thursday"/>
    <d v="1899-12-30T16:05:59"/>
    <s v="FUTURE"/>
    <s v="BUY"/>
    <n v="1"/>
    <s v="TO CLOSE"/>
    <x v="15"/>
    <d v="2021-03-21T00:00:00"/>
    <m/>
    <s v="FUTURE"/>
    <n v="3866.75"/>
    <n v="3866.75"/>
    <s v="MKT"/>
    <n v="0"/>
    <n v="0"/>
    <s v=""/>
    <n v="-1687.5"/>
  </r>
  <r>
    <x v="1273"/>
    <x v="172"/>
    <s v="Monday"/>
    <d v="1899-12-30T08:43:07"/>
    <s v="FUTURE"/>
    <s v="SELL"/>
    <n v="-1"/>
    <s v="TO OPEN"/>
    <x v="18"/>
    <d v="2021-03-21T00:00:00"/>
    <m/>
    <s v="FUTURE"/>
    <n v="57.56"/>
    <n v="57.56"/>
    <s v="LMT"/>
    <n v="-1"/>
    <n v="-57560"/>
    <n v="57.56"/>
    <s v=""/>
  </r>
  <r>
    <x v="1273"/>
    <x v="172"/>
    <s v="Monday"/>
    <d v="1899-12-30T09:28:19"/>
    <s v="FUTURE"/>
    <s v="BUY"/>
    <n v="1"/>
    <s v="TO CLOSE"/>
    <x v="18"/>
    <d v="2021-03-21T00:00:00"/>
    <m/>
    <s v="FUTURE"/>
    <n v="57.36"/>
    <n v="57.36"/>
    <s v="LMT"/>
    <n v="0"/>
    <n v="0"/>
    <s v=""/>
    <n v="200.00000000000284"/>
  </r>
  <r>
    <x v="1274"/>
    <x v="172"/>
    <s v="Monday"/>
    <d v="1899-12-30T10:00:10"/>
    <s v="FUTURE"/>
    <s v="SELL"/>
    <n v="-1"/>
    <s v="TO OPEN"/>
    <x v="18"/>
    <d v="2021-03-21T00:00:00"/>
    <m/>
    <s v="FUTURE"/>
    <n v="57.7"/>
    <n v="57.7"/>
    <s v="LMT"/>
    <n v="-1"/>
    <n v="-57700"/>
    <n v="57.7"/>
    <s v=""/>
  </r>
  <r>
    <x v="1274"/>
    <x v="172"/>
    <s v="Monday"/>
    <d v="1899-12-30T10:20:58"/>
    <s v="FUTURE"/>
    <s v="SELL"/>
    <n v="-1"/>
    <s v="TO OPEN"/>
    <x v="18"/>
    <d v="2021-03-21T00:00:00"/>
    <m/>
    <s v="FUTURE"/>
    <n v="57.82"/>
    <n v="57.82"/>
    <s v="LMT"/>
    <n v="-2"/>
    <n v="-115520"/>
    <n v="57.76"/>
    <s v=""/>
  </r>
  <r>
    <x v="1274"/>
    <x v="172"/>
    <s v="Monday"/>
    <d v="1899-12-30T10:57:00"/>
    <s v="FUTURE"/>
    <s v="BUY"/>
    <n v="1"/>
    <s v="TO CLOSE"/>
    <x v="18"/>
    <d v="2021-03-21T00:00:00"/>
    <m/>
    <s v="FUTURE"/>
    <n v="57.73"/>
    <n v="57.73"/>
    <s v="LMT"/>
    <n v="-1"/>
    <n v="-57790"/>
    <n v="57.79"/>
    <s v=""/>
  </r>
  <r>
    <x v="1274"/>
    <x v="172"/>
    <s v="Monday"/>
    <d v="1899-12-30T11:16:55"/>
    <s v="FUTURE"/>
    <s v="BUY"/>
    <n v="1"/>
    <s v="TO CLOSE"/>
    <x v="18"/>
    <d v="2021-03-21T00:00:00"/>
    <m/>
    <s v="FUTURE"/>
    <n v="57.67"/>
    <n v="57.67"/>
    <s v="LMT"/>
    <n v="0"/>
    <n v="0"/>
    <s v=""/>
    <n v="119.99999999999744"/>
  </r>
  <r>
    <x v="1275"/>
    <x v="172"/>
    <s v="Monday"/>
    <d v="1899-12-30T09:27:03"/>
    <s v="FUTURE"/>
    <s v="BUY"/>
    <n v="1"/>
    <s v="TO OPEN"/>
    <x v="15"/>
    <d v="2021-03-21T00:00:00"/>
    <m/>
    <s v="FUTURE"/>
    <n v="3897"/>
    <n v="3897"/>
    <s v="LMT"/>
    <n v="1"/>
    <n v="194850"/>
    <n v="3897"/>
    <s v=""/>
  </r>
  <r>
    <x v="1275"/>
    <x v="172"/>
    <s v="Monday"/>
    <d v="1899-12-30T09:50:19"/>
    <s v="FUTURE"/>
    <s v="SELL"/>
    <n v="-1"/>
    <s v="TO CLOSE"/>
    <x v="15"/>
    <d v="2021-03-21T00:00:00"/>
    <m/>
    <s v="FUTURE"/>
    <n v="3901"/>
    <n v="3901"/>
    <s v="LMT"/>
    <n v="0"/>
    <n v="0"/>
    <s v=""/>
    <n v="200"/>
  </r>
  <r>
    <x v="1276"/>
    <x v="173"/>
    <s v="Tuesday"/>
    <d v="1899-12-30T09:45:44"/>
    <s v="FUTURE"/>
    <s v="BUY"/>
    <n v="1"/>
    <s v="TO OPEN"/>
    <x v="18"/>
    <d v="2021-03-21T00:00:00"/>
    <m/>
    <s v="FUTURE"/>
    <n v="57.56"/>
    <n v="57.56"/>
    <s v="LMT"/>
    <n v="1"/>
    <n v="57560"/>
    <n v="57.56"/>
    <s v=""/>
  </r>
  <r>
    <x v="1276"/>
    <x v="173"/>
    <s v="Tuesday"/>
    <d v="1899-12-30T09:46:59"/>
    <s v="FUTURE"/>
    <s v="SELL"/>
    <n v="-1"/>
    <s v="TO CLOSE"/>
    <x v="18"/>
    <d v="2021-03-21T00:00:00"/>
    <m/>
    <s v="FUTURE"/>
    <n v="57.72"/>
    <n v="57.72"/>
    <s v="LMT"/>
    <n v="0"/>
    <n v="0"/>
    <s v=""/>
    <n v="159.99999999999659"/>
  </r>
  <r>
    <x v="1277"/>
    <x v="173"/>
    <s v="Tuesday"/>
    <d v="1899-12-30T12:30:55"/>
    <s v="FUTURE"/>
    <s v="SELL"/>
    <n v="-1"/>
    <s v="TO OPEN"/>
    <x v="18"/>
    <d v="2021-03-21T00:00:00"/>
    <m/>
    <s v="FUTURE"/>
    <n v="58.34"/>
    <n v="58.34"/>
    <s v="LMT"/>
    <n v="-1"/>
    <n v="-58340"/>
    <n v="58.34"/>
    <s v=""/>
  </r>
  <r>
    <x v="1277"/>
    <x v="173"/>
    <s v="Tuesday"/>
    <d v="1899-12-30T13:03:49"/>
    <s v="FUTURE"/>
    <s v="BUY"/>
    <n v="1"/>
    <s v="TO CLOSE"/>
    <x v="18"/>
    <d v="2021-03-21T00:00:00"/>
    <m/>
    <s v="FUTURE"/>
    <n v="58.28"/>
    <n v="58.28"/>
    <s v="LMT"/>
    <n v="0"/>
    <n v="0"/>
    <s v=""/>
    <n v="60.000000000002274"/>
  </r>
  <r>
    <x v="1278"/>
    <x v="173"/>
    <s v="Tuesday"/>
    <d v="1899-12-30T09:42:04"/>
    <s v="FUTURE"/>
    <s v="SELL"/>
    <n v="-1"/>
    <s v="TO OPEN"/>
    <x v="15"/>
    <d v="2021-03-21T00:00:00"/>
    <m/>
    <s v="FUTURE"/>
    <n v="3897"/>
    <n v="3897"/>
    <s v="LMT"/>
    <n v="-1"/>
    <n v="-194850"/>
    <n v="3897"/>
    <s v=""/>
  </r>
  <r>
    <x v="1278"/>
    <x v="173"/>
    <s v="Tuesday"/>
    <d v="1899-12-30T15:23:55"/>
    <s v="FUTURE"/>
    <s v="BUY"/>
    <n v="1"/>
    <s v="TO CLOSE"/>
    <x v="15"/>
    <d v="2021-03-21T00:00:00"/>
    <m/>
    <s v="FUTURE"/>
    <n v="3908.5"/>
    <n v="3908.5"/>
    <s v="LMT"/>
    <n v="0"/>
    <n v="0"/>
    <s v=""/>
    <n v="-575"/>
  </r>
  <r>
    <x v="1279"/>
    <x v="174"/>
    <s v="Wednesday"/>
    <d v="1899-12-30T09:00:06"/>
    <s v="FUTURE"/>
    <s v="SELL"/>
    <n v="-1"/>
    <s v="TO OPEN"/>
    <x v="18"/>
    <d v="2021-03-21T00:00:00"/>
    <m/>
    <s v="FUTURE"/>
    <n v="58.58"/>
    <n v="58.58"/>
    <s v="LMT"/>
    <n v="-1"/>
    <n v="-58580"/>
    <n v="58.58"/>
    <s v=""/>
  </r>
  <r>
    <x v="1279"/>
    <x v="174"/>
    <s v="Wednesday"/>
    <d v="1899-12-30T09:07:04"/>
    <s v="FUTURE"/>
    <s v="BUY"/>
    <n v="1"/>
    <s v="TO CLOSE"/>
    <x v="18"/>
    <d v="2021-03-21T00:00:00"/>
    <m/>
    <s v="FUTURE"/>
    <n v="58.46"/>
    <n v="58.46"/>
    <s v="LMT"/>
    <n v="0"/>
    <n v="0"/>
    <s v=""/>
    <n v="119.99999999999744"/>
  </r>
  <r>
    <x v="1280"/>
    <x v="174"/>
    <s v="Wednesday"/>
    <d v="1899-12-30T09:30:22"/>
    <s v="FUTURE"/>
    <s v="SELL"/>
    <n v="-1"/>
    <s v="TO OPEN"/>
    <x v="18"/>
    <d v="2021-03-21T00:00:00"/>
    <m/>
    <s v="FUTURE"/>
    <n v="58.47"/>
    <n v="58.47"/>
    <s v="LMT"/>
    <n v="-1"/>
    <n v="-58470"/>
    <n v="58.47"/>
    <s v=""/>
  </r>
  <r>
    <x v="1280"/>
    <x v="174"/>
    <s v="Wednesday"/>
    <d v="1899-12-30T09:31:16"/>
    <s v="FUTURE"/>
    <s v="BUY"/>
    <n v="1"/>
    <s v="TO CLOSE"/>
    <x v="18"/>
    <d v="2021-03-21T00:00:00"/>
    <m/>
    <s v="FUTURE"/>
    <n v="58.41"/>
    <n v="58.41"/>
    <s v="LMT"/>
    <n v="0"/>
    <n v="0"/>
    <s v=""/>
    <n v="60.000000000002274"/>
  </r>
  <r>
    <x v="1281"/>
    <x v="174"/>
    <s v="Wednesday"/>
    <d v="1899-12-30T10:29:33"/>
    <s v="FUTURE"/>
    <s v="SELL"/>
    <n v="-1"/>
    <s v="TO OPEN"/>
    <x v="18"/>
    <d v="2021-03-21T00:00:00"/>
    <m/>
    <s v="FUTURE"/>
    <n v="58.21"/>
    <n v="58.21"/>
    <s v="LMT"/>
    <n v="-1"/>
    <n v="-58210"/>
    <n v="58.21"/>
    <s v=""/>
  </r>
  <r>
    <x v="1281"/>
    <x v="174"/>
    <s v="Wednesday"/>
    <d v="1899-12-30T11:07:28"/>
    <s v="FUTURE"/>
    <s v="SELL"/>
    <n v="-1"/>
    <s v="TO OPEN"/>
    <x v="18"/>
    <d v="2021-03-21T00:00:00"/>
    <m/>
    <s v="FUTURE"/>
    <n v="58.67"/>
    <n v="58.67"/>
    <s v="LMT"/>
    <n v="-2"/>
    <n v="-116880"/>
    <n v="58.44"/>
    <s v=""/>
  </r>
  <r>
    <x v="1281"/>
    <x v="174"/>
    <s v="Wednesday"/>
    <d v="1899-12-30T11:15:39"/>
    <s v="FUTURE"/>
    <s v="BUY"/>
    <n v="1"/>
    <s v="TO CLOSE"/>
    <x v="18"/>
    <d v="2021-03-21T00:00:00"/>
    <m/>
    <s v="FUTURE"/>
    <n v="58.64"/>
    <n v="58.64"/>
    <s v="LMT"/>
    <n v="-1"/>
    <n v="-58240"/>
    <n v="58.24"/>
    <s v=""/>
  </r>
  <r>
    <x v="1281"/>
    <x v="174"/>
    <s v="Wednesday"/>
    <d v="1899-12-30T11:30:20"/>
    <s v="FUTURE"/>
    <s v="SELL"/>
    <n v="-1"/>
    <s v="TO OPEN"/>
    <x v="18"/>
    <d v="2021-03-21T00:00:00"/>
    <m/>
    <s v="FUTURE"/>
    <n v="58.76"/>
    <n v="58.76"/>
    <s v="LMT"/>
    <n v="-2"/>
    <n v="-117000"/>
    <n v="58.5"/>
    <s v=""/>
  </r>
  <r>
    <x v="1281"/>
    <x v="174"/>
    <s v="Wednesday"/>
    <d v="1899-12-30T12:03:42"/>
    <s v="FUTURE"/>
    <s v="BUY"/>
    <n v="1"/>
    <s v="TO CLOSE"/>
    <x v="18"/>
    <d v="2021-03-21T00:00:00"/>
    <m/>
    <s v="FUTURE"/>
    <n v="58.53"/>
    <n v="58.53"/>
    <s v="LMT"/>
    <n v="-1"/>
    <n v="-58470"/>
    <n v="58.47"/>
    <s v=""/>
  </r>
  <r>
    <x v="1281"/>
    <x v="174"/>
    <s v="Wednesday"/>
    <d v="1899-12-30T12:16:53"/>
    <s v="FUTURE"/>
    <s v="SELL"/>
    <n v="-1"/>
    <s v="TO OPEN"/>
    <x v="18"/>
    <d v="2021-03-21T00:00:00"/>
    <m/>
    <s v="FUTURE"/>
    <n v="58.73"/>
    <n v="58.73"/>
    <s v="LMT"/>
    <n v="-2"/>
    <n v="-117200"/>
    <n v="58.6"/>
    <s v=""/>
  </r>
  <r>
    <x v="1281"/>
    <x v="174"/>
    <s v="Wednesday"/>
    <d v="1899-12-30T12:20:50"/>
    <s v="FUTURE"/>
    <s v="BUY"/>
    <n v="1"/>
    <s v="TO CLOSE"/>
    <x v="18"/>
    <d v="2021-03-21T00:00:00"/>
    <m/>
    <s v="FUTURE"/>
    <n v="58.69"/>
    <n v="58.69"/>
    <s v="LMT"/>
    <n v="-1"/>
    <n v="-58510"/>
    <n v="58.51"/>
    <s v=""/>
  </r>
  <r>
    <x v="1281"/>
    <x v="174"/>
    <s v="Wednesday"/>
    <d v="1899-12-30T15:23:54"/>
    <s v="FUTURE"/>
    <s v="BUY"/>
    <n v="1"/>
    <s v="TO CLOSE"/>
    <x v="18"/>
    <d v="2021-03-21T00:00:00"/>
    <m/>
    <s v="FUTURE"/>
    <n v="58.59"/>
    <n v="58.59"/>
    <s v="LMT"/>
    <n v="0"/>
    <n v="0"/>
    <s v=""/>
    <n v="-80.0000000000054"/>
  </r>
  <r>
    <x v="1282"/>
    <x v="174"/>
    <s v="Wednesday"/>
    <d v="1899-12-30T09:55:16"/>
    <s v="FUTURE"/>
    <s v="BUY"/>
    <n v="1"/>
    <s v="TO OPEN"/>
    <x v="15"/>
    <d v="2021-03-21T00:00:00"/>
    <m/>
    <s v="FUTURE"/>
    <n v="3919"/>
    <n v="3919"/>
    <s v="LMT"/>
    <n v="1"/>
    <n v="195950"/>
    <n v="3919"/>
    <s v=""/>
  </r>
  <r>
    <x v="1282"/>
    <x v="174"/>
    <s v="Wednesday"/>
    <d v="1899-12-30T09:57:27"/>
    <s v="FUTURE"/>
    <s v="SELL"/>
    <n v="-1"/>
    <s v="TO CLOSE"/>
    <x v="15"/>
    <d v="2021-03-21T00:00:00"/>
    <m/>
    <s v="FUTURE"/>
    <n v="3919"/>
    <n v="3919"/>
    <s v="LMT"/>
    <n v="0"/>
    <n v="0"/>
    <s v=""/>
    <n v="0"/>
  </r>
  <r>
    <x v="1283"/>
    <x v="174"/>
    <s v="Wednesday"/>
    <d v="1899-12-30T10:17:37"/>
    <s v="FUTURE"/>
    <s v="BUY"/>
    <n v="1"/>
    <s v="TO OPEN"/>
    <x v="15"/>
    <d v="2021-03-21T00:00:00"/>
    <m/>
    <s v="FUTURE"/>
    <n v="3913.5"/>
    <n v="3913.5"/>
    <s v="LMT"/>
    <n v="1"/>
    <n v="195675"/>
    <n v="3913.5"/>
    <s v=""/>
  </r>
  <r>
    <x v="1283"/>
    <x v="174"/>
    <s v="Wednesday"/>
    <d v="1899-12-30T10:24:00"/>
    <s v="FUTURE"/>
    <s v="SELL"/>
    <n v="-2"/>
    <s v="TO CLOSE"/>
    <x v="15"/>
    <d v="2021-03-21T00:00:00"/>
    <m/>
    <s v="FUTURE"/>
    <n v="3895.75"/>
    <n v="3895.75"/>
    <s v="STP"/>
    <n v="-1"/>
    <n v="-193900"/>
    <n v="3878"/>
    <s v=""/>
  </r>
  <r>
    <x v="1283"/>
    <x v="174"/>
    <s v="Wednesday"/>
    <d v="1899-12-30T10:34:51"/>
    <s v="FUTURE"/>
    <s v="BUY"/>
    <n v="1"/>
    <s v="TO CLOSE"/>
    <x v="15"/>
    <d v="2021-03-21T00:00:00"/>
    <m/>
    <s v="FUTURE"/>
    <n v="3891.25"/>
    <n v="3891.25"/>
    <s v="LMT"/>
    <n v="0"/>
    <n v="0"/>
    <s v=""/>
    <n v="-662.5"/>
  </r>
  <r>
    <x v="1284"/>
    <x v="174"/>
    <s v="Wednesday"/>
    <d v="1899-12-30T10:35:25"/>
    <s v="FUTURE"/>
    <s v="BUY"/>
    <n v="1"/>
    <s v="TO OPEN"/>
    <x v="15"/>
    <d v="2021-03-21T00:00:00"/>
    <m/>
    <s v="FUTURE"/>
    <n v="3895"/>
    <n v="3895"/>
    <s v="MKT"/>
    <n v="1"/>
    <n v="194750"/>
    <n v="3895"/>
    <s v=""/>
  </r>
  <r>
    <x v="1284"/>
    <x v="174"/>
    <s v="Wednesday"/>
    <d v="1899-12-30T11:02:06"/>
    <s v="FUTURE"/>
    <s v="SELL"/>
    <n v="-1"/>
    <s v="TO CLOSE"/>
    <x v="15"/>
    <d v="2021-03-21T00:00:00"/>
    <m/>
    <s v="FUTURE"/>
    <n v="3901.5"/>
    <n v="3901.5"/>
    <s v="LMT"/>
    <n v="0"/>
    <n v="0"/>
    <s v=""/>
    <n v="325"/>
  </r>
  <r>
    <x v="1285"/>
    <x v="174"/>
    <s v="Wednesday"/>
    <d v="1899-12-30T11:22:00"/>
    <s v="FUTURE"/>
    <s v="SELL"/>
    <n v="-1"/>
    <s v="TO OPEN"/>
    <x v="15"/>
    <d v="2021-03-21T00:00:00"/>
    <m/>
    <s v="FUTURE"/>
    <n v="3902.25"/>
    <n v="3902.25"/>
    <s v="LMT"/>
    <n v="-1"/>
    <n v="-195112.5"/>
    <n v="3902.25"/>
    <s v=""/>
  </r>
  <r>
    <x v="1285"/>
    <x v="174"/>
    <s v="Wednesday"/>
    <d v="1899-12-30T11:29:35"/>
    <s v="FUTURE"/>
    <s v="BUY"/>
    <n v="1"/>
    <s v="TO CLOSE"/>
    <x v="15"/>
    <d v="2021-03-21T00:00:00"/>
    <m/>
    <s v="FUTURE"/>
    <n v="3896.75"/>
    <n v="3896.75"/>
    <s v="LMT"/>
    <n v="0"/>
    <n v="0"/>
    <s v=""/>
    <n v="275"/>
  </r>
  <r>
    <x v="1286"/>
    <x v="174"/>
    <s v="Wednesday"/>
    <d v="1899-12-30T12:13:46"/>
    <s v="FUTURE"/>
    <s v="BUY"/>
    <n v="1"/>
    <s v="TO OPEN"/>
    <x v="15"/>
    <d v="2021-03-21T00:00:00"/>
    <m/>
    <s v="FUTURE"/>
    <n v="3897.5"/>
    <n v="3897.5"/>
    <s v="LMT"/>
    <n v="1"/>
    <n v="194875"/>
    <n v="3897.5"/>
    <s v=""/>
  </r>
  <r>
    <x v="1286"/>
    <x v="174"/>
    <s v="Wednesday"/>
    <d v="1899-12-30T12:15:23"/>
    <s v="FUTURE"/>
    <s v="SELL"/>
    <n v="-1"/>
    <s v="TO CLOSE"/>
    <x v="15"/>
    <d v="2021-03-21T00:00:00"/>
    <m/>
    <s v="FUTURE"/>
    <n v="3897.5"/>
    <n v="3897.5"/>
    <s v="LMT"/>
    <n v="0"/>
    <n v="0"/>
    <s v=""/>
    <n v="0"/>
  </r>
  <r>
    <x v="1287"/>
    <x v="174"/>
    <s v="Wednesday"/>
    <d v="1899-12-30T12:29:33"/>
    <s v="FUTURE"/>
    <s v="BUY"/>
    <n v="1"/>
    <s v="TO OPEN"/>
    <x v="15"/>
    <d v="2021-03-21T00:00:00"/>
    <m/>
    <s v="FUTURE"/>
    <n v="3897"/>
    <n v="3897"/>
    <s v="LMT"/>
    <n v="1"/>
    <n v="194850"/>
    <n v="3897"/>
    <s v=""/>
  </r>
  <r>
    <x v="1287"/>
    <x v="174"/>
    <s v="Wednesday"/>
    <d v="1899-12-30T12:50:18"/>
    <s v="FUTURE"/>
    <s v="SELL"/>
    <n v="-1"/>
    <s v="TO CLOSE"/>
    <x v="15"/>
    <d v="2021-03-21T00:00:00"/>
    <m/>
    <s v="FUTURE"/>
    <n v="3898.25"/>
    <n v="3898.25"/>
    <s v="LMT"/>
    <n v="0"/>
    <n v="0"/>
    <s v=""/>
    <n v="62.5"/>
  </r>
  <r>
    <x v="1288"/>
    <x v="175"/>
    <s v="Thursday"/>
    <d v="1899-12-30T09:47:19"/>
    <s v="FUTURE"/>
    <s v="SELL"/>
    <n v="-1"/>
    <s v="TO OPEN"/>
    <x v="18"/>
    <d v="2021-03-21T00:00:00"/>
    <m/>
    <s v="FUTURE"/>
    <n v="58.69"/>
    <n v="58.69"/>
    <s v="LMT"/>
    <n v="-1"/>
    <n v="-58690"/>
    <n v="58.69"/>
    <s v=""/>
  </r>
  <r>
    <x v="1288"/>
    <x v="175"/>
    <s v="Thursday"/>
    <d v="1899-12-30T09:50:26"/>
    <s v="FUTURE"/>
    <s v="BUY"/>
    <n v="1"/>
    <s v="TO CLOSE"/>
    <x v="18"/>
    <d v="2021-03-21T00:00:00"/>
    <m/>
    <s v="FUTURE"/>
    <n v="58.57"/>
    <n v="58.57"/>
    <s v="LMT"/>
    <n v="0"/>
    <n v="0"/>
    <s v=""/>
    <n v="119.99999999999744"/>
  </r>
  <r>
    <x v="1289"/>
    <x v="175"/>
    <s v="Thursday"/>
    <d v="1899-12-30T10:00:08"/>
    <s v="FUTURE"/>
    <s v="SELL"/>
    <n v="-1"/>
    <s v="TO OPEN"/>
    <x v="18"/>
    <d v="2021-03-21T00:00:00"/>
    <m/>
    <s v="FUTURE"/>
    <n v="58.53"/>
    <n v="58.53"/>
    <s v="LMT"/>
    <n v="-1"/>
    <n v="-58530"/>
    <n v="58.53"/>
    <s v=""/>
  </r>
  <r>
    <x v="1289"/>
    <x v="175"/>
    <s v="Thursday"/>
    <d v="1899-12-30T10:03:04"/>
    <s v="FUTURE"/>
    <s v="BUY"/>
    <n v="1"/>
    <s v="TO CLOSE"/>
    <x v="18"/>
    <d v="2021-03-21T00:00:00"/>
    <m/>
    <s v="FUTURE"/>
    <n v="58.51"/>
    <n v="58.51"/>
    <s v="MKT"/>
    <n v="0"/>
    <n v="0"/>
    <s v=""/>
    <n v="20.000000000003126"/>
  </r>
  <r>
    <x v="1290"/>
    <x v="175"/>
    <s v="Thursday"/>
    <d v="1899-12-30T10:29:00"/>
    <s v="FUTURE"/>
    <s v="SELL"/>
    <n v="-1"/>
    <s v="TO OPEN"/>
    <x v="18"/>
    <d v="2021-03-21T00:00:00"/>
    <m/>
    <s v="FUTURE"/>
    <n v="58.55"/>
    <n v="58.55"/>
    <s v="LMT"/>
    <n v="-1"/>
    <n v="-58550"/>
    <n v="58.55"/>
    <s v=""/>
  </r>
  <r>
    <x v="1290"/>
    <x v="175"/>
    <s v="Thursday"/>
    <d v="1899-12-30T10:33:31"/>
    <s v="FUTURE"/>
    <s v="BUY"/>
    <n v="1"/>
    <s v="TO CLOSE"/>
    <x v="18"/>
    <d v="2021-03-21T00:00:00"/>
    <m/>
    <s v="FUTURE"/>
    <n v="58.44"/>
    <n v="58.44"/>
    <s v="LMT"/>
    <n v="0"/>
    <n v="0"/>
    <s v=""/>
    <n v="109.99999999999943"/>
  </r>
  <r>
    <x v="1291"/>
    <x v="175"/>
    <s v="Thursday"/>
    <d v="1899-12-30T09:26:39"/>
    <s v="FUTURE"/>
    <s v="BUY"/>
    <n v="1"/>
    <s v="TO OPEN"/>
    <x v="15"/>
    <d v="2021-03-21T00:00:00"/>
    <m/>
    <s v="FUTURE"/>
    <n v="3916.5"/>
    <n v="3916.5"/>
    <s v="LMT"/>
    <n v="1"/>
    <n v="195825"/>
    <n v="3916.5"/>
    <s v=""/>
  </r>
  <r>
    <x v="1291"/>
    <x v="175"/>
    <s v="Thursday"/>
    <d v="1899-12-30T09:45:02"/>
    <s v="FUTURE"/>
    <s v="SELL"/>
    <n v="-1"/>
    <s v="TO CLOSE"/>
    <x v="15"/>
    <d v="2021-03-21T00:00:00"/>
    <m/>
    <s v="FUTURE"/>
    <n v="3916.5"/>
    <n v="3916.5"/>
    <s v="LMT"/>
    <n v="0"/>
    <n v="0"/>
    <s v=""/>
    <n v="0"/>
  </r>
  <r>
    <x v="1292"/>
    <x v="175"/>
    <s v="Thursday"/>
    <d v="1899-12-30T10:48:48"/>
    <s v="FUTURE"/>
    <s v="BUY"/>
    <n v="1"/>
    <s v="TO OPEN"/>
    <x v="15"/>
    <d v="2021-03-21T00:00:00"/>
    <m/>
    <s v="FUTURE"/>
    <n v="3915.5"/>
    <n v="3915.5"/>
    <s v="LMT"/>
    <n v="1"/>
    <n v="195775"/>
    <n v="3915.5"/>
    <s v=""/>
  </r>
  <r>
    <x v="1292"/>
    <x v="175"/>
    <s v="Thursday"/>
    <d v="1899-12-30T10:57:25"/>
    <s v="FUTURE"/>
    <s v="SELL"/>
    <n v="-1"/>
    <s v="TO CLOSE"/>
    <x v="15"/>
    <d v="2021-03-21T00:00:00"/>
    <m/>
    <s v="FUTURE"/>
    <n v="3914.25"/>
    <n v="3914.25"/>
    <s v="MKT"/>
    <n v="0"/>
    <n v="0"/>
    <s v=""/>
    <n v="-62.5"/>
  </r>
  <r>
    <x v="1293"/>
    <x v="175"/>
    <s v="Thursday"/>
    <d v="1899-12-30T11:56:36"/>
    <s v="FUTURE"/>
    <s v="SELL"/>
    <n v="-1"/>
    <s v="TO OPEN"/>
    <x v="15"/>
    <d v="2021-03-21T00:00:00"/>
    <m/>
    <s v="FUTURE"/>
    <n v="3906.75"/>
    <n v="3906.75"/>
    <s v="LMT"/>
    <n v="-1"/>
    <n v="-195337.5"/>
    <n v="3906.75"/>
    <s v=""/>
  </r>
  <r>
    <x v="1293"/>
    <x v="175"/>
    <s v="Thursday"/>
    <d v="1899-12-30T12:14:00"/>
    <s v="FUTURE"/>
    <s v="BUY"/>
    <n v="1"/>
    <s v="TO CLOSE"/>
    <x v="15"/>
    <d v="2021-03-21T00:00:00"/>
    <m/>
    <s v="FUTURE"/>
    <n v="3906.75"/>
    <n v="3906.75"/>
    <s v="LMT"/>
    <n v="0"/>
    <n v="0"/>
    <s v=""/>
    <n v="0"/>
  </r>
  <r>
    <x v="1294"/>
    <x v="175"/>
    <s v="Thursday"/>
    <d v="1899-12-30T12:14:54"/>
    <s v="FUTURE"/>
    <s v="SELL"/>
    <n v="-1"/>
    <s v="TO OPEN"/>
    <x v="15"/>
    <d v="2021-03-21T00:00:00"/>
    <m/>
    <s v="FUTURE"/>
    <n v="3906"/>
    <n v="3906"/>
    <s v="LMT"/>
    <n v="-1"/>
    <n v="-195300"/>
    <n v="3906"/>
    <s v=""/>
  </r>
  <r>
    <x v="1294"/>
    <x v="175"/>
    <s v="Thursday"/>
    <d v="1899-12-30T12:15:50"/>
    <s v="FUTURE"/>
    <s v="BUY"/>
    <n v="1"/>
    <s v="TO CLOSE"/>
    <x v="15"/>
    <d v="2021-03-21T00:00:00"/>
    <m/>
    <s v="FUTURE"/>
    <n v="3903.5"/>
    <n v="3903.5"/>
    <s v="LMT"/>
    <n v="0"/>
    <n v="0"/>
    <s v=""/>
    <n v="125"/>
  </r>
  <r>
    <x v="1295"/>
    <x v="175"/>
    <s v="Thursday"/>
    <d v="1899-12-30T09:55:32"/>
    <s v="FUTURE"/>
    <s v="SELL"/>
    <n v="-1"/>
    <s v="TO OPEN"/>
    <x v="17"/>
    <d v="2021-03-21T00:00:00"/>
    <m/>
    <s v="FUTURE"/>
    <n v="3911.5"/>
    <n v="3911.5"/>
    <s v="LMT"/>
    <n v="-1"/>
    <n v="-19557.5"/>
    <n v="3911.5"/>
    <s v=""/>
  </r>
  <r>
    <x v="1295"/>
    <x v="175"/>
    <s v="Thursday"/>
    <d v="1899-12-30T09:55:32"/>
    <s v="FUTURE"/>
    <s v="SELL"/>
    <n v="-2"/>
    <s v="TO OPEN"/>
    <x v="17"/>
    <d v="2021-03-21T00:00:00"/>
    <m/>
    <s v="FUTURE"/>
    <n v="3911.5"/>
    <n v="3911.5"/>
    <s v="LMT"/>
    <n v="-3"/>
    <n v="-58672.5"/>
    <n v="3911.5"/>
    <s v=""/>
  </r>
  <r>
    <x v="1295"/>
    <x v="175"/>
    <s v="Thursday"/>
    <d v="1899-12-30T11:07:36"/>
    <s v="FUTURE"/>
    <s v="BUY"/>
    <n v="1"/>
    <s v="TO CLOSE"/>
    <x v="17"/>
    <d v="2021-03-21T00:00:00"/>
    <m/>
    <s v="FUTURE"/>
    <n v="3908.25"/>
    <n v="3908.25"/>
    <s v="LMT"/>
    <n v="-2"/>
    <n v="-39131.25"/>
    <n v="3913.125"/>
    <s v=""/>
  </r>
  <r>
    <x v="1295"/>
    <x v="175"/>
    <s v="Thursday"/>
    <d v="1899-12-30T11:09:48"/>
    <s v="FUTURE"/>
    <s v="BUY"/>
    <n v="2"/>
    <s v="TO CLOSE"/>
    <x v="17"/>
    <d v="2021-03-21T00:00:00"/>
    <m/>
    <s v="FUTURE"/>
    <n v="3908.25"/>
    <n v="3908.25"/>
    <s v="LMT"/>
    <n v="0"/>
    <n v="0"/>
    <s v=""/>
    <n v="48.75"/>
  </r>
  <r>
    <x v="1296"/>
    <x v="175"/>
    <s v="Thursday"/>
    <d v="1899-12-30T09:54:08"/>
    <s v="STOCK"/>
    <s v="BUY"/>
    <n v="300"/>
    <s v="TO OPEN"/>
    <x v="2"/>
    <m/>
    <m/>
    <s v="STOCK"/>
    <n v="16.689900000000002"/>
    <n v="16.689900000000002"/>
    <s v="LMT"/>
    <n v="300"/>
    <n v="5006.97"/>
    <n v="16.689900000000002"/>
    <s v=""/>
  </r>
  <r>
    <x v="1296"/>
    <x v="175"/>
    <s v="Thursday"/>
    <d v="1899-12-30T11:18:51"/>
    <s v="STOCK"/>
    <s v="SELL"/>
    <n v="-60"/>
    <s v="TO CLOSE"/>
    <x v="2"/>
    <m/>
    <m/>
    <s v="STOCK"/>
    <n v="16.620100000000001"/>
    <n v="16.620170000000002"/>
    <s v="MKT"/>
    <n v="240"/>
    <n v="4009.7640000000001"/>
    <n v="16.707350000000002"/>
    <s v=""/>
  </r>
  <r>
    <x v="1296"/>
    <x v="175"/>
    <s v="Thursday"/>
    <d v="1899-12-30T11:18:51"/>
    <s v="STOCK"/>
    <s v="SELL"/>
    <n v="-40"/>
    <s v="TO CLOSE"/>
    <x v="2"/>
    <m/>
    <m/>
    <s v="STOCK"/>
    <n v="16.620999999999999"/>
    <n v="16.620999999999999"/>
    <s v="MKT"/>
    <n v="200"/>
    <n v="3344.924"/>
    <n v="16.724620000000002"/>
    <s v=""/>
  </r>
  <r>
    <x v="1296"/>
    <x v="175"/>
    <s v="Thursday"/>
    <d v="1899-12-30T11:19:25"/>
    <s v="STOCK"/>
    <s v="SELL"/>
    <n v="-50"/>
    <s v="TO CLOSE"/>
    <x v="2"/>
    <m/>
    <m/>
    <s v="STOCK"/>
    <n v="16.614999999999998"/>
    <n v="16.614999999999998"/>
    <s v="LMT"/>
    <n v="150"/>
    <n v="2514.174"/>
    <n v="16.76116"/>
    <s v=""/>
  </r>
  <r>
    <x v="1296"/>
    <x v="175"/>
    <s v="Thursday"/>
    <d v="1899-12-30T11:26:43"/>
    <s v="STOCK"/>
    <s v="SELL"/>
    <n v="-150"/>
    <s v="TO CLOSE"/>
    <x v="2"/>
    <m/>
    <m/>
    <s v="STOCK"/>
    <n v="16.545000000000002"/>
    <n v="16.545000000000002"/>
    <s v="MKT"/>
    <n v="0"/>
    <n v="0"/>
    <s v=""/>
    <n v="-32.423999999999786"/>
  </r>
  <r>
    <x v="1297"/>
    <x v="176"/>
    <s v="Friday"/>
    <d v="1899-12-30T09:43:17"/>
    <s v="FUTURE"/>
    <s v="BUY"/>
    <n v="1"/>
    <s v="TO OPEN"/>
    <x v="18"/>
    <d v="2021-03-21T00:00:00"/>
    <m/>
    <s v="FUTURE"/>
    <n v="58.34"/>
    <n v="58.34"/>
    <s v="MKT"/>
    <n v="1"/>
    <n v="58340"/>
    <n v="58.34"/>
    <s v=""/>
  </r>
  <r>
    <x v="1297"/>
    <x v="176"/>
    <s v="Friday"/>
    <d v="1899-12-30T09:45:33"/>
    <s v="FUTURE"/>
    <s v="SELL"/>
    <n v="-1"/>
    <s v="TO CLOSE"/>
    <x v="18"/>
    <d v="2021-03-21T00:00:00"/>
    <m/>
    <s v="FUTURE"/>
    <n v="58.34"/>
    <n v="58.34"/>
    <s v="LMT"/>
    <n v="0"/>
    <n v="0"/>
    <s v=""/>
    <n v="0"/>
  </r>
  <r>
    <x v="1298"/>
    <x v="176"/>
    <s v="Friday"/>
    <d v="1899-12-30T09:55:03"/>
    <s v="FUTURE"/>
    <s v="SELL"/>
    <n v="-1"/>
    <s v="TO OPEN"/>
    <x v="18"/>
    <d v="2021-03-21T00:00:00"/>
    <m/>
    <s v="FUTURE"/>
    <n v="58.43"/>
    <n v="58.43"/>
    <s v="LMT"/>
    <n v="-1"/>
    <n v="-58430"/>
    <n v="58.43"/>
    <s v=""/>
  </r>
  <r>
    <x v="1298"/>
    <x v="176"/>
    <s v="Friday"/>
    <d v="1899-12-30T10:30:50"/>
    <s v="FUTURE"/>
    <s v="BUY"/>
    <n v="1"/>
    <s v="TO CLOSE"/>
    <x v="18"/>
    <d v="2021-03-21T00:00:00"/>
    <m/>
    <s v="FUTURE"/>
    <n v="58.43"/>
    <n v="58.43"/>
    <s v="LMT"/>
    <n v="0"/>
    <n v="0"/>
    <s v=""/>
    <n v="0"/>
  </r>
  <r>
    <x v="1299"/>
    <x v="176"/>
    <s v="Friday"/>
    <d v="1899-12-30T10:31:35"/>
    <s v="FUTURE"/>
    <s v="SELL"/>
    <n v="-1"/>
    <s v="TO OPEN"/>
    <x v="18"/>
    <d v="2021-03-21T00:00:00"/>
    <m/>
    <s v="FUTURE"/>
    <n v="58.46"/>
    <n v="58.46"/>
    <s v="LMT"/>
    <n v="-1"/>
    <n v="-58460"/>
    <n v="58.46"/>
    <s v=""/>
  </r>
  <r>
    <x v="1299"/>
    <x v="176"/>
    <s v="Friday"/>
    <d v="1899-12-30T10:35:07"/>
    <s v="FUTURE"/>
    <s v="BUY"/>
    <n v="1"/>
    <s v="TO CLOSE"/>
    <x v="18"/>
    <d v="2021-03-21T00:00:00"/>
    <m/>
    <s v="FUTURE"/>
    <n v="58.46"/>
    <n v="58.46"/>
    <s v="STP"/>
    <n v="0"/>
    <n v="0"/>
    <s v=""/>
    <n v="0"/>
  </r>
  <r>
    <x v="1300"/>
    <x v="176"/>
    <s v="Friday"/>
    <d v="1899-12-30T11:02:13"/>
    <s v="FUTURE"/>
    <s v="SELL"/>
    <n v="-2"/>
    <s v="TO OPEN"/>
    <x v="18"/>
    <d v="2021-03-21T00:00:00"/>
    <m/>
    <s v="FUTURE"/>
    <n v="58.43"/>
    <n v="58.43"/>
    <s v="MKT"/>
    <n v="-2"/>
    <n v="-116860"/>
    <n v="58.43"/>
    <s v=""/>
  </r>
  <r>
    <x v="1300"/>
    <x v="176"/>
    <s v="Friday"/>
    <d v="1899-12-30T11:05:08"/>
    <s v="FUTURE"/>
    <s v="BUY"/>
    <n v="1"/>
    <s v="TO CLOSE"/>
    <x v="18"/>
    <d v="2021-03-21T00:00:00"/>
    <m/>
    <s v="FUTURE"/>
    <n v="58.42"/>
    <n v="58.42"/>
    <s v="LMT"/>
    <n v="-1"/>
    <n v="-58440"/>
    <n v="58.44"/>
    <s v=""/>
  </r>
  <r>
    <x v="1300"/>
    <x v="176"/>
    <s v="Friday"/>
    <d v="1899-12-30T11:14:15"/>
    <s v="FUTURE"/>
    <s v="SELL"/>
    <n v="-1"/>
    <s v="TO OPEN"/>
    <x v="18"/>
    <d v="2021-03-21T00:00:00"/>
    <m/>
    <s v="FUTURE"/>
    <n v="58.64"/>
    <n v="58.64"/>
    <s v="LMT"/>
    <n v="-2"/>
    <n v="-117080"/>
    <n v="58.54"/>
    <s v=""/>
  </r>
  <r>
    <x v="1300"/>
    <x v="176"/>
    <s v="Friday"/>
    <d v="1899-12-30T14:24:21"/>
    <s v="FUTURE"/>
    <s v="BUY"/>
    <n v="1"/>
    <s v="TO CLOSE"/>
    <x v="18"/>
    <d v="2021-03-21T00:00:00"/>
    <m/>
    <s v="FUTURE"/>
    <n v="59.54"/>
    <n v="59.54"/>
    <s v="LMT"/>
    <n v="-1"/>
    <n v="-57540"/>
    <n v="57.54"/>
    <s v=""/>
  </r>
  <r>
    <x v="1300"/>
    <x v="176"/>
    <s v="Friday"/>
    <d v="1899-12-30T14:26:11"/>
    <s v="FUTURE"/>
    <s v="BUY"/>
    <n v="1"/>
    <s v="TO CLOSE"/>
    <x v="18"/>
    <d v="2021-03-21T00:00:00"/>
    <m/>
    <s v="FUTURE"/>
    <n v="59.52"/>
    <n v="59.52"/>
    <s v="LMT"/>
    <n v="0"/>
    <n v="0"/>
    <s v=""/>
    <n v="-1980.0000000000041"/>
  </r>
  <r>
    <x v="1301"/>
    <x v="176"/>
    <s v="Friday"/>
    <d v="1899-12-30T10:27:48"/>
    <s v="FUTURE"/>
    <s v="SELL"/>
    <n v="-1"/>
    <s v="TO OPEN"/>
    <x v="15"/>
    <d v="2021-03-21T00:00:00"/>
    <m/>
    <s v="FUTURE"/>
    <n v="3909.25"/>
    <n v="3909.25"/>
    <s v="LMT"/>
    <n v="-1"/>
    <n v="-195462.5"/>
    <n v="3909.25"/>
    <s v=""/>
  </r>
  <r>
    <x v="1301"/>
    <x v="176"/>
    <s v="Friday"/>
    <d v="1899-12-30T10:29:31"/>
    <s v="FUTURE"/>
    <s v="BUY"/>
    <n v="1"/>
    <s v="TO CLOSE"/>
    <x v="15"/>
    <d v="2021-03-21T00:00:00"/>
    <m/>
    <s v="FUTURE"/>
    <n v="3908.25"/>
    <n v="3908.25"/>
    <s v="LMT"/>
    <n v="0"/>
    <n v="0"/>
    <s v=""/>
    <n v="50"/>
  </r>
  <r>
    <x v="1302"/>
    <x v="177"/>
    <s v="Monday"/>
    <d v="1899-12-30T08:55:23"/>
    <s v="FUTURE"/>
    <s v="SELL"/>
    <n v="-1"/>
    <s v="TO OPEN"/>
    <x v="18"/>
    <d v="2021-03-21T00:00:00"/>
    <m/>
    <s v="FUTURE"/>
    <n v="60.53"/>
    <n v="60.53"/>
    <s v="LMT"/>
    <n v="-1"/>
    <n v="-60530"/>
    <n v="60.53"/>
    <s v=""/>
  </r>
  <r>
    <x v="1302"/>
    <x v="177"/>
    <s v="Monday"/>
    <d v="1899-12-30T09:00:33"/>
    <s v="FUTURE"/>
    <s v="BUY"/>
    <n v="1"/>
    <s v="TO CLOSE"/>
    <x v="18"/>
    <d v="2021-03-21T00:00:00"/>
    <m/>
    <s v="FUTURE"/>
    <n v="60.46"/>
    <n v="60.46"/>
    <s v="LMT"/>
    <n v="0"/>
    <n v="0"/>
    <s v=""/>
    <n v="70.000000000000284"/>
  </r>
  <r>
    <x v="1303"/>
    <x v="178"/>
    <s v="Tuesday"/>
    <d v="1899-12-30T09:33:15"/>
    <s v="FUTURE"/>
    <s v="SELL"/>
    <n v="-1"/>
    <s v="TO OPEN"/>
    <x v="18"/>
    <d v="2021-03-21T00:00:00"/>
    <m/>
    <s v="FUTURE"/>
    <n v="59.91"/>
    <n v="59.91"/>
    <s v="LMT"/>
    <n v="-1"/>
    <n v="-59910"/>
    <n v="59.91"/>
    <s v=""/>
  </r>
  <r>
    <x v="1303"/>
    <x v="178"/>
    <s v="Tuesday"/>
    <d v="1899-12-30T09:43:31"/>
    <s v="FUTURE"/>
    <s v="BUY"/>
    <n v="1"/>
    <s v="TO CLOSE"/>
    <x v="18"/>
    <d v="2021-03-21T00:00:00"/>
    <m/>
    <s v="FUTURE"/>
    <n v="59.91"/>
    <n v="59.91"/>
    <s v="LMT"/>
    <n v="0"/>
    <n v="0"/>
    <s v=""/>
    <n v="0"/>
  </r>
  <r>
    <x v="1304"/>
    <x v="178"/>
    <s v="Tuesday"/>
    <d v="1899-12-30T09:36:18"/>
    <s v="FUTURE"/>
    <s v="SELL"/>
    <n v="-1"/>
    <s v="TO OPEN"/>
    <x v="15"/>
    <d v="2021-03-21T00:00:00"/>
    <m/>
    <s v="FUTURE"/>
    <n v="3940.75"/>
    <n v="3940.75"/>
    <s v="LMT"/>
    <n v="-1"/>
    <n v="-197037.5"/>
    <n v="3940.75"/>
    <s v=""/>
  </r>
  <r>
    <x v="1304"/>
    <x v="178"/>
    <s v="Tuesday"/>
    <d v="1899-12-30T09:37:04"/>
    <s v="FUTURE"/>
    <s v="BUY"/>
    <n v="1"/>
    <s v="TO CLOSE"/>
    <x v="15"/>
    <d v="2021-03-21T00:00:00"/>
    <m/>
    <s v="FUTURE"/>
    <n v="3937.25"/>
    <n v="3937.25"/>
    <s v="LMT"/>
    <n v="0"/>
    <n v="0"/>
    <s v=""/>
    <n v="175"/>
  </r>
  <r>
    <x v="1305"/>
    <x v="178"/>
    <s v="Tuesday"/>
    <d v="1899-12-30T10:41:53"/>
    <s v="FUTURE"/>
    <s v="SELL"/>
    <n v="-1"/>
    <s v="TO OPEN"/>
    <x v="15"/>
    <d v="2021-03-21T00:00:00"/>
    <m/>
    <s v="FUTURE"/>
    <n v="3944.5"/>
    <n v="3944.5"/>
    <s v="LMT"/>
    <n v="-1"/>
    <n v="-197225"/>
    <n v="3944.5"/>
    <s v=""/>
  </r>
  <r>
    <x v="1305"/>
    <x v="178"/>
    <s v="Tuesday"/>
    <d v="1899-12-30T10:44:01"/>
    <s v="FUTURE"/>
    <s v="BUY"/>
    <n v="1"/>
    <s v="TO CLOSE"/>
    <x v="15"/>
    <d v="2021-03-21T00:00:00"/>
    <m/>
    <s v="FUTURE"/>
    <n v="3943.5"/>
    <n v="3943.5"/>
    <s v="LMT"/>
    <n v="0"/>
    <n v="0"/>
    <s v=""/>
    <n v="50"/>
  </r>
  <r>
    <x v="1306"/>
    <x v="178"/>
    <s v="Tuesday"/>
    <d v="1899-12-30T12:56:05"/>
    <s v="FUTURE"/>
    <s v="BUY"/>
    <n v="1"/>
    <s v="TO OPEN"/>
    <x v="15"/>
    <d v="2021-03-21T00:00:00"/>
    <m/>
    <s v="FUTURE"/>
    <n v="3931.5"/>
    <n v="3931.5"/>
    <s v="LMT"/>
    <n v="1"/>
    <n v="196575"/>
    <n v="3931.5"/>
    <s v=""/>
  </r>
  <r>
    <x v="1306"/>
    <x v="178"/>
    <s v="Tuesday"/>
    <d v="1899-12-30T13:03:51"/>
    <s v="FUTURE"/>
    <s v="SELL"/>
    <n v="-1"/>
    <s v="TO CLOSE"/>
    <x v="15"/>
    <d v="2021-03-21T00:00:00"/>
    <m/>
    <s v="FUTURE"/>
    <n v="3933.25"/>
    <n v="3933.25"/>
    <s v="LMT"/>
    <n v="0"/>
    <n v="0"/>
    <s v=""/>
    <n v="87.5"/>
  </r>
  <r>
    <x v="1307"/>
    <x v="179"/>
    <s v="Wednesday"/>
    <d v="1899-12-30T09:22:45"/>
    <s v="FUTURE"/>
    <s v="SELL"/>
    <n v="-1"/>
    <s v="TO OPEN"/>
    <x v="18"/>
    <d v="2021-03-21T00:00:00"/>
    <m/>
    <s v="FUTURE"/>
    <n v="59.72"/>
    <n v="59.72"/>
    <s v="LMT"/>
    <n v="-1"/>
    <n v="-59720"/>
    <n v="59.72"/>
    <s v=""/>
  </r>
  <r>
    <x v="1307"/>
    <x v="179"/>
    <s v="Wednesday"/>
    <d v="1899-12-30T09:28:56"/>
    <s v="FUTURE"/>
    <s v="SELL"/>
    <n v="-1"/>
    <s v="TO OPEN"/>
    <x v="18"/>
    <d v="2021-03-21T00:00:00"/>
    <m/>
    <s v="FUTURE"/>
    <n v="59.98"/>
    <n v="59.98"/>
    <s v="LMT"/>
    <n v="-2"/>
    <n v="-119700"/>
    <n v="59.85"/>
    <s v=""/>
  </r>
  <r>
    <x v="1307"/>
    <x v="179"/>
    <s v="Wednesday"/>
    <d v="1899-12-30T09:29:42"/>
    <s v="FUTURE"/>
    <s v="BUY"/>
    <n v="1"/>
    <s v="TO CLOSE"/>
    <x v="18"/>
    <d v="2021-03-21T00:00:00"/>
    <m/>
    <s v="FUTURE"/>
    <n v="59.85"/>
    <n v="59.85"/>
    <s v="LMT"/>
    <n v="-1"/>
    <n v="-59850"/>
    <n v="59.85"/>
    <s v=""/>
  </r>
  <r>
    <x v="1307"/>
    <x v="179"/>
    <s v="Wednesday"/>
    <d v="1899-12-30T09:38:19"/>
    <s v="FUTURE"/>
    <s v="BUY"/>
    <n v="1"/>
    <s v="TO CLOSE"/>
    <x v="18"/>
    <d v="2021-03-21T00:00:00"/>
    <m/>
    <s v="FUTURE"/>
    <n v="59.7"/>
    <n v="59.7"/>
    <s v="MKT"/>
    <n v="0"/>
    <n v="0"/>
    <s v=""/>
    <n v="149.99999999999858"/>
  </r>
  <r>
    <x v="1308"/>
    <x v="179"/>
    <s v="Wednesday"/>
    <d v="1899-12-30T10:23:01"/>
    <s v="FUTURE"/>
    <s v="SELL"/>
    <n v="-1"/>
    <s v="TO OPEN"/>
    <x v="18"/>
    <d v="2021-03-21T00:00:00"/>
    <m/>
    <s v="FUTURE"/>
    <n v="60.09"/>
    <n v="60.09"/>
    <s v="LMT"/>
    <n v="-1"/>
    <n v="-60090"/>
    <n v="60.09"/>
    <s v=""/>
  </r>
  <r>
    <x v="1308"/>
    <x v="179"/>
    <s v="Wednesday"/>
    <d v="1899-12-30T10:26:00"/>
    <s v="FUTURE"/>
    <s v="BUY"/>
    <n v="1"/>
    <s v="TO CLOSE"/>
    <x v="18"/>
    <d v="2021-03-21T00:00:00"/>
    <m/>
    <s v="FUTURE"/>
    <n v="60.09"/>
    <n v="60.09"/>
    <s v="STP"/>
    <n v="0"/>
    <n v="0"/>
    <s v=""/>
    <n v="0"/>
  </r>
  <r>
    <x v="1309"/>
    <x v="179"/>
    <s v="Wednesday"/>
    <d v="1899-12-30T09:50:21"/>
    <s v="FUTURE"/>
    <s v="SELL"/>
    <n v="-1"/>
    <s v="TO OPEN"/>
    <x v="15"/>
    <d v="2021-03-21T00:00:00"/>
    <m/>
    <s v="FUTURE"/>
    <n v="3916.25"/>
    <n v="3916.25"/>
    <s v="LMT"/>
    <n v="-1"/>
    <n v="-195812.5"/>
    <n v="3916.25"/>
    <s v=""/>
  </r>
  <r>
    <x v="1309"/>
    <x v="179"/>
    <s v="Wednesday"/>
    <d v="1899-12-30T09:51:05"/>
    <s v="FUTURE"/>
    <s v="BUY"/>
    <n v="1"/>
    <s v="TO CLOSE"/>
    <x v="15"/>
    <d v="2021-03-21T00:00:00"/>
    <m/>
    <s v="FUTURE"/>
    <n v="3920.75"/>
    <n v="3920.75"/>
    <s v="STP"/>
    <n v="0"/>
    <n v="0"/>
    <s v=""/>
    <n v="-225"/>
  </r>
  <r>
    <x v="1310"/>
    <x v="179"/>
    <s v="Wednesday"/>
    <d v="1899-12-30T09:54:38"/>
    <s v="FUTURE"/>
    <s v="SELL"/>
    <n v="-1"/>
    <s v="TO OPEN"/>
    <x v="15"/>
    <d v="2021-03-21T00:00:00"/>
    <m/>
    <s v="FUTURE"/>
    <n v="3917.75"/>
    <n v="3917.75"/>
    <s v="LMT"/>
    <n v="-1"/>
    <n v="-195887.5"/>
    <n v="3917.75"/>
    <s v=""/>
  </r>
  <r>
    <x v="1310"/>
    <x v="179"/>
    <s v="Wednesday"/>
    <d v="1899-12-30T09:58:57"/>
    <s v="FUTURE"/>
    <s v="BUY"/>
    <n v="1"/>
    <s v="TO CLOSE"/>
    <x v="15"/>
    <d v="2021-03-21T00:00:00"/>
    <m/>
    <s v="FUTURE"/>
    <n v="3914.75"/>
    <n v="3914.75"/>
    <s v="LMT"/>
    <n v="0"/>
    <n v="0"/>
    <s v=""/>
    <n v="150"/>
  </r>
  <r>
    <x v="1311"/>
    <x v="179"/>
    <s v="Wednesday"/>
    <d v="1899-12-30T10:09:31"/>
    <s v="FUTURE"/>
    <s v="BUY"/>
    <n v="1"/>
    <s v="TO OPEN"/>
    <x v="15"/>
    <d v="2021-03-21T00:00:00"/>
    <m/>
    <s v="FUTURE"/>
    <n v="3917.25"/>
    <n v="3917.25"/>
    <s v="LMT"/>
    <n v="1"/>
    <n v="195862.5"/>
    <n v="3917.25"/>
    <s v=""/>
  </r>
  <r>
    <x v="1311"/>
    <x v="179"/>
    <s v="Wednesday"/>
    <d v="1899-12-30T10:12:04"/>
    <s v="FUTURE"/>
    <s v="SELL"/>
    <n v="-1"/>
    <s v="TO CLOSE"/>
    <x v="15"/>
    <d v="2021-03-21T00:00:00"/>
    <m/>
    <s v="FUTURE"/>
    <n v="3919.5"/>
    <n v="3919.5"/>
    <s v="LMT"/>
    <n v="0"/>
    <n v="0"/>
    <s v=""/>
    <n v="112.5"/>
  </r>
  <r>
    <x v="1312"/>
    <x v="179"/>
    <s v="Wednesday"/>
    <d v="1899-12-30T10:47:57"/>
    <s v="FUTURE"/>
    <s v="BUY"/>
    <n v="4"/>
    <s v="TO OPEN"/>
    <x v="17"/>
    <d v="2021-03-21T00:00:00"/>
    <m/>
    <s v="FUTURE"/>
    <n v="3910.25"/>
    <n v="3910.25"/>
    <s v="LMT"/>
    <n v="4"/>
    <n v="78205"/>
    <n v="3910.25"/>
    <s v=""/>
  </r>
  <r>
    <x v="1312"/>
    <x v="179"/>
    <s v="Wednesday"/>
    <d v="1899-12-30T10:49:09"/>
    <s v="FUTURE"/>
    <s v="SELL"/>
    <n v="-2"/>
    <s v="TO CLOSE"/>
    <x v="17"/>
    <d v="2021-03-21T00:00:00"/>
    <m/>
    <s v="FUTURE"/>
    <n v="3913.75"/>
    <n v="3913.75"/>
    <s v="LMT"/>
    <n v="2"/>
    <n v="39067.5"/>
    <n v="3906.75"/>
    <s v=""/>
  </r>
  <r>
    <x v="1312"/>
    <x v="179"/>
    <s v="Wednesday"/>
    <d v="1899-12-30T10:49:37"/>
    <s v="FUTURE"/>
    <s v="SELL"/>
    <n v="-1"/>
    <s v="TO CLOSE"/>
    <x v="17"/>
    <d v="2021-03-21T00:00:00"/>
    <m/>
    <s v="FUTURE"/>
    <n v="3914.5"/>
    <n v="3914.5"/>
    <s v="LMT"/>
    <n v="1"/>
    <n v="19495"/>
    <n v="3899"/>
    <s v=""/>
  </r>
  <r>
    <x v="1312"/>
    <x v="179"/>
    <s v="Wednesday"/>
    <d v="1899-12-30T10:50:55"/>
    <s v="FUTURE"/>
    <s v="SELL"/>
    <n v="-1"/>
    <s v="TO CLOSE"/>
    <x v="17"/>
    <d v="2021-03-21T00:00:00"/>
    <m/>
    <s v="FUTURE"/>
    <n v="3915.25"/>
    <n v="3915.25"/>
    <s v="LMT"/>
    <n v="0"/>
    <n v="0"/>
    <s v=""/>
    <n v="81.25"/>
  </r>
  <r>
    <x v="1313"/>
    <x v="180"/>
    <s v="Thursday"/>
    <d v="1899-12-30T09:25:20"/>
    <s v="FUTURE"/>
    <s v="SELL"/>
    <n v="-1"/>
    <s v="TO OPEN"/>
    <x v="19"/>
    <d v="2021-04-21T00:00:00"/>
    <m/>
    <s v="FUTURE"/>
    <n v="61.52"/>
    <n v="61.52"/>
    <s v="LMT"/>
    <n v="-1"/>
    <n v="-61520"/>
    <n v="61.52"/>
    <s v=""/>
  </r>
  <r>
    <x v="1313"/>
    <x v="180"/>
    <s v="Thursday"/>
    <d v="1899-12-30T09:34:49"/>
    <s v="FUTURE"/>
    <s v="BUY"/>
    <n v="1"/>
    <s v="TO CLOSE"/>
    <x v="19"/>
    <d v="2021-04-21T00:00:00"/>
    <m/>
    <s v="FUTURE"/>
    <n v="61.52"/>
    <n v="61.52"/>
    <s v="STP"/>
    <n v="0"/>
    <n v="0"/>
    <s v=""/>
    <n v="0"/>
  </r>
  <r>
    <x v="1314"/>
    <x v="180"/>
    <s v="Thursday"/>
    <d v="1899-12-30T09:39:03"/>
    <s v="FUTURE"/>
    <s v="SELL"/>
    <n v="-2"/>
    <s v="TO OPEN"/>
    <x v="19"/>
    <d v="2021-04-21T00:00:00"/>
    <m/>
    <s v="FUTURE"/>
    <n v="61.47"/>
    <n v="61.47"/>
    <s v="MKT"/>
    <n v="-2"/>
    <n v="-122940"/>
    <n v="61.47"/>
    <s v=""/>
  </r>
  <r>
    <x v="1314"/>
    <x v="180"/>
    <s v="Thursday"/>
    <d v="1899-12-30T09:40:04"/>
    <s v="FUTURE"/>
    <s v="BUY"/>
    <n v="1"/>
    <s v="TO CLOSE"/>
    <x v="19"/>
    <d v="2021-04-21T00:00:00"/>
    <m/>
    <s v="FUTURE"/>
    <n v="61.39"/>
    <n v="61.39"/>
    <s v="LMT"/>
    <n v="-1"/>
    <n v="-61550"/>
    <n v="61.55"/>
    <s v=""/>
  </r>
  <r>
    <x v="1314"/>
    <x v="180"/>
    <s v="Thursday"/>
    <d v="1899-12-30T09:42:17"/>
    <s v="FUTURE"/>
    <s v="BUY"/>
    <n v="1"/>
    <s v="TO CLOSE"/>
    <x v="19"/>
    <d v="2021-04-21T00:00:00"/>
    <m/>
    <s v="FUTURE"/>
    <n v="61.36"/>
    <n v="61.36"/>
    <s v="LMT"/>
    <n v="0"/>
    <n v="0"/>
    <s v=""/>
    <n v="189.99999999999773"/>
  </r>
  <r>
    <x v="1315"/>
    <x v="180"/>
    <s v="Thursday"/>
    <d v="1899-12-30T11:01:10"/>
    <s v="FUTURE"/>
    <s v="SELL"/>
    <n v="-1"/>
    <s v="TO OPEN"/>
    <x v="19"/>
    <d v="2021-04-21T00:00:00"/>
    <m/>
    <s v="FUTURE"/>
    <n v="60.99"/>
    <n v="60.99"/>
    <s v="LMT"/>
    <n v="-1"/>
    <n v="-60990"/>
    <n v="60.99"/>
    <s v=""/>
  </r>
  <r>
    <x v="1315"/>
    <x v="180"/>
    <s v="Thursday"/>
    <d v="1899-12-30T11:01:25"/>
    <s v="FUTURE"/>
    <s v="BUY"/>
    <n v="1"/>
    <s v="TO CLOSE"/>
    <x v="19"/>
    <d v="2021-04-21T00:00:00"/>
    <m/>
    <s v="FUTURE"/>
    <n v="60.99"/>
    <n v="60.99"/>
    <s v="STP"/>
    <n v="0"/>
    <n v="0"/>
    <s v=""/>
    <n v="0"/>
  </r>
  <r>
    <x v="1316"/>
    <x v="180"/>
    <s v="Thursday"/>
    <d v="1899-12-30T11:02:23"/>
    <s v="FUTURE"/>
    <s v="SELL"/>
    <n v="-1"/>
    <s v="TO OPEN"/>
    <x v="19"/>
    <d v="2021-04-21T00:00:00"/>
    <m/>
    <s v="FUTURE"/>
    <n v="61.08"/>
    <n v="61.08"/>
    <s v="LMT"/>
    <n v="-1"/>
    <n v="-61080"/>
    <n v="61.08"/>
    <s v=""/>
  </r>
  <r>
    <x v="1316"/>
    <x v="180"/>
    <s v="Thursday"/>
    <d v="1899-12-30T11:05:11"/>
    <s v="FUTURE"/>
    <s v="BUY"/>
    <n v="1"/>
    <s v="TO CLOSE"/>
    <x v="19"/>
    <d v="2021-04-21T00:00:00"/>
    <m/>
    <s v="FUTURE"/>
    <n v="61.01"/>
    <n v="61.01"/>
    <s v="LMT"/>
    <n v="0"/>
    <n v="0"/>
    <s v=""/>
    <n v="70.000000000000284"/>
  </r>
  <r>
    <x v="1317"/>
    <x v="181"/>
    <s v="Friday"/>
    <d v="1899-12-30T09:53:17"/>
    <s v="FUTURE"/>
    <s v="BUY"/>
    <n v="1"/>
    <s v="TO OPEN"/>
    <x v="15"/>
    <d v="2021-03-21T00:00:00"/>
    <m/>
    <s v="FUTURE"/>
    <n v="3918.25"/>
    <n v="3918.25"/>
    <s v="LMT"/>
    <n v="1"/>
    <n v="195912.5"/>
    <n v="3918.25"/>
    <s v=""/>
  </r>
  <r>
    <x v="1317"/>
    <x v="181"/>
    <s v="Friday"/>
    <d v="1899-12-30T09:57:55"/>
    <s v="FUTURE"/>
    <s v="SELL"/>
    <n v="-1"/>
    <s v="TO CLOSE"/>
    <x v="15"/>
    <d v="2021-03-21T00:00:00"/>
    <m/>
    <s v="FUTURE"/>
    <n v="3921.75"/>
    <n v="3921.75"/>
    <s v="LMT"/>
    <n v="0"/>
    <n v="0"/>
    <s v=""/>
    <n v="175"/>
  </r>
  <r>
    <x v="1318"/>
    <x v="182"/>
    <s v="Monday"/>
    <d v="1899-12-30T09:34:00"/>
    <s v="FUTURE"/>
    <s v="SELL"/>
    <n v="-1"/>
    <s v="TO OPEN"/>
    <x v="19"/>
    <d v="2021-04-21T00:00:00"/>
    <m/>
    <s v="FUTURE"/>
    <n v="60.57"/>
    <n v="60.57"/>
    <s v="LMT"/>
    <n v="-1"/>
    <n v="-60570"/>
    <n v="60.57"/>
    <s v=""/>
  </r>
  <r>
    <x v="1318"/>
    <x v="182"/>
    <s v="Monday"/>
    <d v="1899-12-30T09:37:00"/>
    <s v="FUTURE"/>
    <s v="BUY"/>
    <n v="2"/>
    <s v="TO CLOSE"/>
    <x v="19"/>
    <d v="2021-04-21T00:00:00"/>
    <m/>
    <s v="FUTURE"/>
    <n v="60.71"/>
    <n v="60.71"/>
    <s v="MKT"/>
    <n v="1"/>
    <n v="60850"/>
    <n v="60.85"/>
    <s v=""/>
  </r>
  <r>
    <x v="1318"/>
    <x v="182"/>
    <s v="Monday"/>
    <d v="1899-12-30T09:40:32"/>
    <s v="FUTURE"/>
    <s v="SELL"/>
    <n v="-1"/>
    <s v="TO CLOSE"/>
    <x v="19"/>
    <d v="2021-04-21T00:00:00"/>
    <m/>
    <s v="FUTURE"/>
    <n v="60.8"/>
    <n v="60.8"/>
    <s v="LMT"/>
    <n v="0"/>
    <n v="0"/>
    <s v=""/>
    <n v="-50.000000000004263"/>
  </r>
  <r>
    <x v="1319"/>
    <x v="182"/>
    <s v="Monday"/>
    <d v="1899-12-30T09:46:01"/>
    <s v="FUTURE"/>
    <s v="SELL"/>
    <n v="-1"/>
    <s v="TO OPEN"/>
    <x v="19"/>
    <d v="2021-04-21T00:00:00"/>
    <m/>
    <s v="FUTURE"/>
    <n v="60.62"/>
    <n v="60.62"/>
    <s v="LMT"/>
    <n v="-1"/>
    <n v="-60620"/>
    <n v="60.62"/>
    <s v=""/>
  </r>
  <r>
    <x v="1319"/>
    <x v="182"/>
    <s v="Monday"/>
    <d v="1899-12-30T09:54:15"/>
    <s v="FUTURE"/>
    <s v="BUY"/>
    <n v="1"/>
    <s v="TO CLOSE"/>
    <x v="19"/>
    <d v="2021-04-21T00:00:00"/>
    <m/>
    <s v="FUTURE"/>
    <n v="60.82"/>
    <n v="60.82"/>
    <s v="STP"/>
    <n v="0"/>
    <n v="0"/>
    <s v=""/>
    <n v="-200.00000000000284"/>
  </r>
  <r>
    <x v="1320"/>
    <x v="182"/>
    <s v="Monday"/>
    <d v="1899-12-30T09:36:10"/>
    <s v="FUTURE"/>
    <s v="SELL"/>
    <n v="-1"/>
    <s v="TO OPEN"/>
    <x v="15"/>
    <d v="2021-03-21T00:00:00"/>
    <m/>
    <s v="FUTURE"/>
    <n v="3873.75"/>
    <n v="3873.75"/>
    <s v="LMT"/>
    <n v="-1"/>
    <n v="-193687.5"/>
    <n v="3873.75"/>
    <s v=""/>
  </r>
  <r>
    <x v="1320"/>
    <x v="182"/>
    <s v="Monday"/>
    <d v="1899-12-30T09:36:56"/>
    <s v="FUTURE"/>
    <s v="BUY"/>
    <n v="1"/>
    <s v="TO CLOSE"/>
    <x v="15"/>
    <d v="2021-03-21T00:00:00"/>
    <m/>
    <s v="FUTURE"/>
    <n v="3877.75"/>
    <n v="3877.75"/>
    <s v="STP"/>
    <n v="0"/>
    <n v="0"/>
    <s v=""/>
    <n v="-200"/>
  </r>
  <r>
    <x v="1321"/>
    <x v="182"/>
    <s v="Monday"/>
    <d v="1899-12-30T09:37:55"/>
    <s v="FUTURE"/>
    <s v="BUY"/>
    <n v="1"/>
    <s v="TO OPEN"/>
    <x v="15"/>
    <d v="2021-03-21T00:00:00"/>
    <m/>
    <s v="FUTURE"/>
    <n v="3882.25"/>
    <n v="3882.25"/>
    <s v="LMT"/>
    <n v="1"/>
    <n v="194112.5"/>
    <n v="3882.25"/>
    <s v=""/>
  </r>
  <r>
    <x v="1321"/>
    <x v="182"/>
    <s v="Monday"/>
    <d v="1899-12-30T09:39:49"/>
    <s v="FUTURE"/>
    <s v="SELL"/>
    <n v="-1"/>
    <s v="TO CLOSE"/>
    <x v="15"/>
    <d v="2021-03-21T00:00:00"/>
    <m/>
    <s v="FUTURE"/>
    <n v="3880"/>
    <n v="3880"/>
    <s v="MKT"/>
    <n v="0"/>
    <n v="0"/>
    <s v=""/>
    <n v="-112.5"/>
  </r>
  <r>
    <x v="1322"/>
    <x v="182"/>
    <s v="Monday"/>
    <d v="1899-12-30T09:41:31"/>
    <s v="FUTURE"/>
    <s v="SELL"/>
    <n v="-1"/>
    <s v="TO OPEN"/>
    <x v="15"/>
    <d v="2021-03-21T00:00:00"/>
    <m/>
    <s v="FUTURE"/>
    <n v="3877.25"/>
    <n v="3877.25"/>
    <s v="LMT"/>
    <n v="-1"/>
    <n v="-193862.5"/>
    <n v="3877.25"/>
    <s v=""/>
  </r>
  <r>
    <x v="1322"/>
    <x v="182"/>
    <s v="Monday"/>
    <d v="1899-12-30T09:42:30"/>
    <s v="FUTURE"/>
    <s v="BUY"/>
    <n v="1"/>
    <s v="TO CLOSE"/>
    <x v="15"/>
    <d v="2021-03-21T00:00:00"/>
    <m/>
    <s v="FUTURE"/>
    <n v="3877.25"/>
    <n v="3877.25"/>
    <s v="STP"/>
    <n v="0"/>
    <n v="0"/>
    <s v=""/>
    <n v="0"/>
  </r>
  <r>
    <x v="1323"/>
    <x v="182"/>
    <s v="Monday"/>
    <d v="1899-12-30T09:47:46"/>
    <s v="FUTURE"/>
    <s v="BUY"/>
    <n v="1"/>
    <s v="TO OPEN"/>
    <x v="15"/>
    <d v="2021-03-21T00:00:00"/>
    <m/>
    <s v="FUTURE"/>
    <n v="3881.5"/>
    <n v="3881.5"/>
    <s v="LMT"/>
    <n v="1"/>
    <n v="194075"/>
    <n v="3881.5"/>
    <s v=""/>
  </r>
  <r>
    <x v="1323"/>
    <x v="182"/>
    <s v="Monday"/>
    <d v="1899-12-30T09:49:43"/>
    <s v="FUTURE"/>
    <s v="SELL"/>
    <n v="-1"/>
    <s v="TO CLOSE"/>
    <x v="15"/>
    <d v="2021-03-21T00:00:00"/>
    <m/>
    <s v="FUTURE"/>
    <n v="3883"/>
    <n v="3883"/>
    <s v="LMT"/>
    <n v="0"/>
    <n v="0"/>
    <s v=""/>
    <n v="75"/>
  </r>
  <r>
    <x v="1324"/>
    <x v="182"/>
    <s v="Monday"/>
    <d v="1899-12-30T09:55:17"/>
    <s v="FUTURE"/>
    <s v="BUY"/>
    <n v="1"/>
    <s v="TO OPEN"/>
    <x v="15"/>
    <d v="2021-03-21T00:00:00"/>
    <m/>
    <s v="FUTURE"/>
    <n v="3884.5"/>
    <n v="3884.5"/>
    <s v="LMT"/>
    <n v="1"/>
    <n v="194225"/>
    <n v="3884.5"/>
    <s v=""/>
  </r>
  <r>
    <x v="1324"/>
    <x v="182"/>
    <s v="Monday"/>
    <d v="1899-12-30T09:57:50"/>
    <s v="FUTURE"/>
    <s v="SELL"/>
    <n v="-1"/>
    <s v="TO CLOSE"/>
    <x v="15"/>
    <d v="2021-03-21T00:00:00"/>
    <m/>
    <s v="FUTURE"/>
    <n v="3880"/>
    <n v="3880"/>
    <s v="STP"/>
    <n v="0"/>
    <n v="0"/>
    <s v=""/>
    <n v="-225"/>
  </r>
  <r>
    <x v="1325"/>
    <x v="183"/>
    <s v="Tuesday"/>
    <d v="1899-12-30T09:17:11"/>
    <s v="FUTURE"/>
    <s v="BUY"/>
    <n v="1"/>
    <s v="TO OPEN"/>
    <x v="19"/>
    <d v="2021-04-21T00:00:00"/>
    <m/>
    <s v="FUTURE"/>
    <n v="61.39"/>
    <n v="61.39"/>
    <s v="LMT"/>
    <n v="1"/>
    <n v="61390"/>
    <n v="61.39"/>
    <s v=""/>
  </r>
  <r>
    <x v="1325"/>
    <x v="183"/>
    <s v="Tuesday"/>
    <d v="1899-12-30T09:32:29"/>
    <s v="FUTURE"/>
    <s v="BUY"/>
    <n v="1"/>
    <s v="TO OPEN"/>
    <x v="19"/>
    <d v="2021-04-21T00:00:00"/>
    <m/>
    <s v="FUTURE"/>
    <n v="61.09"/>
    <n v="61.09"/>
    <s v="LMT"/>
    <n v="2"/>
    <n v="122480"/>
    <n v="61.24"/>
    <s v=""/>
  </r>
  <r>
    <x v="1325"/>
    <x v="183"/>
    <s v="Tuesday"/>
    <d v="1899-12-30T09:55:15"/>
    <s v="FUTURE"/>
    <s v="SELL"/>
    <n v="-1"/>
    <s v="TO CLOSE"/>
    <x v="19"/>
    <d v="2021-04-21T00:00:00"/>
    <m/>
    <s v="FUTURE"/>
    <n v="61.3"/>
    <n v="61.3"/>
    <s v="LMT"/>
    <n v="1"/>
    <n v="61180"/>
    <n v="61.18"/>
    <s v=""/>
  </r>
  <r>
    <x v="1325"/>
    <x v="183"/>
    <s v="Tuesday"/>
    <d v="1899-12-30T09:57:18"/>
    <s v="FUTURE"/>
    <s v="SELL"/>
    <n v="-1"/>
    <s v="TO CLOSE"/>
    <x v="19"/>
    <d v="2021-04-21T00:00:00"/>
    <m/>
    <s v="FUTURE"/>
    <n v="61.39"/>
    <n v="61.39"/>
    <s v="STP"/>
    <n v="0"/>
    <n v="0"/>
    <s v=""/>
    <n v="210.00000000000085"/>
  </r>
  <r>
    <x v="1326"/>
    <x v="183"/>
    <s v="Tuesday"/>
    <d v="1899-12-30T10:16:22"/>
    <s v="FUTURE"/>
    <s v="SELL"/>
    <n v="-1"/>
    <s v="TO OPEN"/>
    <x v="19"/>
    <d v="2021-04-21T00:00:00"/>
    <m/>
    <s v="FUTURE"/>
    <n v="61.56"/>
    <n v="61.56"/>
    <s v="LMT"/>
    <n v="-1"/>
    <n v="-61560"/>
    <n v="61.56"/>
    <s v=""/>
  </r>
  <r>
    <x v="1326"/>
    <x v="183"/>
    <s v="Tuesday"/>
    <d v="1899-12-30T10:24:47"/>
    <s v="FUTURE"/>
    <s v="SELL"/>
    <n v="-1"/>
    <s v="TO OPEN"/>
    <x v="19"/>
    <d v="2021-04-21T00:00:00"/>
    <m/>
    <s v="FUTURE"/>
    <n v="61.8"/>
    <n v="61.8"/>
    <s v="LMT"/>
    <n v="-2"/>
    <n v="-123360"/>
    <n v="61.68"/>
    <s v=""/>
  </r>
  <r>
    <x v="1326"/>
    <x v="183"/>
    <s v="Tuesday"/>
    <d v="1899-12-30T10:32:05"/>
    <s v="FUTURE"/>
    <s v="BUY"/>
    <n v="1"/>
    <s v="TO CLOSE"/>
    <x v="19"/>
    <d v="2021-04-21T00:00:00"/>
    <m/>
    <s v="FUTURE"/>
    <n v="61.65"/>
    <n v="61.65"/>
    <s v="LMT"/>
    <n v="-1"/>
    <n v="-61710"/>
    <n v="61.71"/>
    <s v=""/>
  </r>
  <r>
    <x v="1326"/>
    <x v="183"/>
    <s v="Tuesday"/>
    <d v="1899-12-30T10:35:12"/>
    <s v="FUTURE"/>
    <s v="BUY"/>
    <n v="1"/>
    <s v="TO CLOSE"/>
    <x v="19"/>
    <d v="2021-04-21T00:00:00"/>
    <m/>
    <s v="FUTURE"/>
    <n v="61.49"/>
    <n v="61.49"/>
    <s v="LMT"/>
    <n v="0"/>
    <n v="0"/>
    <s v=""/>
    <n v="219.99999999999886"/>
  </r>
  <r>
    <x v="1327"/>
    <x v="183"/>
    <s v="Tuesday"/>
    <d v="1899-12-30T11:10:26"/>
    <s v="FUTURE"/>
    <s v="SELL"/>
    <n v="-1"/>
    <s v="TO OPEN"/>
    <x v="15"/>
    <d v="2021-03-21T00:00:00"/>
    <m/>
    <s v="FUTURE"/>
    <n v="3861"/>
    <n v="3861"/>
    <s v="LMT"/>
    <n v="-1"/>
    <n v="-193050"/>
    <n v="3861"/>
    <s v=""/>
  </r>
  <r>
    <x v="1327"/>
    <x v="183"/>
    <s v="Tuesday"/>
    <d v="1899-12-30T11:11:00"/>
    <s v="FUTURE"/>
    <s v="BUY"/>
    <n v="1"/>
    <s v="TO CLOSE"/>
    <x v="15"/>
    <d v="2021-03-21T00:00:00"/>
    <m/>
    <s v="FUTURE"/>
    <n v="3861"/>
    <n v="3861"/>
    <s v="STP"/>
    <n v="0"/>
    <n v="0"/>
    <s v=""/>
    <n v="0"/>
  </r>
  <r>
    <x v="1328"/>
    <x v="183"/>
    <s v="Tuesday"/>
    <d v="1899-12-30T11:53:47"/>
    <s v="FUTURE"/>
    <s v="BUY"/>
    <n v="1"/>
    <s v="TO OPEN"/>
    <x v="15"/>
    <d v="2021-03-21T00:00:00"/>
    <m/>
    <s v="FUTURE"/>
    <n v="3845.75"/>
    <n v="3845.75"/>
    <s v="LMT"/>
    <n v="1"/>
    <n v="192287.5"/>
    <n v="3845.75"/>
    <s v=""/>
  </r>
  <r>
    <x v="1328"/>
    <x v="183"/>
    <s v="Tuesday"/>
    <d v="1899-12-30T13:22:56"/>
    <s v="FUTURE"/>
    <s v="SELL"/>
    <n v="-1"/>
    <s v="TO CLOSE"/>
    <x v="15"/>
    <d v="2021-03-21T00:00:00"/>
    <m/>
    <s v="FUTURE"/>
    <n v="3849.75"/>
    <n v="3849.75"/>
    <s v="MKT"/>
    <n v="0"/>
    <n v="0"/>
    <s v=""/>
    <n v="200"/>
  </r>
  <r>
    <x v="1329"/>
    <x v="183"/>
    <s v="Tuesday"/>
    <d v="1899-12-30T13:14:14"/>
    <s v="STOCK"/>
    <s v="SELL"/>
    <n v="-200"/>
    <s v="TO OPEN"/>
    <x v="2"/>
    <m/>
    <m/>
    <s v="STOCK"/>
    <n v="15.780099999999999"/>
    <n v="15.780099999999999"/>
    <s v="LMT"/>
    <n v="-200"/>
    <n v="-3156.02"/>
    <n v="15.780099999999999"/>
    <s v=""/>
  </r>
  <r>
    <x v="1329"/>
    <x v="183"/>
    <s v="Tuesday"/>
    <d v="1899-12-30T13:34:47"/>
    <s v="STOCK"/>
    <s v="BUY"/>
    <n v="100"/>
    <s v="TO CLOSE"/>
    <x v="2"/>
    <m/>
    <m/>
    <s v="STOCK"/>
    <n v="15.6089"/>
    <n v="15.6089"/>
    <s v="LMT"/>
    <n v="-100"/>
    <n v="-1595.1299999999999"/>
    <n v="15.951299999999998"/>
    <s v=""/>
  </r>
  <r>
    <x v="1329"/>
    <x v="183"/>
    <s v="Tuesday"/>
    <d v="1899-12-30T13:52:42"/>
    <s v="STOCK"/>
    <s v="BUY"/>
    <n v="100"/>
    <s v="TO CLOSE"/>
    <x v="2"/>
    <m/>
    <m/>
    <s v="STOCK"/>
    <n v="15.658899999999999"/>
    <n v="15.658899999999999"/>
    <s v="LMT"/>
    <n v="0"/>
    <n v="0"/>
    <s v=""/>
    <n v="29.239999999999888"/>
  </r>
  <r>
    <x v="1330"/>
    <x v="184"/>
    <s v="Wednesday"/>
    <d v="1899-12-30T10:42:51"/>
    <s v="FUTURE"/>
    <s v="SELL"/>
    <n v="-1"/>
    <s v="TO OPEN"/>
    <x v="19"/>
    <d v="2021-04-21T00:00:00"/>
    <m/>
    <s v="FUTURE"/>
    <n v="63.22"/>
    <n v="63.22"/>
    <s v="LMT"/>
    <n v="-1"/>
    <n v="-63220"/>
    <n v="63.22"/>
    <s v=""/>
  </r>
  <r>
    <x v="1330"/>
    <x v="184"/>
    <s v="Wednesday"/>
    <d v="1899-12-30T10:44:44"/>
    <s v="FUTURE"/>
    <s v="BUY"/>
    <n v="1"/>
    <s v="TO CLOSE"/>
    <x v="19"/>
    <d v="2021-04-21T00:00:00"/>
    <m/>
    <s v="FUTURE"/>
    <n v="63.2"/>
    <n v="63.2"/>
    <s v="STP"/>
    <n v="0"/>
    <n v="0"/>
    <s v=""/>
    <n v="19.999999999996021"/>
  </r>
  <r>
    <x v="1331"/>
    <x v="184"/>
    <s v="Wednesday"/>
    <d v="1899-12-30T10:23:41"/>
    <s v="FUTURE"/>
    <s v="BUY"/>
    <n v="1"/>
    <s v="TO OPEN"/>
    <x v="15"/>
    <d v="2021-03-21T00:00:00"/>
    <m/>
    <s v="FUTURE"/>
    <n v="3872.5"/>
    <n v="3872.5"/>
    <s v="LMT"/>
    <n v="1"/>
    <n v="193625"/>
    <n v="3872.5"/>
    <s v=""/>
  </r>
  <r>
    <x v="1331"/>
    <x v="184"/>
    <s v="Wednesday"/>
    <d v="1899-12-30T10:23:56"/>
    <s v="FUTURE"/>
    <s v="SELL"/>
    <n v="-1"/>
    <s v="TO CLOSE"/>
    <x v="15"/>
    <d v="2021-03-21T00:00:00"/>
    <m/>
    <s v="FUTURE"/>
    <n v="3875.5"/>
    <n v="3875.5"/>
    <s v="LMT"/>
    <n v="0"/>
    <n v="0"/>
    <s v=""/>
    <n v="150"/>
  </r>
  <r>
    <x v="1332"/>
    <x v="185"/>
    <s v="Monday"/>
    <d v="1899-12-30T10:20:49"/>
    <s v="FUTURE"/>
    <s v="BUY"/>
    <n v="1"/>
    <s v="TO OPEN"/>
    <x v="19"/>
    <d v="2021-04-21T00:00:00"/>
    <m/>
    <s v="FUTURE"/>
    <n v="61.92"/>
    <n v="61.92"/>
    <s v="LMT"/>
    <n v="1"/>
    <n v="61920"/>
    <n v="61.92"/>
    <s v=""/>
  </r>
  <r>
    <x v="1332"/>
    <x v="185"/>
    <s v="Monday"/>
    <d v="1899-12-30T10:25:42"/>
    <s v="FUTURE"/>
    <s v="BUY"/>
    <n v="1"/>
    <s v="TO OPEN"/>
    <x v="19"/>
    <d v="2021-04-21T00:00:00"/>
    <m/>
    <s v="FUTURE"/>
    <n v="61.71"/>
    <n v="61.71"/>
    <s v="LMT"/>
    <n v="2"/>
    <n v="123630"/>
    <n v="61.814999999999998"/>
    <s v=""/>
  </r>
  <r>
    <x v="1332"/>
    <x v="185"/>
    <s v="Monday"/>
    <d v="1899-12-30T11:09:15"/>
    <s v="FUTURE"/>
    <s v="SELL"/>
    <n v="-1"/>
    <s v="TO CLOSE"/>
    <x v="19"/>
    <d v="2021-04-21T00:00:00"/>
    <m/>
    <s v="FUTURE"/>
    <n v="61.83"/>
    <n v="61.83"/>
    <s v="LMT"/>
    <n v="1"/>
    <n v="61800"/>
    <n v="61.8"/>
    <s v=""/>
  </r>
  <r>
    <x v="1332"/>
    <x v="185"/>
    <s v="Monday"/>
    <d v="1899-12-30T11:23:59"/>
    <s v="FUTURE"/>
    <s v="SELL"/>
    <n v="-1"/>
    <s v="TO CLOSE"/>
    <x v="19"/>
    <d v="2021-04-21T00:00:00"/>
    <m/>
    <s v="FUTURE"/>
    <n v="61.82"/>
    <n v="61.82"/>
    <s v="LMT"/>
    <n v="0"/>
    <n v="0"/>
    <s v=""/>
    <n v="20.000000000003126"/>
  </r>
  <r>
    <x v="1333"/>
    <x v="185"/>
    <s v="Monday"/>
    <d v="1899-12-30T11:23:59"/>
    <s v="FUTURE"/>
    <s v="SELL"/>
    <n v="-1"/>
    <s v="TO OPEN"/>
    <x v="15"/>
    <d v="2021-03-21T00:00:00"/>
    <m/>
    <s v="FUTURE"/>
    <n v="3895"/>
    <n v="3895"/>
    <s v="LMT"/>
    <n v="-1"/>
    <n v="-194750"/>
    <n v="3895"/>
    <s v=""/>
  </r>
  <r>
    <x v="1333"/>
    <x v="185"/>
    <s v="Monday"/>
    <d v="1899-12-30T11:26:27"/>
    <s v="FUTURE"/>
    <s v="BUY"/>
    <n v="1"/>
    <s v="TO CLOSE"/>
    <x v="15"/>
    <d v="2021-03-21T00:00:00"/>
    <m/>
    <s v="FUTURE"/>
    <n v="3891.75"/>
    <n v="3891.75"/>
    <s v="LMT"/>
    <n v="0"/>
    <n v="0"/>
    <s v=""/>
    <n v="162.5"/>
  </r>
  <r>
    <x v="1334"/>
    <x v="186"/>
    <s v="Tuesday"/>
    <d v="1899-12-30T10:34:55"/>
    <s v="FUTURE"/>
    <s v="SELL"/>
    <n v="-1"/>
    <s v="TO OPEN"/>
    <x v="19"/>
    <d v="2021-04-21T00:00:00"/>
    <m/>
    <s v="FUTURE"/>
    <n v="60.8"/>
    <n v="60.8"/>
    <s v="LMT"/>
    <n v="-1"/>
    <n v="-60800"/>
    <n v="60.8"/>
    <s v=""/>
  </r>
  <r>
    <x v="1334"/>
    <x v="186"/>
    <s v="Tuesday"/>
    <d v="1899-12-30T10:37:47"/>
    <s v="FUTURE"/>
    <s v="BUY"/>
    <n v="1"/>
    <s v="TO CLOSE"/>
    <x v="19"/>
    <d v="2021-04-21T00:00:00"/>
    <m/>
    <s v="FUTURE"/>
    <n v="60.64"/>
    <n v="60.64"/>
    <s v="LMT"/>
    <n v="0"/>
    <n v="0"/>
    <s v=""/>
    <n v="159.99999999999659"/>
  </r>
  <r>
    <x v="1335"/>
    <x v="186"/>
    <s v="Tuesday"/>
    <d v="1899-12-30T11:05:54"/>
    <s v="FUTURE"/>
    <s v="BUY"/>
    <n v="1"/>
    <s v="TO OPEN"/>
    <x v="19"/>
    <d v="2021-04-21T00:00:00"/>
    <m/>
    <s v="FUTURE"/>
    <n v="60.71"/>
    <n v="60.71"/>
    <s v="LMT"/>
    <n v="1"/>
    <n v="60710"/>
    <n v="60.71"/>
    <s v=""/>
  </r>
  <r>
    <x v="1335"/>
    <x v="186"/>
    <s v="Tuesday"/>
    <d v="1899-12-30T11:15:08"/>
    <s v="FUTURE"/>
    <s v="SELL"/>
    <n v="-1"/>
    <s v="TO CLOSE"/>
    <x v="19"/>
    <d v="2021-04-21T00:00:00"/>
    <m/>
    <s v="FUTURE"/>
    <n v="60.85"/>
    <n v="60.85"/>
    <s v="LMT"/>
    <n v="0"/>
    <n v="0"/>
    <s v=""/>
    <n v="140.00000000000057"/>
  </r>
  <r>
    <x v="1336"/>
    <x v="186"/>
    <s v="Tuesday"/>
    <d v="1899-12-30T10:11:13"/>
    <s v="FUTURE"/>
    <s v="BUY"/>
    <n v="1"/>
    <s v="TO OPEN"/>
    <x v="15"/>
    <d v="2021-03-21T00:00:00"/>
    <m/>
    <s v="FUTURE"/>
    <n v="3898.75"/>
    <n v="3898.75"/>
    <s v="LMT"/>
    <n v="1"/>
    <n v="194937.5"/>
    <n v="3898.75"/>
    <s v=""/>
  </r>
  <r>
    <x v="1336"/>
    <x v="186"/>
    <s v="Tuesday"/>
    <d v="1899-12-30T10:11:21"/>
    <s v="FUTURE"/>
    <s v="SELL"/>
    <n v="-1"/>
    <s v="TO CLOSE"/>
    <x v="15"/>
    <d v="2021-03-21T00:00:00"/>
    <m/>
    <s v="FUTURE"/>
    <n v="3894.75"/>
    <n v="3894.75"/>
    <s v="STP"/>
    <n v="0"/>
    <n v="0"/>
    <s v=""/>
    <n v="-200"/>
  </r>
  <r>
    <x v="1337"/>
    <x v="186"/>
    <s v="Tuesday"/>
    <d v="1899-12-30T10:12:10"/>
    <s v="FUTURE"/>
    <s v="SELL"/>
    <n v="-1"/>
    <s v="TO OPEN"/>
    <x v="15"/>
    <d v="2021-03-21T00:00:00"/>
    <m/>
    <s v="FUTURE"/>
    <n v="3891"/>
    <n v="3891"/>
    <s v="MKT"/>
    <n v="-1"/>
    <n v="-194550"/>
    <n v="3891"/>
    <s v=""/>
  </r>
  <r>
    <x v="1337"/>
    <x v="186"/>
    <s v="Tuesday"/>
    <d v="1899-12-30T10:29:36"/>
    <s v="FUTURE"/>
    <s v="BUY"/>
    <n v="1"/>
    <s v="TO CLOSE"/>
    <x v="15"/>
    <d v="2021-03-21T00:00:00"/>
    <m/>
    <s v="FUTURE"/>
    <n v="3883"/>
    <n v="3883"/>
    <s v="LMT"/>
    <n v="0"/>
    <n v="0"/>
    <s v=""/>
    <n v="400"/>
  </r>
  <r>
    <x v="1338"/>
    <x v="186"/>
    <s v="Tuesday"/>
    <d v="1899-12-30T11:08:21"/>
    <s v="FUTURE"/>
    <s v="BUY"/>
    <n v="1"/>
    <s v="TO OPEN"/>
    <x v="15"/>
    <d v="2021-03-21T00:00:00"/>
    <m/>
    <s v="FUTURE"/>
    <n v="3884"/>
    <n v="3884"/>
    <s v="STP"/>
    <n v="1"/>
    <n v="194200"/>
    <n v="3884"/>
    <s v=""/>
  </r>
  <r>
    <x v="1338"/>
    <x v="186"/>
    <s v="Tuesday"/>
    <d v="1899-12-30T12:11:44"/>
    <s v="FUTURE"/>
    <s v="SELL"/>
    <n v="-1"/>
    <s v="TO CLOSE"/>
    <x v="15"/>
    <d v="2021-03-21T00:00:00"/>
    <m/>
    <s v="FUTURE"/>
    <n v="3882.5"/>
    <n v="3882.5"/>
    <s v="LMT"/>
    <n v="0"/>
    <n v="0"/>
    <s v=""/>
    <n v="-75"/>
  </r>
  <r>
    <x v="1339"/>
    <x v="187"/>
    <s v="Wednesday"/>
    <d v="1899-12-30T09:00:03"/>
    <s v="FUTURE"/>
    <s v="SELL"/>
    <n v="-1"/>
    <s v="TO OPEN"/>
    <x v="19"/>
    <d v="2021-04-21T00:00:00"/>
    <m/>
    <s v="FUTURE"/>
    <n v="60.92"/>
    <n v="60.92"/>
    <s v="LMT"/>
    <n v="-1"/>
    <n v="-60920"/>
    <n v="60.92"/>
    <s v=""/>
  </r>
  <r>
    <x v="1339"/>
    <x v="187"/>
    <s v="Wednesday"/>
    <d v="1899-12-30T09:17:28"/>
    <s v="FUTURE"/>
    <s v="BUY"/>
    <n v="1"/>
    <s v="TO CLOSE"/>
    <x v="19"/>
    <d v="2021-04-21T00:00:00"/>
    <m/>
    <s v="FUTURE"/>
    <n v="60.75"/>
    <n v="60.75"/>
    <s v="LMT"/>
    <n v="0"/>
    <n v="0"/>
    <s v=""/>
    <n v="170.00000000000171"/>
  </r>
  <r>
    <x v="1340"/>
    <x v="187"/>
    <s v="Wednesday"/>
    <d v="1899-12-30T10:00:27"/>
    <s v="FUTURE"/>
    <s v="SELL"/>
    <n v="-4"/>
    <s v="TO OPEN"/>
    <x v="17"/>
    <d v="2021-03-21T00:00:00"/>
    <m/>
    <s v="FUTURE"/>
    <n v="3850"/>
    <n v="3850"/>
    <s v="LMT"/>
    <n v="-4"/>
    <n v="-77000"/>
    <n v="3850"/>
    <s v=""/>
  </r>
  <r>
    <x v="1340"/>
    <x v="187"/>
    <s v="Wednesday"/>
    <d v="1899-12-30T10:01:06"/>
    <s v="FUTURE"/>
    <s v="BUY"/>
    <n v="2"/>
    <s v="TO CLOSE"/>
    <x v="17"/>
    <d v="2021-03-21T00:00:00"/>
    <m/>
    <s v="FUTURE"/>
    <n v="3845.5"/>
    <n v="3845.5"/>
    <s v="LMT"/>
    <n v="-2"/>
    <n v="-38545"/>
    <n v="3854.5"/>
    <s v=""/>
  </r>
  <r>
    <x v="1340"/>
    <x v="187"/>
    <s v="Wednesday"/>
    <d v="1899-12-30T10:01:36"/>
    <s v="FUTURE"/>
    <s v="BUY"/>
    <n v="1"/>
    <s v="TO CLOSE"/>
    <x v="17"/>
    <d v="2021-03-21T00:00:00"/>
    <m/>
    <s v="FUTURE"/>
    <n v="3845.25"/>
    <n v="3845.25"/>
    <s v="LMT"/>
    <n v="-1"/>
    <n v="-19318.75"/>
    <n v="3863.75"/>
    <s v=""/>
  </r>
  <r>
    <x v="1340"/>
    <x v="187"/>
    <s v="Wednesday"/>
    <d v="1899-12-30T10:02:01"/>
    <s v="FUTURE"/>
    <s v="BUY"/>
    <n v="1"/>
    <s v="TO CLOSE"/>
    <x v="17"/>
    <d v="2021-03-21T00:00:00"/>
    <m/>
    <s v="FUTURE"/>
    <n v="3845"/>
    <n v="3845"/>
    <s v="LMT"/>
    <n v="0"/>
    <n v="0"/>
    <s v=""/>
    <n v="93.75"/>
  </r>
  <r>
    <x v="1341"/>
    <x v="187"/>
    <s v="Wednesday"/>
    <d v="1899-12-30T10:20:07"/>
    <s v="FUTURE"/>
    <s v="BUY"/>
    <n v="2"/>
    <s v="TO OPEN"/>
    <x v="17"/>
    <d v="2021-03-21T00:00:00"/>
    <m/>
    <s v="FUTURE"/>
    <n v="3836.5"/>
    <n v="3836.5"/>
    <s v="LMT"/>
    <n v="2"/>
    <n v="38365"/>
    <n v="3836.5"/>
    <s v=""/>
  </r>
  <r>
    <x v="1341"/>
    <x v="187"/>
    <s v="Wednesday"/>
    <d v="1899-12-30T10:24:24"/>
    <s v="FUTURE"/>
    <s v="SELL"/>
    <n v="-1"/>
    <s v="TO CLOSE"/>
    <x v="17"/>
    <d v="2021-03-21T00:00:00"/>
    <m/>
    <s v="FUTURE"/>
    <n v="3843.75"/>
    <n v="3843.75"/>
    <s v="LMT"/>
    <n v="1"/>
    <n v="19146.25"/>
    <n v="3829.25"/>
    <s v=""/>
  </r>
  <r>
    <x v="1341"/>
    <x v="187"/>
    <s v="Wednesday"/>
    <d v="1899-12-30T10:25:13"/>
    <s v="FUTURE"/>
    <s v="SELL"/>
    <n v="-1"/>
    <s v="TO CLOSE"/>
    <x v="17"/>
    <d v="2021-03-21T00:00:00"/>
    <m/>
    <s v="FUTURE"/>
    <n v="3846.5"/>
    <n v="3846.5"/>
    <s v="LMT"/>
    <n v="0"/>
    <n v="0"/>
    <s v=""/>
    <n v="86.25"/>
  </r>
  <r>
    <x v="1342"/>
    <x v="188"/>
    <s v="Thursday"/>
    <d v="1899-12-30T10:03:04"/>
    <s v="FUTURE"/>
    <s v="BUY"/>
    <n v="1"/>
    <s v="TO OPEN"/>
    <x v="15"/>
    <d v="2021-03-21T00:00:00"/>
    <m/>
    <s v="FUTURE"/>
    <n v="3812.5"/>
    <n v="3812.5"/>
    <s v="LMT"/>
    <n v="1"/>
    <n v="190625"/>
    <n v="3812.5"/>
    <s v=""/>
  </r>
  <r>
    <x v="1342"/>
    <x v="188"/>
    <s v="Thursday"/>
    <d v="1899-12-30T10:44:21"/>
    <s v="FUTURE"/>
    <s v="SELL"/>
    <n v="-1"/>
    <s v="TO CLOSE"/>
    <x v="15"/>
    <d v="2021-03-21T00:00:00"/>
    <m/>
    <s v="FUTURE"/>
    <n v="3821"/>
    <n v="3821"/>
    <s v="LMT"/>
    <n v="0"/>
    <n v="0"/>
    <s v=""/>
    <n v="425"/>
  </r>
  <r>
    <x v="1343"/>
    <x v="189"/>
    <s v="Monday"/>
    <d v="1899-12-30T09:39:57"/>
    <s v="FUTURE"/>
    <s v="BUY"/>
    <n v="1"/>
    <s v="TO OPEN"/>
    <x v="19"/>
    <d v="2021-04-21T00:00:00"/>
    <m/>
    <s v="FUTURE"/>
    <n v="65.64"/>
    <n v="65.64"/>
    <s v="LMT"/>
    <n v="1"/>
    <n v="65640"/>
    <n v="65.64"/>
    <s v=""/>
  </r>
  <r>
    <x v="1343"/>
    <x v="189"/>
    <s v="Monday"/>
    <d v="1899-12-30T09:43:06"/>
    <s v="FUTURE"/>
    <s v="SELL"/>
    <n v="-1"/>
    <s v="TO CLOSE"/>
    <x v="19"/>
    <d v="2021-04-21T00:00:00"/>
    <m/>
    <s v="FUTURE"/>
    <n v="65.819999999999993"/>
    <n v="65.819999999999993"/>
    <s v="LMT"/>
    <n v="0"/>
    <n v="0"/>
    <s v=""/>
    <n v="179.99999999999261"/>
  </r>
  <r>
    <x v="1344"/>
    <x v="189"/>
    <s v="Monday"/>
    <d v="1899-12-30T10:30:18"/>
    <s v="FUTURE"/>
    <s v="BUY"/>
    <n v="1"/>
    <s v="TO OPEN"/>
    <x v="19"/>
    <d v="2021-04-21T00:00:00"/>
    <m/>
    <s v="FUTURE"/>
    <n v="65.290000000000006"/>
    <n v="65.290000000000006"/>
    <s v="LMT"/>
    <n v="1"/>
    <n v="65290.000000000007"/>
    <n v="65.290000000000006"/>
    <s v=""/>
  </r>
  <r>
    <x v="1344"/>
    <x v="189"/>
    <s v="Monday"/>
    <d v="1899-12-30T10:32:40"/>
    <s v="FUTURE"/>
    <s v="SELL"/>
    <n v="-1"/>
    <s v="TO CLOSE"/>
    <x v="19"/>
    <d v="2021-04-21T00:00:00"/>
    <m/>
    <s v="FUTURE"/>
    <n v="65.290000000000006"/>
    <n v="65.290000000000006"/>
    <s v="STP"/>
    <n v="0"/>
    <n v="0"/>
    <s v=""/>
    <n v="0"/>
  </r>
  <r>
    <x v="1345"/>
    <x v="189"/>
    <s v="Monday"/>
    <d v="1899-12-30T10:35:31"/>
    <s v="FUTURE"/>
    <s v="BUY"/>
    <n v="1"/>
    <s v="TO OPEN"/>
    <x v="19"/>
    <d v="2021-04-21T00:00:00"/>
    <m/>
    <s v="FUTURE"/>
    <n v="65.260000000000005"/>
    <n v="65.260000000000005"/>
    <s v="LMT"/>
    <n v="1"/>
    <n v="65260.000000000007"/>
    <n v="65.260000000000005"/>
    <s v=""/>
  </r>
  <r>
    <x v="1345"/>
    <x v="189"/>
    <s v="Monday"/>
    <d v="1899-12-30T11:09:04"/>
    <s v="FUTURE"/>
    <s v="SELL"/>
    <n v="-1"/>
    <s v="TO CLOSE"/>
    <x v="19"/>
    <d v="2021-04-21T00:00:00"/>
    <m/>
    <s v="FUTURE"/>
    <n v="65.48"/>
    <n v="65.48"/>
    <s v="LMT"/>
    <n v="0"/>
    <n v="0"/>
    <s v=""/>
    <n v="219.99999999999886"/>
  </r>
  <r>
    <x v="1346"/>
    <x v="189"/>
    <s v="Monday"/>
    <d v="1899-12-30T10:27:38"/>
    <s v="FUTURE"/>
    <s v="BUY"/>
    <n v="1"/>
    <s v="TO OPEN"/>
    <x v="15"/>
    <d v="2021-03-21T00:00:00"/>
    <m/>
    <s v="FUTURE"/>
    <n v="3867"/>
    <n v="3867"/>
    <s v="LMT"/>
    <n v="1"/>
    <n v="193350"/>
    <n v="3867"/>
    <s v=""/>
  </r>
  <r>
    <x v="1346"/>
    <x v="189"/>
    <s v="Monday"/>
    <d v="1899-12-30T10:27:49"/>
    <s v="FUTURE"/>
    <s v="SELL"/>
    <n v="-1"/>
    <s v="TO CLOSE"/>
    <x v="15"/>
    <d v="2021-03-21T00:00:00"/>
    <m/>
    <s v="FUTURE"/>
    <n v="3867"/>
    <n v="3867"/>
    <s v="STP"/>
    <n v="0"/>
    <n v="0"/>
    <s v=""/>
    <n v="0"/>
  </r>
  <r>
    <x v="1347"/>
    <x v="189"/>
    <s v="Monday"/>
    <d v="1899-12-30T11:24:31"/>
    <s v="FUTURE"/>
    <s v="BUY"/>
    <n v="1"/>
    <s v="TO OPEN"/>
    <x v="15"/>
    <d v="2021-03-21T00:00:00"/>
    <m/>
    <s v="FUTURE"/>
    <n v="3875"/>
    <n v="3875"/>
    <s v="LMT"/>
    <n v="1"/>
    <n v="193750"/>
    <n v="3875"/>
    <s v=""/>
  </r>
  <r>
    <x v="1347"/>
    <x v="189"/>
    <s v="Monday"/>
    <d v="1899-12-30T12:38:08"/>
    <s v="FUTURE"/>
    <s v="SELL"/>
    <n v="-1"/>
    <s v="TO CLOSE"/>
    <x v="15"/>
    <d v="2021-03-21T00:00:00"/>
    <m/>
    <s v="FUTURE"/>
    <n v="3875"/>
    <n v="3875"/>
    <s v="STP"/>
    <n v="0"/>
    <n v="0"/>
    <s v=""/>
    <n v="0"/>
  </r>
  <r>
    <x v="1348"/>
    <x v="189"/>
    <s v="Monday"/>
    <d v="1899-12-30T09:44:20"/>
    <s v="STOCK"/>
    <s v="SELL"/>
    <n v="-200"/>
    <s v="TO OPEN"/>
    <x v="2"/>
    <m/>
    <m/>
    <s v="STOCK"/>
    <n v="15.08"/>
    <n v="15.08"/>
    <s v="LMT"/>
    <n v="-200"/>
    <n v="-3016"/>
    <n v="15.08"/>
    <s v=""/>
  </r>
  <r>
    <x v="1348"/>
    <x v="189"/>
    <s v="Monday"/>
    <d v="1899-12-30T10:37:08"/>
    <s v="STOCK"/>
    <s v="BUY"/>
    <n v="200"/>
    <s v="TO CLOSE"/>
    <x v="2"/>
    <m/>
    <m/>
    <s v="STOCK"/>
    <n v="14.8589"/>
    <n v="14.8589"/>
    <s v="LMT"/>
    <n v="0"/>
    <n v="0"/>
    <s v=""/>
    <n v="44.21999999999997"/>
  </r>
  <r>
    <x v="1349"/>
    <x v="190"/>
    <s v="Tuesday"/>
    <d v="1899-12-30T09:31:14"/>
    <s v="FUTURE"/>
    <s v="SELL"/>
    <n v="-1"/>
    <s v="TO OPEN"/>
    <x v="19"/>
    <d v="2021-04-21T00:00:00"/>
    <m/>
    <s v="FUTURE"/>
    <n v="64.69"/>
    <n v="64.69"/>
    <s v="LMT"/>
    <n v="-1"/>
    <n v="-64690"/>
    <n v="64.69"/>
    <s v=""/>
  </r>
  <r>
    <x v="1349"/>
    <x v="190"/>
    <s v="Tuesday"/>
    <d v="1899-12-30T09:31:50"/>
    <s v="FUTURE"/>
    <s v="BUY"/>
    <n v="1"/>
    <s v="TO CLOSE"/>
    <x v="19"/>
    <d v="2021-04-21T00:00:00"/>
    <m/>
    <s v="FUTURE"/>
    <n v="64.599999999999994"/>
    <n v="64.599999999999994"/>
    <s v="LMT"/>
    <n v="0"/>
    <n v="0"/>
    <s v=""/>
    <n v="90.000000000003411"/>
  </r>
  <r>
    <x v="1350"/>
    <x v="190"/>
    <s v="Tuesday"/>
    <d v="1899-12-30T09:54:22"/>
    <s v="FUTURE"/>
    <s v="BUY"/>
    <n v="4"/>
    <s v="TO OPEN"/>
    <x v="17"/>
    <d v="2021-03-21T00:00:00"/>
    <m/>
    <s v="FUTURE"/>
    <n v="3872.25"/>
    <n v="3872.25"/>
    <s v="LMT"/>
    <n v="4"/>
    <n v="77445"/>
    <n v="3872.25"/>
    <s v=""/>
  </r>
  <r>
    <x v="1350"/>
    <x v="190"/>
    <s v="Tuesday"/>
    <d v="1899-12-30T10:01:53"/>
    <s v="FUTURE"/>
    <s v="SELL"/>
    <n v="-2"/>
    <s v="TO CLOSE"/>
    <x v="17"/>
    <d v="2021-03-21T00:00:00"/>
    <m/>
    <s v="FUTURE"/>
    <n v="3879.25"/>
    <n v="3879.25"/>
    <s v="LMT"/>
    <n v="2"/>
    <n v="38652.5"/>
    <n v="3865.25"/>
    <s v=""/>
  </r>
  <r>
    <x v="1350"/>
    <x v="190"/>
    <s v="Tuesday"/>
    <d v="1899-12-30T10:02:18"/>
    <s v="FUTURE"/>
    <s v="SELL"/>
    <n v="-1"/>
    <s v="TO CLOSE"/>
    <x v="17"/>
    <d v="2021-03-21T00:00:00"/>
    <m/>
    <s v="FUTURE"/>
    <n v="3882.25"/>
    <n v="3882.25"/>
    <s v="LMT"/>
    <n v="1"/>
    <n v="19241.25"/>
    <n v="3848.25"/>
    <s v=""/>
  </r>
  <r>
    <x v="1350"/>
    <x v="190"/>
    <s v="Tuesday"/>
    <d v="1899-12-30T10:05:25"/>
    <s v="FUTURE"/>
    <s v="SELL"/>
    <n v="-1"/>
    <s v="TO CLOSE"/>
    <x v="17"/>
    <d v="2021-03-21T00:00:00"/>
    <m/>
    <s v="FUTURE"/>
    <n v="3882"/>
    <n v="3882"/>
    <s v="MKT"/>
    <n v="0"/>
    <n v="0"/>
    <s v=""/>
    <n v="168.75"/>
  </r>
  <r>
    <x v="1351"/>
    <x v="190"/>
    <s v="Tuesday"/>
    <d v="1899-12-30T09:39:06"/>
    <s v="STOCK"/>
    <s v="SELL"/>
    <n v="-200"/>
    <s v="TO OPEN"/>
    <x v="2"/>
    <m/>
    <m/>
    <s v="STOCK"/>
    <n v="14.99"/>
    <n v="14.99"/>
    <s v="LMT"/>
    <n v="-200"/>
    <n v="-2998"/>
    <n v="14.99"/>
    <s v=""/>
  </r>
  <r>
    <x v="1351"/>
    <x v="190"/>
    <s v="Tuesday"/>
    <d v="1899-12-30T10:05:08"/>
    <s v="STOCK"/>
    <s v="BUY"/>
    <n v="50"/>
    <s v="TO CLOSE"/>
    <x v="2"/>
    <m/>
    <m/>
    <s v="STOCK"/>
    <n v="14.77"/>
    <n v="14.77"/>
    <s v="LMT"/>
    <n v="-150"/>
    <n v="-2259.5"/>
    <n v="15.063333333333333"/>
    <s v=""/>
  </r>
  <r>
    <x v="1351"/>
    <x v="190"/>
    <s v="Tuesday"/>
    <d v="1899-12-30T10:16:02"/>
    <s v="STOCK"/>
    <s v="BUY"/>
    <n v="25"/>
    <s v="TO CLOSE"/>
    <x v="2"/>
    <m/>
    <m/>
    <s v="STOCK"/>
    <n v="14.79"/>
    <n v="14.79"/>
    <s v="LMT"/>
    <n v="-125"/>
    <n v="-1889.75"/>
    <n v="15.118"/>
    <s v=""/>
  </r>
  <r>
    <x v="1351"/>
    <x v="190"/>
    <s v="Tuesday"/>
    <d v="1899-12-30T10:24:35"/>
    <s v="STOCK"/>
    <s v="BUY"/>
    <n v="25"/>
    <s v="TO CLOSE"/>
    <x v="2"/>
    <m/>
    <m/>
    <s v="STOCK"/>
    <n v="14.77"/>
    <n v="14.77"/>
    <s v="LMT"/>
    <n v="-100"/>
    <n v="-1520.5"/>
    <n v="15.205"/>
    <s v=""/>
  </r>
  <r>
    <x v="1351"/>
    <x v="190"/>
    <s v="Tuesday"/>
    <d v="1899-12-30T11:55:13"/>
    <s v="STOCK"/>
    <s v="BUY"/>
    <n v="100"/>
    <s v="TO CLOSE"/>
    <x v="2"/>
    <m/>
    <m/>
    <s v="STOCK"/>
    <n v="14.69"/>
    <n v="14.69"/>
    <s v="LMT"/>
    <n v="0"/>
    <n v="0"/>
    <s v=""/>
    <n v="51.500000000000057"/>
  </r>
  <r>
    <x v="1352"/>
    <x v="191"/>
    <s v="Wednesday"/>
    <d v="1899-12-30T09:26:35"/>
    <s v="FUTURE"/>
    <s v="SELL"/>
    <n v="-1"/>
    <s v="TO OPEN"/>
    <x v="19"/>
    <d v="2021-04-21T00:00:00"/>
    <m/>
    <s v="FUTURE"/>
    <n v="64.599999999999994"/>
    <n v="64.599999999999994"/>
    <s v="LMT"/>
    <n v="-1"/>
    <n v="-64599.999999999993"/>
    <n v="64.599999999999994"/>
    <s v=""/>
  </r>
  <r>
    <x v="1352"/>
    <x v="191"/>
    <s v="Wednesday"/>
    <d v="1899-12-30T09:29:04"/>
    <s v="FUTURE"/>
    <s v="BUY"/>
    <n v="1"/>
    <s v="TO CLOSE"/>
    <x v="19"/>
    <d v="2021-04-21T00:00:00"/>
    <m/>
    <s v="FUTURE"/>
    <n v="64.28"/>
    <n v="64.28"/>
    <s v="LMT"/>
    <n v="0"/>
    <n v="0"/>
    <s v=""/>
    <n v="319.99999999999318"/>
  </r>
  <r>
    <x v="1353"/>
    <x v="191"/>
    <s v="Wednesday"/>
    <d v="1899-12-30T10:58:25"/>
    <s v="FUTURE"/>
    <s v="SELL"/>
    <n v="-1"/>
    <s v="TO OPEN"/>
    <x v="19"/>
    <d v="2021-04-21T00:00:00"/>
    <m/>
    <s v="FUTURE"/>
    <n v="64.22"/>
    <n v="64.22"/>
    <s v="LMT"/>
    <n v="-1"/>
    <n v="-64220"/>
    <n v="64.22"/>
    <s v=""/>
  </r>
  <r>
    <x v="1353"/>
    <x v="191"/>
    <s v="Wednesday"/>
    <d v="1899-12-30T10:59:34"/>
    <s v="FUTURE"/>
    <s v="BUY"/>
    <n v="1"/>
    <s v="TO CLOSE"/>
    <x v="19"/>
    <d v="2021-04-21T00:00:00"/>
    <m/>
    <s v="FUTURE"/>
    <n v="64.14"/>
    <n v="64.14"/>
    <s v="MKT"/>
    <n v="0"/>
    <n v="0"/>
    <s v=""/>
    <n v="79.999999999998295"/>
  </r>
  <r>
    <x v="1354"/>
    <x v="191"/>
    <s v="Wednesday"/>
    <d v="1899-12-30T10:09:15"/>
    <s v="FUTURE"/>
    <s v="SELL"/>
    <n v="-1"/>
    <s v="TO OPEN"/>
    <x v="15"/>
    <d v="2021-03-21T00:00:00"/>
    <m/>
    <s v="FUTURE"/>
    <n v="3906.25"/>
    <n v="3906.25"/>
    <s v="LMT"/>
    <n v="-1"/>
    <n v="-195312.5"/>
    <n v="3906.25"/>
    <s v=""/>
  </r>
  <r>
    <x v="1354"/>
    <x v="191"/>
    <s v="Wednesday"/>
    <d v="1899-12-30T10:10:05"/>
    <s v="FUTURE"/>
    <s v="BUY"/>
    <n v="1"/>
    <s v="TO CLOSE"/>
    <x v="15"/>
    <d v="2021-03-21T00:00:00"/>
    <m/>
    <s v="FUTURE"/>
    <n v="3904.5"/>
    <n v="3904.5"/>
    <s v="LMT"/>
    <n v="0"/>
    <n v="0"/>
    <s v=""/>
    <n v="87.5"/>
  </r>
  <r>
    <x v="1355"/>
    <x v="191"/>
    <s v="Wednesday"/>
    <d v="1899-12-30T10:41:01"/>
    <s v="FUTURE"/>
    <s v="SELL"/>
    <n v="-2"/>
    <s v="TO OPEN"/>
    <x v="17"/>
    <d v="2021-03-21T00:00:00"/>
    <m/>
    <s v="FUTURE"/>
    <n v="3884.75"/>
    <n v="3884.75"/>
    <s v="LMT"/>
    <n v="-2"/>
    <n v="-38847.5"/>
    <n v="3884.75"/>
    <s v=""/>
  </r>
  <r>
    <x v="1355"/>
    <x v="191"/>
    <s v="Wednesday"/>
    <d v="1899-12-30T10:42:00"/>
    <s v="FUTURE"/>
    <s v="SELL"/>
    <n v="-1"/>
    <s v="TO OPEN"/>
    <x v="17"/>
    <d v="2021-03-21T00:00:00"/>
    <m/>
    <s v="FUTURE"/>
    <n v="3890.75"/>
    <n v="3890.75"/>
    <s v="LMT"/>
    <n v="-3"/>
    <n v="-58301.25"/>
    <n v="3886.75"/>
    <s v=""/>
  </r>
  <r>
    <x v="1355"/>
    <x v="191"/>
    <s v="Wednesday"/>
    <d v="1899-12-30T11:31:12"/>
    <s v="FUTURE"/>
    <s v="SELL"/>
    <n v="-1"/>
    <s v="TO OPEN"/>
    <x v="17"/>
    <d v="2021-03-21T00:00:00"/>
    <m/>
    <s v="FUTURE"/>
    <n v="3902.75"/>
    <n v="3902.75"/>
    <s v="LMT"/>
    <n v="-4"/>
    <n v="-77815"/>
    <n v="3890.75"/>
    <s v=""/>
  </r>
  <r>
    <x v="1355"/>
    <x v="191"/>
    <s v="Wednesday"/>
    <d v="1899-12-30T11:42:37"/>
    <s v="FUTURE"/>
    <s v="BUY"/>
    <n v="1"/>
    <s v="TO CLOSE"/>
    <x v="17"/>
    <d v="2021-03-21T00:00:00"/>
    <m/>
    <s v="FUTURE"/>
    <n v="3896"/>
    <n v="3896"/>
    <s v="LMT"/>
    <n v="-3"/>
    <n v="-58335"/>
    <n v="3889"/>
    <s v=""/>
  </r>
  <r>
    <x v="1355"/>
    <x v="191"/>
    <s v="Wednesday"/>
    <d v="1899-12-30T13:07:46"/>
    <s v="FUTURE"/>
    <s v="BUY"/>
    <n v="1"/>
    <s v="TO CLOSE"/>
    <x v="17"/>
    <d v="2021-03-21T00:00:00"/>
    <m/>
    <s v="FUTURE"/>
    <n v="3901.5"/>
    <n v="3901.5"/>
    <s v="LMT"/>
    <n v="-2"/>
    <n v="-38827.5"/>
    <n v="3882.75"/>
    <s v=""/>
  </r>
  <r>
    <x v="1355"/>
    <x v="191"/>
    <s v="Wednesday"/>
    <d v="1899-12-30T13:55:46"/>
    <s v="FUTURE"/>
    <s v="BUY"/>
    <n v="1"/>
    <s v="TO CLOSE"/>
    <x v="17"/>
    <d v="2021-03-21T00:00:00"/>
    <m/>
    <s v="FUTURE"/>
    <n v="3901"/>
    <n v="3901"/>
    <s v="MKT"/>
    <n v="-1"/>
    <n v="-19322.5"/>
    <n v="3864.5"/>
    <s v=""/>
  </r>
  <r>
    <x v="1355"/>
    <x v="191"/>
    <s v="Wednesday"/>
    <d v="1899-12-30T13:57:11"/>
    <s v="FUTURE"/>
    <s v="BUY"/>
    <n v="1"/>
    <s v="TO CLOSE"/>
    <x v="17"/>
    <d v="2021-03-21T00:00:00"/>
    <m/>
    <s v="FUTURE"/>
    <n v="3902.25"/>
    <n v="3902.25"/>
    <s v="STP"/>
    <n v="0"/>
    <n v="0"/>
    <s v=""/>
    <n v="-188.75"/>
  </r>
  <r>
    <x v="1356"/>
    <x v="192"/>
    <s v="Thursday"/>
    <d v="1899-12-30T09:21:25"/>
    <s v="FUTURE"/>
    <s v="SELL"/>
    <n v="-1"/>
    <s v="TO OPEN"/>
    <x v="19"/>
    <d v="2021-04-21T00:00:00"/>
    <m/>
    <s v="FUTURE"/>
    <n v="65.23"/>
    <n v="65.23"/>
    <s v="LMT"/>
    <n v="-1"/>
    <n v="-65230.000000000007"/>
    <n v="65.23"/>
    <s v=""/>
  </r>
  <r>
    <x v="1356"/>
    <x v="192"/>
    <s v="Thursday"/>
    <d v="1899-12-30T09:30:16"/>
    <s v="FUTURE"/>
    <s v="BUY"/>
    <n v="1"/>
    <s v="TO CLOSE"/>
    <x v="19"/>
    <d v="2021-04-21T00:00:00"/>
    <m/>
    <s v="FUTURE"/>
    <n v="65.05"/>
    <n v="65.05"/>
    <s v="LMT"/>
    <n v="0"/>
    <n v="0"/>
    <s v=""/>
    <n v="180.00000000000682"/>
  </r>
  <r>
    <x v="1357"/>
    <x v="192"/>
    <s v="Thursday"/>
    <d v="1899-12-30T10:44:02"/>
    <s v="FUTURE"/>
    <s v="SELL"/>
    <n v="-1"/>
    <s v="TO OPEN"/>
    <x v="19"/>
    <d v="2021-04-21T00:00:00"/>
    <m/>
    <s v="FUTURE"/>
    <n v="65.59"/>
    <n v="65.59"/>
    <s v="LMT"/>
    <n v="-1"/>
    <n v="-65590"/>
    <n v="65.59"/>
    <s v=""/>
  </r>
  <r>
    <x v="1357"/>
    <x v="192"/>
    <s v="Thursday"/>
    <d v="1899-12-30T11:09:21"/>
    <s v="FUTURE"/>
    <s v="BUY"/>
    <n v="1"/>
    <s v="TO CLOSE"/>
    <x v="19"/>
    <d v="2021-04-21T00:00:00"/>
    <m/>
    <s v="FUTURE"/>
    <n v="65.41"/>
    <n v="65.41"/>
    <s v="LMT"/>
    <n v="0"/>
    <n v="0"/>
    <s v=""/>
    <n v="180.00000000000682"/>
  </r>
  <r>
    <x v="1358"/>
    <x v="192"/>
    <s v="Thursday"/>
    <d v="1899-12-30T09:36:25"/>
    <s v="FUTURE"/>
    <s v="BUY"/>
    <n v="1"/>
    <s v="TO OPEN"/>
    <x v="15"/>
    <d v="2021-03-21T00:00:00"/>
    <m/>
    <s v="FUTURE"/>
    <n v="3922.25"/>
    <n v="3922.25"/>
    <s v="MKT"/>
    <n v="1"/>
    <n v="196112.5"/>
    <n v="3922.25"/>
    <s v=""/>
  </r>
  <r>
    <x v="1358"/>
    <x v="192"/>
    <s v="Thursday"/>
    <d v="1899-12-30T09:37:01"/>
    <s v="FUTURE"/>
    <s v="SELL"/>
    <n v="-1"/>
    <s v="TO CLOSE"/>
    <x v="15"/>
    <d v="2021-03-21T00:00:00"/>
    <m/>
    <s v="FUTURE"/>
    <n v="3924.5"/>
    <n v="3924.5"/>
    <s v="LMT"/>
    <n v="0"/>
    <n v="0"/>
    <s v=""/>
    <n v="112.5"/>
  </r>
  <r>
    <x v="1359"/>
    <x v="192"/>
    <s v="Thursday"/>
    <d v="1899-12-30T10:21:26"/>
    <s v="FUTURE"/>
    <s v="SELL"/>
    <n v="-1"/>
    <s v="TO OPEN"/>
    <x v="15"/>
    <d v="2021-03-21T00:00:00"/>
    <m/>
    <s v="FUTURE"/>
    <n v="3925.75"/>
    <n v="3925.75"/>
    <s v="LMT"/>
    <n v="-1"/>
    <n v="-196287.5"/>
    <n v="3925.75"/>
    <s v=""/>
  </r>
  <r>
    <x v="1359"/>
    <x v="192"/>
    <s v="Thursday"/>
    <d v="1899-12-30T13:41:18"/>
    <s v="FUTURE"/>
    <s v="BUY"/>
    <n v="1"/>
    <s v="TO CLOSE"/>
    <x v="15"/>
    <d v="2021-03-21T00:00:00"/>
    <m/>
    <s v="FUTURE"/>
    <n v="3951.25"/>
    <n v="3951.25"/>
    <s v="MKT"/>
    <n v="0"/>
    <n v="0"/>
    <s v=""/>
    <n v="-1275"/>
  </r>
  <r>
    <x v="1360"/>
    <x v="192"/>
    <s v="Thursday"/>
    <d v="1899-12-30T11:15:39"/>
    <s v="FUTURE"/>
    <s v="SELL"/>
    <n v="-4"/>
    <s v="TO OPEN"/>
    <x v="17"/>
    <d v="2021-03-21T00:00:00"/>
    <m/>
    <s v="FUTURE"/>
    <n v="3949"/>
    <n v="3949"/>
    <s v="MKT"/>
    <n v="-4"/>
    <n v="-78980"/>
    <n v="3949"/>
    <s v=""/>
  </r>
  <r>
    <x v="1360"/>
    <x v="192"/>
    <s v="Thursday"/>
    <d v="1899-12-30T13:41:15"/>
    <s v="FUTURE"/>
    <s v="BUY"/>
    <n v="4"/>
    <s v="TO CLOSE"/>
    <x v="17"/>
    <d v="2021-03-21T00:00:00"/>
    <m/>
    <s v="FUTURE"/>
    <n v="3951.25"/>
    <n v="3951.25"/>
    <s v="STP"/>
    <n v="0"/>
    <n v="0"/>
    <s v=""/>
    <n v="-45"/>
  </r>
  <r>
    <x v="1361"/>
    <x v="193"/>
    <s v="Friday"/>
    <d v="1899-12-30T08:51:16"/>
    <s v="FUTURE"/>
    <s v="SELL"/>
    <n v="-1"/>
    <s v="TO OPEN"/>
    <x v="19"/>
    <d v="2021-04-21T00:00:00"/>
    <m/>
    <s v="FUTURE"/>
    <n v="65.849999999999994"/>
    <n v="65.849999999999994"/>
    <s v="LMT"/>
    <n v="-1"/>
    <n v="-65850"/>
    <n v="65.849999999999994"/>
    <s v=""/>
  </r>
  <r>
    <x v="1361"/>
    <x v="193"/>
    <s v="Friday"/>
    <d v="1899-12-30T09:00:23"/>
    <s v="FUTURE"/>
    <s v="BUY"/>
    <n v="1"/>
    <s v="TO CLOSE"/>
    <x v="19"/>
    <d v="2021-04-21T00:00:00"/>
    <m/>
    <s v="FUTURE"/>
    <n v="65.739999999999995"/>
    <n v="65.739999999999995"/>
    <s v="MKT"/>
    <n v="0"/>
    <n v="0"/>
    <s v=""/>
    <n v="109.99999999999943"/>
  </r>
  <r>
    <x v="1362"/>
    <x v="193"/>
    <s v="Friday"/>
    <d v="1899-12-30T09:24:20"/>
    <s v="FUTURE"/>
    <s v="SELL"/>
    <n v="-1"/>
    <s v="TO OPEN"/>
    <x v="19"/>
    <d v="2021-04-21T00:00:00"/>
    <m/>
    <s v="FUTURE"/>
    <n v="65.7"/>
    <n v="65.7"/>
    <s v="LMT"/>
    <n v="-1"/>
    <n v="-65700"/>
    <n v="65.7"/>
    <s v=""/>
  </r>
  <r>
    <x v="1362"/>
    <x v="193"/>
    <s v="Friday"/>
    <d v="1899-12-30T09:28:59"/>
    <s v="FUTURE"/>
    <s v="BUY"/>
    <n v="1"/>
    <s v="TO CLOSE"/>
    <x v="19"/>
    <d v="2021-04-21T00:00:00"/>
    <m/>
    <s v="FUTURE"/>
    <n v="65.69"/>
    <n v="65.69"/>
    <s v="LMT"/>
    <n v="0"/>
    <n v="0"/>
    <s v=""/>
    <n v="10.000000000005116"/>
  </r>
  <r>
    <x v="1363"/>
    <x v="193"/>
    <s v="Friday"/>
    <d v="1899-12-30T09:38:50"/>
    <s v="FUTURE"/>
    <s v="SELL"/>
    <n v="-1"/>
    <s v="TO OPEN"/>
    <x v="19"/>
    <d v="2021-04-21T00:00:00"/>
    <m/>
    <s v="FUTURE"/>
    <n v="65.760000000000005"/>
    <n v="65.760000000000005"/>
    <s v="LMT"/>
    <n v="-1"/>
    <n v="-65760"/>
    <n v="65.760000000000005"/>
    <s v=""/>
  </r>
  <r>
    <x v="1363"/>
    <x v="193"/>
    <s v="Friday"/>
    <d v="1899-12-30T09:40:21"/>
    <s v="FUTURE"/>
    <s v="BUY"/>
    <n v="1"/>
    <s v="TO CLOSE"/>
    <x v="19"/>
    <d v="2021-04-21T00:00:00"/>
    <m/>
    <s v="FUTURE"/>
    <n v="65.760000000000005"/>
    <n v="65.760000000000005"/>
    <s v="STP"/>
    <n v="0"/>
    <n v="0"/>
    <s v=""/>
    <n v="0"/>
  </r>
  <r>
    <x v="1364"/>
    <x v="193"/>
    <s v="Friday"/>
    <d v="1899-12-30T09:36:07"/>
    <s v="FUTURE"/>
    <s v="SELL"/>
    <n v="-1"/>
    <s v="TO OPEN"/>
    <x v="20"/>
    <d v="2021-06-21T00:00:00"/>
    <m/>
    <s v="FUTURE"/>
    <n v="3909.5"/>
    <n v="3909.5"/>
    <s v="LMT"/>
    <n v="-1"/>
    <n v="-195475"/>
    <n v="3909.5"/>
    <s v=""/>
  </r>
  <r>
    <x v="1364"/>
    <x v="193"/>
    <s v="Friday"/>
    <d v="1899-12-30T09:36:42"/>
    <s v="FUTURE"/>
    <s v="BUY"/>
    <n v="1"/>
    <s v="TO CLOSE"/>
    <x v="20"/>
    <d v="2021-06-21T00:00:00"/>
    <m/>
    <s v="FUTURE"/>
    <n v="3909.75"/>
    <n v="3909.75"/>
    <s v="STP"/>
    <n v="0"/>
    <n v="0"/>
    <s v=""/>
    <n v="-12.5"/>
  </r>
  <r>
    <x v="1365"/>
    <x v="193"/>
    <s v="Friday"/>
    <d v="1899-12-30T09:46:24"/>
    <s v="FUTURE"/>
    <s v="BUY"/>
    <n v="4"/>
    <s v="TO OPEN"/>
    <x v="21"/>
    <d v="2021-06-21T00:00:00"/>
    <m/>
    <s v="FUTURE"/>
    <n v="3917"/>
    <n v="3917"/>
    <s v="LMT"/>
    <n v="4"/>
    <n v="78340"/>
    <n v="3917"/>
    <s v=""/>
  </r>
  <r>
    <x v="1365"/>
    <x v="193"/>
    <s v="Friday"/>
    <d v="1899-12-30T09:55:57"/>
    <s v="FUTURE"/>
    <s v="SELL"/>
    <n v="-2"/>
    <s v="TO CLOSE"/>
    <x v="21"/>
    <d v="2021-06-21T00:00:00"/>
    <m/>
    <s v="FUTURE"/>
    <n v="3920"/>
    <n v="3920"/>
    <s v="LMT"/>
    <n v="2"/>
    <n v="39140"/>
    <n v="3914"/>
    <s v=""/>
  </r>
  <r>
    <x v="1365"/>
    <x v="193"/>
    <s v="Friday"/>
    <d v="1899-12-30T09:57:17"/>
    <s v="FUTURE"/>
    <s v="SELL"/>
    <n v="-1"/>
    <s v="TO CLOSE"/>
    <x v="21"/>
    <d v="2021-06-21T00:00:00"/>
    <m/>
    <s v="FUTURE"/>
    <n v="3920.5"/>
    <n v="3920.5"/>
    <s v="LMT"/>
    <n v="1"/>
    <n v="19537.5"/>
    <n v="3907.5"/>
    <s v=""/>
  </r>
  <r>
    <x v="1365"/>
    <x v="193"/>
    <s v="Friday"/>
    <d v="1899-12-30T10:00:03"/>
    <s v="FUTURE"/>
    <s v="SELL"/>
    <n v="-1"/>
    <s v="TO CLOSE"/>
    <x v="21"/>
    <d v="2021-06-21T00:00:00"/>
    <m/>
    <s v="FUTURE"/>
    <n v="3922.25"/>
    <n v="3922.25"/>
    <s v="LMT"/>
    <n v="0"/>
    <n v="0"/>
    <s v=""/>
    <n v="73.75"/>
  </r>
  <r>
    <x v="1366"/>
    <x v="194"/>
    <s v="Monday"/>
    <d v="1899-12-30T09:35:39"/>
    <s v="FUTURE"/>
    <s v="SELL"/>
    <n v="-1"/>
    <s v="TO OPEN"/>
    <x v="19"/>
    <d v="2021-04-21T00:00:00"/>
    <m/>
    <s v="FUTURE"/>
    <n v="64.69"/>
    <n v="64.69"/>
    <s v="LMT"/>
    <n v="-1"/>
    <n v="-64690"/>
    <n v="64.69"/>
    <s v=""/>
  </r>
  <r>
    <x v="1366"/>
    <x v="194"/>
    <s v="Monday"/>
    <d v="1899-12-30T09:39:56"/>
    <s v="FUTURE"/>
    <s v="BUY"/>
    <n v="1"/>
    <s v="TO CLOSE"/>
    <x v="19"/>
    <d v="2021-04-21T00:00:00"/>
    <m/>
    <s v="FUTURE"/>
    <n v="64.64"/>
    <n v="64.64"/>
    <s v="LMT"/>
    <n v="0"/>
    <n v="0"/>
    <s v=""/>
    <n v="49.999999999997158"/>
  </r>
  <r>
    <x v="1367"/>
    <x v="194"/>
    <s v="Monday"/>
    <d v="1899-12-30T10:04:02"/>
    <s v="FUTURE"/>
    <s v="BUY"/>
    <n v="1"/>
    <s v="TO OPEN"/>
    <x v="19"/>
    <d v="2021-04-21T00:00:00"/>
    <m/>
    <s v="FUTURE"/>
    <n v="64.37"/>
    <n v="64.37"/>
    <s v="LMT"/>
    <n v="1"/>
    <n v="64370.000000000007"/>
    <n v="64.37"/>
    <s v=""/>
  </r>
  <r>
    <x v="1367"/>
    <x v="194"/>
    <s v="Monday"/>
    <d v="1899-12-30T10:06:24"/>
    <s v="FUTURE"/>
    <s v="SELL"/>
    <n v="-1"/>
    <s v="TO CLOSE"/>
    <x v="19"/>
    <d v="2021-04-21T00:00:00"/>
    <m/>
    <s v="FUTURE"/>
    <n v="64.42"/>
    <n v="64.42"/>
    <s v="LMT"/>
    <n v="0"/>
    <n v="0"/>
    <s v=""/>
    <n v="49.999999999997158"/>
  </r>
  <r>
    <x v="1368"/>
    <x v="194"/>
    <s v="Monday"/>
    <d v="1899-12-30T10:10:48"/>
    <s v="FUTURE"/>
    <s v="BUY"/>
    <n v="1"/>
    <s v="TO OPEN"/>
    <x v="19"/>
    <d v="2021-04-21T00:00:00"/>
    <m/>
    <s v="FUTURE"/>
    <n v="64.209999999999994"/>
    <n v="64.209999999999994"/>
    <s v="LMT"/>
    <n v="1"/>
    <n v="64209.999999999993"/>
    <n v="64.209999999999994"/>
    <s v=""/>
  </r>
  <r>
    <x v="1368"/>
    <x v="194"/>
    <s v="Monday"/>
    <d v="1899-12-30T10:11:54"/>
    <s v="FUTURE"/>
    <s v="SELL"/>
    <n v="-1"/>
    <s v="TO CLOSE"/>
    <x v="19"/>
    <d v="2021-04-21T00:00:00"/>
    <m/>
    <s v="FUTURE"/>
    <n v="64.28"/>
    <n v="64.28"/>
    <s v="MKT"/>
    <n v="0"/>
    <n v="0"/>
    <s v=""/>
    <n v="70.00000000000739"/>
  </r>
  <r>
    <x v="1369"/>
    <x v="194"/>
    <s v="Monday"/>
    <d v="1899-12-30T10:29:28"/>
    <s v="FUTURE"/>
    <s v="SELL"/>
    <n v="-1"/>
    <s v="TO OPEN"/>
    <x v="19"/>
    <d v="2021-04-21T00:00:00"/>
    <m/>
    <s v="FUTURE"/>
    <n v="64.72"/>
    <n v="64.72"/>
    <s v="LMT"/>
    <n v="-1"/>
    <n v="-64720"/>
    <n v="64.72"/>
    <s v=""/>
  </r>
  <r>
    <x v="1369"/>
    <x v="194"/>
    <s v="Monday"/>
    <d v="1899-12-30T10:30:25"/>
    <s v="FUTURE"/>
    <s v="BUY"/>
    <n v="1"/>
    <s v="TO CLOSE"/>
    <x v="19"/>
    <d v="2021-04-21T00:00:00"/>
    <m/>
    <s v="FUTURE"/>
    <n v="64.61"/>
    <n v="64.61"/>
    <s v="LMT"/>
    <n v="0"/>
    <n v="0"/>
    <s v=""/>
    <n v="109.99999999999943"/>
  </r>
  <r>
    <x v="1370"/>
    <x v="194"/>
    <s v="Monday"/>
    <d v="1899-12-30T10:09:06"/>
    <s v="FUTURE"/>
    <s v="SELL"/>
    <n v="-1"/>
    <s v="TO OPEN"/>
    <x v="20"/>
    <d v="2021-06-21T00:00:00"/>
    <m/>
    <s v="FUTURE"/>
    <n v="3927"/>
    <n v="3927"/>
    <s v="LMT"/>
    <n v="-1"/>
    <n v="-196350"/>
    <n v="3927"/>
    <s v=""/>
  </r>
  <r>
    <x v="1370"/>
    <x v="194"/>
    <s v="Monday"/>
    <d v="1899-12-30T10:09:56"/>
    <s v="FUTURE"/>
    <s v="BUY"/>
    <n v="1"/>
    <s v="TO CLOSE"/>
    <x v="20"/>
    <d v="2021-06-21T00:00:00"/>
    <m/>
    <s v="FUTURE"/>
    <n v="3927"/>
    <n v="3927"/>
    <s v="LMT"/>
    <n v="0"/>
    <n v="0"/>
    <s v=""/>
    <n v="0"/>
  </r>
  <r>
    <x v="1371"/>
    <x v="194"/>
    <s v="Monday"/>
    <d v="1899-12-30T09:42:11"/>
    <s v="FUTURE"/>
    <s v="SELL"/>
    <n v="-4"/>
    <s v="TO OPEN"/>
    <x v="21"/>
    <d v="2021-06-21T00:00:00"/>
    <m/>
    <s v="FUTURE"/>
    <n v="3933.25"/>
    <n v="3933.25"/>
    <s v="LMT"/>
    <n v="-4"/>
    <n v="-78665"/>
    <n v="3933.25"/>
    <s v=""/>
  </r>
  <r>
    <x v="1371"/>
    <x v="194"/>
    <s v="Monday"/>
    <d v="1899-12-30T10:01:14"/>
    <s v="FUTURE"/>
    <s v="BUY"/>
    <n v="2"/>
    <s v="TO CLOSE"/>
    <x v="21"/>
    <d v="2021-06-21T00:00:00"/>
    <m/>
    <s v="FUTURE"/>
    <n v="3933.25"/>
    <n v="3933.25"/>
    <s v="LMT"/>
    <n v="-2"/>
    <n v="-39332.5"/>
    <n v="3933.25"/>
    <s v=""/>
  </r>
  <r>
    <x v="1371"/>
    <x v="194"/>
    <s v="Monday"/>
    <d v="1899-12-30T10:03:31"/>
    <s v="FUTURE"/>
    <s v="BUY"/>
    <n v="2"/>
    <s v="TO CLOSE"/>
    <x v="21"/>
    <d v="2021-06-21T00:00:00"/>
    <m/>
    <s v="FUTURE"/>
    <n v="3933.25"/>
    <n v="3933.25"/>
    <s v="STP"/>
    <n v="0"/>
    <n v="0"/>
    <s v=""/>
    <n v="0"/>
  </r>
  <r>
    <x v="1372"/>
    <x v="195"/>
    <s v="Tuesday"/>
    <d v="1899-12-30T09:28:30"/>
    <s v="FUTURE"/>
    <s v="SELL"/>
    <n v="-1"/>
    <s v="TO OPEN"/>
    <x v="19"/>
    <d v="2021-04-21T00:00:00"/>
    <m/>
    <s v="FUTURE"/>
    <n v="64.23"/>
    <n v="64.23"/>
    <s v="LMT"/>
    <n v="-1"/>
    <n v="-64230.000000000007"/>
    <n v="64.23"/>
    <s v=""/>
  </r>
  <r>
    <x v="1372"/>
    <x v="195"/>
    <s v="Tuesday"/>
    <d v="1899-12-30T09:36:31"/>
    <s v="FUTURE"/>
    <s v="SELL"/>
    <n v="-1"/>
    <s v="TO OPEN"/>
    <x v="19"/>
    <d v="2021-04-21T00:00:00"/>
    <m/>
    <s v="FUTURE"/>
    <n v="64.41"/>
    <n v="64.41"/>
    <s v="LMT"/>
    <n v="-2"/>
    <n v="-128640"/>
    <n v="64.319999999999993"/>
    <s v=""/>
  </r>
  <r>
    <x v="1372"/>
    <x v="195"/>
    <s v="Tuesday"/>
    <d v="1899-12-30T09:49:22"/>
    <s v="FUTURE"/>
    <s v="BUY"/>
    <n v="1"/>
    <s v="TO CLOSE"/>
    <x v="19"/>
    <d v="2021-04-21T00:00:00"/>
    <m/>
    <s v="FUTURE"/>
    <n v="64.34"/>
    <n v="64.34"/>
    <s v="LMT"/>
    <n v="-1"/>
    <n v="-64300"/>
    <n v="64.3"/>
    <s v=""/>
  </r>
  <r>
    <x v="1372"/>
    <x v="195"/>
    <s v="Tuesday"/>
    <d v="1899-12-30T09:53:49"/>
    <s v="FUTURE"/>
    <s v="BUY"/>
    <n v="1"/>
    <s v="TO CLOSE"/>
    <x v="19"/>
    <d v="2021-04-21T00:00:00"/>
    <m/>
    <s v="FUTURE"/>
    <n v="64.2"/>
    <n v="64.2"/>
    <s v="STP"/>
    <n v="0"/>
    <n v="0"/>
    <s v=""/>
    <n v="99.999999999994316"/>
  </r>
  <r>
    <x v="1373"/>
    <x v="195"/>
    <s v="Tuesday"/>
    <d v="1899-12-30T10:01:50"/>
    <s v="FUTURE"/>
    <s v="SELL"/>
    <n v="-1"/>
    <s v="TO OPEN"/>
    <x v="19"/>
    <d v="2021-04-21T00:00:00"/>
    <m/>
    <s v="FUTURE"/>
    <n v="64.14"/>
    <n v="64.14"/>
    <s v="LMT"/>
    <n v="-1"/>
    <n v="-64140"/>
    <n v="64.14"/>
    <s v=""/>
  </r>
  <r>
    <x v="1373"/>
    <x v="195"/>
    <s v="Tuesday"/>
    <d v="1899-12-30T10:03:17"/>
    <s v="FUTURE"/>
    <s v="BUY"/>
    <n v="1"/>
    <s v="TO CLOSE"/>
    <x v="19"/>
    <d v="2021-04-21T00:00:00"/>
    <m/>
    <s v="FUTURE"/>
    <n v="64.02"/>
    <n v="64.02"/>
    <s v="LMT"/>
    <n v="0"/>
    <n v="0"/>
    <s v=""/>
    <n v="120.00000000000455"/>
  </r>
  <r>
    <x v="1374"/>
    <x v="195"/>
    <s v="Tuesday"/>
    <d v="1899-12-30T10:11:55"/>
    <s v="FUTURE"/>
    <s v="SELL"/>
    <n v="-2"/>
    <s v="TO OPEN"/>
    <x v="19"/>
    <d v="2021-04-21T00:00:00"/>
    <m/>
    <s v="FUTURE"/>
    <n v="63.89"/>
    <n v="63.89"/>
    <s v="MKT"/>
    <n v="-2"/>
    <n v="-127780"/>
    <n v="63.89"/>
    <s v=""/>
  </r>
  <r>
    <x v="1374"/>
    <x v="195"/>
    <s v="Tuesday"/>
    <d v="1899-12-30T10:12:25"/>
    <s v="FUTURE"/>
    <s v="BUY"/>
    <n v="1"/>
    <s v="TO CLOSE"/>
    <x v="19"/>
    <d v="2021-04-21T00:00:00"/>
    <m/>
    <s v="FUTURE"/>
    <n v="63.85"/>
    <n v="63.85"/>
    <s v="LMT"/>
    <n v="-1"/>
    <n v="-63930"/>
    <n v="63.93"/>
    <s v=""/>
  </r>
  <r>
    <x v="1374"/>
    <x v="195"/>
    <s v="Tuesday"/>
    <d v="1899-12-30T10:13:36"/>
    <s v="FUTURE"/>
    <s v="BUY"/>
    <n v="1"/>
    <s v="TO CLOSE"/>
    <x v="19"/>
    <d v="2021-04-21T00:00:00"/>
    <m/>
    <s v="FUTURE"/>
    <n v="63.93"/>
    <n v="63.93"/>
    <s v="STP"/>
    <n v="0"/>
    <n v="0"/>
    <s v=""/>
    <n v="0"/>
  </r>
  <r>
    <x v="1375"/>
    <x v="195"/>
    <s v="Tuesday"/>
    <d v="1899-12-30T09:30:40"/>
    <s v="FUTURE"/>
    <s v="BUY"/>
    <n v="1"/>
    <s v="TO OPEN"/>
    <x v="20"/>
    <d v="2021-06-21T00:00:00"/>
    <m/>
    <s v="FUTURE"/>
    <n v="3961.25"/>
    <n v="3961.25"/>
    <s v="MKT"/>
    <n v="1"/>
    <n v="198062.5"/>
    <n v="3961.25"/>
    <s v=""/>
  </r>
  <r>
    <x v="1375"/>
    <x v="195"/>
    <s v="Tuesday"/>
    <d v="1899-12-30T09:33:24"/>
    <s v="FUTURE"/>
    <s v="SELL"/>
    <n v="-1"/>
    <s v="TO CLOSE"/>
    <x v="20"/>
    <d v="2021-06-21T00:00:00"/>
    <m/>
    <s v="FUTURE"/>
    <n v="3962.75"/>
    <n v="3962.75"/>
    <s v="LMT"/>
    <n v="0"/>
    <n v="0"/>
    <s v=""/>
    <n v="75"/>
  </r>
  <r>
    <x v="1376"/>
    <x v="195"/>
    <s v="Tuesday"/>
    <d v="1899-12-30T10:19:31"/>
    <s v="FUTURE"/>
    <s v="SELL"/>
    <n v="-1"/>
    <s v="TO OPEN"/>
    <x v="20"/>
    <d v="2021-06-21T00:00:00"/>
    <m/>
    <s v="FUTURE"/>
    <n v="3967.25"/>
    <n v="3967.25"/>
    <s v="LMT"/>
    <n v="-1"/>
    <n v="-198362.5"/>
    <n v="3967.25"/>
    <s v=""/>
  </r>
  <r>
    <x v="1376"/>
    <x v="195"/>
    <s v="Tuesday"/>
    <d v="1899-12-30T10:28:34"/>
    <s v="FUTURE"/>
    <s v="BUY"/>
    <n v="1"/>
    <s v="TO CLOSE"/>
    <x v="20"/>
    <d v="2021-06-21T00:00:00"/>
    <m/>
    <s v="FUTURE"/>
    <n v="3966.25"/>
    <n v="3966.25"/>
    <s v="LMT"/>
    <n v="0"/>
    <n v="0"/>
    <s v=""/>
    <n v="50"/>
  </r>
  <r>
    <x v="1377"/>
    <x v="196"/>
    <s v="Wednesday"/>
    <d v="1899-12-30T09:55:36"/>
    <s v="FUTURE"/>
    <s v="SELL"/>
    <n v="-1"/>
    <s v="TO OPEN"/>
    <x v="19"/>
    <d v="2021-04-21T00:00:00"/>
    <m/>
    <s v="FUTURE"/>
    <n v="64.45"/>
    <n v="64.45"/>
    <s v="LMT"/>
    <n v="-1"/>
    <n v="-64450"/>
    <n v="64.45"/>
    <s v=""/>
  </r>
  <r>
    <x v="1377"/>
    <x v="196"/>
    <s v="Wednesday"/>
    <d v="1899-12-30T10:00:03"/>
    <s v="FUTURE"/>
    <s v="BUY"/>
    <n v="1"/>
    <s v="TO CLOSE"/>
    <x v="19"/>
    <d v="2021-04-21T00:00:00"/>
    <m/>
    <s v="FUTURE"/>
    <n v="64.45"/>
    <n v="64.45"/>
    <s v="STP"/>
    <n v="0"/>
    <n v="0"/>
    <s v=""/>
    <n v="0"/>
  </r>
  <r>
    <x v="1378"/>
    <x v="196"/>
    <s v="Wednesday"/>
    <d v="1899-12-30T10:00:18"/>
    <s v="FUTURE"/>
    <s v="SELL"/>
    <n v="-1"/>
    <s v="TO OPEN"/>
    <x v="19"/>
    <d v="2021-04-21T00:00:00"/>
    <m/>
    <s v="FUTURE"/>
    <n v="64.5"/>
    <n v="64.5"/>
    <s v="LMT"/>
    <n v="-1"/>
    <n v="-64500"/>
    <n v="64.5"/>
    <s v=""/>
  </r>
  <r>
    <x v="1378"/>
    <x v="196"/>
    <s v="Wednesday"/>
    <d v="1899-12-30T10:01:21"/>
    <s v="FUTURE"/>
    <s v="BUY"/>
    <n v="1"/>
    <s v="TO CLOSE"/>
    <x v="19"/>
    <d v="2021-04-21T00:00:00"/>
    <m/>
    <s v="FUTURE"/>
    <n v="64.430000000000007"/>
    <n v="64.430000000000007"/>
    <s v="MKT"/>
    <n v="0"/>
    <n v="0"/>
    <s v=""/>
    <n v="69.999999999993179"/>
  </r>
  <r>
    <x v="1379"/>
    <x v="196"/>
    <s v="Wednesday"/>
    <d v="1899-12-30T10:18:27"/>
    <s v="FUTURE"/>
    <s v="SELL"/>
    <n v="-1"/>
    <s v="TO OPEN"/>
    <x v="19"/>
    <d v="2021-04-21T00:00:00"/>
    <m/>
    <s v="FUTURE"/>
    <n v="64.489999999999995"/>
    <n v="64.489999999999995"/>
    <s v="LMT"/>
    <n v="-1"/>
    <n v="-64489.999999999993"/>
    <n v="64.489999999999995"/>
    <s v=""/>
  </r>
  <r>
    <x v="1379"/>
    <x v="196"/>
    <s v="Wednesday"/>
    <d v="1899-12-30T10:19:42"/>
    <s v="FUTURE"/>
    <s v="BUY"/>
    <n v="1"/>
    <s v="TO CLOSE"/>
    <x v="19"/>
    <d v="2021-04-21T00:00:00"/>
    <m/>
    <s v="FUTURE"/>
    <n v="64.459999999999994"/>
    <n v="64.459999999999994"/>
    <s v="MKT"/>
    <n v="0"/>
    <n v="0"/>
    <s v=""/>
    <n v="30.000000000001137"/>
  </r>
  <r>
    <x v="1380"/>
    <x v="196"/>
    <s v="Wednesday"/>
    <d v="1899-12-30T10:21:24"/>
    <s v="FUTURE"/>
    <s v="SELL"/>
    <n v="-2"/>
    <s v="TO OPEN"/>
    <x v="19"/>
    <d v="2021-04-21T00:00:00"/>
    <m/>
    <s v="FUTURE"/>
    <n v="64.41"/>
    <n v="64.41"/>
    <s v="MKT"/>
    <n v="-2"/>
    <n v="-128820"/>
    <n v="64.41"/>
    <s v=""/>
  </r>
  <r>
    <x v="1380"/>
    <x v="196"/>
    <s v="Wednesday"/>
    <d v="1899-12-30T10:21:48"/>
    <s v="FUTURE"/>
    <s v="BUY"/>
    <n v="2"/>
    <s v="TO CLOSE"/>
    <x v="19"/>
    <d v="2021-04-21T00:00:00"/>
    <m/>
    <s v="FUTURE"/>
    <n v="64.349999999999994"/>
    <n v="64.349999999999994"/>
    <s v="LMT"/>
    <n v="0"/>
    <n v="0"/>
    <s v=""/>
    <n v="120.00000000000455"/>
  </r>
  <r>
    <x v="1381"/>
    <x v="196"/>
    <s v="Wednesday"/>
    <d v="1899-12-30T10:02:23"/>
    <s v="FUTURE"/>
    <s v="SELL"/>
    <n v="-2"/>
    <s v="TO OPEN"/>
    <x v="21"/>
    <d v="2021-06-21T00:00:00"/>
    <m/>
    <s v="FUTURE"/>
    <n v="3936.25"/>
    <n v="3936.25"/>
    <s v="LMT"/>
    <n v="-2"/>
    <n v="-39362.5"/>
    <n v="3936.25"/>
    <s v=""/>
  </r>
  <r>
    <x v="1381"/>
    <x v="196"/>
    <s v="Wednesday"/>
    <d v="1899-12-30T10:02:23"/>
    <s v="FUTURE"/>
    <s v="SELL"/>
    <n v="-1"/>
    <s v="TO OPEN"/>
    <x v="21"/>
    <d v="2021-06-21T00:00:00"/>
    <m/>
    <s v="FUTURE"/>
    <n v="3936.25"/>
    <n v="3936.25"/>
    <s v="LMT"/>
    <n v="-3"/>
    <n v="-59043.75"/>
    <n v="3936.25"/>
    <s v=""/>
  </r>
  <r>
    <x v="1381"/>
    <x v="196"/>
    <s v="Wednesday"/>
    <d v="1899-12-30T10:05:08"/>
    <s v="FUTURE"/>
    <s v="BUY"/>
    <n v="1"/>
    <s v="TO CLOSE"/>
    <x v="21"/>
    <d v="2021-06-21T00:00:00"/>
    <m/>
    <s v="FUTURE"/>
    <n v="3934.5"/>
    <n v="3934.5"/>
    <s v="LMT"/>
    <n v="-2"/>
    <n v="-39371.25"/>
    <n v="3937.125"/>
    <s v=""/>
  </r>
  <r>
    <x v="1381"/>
    <x v="196"/>
    <s v="Wednesday"/>
    <d v="1899-12-30T10:05:24"/>
    <s v="FUTURE"/>
    <s v="BUY"/>
    <n v="1"/>
    <s v="TO CLOSE"/>
    <x v="21"/>
    <d v="2021-06-21T00:00:00"/>
    <m/>
    <s v="FUTURE"/>
    <n v="3933.5"/>
    <n v="3933.5"/>
    <s v="LMT"/>
    <n v="-1"/>
    <n v="-19703.75"/>
    <n v="3940.75"/>
    <s v=""/>
  </r>
  <r>
    <x v="1381"/>
    <x v="196"/>
    <s v="Wednesday"/>
    <d v="1899-12-30T10:07:02"/>
    <s v="FUTURE"/>
    <s v="BUY"/>
    <n v="1"/>
    <s v="TO CLOSE"/>
    <x v="21"/>
    <d v="2021-06-21T00:00:00"/>
    <m/>
    <s v="FUTURE"/>
    <n v="3931.75"/>
    <n v="3931.75"/>
    <s v="STP"/>
    <n v="0"/>
    <n v="0"/>
    <s v=""/>
    <n v="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44527-EB95-41DD-ACDF-1582BEC18F9A}" name="AnalyticsPT" cacheId="5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A15:H67" firstHeaderRow="1" firstDataRow="2" firstDataCol="1" rowPageCount="3" colPageCount="1"/>
  <pivotFields count="22">
    <pivotField axis="axisRow" showAll="0">
      <items count="13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m="1" x="1382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t="default"/>
      </items>
    </pivotField>
    <pivotField axis="axisPage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9" showAll="0"/>
    <pivotField showAll="0"/>
    <pivotField showAll="0"/>
    <pivotField showAll="0"/>
    <pivotField showAll="0"/>
    <pivotField axis="axisCol" showAll="0">
      <items count="24"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dataField="1" showAll="0"/>
    <pivotField axis="axisPage" multipleItemSelectionAllowed="1" showAll="0">
      <items count="15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Page" multipleItemSelectionAllowed="1" showAll="0">
      <items count="6">
        <item h="1" x="0"/>
        <item h="1" x="1"/>
        <item x="2"/>
        <item h="1" x="3"/>
        <item h="1" x="4"/>
        <item t="default"/>
      </items>
    </pivotField>
  </pivotFields>
  <rowFields count="1">
    <field x="0"/>
  </rowFields>
  <rowItems count="51"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 t="grand">
      <x/>
    </i>
  </rowItems>
  <colFields count="1">
    <field x="8"/>
  </colFields>
  <colItems count="7">
    <i>
      <x v="3"/>
    </i>
    <i>
      <x v="16"/>
    </i>
    <i>
      <x v="18"/>
    </i>
    <i>
      <x v="20"/>
    </i>
    <i>
      <x v="21"/>
    </i>
    <i>
      <x v="22"/>
    </i>
    <i t="grand">
      <x/>
    </i>
  </colItems>
  <pageFields count="3">
    <pageField fld="1" hier="-1"/>
    <pageField fld="21" hier="-1"/>
    <pageField fld="19" hier="-1"/>
  </pageFields>
  <dataFields count="1">
    <dataField name="Sum of Trade P&amp;L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2B608-E478-A840-B436-1F48AFF9B57C}">
  <sheetPr codeName="Sheet1"/>
  <dimension ref="A1:O37"/>
  <sheetViews>
    <sheetView tabSelected="1" workbookViewId="0">
      <selection activeCell="A7" sqref="A7"/>
    </sheetView>
  </sheetViews>
  <sheetFormatPr baseColWidth="10" defaultColWidth="11" defaultRowHeight="16" x14ac:dyDescent="0.2"/>
  <cols>
    <col min="1" max="1" width="11.83203125" style="5" customWidth="1"/>
    <col min="2" max="2" width="13.1640625" style="5" customWidth="1"/>
    <col min="3" max="15" width="12" style="5" customWidth="1"/>
    <col min="16" max="16384" width="11" style="5"/>
  </cols>
  <sheetData>
    <row r="1" spans="1:15" ht="17" thickBot="1" x14ac:dyDescent="0.25">
      <c r="A1" s="4" t="s">
        <v>33</v>
      </c>
      <c r="B1" s="10">
        <f ca="1">TODAY()</f>
        <v>44272</v>
      </c>
    </row>
    <row r="2" spans="1:15" ht="41.75" customHeight="1" thickBot="1" x14ac:dyDescent="0.25">
      <c r="A2" s="6"/>
      <c r="B2" s="6"/>
    </row>
    <row r="3" spans="1:15" ht="17" thickBot="1" x14ac:dyDescent="0.25">
      <c r="A3" s="4" t="s">
        <v>34</v>
      </c>
      <c r="B3" s="10">
        <v>44272</v>
      </c>
    </row>
    <row r="4" spans="1:15" ht="11.25" customHeight="1" thickBot="1" x14ac:dyDescent="0.25">
      <c r="A4" s="6"/>
      <c r="B4" s="6"/>
      <c r="E4" s="5" t="s">
        <v>0</v>
      </c>
    </row>
    <row r="5" spans="1:15" ht="17" thickBot="1" x14ac:dyDescent="0.25">
      <c r="A5" s="4" t="s">
        <v>1</v>
      </c>
      <c r="B5" s="7" t="str">
        <f>TEXT("/Users/mvlasov/Trading/TradeActivity/"&amp;TEXT(B3,"yyyy-mm-dd")&amp;"-TradeActivity.csv","")</f>
        <v>/Users/mvlasov/Trading/TradeActivity/2021-03-17-TradeActivity.csv</v>
      </c>
      <c r="C5" s="8"/>
      <c r="D5" s="8"/>
      <c r="E5" s="8"/>
      <c r="F5" s="9"/>
    </row>
    <row r="6" spans="1:15" ht="9.75" customHeight="1" x14ac:dyDescent="0.2"/>
    <row r="8" spans="1:15" x14ac:dyDescent="0.2">
      <c r="A8" s="4"/>
      <c r="B8" s="29">
        <v>2020</v>
      </c>
      <c r="C8" s="30" t="s">
        <v>57</v>
      </c>
      <c r="D8" s="4" t="s">
        <v>91</v>
      </c>
      <c r="E8" s="4" t="s">
        <v>92</v>
      </c>
      <c r="F8" s="4" t="s">
        <v>93</v>
      </c>
      <c r="G8" s="4" t="s">
        <v>63</v>
      </c>
      <c r="H8" s="4" t="s">
        <v>64</v>
      </c>
      <c r="I8" s="4" t="s">
        <v>65</v>
      </c>
      <c r="J8" s="4" t="s">
        <v>67</v>
      </c>
      <c r="K8" s="4" t="s">
        <v>68</v>
      </c>
      <c r="L8" s="4" t="s">
        <v>69</v>
      </c>
      <c r="M8" s="4" t="s">
        <v>71</v>
      </c>
      <c r="N8" s="4" t="s">
        <v>70</v>
      </c>
      <c r="O8" s="4" t="s">
        <v>72</v>
      </c>
    </row>
    <row r="9" spans="1:15" x14ac:dyDescent="0.2">
      <c r="A9" s="4" t="s">
        <v>60</v>
      </c>
      <c r="B9" s="27">
        <v>1157</v>
      </c>
      <c r="C9" s="31">
        <f>SUM(D$9:O$9)</f>
        <v>225</v>
      </c>
      <c r="D9" s="27">
        <v>97</v>
      </c>
      <c r="E9" s="27">
        <v>78</v>
      </c>
      <c r="F9" s="27">
        <f>Analytics!$E$1</f>
        <v>50</v>
      </c>
      <c r="G9" s="27"/>
      <c r="H9" s="27"/>
      <c r="I9" s="27"/>
      <c r="J9" s="27"/>
      <c r="K9" s="27"/>
      <c r="L9" s="27"/>
    </row>
    <row r="10" spans="1:15" x14ac:dyDescent="0.2">
      <c r="A10" s="4" t="s">
        <v>58</v>
      </c>
      <c r="B10" s="26">
        <v>189.89616854166687</v>
      </c>
      <c r="C10" s="32">
        <f>SUMPRODUCT($D$9:O$9,$D15:O15,$D10:O10)/($C$9*$C15)</f>
        <v>139.91035714285709</v>
      </c>
      <c r="D10" s="26">
        <v>170.07812499999997</v>
      </c>
      <c r="E10" s="26">
        <v>131.17590909090887</v>
      </c>
      <c r="F10" s="26">
        <f>Analytics!$B$3</f>
        <v>123.77000000000014</v>
      </c>
      <c r="G10" s="26"/>
      <c r="H10" s="26"/>
      <c r="I10" s="26"/>
      <c r="J10" s="26"/>
      <c r="K10" s="26"/>
      <c r="L10" s="26"/>
    </row>
    <row r="11" spans="1:15" x14ac:dyDescent="0.2">
      <c r="A11" s="4" t="s">
        <v>59</v>
      </c>
      <c r="B11" s="26">
        <v>-456.0956099585062</v>
      </c>
      <c r="C11" s="32">
        <f>SUMPRODUCT($D$9:O$9,$D17:O17,$D11:O11)/($C$9*$C17)</f>
        <v>-378.75347999999997</v>
      </c>
      <c r="D11" s="26">
        <v>-372.46296296296231</v>
      </c>
      <c r="E11" s="26">
        <v>-416.76023529411879</v>
      </c>
      <c r="F11" s="26">
        <f>Analytics!$C$3</f>
        <v>-299.375</v>
      </c>
      <c r="G11" s="26"/>
      <c r="H11" s="26"/>
      <c r="I11" s="26"/>
      <c r="J11" s="26"/>
      <c r="K11" s="26"/>
      <c r="L11" s="26"/>
    </row>
    <row r="12" spans="1:15" x14ac:dyDescent="0.2">
      <c r="A12" s="4" t="s">
        <v>61</v>
      </c>
      <c r="B12" s="26">
        <v>533.80208333333314</v>
      </c>
      <c r="C12" s="32">
        <f>SUMPRODUCT($D$9:O$9,$D18:O18,$D12:O12)/($C$9*$C18)</f>
        <v>355.62499999999915</v>
      </c>
      <c r="D12" s="26">
        <v>345.83333333333331</v>
      </c>
      <c r="E12" s="26">
        <v>331.25</v>
      </c>
      <c r="F12" s="26">
        <f>Analytics!$B$7</f>
        <v>381.66666666666441</v>
      </c>
      <c r="G12" s="26"/>
      <c r="H12" s="26"/>
      <c r="I12" s="26"/>
      <c r="J12" s="26"/>
      <c r="K12" s="26"/>
      <c r="L12" s="26"/>
    </row>
    <row r="13" spans="1:15" x14ac:dyDescent="0.2">
      <c r="A13" s="4" t="s">
        <v>62</v>
      </c>
      <c r="B13" s="26">
        <v>-1243.7184821428575</v>
      </c>
      <c r="C13" s="32">
        <f>SUMPRODUCT($D$9:O$9,$D19:O19,$D13:O13)/($C$9*$C19)</f>
        <v>-1053.576923076924</v>
      </c>
      <c r="D13" s="26">
        <v>-1019.5000000000007</v>
      </c>
      <c r="E13" s="26">
        <v>-1057.0000000000014</v>
      </c>
      <c r="F13" s="26">
        <f>Analytics!$C$7</f>
        <v>-1275</v>
      </c>
      <c r="G13" s="26"/>
      <c r="H13" s="26"/>
      <c r="I13" s="26"/>
      <c r="J13" s="26"/>
      <c r="K13" s="26"/>
      <c r="L13" s="26"/>
    </row>
    <row r="14" spans="1:15" ht="9.75" customHeight="1" x14ac:dyDescent="0.2">
      <c r="A14" s="4"/>
      <c r="B14" s="24"/>
      <c r="C14" s="33"/>
      <c r="E14" s="24"/>
      <c r="F14" s="24"/>
      <c r="G14" s="24"/>
      <c r="H14" s="24"/>
    </row>
    <row r="15" spans="1:15" x14ac:dyDescent="0.2">
      <c r="A15" s="4" t="s">
        <v>47</v>
      </c>
      <c r="B15" s="25">
        <v>0.41486603284356094</v>
      </c>
      <c r="C15" s="34">
        <f>SUMPRODUCT($D$9:O$9,$D15:O15)/$C$9</f>
        <v>0.49777777777777776</v>
      </c>
      <c r="D15" s="25">
        <v>0.32989690721649484</v>
      </c>
      <c r="E15" s="25">
        <v>0.5641025641025641</v>
      </c>
      <c r="F15" s="25">
        <f>Analytics!$G$2</f>
        <v>0.72</v>
      </c>
      <c r="G15" s="25"/>
      <c r="H15" s="25"/>
      <c r="I15" s="25"/>
      <c r="J15" s="25"/>
      <c r="K15" s="25"/>
      <c r="L15" s="25"/>
    </row>
    <row r="16" spans="1:15" x14ac:dyDescent="0.2">
      <c r="A16" s="4" t="s">
        <v>48</v>
      </c>
      <c r="B16" s="25">
        <v>0.79170267934312877</v>
      </c>
      <c r="C16" s="34">
        <f>SUMPRODUCT($D$9:O$9,$D16:O16)/$C$9</f>
        <v>0.77777777777777779</v>
      </c>
      <c r="D16" s="25">
        <v>0.72164948453608246</v>
      </c>
      <c r="E16" s="25">
        <v>0.78205128205128205</v>
      </c>
      <c r="F16" s="25">
        <f>Analytics!$G$3</f>
        <v>0.88</v>
      </c>
      <c r="G16" s="25"/>
      <c r="H16" s="25"/>
      <c r="I16" s="25"/>
      <c r="J16" s="25"/>
      <c r="K16" s="25"/>
      <c r="L16" s="25"/>
    </row>
    <row r="17" spans="1:15" x14ac:dyDescent="0.2">
      <c r="A17" s="4" t="s">
        <v>49</v>
      </c>
      <c r="B17" s="25">
        <v>0.20829732065687123</v>
      </c>
      <c r="C17" s="34">
        <f>SUMPRODUCT($D$9:O$9,$D17:O17)/$C$9</f>
        <v>0.22222222222222221</v>
      </c>
      <c r="D17" s="25">
        <v>0.27835051546391754</v>
      </c>
      <c r="E17" s="25">
        <v>0.21794871794871795</v>
      </c>
      <c r="F17" s="25">
        <f>Analytics!$G$4</f>
        <v>0.12</v>
      </c>
      <c r="G17" s="25"/>
      <c r="H17" s="25"/>
      <c r="I17" s="25"/>
      <c r="J17" s="25"/>
      <c r="K17" s="25"/>
      <c r="L17" s="25"/>
    </row>
    <row r="18" spans="1:15" x14ac:dyDescent="0.2">
      <c r="A18" s="4" t="s">
        <v>50</v>
      </c>
      <c r="B18" s="25">
        <v>2.0743301642178046E-2</v>
      </c>
      <c r="C18" s="34">
        <f>SUMPRODUCT($D$9:O$9,$D18:O18)/$C$9</f>
        <v>3.5555555555555556E-2</v>
      </c>
      <c r="D18" s="25">
        <v>3.0927835051546393E-2</v>
      </c>
      <c r="E18" s="25">
        <v>2.564102564102564E-2</v>
      </c>
      <c r="F18" s="25">
        <f>Analytics!$G$5</f>
        <v>0.06</v>
      </c>
      <c r="G18" s="25"/>
      <c r="H18" s="25"/>
      <c r="I18" s="25"/>
      <c r="J18" s="25"/>
      <c r="K18" s="25"/>
      <c r="L18" s="25"/>
    </row>
    <row r="19" spans="1:15" x14ac:dyDescent="0.2">
      <c r="A19" s="4" t="s">
        <v>51</v>
      </c>
      <c r="B19" s="25">
        <v>4.8401037165082109E-2</v>
      </c>
      <c r="C19" s="34">
        <f>SUMPRODUCT($D$9:O$9,$D19:O19)/$C$9</f>
        <v>5.7777777777777775E-2</v>
      </c>
      <c r="D19" s="25">
        <v>7.2164948453608241E-2</v>
      </c>
      <c r="E19" s="25">
        <v>6.4102564102564097E-2</v>
      </c>
      <c r="F19" s="25">
        <f>Analytics!$G$6</f>
        <v>0.02</v>
      </c>
      <c r="G19" s="25"/>
      <c r="H19" s="25"/>
      <c r="I19" s="25"/>
      <c r="J19" s="25"/>
      <c r="K19" s="25"/>
      <c r="L19" s="25"/>
    </row>
    <row r="20" spans="1:15" ht="9.5" customHeight="1" x14ac:dyDescent="0.2">
      <c r="C20" s="35"/>
    </row>
    <row r="21" spans="1:15" x14ac:dyDescent="0.2">
      <c r="A21" s="4" t="s">
        <v>66</v>
      </c>
      <c r="B21" s="26">
        <v>-8856.2883999999303</v>
      </c>
      <c r="C21" s="36">
        <f>SUM(D21:O21)</f>
        <v>-2115.2140000000027</v>
      </c>
      <c r="D21" s="26">
        <v>-3461.4999999999809</v>
      </c>
      <c r="E21" s="26">
        <v>-1313.1840000000279</v>
      </c>
      <c r="F21" s="26">
        <f>total_pnl</f>
        <v>2659.4700000000057</v>
      </c>
      <c r="G21" s="26"/>
      <c r="H21" s="26"/>
      <c r="I21" s="26"/>
      <c r="J21" s="26"/>
      <c r="K21" s="26"/>
      <c r="L21" s="26"/>
    </row>
    <row r="24" spans="1:15" x14ac:dyDescent="0.2">
      <c r="A24" s="37"/>
      <c r="B24" s="38"/>
      <c r="C24" s="38"/>
      <c r="D24" s="38"/>
      <c r="E24" s="38"/>
      <c r="F24" s="38"/>
      <c r="G24" s="37" t="s">
        <v>63</v>
      </c>
      <c r="H24" s="37" t="s">
        <v>64</v>
      </c>
      <c r="I24" s="37" t="s">
        <v>65</v>
      </c>
      <c r="J24" s="37" t="s">
        <v>67</v>
      </c>
      <c r="K24" s="37" t="s">
        <v>68</v>
      </c>
      <c r="L24" s="37" t="s">
        <v>69</v>
      </c>
      <c r="M24" s="37" t="s">
        <v>71</v>
      </c>
      <c r="N24" s="37" t="s">
        <v>70</v>
      </c>
      <c r="O24" s="37" t="s">
        <v>72</v>
      </c>
    </row>
    <row r="25" spans="1:15" x14ac:dyDescent="0.2">
      <c r="A25" s="37" t="s">
        <v>60</v>
      </c>
      <c r="B25" s="38"/>
      <c r="C25" s="38"/>
      <c r="D25" s="38"/>
      <c r="E25" s="38"/>
      <c r="F25" s="38"/>
      <c r="G25" s="39">
        <v>189</v>
      </c>
      <c r="H25" s="39">
        <v>217</v>
      </c>
      <c r="I25" s="39">
        <v>166</v>
      </c>
      <c r="J25" s="39">
        <v>219</v>
      </c>
      <c r="K25" s="39">
        <v>122</v>
      </c>
      <c r="L25" s="39">
        <v>12</v>
      </c>
      <c r="M25" s="39">
        <v>46</v>
      </c>
      <c r="N25" s="39">
        <v>106</v>
      </c>
      <c r="O25" s="39">
        <v>80</v>
      </c>
    </row>
    <row r="26" spans="1:15" x14ac:dyDescent="0.2">
      <c r="A26" s="37" t="s">
        <v>58</v>
      </c>
      <c r="B26" s="38"/>
      <c r="C26" s="38"/>
      <c r="D26" s="38"/>
      <c r="E26" s="38"/>
      <c r="F26" s="38"/>
      <c r="G26" s="40">
        <v>206.14221649484546</v>
      </c>
      <c r="H26" s="40">
        <v>181.76566292134817</v>
      </c>
      <c r="I26" s="40">
        <v>174.40274647887344</v>
      </c>
      <c r="J26" s="40">
        <v>205.26320312500033</v>
      </c>
      <c r="K26" s="40">
        <v>217.00492790697734</v>
      </c>
      <c r="L26" s="40">
        <v>247.50000000000045</v>
      </c>
      <c r="M26" s="40">
        <v>201.04478260869575</v>
      </c>
      <c r="N26" s="40">
        <v>171.93959183673456</v>
      </c>
      <c r="O26" s="40">
        <v>144.45945945946013</v>
      </c>
    </row>
    <row r="27" spans="1:15" x14ac:dyDescent="0.2">
      <c r="A27" s="37" t="s">
        <v>59</v>
      </c>
      <c r="B27" s="38"/>
      <c r="C27" s="38"/>
      <c r="D27" s="38"/>
      <c r="E27" s="38"/>
      <c r="F27" s="38"/>
      <c r="G27" s="40">
        <v>-497.1488499999997</v>
      </c>
      <c r="H27" s="40">
        <v>-328.32462264150905</v>
      </c>
      <c r="I27" s="40">
        <v>-404.91035714285755</v>
      </c>
      <c r="J27" s="40">
        <v>-300.03857377049189</v>
      </c>
      <c r="K27" s="40">
        <v>-426.67437499999903</v>
      </c>
      <c r="L27" s="40">
        <v>-3619.7466666666674</v>
      </c>
      <c r="M27" s="40">
        <v>-673.38727272727374</v>
      </c>
      <c r="N27" s="40">
        <v>-708.9473684210526</v>
      </c>
      <c r="O27" s="40">
        <v>-442.87500000000125</v>
      </c>
    </row>
    <row r="28" spans="1:15" x14ac:dyDescent="0.2">
      <c r="A28" s="37" t="s">
        <v>61</v>
      </c>
      <c r="B28" s="38"/>
      <c r="C28" s="38"/>
      <c r="D28" s="38"/>
      <c r="E28" s="38"/>
      <c r="F28" s="38"/>
      <c r="G28" s="40">
        <v>830.00000000000182</v>
      </c>
      <c r="H28" s="40">
        <v>538.75000000000045</v>
      </c>
      <c r="I28" s="40">
        <v>562.5</v>
      </c>
      <c r="J28" s="40">
        <v>571.45833333333337</v>
      </c>
      <c r="K28" s="40">
        <v>524.99999999999852</v>
      </c>
      <c r="L28" s="40">
        <v>550.00000000000432</v>
      </c>
      <c r="M28" s="40">
        <v>725</v>
      </c>
      <c r="N28" s="40">
        <v>431.25</v>
      </c>
      <c r="O28" s="40">
        <v>344.99999999999841</v>
      </c>
    </row>
    <row r="29" spans="1:15" x14ac:dyDescent="0.2">
      <c r="A29" s="37" t="s">
        <v>62</v>
      </c>
      <c r="B29" s="38"/>
      <c r="C29" s="38"/>
      <c r="D29" s="38"/>
      <c r="E29" s="38"/>
      <c r="F29" s="38"/>
      <c r="G29" s="40">
        <v>-1747.0833333333339</v>
      </c>
      <c r="H29" s="40">
        <v>-860.69849999999894</v>
      </c>
      <c r="I29" s="40">
        <v>-1235.9375000000023</v>
      </c>
      <c r="J29" s="40">
        <v>-1006.944444444444</v>
      </c>
      <c r="K29" s="40">
        <v>-1204.9999999999961</v>
      </c>
      <c r="L29" s="40">
        <v>-5212.5</v>
      </c>
      <c r="M29" s="40">
        <v>-1085.8333333333353</v>
      </c>
      <c r="N29" s="40">
        <v>-1143.25</v>
      </c>
      <c r="O29" s="40">
        <v>-672.00000000000307</v>
      </c>
    </row>
    <row r="30" spans="1:15" x14ac:dyDescent="0.2">
      <c r="A30" s="37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</row>
    <row r="31" spans="1:15" x14ac:dyDescent="0.2">
      <c r="A31" s="37" t="s">
        <v>47</v>
      </c>
      <c r="B31" s="38"/>
      <c r="C31" s="38"/>
      <c r="D31" s="38"/>
      <c r="E31" s="38"/>
      <c r="F31" s="38"/>
      <c r="G31" s="41">
        <v>0.51322751322751325</v>
      </c>
      <c r="H31" s="41">
        <v>0.41013824884792627</v>
      </c>
      <c r="I31" s="41">
        <v>0.42771084337349397</v>
      </c>
      <c r="J31" s="41">
        <v>0.29223744292237441</v>
      </c>
      <c r="K31" s="41">
        <v>0.35245901639344263</v>
      </c>
      <c r="L31" s="41">
        <v>0.58333333333333337</v>
      </c>
      <c r="M31" s="41">
        <v>0.5</v>
      </c>
      <c r="N31" s="41">
        <v>0.46226415094339623</v>
      </c>
      <c r="O31" s="41">
        <v>0.46250000000000002</v>
      </c>
    </row>
    <row r="32" spans="1:15" x14ac:dyDescent="0.2">
      <c r="A32" s="37" t="s">
        <v>48</v>
      </c>
      <c r="B32" s="38"/>
      <c r="C32" s="38"/>
      <c r="D32" s="38"/>
      <c r="E32" s="38"/>
      <c r="F32" s="38"/>
      <c r="G32" s="41">
        <v>0.78835978835978837</v>
      </c>
      <c r="H32" s="41">
        <v>0.75576036866359442</v>
      </c>
      <c r="I32" s="41">
        <v>0.83132530120481929</v>
      </c>
      <c r="J32" s="41">
        <v>0.72146118721461183</v>
      </c>
      <c r="K32" s="41">
        <v>0.86885245901639341</v>
      </c>
      <c r="L32" s="41">
        <v>0.75</v>
      </c>
      <c r="M32" s="41">
        <v>0.76086956521739135</v>
      </c>
      <c r="N32" s="41">
        <v>0.82075471698113212</v>
      </c>
      <c r="O32" s="41">
        <v>0.875</v>
      </c>
    </row>
    <row r="33" spans="1:15" x14ac:dyDescent="0.2">
      <c r="A33" s="37" t="s">
        <v>49</v>
      </c>
      <c r="B33" s="38"/>
      <c r="C33" s="38"/>
      <c r="D33" s="38"/>
      <c r="E33" s="38"/>
      <c r="F33" s="38"/>
      <c r="G33" s="41">
        <v>0.21164021164021163</v>
      </c>
      <c r="H33" s="41">
        <v>0.24423963133640553</v>
      </c>
      <c r="I33" s="41">
        <v>0.16867469879518071</v>
      </c>
      <c r="J33" s="41">
        <v>0.27853881278538811</v>
      </c>
      <c r="K33" s="41">
        <v>0.13114754098360656</v>
      </c>
      <c r="L33" s="41">
        <v>0.25</v>
      </c>
      <c r="M33" s="41">
        <v>0.2391304347826087</v>
      </c>
      <c r="N33" s="41">
        <v>0.17924528301886791</v>
      </c>
      <c r="O33" s="41">
        <v>0.125</v>
      </c>
    </row>
    <row r="34" spans="1:15" x14ac:dyDescent="0.2">
      <c r="A34" s="37" t="s">
        <v>50</v>
      </c>
      <c r="B34" s="38"/>
      <c r="C34" s="38"/>
      <c r="D34" s="38"/>
      <c r="E34" s="38"/>
      <c r="F34" s="38"/>
      <c r="G34" s="41">
        <v>5.2910052910052907E-3</v>
      </c>
      <c r="H34" s="41">
        <v>1.8433179723502304E-2</v>
      </c>
      <c r="I34" s="41">
        <v>1.2048192771084338E-2</v>
      </c>
      <c r="J34" s="41">
        <v>2.7397260273972601E-2</v>
      </c>
      <c r="K34" s="41">
        <v>3.2786885245901641E-2</v>
      </c>
      <c r="L34" s="41">
        <v>8.3333333333333329E-2</v>
      </c>
      <c r="M34" s="41">
        <v>2.1739130434782608E-2</v>
      </c>
      <c r="N34" s="41">
        <v>1.8867924528301886E-2</v>
      </c>
      <c r="O34" s="41">
        <v>3.7499999999999999E-2</v>
      </c>
    </row>
    <row r="35" spans="1:15" x14ac:dyDescent="0.2">
      <c r="A35" s="37" t="s">
        <v>51</v>
      </c>
      <c r="B35" s="38"/>
      <c r="C35" s="38"/>
      <c r="D35" s="38"/>
      <c r="E35" s="38"/>
      <c r="F35" s="38"/>
      <c r="G35" s="41">
        <v>3.1746031746031744E-2</v>
      </c>
      <c r="H35" s="41">
        <v>4.6082949308755762E-2</v>
      </c>
      <c r="I35" s="41">
        <v>2.4096385542168676E-2</v>
      </c>
      <c r="J35" s="41">
        <v>4.1095890410958902E-2</v>
      </c>
      <c r="K35" s="41">
        <v>3.2786885245901641E-2</v>
      </c>
      <c r="L35" s="41">
        <v>0.16666666666666666</v>
      </c>
      <c r="M35" s="41">
        <v>0.13043478260869565</v>
      </c>
      <c r="N35" s="41">
        <v>9.4339622641509441E-2</v>
      </c>
      <c r="O35" s="41">
        <v>6.25E-2</v>
      </c>
    </row>
    <row r="36" spans="1:15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</row>
    <row r="37" spans="1:15" x14ac:dyDescent="0.2">
      <c r="A37" s="37" t="s">
        <v>66</v>
      </c>
      <c r="B37" s="38"/>
      <c r="C37" s="38"/>
      <c r="D37" s="38"/>
      <c r="E37" s="38"/>
      <c r="F37" s="38"/>
      <c r="G37" s="40">
        <v>990.99060000001271</v>
      </c>
      <c r="H37" s="40">
        <v>476.74080000001237</v>
      </c>
      <c r="I37" s="40">
        <v>2721.8849999999811</v>
      </c>
      <c r="J37" s="40">
        <v>-3163.2479999999614</v>
      </c>
      <c r="K37" s="40">
        <v>4076.2207000000449</v>
      </c>
      <c r="L37" s="40">
        <v>-9074.7199999999975</v>
      </c>
      <c r="M37" s="40">
        <v>-2566.8000000000002</v>
      </c>
      <c r="N37" s="40">
        <v>-4228.0675000000074</v>
      </c>
      <c r="O37" s="40">
        <v>1910.7099999999846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ull_TOS_CSV">
                <anchor moveWithCells="1" sizeWithCells="1">
                  <from>
                    <xdr:col>2</xdr:col>
                    <xdr:colOff>254000</xdr:colOff>
                    <xdr:row>0</xdr:row>
                    <xdr:rowOff>139700</xdr:rowOff>
                  </from>
                  <to>
                    <xdr:col>4</xdr:col>
                    <xdr:colOff>38100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nd_to_Master">
                <anchor moveWithCells="1" sizeWithCells="1">
                  <from>
                    <xdr:col>4</xdr:col>
                    <xdr:colOff>190500</xdr:colOff>
                    <xdr:row>0</xdr:row>
                    <xdr:rowOff>139700</xdr:rowOff>
                  </from>
                  <to>
                    <xdr:col>6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Today_date">
                <anchor moveWithCells="1" sizeWithCells="1">
                  <from>
                    <xdr:col>0</xdr:col>
                    <xdr:colOff>127000</xdr:colOff>
                    <xdr:row>1</xdr:row>
                    <xdr:rowOff>76200</xdr:rowOff>
                  </from>
                  <to>
                    <xdr:col>1</xdr:col>
                    <xdr:colOff>914400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4C38F-1379-4E20-8C36-6CE43170F9D9}">
  <sheetPr codeName="Sheet2"/>
  <dimension ref="A1:S4131"/>
  <sheetViews>
    <sheetView topLeftCell="A4088" zoomScale="85" zoomScaleNormal="85" workbookViewId="0">
      <selection activeCell="J4117" sqref="J4117"/>
    </sheetView>
  </sheetViews>
  <sheetFormatPr baseColWidth="10" defaultColWidth="8.83203125" defaultRowHeight="16" x14ac:dyDescent="0.2"/>
  <cols>
    <col min="2" max="2" width="14.33203125" customWidth="1"/>
    <col min="3" max="3" width="12.5" customWidth="1"/>
    <col min="4" max="4" width="13" customWidth="1"/>
    <col min="5" max="5" width="10.33203125" customWidth="1"/>
    <col min="6" max="7" width="6.83203125" customWidth="1"/>
    <col min="8" max="8" width="9.33203125" bestFit="1" customWidth="1"/>
    <col min="9" max="9" width="9.5" bestFit="1" customWidth="1"/>
    <col min="10" max="10" width="7.6640625" bestFit="1" customWidth="1"/>
    <col min="11" max="11" width="5.83203125" bestFit="1" customWidth="1"/>
    <col min="12" max="12" width="8" bestFit="1" customWidth="1"/>
    <col min="13" max="13" width="8.1640625" bestFit="1" customWidth="1"/>
    <col min="14" max="14" width="9.1640625" bestFit="1" customWidth="1"/>
    <col min="15" max="15" width="10.1640625" bestFit="1" customWidth="1"/>
    <col min="16" max="16" width="7.5" bestFit="1" customWidth="1"/>
    <col min="17" max="17" width="10.83203125" bestFit="1" customWidth="1"/>
    <col min="18" max="18" width="13" bestFit="1" customWidth="1"/>
    <col min="19" max="19" width="10.33203125" bestFit="1" customWidth="1"/>
  </cols>
  <sheetData>
    <row r="1" spans="1:19" x14ac:dyDescent="0.2">
      <c r="A1" t="s">
        <v>25</v>
      </c>
      <c r="B1" s="3" t="s">
        <v>26</v>
      </c>
      <c r="C1" s="3" t="s">
        <v>53</v>
      </c>
      <c r="D1" t="s">
        <v>10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11</v>
      </c>
      <c r="N1" t="s">
        <v>12</v>
      </c>
      <c r="O1" t="s">
        <v>13</v>
      </c>
      <c r="P1" t="s">
        <v>35</v>
      </c>
      <c r="Q1" s="11" t="s">
        <v>30</v>
      </c>
      <c r="R1" s="12" t="s">
        <v>31</v>
      </c>
      <c r="S1" s="13" t="s">
        <v>32</v>
      </c>
    </row>
    <row r="2" spans="1:19" x14ac:dyDescent="0.2">
      <c r="A2">
        <f t="shared" ref="A2:A65" si="0">IF(AND(P1=0,H1="TO CLOSE"),IFERROR(A1+1,1),IFERROR(A1/1,1))</f>
        <v>1</v>
      </c>
      <c r="B2" s="3">
        <v>43927</v>
      </c>
      <c r="C2" s="3" t="str">
        <f t="shared" ref="C2:C65" si="1">IF(WEEKDAY(B2,2)=1,"Monday",IF(WEEKDAY(B2,2)=2,"Tuesday",IF(WEEKDAY(B2,2)=3,"Wednesday",IF(WEEKDAY(B2,2)=4,"Thursday",IF(WEEKDAY(B2,2)=5,"Friday","Sunday")))))</f>
        <v>Monday</v>
      </c>
      <c r="D2" s="2">
        <v>0.45733796296296297</v>
      </c>
      <c r="E2" t="s">
        <v>14</v>
      </c>
      <c r="F2" t="s">
        <v>19</v>
      </c>
      <c r="G2">
        <v>1</v>
      </c>
      <c r="H2" t="s">
        <v>20</v>
      </c>
      <c r="I2" t="s">
        <v>36</v>
      </c>
      <c r="J2" s="1">
        <v>43971</v>
      </c>
      <c r="L2" t="s">
        <v>14</v>
      </c>
      <c r="M2">
        <v>26.5</v>
      </c>
      <c r="N2">
        <v>26.5</v>
      </c>
      <c r="O2" t="s">
        <v>24</v>
      </c>
      <c r="P2">
        <f>IF(H2="TO OPEN",IFERROR(#REF!+G2,0+G2),IFERROR(#REF!+G2,0+G2))</f>
        <v>1</v>
      </c>
      <c r="Q2" s="11">
        <f>IF(P2=0,0,IFERROR(#REF!+G2*M2*IF(E2="FUTURE",VLOOKUP(MID(I2,2,2),[1]Futures!$A$2:$B$12,2),1),G2*M2*IF(E2="FUTURE",VLOOKUP(MID(I2,2,2),[1]Futures!$A$2:$B$12,2),1)))</f>
        <v>26500</v>
      </c>
      <c r="R2" s="12">
        <f>IFERROR(Q2/P2/IF(E2="FUTURE",VLOOKUP(MID(I2,2,2),[1]Futures!$A$2:$B$12,2),1),"")</f>
        <v>26.5</v>
      </c>
      <c r="S2" s="13" t="str">
        <f>IF(AND(H2="TO CLOSE",P2=0),-G2*(M2-#REF!)*IF(E2="FUTURE",VLOOKUP(MID(I2,2,2),[1]Futures!$A$2:$B$12,2),1),"")</f>
        <v/>
      </c>
    </row>
    <row r="3" spans="1:19" x14ac:dyDescent="0.2">
      <c r="A3">
        <f t="shared" si="0"/>
        <v>1</v>
      </c>
      <c r="B3" s="3">
        <v>43927</v>
      </c>
      <c r="C3" s="3" t="str">
        <f t="shared" si="1"/>
        <v>Monday</v>
      </c>
      <c r="D3" s="2">
        <v>0.46075231481481477</v>
      </c>
      <c r="E3" t="s">
        <v>14</v>
      </c>
      <c r="F3" t="s">
        <v>15</v>
      </c>
      <c r="G3">
        <v>-1</v>
      </c>
      <c r="H3" t="s">
        <v>16</v>
      </c>
      <c r="I3" t="s">
        <v>36</v>
      </c>
      <c r="J3" s="1">
        <v>43971</v>
      </c>
      <c r="L3" t="s">
        <v>14</v>
      </c>
      <c r="M3">
        <v>26.69</v>
      </c>
      <c r="N3">
        <v>26.69</v>
      </c>
      <c r="O3" t="s">
        <v>21</v>
      </c>
      <c r="P3">
        <f t="shared" ref="P3:P66" si="2">IF(H3="TO OPEN",IFERROR(P2+G3,0+G3),IFERROR(P2+G3,0+G3))</f>
        <v>0</v>
      </c>
      <c r="Q3" s="11">
        <f>IF(P3=0,0,IFERROR(Q2+G3*M3*IF(E3="FUTURE",VLOOKUP(MID(I3,2,2),[1]Futures!$A$2:$B$12,2),1),G3*M3*IF(E3="FUTURE",VLOOKUP(MID(I3,2,2),[1]Futures!$A$2:$B$12,2),1)))</f>
        <v>0</v>
      </c>
      <c r="R3" s="12" t="str">
        <f>IFERROR(Q3/P3/IF(E3="FUTURE",VLOOKUP(MID(I3,2,2),[1]Futures!$A$2:$B$12,2),1),"")</f>
        <v/>
      </c>
      <c r="S3" s="13">
        <f>IF(AND(H3="TO CLOSE",P3=0),-G3*(M3-R2)*IF(E3="FUTURE",VLOOKUP(MID(I3,2,2),[1]Futures!$A$2:$B$12,2),1),"")</f>
        <v>190.00000000000128</v>
      </c>
    </row>
    <row r="4" spans="1:19" x14ac:dyDescent="0.2">
      <c r="A4">
        <f t="shared" si="0"/>
        <v>2</v>
      </c>
      <c r="B4" s="3">
        <v>43927</v>
      </c>
      <c r="C4" s="3" t="str">
        <f t="shared" si="1"/>
        <v>Monday</v>
      </c>
      <c r="D4" s="2">
        <v>0.47229166666666672</v>
      </c>
      <c r="E4" t="s">
        <v>14</v>
      </c>
      <c r="F4" t="s">
        <v>19</v>
      </c>
      <c r="G4">
        <v>1</v>
      </c>
      <c r="H4" t="s">
        <v>20</v>
      </c>
      <c r="I4" t="s">
        <v>36</v>
      </c>
      <c r="J4" s="1">
        <v>43971</v>
      </c>
      <c r="L4" t="s">
        <v>14</v>
      </c>
      <c r="M4">
        <v>26.4</v>
      </c>
      <c r="N4">
        <v>26.4</v>
      </c>
      <c r="O4" t="s">
        <v>21</v>
      </c>
      <c r="P4">
        <f t="shared" si="2"/>
        <v>1</v>
      </c>
      <c r="Q4" s="11">
        <f>IF(P4=0,0,IFERROR(Q3+G4*M4*IF(E4="FUTURE",VLOOKUP(MID(I4,2,2),[1]Futures!$A$2:$B$12,2),1),G4*M4*IF(E4="FUTURE",VLOOKUP(MID(I4,2,2),[1]Futures!$A$2:$B$12,2),1)))</f>
        <v>26400</v>
      </c>
      <c r="R4" s="12">
        <f>IFERROR(Q4/P4/IF(E4="FUTURE",VLOOKUP(MID(I4,2,2),[1]Futures!$A$2:$B$12,2),1),"")</f>
        <v>26.4</v>
      </c>
      <c r="S4" s="13" t="str">
        <f>IF(AND(H4="TO CLOSE",P4=0),-G4*(M4-R3)*IF(E4="FUTURE",VLOOKUP(MID(I4,2,2),[1]Futures!$A$2:$B$12,2),1),"")</f>
        <v/>
      </c>
    </row>
    <row r="5" spans="1:19" x14ac:dyDescent="0.2">
      <c r="A5">
        <f t="shared" si="0"/>
        <v>2</v>
      </c>
      <c r="B5" s="3">
        <v>43927</v>
      </c>
      <c r="C5" s="3" t="str">
        <f t="shared" si="1"/>
        <v>Monday</v>
      </c>
      <c r="D5" s="2">
        <v>0.4730671296296296</v>
      </c>
      <c r="E5" t="s">
        <v>14</v>
      </c>
      <c r="F5" t="s">
        <v>15</v>
      </c>
      <c r="G5">
        <v>-1</v>
      </c>
      <c r="H5" t="s">
        <v>16</v>
      </c>
      <c r="I5" t="s">
        <v>36</v>
      </c>
      <c r="J5" s="1">
        <v>43971</v>
      </c>
      <c r="L5" t="s">
        <v>14</v>
      </c>
      <c r="M5">
        <v>26.45</v>
      </c>
      <c r="N5">
        <v>26.45</v>
      </c>
      <c r="O5" t="s">
        <v>21</v>
      </c>
      <c r="P5">
        <f t="shared" si="2"/>
        <v>0</v>
      </c>
      <c r="Q5" s="11">
        <f>IF(P5=0,0,IFERROR(Q4+G5*M5*IF(E5="FUTURE",VLOOKUP(MID(I5,2,2),[1]Futures!$A$2:$B$12,2),1),G5*M5*IF(E5="FUTURE",VLOOKUP(MID(I5,2,2),[1]Futures!$A$2:$B$12,2),1)))</f>
        <v>0</v>
      </c>
      <c r="R5" s="12" t="str">
        <f>IFERROR(Q5/P5/IF(E5="FUTURE",VLOOKUP(MID(I5,2,2),[1]Futures!$A$2:$B$12,2),1),"")</f>
        <v/>
      </c>
      <c r="S5" s="13">
        <f>IF(AND(H5="TO CLOSE",P5=0),-G5*(M5-R4)*IF(E5="FUTURE",VLOOKUP(MID(I5,2,2),[1]Futures!$A$2:$B$12,2),1),"")</f>
        <v>50.000000000000711</v>
      </c>
    </row>
    <row r="6" spans="1:19" x14ac:dyDescent="0.2">
      <c r="A6">
        <f t="shared" si="0"/>
        <v>3</v>
      </c>
      <c r="B6" s="3">
        <v>43927</v>
      </c>
      <c r="C6" s="3" t="str">
        <f t="shared" si="1"/>
        <v>Monday</v>
      </c>
      <c r="D6" s="2">
        <v>0.47699074074074077</v>
      </c>
      <c r="E6" t="s">
        <v>14</v>
      </c>
      <c r="F6" t="s">
        <v>19</v>
      </c>
      <c r="G6">
        <v>1</v>
      </c>
      <c r="H6" t="s">
        <v>20</v>
      </c>
      <c r="I6" t="s">
        <v>36</v>
      </c>
      <c r="J6" s="1">
        <v>43971</v>
      </c>
      <c r="L6" t="s">
        <v>14</v>
      </c>
      <c r="M6">
        <v>26.39</v>
      </c>
      <c r="N6">
        <v>26.39</v>
      </c>
      <c r="O6" t="s">
        <v>21</v>
      </c>
      <c r="P6">
        <f t="shared" si="2"/>
        <v>1</v>
      </c>
      <c r="Q6" s="11">
        <f>IF(P6=0,0,IFERROR(Q5+G6*M6*IF(E6="FUTURE",VLOOKUP(MID(I6,2,2),[1]Futures!$A$2:$B$12,2),1),G6*M6*IF(E6="FUTURE",VLOOKUP(MID(I6,2,2),[1]Futures!$A$2:$B$12,2),1)))</f>
        <v>26390</v>
      </c>
      <c r="R6" s="12">
        <f>IFERROR(Q6/P6/IF(E6="FUTURE",VLOOKUP(MID(I6,2,2),[1]Futures!$A$2:$B$12,2),1),"")</f>
        <v>26.39</v>
      </c>
      <c r="S6" s="13" t="str">
        <f>IF(AND(H6="TO CLOSE",P6=0),-G6*(M6-R5)*IF(E6="FUTURE",VLOOKUP(MID(I6,2,2),[1]Futures!$A$2:$B$12,2),1),"")</f>
        <v/>
      </c>
    </row>
    <row r="7" spans="1:19" x14ac:dyDescent="0.2">
      <c r="A7">
        <f t="shared" si="0"/>
        <v>3</v>
      </c>
      <c r="B7" s="3">
        <v>43927</v>
      </c>
      <c r="C7" s="3" t="str">
        <f t="shared" si="1"/>
        <v>Monday</v>
      </c>
      <c r="D7" s="2">
        <v>0.47988425925925932</v>
      </c>
      <c r="E7" t="s">
        <v>14</v>
      </c>
      <c r="F7" t="s">
        <v>19</v>
      </c>
      <c r="G7">
        <v>1</v>
      </c>
      <c r="H7" t="s">
        <v>20</v>
      </c>
      <c r="I7" t="s">
        <v>36</v>
      </c>
      <c r="J7" s="1">
        <v>43971</v>
      </c>
      <c r="L7" t="s">
        <v>14</v>
      </c>
      <c r="M7">
        <v>26.51</v>
      </c>
      <c r="N7">
        <v>26.51</v>
      </c>
      <c r="O7" t="s">
        <v>18</v>
      </c>
      <c r="P7">
        <f t="shared" si="2"/>
        <v>2</v>
      </c>
      <c r="Q7" s="11">
        <f>IF(P7=0,0,IFERROR(Q6+G7*M7*IF(E7="FUTURE",VLOOKUP(MID(I7,2,2),[1]Futures!$A$2:$B$12,2),1),G7*M7*IF(E7="FUTURE",VLOOKUP(MID(I7,2,2),[1]Futures!$A$2:$B$12,2),1)))</f>
        <v>52900</v>
      </c>
      <c r="R7" s="12">
        <f>IFERROR(Q7/P7/IF(E7="FUTURE",VLOOKUP(MID(I7,2,2),[1]Futures!$A$2:$B$12,2),1),"")</f>
        <v>26.45</v>
      </c>
      <c r="S7" s="13" t="str">
        <f>IF(AND(H7="TO CLOSE",P7=0),-G7*(M7-R6)*IF(E7="FUTURE",VLOOKUP(MID(I7,2,2),[1]Futures!$A$2:$B$12,2),1),"")</f>
        <v/>
      </c>
    </row>
    <row r="8" spans="1:19" x14ac:dyDescent="0.2">
      <c r="A8">
        <f t="shared" si="0"/>
        <v>3</v>
      </c>
      <c r="B8" s="3">
        <v>43927</v>
      </c>
      <c r="C8" s="3" t="str">
        <f t="shared" si="1"/>
        <v>Monday</v>
      </c>
      <c r="D8" s="2">
        <v>0.48156249999999995</v>
      </c>
      <c r="E8" t="s">
        <v>14</v>
      </c>
      <c r="F8" t="s">
        <v>15</v>
      </c>
      <c r="G8">
        <v>-1</v>
      </c>
      <c r="H8" t="s">
        <v>16</v>
      </c>
      <c r="I8" t="s">
        <v>36</v>
      </c>
      <c r="J8" s="1">
        <v>43971</v>
      </c>
      <c r="L8" t="s">
        <v>14</v>
      </c>
      <c r="M8">
        <v>26.59</v>
      </c>
      <c r="N8">
        <v>26.59</v>
      </c>
      <c r="O8" t="s">
        <v>21</v>
      </c>
      <c r="P8">
        <f t="shared" si="2"/>
        <v>1</v>
      </c>
      <c r="Q8" s="11">
        <f>IF(P8=0,0,IFERROR(Q7+G8*M8*IF(E8="FUTURE",VLOOKUP(MID(I8,2,2),[1]Futures!$A$2:$B$12,2),1),G8*M8*IF(E8="FUTURE",VLOOKUP(MID(I8,2,2),[1]Futures!$A$2:$B$12,2),1)))</f>
        <v>26310</v>
      </c>
      <c r="R8" s="12">
        <f>IFERROR(Q8/P8/IF(E8="FUTURE",VLOOKUP(MID(I8,2,2),[1]Futures!$A$2:$B$12,2),1),"")</f>
        <v>26.31</v>
      </c>
      <c r="S8" s="13" t="str">
        <f>IF(AND(H8="TO CLOSE",P8=0),-G8*(M8-R7)*IF(E8="FUTURE",VLOOKUP(MID(I8,2,2),[1]Futures!$A$2:$B$12,2),1),"")</f>
        <v/>
      </c>
    </row>
    <row r="9" spans="1:19" x14ac:dyDescent="0.2">
      <c r="A9">
        <f t="shared" si="0"/>
        <v>3</v>
      </c>
      <c r="B9" s="3">
        <v>43927</v>
      </c>
      <c r="C9" s="3" t="str">
        <f t="shared" si="1"/>
        <v>Monday</v>
      </c>
      <c r="D9" s="2">
        <v>0.48952546296296301</v>
      </c>
      <c r="E9" t="s">
        <v>14</v>
      </c>
      <c r="F9" t="s">
        <v>15</v>
      </c>
      <c r="G9">
        <v>-1</v>
      </c>
      <c r="H9" t="s">
        <v>16</v>
      </c>
      <c r="I9" t="s">
        <v>36</v>
      </c>
      <c r="J9" s="1">
        <v>43971</v>
      </c>
      <c r="L9" t="s">
        <v>14</v>
      </c>
      <c r="M9">
        <v>26.58</v>
      </c>
      <c r="N9">
        <v>26.58</v>
      </c>
      <c r="O9" t="s">
        <v>21</v>
      </c>
      <c r="P9">
        <f t="shared" si="2"/>
        <v>0</v>
      </c>
      <c r="Q9" s="11">
        <f>IF(P9=0,0,IFERROR(Q8+G9*M9*IF(E9="FUTURE",VLOOKUP(MID(I9,2,2),[1]Futures!$A$2:$B$12,2),1),G9*M9*IF(E9="FUTURE",VLOOKUP(MID(I9,2,2),[1]Futures!$A$2:$B$12,2),1)))</f>
        <v>0</v>
      </c>
      <c r="R9" s="12" t="str">
        <f>IFERROR(Q9/P9/IF(E9="FUTURE",VLOOKUP(MID(I9,2,2),[1]Futures!$A$2:$B$12,2),1),"")</f>
        <v/>
      </c>
      <c r="S9" s="13">
        <f>IF(AND(H9="TO CLOSE",P9=0),-G9*(M9-R8)*IF(E9="FUTURE",VLOOKUP(MID(I9,2,2),[1]Futures!$A$2:$B$12,2),1),"")</f>
        <v>269.99999999999955</v>
      </c>
    </row>
    <row r="10" spans="1:19" x14ac:dyDescent="0.2">
      <c r="A10">
        <f t="shared" si="0"/>
        <v>4</v>
      </c>
      <c r="B10" s="3">
        <v>43927</v>
      </c>
      <c r="C10" s="3" t="str">
        <f t="shared" si="1"/>
        <v>Monday</v>
      </c>
      <c r="D10" s="2">
        <v>0.49131944444444442</v>
      </c>
      <c r="E10" t="s">
        <v>14</v>
      </c>
      <c r="F10" t="s">
        <v>19</v>
      </c>
      <c r="G10">
        <v>1</v>
      </c>
      <c r="H10" t="s">
        <v>20</v>
      </c>
      <c r="I10" t="s">
        <v>36</v>
      </c>
      <c r="J10" s="1">
        <v>43971</v>
      </c>
      <c r="L10" t="s">
        <v>14</v>
      </c>
      <c r="M10">
        <v>27.07</v>
      </c>
      <c r="N10">
        <v>27.07</v>
      </c>
      <c r="O10" t="s">
        <v>21</v>
      </c>
      <c r="P10">
        <f t="shared" si="2"/>
        <v>1</v>
      </c>
      <c r="Q10" s="11">
        <f>IF(P10=0,0,IFERROR(Q9+G10*M10*IF(E10="FUTURE",VLOOKUP(MID(I10,2,2),[1]Futures!$A$2:$B$12,2),1),G10*M10*IF(E10="FUTURE",VLOOKUP(MID(I10,2,2),[1]Futures!$A$2:$B$12,2),1)))</f>
        <v>27070</v>
      </c>
      <c r="R10" s="12">
        <f>IFERROR(Q10/P10/IF(E10="FUTURE",VLOOKUP(MID(I10,2,2),[1]Futures!$A$2:$B$12,2),1),"")</f>
        <v>27.07</v>
      </c>
      <c r="S10" s="13" t="str">
        <f>IF(AND(H10="TO CLOSE",P10=0),-G10*(M10-R9)*IF(E10="FUTURE",VLOOKUP(MID(I10,2,2),[1]Futures!$A$2:$B$12,2),1),"")</f>
        <v/>
      </c>
    </row>
    <row r="11" spans="1:19" x14ac:dyDescent="0.2">
      <c r="A11">
        <f t="shared" si="0"/>
        <v>4</v>
      </c>
      <c r="B11" s="3">
        <v>43927</v>
      </c>
      <c r="C11" s="3" t="str">
        <f t="shared" si="1"/>
        <v>Monday</v>
      </c>
      <c r="D11" s="2">
        <v>0.49217592592592596</v>
      </c>
      <c r="E11" t="s">
        <v>14</v>
      </c>
      <c r="F11" t="s">
        <v>15</v>
      </c>
      <c r="G11">
        <v>-1</v>
      </c>
      <c r="H11" t="s">
        <v>16</v>
      </c>
      <c r="I11" t="s">
        <v>36</v>
      </c>
      <c r="J11" s="1">
        <v>43971</v>
      </c>
      <c r="L11" t="s">
        <v>14</v>
      </c>
      <c r="M11">
        <v>27.25</v>
      </c>
      <c r="N11">
        <v>27.25</v>
      </c>
      <c r="O11" t="s">
        <v>21</v>
      </c>
      <c r="P11">
        <f t="shared" si="2"/>
        <v>0</v>
      </c>
      <c r="Q11" s="11">
        <f>IF(P11=0,0,IFERROR(Q10+G11*M11*IF(E11="FUTURE",VLOOKUP(MID(I11,2,2),[1]Futures!$A$2:$B$12,2),1),G11*M11*IF(E11="FUTURE",VLOOKUP(MID(I11,2,2),[1]Futures!$A$2:$B$12,2),1)))</f>
        <v>0</v>
      </c>
      <c r="R11" s="12" t="str">
        <f>IFERROR(Q11/P11/IF(E11="FUTURE",VLOOKUP(MID(I11,2,2),[1]Futures!$A$2:$B$12,2),1),"")</f>
        <v/>
      </c>
      <c r="S11" s="13">
        <f>IF(AND(H11="TO CLOSE",P11=0),-G11*(M11-R10)*IF(E11="FUTURE",VLOOKUP(MID(I11,2,2),[1]Futures!$A$2:$B$12,2),1),"")</f>
        <v>179.99999999999972</v>
      </c>
    </row>
    <row r="12" spans="1:19" x14ac:dyDescent="0.2">
      <c r="A12">
        <f t="shared" si="0"/>
        <v>5</v>
      </c>
      <c r="B12" s="3">
        <v>43927</v>
      </c>
      <c r="C12" s="3" t="str">
        <f t="shared" si="1"/>
        <v>Monday</v>
      </c>
      <c r="D12" s="2">
        <v>0.44670138888888888</v>
      </c>
      <c r="E12" t="s">
        <v>14</v>
      </c>
      <c r="F12" t="s">
        <v>15</v>
      </c>
      <c r="G12">
        <v>-1</v>
      </c>
      <c r="H12" t="s">
        <v>20</v>
      </c>
      <c r="I12" t="s">
        <v>17</v>
      </c>
      <c r="J12" s="1">
        <v>44002</v>
      </c>
      <c r="L12" t="s">
        <v>14</v>
      </c>
      <c r="M12">
        <v>2596</v>
      </c>
      <c r="N12">
        <v>2596</v>
      </c>
      <c r="O12" t="s">
        <v>21</v>
      </c>
      <c r="P12">
        <f t="shared" si="2"/>
        <v>-1</v>
      </c>
      <c r="Q12" s="11">
        <f>IF(P12=0,0,IFERROR(Q11+G12*M12*IF(E12="FUTURE",VLOOKUP(MID(I12,2,2),[1]Futures!$A$2:$B$12,2),1),G12*M12*IF(E12="FUTURE",VLOOKUP(MID(I12,2,2),[1]Futures!$A$2:$B$12,2),1)))</f>
        <v>-129800</v>
      </c>
      <c r="R12" s="12">
        <f>IFERROR(Q12/P12/IF(E12="FUTURE",VLOOKUP(MID(I12,2,2),[1]Futures!$A$2:$B$12,2),1),"")</f>
        <v>2596</v>
      </c>
      <c r="S12" s="13" t="str">
        <f>IF(AND(H12="TO CLOSE",P12=0),-G12*(M12-R11)*IF(E12="FUTURE",VLOOKUP(MID(I12,2,2),[1]Futures!$A$2:$B$12,2),1),"")</f>
        <v/>
      </c>
    </row>
    <row r="13" spans="1:19" x14ac:dyDescent="0.2">
      <c r="A13">
        <f t="shared" si="0"/>
        <v>5</v>
      </c>
      <c r="B13" s="3">
        <v>43927</v>
      </c>
      <c r="C13" s="3" t="str">
        <f t="shared" si="1"/>
        <v>Monday</v>
      </c>
      <c r="D13" s="2">
        <v>0.44732638888888893</v>
      </c>
      <c r="E13" t="s">
        <v>14</v>
      </c>
      <c r="F13" t="s">
        <v>19</v>
      </c>
      <c r="G13">
        <v>1</v>
      </c>
      <c r="H13" t="s">
        <v>16</v>
      </c>
      <c r="I13" t="s">
        <v>17</v>
      </c>
      <c r="J13" s="1">
        <v>44002</v>
      </c>
      <c r="L13" t="s">
        <v>14</v>
      </c>
      <c r="M13">
        <v>2594.25</v>
      </c>
      <c r="N13">
        <v>2594.25</v>
      </c>
      <c r="O13" t="s">
        <v>21</v>
      </c>
      <c r="P13">
        <f t="shared" si="2"/>
        <v>0</v>
      </c>
      <c r="Q13" s="11">
        <f>IF(P13=0,0,IFERROR(Q12+G13*M13*IF(E13="FUTURE",VLOOKUP(MID(I13,2,2),[1]Futures!$A$2:$B$12,2),1),G13*M13*IF(E13="FUTURE",VLOOKUP(MID(I13,2,2),[1]Futures!$A$2:$B$12,2),1)))</f>
        <v>0</v>
      </c>
      <c r="R13" s="12" t="str">
        <f>IFERROR(Q13/P13/IF(E13="FUTURE",VLOOKUP(MID(I13,2,2),[1]Futures!$A$2:$B$12,2),1),"")</f>
        <v/>
      </c>
      <c r="S13" s="13">
        <f>IF(AND(H13="TO CLOSE",P13=0),-G13*(M13-R12)*IF(E13="FUTURE",VLOOKUP(MID(I13,2,2),[1]Futures!$A$2:$B$12,2),1),"")</f>
        <v>87.5</v>
      </c>
    </row>
    <row r="14" spans="1:19" x14ac:dyDescent="0.2">
      <c r="A14">
        <f t="shared" si="0"/>
        <v>6</v>
      </c>
      <c r="B14" s="3">
        <v>43927</v>
      </c>
      <c r="C14" s="3" t="str">
        <f t="shared" si="1"/>
        <v>Monday</v>
      </c>
      <c r="D14" s="2">
        <v>0.44025462962962963</v>
      </c>
      <c r="E14" t="s">
        <v>22</v>
      </c>
      <c r="F14" t="s">
        <v>19</v>
      </c>
      <c r="G14">
        <v>300</v>
      </c>
      <c r="H14" t="s">
        <v>20</v>
      </c>
      <c r="I14" t="s">
        <v>23</v>
      </c>
      <c r="L14" t="s">
        <v>22</v>
      </c>
      <c r="M14">
        <v>42.49</v>
      </c>
      <c r="N14">
        <v>42.49</v>
      </c>
      <c r="O14" t="s">
        <v>21</v>
      </c>
      <c r="P14">
        <f t="shared" si="2"/>
        <v>300</v>
      </c>
      <c r="Q14" s="11">
        <f>IF(P14=0,0,IFERROR(Q13+G14*M14*IF(E14="FUTURE",VLOOKUP(MID(I14,2,2),[1]Futures!$A$2:$B$12,2),1),G14*M14*IF(E14="FUTURE",VLOOKUP(MID(I14,2,2),[1]Futures!$A$2:$B$12,2),1)))</f>
        <v>12747</v>
      </c>
      <c r="R14" s="12">
        <f>IFERROR(Q14/P14/IF(E14="FUTURE",VLOOKUP(MID(I14,2,2),[1]Futures!$A$2:$B$12,2),1),"")</f>
        <v>42.49</v>
      </c>
      <c r="S14" s="13" t="str">
        <f>IF(AND(H14="TO CLOSE",P14=0),-G14*(M14-R13)*IF(E14="FUTURE",VLOOKUP(MID(I14,2,2),[1]Futures!$A$2:$B$12,2),1),"")</f>
        <v/>
      </c>
    </row>
    <row r="15" spans="1:19" x14ac:dyDescent="0.2">
      <c r="A15">
        <f t="shared" si="0"/>
        <v>6</v>
      </c>
      <c r="B15" s="3">
        <v>43927</v>
      </c>
      <c r="C15" s="3" t="str">
        <f t="shared" si="1"/>
        <v>Monday</v>
      </c>
      <c r="D15" s="2">
        <v>0.45008101851851851</v>
      </c>
      <c r="E15" t="s">
        <v>22</v>
      </c>
      <c r="F15" t="s">
        <v>19</v>
      </c>
      <c r="G15">
        <v>100</v>
      </c>
      <c r="H15" t="s">
        <v>20</v>
      </c>
      <c r="I15" t="s">
        <v>23</v>
      </c>
      <c r="L15" t="s">
        <v>22</v>
      </c>
      <c r="M15">
        <v>42.93</v>
      </c>
      <c r="N15">
        <v>42.93</v>
      </c>
      <c r="O15" t="s">
        <v>18</v>
      </c>
      <c r="P15">
        <f t="shared" si="2"/>
        <v>400</v>
      </c>
      <c r="Q15" s="11">
        <f>IF(P15=0,0,IFERROR(Q14+G15*M15*IF(E15="FUTURE",VLOOKUP(MID(I15,2,2),[1]Futures!$A$2:$B$12,2),1),G15*M15*IF(E15="FUTURE",VLOOKUP(MID(I15,2,2),[1]Futures!$A$2:$B$12,2),1)))</f>
        <v>17040</v>
      </c>
      <c r="R15" s="12">
        <f>IFERROR(Q15/P15/IF(E15="FUTURE",VLOOKUP(MID(I15,2,2),[1]Futures!$A$2:$B$12,2),1),"")</f>
        <v>42.6</v>
      </c>
      <c r="S15" s="13" t="str">
        <f>IF(AND(H15="TO CLOSE",P15=0),-G15*(M15-R14)*IF(E15="FUTURE",VLOOKUP(MID(I15,2,2),[1]Futures!$A$2:$B$12,2),1),"")</f>
        <v/>
      </c>
    </row>
    <row r="16" spans="1:19" x14ac:dyDescent="0.2">
      <c r="A16">
        <f t="shared" si="0"/>
        <v>6</v>
      </c>
      <c r="B16" s="3">
        <v>43927</v>
      </c>
      <c r="C16" s="3" t="str">
        <f t="shared" si="1"/>
        <v>Monday</v>
      </c>
      <c r="D16" s="2">
        <v>0.4540393518518519</v>
      </c>
      <c r="E16" t="s">
        <v>22</v>
      </c>
      <c r="F16" t="s">
        <v>15</v>
      </c>
      <c r="G16">
        <v>-192</v>
      </c>
      <c r="H16" t="s">
        <v>16</v>
      </c>
      <c r="I16" t="s">
        <v>23</v>
      </c>
      <c r="L16" t="s">
        <v>22</v>
      </c>
      <c r="M16">
        <v>43.06</v>
      </c>
      <c r="N16">
        <v>43.06</v>
      </c>
      <c r="O16" t="s">
        <v>21</v>
      </c>
      <c r="P16">
        <f t="shared" si="2"/>
        <v>208</v>
      </c>
      <c r="Q16" s="11">
        <f>IF(P16=0,0,IFERROR(Q15+G16*M16*IF(E16="FUTURE",VLOOKUP(MID(I16,2,2),[1]Futures!$A$2:$B$12,2),1),G16*M16*IF(E16="FUTURE",VLOOKUP(MID(I16,2,2),[1]Futures!$A$2:$B$12,2),1)))</f>
        <v>8772.48</v>
      </c>
      <c r="R16" s="12">
        <f>IFERROR(Q16/P16/IF(E16="FUTURE",VLOOKUP(MID(I16,2,2),[1]Futures!$A$2:$B$12,2),1),"")</f>
        <v>42.175384615384615</v>
      </c>
      <c r="S16" s="13" t="str">
        <f>IF(AND(H16="TO CLOSE",P16=0),-G16*(M16-R15)*IF(E16="FUTURE",VLOOKUP(MID(I16,2,2),[1]Futures!$A$2:$B$12,2),1),"")</f>
        <v/>
      </c>
    </row>
    <row r="17" spans="1:19" x14ac:dyDescent="0.2">
      <c r="A17">
        <f t="shared" si="0"/>
        <v>6</v>
      </c>
      <c r="B17" s="3">
        <v>43927</v>
      </c>
      <c r="C17" s="3" t="str">
        <f t="shared" si="1"/>
        <v>Monday</v>
      </c>
      <c r="D17" s="2">
        <v>0.4540393518518519</v>
      </c>
      <c r="E17" t="s">
        <v>22</v>
      </c>
      <c r="F17" t="s">
        <v>15</v>
      </c>
      <c r="G17">
        <v>-8</v>
      </c>
      <c r="H17" t="s">
        <v>16</v>
      </c>
      <c r="I17" t="s">
        <v>23</v>
      </c>
      <c r="L17" t="s">
        <v>22</v>
      </c>
      <c r="M17">
        <v>43.06</v>
      </c>
      <c r="N17">
        <v>43.06</v>
      </c>
      <c r="O17" t="s">
        <v>21</v>
      </c>
      <c r="P17">
        <f t="shared" si="2"/>
        <v>200</v>
      </c>
      <c r="Q17" s="11">
        <f>IF(P17=0,0,IFERROR(Q16+G17*M17*IF(E17="FUTURE",VLOOKUP(MID(I17,2,2),[1]Futures!$A$2:$B$12,2),1),G17*M17*IF(E17="FUTURE",VLOOKUP(MID(I17,2,2),[1]Futures!$A$2:$B$12,2),1)))</f>
        <v>8428</v>
      </c>
      <c r="R17" s="12">
        <f>IFERROR(Q17/P17/IF(E17="FUTURE",VLOOKUP(MID(I17,2,2),[1]Futures!$A$2:$B$12,2),1),"")</f>
        <v>42.14</v>
      </c>
      <c r="S17" s="13" t="str">
        <f>IF(AND(H17="TO CLOSE",P17=0),-G17*(M17-R16)*IF(E17="FUTURE",VLOOKUP(MID(I17,2,2),[1]Futures!$A$2:$B$12,2),1),"")</f>
        <v/>
      </c>
    </row>
    <row r="18" spans="1:19" x14ac:dyDescent="0.2">
      <c r="A18">
        <f t="shared" si="0"/>
        <v>6</v>
      </c>
      <c r="B18" s="3">
        <v>43927</v>
      </c>
      <c r="C18" s="3" t="str">
        <f t="shared" si="1"/>
        <v>Monday</v>
      </c>
      <c r="D18" s="2">
        <v>0.4598842592592593</v>
      </c>
      <c r="E18" t="s">
        <v>22</v>
      </c>
      <c r="F18" t="s">
        <v>15</v>
      </c>
      <c r="G18">
        <v>-54</v>
      </c>
      <c r="H18" t="s">
        <v>16</v>
      </c>
      <c r="I18" t="s">
        <v>23</v>
      </c>
      <c r="L18" t="s">
        <v>22</v>
      </c>
      <c r="M18">
        <v>42.93</v>
      </c>
      <c r="N18">
        <v>42.93</v>
      </c>
      <c r="O18" t="s">
        <v>24</v>
      </c>
      <c r="P18">
        <f t="shared" si="2"/>
        <v>146</v>
      </c>
      <c r="Q18" s="11">
        <f>IF(P18=0,0,IFERROR(Q17+G18*M18*IF(E18="FUTURE",VLOOKUP(MID(I18,2,2),[1]Futures!$A$2:$B$12,2),1),G18*M18*IF(E18="FUTURE",VLOOKUP(MID(I18,2,2),[1]Futures!$A$2:$B$12,2),1)))</f>
        <v>6109.7800000000007</v>
      </c>
      <c r="R18" s="12">
        <f>IFERROR(Q18/P18/IF(E18="FUTURE",VLOOKUP(MID(I18,2,2),[1]Futures!$A$2:$B$12,2),1),"")</f>
        <v>41.847808219178084</v>
      </c>
      <c r="S18" s="13" t="str">
        <f>IF(AND(H18="TO CLOSE",P18=0),-G18*(M18-R17)*IF(E18="FUTURE",VLOOKUP(MID(I18,2,2),[1]Futures!$A$2:$B$12,2),1),"")</f>
        <v/>
      </c>
    </row>
    <row r="19" spans="1:19" x14ac:dyDescent="0.2">
      <c r="A19">
        <f t="shared" si="0"/>
        <v>6</v>
      </c>
      <c r="B19" s="3">
        <v>43927</v>
      </c>
      <c r="C19" s="3" t="str">
        <f t="shared" si="1"/>
        <v>Monday</v>
      </c>
      <c r="D19" s="2">
        <v>0.4598842592592593</v>
      </c>
      <c r="E19" t="s">
        <v>22</v>
      </c>
      <c r="F19" t="s">
        <v>15</v>
      </c>
      <c r="G19">
        <v>-43</v>
      </c>
      <c r="H19" t="s">
        <v>16</v>
      </c>
      <c r="I19" t="s">
        <v>23</v>
      </c>
      <c r="L19" t="s">
        <v>22</v>
      </c>
      <c r="M19">
        <v>42.93</v>
      </c>
      <c r="N19">
        <v>42.93</v>
      </c>
      <c r="O19" t="s">
        <v>24</v>
      </c>
      <c r="P19">
        <f t="shared" si="2"/>
        <v>103</v>
      </c>
      <c r="Q19" s="11">
        <f>IF(P19=0,0,IFERROR(Q18+G19*M19*IF(E19="FUTURE",VLOOKUP(MID(I19,2,2),[1]Futures!$A$2:$B$12,2),1),G19*M19*IF(E19="FUTURE",VLOOKUP(MID(I19,2,2),[1]Futures!$A$2:$B$12,2),1)))</f>
        <v>4263.7900000000009</v>
      </c>
      <c r="R19" s="12">
        <f>IFERROR(Q19/P19/IF(E19="FUTURE",VLOOKUP(MID(I19,2,2),[1]Futures!$A$2:$B$12,2),1),"")</f>
        <v>41.396019417475735</v>
      </c>
      <c r="S19" s="13" t="str">
        <f>IF(AND(H19="TO CLOSE",P19=0),-G19*(M19-R18)*IF(E19="FUTURE",VLOOKUP(MID(I19,2,2),[1]Futures!$A$2:$B$12,2),1),"")</f>
        <v/>
      </c>
    </row>
    <row r="20" spans="1:19" x14ac:dyDescent="0.2">
      <c r="A20">
        <f t="shared" si="0"/>
        <v>6</v>
      </c>
      <c r="B20" s="3">
        <v>43927</v>
      </c>
      <c r="C20" s="3" t="str">
        <f t="shared" si="1"/>
        <v>Monday</v>
      </c>
      <c r="D20" s="2">
        <v>0.4598842592592593</v>
      </c>
      <c r="E20" t="s">
        <v>22</v>
      </c>
      <c r="F20" t="s">
        <v>15</v>
      </c>
      <c r="G20">
        <v>-100</v>
      </c>
      <c r="H20" t="s">
        <v>16</v>
      </c>
      <c r="I20" t="s">
        <v>23</v>
      </c>
      <c r="L20" t="s">
        <v>22</v>
      </c>
      <c r="M20">
        <v>42.93</v>
      </c>
      <c r="N20">
        <v>42.93</v>
      </c>
      <c r="O20" t="s">
        <v>24</v>
      </c>
      <c r="P20">
        <f t="shared" si="2"/>
        <v>3</v>
      </c>
      <c r="Q20" s="11">
        <f>IF(P20=0,0,IFERROR(Q19+G20*M20*IF(E20="FUTURE",VLOOKUP(MID(I20,2,2),[1]Futures!$A$2:$B$12,2),1),G20*M20*IF(E20="FUTURE",VLOOKUP(MID(I20,2,2),[1]Futures!$A$2:$B$12,2),1)))</f>
        <v>-29.209999999999127</v>
      </c>
      <c r="R20" s="12">
        <f>IFERROR(Q20/P20/IF(E20="FUTURE",VLOOKUP(MID(I20,2,2),[1]Futures!$A$2:$B$12,2),1),"")</f>
        <v>-9.736666666666375</v>
      </c>
      <c r="S20" s="13" t="str">
        <f>IF(AND(H20="TO CLOSE",P20=0),-G20*(M20-R19)*IF(E20="FUTURE",VLOOKUP(MID(I20,2,2),[1]Futures!$A$2:$B$12,2),1),"")</f>
        <v/>
      </c>
    </row>
    <row r="21" spans="1:19" x14ac:dyDescent="0.2">
      <c r="A21">
        <f t="shared" si="0"/>
        <v>6</v>
      </c>
      <c r="B21" s="3">
        <v>43927</v>
      </c>
      <c r="C21" s="3" t="str">
        <f t="shared" si="1"/>
        <v>Monday</v>
      </c>
      <c r="D21" s="2">
        <v>0.4598842592592593</v>
      </c>
      <c r="E21" t="s">
        <v>22</v>
      </c>
      <c r="F21" t="s">
        <v>15</v>
      </c>
      <c r="G21">
        <v>-3</v>
      </c>
      <c r="H21" t="s">
        <v>16</v>
      </c>
      <c r="I21" t="s">
        <v>23</v>
      </c>
      <c r="L21" t="s">
        <v>22</v>
      </c>
      <c r="M21">
        <v>42.93</v>
      </c>
      <c r="N21">
        <v>42.93</v>
      </c>
      <c r="O21" t="s">
        <v>24</v>
      </c>
      <c r="P21">
        <f t="shared" si="2"/>
        <v>0</v>
      </c>
      <c r="Q21" s="11">
        <f>IF(P21=0,0,IFERROR(Q20+G21*M21*IF(E21="FUTURE",VLOOKUP(MID(I21,2,2),[1]Futures!$A$2:$B$12,2),1),G21*M21*IF(E21="FUTURE",VLOOKUP(MID(I21,2,2),[1]Futures!$A$2:$B$12,2),1)))</f>
        <v>0</v>
      </c>
      <c r="R21" s="12" t="str">
        <f>IFERROR(Q21/P21/IF(E21="FUTURE",VLOOKUP(MID(I21,2,2),[1]Futures!$A$2:$B$12,2),1),"")</f>
        <v/>
      </c>
      <c r="S21" s="13">
        <f>IF(AND(H21="TO CLOSE",P21=0),-G21*(M21-R20)*IF(E21="FUTURE",VLOOKUP(MID(I21,2,2),[1]Futures!$A$2:$B$12,2),1),"")</f>
        <v>157.99999999999912</v>
      </c>
    </row>
    <row r="22" spans="1:19" x14ac:dyDescent="0.2">
      <c r="A22">
        <f t="shared" si="0"/>
        <v>7</v>
      </c>
      <c r="B22" s="3">
        <v>43928</v>
      </c>
      <c r="C22" s="3" t="str">
        <f t="shared" si="1"/>
        <v>Tuesday</v>
      </c>
      <c r="D22" s="2">
        <v>0.42476851851851855</v>
      </c>
      <c r="E22" t="s">
        <v>14</v>
      </c>
      <c r="F22" t="s">
        <v>19</v>
      </c>
      <c r="G22">
        <v>1</v>
      </c>
      <c r="H22" t="s">
        <v>20</v>
      </c>
      <c r="I22" t="s">
        <v>36</v>
      </c>
      <c r="J22" s="1">
        <v>43971</v>
      </c>
      <c r="L22" t="s">
        <v>14</v>
      </c>
      <c r="M22">
        <v>26.58</v>
      </c>
      <c r="N22">
        <v>26.58</v>
      </c>
      <c r="O22" t="s">
        <v>21</v>
      </c>
      <c r="P22">
        <f t="shared" si="2"/>
        <v>1</v>
      </c>
      <c r="Q22" s="11">
        <f>IF(P22=0,0,IFERROR(Q21+G22*M22*IF(E22="FUTURE",VLOOKUP(MID(I22,2,2),[1]Futures!$A$2:$B$12,2),1),G22*M22*IF(E22="FUTURE",VLOOKUP(MID(I22,2,2),[1]Futures!$A$2:$B$12,2),1)))</f>
        <v>26580</v>
      </c>
      <c r="R22" s="12">
        <f>IFERROR(Q22/P22/IF(E22="FUTURE",VLOOKUP(MID(I22,2,2),[1]Futures!$A$2:$B$12,2),1),"")</f>
        <v>26.58</v>
      </c>
      <c r="S22" s="13" t="str">
        <f>IF(AND(H22="TO CLOSE",P22=0),-G22*(M22-R21)*IF(E22="FUTURE",VLOOKUP(MID(I22,2,2),[1]Futures!$A$2:$B$12,2),1),"")</f>
        <v/>
      </c>
    </row>
    <row r="23" spans="1:19" x14ac:dyDescent="0.2">
      <c r="A23">
        <f t="shared" si="0"/>
        <v>7</v>
      </c>
      <c r="B23" s="3">
        <v>43928</v>
      </c>
      <c r="C23" s="3" t="str">
        <f t="shared" si="1"/>
        <v>Tuesday</v>
      </c>
      <c r="D23" s="2">
        <v>0.44493055555555555</v>
      </c>
      <c r="E23" t="s">
        <v>14</v>
      </c>
      <c r="F23" t="s">
        <v>15</v>
      </c>
      <c r="G23">
        <v>-1</v>
      </c>
      <c r="H23" t="s">
        <v>16</v>
      </c>
      <c r="I23" t="s">
        <v>36</v>
      </c>
      <c r="J23" s="1">
        <v>43971</v>
      </c>
      <c r="L23" t="s">
        <v>14</v>
      </c>
      <c r="M23">
        <v>26.58</v>
      </c>
      <c r="N23">
        <v>26.58</v>
      </c>
      <c r="O23" t="s">
        <v>21</v>
      </c>
      <c r="P23">
        <f t="shared" si="2"/>
        <v>0</v>
      </c>
      <c r="Q23" s="11">
        <f>IF(P23=0,0,IFERROR(Q22+G23*M23*IF(E23="FUTURE",VLOOKUP(MID(I23,2,2),[1]Futures!$A$2:$B$12,2),1),G23*M23*IF(E23="FUTURE",VLOOKUP(MID(I23,2,2),[1]Futures!$A$2:$B$12,2),1)))</f>
        <v>0</v>
      </c>
      <c r="R23" s="12" t="str">
        <f>IFERROR(Q23/P23/IF(E23="FUTURE",VLOOKUP(MID(I23,2,2),[1]Futures!$A$2:$B$12,2),1),"")</f>
        <v/>
      </c>
      <c r="S23" s="13">
        <f>IF(AND(H23="TO CLOSE",P23=0),-G23*(M23-R22)*IF(E23="FUTURE",VLOOKUP(MID(I23,2,2),[1]Futures!$A$2:$B$12,2),1),"")</f>
        <v>0</v>
      </c>
    </row>
    <row r="24" spans="1:19" x14ac:dyDescent="0.2">
      <c r="A24">
        <f t="shared" si="0"/>
        <v>8</v>
      </c>
      <c r="B24" s="3">
        <v>43928</v>
      </c>
      <c r="C24" s="3" t="str">
        <f t="shared" si="1"/>
        <v>Tuesday</v>
      </c>
      <c r="D24" s="2">
        <v>0.45285879629629627</v>
      </c>
      <c r="E24" t="s">
        <v>14</v>
      </c>
      <c r="F24" t="s">
        <v>15</v>
      </c>
      <c r="G24">
        <v>-1</v>
      </c>
      <c r="H24" t="s">
        <v>20</v>
      </c>
      <c r="I24" t="s">
        <v>36</v>
      </c>
      <c r="J24" s="1">
        <v>43971</v>
      </c>
      <c r="L24" t="s">
        <v>14</v>
      </c>
      <c r="M24">
        <v>26.36</v>
      </c>
      <c r="N24">
        <v>26.36</v>
      </c>
      <c r="O24" t="s">
        <v>21</v>
      </c>
      <c r="P24">
        <f t="shared" si="2"/>
        <v>-1</v>
      </c>
      <c r="Q24" s="11">
        <f>IF(P24=0,0,IFERROR(Q23+G24*M24*IF(E24="FUTURE",VLOOKUP(MID(I24,2,2),[1]Futures!$A$2:$B$12,2),1),G24*M24*IF(E24="FUTURE",VLOOKUP(MID(I24,2,2),[1]Futures!$A$2:$B$12,2),1)))</f>
        <v>-26360</v>
      </c>
      <c r="R24" s="12">
        <f>IFERROR(Q24/P24/IF(E24="FUTURE",VLOOKUP(MID(I24,2,2),[1]Futures!$A$2:$B$12,2),1),"")</f>
        <v>26.36</v>
      </c>
      <c r="S24" s="13" t="str">
        <f>IF(AND(H24="TO CLOSE",P24=0),-G24*(M24-R23)*IF(E24="FUTURE",VLOOKUP(MID(I24,2,2),[1]Futures!$A$2:$B$12,2),1),"")</f>
        <v/>
      </c>
    </row>
    <row r="25" spans="1:19" x14ac:dyDescent="0.2">
      <c r="A25">
        <f t="shared" si="0"/>
        <v>8</v>
      </c>
      <c r="B25" s="3">
        <v>43928</v>
      </c>
      <c r="C25" s="3" t="str">
        <f t="shared" si="1"/>
        <v>Tuesday</v>
      </c>
      <c r="D25" s="2">
        <v>0.45438657407407407</v>
      </c>
      <c r="E25" t="s">
        <v>14</v>
      </c>
      <c r="F25" t="s">
        <v>19</v>
      </c>
      <c r="G25">
        <v>1</v>
      </c>
      <c r="H25" t="s">
        <v>16</v>
      </c>
      <c r="I25" t="s">
        <v>36</v>
      </c>
      <c r="J25" s="1">
        <v>43971</v>
      </c>
      <c r="L25" t="s">
        <v>14</v>
      </c>
      <c r="M25">
        <v>26.35</v>
      </c>
      <c r="N25">
        <v>26.35</v>
      </c>
      <c r="O25" t="s">
        <v>21</v>
      </c>
      <c r="P25">
        <f t="shared" si="2"/>
        <v>0</v>
      </c>
      <c r="Q25" s="11">
        <f>IF(P25=0,0,IFERROR(Q24+G25*M25*IF(E25="FUTURE",VLOOKUP(MID(I25,2,2),[1]Futures!$A$2:$B$12,2),1),G25*M25*IF(E25="FUTURE",VLOOKUP(MID(I25,2,2),[1]Futures!$A$2:$B$12,2),1)))</f>
        <v>0</v>
      </c>
      <c r="R25" s="12" t="str">
        <f>IFERROR(Q25/P25/IF(E25="FUTURE",VLOOKUP(MID(I25,2,2),[1]Futures!$A$2:$B$12,2),1),"")</f>
        <v/>
      </c>
      <c r="S25" s="13">
        <f>IF(AND(H25="TO CLOSE",P25=0),-G25*(M25-R24)*IF(E25="FUTURE",VLOOKUP(MID(I25,2,2),[1]Futures!$A$2:$B$12,2),1),"")</f>
        <v>9.9999999999980105</v>
      </c>
    </row>
    <row r="26" spans="1:19" x14ac:dyDescent="0.2">
      <c r="A26">
        <f t="shared" si="0"/>
        <v>9</v>
      </c>
      <c r="B26" s="3">
        <v>43928</v>
      </c>
      <c r="C26" s="3" t="str">
        <f t="shared" si="1"/>
        <v>Tuesday</v>
      </c>
      <c r="D26" s="2">
        <v>0.46187500000000004</v>
      </c>
      <c r="E26" t="s">
        <v>14</v>
      </c>
      <c r="F26" t="s">
        <v>19</v>
      </c>
      <c r="G26">
        <v>1</v>
      </c>
      <c r="H26" t="s">
        <v>20</v>
      </c>
      <c r="I26" t="s">
        <v>36</v>
      </c>
      <c r="J26" s="1">
        <v>43971</v>
      </c>
      <c r="L26" t="s">
        <v>14</v>
      </c>
      <c r="M26">
        <v>26.35</v>
      </c>
      <c r="N26">
        <v>26.35</v>
      </c>
      <c r="O26" t="s">
        <v>21</v>
      </c>
      <c r="P26">
        <f t="shared" si="2"/>
        <v>1</v>
      </c>
      <c r="Q26" s="11">
        <f>IF(P26=0,0,IFERROR(Q25+G26*M26*IF(E26="FUTURE",VLOOKUP(MID(I26,2,2),[1]Futures!$A$2:$B$12,2),1),G26*M26*IF(E26="FUTURE",VLOOKUP(MID(I26,2,2),[1]Futures!$A$2:$B$12,2),1)))</f>
        <v>26350</v>
      </c>
      <c r="R26" s="12">
        <f>IFERROR(Q26/P26/IF(E26="FUTURE",VLOOKUP(MID(I26,2,2),[1]Futures!$A$2:$B$12,2),1),"")</f>
        <v>26.35</v>
      </c>
      <c r="S26" s="13" t="str">
        <f>IF(AND(H26="TO CLOSE",P26=0),-G26*(M26-R25)*IF(E26="FUTURE",VLOOKUP(MID(I26,2,2),[1]Futures!$A$2:$B$12,2),1),"")</f>
        <v/>
      </c>
    </row>
    <row r="27" spans="1:19" x14ac:dyDescent="0.2">
      <c r="A27">
        <f t="shared" si="0"/>
        <v>9</v>
      </c>
      <c r="B27" s="3">
        <v>43928</v>
      </c>
      <c r="C27" s="3" t="str">
        <f t="shared" si="1"/>
        <v>Tuesday</v>
      </c>
      <c r="D27" s="2">
        <v>0.47009259259259256</v>
      </c>
      <c r="E27" t="s">
        <v>14</v>
      </c>
      <c r="F27" t="s">
        <v>19</v>
      </c>
      <c r="G27">
        <v>1</v>
      </c>
      <c r="H27" t="s">
        <v>20</v>
      </c>
      <c r="I27" t="s">
        <v>36</v>
      </c>
      <c r="J27" s="1">
        <v>43971</v>
      </c>
      <c r="L27" t="s">
        <v>14</v>
      </c>
      <c r="M27">
        <v>26.41</v>
      </c>
      <c r="N27">
        <v>26.41</v>
      </c>
      <c r="O27" t="s">
        <v>21</v>
      </c>
      <c r="P27">
        <f t="shared" si="2"/>
        <v>2</v>
      </c>
      <c r="Q27" s="11">
        <f>IF(P27=0,0,IFERROR(Q26+G27*M27*IF(E27="FUTURE",VLOOKUP(MID(I27,2,2),[1]Futures!$A$2:$B$12,2),1),G27*M27*IF(E27="FUTURE",VLOOKUP(MID(I27,2,2),[1]Futures!$A$2:$B$12,2),1)))</f>
        <v>52760</v>
      </c>
      <c r="R27" s="12">
        <f>IFERROR(Q27/P27/IF(E27="FUTURE",VLOOKUP(MID(I27,2,2),[1]Futures!$A$2:$B$12,2),1),"")</f>
        <v>26.38</v>
      </c>
      <c r="S27" s="13" t="str">
        <f>IF(AND(H27="TO CLOSE",P27=0),-G27*(M27-R26)*IF(E27="FUTURE",VLOOKUP(MID(I27,2,2),[1]Futures!$A$2:$B$12,2),1),"")</f>
        <v/>
      </c>
    </row>
    <row r="28" spans="1:19" x14ac:dyDescent="0.2">
      <c r="A28">
        <f t="shared" si="0"/>
        <v>9</v>
      </c>
      <c r="B28" s="3">
        <v>43928</v>
      </c>
      <c r="C28" s="3" t="str">
        <f t="shared" si="1"/>
        <v>Tuesday</v>
      </c>
      <c r="D28" s="2">
        <v>0.47305555555555556</v>
      </c>
      <c r="E28" t="s">
        <v>14</v>
      </c>
      <c r="F28" t="s">
        <v>15</v>
      </c>
      <c r="G28">
        <v>-1</v>
      </c>
      <c r="H28" t="s">
        <v>16</v>
      </c>
      <c r="I28" t="s">
        <v>36</v>
      </c>
      <c r="J28" s="1">
        <v>43971</v>
      </c>
      <c r="L28" t="s">
        <v>14</v>
      </c>
      <c r="M28">
        <v>26.42</v>
      </c>
      <c r="N28">
        <v>26.42</v>
      </c>
      <c r="O28" t="s">
        <v>21</v>
      </c>
      <c r="P28">
        <f t="shared" si="2"/>
        <v>1</v>
      </c>
      <c r="Q28" s="11">
        <f>IF(P28=0,0,IFERROR(Q27+G28*M28*IF(E28="FUTURE",VLOOKUP(MID(I28,2,2),[1]Futures!$A$2:$B$12,2),1),G28*M28*IF(E28="FUTURE",VLOOKUP(MID(I28,2,2),[1]Futures!$A$2:$B$12,2),1)))</f>
        <v>26340</v>
      </c>
      <c r="R28" s="12">
        <f>IFERROR(Q28/P28/IF(E28="FUTURE",VLOOKUP(MID(I28,2,2),[1]Futures!$A$2:$B$12,2),1),"")</f>
        <v>26.34</v>
      </c>
      <c r="S28" s="13" t="str">
        <f>IF(AND(H28="TO CLOSE",P28=0),-G28*(M28-R27)*IF(E28="FUTURE",VLOOKUP(MID(I28,2,2),[1]Futures!$A$2:$B$12,2),1),"")</f>
        <v/>
      </c>
    </row>
    <row r="29" spans="1:19" x14ac:dyDescent="0.2">
      <c r="A29">
        <f t="shared" si="0"/>
        <v>9</v>
      </c>
      <c r="B29" s="3">
        <v>43928</v>
      </c>
      <c r="C29" s="3" t="str">
        <f t="shared" si="1"/>
        <v>Tuesday</v>
      </c>
      <c r="D29" s="2">
        <v>0.47814814814814816</v>
      </c>
      <c r="E29" t="s">
        <v>14</v>
      </c>
      <c r="F29" t="s">
        <v>19</v>
      </c>
      <c r="G29">
        <v>1</v>
      </c>
      <c r="H29" t="s">
        <v>20</v>
      </c>
      <c r="I29" t="s">
        <v>36</v>
      </c>
      <c r="J29" s="1">
        <v>43971</v>
      </c>
      <c r="L29" t="s">
        <v>14</v>
      </c>
      <c r="M29">
        <v>26.21</v>
      </c>
      <c r="N29">
        <v>26.21</v>
      </c>
      <c r="O29" t="s">
        <v>21</v>
      </c>
      <c r="P29">
        <f t="shared" si="2"/>
        <v>2</v>
      </c>
      <c r="Q29" s="11">
        <f>IF(P29=0,0,IFERROR(Q28+G29*M29*IF(E29="FUTURE",VLOOKUP(MID(I29,2,2),[1]Futures!$A$2:$B$12,2),1),G29*M29*IF(E29="FUTURE",VLOOKUP(MID(I29,2,2),[1]Futures!$A$2:$B$12,2),1)))</f>
        <v>52550</v>
      </c>
      <c r="R29" s="12">
        <f>IFERROR(Q29/P29/IF(E29="FUTURE",VLOOKUP(MID(I29,2,2),[1]Futures!$A$2:$B$12,2),1),"")</f>
        <v>26.274999999999999</v>
      </c>
      <c r="S29" s="13" t="str">
        <f>IF(AND(H29="TO CLOSE",P29=0),-G29*(M29-R28)*IF(E29="FUTURE",VLOOKUP(MID(I29,2,2),[1]Futures!$A$2:$B$12,2),1),"")</f>
        <v/>
      </c>
    </row>
    <row r="30" spans="1:19" x14ac:dyDescent="0.2">
      <c r="A30">
        <f t="shared" si="0"/>
        <v>9</v>
      </c>
      <c r="B30" s="3">
        <v>43928</v>
      </c>
      <c r="C30" s="3" t="str">
        <f t="shared" si="1"/>
        <v>Tuesday</v>
      </c>
      <c r="D30" s="2">
        <v>0.47905092592592591</v>
      </c>
      <c r="E30" t="s">
        <v>14</v>
      </c>
      <c r="F30" t="s">
        <v>15</v>
      </c>
      <c r="G30">
        <v>-1</v>
      </c>
      <c r="H30" t="s">
        <v>16</v>
      </c>
      <c r="I30" t="s">
        <v>36</v>
      </c>
      <c r="J30" s="1">
        <v>43971</v>
      </c>
      <c r="L30" t="s">
        <v>14</v>
      </c>
      <c r="M30">
        <v>26.33</v>
      </c>
      <c r="N30">
        <v>26.33</v>
      </c>
      <c r="O30" t="s">
        <v>21</v>
      </c>
      <c r="P30">
        <f t="shared" si="2"/>
        <v>1</v>
      </c>
      <c r="Q30" s="11">
        <f>IF(P30=0,0,IFERROR(Q29+G30*M30*IF(E30="FUTURE",VLOOKUP(MID(I30,2,2),[1]Futures!$A$2:$B$12,2),1),G30*M30*IF(E30="FUTURE",VLOOKUP(MID(I30,2,2),[1]Futures!$A$2:$B$12,2),1)))</f>
        <v>26220</v>
      </c>
      <c r="R30" s="12">
        <f>IFERROR(Q30/P30/IF(E30="FUTURE",VLOOKUP(MID(I30,2,2),[1]Futures!$A$2:$B$12,2),1),"")</f>
        <v>26.22</v>
      </c>
      <c r="S30" s="13" t="str">
        <f>IF(AND(H30="TO CLOSE",P30=0),-G30*(M30-R29)*IF(E30="FUTURE",VLOOKUP(MID(I30,2,2),[1]Futures!$A$2:$B$12,2),1),"")</f>
        <v/>
      </c>
    </row>
    <row r="31" spans="1:19" x14ac:dyDescent="0.2">
      <c r="A31">
        <f t="shared" si="0"/>
        <v>9</v>
      </c>
      <c r="B31" s="3">
        <v>43928</v>
      </c>
      <c r="C31" s="3" t="str">
        <f t="shared" si="1"/>
        <v>Tuesday</v>
      </c>
      <c r="D31" s="2">
        <v>0.49684027777777778</v>
      </c>
      <c r="E31" t="s">
        <v>14</v>
      </c>
      <c r="F31" t="s">
        <v>19</v>
      </c>
      <c r="G31">
        <v>1</v>
      </c>
      <c r="H31" t="s">
        <v>20</v>
      </c>
      <c r="I31" t="s">
        <v>36</v>
      </c>
      <c r="J31" s="1">
        <v>43971</v>
      </c>
      <c r="L31" t="s">
        <v>14</v>
      </c>
      <c r="M31">
        <v>26.12</v>
      </c>
      <c r="N31">
        <v>26.12</v>
      </c>
      <c r="O31" t="s">
        <v>21</v>
      </c>
      <c r="P31">
        <f t="shared" si="2"/>
        <v>2</v>
      </c>
      <c r="Q31" s="11">
        <f>IF(P31=0,0,IFERROR(Q30+G31*M31*IF(E31="FUTURE",VLOOKUP(MID(I31,2,2),[1]Futures!$A$2:$B$12,2),1),G31*M31*IF(E31="FUTURE",VLOOKUP(MID(I31,2,2),[1]Futures!$A$2:$B$12,2),1)))</f>
        <v>52340</v>
      </c>
      <c r="R31" s="12">
        <f>IFERROR(Q31/P31/IF(E31="FUTURE",VLOOKUP(MID(I31,2,2),[1]Futures!$A$2:$B$12,2),1),"")</f>
        <v>26.17</v>
      </c>
      <c r="S31" s="13" t="str">
        <f>IF(AND(H31="TO CLOSE",P31=0),-G31*(M31-R30)*IF(E31="FUTURE",VLOOKUP(MID(I31,2,2),[1]Futures!$A$2:$B$12,2),1),"")</f>
        <v/>
      </c>
    </row>
    <row r="32" spans="1:19" x14ac:dyDescent="0.2">
      <c r="A32">
        <f t="shared" si="0"/>
        <v>9</v>
      </c>
      <c r="B32" s="3">
        <v>43928</v>
      </c>
      <c r="C32" s="3" t="str">
        <f t="shared" si="1"/>
        <v>Tuesday</v>
      </c>
      <c r="D32" s="2">
        <v>0.49949074074074074</v>
      </c>
      <c r="E32" t="s">
        <v>14</v>
      </c>
      <c r="F32" t="s">
        <v>15</v>
      </c>
      <c r="G32">
        <v>-1</v>
      </c>
      <c r="H32" t="s">
        <v>16</v>
      </c>
      <c r="I32" t="s">
        <v>36</v>
      </c>
      <c r="J32" s="1">
        <v>43971</v>
      </c>
      <c r="L32" t="s">
        <v>14</v>
      </c>
      <c r="M32">
        <v>26.22</v>
      </c>
      <c r="N32">
        <v>26.22</v>
      </c>
      <c r="O32" t="s">
        <v>21</v>
      </c>
      <c r="P32">
        <f t="shared" si="2"/>
        <v>1</v>
      </c>
      <c r="Q32" s="11">
        <f>IF(P32=0,0,IFERROR(Q31+G32*M32*IF(E32="FUTURE",VLOOKUP(MID(I32,2,2),[1]Futures!$A$2:$B$12,2),1),G32*M32*IF(E32="FUTURE",VLOOKUP(MID(I32,2,2),[1]Futures!$A$2:$B$12,2),1)))</f>
        <v>26120</v>
      </c>
      <c r="R32" s="12">
        <f>IFERROR(Q32/P32/IF(E32="FUTURE",VLOOKUP(MID(I32,2,2),[1]Futures!$A$2:$B$12,2),1),"")</f>
        <v>26.12</v>
      </c>
      <c r="S32" s="13" t="str">
        <f>IF(AND(H32="TO CLOSE",P32=0),-G32*(M32-R31)*IF(E32="FUTURE",VLOOKUP(MID(I32,2,2),[1]Futures!$A$2:$B$12,2),1),"")</f>
        <v/>
      </c>
    </row>
    <row r="33" spans="1:19" x14ac:dyDescent="0.2">
      <c r="A33">
        <f t="shared" si="0"/>
        <v>9</v>
      </c>
      <c r="B33" s="3">
        <v>43928</v>
      </c>
      <c r="C33" s="3" t="str">
        <f t="shared" si="1"/>
        <v>Tuesday</v>
      </c>
      <c r="D33" s="2">
        <v>0.50267361111111108</v>
      </c>
      <c r="E33" t="s">
        <v>14</v>
      </c>
      <c r="F33" t="s">
        <v>15</v>
      </c>
      <c r="G33">
        <v>-1</v>
      </c>
      <c r="H33" t="s">
        <v>16</v>
      </c>
      <c r="I33" t="s">
        <v>36</v>
      </c>
      <c r="J33" s="1">
        <v>43971</v>
      </c>
      <c r="L33" t="s">
        <v>14</v>
      </c>
      <c r="M33">
        <v>26.32</v>
      </c>
      <c r="N33">
        <v>26.32</v>
      </c>
      <c r="O33" t="s">
        <v>21</v>
      </c>
      <c r="P33">
        <f t="shared" si="2"/>
        <v>0</v>
      </c>
      <c r="Q33" s="11">
        <f>IF(P33=0,0,IFERROR(Q32+G33*M33*IF(E33="FUTURE",VLOOKUP(MID(I33,2,2),[1]Futures!$A$2:$B$12,2),1),G33*M33*IF(E33="FUTURE",VLOOKUP(MID(I33,2,2),[1]Futures!$A$2:$B$12,2),1)))</f>
        <v>0</v>
      </c>
      <c r="R33" s="12" t="str">
        <f>IFERROR(Q33/P33/IF(E33="FUTURE",VLOOKUP(MID(I33,2,2),[1]Futures!$A$2:$B$12,2),1),"")</f>
        <v/>
      </c>
      <c r="S33" s="13">
        <f>IF(AND(H33="TO CLOSE",P33=0),-G33*(M33-R32)*IF(E33="FUTURE",VLOOKUP(MID(I33,2,2),[1]Futures!$A$2:$B$12,2),1),"")</f>
        <v>199.99999999999929</v>
      </c>
    </row>
    <row r="34" spans="1:19" x14ac:dyDescent="0.2">
      <c r="A34">
        <f t="shared" si="0"/>
        <v>10</v>
      </c>
      <c r="B34" s="3">
        <v>43928</v>
      </c>
      <c r="C34" s="3" t="str">
        <f t="shared" si="1"/>
        <v>Tuesday</v>
      </c>
      <c r="D34" s="2">
        <v>0.55346064814814822</v>
      </c>
      <c r="E34" t="s">
        <v>14</v>
      </c>
      <c r="F34" t="s">
        <v>19</v>
      </c>
      <c r="G34">
        <v>1</v>
      </c>
      <c r="H34" t="s">
        <v>20</v>
      </c>
      <c r="I34" t="s">
        <v>36</v>
      </c>
      <c r="J34" s="1">
        <v>43971</v>
      </c>
      <c r="L34" t="s">
        <v>14</v>
      </c>
      <c r="M34">
        <v>25.85</v>
      </c>
      <c r="N34">
        <v>25.85</v>
      </c>
      <c r="O34" t="s">
        <v>21</v>
      </c>
      <c r="P34">
        <f t="shared" si="2"/>
        <v>1</v>
      </c>
      <c r="Q34" s="11">
        <f>IF(P34=0,0,IFERROR(Q33+G34*M34*IF(E34="FUTURE",VLOOKUP(MID(I34,2,2),[1]Futures!$A$2:$B$12,2),1),G34*M34*IF(E34="FUTURE",VLOOKUP(MID(I34,2,2),[1]Futures!$A$2:$B$12,2),1)))</f>
        <v>25850</v>
      </c>
      <c r="R34" s="12">
        <f>IFERROR(Q34/P34/IF(E34="FUTURE",VLOOKUP(MID(I34,2,2),[1]Futures!$A$2:$B$12,2),1),"")</f>
        <v>25.85</v>
      </c>
      <c r="S34" s="13" t="str">
        <f>IF(AND(H34="TO CLOSE",P34=0),-G34*(M34-R33)*IF(E34="FUTURE",VLOOKUP(MID(I34,2,2),[1]Futures!$A$2:$B$12,2),1),"")</f>
        <v/>
      </c>
    </row>
    <row r="35" spans="1:19" x14ac:dyDescent="0.2">
      <c r="A35">
        <f t="shared" si="0"/>
        <v>10</v>
      </c>
      <c r="B35" s="3">
        <v>43928</v>
      </c>
      <c r="C35" s="3" t="str">
        <f t="shared" si="1"/>
        <v>Tuesday</v>
      </c>
      <c r="D35" s="2">
        <v>0.55999999999999994</v>
      </c>
      <c r="E35" t="s">
        <v>14</v>
      </c>
      <c r="F35" t="s">
        <v>19</v>
      </c>
      <c r="G35">
        <v>1</v>
      </c>
      <c r="H35" t="s">
        <v>20</v>
      </c>
      <c r="I35" t="s">
        <v>36</v>
      </c>
      <c r="J35" s="1">
        <v>43971</v>
      </c>
      <c r="L35" t="s">
        <v>14</v>
      </c>
      <c r="M35">
        <v>25.55</v>
      </c>
      <c r="N35">
        <v>25.55</v>
      </c>
      <c r="O35" t="s">
        <v>21</v>
      </c>
      <c r="P35">
        <f t="shared" si="2"/>
        <v>2</v>
      </c>
      <c r="Q35" s="11">
        <f>IF(P35=0,0,IFERROR(Q34+G35*M35*IF(E35="FUTURE",VLOOKUP(MID(I35,2,2),[1]Futures!$A$2:$B$12,2),1),G35*M35*IF(E35="FUTURE",VLOOKUP(MID(I35,2,2),[1]Futures!$A$2:$B$12,2),1)))</f>
        <v>51400</v>
      </c>
      <c r="R35" s="12">
        <f>IFERROR(Q35/P35/IF(E35="FUTURE",VLOOKUP(MID(I35,2,2),[1]Futures!$A$2:$B$12,2),1),"")</f>
        <v>25.7</v>
      </c>
      <c r="S35" s="13" t="str">
        <f>IF(AND(H35="TO CLOSE",P35=0),-G35*(M35-R34)*IF(E35="FUTURE",VLOOKUP(MID(I35,2,2),[1]Futures!$A$2:$B$12,2),1),"")</f>
        <v/>
      </c>
    </row>
    <row r="36" spans="1:19" x14ac:dyDescent="0.2">
      <c r="A36">
        <f t="shared" si="0"/>
        <v>10</v>
      </c>
      <c r="B36" s="3">
        <v>43928</v>
      </c>
      <c r="C36" s="3" t="str">
        <f t="shared" si="1"/>
        <v>Tuesday</v>
      </c>
      <c r="D36" s="2">
        <v>0.57064814814814813</v>
      </c>
      <c r="E36" t="s">
        <v>14</v>
      </c>
      <c r="F36" t="s">
        <v>19</v>
      </c>
      <c r="G36">
        <v>1</v>
      </c>
      <c r="H36" t="s">
        <v>20</v>
      </c>
      <c r="I36" t="s">
        <v>36</v>
      </c>
      <c r="J36" s="1">
        <v>43971</v>
      </c>
      <c r="L36" t="s">
        <v>14</v>
      </c>
      <c r="M36">
        <v>25.35</v>
      </c>
      <c r="N36">
        <v>25.35</v>
      </c>
      <c r="O36" t="s">
        <v>21</v>
      </c>
      <c r="P36">
        <f t="shared" si="2"/>
        <v>3</v>
      </c>
      <c r="Q36" s="11">
        <f>IF(P36=0,0,IFERROR(Q35+G36*M36*IF(E36="FUTURE",VLOOKUP(MID(I36,2,2),[1]Futures!$A$2:$B$12,2),1),G36*M36*IF(E36="FUTURE",VLOOKUP(MID(I36,2,2),[1]Futures!$A$2:$B$12,2),1)))</f>
        <v>76750</v>
      </c>
      <c r="R36" s="12">
        <f>IFERROR(Q36/P36/IF(E36="FUTURE",VLOOKUP(MID(I36,2,2),[1]Futures!$A$2:$B$12,2),1),"")</f>
        <v>25.583333333333332</v>
      </c>
      <c r="S36" s="13" t="str">
        <f>IF(AND(H36="TO CLOSE",P36=0),-G36*(M36-R35)*IF(E36="FUTURE",VLOOKUP(MID(I36,2,2),[1]Futures!$A$2:$B$12,2),1),"")</f>
        <v/>
      </c>
    </row>
    <row r="37" spans="1:19" x14ac:dyDescent="0.2">
      <c r="A37">
        <f t="shared" si="0"/>
        <v>10</v>
      </c>
      <c r="B37" s="3">
        <v>43928</v>
      </c>
      <c r="C37" s="3" t="str">
        <f t="shared" si="1"/>
        <v>Tuesday</v>
      </c>
      <c r="D37" s="2">
        <v>0.57368055555555553</v>
      </c>
      <c r="E37" t="s">
        <v>14</v>
      </c>
      <c r="F37" t="s">
        <v>19</v>
      </c>
      <c r="G37">
        <v>1</v>
      </c>
      <c r="H37" t="s">
        <v>20</v>
      </c>
      <c r="I37" t="s">
        <v>36</v>
      </c>
      <c r="J37" s="1">
        <v>43971</v>
      </c>
      <c r="L37" t="s">
        <v>14</v>
      </c>
      <c r="M37">
        <v>25.15</v>
      </c>
      <c r="N37">
        <v>25.15</v>
      </c>
      <c r="O37" t="s">
        <v>21</v>
      </c>
      <c r="P37">
        <f t="shared" si="2"/>
        <v>4</v>
      </c>
      <c r="Q37" s="11">
        <f>IF(P37=0,0,IFERROR(Q36+G37*M37*IF(E37="FUTURE",VLOOKUP(MID(I37,2,2),[1]Futures!$A$2:$B$12,2),1),G37*M37*IF(E37="FUTURE",VLOOKUP(MID(I37,2,2),[1]Futures!$A$2:$B$12,2),1)))</f>
        <v>101900</v>
      </c>
      <c r="R37" s="12">
        <f>IFERROR(Q37/P37/IF(E37="FUTURE",VLOOKUP(MID(I37,2,2),[1]Futures!$A$2:$B$12,2),1),"")</f>
        <v>25.475000000000001</v>
      </c>
      <c r="S37" s="13" t="str">
        <f>IF(AND(H37="TO CLOSE",P37=0),-G37*(M37-R36)*IF(E37="FUTURE",VLOOKUP(MID(I37,2,2),[1]Futures!$A$2:$B$12,2),1),"")</f>
        <v/>
      </c>
    </row>
    <row r="38" spans="1:19" x14ac:dyDescent="0.2">
      <c r="A38">
        <f t="shared" si="0"/>
        <v>10</v>
      </c>
      <c r="B38" s="3">
        <v>43928</v>
      </c>
      <c r="C38" s="3" t="str">
        <f t="shared" si="1"/>
        <v>Tuesday</v>
      </c>
      <c r="D38" s="2">
        <v>0.58334490740740741</v>
      </c>
      <c r="E38" t="s">
        <v>14</v>
      </c>
      <c r="F38" t="s">
        <v>15</v>
      </c>
      <c r="G38">
        <v>-3</v>
      </c>
      <c r="H38" t="s">
        <v>16</v>
      </c>
      <c r="I38" t="s">
        <v>36</v>
      </c>
      <c r="J38" s="1">
        <v>43971</v>
      </c>
      <c r="L38" t="s">
        <v>14</v>
      </c>
      <c r="M38">
        <v>24.97</v>
      </c>
      <c r="N38">
        <v>24.97</v>
      </c>
      <c r="O38" t="s">
        <v>18</v>
      </c>
      <c r="P38">
        <f t="shared" si="2"/>
        <v>1</v>
      </c>
      <c r="Q38" s="11">
        <f>IF(P38=0,0,IFERROR(Q37+G38*M38*IF(E38="FUTURE",VLOOKUP(MID(I38,2,2),[1]Futures!$A$2:$B$12,2),1),G38*M38*IF(E38="FUTURE",VLOOKUP(MID(I38,2,2),[1]Futures!$A$2:$B$12,2),1)))</f>
        <v>26990</v>
      </c>
      <c r="R38" s="12">
        <f>IFERROR(Q38/P38/IF(E38="FUTURE",VLOOKUP(MID(I38,2,2),[1]Futures!$A$2:$B$12,2),1),"")</f>
        <v>26.99</v>
      </c>
      <c r="S38" s="13" t="str">
        <f>IF(AND(H38="TO CLOSE",P38=0),-G38*(M38-R37)*IF(E38="FUTURE",VLOOKUP(MID(I38,2,2),[1]Futures!$A$2:$B$12,2),1),"")</f>
        <v/>
      </c>
    </row>
    <row r="39" spans="1:19" x14ac:dyDescent="0.2">
      <c r="A39">
        <f t="shared" si="0"/>
        <v>10</v>
      </c>
      <c r="B39" s="3">
        <v>43928</v>
      </c>
      <c r="C39" s="3" t="str">
        <f t="shared" si="1"/>
        <v>Tuesday</v>
      </c>
      <c r="D39" s="2">
        <v>0.58468750000000003</v>
      </c>
      <c r="E39" t="s">
        <v>14</v>
      </c>
      <c r="F39" t="s">
        <v>19</v>
      </c>
      <c r="G39">
        <v>3</v>
      </c>
      <c r="H39" t="s">
        <v>20</v>
      </c>
      <c r="I39" t="s">
        <v>36</v>
      </c>
      <c r="J39" s="1">
        <v>43971</v>
      </c>
      <c r="L39" t="s">
        <v>14</v>
      </c>
      <c r="M39">
        <v>24.84</v>
      </c>
      <c r="N39">
        <v>24.84</v>
      </c>
      <c r="O39" t="s">
        <v>18</v>
      </c>
      <c r="P39">
        <f t="shared" si="2"/>
        <v>4</v>
      </c>
      <c r="Q39" s="11">
        <f>IF(P39=0,0,IFERROR(Q38+G39*M39*IF(E39="FUTURE",VLOOKUP(MID(I39,2,2),[1]Futures!$A$2:$B$12,2),1),G39*M39*IF(E39="FUTURE",VLOOKUP(MID(I39,2,2),[1]Futures!$A$2:$B$12,2),1)))</f>
        <v>101510</v>
      </c>
      <c r="R39" s="12">
        <f>IFERROR(Q39/P39/IF(E39="FUTURE",VLOOKUP(MID(I39,2,2),[1]Futures!$A$2:$B$12,2),1),"")</f>
        <v>25.377500000000001</v>
      </c>
      <c r="S39" s="13" t="str">
        <f>IF(AND(H39="TO CLOSE",P39=0),-G39*(M39-R38)*IF(E39="FUTURE",VLOOKUP(MID(I39,2,2),[1]Futures!$A$2:$B$12,2),1),"")</f>
        <v/>
      </c>
    </row>
    <row r="40" spans="1:19" x14ac:dyDescent="0.2">
      <c r="A40">
        <f t="shared" si="0"/>
        <v>10</v>
      </c>
      <c r="B40" s="3">
        <v>43928</v>
      </c>
      <c r="C40" s="3" t="str">
        <f t="shared" si="1"/>
        <v>Tuesday</v>
      </c>
      <c r="D40" s="2">
        <v>0.58795138888888887</v>
      </c>
      <c r="E40" t="s">
        <v>14</v>
      </c>
      <c r="F40" t="s">
        <v>15</v>
      </c>
      <c r="G40">
        <v>-3</v>
      </c>
      <c r="H40" t="s">
        <v>16</v>
      </c>
      <c r="I40" t="s">
        <v>36</v>
      </c>
      <c r="J40" s="1">
        <v>43971</v>
      </c>
      <c r="L40" t="s">
        <v>14</v>
      </c>
      <c r="M40">
        <v>24.48</v>
      </c>
      <c r="N40">
        <v>24.48</v>
      </c>
      <c r="O40" t="s">
        <v>24</v>
      </c>
      <c r="P40">
        <f t="shared" si="2"/>
        <v>1</v>
      </c>
      <c r="Q40" s="11">
        <f>IF(P40=0,0,IFERROR(Q39+G40*M40*IF(E40="FUTURE",VLOOKUP(MID(I40,2,2),[1]Futures!$A$2:$B$12,2),1),G40*M40*IF(E40="FUTURE",VLOOKUP(MID(I40,2,2),[1]Futures!$A$2:$B$12,2),1)))</f>
        <v>28070</v>
      </c>
      <c r="R40" s="12">
        <f>IFERROR(Q40/P40/IF(E40="FUTURE",VLOOKUP(MID(I40,2,2),[1]Futures!$A$2:$B$12,2),1),"")</f>
        <v>28.07</v>
      </c>
      <c r="S40" s="13" t="str">
        <f>IF(AND(H40="TO CLOSE",P40=0),-G40*(M40-R39)*IF(E40="FUTURE",VLOOKUP(MID(I40,2,2),[1]Futures!$A$2:$B$12,2),1),"")</f>
        <v/>
      </c>
    </row>
    <row r="41" spans="1:19" x14ac:dyDescent="0.2">
      <c r="A41">
        <f t="shared" si="0"/>
        <v>10</v>
      </c>
      <c r="B41" s="3">
        <v>43928</v>
      </c>
      <c r="C41" s="3" t="str">
        <f t="shared" si="1"/>
        <v>Tuesday</v>
      </c>
      <c r="D41" s="2">
        <v>0.58795138888888887</v>
      </c>
      <c r="E41" t="s">
        <v>14</v>
      </c>
      <c r="F41" t="s">
        <v>15</v>
      </c>
      <c r="G41">
        <v>-1</v>
      </c>
      <c r="H41" t="s">
        <v>16</v>
      </c>
      <c r="I41" t="s">
        <v>36</v>
      </c>
      <c r="J41" s="1">
        <v>43971</v>
      </c>
      <c r="L41" t="s">
        <v>14</v>
      </c>
      <c r="M41">
        <v>24.49</v>
      </c>
      <c r="N41">
        <v>24.49</v>
      </c>
      <c r="O41" t="s">
        <v>24</v>
      </c>
      <c r="P41">
        <f t="shared" si="2"/>
        <v>0</v>
      </c>
      <c r="Q41" s="11">
        <f>IF(P41=0,0,IFERROR(Q40+G41*M41*IF(E41="FUTURE",VLOOKUP(MID(I41,2,2),[1]Futures!$A$2:$B$12,2),1),G41*M41*IF(E41="FUTURE",VLOOKUP(MID(I41,2,2),[1]Futures!$A$2:$B$12,2),1)))</f>
        <v>0</v>
      </c>
      <c r="R41" s="12" t="str">
        <f>IFERROR(Q41/P41/IF(E41="FUTURE",VLOOKUP(MID(I41,2,2),[1]Futures!$A$2:$B$12,2),1),"")</f>
        <v/>
      </c>
      <c r="S41" s="13">
        <f>IF(AND(H41="TO CLOSE",P41=0),-G41*(M41-R40)*IF(E41="FUTURE",VLOOKUP(MID(I41,2,2),[1]Futures!$A$2:$B$12,2),1),"")</f>
        <v>-3580.0000000000018</v>
      </c>
    </row>
    <row r="42" spans="1:19" x14ac:dyDescent="0.2">
      <c r="A42">
        <f t="shared" si="0"/>
        <v>11</v>
      </c>
      <c r="B42" s="3">
        <v>43928</v>
      </c>
      <c r="C42" s="3" t="str">
        <f t="shared" si="1"/>
        <v>Tuesday</v>
      </c>
      <c r="D42" s="2">
        <v>0.60386574074074073</v>
      </c>
      <c r="E42" t="s">
        <v>14</v>
      </c>
      <c r="F42" t="s">
        <v>19</v>
      </c>
      <c r="G42">
        <v>1</v>
      </c>
      <c r="H42" t="s">
        <v>20</v>
      </c>
      <c r="I42" t="s">
        <v>36</v>
      </c>
      <c r="J42" s="1">
        <v>43971</v>
      </c>
      <c r="L42" t="s">
        <v>14</v>
      </c>
      <c r="M42">
        <v>23.63</v>
      </c>
      <c r="N42">
        <v>23.63</v>
      </c>
      <c r="O42" t="s">
        <v>24</v>
      </c>
      <c r="P42">
        <f t="shared" si="2"/>
        <v>1</v>
      </c>
      <c r="Q42" s="11">
        <f>IF(P42=0,0,IFERROR(Q41+G42*M42*IF(E42="FUTURE",VLOOKUP(MID(I42,2,2),[1]Futures!$A$2:$B$12,2),1),G42*M42*IF(E42="FUTURE",VLOOKUP(MID(I42,2,2),[1]Futures!$A$2:$B$12,2),1)))</f>
        <v>23630</v>
      </c>
      <c r="R42" s="12">
        <f>IFERROR(Q42/P42/IF(E42="FUTURE",VLOOKUP(MID(I42,2,2),[1]Futures!$A$2:$B$12,2),1),"")</f>
        <v>23.63</v>
      </c>
      <c r="S42" s="13" t="str">
        <f>IF(AND(H42="TO CLOSE",P42=0),-G42*(M42-R41)*IF(E42="FUTURE",VLOOKUP(MID(I42,2,2),[1]Futures!$A$2:$B$12,2),1),"")</f>
        <v/>
      </c>
    </row>
    <row r="43" spans="1:19" x14ac:dyDescent="0.2">
      <c r="A43">
        <f t="shared" si="0"/>
        <v>11</v>
      </c>
      <c r="B43" s="3">
        <v>43928</v>
      </c>
      <c r="C43" s="3" t="str">
        <f t="shared" si="1"/>
        <v>Tuesday</v>
      </c>
      <c r="D43" s="2">
        <v>0.60563657407407401</v>
      </c>
      <c r="E43" t="s">
        <v>14</v>
      </c>
      <c r="F43" t="s">
        <v>15</v>
      </c>
      <c r="G43">
        <v>-1</v>
      </c>
      <c r="H43" t="s">
        <v>16</v>
      </c>
      <c r="I43" t="s">
        <v>36</v>
      </c>
      <c r="J43" s="1">
        <v>43971</v>
      </c>
      <c r="L43" t="s">
        <v>14</v>
      </c>
      <c r="M43">
        <v>23.73</v>
      </c>
      <c r="N43">
        <v>23.73</v>
      </c>
      <c r="O43" t="s">
        <v>21</v>
      </c>
      <c r="P43">
        <f t="shared" si="2"/>
        <v>0</v>
      </c>
      <c r="Q43" s="11">
        <f>IF(P43=0,0,IFERROR(Q42+G43*M43*IF(E43="FUTURE",VLOOKUP(MID(I43,2,2),[1]Futures!$A$2:$B$12,2),1),G43*M43*IF(E43="FUTURE",VLOOKUP(MID(I43,2,2),[1]Futures!$A$2:$B$12,2),1)))</f>
        <v>0</v>
      </c>
      <c r="R43" s="12" t="str">
        <f>IFERROR(Q43/P43/IF(E43="FUTURE",VLOOKUP(MID(I43,2,2),[1]Futures!$A$2:$B$12,2),1),"")</f>
        <v/>
      </c>
      <c r="S43" s="13">
        <f>IF(AND(H43="TO CLOSE",P43=0),-G43*(M43-R42)*IF(E43="FUTURE",VLOOKUP(MID(I43,2,2),[1]Futures!$A$2:$B$12,2),1),"")</f>
        <v>100.00000000000142</v>
      </c>
    </row>
    <row r="44" spans="1:19" x14ac:dyDescent="0.2">
      <c r="A44">
        <f t="shared" si="0"/>
        <v>12</v>
      </c>
      <c r="B44" s="3">
        <v>43928</v>
      </c>
      <c r="C44" s="3" t="str">
        <f t="shared" si="1"/>
        <v>Tuesday</v>
      </c>
      <c r="D44" s="2">
        <v>0.42230324074074077</v>
      </c>
      <c r="E44" t="s">
        <v>22</v>
      </c>
      <c r="F44" t="s">
        <v>19</v>
      </c>
      <c r="G44">
        <v>400</v>
      </c>
      <c r="H44" t="s">
        <v>20</v>
      </c>
      <c r="I44" t="s">
        <v>23</v>
      </c>
      <c r="L44" t="s">
        <v>22</v>
      </c>
      <c r="M44">
        <v>41.396900000000002</v>
      </c>
      <c r="N44">
        <v>41.396900000000002</v>
      </c>
      <c r="O44" t="s">
        <v>24</v>
      </c>
      <c r="P44">
        <f t="shared" si="2"/>
        <v>400</v>
      </c>
      <c r="Q44" s="11">
        <f>IF(P44=0,0,IFERROR(Q43+G44*M44*IF(E44="FUTURE",VLOOKUP(MID(I44,2,2),[1]Futures!$A$2:$B$12,2),1),G44*M44*IF(E44="FUTURE",VLOOKUP(MID(I44,2,2),[1]Futures!$A$2:$B$12,2),1)))</f>
        <v>16558.760000000002</v>
      </c>
      <c r="R44" s="12">
        <f>IFERROR(Q44/P44/IF(E44="FUTURE",VLOOKUP(MID(I44,2,2),[1]Futures!$A$2:$B$12,2),1),"")</f>
        <v>41.396900000000002</v>
      </c>
      <c r="S44" s="13" t="str">
        <f>IF(AND(H44="TO CLOSE",P44=0),-G44*(M44-R43)*IF(E44="FUTURE",VLOOKUP(MID(I44,2,2),[1]Futures!$A$2:$B$12,2),1),"")</f>
        <v/>
      </c>
    </row>
    <row r="45" spans="1:19" x14ac:dyDescent="0.2">
      <c r="A45">
        <f t="shared" si="0"/>
        <v>12</v>
      </c>
      <c r="B45" s="3">
        <v>43928</v>
      </c>
      <c r="C45" s="3" t="str">
        <f t="shared" si="1"/>
        <v>Tuesday</v>
      </c>
      <c r="D45" s="2">
        <v>0.42568287037037034</v>
      </c>
      <c r="E45" t="s">
        <v>22</v>
      </c>
      <c r="F45" t="s">
        <v>15</v>
      </c>
      <c r="G45">
        <v>-400</v>
      </c>
      <c r="H45" t="s">
        <v>16</v>
      </c>
      <c r="I45" t="s">
        <v>23</v>
      </c>
      <c r="L45" t="s">
        <v>22</v>
      </c>
      <c r="M45">
        <v>41.905000000000001</v>
      </c>
      <c r="N45">
        <v>41.905000000000001</v>
      </c>
      <c r="O45" t="s">
        <v>21</v>
      </c>
      <c r="P45">
        <f t="shared" si="2"/>
        <v>0</v>
      </c>
      <c r="Q45" s="11">
        <f>IF(P45=0,0,IFERROR(Q44+G45*M45*IF(E45="FUTURE",VLOOKUP(MID(I45,2,2),[1]Futures!$A$2:$B$12,2),1),G45*M45*IF(E45="FUTURE",VLOOKUP(MID(I45,2,2),[1]Futures!$A$2:$B$12,2),1)))</f>
        <v>0</v>
      </c>
      <c r="R45" s="12" t="str">
        <f>IFERROR(Q45/P45/IF(E45="FUTURE",VLOOKUP(MID(I45,2,2),[1]Futures!$A$2:$B$12,2),1),"")</f>
        <v/>
      </c>
      <c r="S45" s="13">
        <f>IF(AND(H45="TO CLOSE",P45=0),-G45*(M45-R44)*IF(E45="FUTURE",VLOOKUP(MID(I45,2,2),[1]Futures!$A$2:$B$12,2),1),"")</f>
        <v>203.23999999999955</v>
      </c>
    </row>
    <row r="46" spans="1:19" x14ac:dyDescent="0.2">
      <c r="A46">
        <f t="shared" si="0"/>
        <v>13</v>
      </c>
      <c r="B46" s="3">
        <v>43928</v>
      </c>
      <c r="C46" s="3" t="str">
        <f t="shared" si="1"/>
        <v>Tuesday</v>
      </c>
      <c r="D46" s="2">
        <v>0.42920138888888887</v>
      </c>
      <c r="E46" t="s">
        <v>22</v>
      </c>
      <c r="F46" t="s">
        <v>15</v>
      </c>
      <c r="G46">
        <v>-200</v>
      </c>
      <c r="H46" t="s">
        <v>20</v>
      </c>
      <c r="I46" t="s">
        <v>23</v>
      </c>
      <c r="L46" t="s">
        <v>22</v>
      </c>
      <c r="M46">
        <v>42.25</v>
      </c>
      <c r="N46">
        <v>42.25</v>
      </c>
      <c r="O46" t="s">
        <v>21</v>
      </c>
      <c r="P46">
        <f t="shared" si="2"/>
        <v>-200</v>
      </c>
      <c r="Q46" s="11">
        <f>IF(P46=0,0,IFERROR(Q45+G46*M46*IF(E46="FUTURE",VLOOKUP(MID(I46,2,2),[1]Futures!$A$2:$B$12,2),1),G46*M46*IF(E46="FUTURE",VLOOKUP(MID(I46,2,2),[1]Futures!$A$2:$B$12,2),1)))</f>
        <v>-8450</v>
      </c>
      <c r="R46" s="12">
        <f>IFERROR(Q46/P46/IF(E46="FUTURE",VLOOKUP(MID(I46,2,2),[1]Futures!$A$2:$B$12,2),1),"")</f>
        <v>42.25</v>
      </c>
      <c r="S46" s="13" t="str">
        <f>IF(AND(H46="TO CLOSE",P46=0),-G46*(M46-R45)*IF(E46="FUTURE",VLOOKUP(MID(I46,2,2),[1]Futures!$A$2:$B$12,2),1),"")</f>
        <v/>
      </c>
    </row>
    <row r="47" spans="1:19" x14ac:dyDescent="0.2">
      <c r="A47">
        <f t="shared" si="0"/>
        <v>13</v>
      </c>
      <c r="B47" s="3">
        <v>43928</v>
      </c>
      <c r="C47" s="3" t="str">
        <f t="shared" si="1"/>
        <v>Tuesday</v>
      </c>
      <c r="D47" s="2">
        <v>0.42920138888888887</v>
      </c>
      <c r="E47" t="s">
        <v>22</v>
      </c>
      <c r="F47" t="s">
        <v>15</v>
      </c>
      <c r="G47">
        <v>-200</v>
      </c>
      <c r="H47" t="s">
        <v>20</v>
      </c>
      <c r="I47" t="s">
        <v>23</v>
      </c>
      <c r="L47" t="s">
        <v>22</v>
      </c>
      <c r="M47">
        <v>42.25</v>
      </c>
      <c r="N47">
        <v>42.25</v>
      </c>
      <c r="O47" t="s">
        <v>21</v>
      </c>
      <c r="P47">
        <f t="shared" si="2"/>
        <v>-400</v>
      </c>
      <c r="Q47" s="11">
        <f>IF(P47=0,0,IFERROR(Q46+G47*M47*IF(E47="FUTURE",VLOOKUP(MID(I47,2,2),[1]Futures!$A$2:$B$12,2),1),G47*M47*IF(E47="FUTURE",VLOOKUP(MID(I47,2,2),[1]Futures!$A$2:$B$12,2),1)))</f>
        <v>-16900</v>
      </c>
      <c r="R47" s="12">
        <f>IFERROR(Q47/P47/IF(E47="FUTURE",VLOOKUP(MID(I47,2,2),[1]Futures!$A$2:$B$12,2),1),"")</f>
        <v>42.25</v>
      </c>
      <c r="S47" s="13" t="str">
        <f>IF(AND(H47="TO CLOSE",P47=0),-G47*(M47-R46)*IF(E47="FUTURE",VLOOKUP(MID(I47,2,2),[1]Futures!$A$2:$B$12,2),1),"")</f>
        <v/>
      </c>
    </row>
    <row r="48" spans="1:19" x14ac:dyDescent="0.2">
      <c r="A48">
        <f t="shared" si="0"/>
        <v>13</v>
      </c>
      <c r="B48" s="3">
        <v>43928</v>
      </c>
      <c r="C48" s="3" t="str">
        <f t="shared" si="1"/>
        <v>Tuesday</v>
      </c>
      <c r="D48" s="2">
        <v>0.43334490740740739</v>
      </c>
      <c r="E48" t="s">
        <v>22</v>
      </c>
      <c r="F48" t="s">
        <v>19</v>
      </c>
      <c r="G48">
        <v>400</v>
      </c>
      <c r="H48" t="s">
        <v>16</v>
      </c>
      <c r="I48" t="s">
        <v>23</v>
      </c>
      <c r="L48" t="s">
        <v>22</v>
      </c>
      <c r="M48">
        <v>42.24</v>
      </c>
      <c r="N48">
        <v>42.24</v>
      </c>
      <c r="O48" t="s">
        <v>21</v>
      </c>
      <c r="P48">
        <f t="shared" si="2"/>
        <v>0</v>
      </c>
      <c r="Q48" s="11">
        <f>IF(P48=0,0,IFERROR(Q47+G48*M48*IF(E48="FUTURE",VLOOKUP(MID(I48,2,2),[1]Futures!$A$2:$B$12,2),1),G48*M48*IF(E48="FUTURE",VLOOKUP(MID(I48,2,2),[1]Futures!$A$2:$B$12,2),1)))</f>
        <v>0</v>
      </c>
      <c r="R48" s="12" t="str">
        <f>IFERROR(Q48/P48/IF(E48="FUTURE",VLOOKUP(MID(I48,2,2),[1]Futures!$A$2:$B$12,2),1),"")</f>
        <v/>
      </c>
      <c r="S48" s="13">
        <f>IF(AND(H48="TO CLOSE",P48=0),-G48*(M48-R47)*IF(E48="FUTURE",VLOOKUP(MID(I48,2,2),[1]Futures!$A$2:$B$12,2),1),"")</f>
        <v>3.9999999999992042</v>
      </c>
    </row>
    <row r="49" spans="1:19" x14ac:dyDescent="0.2">
      <c r="A49">
        <f t="shared" si="0"/>
        <v>14</v>
      </c>
      <c r="B49" s="3">
        <v>43928</v>
      </c>
      <c r="C49" s="3" t="str">
        <f t="shared" si="1"/>
        <v>Tuesday</v>
      </c>
      <c r="D49" s="2">
        <v>0.43497685185185181</v>
      </c>
      <c r="E49" t="s">
        <v>22</v>
      </c>
      <c r="F49" t="s">
        <v>15</v>
      </c>
      <c r="G49">
        <v>-200</v>
      </c>
      <c r="H49" t="s">
        <v>20</v>
      </c>
      <c r="I49" t="s">
        <v>23</v>
      </c>
      <c r="L49" t="s">
        <v>22</v>
      </c>
      <c r="M49">
        <v>42.344999999999999</v>
      </c>
      <c r="N49">
        <v>42.344999999999999</v>
      </c>
      <c r="O49" t="s">
        <v>24</v>
      </c>
      <c r="P49">
        <f t="shared" si="2"/>
        <v>-200</v>
      </c>
      <c r="Q49" s="11">
        <f>IF(P49=0,0,IFERROR(Q48+G49*M49*IF(E49="FUTURE",VLOOKUP(MID(I49,2,2),[1]Futures!$A$2:$B$12,2),1),G49*M49*IF(E49="FUTURE",VLOOKUP(MID(I49,2,2),[1]Futures!$A$2:$B$12,2),1)))</f>
        <v>-8469</v>
      </c>
      <c r="R49" s="12">
        <f>IFERROR(Q49/P49/IF(E49="FUTURE",VLOOKUP(MID(I49,2,2),[1]Futures!$A$2:$B$12,2),1),"")</f>
        <v>42.344999999999999</v>
      </c>
      <c r="S49" s="13" t="str">
        <f>IF(AND(H49="TO CLOSE",P49=0),-G49*(M49-R48)*IF(E49="FUTURE",VLOOKUP(MID(I49,2,2),[1]Futures!$A$2:$B$12,2),1),"")</f>
        <v/>
      </c>
    </row>
    <row r="50" spans="1:19" x14ac:dyDescent="0.2">
      <c r="A50">
        <f t="shared" si="0"/>
        <v>14</v>
      </c>
      <c r="B50" s="3">
        <v>43928</v>
      </c>
      <c r="C50" s="3" t="str">
        <f t="shared" si="1"/>
        <v>Tuesday</v>
      </c>
      <c r="D50" s="2">
        <v>0.43612268518518515</v>
      </c>
      <c r="E50" t="s">
        <v>22</v>
      </c>
      <c r="F50" t="s">
        <v>19</v>
      </c>
      <c r="G50">
        <v>200</v>
      </c>
      <c r="H50" t="s">
        <v>16</v>
      </c>
      <c r="I50" t="s">
        <v>23</v>
      </c>
      <c r="L50" t="s">
        <v>22</v>
      </c>
      <c r="M50">
        <v>42.11</v>
      </c>
      <c r="N50">
        <v>42.11</v>
      </c>
      <c r="O50" t="s">
        <v>21</v>
      </c>
      <c r="P50">
        <f t="shared" si="2"/>
        <v>0</v>
      </c>
      <c r="Q50" s="11">
        <f>IF(P50=0,0,IFERROR(Q49+G50*M50*IF(E50="FUTURE",VLOOKUP(MID(I50,2,2),[1]Futures!$A$2:$B$12,2),1),G50*M50*IF(E50="FUTURE",VLOOKUP(MID(I50,2,2),[1]Futures!$A$2:$B$12,2),1)))</f>
        <v>0</v>
      </c>
      <c r="R50" s="12" t="str">
        <f>IFERROR(Q50/P50/IF(E50="FUTURE",VLOOKUP(MID(I50,2,2),[1]Futures!$A$2:$B$12,2),1),"")</f>
        <v/>
      </c>
      <c r="S50" s="13">
        <f>IF(AND(H50="TO CLOSE",P50=0),-G50*(M50-R49)*IF(E50="FUTURE",VLOOKUP(MID(I50,2,2),[1]Futures!$A$2:$B$12,2),1),"")</f>
        <v>46.999999999999886</v>
      </c>
    </row>
    <row r="51" spans="1:19" x14ac:dyDescent="0.2">
      <c r="A51">
        <f t="shared" si="0"/>
        <v>15</v>
      </c>
      <c r="B51" s="3">
        <v>43928</v>
      </c>
      <c r="C51" s="3" t="str">
        <f t="shared" si="1"/>
        <v>Tuesday</v>
      </c>
      <c r="D51" s="2">
        <v>0.43839120370370371</v>
      </c>
      <c r="E51" t="s">
        <v>22</v>
      </c>
      <c r="F51" t="s">
        <v>15</v>
      </c>
      <c r="G51">
        <v>-300</v>
      </c>
      <c r="H51" t="s">
        <v>20</v>
      </c>
      <c r="I51" t="s">
        <v>23</v>
      </c>
      <c r="L51" t="s">
        <v>22</v>
      </c>
      <c r="M51">
        <v>42.4146</v>
      </c>
      <c r="N51">
        <v>42.4146</v>
      </c>
      <c r="O51" t="s">
        <v>21</v>
      </c>
      <c r="P51">
        <f t="shared" si="2"/>
        <v>-300</v>
      </c>
      <c r="Q51" s="11">
        <f>IF(P51=0,0,IFERROR(Q50+G51*M51*IF(E51="FUTURE",VLOOKUP(MID(I51,2,2),[1]Futures!$A$2:$B$12,2),1),G51*M51*IF(E51="FUTURE",VLOOKUP(MID(I51,2,2),[1]Futures!$A$2:$B$12,2),1)))</f>
        <v>-12724.38</v>
      </c>
      <c r="R51" s="12">
        <f>IFERROR(Q51/P51/IF(E51="FUTURE",VLOOKUP(MID(I51,2,2),[1]Futures!$A$2:$B$12,2),1),"")</f>
        <v>42.4146</v>
      </c>
      <c r="S51" s="13" t="str">
        <f>IF(AND(H51="TO CLOSE",P51=0),-G51*(M51-R50)*IF(E51="FUTURE",VLOOKUP(MID(I51,2,2),[1]Futures!$A$2:$B$12,2),1),"")</f>
        <v/>
      </c>
    </row>
    <row r="52" spans="1:19" x14ac:dyDescent="0.2">
      <c r="A52">
        <f t="shared" si="0"/>
        <v>15</v>
      </c>
      <c r="B52" s="3">
        <v>43928</v>
      </c>
      <c r="C52" s="3" t="str">
        <f t="shared" si="1"/>
        <v>Tuesday</v>
      </c>
      <c r="D52" s="2">
        <v>0.44307870370370367</v>
      </c>
      <c r="E52" t="s">
        <v>22</v>
      </c>
      <c r="F52" t="s">
        <v>19</v>
      </c>
      <c r="G52">
        <v>7</v>
      </c>
      <c r="H52" t="s">
        <v>16</v>
      </c>
      <c r="I52" t="s">
        <v>23</v>
      </c>
      <c r="L52" t="s">
        <v>22</v>
      </c>
      <c r="M52">
        <v>42.2</v>
      </c>
      <c r="N52">
        <v>42.2</v>
      </c>
      <c r="O52" t="s">
        <v>21</v>
      </c>
      <c r="P52">
        <f t="shared" si="2"/>
        <v>-293</v>
      </c>
      <c r="Q52" s="11">
        <f>IF(P52=0,0,IFERROR(Q51+G52*M52*IF(E52="FUTURE",VLOOKUP(MID(I52,2,2),[1]Futures!$A$2:$B$12,2),1),G52*M52*IF(E52="FUTURE",VLOOKUP(MID(I52,2,2),[1]Futures!$A$2:$B$12,2),1)))</f>
        <v>-12428.98</v>
      </c>
      <c r="R52" s="12">
        <f>IFERROR(Q52/P52/IF(E52="FUTURE",VLOOKUP(MID(I52,2,2),[1]Futures!$A$2:$B$12,2),1),"")</f>
        <v>42.419726962457339</v>
      </c>
      <c r="S52" s="13" t="str">
        <f>IF(AND(H52="TO CLOSE",P52=0),-G52*(M52-R51)*IF(E52="FUTURE",VLOOKUP(MID(I52,2,2),[1]Futures!$A$2:$B$12,2),1),"")</f>
        <v/>
      </c>
    </row>
    <row r="53" spans="1:19" x14ac:dyDescent="0.2">
      <c r="A53">
        <f t="shared" si="0"/>
        <v>15</v>
      </c>
      <c r="B53" s="3">
        <v>43928</v>
      </c>
      <c r="C53" s="3" t="str">
        <f t="shared" si="1"/>
        <v>Tuesday</v>
      </c>
      <c r="D53" s="2">
        <v>0.44307870370370367</v>
      </c>
      <c r="E53" t="s">
        <v>22</v>
      </c>
      <c r="F53" t="s">
        <v>19</v>
      </c>
      <c r="G53">
        <v>93</v>
      </c>
      <c r="H53" t="s">
        <v>16</v>
      </c>
      <c r="I53" t="s">
        <v>23</v>
      </c>
      <c r="L53" t="s">
        <v>22</v>
      </c>
      <c r="M53">
        <v>42.2</v>
      </c>
      <c r="N53">
        <v>42.2</v>
      </c>
      <c r="O53" t="s">
        <v>21</v>
      </c>
      <c r="P53">
        <f t="shared" si="2"/>
        <v>-200</v>
      </c>
      <c r="Q53" s="11">
        <f>IF(P53=0,0,IFERROR(Q52+G53*M53*IF(E53="FUTURE",VLOOKUP(MID(I53,2,2),[1]Futures!$A$2:$B$12,2),1),G53*M53*IF(E53="FUTURE",VLOOKUP(MID(I53,2,2),[1]Futures!$A$2:$B$12,2),1)))</f>
        <v>-8504.3799999999992</v>
      </c>
      <c r="R53" s="12">
        <f>IFERROR(Q53/P53/IF(E53="FUTURE",VLOOKUP(MID(I53,2,2),[1]Futures!$A$2:$B$12,2),1),"")</f>
        <v>42.521899999999995</v>
      </c>
      <c r="S53" s="13" t="str">
        <f>IF(AND(H53="TO CLOSE",P53=0),-G53*(M53-R52)*IF(E53="FUTURE",VLOOKUP(MID(I53,2,2),[1]Futures!$A$2:$B$12,2),1),"")</f>
        <v/>
      </c>
    </row>
    <row r="54" spans="1:19" x14ac:dyDescent="0.2">
      <c r="A54">
        <f t="shared" si="0"/>
        <v>15</v>
      </c>
      <c r="B54" s="3">
        <v>43928</v>
      </c>
      <c r="C54" s="3" t="str">
        <f t="shared" si="1"/>
        <v>Tuesday</v>
      </c>
      <c r="D54" s="2">
        <v>0.44549768518518523</v>
      </c>
      <c r="E54" t="s">
        <v>22</v>
      </c>
      <c r="F54" t="s">
        <v>19</v>
      </c>
      <c r="G54">
        <v>198</v>
      </c>
      <c r="H54" t="s">
        <v>16</v>
      </c>
      <c r="I54" t="s">
        <v>23</v>
      </c>
      <c r="L54" t="s">
        <v>22</v>
      </c>
      <c r="M54">
        <v>42.399799999999999</v>
      </c>
      <c r="N54">
        <v>42.399799999999999</v>
      </c>
      <c r="O54" t="s">
        <v>18</v>
      </c>
      <c r="P54">
        <f t="shared" si="2"/>
        <v>-2</v>
      </c>
      <c r="Q54" s="11">
        <f>IF(P54=0,0,IFERROR(Q53+G54*M54*IF(E54="FUTURE",VLOOKUP(MID(I54,2,2),[1]Futures!$A$2:$B$12,2),1),G54*M54*IF(E54="FUTURE",VLOOKUP(MID(I54,2,2),[1]Futures!$A$2:$B$12,2),1)))</f>
        <v>-109.21959999999854</v>
      </c>
      <c r="R54" s="12">
        <f>IFERROR(Q54/P54/IF(E54="FUTURE",VLOOKUP(MID(I54,2,2),[1]Futures!$A$2:$B$12,2),1),"")</f>
        <v>54.609799999999268</v>
      </c>
      <c r="S54" s="13" t="str">
        <f>IF(AND(H54="TO CLOSE",P54=0),-G54*(M54-R53)*IF(E54="FUTURE",VLOOKUP(MID(I54,2,2),[1]Futures!$A$2:$B$12,2),1),"")</f>
        <v/>
      </c>
    </row>
    <row r="55" spans="1:19" x14ac:dyDescent="0.2">
      <c r="A55">
        <f t="shared" si="0"/>
        <v>15</v>
      </c>
      <c r="B55" s="3">
        <v>43928</v>
      </c>
      <c r="C55" s="3" t="str">
        <f t="shared" si="1"/>
        <v>Tuesday</v>
      </c>
      <c r="D55" s="2">
        <v>0.44549768518518523</v>
      </c>
      <c r="E55" t="s">
        <v>22</v>
      </c>
      <c r="F55" t="s">
        <v>19</v>
      </c>
      <c r="G55">
        <v>2</v>
      </c>
      <c r="H55" t="s">
        <v>16</v>
      </c>
      <c r="I55" t="s">
        <v>23</v>
      </c>
      <c r="L55" t="s">
        <v>22</v>
      </c>
      <c r="M55">
        <v>42.4</v>
      </c>
      <c r="N55">
        <v>42.4</v>
      </c>
      <c r="O55" t="s">
        <v>18</v>
      </c>
      <c r="P55">
        <f t="shared" si="2"/>
        <v>0</v>
      </c>
      <c r="Q55" s="11">
        <f>IF(P55=0,0,IFERROR(Q54+G55*M55*IF(E55="FUTURE",VLOOKUP(MID(I55,2,2),[1]Futures!$A$2:$B$12,2),1),G55*M55*IF(E55="FUTURE",VLOOKUP(MID(I55,2,2),[1]Futures!$A$2:$B$12,2),1)))</f>
        <v>0</v>
      </c>
      <c r="R55" s="12" t="str">
        <f>IFERROR(Q55/P55/IF(E55="FUTURE",VLOOKUP(MID(I55,2,2),[1]Futures!$A$2:$B$12,2),1),"")</f>
        <v/>
      </c>
      <c r="S55" s="13">
        <f>IF(AND(H55="TO CLOSE",P55=0),-G55*(M55-R54)*IF(E55="FUTURE",VLOOKUP(MID(I55,2,2),[1]Futures!$A$2:$B$12,2),1),"")</f>
        <v>24.419599999998539</v>
      </c>
    </row>
    <row r="56" spans="1:19" x14ac:dyDescent="0.2">
      <c r="A56">
        <f t="shared" si="0"/>
        <v>16</v>
      </c>
      <c r="B56" s="3">
        <v>43928</v>
      </c>
      <c r="C56" s="3" t="str">
        <f t="shared" si="1"/>
        <v>Tuesday</v>
      </c>
      <c r="D56" s="2">
        <v>0.45553240740740741</v>
      </c>
      <c r="E56" t="s">
        <v>22</v>
      </c>
      <c r="F56" t="s">
        <v>15</v>
      </c>
      <c r="G56">
        <v>-100</v>
      </c>
      <c r="H56" t="s">
        <v>20</v>
      </c>
      <c r="I56" t="s">
        <v>23</v>
      </c>
      <c r="L56" t="s">
        <v>22</v>
      </c>
      <c r="M56">
        <v>43.36</v>
      </c>
      <c r="N56">
        <v>43.36</v>
      </c>
      <c r="O56" t="s">
        <v>21</v>
      </c>
      <c r="P56">
        <f t="shared" si="2"/>
        <v>-100</v>
      </c>
      <c r="Q56" s="11">
        <f>IF(P56=0,0,IFERROR(Q55+G56*M56*IF(E56="FUTURE",VLOOKUP(MID(I56,2,2),[1]Futures!$A$2:$B$12,2),1),G56*M56*IF(E56="FUTURE",VLOOKUP(MID(I56,2,2),[1]Futures!$A$2:$B$12,2),1)))</f>
        <v>-4336</v>
      </c>
      <c r="R56" s="12">
        <f>IFERROR(Q56/P56/IF(E56="FUTURE",VLOOKUP(MID(I56,2,2),[1]Futures!$A$2:$B$12,2),1),"")</f>
        <v>43.36</v>
      </c>
      <c r="S56" s="13" t="str">
        <f>IF(AND(H56="TO CLOSE",P56=0),-G56*(M56-R55)*IF(E56="FUTURE",VLOOKUP(MID(I56,2,2),[1]Futures!$A$2:$B$12,2),1),"")</f>
        <v/>
      </c>
    </row>
    <row r="57" spans="1:19" x14ac:dyDescent="0.2">
      <c r="A57">
        <f t="shared" si="0"/>
        <v>16</v>
      </c>
      <c r="B57" s="3">
        <v>43928</v>
      </c>
      <c r="C57" s="3" t="str">
        <f t="shared" si="1"/>
        <v>Tuesday</v>
      </c>
      <c r="D57" s="2">
        <v>0.46028935185185182</v>
      </c>
      <c r="E57" t="s">
        <v>22</v>
      </c>
      <c r="F57" t="s">
        <v>15</v>
      </c>
      <c r="G57">
        <v>-44</v>
      </c>
      <c r="H57" t="s">
        <v>20</v>
      </c>
      <c r="I57" t="s">
        <v>23</v>
      </c>
      <c r="L57" t="s">
        <v>22</v>
      </c>
      <c r="M57">
        <v>43.2</v>
      </c>
      <c r="N57">
        <v>43.2</v>
      </c>
      <c r="O57" t="s">
        <v>21</v>
      </c>
      <c r="P57">
        <f t="shared" si="2"/>
        <v>-144</v>
      </c>
      <c r="Q57" s="11">
        <f>IF(P57=0,0,IFERROR(Q56+G57*M57*IF(E57="FUTURE",VLOOKUP(MID(I57,2,2),[1]Futures!$A$2:$B$12,2),1),G57*M57*IF(E57="FUTURE",VLOOKUP(MID(I57,2,2),[1]Futures!$A$2:$B$12,2),1)))</f>
        <v>-6236.8</v>
      </c>
      <c r="R57" s="12">
        <f>IFERROR(Q57/P57/IF(E57="FUTURE",VLOOKUP(MID(I57,2,2),[1]Futures!$A$2:$B$12,2),1),"")</f>
        <v>43.31111111111111</v>
      </c>
      <c r="S57" s="13" t="str">
        <f>IF(AND(H57="TO CLOSE",P57=0),-G57*(M57-R56)*IF(E57="FUTURE",VLOOKUP(MID(I57,2,2),[1]Futures!$A$2:$B$12,2),1),"")</f>
        <v/>
      </c>
    </row>
    <row r="58" spans="1:19" x14ac:dyDescent="0.2">
      <c r="A58">
        <f t="shared" si="0"/>
        <v>16</v>
      </c>
      <c r="B58" s="3">
        <v>43928</v>
      </c>
      <c r="C58" s="3" t="str">
        <f t="shared" si="1"/>
        <v>Tuesday</v>
      </c>
      <c r="D58" s="2">
        <v>0.46028935185185182</v>
      </c>
      <c r="E58" t="s">
        <v>22</v>
      </c>
      <c r="F58" t="s">
        <v>15</v>
      </c>
      <c r="G58">
        <v>-2</v>
      </c>
      <c r="H58" t="s">
        <v>20</v>
      </c>
      <c r="I58" t="s">
        <v>23</v>
      </c>
      <c r="L58" t="s">
        <v>22</v>
      </c>
      <c r="M58">
        <v>43.2</v>
      </c>
      <c r="N58">
        <v>43.2</v>
      </c>
      <c r="O58" t="s">
        <v>21</v>
      </c>
      <c r="P58">
        <f t="shared" si="2"/>
        <v>-146</v>
      </c>
      <c r="Q58" s="11">
        <f>IF(P58=0,0,IFERROR(Q57+G58*M58*IF(E58="FUTURE",VLOOKUP(MID(I58,2,2),[1]Futures!$A$2:$B$12,2),1),G58*M58*IF(E58="FUTURE",VLOOKUP(MID(I58,2,2),[1]Futures!$A$2:$B$12,2),1)))</f>
        <v>-6323.2</v>
      </c>
      <c r="R58" s="12">
        <f>IFERROR(Q58/P58/IF(E58="FUTURE",VLOOKUP(MID(I58,2,2),[1]Futures!$A$2:$B$12,2),1),"")</f>
        <v>43.30958904109589</v>
      </c>
      <c r="S58" s="13" t="str">
        <f>IF(AND(H58="TO CLOSE",P58=0),-G58*(M58-R57)*IF(E58="FUTURE",VLOOKUP(MID(I58,2,2),[1]Futures!$A$2:$B$12,2),1),"")</f>
        <v/>
      </c>
    </row>
    <row r="59" spans="1:19" x14ac:dyDescent="0.2">
      <c r="A59">
        <f t="shared" si="0"/>
        <v>16</v>
      </c>
      <c r="B59" s="3">
        <v>43928</v>
      </c>
      <c r="C59" s="3" t="str">
        <f t="shared" si="1"/>
        <v>Tuesday</v>
      </c>
      <c r="D59" s="2">
        <v>0.46028935185185182</v>
      </c>
      <c r="E59" t="s">
        <v>22</v>
      </c>
      <c r="F59" t="s">
        <v>15</v>
      </c>
      <c r="G59">
        <v>-54</v>
      </c>
      <c r="H59" t="s">
        <v>20</v>
      </c>
      <c r="I59" t="s">
        <v>23</v>
      </c>
      <c r="L59" t="s">
        <v>22</v>
      </c>
      <c r="M59">
        <v>43.2</v>
      </c>
      <c r="N59">
        <v>43.2</v>
      </c>
      <c r="O59" t="s">
        <v>21</v>
      </c>
      <c r="P59">
        <f t="shared" si="2"/>
        <v>-200</v>
      </c>
      <c r="Q59" s="11">
        <f>IF(P59=0,0,IFERROR(Q58+G59*M59*IF(E59="FUTURE",VLOOKUP(MID(I59,2,2),[1]Futures!$A$2:$B$12,2),1),G59*M59*IF(E59="FUTURE",VLOOKUP(MID(I59,2,2),[1]Futures!$A$2:$B$12,2),1)))</f>
        <v>-8656</v>
      </c>
      <c r="R59" s="12">
        <f>IFERROR(Q59/P59/IF(E59="FUTURE",VLOOKUP(MID(I59,2,2),[1]Futures!$A$2:$B$12,2),1),"")</f>
        <v>43.28</v>
      </c>
      <c r="S59" s="13" t="str">
        <f>IF(AND(H59="TO CLOSE",P59=0),-G59*(M59-R58)*IF(E59="FUTURE",VLOOKUP(MID(I59,2,2),[1]Futures!$A$2:$B$12,2),1),"")</f>
        <v/>
      </c>
    </row>
    <row r="60" spans="1:19" x14ac:dyDescent="0.2">
      <c r="A60">
        <f t="shared" si="0"/>
        <v>16</v>
      </c>
      <c r="B60" s="3">
        <v>43928</v>
      </c>
      <c r="C60" s="3" t="str">
        <f t="shared" si="1"/>
        <v>Tuesday</v>
      </c>
      <c r="D60" s="2">
        <v>0.47642361111111109</v>
      </c>
      <c r="E60" t="s">
        <v>22</v>
      </c>
      <c r="F60" t="s">
        <v>19</v>
      </c>
      <c r="G60">
        <v>200</v>
      </c>
      <c r="H60" t="s">
        <v>16</v>
      </c>
      <c r="I60" t="s">
        <v>23</v>
      </c>
      <c r="L60" t="s">
        <v>22</v>
      </c>
      <c r="M60">
        <v>43.04</v>
      </c>
      <c r="N60">
        <v>43.04</v>
      </c>
      <c r="O60" t="s">
        <v>21</v>
      </c>
      <c r="P60">
        <f t="shared" si="2"/>
        <v>0</v>
      </c>
      <c r="Q60" s="11">
        <f>IF(P60=0,0,IFERROR(Q59+G60*M60*IF(E60="FUTURE",VLOOKUP(MID(I60,2,2),[1]Futures!$A$2:$B$12,2),1),G60*M60*IF(E60="FUTURE",VLOOKUP(MID(I60,2,2),[1]Futures!$A$2:$B$12,2),1)))</f>
        <v>0</v>
      </c>
      <c r="R60" s="12" t="str">
        <f>IFERROR(Q60/P60/IF(E60="FUTURE",VLOOKUP(MID(I60,2,2),[1]Futures!$A$2:$B$12,2),1),"")</f>
        <v/>
      </c>
      <c r="S60" s="13">
        <f>IF(AND(H60="TO CLOSE",P60=0),-G60*(M60-R59)*IF(E60="FUTURE",VLOOKUP(MID(I60,2,2),[1]Futures!$A$2:$B$12,2),1),"")</f>
        <v>48.000000000000398</v>
      </c>
    </row>
    <row r="61" spans="1:19" x14ac:dyDescent="0.2">
      <c r="A61">
        <f t="shared" si="0"/>
        <v>17</v>
      </c>
      <c r="B61" s="3">
        <v>43928</v>
      </c>
      <c r="C61" s="3" t="str">
        <f t="shared" si="1"/>
        <v>Tuesday</v>
      </c>
      <c r="D61" s="2">
        <v>0.48907407407407405</v>
      </c>
      <c r="E61" t="s">
        <v>22</v>
      </c>
      <c r="F61" t="s">
        <v>19</v>
      </c>
      <c r="G61">
        <v>300</v>
      </c>
      <c r="H61" t="s">
        <v>20</v>
      </c>
      <c r="I61" t="s">
        <v>23</v>
      </c>
      <c r="L61" t="s">
        <v>22</v>
      </c>
      <c r="M61">
        <v>42.518900000000002</v>
      </c>
      <c r="N61">
        <v>42.518900000000002</v>
      </c>
      <c r="O61" t="s">
        <v>24</v>
      </c>
      <c r="P61">
        <f t="shared" si="2"/>
        <v>300</v>
      </c>
      <c r="Q61" s="11">
        <f>IF(P61=0,0,IFERROR(Q60+G61*M61*IF(E61="FUTURE",VLOOKUP(MID(I61,2,2),[1]Futures!$A$2:$B$12,2),1),G61*M61*IF(E61="FUTURE",VLOOKUP(MID(I61,2,2),[1]Futures!$A$2:$B$12,2),1)))</f>
        <v>12755.67</v>
      </c>
      <c r="R61" s="12">
        <f>IFERROR(Q61/P61/IF(E61="FUTURE",VLOOKUP(MID(I61,2,2),[1]Futures!$A$2:$B$12,2),1),"")</f>
        <v>42.518900000000002</v>
      </c>
      <c r="S61" s="13" t="str">
        <f>IF(AND(H61="TO CLOSE",P61=0),-G61*(M61-R60)*IF(E61="FUTURE",VLOOKUP(MID(I61,2,2),[1]Futures!$A$2:$B$12,2),1),"")</f>
        <v/>
      </c>
    </row>
    <row r="62" spans="1:19" x14ac:dyDescent="0.2">
      <c r="A62">
        <f t="shared" si="0"/>
        <v>17</v>
      </c>
      <c r="B62" s="3">
        <v>43928</v>
      </c>
      <c r="C62" s="3" t="str">
        <f t="shared" si="1"/>
        <v>Tuesday</v>
      </c>
      <c r="D62" s="2">
        <v>0.49081018518518515</v>
      </c>
      <c r="E62" t="s">
        <v>22</v>
      </c>
      <c r="F62" t="s">
        <v>15</v>
      </c>
      <c r="G62">
        <v>-300</v>
      </c>
      <c r="H62" t="s">
        <v>16</v>
      </c>
      <c r="I62" t="s">
        <v>23</v>
      </c>
      <c r="L62" t="s">
        <v>22</v>
      </c>
      <c r="M62">
        <v>42.31</v>
      </c>
      <c r="N62">
        <v>42.31</v>
      </c>
      <c r="O62" t="s">
        <v>18</v>
      </c>
      <c r="P62">
        <f t="shared" si="2"/>
        <v>0</v>
      </c>
      <c r="Q62" s="11">
        <f>IF(P62=0,0,IFERROR(Q61+G62*M62*IF(E62="FUTURE",VLOOKUP(MID(I62,2,2),[1]Futures!$A$2:$B$12,2),1),G62*M62*IF(E62="FUTURE",VLOOKUP(MID(I62,2,2),[1]Futures!$A$2:$B$12,2),1)))</f>
        <v>0</v>
      </c>
      <c r="R62" s="12" t="str">
        <f>IFERROR(Q62/P62/IF(E62="FUTURE",VLOOKUP(MID(I62,2,2),[1]Futures!$A$2:$B$12,2),1),"")</f>
        <v/>
      </c>
      <c r="S62" s="13">
        <f>IF(AND(H62="TO CLOSE",P62=0),-G62*(M62-R61)*IF(E62="FUTURE",VLOOKUP(MID(I62,2,2),[1]Futures!$A$2:$B$12,2),1),"")</f>
        <v>-62.669999999999959</v>
      </c>
    </row>
    <row r="63" spans="1:19" x14ac:dyDescent="0.2">
      <c r="A63">
        <f t="shared" si="0"/>
        <v>18</v>
      </c>
      <c r="B63" s="3">
        <v>43928</v>
      </c>
      <c r="C63" s="3" t="str">
        <f t="shared" si="1"/>
        <v>Tuesday</v>
      </c>
      <c r="D63" s="2">
        <v>0.49374999999999997</v>
      </c>
      <c r="E63" t="s">
        <v>22</v>
      </c>
      <c r="F63" t="s">
        <v>19</v>
      </c>
      <c r="G63">
        <v>72</v>
      </c>
      <c r="H63" t="s">
        <v>20</v>
      </c>
      <c r="I63" t="s">
        <v>23</v>
      </c>
      <c r="L63" t="s">
        <v>22</v>
      </c>
      <c r="M63">
        <v>42.179900000000004</v>
      </c>
      <c r="N63">
        <v>42.179859999999998</v>
      </c>
      <c r="O63" t="s">
        <v>24</v>
      </c>
      <c r="P63">
        <f t="shared" si="2"/>
        <v>72</v>
      </c>
      <c r="Q63" s="11">
        <f>IF(P63=0,0,IFERROR(Q62+G63*M63*IF(E63="FUTURE",VLOOKUP(MID(I63,2,2),[1]Futures!$A$2:$B$12,2),1),G63*M63*IF(E63="FUTURE",VLOOKUP(MID(I63,2,2),[1]Futures!$A$2:$B$12,2),1)))</f>
        <v>3036.9528</v>
      </c>
      <c r="R63" s="12">
        <f>IFERROR(Q63/P63/IF(E63="FUTURE",VLOOKUP(MID(I63,2,2),[1]Futures!$A$2:$B$12,2),1),"")</f>
        <v>42.179900000000004</v>
      </c>
      <c r="S63" s="13" t="str">
        <f>IF(AND(H63="TO CLOSE",P63=0),-G63*(M63-R62)*IF(E63="FUTURE",VLOOKUP(MID(I63,2,2),[1]Futures!$A$2:$B$12,2),1),"")</f>
        <v/>
      </c>
    </row>
    <row r="64" spans="1:19" x14ac:dyDescent="0.2">
      <c r="A64">
        <f t="shared" si="0"/>
        <v>18</v>
      </c>
      <c r="B64" s="3">
        <v>43928</v>
      </c>
      <c r="C64" s="3" t="str">
        <f t="shared" si="1"/>
        <v>Tuesday</v>
      </c>
      <c r="D64" s="2">
        <v>0.49374999999999997</v>
      </c>
      <c r="E64" t="s">
        <v>22</v>
      </c>
      <c r="F64" t="s">
        <v>19</v>
      </c>
      <c r="G64">
        <v>100</v>
      </c>
      <c r="H64" t="s">
        <v>20</v>
      </c>
      <c r="I64" t="s">
        <v>23</v>
      </c>
      <c r="L64" t="s">
        <v>22</v>
      </c>
      <c r="M64">
        <v>42.179900000000004</v>
      </c>
      <c r="N64">
        <v>42.179900000000004</v>
      </c>
      <c r="O64" t="s">
        <v>24</v>
      </c>
      <c r="P64">
        <f t="shared" si="2"/>
        <v>172</v>
      </c>
      <c r="Q64" s="11">
        <f>IF(P64=0,0,IFERROR(Q63+G64*M64*IF(E64="FUTURE",VLOOKUP(MID(I64,2,2),[1]Futures!$A$2:$B$12,2),1),G64*M64*IF(E64="FUTURE",VLOOKUP(MID(I64,2,2),[1]Futures!$A$2:$B$12,2),1)))</f>
        <v>7254.9428000000007</v>
      </c>
      <c r="R64" s="12">
        <f>IFERROR(Q64/P64/IF(E64="FUTURE",VLOOKUP(MID(I64,2,2),[1]Futures!$A$2:$B$12,2),1),"")</f>
        <v>42.179900000000004</v>
      </c>
      <c r="S64" s="13" t="str">
        <f>IF(AND(H64="TO CLOSE",P64=0),-G64*(M64-R63)*IF(E64="FUTURE",VLOOKUP(MID(I64,2,2),[1]Futures!$A$2:$B$12,2),1),"")</f>
        <v/>
      </c>
    </row>
    <row r="65" spans="1:19" x14ac:dyDescent="0.2">
      <c r="A65">
        <f t="shared" si="0"/>
        <v>18</v>
      </c>
      <c r="B65" s="3">
        <v>43928</v>
      </c>
      <c r="C65" s="3" t="str">
        <f t="shared" si="1"/>
        <v>Tuesday</v>
      </c>
      <c r="D65" s="2">
        <v>0.49374999999999997</v>
      </c>
      <c r="E65" t="s">
        <v>22</v>
      </c>
      <c r="F65" t="s">
        <v>19</v>
      </c>
      <c r="G65">
        <v>100</v>
      </c>
      <c r="H65" t="s">
        <v>20</v>
      </c>
      <c r="I65" t="s">
        <v>23</v>
      </c>
      <c r="L65" t="s">
        <v>22</v>
      </c>
      <c r="M65">
        <v>42.179900000000004</v>
      </c>
      <c r="N65">
        <v>42.179900000000004</v>
      </c>
      <c r="O65" t="s">
        <v>24</v>
      </c>
      <c r="P65">
        <f t="shared" si="2"/>
        <v>272</v>
      </c>
      <c r="Q65" s="11">
        <f>IF(P65=0,0,IFERROR(Q64+G65*M65*IF(E65="FUTURE",VLOOKUP(MID(I65,2,2),[1]Futures!$A$2:$B$12,2),1),G65*M65*IF(E65="FUTURE",VLOOKUP(MID(I65,2,2),[1]Futures!$A$2:$B$12,2),1)))</f>
        <v>11472.932800000002</v>
      </c>
      <c r="R65" s="12">
        <f>IFERROR(Q65/P65/IF(E65="FUTURE",VLOOKUP(MID(I65,2,2),[1]Futures!$A$2:$B$12,2),1),"")</f>
        <v>42.179900000000011</v>
      </c>
      <c r="S65" s="13" t="str">
        <f>IF(AND(H65="TO CLOSE",P65=0),-G65*(M65-R64)*IF(E65="FUTURE",VLOOKUP(MID(I65,2,2),[1]Futures!$A$2:$B$12,2),1),"")</f>
        <v/>
      </c>
    </row>
    <row r="66" spans="1:19" x14ac:dyDescent="0.2">
      <c r="A66">
        <f t="shared" ref="A66:A129" si="3">IF(AND(P65=0,H65="TO CLOSE"),IFERROR(A65+1,1),IFERROR(A65/1,1))</f>
        <v>18</v>
      </c>
      <c r="B66" s="3">
        <v>43928</v>
      </c>
      <c r="C66" s="3" t="str">
        <f t="shared" ref="C66:C129" si="4">IF(WEEKDAY(B66,2)=1,"Monday",IF(WEEKDAY(B66,2)=2,"Tuesday",IF(WEEKDAY(B66,2)=3,"Wednesday",IF(WEEKDAY(B66,2)=4,"Thursday",IF(WEEKDAY(B66,2)=5,"Friday","Sunday")))))</f>
        <v>Tuesday</v>
      </c>
      <c r="D66" s="2">
        <v>0.49374999999999997</v>
      </c>
      <c r="E66" t="s">
        <v>22</v>
      </c>
      <c r="F66" t="s">
        <v>19</v>
      </c>
      <c r="G66">
        <v>28</v>
      </c>
      <c r="H66" t="s">
        <v>20</v>
      </c>
      <c r="I66" t="s">
        <v>23</v>
      </c>
      <c r="L66" t="s">
        <v>22</v>
      </c>
      <c r="M66">
        <v>42.179900000000004</v>
      </c>
      <c r="N66">
        <v>42.18</v>
      </c>
      <c r="O66" t="s">
        <v>24</v>
      </c>
      <c r="P66">
        <f t="shared" si="2"/>
        <v>300</v>
      </c>
      <c r="Q66" s="11">
        <f>IF(P66=0,0,IFERROR(Q65+G66*M66*IF(E66="FUTURE",VLOOKUP(MID(I66,2,2),[1]Futures!$A$2:$B$12,2),1),G66*M66*IF(E66="FUTURE",VLOOKUP(MID(I66,2,2),[1]Futures!$A$2:$B$12,2),1)))</f>
        <v>12653.970000000003</v>
      </c>
      <c r="R66" s="12">
        <f>IFERROR(Q66/P66/IF(E66="FUTURE",VLOOKUP(MID(I66,2,2),[1]Futures!$A$2:$B$12,2),1),"")</f>
        <v>42.179900000000011</v>
      </c>
      <c r="S66" s="13" t="str">
        <f>IF(AND(H66="TO CLOSE",P66=0),-G66*(M66-R65)*IF(E66="FUTURE",VLOOKUP(MID(I66,2,2),[1]Futures!$A$2:$B$12,2),1),"")</f>
        <v/>
      </c>
    </row>
    <row r="67" spans="1:19" x14ac:dyDescent="0.2">
      <c r="A67">
        <f t="shared" si="3"/>
        <v>18</v>
      </c>
      <c r="B67" s="3">
        <v>43928</v>
      </c>
      <c r="C67" s="3" t="str">
        <f t="shared" si="4"/>
        <v>Tuesday</v>
      </c>
      <c r="D67" s="2">
        <v>0.5002199074074074</v>
      </c>
      <c r="E67" t="s">
        <v>22</v>
      </c>
      <c r="F67" t="s">
        <v>15</v>
      </c>
      <c r="G67">
        <v>-300</v>
      </c>
      <c r="H67" t="s">
        <v>16</v>
      </c>
      <c r="I67" t="s">
        <v>23</v>
      </c>
      <c r="L67" t="s">
        <v>22</v>
      </c>
      <c r="M67">
        <v>41.97</v>
      </c>
      <c r="N67">
        <v>41.97</v>
      </c>
      <c r="O67" t="s">
        <v>18</v>
      </c>
      <c r="P67">
        <f t="shared" ref="P67:P130" si="5">IF(H67="TO OPEN",IFERROR(P66+G67,0+G67),IFERROR(P66+G67,0+G67))</f>
        <v>0</v>
      </c>
      <c r="Q67" s="11">
        <f>IF(P67=0,0,IFERROR(Q66+G67*M67*IF(E67="FUTURE",VLOOKUP(MID(I67,2,2),[1]Futures!$A$2:$B$12,2),1),G67*M67*IF(E67="FUTURE",VLOOKUP(MID(I67,2,2),[1]Futures!$A$2:$B$12,2),1)))</f>
        <v>0</v>
      </c>
      <c r="R67" s="12" t="str">
        <f>IFERROR(Q67/P67/IF(E67="FUTURE",VLOOKUP(MID(I67,2,2),[1]Futures!$A$2:$B$12,2),1),"")</f>
        <v/>
      </c>
      <c r="S67" s="13">
        <f>IF(AND(H67="TO CLOSE",P67=0),-G67*(M67-R66)*IF(E67="FUTURE",VLOOKUP(MID(I67,2,2),[1]Futures!$A$2:$B$12,2),1),"")</f>
        <v>-62.970000000003523</v>
      </c>
    </row>
    <row r="68" spans="1:19" x14ac:dyDescent="0.2">
      <c r="A68">
        <f t="shared" si="3"/>
        <v>19</v>
      </c>
      <c r="B68" s="3">
        <v>43928</v>
      </c>
      <c r="C68" s="3" t="str">
        <f t="shared" si="4"/>
        <v>Tuesday</v>
      </c>
      <c r="D68" s="2">
        <v>0.54281250000000003</v>
      </c>
      <c r="E68" t="s">
        <v>22</v>
      </c>
      <c r="F68" t="s">
        <v>19</v>
      </c>
      <c r="G68">
        <v>300</v>
      </c>
      <c r="H68" t="s">
        <v>20</v>
      </c>
      <c r="I68" t="s">
        <v>23</v>
      </c>
      <c r="L68" t="s">
        <v>22</v>
      </c>
      <c r="M68">
        <v>41.79</v>
      </c>
      <c r="N68">
        <v>41.79</v>
      </c>
      <c r="O68" t="s">
        <v>21</v>
      </c>
      <c r="P68">
        <f t="shared" si="5"/>
        <v>300</v>
      </c>
      <c r="Q68" s="11">
        <f>IF(P68=0,0,IFERROR(Q67+G68*M68*IF(E68="FUTURE",VLOOKUP(MID(I68,2,2),[1]Futures!$A$2:$B$12,2),1),G68*M68*IF(E68="FUTURE",VLOOKUP(MID(I68,2,2),[1]Futures!$A$2:$B$12,2),1)))</f>
        <v>12537</v>
      </c>
      <c r="R68" s="12">
        <f>IFERROR(Q68/P68/IF(E68="FUTURE",VLOOKUP(MID(I68,2,2),[1]Futures!$A$2:$B$12,2),1),"")</f>
        <v>41.79</v>
      </c>
      <c r="S68" s="13" t="str">
        <f>IF(AND(H68="TO CLOSE",P68=0),-G68*(M68-R67)*IF(E68="FUTURE",VLOOKUP(MID(I68,2,2),[1]Futures!$A$2:$B$12,2),1),"")</f>
        <v/>
      </c>
    </row>
    <row r="69" spans="1:19" x14ac:dyDescent="0.2">
      <c r="A69">
        <f t="shared" si="3"/>
        <v>19</v>
      </c>
      <c r="B69" s="3">
        <v>43928</v>
      </c>
      <c r="C69" s="3" t="str">
        <f t="shared" si="4"/>
        <v>Tuesday</v>
      </c>
      <c r="D69" s="2">
        <v>0.55607638888888888</v>
      </c>
      <c r="E69" t="s">
        <v>22</v>
      </c>
      <c r="F69" t="s">
        <v>15</v>
      </c>
      <c r="G69">
        <v>-100</v>
      </c>
      <c r="H69" t="s">
        <v>16</v>
      </c>
      <c r="I69" t="s">
        <v>23</v>
      </c>
      <c r="L69" t="s">
        <v>22</v>
      </c>
      <c r="M69">
        <v>42.29</v>
      </c>
      <c r="N69">
        <v>42.29</v>
      </c>
      <c r="O69" t="s">
        <v>21</v>
      </c>
      <c r="P69">
        <f t="shared" si="5"/>
        <v>200</v>
      </c>
      <c r="Q69" s="11">
        <f>IF(P69=0,0,IFERROR(Q68+G69*M69*IF(E69="FUTURE",VLOOKUP(MID(I69,2,2),[1]Futures!$A$2:$B$12,2),1),G69*M69*IF(E69="FUTURE",VLOOKUP(MID(I69,2,2),[1]Futures!$A$2:$B$12,2),1)))</f>
        <v>8308</v>
      </c>
      <c r="R69" s="12">
        <f>IFERROR(Q69/P69/IF(E69="FUTURE",VLOOKUP(MID(I69,2,2),[1]Futures!$A$2:$B$12,2),1),"")</f>
        <v>41.54</v>
      </c>
      <c r="S69" s="13" t="str">
        <f>IF(AND(H69="TO CLOSE",P69=0),-G69*(M69-R68)*IF(E69="FUTURE",VLOOKUP(MID(I69,2,2),[1]Futures!$A$2:$B$12,2),1),"")</f>
        <v/>
      </c>
    </row>
    <row r="70" spans="1:19" x14ac:dyDescent="0.2">
      <c r="A70">
        <f t="shared" si="3"/>
        <v>19</v>
      </c>
      <c r="B70" s="3">
        <v>43928</v>
      </c>
      <c r="C70" s="3" t="str">
        <f t="shared" si="4"/>
        <v>Tuesday</v>
      </c>
      <c r="D70" s="2">
        <v>0.56391203703703707</v>
      </c>
      <c r="E70" t="s">
        <v>22</v>
      </c>
      <c r="F70" t="s">
        <v>15</v>
      </c>
      <c r="G70">
        <v>-100</v>
      </c>
      <c r="H70" t="s">
        <v>16</v>
      </c>
      <c r="I70" t="s">
        <v>23</v>
      </c>
      <c r="L70" t="s">
        <v>22</v>
      </c>
      <c r="M70">
        <v>42.2</v>
      </c>
      <c r="N70">
        <v>42.2</v>
      </c>
      <c r="O70" t="s">
        <v>21</v>
      </c>
      <c r="P70">
        <f t="shared" si="5"/>
        <v>100</v>
      </c>
      <c r="Q70" s="11">
        <f>IF(P70=0,0,IFERROR(Q69+G70*M70*IF(E70="FUTURE",VLOOKUP(MID(I70,2,2),[1]Futures!$A$2:$B$12,2),1),G70*M70*IF(E70="FUTURE",VLOOKUP(MID(I70,2,2),[1]Futures!$A$2:$B$12,2),1)))</f>
        <v>4088</v>
      </c>
      <c r="R70" s="12">
        <f>IFERROR(Q70/P70/IF(E70="FUTURE",VLOOKUP(MID(I70,2,2),[1]Futures!$A$2:$B$12,2),1),"")</f>
        <v>40.880000000000003</v>
      </c>
      <c r="S70" s="13" t="str">
        <f>IF(AND(H70="TO CLOSE",P70=0),-G70*(M70-R69)*IF(E70="FUTURE",VLOOKUP(MID(I70,2,2),[1]Futures!$A$2:$B$12,2),1),"")</f>
        <v/>
      </c>
    </row>
    <row r="71" spans="1:19" x14ac:dyDescent="0.2">
      <c r="A71">
        <f t="shared" si="3"/>
        <v>19</v>
      </c>
      <c r="B71" s="3">
        <v>43928</v>
      </c>
      <c r="C71" s="3" t="str">
        <f t="shared" si="4"/>
        <v>Tuesday</v>
      </c>
      <c r="D71" s="2">
        <v>0.56670138888888888</v>
      </c>
      <c r="E71" t="s">
        <v>22</v>
      </c>
      <c r="F71" t="s">
        <v>15</v>
      </c>
      <c r="G71">
        <v>-5</v>
      </c>
      <c r="H71" t="s">
        <v>16</v>
      </c>
      <c r="I71" t="s">
        <v>23</v>
      </c>
      <c r="L71" t="s">
        <v>22</v>
      </c>
      <c r="M71">
        <v>42.25</v>
      </c>
      <c r="N71">
        <v>42.25</v>
      </c>
      <c r="O71" t="s">
        <v>21</v>
      </c>
      <c r="P71">
        <f t="shared" si="5"/>
        <v>95</v>
      </c>
      <c r="Q71" s="11">
        <f>IF(P71=0,0,IFERROR(Q70+G71*M71*IF(E71="FUTURE",VLOOKUP(MID(I71,2,2),[1]Futures!$A$2:$B$12,2),1),G71*M71*IF(E71="FUTURE",VLOOKUP(MID(I71,2,2),[1]Futures!$A$2:$B$12,2),1)))</f>
        <v>3876.75</v>
      </c>
      <c r="R71" s="12">
        <f>IFERROR(Q71/P71/IF(E71="FUTURE",VLOOKUP(MID(I71,2,2),[1]Futures!$A$2:$B$12,2),1),"")</f>
        <v>40.807894736842108</v>
      </c>
      <c r="S71" s="13" t="str">
        <f>IF(AND(H71="TO CLOSE",P71=0),-G71*(M71-R70)*IF(E71="FUTURE",VLOOKUP(MID(I71,2,2),[1]Futures!$A$2:$B$12,2),1),"")</f>
        <v/>
      </c>
    </row>
    <row r="72" spans="1:19" x14ac:dyDescent="0.2">
      <c r="A72">
        <f t="shared" si="3"/>
        <v>19</v>
      </c>
      <c r="B72" s="3">
        <v>43928</v>
      </c>
      <c r="C72" s="3" t="str">
        <f t="shared" si="4"/>
        <v>Tuesday</v>
      </c>
      <c r="D72" s="2">
        <v>0.56670138888888888</v>
      </c>
      <c r="E72" t="s">
        <v>22</v>
      </c>
      <c r="F72" t="s">
        <v>15</v>
      </c>
      <c r="G72">
        <v>-95</v>
      </c>
      <c r="H72" t="s">
        <v>16</v>
      </c>
      <c r="I72" t="s">
        <v>23</v>
      </c>
      <c r="L72" t="s">
        <v>22</v>
      </c>
      <c r="M72">
        <v>42.25</v>
      </c>
      <c r="N72">
        <v>42.25</v>
      </c>
      <c r="O72" t="s">
        <v>21</v>
      </c>
      <c r="P72">
        <f t="shared" si="5"/>
        <v>0</v>
      </c>
      <c r="Q72" s="11">
        <f>IF(P72=0,0,IFERROR(Q71+G72*M72*IF(E72="FUTURE",VLOOKUP(MID(I72,2,2),[1]Futures!$A$2:$B$12,2),1),G72*M72*IF(E72="FUTURE",VLOOKUP(MID(I72,2,2),[1]Futures!$A$2:$B$12,2),1)))</f>
        <v>0</v>
      </c>
      <c r="R72" s="12" t="str">
        <f>IFERROR(Q72/P72/IF(E72="FUTURE",VLOOKUP(MID(I72,2,2),[1]Futures!$A$2:$B$12,2),1),"")</f>
        <v/>
      </c>
      <c r="S72" s="13">
        <f>IF(AND(H72="TO CLOSE",P72=0),-G72*(M72-R71)*IF(E72="FUTURE",VLOOKUP(MID(I72,2,2),[1]Futures!$A$2:$B$12,2),1),"")</f>
        <v>136.99999999999972</v>
      </c>
    </row>
    <row r="73" spans="1:19" x14ac:dyDescent="0.2">
      <c r="A73">
        <f t="shared" si="3"/>
        <v>20</v>
      </c>
      <c r="B73" s="3">
        <v>43929</v>
      </c>
      <c r="C73" s="3" t="str">
        <f t="shared" si="4"/>
        <v>Wednesday</v>
      </c>
      <c r="D73" s="2">
        <v>0.4111805555555556</v>
      </c>
      <c r="E73" t="s">
        <v>14</v>
      </c>
      <c r="F73" t="s">
        <v>15</v>
      </c>
      <c r="G73">
        <v>-1</v>
      </c>
      <c r="H73" t="s">
        <v>20</v>
      </c>
      <c r="I73" t="s">
        <v>36</v>
      </c>
      <c r="J73" s="1">
        <v>43971</v>
      </c>
      <c r="L73" t="s">
        <v>14</v>
      </c>
      <c r="M73">
        <v>24.79</v>
      </c>
      <c r="N73">
        <v>24.79</v>
      </c>
      <c r="O73" t="s">
        <v>21</v>
      </c>
      <c r="P73">
        <f t="shared" si="5"/>
        <v>-1</v>
      </c>
      <c r="Q73" s="11">
        <f>IF(P73=0,0,IFERROR(Q72+G73*M73*IF(E73="FUTURE",VLOOKUP(MID(I73,2,2),[1]Futures!$A$2:$B$12,2),1),G73*M73*IF(E73="FUTURE",VLOOKUP(MID(I73,2,2),[1]Futures!$A$2:$B$12,2),1)))</f>
        <v>-24790</v>
      </c>
      <c r="R73" s="12">
        <f>IFERROR(Q73/P73/IF(E73="FUTURE",VLOOKUP(MID(I73,2,2),[1]Futures!$A$2:$B$12,2),1),"")</f>
        <v>24.79</v>
      </c>
      <c r="S73" s="13" t="str">
        <f>IF(AND(H73="TO CLOSE",P73=0),-G73*(M73-R72)*IF(E73="FUTURE",VLOOKUP(MID(I73,2,2),[1]Futures!$A$2:$B$12,2),1),"")</f>
        <v/>
      </c>
    </row>
    <row r="74" spans="1:19" x14ac:dyDescent="0.2">
      <c r="A74">
        <f t="shared" si="3"/>
        <v>20</v>
      </c>
      <c r="B74" s="3">
        <v>43929</v>
      </c>
      <c r="C74" s="3" t="str">
        <f t="shared" si="4"/>
        <v>Wednesday</v>
      </c>
      <c r="D74" s="2">
        <v>0.41896990740740742</v>
      </c>
      <c r="E74" t="s">
        <v>14</v>
      </c>
      <c r="F74" t="s">
        <v>15</v>
      </c>
      <c r="G74">
        <v>-1</v>
      </c>
      <c r="H74" t="s">
        <v>20</v>
      </c>
      <c r="I74" t="s">
        <v>36</v>
      </c>
      <c r="J74" s="1">
        <v>43971</v>
      </c>
      <c r="L74" t="s">
        <v>14</v>
      </c>
      <c r="M74">
        <v>24.87</v>
      </c>
      <c r="N74">
        <v>24.87</v>
      </c>
      <c r="O74" t="s">
        <v>21</v>
      </c>
      <c r="P74">
        <f t="shared" si="5"/>
        <v>-2</v>
      </c>
      <c r="Q74" s="11">
        <f>IF(P74=0,0,IFERROR(Q73+G74*M74*IF(E74="FUTURE",VLOOKUP(MID(I74,2,2),[1]Futures!$A$2:$B$12,2),1),G74*M74*IF(E74="FUTURE",VLOOKUP(MID(I74,2,2),[1]Futures!$A$2:$B$12,2),1)))</f>
        <v>-49660</v>
      </c>
      <c r="R74" s="12">
        <f>IFERROR(Q74/P74/IF(E74="FUTURE",VLOOKUP(MID(I74,2,2),[1]Futures!$A$2:$B$12,2),1),"")</f>
        <v>24.83</v>
      </c>
      <c r="S74" s="13" t="str">
        <f>IF(AND(H74="TO CLOSE",P74=0),-G74*(M74-R73)*IF(E74="FUTURE",VLOOKUP(MID(I74,2,2),[1]Futures!$A$2:$B$12,2),1),"")</f>
        <v/>
      </c>
    </row>
    <row r="75" spans="1:19" x14ac:dyDescent="0.2">
      <c r="A75">
        <f t="shared" si="3"/>
        <v>20</v>
      </c>
      <c r="B75" s="3">
        <v>43929</v>
      </c>
      <c r="C75" s="3" t="str">
        <f t="shared" si="4"/>
        <v>Wednesday</v>
      </c>
      <c r="D75" s="2">
        <v>0.42966435185185187</v>
      </c>
      <c r="E75" t="s">
        <v>14</v>
      </c>
      <c r="F75" t="s">
        <v>19</v>
      </c>
      <c r="G75">
        <v>1</v>
      </c>
      <c r="H75" t="s">
        <v>16</v>
      </c>
      <c r="I75" t="s">
        <v>36</v>
      </c>
      <c r="J75" s="1">
        <v>43971</v>
      </c>
      <c r="L75" t="s">
        <v>14</v>
      </c>
      <c r="M75">
        <v>24.69</v>
      </c>
      <c r="N75">
        <v>24.69</v>
      </c>
      <c r="O75" t="s">
        <v>21</v>
      </c>
      <c r="P75">
        <f t="shared" si="5"/>
        <v>-1</v>
      </c>
      <c r="Q75" s="11">
        <f>IF(P75=0,0,IFERROR(Q74+G75*M75*IF(E75="FUTURE",VLOOKUP(MID(I75,2,2),[1]Futures!$A$2:$B$12,2),1),G75*M75*IF(E75="FUTURE",VLOOKUP(MID(I75,2,2),[1]Futures!$A$2:$B$12,2),1)))</f>
        <v>-24970</v>
      </c>
      <c r="R75" s="12">
        <f>IFERROR(Q75/P75/IF(E75="FUTURE",VLOOKUP(MID(I75,2,2),[1]Futures!$A$2:$B$12,2),1),"")</f>
        <v>24.97</v>
      </c>
      <c r="S75" s="13" t="str">
        <f>IF(AND(H75="TO CLOSE",P75=0),-G75*(M75-R74)*IF(E75="FUTURE",VLOOKUP(MID(I75,2,2),[1]Futures!$A$2:$B$12,2),1),"")</f>
        <v/>
      </c>
    </row>
    <row r="76" spans="1:19" x14ac:dyDescent="0.2">
      <c r="A76">
        <f t="shared" si="3"/>
        <v>20</v>
      </c>
      <c r="B76" s="3">
        <v>43929</v>
      </c>
      <c r="C76" s="3" t="str">
        <f t="shared" si="4"/>
        <v>Wednesday</v>
      </c>
      <c r="D76" s="2">
        <v>0.43123842592592593</v>
      </c>
      <c r="E76" t="s">
        <v>14</v>
      </c>
      <c r="F76" t="s">
        <v>19</v>
      </c>
      <c r="G76">
        <v>1</v>
      </c>
      <c r="H76" t="s">
        <v>16</v>
      </c>
      <c r="I76" t="s">
        <v>36</v>
      </c>
      <c r="J76" s="1">
        <v>43971</v>
      </c>
      <c r="L76" t="s">
        <v>14</v>
      </c>
      <c r="M76">
        <v>24.58</v>
      </c>
      <c r="N76">
        <v>24.58</v>
      </c>
      <c r="O76" t="s">
        <v>21</v>
      </c>
      <c r="P76">
        <f t="shared" si="5"/>
        <v>0</v>
      </c>
      <c r="Q76" s="11">
        <f>IF(P76=0,0,IFERROR(Q75+G76*M76*IF(E76="FUTURE",VLOOKUP(MID(I76,2,2),[1]Futures!$A$2:$B$12,2),1),G76*M76*IF(E76="FUTURE",VLOOKUP(MID(I76,2,2),[1]Futures!$A$2:$B$12,2),1)))</f>
        <v>0</v>
      </c>
      <c r="R76" s="12" t="str">
        <f>IFERROR(Q76/P76/IF(E76="FUTURE",VLOOKUP(MID(I76,2,2),[1]Futures!$A$2:$B$12,2),1),"")</f>
        <v/>
      </c>
      <c r="S76" s="13">
        <f>IF(AND(H76="TO CLOSE",P76=0),-G76*(M76-R75)*IF(E76="FUTURE",VLOOKUP(MID(I76,2,2),[1]Futures!$A$2:$B$12,2),1),"")</f>
        <v>390.00000000000057</v>
      </c>
    </row>
    <row r="77" spans="1:19" x14ac:dyDescent="0.2">
      <c r="A77">
        <f t="shared" si="3"/>
        <v>21</v>
      </c>
      <c r="B77" s="3">
        <v>43929</v>
      </c>
      <c r="C77" s="3" t="str">
        <f t="shared" si="4"/>
        <v>Wednesday</v>
      </c>
      <c r="D77" s="2">
        <v>0.43989583333333332</v>
      </c>
      <c r="E77" t="s">
        <v>14</v>
      </c>
      <c r="F77" t="s">
        <v>19</v>
      </c>
      <c r="G77">
        <v>1</v>
      </c>
      <c r="H77" t="s">
        <v>20</v>
      </c>
      <c r="I77" t="s">
        <v>36</v>
      </c>
      <c r="J77" s="1">
        <v>43971</v>
      </c>
      <c r="L77" t="s">
        <v>14</v>
      </c>
      <c r="M77">
        <v>24.96</v>
      </c>
      <c r="N77">
        <v>24.96</v>
      </c>
      <c r="O77" t="s">
        <v>21</v>
      </c>
      <c r="P77">
        <f t="shared" si="5"/>
        <v>1</v>
      </c>
      <c r="Q77" s="11">
        <f>IF(P77=0,0,IFERROR(Q76+G77*M77*IF(E77="FUTURE",VLOOKUP(MID(I77,2,2),[1]Futures!$A$2:$B$12,2),1),G77*M77*IF(E77="FUTURE",VLOOKUP(MID(I77,2,2),[1]Futures!$A$2:$B$12,2),1)))</f>
        <v>24960</v>
      </c>
      <c r="R77" s="12">
        <f>IFERROR(Q77/P77/IF(E77="FUTURE",VLOOKUP(MID(I77,2,2),[1]Futures!$A$2:$B$12,2),1),"")</f>
        <v>24.96</v>
      </c>
      <c r="S77" s="13" t="str">
        <f>IF(AND(H77="TO CLOSE",P77=0),-G77*(M77-R76)*IF(E77="FUTURE",VLOOKUP(MID(I77,2,2),[1]Futures!$A$2:$B$12,2),1),"")</f>
        <v/>
      </c>
    </row>
    <row r="78" spans="1:19" x14ac:dyDescent="0.2">
      <c r="A78">
        <f t="shared" si="3"/>
        <v>21</v>
      </c>
      <c r="B78" s="3">
        <v>43929</v>
      </c>
      <c r="C78" s="3" t="str">
        <f t="shared" si="4"/>
        <v>Wednesday</v>
      </c>
      <c r="D78" s="2">
        <v>0.442349537037037</v>
      </c>
      <c r="E78" t="s">
        <v>14</v>
      </c>
      <c r="F78" t="s">
        <v>15</v>
      </c>
      <c r="G78">
        <v>-1</v>
      </c>
      <c r="H78" t="s">
        <v>16</v>
      </c>
      <c r="I78" t="s">
        <v>36</v>
      </c>
      <c r="J78" s="1">
        <v>43971</v>
      </c>
      <c r="L78" t="s">
        <v>14</v>
      </c>
      <c r="M78">
        <v>24.98</v>
      </c>
      <c r="N78">
        <v>24.98</v>
      </c>
      <c r="O78" t="s">
        <v>18</v>
      </c>
      <c r="P78">
        <f t="shared" si="5"/>
        <v>0</v>
      </c>
      <c r="Q78" s="11">
        <f>IF(P78=0,0,IFERROR(Q77+G78*M78*IF(E78="FUTURE",VLOOKUP(MID(I78,2,2),[1]Futures!$A$2:$B$12,2),1),G78*M78*IF(E78="FUTURE",VLOOKUP(MID(I78,2,2),[1]Futures!$A$2:$B$12,2),1)))</f>
        <v>0</v>
      </c>
      <c r="R78" s="12" t="str">
        <f>IFERROR(Q78/P78/IF(E78="FUTURE",VLOOKUP(MID(I78,2,2),[1]Futures!$A$2:$B$12,2),1),"")</f>
        <v/>
      </c>
      <c r="S78" s="13">
        <f>IF(AND(H78="TO CLOSE",P78=0),-G78*(M78-R77)*IF(E78="FUTURE",VLOOKUP(MID(I78,2,2),[1]Futures!$A$2:$B$12,2),1),"")</f>
        <v>19.999999999999574</v>
      </c>
    </row>
    <row r="79" spans="1:19" x14ac:dyDescent="0.2">
      <c r="A79">
        <f t="shared" si="3"/>
        <v>22</v>
      </c>
      <c r="B79" s="3">
        <v>43929</v>
      </c>
      <c r="C79" s="3" t="str">
        <f t="shared" si="4"/>
        <v>Wednesday</v>
      </c>
      <c r="D79" s="2">
        <v>0.4443981481481481</v>
      </c>
      <c r="E79" t="s">
        <v>14</v>
      </c>
      <c r="F79" t="s">
        <v>15</v>
      </c>
      <c r="G79">
        <v>-2</v>
      </c>
      <c r="H79" t="s">
        <v>20</v>
      </c>
      <c r="I79" t="s">
        <v>36</v>
      </c>
      <c r="J79" s="1">
        <v>43971</v>
      </c>
      <c r="L79" t="s">
        <v>14</v>
      </c>
      <c r="M79">
        <v>24.68</v>
      </c>
      <c r="N79">
        <v>24.68</v>
      </c>
      <c r="O79" t="s">
        <v>21</v>
      </c>
      <c r="P79">
        <f t="shared" si="5"/>
        <v>-2</v>
      </c>
      <c r="Q79" s="11">
        <f>IF(P79=0,0,IFERROR(Q78+G79*M79*IF(E79="FUTURE",VLOOKUP(MID(I79,2,2),[1]Futures!$A$2:$B$12,2),1),G79*M79*IF(E79="FUTURE",VLOOKUP(MID(I79,2,2),[1]Futures!$A$2:$B$12,2),1)))</f>
        <v>-49360</v>
      </c>
      <c r="R79" s="12">
        <f>IFERROR(Q79/P79/IF(E79="FUTURE",VLOOKUP(MID(I79,2,2),[1]Futures!$A$2:$B$12,2),1),"")</f>
        <v>24.68</v>
      </c>
      <c r="S79" s="13" t="str">
        <f>IF(AND(H79="TO CLOSE",P79=0),-G79*(M79-R78)*IF(E79="FUTURE",VLOOKUP(MID(I79,2,2),[1]Futures!$A$2:$B$12,2),1),"")</f>
        <v/>
      </c>
    </row>
    <row r="80" spans="1:19" x14ac:dyDescent="0.2">
      <c r="A80">
        <f t="shared" si="3"/>
        <v>22</v>
      </c>
      <c r="B80" s="3">
        <v>43929</v>
      </c>
      <c r="C80" s="3" t="str">
        <f t="shared" si="4"/>
        <v>Wednesday</v>
      </c>
      <c r="D80" s="2">
        <v>0.44545138888888891</v>
      </c>
      <c r="E80" t="s">
        <v>14</v>
      </c>
      <c r="F80" t="s">
        <v>19</v>
      </c>
      <c r="G80">
        <v>1</v>
      </c>
      <c r="H80" t="s">
        <v>16</v>
      </c>
      <c r="I80" t="s">
        <v>36</v>
      </c>
      <c r="J80" s="1">
        <v>43971</v>
      </c>
      <c r="L80" t="s">
        <v>14</v>
      </c>
      <c r="M80">
        <v>24.46</v>
      </c>
      <c r="N80">
        <v>24.46</v>
      </c>
      <c r="O80" t="s">
        <v>24</v>
      </c>
      <c r="P80">
        <f t="shared" si="5"/>
        <v>-1</v>
      </c>
      <c r="Q80" s="11">
        <f>IF(P80=0,0,IFERROR(Q79+G80*M80*IF(E80="FUTURE",VLOOKUP(MID(I80,2,2),[1]Futures!$A$2:$B$12,2),1),G80*M80*IF(E80="FUTURE",VLOOKUP(MID(I80,2,2),[1]Futures!$A$2:$B$12,2),1)))</f>
        <v>-24900</v>
      </c>
      <c r="R80" s="12">
        <f>IFERROR(Q80/P80/IF(E80="FUTURE",VLOOKUP(MID(I80,2,2),[1]Futures!$A$2:$B$12,2),1),"")</f>
        <v>24.9</v>
      </c>
      <c r="S80" s="13" t="str">
        <f>IF(AND(H80="TO CLOSE",P80=0),-G80*(M80-R79)*IF(E80="FUTURE",VLOOKUP(MID(I80,2,2),[1]Futures!$A$2:$B$12,2),1),"")</f>
        <v/>
      </c>
    </row>
    <row r="81" spans="1:19" x14ac:dyDescent="0.2">
      <c r="A81">
        <f t="shared" si="3"/>
        <v>22</v>
      </c>
      <c r="B81" s="3">
        <v>43929</v>
      </c>
      <c r="C81" s="3" t="str">
        <f t="shared" si="4"/>
        <v>Wednesday</v>
      </c>
      <c r="D81" s="2">
        <v>0.44594907407407408</v>
      </c>
      <c r="E81" t="s">
        <v>14</v>
      </c>
      <c r="F81" t="s">
        <v>19</v>
      </c>
      <c r="G81">
        <v>1</v>
      </c>
      <c r="H81" t="s">
        <v>16</v>
      </c>
      <c r="I81" t="s">
        <v>36</v>
      </c>
      <c r="J81" s="1">
        <v>43971</v>
      </c>
      <c r="L81" t="s">
        <v>14</v>
      </c>
      <c r="M81">
        <v>24.38</v>
      </c>
      <c r="N81">
        <v>24.38</v>
      </c>
      <c r="O81" t="s">
        <v>18</v>
      </c>
      <c r="P81">
        <f t="shared" si="5"/>
        <v>0</v>
      </c>
      <c r="Q81" s="11">
        <f>IF(P81=0,0,IFERROR(Q80+G81*M81*IF(E81="FUTURE",VLOOKUP(MID(I81,2,2),[1]Futures!$A$2:$B$12,2),1),G81*M81*IF(E81="FUTURE",VLOOKUP(MID(I81,2,2),[1]Futures!$A$2:$B$12,2),1)))</f>
        <v>0</v>
      </c>
      <c r="R81" s="12" t="str">
        <f>IFERROR(Q81/P81/IF(E81="FUTURE",VLOOKUP(MID(I81,2,2),[1]Futures!$A$2:$B$12,2),1),"")</f>
        <v/>
      </c>
      <c r="S81" s="13">
        <f>IF(AND(H81="TO CLOSE",P81=0),-G81*(M81-R80)*IF(E81="FUTURE",VLOOKUP(MID(I81,2,2),[1]Futures!$A$2:$B$12,2),1),"")</f>
        <v>519.99999999999955</v>
      </c>
    </row>
    <row r="82" spans="1:19" x14ac:dyDescent="0.2">
      <c r="A82">
        <f t="shared" si="3"/>
        <v>23</v>
      </c>
      <c r="B82" s="3">
        <v>43929</v>
      </c>
      <c r="C82" s="3" t="str">
        <f t="shared" si="4"/>
        <v>Wednesday</v>
      </c>
      <c r="D82" s="2">
        <v>0.45694444444444443</v>
      </c>
      <c r="E82" t="s">
        <v>14</v>
      </c>
      <c r="F82" t="s">
        <v>19</v>
      </c>
      <c r="G82">
        <v>1</v>
      </c>
      <c r="H82" t="s">
        <v>20</v>
      </c>
      <c r="I82" t="s">
        <v>36</v>
      </c>
      <c r="J82" s="1">
        <v>43971</v>
      </c>
      <c r="L82" t="s">
        <v>14</v>
      </c>
      <c r="M82">
        <v>24.3</v>
      </c>
      <c r="N82">
        <v>24.3</v>
      </c>
      <c r="O82" t="s">
        <v>21</v>
      </c>
      <c r="P82">
        <f t="shared" si="5"/>
        <v>1</v>
      </c>
      <c r="Q82" s="11">
        <f>IF(P82=0,0,IFERROR(Q81+G82*M82*IF(E82="FUTURE",VLOOKUP(MID(I82,2,2),[1]Futures!$A$2:$B$12,2),1),G82*M82*IF(E82="FUTURE",VLOOKUP(MID(I82,2,2),[1]Futures!$A$2:$B$12,2),1)))</f>
        <v>24300</v>
      </c>
      <c r="R82" s="12">
        <f>IFERROR(Q82/P82/IF(E82="FUTURE",VLOOKUP(MID(I82,2,2),[1]Futures!$A$2:$B$12,2),1),"")</f>
        <v>24.3</v>
      </c>
      <c r="S82" s="13" t="str">
        <f>IF(AND(H82="TO CLOSE",P82=0),-G82*(M82-R81)*IF(E82="FUTURE",VLOOKUP(MID(I82,2,2),[1]Futures!$A$2:$B$12,2),1),"")</f>
        <v/>
      </c>
    </row>
    <row r="83" spans="1:19" x14ac:dyDescent="0.2">
      <c r="A83">
        <f t="shared" si="3"/>
        <v>23</v>
      </c>
      <c r="B83" s="3">
        <v>43929</v>
      </c>
      <c r="C83" s="3" t="str">
        <f t="shared" si="4"/>
        <v>Wednesday</v>
      </c>
      <c r="D83" s="2">
        <v>0.45809027777777778</v>
      </c>
      <c r="E83" t="s">
        <v>14</v>
      </c>
      <c r="F83" t="s">
        <v>15</v>
      </c>
      <c r="G83">
        <v>-1</v>
      </c>
      <c r="H83" t="s">
        <v>16</v>
      </c>
      <c r="I83" t="s">
        <v>36</v>
      </c>
      <c r="J83" s="1">
        <v>43971</v>
      </c>
      <c r="L83" t="s">
        <v>14</v>
      </c>
      <c r="M83">
        <v>24.42</v>
      </c>
      <c r="N83">
        <v>24.42</v>
      </c>
      <c r="O83" t="s">
        <v>21</v>
      </c>
      <c r="P83">
        <f t="shared" si="5"/>
        <v>0</v>
      </c>
      <c r="Q83" s="11">
        <f>IF(P83=0,0,IFERROR(Q82+G83*M83*IF(E83="FUTURE",VLOOKUP(MID(I83,2,2),[1]Futures!$A$2:$B$12,2),1),G83*M83*IF(E83="FUTURE",VLOOKUP(MID(I83,2,2),[1]Futures!$A$2:$B$12,2),1)))</f>
        <v>0</v>
      </c>
      <c r="R83" s="12" t="str">
        <f>IFERROR(Q83/P83/IF(E83="FUTURE",VLOOKUP(MID(I83,2,2),[1]Futures!$A$2:$B$12,2),1),"")</f>
        <v/>
      </c>
      <c r="S83" s="13">
        <f>IF(AND(H83="TO CLOSE",P83=0),-G83*(M83-R82)*IF(E83="FUTURE",VLOOKUP(MID(I83,2,2),[1]Futures!$A$2:$B$12,2),1),"")</f>
        <v>120.00000000000099</v>
      </c>
    </row>
    <row r="84" spans="1:19" x14ac:dyDescent="0.2">
      <c r="A84">
        <f t="shared" si="3"/>
        <v>24</v>
      </c>
      <c r="B84" s="3">
        <v>43929</v>
      </c>
      <c r="C84" s="3" t="str">
        <f t="shared" si="4"/>
        <v>Wednesday</v>
      </c>
      <c r="D84" s="2">
        <v>0.46587962962962964</v>
      </c>
      <c r="E84" t="s">
        <v>14</v>
      </c>
      <c r="F84" t="s">
        <v>19</v>
      </c>
      <c r="G84">
        <v>1</v>
      </c>
      <c r="H84" t="s">
        <v>20</v>
      </c>
      <c r="I84" t="s">
        <v>36</v>
      </c>
      <c r="J84" s="1">
        <v>43971</v>
      </c>
      <c r="L84" t="s">
        <v>14</v>
      </c>
      <c r="M84">
        <v>24.61</v>
      </c>
      <c r="N84">
        <v>24.61</v>
      </c>
      <c r="O84" t="s">
        <v>21</v>
      </c>
      <c r="P84">
        <f t="shared" si="5"/>
        <v>1</v>
      </c>
      <c r="Q84" s="11">
        <f>IF(P84=0,0,IFERROR(Q83+G84*M84*IF(E84="FUTURE",VLOOKUP(MID(I84,2,2),[1]Futures!$A$2:$B$12,2),1),G84*M84*IF(E84="FUTURE",VLOOKUP(MID(I84,2,2),[1]Futures!$A$2:$B$12,2),1)))</f>
        <v>24610</v>
      </c>
      <c r="R84" s="12">
        <f>IFERROR(Q84/P84/IF(E84="FUTURE",VLOOKUP(MID(I84,2,2),[1]Futures!$A$2:$B$12,2),1),"")</f>
        <v>24.61</v>
      </c>
      <c r="S84" s="13" t="str">
        <f>IF(AND(H84="TO CLOSE",P84=0),-G84*(M84-R83)*IF(E84="FUTURE",VLOOKUP(MID(I84,2,2),[1]Futures!$A$2:$B$12,2),1),"")</f>
        <v/>
      </c>
    </row>
    <row r="85" spans="1:19" x14ac:dyDescent="0.2">
      <c r="A85">
        <f t="shared" si="3"/>
        <v>24</v>
      </c>
      <c r="B85" s="3">
        <v>43929</v>
      </c>
      <c r="C85" s="3" t="str">
        <f t="shared" si="4"/>
        <v>Wednesday</v>
      </c>
      <c r="D85" s="2">
        <v>0.46657407407407409</v>
      </c>
      <c r="E85" t="s">
        <v>14</v>
      </c>
      <c r="F85" t="s">
        <v>15</v>
      </c>
      <c r="G85">
        <v>-1</v>
      </c>
      <c r="H85" t="s">
        <v>16</v>
      </c>
      <c r="I85" t="s">
        <v>36</v>
      </c>
      <c r="J85" s="1">
        <v>43971</v>
      </c>
      <c r="L85" t="s">
        <v>14</v>
      </c>
      <c r="M85">
        <v>24.73</v>
      </c>
      <c r="N85">
        <v>24.73</v>
      </c>
      <c r="O85" t="s">
        <v>21</v>
      </c>
      <c r="P85">
        <f t="shared" si="5"/>
        <v>0</v>
      </c>
      <c r="Q85" s="11">
        <f>IF(P85=0,0,IFERROR(Q84+G85*M85*IF(E85="FUTURE",VLOOKUP(MID(I85,2,2),[1]Futures!$A$2:$B$12,2),1),G85*M85*IF(E85="FUTURE",VLOOKUP(MID(I85,2,2),[1]Futures!$A$2:$B$12,2),1)))</f>
        <v>0</v>
      </c>
      <c r="R85" s="12" t="str">
        <f>IFERROR(Q85/P85/IF(E85="FUTURE",VLOOKUP(MID(I85,2,2),[1]Futures!$A$2:$B$12,2),1),"")</f>
        <v/>
      </c>
      <c r="S85" s="13">
        <f>IF(AND(H85="TO CLOSE",P85=0),-G85*(M85-R84)*IF(E85="FUTURE",VLOOKUP(MID(I85,2,2),[1]Futures!$A$2:$B$12,2),1),"")</f>
        <v>120.00000000000099</v>
      </c>
    </row>
    <row r="86" spans="1:19" x14ac:dyDescent="0.2">
      <c r="A86">
        <f t="shared" si="3"/>
        <v>25</v>
      </c>
      <c r="B86" s="3">
        <v>43929</v>
      </c>
      <c r="C86" s="3" t="str">
        <f t="shared" si="4"/>
        <v>Wednesday</v>
      </c>
      <c r="D86" s="2">
        <v>0.47657407407407404</v>
      </c>
      <c r="E86" t="s">
        <v>14</v>
      </c>
      <c r="F86" t="s">
        <v>15</v>
      </c>
      <c r="G86">
        <v>-2</v>
      </c>
      <c r="H86" t="s">
        <v>20</v>
      </c>
      <c r="I86" t="s">
        <v>73</v>
      </c>
      <c r="J86" s="1">
        <v>44002</v>
      </c>
      <c r="L86" t="s">
        <v>14</v>
      </c>
      <c r="M86">
        <v>2703.25</v>
      </c>
      <c r="N86">
        <v>2703.25</v>
      </c>
      <c r="O86" t="s">
        <v>21</v>
      </c>
      <c r="P86">
        <f t="shared" si="5"/>
        <v>-2</v>
      </c>
      <c r="Q86" s="11">
        <f>IF(P86=0,0,IFERROR(Q85+G86*M86*IF(E86="FUTURE",VLOOKUP(MID(I86,2,2),[1]Futures!$A$2:$B$12,2),1),G86*M86*IF(E86="FUTURE",VLOOKUP(MID(I86,2,2),[1]Futures!$A$2:$B$12,2),1)))</f>
        <v>-27032.5</v>
      </c>
      <c r="R86" s="12">
        <f>IFERROR(Q86/P86/IF(E86="FUTURE",VLOOKUP(MID(I86,2,2),[1]Futures!$A$2:$B$12,2),1),"")</f>
        <v>2703.25</v>
      </c>
      <c r="S86" s="13" t="str">
        <f>IF(AND(H86="TO CLOSE",P86=0),-G86*(M86-R85)*IF(E86="FUTURE",VLOOKUP(MID(I86,2,2),[1]Futures!$A$2:$B$12,2),1),"")</f>
        <v/>
      </c>
    </row>
    <row r="87" spans="1:19" x14ac:dyDescent="0.2">
      <c r="A87">
        <f t="shared" si="3"/>
        <v>25</v>
      </c>
      <c r="B87" s="3">
        <v>43929</v>
      </c>
      <c r="C87" s="3" t="str">
        <f t="shared" si="4"/>
        <v>Wednesday</v>
      </c>
      <c r="D87" s="2">
        <v>0.47721064814814818</v>
      </c>
      <c r="E87" t="s">
        <v>14</v>
      </c>
      <c r="F87" t="s">
        <v>15</v>
      </c>
      <c r="G87">
        <v>-1</v>
      </c>
      <c r="H87" t="s">
        <v>20</v>
      </c>
      <c r="I87" t="s">
        <v>73</v>
      </c>
      <c r="J87" s="1">
        <v>44002</v>
      </c>
      <c r="L87" t="s">
        <v>14</v>
      </c>
      <c r="M87">
        <v>2705.5</v>
      </c>
      <c r="N87">
        <v>2705.5</v>
      </c>
      <c r="O87" t="s">
        <v>21</v>
      </c>
      <c r="P87">
        <f t="shared" si="5"/>
        <v>-3</v>
      </c>
      <c r="Q87" s="11">
        <f>IF(P87=0,0,IFERROR(Q86+G87*M87*IF(E87="FUTURE",VLOOKUP(MID(I87,2,2),[1]Futures!$A$2:$B$12,2),1),G87*M87*IF(E87="FUTURE",VLOOKUP(MID(I87,2,2),[1]Futures!$A$2:$B$12,2),1)))</f>
        <v>-40560</v>
      </c>
      <c r="R87" s="12">
        <f>IFERROR(Q87/P87/IF(E87="FUTURE",VLOOKUP(MID(I87,2,2),[1]Futures!$A$2:$B$12,2),1),"")</f>
        <v>2704</v>
      </c>
      <c r="S87" s="13" t="str">
        <f>IF(AND(H87="TO CLOSE",P87=0),-G87*(M87-R86)*IF(E87="FUTURE",VLOOKUP(MID(I87,2,2),[1]Futures!$A$2:$B$12,2),1),"")</f>
        <v/>
      </c>
    </row>
    <row r="88" spans="1:19" x14ac:dyDescent="0.2">
      <c r="A88">
        <f t="shared" si="3"/>
        <v>25</v>
      </c>
      <c r="B88" s="3">
        <v>43929</v>
      </c>
      <c r="C88" s="3" t="str">
        <f t="shared" si="4"/>
        <v>Wednesday</v>
      </c>
      <c r="D88" s="2">
        <v>0.48190972222222223</v>
      </c>
      <c r="E88" t="s">
        <v>14</v>
      </c>
      <c r="F88" t="s">
        <v>15</v>
      </c>
      <c r="G88">
        <v>-1</v>
      </c>
      <c r="H88" t="s">
        <v>20</v>
      </c>
      <c r="I88" t="s">
        <v>73</v>
      </c>
      <c r="J88" s="1">
        <v>44002</v>
      </c>
      <c r="L88" t="s">
        <v>14</v>
      </c>
      <c r="M88">
        <v>2706</v>
      </c>
      <c r="N88">
        <v>2706</v>
      </c>
      <c r="O88" t="s">
        <v>21</v>
      </c>
      <c r="P88">
        <f t="shared" si="5"/>
        <v>-4</v>
      </c>
      <c r="Q88" s="11">
        <f>IF(P88=0,0,IFERROR(Q87+G88*M88*IF(E88="FUTURE",VLOOKUP(MID(I88,2,2),[1]Futures!$A$2:$B$12,2),1),G88*M88*IF(E88="FUTURE",VLOOKUP(MID(I88,2,2),[1]Futures!$A$2:$B$12,2),1)))</f>
        <v>-54090</v>
      </c>
      <c r="R88" s="12">
        <f>IFERROR(Q88/P88/IF(E88="FUTURE",VLOOKUP(MID(I88,2,2),[1]Futures!$A$2:$B$12,2),1),"")</f>
        <v>2704.5</v>
      </c>
      <c r="S88" s="13" t="str">
        <f>IF(AND(H88="TO CLOSE",P88=0),-G88*(M88-R87)*IF(E88="FUTURE",VLOOKUP(MID(I88,2,2),[1]Futures!$A$2:$B$12,2),1),"")</f>
        <v/>
      </c>
    </row>
    <row r="89" spans="1:19" x14ac:dyDescent="0.2">
      <c r="A89">
        <f t="shared" si="3"/>
        <v>25</v>
      </c>
      <c r="B89" s="3">
        <v>43929</v>
      </c>
      <c r="C89" s="3" t="str">
        <f t="shared" si="4"/>
        <v>Wednesday</v>
      </c>
      <c r="D89" s="2">
        <v>0.48293981481481479</v>
      </c>
      <c r="E89" t="s">
        <v>14</v>
      </c>
      <c r="F89" t="s">
        <v>15</v>
      </c>
      <c r="G89">
        <v>-2</v>
      </c>
      <c r="H89" t="s">
        <v>20</v>
      </c>
      <c r="I89" t="s">
        <v>73</v>
      </c>
      <c r="J89" s="1">
        <v>44002</v>
      </c>
      <c r="L89" t="s">
        <v>14</v>
      </c>
      <c r="M89">
        <v>2708.5</v>
      </c>
      <c r="N89">
        <v>2708.5</v>
      </c>
      <c r="O89" t="s">
        <v>21</v>
      </c>
      <c r="P89">
        <f t="shared" si="5"/>
        <v>-6</v>
      </c>
      <c r="Q89" s="11">
        <f>IF(P89=0,0,IFERROR(Q88+G89*M89*IF(E89="FUTURE",VLOOKUP(MID(I89,2,2),[1]Futures!$A$2:$B$12,2),1),G89*M89*IF(E89="FUTURE",VLOOKUP(MID(I89,2,2),[1]Futures!$A$2:$B$12,2),1)))</f>
        <v>-81175</v>
      </c>
      <c r="R89" s="12">
        <f>IFERROR(Q89/P89/IF(E89="FUTURE",VLOOKUP(MID(I89,2,2),[1]Futures!$A$2:$B$12,2),1),"")</f>
        <v>2705.833333333333</v>
      </c>
      <c r="S89" s="13" t="str">
        <f>IF(AND(H89="TO CLOSE",P89=0),-G89*(M89-R88)*IF(E89="FUTURE",VLOOKUP(MID(I89,2,2),[1]Futures!$A$2:$B$12,2),1),"")</f>
        <v/>
      </c>
    </row>
    <row r="90" spans="1:19" x14ac:dyDescent="0.2">
      <c r="A90">
        <f t="shared" si="3"/>
        <v>25</v>
      </c>
      <c r="B90" s="3">
        <v>43929</v>
      </c>
      <c r="C90" s="3" t="str">
        <f t="shared" si="4"/>
        <v>Wednesday</v>
      </c>
      <c r="D90" s="2">
        <v>0.49179398148148151</v>
      </c>
      <c r="E90" t="s">
        <v>14</v>
      </c>
      <c r="F90" t="s">
        <v>15</v>
      </c>
      <c r="G90">
        <v>-1</v>
      </c>
      <c r="H90" t="s">
        <v>20</v>
      </c>
      <c r="I90" t="s">
        <v>73</v>
      </c>
      <c r="J90" s="1">
        <v>44002</v>
      </c>
      <c r="L90" t="s">
        <v>14</v>
      </c>
      <c r="M90">
        <v>2713.5</v>
      </c>
      <c r="N90">
        <v>2713.5</v>
      </c>
      <c r="O90" t="s">
        <v>21</v>
      </c>
      <c r="P90">
        <f t="shared" si="5"/>
        <v>-7</v>
      </c>
      <c r="Q90" s="11">
        <f>IF(P90=0,0,IFERROR(Q89+G90*M90*IF(E90="FUTURE",VLOOKUP(MID(I90,2,2),[1]Futures!$A$2:$B$12,2),1),G90*M90*IF(E90="FUTURE",VLOOKUP(MID(I90,2,2),[1]Futures!$A$2:$B$12,2),1)))</f>
        <v>-94742.5</v>
      </c>
      <c r="R90" s="12">
        <f>IFERROR(Q90/P90/IF(E90="FUTURE",VLOOKUP(MID(I90,2,2),[1]Futures!$A$2:$B$12,2),1),"")</f>
        <v>2706.9285714285716</v>
      </c>
      <c r="S90" s="13" t="str">
        <f>IF(AND(H90="TO CLOSE",P90=0),-G90*(M90-R89)*IF(E90="FUTURE",VLOOKUP(MID(I90,2,2),[1]Futures!$A$2:$B$12,2),1),"")</f>
        <v/>
      </c>
    </row>
    <row r="91" spans="1:19" x14ac:dyDescent="0.2">
      <c r="A91">
        <f t="shared" si="3"/>
        <v>25</v>
      </c>
      <c r="B91" s="3">
        <v>43929</v>
      </c>
      <c r="C91" s="3" t="str">
        <f t="shared" si="4"/>
        <v>Wednesday</v>
      </c>
      <c r="D91" s="2">
        <v>0.50749999999999995</v>
      </c>
      <c r="E91" t="s">
        <v>14</v>
      </c>
      <c r="F91" t="s">
        <v>19</v>
      </c>
      <c r="G91">
        <v>2</v>
      </c>
      <c r="H91" t="s">
        <v>16</v>
      </c>
      <c r="I91" t="s">
        <v>73</v>
      </c>
      <c r="J91" s="1">
        <v>44002</v>
      </c>
      <c r="L91" t="s">
        <v>14</v>
      </c>
      <c r="M91">
        <v>2701.75</v>
      </c>
      <c r="N91">
        <v>2701.75</v>
      </c>
      <c r="O91" t="s">
        <v>21</v>
      </c>
      <c r="P91">
        <f t="shared" si="5"/>
        <v>-5</v>
      </c>
      <c r="Q91" s="11">
        <f>IF(P91=0,0,IFERROR(Q90+G91*M91*IF(E91="FUTURE",VLOOKUP(MID(I91,2,2),[1]Futures!$A$2:$B$12,2),1),G91*M91*IF(E91="FUTURE",VLOOKUP(MID(I91,2,2),[1]Futures!$A$2:$B$12,2),1)))</f>
        <v>-67725</v>
      </c>
      <c r="R91" s="12">
        <f>IFERROR(Q91/P91/IF(E91="FUTURE",VLOOKUP(MID(I91,2,2),[1]Futures!$A$2:$B$12,2),1),"")</f>
        <v>2709</v>
      </c>
      <c r="S91" s="13" t="str">
        <f>IF(AND(H91="TO CLOSE",P91=0),-G91*(M91-R90)*IF(E91="FUTURE",VLOOKUP(MID(I91,2,2),[1]Futures!$A$2:$B$12,2),1),"")</f>
        <v/>
      </c>
    </row>
    <row r="92" spans="1:19" x14ac:dyDescent="0.2">
      <c r="A92">
        <f t="shared" si="3"/>
        <v>25</v>
      </c>
      <c r="B92" s="3">
        <v>43929</v>
      </c>
      <c r="C92" s="3" t="str">
        <f t="shared" si="4"/>
        <v>Wednesday</v>
      </c>
      <c r="D92" s="2">
        <v>0.5172106481481481</v>
      </c>
      <c r="E92" t="s">
        <v>14</v>
      </c>
      <c r="F92" t="s">
        <v>15</v>
      </c>
      <c r="G92">
        <v>-1</v>
      </c>
      <c r="H92" t="s">
        <v>20</v>
      </c>
      <c r="I92" t="s">
        <v>73</v>
      </c>
      <c r="J92" s="1">
        <v>44002</v>
      </c>
      <c r="L92" t="s">
        <v>14</v>
      </c>
      <c r="M92">
        <v>2713.75</v>
      </c>
      <c r="N92">
        <v>2713.75</v>
      </c>
      <c r="O92" t="s">
        <v>21</v>
      </c>
      <c r="P92">
        <f t="shared" si="5"/>
        <v>-6</v>
      </c>
      <c r="Q92" s="11">
        <f>IF(P92=0,0,IFERROR(Q91+G92*M92*IF(E92="FUTURE",VLOOKUP(MID(I92,2,2),[1]Futures!$A$2:$B$12,2),1),G92*M92*IF(E92="FUTURE",VLOOKUP(MID(I92,2,2),[1]Futures!$A$2:$B$12,2),1)))</f>
        <v>-81293.75</v>
      </c>
      <c r="R92" s="12">
        <f>IFERROR(Q92/P92/IF(E92="FUTURE",VLOOKUP(MID(I92,2,2),[1]Futures!$A$2:$B$12,2),1),"")</f>
        <v>2709.791666666667</v>
      </c>
      <c r="S92" s="13" t="str">
        <f>IF(AND(H92="TO CLOSE",P92=0),-G92*(M92-R91)*IF(E92="FUTURE",VLOOKUP(MID(I92,2,2),[1]Futures!$A$2:$B$12,2),1),"")</f>
        <v/>
      </c>
    </row>
    <row r="93" spans="1:19" x14ac:dyDescent="0.2">
      <c r="A93">
        <f t="shared" si="3"/>
        <v>25</v>
      </c>
      <c r="B93" s="3">
        <v>43929</v>
      </c>
      <c r="C93" s="3" t="str">
        <f t="shared" si="4"/>
        <v>Wednesday</v>
      </c>
      <c r="D93" s="2">
        <v>0.52523148148148147</v>
      </c>
      <c r="E93" t="s">
        <v>14</v>
      </c>
      <c r="F93" t="s">
        <v>19</v>
      </c>
      <c r="G93">
        <v>2</v>
      </c>
      <c r="H93" t="s">
        <v>16</v>
      </c>
      <c r="I93" t="s">
        <v>73</v>
      </c>
      <c r="J93" s="1">
        <v>44002</v>
      </c>
      <c r="L93" t="s">
        <v>14</v>
      </c>
      <c r="M93">
        <v>2706.25</v>
      </c>
      <c r="N93">
        <v>2706.25</v>
      </c>
      <c r="O93" t="s">
        <v>24</v>
      </c>
      <c r="P93">
        <f t="shared" si="5"/>
        <v>-4</v>
      </c>
      <c r="Q93" s="11">
        <f>IF(P93=0,0,IFERROR(Q92+G93*M93*IF(E93="FUTURE",VLOOKUP(MID(I93,2,2),[1]Futures!$A$2:$B$12,2),1),G93*M93*IF(E93="FUTURE",VLOOKUP(MID(I93,2,2),[1]Futures!$A$2:$B$12,2),1)))</f>
        <v>-54231.25</v>
      </c>
      <c r="R93" s="12">
        <f>IFERROR(Q93/P93/IF(E93="FUTURE",VLOOKUP(MID(I93,2,2),[1]Futures!$A$2:$B$12,2),1),"")</f>
        <v>2711.5625</v>
      </c>
      <c r="S93" s="13" t="str">
        <f>IF(AND(H93="TO CLOSE",P93=0),-G93*(M93-R92)*IF(E93="FUTURE",VLOOKUP(MID(I93,2,2),[1]Futures!$A$2:$B$12,2),1),"")</f>
        <v/>
      </c>
    </row>
    <row r="94" spans="1:19" x14ac:dyDescent="0.2">
      <c r="A94">
        <f t="shared" si="3"/>
        <v>25</v>
      </c>
      <c r="B94" s="3">
        <v>43929</v>
      </c>
      <c r="C94" s="3" t="str">
        <f t="shared" si="4"/>
        <v>Wednesday</v>
      </c>
      <c r="D94" s="2">
        <v>0.53478009259259263</v>
      </c>
      <c r="E94" t="s">
        <v>14</v>
      </c>
      <c r="F94" t="s">
        <v>15</v>
      </c>
      <c r="G94">
        <v>-1</v>
      </c>
      <c r="H94" t="s">
        <v>20</v>
      </c>
      <c r="I94" t="s">
        <v>73</v>
      </c>
      <c r="J94" s="1">
        <v>44002</v>
      </c>
      <c r="L94" t="s">
        <v>14</v>
      </c>
      <c r="M94">
        <v>2717.5</v>
      </c>
      <c r="N94">
        <v>2717.5</v>
      </c>
      <c r="O94" t="s">
        <v>21</v>
      </c>
      <c r="P94">
        <f t="shared" si="5"/>
        <v>-5</v>
      </c>
      <c r="Q94" s="11">
        <f>IF(P94=0,0,IFERROR(Q93+G94*M94*IF(E94="FUTURE",VLOOKUP(MID(I94,2,2),[1]Futures!$A$2:$B$12,2),1),G94*M94*IF(E94="FUTURE",VLOOKUP(MID(I94,2,2),[1]Futures!$A$2:$B$12,2),1)))</f>
        <v>-67818.75</v>
      </c>
      <c r="R94" s="12">
        <f>IFERROR(Q94/P94/IF(E94="FUTURE",VLOOKUP(MID(I94,2,2),[1]Futures!$A$2:$B$12,2),1),"")</f>
        <v>2712.75</v>
      </c>
      <c r="S94" s="13" t="str">
        <f>IF(AND(H94="TO CLOSE",P94=0),-G94*(M94-R93)*IF(E94="FUTURE",VLOOKUP(MID(I94,2,2),[1]Futures!$A$2:$B$12,2),1),"")</f>
        <v/>
      </c>
    </row>
    <row r="95" spans="1:19" x14ac:dyDescent="0.2">
      <c r="A95">
        <f t="shared" si="3"/>
        <v>25</v>
      </c>
      <c r="B95" s="3">
        <v>43929</v>
      </c>
      <c r="C95" s="3" t="str">
        <f t="shared" si="4"/>
        <v>Wednesday</v>
      </c>
      <c r="D95" s="2">
        <v>0.56694444444444447</v>
      </c>
      <c r="E95" t="s">
        <v>14</v>
      </c>
      <c r="F95" t="s">
        <v>19</v>
      </c>
      <c r="G95">
        <v>2</v>
      </c>
      <c r="H95" t="s">
        <v>16</v>
      </c>
      <c r="I95" t="s">
        <v>73</v>
      </c>
      <c r="J95" s="1">
        <v>44002</v>
      </c>
      <c r="L95" t="s">
        <v>14</v>
      </c>
      <c r="M95">
        <v>2702.25</v>
      </c>
      <c r="N95">
        <v>2702.25</v>
      </c>
      <c r="O95" t="s">
        <v>21</v>
      </c>
      <c r="P95">
        <f t="shared" si="5"/>
        <v>-3</v>
      </c>
      <c r="Q95" s="11">
        <f>IF(P95=0,0,IFERROR(Q94+G95*M95*IF(E95="FUTURE",VLOOKUP(MID(I95,2,2),[1]Futures!$A$2:$B$12,2),1),G95*M95*IF(E95="FUTURE",VLOOKUP(MID(I95,2,2),[1]Futures!$A$2:$B$12,2),1)))</f>
        <v>-40796.25</v>
      </c>
      <c r="R95" s="12">
        <f>IFERROR(Q95/P95/IF(E95="FUTURE",VLOOKUP(MID(I95,2,2),[1]Futures!$A$2:$B$12,2),1),"")</f>
        <v>2719.75</v>
      </c>
      <c r="S95" s="13" t="str">
        <f>IF(AND(H95="TO CLOSE",P95=0),-G95*(M95-R94)*IF(E95="FUTURE",VLOOKUP(MID(I95,2,2),[1]Futures!$A$2:$B$12,2),1),"")</f>
        <v/>
      </c>
    </row>
    <row r="96" spans="1:19" x14ac:dyDescent="0.2">
      <c r="A96">
        <f t="shared" si="3"/>
        <v>25</v>
      </c>
      <c r="B96" s="3">
        <v>43929</v>
      </c>
      <c r="C96" s="3" t="str">
        <f t="shared" si="4"/>
        <v>Wednesday</v>
      </c>
      <c r="D96" s="2">
        <v>0.57145833333333329</v>
      </c>
      <c r="E96" t="s">
        <v>14</v>
      </c>
      <c r="F96" t="s">
        <v>19</v>
      </c>
      <c r="G96">
        <v>1</v>
      </c>
      <c r="H96" t="s">
        <v>16</v>
      </c>
      <c r="I96" t="s">
        <v>73</v>
      </c>
      <c r="J96" s="1">
        <v>44002</v>
      </c>
      <c r="L96" t="s">
        <v>14</v>
      </c>
      <c r="M96">
        <v>2703</v>
      </c>
      <c r="N96">
        <v>2703</v>
      </c>
      <c r="O96" t="s">
        <v>21</v>
      </c>
      <c r="P96">
        <f t="shared" si="5"/>
        <v>-2</v>
      </c>
      <c r="Q96" s="11">
        <f>IF(P96=0,0,IFERROR(Q95+G96*M96*IF(E96="FUTURE",VLOOKUP(MID(I96,2,2),[1]Futures!$A$2:$B$12,2),1),G96*M96*IF(E96="FUTURE",VLOOKUP(MID(I96,2,2),[1]Futures!$A$2:$B$12,2),1)))</f>
        <v>-27281.25</v>
      </c>
      <c r="R96" s="12">
        <f>IFERROR(Q96/P96/IF(E96="FUTURE",VLOOKUP(MID(I96,2,2),[1]Futures!$A$2:$B$12,2),1),"")</f>
        <v>2728.125</v>
      </c>
      <c r="S96" s="13" t="str">
        <f>IF(AND(H96="TO CLOSE",P96=0),-G96*(M96-R95)*IF(E96="FUTURE",VLOOKUP(MID(I96,2,2),[1]Futures!$A$2:$B$12,2),1),"")</f>
        <v/>
      </c>
    </row>
    <row r="97" spans="1:19" x14ac:dyDescent="0.2">
      <c r="A97">
        <f t="shared" si="3"/>
        <v>25</v>
      </c>
      <c r="B97" s="3">
        <v>43929</v>
      </c>
      <c r="C97" s="3" t="str">
        <f t="shared" si="4"/>
        <v>Wednesday</v>
      </c>
      <c r="D97" s="2">
        <v>0.5725810185185185</v>
      </c>
      <c r="E97" t="s">
        <v>14</v>
      </c>
      <c r="F97" t="s">
        <v>19</v>
      </c>
      <c r="G97">
        <v>1</v>
      </c>
      <c r="H97" t="s">
        <v>16</v>
      </c>
      <c r="I97" t="s">
        <v>73</v>
      </c>
      <c r="J97" s="1">
        <v>44002</v>
      </c>
      <c r="L97" t="s">
        <v>14</v>
      </c>
      <c r="M97">
        <v>2701.5</v>
      </c>
      <c r="N97">
        <v>2701.5</v>
      </c>
      <c r="O97" t="s">
        <v>24</v>
      </c>
      <c r="P97">
        <f t="shared" si="5"/>
        <v>-1</v>
      </c>
      <c r="Q97" s="11">
        <f>IF(P97=0,0,IFERROR(Q96+G97*M97*IF(E97="FUTURE",VLOOKUP(MID(I97,2,2),[1]Futures!$A$2:$B$12,2),1),G97*M97*IF(E97="FUTURE",VLOOKUP(MID(I97,2,2),[1]Futures!$A$2:$B$12,2),1)))</f>
        <v>-13773.75</v>
      </c>
      <c r="R97" s="12">
        <f>IFERROR(Q97/P97/IF(E97="FUTURE",VLOOKUP(MID(I97,2,2),[1]Futures!$A$2:$B$12,2),1),"")</f>
        <v>2754.75</v>
      </c>
      <c r="S97" s="13" t="str">
        <f>IF(AND(H97="TO CLOSE",P97=0),-G97*(M97-R96)*IF(E97="FUTURE",VLOOKUP(MID(I97,2,2),[1]Futures!$A$2:$B$12,2),1),"")</f>
        <v/>
      </c>
    </row>
    <row r="98" spans="1:19" x14ac:dyDescent="0.2">
      <c r="A98">
        <f t="shared" si="3"/>
        <v>25</v>
      </c>
      <c r="B98" s="3">
        <v>43929</v>
      </c>
      <c r="C98" s="3" t="str">
        <f t="shared" si="4"/>
        <v>Wednesday</v>
      </c>
      <c r="D98" s="2">
        <v>0.57730324074074069</v>
      </c>
      <c r="E98" t="s">
        <v>14</v>
      </c>
      <c r="F98" t="s">
        <v>19</v>
      </c>
      <c r="G98">
        <v>1</v>
      </c>
      <c r="H98" t="s">
        <v>16</v>
      </c>
      <c r="I98" t="s">
        <v>73</v>
      </c>
      <c r="J98" s="1">
        <v>44002</v>
      </c>
      <c r="L98" t="s">
        <v>14</v>
      </c>
      <c r="M98">
        <v>2705.75</v>
      </c>
      <c r="N98">
        <v>2705.75</v>
      </c>
      <c r="O98" t="s">
        <v>21</v>
      </c>
      <c r="P98">
        <f t="shared" si="5"/>
        <v>0</v>
      </c>
      <c r="Q98" s="11">
        <f>IF(P98=0,0,IFERROR(Q97+G98*M98*IF(E98="FUTURE",VLOOKUP(MID(I98,2,2),[1]Futures!$A$2:$B$12,2),1),G98*M98*IF(E98="FUTURE",VLOOKUP(MID(I98,2,2),[1]Futures!$A$2:$B$12,2),1)))</f>
        <v>0</v>
      </c>
      <c r="R98" s="12" t="str">
        <f>IFERROR(Q98/P98/IF(E98="FUTURE",VLOOKUP(MID(I98,2,2),[1]Futures!$A$2:$B$12,2),1),"")</f>
        <v/>
      </c>
      <c r="S98" s="13">
        <f>IF(AND(H98="TO CLOSE",P98=0),-G98*(M98-R97)*IF(E98="FUTURE",VLOOKUP(MID(I98,2,2),[1]Futures!$A$2:$B$12,2),1),"")</f>
        <v>245</v>
      </c>
    </row>
    <row r="99" spans="1:19" x14ac:dyDescent="0.2">
      <c r="A99">
        <f t="shared" si="3"/>
        <v>26</v>
      </c>
      <c r="B99" s="3">
        <v>43929</v>
      </c>
      <c r="C99" s="3" t="str">
        <f t="shared" si="4"/>
        <v>Wednesday</v>
      </c>
      <c r="D99" s="2">
        <v>0.41335648148148146</v>
      </c>
      <c r="E99" t="s">
        <v>22</v>
      </c>
      <c r="F99" t="s">
        <v>19</v>
      </c>
      <c r="G99">
        <v>74</v>
      </c>
      <c r="H99" t="s">
        <v>20</v>
      </c>
      <c r="I99" t="s">
        <v>23</v>
      </c>
      <c r="L99" t="s">
        <v>22</v>
      </c>
      <c r="M99">
        <v>43.33</v>
      </c>
      <c r="N99">
        <v>43.33</v>
      </c>
      <c r="O99" t="s">
        <v>21</v>
      </c>
      <c r="P99">
        <f t="shared" si="5"/>
        <v>74</v>
      </c>
      <c r="Q99" s="11">
        <f>IF(P99=0,0,IFERROR(Q98+G99*M99*IF(E99="FUTURE",VLOOKUP(MID(I99,2,2),[1]Futures!$A$2:$B$12,2),1),G99*M99*IF(E99="FUTURE",VLOOKUP(MID(I99,2,2),[1]Futures!$A$2:$B$12,2),1)))</f>
        <v>3206.42</v>
      </c>
      <c r="R99" s="12">
        <f>IFERROR(Q99/P99/IF(E99="FUTURE",VLOOKUP(MID(I99,2,2),[1]Futures!$A$2:$B$12,2),1),"")</f>
        <v>43.33</v>
      </c>
      <c r="S99" s="13" t="str">
        <f>IF(AND(H99="TO CLOSE",P99=0),-G99*(M99-R98)*IF(E99="FUTURE",VLOOKUP(MID(I99,2,2),[1]Futures!$A$2:$B$12,2),1),"")</f>
        <v/>
      </c>
    </row>
    <row r="100" spans="1:19" x14ac:dyDescent="0.2">
      <c r="A100">
        <f t="shared" si="3"/>
        <v>26</v>
      </c>
      <c r="B100" s="3">
        <v>43929</v>
      </c>
      <c r="C100" s="3" t="str">
        <f t="shared" si="4"/>
        <v>Wednesday</v>
      </c>
      <c r="D100" s="2">
        <v>0.41335648148148146</v>
      </c>
      <c r="E100" t="s">
        <v>22</v>
      </c>
      <c r="F100" t="s">
        <v>19</v>
      </c>
      <c r="G100">
        <v>100</v>
      </c>
      <c r="H100" t="s">
        <v>20</v>
      </c>
      <c r="I100" t="s">
        <v>23</v>
      </c>
      <c r="L100" t="s">
        <v>22</v>
      </c>
      <c r="M100">
        <v>43.33</v>
      </c>
      <c r="N100">
        <v>43.33</v>
      </c>
      <c r="O100" t="s">
        <v>21</v>
      </c>
      <c r="P100">
        <f t="shared" si="5"/>
        <v>174</v>
      </c>
      <c r="Q100" s="11">
        <f>IF(P100=0,0,IFERROR(Q99+G100*M100*IF(E100="FUTURE",VLOOKUP(MID(I100,2,2),[1]Futures!$A$2:$B$12,2),1),G100*M100*IF(E100="FUTURE",VLOOKUP(MID(I100,2,2),[1]Futures!$A$2:$B$12,2),1)))</f>
        <v>7539.42</v>
      </c>
      <c r="R100" s="12">
        <f>IFERROR(Q100/P100/IF(E100="FUTURE",VLOOKUP(MID(I100,2,2),[1]Futures!$A$2:$B$12,2),1),"")</f>
        <v>43.33</v>
      </c>
      <c r="S100" s="13" t="str">
        <f>IF(AND(H100="TO CLOSE",P100=0),-G100*(M100-R99)*IF(E100="FUTURE",VLOOKUP(MID(I100,2,2),[1]Futures!$A$2:$B$12,2),1),"")</f>
        <v/>
      </c>
    </row>
    <row r="101" spans="1:19" x14ac:dyDescent="0.2">
      <c r="A101">
        <f t="shared" si="3"/>
        <v>26</v>
      </c>
      <c r="B101" s="3">
        <v>43929</v>
      </c>
      <c r="C101" s="3" t="str">
        <f t="shared" si="4"/>
        <v>Wednesday</v>
      </c>
      <c r="D101" s="2">
        <v>0.41335648148148146</v>
      </c>
      <c r="E101" t="s">
        <v>22</v>
      </c>
      <c r="F101" t="s">
        <v>19</v>
      </c>
      <c r="G101">
        <v>100</v>
      </c>
      <c r="H101" t="s">
        <v>20</v>
      </c>
      <c r="I101" t="s">
        <v>23</v>
      </c>
      <c r="L101" t="s">
        <v>22</v>
      </c>
      <c r="M101">
        <v>43.33</v>
      </c>
      <c r="N101">
        <v>43.33</v>
      </c>
      <c r="O101" t="s">
        <v>21</v>
      </c>
      <c r="P101">
        <f t="shared" si="5"/>
        <v>274</v>
      </c>
      <c r="Q101" s="11">
        <f>IF(P101=0,0,IFERROR(Q100+G101*M101*IF(E101="FUTURE",VLOOKUP(MID(I101,2,2),[1]Futures!$A$2:$B$12,2),1),G101*M101*IF(E101="FUTURE",VLOOKUP(MID(I101,2,2),[1]Futures!$A$2:$B$12,2),1)))</f>
        <v>11872.42</v>
      </c>
      <c r="R101" s="12">
        <f>IFERROR(Q101/P101/IF(E101="FUTURE",VLOOKUP(MID(I101,2,2),[1]Futures!$A$2:$B$12,2),1),"")</f>
        <v>43.33</v>
      </c>
      <c r="S101" s="13" t="str">
        <f>IF(AND(H101="TO CLOSE",P101=0),-G101*(M101-R100)*IF(E101="FUTURE",VLOOKUP(MID(I101,2,2),[1]Futures!$A$2:$B$12,2),1),"")</f>
        <v/>
      </c>
    </row>
    <row r="102" spans="1:19" x14ac:dyDescent="0.2">
      <c r="A102">
        <f t="shared" si="3"/>
        <v>26</v>
      </c>
      <c r="B102" s="3">
        <v>43929</v>
      </c>
      <c r="C102" s="3" t="str">
        <f t="shared" si="4"/>
        <v>Wednesday</v>
      </c>
      <c r="D102" s="2">
        <v>0.41335648148148146</v>
      </c>
      <c r="E102" t="s">
        <v>22</v>
      </c>
      <c r="F102" t="s">
        <v>19</v>
      </c>
      <c r="G102">
        <v>21</v>
      </c>
      <c r="H102" t="s">
        <v>20</v>
      </c>
      <c r="I102" t="s">
        <v>23</v>
      </c>
      <c r="L102" t="s">
        <v>22</v>
      </c>
      <c r="M102">
        <v>43.33</v>
      </c>
      <c r="N102">
        <v>43.33</v>
      </c>
      <c r="O102" t="s">
        <v>21</v>
      </c>
      <c r="P102">
        <f t="shared" si="5"/>
        <v>295</v>
      </c>
      <c r="Q102" s="11">
        <f>IF(P102=0,0,IFERROR(Q101+G102*M102*IF(E102="FUTURE",VLOOKUP(MID(I102,2,2),[1]Futures!$A$2:$B$12,2),1),G102*M102*IF(E102="FUTURE",VLOOKUP(MID(I102,2,2),[1]Futures!$A$2:$B$12,2),1)))</f>
        <v>12782.35</v>
      </c>
      <c r="R102" s="12">
        <f>IFERROR(Q102/P102/IF(E102="FUTURE",VLOOKUP(MID(I102,2,2),[1]Futures!$A$2:$B$12,2),1),"")</f>
        <v>43.33</v>
      </c>
      <c r="S102" s="13" t="str">
        <f>IF(AND(H102="TO CLOSE",P102=0),-G102*(M102-R101)*IF(E102="FUTURE",VLOOKUP(MID(I102,2,2),[1]Futures!$A$2:$B$12,2),1),"")</f>
        <v/>
      </c>
    </row>
    <row r="103" spans="1:19" x14ac:dyDescent="0.2">
      <c r="A103">
        <f t="shared" si="3"/>
        <v>26</v>
      </c>
      <c r="B103" s="3">
        <v>43929</v>
      </c>
      <c r="C103" s="3" t="str">
        <f t="shared" si="4"/>
        <v>Wednesday</v>
      </c>
      <c r="D103" s="2">
        <v>0.41335648148148146</v>
      </c>
      <c r="E103" t="s">
        <v>22</v>
      </c>
      <c r="F103" t="s">
        <v>19</v>
      </c>
      <c r="G103">
        <v>100</v>
      </c>
      <c r="H103" t="s">
        <v>20</v>
      </c>
      <c r="I103" t="s">
        <v>23</v>
      </c>
      <c r="L103" t="s">
        <v>22</v>
      </c>
      <c r="M103">
        <v>43.33</v>
      </c>
      <c r="N103">
        <v>43.33</v>
      </c>
      <c r="O103" t="s">
        <v>21</v>
      </c>
      <c r="P103">
        <f t="shared" si="5"/>
        <v>395</v>
      </c>
      <c r="Q103" s="11">
        <f>IF(P103=0,0,IFERROR(Q102+G103*M103*IF(E103="FUTURE",VLOOKUP(MID(I103,2,2),[1]Futures!$A$2:$B$12,2),1),G103*M103*IF(E103="FUTURE",VLOOKUP(MID(I103,2,2),[1]Futures!$A$2:$B$12,2),1)))</f>
        <v>17115.349999999999</v>
      </c>
      <c r="R103" s="12">
        <f>IFERROR(Q103/P103/IF(E103="FUTURE",VLOOKUP(MID(I103,2,2),[1]Futures!$A$2:$B$12,2),1),"")</f>
        <v>43.33</v>
      </c>
      <c r="S103" s="13" t="str">
        <f>IF(AND(H103="TO CLOSE",P103=0),-G103*(M103-R102)*IF(E103="FUTURE",VLOOKUP(MID(I103,2,2),[1]Futures!$A$2:$B$12,2),1),"")</f>
        <v/>
      </c>
    </row>
    <row r="104" spans="1:19" x14ac:dyDescent="0.2">
      <c r="A104">
        <f t="shared" si="3"/>
        <v>26</v>
      </c>
      <c r="B104" s="3">
        <v>43929</v>
      </c>
      <c r="C104" s="3" t="str">
        <f t="shared" si="4"/>
        <v>Wednesday</v>
      </c>
      <c r="D104" s="2">
        <v>0.41335648148148146</v>
      </c>
      <c r="E104" t="s">
        <v>22</v>
      </c>
      <c r="F104" t="s">
        <v>19</v>
      </c>
      <c r="G104">
        <v>5</v>
      </c>
      <c r="H104" t="s">
        <v>20</v>
      </c>
      <c r="I104" t="s">
        <v>23</v>
      </c>
      <c r="L104" t="s">
        <v>22</v>
      </c>
      <c r="M104">
        <v>43.33</v>
      </c>
      <c r="N104">
        <v>43.33</v>
      </c>
      <c r="O104" t="s">
        <v>21</v>
      </c>
      <c r="P104">
        <f t="shared" si="5"/>
        <v>400</v>
      </c>
      <c r="Q104" s="11">
        <f>IF(P104=0,0,IFERROR(Q103+G104*M104*IF(E104="FUTURE",VLOOKUP(MID(I104,2,2),[1]Futures!$A$2:$B$12,2),1),G104*M104*IF(E104="FUTURE",VLOOKUP(MID(I104,2,2),[1]Futures!$A$2:$B$12,2),1)))</f>
        <v>17332</v>
      </c>
      <c r="R104" s="12">
        <f>IFERROR(Q104/P104/IF(E104="FUTURE",VLOOKUP(MID(I104,2,2),[1]Futures!$A$2:$B$12,2),1),"")</f>
        <v>43.33</v>
      </c>
      <c r="S104" s="13" t="str">
        <f>IF(AND(H104="TO CLOSE",P104=0),-G104*(M104-R103)*IF(E104="FUTURE",VLOOKUP(MID(I104,2,2),[1]Futures!$A$2:$B$12,2),1),"")</f>
        <v/>
      </c>
    </row>
    <row r="105" spans="1:19" x14ac:dyDescent="0.2">
      <c r="A105">
        <f t="shared" si="3"/>
        <v>26</v>
      </c>
      <c r="B105" s="3">
        <v>43929</v>
      </c>
      <c r="C105" s="3" t="str">
        <f t="shared" si="4"/>
        <v>Wednesday</v>
      </c>
      <c r="D105" s="2">
        <v>0.42050925925925925</v>
      </c>
      <c r="E105" t="s">
        <v>22</v>
      </c>
      <c r="F105" t="s">
        <v>15</v>
      </c>
      <c r="G105">
        <v>-100</v>
      </c>
      <c r="H105" t="s">
        <v>16</v>
      </c>
      <c r="I105" t="s">
        <v>23</v>
      </c>
      <c r="L105" t="s">
        <v>22</v>
      </c>
      <c r="M105">
        <v>43.39</v>
      </c>
      <c r="N105">
        <v>43.39</v>
      </c>
      <c r="O105" t="s">
        <v>21</v>
      </c>
      <c r="P105">
        <f t="shared" si="5"/>
        <v>300</v>
      </c>
      <c r="Q105" s="11">
        <f>IF(P105=0,0,IFERROR(Q104+G105*M105*IF(E105="FUTURE",VLOOKUP(MID(I105,2,2),[1]Futures!$A$2:$B$12,2),1),G105*M105*IF(E105="FUTURE",VLOOKUP(MID(I105,2,2),[1]Futures!$A$2:$B$12,2),1)))</f>
        <v>12993</v>
      </c>
      <c r="R105" s="12">
        <f>IFERROR(Q105/P105/IF(E105="FUTURE",VLOOKUP(MID(I105,2,2),[1]Futures!$A$2:$B$12,2),1),"")</f>
        <v>43.31</v>
      </c>
      <c r="S105" s="13" t="str">
        <f>IF(AND(H105="TO CLOSE",P105=0),-G105*(M105-R104)*IF(E105="FUTURE",VLOOKUP(MID(I105,2,2),[1]Futures!$A$2:$B$12,2),1),"")</f>
        <v/>
      </c>
    </row>
    <row r="106" spans="1:19" x14ac:dyDescent="0.2">
      <c r="A106">
        <f t="shared" si="3"/>
        <v>26</v>
      </c>
      <c r="B106" s="3">
        <v>43929</v>
      </c>
      <c r="C106" s="3" t="str">
        <f t="shared" si="4"/>
        <v>Wednesday</v>
      </c>
      <c r="D106" s="2">
        <v>0.42050925925925925</v>
      </c>
      <c r="E106" t="s">
        <v>22</v>
      </c>
      <c r="F106" t="s">
        <v>15</v>
      </c>
      <c r="G106">
        <v>-100</v>
      </c>
      <c r="H106" t="s">
        <v>16</v>
      </c>
      <c r="I106" t="s">
        <v>23</v>
      </c>
      <c r="L106" t="s">
        <v>22</v>
      </c>
      <c r="M106">
        <v>43.39</v>
      </c>
      <c r="N106">
        <v>43.39</v>
      </c>
      <c r="O106" t="s">
        <v>21</v>
      </c>
      <c r="P106">
        <f t="shared" si="5"/>
        <v>200</v>
      </c>
      <c r="Q106" s="11">
        <f>IF(P106=0,0,IFERROR(Q105+G106*M106*IF(E106="FUTURE",VLOOKUP(MID(I106,2,2),[1]Futures!$A$2:$B$12,2),1),G106*M106*IF(E106="FUTURE",VLOOKUP(MID(I106,2,2),[1]Futures!$A$2:$B$12,2),1)))</f>
        <v>8654</v>
      </c>
      <c r="R106" s="12">
        <f>IFERROR(Q106/P106/IF(E106="FUTURE",VLOOKUP(MID(I106,2,2),[1]Futures!$A$2:$B$12,2),1),"")</f>
        <v>43.27</v>
      </c>
      <c r="S106" s="13" t="str">
        <f>IF(AND(H106="TO CLOSE",P106=0),-G106*(M106-R105)*IF(E106="FUTURE",VLOOKUP(MID(I106,2,2),[1]Futures!$A$2:$B$12,2),1),"")</f>
        <v/>
      </c>
    </row>
    <row r="107" spans="1:19" x14ac:dyDescent="0.2">
      <c r="A107">
        <f t="shared" si="3"/>
        <v>26</v>
      </c>
      <c r="B107" s="3">
        <v>43929</v>
      </c>
      <c r="C107" s="3" t="str">
        <f t="shared" si="4"/>
        <v>Wednesday</v>
      </c>
      <c r="D107" s="2">
        <v>0.42050925925925925</v>
      </c>
      <c r="E107" t="s">
        <v>22</v>
      </c>
      <c r="F107" t="s">
        <v>15</v>
      </c>
      <c r="G107">
        <v>-200</v>
      </c>
      <c r="H107" t="s">
        <v>16</v>
      </c>
      <c r="I107" t="s">
        <v>23</v>
      </c>
      <c r="L107" t="s">
        <v>22</v>
      </c>
      <c r="M107">
        <v>43.39</v>
      </c>
      <c r="N107">
        <v>43.39</v>
      </c>
      <c r="O107" t="s">
        <v>21</v>
      </c>
      <c r="P107">
        <f t="shared" si="5"/>
        <v>0</v>
      </c>
      <c r="Q107" s="11">
        <f>IF(P107=0,0,IFERROR(Q106+G107*M107*IF(E107="FUTURE",VLOOKUP(MID(I107,2,2),[1]Futures!$A$2:$B$12,2),1),G107*M107*IF(E107="FUTURE",VLOOKUP(MID(I107,2,2),[1]Futures!$A$2:$B$12,2),1)))</f>
        <v>0</v>
      </c>
      <c r="R107" s="12" t="str">
        <f>IFERROR(Q107/P107/IF(E107="FUTURE",VLOOKUP(MID(I107,2,2),[1]Futures!$A$2:$B$12,2),1),"")</f>
        <v/>
      </c>
      <c r="S107" s="13">
        <f>IF(AND(H107="TO CLOSE",P107=0),-G107*(M107-R106)*IF(E107="FUTURE",VLOOKUP(MID(I107,2,2),[1]Futures!$A$2:$B$12,2),1),"")</f>
        <v>23.999999999999488</v>
      </c>
    </row>
    <row r="108" spans="1:19" x14ac:dyDescent="0.2">
      <c r="A108">
        <f t="shared" si="3"/>
        <v>27</v>
      </c>
      <c r="B108" s="3">
        <v>43929</v>
      </c>
      <c r="C108" s="3" t="str">
        <f t="shared" si="4"/>
        <v>Wednesday</v>
      </c>
      <c r="D108" s="2">
        <v>0.44620370370370371</v>
      </c>
      <c r="E108" t="s">
        <v>22</v>
      </c>
      <c r="F108" t="s">
        <v>19</v>
      </c>
      <c r="G108">
        <v>238</v>
      </c>
      <c r="H108" t="s">
        <v>20</v>
      </c>
      <c r="I108" t="s">
        <v>23</v>
      </c>
      <c r="L108" t="s">
        <v>22</v>
      </c>
      <c r="M108">
        <v>43.12</v>
      </c>
      <c r="N108">
        <v>43.12</v>
      </c>
      <c r="O108" t="s">
        <v>21</v>
      </c>
      <c r="P108">
        <f t="shared" si="5"/>
        <v>238</v>
      </c>
      <c r="Q108" s="11">
        <f>IF(P108=0,0,IFERROR(Q107+G108*M108*IF(E108="FUTURE",VLOOKUP(MID(I108,2,2),[1]Futures!$A$2:$B$12,2),1),G108*M108*IF(E108="FUTURE",VLOOKUP(MID(I108,2,2),[1]Futures!$A$2:$B$12,2),1)))</f>
        <v>10262.56</v>
      </c>
      <c r="R108" s="12">
        <f>IFERROR(Q108/P108/IF(E108="FUTURE",VLOOKUP(MID(I108,2,2),[1]Futures!$A$2:$B$12,2),1),"")</f>
        <v>43.12</v>
      </c>
      <c r="S108" s="13" t="str">
        <f>IF(AND(H108="TO CLOSE",P108=0),-G108*(M108-R107)*IF(E108="FUTURE",VLOOKUP(MID(I108,2,2),[1]Futures!$A$2:$B$12,2),1),"")</f>
        <v/>
      </c>
    </row>
    <row r="109" spans="1:19" x14ac:dyDescent="0.2">
      <c r="A109">
        <f t="shared" si="3"/>
        <v>27</v>
      </c>
      <c r="B109" s="3">
        <v>43929</v>
      </c>
      <c r="C109" s="3" t="str">
        <f t="shared" si="4"/>
        <v>Wednesday</v>
      </c>
      <c r="D109" s="2">
        <v>0.44620370370370371</v>
      </c>
      <c r="E109" t="s">
        <v>22</v>
      </c>
      <c r="F109" t="s">
        <v>19</v>
      </c>
      <c r="G109">
        <v>62</v>
      </c>
      <c r="H109" t="s">
        <v>20</v>
      </c>
      <c r="I109" t="s">
        <v>23</v>
      </c>
      <c r="L109" t="s">
        <v>22</v>
      </c>
      <c r="M109">
        <v>43.12</v>
      </c>
      <c r="N109">
        <v>43.12</v>
      </c>
      <c r="O109" t="s">
        <v>21</v>
      </c>
      <c r="P109">
        <f t="shared" si="5"/>
        <v>300</v>
      </c>
      <c r="Q109" s="11">
        <f>IF(P109=0,0,IFERROR(Q108+G109*M109*IF(E109="FUTURE",VLOOKUP(MID(I109,2,2),[1]Futures!$A$2:$B$12,2),1),G109*M109*IF(E109="FUTURE",VLOOKUP(MID(I109,2,2),[1]Futures!$A$2:$B$12,2),1)))</f>
        <v>12936</v>
      </c>
      <c r="R109" s="12">
        <f>IFERROR(Q109/P109/IF(E109="FUTURE",VLOOKUP(MID(I109,2,2),[1]Futures!$A$2:$B$12,2),1),"")</f>
        <v>43.12</v>
      </c>
      <c r="S109" s="13" t="str">
        <f>IF(AND(H109="TO CLOSE",P109=0),-G109*(M109-R108)*IF(E109="FUTURE",VLOOKUP(MID(I109,2,2),[1]Futures!$A$2:$B$12,2),1),"")</f>
        <v/>
      </c>
    </row>
    <row r="110" spans="1:19" x14ac:dyDescent="0.2">
      <c r="A110">
        <f t="shared" si="3"/>
        <v>27</v>
      </c>
      <c r="B110" s="3">
        <v>43929</v>
      </c>
      <c r="C110" s="3" t="str">
        <f t="shared" si="4"/>
        <v>Wednesday</v>
      </c>
      <c r="D110" s="2">
        <v>0.44620370370370371</v>
      </c>
      <c r="E110" t="s">
        <v>22</v>
      </c>
      <c r="F110" t="s">
        <v>19</v>
      </c>
      <c r="G110">
        <v>100</v>
      </c>
      <c r="H110" t="s">
        <v>20</v>
      </c>
      <c r="I110" t="s">
        <v>23</v>
      </c>
      <c r="L110" t="s">
        <v>22</v>
      </c>
      <c r="M110">
        <v>43.115000000000002</v>
      </c>
      <c r="N110">
        <v>43.115000000000002</v>
      </c>
      <c r="O110" t="s">
        <v>21</v>
      </c>
      <c r="P110">
        <f t="shared" si="5"/>
        <v>400</v>
      </c>
      <c r="Q110" s="11">
        <f>IF(P110=0,0,IFERROR(Q109+G110*M110*IF(E110="FUTURE",VLOOKUP(MID(I110,2,2),[1]Futures!$A$2:$B$12,2),1),G110*M110*IF(E110="FUTURE",VLOOKUP(MID(I110,2,2),[1]Futures!$A$2:$B$12,2),1)))</f>
        <v>17247.5</v>
      </c>
      <c r="R110" s="12">
        <f>IFERROR(Q110/P110/IF(E110="FUTURE",VLOOKUP(MID(I110,2,2),[1]Futures!$A$2:$B$12,2),1),"")</f>
        <v>43.118749999999999</v>
      </c>
      <c r="S110" s="13" t="str">
        <f>IF(AND(H110="TO CLOSE",P110=0),-G110*(M110-R109)*IF(E110="FUTURE",VLOOKUP(MID(I110,2,2),[1]Futures!$A$2:$B$12,2),1),"")</f>
        <v/>
      </c>
    </row>
    <row r="111" spans="1:19" x14ac:dyDescent="0.2">
      <c r="A111">
        <f t="shared" si="3"/>
        <v>27</v>
      </c>
      <c r="B111" s="3">
        <v>43929</v>
      </c>
      <c r="C111" s="3" t="str">
        <f t="shared" si="4"/>
        <v>Wednesday</v>
      </c>
      <c r="D111" s="2">
        <v>0.44931712962962966</v>
      </c>
      <c r="E111" t="s">
        <v>22</v>
      </c>
      <c r="F111" t="s">
        <v>15</v>
      </c>
      <c r="G111">
        <v>-400</v>
      </c>
      <c r="H111" t="s">
        <v>16</v>
      </c>
      <c r="I111" t="s">
        <v>23</v>
      </c>
      <c r="L111" t="s">
        <v>22</v>
      </c>
      <c r="M111">
        <v>42.79</v>
      </c>
      <c r="N111">
        <v>42.79</v>
      </c>
      <c r="O111" t="s">
        <v>18</v>
      </c>
      <c r="P111">
        <f t="shared" si="5"/>
        <v>0</v>
      </c>
      <c r="Q111" s="11">
        <f>IF(P111=0,0,IFERROR(Q110+G111*M111*IF(E111="FUTURE",VLOOKUP(MID(I111,2,2),[1]Futures!$A$2:$B$12,2),1),G111*M111*IF(E111="FUTURE",VLOOKUP(MID(I111,2,2),[1]Futures!$A$2:$B$12,2),1)))</f>
        <v>0</v>
      </c>
      <c r="R111" s="12" t="str">
        <f>IFERROR(Q111/P111/IF(E111="FUTURE",VLOOKUP(MID(I111,2,2),[1]Futures!$A$2:$B$12,2),1),"")</f>
        <v/>
      </c>
      <c r="S111" s="13">
        <f>IF(AND(H111="TO CLOSE",P111=0),-G111*(M111-R110)*IF(E111="FUTURE",VLOOKUP(MID(I111,2,2),[1]Futures!$A$2:$B$12,2),1),"")</f>
        <v>-131.49999999999977</v>
      </c>
    </row>
    <row r="112" spans="1:19" x14ac:dyDescent="0.2">
      <c r="A112">
        <f t="shared" si="3"/>
        <v>28</v>
      </c>
      <c r="B112" s="3">
        <v>43929</v>
      </c>
      <c r="C112" s="3" t="str">
        <f t="shared" si="4"/>
        <v>Wednesday</v>
      </c>
      <c r="D112" s="2">
        <v>0.45645833333333335</v>
      </c>
      <c r="E112" t="s">
        <v>22</v>
      </c>
      <c r="F112" t="s">
        <v>19</v>
      </c>
      <c r="G112">
        <v>400</v>
      </c>
      <c r="H112" t="s">
        <v>20</v>
      </c>
      <c r="I112" t="s">
        <v>23</v>
      </c>
      <c r="L112" t="s">
        <v>22</v>
      </c>
      <c r="M112">
        <v>42.79</v>
      </c>
      <c r="N112">
        <v>42.79</v>
      </c>
      <c r="O112" t="s">
        <v>21</v>
      </c>
      <c r="P112">
        <f t="shared" si="5"/>
        <v>400</v>
      </c>
      <c r="Q112" s="11">
        <f>IF(P112=0,0,IFERROR(Q111+G112*M112*IF(E112="FUTURE",VLOOKUP(MID(I112,2,2),[1]Futures!$A$2:$B$12,2),1),G112*M112*IF(E112="FUTURE",VLOOKUP(MID(I112,2,2),[1]Futures!$A$2:$B$12,2),1)))</f>
        <v>17116</v>
      </c>
      <c r="R112" s="12">
        <f>IFERROR(Q112/P112/IF(E112="FUTURE",VLOOKUP(MID(I112,2,2),[1]Futures!$A$2:$B$12,2),1),"")</f>
        <v>42.79</v>
      </c>
      <c r="S112" s="13" t="str">
        <f>IF(AND(H112="TO CLOSE",P112=0),-G112*(M112-R111)*IF(E112="FUTURE",VLOOKUP(MID(I112,2,2),[1]Futures!$A$2:$B$12,2),1),"")</f>
        <v/>
      </c>
    </row>
    <row r="113" spans="1:19" x14ac:dyDescent="0.2">
      <c r="A113">
        <f t="shared" si="3"/>
        <v>28</v>
      </c>
      <c r="B113" s="3">
        <v>43929</v>
      </c>
      <c r="C113" s="3" t="str">
        <f t="shared" si="4"/>
        <v>Wednesday</v>
      </c>
      <c r="D113" s="2">
        <v>0.47934027777777777</v>
      </c>
      <c r="E113" t="s">
        <v>22</v>
      </c>
      <c r="F113" t="s">
        <v>15</v>
      </c>
      <c r="G113">
        <v>-400</v>
      </c>
      <c r="H113" t="s">
        <v>16</v>
      </c>
      <c r="I113" t="s">
        <v>23</v>
      </c>
      <c r="L113" t="s">
        <v>22</v>
      </c>
      <c r="M113">
        <v>42.28</v>
      </c>
      <c r="N113">
        <v>42.28</v>
      </c>
      <c r="O113" t="s">
        <v>18</v>
      </c>
      <c r="P113">
        <f t="shared" si="5"/>
        <v>0</v>
      </c>
      <c r="Q113" s="11">
        <f>IF(P113=0,0,IFERROR(Q112+G113*M113*IF(E113="FUTURE",VLOOKUP(MID(I113,2,2),[1]Futures!$A$2:$B$12,2),1),G113*M113*IF(E113="FUTURE",VLOOKUP(MID(I113,2,2),[1]Futures!$A$2:$B$12,2),1)))</f>
        <v>0</v>
      </c>
      <c r="R113" s="12" t="str">
        <f>IFERROR(Q113/P113/IF(E113="FUTURE",VLOOKUP(MID(I113,2,2),[1]Futures!$A$2:$B$12,2),1),"")</f>
        <v/>
      </c>
      <c r="S113" s="13">
        <f>IF(AND(H113="TO CLOSE",P113=0),-G113*(M113-R112)*IF(E113="FUTURE",VLOOKUP(MID(I113,2,2),[1]Futures!$A$2:$B$12,2),1),"")</f>
        <v>-203.9999999999992</v>
      </c>
    </row>
    <row r="114" spans="1:19" x14ac:dyDescent="0.2">
      <c r="A114">
        <f t="shared" si="3"/>
        <v>29</v>
      </c>
      <c r="B114" s="3">
        <v>43929</v>
      </c>
      <c r="C114" s="3" t="str">
        <f t="shared" si="4"/>
        <v>Wednesday</v>
      </c>
      <c r="D114" s="2">
        <v>0.47998842592592594</v>
      </c>
      <c r="E114" t="s">
        <v>22</v>
      </c>
      <c r="F114" t="s">
        <v>19</v>
      </c>
      <c r="G114">
        <v>284</v>
      </c>
      <c r="H114" t="s">
        <v>20</v>
      </c>
      <c r="I114" t="s">
        <v>23</v>
      </c>
      <c r="L114" t="s">
        <v>22</v>
      </c>
      <c r="M114">
        <v>42.435000000000002</v>
      </c>
      <c r="N114">
        <v>42.435000000000002</v>
      </c>
      <c r="O114" t="s">
        <v>24</v>
      </c>
      <c r="P114">
        <f t="shared" si="5"/>
        <v>284</v>
      </c>
      <c r="Q114" s="11">
        <f>IF(P114=0,0,IFERROR(Q113+G114*M114*IF(E114="FUTURE",VLOOKUP(MID(I114,2,2),[1]Futures!$A$2:$B$12,2),1),G114*M114*IF(E114="FUTURE",VLOOKUP(MID(I114,2,2),[1]Futures!$A$2:$B$12,2),1)))</f>
        <v>12051.54</v>
      </c>
      <c r="R114" s="12">
        <f>IFERROR(Q114/P114/IF(E114="FUTURE",VLOOKUP(MID(I114,2,2),[1]Futures!$A$2:$B$12,2),1),"")</f>
        <v>42.435000000000002</v>
      </c>
      <c r="S114" s="13" t="str">
        <f>IF(AND(H114="TO CLOSE",P114=0),-G114*(M114-R113)*IF(E114="FUTURE",VLOOKUP(MID(I114,2,2),[1]Futures!$A$2:$B$12,2),1),"")</f>
        <v/>
      </c>
    </row>
    <row r="115" spans="1:19" x14ac:dyDescent="0.2">
      <c r="A115">
        <f t="shared" si="3"/>
        <v>29</v>
      </c>
      <c r="B115" s="3">
        <v>43929</v>
      </c>
      <c r="C115" s="3" t="str">
        <f t="shared" si="4"/>
        <v>Wednesday</v>
      </c>
      <c r="D115" s="2">
        <v>0.47998842592592594</v>
      </c>
      <c r="E115" t="s">
        <v>22</v>
      </c>
      <c r="F115" t="s">
        <v>19</v>
      </c>
      <c r="G115">
        <v>6</v>
      </c>
      <c r="H115" t="s">
        <v>20</v>
      </c>
      <c r="I115" t="s">
        <v>23</v>
      </c>
      <c r="L115" t="s">
        <v>22</v>
      </c>
      <c r="M115">
        <v>42.435000000000002</v>
      </c>
      <c r="N115">
        <v>42.435000000000002</v>
      </c>
      <c r="O115" t="s">
        <v>24</v>
      </c>
      <c r="P115">
        <f t="shared" si="5"/>
        <v>290</v>
      </c>
      <c r="Q115" s="11">
        <f>IF(P115=0,0,IFERROR(Q114+G115*M115*IF(E115="FUTURE",VLOOKUP(MID(I115,2,2),[1]Futures!$A$2:$B$12,2),1),G115*M115*IF(E115="FUTURE",VLOOKUP(MID(I115,2,2),[1]Futures!$A$2:$B$12,2),1)))</f>
        <v>12306.150000000001</v>
      </c>
      <c r="R115" s="12">
        <f>IFERROR(Q115/P115/IF(E115="FUTURE",VLOOKUP(MID(I115,2,2),[1]Futures!$A$2:$B$12,2),1),"")</f>
        <v>42.435000000000002</v>
      </c>
      <c r="S115" s="13" t="str">
        <f>IF(AND(H115="TO CLOSE",P115=0),-G115*(M115-R114)*IF(E115="FUTURE",VLOOKUP(MID(I115,2,2),[1]Futures!$A$2:$B$12,2),1),"")</f>
        <v/>
      </c>
    </row>
    <row r="116" spans="1:19" x14ac:dyDescent="0.2">
      <c r="A116">
        <f t="shared" si="3"/>
        <v>29</v>
      </c>
      <c r="B116" s="3">
        <v>43929</v>
      </c>
      <c r="C116" s="3" t="str">
        <f t="shared" si="4"/>
        <v>Wednesday</v>
      </c>
      <c r="D116" s="2">
        <v>0.47998842592592594</v>
      </c>
      <c r="E116" t="s">
        <v>22</v>
      </c>
      <c r="F116" t="s">
        <v>19</v>
      </c>
      <c r="G116">
        <v>10</v>
      </c>
      <c r="H116" t="s">
        <v>20</v>
      </c>
      <c r="I116" t="s">
        <v>23</v>
      </c>
      <c r="L116" t="s">
        <v>22</v>
      </c>
      <c r="M116">
        <v>42.435000000000002</v>
      </c>
      <c r="N116">
        <v>42.435000000000002</v>
      </c>
      <c r="O116" t="s">
        <v>24</v>
      </c>
      <c r="P116">
        <f t="shared" si="5"/>
        <v>300</v>
      </c>
      <c r="Q116" s="11">
        <f>IF(P116=0,0,IFERROR(Q115+G116*M116*IF(E116="FUTURE",VLOOKUP(MID(I116,2,2),[1]Futures!$A$2:$B$12,2),1),G116*M116*IF(E116="FUTURE",VLOOKUP(MID(I116,2,2),[1]Futures!$A$2:$B$12,2),1)))</f>
        <v>12730.500000000002</v>
      </c>
      <c r="R116" s="12">
        <f>IFERROR(Q116/P116/IF(E116="FUTURE",VLOOKUP(MID(I116,2,2),[1]Futures!$A$2:$B$12,2),1),"")</f>
        <v>42.435000000000009</v>
      </c>
      <c r="S116" s="13" t="str">
        <f>IF(AND(H116="TO CLOSE",P116=0),-G116*(M116-R115)*IF(E116="FUTURE",VLOOKUP(MID(I116,2,2),[1]Futures!$A$2:$B$12,2),1),"")</f>
        <v/>
      </c>
    </row>
    <row r="117" spans="1:19" x14ac:dyDescent="0.2">
      <c r="A117">
        <f t="shared" si="3"/>
        <v>29</v>
      </c>
      <c r="B117" s="3">
        <v>43929</v>
      </c>
      <c r="C117" s="3" t="str">
        <f t="shared" si="4"/>
        <v>Wednesday</v>
      </c>
      <c r="D117" s="2">
        <v>0.47998842592592594</v>
      </c>
      <c r="E117" t="s">
        <v>22</v>
      </c>
      <c r="F117" t="s">
        <v>19</v>
      </c>
      <c r="G117">
        <v>100</v>
      </c>
      <c r="H117" t="s">
        <v>20</v>
      </c>
      <c r="I117" t="s">
        <v>23</v>
      </c>
      <c r="L117" t="s">
        <v>22</v>
      </c>
      <c r="M117">
        <v>42.435000000000002</v>
      </c>
      <c r="N117">
        <v>42.435000000000002</v>
      </c>
      <c r="O117" t="s">
        <v>24</v>
      </c>
      <c r="P117">
        <f t="shared" si="5"/>
        <v>400</v>
      </c>
      <c r="Q117" s="11">
        <f>IF(P117=0,0,IFERROR(Q116+G117*M117*IF(E117="FUTURE",VLOOKUP(MID(I117,2,2),[1]Futures!$A$2:$B$12,2),1),G117*M117*IF(E117="FUTURE",VLOOKUP(MID(I117,2,2),[1]Futures!$A$2:$B$12,2),1)))</f>
        <v>16974</v>
      </c>
      <c r="R117" s="12">
        <f>IFERROR(Q117/P117/IF(E117="FUTURE",VLOOKUP(MID(I117,2,2),[1]Futures!$A$2:$B$12,2),1),"")</f>
        <v>42.435000000000002</v>
      </c>
      <c r="S117" s="13" t="str">
        <f>IF(AND(H117="TO CLOSE",P117=0),-G117*(M117-R116)*IF(E117="FUTURE",VLOOKUP(MID(I117,2,2),[1]Futures!$A$2:$B$12,2),1),"")</f>
        <v/>
      </c>
    </row>
    <row r="118" spans="1:19" x14ac:dyDescent="0.2">
      <c r="A118">
        <f t="shared" si="3"/>
        <v>29</v>
      </c>
      <c r="B118" s="3">
        <v>43929</v>
      </c>
      <c r="C118" s="3" t="str">
        <f t="shared" si="4"/>
        <v>Wednesday</v>
      </c>
      <c r="D118" s="2">
        <v>0.48479166666666668</v>
      </c>
      <c r="E118" t="s">
        <v>22</v>
      </c>
      <c r="F118" t="s">
        <v>15</v>
      </c>
      <c r="G118">
        <v>-16</v>
      </c>
      <c r="H118" t="s">
        <v>16</v>
      </c>
      <c r="I118" t="s">
        <v>23</v>
      </c>
      <c r="L118" t="s">
        <v>22</v>
      </c>
      <c r="M118">
        <v>42.18</v>
      </c>
      <c r="N118">
        <v>42.18</v>
      </c>
      <c r="O118" t="s">
        <v>18</v>
      </c>
      <c r="P118">
        <f t="shared" si="5"/>
        <v>384</v>
      </c>
      <c r="Q118" s="11">
        <f>IF(P118=0,0,IFERROR(Q117+G118*M118*IF(E118="FUTURE",VLOOKUP(MID(I118,2,2),[1]Futures!$A$2:$B$12,2),1),G118*M118*IF(E118="FUTURE",VLOOKUP(MID(I118,2,2),[1]Futures!$A$2:$B$12,2),1)))</f>
        <v>16299.12</v>
      </c>
      <c r="R118" s="12">
        <f>IFERROR(Q118/P118/IF(E118="FUTURE",VLOOKUP(MID(I118,2,2),[1]Futures!$A$2:$B$12,2),1),"")</f>
        <v>42.445625</v>
      </c>
      <c r="S118" s="13" t="str">
        <f>IF(AND(H118="TO CLOSE",P118=0),-G118*(M118-R117)*IF(E118="FUTURE",VLOOKUP(MID(I118,2,2),[1]Futures!$A$2:$B$12,2),1),"")</f>
        <v/>
      </c>
    </row>
    <row r="119" spans="1:19" x14ac:dyDescent="0.2">
      <c r="A119">
        <f t="shared" si="3"/>
        <v>29</v>
      </c>
      <c r="B119" s="3">
        <v>43929</v>
      </c>
      <c r="C119" s="3" t="str">
        <f t="shared" si="4"/>
        <v>Wednesday</v>
      </c>
      <c r="D119" s="2">
        <v>0.48479166666666668</v>
      </c>
      <c r="E119" t="s">
        <v>22</v>
      </c>
      <c r="F119" t="s">
        <v>15</v>
      </c>
      <c r="G119">
        <v>-100</v>
      </c>
      <c r="H119" t="s">
        <v>16</v>
      </c>
      <c r="I119" t="s">
        <v>23</v>
      </c>
      <c r="L119" t="s">
        <v>22</v>
      </c>
      <c r="M119">
        <v>42.18</v>
      </c>
      <c r="N119">
        <v>42.18</v>
      </c>
      <c r="O119" t="s">
        <v>18</v>
      </c>
      <c r="P119">
        <f t="shared" si="5"/>
        <v>284</v>
      </c>
      <c r="Q119" s="11">
        <f>IF(P119=0,0,IFERROR(Q118+G119*M119*IF(E119="FUTURE",VLOOKUP(MID(I119,2,2),[1]Futures!$A$2:$B$12,2),1),G119*M119*IF(E119="FUTURE",VLOOKUP(MID(I119,2,2),[1]Futures!$A$2:$B$12,2),1)))</f>
        <v>12081.12</v>
      </c>
      <c r="R119" s="12">
        <f>IFERROR(Q119/P119/IF(E119="FUTURE",VLOOKUP(MID(I119,2,2),[1]Futures!$A$2:$B$12,2),1),"")</f>
        <v>42.539154929577471</v>
      </c>
      <c r="S119" s="13" t="str">
        <f>IF(AND(H119="TO CLOSE",P119=0),-G119*(M119-R118)*IF(E119="FUTURE",VLOOKUP(MID(I119,2,2),[1]Futures!$A$2:$B$12,2),1),"")</f>
        <v/>
      </c>
    </row>
    <row r="120" spans="1:19" x14ac:dyDescent="0.2">
      <c r="A120">
        <f t="shared" si="3"/>
        <v>29</v>
      </c>
      <c r="B120" s="3">
        <v>43929</v>
      </c>
      <c r="C120" s="3" t="str">
        <f t="shared" si="4"/>
        <v>Wednesday</v>
      </c>
      <c r="D120" s="2">
        <v>0.48479166666666668</v>
      </c>
      <c r="E120" t="s">
        <v>22</v>
      </c>
      <c r="F120" t="s">
        <v>15</v>
      </c>
      <c r="G120">
        <v>-100</v>
      </c>
      <c r="H120" t="s">
        <v>16</v>
      </c>
      <c r="I120" t="s">
        <v>23</v>
      </c>
      <c r="L120" t="s">
        <v>22</v>
      </c>
      <c r="M120">
        <v>42.18</v>
      </c>
      <c r="N120">
        <v>42.18</v>
      </c>
      <c r="O120" t="s">
        <v>18</v>
      </c>
      <c r="P120">
        <f t="shared" si="5"/>
        <v>184</v>
      </c>
      <c r="Q120" s="11">
        <f>IF(P120=0,0,IFERROR(Q119+G120*M120*IF(E120="FUTURE",VLOOKUP(MID(I120,2,2),[1]Futures!$A$2:$B$12,2),1),G120*M120*IF(E120="FUTURE",VLOOKUP(MID(I120,2,2),[1]Futures!$A$2:$B$12,2),1)))</f>
        <v>7863.1200000000008</v>
      </c>
      <c r="R120" s="12">
        <f>IFERROR(Q120/P120/IF(E120="FUTURE",VLOOKUP(MID(I120,2,2),[1]Futures!$A$2:$B$12,2),1),"")</f>
        <v>42.73434782608696</v>
      </c>
      <c r="S120" s="13" t="str">
        <f>IF(AND(H120="TO CLOSE",P120=0),-G120*(M120-R119)*IF(E120="FUTURE",VLOOKUP(MID(I120,2,2),[1]Futures!$A$2:$B$12,2),1),"")</f>
        <v/>
      </c>
    </row>
    <row r="121" spans="1:19" x14ac:dyDescent="0.2">
      <c r="A121">
        <f t="shared" si="3"/>
        <v>29</v>
      </c>
      <c r="B121" s="3">
        <v>43929</v>
      </c>
      <c r="C121" s="3" t="str">
        <f t="shared" si="4"/>
        <v>Wednesday</v>
      </c>
      <c r="D121" s="2">
        <v>0.48479166666666668</v>
      </c>
      <c r="E121" t="s">
        <v>22</v>
      </c>
      <c r="F121" t="s">
        <v>15</v>
      </c>
      <c r="G121">
        <v>-4</v>
      </c>
      <c r="H121" t="s">
        <v>16</v>
      </c>
      <c r="I121" t="s">
        <v>23</v>
      </c>
      <c r="L121" t="s">
        <v>22</v>
      </c>
      <c r="M121">
        <v>42.18</v>
      </c>
      <c r="N121">
        <v>42.18</v>
      </c>
      <c r="O121" t="s">
        <v>18</v>
      </c>
      <c r="P121">
        <f t="shared" si="5"/>
        <v>180</v>
      </c>
      <c r="Q121" s="11">
        <f>IF(P121=0,0,IFERROR(Q120+G121*M121*IF(E121="FUTURE",VLOOKUP(MID(I121,2,2),[1]Futures!$A$2:$B$12,2),1),G121*M121*IF(E121="FUTURE",VLOOKUP(MID(I121,2,2),[1]Futures!$A$2:$B$12,2),1)))</f>
        <v>7694.4000000000005</v>
      </c>
      <c r="R121" s="12">
        <f>IFERROR(Q121/P121/IF(E121="FUTURE",VLOOKUP(MID(I121,2,2),[1]Futures!$A$2:$B$12,2),1),"")</f>
        <v>42.74666666666667</v>
      </c>
      <c r="S121" s="13" t="str">
        <f>IF(AND(H121="TO CLOSE",P121=0),-G121*(M121-R120)*IF(E121="FUTURE",VLOOKUP(MID(I121,2,2),[1]Futures!$A$2:$B$12,2),1),"")</f>
        <v/>
      </c>
    </row>
    <row r="122" spans="1:19" x14ac:dyDescent="0.2">
      <c r="A122">
        <f t="shared" si="3"/>
        <v>29</v>
      </c>
      <c r="B122" s="3">
        <v>43929</v>
      </c>
      <c r="C122" s="3" t="str">
        <f t="shared" si="4"/>
        <v>Wednesday</v>
      </c>
      <c r="D122" s="2">
        <v>0.48479166666666668</v>
      </c>
      <c r="E122" t="s">
        <v>22</v>
      </c>
      <c r="F122" t="s">
        <v>15</v>
      </c>
      <c r="G122">
        <v>-80</v>
      </c>
      <c r="H122" t="s">
        <v>16</v>
      </c>
      <c r="I122" t="s">
        <v>23</v>
      </c>
      <c r="L122" t="s">
        <v>22</v>
      </c>
      <c r="M122">
        <v>42.18</v>
      </c>
      <c r="N122">
        <v>42.18</v>
      </c>
      <c r="O122" t="s">
        <v>18</v>
      </c>
      <c r="P122">
        <f t="shared" si="5"/>
        <v>100</v>
      </c>
      <c r="Q122" s="11">
        <f>IF(P122=0,0,IFERROR(Q121+G122*M122*IF(E122="FUTURE",VLOOKUP(MID(I122,2,2),[1]Futures!$A$2:$B$12,2),1),G122*M122*IF(E122="FUTURE",VLOOKUP(MID(I122,2,2),[1]Futures!$A$2:$B$12,2),1)))</f>
        <v>4320</v>
      </c>
      <c r="R122" s="12">
        <f>IFERROR(Q122/P122/IF(E122="FUTURE",VLOOKUP(MID(I122,2,2),[1]Futures!$A$2:$B$12,2),1),"")</f>
        <v>43.2</v>
      </c>
      <c r="S122" s="13" t="str">
        <f>IF(AND(H122="TO CLOSE",P122=0),-G122*(M122-R121)*IF(E122="FUTURE",VLOOKUP(MID(I122,2,2),[1]Futures!$A$2:$B$12,2),1),"")</f>
        <v/>
      </c>
    </row>
    <row r="123" spans="1:19" x14ac:dyDescent="0.2">
      <c r="A123">
        <f t="shared" si="3"/>
        <v>29</v>
      </c>
      <c r="B123" s="3">
        <v>43929</v>
      </c>
      <c r="C123" s="3" t="str">
        <f t="shared" si="4"/>
        <v>Wednesday</v>
      </c>
      <c r="D123" s="2">
        <v>0.48479166666666668</v>
      </c>
      <c r="E123" t="s">
        <v>22</v>
      </c>
      <c r="F123" t="s">
        <v>15</v>
      </c>
      <c r="G123">
        <v>-100</v>
      </c>
      <c r="H123" t="s">
        <v>16</v>
      </c>
      <c r="I123" t="s">
        <v>23</v>
      </c>
      <c r="L123" t="s">
        <v>22</v>
      </c>
      <c r="M123">
        <v>42.18</v>
      </c>
      <c r="N123">
        <v>42.18</v>
      </c>
      <c r="O123" t="s">
        <v>18</v>
      </c>
      <c r="P123">
        <f t="shared" si="5"/>
        <v>0</v>
      </c>
      <c r="Q123" s="11">
        <f>IF(P123=0,0,IFERROR(Q122+G123*M123*IF(E123="FUTURE",VLOOKUP(MID(I123,2,2),[1]Futures!$A$2:$B$12,2),1),G123*M123*IF(E123="FUTURE",VLOOKUP(MID(I123,2,2),[1]Futures!$A$2:$B$12,2),1)))</f>
        <v>0</v>
      </c>
      <c r="R123" s="12" t="str">
        <f>IFERROR(Q123/P123/IF(E123="FUTURE",VLOOKUP(MID(I123,2,2),[1]Futures!$A$2:$B$12,2),1),"")</f>
        <v/>
      </c>
      <c r="S123" s="13">
        <f>IF(AND(H123="TO CLOSE",P123=0),-G123*(M123-R122)*IF(E123="FUTURE",VLOOKUP(MID(I123,2,2),[1]Futures!$A$2:$B$12,2),1),"")</f>
        <v>-102.00000000000031</v>
      </c>
    </row>
    <row r="124" spans="1:19" x14ac:dyDescent="0.2">
      <c r="A124">
        <f t="shared" si="3"/>
        <v>30</v>
      </c>
      <c r="B124" s="3">
        <v>43929</v>
      </c>
      <c r="C124" s="3" t="str">
        <f t="shared" si="4"/>
        <v>Wednesday</v>
      </c>
      <c r="D124" s="2">
        <v>0.48827546296296293</v>
      </c>
      <c r="E124" t="s">
        <v>22</v>
      </c>
      <c r="F124" t="s">
        <v>19</v>
      </c>
      <c r="G124">
        <v>400</v>
      </c>
      <c r="H124" t="s">
        <v>20</v>
      </c>
      <c r="I124" t="s">
        <v>23</v>
      </c>
      <c r="L124" t="s">
        <v>22</v>
      </c>
      <c r="M124">
        <v>42.3</v>
      </c>
      <c r="N124">
        <v>42.3</v>
      </c>
      <c r="O124" t="s">
        <v>21</v>
      </c>
      <c r="P124">
        <f t="shared" si="5"/>
        <v>400</v>
      </c>
      <c r="Q124" s="11">
        <f>IF(P124=0,0,IFERROR(Q123+G124*M124*IF(E124="FUTURE",VLOOKUP(MID(I124,2,2),[1]Futures!$A$2:$B$12,2),1),G124*M124*IF(E124="FUTURE",VLOOKUP(MID(I124,2,2),[1]Futures!$A$2:$B$12,2),1)))</f>
        <v>16920</v>
      </c>
      <c r="R124" s="12">
        <f>IFERROR(Q124/P124/IF(E124="FUTURE",VLOOKUP(MID(I124,2,2),[1]Futures!$A$2:$B$12,2),1),"")</f>
        <v>42.3</v>
      </c>
      <c r="S124" s="13" t="str">
        <f>IF(AND(H124="TO CLOSE",P124=0),-G124*(M124-R123)*IF(E124="FUTURE",VLOOKUP(MID(I124,2,2),[1]Futures!$A$2:$B$12,2),1),"")</f>
        <v/>
      </c>
    </row>
    <row r="125" spans="1:19" x14ac:dyDescent="0.2">
      <c r="A125">
        <f t="shared" si="3"/>
        <v>30</v>
      </c>
      <c r="B125" s="3">
        <v>43929</v>
      </c>
      <c r="C125" s="3" t="str">
        <f t="shared" si="4"/>
        <v>Wednesday</v>
      </c>
      <c r="D125" s="2">
        <v>0.56127314814814822</v>
      </c>
      <c r="E125" t="s">
        <v>22</v>
      </c>
      <c r="F125" t="s">
        <v>19</v>
      </c>
      <c r="G125">
        <v>100</v>
      </c>
      <c r="H125" t="s">
        <v>20</v>
      </c>
      <c r="I125" t="s">
        <v>23</v>
      </c>
      <c r="L125" t="s">
        <v>22</v>
      </c>
      <c r="M125">
        <v>42.505000000000003</v>
      </c>
      <c r="N125">
        <v>42.505000000000003</v>
      </c>
      <c r="O125" t="s">
        <v>18</v>
      </c>
      <c r="P125">
        <f t="shared" si="5"/>
        <v>500</v>
      </c>
      <c r="Q125" s="11">
        <f>IF(P125=0,0,IFERROR(Q124+G125*M125*IF(E125="FUTURE",VLOOKUP(MID(I125,2,2),[1]Futures!$A$2:$B$12,2),1),G125*M125*IF(E125="FUTURE",VLOOKUP(MID(I125,2,2),[1]Futures!$A$2:$B$12,2),1)))</f>
        <v>21170.5</v>
      </c>
      <c r="R125" s="12">
        <f>IFERROR(Q125/P125/IF(E125="FUTURE",VLOOKUP(MID(I125,2,2),[1]Futures!$A$2:$B$12,2),1),"")</f>
        <v>42.341000000000001</v>
      </c>
      <c r="S125" s="13" t="str">
        <f>IF(AND(H125="TO CLOSE",P125=0),-G125*(M125-R124)*IF(E125="FUTURE",VLOOKUP(MID(I125,2,2),[1]Futures!$A$2:$B$12,2),1),"")</f>
        <v/>
      </c>
    </row>
    <row r="126" spans="1:19" x14ac:dyDescent="0.2">
      <c r="A126">
        <f t="shared" si="3"/>
        <v>30</v>
      </c>
      <c r="B126" s="3">
        <v>43929</v>
      </c>
      <c r="C126" s="3" t="str">
        <f t="shared" si="4"/>
        <v>Wednesday</v>
      </c>
      <c r="D126" s="2">
        <v>0.56861111111111107</v>
      </c>
      <c r="E126" t="s">
        <v>22</v>
      </c>
      <c r="F126" t="s">
        <v>15</v>
      </c>
      <c r="G126">
        <v>-100</v>
      </c>
      <c r="H126" t="s">
        <v>16</v>
      </c>
      <c r="I126" t="s">
        <v>23</v>
      </c>
      <c r="L126" t="s">
        <v>22</v>
      </c>
      <c r="M126">
        <v>42.76</v>
      </c>
      <c r="N126">
        <v>42.76</v>
      </c>
      <c r="O126" t="s">
        <v>21</v>
      </c>
      <c r="P126">
        <f t="shared" si="5"/>
        <v>400</v>
      </c>
      <c r="Q126" s="11">
        <f>IF(P126=0,0,IFERROR(Q125+G126*M126*IF(E126="FUTURE",VLOOKUP(MID(I126,2,2),[1]Futures!$A$2:$B$12,2),1),G126*M126*IF(E126="FUTURE",VLOOKUP(MID(I126,2,2),[1]Futures!$A$2:$B$12,2),1)))</f>
        <v>16894.5</v>
      </c>
      <c r="R126" s="12">
        <f>IFERROR(Q126/P126/IF(E126="FUTURE",VLOOKUP(MID(I126,2,2),[1]Futures!$A$2:$B$12,2),1),"")</f>
        <v>42.236249999999998</v>
      </c>
      <c r="S126" s="13" t="str">
        <f>IF(AND(H126="TO CLOSE",P126=0),-G126*(M126-R125)*IF(E126="FUTURE",VLOOKUP(MID(I126,2,2),[1]Futures!$A$2:$B$12,2),1),"")</f>
        <v/>
      </c>
    </row>
    <row r="127" spans="1:19" x14ac:dyDescent="0.2">
      <c r="A127">
        <f t="shared" si="3"/>
        <v>30</v>
      </c>
      <c r="B127" s="3">
        <v>43929</v>
      </c>
      <c r="C127" s="3" t="str">
        <f t="shared" si="4"/>
        <v>Wednesday</v>
      </c>
      <c r="D127" s="2">
        <v>0.57144675925925925</v>
      </c>
      <c r="E127" t="s">
        <v>22</v>
      </c>
      <c r="F127" t="s">
        <v>15</v>
      </c>
      <c r="G127">
        <v>-100</v>
      </c>
      <c r="H127" t="s">
        <v>16</v>
      </c>
      <c r="I127" t="s">
        <v>23</v>
      </c>
      <c r="L127" t="s">
        <v>22</v>
      </c>
      <c r="M127">
        <v>42.784999999999997</v>
      </c>
      <c r="N127">
        <v>42.784999999999997</v>
      </c>
      <c r="O127" t="s">
        <v>21</v>
      </c>
      <c r="P127">
        <f t="shared" si="5"/>
        <v>300</v>
      </c>
      <c r="Q127" s="11">
        <f>IF(P127=0,0,IFERROR(Q126+G127*M127*IF(E127="FUTURE",VLOOKUP(MID(I127,2,2),[1]Futures!$A$2:$B$12,2),1),G127*M127*IF(E127="FUTURE",VLOOKUP(MID(I127,2,2),[1]Futures!$A$2:$B$12,2),1)))</f>
        <v>12616</v>
      </c>
      <c r="R127" s="12">
        <f>IFERROR(Q127/P127/IF(E127="FUTURE",VLOOKUP(MID(I127,2,2),[1]Futures!$A$2:$B$12,2),1),"")</f>
        <v>42.053333333333335</v>
      </c>
      <c r="S127" s="13" t="str">
        <f>IF(AND(H127="TO CLOSE",P127=0),-G127*(M127-R126)*IF(E127="FUTURE",VLOOKUP(MID(I127,2,2),[1]Futures!$A$2:$B$12,2),1),"")</f>
        <v/>
      </c>
    </row>
    <row r="128" spans="1:19" x14ac:dyDescent="0.2">
      <c r="A128">
        <f t="shared" si="3"/>
        <v>30</v>
      </c>
      <c r="B128" s="3">
        <v>43929</v>
      </c>
      <c r="C128" s="3" t="str">
        <f t="shared" si="4"/>
        <v>Wednesday</v>
      </c>
      <c r="D128" s="2">
        <v>0.57478009259259266</v>
      </c>
      <c r="E128" t="s">
        <v>22</v>
      </c>
      <c r="F128" t="s">
        <v>15</v>
      </c>
      <c r="G128">
        <v>-100</v>
      </c>
      <c r="H128" t="s">
        <v>16</v>
      </c>
      <c r="I128" t="s">
        <v>23</v>
      </c>
      <c r="L128" t="s">
        <v>22</v>
      </c>
      <c r="M128">
        <v>42.690399999999997</v>
      </c>
      <c r="N128">
        <v>42.690399999999997</v>
      </c>
      <c r="O128" t="s">
        <v>21</v>
      </c>
      <c r="P128">
        <f t="shared" si="5"/>
        <v>200</v>
      </c>
      <c r="Q128" s="11">
        <f>IF(P128=0,0,IFERROR(Q127+G128*M128*IF(E128="FUTURE",VLOOKUP(MID(I128,2,2),[1]Futures!$A$2:$B$12,2),1),G128*M128*IF(E128="FUTURE",VLOOKUP(MID(I128,2,2),[1]Futures!$A$2:$B$12,2),1)))</f>
        <v>8346.9599999999991</v>
      </c>
      <c r="R128" s="12">
        <f>IFERROR(Q128/P128/IF(E128="FUTURE",VLOOKUP(MID(I128,2,2),[1]Futures!$A$2:$B$12,2),1),"")</f>
        <v>41.734799999999993</v>
      </c>
      <c r="S128" s="13" t="str">
        <f>IF(AND(H128="TO CLOSE",P128=0),-G128*(M128-R127)*IF(E128="FUTURE",VLOOKUP(MID(I128,2,2),[1]Futures!$A$2:$B$12,2),1),"")</f>
        <v/>
      </c>
    </row>
    <row r="129" spans="1:19" x14ac:dyDescent="0.2">
      <c r="A129">
        <f t="shared" si="3"/>
        <v>30</v>
      </c>
      <c r="B129" s="3">
        <v>43929</v>
      </c>
      <c r="C129" s="3" t="str">
        <f t="shared" si="4"/>
        <v>Wednesday</v>
      </c>
      <c r="D129" s="2">
        <v>0.57750000000000001</v>
      </c>
      <c r="E129" t="s">
        <v>22</v>
      </c>
      <c r="F129" t="s">
        <v>15</v>
      </c>
      <c r="G129">
        <v>-200</v>
      </c>
      <c r="H129" t="s">
        <v>16</v>
      </c>
      <c r="I129" t="s">
        <v>23</v>
      </c>
      <c r="L129" t="s">
        <v>22</v>
      </c>
      <c r="M129">
        <v>42.720999999999997</v>
      </c>
      <c r="N129">
        <v>42.720999999999997</v>
      </c>
      <c r="O129" t="s">
        <v>24</v>
      </c>
      <c r="P129">
        <f t="shared" si="5"/>
        <v>0</v>
      </c>
      <c r="Q129" s="11">
        <f>IF(P129=0,0,IFERROR(Q128+G129*M129*IF(E129="FUTURE",VLOOKUP(MID(I129,2,2),[1]Futures!$A$2:$B$12,2),1),G129*M129*IF(E129="FUTURE",VLOOKUP(MID(I129,2,2),[1]Futures!$A$2:$B$12,2),1)))</f>
        <v>0</v>
      </c>
      <c r="R129" s="12" t="str">
        <f>IFERROR(Q129/P129/IF(E129="FUTURE",VLOOKUP(MID(I129,2,2),[1]Futures!$A$2:$B$12,2),1),"")</f>
        <v/>
      </c>
      <c r="S129" s="13">
        <f>IF(AND(H129="TO CLOSE",P129=0),-G129*(M129-R128)*IF(E129="FUTURE",VLOOKUP(MID(I129,2,2),[1]Futures!$A$2:$B$12,2),1),"")</f>
        <v>197.24000000000075</v>
      </c>
    </row>
    <row r="130" spans="1:19" x14ac:dyDescent="0.2">
      <c r="A130">
        <f t="shared" ref="A130:A193" si="6">IF(AND(P129=0,H129="TO CLOSE"),IFERROR(A129+1,1),IFERROR(A129/1,1))</f>
        <v>31</v>
      </c>
      <c r="B130" s="3">
        <v>43930</v>
      </c>
      <c r="C130" s="3" t="str">
        <f t="shared" ref="C130:C193" si="7">IF(WEEKDAY(B130,2)=1,"Monday",IF(WEEKDAY(B130,2)=2,"Tuesday",IF(WEEKDAY(B130,2)=3,"Wednesday",IF(WEEKDAY(B130,2)=4,"Thursday",IF(WEEKDAY(B130,2)=5,"Friday","Sunday")))))</f>
        <v>Thursday</v>
      </c>
      <c r="D130" s="2">
        <v>0.47226851851851853</v>
      </c>
      <c r="E130" t="s">
        <v>14</v>
      </c>
      <c r="F130" t="s">
        <v>19</v>
      </c>
      <c r="G130">
        <v>1</v>
      </c>
      <c r="H130" t="s">
        <v>20</v>
      </c>
      <c r="I130" t="s">
        <v>36</v>
      </c>
      <c r="J130" s="1">
        <v>43971</v>
      </c>
      <c r="L130" t="s">
        <v>14</v>
      </c>
      <c r="M130">
        <v>25.97</v>
      </c>
      <c r="N130">
        <v>25.97</v>
      </c>
      <c r="O130" t="s">
        <v>24</v>
      </c>
      <c r="P130">
        <f t="shared" si="5"/>
        <v>1</v>
      </c>
      <c r="Q130" s="11">
        <f>IF(P130=0,0,IFERROR(Q129+G130*M130*IF(E130="FUTURE",VLOOKUP(MID(I130,2,2),[1]Futures!$A$2:$B$12,2),1),G130*M130*IF(E130="FUTURE",VLOOKUP(MID(I130,2,2),[1]Futures!$A$2:$B$12,2),1)))</f>
        <v>25970</v>
      </c>
      <c r="R130" s="12">
        <f>IFERROR(Q130/P130/IF(E130="FUTURE",VLOOKUP(MID(I130,2,2),[1]Futures!$A$2:$B$12,2),1),"")</f>
        <v>25.97</v>
      </c>
      <c r="S130" s="13" t="str">
        <f>IF(AND(H130="TO CLOSE",P130=0),-G130*(M130-R129)*IF(E130="FUTURE",VLOOKUP(MID(I130,2,2),[1]Futures!$A$2:$B$12,2),1),"")</f>
        <v/>
      </c>
    </row>
    <row r="131" spans="1:19" x14ac:dyDescent="0.2">
      <c r="A131">
        <f t="shared" si="6"/>
        <v>31</v>
      </c>
      <c r="B131" s="3">
        <v>43930</v>
      </c>
      <c r="C131" s="3" t="str">
        <f t="shared" si="7"/>
        <v>Thursday</v>
      </c>
      <c r="D131" s="2">
        <v>0.4729976851851852</v>
      </c>
      <c r="E131" t="s">
        <v>14</v>
      </c>
      <c r="F131" t="s">
        <v>15</v>
      </c>
      <c r="G131">
        <v>-1</v>
      </c>
      <c r="H131" t="s">
        <v>16</v>
      </c>
      <c r="I131" t="s">
        <v>36</v>
      </c>
      <c r="J131" s="1">
        <v>43971</v>
      </c>
      <c r="L131" t="s">
        <v>14</v>
      </c>
      <c r="M131">
        <v>25.98</v>
      </c>
      <c r="N131">
        <v>25.98</v>
      </c>
      <c r="O131" t="s">
        <v>18</v>
      </c>
      <c r="P131">
        <f t="shared" ref="P131:P194" si="8">IF(H131="TO OPEN",IFERROR(P130+G131,0+G131),IFERROR(P130+G131,0+G131))</f>
        <v>0</v>
      </c>
      <c r="Q131" s="11">
        <f>IF(P131=0,0,IFERROR(Q130+G131*M131*IF(E131="FUTURE",VLOOKUP(MID(I131,2,2),[1]Futures!$A$2:$B$12,2),1),G131*M131*IF(E131="FUTURE",VLOOKUP(MID(I131,2,2),[1]Futures!$A$2:$B$12,2),1)))</f>
        <v>0</v>
      </c>
      <c r="R131" s="12" t="str">
        <f>IFERROR(Q131/P131/IF(E131="FUTURE",VLOOKUP(MID(I131,2,2),[1]Futures!$A$2:$B$12,2),1),"")</f>
        <v/>
      </c>
      <c r="S131" s="13">
        <f>IF(AND(H131="TO CLOSE",P131=0),-G131*(M131-R130)*IF(E131="FUTURE",VLOOKUP(MID(I131,2,2),[1]Futures!$A$2:$B$12,2),1),"")</f>
        <v>10.000000000001563</v>
      </c>
    </row>
    <row r="132" spans="1:19" x14ac:dyDescent="0.2">
      <c r="A132">
        <f t="shared" si="6"/>
        <v>32</v>
      </c>
      <c r="B132" s="3">
        <v>43930</v>
      </c>
      <c r="C132" s="3" t="str">
        <f t="shared" si="7"/>
        <v>Thursday</v>
      </c>
      <c r="D132" s="2">
        <v>0.49864583333333329</v>
      </c>
      <c r="E132" t="s">
        <v>14</v>
      </c>
      <c r="F132" t="s">
        <v>19</v>
      </c>
      <c r="G132">
        <v>1</v>
      </c>
      <c r="H132" t="s">
        <v>20</v>
      </c>
      <c r="I132" t="s">
        <v>36</v>
      </c>
      <c r="J132" s="1">
        <v>43971</v>
      </c>
      <c r="L132" t="s">
        <v>14</v>
      </c>
      <c r="M132">
        <v>25.9</v>
      </c>
      <c r="N132">
        <v>25.9</v>
      </c>
      <c r="O132" t="s">
        <v>21</v>
      </c>
      <c r="P132">
        <f t="shared" si="8"/>
        <v>1</v>
      </c>
      <c r="Q132" s="11">
        <f>IF(P132=0,0,IFERROR(Q131+G132*M132*IF(E132="FUTURE",VLOOKUP(MID(I132,2,2),[1]Futures!$A$2:$B$12,2),1),G132*M132*IF(E132="FUTURE",VLOOKUP(MID(I132,2,2),[1]Futures!$A$2:$B$12,2),1)))</f>
        <v>25900</v>
      </c>
      <c r="R132" s="12">
        <f>IFERROR(Q132/P132/IF(E132="FUTURE",VLOOKUP(MID(I132,2,2),[1]Futures!$A$2:$B$12,2),1),"")</f>
        <v>25.9</v>
      </c>
      <c r="S132" s="13" t="str">
        <f>IF(AND(H132="TO CLOSE",P132=0),-G132*(M132-R131)*IF(E132="FUTURE",VLOOKUP(MID(I132,2,2),[1]Futures!$A$2:$B$12,2),1),"")</f>
        <v/>
      </c>
    </row>
    <row r="133" spans="1:19" x14ac:dyDescent="0.2">
      <c r="A133">
        <f t="shared" si="6"/>
        <v>32</v>
      </c>
      <c r="B133" s="3">
        <v>43930</v>
      </c>
      <c r="C133" s="3" t="str">
        <f t="shared" si="7"/>
        <v>Thursday</v>
      </c>
      <c r="D133" s="2">
        <v>0.50342592592592594</v>
      </c>
      <c r="E133" t="s">
        <v>14</v>
      </c>
      <c r="F133" t="s">
        <v>15</v>
      </c>
      <c r="G133">
        <v>-1</v>
      </c>
      <c r="H133" t="s">
        <v>16</v>
      </c>
      <c r="I133" t="s">
        <v>36</v>
      </c>
      <c r="J133" s="1">
        <v>43971</v>
      </c>
      <c r="L133" t="s">
        <v>14</v>
      </c>
      <c r="M133">
        <v>26.2</v>
      </c>
      <c r="N133">
        <v>26.2</v>
      </c>
      <c r="O133" t="s">
        <v>21</v>
      </c>
      <c r="P133">
        <f t="shared" si="8"/>
        <v>0</v>
      </c>
      <c r="Q133" s="11">
        <f>IF(P133=0,0,IFERROR(Q132+G133*M133*IF(E133="FUTURE",VLOOKUP(MID(I133,2,2),[1]Futures!$A$2:$B$12,2),1),G133*M133*IF(E133="FUTURE",VLOOKUP(MID(I133,2,2),[1]Futures!$A$2:$B$12,2),1)))</f>
        <v>0</v>
      </c>
      <c r="R133" s="12" t="str">
        <f>IFERROR(Q133/P133/IF(E133="FUTURE",VLOOKUP(MID(I133,2,2),[1]Futures!$A$2:$B$12,2),1),"")</f>
        <v/>
      </c>
      <c r="S133" s="13">
        <f>IF(AND(H133="TO CLOSE",P133=0),-G133*(M133-R132)*IF(E133="FUTURE",VLOOKUP(MID(I133,2,2),[1]Futures!$A$2:$B$12,2),1),"")</f>
        <v>300.00000000000068</v>
      </c>
    </row>
    <row r="134" spans="1:19" x14ac:dyDescent="0.2">
      <c r="A134">
        <f t="shared" si="6"/>
        <v>33</v>
      </c>
      <c r="B134" s="3">
        <v>43930</v>
      </c>
      <c r="C134" s="3" t="str">
        <f t="shared" si="7"/>
        <v>Thursday</v>
      </c>
      <c r="D134" s="2">
        <v>0.59553240740740743</v>
      </c>
      <c r="E134" t="s">
        <v>14</v>
      </c>
      <c r="F134" t="s">
        <v>19</v>
      </c>
      <c r="G134">
        <v>1</v>
      </c>
      <c r="H134" t="s">
        <v>20</v>
      </c>
      <c r="I134" t="s">
        <v>36</v>
      </c>
      <c r="J134" s="1">
        <v>43971</v>
      </c>
      <c r="L134" t="s">
        <v>14</v>
      </c>
      <c r="M134">
        <v>23.79</v>
      </c>
      <c r="N134">
        <v>23.79</v>
      </c>
      <c r="O134" t="s">
        <v>21</v>
      </c>
      <c r="P134">
        <f t="shared" si="8"/>
        <v>1</v>
      </c>
      <c r="Q134" s="11">
        <f>IF(P134=0,0,IFERROR(Q133+G134*M134*IF(E134="FUTURE",VLOOKUP(MID(I134,2,2),[1]Futures!$A$2:$B$12,2),1),G134*M134*IF(E134="FUTURE",VLOOKUP(MID(I134,2,2),[1]Futures!$A$2:$B$12,2),1)))</f>
        <v>23790</v>
      </c>
      <c r="R134" s="12">
        <f>IFERROR(Q134/P134/IF(E134="FUTURE",VLOOKUP(MID(I134,2,2),[1]Futures!$A$2:$B$12,2),1),"")</f>
        <v>23.79</v>
      </c>
      <c r="S134" s="13" t="str">
        <f>IF(AND(H134="TO CLOSE",P134=0),-G134*(M134-R133)*IF(E134="FUTURE",VLOOKUP(MID(I134,2,2),[1]Futures!$A$2:$B$12,2),1),"")</f>
        <v/>
      </c>
    </row>
    <row r="135" spans="1:19" x14ac:dyDescent="0.2">
      <c r="A135">
        <f t="shared" si="6"/>
        <v>33</v>
      </c>
      <c r="B135" s="3">
        <v>43930</v>
      </c>
      <c r="C135" s="3" t="str">
        <f t="shared" si="7"/>
        <v>Thursday</v>
      </c>
      <c r="D135" s="2">
        <v>0.59582175925925929</v>
      </c>
      <c r="E135" t="s">
        <v>14</v>
      </c>
      <c r="F135" t="s">
        <v>15</v>
      </c>
      <c r="G135">
        <v>-1</v>
      </c>
      <c r="H135" t="s">
        <v>16</v>
      </c>
      <c r="I135" t="s">
        <v>36</v>
      </c>
      <c r="J135" s="1">
        <v>43971</v>
      </c>
      <c r="L135" t="s">
        <v>14</v>
      </c>
      <c r="M135">
        <v>23.8</v>
      </c>
      <c r="N135">
        <v>23.8</v>
      </c>
      <c r="O135" t="s">
        <v>18</v>
      </c>
      <c r="P135">
        <f t="shared" si="8"/>
        <v>0</v>
      </c>
      <c r="Q135" s="11">
        <f>IF(P135=0,0,IFERROR(Q134+G135*M135*IF(E135="FUTURE",VLOOKUP(MID(I135,2,2),[1]Futures!$A$2:$B$12,2),1),G135*M135*IF(E135="FUTURE",VLOOKUP(MID(I135,2,2),[1]Futures!$A$2:$B$12,2),1)))</f>
        <v>0</v>
      </c>
      <c r="R135" s="12" t="str">
        <f>IFERROR(Q135/P135/IF(E135="FUTURE",VLOOKUP(MID(I135,2,2),[1]Futures!$A$2:$B$12,2),1),"")</f>
        <v/>
      </c>
      <c r="S135" s="13">
        <f>IF(AND(H135="TO CLOSE",P135=0),-G135*(M135-R134)*IF(E135="FUTURE",VLOOKUP(MID(I135,2,2),[1]Futures!$A$2:$B$12,2),1),"")</f>
        <v>10.000000000001563</v>
      </c>
    </row>
    <row r="136" spans="1:19" x14ac:dyDescent="0.2">
      <c r="A136">
        <f t="shared" si="6"/>
        <v>34</v>
      </c>
      <c r="B136" s="3">
        <v>43930</v>
      </c>
      <c r="C136" s="3" t="str">
        <f t="shared" si="7"/>
        <v>Thursday</v>
      </c>
      <c r="D136" s="2">
        <v>0.59609953703703711</v>
      </c>
      <c r="E136" t="s">
        <v>14</v>
      </c>
      <c r="F136" t="s">
        <v>19</v>
      </c>
      <c r="G136">
        <v>1</v>
      </c>
      <c r="H136" t="s">
        <v>20</v>
      </c>
      <c r="I136" t="s">
        <v>36</v>
      </c>
      <c r="J136" s="1">
        <v>43971</v>
      </c>
      <c r="L136" t="s">
        <v>14</v>
      </c>
      <c r="M136">
        <v>23.96</v>
      </c>
      <c r="N136">
        <v>23.96</v>
      </c>
      <c r="O136" t="s">
        <v>24</v>
      </c>
      <c r="P136">
        <f t="shared" si="8"/>
        <v>1</v>
      </c>
      <c r="Q136" s="11">
        <f>IF(P136=0,0,IFERROR(Q135+G136*M136*IF(E136="FUTURE",VLOOKUP(MID(I136,2,2),[1]Futures!$A$2:$B$12,2),1),G136*M136*IF(E136="FUTURE",VLOOKUP(MID(I136,2,2),[1]Futures!$A$2:$B$12,2),1)))</f>
        <v>23960</v>
      </c>
      <c r="R136" s="12">
        <f>IFERROR(Q136/P136/IF(E136="FUTURE",VLOOKUP(MID(I136,2,2),[1]Futures!$A$2:$B$12,2),1),"")</f>
        <v>23.96</v>
      </c>
      <c r="S136" s="13" t="str">
        <f>IF(AND(H136="TO CLOSE",P136=0),-G136*(M136-R135)*IF(E136="FUTURE",VLOOKUP(MID(I136,2,2),[1]Futures!$A$2:$B$12,2),1),"")</f>
        <v/>
      </c>
    </row>
    <row r="137" spans="1:19" x14ac:dyDescent="0.2">
      <c r="A137">
        <f t="shared" si="6"/>
        <v>34</v>
      </c>
      <c r="B137" s="3">
        <v>43930</v>
      </c>
      <c r="C137" s="3" t="str">
        <f t="shared" si="7"/>
        <v>Thursday</v>
      </c>
      <c r="D137" s="2">
        <v>0.60420138888888886</v>
      </c>
      <c r="E137" t="s">
        <v>14</v>
      </c>
      <c r="F137" t="s">
        <v>19</v>
      </c>
      <c r="G137">
        <v>1</v>
      </c>
      <c r="H137" t="s">
        <v>20</v>
      </c>
      <c r="I137" t="s">
        <v>36</v>
      </c>
      <c r="J137" s="1">
        <v>43971</v>
      </c>
      <c r="L137" t="s">
        <v>14</v>
      </c>
      <c r="M137">
        <v>22.96</v>
      </c>
      <c r="N137">
        <v>22.96</v>
      </c>
      <c r="O137" t="s">
        <v>18</v>
      </c>
      <c r="P137">
        <f t="shared" si="8"/>
        <v>2</v>
      </c>
      <c r="Q137" s="11">
        <f>IF(P137=0,0,IFERROR(Q136+G137*M137*IF(E137="FUTURE",VLOOKUP(MID(I137,2,2),[1]Futures!$A$2:$B$12,2),1),G137*M137*IF(E137="FUTURE",VLOOKUP(MID(I137,2,2),[1]Futures!$A$2:$B$12,2),1)))</f>
        <v>46920</v>
      </c>
      <c r="R137" s="12">
        <f>IFERROR(Q137/P137/IF(E137="FUTURE",VLOOKUP(MID(I137,2,2),[1]Futures!$A$2:$B$12,2),1),"")</f>
        <v>23.46</v>
      </c>
      <c r="S137" s="13" t="str">
        <f>IF(AND(H137="TO CLOSE",P137=0),-G137*(M137-R136)*IF(E137="FUTURE",VLOOKUP(MID(I137,2,2),[1]Futures!$A$2:$B$12,2),1),"")</f>
        <v/>
      </c>
    </row>
    <row r="138" spans="1:19" x14ac:dyDescent="0.2">
      <c r="A138">
        <f t="shared" si="6"/>
        <v>34</v>
      </c>
      <c r="B138" s="3">
        <v>43930</v>
      </c>
      <c r="C138" s="3" t="str">
        <f t="shared" si="7"/>
        <v>Thursday</v>
      </c>
      <c r="D138" s="2">
        <v>0.61561342592592594</v>
      </c>
      <c r="E138" t="s">
        <v>14</v>
      </c>
      <c r="F138" t="s">
        <v>15</v>
      </c>
      <c r="G138">
        <v>-1</v>
      </c>
      <c r="H138" t="s">
        <v>16</v>
      </c>
      <c r="I138" t="s">
        <v>36</v>
      </c>
      <c r="J138" s="1">
        <v>43971</v>
      </c>
      <c r="L138" t="s">
        <v>14</v>
      </c>
      <c r="M138">
        <v>23.37</v>
      </c>
      <c r="N138">
        <v>23.37</v>
      </c>
      <c r="O138" t="s">
        <v>21</v>
      </c>
      <c r="P138">
        <f t="shared" si="8"/>
        <v>1</v>
      </c>
      <c r="Q138" s="11">
        <f>IF(P138=0,0,IFERROR(Q137+G138*M138*IF(E138="FUTURE",VLOOKUP(MID(I138,2,2),[1]Futures!$A$2:$B$12,2),1),G138*M138*IF(E138="FUTURE",VLOOKUP(MID(I138,2,2),[1]Futures!$A$2:$B$12,2),1)))</f>
        <v>23550</v>
      </c>
      <c r="R138" s="12">
        <f>IFERROR(Q138/P138/IF(E138="FUTURE",VLOOKUP(MID(I138,2,2),[1]Futures!$A$2:$B$12,2),1),"")</f>
        <v>23.55</v>
      </c>
      <c r="S138" s="13" t="str">
        <f>IF(AND(H138="TO CLOSE",P138=0),-G138*(M138-R137)*IF(E138="FUTURE",VLOOKUP(MID(I138,2,2),[1]Futures!$A$2:$B$12,2),1),"")</f>
        <v/>
      </c>
    </row>
    <row r="139" spans="1:19" x14ac:dyDescent="0.2">
      <c r="A139">
        <f t="shared" si="6"/>
        <v>34</v>
      </c>
      <c r="B139" s="3">
        <v>43930</v>
      </c>
      <c r="C139" s="3" t="str">
        <f t="shared" si="7"/>
        <v>Thursday</v>
      </c>
      <c r="D139" s="2">
        <v>0.62812499999999993</v>
      </c>
      <c r="E139" t="s">
        <v>14</v>
      </c>
      <c r="F139" t="s">
        <v>15</v>
      </c>
      <c r="G139">
        <v>-1</v>
      </c>
      <c r="H139" t="s">
        <v>16</v>
      </c>
      <c r="I139" t="s">
        <v>36</v>
      </c>
      <c r="J139" s="1">
        <v>43971</v>
      </c>
      <c r="L139" t="s">
        <v>14</v>
      </c>
      <c r="M139">
        <v>23.51</v>
      </c>
      <c r="N139">
        <v>23.51</v>
      </c>
      <c r="O139" t="s">
        <v>21</v>
      </c>
      <c r="P139">
        <f t="shared" si="8"/>
        <v>0</v>
      </c>
      <c r="Q139" s="11">
        <f>IF(P139=0,0,IFERROR(Q138+G139*M139*IF(E139="FUTURE",VLOOKUP(MID(I139,2,2),[1]Futures!$A$2:$B$12,2),1),G139*M139*IF(E139="FUTURE",VLOOKUP(MID(I139,2,2),[1]Futures!$A$2:$B$12,2),1)))</f>
        <v>0</v>
      </c>
      <c r="R139" s="12" t="str">
        <f>IFERROR(Q139/P139/IF(E139="FUTURE",VLOOKUP(MID(I139,2,2),[1]Futures!$A$2:$B$12,2),1),"")</f>
        <v/>
      </c>
      <c r="S139" s="13">
        <f>IF(AND(H139="TO CLOSE",P139=0),-G139*(M139-R138)*IF(E139="FUTURE",VLOOKUP(MID(I139,2,2),[1]Futures!$A$2:$B$12,2),1),"")</f>
        <v>-39.999999999999147</v>
      </c>
    </row>
    <row r="140" spans="1:19" x14ac:dyDescent="0.2">
      <c r="A140">
        <f t="shared" si="6"/>
        <v>35</v>
      </c>
      <c r="B140" s="3">
        <v>43930</v>
      </c>
      <c r="C140" s="3" t="str">
        <f t="shared" si="7"/>
        <v>Thursday</v>
      </c>
      <c r="D140" s="2">
        <v>0.44666666666666671</v>
      </c>
      <c r="E140" t="s">
        <v>14</v>
      </c>
      <c r="F140" t="s">
        <v>15</v>
      </c>
      <c r="G140">
        <v>-3</v>
      </c>
      <c r="H140" t="s">
        <v>20</v>
      </c>
      <c r="I140" t="s">
        <v>73</v>
      </c>
      <c r="J140" s="1">
        <v>44002</v>
      </c>
      <c r="L140" t="s">
        <v>14</v>
      </c>
      <c r="M140">
        <v>2793.25</v>
      </c>
      <c r="N140">
        <v>2793.25</v>
      </c>
      <c r="O140" t="s">
        <v>21</v>
      </c>
      <c r="P140">
        <f t="shared" si="8"/>
        <v>-3</v>
      </c>
      <c r="Q140" s="11">
        <f>IF(P140=0,0,IFERROR(Q139+G140*M140*IF(E140="FUTURE",VLOOKUP(MID(I140,2,2),[1]Futures!$A$2:$B$12,2),1),G140*M140*IF(E140="FUTURE",VLOOKUP(MID(I140,2,2),[1]Futures!$A$2:$B$12,2),1)))</f>
        <v>-41898.75</v>
      </c>
      <c r="R140" s="12">
        <f>IFERROR(Q140/P140/IF(E140="FUTURE",VLOOKUP(MID(I140,2,2),[1]Futures!$A$2:$B$12,2),1),"")</f>
        <v>2793.25</v>
      </c>
      <c r="S140" s="13" t="str">
        <f>IF(AND(H140="TO CLOSE",P140=0),-G140*(M140-R139)*IF(E140="FUTURE",VLOOKUP(MID(I140,2,2),[1]Futures!$A$2:$B$12,2),1),"")</f>
        <v/>
      </c>
    </row>
    <row r="141" spans="1:19" x14ac:dyDescent="0.2">
      <c r="A141">
        <f t="shared" si="6"/>
        <v>35</v>
      </c>
      <c r="B141" s="3">
        <v>43930</v>
      </c>
      <c r="C141" s="3" t="str">
        <f t="shared" si="7"/>
        <v>Thursday</v>
      </c>
      <c r="D141" s="2">
        <v>0.44753472222222218</v>
      </c>
      <c r="E141" t="s">
        <v>14</v>
      </c>
      <c r="F141" t="s">
        <v>15</v>
      </c>
      <c r="G141">
        <v>-2</v>
      </c>
      <c r="H141" t="s">
        <v>20</v>
      </c>
      <c r="I141" t="s">
        <v>73</v>
      </c>
      <c r="J141" s="1">
        <v>44002</v>
      </c>
      <c r="L141" t="s">
        <v>14</v>
      </c>
      <c r="M141">
        <v>2791.25</v>
      </c>
      <c r="N141">
        <v>2791.25</v>
      </c>
      <c r="O141" t="s">
        <v>21</v>
      </c>
      <c r="P141">
        <f t="shared" si="8"/>
        <v>-5</v>
      </c>
      <c r="Q141" s="11">
        <f>IF(P141=0,0,IFERROR(Q140+G141*M141*IF(E141="FUTURE",VLOOKUP(MID(I141,2,2),[1]Futures!$A$2:$B$12,2),1),G141*M141*IF(E141="FUTURE",VLOOKUP(MID(I141,2,2),[1]Futures!$A$2:$B$12,2),1)))</f>
        <v>-69811.25</v>
      </c>
      <c r="R141" s="12">
        <f>IFERROR(Q141/P141/IF(E141="FUTURE",VLOOKUP(MID(I141,2,2),[1]Futures!$A$2:$B$12,2),1),"")</f>
        <v>2792.45</v>
      </c>
      <c r="S141" s="13" t="str">
        <f>IF(AND(H141="TO CLOSE",P141=0),-G141*(M141-R140)*IF(E141="FUTURE",VLOOKUP(MID(I141,2,2),[1]Futures!$A$2:$B$12,2),1),"")</f>
        <v/>
      </c>
    </row>
    <row r="142" spans="1:19" x14ac:dyDescent="0.2">
      <c r="A142">
        <f t="shared" si="6"/>
        <v>35</v>
      </c>
      <c r="B142" s="3">
        <v>43930</v>
      </c>
      <c r="C142" s="3" t="str">
        <f t="shared" si="7"/>
        <v>Thursday</v>
      </c>
      <c r="D142" s="2">
        <v>0.46097222222222217</v>
      </c>
      <c r="E142" t="s">
        <v>14</v>
      </c>
      <c r="F142" t="s">
        <v>19</v>
      </c>
      <c r="G142">
        <v>2</v>
      </c>
      <c r="H142" t="s">
        <v>16</v>
      </c>
      <c r="I142" t="s">
        <v>73</v>
      </c>
      <c r="J142" s="1">
        <v>44002</v>
      </c>
      <c r="L142" t="s">
        <v>14</v>
      </c>
      <c r="M142">
        <v>2775.5</v>
      </c>
      <c r="N142">
        <v>2775.5</v>
      </c>
      <c r="O142" t="s">
        <v>21</v>
      </c>
      <c r="P142">
        <f t="shared" si="8"/>
        <v>-3</v>
      </c>
      <c r="Q142" s="11">
        <f>IF(P142=0,0,IFERROR(Q141+G142*M142*IF(E142="FUTURE",VLOOKUP(MID(I142,2,2),[1]Futures!$A$2:$B$12,2),1),G142*M142*IF(E142="FUTURE",VLOOKUP(MID(I142,2,2),[1]Futures!$A$2:$B$12,2),1)))</f>
        <v>-42056.25</v>
      </c>
      <c r="R142" s="12">
        <f>IFERROR(Q142/P142/IF(E142="FUTURE",VLOOKUP(MID(I142,2,2),[1]Futures!$A$2:$B$12,2),1),"")</f>
        <v>2803.75</v>
      </c>
      <c r="S142" s="13" t="str">
        <f>IF(AND(H142="TO CLOSE",P142=0),-G142*(M142-R141)*IF(E142="FUTURE",VLOOKUP(MID(I142,2,2),[1]Futures!$A$2:$B$12,2),1),"")</f>
        <v/>
      </c>
    </row>
    <row r="143" spans="1:19" x14ac:dyDescent="0.2">
      <c r="A143">
        <f t="shared" si="6"/>
        <v>35</v>
      </c>
      <c r="B143" s="3">
        <v>43930</v>
      </c>
      <c r="C143" s="3" t="str">
        <f t="shared" si="7"/>
        <v>Thursday</v>
      </c>
      <c r="D143" s="2">
        <v>0.46270833333333333</v>
      </c>
      <c r="E143" t="s">
        <v>14</v>
      </c>
      <c r="F143" t="s">
        <v>19</v>
      </c>
      <c r="G143">
        <v>3</v>
      </c>
      <c r="H143" t="s">
        <v>16</v>
      </c>
      <c r="I143" t="s">
        <v>73</v>
      </c>
      <c r="J143" s="1">
        <v>44002</v>
      </c>
      <c r="L143" t="s">
        <v>14</v>
      </c>
      <c r="M143">
        <v>2772.5</v>
      </c>
      <c r="N143">
        <v>2772.5</v>
      </c>
      <c r="O143" t="s">
        <v>24</v>
      </c>
      <c r="P143">
        <f t="shared" si="8"/>
        <v>0</v>
      </c>
      <c r="Q143" s="11">
        <f>IF(P143=0,0,IFERROR(Q142+G143*M143*IF(E143="FUTURE",VLOOKUP(MID(I143,2,2),[1]Futures!$A$2:$B$12,2),1),G143*M143*IF(E143="FUTURE",VLOOKUP(MID(I143,2,2),[1]Futures!$A$2:$B$12,2),1)))</f>
        <v>0</v>
      </c>
      <c r="R143" s="12" t="str">
        <f>IFERROR(Q143/P143/IF(E143="FUTURE",VLOOKUP(MID(I143,2,2),[1]Futures!$A$2:$B$12,2),1),"")</f>
        <v/>
      </c>
      <c r="S143" s="13">
        <f>IF(AND(H143="TO CLOSE",P143=0),-G143*(M143-R142)*IF(E143="FUTURE",VLOOKUP(MID(I143,2,2),[1]Futures!$A$2:$B$12,2),1),"")</f>
        <v>468.75</v>
      </c>
    </row>
    <row r="144" spans="1:19" x14ac:dyDescent="0.2">
      <c r="A144">
        <f t="shared" si="6"/>
        <v>36</v>
      </c>
      <c r="B144" s="3">
        <v>43930</v>
      </c>
      <c r="C144" s="3" t="str">
        <f t="shared" si="7"/>
        <v>Thursday</v>
      </c>
      <c r="D144" s="2">
        <v>0.46606481481481482</v>
      </c>
      <c r="E144" t="s">
        <v>14</v>
      </c>
      <c r="F144" t="s">
        <v>15</v>
      </c>
      <c r="G144">
        <v>-3</v>
      </c>
      <c r="H144" t="s">
        <v>20</v>
      </c>
      <c r="I144" t="s">
        <v>73</v>
      </c>
      <c r="J144" s="1">
        <v>44002</v>
      </c>
      <c r="L144" t="s">
        <v>14</v>
      </c>
      <c r="M144">
        <v>2778</v>
      </c>
      <c r="N144">
        <v>2778</v>
      </c>
      <c r="O144" t="s">
        <v>24</v>
      </c>
      <c r="P144">
        <f t="shared" si="8"/>
        <v>-3</v>
      </c>
      <c r="Q144" s="11">
        <f>IF(P144=0,0,IFERROR(Q143+G144*M144*IF(E144="FUTURE",VLOOKUP(MID(I144,2,2),[1]Futures!$A$2:$B$12,2),1),G144*M144*IF(E144="FUTURE",VLOOKUP(MID(I144,2,2),[1]Futures!$A$2:$B$12,2),1)))</f>
        <v>-41670</v>
      </c>
      <c r="R144" s="12">
        <f>IFERROR(Q144/P144/IF(E144="FUTURE",VLOOKUP(MID(I144,2,2),[1]Futures!$A$2:$B$12,2),1),"")</f>
        <v>2778</v>
      </c>
      <c r="S144" s="13" t="str">
        <f>IF(AND(H144="TO CLOSE",P144=0),-G144*(M144-R143)*IF(E144="FUTURE",VLOOKUP(MID(I144,2,2),[1]Futures!$A$2:$B$12,2),1),"")</f>
        <v/>
      </c>
    </row>
    <row r="145" spans="1:19" x14ac:dyDescent="0.2">
      <c r="A145">
        <f t="shared" si="6"/>
        <v>36</v>
      </c>
      <c r="B145" s="3">
        <v>43930</v>
      </c>
      <c r="C145" s="3" t="str">
        <f t="shared" si="7"/>
        <v>Thursday</v>
      </c>
      <c r="D145" s="2">
        <v>0.46771990740740743</v>
      </c>
      <c r="E145" t="s">
        <v>14</v>
      </c>
      <c r="F145" t="s">
        <v>19</v>
      </c>
      <c r="G145">
        <v>3</v>
      </c>
      <c r="H145" t="s">
        <v>16</v>
      </c>
      <c r="I145" t="s">
        <v>73</v>
      </c>
      <c r="J145" s="1">
        <v>44002</v>
      </c>
      <c r="L145" t="s">
        <v>14</v>
      </c>
      <c r="M145">
        <v>2777.5</v>
      </c>
      <c r="N145">
        <v>2777.5</v>
      </c>
      <c r="O145" t="s">
        <v>21</v>
      </c>
      <c r="P145">
        <f t="shared" si="8"/>
        <v>0</v>
      </c>
      <c r="Q145" s="11">
        <f>IF(P145=0,0,IFERROR(Q144+G145*M145*IF(E145="FUTURE",VLOOKUP(MID(I145,2,2),[1]Futures!$A$2:$B$12,2),1),G145*M145*IF(E145="FUTURE",VLOOKUP(MID(I145,2,2),[1]Futures!$A$2:$B$12,2),1)))</f>
        <v>0</v>
      </c>
      <c r="R145" s="12" t="str">
        <f>IFERROR(Q145/P145/IF(E145="FUTURE",VLOOKUP(MID(I145,2,2),[1]Futures!$A$2:$B$12,2),1),"")</f>
        <v/>
      </c>
      <c r="S145" s="13">
        <f>IF(AND(H145="TO CLOSE",P145=0),-G145*(M145-R144)*IF(E145="FUTURE",VLOOKUP(MID(I145,2,2),[1]Futures!$A$2:$B$12,2),1),"")</f>
        <v>7.5</v>
      </c>
    </row>
    <row r="146" spans="1:19" x14ac:dyDescent="0.2">
      <c r="A146">
        <f t="shared" si="6"/>
        <v>37</v>
      </c>
      <c r="B146" s="3">
        <v>43930</v>
      </c>
      <c r="C146" s="3" t="str">
        <f t="shared" si="7"/>
        <v>Thursday</v>
      </c>
      <c r="D146" s="2">
        <v>0.495150462962963</v>
      </c>
      <c r="E146" t="s">
        <v>14</v>
      </c>
      <c r="F146" t="s">
        <v>15</v>
      </c>
      <c r="G146">
        <v>-1</v>
      </c>
      <c r="H146" t="s">
        <v>20</v>
      </c>
      <c r="I146" t="s">
        <v>73</v>
      </c>
      <c r="J146" s="1">
        <v>44002</v>
      </c>
      <c r="L146" t="s">
        <v>14</v>
      </c>
      <c r="M146">
        <v>2787.5</v>
      </c>
      <c r="N146">
        <v>2787.5</v>
      </c>
      <c r="O146" t="s">
        <v>21</v>
      </c>
      <c r="P146">
        <f t="shared" si="8"/>
        <v>-1</v>
      </c>
      <c r="Q146" s="11">
        <f>IF(P146=0,0,IFERROR(Q145+G146*M146*IF(E146="FUTURE",VLOOKUP(MID(I146,2,2),[1]Futures!$A$2:$B$12,2),1),G146*M146*IF(E146="FUTURE",VLOOKUP(MID(I146,2,2),[1]Futures!$A$2:$B$12,2),1)))</f>
        <v>-13937.5</v>
      </c>
      <c r="R146" s="12">
        <f>IFERROR(Q146/P146/IF(E146="FUTURE",VLOOKUP(MID(I146,2,2),[1]Futures!$A$2:$B$12,2),1),"")</f>
        <v>2787.5</v>
      </c>
      <c r="S146" s="13" t="str">
        <f>IF(AND(H146="TO CLOSE",P146=0),-G146*(M146-R145)*IF(E146="FUTURE",VLOOKUP(MID(I146,2,2),[1]Futures!$A$2:$B$12,2),1),"")</f>
        <v/>
      </c>
    </row>
    <row r="147" spans="1:19" x14ac:dyDescent="0.2">
      <c r="A147">
        <f t="shared" si="6"/>
        <v>37</v>
      </c>
      <c r="B147" s="3">
        <v>43930</v>
      </c>
      <c r="C147" s="3" t="str">
        <f t="shared" si="7"/>
        <v>Thursday</v>
      </c>
      <c r="D147" s="2">
        <v>0.495150462962963</v>
      </c>
      <c r="E147" t="s">
        <v>14</v>
      </c>
      <c r="F147" t="s">
        <v>15</v>
      </c>
      <c r="G147">
        <v>-1</v>
      </c>
      <c r="H147" t="s">
        <v>20</v>
      </c>
      <c r="I147" t="s">
        <v>73</v>
      </c>
      <c r="J147" s="1">
        <v>44002</v>
      </c>
      <c r="L147" t="s">
        <v>14</v>
      </c>
      <c r="M147">
        <v>2787.5</v>
      </c>
      <c r="N147">
        <v>2787.5</v>
      </c>
      <c r="O147" t="s">
        <v>21</v>
      </c>
      <c r="P147">
        <f t="shared" si="8"/>
        <v>-2</v>
      </c>
      <c r="Q147" s="11">
        <f>IF(P147=0,0,IFERROR(Q146+G147*M147*IF(E147="FUTURE",VLOOKUP(MID(I147,2,2),[1]Futures!$A$2:$B$12,2),1),G147*M147*IF(E147="FUTURE",VLOOKUP(MID(I147,2,2),[1]Futures!$A$2:$B$12,2),1)))</f>
        <v>-27875</v>
      </c>
      <c r="R147" s="12">
        <f>IFERROR(Q147/P147/IF(E147="FUTURE",VLOOKUP(MID(I147,2,2),[1]Futures!$A$2:$B$12,2),1),"")</f>
        <v>2787.5</v>
      </c>
      <c r="S147" s="13" t="str">
        <f>IF(AND(H147="TO CLOSE",P147=0),-G147*(M147-R146)*IF(E147="FUTURE",VLOOKUP(MID(I147,2,2),[1]Futures!$A$2:$B$12,2),1),"")</f>
        <v/>
      </c>
    </row>
    <row r="148" spans="1:19" x14ac:dyDescent="0.2">
      <c r="A148">
        <f t="shared" si="6"/>
        <v>37</v>
      </c>
      <c r="B148" s="3">
        <v>43930</v>
      </c>
      <c r="C148" s="3" t="str">
        <f t="shared" si="7"/>
        <v>Thursday</v>
      </c>
      <c r="D148" s="2">
        <v>0.495150462962963</v>
      </c>
      <c r="E148" t="s">
        <v>14</v>
      </c>
      <c r="F148" t="s">
        <v>15</v>
      </c>
      <c r="G148">
        <v>-1</v>
      </c>
      <c r="H148" t="s">
        <v>20</v>
      </c>
      <c r="I148" t="s">
        <v>73</v>
      </c>
      <c r="J148" s="1">
        <v>44002</v>
      </c>
      <c r="L148" t="s">
        <v>14</v>
      </c>
      <c r="M148">
        <v>2787.5</v>
      </c>
      <c r="N148">
        <v>2787.5</v>
      </c>
      <c r="O148" t="s">
        <v>21</v>
      </c>
      <c r="P148">
        <f t="shared" si="8"/>
        <v>-3</v>
      </c>
      <c r="Q148" s="11">
        <f>IF(P148=0,0,IFERROR(Q147+G148*M148*IF(E148="FUTURE",VLOOKUP(MID(I148,2,2),[1]Futures!$A$2:$B$12,2),1),G148*M148*IF(E148="FUTURE",VLOOKUP(MID(I148,2,2),[1]Futures!$A$2:$B$12,2),1)))</f>
        <v>-41812.5</v>
      </c>
      <c r="R148" s="12">
        <f>IFERROR(Q148/P148/IF(E148="FUTURE",VLOOKUP(MID(I148,2,2),[1]Futures!$A$2:$B$12,2),1),"")</f>
        <v>2787.5</v>
      </c>
      <c r="S148" s="13" t="str">
        <f>IF(AND(H148="TO CLOSE",P148=0),-G148*(M148-R147)*IF(E148="FUTURE",VLOOKUP(MID(I148,2,2),[1]Futures!$A$2:$B$12,2),1),"")</f>
        <v/>
      </c>
    </row>
    <row r="149" spans="1:19" x14ac:dyDescent="0.2">
      <c r="A149">
        <f t="shared" si="6"/>
        <v>37</v>
      </c>
      <c r="B149" s="3">
        <v>43930</v>
      </c>
      <c r="C149" s="3" t="str">
        <f t="shared" si="7"/>
        <v>Thursday</v>
      </c>
      <c r="D149" s="2">
        <v>0.5043171296296296</v>
      </c>
      <c r="E149" t="s">
        <v>14</v>
      </c>
      <c r="F149" t="s">
        <v>15</v>
      </c>
      <c r="G149">
        <v>-2</v>
      </c>
      <c r="H149" t="s">
        <v>20</v>
      </c>
      <c r="I149" t="s">
        <v>73</v>
      </c>
      <c r="J149" s="1">
        <v>44002</v>
      </c>
      <c r="L149" t="s">
        <v>14</v>
      </c>
      <c r="M149">
        <v>2794.5</v>
      </c>
      <c r="N149">
        <v>2794.5</v>
      </c>
      <c r="O149" t="s">
        <v>21</v>
      </c>
      <c r="P149">
        <f t="shared" si="8"/>
        <v>-5</v>
      </c>
      <c r="Q149" s="11">
        <f>IF(P149=0,0,IFERROR(Q148+G149*M149*IF(E149="FUTURE",VLOOKUP(MID(I149,2,2),[1]Futures!$A$2:$B$12,2),1),G149*M149*IF(E149="FUTURE",VLOOKUP(MID(I149,2,2),[1]Futures!$A$2:$B$12,2),1)))</f>
        <v>-69757.5</v>
      </c>
      <c r="R149" s="12">
        <f>IFERROR(Q149/P149/IF(E149="FUTURE",VLOOKUP(MID(I149,2,2),[1]Futures!$A$2:$B$12,2),1),"")</f>
        <v>2790.3</v>
      </c>
      <c r="S149" s="13" t="str">
        <f>IF(AND(H149="TO CLOSE",P149=0),-G149*(M149-R148)*IF(E149="FUTURE",VLOOKUP(MID(I149,2,2),[1]Futures!$A$2:$B$12,2),1),"")</f>
        <v/>
      </c>
    </row>
    <row r="150" spans="1:19" x14ac:dyDescent="0.2">
      <c r="A150">
        <f t="shared" si="6"/>
        <v>37</v>
      </c>
      <c r="B150" s="3">
        <v>43930</v>
      </c>
      <c r="C150" s="3" t="str">
        <f t="shared" si="7"/>
        <v>Thursday</v>
      </c>
      <c r="D150" s="2">
        <v>0.51886574074074077</v>
      </c>
      <c r="E150" t="s">
        <v>14</v>
      </c>
      <c r="F150" t="s">
        <v>19</v>
      </c>
      <c r="G150">
        <v>1</v>
      </c>
      <c r="H150" t="s">
        <v>16</v>
      </c>
      <c r="I150" t="s">
        <v>73</v>
      </c>
      <c r="J150" s="1">
        <v>44002</v>
      </c>
      <c r="L150" t="s">
        <v>14</v>
      </c>
      <c r="M150">
        <v>2792.75</v>
      </c>
      <c r="N150">
        <v>2792.75</v>
      </c>
      <c r="O150" t="s">
        <v>21</v>
      </c>
      <c r="P150">
        <f t="shared" si="8"/>
        <v>-4</v>
      </c>
      <c r="Q150" s="11">
        <f>IF(P150=0,0,IFERROR(Q149+G150*M150*IF(E150="FUTURE",VLOOKUP(MID(I150,2,2),[1]Futures!$A$2:$B$12,2),1),G150*M150*IF(E150="FUTURE",VLOOKUP(MID(I150,2,2),[1]Futures!$A$2:$B$12,2),1)))</f>
        <v>-55793.75</v>
      </c>
      <c r="R150" s="12">
        <f>IFERROR(Q150/P150/IF(E150="FUTURE",VLOOKUP(MID(I150,2,2),[1]Futures!$A$2:$B$12,2),1),"")</f>
        <v>2789.6875</v>
      </c>
      <c r="S150" s="13" t="str">
        <f>IF(AND(H150="TO CLOSE",P150=0),-G150*(M150-R149)*IF(E150="FUTURE",VLOOKUP(MID(I150,2,2),[1]Futures!$A$2:$B$12,2),1),"")</f>
        <v/>
      </c>
    </row>
    <row r="151" spans="1:19" x14ac:dyDescent="0.2">
      <c r="A151">
        <f t="shared" si="6"/>
        <v>37</v>
      </c>
      <c r="B151" s="3">
        <v>43930</v>
      </c>
      <c r="C151" s="3" t="str">
        <f t="shared" si="7"/>
        <v>Thursday</v>
      </c>
      <c r="D151" s="2">
        <v>0.51887731481481481</v>
      </c>
      <c r="E151" t="s">
        <v>14</v>
      </c>
      <c r="F151" t="s">
        <v>19</v>
      </c>
      <c r="G151">
        <v>1</v>
      </c>
      <c r="H151" t="s">
        <v>16</v>
      </c>
      <c r="I151" t="s">
        <v>73</v>
      </c>
      <c r="J151" s="1">
        <v>44002</v>
      </c>
      <c r="L151" t="s">
        <v>14</v>
      </c>
      <c r="M151">
        <v>2792.75</v>
      </c>
      <c r="N151">
        <v>2792.75</v>
      </c>
      <c r="O151" t="s">
        <v>21</v>
      </c>
      <c r="P151">
        <f t="shared" si="8"/>
        <v>-3</v>
      </c>
      <c r="Q151" s="11">
        <f>IF(P151=0,0,IFERROR(Q150+G151*M151*IF(E151="FUTURE",VLOOKUP(MID(I151,2,2),[1]Futures!$A$2:$B$12,2),1),G151*M151*IF(E151="FUTURE",VLOOKUP(MID(I151,2,2),[1]Futures!$A$2:$B$12,2),1)))</f>
        <v>-41830</v>
      </c>
      <c r="R151" s="12">
        <f>IFERROR(Q151/P151/IF(E151="FUTURE",VLOOKUP(MID(I151,2,2),[1]Futures!$A$2:$B$12,2),1),"")</f>
        <v>2788.666666666667</v>
      </c>
      <c r="S151" s="13" t="str">
        <f>IF(AND(H151="TO CLOSE",P151=0),-G151*(M151-R150)*IF(E151="FUTURE",VLOOKUP(MID(I151,2,2),[1]Futures!$A$2:$B$12,2),1),"")</f>
        <v/>
      </c>
    </row>
    <row r="152" spans="1:19" x14ac:dyDescent="0.2">
      <c r="A152">
        <f t="shared" si="6"/>
        <v>37</v>
      </c>
      <c r="B152" s="3">
        <v>43930</v>
      </c>
      <c r="C152" s="3" t="str">
        <f t="shared" si="7"/>
        <v>Thursday</v>
      </c>
      <c r="D152" s="2">
        <v>0.53910879629629627</v>
      </c>
      <c r="E152" t="s">
        <v>14</v>
      </c>
      <c r="F152" t="s">
        <v>19</v>
      </c>
      <c r="G152">
        <v>3</v>
      </c>
      <c r="H152" t="s">
        <v>16</v>
      </c>
      <c r="I152" t="s">
        <v>73</v>
      </c>
      <c r="J152" s="1">
        <v>44002</v>
      </c>
      <c r="L152" t="s">
        <v>14</v>
      </c>
      <c r="M152">
        <v>2804.5</v>
      </c>
      <c r="N152">
        <v>2804.5</v>
      </c>
      <c r="O152" t="s">
        <v>18</v>
      </c>
      <c r="P152">
        <f t="shared" si="8"/>
        <v>0</v>
      </c>
      <c r="Q152" s="11">
        <f>IF(P152=0,0,IFERROR(Q151+G152*M152*IF(E152="FUTURE",VLOOKUP(MID(I152,2,2),[1]Futures!$A$2:$B$12,2),1),G152*M152*IF(E152="FUTURE",VLOOKUP(MID(I152,2,2),[1]Futures!$A$2:$B$12,2),1)))</f>
        <v>0</v>
      </c>
      <c r="R152" s="12" t="str">
        <f>IFERROR(Q152/P152/IF(E152="FUTURE",VLOOKUP(MID(I152,2,2),[1]Futures!$A$2:$B$12,2),1),"")</f>
        <v/>
      </c>
      <c r="S152" s="13">
        <f>IF(AND(H152="TO CLOSE",P152=0),-G152*(M152-R151)*IF(E152="FUTURE",VLOOKUP(MID(I152,2,2),[1]Futures!$A$2:$B$12,2),1),"")</f>
        <v>-237.49999999999545</v>
      </c>
    </row>
    <row r="153" spans="1:19" x14ac:dyDescent="0.2">
      <c r="A153">
        <f t="shared" si="6"/>
        <v>38</v>
      </c>
      <c r="B153" s="3">
        <v>43930</v>
      </c>
      <c r="C153" s="3" t="str">
        <f t="shared" si="7"/>
        <v>Thursday</v>
      </c>
      <c r="D153" s="2">
        <v>0.55013888888888884</v>
      </c>
      <c r="E153" t="s">
        <v>14</v>
      </c>
      <c r="F153" t="s">
        <v>15</v>
      </c>
      <c r="G153">
        <v>-3</v>
      </c>
      <c r="H153" t="s">
        <v>20</v>
      </c>
      <c r="I153" t="s">
        <v>73</v>
      </c>
      <c r="J153" s="1">
        <v>44002</v>
      </c>
      <c r="L153" t="s">
        <v>14</v>
      </c>
      <c r="M153">
        <v>2799</v>
      </c>
      <c r="N153">
        <v>2799</v>
      </c>
      <c r="O153" t="s">
        <v>21</v>
      </c>
      <c r="P153">
        <f t="shared" si="8"/>
        <v>-3</v>
      </c>
      <c r="Q153" s="11">
        <f>IF(P153=0,0,IFERROR(Q152+G153*M153*IF(E153="FUTURE",VLOOKUP(MID(I153,2,2),[1]Futures!$A$2:$B$12,2),1),G153*M153*IF(E153="FUTURE",VLOOKUP(MID(I153,2,2),[1]Futures!$A$2:$B$12,2),1)))</f>
        <v>-41985</v>
      </c>
      <c r="R153" s="12">
        <f>IFERROR(Q153/P153/IF(E153="FUTURE",VLOOKUP(MID(I153,2,2),[1]Futures!$A$2:$B$12,2),1),"")</f>
        <v>2799</v>
      </c>
      <c r="S153" s="13" t="str">
        <f>IF(AND(H153="TO CLOSE",P153=0),-G153*(M153-R152)*IF(E153="FUTURE",VLOOKUP(MID(I153,2,2),[1]Futures!$A$2:$B$12,2),1),"")</f>
        <v/>
      </c>
    </row>
    <row r="154" spans="1:19" x14ac:dyDescent="0.2">
      <c r="A154">
        <f t="shared" si="6"/>
        <v>38</v>
      </c>
      <c r="B154" s="3">
        <v>43930</v>
      </c>
      <c r="C154" s="3" t="str">
        <f t="shared" si="7"/>
        <v>Thursday</v>
      </c>
      <c r="D154" s="2">
        <v>0.55013888888888884</v>
      </c>
      <c r="E154" t="s">
        <v>14</v>
      </c>
      <c r="F154" t="s">
        <v>15</v>
      </c>
      <c r="G154">
        <v>-2</v>
      </c>
      <c r="H154" t="s">
        <v>20</v>
      </c>
      <c r="I154" t="s">
        <v>73</v>
      </c>
      <c r="J154" s="1">
        <v>44002</v>
      </c>
      <c r="L154" t="s">
        <v>14</v>
      </c>
      <c r="M154">
        <v>2799</v>
      </c>
      <c r="N154">
        <v>2799</v>
      </c>
      <c r="O154" t="s">
        <v>21</v>
      </c>
      <c r="P154">
        <f t="shared" si="8"/>
        <v>-5</v>
      </c>
      <c r="Q154" s="11">
        <f>IF(P154=0,0,IFERROR(Q153+G154*M154*IF(E154="FUTURE",VLOOKUP(MID(I154,2,2),[1]Futures!$A$2:$B$12,2),1),G154*M154*IF(E154="FUTURE",VLOOKUP(MID(I154,2,2),[1]Futures!$A$2:$B$12,2),1)))</f>
        <v>-69975</v>
      </c>
      <c r="R154" s="12">
        <f>IFERROR(Q154/P154/IF(E154="FUTURE",VLOOKUP(MID(I154,2,2),[1]Futures!$A$2:$B$12,2),1),"")</f>
        <v>2799</v>
      </c>
      <c r="S154" s="13" t="str">
        <f>IF(AND(H154="TO CLOSE",P154=0),-G154*(M154-R153)*IF(E154="FUTURE",VLOOKUP(MID(I154,2,2),[1]Futures!$A$2:$B$12,2),1),"")</f>
        <v/>
      </c>
    </row>
    <row r="155" spans="1:19" x14ac:dyDescent="0.2">
      <c r="A155">
        <f t="shared" si="6"/>
        <v>38</v>
      </c>
      <c r="B155" s="3">
        <v>43930</v>
      </c>
      <c r="C155" s="3" t="str">
        <f t="shared" si="7"/>
        <v>Thursday</v>
      </c>
      <c r="D155" s="2">
        <v>0.56327546296296294</v>
      </c>
      <c r="E155" t="s">
        <v>14</v>
      </c>
      <c r="F155" t="s">
        <v>19</v>
      </c>
      <c r="G155">
        <v>5</v>
      </c>
      <c r="H155" t="s">
        <v>16</v>
      </c>
      <c r="I155" t="s">
        <v>73</v>
      </c>
      <c r="J155" s="1">
        <v>44002</v>
      </c>
      <c r="L155" t="s">
        <v>14</v>
      </c>
      <c r="M155">
        <v>2809</v>
      </c>
      <c r="N155">
        <v>2809</v>
      </c>
      <c r="O155" t="s">
        <v>18</v>
      </c>
      <c r="P155">
        <f t="shared" si="8"/>
        <v>0</v>
      </c>
      <c r="Q155" s="11">
        <f>IF(P155=0,0,IFERROR(Q154+G155*M155*IF(E155="FUTURE",VLOOKUP(MID(I155,2,2),[1]Futures!$A$2:$B$12,2),1),G155*M155*IF(E155="FUTURE",VLOOKUP(MID(I155,2,2),[1]Futures!$A$2:$B$12,2),1)))</f>
        <v>0</v>
      </c>
      <c r="R155" s="12" t="str">
        <f>IFERROR(Q155/P155/IF(E155="FUTURE",VLOOKUP(MID(I155,2,2),[1]Futures!$A$2:$B$12,2),1),"")</f>
        <v/>
      </c>
      <c r="S155" s="13">
        <f>IF(AND(H155="TO CLOSE",P155=0),-G155*(M155-R154)*IF(E155="FUTURE",VLOOKUP(MID(I155,2,2),[1]Futures!$A$2:$B$12,2),1),"")</f>
        <v>-250</v>
      </c>
    </row>
    <row r="156" spans="1:19" x14ac:dyDescent="0.2">
      <c r="A156">
        <f t="shared" si="6"/>
        <v>39</v>
      </c>
      <c r="B156" s="3">
        <v>43930</v>
      </c>
      <c r="C156" s="3" t="str">
        <f t="shared" si="7"/>
        <v>Thursday</v>
      </c>
      <c r="D156" s="2">
        <v>0.5666782407407408</v>
      </c>
      <c r="E156" t="s">
        <v>14</v>
      </c>
      <c r="F156" t="s">
        <v>15</v>
      </c>
      <c r="G156">
        <v>-5</v>
      </c>
      <c r="H156" t="s">
        <v>20</v>
      </c>
      <c r="I156" t="s">
        <v>73</v>
      </c>
      <c r="J156" s="1">
        <v>44002</v>
      </c>
      <c r="L156" t="s">
        <v>14</v>
      </c>
      <c r="M156">
        <v>2800.5</v>
      </c>
      <c r="N156">
        <v>2800.5</v>
      </c>
      <c r="O156" t="s">
        <v>24</v>
      </c>
      <c r="P156">
        <f t="shared" si="8"/>
        <v>-5</v>
      </c>
      <c r="Q156" s="11">
        <f>IF(P156=0,0,IFERROR(Q155+G156*M156*IF(E156="FUTURE",VLOOKUP(MID(I156,2,2),[1]Futures!$A$2:$B$12,2),1),G156*M156*IF(E156="FUTURE",VLOOKUP(MID(I156,2,2),[1]Futures!$A$2:$B$12,2),1)))</f>
        <v>-70012.5</v>
      </c>
      <c r="R156" s="12">
        <f>IFERROR(Q156/P156/IF(E156="FUTURE",VLOOKUP(MID(I156,2,2),[1]Futures!$A$2:$B$12,2),1),"")</f>
        <v>2800.5</v>
      </c>
      <c r="S156" s="13" t="str">
        <f>IF(AND(H156="TO CLOSE",P156=0),-G156*(M156-R155)*IF(E156="FUTURE",VLOOKUP(MID(I156,2,2),[1]Futures!$A$2:$B$12,2),1),"")</f>
        <v/>
      </c>
    </row>
    <row r="157" spans="1:19" x14ac:dyDescent="0.2">
      <c r="A157">
        <f t="shared" si="6"/>
        <v>39</v>
      </c>
      <c r="B157" s="3">
        <v>43930</v>
      </c>
      <c r="C157" s="3" t="str">
        <f t="shared" si="7"/>
        <v>Thursday</v>
      </c>
      <c r="D157" s="2">
        <v>0.57223379629629634</v>
      </c>
      <c r="E157" t="s">
        <v>14</v>
      </c>
      <c r="F157" t="s">
        <v>19</v>
      </c>
      <c r="G157">
        <v>5</v>
      </c>
      <c r="H157" t="s">
        <v>16</v>
      </c>
      <c r="I157" t="s">
        <v>73</v>
      </c>
      <c r="J157" s="1">
        <v>44002</v>
      </c>
      <c r="L157" t="s">
        <v>14</v>
      </c>
      <c r="M157">
        <v>2797.75</v>
      </c>
      <c r="N157">
        <v>2797.75</v>
      </c>
      <c r="O157" t="s">
        <v>24</v>
      </c>
      <c r="P157">
        <f t="shared" si="8"/>
        <v>0</v>
      </c>
      <c r="Q157" s="11">
        <f>IF(P157=0,0,IFERROR(Q156+G157*M157*IF(E157="FUTURE",VLOOKUP(MID(I157,2,2),[1]Futures!$A$2:$B$12,2),1),G157*M157*IF(E157="FUTURE",VLOOKUP(MID(I157,2,2),[1]Futures!$A$2:$B$12,2),1)))</f>
        <v>0</v>
      </c>
      <c r="R157" s="12" t="str">
        <f>IFERROR(Q157/P157/IF(E157="FUTURE",VLOOKUP(MID(I157,2,2),[1]Futures!$A$2:$B$12,2),1),"")</f>
        <v/>
      </c>
      <c r="S157" s="13">
        <f>IF(AND(H157="TO CLOSE",P157=0),-G157*(M157-R156)*IF(E157="FUTURE",VLOOKUP(MID(I157,2,2),[1]Futures!$A$2:$B$12,2),1),"")</f>
        <v>68.75</v>
      </c>
    </row>
    <row r="158" spans="1:19" x14ac:dyDescent="0.2">
      <c r="A158">
        <f t="shared" si="6"/>
        <v>40</v>
      </c>
      <c r="B158" s="3">
        <v>43930</v>
      </c>
      <c r="C158" s="3" t="str">
        <f t="shared" si="7"/>
        <v>Thursday</v>
      </c>
      <c r="D158" s="2">
        <v>0.5771412037037037</v>
      </c>
      <c r="E158" t="s">
        <v>14</v>
      </c>
      <c r="F158" t="s">
        <v>15</v>
      </c>
      <c r="G158">
        <v>-3</v>
      </c>
      <c r="H158" t="s">
        <v>20</v>
      </c>
      <c r="I158" t="s">
        <v>73</v>
      </c>
      <c r="J158" s="1">
        <v>44002</v>
      </c>
      <c r="L158" t="s">
        <v>14</v>
      </c>
      <c r="M158">
        <v>2787.25</v>
      </c>
      <c r="N158">
        <v>2787.25</v>
      </c>
      <c r="O158" t="s">
        <v>21</v>
      </c>
      <c r="P158">
        <f t="shared" si="8"/>
        <v>-3</v>
      </c>
      <c r="Q158" s="11">
        <f>IF(P158=0,0,IFERROR(Q157+G158*M158*IF(E158="FUTURE",VLOOKUP(MID(I158,2,2),[1]Futures!$A$2:$B$12,2),1),G158*M158*IF(E158="FUTURE",VLOOKUP(MID(I158,2,2),[1]Futures!$A$2:$B$12,2),1)))</f>
        <v>-41808.75</v>
      </c>
      <c r="R158" s="12">
        <f>IFERROR(Q158/P158/IF(E158="FUTURE",VLOOKUP(MID(I158,2,2),[1]Futures!$A$2:$B$12,2),1),"")</f>
        <v>2787.25</v>
      </c>
      <c r="S158" s="13" t="str">
        <f>IF(AND(H158="TO CLOSE",P158=0),-G158*(M158-R157)*IF(E158="FUTURE",VLOOKUP(MID(I158,2,2),[1]Futures!$A$2:$B$12,2),1),"")</f>
        <v/>
      </c>
    </row>
    <row r="159" spans="1:19" x14ac:dyDescent="0.2">
      <c r="A159">
        <f t="shared" si="6"/>
        <v>40</v>
      </c>
      <c r="B159" s="3">
        <v>43930</v>
      </c>
      <c r="C159" s="3" t="str">
        <f t="shared" si="7"/>
        <v>Thursday</v>
      </c>
      <c r="D159" s="2">
        <v>0.57826388888888891</v>
      </c>
      <c r="E159" t="s">
        <v>14</v>
      </c>
      <c r="F159" t="s">
        <v>15</v>
      </c>
      <c r="G159">
        <v>-1</v>
      </c>
      <c r="H159" t="s">
        <v>20</v>
      </c>
      <c r="I159" t="s">
        <v>73</v>
      </c>
      <c r="J159" s="1">
        <v>44002</v>
      </c>
      <c r="L159" t="s">
        <v>14</v>
      </c>
      <c r="M159">
        <v>2793.25</v>
      </c>
      <c r="N159">
        <v>2793.25</v>
      </c>
      <c r="O159" t="s">
        <v>21</v>
      </c>
      <c r="P159">
        <f t="shared" si="8"/>
        <v>-4</v>
      </c>
      <c r="Q159" s="11">
        <f>IF(P159=0,0,IFERROR(Q158+G159*M159*IF(E159="FUTURE",VLOOKUP(MID(I159,2,2),[1]Futures!$A$2:$B$12,2),1),G159*M159*IF(E159="FUTURE",VLOOKUP(MID(I159,2,2),[1]Futures!$A$2:$B$12,2),1)))</f>
        <v>-55775</v>
      </c>
      <c r="R159" s="12">
        <f>IFERROR(Q159/P159/IF(E159="FUTURE",VLOOKUP(MID(I159,2,2),[1]Futures!$A$2:$B$12,2),1),"")</f>
        <v>2788.75</v>
      </c>
      <c r="S159" s="13" t="str">
        <f>IF(AND(H159="TO CLOSE",P159=0),-G159*(M159-R158)*IF(E159="FUTURE",VLOOKUP(MID(I159,2,2),[1]Futures!$A$2:$B$12,2),1),"")</f>
        <v/>
      </c>
    </row>
    <row r="160" spans="1:19" x14ac:dyDescent="0.2">
      <c r="A160">
        <f t="shared" si="6"/>
        <v>40</v>
      </c>
      <c r="B160" s="3">
        <v>43930</v>
      </c>
      <c r="C160" s="3" t="str">
        <f t="shared" si="7"/>
        <v>Thursday</v>
      </c>
      <c r="D160" s="2">
        <v>0.58675925925925931</v>
      </c>
      <c r="E160" t="s">
        <v>14</v>
      </c>
      <c r="F160" t="s">
        <v>15</v>
      </c>
      <c r="G160">
        <v>-1</v>
      </c>
      <c r="H160" t="s">
        <v>20</v>
      </c>
      <c r="I160" t="s">
        <v>73</v>
      </c>
      <c r="J160" s="1">
        <v>44002</v>
      </c>
      <c r="L160" t="s">
        <v>14</v>
      </c>
      <c r="M160">
        <v>2785</v>
      </c>
      <c r="N160">
        <v>2785</v>
      </c>
      <c r="O160" t="s">
        <v>18</v>
      </c>
      <c r="P160">
        <f t="shared" si="8"/>
        <v>-5</v>
      </c>
      <c r="Q160" s="11">
        <f>IF(P160=0,0,IFERROR(Q159+G160*M160*IF(E160="FUTURE",VLOOKUP(MID(I160,2,2),[1]Futures!$A$2:$B$12,2),1),G160*M160*IF(E160="FUTURE",VLOOKUP(MID(I160,2,2),[1]Futures!$A$2:$B$12,2),1)))</f>
        <v>-69700</v>
      </c>
      <c r="R160" s="12">
        <f>IFERROR(Q160/P160/IF(E160="FUTURE",VLOOKUP(MID(I160,2,2),[1]Futures!$A$2:$B$12,2),1),"")</f>
        <v>2788</v>
      </c>
      <c r="S160" s="13" t="str">
        <f>IF(AND(H160="TO CLOSE",P160=0),-G160*(M160-R159)*IF(E160="FUTURE",VLOOKUP(MID(I160,2,2),[1]Futures!$A$2:$B$12,2),1),"")</f>
        <v/>
      </c>
    </row>
    <row r="161" spans="1:19" x14ac:dyDescent="0.2">
      <c r="A161">
        <f t="shared" si="6"/>
        <v>40</v>
      </c>
      <c r="B161" s="3">
        <v>43930</v>
      </c>
      <c r="C161" s="3" t="str">
        <f t="shared" si="7"/>
        <v>Thursday</v>
      </c>
      <c r="D161" s="2">
        <v>0.58732638888888888</v>
      </c>
      <c r="E161" t="s">
        <v>14</v>
      </c>
      <c r="F161" t="s">
        <v>19</v>
      </c>
      <c r="G161">
        <v>2</v>
      </c>
      <c r="H161" t="s">
        <v>16</v>
      </c>
      <c r="I161" t="s">
        <v>73</v>
      </c>
      <c r="J161" s="1">
        <v>44002</v>
      </c>
      <c r="L161" t="s">
        <v>14</v>
      </c>
      <c r="M161">
        <v>2782.25</v>
      </c>
      <c r="N161">
        <v>2782.25</v>
      </c>
      <c r="O161" t="s">
        <v>21</v>
      </c>
      <c r="P161">
        <f t="shared" si="8"/>
        <v>-3</v>
      </c>
      <c r="Q161" s="11">
        <f>IF(P161=0,0,IFERROR(Q160+G161*M161*IF(E161="FUTURE",VLOOKUP(MID(I161,2,2),[1]Futures!$A$2:$B$12,2),1),G161*M161*IF(E161="FUTURE",VLOOKUP(MID(I161,2,2),[1]Futures!$A$2:$B$12,2),1)))</f>
        <v>-41877.5</v>
      </c>
      <c r="R161" s="12">
        <f>IFERROR(Q161/P161/IF(E161="FUTURE",VLOOKUP(MID(I161,2,2),[1]Futures!$A$2:$B$12,2),1),"")</f>
        <v>2791.833333333333</v>
      </c>
      <c r="S161" s="13" t="str">
        <f>IF(AND(H161="TO CLOSE",P161=0),-G161*(M161-R160)*IF(E161="FUTURE",VLOOKUP(MID(I161,2,2),[1]Futures!$A$2:$B$12,2),1),"")</f>
        <v/>
      </c>
    </row>
    <row r="162" spans="1:19" x14ac:dyDescent="0.2">
      <c r="A162">
        <f t="shared" si="6"/>
        <v>40</v>
      </c>
      <c r="B162" s="3">
        <v>43930</v>
      </c>
      <c r="C162" s="3" t="str">
        <f t="shared" si="7"/>
        <v>Thursday</v>
      </c>
      <c r="D162" s="2">
        <v>0.58888888888888891</v>
      </c>
      <c r="E162" t="s">
        <v>14</v>
      </c>
      <c r="F162" t="s">
        <v>19</v>
      </c>
      <c r="G162">
        <v>3</v>
      </c>
      <c r="H162" t="s">
        <v>16</v>
      </c>
      <c r="I162" t="s">
        <v>73</v>
      </c>
      <c r="J162" s="1">
        <v>44002</v>
      </c>
      <c r="L162" t="s">
        <v>14</v>
      </c>
      <c r="M162">
        <v>2782</v>
      </c>
      <c r="N162">
        <v>2782</v>
      </c>
      <c r="O162" t="s">
        <v>21</v>
      </c>
      <c r="P162">
        <f t="shared" si="8"/>
        <v>0</v>
      </c>
      <c r="Q162" s="11">
        <f>IF(P162=0,0,IFERROR(Q161+G162*M162*IF(E162="FUTURE",VLOOKUP(MID(I162,2,2),[1]Futures!$A$2:$B$12,2),1),G162*M162*IF(E162="FUTURE",VLOOKUP(MID(I162,2,2),[1]Futures!$A$2:$B$12,2),1)))</f>
        <v>0</v>
      </c>
      <c r="R162" s="12" t="str">
        <f>IFERROR(Q162/P162/IF(E162="FUTURE",VLOOKUP(MID(I162,2,2),[1]Futures!$A$2:$B$12,2),1),"")</f>
        <v/>
      </c>
      <c r="S162" s="13">
        <f>IF(AND(H162="TO CLOSE",P162=0),-G162*(M162-R161)*IF(E162="FUTURE",VLOOKUP(MID(I162,2,2),[1]Futures!$A$2:$B$12,2),1),"")</f>
        <v>147.49999999999545</v>
      </c>
    </row>
    <row r="163" spans="1:19" x14ac:dyDescent="0.2">
      <c r="A163">
        <f t="shared" si="6"/>
        <v>41</v>
      </c>
      <c r="B163" s="3">
        <v>43930</v>
      </c>
      <c r="C163" s="3" t="str">
        <f t="shared" si="7"/>
        <v>Thursday</v>
      </c>
      <c r="D163" s="2">
        <v>0.42925925925925923</v>
      </c>
      <c r="E163" t="s">
        <v>22</v>
      </c>
      <c r="F163" t="s">
        <v>19</v>
      </c>
      <c r="G163">
        <v>195</v>
      </c>
      <c r="H163" t="s">
        <v>20</v>
      </c>
      <c r="I163" t="s">
        <v>23</v>
      </c>
      <c r="L163" t="s">
        <v>22</v>
      </c>
      <c r="M163">
        <v>41.994999999999997</v>
      </c>
      <c r="N163">
        <v>41.994970000000002</v>
      </c>
      <c r="O163" t="s">
        <v>24</v>
      </c>
      <c r="P163">
        <f t="shared" si="8"/>
        <v>195</v>
      </c>
      <c r="Q163" s="11">
        <f>IF(P163=0,0,IFERROR(Q162+G163*M163*IF(E163="FUTURE",VLOOKUP(MID(I163,2,2),[1]Futures!$A$2:$B$12,2),1),G163*M163*IF(E163="FUTURE",VLOOKUP(MID(I163,2,2),[1]Futures!$A$2:$B$12,2),1)))</f>
        <v>8189.0249999999996</v>
      </c>
      <c r="R163" s="12">
        <f>IFERROR(Q163/P163/IF(E163="FUTURE",VLOOKUP(MID(I163,2,2),[1]Futures!$A$2:$B$12,2),1),"")</f>
        <v>41.994999999999997</v>
      </c>
      <c r="S163" s="13" t="str">
        <f>IF(AND(H163="TO CLOSE",P163=0),-G163*(M163-R162)*IF(E163="FUTURE",VLOOKUP(MID(I163,2,2),[1]Futures!$A$2:$B$12,2),1),"")</f>
        <v/>
      </c>
    </row>
    <row r="164" spans="1:19" x14ac:dyDescent="0.2">
      <c r="A164">
        <f t="shared" si="6"/>
        <v>41</v>
      </c>
      <c r="B164" s="3">
        <v>43930</v>
      </c>
      <c r="C164" s="3" t="str">
        <f t="shared" si="7"/>
        <v>Thursday</v>
      </c>
      <c r="D164" s="2">
        <v>0.42925925925925923</v>
      </c>
      <c r="E164" t="s">
        <v>22</v>
      </c>
      <c r="F164" t="s">
        <v>19</v>
      </c>
      <c r="G164">
        <v>5</v>
      </c>
      <c r="H164" t="s">
        <v>20</v>
      </c>
      <c r="I164" t="s">
        <v>23</v>
      </c>
      <c r="L164" t="s">
        <v>22</v>
      </c>
      <c r="M164">
        <v>41.994999999999997</v>
      </c>
      <c r="N164">
        <v>41.996000000000002</v>
      </c>
      <c r="O164" t="s">
        <v>24</v>
      </c>
      <c r="P164">
        <f t="shared" si="8"/>
        <v>200</v>
      </c>
      <c r="Q164" s="11">
        <f>IF(P164=0,0,IFERROR(Q163+G164*M164*IF(E164="FUTURE",VLOOKUP(MID(I164,2,2),[1]Futures!$A$2:$B$12,2),1),G164*M164*IF(E164="FUTURE",VLOOKUP(MID(I164,2,2),[1]Futures!$A$2:$B$12,2),1)))</f>
        <v>8399</v>
      </c>
      <c r="R164" s="12">
        <f>IFERROR(Q164/P164/IF(E164="FUTURE",VLOOKUP(MID(I164,2,2),[1]Futures!$A$2:$B$12,2),1),"")</f>
        <v>41.994999999999997</v>
      </c>
      <c r="S164" s="13" t="str">
        <f>IF(AND(H164="TO CLOSE",P164=0),-G164*(M164-R163)*IF(E164="FUTURE",VLOOKUP(MID(I164,2,2),[1]Futures!$A$2:$B$12,2),1),"")</f>
        <v/>
      </c>
    </row>
    <row r="165" spans="1:19" x14ac:dyDescent="0.2">
      <c r="A165">
        <f t="shared" si="6"/>
        <v>41</v>
      </c>
      <c r="B165" s="3">
        <v>43930</v>
      </c>
      <c r="C165" s="3" t="str">
        <f t="shared" si="7"/>
        <v>Thursday</v>
      </c>
      <c r="D165" s="2">
        <v>0.4369791666666667</v>
      </c>
      <c r="E165" t="s">
        <v>22</v>
      </c>
      <c r="F165" t="s">
        <v>19</v>
      </c>
      <c r="G165">
        <v>100</v>
      </c>
      <c r="H165" t="s">
        <v>20</v>
      </c>
      <c r="I165" t="s">
        <v>23</v>
      </c>
      <c r="L165" t="s">
        <v>22</v>
      </c>
      <c r="M165">
        <v>41.805</v>
      </c>
      <c r="N165">
        <v>41.805</v>
      </c>
      <c r="O165" t="s">
        <v>24</v>
      </c>
      <c r="P165">
        <f t="shared" si="8"/>
        <v>300</v>
      </c>
      <c r="Q165" s="11">
        <f>IF(P165=0,0,IFERROR(Q164+G165*M165*IF(E165="FUTURE",VLOOKUP(MID(I165,2,2),[1]Futures!$A$2:$B$12,2),1),G165*M165*IF(E165="FUTURE",VLOOKUP(MID(I165,2,2),[1]Futures!$A$2:$B$12,2),1)))</f>
        <v>12579.5</v>
      </c>
      <c r="R165" s="12">
        <f>IFERROR(Q165/P165/IF(E165="FUTURE",VLOOKUP(MID(I165,2,2),[1]Futures!$A$2:$B$12,2),1),"")</f>
        <v>41.931666666666665</v>
      </c>
      <c r="S165" s="13" t="str">
        <f>IF(AND(H165="TO CLOSE",P165=0),-G165*(M165-R164)*IF(E165="FUTURE",VLOOKUP(MID(I165,2,2),[1]Futures!$A$2:$B$12,2),1),"")</f>
        <v/>
      </c>
    </row>
    <row r="166" spans="1:19" x14ac:dyDescent="0.2">
      <c r="A166">
        <f t="shared" si="6"/>
        <v>41</v>
      </c>
      <c r="B166" s="3">
        <v>43930</v>
      </c>
      <c r="C166" s="3" t="str">
        <f t="shared" si="7"/>
        <v>Thursday</v>
      </c>
      <c r="D166" s="2">
        <v>0.43920138888888888</v>
      </c>
      <c r="E166" t="s">
        <v>22</v>
      </c>
      <c r="F166" t="s">
        <v>19</v>
      </c>
      <c r="G166">
        <v>100</v>
      </c>
      <c r="H166" t="s">
        <v>20</v>
      </c>
      <c r="I166" t="s">
        <v>23</v>
      </c>
      <c r="L166" t="s">
        <v>22</v>
      </c>
      <c r="M166">
        <v>41.81</v>
      </c>
      <c r="N166">
        <v>41.81</v>
      </c>
      <c r="O166" t="s">
        <v>21</v>
      </c>
      <c r="P166">
        <f t="shared" si="8"/>
        <v>400</v>
      </c>
      <c r="Q166" s="11">
        <f>IF(P166=0,0,IFERROR(Q165+G166*M166*IF(E166="FUTURE",VLOOKUP(MID(I166,2,2),[1]Futures!$A$2:$B$12,2),1),G166*M166*IF(E166="FUTURE",VLOOKUP(MID(I166,2,2),[1]Futures!$A$2:$B$12,2),1)))</f>
        <v>16760.5</v>
      </c>
      <c r="R166" s="12">
        <f>IFERROR(Q166/P166/IF(E166="FUTURE",VLOOKUP(MID(I166,2,2),[1]Futures!$A$2:$B$12,2),1),"")</f>
        <v>41.901249999999997</v>
      </c>
      <c r="S166" s="13" t="str">
        <f>IF(AND(H166="TO CLOSE",P166=0),-G166*(M166-R165)*IF(E166="FUTURE",VLOOKUP(MID(I166,2,2),[1]Futures!$A$2:$B$12,2),1),"")</f>
        <v/>
      </c>
    </row>
    <row r="167" spans="1:19" x14ac:dyDescent="0.2">
      <c r="A167">
        <f t="shared" si="6"/>
        <v>41</v>
      </c>
      <c r="B167" s="3">
        <v>43930</v>
      </c>
      <c r="C167" s="3" t="str">
        <f t="shared" si="7"/>
        <v>Thursday</v>
      </c>
      <c r="D167" s="2">
        <v>0.46206018518518516</v>
      </c>
      <c r="E167" t="s">
        <v>22</v>
      </c>
      <c r="F167" t="s">
        <v>15</v>
      </c>
      <c r="G167">
        <v>-200</v>
      </c>
      <c r="H167" t="s">
        <v>16</v>
      </c>
      <c r="I167" t="s">
        <v>23</v>
      </c>
      <c r="L167" t="s">
        <v>22</v>
      </c>
      <c r="M167">
        <v>42.49</v>
      </c>
      <c r="N167">
        <v>42.49</v>
      </c>
      <c r="O167" t="s">
        <v>24</v>
      </c>
      <c r="P167">
        <f t="shared" si="8"/>
        <v>200</v>
      </c>
      <c r="Q167" s="11">
        <f>IF(P167=0,0,IFERROR(Q166+G167*M167*IF(E167="FUTURE",VLOOKUP(MID(I167,2,2),[1]Futures!$A$2:$B$12,2),1),G167*M167*IF(E167="FUTURE",VLOOKUP(MID(I167,2,2),[1]Futures!$A$2:$B$12,2),1)))</f>
        <v>8262.5</v>
      </c>
      <c r="R167" s="12">
        <f>IFERROR(Q167/P167/IF(E167="FUTURE",VLOOKUP(MID(I167,2,2),[1]Futures!$A$2:$B$12,2),1),"")</f>
        <v>41.3125</v>
      </c>
      <c r="S167" s="13" t="str">
        <f>IF(AND(H167="TO CLOSE",P167=0),-G167*(M167-R166)*IF(E167="FUTURE",VLOOKUP(MID(I167,2,2),[1]Futures!$A$2:$B$12,2),1),"")</f>
        <v/>
      </c>
    </row>
    <row r="168" spans="1:19" x14ac:dyDescent="0.2">
      <c r="A168">
        <f t="shared" si="6"/>
        <v>41</v>
      </c>
      <c r="B168" s="3">
        <v>43930</v>
      </c>
      <c r="C168" s="3" t="str">
        <f t="shared" si="7"/>
        <v>Thursday</v>
      </c>
      <c r="D168" s="2">
        <v>0.46310185185185188</v>
      </c>
      <c r="E168" t="s">
        <v>22</v>
      </c>
      <c r="F168" t="s">
        <v>15</v>
      </c>
      <c r="G168">
        <v>-200</v>
      </c>
      <c r="H168" t="s">
        <v>16</v>
      </c>
      <c r="I168" t="s">
        <v>23</v>
      </c>
      <c r="L168" t="s">
        <v>22</v>
      </c>
      <c r="M168">
        <v>42.48</v>
      </c>
      <c r="N168">
        <v>42.48</v>
      </c>
      <c r="O168" t="s">
        <v>21</v>
      </c>
      <c r="P168">
        <f t="shared" si="8"/>
        <v>0</v>
      </c>
      <c r="Q168" s="11">
        <f>IF(P168=0,0,IFERROR(Q167+G168*M168*IF(E168="FUTURE",VLOOKUP(MID(I168,2,2),[1]Futures!$A$2:$B$12,2),1),G168*M168*IF(E168="FUTURE",VLOOKUP(MID(I168,2,2),[1]Futures!$A$2:$B$12,2),1)))</f>
        <v>0</v>
      </c>
      <c r="R168" s="12" t="str">
        <f>IFERROR(Q168/P168/IF(E168="FUTURE",VLOOKUP(MID(I168,2,2),[1]Futures!$A$2:$B$12,2),1),"")</f>
        <v/>
      </c>
      <c r="S168" s="13">
        <f>IF(AND(H168="TO CLOSE",P168=0),-G168*(M168-R167)*IF(E168="FUTURE",VLOOKUP(MID(I168,2,2),[1]Futures!$A$2:$B$12,2),1),"")</f>
        <v>233.49999999999937</v>
      </c>
    </row>
    <row r="169" spans="1:19" x14ac:dyDescent="0.2">
      <c r="A169">
        <f t="shared" si="6"/>
        <v>42</v>
      </c>
      <c r="B169" s="3">
        <v>43930</v>
      </c>
      <c r="C169" s="3" t="str">
        <f t="shared" si="7"/>
        <v>Thursday</v>
      </c>
      <c r="D169" s="2">
        <v>0.49525462962962963</v>
      </c>
      <c r="E169" t="s">
        <v>22</v>
      </c>
      <c r="F169" t="s">
        <v>19</v>
      </c>
      <c r="G169">
        <v>200</v>
      </c>
      <c r="H169" t="s">
        <v>20</v>
      </c>
      <c r="I169" t="s">
        <v>23</v>
      </c>
      <c r="L169" t="s">
        <v>22</v>
      </c>
      <c r="M169">
        <v>42.346899999999998</v>
      </c>
      <c r="N169">
        <v>42.346899999999998</v>
      </c>
      <c r="O169" t="s">
        <v>24</v>
      </c>
      <c r="P169">
        <f t="shared" si="8"/>
        <v>200</v>
      </c>
      <c r="Q169" s="11">
        <f>IF(P169=0,0,IFERROR(Q168+G169*M169*IF(E169="FUTURE",VLOOKUP(MID(I169,2,2),[1]Futures!$A$2:$B$12,2),1),G169*M169*IF(E169="FUTURE",VLOOKUP(MID(I169,2,2),[1]Futures!$A$2:$B$12,2),1)))</f>
        <v>8469.3799999999992</v>
      </c>
      <c r="R169" s="12">
        <f>IFERROR(Q169/P169/IF(E169="FUTURE",VLOOKUP(MID(I169,2,2),[1]Futures!$A$2:$B$12,2),1),"")</f>
        <v>42.346899999999998</v>
      </c>
      <c r="S169" s="13" t="str">
        <f>IF(AND(H169="TO CLOSE",P169=0),-G169*(M169-R168)*IF(E169="FUTURE",VLOOKUP(MID(I169,2,2),[1]Futures!$A$2:$B$12,2),1),"")</f>
        <v/>
      </c>
    </row>
    <row r="170" spans="1:19" x14ac:dyDescent="0.2">
      <c r="A170">
        <f t="shared" si="6"/>
        <v>42</v>
      </c>
      <c r="B170" s="3">
        <v>43930</v>
      </c>
      <c r="C170" s="3" t="str">
        <f t="shared" si="7"/>
        <v>Thursday</v>
      </c>
      <c r="D170" s="2">
        <v>0.49708333333333332</v>
      </c>
      <c r="E170" t="s">
        <v>22</v>
      </c>
      <c r="F170" t="s">
        <v>19</v>
      </c>
      <c r="G170">
        <v>200</v>
      </c>
      <c r="H170" t="s">
        <v>20</v>
      </c>
      <c r="I170" t="s">
        <v>23</v>
      </c>
      <c r="L170" t="s">
        <v>22</v>
      </c>
      <c r="M170">
        <v>42.25</v>
      </c>
      <c r="N170">
        <v>42.25</v>
      </c>
      <c r="O170" t="s">
        <v>21</v>
      </c>
      <c r="P170">
        <f t="shared" si="8"/>
        <v>400</v>
      </c>
      <c r="Q170" s="11">
        <f>IF(P170=0,0,IFERROR(Q169+G170*M170*IF(E170="FUTURE",VLOOKUP(MID(I170,2,2),[1]Futures!$A$2:$B$12,2),1),G170*M170*IF(E170="FUTURE",VLOOKUP(MID(I170,2,2),[1]Futures!$A$2:$B$12,2),1)))</f>
        <v>16919.379999999997</v>
      </c>
      <c r="R170" s="12">
        <f>IFERROR(Q170/P170/IF(E170="FUTURE",VLOOKUP(MID(I170,2,2),[1]Futures!$A$2:$B$12,2),1),"")</f>
        <v>42.298449999999995</v>
      </c>
      <c r="S170" s="13" t="str">
        <f>IF(AND(H170="TO CLOSE",P170=0),-G170*(M170-R169)*IF(E170="FUTURE",VLOOKUP(MID(I170,2,2),[1]Futures!$A$2:$B$12,2),1),"")</f>
        <v/>
      </c>
    </row>
    <row r="171" spans="1:19" x14ac:dyDescent="0.2">
      <c r="A171">
        <f t="shared" si="6"/>
        <v>42</v>
      </c>
      <c r="B171" s="3">
        <v>43930</v>
      </c>
      <c r="C171" s="3" t="str">
        <f t="shared" si="7"/>
        <v>Thursday</v>
      </c>
      <c r="D171" s="2">
        <v>0.5174305555555555</v>
      </c>
      <c r="E171" t="s">
        <v>22</v>
      </c>
      <c r="F171" t="s">
        <v>15</v>
      </c>
      <c r="G171">
        <v>-99</v>
      </c>
      <c r="H171" t="s">
        <v>16</v>
      </c>
      <c r="I171" t="s">
        <v>23</v>
      </c>
      <c r="L171" t="s">
        <v>22</v>
      </c>
      <c r="M171">
        <v>42.21</v>
      </c>
      <c r="N171">
        <v>42.21</v>
      </c>
      <c r="O171" t="s">
        <v>21</v>
      </c>
      <c r="P171">
        <f t="shared" si="8"/>
        <v>301</v>
      </c>
      <c r="Q171" s="11">
        <f>IF(P171=0,0,IFERROR(Q170+G171*M171*IF(E171="FUTURE",VLOOKUP(MID(I171,2,2),[1]Futures!$A$2:$B$12,2),1),G171*M171*IF(E171="FUTURE",VLOOKUP(MID(I171,2,2),[1]Futures!$A$2:$B$12,2),1)))</f>
        <v>12740.589999999997</v>
      </c>
      <c r="R171" s="12">
        <f>IFERROR(Q171/P171/IF(E171="FUTURE",VLOOKUP(MID(I171,2,2),[1]Futures!$A$2:$B$12,2),1),"")</f>
        <v>42.327541528239188</v>
      </c>
      <c r="S171" s="13" t="str">
        <f>IF(AND(H171="TO CLOSE",P171=0),-G171*(M171-R170)*IF(E171="FUTURE",VLOOKUP(MID(I171,2,2),[1]Futures!$A$2:$B$12,2),1),"")</f>
        <v/>
      </c>
    </row>
    <row r="172" spans="1:19" x14ac:dyDescent="0.2">
      <c r="A172">
        <f t="shared" si="6"/>
        <v>42</v>
      </c>
      <c r="B172" s="3">
        <v>43930</v>
      </c>
      <c r="C172" s="3" t="str">
        <f t="shared" si="7"/>
        <v>Thursday</v>
      </c>
      <c r="D172" s="2">
        <v>0.5174305555555555</v>
      </c>
      <c r="E172" t="s">
        <v>22</v>
      </c>
      <c r="F172" t="s">
        <v>15</v>
      </c>
      <c r="G172">
        <v>-100</v>
      </c>
      <c r="H172" t="s">
        <v>16</v>
      </c>
      <c r="I172" t="s">
        <v>23</v>
      </c>
      <c r="L172" t="s">
        <v>22</v>
      </c>
      <c r="M172">
        <v>42.21</v>
      </c>
      <c r="N172">
        <v>42.21</v>
      </c>
      <c r="O172" t="s">
        <v>21</v>
      </c>
      <c r="P172">
        <f t="shared" si="8"/>
        <v>201</v>
      </c>
      <c r="Q172" s="11">
        <f>IF(P172=0,0,IFERROR(Q171+G172*M172*IF(E172="FUTURE",VLOOKUP(MID(I172,2,2),[1]Futures!$A$2:$B$12,2),1),G172*M172*IF(E172="FUTURE",VLOOKUP(MID(I172,2,2),[1]Futures!$A$2:$B$12,2),1)))</f>
        <v>8519.5899999999965</v>
      </c>
      <c r="R172" s="12">
        <f>IFERROR(Q172/P172/IF(E172="FUTURE",VLOOKUP(MID(I172,2,2),[1]Futures!$A$2:$B$12,2),1),"")</f>
        <v>42.386019900497494</v>
      </c>
      <c r="S172" s="13" t="str">
        <f>IF(AND(H172="TO CLOSE",P172=0),-G172*(M172-R171)*IF(E172="FUTURE",VLOOKUP(MID(I172,2,2),[1]Futures!$A$2:$B$12,2),1),"")</f>
        <v/>
      </c>
    </row>
    <row r="173" spans="1:19" x14ac:dyDescent="0.2">
      <c r="A173">
        <f t="shared" si="6"/>
        <v>42</v>
      </c>
      <c r="B173" s="3">
        <v>43930</v>
      </c>
      <c r="C173" s="3" t="str">
        <f t="shared" si="7"/>
        <v>Thursday</v>
      </c>
      <c r="D173" s="2">
        <v>0.5174305555555555</v>
      </c>
      <c r="E173" t="s">
        <v>22</v>
      </c>
      <c r="F173" t="s">
        <v>15</v>
      </c>
      <c r="G173">
        <v>-1</v>
      </c>
      <c r="H173" t="s">
        <v>16</v>
      </c>
      <c r="I173" t="s">
        <v>23</v>
      </c>
      <c r="L173" t="s">
        <v>22</v>
      </c>
      <c r="M173">
        <v>42.21</v>
      </c>
      <c r="N173">
        <v>42.21</v>
      </c>
      <c r="O173" t="s">
        <v>21</v>
      </c>
      <c r="P173">
        <f t="shared" si="8"/>
        <v>200</v>
      </c>
      <c r="Q173" s="11">
        <f>IF(P173=0,0,IFERROR(Q172+G173*M173*IF(E173="FUTURE",VLOOKUP(MID(I173,2,2),[1]Futures!$A$2:$B$12,2),1),G173*M173*IF(E173="FUTURE",VLOOKUP(MID(I173,2,2),[1]Futures!$A$2:$B$12,2),1)))</f>
        <v>8477.3799999999974</v>
      </c>
      <c r="R173" s="12">
        <f>IFERROR(Q173/P173/IF(E173="FUTURE",VLOOKUP(MID(I173,2,2),[1]Futures!$A$2:$B$12,2),1),"")</f>
        <v>42.38689999999999</v>
      </c>
      <c r="S173" s="13" t="str">
        <f>IF(AND(H173="TO CLOSE",P173=0),-G173*(M173-R172)*IF(E173="FUTURE",VLOOKUP(MID(I173,2,2),[1]Futures!$A$2:$B$12,2),1),"")</f>
        <v/>
      </c>
    </row>
    <row r="174" spans="1:19" x14ac:dyDescent="0.2">
      <c r="A174">
        <f t="shared" si="6"/>
        <v>42</v>
      </c>
      <c r="B174" s="3">
        <v>43930</v>
      </c>
      <c r="C174" s="3" t="str">
        <f t="shared" si="7"/>
        <v>Thursday</v>
      </c>
      <c r="D174" s="2">
        <v>0.53738425925925926</v>
      </c>
      <c r="E174" t="s">
        <v>22</v>
      </c>
      <c r="F174" t="s">
        <v>15</v>
      </c>
      <c r="G174">
        <v>-200</v>
      </c>
      <c r="H174" t="s">
        <v>16</v>
      </c>
      <c r="I174" t="s">
        <v>23</v>
      </c>
      <c r="L174" t="s">
        <v>22</v>
      </c>
      <c r="M174">
        <v>42.14</v>
      </c>
      <c r="N174">
        <v>42.14</v>
      </c>
      <c r="O174" t="s">
        <v>18</v>
      </c>
      <c r="P174">
        <f t="shared" si="8"/>
        <v>0</v>
      </c>
      <c r="Q174" s="11">
        <f>IF(P174=0,0,IFERROR(Q173+G174*M174*IF(E174="FUTURE",VLOOKUP(MID(I174,2,2),[1]Futures!$A$2:$B$12,2),1),G174*M174*IF(E174="FUTURE",VLOOKUP(MID(I174,2,2),[1]Futures!$A$2:$B$12,2),1)))</f>
        <v>0</v>
      </c>
      <c r="R174" s="12" t="str">
        <f>IFERROR(Q174/P174/IF(E174="FUTURE",VLOOKUP(MID(I174,2,2),[1]Futures!$A$2:$B$12,2),1),"")</f>
        <v/>
      </c>
      <c r="S174" s="13">
        <f>IF(AND(H174="TO CLOSE",P174=0),-G174*(M174-R173)*IF(E174="FUTURE",VLOOKUP(MID(I174,2,2),[1]Futures!$A$2:$B$12,2),1),"")</f>
        <v>-49.379999999997892</v>
      </c>
    </row>
    <row r="175" spans="1:19" x14ac:dyDescent="0.2">
      <c r="A175">
        <f t="shared" si="6"/>
        <v>43</v>
      </c>
      <c r="B175" s="3">
        <v>43930</v>
      </c>
      <c r="C175" s="3" t="str">
        <f t="shared" si="7"/>
        <v>Thursday</v>
      </c>
      <c r="D175" s="2">
        <v>0.54395833333333332</v>
      </c>
      <c r="E175" t="s">
        <v>22</v>
      </c>
      <c r="F175" t="s">
        <v>19</v>
      </c>
      <c r="G175">
        <v>400</v>
      </c>
      <c r="H175" t="s">
        <v>20</v>
      </c>
      <c r="I175" t="s">
        <v>23</v>
      </c>
      <c r="L175" t="s">
        <v>22</v>
      </c>
      <c r="M175">
        <v>42.119900000000001</v>
      </c>
      <c r="N175">
        <v>42.119900000000001</v>
      </c>
      <c r="O175" t="s">
        <v>21</v>
      </c>
      <c r="P175">
        <f t="shared" si="8"/>
        <v>400</v>
      </c>
      <c r="Q175" s="11">
        <f>IF(P175=0,0,IFERROR(Q174+G175*M175*IF(E175="FUTURE",VLOOKUP(MID(I175,2,2),[1]Futures!$A$2:$B$12,2),1),G175*M175*IF(E175="FUTURE",VLOOKUP(MID(I175,2,2),[1]Futures!$A$2:$B$12,2),1)))</f>
        <v>16847.96</v>
      </c>
      <c r="R175" s="12">
        <f>IFERROR(Q175/P175/IF(E175="FUTURE",VLOOKUP(MID(I175,2,2),[1]Futures!$A$2:$B$12,2),1),"")</f>
        <v>42.119900000000001</v>
      </c>
      <c r="S175" s="13" t="str">
        <f>IF(AND(H175="TO CLOSE",P175=0),-G175*(M175-R174)*IF(E175="FUTURE",VLOOKUP(MID(I175,2,2),[1]Futures!$A$2:$B$12,2),1),"")</f>
        <v/>
      </c>
    </row>
    <row r="176" spans="1:19" x14ac:dyDescent="0.2">
      <c r="A176">
        <f t="shared" si="6"/>
        <v>43</v>
      </c>
      <c r="B176" s="3">
        <v>43930</v>
      </c>
      <c r="C176" s="3" t="str">
        <f t="shared" si="7"/>
        <v>Thursday</v>
      </c>
      <c r="D176" s="2">
        <v>0.55885416666666665</v>
      </c>
      <c r="E176" t="s">
        <v>22</v>
      </c>
      <c r="F176" t="s">
        <v>15</v>
      </c>
      <c r="G176">
        <v>-400</v>
      </c>
      <c r="H176" t="s">
        <v>16</v>
      </c>
      <c r="I176" t="s">
        <v>23</v>
      </c>
      <c r="L176" t="s">
        <v>22</v>
      </c>
      <c r="M176">
        <v>42.12</v>
      </c>
      <c r="N176">
        <v>42.12</v>
      </c>
      <c r="O176" t="s">
        <v>21</v>
      </c>
      <c r="P176">
        <f t="shared" si="8"/>
        <v>0</v>
      </c>
      <c r="Q176" s="11">
        <f>IF(P176=0,0,IFERROR(Q175+G176*M176*IF(E176="FUTURE",VLOOKUP(MID(I176,2,2),[1]Futures!$A$2:$B$12,2),1),G176*M176*IF(E176="FUTURE",VLOOKUP(MID(I176,2,2),[1]Futures!$A$2:$B$12,2),1)))</f>
        <v>0</v>
      </c>
      <c r="R176" s="12" t="str">
        <f>IFERROR(Q176/P176/IF(E176="FUTURE",VLOOKUP(MID(I176,2,2),[1]Futures!$A$2:$B$12,2),1),"")</f>
        <v/>
      </c>
      <c r="S176" s="13">
        <f>IF(AND(H176="TO CLOSE",P176=0),-G176*(M176-R175)*IF(E176="FUTURE",VLOOKUP(MID(I176,2,2),[1]Futures!$A$2:$B$12,2),1),"")</f>
        <v>3.9999999998485691E-2</v>
      </c>
    </row>
    <row r="177" spans="1:19" x14ac:dyDescent="0.2">
      <c r="A177">
        <f t="shared" si="6"/>
        <v>44</v>
      </c>
      <c r="B177" s="3">
        <v>43930</v>
      </c>
      <c r="C177" s="3" t="str">
        <f t="shared" si="7"/>
        <v>Thursday</v>
      </c>
      <c r="D177" s="2">
        <v>0.56400462962962961</v>
      </c>
      <c r="E177" t="s">
        <v>22</v>
      </c>
      <c r="F177" t="s">
        <v>19</v>
      </c>
      <c r="G177">
        <v>400</v>
      </c>
      <c r="H177" t="s">
        <v>20</v>
      </c>
      <c r="I177" t="s">
        <v>23</v>
      </c>
      <c r="L177" t="s">
        <v>22</v>
      </c>
      <c r="M177">
        <v>42.07</v>
      </c>
      <c r="N177">
        <v>42.07</v>
      </c>
      <c r="O177" t="s">
        <v>21</v>
      </c>
      <c r="P177">
        <f t="shared" si="8"/>
        <v>400</v>
      </c>
      <c r="Q177" s="11">
        <f>IF(P177=0,0,IFERROR(Q176+G177*M177*IF(E177="FUTURE",VLOOKUP(MID(I177,2,2),[1]Futures!$A$2:$B$12,2),1),G177*M177*IF(E177="FUTURE",VLOOKUP(MID(I177,2,2),[1]Futures!$A$2:$B$12,2),1)))</f>
        <v>16828</v>
      </c>
      <c r="R177" s="12">
        <f>IFERROR(Q177/P177/IF(E177="FUTURE",VLOOKUP(MID(I177,2,2),[1]Futures!$A$2:$B$12,2),1),"")</f>
        <v>42.07</v>
      </c>
      <c r="S177" s="13" t="str">
        <f>IF(AND(H177="TO CLOSE",P177=0),-G177*(M177-R176)*IF(E177="FUTURE",VLOOKUP(MID(I177,2,2),[1]Futures!$A$2:$B$12,2),1),"")</f>
        <v/>
      </c>
    </row>
    <row r="178" spans="1:19" x14ac:dyDescent="0.2">
      <c r="A178">
        <f t="shared" si="6"/>
        <v>44</v>
      </c>
      <c r="B178" s="3">
        <v>43930</v>
      </c>
      <c r="C178" s="3" t="str">
        <f t="shared" si="7"/>
        <v>Thursday</v>
      </c>
      <c r="D178" s="2">
        <v>0.57685185185185184</v>
      </c>
      <c r="E178" t="s">
        <v>22</v>
      </c>
      <c r="F178" t="s">
        <v>15</v>
      </c>
      <c r="G178">
        <v>-200</v>
      </c>
      <c r="H178" t="s">
        <v>16</v>
      </c>
      <c r="I178" t="s">
        <v>23</v>
      </c>
      <c r="L178" t="s">
        <v>22</v>
      </c>
      <c r="M178">
        <v>42.25</v>
      </c>
      <c r="N178">
        <v>42.25</v>
      </c>
      <c r="O178" t="s">
        <v>21</v>
      </c>
      <c r="P178">
        <f t="shared" si="8"/>
        <v>200</v>
      </c>
      <c r="Q178" s="11">
        <f>IF(P178=0,0,IFERROR(Q177+G178*M178*IF(E178="FUTURE",VLOOKUP(MID(I178,2,2),[1]Futures!$A$2:$B$12,2),1),G178*M178*IF(E178="FUTURE",VLOOKUP(MID(I178,2,2),[1]Futures!$A$2:$B$12,2),1)))</f>
        <v>8378</v>
      </c>
      <c r="R178" s="12">
        <f>IFERROR(Q178/P178/IF(E178="FUTURE",VLOOKUP(MID(I178,2,2),[1]Futures!$A$2:$B$12,2),1),"")</f>
        <v>41.89</v>
      </c>
      <c r="S178" s="13" t="str">
        <f>IF(AND(H178="TO CLOSE",P178=0),-G178*(M178-R177)*IF(E178="FUTURE",VLOOKUP(MID(I178,2,2),[1]Futures!$A$2:$B$12,2),1),"")</f>
        <v/>
      </c>
    </row>
    <row r="179" spans="1:19" x14ac:dyDescent="0.2">
      <c r="A179">
        <f t="shared" si="6"/>
        <v>44</v>
      </c>
      <c r="B179" s="3">
        <v>43930</v>
      </c>
      <c r="C179" s="3" t="str">
        <f t="shared" si="7"/>
        <v>Thursday</v>
      </c>
      <c r="D179" s="2">
        <v>0.59083333333333332</v>
      </c>
      <c r="E179" t="s">
        <v>22</v>
      </c>
      <c r="F179" t="s">
        <v>15</v>
      </c>
      <c r="G179">
        <v>-200</v>
      </c>
      <c r="H179" t="s">
        <v>16</v>
      </c>
      <c r="I179" t="s">
        <v>23</v>
      </c>
      <c r="L179" t="s">
        <v>22</v>
      </c>
      <c r="M179">
        <v>42.250100000000003</v>
      </c>
      <c r="N179">
        <v>42.250100000000003</v>
      </c>
      <c r="O179" t="s">
        <v>21</v>
      </c>
      <c r="P179">
        <f t="shared" si="8"/>
        <v>0</v>
      </c>
      <c r="Q179" s="11">
        <f>IF(P179=0,0,IFERROR(Q178+G179*M179*IF(E179="FUTURE",VLOOKUP(MID(I179,2,2),[1]Futures!$A$2:$B$12,2),1),G179*M179*IF(E179="FUTURE",VLOOKUP(MID(I179,2,2),[1]Futures!$A$2:$B$12,2),1)))</f>
        <v>0</v>
      </c>
      <c r="R179" s="12" t="str">
        <f>IFERROR(Q179/P179/IF(E179="FUTURE",VLOOKUP(MID(I179,2,2),[1]Futures!$A$2:$B$12,2),1),"")</f>
        <v/>
      </c>
      <c r="S179" s="13">
        <f>IF(AND(H179="TO CLOSE",P179=0),-G179*(M179-R178)*IF(E179="FUTURE",VLOOKUP(MID(I179,2,2),[1]Futures!$A$2:$B$12,2),1),"")</f>
        <v>72.02000000000055</v>
      </c>
    </row>
    <row r="180" spans="1:19" x14ac:dyDescent="0.2">
      <c r="A180">
        <f t="shared" si="6"/>
        <v>45</v>
      </c>
      <c r="B180" s="3">
        <v>43934</v>
      </c>
      <c r="C180" s="3" t="str">
        <f t="shared" si="7"/>
        <v>Monday</v>
      </c>
      <c r="D180" s="2">
        <v>0.4460648148148148</v>
      </c>
      <c r="E180" t="s">
        <v>14</v>
      </c>
      <c r="F180" t="s">
        <v>15</v>
      </c>
      <c r="G180">
        <v>-2</v>
      </c>
      <c r="H180" t="s">
        <v>20</v>
      </c>
      <c r="I180" t="s">
        <v>36</v>
      </c>
      <c r="J180" s="1">
        <v>43971</v>
      </c>
      <c r="L180" t="s">
        <v>14</v>
      </c>
      <c r="M180">
        <v>23.31</v>
      </c>
      <c r="N180">
        <v>23.31</v>
      </c>
      <c r="O180" t="s">
        <v>21</v>
      </c>
      <c r="P180">
        <f t="shared" si="8"/>
        <v>-2</v>
      </c>
      <c r="Q180" s="11">
        <f>IF(P180=0,0,IFERROR(Q179+G180*M180*IF(E180="FUTURE",VLOOKUP(MID(I180,2,2),[1]Futures!$A$2:$B$12,2),1),G180*M180*IF(E180="FUTURE",VLOOKUP(MID(I180,2,2),[1]Futures!$A$2:$B$12,2),1)))</f>
        <v>-46620</v>
      </c>
      <c r="R180" s="12">
        <f>IFERROR(Q180/P180/IF(E180="FUTURE",VLOOKUP(MID(I180,2,2),[1]Futures!$A$2:$B$12,2),1),"")</f>
        <v>23.31</v>
      </c>
      <c r="S180" s="13" t="str">
        <f>IF(AND(H180="TO CLOSE",P180=0),-G180*(M180-R179)*IF(E180="FUTURE",VLOOKUP(MID(I180,2,2),[1]Futures!$A$2:$B$12,2),1),"")</f>
        <v/>
      </c>
    </row>
    <row r="181" spans="1:19" x14ac:dyDescent="0.2">
      <c r="A181">
        <f t="shared" si="6"/>
        <v>45</v>
      </c>
      <c r="B181" s="3">
        <v>43934</v>
      </c>
      <c r="C181" s="3" t="str">
        <f t="shared" si="7"/>
        <v>Monday</v>
      </c>
      <c r="D181" s="2">
        <v>0.44709490740740737</v>
      </c>
      <c r="E181" t="s">
        <v>14</v>
      </c>
      <c r="F181" t="s">
        <v>19</v>
      </c>
      <c r="G181">
        <v>1</v>
      </c>
      <c r="H181" t="s">
        <v>16</v>
      </c>
      <c r="I181" t="s">
        <v>36</v>
      </c>
      <c r="J181" s="1">
        <v>43971</v>
      </c>
      <c r="L181" t="s">
        <v>14</v>
      </c>
      <c r="M181">
        <v>23.15</v>
      </c>
      <c r="N181">
        <v>23.15</v>
      </c>
      <c r="O181" t="s">
        <v>21</v>
      </c>
      <c r="P181">
        <f t="shared" si="8"/>
        <v>-1</v>
      </c>
      <c r="Q181" s="11">
        <f>IF(P181=0,0,IFERROR(Q180+G181*M181*IF(E181="FUTURE",VLOOKUP(MID(I181,2,2),[1]Futures!$A$2:$B$12,2),1),G181*M181*IF(E181="FUTURE",VLOOKUP(MID(I181,2,2),[1]Futures!$A$2:$B$12,2),1)))</f>
        <v>-23470</v>
      </c>
      <c r="R181" s="12">
        <f>IFERROR(Q181/P181/IF(E181="FUTURE",VLOOKUP(MID(I181,2,2),[1]Futures!$A$2:$B$12,2),1),"")</f>
        <v>23.47</v>
      </c>
      <c r="S181" s="13" t="str">
        <f>IF(AND(H181="TO CLOSE",P181=0),-G181*(M181-R180)*IF(E181="FUTURE",VLOOKUP(MID(I181,2,2),[1]Futures!$A$2:$B$12,2),1),"")</f>
        <v/>
      </c>
    </row>
    <row r="182" spans="1:19" x14ac:dyDescent="0.2">
      <c r="A182">
        <f t="shared" si="6"/>
        <v>45</v>
      </c>
      <c r="B182" s="3">
        <v>43934</v>
      </c>
      <c r="C182" s="3" t="str">
        <f t="shared" si="7"/>
        <v>Monday</v>
      </c>
      <c r="D182" s="2">
        <v>0.44990740740740742</v>
      </c>
      <c r="E182" t="s">
        <v>14</v>
      </c>
      <c r="F182" t="s">
        <v>19</v>
      </c>
      <c r="G182">
        <v>1</v>
      </c>
      <c r="H182" t="s">
        <v>16</v>
      </c>
      <c r="I182" t="s">
        <v>36</v>
      </c>
      <c r="J182" s="1">
        <v>43971</v>
      </c>
      <c r="L182" t="s">
        <v>14</v>
      </c>
      <c r="M182">
        <v>23.24</v>
      </c>
      <c r="N182">
        <v>23.24</v>
      </c>
      <c r="O182" t="s">
        <v>24</v>
      </c>
      <c r="P182">
        <f t="shared" si="8"/>
        <v>0</v>
      </c>
      <c r="Q182" s="11">
        <f>IF(P182=0,0,IFERROR(Q181+G182*M182*IF(E182="FUTURE",VLOOKUP(MID(I182,2,2),[1]Futures!$A$2:$B$12,2),1),G182*M182*IF(E182="FUTURE",VLOOKUP(MID(I182,2,2),[1]Futures!$A$2:$B$12,2),1)))</f>
        <v>0</v>
      </c>
      <c r="R182" s="12" t="str">
        <f>IFERROR(Q182/P182/IF(E182="FUTURE",VLOOKUP(MID(I182,2,2),[1]Futures!$A$2:$B$12,2),1),"")</f>
        <v/>
      </c>
      <c r="S182" s="13">
        <f>IF(AND(H182="TO CLOSE",P182=0),-G182*(M182-R181)*IF(E182="FUTURE",VLOOKUP(MID(I182,2,2),[1]Futures!$A$2:$B$12,2),1),"")</f>
        <v>230.00000000000043</v>
      </c>
    </row>
    <row r="183" spans="1:19" x14ac:dyDescent="0.2">
      <c r="A183">
        <f t="shared" si="6"/>
        <v>46</v>
      </c>
      <c r="B183" s="3">
        <v>43934</v>
      </c>
      <c r="C183" s="3" t="str">
        <f t="shared" si="7"/>
        <v>Monday</v>
      </c>
      <c r="D183" s="2">
        <v>0.46167824074074071</v>
      </c>
      <c r="E183" t="s">
        <v>14</v>
      </c>
      <c r="F183" t="s">
        <v>19</v>
      </c>
      <c r="G183">
        <v>2</v>
      </c>
      <c r="H183" t="s">
        <v>20</v>
      </c>
      <c r="I183" t="s">
        <v>36</v>
      </c>
      <c r="J183" s="1">
        <v>43971</v>
      </c>
      <c r="L183" t="s">
        <v>14</v>
      </c>
      <c r="M183">
        <v>22.99</v>
      </c>
      <c r="N183">
        <v>22.99</v>
      </c>
      <c r="O183" t="s">
        <v>24</v>
      </c>
      <c r="P183">
        <f t="shared" si="8"/>
        <v>2</v>
      </c>
      <c r="Q183" s="11">
        <f>IF(P183=0,0,IFERROR(Q182+G183*M183*IF(E183="FUTURE",VLOOKUP(MID(I183,2,2),[1]Futures!$A$2:$B$12,2),1),G183*M183*IF(E183="FUTURE",VLOOKUP(MID(I183,2,2),[1]Futures!$A$2:$B$12,2),1)))</f>
        <v>45980</v>
      </c>
      <c r="R183" s="12">
        <f>IFERROR(Q183/P183/IF(E183="FUTURE",VLOOKUP(MID(I183,2,2),[1]Futures!$A$2:$B$12,2),1),"")</f>
        <v>22.99</v>
      </c>
      <c r="S183" s="13" t="str">
        <f>IF(AND(H183="TO CLOSE",P183=0),-G183*(M183-R182)*IF(E183="FUTURE",VLOOKUP(MID(I183,2,2),[1]Futures!$A$2:$B$12,2),1),"")</f>
        <v/>
      </c>
    </row>
    <row r="184" spans="1:19" x14ac:dyDescent="0.2">
      <c r="A184">
        <f t="shared" si="6"/>
        <v>46</v>
      </c>
      <c r="B184" s="3">
        <v>43934</v>
      </c>
      <c r="C184" s="3" t="str">
        <f t="shared" si="7"/>
        <v>Monday</v>
      </c>
      <c r="D184" s="2">
        <v>0.46332175925925928</v>
      </c>
      <c r="E184" t="s">
        <v>14</v>
      </c>
      <c r="F184" t="s">
        <v>15</v>
      </c>
      <c r="G184">
        <v>-1</v>
      </c>
      <c r="H184" t="s">
        <v>16</v>
      </c>
      <c r="I184" t="s">
        <v>36</v>
      </c>
      <c r="J184" s="1">
        <v>43971</v>
      </c>
      <c r="L184" t="s">
        <v>14</v>
      </c>
      <c r="M184">
        <v>23.02</v>
      </c>
      <c r="N184">
        <v>23.02</v>
      </c>
      <c r="O184" t="s">
        <v>21</v>
      </c>
      <c r="P184">
        <f t="shared" si="8"/>
        <v>1</v>
      </c>
      <c r="Q184" s="11">
        <f>IF(P184=0,0,IFERROR(Q183+G184*M184*IF(E184="FUTURE",VLOOKUP(MID(I184,2,2),[1]Futures!$A$2:$B$12,2),1),G184*M184*IF(E184="FUTURE",VLOOKUP(MID(I184,2,2),[1]Futures!$A$2:$B$12,2),1)))</f>
        <v>22960</v>
      </c>
      <c r="R184" s="12">
        <f>IFERROR(Q184/P184/IF(E184="FUTURE",VLOOKUP(MID(I184,2,2),[1]Futures!$A$2:$B$12,2),1),"")</f>
        <v>22.96</v>
      </c>
      <c r="S184" s="13" t="str">
        <f>IF(AND(H184="TO CLOSE",P184=0),-G184*(M184-R183)*IF(E184="FUTURE",VLOOKUP(MID(I184,2,2),[1]Futures!$A$2:$B$12,2),1),"")</f>
        <v/>
      </c>
    </row>
    <row r="185" spans="1:19" x14ac:dyDescent="0.2">
      <c r="A185">
        <f t="shared" si="6"/>
        <v>46</v>
      </c>
      <c r="B185" s="3">
        <v>43934</v>
      </c>
      <c r="C185" s="3" t="str">
        <f t="shared" si="7"/>
        <v>Monday</v>
      </c>
      <c r="D185" s="2">
        <v>0.46333333333333332</v>
      </c>
      <c r="E185" t="s">
        <v>14</v>
      </c>
      <c r="F185" t="s">
        <v>15</v>
      </c>
      <c r="G185">
        <v>-1</v>
      </c>
      <c r="H185" t="s">
        <v>16</v>
      </c>
      <c r="I185" t="s">
        <v>36</v>
      </c>
      <c r="J185" s="1">
        <v>43971</v>
      </c>
      <c r="L185" t="s">
        <v>14</v>
      </c>
      <c r="M185">
        <v>23.02</v>
      </c>
      <c r="N185">
        <v>23.02</v>
      </c>
      <c r="O185" t="s">
        <v>21</v>
      </c>
      <c r="P185">
        <f t="shared" si="8"/>
        <v>0</v>
      </c>
      <c r="Q185" s="11">
        <f>IF(P185=0,0,IFERROR(Q184+G185*M185*IF(E185="FUTURE",VLOOKUP(MID(I185,2,2),[1]Futures!$A$2:$B$12,2),1),G185*M185*IF(E185="FUTURE",VLOOKUP(MID(I185,2,2),[1]Futures!$A$2:$B$12,2),1)))</f>
        <v>0</v>
      </c>
      <c r="R185" s="12" t="str">
        <f>IFERROR(Q185/P185/IF(E185="FUTURE",VLOOKUP(MID(I185,2,2),[1]Futures!$A$2:$B$12,2),1),"")</f>
        <v/>
      </c>
      <c r="S185" s="13">
        <f>IF(AND(H185="TO CLOSE",P185=0),-G185*(M185-R184)*IF(E185="FUTURE",VLOOKUP(MID(I185,2,2),[1]Futures!$A$2:$B$12,2),1),"")</f>
        <v>59.999999999998721</v>
      </c>
    </row>
    <row r="186" spans="1:19" x14ac:dyDescent="0.2">
      <c r="A186">
        <f t="shared" si="6"/>
        <v>47</v>
      </c>
      <c r="B186" s="3">
        <v>43934</v>
      </c>
      <c r="C186" s="3" t="str">
        <f t="shared" si="7"/>
        <v>Monday</v>
      </c>
      <c r="D186" s="2">
        <v>0.49532407407407408</v>
      </c>
      <c r="E186" t="s">
        <v>14</v>
      </c>
      <c r="F186" t="s">
        <v>19</v>
      </c>
      <c r="G186">
        <v>2</v>
      </c>
      <c r="H186" t="s">
        <v>20</v>
      </c>
      <c r="I186" t="s">
        <v>36</v>
      </c>
      <c r="J186" s="1">
        <v>43971</v>
      </c>
      <c r="L186" t="s">
        <v>14</v>
      </c>
      <c r="M186">
        <v>23.08</v>
      </c>
      <c r="N186">
        <v>23.08</v>
      </c>
      <c r="O186" t="s">
        <v>24</v>
      </c>
      <c r="P186">
        <f t="shared" si="8"/>
        <v>2</v>
      </c>
      <c r="Q186" s="11">
        <f>IF(P186=0,0,IFERROR(Q185+G186*M186*IF(E186="FUTURE",VLOOKUP(MID(I186,2,2),[1]Futures!$A$2:$B$12,2),1),G186*M186*IF(E186="FUTURE",VLOOKUP(MID(I186,2,2),[1]Futures!$A$2:$B$12,2),1)))</f>
        <v>46160</v>
      </c>
      <c r="R186" s="12">
        <f>IFERROR(Q186/P186/IF(E186="FUTURE",VLOOKUP(MID(I186,2,2),[1]Futures!$A$2:$B$12,2),1),"")</f>
        <v>23.08</v>
      </c>
      <c r="S186" s="13" t="str">
        <f>IF(AND(H186="TO CLOSE",P186=0),-G186*(M186-R185)*IF(E186="FUTURE",VLOOKUP(MID(I186,2,2),[1]Futures!$A$2:$B$12,2),1),"")</f>
        <v/>
      </c>
    </row>
    <row r="187" spans="1:19" x14ac:dyDescent="0.2">
      <c r="A187">
        <f t="shared" si="6"/>
        <v>47</v>
      </c>
      <c r="B187" s="3">
        <v>43934</v>
      </c>
      <c r="C187" s="3" t="str">
        <f t="shared" si="7"/>
        <v>Monday</v>
      </c>
      <c r="D187" s="2">
        <v>0.5001620370370371</v>
      </c>
      <c r="E187" t="s">
        <v>14</v>
      </c>
      <c r="F187" t="s">
        <v>15</v>
      </c>
      <c r="G187">
        <v>-2</v>
      </c>
      <c r="H187" t="s">
        <v>16</v>
      </c>
      <c r="I187" t="s">
        <v>36</v>
      </c>
      <c r="J187" s="1">
        <v>43971</v>
      </c>
      <c r="L187" t="s">
        <v>14</v>
      </c>
      <c r="M187">
        <v>23</v>
      </c>
      <c r="N187">
        <v>23</v>
      </c>
      <c r="O187" t="s">
        <v>21</v>
      </c>
      <c r="P187">
        <f t="shared" si="8"/>
        <v>0</v>
      </c>
      <c r="Q187" s="11">
        <f>IF(P187=0,0,IFERROR(Q186+G187*M187*IF(E187="FUTURE",VLOOKUP(MID(I187,2,2),[1]Futures!$A$2:$B$12,2),1),G187*M187*IF(E187="FUTURE",VLOOKUP(MID(I187,2,2),[1]Futures!$A$2:$B$12,2),1)))</f>
        <v>0</v>
      </c>
      <c r="R187" s="12" t="str">
        <f>IFERROR(Q187/P187/IF(E187="FUTURE",VLOOKUP(MID(I187,2,2),[1]Futures!$A$2:$B$12,2),1),"")</f>
        <v/>
      </c>
      <c r="S187" s="13">
        <f>IF(AND(H187="TO CLOSE",P187=0),-G187*(M187-R186)*IF(E187="FUTURE",VLOOKUP(MID(I187,2,2),[1]Futures!$A$2:$B$12,2),1),"")</f>
        <v>-159.99999999999659</v>
      </c>
    </row>
    <row r="188" spans="1:19" x14ac:dyDescent="0.2">
      <c r="A188">
        <f t="shared" si="6"/>
        <v>48</v>
      </c>
      <c r="B188" s="3">
        <v>43934</v>
      </c>
      <c r="C188" s="3" t="str">
        <f t="shared" si="7"/>
        <v>Monday</v>
      </c>
      <c r="D188" s="2">
        <v>0.50225694444444446</v>
      </c>
      <c r="E188" t="s">
        <v>14</v>
      </c>
      <c r="F188" t="s">
        <v>19</v>
      </c>
      <c r="G188">
        <v>2</v>
      </c>
      <c r="H188" t="s">
        <v>20</v>
      </c>
      <c r="I188" t="s">
        <v>36</v>
      </c>
      <c r="J188" s="1">
        <v>43971</v>
      </c>
      <c r="L188" t="s">
        <v>14</v>
      </c>
      <c r="M188">
        <v>23.14</v>
      </c>
      <c r="N188">
        <v>23.14</v>
      </c>
      <c r="O188" t="s">
        <v>24</v>
      </c>
      <c r="P188">
        <f t="shared" si="8"/>
        <v>2</v>
      </c>
      <c r="Q188" s="11">
        <f>IF(P188=0,0,IFERROR(Q187+G188*M188*IF(E188="FUTURE",VLOOKUP(MID(I188,2,2),[1]Futures!$A$2:$B$12,2),1),G188*M188*IF(E188="FUTURE",VLOOKUP(MID(I188,2,2),[1]Futures!$A$2:$B$12,2),1)))</f>
        <v>46280</v>
      </c>
      <c r="R188" s="12">
        <f>IFERROR(Q188/P188/IF(E188="FUTURE",VLOOKUP(MID(I188,2,2),[1]Futures!$A$2:$B$12,2),1),"")</f>
        <v>23.14</v>
      </c>
      <c r="S188" s="13" t="str">
        <f>IF(AND(H188="TO CLOSE",P188=0),-G188*(M188-R187)*IF(E188="FUTURE",VLOOKUP(MID(I188,2,2),[1]Futures!$A$2:$B$12,2),1),"")</f>
        <v/>
      </c>
    </row>
    <row r="189" spans="1:19" x14ac:dyDescent="0.2">
      <c r="A189">
        <f t="shared" si="6"/>
        <v>48</v>
      </c>
      <c r="B189" s="3">
        <v>43934</v>
      </c>
      <c r="C189" s="3" t="str">
        <f t="shared" si="7"/>
        <v>Monday</v>
      </c>
      <c r="D189" s="2">
        <v>0.51523148148148146</v>
      </c>
      <c r="E189" t="s">
        <v>14</v>
      </c>
      <c r="F189" t="s">
        <v>19</v>
      </c>
      <c r="G189">
        <v>1</v>
      </c>
      <c r="H189" t="s">
        <v>20</v>
      </c>
      <c r="I189" t="s">
        <v>36</v>
      </c>
      <c r="J189" s="1">
        <v>43971</v>
      </c>
      <c r="L189" t="s">
        <v>14</v>
      </c>
      <c r="M189">
        <v>23.25</v>
      </c>
      <c r="N189">
        <v>23.25</v>
      </c>
      <c r="O189" t="s">
        <v>18</v>
      </c>
      <c r="P189">
        <f t="shared" si="8"/>
        <v>3</v>
      </c>
      <c r="Q189" s="11">
        <f>IF(P189=0,0,IFERROR(Q188+G189*M189*IF(E189="FUTURE",VLOOKUP(MID(I189,2,2),[1]Futures!$A$2:$B$12,2),1),G189*M189*IF(E189="FUTURE",VLOOKUP(MID(I189,2,2),[1]Futures!$A$2:$B$12,2),1)))</f>
        <v>69530</v>
      </c>
      <c r="R189" s="12">
        <f>IFERROR(Q189/P189/IF(E189="FUTURE",VLOOKUP(MID(I189,2,2),[1]Futures!$A$2:$B$12,2),1),"")</f>
        <v>23.176666666666669</v>
      </c>
      <c r="S189" s="13" t="str">
        <f>IF(AND(H189="TO CLOSE",P189=0),-G189*(M189-R188)*IF(E189="FUTURE",VLOOKUP(MID(I189,2,2),[1]Futures!$A$2:$B$12,2),1),"")</f>
        <v/>
      </c>
    </row>
    <row r="190" spans="1:19" x14ac:dyDescent="0.2">
      <c r="A190">
        <f t="shared" si="6"/>
        <v>48</v>
      </c>
      <c r="B190" s="3">
        <v>43934</v>
      </c>
      <c r="C190" s="3" t="str">
        <f t="shared" si="7"/>
        <v>Monday</v>
      </c>
      <c r="D190" s="2">
        <v>0.5163888888888889</v>
      </c>
      <c r="E190" t="s">
        <v>14</v>
      </c>
      <c r="F190" t="s">
        <v>15</v>
      </c>
      <c r="G190">
        <v>-2</v>
      </c>
      <c r="H190" t="s">
        <v>16</v>
      </c>
      <c r="I190" t="s">
        <v>36</v>
      </c>
      <c r="J190" s="1">
        <v>43971</v>
      </c>
      <c r="L190" t="s">
        <v>14</v>
      </c>
      <c r="M190">
        <v>23.26</v>
      </c>
      <c r="N190">
        <v>23.26</v>
      </c>
      <c r="O190" t="s">
        <v>21</v>
      </c>
      <c r="P190">
        <f t="shared" si="8"/>
        <v>1</v>
      </c>
      <c r="Q190" s="11">
        <f>IF(P190=0,0,IFERROR(Q189+G190*M190*IF(E190="FUTURE",VLOOKUP(MID(I190,2,2),[1]Futures!$A$2:$B$12,2),1),G190*M190*IF(E190="FUTURE",VLOOKUP(MID(I190,2,2),[1]Futures!$A$2:$B$12,2),1)))</f>
        <v>23010</v>
      </c>
      <c r="R190" s="12">
        <f>IFERROR(Q190/P190/IF(E190="FUTURE",VLOOKUP(MID(I190,2,2),[1]Futures!$A$2:$B$12,2),1),"")</f>
        <v>23.01</v>
      </c>
      <c r="S190" s="13" t="str">
        <f>IF(AND(H190="TO CLOSE",P190=0),-G190*(M190-R189)*IF(E190="FUTURE",VLOOKUP(MID(I190,2,2),[1]Futures!$A$2:$B$12,2),1),"")</f>
        <v/>
      </c>
    </row>
    <row r="191" spans="1:19" x14ac:dyDescent="0.2">
      <c r="A191">
        <f t="shared" si="6"/>
        <v>48</v>
      </c>
      <c r="B191" s="3">
        <v>43934</v>
      </c>
      <c r="C191" s="3" t="str">
        <f t="shared" si="7"/>
        <v>Monday</v>
      </c>
      <c r="D191" s="2">
        <v>0.51659722222222226</v>
      </c>
      <c r="E191" t="s">
        <v>14</v>
      </c>
      <c r="F191" t="s">
        <v>15</v>
      </c>
      <c r="G191">
        <v>-1</v>
      </c>
      <c r="H191" t="s">
        <v>16</v>
      </c>
      <c r="I191" t="s">
        <v>36</v>
      </c>
      <c r="J191" s="1">
        <v>43971</v>
      </c>
      <c r="L191" t="s">
        <v>14</v>
      </c>
      <c r="M191">
        <v>23.34</v>
      </c>
      <c r="N191">
        <v>23.34</v>
      </c>
      <c r="O191" t="s">
        <v>21</v>
      </c>
      <c r="P191">
        <f t="shared" si="8"/>
        <v>0</v>
      </c>
      <c r="Q191" s="11">
        <f>IF(P191=0,0,IFERROR(Q190+G191*M191*IF(E191="FUTURE",VLOOKUP(MID(I191,2,2),[1]Futures!$A$2:$B$12,2),1),G191*M191*IF(E191="FUTURE",VLOOKUP(MID(I191,2,2),[1]Futures!$A$2:$B$12,2),1)))</f>
        <v>0</v>
      </c>
      <c r="R191" s="12" t="str">
        <f>IFERROR(Q191/P191/IF(E191="FUTURE",VLOOKUP(MID(I191,2,2),[1]Futures!$A$2:$B$12,2),1),"")</f>
        <v/>
      </c>
      <c r="S191" s="13">
        <f>IF(AND(H191="TO CLOSE",P191=0),-G191*(M191-R190)*IF(E191="FUTURE",VLOOKUP(MID(I191,2,2),[1]Futures!$A$2:$B$12,2),1),"")</f>
        <v>329.99999999999829</v>
      </c>
    </row>
    <row r="192" spans="1:19" x14ac:dyDescent="0.2">
      <c r="A192">
        <f t="shared" si="6"/>
        <v>49</v>
      </c>
      <c r="B192" s="3">
        <v>43934</v>
      </c>
      <c r="C192" s="3" t="str">
        <f t="shared" si="7"/>
        <v>Monday</v>
      </c>
      <c r="D192" s="2">
        <v>0.52765046296296292</v>
      </c>
      <c r="E192" t="s">
        <v>14</v>
      </c>
      <c r="F192" t="s">
        <v>15</v>
      </c>
      <c r="G192">
        <v>-1</v>
      </c>
      <c r="H192" t="s">
        <v>20</v>
      </c>
      <c r="I192" t="s">
        <v>36</v>
      </c>
      <c r="J192" s="1">
        <v>43971</v>
      </c>
      <c r="L192" t="s">
        <v>14</v>
      </c>
      <c r="M192">
        <v>23.18</v>
      </c>
      <c r="N192">
        <v>23.18</v>
      </c>
      <c r="O192" t="s">
        <v>21</v>
      </c>
      <c r="P192">
        <f t="shared" si="8"/>
        <v>-1</v>
      </c>
      <c r="Q192" s="11">
        <f>IF(P192=0,0,IFERROR(Q191+G192*M192*IF(E192="FUTURE",VLOOKUP(MID(I192,2,2),[1]Futures!$A$2:$B$12,2),1),G192*M192*IF(E192="FUTURE",VLOOKUP(MID(I192,2,2),[1]Futures!$A$2:$B$12,2),1)))</f>
        <v>-23180</v>
      </c>
      <c r="R192" s="12">
        <f>IFERROR(Q192/P192/IF(E192="FUTURE",VLOOKUP(MID(I192,2,2),[1]Futures!$A$2:$B$12,2),1),"")</f>
        <v>23.18</v>
      </c>
      <c r="S192" s="13" t="str">
        <f>IF(AND(H192="TO CLOSE",P192=0),-G192*(M192-R191)*IF(E192="FUTURE",VLOOKUP(MID(I192,2,2),[1]Futures!$A$2:$B$12,2),1),"")</f>
        <v/>
      </c>
    </row>
    <row r="193" spans="1:19" x14ac:dyDescent="0.2">
      <c r="A193">
        <f t="shared" si="6"/>
        <v>49</v>
      </c>
      <c r="B193" s="3">
        <v>43934</v>
      </c>
      <c r="C193" s="3" t="str">
        <f t="shared" si="7"/>
        <v>Monday</v>
      </c>
      <c r="D193" s="2">
        <v>0.54059027777777779</v>
      </c>
      <c r="E193" t="s">
        <v>14</v>
      </c>
      <c r="F193" t="s">
        <v>19</v>
      </c>
      <c r="G193">
        <v>1</v>
      </c>
      <c r="H193" t="s">
        <v>16</v>
      </c>
      <c r="I193" t="s">
        <v>36</v>
      </c>
      <c r="J193" s="1">
        <v>43971</v>
      </c>
      <c r="L193" t="s">
        <v>14</v>
      </c>
      <c r="M193">
        <v>23.07</v>
      </c>
      <c r="N193">
        <v>23.07</v>
      </c>
      <c r="O193" t="s">
        <v>21</v>
      </c>
      <c r="P193">
        <f t="shared" si="8"/>
        <v>0</v>
      </c>
      <c r="Q193" s="11">
        <f>IF(P193=0,0,IFERROR(Q192+G193*M193*IF(E193="FUTURE",VLOOKUP(MID(I193,2,2),[1]Futures!$A$2:$B$12,2),1),G193*M193*IF(E193="FUTURE",VLOOKUP(MID(I193,2,2),[1]Futures!$A$2:$B$12,2),1)))</f>
        <v>0</v>
      </c>
      <c r="R193" s="12" t="str">
        <f>IFERROR(Q193/P193/IF(E193="FUTURE",VLOOKUP(MID(I193,2,2),[1]Futures!$A$2:$B$12,2),1),"")</f>
        <v/>
      </c>
      <c r="S193" s="13">
        <f>IF(AND(H193="TO CLOSE",P193=0),-G193*(M193-R192)*IF(E193="FUTURE",VLOOKUP(MID(I193,2,2),[1]Futures!$A$2:$B$12,2),1),"")</f>
        <v>109.99999999999943</v>
      </c>
    </row>
    <row r="194" spans="1:19" x14ac:dyDescent="0.2">
      <c r="A194">
        <f t="shared" ref="A194:A257" si="9">IF(AND(P193=0,H193="TO CLOSE"),IFERROR(A193+1,1),IFERROR(A193/1,1))</f>
        <v>50</v>
      </c>
      <c r="B194" s="3">
        <v>43934</v>
      </c>
      <c r="C194" s="3" t="str">
        <f t="shared" ref="C194:C225" si="10">IF(WEEKDAY(B194,2)=1,"Monday",IF(WEEKDAY(B194,2)=2,"Tuesday",IF(WEEKDAY(B194,2)=3,"Wednesday",IF(WEEKDAY(B194,2)=4,"Thursday",IF(WEEKDAY(B194,2)=5,"Friday","Sunday")))))</f>
        <v>Monday</v>
      </c>
      <c r="D194" s="2">
        <v>0.54439814814814813</v>
      </c>
      <c r="E194" t="s">
        <v>14</v>
      </c>
      <c r="F194" t="s">
        <v>19</v>
      </c>
      <c r="G194">
        <v>1</v>
      </c>
      <c r="H194" t="s">
        <v>20</v>
      </c>
      <c r="I194" t="s">
        <v>36</v>
      </c>
      <c r="J194" s="1">
        <v>43971</v>
      </c>
      <c r="L194" t="s">
        <v>14</v>
      </c>
      <c r="M194">
        <v>23.07</v>
      </c>
      <c r="N194">
        <v>23.07</v>
      </c>
      <c r="O194" t="s">
        <v>21</v>
      </c>
      <c r="P194">
        <f t="shared" si="8"/>
        <v>1</v>
      </c>
      <c r="Q194" s="11">
        <f>IF(P194=0,0,IFERROR(Q193+G194*M194*IF(E194="FUTURE",VLOOKUP(MID(I194,2,2),[1]Futures!$A$2:$B$12,2),1),G194*M194*IF(E194="FUTURE",VLOOKUP(MID(I194,2,2),[1]Futures!$A$2:$B$12,2),1)))</f>
        <v>23070</v>
      </c>
      <c r="R194" s="12">
        <f>IFERROR(Q194/P194/IF(E194="FUTURE",VLOOKUP(MID(I194,2,2),[1]Futures!$A$2:$B$12,2),1),"")</f>
        <v>23.07</v>
      </c>
      <c r="S194" s="13" t="str">
        <f>IF(AND(H194="TO CLOSE",P194=0),-G194*(M194-R193)*IF(E194="FUTURE",VLOOKUP(MID(I194,2,2),[1]Futures!$A$2:$B$12,2),1),"")</f>
        <v/>
      </c>
    </row>
    <row r="195" spans="1:19" x14ac:dyDescent="0.2">
      <c r="A195">
        <f t="shared" si="9"/>
        <v>50</v>
      </c>
      <c r="B195" s="3">
        <v>43934</v>
      </c>
      <c r="C195" s="3" t="str">
        <f t="shared" si="10"/>
        <v>Monday</v>
      </c>
      <c r="D195" s="2">
        <v>0.56907407407407407</v>
      </c>
      <c r="E195" t="s">
        <v>14</v>
      </c>
      <c r="F195" t="s">
        <v>15</v>
      </c>
      <c r="G195">
        <v>-1</v>
      </c>
      <c r="H195" t="s">
        <v>16</v>
      </c>
      <c r="I195" t="s">
        <v>36</v>
      </c>
      <c r="J195" s="1">
        <v>43971</v>
      </c>
      <c r="L195" t="s">
        <v>14</v>
      </c>
      <c r="M195">
        <v>23.1</v>
      </c>
      <c r="N195">
        <v>23.1</v>
      </c>
      <c r="O195" t="s">
        <v>21</v>
      </c>
      <c r="P195">
        <f t="shared" ref="P195:P258" si="11">IF(H195="TO OPEN",IFERROR(P194+G195,0+G195),IFERROR(P194+G195,0+G195))</f>
        <v>0</v>
      </c>
      <c r="Q195" s="11">
        <f>IF(P195=0,0,IFERROR(Q194+G195*M195*IF(E195="FUTURE",VLOOKUP(MID(I195,2,2),[1]Futures!$A$2:$B$12,2),1),G195*M195*IF(E195="FUTURE",VLOOKUP(MID(I195,2,2),[1]Futures!$A$2:$B$12,2),1)))</f>
        <v>0</v>
      </c>
      <c r="R195" s="12" t="str">
        <f>IFERROR(Q195/P195/IF(E195="FUTURE",VLOOKUP(MID(I195,2,2),[1]Futures!$A$2:$B$12,2),1),"")</f>
        <v/>
      </c>
      <c r="S195" s="13">
        <f>IF(AND(H195="TO CLOSE",P195=0),-G195*(M195-R194)*IF(E195="FUTURE",VLOOKUP(MID(I195,2,2),[1]Futures!$A$2:$B$12,2),1),"")</f>
        <v>30.000000000001137</v>
      </c>
    </row>
    <row r="196" spans="1:19" x14ac:dyDescent="0.2">
      <c r="A196">
        <f t="shared" si="9"/>
        <v>51</v>
      </c>
      <c r="B196" s="3">
        <v>43934</v>
      </c>
      <c r="C196" s="3" t="str">
        <f t="shared" si="10"/>
        <v>Monday</v>
      </c>
      <c r="D196" s="2">
        <v>0.43822916666666667</v>
      </c>
      <c r="E196" t="s">
        <v>14</v>
      </c>
      <c r="F196" t="s">
        <v>19</v>
      </c>
      <c r="G196">
        <v>4</v>
      </c>
      <c r="H196" t="s">
        <v>20</v>
      </c>
      <c r="I196" t="s">
        <v>73</v>
      </c>
      <c r="J196" s="1">
        <v>44002</v>
      </c>
      <c r="L196" t="s">
        <v>14</v>
      </c>
      <c r="M196">
        <v>2732.75</v>
      </c>
      <c r="N196">
        <v>2732.75</v>
      </c>
      <c r="O196" t="s">
        <v>24</v>
      </c>
      <c r="P196">
        <f t="shared" si="11"/>
        <v>4</v>
      </c>
      <c r="Q196" s="11">
        <f>IF(P196=0,0,IFERROR(Q195+G196*M196*IF(E196="FUTURE",VLOOKUP(MID(I196,2,2),[1]Futures!$A$2:$B$12,2),1),G196*M196*IF(E196="FUTURE",VLOOKUP(MID(I196,2,2),[1]Futures!$A$2:$B$12,2),1)))</f>
        <v>54655</v>
      </c>
      <c r="R196" s="12">
        <f>IFERROR(Q196/P196/IF(E196="FUTURE",VLOOKUP(MID(I196,2,2),[1]Futures!$A$2:$B$12,2),1),"")</f>
        <v>2732.75</v>
      </c>
      <c r="S196" s="13" t="str">
        <f>IF(AND(H196="TO CLOSE",P196=0),-G196*(M196-R195)*IF(E196="FUTURE",VLOOKUP(MID(I196,2,2),[1]Futures!$A$2:$B$12,2),1),"")</f>
        <v/>
      </c>
    </row>
    <row r="197" spans="1:19" x14ac:dyDescent="0.2">
      <c r="A197">
        <f t="shared" si="9"/>
        <v>51</v>
      </c>
      <c r="B197" s="3">
        <v>43934</v>
      </c>
      <c r="C197" s="3" t="str">
        <f t="shared" si="10"/>
        <v>Monday</v>
      </c>
      <c r="D197" s="2">
        <v>0.44269675925925928</v>
      </c>
      <c r="E197" t="s">
        <v>14</v>
      </c>
      <c r="F197" t="s">
        <v>15</v>
      </c>
      <c r="G197">
        <v>-4</v>
      </c>
      <c r="H197" t="s">
        <v>16</v>
      </c>
      <c r="I197" t="s">
        <v>73</v>
      </c>
      <c r="J197" s="1">
        <v>44002</v>
      </c>
      <c r="L197" t="s">
        <v>14</v>
      </c>
      <c r="M197">
        <v>2724</v>
      </c>
      <c r="N197">
        <v>2724</v>
      </c>
      <c r="O197" t="s">
        <v>18</v>
      </c>
      <c r="P197">
        <f t="shared" si="11"/>
        <v>0</v>
      </c>
      <c r="Q197" s="11">
        <f>IF(P197=0,0,IFERROR(Q196+G197*M197*IF(E197="FUTURE",VLOOKUP(MID(I197,2,2),[1]Futures!$A$2:$B$12,2),1),G197*M197*IF(E197="FUTURE",VLOOKUP(MID(I197,2,2),[1]Futures!$A$2:$B$12,2),1)))</f>
        <v>0</v>
      </c>
      <c r="R197" s="12" t="str">
        <f>IFERROR(Q197/P197/IF(E197="FUTURE",VLOOKUP(MID(I197,2,2),[1]Futures!$A$2:$B$12,2),1),"")</f>
        <v/>
      </c>
      <c r="S197" s="13">
        <f>IF(AND(H197="TO CLOSE",P197=0),-G197*(M197-R196)*IF(E197="FUTURE",VLOOKUP(MID(I197,2,2),[1]Futures!$A$2:$B$12,2),1),"")</f>
        <v>-175</v>
      </c>
    </row>
    <row r="198" spans="1:19" x14ac:dyDescent="0.2">
      <c r="A198">
        <f t="shared" si="9"/>
        <v>52</v>
      </c>
      <c r="B198" s="3">
        <v>43934</v>
      </c>
      <c r="C198" s="3" t="str">
        <f t="shared" si="10"/>
        <v>Monday</v>
      </c>
      <c r="D198" s="2">
        <v>0.45060185185185181</v>
      </c>
      <c r="E198" t="s">
        <v>14</v>
      </c>
      <c r="F198" t="s">
        <v>19</v>
      </c>
      <c r="G198">
        <v>1</v>
      </c>
      <c r="H198" t="s">
        <v>20</v>
      </c>
      <c r="I198" t="s">
        <v>73</v>
      </c>
      <c r="J198" s="1">
        <v>44002</v>
      </c>
      <c r="L198" t="s">
        <v>14</v>
      </c>
      <c r="M198">
        <v>2727</v>
      </c>
      <c r="N198">
        <v>2727</v>
      </c>
      <c r="O198" t="s">
        <v>21</v>
      </c>
      <c r="P198">
        <f t="shared" si="11"/>
        <v>1</v>
      </c>
      <c r="Q198" s="11">
        <f>IF(P198=0,0,IFERROR(Q197+G198*M198*IF(E198="FUTURE",VLOOKUP(MID(I198,2,2),[1]Futures!$A$2:$B$12,2),1),G198*M198*IF(E198="FUTURE",VLOOKUP(MID(I198,2,2),[1]Futures!$A$2:$B$12,2),1)))</f>
        <v>13635</v>
      </c>
      <c r="R198" s="12">
        <f>IFERROR(Q198/P198/IF(E198="FUTURE",VLOOKUP(MID(I198,2,2),[1]Futures!$A$2:$B$12,2),1),"")</f>
        <v>2727</v>
      </c>
      <c r="S198" s="13" t="str">
        <f>IF(AND(H198="TO CLOSE",P198=0),-G198*(M198-R197)*IF(E198="FUTURE",VLOOKUP(MID(I198,2,2),[1]Futures!$A$2:$B$12,2),1),"")</f>
        <v/>
      </c>
    </row>
    <row r="199" spans="1:19" x14ac:dyDescent="0.2">
      <c r="A199">
        <f t="shared" si="9"/>
        <v>52</v>
      </c>
      <c r="B199" s="3">
        <v>43934</v>
      </c>
      <c r="C199" s="3" t="str">
        <f t="shared" si="10"/>
        <v>Monday</v>
      </c>
      <c r="D199" s="2">
        <v>0.45060185185185181</v>
      </c>
      <c r="E199" t="s">
        <v>14</v>
      </c>
      <c r="F199" t="s">
        <v>19</v>
      </c>
      <c r="G199">
        <v>2</v>
      </c>
      <c r="H199" t="s">
        <v>20</v>
      </c>
      <c r="I199" t="s">
        <v>73</v>
      </c>
      <c r="J199" s="1">
        <v>44002</v>
      </c>
      <c r="L199" t="s">
        <v>14</v>
      </c>
      <c r="M199">
        <v>2727</v>
      </c>
      <c r="N199">
        <v>2727</v>
      </c>
      <c r="O199" t="s">
        <v>21</v>
      </c>
      <c r="P199">
        <f t="shared" si="11"/>
        <v>3</v>
      </c>
      <c r="Q199" s="11">
        <f>IF(P199=0,0,IFERROR(Q198+G199*M199*IF(E199="FUTURE",VLOOKUP(MID(I199,2,2),[1]Futures!$A$2:$B$12,2),1),G199*M199*IF(E199="FUTURE",VLOOKUP(MID(I199,2,2),[1]Futures!$A$2:$B$12,2),1)))</f>
        <v>40905</v>
      </c>
      <c r="R199" s="12">
        <f>IFERROR(Q199/P199/IF(E199="FUTURE",VLOOKUP(MID(I199,2,2),[1]Futures!$A$2:$B$12,2),1),"")</f>
        <v>2727</v>
      </c>
      <c r="S199" s="13" t="str">
        <f>IF(AND(H199="TO CLOSE",P199=0),-G199*(M199-R198)*IF(E199="FUTURE",VLOOKUP(MID(I199,2,2),[1]Futures!$A$2:$B$12,2),1),"")</f>
        <v/>
      </c>
    </row>
    <row r="200" spans="1:19" x14ac:dyDescent="0.2">
      <c r="A200">
        <f t="shared" si="9"/>
        <v>52</v>
      </c>
      <c r="B200" s="3">
        <v>43934</v>
      </c>
      <c r="C200" s="3" t="str">
        <f t="shared" si="10"/>
        <v>Monday</v>
      </c>
      <c r="D200" s="2">
        <v>0.45060185185185181</v>
      </c>
      <c r="E200" t="s">
        <v>14</v>
      </c>
      <c r="F200" t="s">
        <v>19</v>
      </c>
      <c r="G200">
        <v>2</v>
      </c>
      <c r="H200" t="s">
        <v>20</v>
      </c>
      <c r="I200" t="s">
        <v>73</v>
      </c>
      <c r="J200" s="1">
        <v>44002</v>
      </c>
      <c r="L200" t="s">
        <v>14</v>
      </c>
      <c r="M200">
        <v>2727</v>
      </c>
      <c r="N200">
        <v>2727</v>
      </c>
      <c r="O200" t="s">
        <v>21</v>
      </c>
      <c r="P200">
        <f t="shared" si="11"/>
        <v>5</v>
      </c>
      <c r="Q200" s="11">
        <f>IF(P200=0,0,IFERROR(Q199+G200*M200*IF(E200="FUTURE",VLOOKUP(MID(I200,2,2),[1]Futures!$A$2:$B$12,2),1),G200*M200*IF(E200="FUTURE",VLOOKUP(MID(I200,2,2),[1]Futures!$A$2:$B$12,2),1)))</f>
        <v>68175</v>
      </c>
      <c r="R200" s="12">
        <f>IFERROR(Q200/P200/IF(E200="FUTURE",VLOOKUP(MID(I200,2,2),[1]Futures!$A$2:$B$12,2),1),"")</f>
        <v>2727</v>
      </c>
      <c r="S200" s="13" t="str">
        <f>IF(AND(H200="TO CLOSE",P200=0),-G200*(M200-R199)*IF(E200="FUTURE",VLOOKUP(MID(I200,2,2),[1]Futures!$A$2:$B$12,2),1),"")</f>
        <v/>
      </c>
    </row>
    <row r="201" spans="1:19" x14ac:dyDescent="0.2">
      <c r="A201">
        <f t="shared" si="9"/>
        <v>52</v>
      </c>
      <c r="B201" s="3">
        <v>43934</v>
      </c>
      <c r="C201" s="3" t="str">
        <f t="shared" si="10"/>
        <v>Monday</v>
      </c>
      <c r="D201" s="2">
        <v>0.4629050925925926</v>
      </c>
      <c r="E201" t="s">
        <v>14</v>
      </c>
      <c r="F201" t="s">
        <v>15</v>
      </c>
      <c r="G201">
        <v>-5</v>
      </c>
      <c r="H201" t="s">
        <v>16</v>
      </c>
      <c r="I201" t="s">
        <v>73</v>
      </c>
      <c r="J201" s="1">
        <v>44002</v>
      </c>
      <c r="L201" t="s">
        <v>14</v>
      </c>
      <c r="M201">
        <v>2715.25</v>
      </c>
      <c r="N201">
        <v>2715.25</v>
      </c>
      <c r="O201" t="s">
        <v>18</v>
      </c>
      <c r="P201">
        <f t="shared" si="11"/>
        <v>0</v>
      </c>
      <c r="Q201" s="11">
        <f>IF(P201=0,0,IFERROR(Q200+G201*M201*IF(E201="FUTURE",VLOOKUP(MID(I201,2,2),[1]Futures!$A$2:$B$12,2),1),G201*M201*IF(E201="FUTURE",VLOOKUP(MID(I201,2,2),[1]Futures!$A$2:$B$12,2),1)))</f>
        <v>0</v>
      </c>
      <c r="R201" s="12" t="str">
        <f>IFERROR(Q201/P201/IF(E201="FUTURE",VLOOKUP(MID(I201,2,2),[1]Futures!$A$2:$B$12,2),1),"")</f>
        <v/>
      </c>
      <c r="S201" s="13">
        <f>IF(AND(H201="TO CLOSE",P201=0),-G201*(M201-R200)*IF(E201="FUTURE",VLOOKUP(MID(I201,2,2),[1]Futures!$A$2:$B$12,2),1),"")</f>
        <v>-293.75</v>
      </c>
    </row>
    <row r="202" spans="1:19" x14ac:dyDescent="0.2">
      <c r="A202">
        <f t="shared" si="9"/>
        <v>53</v>
      </c>
      <c r="B202" s="3">
        <v>43934</v>
      </c>
      <c r="C202" s="3" t="str">
        <f t="shared" si="10"/>
        <v>Monday</v>
      </c>
      <c r="D202" s="2">
        <v>0.46709490740740739</v>
      </c>
      <c r="E202" t="s">
        <v>14</v>
      </c>
      <c r="F202" t="s">
        <v>19</v>
      </c>
      <c r="G202">
        <v>5</v>
      </c>
      <c r="H202" t="s">
        <v>20</v>
      </c>
      <c r="I202" t="s">
        <v>73</v>
      </c>
      <c r="J202" s="1">
        <v>44002</v>
      </c>
      <c r="L202" t="s">
        <v>14</v>
      </c>
      <c r="M202">
        <v>2719.75</v>
      </c>
      <c r="N202">
        <v>2719.75</v>
      </c>
      <c r="O202" t="s">
        <v>24</v>
      </c>
      <c r="P202">
        <f t="shared" si="11"/>
        <v>5</v>
      </c>
      <c r="Q202" s="11">
        <f>IF(P202=0,0,IFERROR(Q201+G202*M202*IF(E202="FUTURE",VLOOKUP(MID(I202,2,2),[1]Futures!$A$2:$B$12,2),1),G202*M202*IF(E202="FUTURE",VLOOKUP(MID(I202,2,2),[1]Futures!$A$2:$B$12,2),1)))</f>
        <v>67993.75</v>
      </c>
      <c r="R202" s="12">
        <f>IFERROR(Q202/P202/IF(E202="FUTURE",VLOOKUP(MID(I202,2,2),[1]Futures!$A$2:$B$12,2),1),"")</f>
        <v>2719.75</v>
      </c>
      <c r="S202" s="13" t="str">
        <f>IF(AND(H202="TO CLOSE",P202=0),-G202*(M202-R201)*IF(E202="FUTURE",VLOOKUP(MID(I202,2,2),[1]Futures!$A$2:$B$12,2),1),"")</f>
        <v/>
      </c>
    </row>
    <row r="203" spans="1:19" x14ac:dyDescent="0.2">
      <c r="A203">
        <f t="shared" si="9"/>
        <v>53</v>
      </c>
      <c r="B203" s="3">
        <v>43934</v>
      </c>
      <c r="C203" s="3" t="str">
        <f t="shared" si="10"/>
        <v>Monday</v>
      </c>
      <c r="D203" s="2">
        <v>0.47462962962962968</v>
      </c>
      <c r="E203" t="s">
        <v>14</v>
      </c>
      <c r="F203" t="s">
        <v>19</v>
      </c>
      <c r="G203">
        <v>2</v>
      </c>
      <c r="H203" t="s">
        <v>20</v>
      </c>
      <c r="I203" t="s">
        <v>73</v>
      </c>
      <c r="J203" s="1">
        <v>44002</v>
      </c>
      <c r="L203" t="s">
        <v>14</v>
      </c>
      <c r="M203">
        <v>2726.75</v>
      </c>
      <c r="N203">
        <v>2726.75</v>
      </c>
      <c r="O203" t="s">
        <v>18</v>
      </c>
      <c r="P203">
        <f t="shared" si="11"/>
        <v>7</v>
      </c>
      <c r="Q203" s="11">
        <f>IF(P203=0,0,IFERROR(Q202+G203*M203*IF(E203="FUTURE",VLOOKUP(MID(I203,2,2),[1]Futures!$A$2:$B$12,2),1),G203*M203*IF(E203="FUTURE",VLOOKUP(MID(I203,2,2),[1]Futures!$A$2:$B$12,2),1)))</f>
        <v>95261.25</v>
      </c>
      <c r="R203" s="12">
        <f>IFERROR(Q203/P203/IF(E203="FUTURE",VLOOKUP(MID(I203,2,2),[1]Futures!$A$2:$B$12,2),1),"")</f>
        <v>2721.75</v>
      </c>
      <c r="S203" s="13" t="str">
        <f>IF(AND(H203="TO CLOSE",P203=0),-G203*(M203-R202)*IF(E203="FUTURE",VLOOKUP(MID(I203,2,2),[1]Futures!$A$2:$B$12,2),1),"")</f>
        <v/>
      </c>
    </row>
    <row r="204" spans="1:19" x14ac:dyDescent="0.2">
      <c r="A204">
        <f t="shared" si="9"/>
        <v>53</v>
      </c>
      <c r="B204" s="3">
        <v>43934</v>
      </c>
      <c r="C204" s="3" t="str">
        <f t="shared" si="10"/>
        <v>Monday</v>
      </c>
      <c r="D204" s="2">
        <v>0.47685185185185186</v>
      </c>
      <c r="E204" t="s">
        <v>14</v>
      </c>
      <c r="F204" t="s">
        <v>15</v>
      </c>
      <c r="G204">
        <v>-2</v>
      </c>
      <c r="H204" t="s">
        <v>16</v>
      </c>
      <c r="I204" t="s">
        <v>73</v>
      </c>
      <c r="J204" s="1">
        <v>44002</v>
      </c>
      <c r="L204" t="s">
        <v>14</v>
      </c>
      <c r="M204">
        <v>2729.75</v>
      </c>
      <c r="N204">
        <v>2729.75</v>
      </c>
      <c r="O204" t="s">
        <v>21</v>
      </c>
      <c r="P204">
        <f t="shared" si="11"/>
        <v>5</v>
      </c>
      <c r="Q204" s="11">
        <f>IF(P204=0,0,IFERROR(Q203+G204*M204*IF(E204="FUTURE",VLOOKUP(MID(I204,2,2),[1]Futures!$A$2:$B$12,2),1),G204*M204*IF(E204="FUTURE",VLOOKUP(MID(I204,2,2),[1]Futures!$A$2:$B$12,2),1)))</f>
        <v>67963.75</v>
      </c>
      <c r="R204" s="12">
        <f>IFERROR(Q204/P204/IF(E204="FUTURE",VLOOKUP(MID(I204,2,2),[1]Futures!$A$2:$B$12,2),1),"")</f>
        <v>2718.55</v>
      </c>
      <c r="S204" s="13" t="str">
        <f>IF(AND(H204="TO CLOSE",P204=0),-G204*(M204-R203)*IF(E204="FUTURE",VLOOKUP(MID(I204,2,2),[1]Futures!$A$2:$B$12,2),1),"")</f>
        <v/>
      </c>
    </row>
    <row r="205" spans="1:19" x14ac:dyDescent="0.2">
      <c r="A205">
        <f t="shared" si="9"/>
        <v>53</v>
      </c>
      <c r="B205" s="3">
        <v>43934</v>
      </c>
      <c r="C205" s="3" t="str">
        <f t="shared" si="10"/>
        <v>Monday</v>
      </c>
      <c r="D205" s="2">
        <v>0.47834490740740737</v>
      </c>
      <c r="E205" t="s">
        <v>14</v>
      </c>
      <c r="F205" t="s">
        <v>15</v>
      </c>
      <c r="G205">
        <v>-2</v>
      </c>
      <c r="H205" t="s">
        <v>16</v>
      </c>
      <c r="I205" t="s">
        <v>73</v>
      </c>
      <c r="J205" s="1">
        <v>44002</v>
      </c>
      <c r="L205" t="s">
        <v>14</v>
      </c>
      <c r="M205">
        <v>2731.75</v>
      </c>
      <c r="N205">
        <v>2731.75</v>
      </c>
      <c r="O205" t="s">
        <v>21</v>
      </c>
      <c r="P205">
        <f t="shared" si="11"/>
        <v>3</v>
      </c>
      <c r="Q205" s="11">
        <f>IF(P205=0,0,IFERROR(Q204+G205*M205*IF(E205="FUTURE",VLOOKUP(MID(I205,2,2),[1]Futures!$A$2:$B$12,2),1),G205*M205*IF(E205="FUTURE",VLOOKUP(MID(I205,2,2),[1]Futures!$A$2:$B$12,2),1)))</f>
        <v>40646.25</v>
      </c>
      <c r="R205" s="12">
        <f>IFERROR(Q205/P205/IF(E205="FUTURE",VLOOKUP(MID(I205,2,2),[1]Futures!$A$2:$B$12,2),1),"")</f>
        <v>2709.75</v>
      </c>
      <c r="S205" s="13" t="str">
        <f>IF(AND(H205="TO CLOSE",P205=0),-G205*(M205-R204)*IF(E205="FUTURE",VLOOKUP(MID(I205,2,2),[1]Futures!$A$2:$B$12,2),1),"")</f>
        <v/>
      </c>
    </row>
    <row r="206" spans="1:19" x14ac:dyDescent="0.2">
      <c r="A206">
        <f t="shared" si="9"/>
        <v>53</v>
      </c>
      <c r="B206" s="3">
        <v>43934</v>
      </c>
      <c r="C206" s="3" t="str">
        <f t="shared" si="10"/>
        <v>Monday</v>
      </c>
      <c r="D206" s="2">
        <v>0.49054398148148143</v>
      </c>
      <c r="E206" t="s">
        <v>14</v>
      </c>
      <c r="F206" t="s">
        <v>15</v>
      </c>
      <c r="G206">
        <v>-1</v>
      </c>
      <c r="H206" t="s">
        <v>16</v>
      </c>
      <c r="I206" t="s">
        <v>73</v>
      </c>
      <c r="J206" s="1">
        <v>44002</v>
      </c>
      <c r="L206" t="s">
        <v>14</v>
      </c>
      <c r="M206">
        <v>2731.25</v>
      </c>
      <c r="N206">
        <v>2731.25</v>
      </c>
      <c r="O206" t="s">
        <v>21</v>
      </c>
      <c r="P206">
        <f t="shared" si="11"/>
        <v>2</v>
      </c>
      <c r="Q206" s="11">
        <f>IF(P206=0,0,IFERROR(Q205+G206*M206*IF(E206="FUTURE",VLOOKUP(MID(I206,2,2),[1]Futures!$A$2:$B$12,2),1),G206*M206*IF(E206="FUTURE",VLOOKUP(MID(I206,2,2),[1]Futures!$A$2:$B$12,2),1)))</f>
        <v>26990</v>
      </c>
      <c r="R206" s="12">
        <f>IFERROR(Q206/P206/IF(E206="FUTURE",VLOOKUP(MID(I206,2,2),[1]Futures!$A$2:$B$12,2),1),"")</f>
        <v>2699</v>
      </c>
      <c r="S206" s="13" t="str">
        <f>IF(AND(H206="TO CLOSE",P206=0),-G206*(M206-R205)*IF(E206="FUTURE",VLOOKUP(MID(I206,2,2),[1]Futures!$A$2:$B$12,2),1),"")</f>
        <v/>
      </c>
    </row>
    <row r="207" spans="1:19" x14ac:dyDescent="0.2">
      <c r="A207">
        <f t="shared" si="9"/>
        <v>53</v>
      </c>
      <c r="B207" s="3">
        <v>43934</v>
      </c>
      <c r="C207" s="3" t="str">
        <f t="shared" si="10"/>
        <v>Monday</v>
      </c>
      <c r="D207" s="2">
        <v>0.49221064814814813</v>
      </c>
      <c r="E207" t="s">
        <v>14</v>
      </c>
      <c r="F207" t="s">
        <v>15</v>
      </c>
      <c r="G207">
        <v>-1</v>
      </c>
      <c r="H207" t="s">
        <v>16</v>
      </c>
      <c r="I207" t="s">
        <v>73</v>
      </c>
      <c r="J207" s="1">
        <v>44002</v>
      </c>
      <c r="L207" t="s">
        <v>14</v>
      </c>
      <c r="M207">
        <v>2733.75</v>
      </c>
      <c r="N207">
        <v>2733.75</v>
      </c>
      <c r="O207" t="s">
        <v>24</v>
      </c>
      <c r="P207">
        <f t="shared" si="11"/>
        <v>1</v>
      </c>
      <c r="Q207" s="11">
        <f>IF(P207=0,0,IFERROR(Q206+G207*M207*IF(E207="FUTURE",VLOOKUP(MID(I207,2,2),[1]Futures!$A$2:$B$12,2),1),G207*M207*IF(E207="FUTURE",VLOOKUP(MID(I207,2,2),[1]Futures!$A$2:$B$12,2),1)))</f>
        <v>13321.25</v>
      </c>
      <c r="R207" s="12">
        <f>IFERROR(Q207/P207/IF(E207="FUTURE",VLOOKUP(MID(I207,2,2),[1]Futures!$A$2:$B$12,2),1),"")</f>
        <v>2664.25</v>
      </c>
      <c r="S207" s="13" t="str">
        <f>IF(AND(H207="TO CLOSE",P207=0),-G207*(M207-R206)*IF(E207="FUTURE",VLOOKUP(MID(I207,2,2),[1]Futures!$A$2:$B$12,2),1),"")</f>
        <v/>
      </c>
    </row>
    <row r="208" spans="1:19" x14ac:dyDescent="0.2">
      <c r="A208">
        <f t="shared" si="9"/>
        <v>53</v>
      </c>
      <c r="B208" s="3">
        <v>43934</v>
      </c>
      <c r="C208" s="3" t="str">
        <f t="shared" si="10"/>
        <v>Monday</v>
      </c>
      <c r="D208" s="2">
        <v>0.49339120370370365</v>
      </c>
      <c r="E208" t="s">
        <v>14</v>
      </c>
      <c r="F208" t="s">
        <v>15</v>
      </c>
      <c r="G208">
        <v>-1</v>
      </c>
      <c r="H208" t="s">
        <v>16</v>
      </c>
      <c r="I208" t="s">
        <v>73</v>
      </c>
      <c r="J208" s="1">
        <v>44002</v>
      </c>
      <c r="L208" t="s">
        <v>14</v>
      </c>
      <c r="M208">
        <v>2733.75</v>
      </c>
      <c r="N208">
        <v>2733.75</v>
      </c>
      <c r="O208" t="s">
        <v>24</v>
      </c>
      <c r="P208">
        <f t="shared" si="11"/>
        <v>0</v>
      </c>
      <c r="Q208" s="11">
        <f>IF(P208=0,0,IFERROR(Q207+G208*M208*IF(E208="FUTURE",VLOOKUP(MID(I208,2,2),[1]Futures!$A$2:$B$12,2),1),G208*M208*IF(E208="FUTURE",VLOOKUP(MID(I208,2,2),[1]Futures!$A$2:$B$12,2),1)))</f>
        <v>0</v>
      </c>
      <c r="R208" s="12" t="str">
        <f>IFERROR(Q208/P208/IF(E208="FUTURE",VLOOKUP(MID(I208,2,2),[1]Futures!$A$2:$B$12,2),1),"")</f>
        <v/>
      </c>
      <c r="S208" s="13">
        <f>IF(AND(H208="TO CLOSE",P208=0),-G208*(M208-R207)*IF(E208="FUTURE",VLOOKUP(MID(I208,2,2),[1]Futures!$A$2:$B$12,2),1),"")</f>
        <v>347.5</v>
      </c>
    </row>
    <row r="209" spans="1:19" x14ac:dyDescent="0.2">
      <c r="A209">
        <f t="shared" si="9"/>
        <v>54</v>
      </c>
      <c r="B209" s="3">
        <v>43934</v>
      </c>
      <c r="C209" s="3" t="str">
        <f t="shared" si="10"/>
        <v>Monday</v>
      </c>
      <c r="D209" s="2">
        <v>0.43762731481481482</v>
      </c>
      <c r="E209" t="s">
        <v>22</v>
      </c>
      <c r="F209" t="s">
        <v>15</v>
      </c>
      <c r="G209">
        <v>-400</v>
      </c>
      <c r="H209" t="s">
        <v>20</v>
      </c>
      <c r="I209" t="s">
        <v>23</v>
      </c>
      <c r="L209" t="s">
        <v>22</v>
      </c>
      <c r="M209">
        <v>41.825000000000003</v>
      </c>
      <c r="N209">
        <v>41.825000000000003</v>
      </c>
      <c r="O209" t="s">
        <v>21</v>
      </c>
      <c r="P209">
        <f t="shared" si="11"/>
        <v>-400</v>
      </c>
      <c r="Q209" s="11">
        <f>IF(P209=0,0,IFERROR(Q208+G209*M209*IF(E209="FUTURE",VLOOKUP(MID(I209,2,2),[1]Futures!$A$2:$B$12,2),1),G209*M209*IF(E209="FUTURE",VLOOKUP(MID(I209,2,2),[1]Futures!$A$2:$B$12,2),1)))</f>
        <v>-16730</v>
      </c>
      <c r="R209" s="12">
        <f>IFERROR(Q209/P209/IF(E209="FUTURE",VLOOKUP(MID(I209,2,2),[1]Futures!$A$2:$B$12,2),1),"")</f>
        <v>41.825000000000003</v>
      </c>
      <c r="S209" s="13" t="str">
        <f>IF(AND(H209="TO CLOSE",P209=0),-G209*(M209-R208)*IF(E209="FUTURE",VLOOKUP(MID(I209,2,2),[1]Futures!$A$2:$B$12,2),1),"")</f>
        <v/>
      </c>
    </row>
    <row r="210" spans="1:19" x14ac:dyDescent="0.2">
      <c r="A210">
        <f t="shared" si="9"/>
        <v>54</v>
      </c>
      <c r="B210" s="3">
        <v>43934</v>
      </c>
      <c r="C210" s="3" t="str">
        <f t="shared" si="10"/>
        <v>Monday</v>
      </c>
      <c r="D210" s="2">
        <v>0.4602430555555555</v>
      </c>
      <c r="E210" t="s">
        <v>22</v>
      </c>
      <c r="F210" t="s">
        <v>19</v>
      </c>
      <c r="G210">
        <v>400</v>
      </c>
      <c r="H210" t="s">
        <v>16</v>
      </c>
      <c r="I210" t="s">
        <v>23</v>
      </c>
      <c r="L210" t="s">
        <v>22</v>
      </c>
      <c r="M210">
        <v>42.13</v>
      </c>
      <c r="N210">
        <v>42.13</v>
      </c>
      <c r="O210" t="s">
        <v>18</v>
      </c>
      <c r="P210">
        <f t="shared" si="11"/>
        <v>0</v>
      </c>
      <c r="Q210" s="11">
        <f>IF(P210=0,0,IFERROR(Q209+G210*M210*IF(E210="FUTURE",VLOOKUP(MID(I210,2,2),[1]Futures!$A$2:$B$12,2),1),G210*M210*IF(E210="FUTURE",VLOOKUP(MID(I210,2,2),[1]Futures!$A$2:$B$12,2),1)))</f>
        <v>0</v>
      </c>
      <c r="R210" s="12" t="str">
        <f>IFERROR(Q210/P210/IF(E210="FUTURE",VLOOKUP(MID(I210,2,2),[1]Futures!$A$2:$B$12,2),1),"")</f>
        <v/>
      </c>
      <c r="S210" s="13">
        <f>IF(AND(H210="TO CLOSE",P210=0),-G210*(M210-R209)*IF(E210="FUTURE",VLOOKUP(MID(I210,2,2),[1]Futures!$A$2:$B$12,2),1),"")</f>
        <v>-121.99999999999989</v>
      </c>
    </row>
    <row r="211" spans="1:19" x14ac:dyDescent="0.2">
      <c r="A211">
        <f t="shared" si="9"/>
        <v>55</v>
      </c>
      <c r="B211" s="3">
        <v>43934</v>
      </c>
      <c r="C211" s="3" t="str">
        <f t="shared" si="10"/>
        <v>Monday</v>
      </c>
      <c r="D211" s="2">
        <v>0.46524305555555556</v>
      </c>
      <c r="E211" t="s">
        <v>22</v>
      </c>
      <c r="F211" t="s">
        <v>19</v>
      </c>
      <c r="G211">
        <v>400</v>
      </c>
      <c r="H211" t="s">
        <v>20</v>
      </c>
      <c r="I211" t="s">
        <v>23</v>
      </c>
      <c r="L211" t="s">
        <v>22</v>
      </c>
      <c r="M211">
        <v>42.36</v>
      </c>
      <c r="N211">
        <v>42.36</v>
      </c>
      <c r="O211" t="s">
        <v>21</v>
      </c>
      <c r="P211">
        <f t="shared" si="11"/>
        <v>400</v>
      </c>
      <c r="Q211" s="11">
        <f>IF(P211=0,0,IFERROR(Q210+G211*M211*IF(E211="FUTURE",VLOOKUP(MID(I211,2,2),[1]Futures!$A$2:$B$12,2),1),G211*M211*IF(E211="FUTURE",VLOOKUP(MID(I211,2,2),[1]Futures!$A$2:$B$12,2),1)))</f>
        <v>16944</v>
      </c>
      <c r="R211" s="12">
        <f>IFERROR(Q211/P211/IF(E211="FUTURE",VLOOKUP(MID(I211,2,2),[1]Futures!$A$2:$B$12,2),1),"")</f>
        <v>42.36</v>
      </c>
      <c r="S211" s="13" t="str">
        <f>IF(AND(H211="TO CLOSE",P211=0),-G211*(M211-R210)*IF(E211="FUTURE",VLOOKUP(MID(I211,2,2),[1]Futures!$A$2:$B$12,2),1),"")</f>
        <v/>
      </c>
    </row>
    <row r="212" spans="1:19" x14ac:dyDescent="0.2">
      <c r="A212">
        <f t="shared" si="9"/>
        <v>55</v>
      </c>
      <c r="B212" s="3">
        <v>43934</v>
      </c>
      <c r="C212" s="3" t="str">
        <f t="shared" si="10"/>
        <v>Monday</v>
      </c>
      <c r="D212" s="2">
        <v>0.4670023148148148</v>
      </c>
      <c r="E212" t="s">
        <v>22</v>
      </c>
      <c r="F212" t="s">
        <v>15</v>
      </c>
      <c r="G212">
        <v>-400</v>
      </c>
      <c r="H212" t="s">
        <v>16</v>
      </c>
      <c r="I212" t="s">
        <v>23</v>
      </c>
      <c r="L212" t="s">
        <v>22</v>
      </c>
      <c r="M212">
        <v>42.130099999999999</v>
      </c>
      <c r="N212">
        <v>42.130099999999999</v>
      </c>
      <c r="O212" t="s">
        <v>24</v>
      </c>
      <c r="P212">
        <f t="shared" si="11"/>
        <v>0</v>
      </c>
      <c r="Q212" s="11">
        <f>IF(P212=0,0,IFERROR(Q211+G212*M212*IF(E212="FUTURE",VLOOKUP(MID(I212,2,2),[1]Futures!$A$2:$B$12,2),1),G212*M212*IF(E212="FUTURE",VLOOKUP(MID(I212,2,2),[1]Futures!$A$2:$B$12,2),1)))</f>
        <v>0</v>
      </c>
      <c r="R212" s="12" t="str">
        <f>IFERROR(Q212/P212/IF(E212="FUTURE",VLOOKUP(MID(I212,2,2),[1]Futures!$A$2:$B$12,2),1),"")</f>
        <v/>
      </c>
      <c r="S212" s="13">
        <f>IF(AND(H212="TO CLOSE",P212=0),-G212*(M212-R211)*IF(E212="FUTURE",VLOOKUP(MID(I212,2,2),[1]Futures!$A$2:$B$12,2),1),"")</f>
        <v>-91.960000000000264</v>
      </c>
    </row>
    <row r="213" spans="1:19" x14ac:dyDescent="0.2">
      <c r="A213">
        <f t="shared" si="9"/>
        <v>56</v>
      </c>
      <c r="B213" s="3">
        <v>43934</v>
      </c>
      <c r="C213" s="3" t="str">
        <f t="shared" si="10"/>
        <v>Monday</v>
      </c>
      <c r="D213" s="2">
        <v>0.46761574074074069</v>
      </c>
      <c r="E213" t="s">
        <v>22</v>
      </c>
      <c r="F213" t="s">
        <v>15</v>
      </c>
      <c r="G213">
        <v>-400</v>
      </c>
      <c r="H213" t="s">
        <v>20</v>
      </c>
      <c r="I213" t="s">
        <v>23</v>
      </c>
      <c r="L213" t="s">
        <v>22</v>
      </c>
      <c r="M213">
        <v>42.215000000000003</v>
      </c>
      <c r="N213">
        <v>42.215000000000003</v>
      </c>
      <c r="O213" t="s">
        <v>21</v>
      </c>
      <c r="P213">
        <f t="shared" si="11"/>
        <v>-400</v>
      </c>
      <c r="Q213" s="11">
        <f>IF(P213=0,0,IFERROR(Q212+G213*M213*IF(E213="FUTURE",VLOOKUP(MID(I213,2,2),[1]Futures!$A$2:$B$12,2),1),G213*M213*IF(E213="FUTURE",VLOOKUP(MID(I213,2,2),[1]Futures!$A$2:$B$12,2),1)))</f>
        <v>-16886</v>
      </c>
      <c r="R213" s="12">
        <f>IFERROR(Q213/P213/IF(E213="FUTURE",VLOOKUP(MID(I213,2,2),[1]Futures!$A$2:$B$12,2),1),"")</f>
        <v>42.215000000000003</v>
      </c>
      <c r="S213" s="13" t="str">
        <f>IF(AND(H213="TO CLOSE",P213=0),-G213*(M213-R212)*IF(E213="FUTURE",VLOOKUP(MID(I213,2,2),[1]Futures!$A$2:$B$12,2),1),"")</f>
        <v/>
      </c>
    </row>
    <row r="214" spans="1:19" x14ac:dyDescent="0.2">
      <c r="A214">
        <f t="shared" si="9"/>
        <v>56</v>
      </c>
      <c r="B214" s="3">
        <v>43934</v>
      </c>
      <c r="C214" s="3" t="str">
        <f t="shared" si="10"/>
        <v>Monday</v>
      </c>
      <c r="D214" s="2">
        <v>0.47462962962962968</v>
      </c>
      <c r="E214" t="s">
        <v>22</v>
      </c>
      <c r="F214" t="s">
        <v>19</v>
      </c>
      <c r="G214">
        <v>100</v>
      </c>
      <c r="H214" t="s">
        <v>16</v>
      </c>
      <c r="I214" t="s">
        <v>23</v>
      </c>
      <c r="L214" t="s">
        <v>22</v>
      </c>
      <c r="M214">
        <v>42.01</v>
      </c>
      <c r="N214">
        <v>42.01</v>
      </c>
      <c r="O214" t="s">
        <v>21</v>
      </c>
      <c r="P214">
        <f t="shared" si="11"/>
        <v>-300</v>
      </c>
      <c r="Q214" s="11">
        <f>IF(P214=0,0,IFERROR(Q213+G214*M214*IF(E214="FUTURE",VLOOKUP(MID(I214,2,2),[1]Futures!$A$2:$B$12,2),1),G214*M214*IF(E214="FUTURE",VLOOKUP(MID(I214,2,2),[1]Futures!$A$2:$B$12,2),1)))</f>
        <v>-12685</v>
      </c>
      <c r="R214" s="12">
        <f>IFERROR(Q214/P214/IF(E214="FUTURE",VLOOKUP(MID(I214,2,2),[1]Futures!$A$2:$B$12,2),1),"")</f>
        <v>42.283333333333331</v>
      </c>
      <c r="S214" s="13" t="str">
        <f>IF(AND(H214="TO CLOSE",P214=0),-G214*(M214-R213)*IF(E214="FUTURE",VLOOKUP(MID(I214,2,2),[1]Futures!$A$2:$B$12,2),1),"")</f>
        <v/>
      </c>
    </row>
    <row r="215" spans="1:19" x14ac:dyDescent="0.2">
      <c r="A215">
        <f t="shared" si="9"/>
        <v>56</v>
      </c>
      <c r="B215" s="3">
        <v>43934</v>
      </c>
      <c r="C215" s="3" t="str">
        <f t="shared" si="10"/>
        <v>Monday</v>
      </c>
      <c r="D215" s="2">
        <v>0.47840277777777779</v>
      </c>
      <c r="E215" t="s">
        <v>22</v>
      </c>
      <c r="F215" t="s">
        <v>19</v>
      </c>
      <c r="G215">
        <v>99</v>
      </c>
      <c r="H215" t="s">
        <v>16</v>
      </c>
      <c r="I215" t="s">
        <v>23</v>
      </c>
      <c r="L215" t="s">
        <v>22</v>
      </c>
      <c r="M215">
        <v>41.83</v>
      </c>
      <c r="N215">
        <v>41.83</v>
      </c>
      <c r="O215" t="s">
        <v>21</v>
      </c>
      <c r="P215">
        <f t="shared" si="11"/>
        <v>-201</v>
      </c>
      <c r="Q215" s="11">
        <f>IF(P215=0,0,IFERROR(Q214+G215*M215*IF(E215="FUTURE",VLOOKUP(MID(I215,2,2),[1]Futures!$A$2:$B$12,2),1),G215*M215*IF(E215="FUTURE",VLOOKUP(MID(I215,2,2),[1]Futures!$A$2:$B$12,2),1)))</f>
        <v>-8543.83</v>
      </c>
      <c r="R215" s="12">
        <f>IFERROR(Q215/P215/IF(E215="FUTURE",VLOOKUP(MID(I215,2,2),[1]Futures!$A$2:$B$12,2),1),"")</f>
        <v>42.506616915422882</v>
      </c>
      <c r="S215" s="13" t="str">
        <f>IF(AND(H215="TO CLOSE",P215=0),-G215*(M215-R214)*IF(E215="FUTURE",VLOOKUP(MID(I215,2,2),[1]Futures!$A$2:$B$12,2),1),"")</f>
        <v/>
      </c>
    </row>
    <row r="216" spans="1:19" x14ac:dyDescent="0.2">
      <c r="A216">
        <f t="shared" si="9"/>
        <v>56</v>
      </c>
      <c r="B216" s="3">
        <v>43934</v>
      </c>
      <c r="C216" s="3" t="str">
        <f t="shared" si="10"/>
        <v>Monday</v>
      </c>
      <c r="D216" s="2">
        <v>0.47840277777777779</v>
      </c>
      <c r="E216" t="s">
        <v>22</v>
      </c>
      <c r="F216" t="s">
        <v>19</v>
      </c>
      <c r="G216">
        <v>1</v>
      </c>
      <c r="H216" t="s">
        <v>16</v>
      </c>
      <c r="I216" t="s">
        <v>23</v>
      </c>
      <c r="L216" t="s">
        <v>22</v>
      </c>
      <c r="M216">
        <v>41.83</v>
      </c>
      <c r="N216">
        <v>41.83</v>
      </c>
      <c r="O216" t="s">
        <v>21</v>
      </c>
      <c r="P216">
        <f t="shared" si="11"/>
        <v>-200</v>
      </c>
      <c r="Q216" s="11">
        <f>IF(P216=0,0,IFERROR(Q215+G216*M216*IF(E216="FUTURE",VLOOKUP(MID(I216,2,2),[1]Futures!$A$2:$B$12,2),1),G216*M216*IF(E216="FUTURE",VLOOKUP(MID(I216,2,2),[1]Futures!$A$2:$B$12,2),1)))</f>
        <v>-8502</v>
      </c>
      <c r="R216" s="12">
        <f>IFERROR(Q216/P216/IF(E216="FUTURE",VLOOKUP(MID(I216,2,2),[1]Futures!$A$2:$B$12,2),1),"")</f>
        <v>42.51</v>
      </c>
      <c r="S216" s="13" t="str">
        <f>IF(AND(H216="TO CLOSE",P216=0),-G216*(M216-R215)*IF(E216="FUTURE",VLOOKUP(MID(I216,2,2),[1]Futures!$A$2:$B$12,2),1),"")</f>
        <v/>
      </c>
    </row>
    <row r="217" spans="1:19" x14ac:dyDescent="0.2">
      <c r="A217">
        <f t="shared" si="9"/>
        <v>56</v>
      </c>
      <c r="B217" s="3">
        <v>43934</v>
      </c>
      <c r="C217" s="3" t="str">
        <f t="shared" si="10"/>
        <v>Monday</v>
      </c>
      <c r="D217" s="2">
        <v>0.486875</v>
      </c>
      <c r="E217" t="s">
        <v>22</v>
      </c>
      <c r="F217" t="s">
        <v>19</v>
      </c>
      <c r="G217">
        <v>100</v>
      </c>
      <c r="H217" t="s">
        <v>16</v>
      </c>
      <c r="I217" t="s">
        <v>23</v>
      </c>
      <c r="L217" t="s">
        <v>22</v>
      </c>
      <c r="M217">
        <v>41.969799999999999</v>
      </c>
      <c r="N217">
        <v>41.969799999999999</v>
      </c>
      <c r="O217" t="s">
        <v>24</v>
      </c>
      <c r="P217">
        <f t="shared" si="11"/>
        <v>-100</v>
      </c>
      <c r="Q217" s="11">
        <f>IF(P217=0,0,IFERROR(Q216+G217*M217*IF(E217="FUTURE",VLOOKUP(MID(I217,2,2),[1]Futures!$A$2:$B$12,2),1),G217*M217*IF(E217="FUTURE",VLOOKUP(MID(I217,2,2),[1]Futures!$A$2:$B$12,2),1)))</f>
        <v>-4305.0200000000004</v>
      </c>
      <c r="R217" s="12">
        <f>IFERROR(Q217/P217/IF(E217="FUTURE",VLOOKUP(MID(I217,2,2),[1]Futures!$A$2:$B$12,2),1),"")</f>
        <v>43.050200000000004</v>
      </c>
      <c r="S217" s="13" t="str">
        <f>IF(AND(H217="TO CLOSE",P217=0),-G217*(M217-R216)*IF(E217="FUTURE",VLOOKUP(MID(I217,2,2),[1]Futures!$A$2:$B$12,2),1),"")</f>
        <v/>
      </c>
    </row>
    <row r="218" spans="1:19" x14ac:dyDescent="0.2">
      <c r="A218">
        <f t="shared" si="9"/>
        <v>56</v>
      </c>
      <c r="B218" s="3">
        <v>43934</v>
      </c>
      <c r="C218" s="3" t="str">
        <f t="shared" si="10"/>
        <v>Monday</v>
      </c>
      <c r="D218" s="2">
        <v>0.486875</v>
      </c>
      <c r="E218" t="s">
        <v>22</v>
      </c>
      <c r="F218" t="s">
        <v>19</v>
      </c>
      <c r="G218">
        <v>100</v>
      </c>
      <c r="H218" t="s">
        <v>16</v>
      </c>
      <c r="I218" t="s">
        <v>23</v>
      </c>
      <c r="L218" t="s">
        <v>22</v>
      </c>
      <c r="M218">
        <v>41.969799999999999</v>
      </c>
      <c r="N218">
        <v>41.969799999999999</v>
      </c>
      <c r="O218" t="s">
        <v>24</v>
      </c>
      <c r="P218">
        <f t="shared" si="11"/>
        <v>0</v>
      </c>
      <c r="Q218" s="11">
        <f>IF(P218=0,0,IFERROR(Q217+G218*M218*IF(E218="FUTURE",VLOOKUP(MID(I218,2,2),[1]Futures!$A$2:$B$12,2),1),G218*M218*IF(E218="FUTURE",VLOOKUP(MID(I218,2,2),[1]Futures!$A$2:$B$12,2),1)))</f>
        <v>0</v>
      </c>
      <c r="R218" s="12" t="str">
        <f>IFERROR(Q218/P218/IF(E218="FUTURE",VLOOKUP(MID(I218,2,2),[1]Futures!$A$2:$B$12,2),1),"")</f>
        <v/>
      </c>
      <c r="S218" s="13">
        <f>IF(AND(H218="TO CLOSE",P218=0),-G218*(M218-R217)*IF(E218="FUTURE",VLOOKUP(MID(I218,2,2),[1]Futures!$A$2:$B$12,2),1),"")</f>
        <v>108.04000000000045</v>
      </c>
    </row>
    <row r="219" spans="1:19" x14ac:dyDescent="0.2">
      <c r="A219">
        <f t="shared" si="9"/>
        <v>57</v>
      </c>
      <c r="B219" s="3">
        <v>43934</v>
      </c>
      <c r="C219" s="3" t="str">
        <f t="shared" si="10"/>
        <v>Monday</v>
      </c>
      <c r="D219" s="2">
        <v>0.49491898148148145</v>
      </c>
      <c r="E219" t="s">
        <v>22</v>
      </c>
      <c r="F219" t="s">
        <v>19</v>
      </c>
      <c r="G219">
        <v>200</v>
      </c>
      <c r="H219" t="s">
        <v>20</v>
      </c>
      <c r="I219" t="s">
        <v>23</v>
      </c>
      <c r="L219" t="s">
        <v>22</v>
      </c>
      <c r="M219">
        <v>41.755000000000003</v>
      </c>
      <c r="N219">
        <v>41.755000000000003</v>
      </c>
      <c r="O219" t="s">
        <v>24</v>
      </c>
      <c r="P219">
        <f t="shared" si="11"/>
        <v>200</v>
      </c>
      <c r="Q219" s="11">
        <f>IF(P219=0,0,IFERROR(Q218+G219*M219*IF(E219="FUTURE",VLOOKUP(MID(I219,2,2),[1]Futures!$A$2:$B$12,2),1),G219*M219*IF(E219="FUTURE",VLOOKUP(MID(I219,2,2),[1]Futures!$A$2:$B$12,2),1)))</f>
        <v>8351</v>
      </c>
      <c r="R219" s="12">
        <f>IFERROR(Q219/P219/IF(E219="FUTURE",VLOOKUP(MID(I219,2,2),[1]Futures!$A$2:$B$12,2),1),"")</f>
        <v>41.755000000000003</v>
      </c>
      <c r="S219" s="13" t="str">
        <f>IF(AND(H219="TO CLOSE",P219=0),-G219*(M219-R218)*IF(E219="FUTURE",VLOOKUP(MID(I219,2,2),[1]Futures!$A$2:$B$12,2),1),"")</f>
        <v/>
      </c>
    </row>
    <row r="220" spans="1:19" x14ac:dyDescent="0.2">
      <c r="A220">
        <f t="shared" si="9"/>
        <v>57</v>
      </c>
      <c r="B220" s="3">
        <v>43934</v>
      </c>
      <c r="C220" s="3" t="str">
        <f t="shared" si="10"/>
        <v>Monday</v>
      </c>
      <c r="D220" s="2">
        <v>0.50259259259259259</v>
      </c>
      <c r="E220" t="s">
        <v>22</v>
      </c>
      <c r="F220" t="s">
        <v>15</v>
      </c>
      <c r="G220">
        <v>-200</v>
      </c>
      <c r="H220" t="s">
        <v>16</v>
      </c>
      <c r="I220" t="s">
        <v>23</v>
      </c>
      <c r="L220" t="s">
        <v>22</v>
      </c>
      <c r="M220">
        <v>41.52</v>
      </c>
      <c r="N220">
        <v>41.52</v>
      </c>
      <c r="O220" t="s">
        <v>18</v>
      </c>
      <c r="P220">
        <f t="shared" si="11"/>
        <v>0</v>
      </c>
      <c r="Q220" s="11">
        <f>IF(P220=0,0,IFERROR(Q219+G220*M220*IF(E220="FUTURE",VLOOKUP(MID(I220,2,2),[1]Futures!$A$2:$B$12,2),1),G220*M220*IF(E220="FUTURE",VLOOKUP(MID(I220,2,2),[1]Futures!$A$2:$B$12,2),1)))</f>
        <v>0</v>
      </c>
      <c r="R220" s="12" t="str">
        <f>IFERROR(Q220/P220/IF(E220="FUTURE",VLOOKUP(MID(I220,2,2),[1]Futures!$A$2:$B$12,2),1),"")</f>
        <v/>
      </c>
      <c r="S220" s="13">
        <f>IF(AND(H220="TO CLOSE",P220=0),-G220*(M220-R219)*IF(E220="FUTURE",VLOOKUP(MID(I220,2,2),[1]Futures!$A$2:$B$12,2),1),"")</f>
        <v>-46.999999999999886</v>
      </c>
    </row>
    <row r="221" spans="1:19" x14ac:dyDescent="0.2">
      <c r="A221">
        <f t="shared" si="9"/>
        <v>58</v>
      </c>
      <c r="B221" s="3">
        <v>43934</v>
      </c>
      <c r="C221" s="3" t="str">
        <f t="shared" si="10"/>
        <v>Monday</v>
      </c>
      <c r="D221" s="2">
        <v>0.51736111111111105</v>
      </c>
      <c r="E221" t="s">
        <v>22</v>
      </c>
      <c r="F221" t="s">
        <v>19</v>
      </c>
      <c r="G221">
        <v>200</v>
      </c>
      <c r="H221" t="s">
        <v>20</v>
      </c>
      <c r="I221" t="s">
        <v>23</v>
      </c>
      <c r="L221" t="s">
        <v>22</v>
      </c>
      <c r="M221">
        <v>41.48</v>
      </c>
      <c r="N221">
        <v>41.48</v>
      </c>
      <c r="O221" t="s">
        <v>21</v>
      </c>
      <c r="P221">
        <f t="shared" si="11"/>
        <v>200</v>
      </c>
      <c r="Q221" s="11">
        <f>IF(P221=0,0,IFERROR(Q220+G221*M221*IF(E221="FUTURE",VLOOKUP(MID(I221,2,2),[1]Futures!$A$2:$B$12,2),1),G221*M221*IF(E221="FUTURE",VLOOKUP(MID(I221,2,2),[1]Futures!$A$2:$B$12,2),1)))</f>
        <v>8296</v>
      </c>
      <c r="R221" s="12">
        <f>IFERROR(Q221/P221/IF(E221="FUTURE",VLOOKUP(MID(I221,2,2),[1]Futures!$A$2:$B$12,2),1),"")</f>
        <v>41.48</v>
      </c>
      <c r="S221" s="13" t="str">
        <f>IF(AND(H221="TO CLOSE",P221=0),-G221*(M221-R220)*IF(E221="FUTURE",VLOOKUP(MID(I221,2,2),[1]Futures!$A$2:$B$12,2),1),"")</f>
        <v/>
      </c>
    </row>
    <row r="222" spans="1:19" x14ac:dyDescent="0.2">
      <c r="A222">
        <f t="shared" si="9"/>
        <v>58</v>
      </c>
      <c r="B222" s="3">
        <v>43934</v>
      </c>
      <c r="C222" s="3" t="str">
        <f t="shared" si="10"/>
        <v>Monday</v>
      </c>
      <c r="D222" s="2">
        <v>0.51736111111111105</v>
      </c>
      <c r="E222" t="s">
        <v>22</v>
      </c>
      <c r="F222" t="s">
        <v>19</v>
      </c>
      <c r="G222">
        <v>200</v>
      </c>
      <c r="H222" t="s">
        <v>20</v>
      </c>
      <c r="I222" t="s">
        <v>23</v>
      </c>
      <c r="L222" t="s">
        <v>22</v>
      </c>
      <c r="M222">
        <v>41.48</v>
      </c>
      <c r="N222">
        <v>41.48</v>
      </c>
      <c r="O222" t="s">
        <v>21</v>
      </c>
      <c r="P222">
        <f t="shared" si="11"/>
        <v>400</v>
      </c>
      <c r="Q222" s="11">
        <f>IF(P222=0,0,IFERROR(Q221+G222*M222*IF(E222="FUTURE",VLOOKUP(MID(I222,2,2),[1]Futures!$A$2:$B$12,2),1),G222*M222*IF(E222="FUTURE",VLOOKUP(MID(I222,2,2),[1]Futures!$A$2:$B$12,2),1)))</f>
        <v>16592</v>
      </c>
      <c r="R222" s="12">
        <f>IFERROR(Q222/P222/IF(E222="FUTURE",VLOOKUP(MID(I222,2,2),[1]Futures!$A$2:$B$12,2),1),"")</f>
        <v>41.48</v>
      </c>
      <c r="S222" s="13" t="str">
        <f>IF(AND(H222="TO CLOSE",P222=0),-G222*(M222-R221)*IF(E222="FUTURE",VLOOKUP(MID(I222,2,2),[1]Futures!$A$2:$B$12,2),1),"")</f>
        <v/>
      </c>
    </row>
    <row r="223" spans="1:19" x14ac:dyDescent="0.2">
      <c r="A223">
        <f t="shared" si="9"/>
        <v>58</v>
      </c>
      <c r="B223" s="3">
        <v>43934</v>
      </c>
      <c r="C223" s="3" t="str">
        <f t="shared" si="10"/>
        <v>Monday</v>
      </c>
      <c r="D223" s="2">
        <v>0.52512731481481478</v>
      </c>
      <c r="E223" t="s">
        <v>22</v>
      </c>
      <c r="F223" t="s">
        <v>15</v>
      </c>
      <c r="G223">
        <v>-200</v>
      </c>
      <c r="H223" t="s">
        <v>16</v>
      </c>
      <c r="I223" t="s">
        <v>23</v>
      </c>
      <c r="L223" t="s">
        <v>22</v>
      </c>
      <c r="M223">
        <v>41.59</v>
      </c>
      <c r="N223">
        <v>41.59</v>
      </c>
      <c r="O223" t="s">
        <v>21</v>
      </c>
      <c r="P223">
        <f t="shared" si="11"/>
        <v>200</v>
      </c>
      <c r="Q223" s="11">
        <f>IF(P223=0,0,IFERROR(Q222+G223*M223*IF(E223="FUTURE",VLOOKUP(MID(I223,2,2),[1]Futures!$A$2:$B$12,2),1),G223*M223*IF(E223="FUTURE",VLOOKUP(MID(I223,2,2),[1]Futures!$A$2:$B$12,2),1)))</f>
        <v>8274</v>
      </c>
      <c r="R223" s="12">
        <f>IFERROR(Q223/P223/IF(E223="FUTURE",VLOOKUP(MID(I223,2,2),[1]Futures!$A$2:$B$12,2),1),"")</f>
        <v>41.37</v>
      </c>
      <c r="S223" s="13" t="str">
        <f>IF(AND(H223="TO CLOSE",P223=0),-G223*(M223-R222)*IF(E223="FUTURE",VLOOKUP(MID(I223,2,2),[1]Futures!$A$2:$B$12,2),1),"")</f>
        <v/>
      </c>
    </row>
    <row r="224" spans="1:19" x14ac:dyDescent="0.2">
      <c r="A224">
        <f t="shared" si="9"/>
        <v>58</v>
      </c>
      <c r="B224" s="3">
        <v>43934</v>
      </c>
      <c r="C224" s="3" t="str">
        <f t="shared" si="10"/>
        <v>Monday</v>
      </c>
      <c r="D224" s="2">
        <v>0.54495370370370366</v>
      </c>
      <c r="E224" t="s">
        <v>22</v>
      </c>
      <c r="F224" t="s">
        <v>15</v>
      </c>
      <c r="G224">
        <v>-94</v>
      </c>
      <c r="H224" t="s">
        <v>16</v>
      </c>
      <c r="I224" t="s">
        <v>23</v>
      </c>
      <c r="L224" t="s">
        <v>22</v>
      </c>
      <c r="M224">
        <v>41.814999999999998</v>
      </c>
      <c r="N224">
        <v>41.814999999999998</v>
      </c>
      <c r="O224" t="s">
        <v>24</v>
      </c>
      <c r="P224">
        <f t="shared" si="11"/>
        <v>106</v>
      </c>
      <c r="Q224" s="11">
        <f>IF(P224=0,0,IFERROR(Q223+G224*M224*IF(E224="FUTURE",VLOOKUP(MID(I224,2,2),[1]Futures!$A$2:$B$12,2),1),G224*M224*IF(E224="FUTURE",VLOOKUP(MID(I224,2,2),[1]Futures!$A$2:$B$12,2),1)))</f>
        <v>4343.3900000000003</v>
      </c>
      <c r="R224" s="12">
        <f>IFERROR(Q224/P224/IF(E224="FUTURE",VLOOKUP(MID(I224,2,2),[1]Futures!$A$2:$B$12,2),1),"")</f>
        <v>40.975377358490569</v>
      </c>
      <c r="S224" s="13" t="str">
        <f>IF(AND(H224="TO CLOSE",P224=0),-G224*(M224-R223)*IF(E224="FUTURE",VLOOKUP(MID(I224,2,2),[1]Futures!$A$2:$B$12,2),1),"")</f>
        <v/>
      </c>
    </row>
    <row r="225" spans="1:19" x14ac:dyDescent="0.2">
      <c r="A225">
        <f t="shared" si="9"/>
        <v>58</v>
      </c>
      <c r="B225" s="3">
        <v>43934</v>
      </c>
      <c r="C225" s="3" t="str">
        <f t="shared" si="10"/>
        <v>Monday</v>
      </c>
      <c r="D225" s="2">
        <v>0.54495370370370366</v>
      </c>
      <c r="E225" t="s">
        <v>22</v>
      </c>
      <c r="F225" t="s">
        <v>15</v>
      </c>
      <c r="G225">
        <v>-100</v>
      </c>
      <c r="H225" t="s">
        <v>16</v>
      </c>
      <c r="I225" t="s">
        <v>23</v>
      </c>
      <c r="L225" t="s">
        <v>22</v>
      </c>
      <c r="M225">
        <v>41.814999999999998</v>
      </c>
      <c r="N225">
        <v>41.814999999999998</v>
      </c>
      <c r="O225" t="s">
        <v>24</v>
      </c>
      <c r="P225">
        <f t="shared" si="11"/>
        <v>6</v>
      </c>
      <c r="Q225" s="11">
        <f>IF(P225=0,0,IFERROR(Q224+G225*M225*IF(E225="FUTURE",VLOOKUP(MID(I225,2,2),[1]Futures!$A$2:$B$12,2),1),G225*M225*IF(E225="FUTURE",VLOOKUP(MID(I225,2,2),[1]Futures!$A$2:$B$12,2),1)))</f>
        <v>161.89000000000033</v>
      </c>
      <c r="R225" s="12">
        <f>IFERROR(Q225/P225/IF(E225="FUTURE",VLOOKUP(MID(I225,2,2),[1]Futures!$A$2:$B$12,2),1),"")</f>
        <v>26.981666666666722</v>
      </c>
      <c r="S225" s="13" t="str">
        <f>IF(AND(H225="TO CLOSE",P225=0),-G225*(M225-R224)*IF(E225="FUTURE",VLOOKUP(MID(I225,2,2),[1]Futures!$A$2:$B$12,2),1),"")</f>
        <v/>
      </c>
    </row>
    <row r="226" spans="1:19" x14ac:dyDescent="0.2">
      <c r="A226">
        <f t="shared" si="9"/>
        <v>58</v>
      </c>
      <c r="B226" s="3">
        <v>43934</v>
      </c>
      <c r="C226" s="3" t="str">
        <f>IF(WEEKDAY(B226,2)=1,"Monday",IF(WEEKDAY(B226,2)=2,"Tuesday",IF(WEEKDAY(B226,2)=3,"Wednesday",IF(WEEKDAY(B226,2)=4,"Thursday",IF(WEEKDAY(B226,2)=5,"Friday","Sunday")))))</f>
        <v>Monday</v>
      </c>
      <c r="D226" s="2">
        <v>0.54495370370370366</v>
      </c>
      <c r="E226" t="s">
        <v>22</v>
      </c>
      <c r="F226" t="s">
        <v>15</v>
      </c>
      <c r="G226">
        <v>-6</v>
      </c>
      <c r="H226" t="s">
        <v>16</v>
      </c>
      <c r="I226" t="s">
        <v>23</v>
      </c>
      <c r="L226" t="s">
        <v>22</v>
      </c>
      <c r="M226">
        <v>41.814999999999998</v>
      </c>
      <c r="N226">
        <v>41.814999999999998</v>
      </c>
      <c r="O226" t="s">
        <v>24</v>
      </c>
      <c r="P226">
        <f t="shared" si="11"/>
        <v>0</v>
      </c>
      <c r="Q226" s="11">
        <f>IF(P226=0,0,IFERROR(Q225+G226*M226*IF(E226="FUTURE",VLOOKUP(MID(I226,2,2),[1]Futures!$A$2:$B$12,2),1),G226*M226*IF(E226="FUTURE",VLOOKUP(MID(I226,2,2),[1]Futures!$A$2:$B$12,2),1)))</f>
        <v>0</v>
      </c>
      <c r="R226" s="12" t="str">
        <f>IFERROR(Q226/P226/IF(E226="FUTURE",VLOOKUP(MID(I226,2,2),[1]Futures!$A$2:$B$12,2),1),"")</f>
        <v/>
      </c>
      <c r="S226" s="13">
        <f>IF(AND(H226="TO CLOSE",P226=0),-G226*(M226-R225)*IF(E226="FUTURE",VLOOKUP(MID(I226,2,2),[1]Futures!$A$2:$B$12,2),1),"")</f>
        <v>88.999999999999659</v>
      </c>
    </row>
    <row r="227" spans="1:19" x14ac:dyDescent="0.2">
      <c r="A227">
        <f t="shared" si="9"/>
        <v>59</v>
      </c>
      <c r="B227" s="3">
        <v>43935</v>
      </c>
      <c r="C227" s="3" t="str">
        <f t="shared" ref="C227:C290" si="12">IF(WEEKDAY(B227,2)=1,"Monday",IF(WEEKDAY(B227,2)=2,"Tuesday",IF(WEEKDAY(B227,2)=3,"Wednesday",IF(WEEKDAY(B227,2)=4,"Thursday",IF(WEEKDAY(B227,2)=5,"Friday","Sunday")))))</f>
        <v>Tuesday</v>
      </c>
      <c r="D227" s="2">
        <v>0.42785879629629631</v>
      </c>
      <c r="E227" t="s">
        <v>14</v>
      </c>
      <c r="F227" t="s">
        <v>15</v>
      </c>
      <c r="G227">
        <v>-1</v>
      </c>
      <c r="H227" t="s">
        <v>20</v>
      </c>
      <c r="I227" t="s">
        <v>36</v>
      </c>
      <c r="J227" s="1">
        <v>43971</v>
      </c>
      <c r="L227" t="s">
        <v>14</v>
      </c>
      <c r="M227">
        <v>21.82</v>
      </c>
      <c r="N227">
        <v>21.82</v>
      </c>
      <c r="O227" t="s">
        <v>21</v>
      </c>
      <c r="P227">
        <f t="shared" si="11"/>
        <v>-1</v>
      </c>
      <c r="Q227" s="11">
        <f>IF(P227=0,0,IFERROR(Q226+G227*M227*IF(E227="FUTURE",VLOOKUP(MID(I227,2,2),[1]Futures!$A$2:$B$12,2),1),G227*M227*IF(E227="FUTURE",VLOOKUP(MID(I227,2,2),[1]Futures!$A$2:$B$12,2),1)))</f>
        <v>-21820</v>
      </c>
      <c r="R227" s="12">
        <f>IFERROR(Q227/P227/IF(E227="FUTURE",VLOOKUP(MID(I227,2,2),[1]Futures!$A$2:$B$12,2),1),"")</f>
        <v>21.82</v>
      </c>
      <c r="S227" s="13" t="str">
        <f>IF(AND(H227="TO CLOSE",P227=0),-G227*(M227-R226)*IF(E227="FUTURE",VLOOKUP(MID(I227,2,2),[1]Futures!$A$2:$B$12,2),1),"")</f>
        <v/>
      </c>
    </row>
    <row r="228" spans="1:19" x14ac:dyDescent="0.2">
      <c r="A228">
        <f t="shared" si="9"/>
        <v>59</v>
      </c>
      <c r="B228" s="3">
        <v>43935</v>
      </c>
      <c r="C228" s="3" t="str">
        <f t="shared" si="12"/>
        <v>Tuesday</v>
      </c>
      <c r="D228" s="2">
        <v>0.42787037037037035</v>
      </c>
      <c r="E228" t="s">
        <v>14</v>
      </c>
      <c r="F228" t="s">
        <v>15</v>
      </c>
      <c r="G228">
        <v>-1</v>
      </c>
      <c r="H228" t="s">
        <v>20</v>
      </c>
      <c r="I228" t="s">
        <v>36</v>
      </c>
      <c r="J228" s="1">
        <v>43971</v>
      </c>
      <c r="L228" t="s">
        <v>14</v>
      </c>
      <c r="M228">
        <v>21.82</v>
      </c>
      <c r="N228">
        <v>21.82</v>
      </c>
      <c r="O228" t="s">
        <v>21</v>
      </c>
      <c r="P228">
        <f t="shared" si="11"/>
        <v>-2</v>
      </c>
      <c r="Q228" s="11">
        <f>IF(P228=0,0,IFERROR(Q227+G228*M228*IF(E228="FUTURE",VLOOKUP(MID(I228,2,2),[1]Futures!$A$2:$B$12,2),1),G228*M228*IF(E228="FUTURE",VLOOKUP(MID(I228,2,2),[1]Futures!$A$2:$B$12,2),1)))</f>
        <v>-43640</v>
      </c>
      <c r="R228" s="12">
        <f>IFERROR(Q228/P228/IF(E228="FUTURE",VLOOKUP(MID(I228,2,2),[1]Futures!$A$2:$B$12,2),1),"")</f>
        <v>21.82</v>
      </c>
      <c r="S228" s="13" t="str">
        <f>IF(AND(H228="TO CLOSE",P228=0),-G228*(M228-R227)*IF(E228="FUTURE",VLOOKUP(MID(I228,2,2),[1]Futures!$A$2:$B$12,2),1),"")</f>
        <v/>
      </c>
    </row>
    <row r="229" spans="1:19" x14ac:dyDescent="0.2">
      <c r="A229">
        <f t="shared" si="9"/>
        <v>59</v>
      </c>
      <c r="B229" s="3">
        <v>43935</v>
      </c>
      <c r="C229" s="3" t="str">
        <f t="shared" si="12"/>
        <v>Tuesday</v>
      </c>
      <c r="D229" s="2">
        <v>0.43641203703703701</v>
      </c>
      <c r="E229" t="s">
        <v>14</v>
      </c>
      <c r="F229" t="s">
        <v>19</v>
      </c>
      <c r="G229">
        <v>1</v>
      </c>
      <c r="H229" t="s">
        <v>16</v>
      </c>
      <c r="I229" t="s">
        <v>36</v>
      </c>
      <c r="J229" s="1">
        <v>43971</v>
      </c>
      <c r="L229" t="s">
        <v>14</v>
      </c>
      <c r="M229">
        <v>21.67</v>
      </c>
      <c r="N229">
        <v>21.67</v>
      </c>
      <c r="O229" t="s">
        <v>21</v>
      </c>
      <c r="P229">
        <f t="shared" si="11"/>
        <v>-1</v>
      </c>
      <c r="Q229" s="11">
        <f>IF(P229=0,0,IFERROR(Q228+G229*M229*IF(E229="FUTURE",VLOOKUP(MID(I229,2,2),[1]Futures!$A$2:$B$12,2),1),G229*M229*IF(E229="FUTURE",VLOOKUP(MID(I229,2,2),[1]Futures!$A$2:$B$12,2),1)))</f>
        <v>-21970</v>
      </c>
      <c r="R229" s="12">
        <f>IFERROR(Q229/P229/IF(E229="FUTURE",VLOOKUP(MID(I229,2,2),[1]Futures!$A$2:$B$12,2),1),"")</f>
        <v>21.97</v>
      </c>
      <c r="S229" s="13" t="str">
        <f>IF(AND(H229="TO CLOSE",P229=0),-G229*(M229-R228)*IF(E229="FUTURE",VLOOKUP(MID(I229,2,2),[1]Futures!$A$2:$B$12,2),1),"")</f>
        <v/>
      </c>
    </row>
    <row r="230" spans="1:19" x14ac:dyDescent="0.2">
      <c r="A230">
        <f t="shared" si="9"/>
        <v>59</v>
      </c>
      <c r="B230" s="3">
        <v>43935</v>
      </c>
      <c r="C230" s="3" t="str">
        <f t="shared" si="12"/>
        <v>Tuesday</v>
      </c>
      <c r="D230" s="2">
        <v>0.43733796296296296</v>
      </c>
      <c r="E230" t="s">
        <v>14</v>
      </c>
      <c r="F230" t="s">
        <v>19</v>
      </c>
      <c r="G230">
        <v>1</v>
      </c>
      <c r="H230" t="s">
        <v>16</v>
      </c>
      <c r="I230" t="s">
        <v>36</v>
      </c>
      <c r="J230" s="1">
        <v>43971</v>
      </c>
      <c r="L230" t="s">
        <v>14</v>
      </c>
      <c r="M230">
        <v>21.6</v>
      </c>
      <c r="N230">
        <v>21.6</v>
      </c>
      <c r="O230" t="s">
        <v>21</v>
      </c>
      <c r="P230">
        <f t="shared" si="11"/>
        <v>0</v>
      </c>
      <c r="Q230" s="11">
        <f>IF(P230=0,0,IFERROR(Q229+G230*M230*IF(E230="FUTURE",VLOOKUP(MID(I230,2,2),[1]Futures!$A$2:$B$12,2),1),G230*M230*IF(E230="FUTURE",VLOOKUP(MID(I230,2,2),[1]Futures!$A$2:$B$12,2),1)))</f>
        <v>0</v>
      </c>
      <c r="R230" s="12" t="str">
        <f>IFERROR(Q230/P230/IF(E230="FUTURE",VLOOKUP(MID(I230,2,2),[1]Futures!$A$2:$B$12,2),1),"")</f>
        <v/>
      </c>
      <c r="S230" s="13">
        <f>IF(AND(H230="TO CLOSE",P230=0),-G230*(M230-R229)*IF(E230="FUTURE",VLOOKUP(MID(I230,2,2),[1]Futures!$A$2:$B$12,2),1),"")</f>
        <v>369.99999999999744</v>
      </c>
    </row>
    <row r="231" spans="1:19" x14ac:dyDescent="0.2">
      <c r="A231">
        <f t="shared" si="9"/>
        <v>60</v>
      </c>
      <c r="B231" s="3">
        <v>43935</v>
      </c>
      <c r="C231" s="3" t="str">
        <f t="shared" si="12"/>
        <v>Tuesday</v>
      </c>
      <c r="D231" s="2">
        <v>0.50057870370370372</v>
      </c>
      <c r="E231" t="s">
        <v>14</v>
      </c>
      <c r="F231" t="s">
        <v>19</v>
      </c>
      <c r="G231">
        <v>1</v>
      </c>
      <c r="H231" t="s">
        <v>20</v>
      </c>
      <c r="I231" t="s">
        <v>36</v>
      </c>
      <c r="J231" s="1">
        <v>43971</v>
      </c>
      <c r="L231" t="s">
        <v>14</v>
      </c>
      <c r="M231">
        <v>21.24</v>
      </c>
      <c r="N231">
        <v>21.24</v>
      </c>
      <c r="O231" t="s">
        <v>21</v>
      </c>
      <c r="P231">
        <f t="shared" si="11"/>
        <v>1</v>
      </c>
      <c r="Q231" s="11">
        <f>IF(P231=0,0,IFERROR(Q230+G231*M231*IF(E231="FUTURE",VLOOKUP(MID(I231,2,2),[1]Futures!$A$2:$B$12,2),1),G231*M231*IF(E231="FUTURE",VLOOKUP(MID(I231,2,2),[1]Futures!$A$2:$B$12,2),1)))</f>
        <v>21240</v>
      </c>
      <c r="R231" s="12">
        <f>IFERROR(Q231/P231/IF(E231="FUTURE",VLOOKUP(MID(I231,2,2),[1]Futures!$A$2:$B$12,2),1),"")</f>
        <v>21.24</v>
      </c>
      <c r="S231" s="13" t="str">
        <f>IF(AND(H231="TO CLOSE",P231=0),-G231*(M231-R230)*IF(E231="FUTURE",VLOOKUP(MID(I231,2,2),[1]Futures!$A$2:$B$12,2),1),"")</f>
        <v/>
      </c>
    </row>
    <row r="232" spans="1:19" x14ac:dyDescent="0.2">
      <c r="A232">
        <f t="shared" si="9"/>
        <v>60</v>
      </c>
      <c r="B232" s="3">
        <v>43935</v>
      </c>
      <c r="C232" s="3" t="str">
        <f t="shared" si="12"/>
        <v>Tuesday</v>
      </c>
      <c r="D232" s="2">
        <v>0.50134259259259262</v>
      </c>
      <c r="E232" t="s">
        <v>14</v>
      </c>
      <c r="F232" t="s">
        <v>19</v>
      </c>
      <c r="G232">
        <v>1</v>
      </c>
      <c r="H232" t="s">
        <v>20</v>
      </c>
      <c r="I232" t="s">
        <v>36</v>
      </c>
      <c r="J232" s="1">
        <v>43971</v>
      </c>
      <c r="L232" t="s">
        <v>14</v>
      </c>
      <c r="M232">
        <v>21.16</v>
      </c>
      <c r="N232">
        <v>21.16</v>
      </c>
      <c r="O232" t="s">
        <v>21</v>
      </c>
      <c r="P232">
        <f t="shared" si="11"/>
        <v>2</v>
      </c>
      <c r="Q232" s="11">
        <f>IF(P232=0,0,IFERROR(Q231+G232*M232*IF(E232="FUTURE",VLOOKUP(MID(I232,2,2),[1]Futures!$A$2:$B$12,2),1),G232*M232*IF(E232="FUTURE",VLOOKUP(MID(I232,2,2),[1]Futures!$A$2:$B$12,2),1)))</f>
        <v>42400</v>
      </c>
      <c r="R232" s="12">
        <f>IFERROR(Q232/P232/IF(E232="FUTURE",VLOOKUP(MID(I232,2,2),[1]Futures!$A$2:$B$12,2),1),"")</f>
        <v>21.2</v>
      </c>
      <c r="S232" s="13" t="str">
        <f>IF(AND(H232="TO CLOSE",P232=0),-G232*(M232-R231)*IF(E232="FUTURE",VLOOKUP(MID(I232,2,2),[1]Futures!$A$2:$B$12,2),1),"")</f>
        <v/>
      </c>
    </row>
    <row r="233" spans="1:19" x14ac:dyDescent="0.2">
      <c r="A233">
        <f t="shared" si="9"/>
        <v>60</v>
      </c>
      <c r="B233" s="3">
        <v>43935</v>
      </c>
      <c r="C233" s="3" t="str">
        <f t="shared" si="12"/>
        <v>Tuesday</v>
      </c>
      <c r="D233" s="2">
        <v>0.51038194444444451</v>
      </c>
      <c r="E233" t="s">
        <v>14</v>
      </c>
      <c r="F233" t="s">
        <v>15</v>
      </c>
      <c r="G233">
        <v>-1</v>
      </c>
      <c r="H233" t="s">
        <v>16</v>
      </c>
      <c r="I233" t="s">
        <v>36</v>
      </c>
      <c r="J233" s="1">
        <v>43971</v>
      </c>
      <c r="L233" t="s">
        <v>14</v>
      </c>
      <c r="M233">
        <v>21.24</v>
      </c>
      <c r="N233">
        <v>21.24</v>
      </c>
      <c r="O233" t="s">
        <v>21</v>
      </c>
      <c r="P233">
        <f t="shared" si="11"/>
        <v>1</v>
      </c>
      <c r="Q233" s="11">
        <f>IF(P233=0,0,IFERROR(Q232+G233*M233*IF(E233="FUTURE",VLOOKUP(MID(I233,2,2),[1]Futures!$A$2:$B$12,2),1),G233*M233*IF(E233="FUTURE",VLOOKUP(MID(I233,2,2),[1]Futures!$A$2:$B$12,2),1)))</f>
        <v>21160</v>
      </c>
      <c r="R233" s="12">
        <f>IFERROR(Q233/P233/IF(E233="FUTURE",VLOOKUP(MID(I233,2,2),[1]Futures!$A$2:$B$12,2),1),"")</f>
        <v>21.16</v>
      </c>
      <c r="S233" s="13" t="str">
        <f>IF(AND(H233="TO CLOSE",P233=0),-G233*(M233-R232)*IF(E233="FUTURE",VLOOKUP(MID(I233,2,2),[1]Futures!$A$2:$B$12,2),1),"")</f>
        <v/>
      </c>
    </row>
    <row r="234" spans="1:19" x14ac:dyDescent="0.2">
      <c r="A234">
        <f t="shared" si="9"/>
        <v>60</v>
      </c>
      <c r="B234" s="3">
        <v>43935</v>
      </c>
      <c r="C234" s="3" t="str">
        <f t="shared" si="12"/>
        <v>Tuesday</v>
      </c>
      <c r="D234" s="2">
        <v>0.51643518518518516</v>
      </c>
      <c r="E234" t="s">
        <v>14</v>
      </c>
      <c r="F234" t="s">
        <v>15</v>
      </c>
      <c r="G234">
        <v>-1</v>
      </c>
      <c r="H234" t="s">
        <v>16</v>
      </c>
      <c r="I234" t="s">
        <v>36</v>
      </c>
      <c r="J234" s="1">
        <v>43971</v>
      </c>
      <c r="L234" t="s">
        <v>14</v>
      </c>
      <c r="M234">
        <v>21.21</v>
      </c>
      <c r="N234">
        <v>21.21</v>
      </c>
      <c r="O234" t="s">
        <v>21</v>
      </c>
      <c r="P234">
        <f t="shared" si="11"/>
        <v>0</v>
      </c>
      <c r="Q234" s="11">
        <f>IF(P234=0,0,IFERROR(Q233+G234*M234*IF(E234="FUTURE",VLOOKUP(MID(I234,2,2),[1]Futures!$A$2:$B$12,2),1),G234*M234*IF(E234="FUTURE",VLOOKUP(MID(I234,2,2),[1]Futures!$A$2:$B$12,2),1)))</f>
        <v>0</v>
      </c>
      <c r="R234" s="12" t="str">
        <f>IFERROR(Q234/P234/IF(E234="FUTURE",VLOOKUP(MID(I234,2,2),[1]Futures!$A$2:$B$12,2),1),"")</f>
        <v/>
      </c>
      <c r="S234" s="13">
        <f>IF(AND(H234="TO CLOSE",P234=0),-G234*(M234-R233)*IF(E234="FUTURE",VLOOKUP(MID(I234,2,2),[1]Futures!$A$2:$B$12,2),1),"")</f>
        <v>50.000000000000711</v>
      </c>
    </row>
    <row r="235" spans="1:19" x14ac:dyDescent="0.2">
      <c r="A235">
        <f t="shared" si="9"/>
        <v>61</v>
      </c>
      <c r="B235" s="3">
        <v>43935</v>
      </c>
      <c r="C235" s="3" t="str">
        <f t="shared" si="12"/>
        <v>Tuesday</v>
      </c>
      <c r="D235" s="2">
        <v>0.60269675925925925</v>
      </c>
      <c r="E235" t="s">
        <v>14</v>
      </c>
      <c r="F235" t="s">
        <v>19</v>
      </c>
      <c r="G235">
        <v>1</v>
      </c>
      <c r="H235" t="s">
        <v>20</v>
      </c>
      <c r="I235" t="s">
        <v>36</v>
      </c>
      <c r="J235" s="1">
        <v>43971</v>
      </c>
      <c r="L235" t="s">
        <v>14</v>
      </c>
      <c r="M235">
        <v>20.07</v>
      </c>
      <c r="N235">
        <v>20.07</v>
      </c>
      <c r="O235" t="s">
        <v>21</v>
      </c>
      <c r="P235">
        <f t="shared" si="11"/>
        <v>1</v>
      </c>
      <c r="Q235" s="11">
        <f>IF(P235=0,0,IFERROR(Q234+G235*M235*IF(E235="FUTURE",VLOOKUP(MID(I235,2,2),[1]Futures!$A$2:$B$12,2),1),G235*M235*IF(E235="FUTURE",VLOOKUP(MID(I235,2,2),[1]Futures!$A$2:$B$12,2),1)))</f>
        <v>20070</v>
      </c>
      <c r="R235" s="12">
        <f>IFERROR(Q235/P235/IF(E235="FUTURE",VLOOKUP(MID(I235,2,2),[1]Futures!$A$2:$B$12,2),1),"")</f>
        <v>20.07</v>
      </c>
      <c r="S235" s="13" t="str">
        <f>IF(AND(H235="TO CLOSE",P235=0),-G235*(M235-R234)*IF(E235="FUTURE",VLOOKUP(MID(I235,2,2),[1]Futures!$A$2:$B$12,2),1),"")</f>
        <v/>
      </c>
    </row>
    <row r="236" spans="1:19" x14ac:dyDescent="0.2">
      <c r="A236">
        <f t="shared" si="9"/>
        <v>61</v>
      </c>
      <c r="B236" s="3">
        <v>43935</v>
      </c>
      <c r="C236" s="3" t="str">
        <f t="shared" si="12"/>
        <v>Tuesday</v>
      </c>
      <c r="D236" s="2">
        <v>0.60547453703703702</v>
      </c>
      <c r="E236" t="s">
        <v>14</v>
      </c>
      <c r="F236" t="s">
        <v>15</v>
      </c>
      <c r="G236">
        <v>-1</v>
      </c>
      <c r="H236" t="s">
        <v>16</v>
      </c>
      <c r="I236" t="s">
        <v>36</v>
      </c>
      <c r="J236" s="1">
        <v>43971</v>
      </c>
      <c r="L236" t="s">
        <v>14</v>
      </c>
      <c r="M236">
        <v>20.25</v>
      </c>
      <c r="N236">
        <v>20.25</v>
      </c>
      <c r="O236" t="s">
        <v>21</v>
      </c>
      <c r="P236">
        <f t="shared" si="11"/>
        <v>0</v>
      </c>
      <c r="Q236" s="11">
        <f>IF(P236=0,0,IFERROR(Q235+G236*M236*IF(E236="FUTURE",VLOOKUP(MID(I236,2,2),[1]Futures!$A$2:$B$12,2),1),G236*M236*IF(E236="FUTURE",VLOOKUP(MID(I236,2,2),[1]Futures!$A$2:$B$12,2),1)))</f>
        <v>0</v>
      </c>
      <c r="R236" s="12" t="str">
        <f>IFERROR(Q236/P236/IF(E236="FUTURE",VLOOKUP(MID(I236,2,2),[1]Futures!$A$2:$B$12,2),1),"")</f>
        <v/>
      </c>
      <c r="S236" s="13">
        <f>IF(AND(H236="TO CLOSE",P236=0),-G236*(M236-R235)*IF(E236="FUTURE",VLOOKUP(MID(I236,2,2),[1]Futures!$A$2:$B$12,2),1),"")</f>
        <v>179.99999999999972</v>
      </c>
    </row>
    <row r="237" spans="1:19" x14ac:dyDescent="0.2">
      <c r="A237">
        <f t="shared" si="9"/>
        <v>62</v>
      </c>
      <c r="B237" s="3">
        <v>43935</v>
      </c>
      <c r="C237" s="3" t="str">
        <f t="shared" si="12"/>
        <v>Tuesday</v>
      </c>
      <c r="D237" s="2">
        <v>0.47392361111111114</v>
      </c>
      <c r="E237" t="s">
        <v>14</v>
      </c>
      <c r="F237" t="s">
        <v>19</v>
      </c>
      <c r="G237">
        <v>1</v>
      </c>
      <c r="H237" t="s">
        <v>20</v>
      </c>
      <c r="I237" t="s">
        <v>17</v>
      </c>
      <c r="J237" s="1">
        <v>44002</v>
      </c>
      <c r="L237" t="s">
        <v>14</v>
      </c>
      <c r="M237">
        <v>2805.25</v>
      </c>
      <c r="N237">
        <v>2805.25</v>
      </c>
      <c r="O237" t="s">
        <v>24</v>
      </c>
      <c r="P237">
        <f t="shared" si="11"/>
        <v>1</v>
      </c>
      <c r="Q237" s="11">
        <f>IF(P237=0,0,IFERROR(Q236+G237*M237*IF(E237="FUTURE",VLOOKUP(MID(I237,2,2),[1]Futures!$A$2:$B$12,2),1),G237*M237*IF(E237="FUTURE",VLOOKUP(MID(I237,2,2),[1]Futures!$A$2:$B$12,2),1)))</f>
        <v>140262.5</v>
      </c>
      <c r="R237" s="12">
        <f>IFERROR(Q237/P237/IF(E237="FUTURE",VLOOKUP(MID(I237,2,2),[1]Futures!$A$2:$B$12,2),1),"")</f>
        <v>2805.25</v>
      </c>
      <c r="S237" s="13" t="str">
        <f>IF(AND(H237="TO CLOSE",P237=0),-G237*(M237-R236)*IF(E237="FUTURE",VLOOKUP(MID(I237,2,2),[1]Futures!$A$2:$B$12,2),1),"")</f>
        <v/>
      </c>
    </row>
    <row r="238" spans="1:19" x14ac:dyDescent="0.2">
      <c r="A238">
        <f t="shared" si="9"/>
        <v>62</v>
      </c>
      <c r="B238" s="3">
        <v>43935</v>
      </c>
      <c r="C238" s="3" t="str">
        <f t="shared" si="12"/>
        <v>Tuesday</v>
      </c>
      <c r="D238" s="2">
        <v>0.47531250000000003</v>
      </c>
      <c r="E238" t="s">
        <v>14</v>
      </c>
      <c r="F238" t="s">
        <v>15</v>
      </c>
      <c r="G238">
        <v>-1</v>
      </c>
      <c r="H238" t="s">
        <v>16</v>
      </c>
      <c r="I238" t="s">
        <v>17</v>
      </c>
      <c r="J238" s="1">
        <v>44002</v>
      </c>
      <c r="L238" t="s">
        <v>14</v>
      </c>
      <c r="M238">
        <v>2809.25</v>
      </c>
      <c r="N238">
        <v>2809.25</v>
      </c>
      <c r="O238" t="s">
        <v>21</v>
      </c>
      <c r="P238">
        <f t="shared" si="11"/>
        <v>0</v>
      </c>
      <c r="Q238" s="11">
        <f>IF(P238=0,0,IFERROR(Q237+G238*M238*IF(E238="FUTURE",VLOOKUP(MID(I238,2,2),[1]Futures!$A$2:$B$12,2),1),G238*M238*IF(E238="FUTURE",VLOOKUP(MID(I238,2,2),[1]Futures!$A$2:$B$12,2),1)))</f>
        <v>0</v>
      </c>
      <c r="R238" s="12" t="str">
        <f>IFERROR(Q238/P238/IF(E238="FUTURE",VLOOKUP(MID(I238,2,2),[1]Futures!$A$2:$B$12,2),1),"")</f>
        <v/>
      </c>
      <c r="S238" s="13">
        <f>IF(AND(H238="TO CLOSE",P238=0),-G238*(M238-R237)*IF(E238="FUTURE",VLOOKUP(MID(I238,2,2),[1]Futures!$A$2:$B$12,2),1),"")</f>
        <v>200</v>
      </c>
    </row>
    <row r="239" spans="1:19" x14ac:dyDescent="0.2">
      <c r="A239">
        <f t="shared" si="9"/>
        <v>63</v>
      </c>
      <c r="B239" s="3">
        <v>43935</v>
      </c>
      <c r="C239" s="3" t="str">
        <f t="shared" si="12"/>
        <v>Tuesday</v>
      </c>
      <c r="D239" s="2">
        <v>0.47812499999999997</v>
      </c>
      <c r="E239" t="s">
        <v>14</v>
      </c>
      <c r="F239" t="s">
        <v>19</v>
      </c>
      <c r="G239">
        <v>1</v>
      </c>
      <c r="H239" t="s">
        <v>20</v>
      </c>
      <c r="I239" t="s">
        <v>17</v>
      </c>
      <c r="J239" s="1">
        <v>44002</v>
      </c>
      <c r="L239" t="s">
        <v>14</v>
      </c>
      <c r="M239">
        <v>2808.25</v>
      </c>
      <c r="N239">
        <v>2808.25</v>
      </c>
      <c r="O239" t="s">
        <v>21</v>
      </c>
      <c r="P239">
        <f t="shared" si="11"/>
        <v>1</v>
      </c>
      <c r="Q239" s="11">
        <f>IF(P239=0,0,IFERROR(Q238+G239*M239*IF(E239="FUTURE",VLOOKUP(MID(I239,2,2),[1]Futures!$A$2:$B$12,2),1),G239*M239*IF(E239="FUTURE",VLOOKUP(MID(I239,2,2),[1]Futures!$A$2:$B$12,2),1)))</f>
        <v>140412.5</v>
      </c>
      <c r="R239" s="12">
        <f>IFERROR(Q239/P239/IF(E239="FUTURE",VLOOKUP(MID(I239,2,2),[1]Futures!$A$2:$B$12,2),1),"")</f>
        <v>2808.25</v>
      </c>
      <c r="S239" s="13" t="str">
        <f>IF(AND(H239="TO CLOSE",P239=0),-G239*(M239-R238)*IF(E239="FUTURE",VLOOKUP(MID(I239,2,2),[1]Futures!$A$2:$B$12,2),1),"")</f>
        <v/>
      </c>
    </row>
    <row r="240" spans="1:19" x14ac:dyDescent="0.2">
      <c r="A240">
        <f t="shared" si="9"/>
        <v>63</v>
      </c>
      <c r="B240" s="3">
        <v>43935</v>
      </c>
      <c r="C240" s="3" t="str">
        <f t="shared" si="12"/>
        <v>Tuesday</v>
      </c>
      <c r="D240" s="2">
        <v>0.47846064814814815</v>
      </c>
      <c r="E240" t="s">
        <v>14</v>
      </c>
      <c r="F240" t="s">
        <v>15</v>
      </c>
      <c r="G240">
        <v>-1</v>
      </c>
      <c r="H240" t="s">
        <v>16</v>
      </c>
      <c r="I240" t="s">
        <v>17</v>
      </c>
      <c r="J240" s="1">
        <v>44002</v>
      </c>
      <c r="L240" t="s">
        <v>14</v>
      </c>
      <c r="M240">
        <v>2805.25</v>
      </c>
      <c r="N240">
        <v>2805.25</v>
      </c>
      <c r="O240" t="s">
        <v>18</v>
      </c>
      <c r="P240">
        <f t="shared" si="11"/>
        <v>0</v>
      </c>
      <c r="Q240" s="11">
        <f>IF(P240=0,0,IFERROR(Q239+G240*M240*IF(E240="FUTURE",VLOOKUP(MID(I240,2,2),[1]Futures!$A$2:$B$12,2),1),G240*M240*IF(E240="FUTURE",VLOOKUP(MID(I240,2,2),[1]Futures!$A$2:$B$12,2),1)))</f>
        <v>0</v>
      </c>
      <c r="R240" s="12" t="str">
        <f>IFERROR(Q240/P240/IF(E240="FUTURE",VLOOKUP(MID(I240,2,2),[1]Futures!$A$2:$B$12,2),1),"")</f>
        <v/>
      </c>
      <c r="S240" s="13">
        <f>IF(AND(H240="TO CLOSE",P240=0),-G240*(M240-R239)*IF(E240="FUTURE",VLOOKUP(MID(I240,2,2),[1]Futures!$A$2:$B$12,2),1),"")</f>
        <v>-150</v>
      </c>
    </row>
    <row r="241" spans="1:19" x14ac:dyDescent="0.2">
      <c r="A241">
        <f t="shared" si="9"/>
        <v>64</v>
      </c>
      <c r="B241" s="3">
        <v>43935</v>
      </c>
      <c r="C241" s="3" t="str">
        <f t="shared" si="12"/>
        <v>Tuesday</v>
      </c>
      <c r="D241" s="2">
        <v>0.4802777777777778</v>
      </c>
      <c r="E241" t="s">
        <v>14</v>
      </c>
      <c r="F241" t="s">
        <v>19</v>
      </c>
      <c r="G241">
        <v>1</v>
      </c>
      <c r="H241" t="s">
        <v>20</v>
      </c>
      <c r="I241" t="s">
        <v>17</v>
      </c>
      <c r="J241" s="1">
        <v>44002</v>
      </c>
      <c r="L241" t="s">
        <v>14</v>
      </c>
      <c r="M241">
        <v>2811.25</v>
      </c>
      <c r="N241">
        <v>2811.25</v>
      </c>
      <c r="O241" t="s">
        <v>24</v>
      </c>
      <c r="P241">
        <f t="shared" si="11"/>
        <v>1</v>
      </c>
      <c r="Q241" s="11">
        <f>IF(P241=0,0,IFERROR(Q240+G241*M241*IF(E241="FUTURE",VLOOKUP(MID(I241,2,2),[1]Futures!$A$2:$B$12,2),1),G241*M241*IF(E241="FUTURE",VLOOKUP(MID(I241,2,2),[1]Futures!$A$2:$B$12,2),1)))</f>
        <v>140562.5</v>
      </c>
      <c r="R241" s="12">
        <f>IFERROR(Q241/P241/IF(E241="FUTURE",VLOOKUP(MID(I241,2,2),[1]Futures!$A$2:$B$12,2),1),"")</f>
        <v>2811.25</v>
      </c>
      <c r="S241" s="13" t="str">
        <f>IF(AND(H241="TO CLOSE",P241=0),-G241*(M241-R240)*IF(E241="FUTURE",VLOOKUP(MID(I241,2,2),[1]Futures!$A$2:$B$12,2),1),"")</f>
        <v/>
      </c>
    </row>
    <row r="242" spans="1:19" x14ac:dyDescent="0.2">
      <c r="A242">
        <f t="shared" si="9"/>
        <v>64</v>
      </c>
      <c r="B242" s="3">
        <v>43935</v>
      </c>
      <c r="C242" s="3" t="str">
        <f t="shared" si="12"/>
        <v>Tuesday</v>
      </c>
      <c r="D242" s="2">
        <v>0.48982638888888891</v>
      </c>
      <c r="E242" t="s">
        <v>14</v>
      </c>
      <c r="F242" t="s">
        <v>15</v>
      </c>
      <c r="G242">
        <v>-1</v>
      </c>
      <c r="H242" t="s">
        <v>16</v>
      </c>
      <c r="I242" t="s">
        <v>17</v>
      </c>
      <c r="J242" s="1">
        <v>44002</v>
      </c>
      <c r="L242" t="s">
        <v>14</v>
      </c>
      <c r="M242">
        <v>2811.75</v>
      </c>
      <c r="N242">
        <v>2811.75</v>
      </c>
      <c r="O242" t="s">
        <v>18</v>
      </c>
      <c r="P242">
        <f t="shared" si="11"/>
        <v>0</v>
      </c>
      <c r="Q242" s="11">
        <f>IF(P242=0,0,IFERROR(Q241+G242*M242*IF(E242="FUTURE",VLOOKUP(MID(I242,2,2),[1]Futures!$A$2:$B$12,2),1),G242*M242*IF(E242="FUTURE",VLOOKUP(MID(I242,2,2),[1]Futures!$A$2:$B$12,2),1)))</f>
        <v>0</v>
      </c>
      <c r="R242" s="12" t="str">
        <f>IFERROR(Q242/P242/IF(E242="FUTURE",VLOOKUP(MID(I242,2,2),[1]Futures!$A$2:$B$12,2),1),"")</f>
        <v/>
      </c>
      <c r="S242" s="13">
        <f>IF(AND(H242="TO CLOSE",P242=0),-G242*(M242-R241)*IF(E242="FUTURE",VLOOKUP(MID(I242,2,2),[1]Futures!$A$2:$B$12,2),1),"")</f>
        <v>25</v>
      </c>
    </row>
    <row r="243" spans="1:19" x14ac:dyDescent="0.2">
      <c r="A243">
        <f t="shared" si="9"/>
        <v>65</v>
      </c>
      <c r="B243" s="3">
        <v>43935</v>
      </c>
      <c r="C243" s="3" t="str">
        <f t="shared" si="12"/>
        <v>Tuesday</v>
      </c>
      <c r="D243" s="2">
        <v>0.49111111111111111</v>
      </c>
      <c r="E243" t="s">
        <v>14</v>
      </c>
      <c r="F243" t="s">
        <v>15</v>
      </c>
      <c r="G243">
        <v>-1</v>
      </c>
      <c r="H243" t="s">
        <v>20</v>
      </c>
      <c r="I243" t="s">
        <v>17</v>
      </c>
      <c r="J243" s="1">
        <v>44002</v>
      </c>
      <c r="L243" t="s">
        <v>14</v>
      </c>
      <c r="M243">
        <v>2811.5</v>
      </c>
      <c r="N243">
        <v>2811.5</v>
      </c>
      <c r="O243" t="s">
        <v>21</v>
      </c>
      <c r="P243">
        <f t="shared" si="11"/>
        <v>-1</v>
      </c>
      <c r="Q243" s="11">
        <f>IF(P243=0,0,IFERROR(Q242+G243*M243*IF(E243="FUTURE",VLOOKUP(MID(I243,2,2),[1]Futures!$A$2:$B$12,2),1),G243*M243*IF(E243="FUTURE",VLOOKUP(MID(I243,2,2),[1]Futures!$A$2:$B$12,2),1)))</f>
        <v>-140575</v>
      </c>
      <c r="R243" s="12">
        <f>IFERROR(Q243/P243/IF(E243="FUTURE",VLOOKUP(MID(I243,2,2),[1]Futures!$A$2:$B$12,2),1),"")</f>
        <v>2811.5</v>
      </c>
      <c r="S243" s="13" t="str">
        <f>IF(AND(H243="TO CLOSE",P243=0),-G243*(M243-R242)*IF(E243="FUTURE",VLOOKUP(MID(I243,2,2),[1]Futures!$A$2:$B$12,2),1),"")</f>
        <v/>
      </c>
    </row>
    <row r="244" spans="1:19" x14ac:dyDescent="0.2">
      <c r="A244">
        <f t="shared" si="9"/>
        <v>65</v>
      </c>
      <c r="B244" s="3">
        <v>43935</v>
      </c>
      <c r="C244" s="3" t="str">
        <f t="shared" si="12"/>
        <v>Tuesday</v>
      </c>
      <c r="D244" s="2">
        <v>0.49800925925925926</v>
      </c>
      <c r="E244" t="s">
        <v>14</v>
      </c>
      <c r="F244" t="s">
        <v>19</v>
      </c>
      <c r="G244">
        <v>1</v>
      </c>
      <c r="H244" t="s">
        <v>16</v>
      </c>
      <c r="I244" t="s">
        <v>17</v>
      </c>
      <c r="J244" s="1">
        <v>44002</v>
      </c>
      <c r="L244" t="s">
        <v>14</v>
      </c>
      <c r="M244">
        <v>2807.25</v>
      </c>
      <c r="N244">
        <v>2807.25</v>
      </c>
      <c r="O244" t="s">
        <v>21</v>
      </c>
      <c r="P244">
        <f t="shared" si="11"/>
        <v>0</v>
      </c>
      <c r="Q244" s="11">
        <f>IF(P244=0,0,IFERROR(Q243+G244*M244*IF(E244="FUTURE",VLOOKUP(MID(I244,2,2),[1]Futures!$A$2:$B$12,2),1),G244*M244*IF(E244="FUTURE",VLOOKUP(MID(I244,2,2),[1]Futures!$A$2:$B$12,2),1)))</f>
        <v>0</v>
      </c>
      <c r="R244" s="12" t="str">
        <f>IFERROR(Q244/P244/IF(E244="FUTURE",VLOOKUP(MID(I244,2,2),[1]Futures!$A$2:$B$12,2),1),"")</f>
        <v/>
      </c>
      <c r="S244" s="13">
        <f>IF(AND(H244="TO CLOSE",P244=0),-G244*(M244-R243)*IF(E244="FUTURE",VLOOKUP(MID(I244,2,2),[1]Futures!$A$2:$B$12,2),1),"")</f>
        <v>212.5</v>
      </c>
    </row>
    <row r="245" spans="1:19" x14ac:dyDescent="0.2">
      <c r="A245">
        <f t="shared" si="9"/>
        <v>66</v>
      </c>
      <c r="B245" s="3">
        <v>43935</v>
      </c>
      <c r="C245" s="3" t="str">
        <f t="shared" si="12"/>
        <v>Tuesday</v>
      </c>
      <c r="D245" s="2">
        <v>0.50979166666666664</v>
      </c>
      <c r="E245" t="s">
        <v>14</v>
      </c>
      <c r="F245" t="s">
        <v>15</v>
      </c>
      <c r="G245">
        <v>-1</v>
      </c>
      <c r="H245" t="s">
        <v>20</v>
      </c>
      <c r="I245" t="s">
        <v>17</v>
      </c>
      <c r="J245" s="1">
        <v>44002</v>
      </c>
      <c r="L245" t="s">
        <v>14</v>
      </c>
      <c r="M245">
        <v>2821.5</v>
      </c>
      <c r="N245">
        <v>2821.5</v>
      </c>
      <c r="O245" t="s">
        <v>21</v>
      </c>
      <c r="P245">
        <f t="shared" si="11"/>
        <v>-1</v>
      </c>
      <c r="Q245" s="11">
        <f>IF(P245=0,0,IFERROR(Q244+G245*M245*IF(E245="FUTURE",VLOOKUP(MID(I245,2,2),[1]Futures!$A$2:$B$12,2),1),G245*M245*IF(E245="FUTURE",VLOOKUP(MID(I245,2,2),[1]Futures!$A$2:$B$12,2),1)))</f>
        <v>-141075</v>
      </c>
      <c r="R245" s="12">
        <f>IFERROR(Q245/P245/IF(E245="FUTURE",VLOOKUP(MID(I245,2,2),[1]Futures!$A$2:$B$12,2),1),"")</f>
        <v>2821.5</v>
      </c>
      <c r="S245" s="13" t="str">
        <f>IF(AND(H245="TO CLOSE",P245=0),-G245*(M245-R244)*IF(E245="FUTURE",VLOOKUP(MID(I245,2,2),[1]Futures!$A$2:$B$12,2),1),"")</f>
        <v/>
      </c>
    </row>
    <row r="246" spans="1:19" x14ac:dyDescent="0.2">
      <c r="A246">
        <f t="shared" si="9"/>
        <v>66</v>
      </c>
      <c r="B246" s="3">
        <v>43935</v>
      </c>
      <c r="C246" s="3" t="str">
        <f t="shared" si="12"/>
        <v>Tuesday</v>
      </c>
      <c r="D246" s="2">
        <v>0.57819444444444446</v>
      </c>
      <c r="E246" t="s">
        <v>14</v>
      </c>
      <c r="F246" t="s">
        <v>19</v>
      </c>
      <c r="G246">
        <v>1</v>
      </c>
      <c r="H246" t="s">
        <v>16</v>
      </c>
      <c r="I246" t="s">
        <v>17</v>
      </c>
      <c r="J246" s="1">
        <v>44002</v>
      </c>
      <c r="L246" t="s">
        <v>14</v>
      </c>
      <c r="M246">
        <v>2836.75</v>
      </c>
      <c r="N246">
        <v>2836.75</v>
      </c>
      <c r="O246" t="s">
        <v>18</v>
      </c>
      <c r="P246">
        <f t="shared" si="11"/>
        <v>0</v>
      </c>
      <c r="Q246" s="11">
        <f>IF(P246=0,0,IFERROR(Q245+G246*M246*IF(E246="FUTURE",VLOOKUP(MID(I246,2,2),[1]Futures!$A$2:$B$12,2),1),G246*M246*IF(E246="FUTURE",VLOOKUP(MID(I246,2,2),[1]Futures!$A$2:$B$12,2),1)))</f>
        <v>0</v>
      </c>
      <c r="R246" s="12" t="str">
        <f>IFERROR(Q246/P246/IF(E246="FUTURE",VLOOKUP(MID(I246,2,2),[1]Futures!$A$2:$B$12,2),1),"")</f>
        <v/>
      </c>
      <c r="S246" s="13">
        <f>IF(AND(H246="TO CLOSE",P246=0),-G246*(M246-R245)*IF(E246="FUTURE",VLOOKUP(MID(I246,2,2),[1]Futures!$A$2:$B$12,2),1),"")</f>
        <v>-762.5</v>
      </c>
    </row>
    <row r="247" spans="1:19" x14ac:dyDescent="0.2">
      <c r="A247">
        <f t="shared" si="9"/>
        <v>67</v>
      </c>
      <c r="B247" s="3">
        <v>43935</v>
      </c>
      <c r="C247" s="3" t="str">
        <f t="shared" si="12"/>
        <v>Tuesday</v>
      </c>
      <c r="D247" s="2">
        <v>0.58204861111111106</v>
      </c>
      <c r="E247" t="s">
        <v>14</v>
      </c>
      <c r="F247" t="s">
        <v>15</v>
      </c>
      <c r="G247">
        <v>-1</v>
      </c>
      <c r="H247" t="s">
        <v>20</v>
      </c>
      <c r="I247" t="s">
        <v>17</v>
      </c>
      <c r="J247" s="1">
        <v>44002</v>
      </c>
      <c r="L247" t="s">
        <v>14</v>
      </c>
      <c r="M247">
        <v>2835.75</v>
      </c>
      <c r="N247">
        <v>2835.75</v>
      </c>
      <c r="O247" t="s">
        <v>21</v>
      </c>
      <c r="P247">
        <f t="shared" si="11"/>
        <v>-1</v>
      </c>
      <c r="Q247" s="11">
        <f>IF(P247=0,0,IFERROR(Q246+G247*M247*IF(E247="FUTURE",VLOOKUP(MID(I247,2,2),[1]Futures!$A$2:$B$12,2),1),G247*M247*IF(E247="FUTURE",VLOOKUP(MID(I247,2,2),[1]Futures!$A$2:$B$12,2),1)))</f>
        <v>-141787.5</v>
      </c>
      <c r="R247" s="12">
        <f>IFERROR(Q247/P247/IF(E247="FUTURE",VLOOKUP(MID(I247,2,2),[1]Futures!$A$2:$B$12,2),1),"")</f>
        <v>2835.75</v>
      </c>
      <c r="S247" s="13" t="str">
        <f>IF(AND(H247="TO CLOSE",P247=0),-G247*(M247-R246)*IF(E247="FUTURE",VLOOKUP(MID(I247,2,2),[1]Futures!$A$2:$B$12,2),1),"")</f>
        <v/>
      </c>
    </row>
    <row r="248" spans="1:19" x14ac:dyDescent="0.2">
      <c r="A248">
        <f t="shared" si="9"/>
        <v>67</v>
      </c>
      <c r="B248" s="3">
        <v>43935</v>
      </c>
      <c r="C248" s="3" t="str">
        <f t="shared" si="12"/>
        <v>Tuesday</v>
      </c>
      <c r="D248" s="2">
        <v>0.59054398148148146</v>
      </c>
      <c r="E248" t="s">
        <v>14</v>
      </c>
      <c r="F248" t="s">
        <v>19</v>
      </c>
      <c r="G248">
        <v>1</v>
      </c>
      <c r="H248" t="s">
        <v>16</v>
      </c>
      <c r="I248" t="s">
        <v>17</v>
      </c>
      <c r="J248" s="1">
        <v>44002</v>
      </c>
      <c r="L248" t="s">
        <v>14</v>
      </c>
      <c r="M248">
        <v>2834.75</v>
      </c>
      <c r="N248">
        <v>2834.75</v>
      </c>
      <c r="O248" t="s">
        <v>18</v>
      </c>
      <c r="P248">
        <f t="shared" si="11"/>
        <v>0</v>
      </c>
      <c r="Q248" s="11">
        <f>IF(P248=0,0,IFERROR(Q247+G248*M248*IF(E248="FUTURE",VLOOKUP(MID(I248,2,2),[1]Futures!$A$2:$B$12,2),1),G248*M248*IF(E248="FUTURE",VLOOKUP(MID(I248,2,2),[1]Futures!$A$2:$B$12,2),1)))</f>
        <v>0</v>
      </c>
      <c r="R248" s="12" t="str">
        <f>IFERROR(Q248/P248/IF(E248="FUTURE",VLOOKUP(MID(I248,2,2),[1]Futures!$A$2:$B$12,2),1),"")</f>
        <v/>
      </c>
      <c r="S248" s="13">
        <f>IF(AND(H248="TO CLOSE",P248=0),-G248*(M248-R247)*IF(E248="FUTURE",VLOOKUP(MID(I248,2,2),[1]Futures!$A$2:$B$12,2),1),"")</f>
        <v>50</v>
      </c>
    </row>
    <row r="249" spans="1:19" x14ac:dyDescent="0.2">
      <c r="A249">
        <f t="shared" si="9"/>
        <v>68</v>
      </c>
      <c r="B249" s="3">
        <v>43935</v>
      </c>
      <c r="C249" s="3" t="str">
        <f t="shared" si="12"/>
        <v>Tuesday</v>
      </c>
      <c r="D249" s="2">
        <v>0.59329861111111104</v>
      </c>
      <c r="E249" t="s">
        <v>14</v>
      </c>
      <c r="F249" t="s">
        <v>15</v>
      </c>
      <c r="G249">
        <v>-1</v>
      </c>
      <c r="H249" t="s">
        <v>20</v>
      </c>
      <c r="I249" t="s">
        <v>17</v>
      </c>
      <c r="J249" s="1">
        <v>44002</v>
      </c>
      <c r="L249" t="s">
        <v>14</v>
      </c>
      <c r="M249">
        <v>2834.75</v>
      </c>
      <c r="N249">
        <v>2834.75</v>
      </c>
      <c r="O249" t="s">
        <v>21</v>
      </c>
      <c r="P249">
        <f t="shared" si="11"/>
        <v>-1</v>
      </c>
      <c r="Q249" s="11">
        <f>IF(P249=0,0,IFERROR(Q248+G249*M249*IF(E249="FUTURE",VLOOKUP(MID(I249,2,2),[1]Futures!$A$2:$B$12,2),1),G249*M249*IF(E249="FUTURE",VLOOKUP(MID(I249,2,2),[1]Futures!$A$2:$B$12,2),1)))</f>
        <v>-141737.5</v>
      </c>
      <c r="R249" s="12">
        <f>IFERROR(Q249/P249/IF(E249="FUTURE",VLOOKUP(MID(I249,2,2),[1]Futures!$A$2:$B$12,2),1),"")</f>
        <v>2834.75</v>
      </c>
      <c r="S249" s="13" t="str">
        <f>IF(AND(H249="TO CLOSE",P249=0),-G249*(M249-R248)*IF(E249="FUTURE",VLOOKUP(MID(I249,2,2),[1]Futures!$A$2:$B$12,2),1),"")</f>
        <v/>
      </c>
    </row>
    <row r="250" spans="1:19" x14ac:dyDescent="0.2">
      <c r="A250">
        <f t="shared" si="9"/>
        <v>68</v>
      </c>
      <c r="B250" s="3">
        <v>43935</v>
      </c>
      <c r="C250" s="3" t="str">
        <f t="shared" si="12"/>
        <v>Tuesday</v>
      </c>
      <c r="D250" s="2">
        <v>0.59769675925925925</v>
      </c>
      <c r="E250" t="s">
        <v>14</v>
      </c>
      <c r="F250" t="s">
        <v>19</v>
      </c>
      <c r="G250">
        <v>1</v>
      </c>
      <c r="H250" t="s">
        <v>16</v>
      </c>
      <c r="I250" t="s">
        <v>17</v>
      </c>
      <c r="J250" s="1">
        <v>44002</v>
      </c>
      <c r="L250" t="s">
        <v>14</v>
      </c>
      <c r="M250">
        <v>2839.75</v>
      </c>
      <c r="N250">
        <v>2839.75</v>
      </c>
      <c r="O250" t="s">
        <v>18</v>
      </c>
      <c r="P250">
        <f t="shared" si="11"/>
        <v>0</v>
      </c>
      <c r="Q250" s="11">
        <f>IF(P250=0,0,IFERROR(Q249+G250*M250*IF(E250="FUTURE",VLOOKUP(MID(I250,2,2),[1]Futures!$A$2:$B$12,2),1),G250*M250*IF(E250="FUTURE",VLOOKUP(MID(I250,2,2),[1]Futures!$A$2:$B$12,2),1)))</f>
        <v>0</v>
      </c>
      <c r="R250" s="12" t="str">
        <f>IFERROR(Q250/P250/IF(E250="FUTURE",VLOOKUP(MID(I250,2,2),[1]Futures!$A$2:$B$12,2),1),"")</f>
        <v/>
      </c>
      <c r="S250" s="13">
        <f>IF(AND(H250="TO CLOSE",P250=0),-G250*(M250-R249)*IF(E250="FUTURE",VLOOKUP(MID(I250,2,2),[1]Futures!$A$2:$B$12,2),1),"")</f>
        <v>-250</v>
      </c>
    </row>
    <row r="251" spans="1:19" x14ac:dyDescent="0.2">
      <c r="A251">
        <f t="shared" si="9"/>
        <v>69</v>
      </c>
      <c r="B251" s="3">
        <v>43935</v>
      </c>
      <c r="C251" s="3" t="str">
        <f t="shared" si="12"/>
        <v>Tuesday</v>
      </c>
      <c r="D251" s="2">
        <v>0.60776620370370371</v>
      </c>
      <c r="E251" t="s">
        <v>14</v>
      </c>
      <c r="F251" t="s">
        <v>15</v>
      </c>
      <c r="G251">
        <v>-1</v>
      </c>
      <c r="H251" t="s">
        <v>20</v>
      </c>
      <c r="I251" t="s">
        <v>17</v>
      </c>
      <c r="J251" s="1">
        <v>44002</v>
      </c>
      <c r="L251" t="s">
        <v>14</v>
      </c>
      <c r="M251">
        <v>2836</v>
      </c>
      <c r="N251">
        <v>2836</v>
      </c>
      <c r="O251" t="s">
        <v>21</v>
      </c>
      <c r="P251">
        <f t="shared" si="11"/>
        <v>-1</v>
      </c>
      <c r="Q251" s="11">
        <f>IF(P251=0,0,IFERROR(Q250+G251*M251*IF(E251="FUTURE",VLOOKUP(MID(I251,2,2),[1]Futures!$A$2:$B$12,2),1),G251*M251*IF(E251="FUTURE",VLOOKUP(MID(I251,2,2),[1]Futures!$A$2:$B$12,2),1)))</f>
        <v>-141800</v>
      </c>
      <c r="R251" s="12">
        <f>IFERROR(Q251/P251/IF(E251="FUTURE",VLOOKUP(MID(I251,2,2),[1]Futures!$A$2:$B$12,2),1),"")</f>
        <v>2836</v>
      </c>
      <c r="S251" s="13" t="str">
        <f>IF(AND(H251="TO CLOSE",P251=0),-G251*(M251-R250)*IF(E251="FUTURE",VLOOKUP(MID(I251,2,2),[1]Futures!$A$2:$B$12,2),1),"")</f>
        <v/>
      </c>
    </row>
    <row r="252" spans="1:19" x14ac:dyDescent="0.2">
      <c r="A252">
        <f t="shared" si="9"/>
        <v>69</v>
      </c>
      <c r="B252" s="3">
        <v>43935</v>
      </c>
      <c r="C252" s="3" t="str">
        <f t="shared" si="12"/>
        <v>Tuesday</v>
      </c>
      <c r="D252" s="2">
        <v>0.61849537037037039</v>
      </c>
      <c r="E252" t="s">
        <v>14</v>
      </c>
      <c r="F252" t="s">
        <v>19</v>
      </c>
      <c r="G252">
        <v>1</v>
      </c>
      <c r="H252" t="s">
        <v>16</v>
      </c>
      <c r="I252" t="s">
        <v>17</v>
      </c>
      <c r="J252" s="1">
        <v>44002</v>
      </c>
      <c r="L252" t="s">
        <v>14</v>
      </c>
      <c r="M252">
        <v>2835.75</v>
      </c>
      <c r="N252">
        <v>2835.75</v>
      </c>
      <c r="O252" t="s">
        <v>18</v>
      </c>
      <c r="P252">
        <f t="shared" si="11"/>
        <v>0</v>
      </c>
      <c r="Q252" s="11">
        <f>IF(P252=0,0,IFERROR(Q251+G252*M252*IF(E252="FUTURE",VLOOKUP(MID(I252,2,2),[1]Futures!$A$2:$B$12,2),1),G252*M252*IF(E252="FUTURE",VLOOKUP(MID(I252,2,2),[1]Futures!$A$2:$B$12,2),1)))</f>
        <v>0</v>
      </c>
      <c r="R252" s="12" t="str">
        <f>IFERROR(Q252/P252/IF(E252="FUTURE",VLOOKUP(MID(I252,2,2),[1]Futures!$A$2:$B$12,2),1),"")</f>
        <v/>
      </c>
      <c r="S252" s="13">
        <f>IF(AND(H252="TO CLOSE",P252=0),-G252*(M252-R251)*IF(E252="FUTURE",VLOOKUP(MID(I252,2,2),[1]Futures!$A$2:$B$12,2),1),"")</f>
        <v>12.5</v>
      </c>
    </row>
    <row r="253" spans="1:19" x14ac:dyDescent="0.2">
      <c r="A253">
        <f t="shared" si="9"/>
        <v>70</v>
      </c>
      <c r="B253" s="3">
        <v>43935</v>
      </c>
      <c r="C253" s="3" t="str">
        <f t="shared" si="12"/>
        <v>Tuesday</v>
      </c>
      <c r="D253" s="2">
        <v>0.62229166666666669</v>
      </c>
      <c r="E253" t="s">
        <v>14</v>
      </c>
      <c r="F253" t="s">
        <v>15</v>
      </c>
      <c r="G253">
        <v>-1</v>
      </c>
      <c r="H253" t="s">
        <v>20</v>
      </c>
      <c r="I253" t="s">
        <v>17</v>
      </c>
      <c r="J253" s="1">
        <v>44002</v>
      </c>
      <c r="L253" t="s">
        <v>14</v>
      </c>
      <c r="M253">
        <v>2836.75</v>
      </c>
      <c r="N253">
        <v>2836.75</v>
      </c>
      <c r="O253" t="s">
        <v>21</v>
      </c>
      <c r="P253">
        <f t="shared" si="11"/>
        <v>-1</v>
      </c>
      <c r="Q253" s="11">
        <f>IF(P253=0,0,IFERROR(Q252+G253*M253*IF(E253="FUTURE",VLOOKUP(MID(I253,2,2),[1]Futures!$A$2:$B$12,2),1),G253*M253*IF(E253="FUTURE",VLOOKUP(MID(I253,2,2),[1]Futures!$A$2:$B$12,2),1)))</f>
        <v>-141837.5</v>
      </c>
      <c r="R253" s="12">
        <f>IFERROR(Q253/P253/IF(E253="FUTURE",VLOOKUP(MID(I253,2,2),[1]Futures!$A$2:$B$12,2),1),"")</f>
        <v>2836.75</v>
      </c>
      <c r="S253" s="13" t="str">
        <f>IF(AND(H253="TO CLOSE",P253=0),-G253*(M253-R252)*IF(E253="FUTURE",VLOOKUP(MID(I253,2,2),[1]Futures!$A$2:$B$12,2),1),"")</f>
        <v/>
      </c>
    </row>
    <row r="254" spans="1:19" x14ac:dyDescent="0.2">
      <c r="A254">
        <f t="shared" si="9"/>
        <v>70</v>
      </c>
      <c r="B254" s="3">
        <v>43935</v>
      </c>
      <c r="C254" s="3" t="str">
        <f t="shared" si="12"/>
        <v>Tuesday</v>
      </c>
      <c r="D254" s="2">
        <v>0.63270833333333332</v>
      </c>
      <c r="E254" t="s">
        <v>14</v>
      </c>
      <c r="F254" t="s">
        <v>19</v>
      </c>
      <c r="G254">
        <v>1</v>
      </c>
      <c r="H254" t="s">
        <v>16</v>
      </c>
      <c r="I254" t="s">
        <v>17</v>
      </c>
      <c r="J254" s="1">
        <v>44002</v>
      </c>
      <c r="L254" t="s">
        <v>14</v>
      </c>
      <c r="M254">
        <v>2827.25</v>
      </c>
      <c r="N254">
        <v>2827.25</v>
      </c>
      <c r="O254" t="s">
        <v>21</v>
      </c>
      <c r="P254">
        <f t="shared" si="11"/>
        <v>0</v>
      </c>
      <c r="Q254" s="11">
        <f>IF(P254=0,0,IFERROR(Q253+G254*M254*IF(E254="FUTURE",VLOOKUP(MID(I254,2,2),[1]Futures!$A$2:$B$12,2),1),G254*M254*IF(E254="FUTURE",VLOOKUP(MID(I254,2,2),[1]Futures!$A$2:$B$12,2),1)))</f>
        <v>0</v>
      </c>
      <c r="R254" s="12" t="str">
        <f>IFERROR(Q254/P254/IF(E254="FUTURE",VLOOKUP(MID(I254,2,2),[1]Futures!$A$2:$B$12,2),1),"")</f>
        <v/>
      </c>
      <c r="S254" s="13">
        <f>IF(AND(H254="TO CLOSE",P254=0),-G254*(M254-R253)*IF(E254="FUTURE",VLOOKUP(MID(I254,2,2),[1]Futures!$A$2:$B$12,2),1),"")</f>
        <v>475</v>
      </c>
    </row>
    <row r="255" spans="1:19" x14ac:dyDescent="0.2">
      <c r="A255">
        <f t="shared" si="9"/>
        <v>71</v>
      </c>
      <c r="B255" s="3">
        <v>43935</v>
      </c>
      <c r="C255" s="3" t="str">
        <f t="shared" si="12"/>
        <v>Tuesday</v>
      </c>
      <c r="D255" s="2">
        <v>0.42002314814814817</v>
      </c>
      <c r="E255" t="s">
        <v>14</v>
      </c>
      <c r="F255" t="s">
        <v>15</v>
      </c>
      <c r="G255">
        <v>-5</v>
      </c>
      <c r="H255" t="s">
        <v>20</v>
      </c>
      <c r="I255" t="s">
        <v>73</v>
      </c>
      <c r="J255" s="1">
        <v>44002</v>
      </c>
      <c r="L255" t="s">
        <v>14</v>
      </c>
      <c r="M255">
        <v>2824.25</v>
      </c>
      <c r="N255">
        <v>2824.25</v>
      </c>
      <c r="O255" t="s">
        <v>24</v>
      </c>
      <c r="P255">
        <f t="shared" si="11"/>
        <v>-5</v>
      </c>
      <c r="Q255" s="11">
        <f>IF(P255=0,0,IFERROR(Q254+G255*M255*IF(E255="FUTURE",VLOOKUP(MID(I255,2,2),[1]Futures!$A$2:$B$12,2),1),G255*M255*IF(E255="FUTURE",VLOOKUP(MID(I255,2,2),[1]Futures!$A$2:$B$12,2),1)))</f>
        <v>-70606.25</v>
      </c>
      <c r="R255" s="12">
        <f>IFERROR(Q255/P255/IF(E255="FUTURE",VLOOKUP(MID(I255,2,2),[1]Futures!$A$2:$B$12,2),1),"")</f>
        <v>2824.25</v>
      </c>
      <c r="S255" s="13" t="str">
        <f>IF(AND(H255="TO CLOSE",P255=0),-G255*(M255-R254)*IF(E255="FUTURE",VLOOKUP(MID(I255,2,2),[1]Futures!$A$2:$B$12,2),1),"")</f>
        <v/>
      </c>
    </row>
    <row r="256" spans="1:19" x14ac:dyDescent="0.2">
      <c r="A256">
        <f t="shared" si="9"/>
        <v>71</v>
      </c>
      <c r="B256" s="3">
        <v>43935</v>
      </c>
      <c r="C256" s="3" t="str">
        <f t="shared" si="12"/>
        <v>Tuesday</v>
      </c>
      <c r="D256" s="2">
        <v>0.42733796296296295</v>
      </c>
      <c r="E256" t="s">
        <v>14</v>
      </c>
      <c r="F256" t="s">
        <v>15</v>
      </c>
      <c r="G256">
        <v>-1</v>
      </c>
      <c r="H256" t="s">
        <v>20</v>
      </c>
      <c r="I256" t="s">
        <v>73</v>
      </c>
      <c r="J256" s="1">
        <v>44002</v>
      </c>
      <c r="L256" t="s">
        <v>14</v>
      </c>
      <c r="M256">
        <v>2826.75</v>
      </c>
      <c r="N256">
        <v>2826.75</v>
      </c>
      <c r="O256" t="s">
        <v>21</v>
      </c>
      <c r="P256">
        <f t="shared" si="11"/>
        <v>-6</v>
      </c>
      <c r="Q256" s="11">
        <f>IF(P256=0,0,IFERROR(Q255+G256*M256*IF(E256="FUTURE",VLOOKUP(MID(I256,2,2),[1]Futures!$A$2:$B$12,2),1),G256*M256*IF(E256="FUTURE",VLOOKUP(MID(I256,2,2),[1]Futures!$A$2:$B$12,2),1)))</f>
        <v>-84740</v>
      </c>
      <c r="R256" s="12">
        <f>IFERROR(Q256/P256/IF(E256="FUTURE",VLOOKUP(MID(I256,2,2),[1]Futures!$A$2:$B$12,2),1),"")</f>
        <v>2824.666666666667</v>
      </c>
      <c r="S256" s="13" t="str">
        <f>IF(AND(H256="TO CLOSE",P256=0),-G256*(M256-R255)*IF(E256="FUTURE",VLOOKUP(MID(I256,2,2),[1]Futures!$A$2:$B$12,2),1),"")</f>
        <v/>
      </c>
    </row>
    <row r="257" spans="1:19" x14ac:dyDescent="0.2">
      <c r="A257">
        <f t="shared" si="9"/>
        <v>71</v>
      </c>
      <c r="B257" s="3">
        <v>43935</v>
      </c>
      <c r="C257" s="3" t="str">
        <f t="shared" si="12"/>
        <v>Tuesday</v>
      </c>
      <c r="D257" s="2">
        <v>0.42826388888888883</v>
      </c>
      <c r="E257" t="s">
        <v>14</v>
      </c>
      <c r="F257" t="s">
        <v>15</v>
      </c>
      <c r="G257">
        <v>-1</v>
      </c>
      <c r="H257" t="s">
        <v>20</v>
      </c>
      <c r="I257" t="s">
        <v>73</v>
      </c>
      <c r="J257" s="1">
        <v>44002</v>
      </c>
      <c r="L257" t="s">
        <v>14</v>
      </c>
      <c r="M257">
        <v>2830.25</v>
      </c>
      <c r="N257">
        <v>2830.25</v>
      </c>
      <c r="O257" t="s">
        <v>21</v>
      </c>
      <c r="P257">
        <f t="shared" si="11"/>
        <v>-7</v>
      </c>
      <c r="Q257" s="11">
        <f>IF(P257=0,0,IFERROR(Q256+G257*M257*IF(E257="FUTURE",VLOOKUP(MID(I257,2,2),[1]Futures!$A$2:$B$12,2),1),G257*M257*IF(E257="FUTURE",VLOOKUP(MID(I257,2,2),[1]Futures!$A$2:$B$12,2),1)))</f>
        <v>-98891.25</v>
      </c>
      <c r="R257" s="12">
        <f>IFERROR(Q257/P257/IF(E257="FUTURE",VLOOKUP(MID(I257,2,2),[1]Futures!$A$2:$B$12,2),1),"")</f>
        <v>2825.4642857142858</v>
      </c>
      <c r="S257" s="13" t="str">
        <f>IF(AND(H257="TO CLOSE",P257=0),-G257*(M257-R256)*IF(E257="FUTURE",VLOOKUP(MID(I257,2,2),[1]Futures!$A$2:$B$12,2),1),"")</f>
        <v/>
      </c>
    </row>
    <row r="258" spans="1:19" x14ac:dyDescent="0.2">
      <c r="A258">
        <f t="shared" ref="A258:A321" si="13">IF(AND(P257=0,H257="TO CLOSE"),IFERROR(A257+1,1),IFERROR(A257/1,1))</f>
        <v>71</v>
      </c>
      <c r="B258" s="3">
        <v>43935</v>
      </c>
      <c r="C258" s="3" t="str">
        <f t="shared" si="12"/>
        <v>Tuesday</v>
      </c>
      <c r="D258" s="2">
        <v>0.44517361111111109</v>
      </c>
      <c r="E258" t="s">
        <v>14</v>
      </c>
      <c r="F258" t="s">
        <v>19</v>
      </c>
      <c r="G258">
        <v>14</v>
      </c>
      <c r="H258" t="s">
        <v>16</v>
      </c>
      <c r="I258" t="s">
        <v>73</v>
      </c>
      <c r="J258" s="1">
        <v>44002</v>
      </c>
      <c r="L258" t="s">
        <v>14</v>
      </c>
      <c r="M258">
        <v>2821</v>
      </c>
      <c r="N258">
        <v>2821</v>
      </c>
      <c r="O258" t="s">
        <v>24</v>
      </c>
      <c r="P258">
        <f t="shared" si="11"/>
        <v>7</v>
      </c>
      <c r="Q258" s="11">
        <f>IF(P258=0,0,IFERROR(Q257+G258*M258*IF(E258="FUTURE",VLOOKUP(MID(I258,2,2),[1]Futures!$A$2:$B$12,2),1),G258*M258*IF(E258="FUTURE",VLOOKUP(MID(I258,2,2),[1]Futures!$A$2:$B$12,2),1)))</f>
        <v>98578.75</v>
      </c>
      <c r="R258" s="12">
        <f>IFERROR(Q258/P258/IF(E258="FUTURE",VLOOKUP(MID(I258,2,2),[1]Futures!$A$2:$B$12,2),1),"")</f>
        <v>2816.5357142857142</v>
      </c>
      <c r="S258" s="13" t="str">
        <f>IF(AND(H258="TO CLOSE",P258=0),-G258*(M258-R257)*IF(E258="FUTURE",VLOOKUP(MID(I258,2,2),[1]Futures!$A$2:$B$12,2),1),"")</f>
        <v/>
      </c>
    </row>
    <row r="259" spans="1:19" x14ac:dyDescent="0.2">
      <c r="A259">
        <f t="shared" si="13"/>
        <v>71</v>
      </c>
      <c r="B259" s="3">
        <v>43935</v>
      </c>
      <c r="C259" s="3" t="str">
        <f t="shared" si="12"/>
        <v>Tuesday</v>
      </c>
      <c r="D259" s="2">
        <v>0.44557870370370373</v>
      </c>
      <c r="E259" t="s">
        <v>14</v>
      </c>
      <c r="F259" t="s">
        <v>15</v>
      </c>
      <c r="G259">
        <v>-7</v>
      </c>
      <c r="H259" t="s">
        <v>16</v>
      </c>
      <c r="I259" t="s">
        <v>73</v>
      </c>
      <c r="J259" s="1">
        <v>44002</v>
      </c>
      <c r="L259" t="s">
        <v>14</v>
      </c>
      <c r="M259">
        <v>2819</v>
      </c>
      <c r="N259">
        <v>2819</v>
      </c>
      <c r="O259" t="s">
        <v>24</v>
      </c>
      <c r="P259">
        <f t="shared" ref="P259:P322" si="14">IF(H259="TO OPEN",IFERROR(P258+G259,0+G259),IFERROR(P258+G259,0+G259))</f>
        <v>0</v>
      </c>
      <c r="Q259" s="11">
        <f>IF(P259=0,0,IFERROR(Q258+G259*M259*IF(E259="FUTURE",VLOOKUP(MID(I259,2,2),[1]Futures!$A$2:$B$12,2),1),G259*M259*IF(E259="FUTURE",VLOOKUP(MID(I259,2,2),[1]Futures!$A$2:$B$12,2),1)))</f>
        <v>0</v>
      </c>
      <c r="R259" s="12" t="str">
        <f>IFERROR(Q259/P259/IF(E259="FUTURE",VLOOKUP(MID(I259,2,2),[1]Futures!$A$2:$B$12,2),1),"")</f>
        <v/>
      </c>
      <c r="S259" s="13">
        <f>IF(AND(H259="TO CLOSE",P259=0),-G259*(M259-R258)*IF(E259="FUTURE",VLOOKUP(MID(I259,2,2),[1]Futures!$A$2:$B$12,2),1),"")</f>
        <v>86.250000000002274</v>
      </c>
    </row>
    <row r="260" spans="1:19" x14ac:dyDescent="0.2">
      <c r="A260">
        <f t="shared" si="13"/>
        <v>72</v>
      </c>
      <c r="B260" s="3">
        <v>43935</v>
      </c>
      <c r="C260" s="3" t="str">
        <f t="shared" si="12"/>
        <v>Tuesday</v>
      </c>
      <c r="D260" s="2">
        <v>0.45675925925925925</v>
      </c>
      <c r="E260" t="s">
        <v>14</v>
      </c>
      <c r="F260" t="s">
        <v>19</v>
      </c>
      <c r="G260">
        <v>5</v>
      </c>
      <c r="H260" t="s">
        <v>20</v>
      </c>
      <c r="I260" t="s">
        <v>73</v>
      </c>
      <c r="J260" s="1">
        <v>44002</v>
      </c>
      <c r="L260" t="s">
        <v>14</v>
      </c>
      <c r="M260">
        <v>2818.25</v>
      </c>
      <c r="N260">
        <v>2818.25</v>
      </c>
      <c r="O260" t="s">
        <v>24</v>
      </c>
      <c r="P260">
        <f t="shared" si="14"/>
        <v>5</v>
      </c>
      <c r="Q260" s="11">
        <f>IF(P260=0,0,IFERROR(Q259+G260*M260*IF(E260="FUTURE",VLOOKUP(MID(I260,2,2),[1]Futures!$A$2:$B$12,2),1),G260*M260*IF(E260="FUTURE",VLOOKUP(MID(I260,2,2),[1]Futures!$A$2:$B$12,2),1)))</f>
        <v>70456.25</v>
      </c>
      <c r="R260" s="12">
        <f>IFERROR(Q260/P260/IF(E260="FUTURE",VLOOKUP(MID(I260,2,2),[1]Futures!$A$2:$B$12,2),1),"")</f>
        <v>2818.25</v>
      </c>
      <c r="S260" s="13" t="str">
        <f>IF(AND(H260="TO CLOSE",P260=0),-G260*(M260-R259)*IF(E260="FUTURE",VLOOKUP(MID(I260,2,2),[1]Futures!$A$2:$B$12,2),1),"")</f>
        <v/>
      </c>
    </row>
    <row r="261" spans="1:19" x14ac:dyDescent="0.2">
      <c r="A261">
        <f t="shared" si="13"/>
        <v>72</v>
      </c>
      <c r="B261" s="3">
        <v>43935</v>
      </c>
      <c r="C261" s="3" t="str">
        <f t="shared" si="12"/>
        <v>Tuesday</v>
      </c>
      <c r="D261" s="2">
        <v>0.45921296296296293</v>
      </c>
      <c r="E261" t="s">
        <v>14</v>
      </c>
      <c r="F261" t="s">
        <v>19</v>
      </c>
      <c r="G261">
        <v>1</v>
      </c>
      <c r="H261" t="s">
        <v>20</v>
      </c>
      <c r="I261" t="s">
        <v>73</v>
      </c>
      <c r="J261" s="1">
        <v>44002</v>
      </c>
      <c r="L261" t="s">
        <v>14</v>
      </c>
      <c r="M261">
        <v>2815.75</v>
      </c>
      <c r="N261">
        <v>2815.75</v>
      </c>
      <c r="O261" t="s">
        <v>21</v>
      </c>
      <c r="P261">
        <f t="shared" si="14"/>
        <v>6</v>
      </c>
      <c r="Q261" s="11">
        <f>IF(P261=0,0,IFERROR(Q260+G261*M261*IF(E261="FUTURE",VLOOKUP(MID(I261,2,2),[1]Futures!$A$2:$B$12,2),1),G261*M261*IF(E261="FUTURE",VLOOKUP(MID(I261,2,2),[1]Futures!$A$2:$B$12,2),1)))</f>
        <v>84535</v>
      </c>
      <c r="R261" s="12">
        <f>IFERROR(Q261/P261/IF(E261="FUTURE",VLOOKUP(MID(I261,2,2),[1]Futures!$A$2:$B$12,2),1),"")</f>
        <v>2817.833333333333</v>
      </c>
      <c r="S261" s="13" t="str">
        <f>IF(AND(H261="TO CLOSE",P261=0),-G261*(M261-R260)*IF(E261="FUTURE",VLOOKUP(MID(I261,2,2),[1]Futures!$A$2:$B$12,2),1),"")</f>
        <v/>
      </c>
    </row>
    <row r="262" spans="1:19" x14ac:dyDescent="0.2">
      <c r="A262">
        <f t="shared" si="13"/>
        <v>72</v>
      </c>
      <c r="B262" s="3">
        <v>43935</v>
      </c>
      <c r="C262" s="3" t="str">
        <f t="shared" si="12"/>
        <v>Tuesday</v>
      </c>
      <c r="D262" s="2">
        <v>0.4722337962962963</v>
      </c>
      <c r="E262" t="s">
        <v>14</v>
      </c>
      <c r="F262" t="s">
        <v>15</v>
      </c>
      <c r="G262">
        <v>-6</v>
      </c>
      <c r="H262" t="s">
        <v>16</v>
      </c>
      <c r="I262" t="s">
        <v>73</v>
      </c>
      <c r="J262" s="1">
        <v>44002</v>
      </c>
      <c r="L262" t="s">
        <v>14</v>
      </c>
      <c r="M262">
        <v>2798.5</v>
      </c>
      <c r="N262">
        <v>2798.5</v>
      </c>
      <c r="O262" t="s">
        <v>18</v>
      </c>
      <c r="P262">
        <f t="shared" si="14"/>
        <v>0</v>
      </c>
      <c r="Q262" s="11">
        <f>IF(P262=0,0,IFERROR(Q261+G262*M262*IF(E262="FUTURE",VLOOKUP(MID(I262,2,2),[1]Futures!$A$2:$B$12,2),1),G262*M262*IF(E262="FUTURE",VLOOKUP(MID(I262,2,2),[1]Futures!$A$2:$B$12,2),1)))</f>
        <v>0</v>
      </c>
      <c r="R262" s="12" t="str">
        <f>IFERROR(Q262/P262/IF(E262="FUTURE",VLOOKUP(MID(I262,2,2),[1]Futures!$A$2:$B$12,2),1),"")</f>
        <v/>
      </c>
      <c r="S262" s="13">
        <f>IF(AND(H262="TO CLOSE",P262=0),-G262*(M262-R261)*IF(E262="FUTURE",VLOOKUP(MID(I262,2,2),[1]Futures!$A$2:$B$12,2),1),"")</f>
        <v>-579.99999999999091</v>
      </c>
    </row>
    <row r="263" spans="1:19" x14ac:dyDescent="0.2">
      <c r="A263">
        <f t="shared" si="13"/>
        <v>73</v>
      </c>
      <c r="B263" s="3">
        <v>43935</v>
      </c>
      <c r="C263" s="3" t="str">
        <f t="shared" si="12"/>
        <v>Tuesday</v>
      </c>
      <c r="D263" s="2">
        <v>0.63447916666666659</v>
      </c>
      <c r="E263" t="s">
        <v>14</v>
      </c>
      <c r="F263" t="s">
        <v>15</v>
      </c>
      <c r="G263">
        <v>-1</v>
      </c>
      <c r="H263" t="s">
        <v>20</v>
      </c>
      <c r="I263" t="s">
        <v>73</v>
      </c>
      <c r="J263" s="1">
        <v>44002</v>
      </c>
      <c r="L263" t="s">
        <v>14</v>
      </c>
      <c r="M263">
        <v>2828.25</v>
      </c>
      <c r="N263">
        <v>2828.25</v>
      </c>
      <c r="O263" t="s">
        <v>21</v>
      </c>
      <c r="P263">
        <f t="shared" si="14"/>
        <v>-1</v>
      </c>
      <c r="Q263" s="11">
        <f>IF(P263=0,0,IFERROR(Q262+G263*M263*IF(E263="FUTURE",VLOOKUP(MID(I263,2,2),[1]Futures!$A$2:$B$12,2),1),G263*M263*IF(E263="FUTURE",VLOOKUP(MID(I263,2,2),[1]Futures!$A$2:$B$12,2),1)))</f>
        <v>-14141.25</v>
      </c>
      <c r="R263" s="12">
        <f>IFERROR(Q263/P263/IF(E263="FUTURE",VLOOKUP(MID(I263,2,2),[1]Futures!$A$2:$B$12,2),1),"")</f>
        <v>2828.25</v>
      </c>
      <c r="S263" s="13" t="str">
        <f>IF(AND(H263="TO CLOSE",P263=0),-G263*(M263-R262)*IF(E263="FUTURE",VLOOKUP(MID(I263,2,2),[1]Futures!$A$2:$B$12,2),1),"")</f>
        <v/>
      </c>
    </row>
    <row r="264" spans="1:19" x14ac:dyDescent="0.2">
      <c r="A264">
        <f t="shared" si="13"/>
        <v>73</v>
      </c>
      <c r="B264" s="3">
        <v>43935</v>
      </c>
      <c r="C264" s="3" t="str">
        <f t="shared" si="12"/>
        <v>Tuesday</v>
      </c>
      <c r="D264" s="2">
        <v>0.63447916666666659</v>
      </c>
      <c r="E264" t="s">
        <v>14</v>
      </c>
      <c r="F264" t="s">
        <v>15</v>
      </c>
      <c r="G264">
        <v>-4</v>
      </c>
      <c r="H264" t="s">
        <v>20</v>
      </c>
      <c r="I264" t="s">
        <v>73</v>
      </c>
      <c r="J264" s="1">
        <v>44002</v>
      </c>
      <c r="L264" t="s">
        <v>14</v>
      </c>
      <c r="M264">
        <v>2828.25</v>
      </c>
      <c r="N264">
        <v>2828.25</v>
      </c>
      <c r="O264" t="s">
        <v>21</v>
      </c>
      <c r="P264">
        <f t="shared" si="14"/>
        <v>-5</v>
      </c>
      <c r="Q264" s="11">
        <f>IF(P264=0,0,IFERROR(Q263+G264*M264*IF(E264="FUTURE",VLOOKUP(MID(I264,2,2),[1]Futures!$A$2:$B$12,2),1),G264*M264*IF(E264="FUTURE",VLOOKUP(MID(I264,2,2),[1]Futures!$A$2:$B$12,2),1)))</f>
        <v>-70706.25</v>
      </c>
      <c r="R264" s="12">
        <f>IFERROR(Q264/P264/IF(E264="FUTURE",VLOOKUP(MID(I264,2,2),[1]Futures!$A$2:$B$12,2),1),"")</f>
        <v>2828.25</v>
      </c>
      <c r="S264" s="13" t="str">
        <f>IF(AND(H264="TO CLOSE",P264=0),-G264*(M264-R263)*IF(E264="FUTURE",VLOOKUP(MID(I264,2,2),[1]Futures!$A$2:$B$12,2),1),"")</f>
        <v/>
      </c>
    </row>
    <row r="265" spans="1:19" x14ac:dyDescent="0.2">
      <c r="A265">
        <f t="shared" si="13"/>
        <v>73</v>
      </c>
      <c r="B265" s="3">
        <v>43935</v>
      </c>
      <c r="C265" s="3" t="str">
        <f t="shared" si="12"/>
        <v>Tuesday</v>
      </c>
      <c r="D265" s="2">
        <v>0.63447916666666659</v>
      </c>
      <c r="E265" t="s">
        <v>14</v>
      </c>
      <c r="F265" t="s">
        <v>15</v>
      </c>
      <c r="G265">
        <v>-1</v>
      </c>
      <c r="H265" t="s">
        <v>20</v>
      </c>
      <c r="I265" t="s">
        <v>73</v>
      </c>
      <c r="J265" s="1">
        <v>44002</v>
      </c>
      <c r="L265" t="s">
        <v>14</v>
      </c>
      <c r="M265">
        <v>2828.25</v>
      </c>
      <c r="N265">
        <v>2828.25</v>
      </c>
      <c r="O265" t="s">
        <v>21</v>
      </c>
      <c r="P265">
        <f t="shared" si="14"/>
        <v>-6</v>
      </c>
      <c r="Q265" s="11">
        <f>IF(P265=0,0,IFERROR(Q264+G265*M265*IF(E265="FUTURE",VLOOKUP(MID(I265,2,2),[1]Futures!$A$2:$B$12,2),1),G265*M265*IF(E265="FUTURE",VLOOKUP(MID(I265,2,2),[1]Futures!$A$2:$B$12,2),1)))</f>
        <v>-84847.5</v>
      </c>
      <c r="R265" s="12">
        <f>IFERROR(Q265/P265/IF(E265="FUTURE",VLOOKUP(MID(I265,2,2),[1]Futures!$A$2:$B$12,2),1),"")</f>
        <v>2828.25</v>
      </c>
      <c r="S265" s="13" t="str">
        <f>IF(AND(H265="TO CLOSE",P265=0),-G265*(M265-R264)*IF(E265="FUTURE",VLOOKUP(MID(I265,2,2),[1]Futures!$A$2:$B$12,2),1),"")</f>
        <v/>
      </c>
    </row>
    <row r="266" spans="1:19" x14ac:dyDescent="0.2">
      <c r="A266">
        <f t="shared" si="13"/>
        <v>73</v>
      </c>
      <c r="B266" s="3">
        <v>43935</v>
      </c>
      <c r="C266" s="3" t="str">
        <f t="shared" si="12"/>
        <v>Tuesday</v>
      </c>
      <c r="D266" s="2">
        <v>0.63711805555555556</v>
      </c>
      <c r="E266" t="s">
        <v>14</v>
      </c>
      <c r="F266" t="s">
        <v>19</v>
      </c>
      <c r="G266">
        <v>6</v>
      </c>
      <c r="H266" t="s">
        <v>16</v>
      </c>
      <c r="I266" t="s">
        <v>73</v>
      </c>
      <c r="J266" s="1">
        <v>44002</v>
      </c>
      <c r="L266" t="s">
        <v>14</v>
      </c>
      <c r="M266">
        <v>2827.75</v>
      </c>
      <c r="N266">
        <v>2827.75</v>
      </c>
      <c r="O266" t="s">
        <v>18</v>
      </c>
      <c r="P266">
        <f t="shared" si="14"/>
        <v>0</v>
      </c>
      <c r="Q266" s="11">
        <f>IF(P266=0,0,IFERROR(Q265+G266*M266*IF(E266="FUTURE",VLOOKUP(MID(I266,2,2),[1]Futures!$A$2:$B$12,2),1),G266*M266*IF(E266="FUTURE",VLOOKUP(MID(I266,2,2),[1]Futures!$A$2:$B$12,2),1)))</f>
        <v>0</v>
      </c>
      <c r="R266" s="12" t="str">
        <f>IFERROR(Q266/P266/IF(E266="FUTURE",VLOOKUP(MID(I266,2,2),[1]Futures!$A$2:$B$12,2),1),"")</f>
        <v/>
      </c>
      <c r="S266" s="13">
        <f>IF(AND(H266="TO CLOSE",P266=0),-G266*(M266-R265)*IF(E266="FUTURE",VLOOKUP(MID(I266,2,2),[1]Futures!$A$2:$B$12,2),1),"")</f>
        <v>15</v>
      </c>
    </row>
    <row r="267" spans="1:19" x14ac:dyDescent="0.2">
      <c r="A267">
        <f t="shared" si="13"/>
        <v>74</v>
      </c>
      <c r="B267" s="3">
        <v>43935</v>
      </c>
      <c r="C267" s="3" t="str">
        <f t="shared" si="12"/>
        <v>Tuesday</v>
      </c>
      <c r="D267" s="2">
        <v>0.63828703703703704</v>
      </c>
      <c r="E267" t="s">
        <v>14</v>
      </c>
      <c r="F267" t="s">
        <v>15</v>
      </c>
      <c r="G267">
        <v>-2</v>
      </c>
      <c r="H267" t="s">
        <v>20</v>
      </c>
      <c r="I267" t="s">
        <v>73</v>
      </c>
      <c r="J267" s="1">
        <v>44002</v>
      </c>
      <c r="L267" t="s">
        <v>14</v>
      </c>
      <c r="M267">
        <v>2829.75</v>
      </c>
      <c r="N267">
        <v>2829.75</v>
      </c>
      <c r="O267" t="s">
        <v>21</v>
      </c>
      <c r="P267">
        <f t="shared" si="14"/>
        <v>-2</v>
      </c>
      <c r="Q267" s="11">
        <f>IF(P267=0,0,IFERROR(Q266+G267*M267*IF(E267="FUTURE",VLOOKUP(MID(I267,2,2),[1]Futures!$A$2:$B$12,2),1),G267*M267*IF(E267="FUTURE",VLOOKUP(MID(I267,2,2),[1]Futures!$A$2:$B$12,2),1)))</f>
        <v>-28297.5</v>
      </c>
      <c r="R267" s="12">
        <f>IFERROR(Q267/P267/IF(E267="FUTURE",VLOOKUP(MID(I267,2,2),[1]Futures!$A$2:$B$12,2),1),"")</f>
        <v>2829.75</v>
      </c>
      <c r="S267" s="13" t="str">
        <f>IF(AND(H267="TO CLOSE",P267=0),-G267*(M267-R266)*IF(E267="FUTURE",VLOOKUP(MID(I267,2,2),[1]Futures!$A$2:$B$12,2),1),"")</f>
        <v/>
      </c>
    </row>
    <row r="268" spans="1:19" x14ac:dyDescent="0.2">
      <c r="A268">
        <f t="shared" si="13"/>
        <v>74</v>
      </c>
      <c r="B268" s="3">
        <v>43935</v>
      </c>
      <c r="C268" s="3" t="str">
        <f t="shared" si="12"/>
        <v>Tuesday</v>
      </c>
      <c r="D268" s="2">
        <v>0.63828703703703704</v>
      </c>
      <c r="E268" t="s">
        <v>14</v>
      </c>
      <c r="F268" t="s">
        <v>15</v>
      </c>
      <c r="G268">
        <v>-4</v>
      </c>
      <c r="H268" t="s">
        <v>20</v>
      </c>
      <c r="I268" t="s">
        <v>73</v>
      </c>
      <c r="J268" s="1">
        <v>44002</v>
      </c>
      <c r="L268" t="s">
        <v>14</v>
      </c>
      <c r="M268">
        <v>2829.75</v>
      </c>
      <c r="N268">
        <v>2829.75</v>
      </c>
      <c r="O268" t="s">
        <v>21</v>
      </c>
      <c r="P268">
        <f t="shared" si="14"/>
        <v>-6</v>
      </c>
      <c r="Q268" s="11">
        <f>IF(P268=0,0,IFERROR(Q267+G268*M268*IF(E268="FUTURE",VLOOKUP(MID(I268,2,2),[1]Futures!$A$2:$B$12,2),1),G268*M268*IF(E268="FUTURE",VLOOKUP(MID(I268,2,2),[1]Futures!$A$2:$B$12,2),1)))</f>
        <v>-84892.5</v>
      </c>
      <c r="R268" s="12">
        <f>IFERROR(Q268/P268/IF(E268="FUTURE",VLOOKUP(MID(I268,2,2),[1]Futures!$A$2:$B$12,2),1),"")</f>
        <v>2829.75</v>
      </c>
      <c r="S268" s="13" t="str">
        <f>IF(AND(H268="TO CLOSE",P268=0),-G268*(M268-R267)*IF(E268="FUTURE",VLOOKUP(MID(I268,2,2),[1]Futures!$A$2:$B$12,2),1),"")</f>
        <v/>
      </c>
    </row>
    <row r="269" spans="1:19" x14ac:dyDescent="0.2">
      <c r="A269">
        <f t="shared" si="13"/>
        <v>74</v>
      </c>
      <c r="B269" s="3">
        <v>43935</v>
      </c>
      <c r="C269" s="3" t="str">
        <f t="shared" si="12"/>
        <v>Tuesday</v>
      </c>
      <c r="D269" s="2">
        <v>0.63878472222222216</v>
      </c>
      <c r="E269" t="s">
        <v>14</v>
      </c>
      <c r="F269" t="s">
        <v>19</v>
      </c>
      <c r="G269">
        <v>6</v>
      </c>
      <c r="H269" t="s">
        <v>16</v>
      </c>
      <c r="I269" t="s">
        <v>73</v>
      </c>
      <c r="J269" s="1">
        <v>44002</v>
      </c>
      <c r="L269" t="s">
        <v>14</v>
      </c>
      <c r="M269">
        <v>2829.25</v>
      </c>
      <c r="N269">
        <v>2829.25</v>
      </c>
      <c r="O269" t="s">
        <v>18</v>
      </c>
      <c r="P269">
        <f t="shared" si="14"/>
        <v>0</v>
      </c>
      <c r="Q269" s="11">
        <f>IF(P269=0,0,IFERROR(Q268+G269*M269*IF(E269="FUTURE",VLOOKUP(MID(I269,2,2),[1]Futures!$A$2:$B$12,2),1),G269*M269*IF(E269="FUTURE",VLOOKUP(MID(I269,2,2),[1]Futures!$A$2:$B$12,2),1)))</f>
        <v>0</v>
      </c>
      <c r="R269" s="12" t="str">
        <f>IFERROR(Q269/P269/IF(E269="FUTURE",VLOOKUP(MID(I269,2,2),[1]Futures!$A$2:$B$12,2),1),"")</f>
        <v/>
      </c>
      <c r="S269" s="13">
        <f>IF(AND(H269="TO CLOSE",P269=0),-G269*(M269-R268)*IF(E269="FUTURE",VLOOKUP(MID(I269,2,2),[1]Futures!$A$2:$B$12,2),1),"")</f>
        <v>15</v>
      </c>
    </row>
    <row r="270" spans="1:19" x14ac:dyDescent="0.2">
      <c r="A270">
        <f t="shared" si="13"/>
        <v>75</v>
      </c>
      <c r="B270" s="3">
        <v>43935</v>
      </c>
      <c r="C270" s="3" t="str">
        <f t="shared" si="12"/>
        <v>Tuesday</v>
      </c>
      <c r="D270" s="2">
        <v>0.66109953703703705</v>
      </c>
      <c r="E270" t="s">
        <v>14</v>
      </c>
      <c r="F270" t="s">
        <v>15</v>
      </c>
      <c r="G270">
        <v>-6</v>
      </c>
      <c r="H270" t="s">
        <v>20</v>
      </c>
      <c r="I270" t="s">
        <v>73</v>
      </c>
      <c r="J270" s="1">
        <v>44002</v>
      </c>
      <c r="L270" t="s">
        <v>14</v>
      </c>
      <c r="M270">
        <v>2836.5</v>
      </c>
      <c r="N270">
        <v>2836.5</v>
      </c>
      <c r="O270" t="s">
        <v>21</v>
      </c>
      <c r="P270">
        <f t="shared" si="14"/>
        <v>-6</v>
      </c>
      <c r="Q270" s="11">
        <f>IF(P270=0,0,IFERROR(Q269+G270*M270*IF(E270="FUTURE",VLOOKUP(MID(I270,2,2),[1]Futures!$A$2:$B$12,2),1),G270*M270*IF(E270="FUTURE",VLOOKUP(MID(I270,2,2),[1]Futures!$A$2:$B$12,2),1)))</f>
        <v>-85095</v>
      </c>
      <c r="R270" s="12">
        <f>IFERROR(Q270/P270/IF(E270="FUTURE",VLOOKUP(MID(I270,2,2),[1]Futures!$A$2:$B$12,2),1),"")</f>
        <v>2836.5</v>
      </c>
      <c r="S270" s="13" t="str">
        <f>IF(AND(H270="TO CLOSE",P270=0),-G270*(M270-R269)*IF(E270="FUTURE",VLOOKUP(MID(I270,2,2),[1]Futures!$A$2:$B$12,2),1),"")</f>
        <v/>
      </c>
    </row>
    <row r="271" spans="1:19" x14ac:dyDescent="0.2">
      <c r="A271">
        <f t="shared" si="13"/>
        <v>75</v>
      </c>
      <c r="B271" s="3">
        <v>43935</v>
      </c>
      <c r="C271" s="3" t="str">
        <f t="shared" si="12"/>
        <v>Tuesday</v>
      </c>
      <c r="D271" s="2">
        <v>0.66600694444444442</v>
      </c>
      <c r="E271" t="s">
        <v>14</v>
      </c>
      <c r="F271" t="s">
        <v>19</v>
      </c>
      <c r="G271">
        <v>6</v>
      </c>
      <c r="H271" t="s">
        <v>16</v>
      </c>
      <c r="I271" t="s">
        <v>73</v>
      </c>
      <c r="J271" s="1">
        <v>44002</v>
      </c>
      <c r="L271" t="s">
        <v>14</v>
      </c>
      <c r="M271">
        <v>2835.5</v>
      </c>
      <c r="N271">
        <v>2835.5</v>
      </c>
      <c r="O271" t="s">
        <v>18</v>
      </c>
      <c r="P271">
        <f t="shared" si="14"/>
        <v>0</v>
      </c>
      <c r="Q271" s="11">
        <f>IF(P271=0,0,IFERROR(Q270+G271*M271*IF(E271="FUTURE",VLOOKUP(MID(I271,2,2),[1]Futures!$A$2:$B$12,2),1),G271*M271*IF(E271="FUTURE",VLOOKUP(MID(I271,2,2),[1]Futures!$A$2:$B$12,2),1)))</f>
        <v>0</v>
      </c>
      <c r="R271" s="12" t="str">
        <f>IFERROR(Q271/P271/IF(E271="FUTURE",VLOOKUP(MID(I271,2,2),[1]Futures!$A$2:$B$12,2),1),"")</f>
        <v/>
      </c>
      <c r="S271" s="13">
        <f>IF(AND(H271="TO CLOSE",P271=0),-G271*(M271-R270)*IF(E271="FUTURE",VLOOKUP(MID(I271,2,2),[1]Futures!$A$2:$B$12,2),1),"")</f>
        <v>30</v>
      </c>
    </row>
    <row r="272" spans="1:19" x14ac:dyDescent="0.2">
      <c r="A272">
        <f t="shared" si="13"/>
        <v>76</v>
      </c>
      <c r="B272" s="3">
        <v>43935</v>
      </c>
      <c r="C272" s="3" t="str">
        <f t="shared" si="12"/>
        <v>Tuesday</v>
      </c>
      <c r="D272" s="2">
        <v>0.42016203703703708</v>
      </c>
      <c r="E272" t="s">
        <v>22</v>
      </c>
      <c r="F272" t="s">
        <v>19</v>
      </c>
      <c r="G272">
        <v>200</v>
      </c>
      <c r="H272" t="s">
        <v>20</v>
      </c>
      <c r="I272" t="s">
        <v>23</v>
      </c>
      <c r="L272" t="s">
        <v>22</v>
      </c>
      <c r="M272">
        <v>37.44</v>
      </c>
      <c r="N272">
        <v>37.44</v>
      </c>
      <c r="O272" t="s">
        <v>21</v>
      </c>
      <c r="P272">
        <f t="shared" si="14"/>
        <v>200</v>
      </c>
      <c r="Q272" s="11">
        <f>IF(P272=0,0,IFERROR(Q271+G272*M272*IF(E272="FUTURE",VLOOKUP(MID(I272,2,2),[1]Futures!$A$2:$B$12,2),1),G272*M272*IF(E272="FUTURE",VLOOKUP(MID(I272,2,2),[1]Futures!$A$2:$B$12,2),1)))</f>
        <v>7488</v>
      </c>
      <c r="R272" s="12">
        <f>IFERROR(Q272/P272/IF(E272="FUTURE",VLOOKUP(MID(I272,2,2),[1]Futures!$A$2:$B$12,2),1),"")</f>
        <v>37.44</v>
      </c>
      <c r="S272" s="13" t="str">
        <f>IF(AND(H272="TO CLOSE",P272=0),-G272*(M272-R271)*IF(E272="FUTURE",VLOOKUP(MID(I272,2,2),[1]Futures!$A$2:$B$12,2),1),"")</f>
        <v/>
      </c>
    </row>
    <row r="273" spans="1:19" x14ac:dyDescent="0.2">
      <c r="A273">
        <f t="shared" si="13"/>
        <v>76</v>
      </c>
      <c r="B273" s="3">
        <v>43935</v>
      </c>
      <c r="C273" s="3" t="str">
        <f t="shared" si="12"/>
        <v>Tuesday</v>
      </c>
      <c r="D273" s="2">
        <v>0.42300925925925931</v>
      </c>
      <c r="E273" t="s">
        <v>22</v>
      </c>
      <c r="F273" t="s">
        <v>19</v>
      </c>
      <c r="G273">
        <v>200</v>
      </c>
      <c r="H273" t="s">
        <v>20</v>
      </c>
      <c r="I273" t="s">
        <v>23</v>
      </c>
      <c r="L273" t="s">
        <v>22</v>
      </c>
      <c r="M273">
        <v>37.340000000000003</v>
      </c>
      <c r="N273">
        <v>37.340000000000003</v>
      </c>
      <c r="O273" t="s">
        <v>21</v>
      </c>
      <c r="P273">
        <f t="shared" si="14"/>
        <v>400</v>
      </c>
      <c r="Q273" s="11">
        <f>IF(P273=0,0,IFERROR(Q272+G273*M273*IF(E273="FUTURE",VLOOKUP(MID(I273,2,2),[1]Futures!$A$2:$B$12,2),1),G273*M273*IF(E273="FUTURE",VLOOKUP(MID(I273,2,2),[1]Futures!$A$2:$B$12,2),1)))</f>
        <v>14956</v>
      </c>
      <c r="R273" s="12">
        <f>IFERROR(Q273/P273/IF(E273="FUTURE",VLOOKUP(MID(I273,2,2),[1]Futures!$A$2:$B$12,2),1),"")</f>
        <v>37.39</v>
      </c>
      <c r="S273" s="13" t="str">
        <f>IF(AND(H273="TO CLOSE",P273=0),-G273*(M273-R272)*IF(E273="FUTURE",VLOOKUP(MID(I273,2,2),[1]Futures!$A$2:$B$12,2),1),"")</f>
        <v/>
      </c>
    </row>
    <row r="274" spans="1:19" x14ac:dyDescent="0.2">
      <c r="A274">
        <f t="shared" si="13"/>
        <v>76</v>
      </c>
      <c r="B274" s="3">
        <v>43935</v>
      </c>
      <c r="C274" s="3" t="str">
        <f t="shared" si="12"/>
        <v>Tuesday</v>
      </c>
      <c r="D274" s="2">
        <v>0.42634259259259261</v>
      </c>
      <c r="E274" t="s">
        <v>22</v>
      </c>
      <c r="F274" t="s">
        <v>19</v>
      </c>
      <c r="G274">
        <v>100</v>
      </c>
      <c r="H274" t="s">
        <v>20</v>
      </c>
      <c r="I274" t="s">
        <v>23</v>
      </c>
      <c r="L274" t="s">
        <v>22</v>
      </c>
      <c r="M274">
        <v>37.22</v>
      </c>
      <c r="N274">
        <v>37.22</v>
      </c>
      <c r="O274" t="s">
        <v>21</v>
      </c>
      <c r="P274">
        <f t="shared" si="14"/>
        <v>500</v>
      </c>
      <c r="Q274" s="11">
        <f>IF(P274=0,0,IFERROR(Q273+G274*M274*IF(E274="FUTURE",VLOOKUP(MID(I274,2,2),[1]Futures!$A$2:$B$12,2),1),G274*M274*IF(E274="FUTURE",VLOOKUP(MID(I274,2,2),[1]Futures!$A$2:$B$12,2),1)))</f>
        <v>18678</v>
      </c>
      <c r="R274" s="12">
        <f>IFERROR(Q274/P274/IF(E274="FUTURE",VLOOKUP(MID(I274,2,2),[1]Futures!$A$2:$B$12,2),1),"")</f>
        <v>37.356000000000002</v>
      </c>
      <c r="S274" s="13" t="str">
        <f>IF(AND(H274="TO CLOSE",P274=0),-G274*(M274-R273)*IF(E274="FUTURE",VLOOKUP(MID(I274,2,2),[1]Futures!$A$2:$B$12,2),1),"")</f>
        <v/>
      </c>
    </row>
    <row r="275" spans="1:19" x14ac:dyDescent="0.2">
      <c r="A275">
        <f t="shared" si="13"/>
        <v>76</v>
      </c>
      <c r="B275" s="3">
        <v>43935</v>
      </c>
      <c r="C275" s="3" t="str">
        <f t="shared" si="12"/>
        <v>Tuesday</v>
      </c>
      <c r="D275" s="2">
        <v>0.44562499999999999</v>
      </c>
      <c r="E275" t="s">
        <v>22</v>
      </c>
      <c r="F275" t="s">
        <v>15</v>
      </c>
      <c r="G275">
        <v>-100</v>
      </c>
      <c r="H275" t="s">
        <v>16</v>
      </c>
      <c r="I275" t="s">
        <v>23</v>
      </c>
      <c r="L275" t="s">
        <v>22</v>
      </c>
      <c r="M275">
        <v>37.700000000000003</v>
      </c>
      <c r="N275">
        <v>37.700000000000003</v>
      </c>
      <c r="O275" t="s">
        <v>21</v>
      </c>
      <c r="P275">
        <f t="shared" si="14"/>
        <v>400</v>
      </c>
      <c r="Q275" s="11">
        <f>IF(P275=0,0,IFERROR(Q274+G275*M275*IF(E275="FUTURE",VLOOKUP(MID(I275,2,2),[1]Futures!$A$2:$B$12,2),1),G275*M275*IF(E275="FUTURE",VLOOKUP(MID(I275,2,2),[1]Futures!$A$2:$B$12,2),1)))</f>
        <v>14908</v>
      </c>
      <c r="R275" s="12">
        <f>IFERROR(Q275/P275/IF(E275="FUTURE",VLOOKUP(MID(I275,2,2),[1]Futures!$A$2:$B$12,2),1),"")</f>
        <v>37.270000000000003</v>
      </c>
      <c r="S275" s="13" t="str">
        <f>IF(AND(H275="TO CLOSE",P275=0),-G275*(M275-R274)*IF(E275="FUTURE",VLOOKUP(MID(I275,2,2),[1]Futures!$A$2:$B$12,2),1),"")</f>
        <v/>
      </c>
    </row>
    <row r="276" spans="1:19" x14ac:dyDescent="0.2">
      <c r="A276">
        <f t="shared" si="13"/>
        <v>76</v>
      </c>
      <c r="B276" s="3">
        <v>43935</v>
      </c>
      <c r="C276" s="3" t="str">
        <f t="shared" si="12"/>
        <v>Tuesday</v>
      </c>
      <c r="D276" s="2">
        <v>0.44562499999999999</v>
      </c>
      <c r="E276" t="s">
        <v>22</v>
      </c>
      <c r="F276" t="s">
        <v>15</v>
      </c>
      <c r="G276">
        <v>-100</v>
      </c>
      <c r="H276" t="s">
        <v>16</v>
      </c>
      <c r="I276" t="s">
        <v>23</v>
      </c>
      <c r="L276" t="s">
        <v>22</v>
      </c>
      <c r="M276">
        <v>37.700000000000003</v>
      </c>
      <c r="N276">
        <v>37.700000000000003</v>
      </c>
      <c r="O276" t="s">
        <v>21</v>
      </c>
      <c r="P276">
        <f t="shared" si="14"/>
        <v>300</v>
      </c>
      <c r="Q276" s="11">
        <f>IF(P276=0,0,IFERROR(Q275+G276*M276*IF(E276="FUTURE",VLOOKUP(MID(I276,2,2),[1]Futures!$A$2:$B$12,2),1),G276*M276*IF(E276="FUTURE",VLOOKUP(MID(I276,2,2),[1]Futures!$A$2:$B$12,2),1)))</f>
        <v>11138</v>
      </c>
      <c r="R276" s="12">
        <f>IFERROR(Q276/P276/IF(E276="FUTURE",VLOOKUP(MID(I276,2,2),[1]Futures!$A$2:$B$12,2),1),"")</f>
        <v>37.126666666666665</v>
      </c>
      <c r="S276" s="13" t="str">
        <f>IF(AND(H276="TO CLOSE",P276=0),-G276*(M276-R275)*IF(E276="FUTURE",VLOOKUP(MID(I276,2,2),[1]Futures!$A$2:$B$12,2),1),"")</f>
        <v/>
      </c>
    </row>
    <row r="277" spans="1:19" x14ac:dyDescent="0.2">
      <c r="A277">
        <f t="shared" si="13"/>
        <v>76</v>
      </c>
      <c r="B277" s="3">
        <v>43935</v>
      </c>
      <c r="C277" s="3" t="str">
        <f t="shared" si="12"/>
        <v>Tuesday</v>
      </c>
      <c r="D277" s="2">
        <v>0.44983796296296297</v>
      </c>
      <c r="E277" t="s">
        <v>22</v>
      </c>
      <c r="F277" t="s">
        <v>15</v>
      </c>
      <c r="G277">
        <v>-100</v>
      </c>
      <c r="H277" t="s">
        <v>16</v>
      </c>
      <c r="I277" t="s">
        <v>23</v>
      </c>
      <c r="L277" t="s">
        <v>22</v>
      </c>
      <c r="M277">
        <v>37.700000000000003</v>
      </c>
      <c r="N277">
        <v>37.700000000000003</v>
      </c>
      <c r="O277" t="s">
        <v>21</v>
      </c>
      <c r="P277">
        <f t="shared" si="14"/>
        <v>200</v>
      </c>
      <c r="Q277" s="11">
        <f>IF(P277=0,0,IFERROR(Q276+G277*M277*IF(E277="FUTURE",VLOOKUP(MID(I277,2,2),[1]Futures!$A$2:$B$12,2),1),G277*M277*IF(E277="FUTURE",VLOOKUP(MID(I277,2,2),[1]Futures!$A$2:$B$12,2),1)))</f>
        <v>7368</v>
      </c>
      <c r="R277" s="12">
        <f>IFERROR(Q277/P277/IF(E277="FUTURE",VLOOKUP(MID(I277,2,2),[1]Futures!$A$2:$B$12,2),1),"")</f>
        <v>36.840000000000003</v>
      </c>
      <c r="S277" s="13" t="str">
        <f>IF(AND(H277="TO CLOSE",P277=0),-G277*(M277-R276)*IF(E277="FUTURE",VLOOKUP(MID(I277,2,2),[1]Futures!$A$2:$B$12,2),1),"")</f>
        <v/>
      </c>
    </row>
    <row r="278" spans="1:19" x14ac:dyDescent="0.2">
      <c r="A278">
        <f t="shared" si="13"/>
        <v>76</v>
      </c>
      <c r="B278" s="3">
        <v>43935</v>
      </c>
      <c r="C278" s="3" t="str">
        <f t="shared" si="12"/>
        <v>Tuesday</v>
      </c>
      <c r="D278" s="2">
        <v>0.45028935185185182</v>
      </c>
      <c r="E278" t="s">
        <v>22</v>
      </c>
      <c r="F278" t="s">
        <v>15</v>
      </c>
      <c r="G278">
        <v>-200</v>
      </c>
      <c r="H278" t="s">
        <v>16</v>
      </c>
      <c r="I278" t="s">
        <v>23</v>
      </c>
      <c r="L278" t="s">
        <v>22</v>
      </c>
      <c r="M278">
        <v>37.715000000000003</v>
      </c>
      <c r="N278">
        <v>37.715000000000003</v>
      </c>
      <c r="O278" t="s">
        <v>24</v>
      </c>
      <c r="P278">
        <f t="shared" si="14"/>
        <v>0</v>
      </c>
      <c r="Q278" s="11">
        <f>IF(P278=0,0,IFERROR(Q277+G278*M278*IF(E278="FUTURE",VLOOKUP(MID(I278,2,2),[1]Futures!$A$2:$B$12,2),1),G278*M278*IF(E278="FUTURE",VLOOKUP(MID(I278,2,2),[1]Futures!$A$2:$B$12,2),1)))</f>
        <v>0</v>
      </c>
      <c r="R278" s="12" t="str">
        <f>IFERROR(Q278/P278/IF(E278="FUTURE",VLOOKUP(MID(I278,2,2),[1]Futures!$A$2:$B$12,2),1),"")</f>
        <v/>
      </c>
      <c r="S278" s="13">
        <f>IF(AND(H278="TO CLOSE",P278=0),-G278*(M278-R277)*IF(E278="FUTURE",VLOOKUP(MID(I278,2,2),[1]Futures!$A$2:$B$12,2),1),"")</f>
        <v>175</v>
      </c>
    </row>
    <row r="279" spans="1:19" x14ac:dyDescent="0.2">
      <c r="A279">
        <f t="shared" si="13"/>
        <v>77</v>
      </c>
      <c r="B279" s="3">
        <v>43935</v>
      </c>
      <c r="C279" s="3" t="str">
        <f t="shared" si="12"/>
        <v>Tuesday</v>
      </c>
      <c r="D279" s="2">
        <v>0.45874999999999999</v>
      </c>
      <c r="E279" t="s">
        <v>22</v>
      </c>
      <c r="F279" t="s">
        <v>15</v>
      </c>
      <c r="G279">
        <v>-300</v>
      </c>
      <c r="H279" t="s">
        <v>20</v>
      </c>
      <c r="I279" t="s">
        <v>23</v>
      </c>
      <c r="L279" t="s">
        <v>22</v>
      </c>
      <c r="M279">
        <v>37.869999999999997</v>
      </c>
      <c r="N279">
        <v>37.869999999999997</v>
      </c>
      <c r="O279" t="s">
        <v>21</v>
      </c>
      <c r="P279">
        <f t="shared" si="14"/>
        <v>-300</v>
      </c>
      <c r="Q279" s="11">
        <f>IF(P279=0,0,IFERROR(Q278+G279*M279*IF(E279="FUTURE",VLOOKUP(MID(I279,2,2),[1]Futures!$A$2:$B$12,2),1),G279*M279*IF(E279="FUTURE",VLOOKUP(MID(I279,2,2),[1]Futures!$A$2:$B$12,2),1)))</f>
        <v>-11361</v>
      </c>
      <c r="R279" s="12">
        <f>IFERROR(Q279/P279/IF(E279="FUTURE",VLOOKUP(MID(I279,2,2),[1]Futures!$A$2:$B$12,2),1),"")</f>
        <v>37.869999999999997</v>
      </c>
      <c r="S279" s="13" t="str">
        <f>IF(AND(H279="TO CLOSE",P279=0),-G279*(M279-R278)*IF(E279="FUTURE",VLOOKUP(MID(I279,2,2),[1]Futures!$A$2:$B$12,2),1),"")</f>
        <v/>
      </c>
    </row>
    <row r="280" spans="1:19" x14ac:dyDescent="0.2">
      <c r="A280">
        <f t="shared" si="13"/>
        <v>77</v>
      </c>
      <c r="B280" s="3">
        <v>43935</v>
      </c>
      <c r="C280" s="3" t="str">
        <f t="shared" si="12"/>
        <v>Tuesday</v>
      </c>
      <c r="D280" s="2">
        <v>0.46611111111111114</v>
      </c>
      <c r="E280" t="s">
        <v>22</v>
      </c>
      <c r="F280" t="s">
        <v>15</v>
      </c>
      <c r="G280">
        <v>-100</v>
      </c>
      <c r="H280" t="s">
        <v>20</v>
      </c>
      <c r="I280" t="s">
        <v>23</v>
      </c>
      <c r="L280" t="s">
        <v>22</v>
      </c>
      <c r="M280">
        <v>38.04</v>
      </c>
      <c r="N280">
        <v>38.04</v>
      </c>
      <c r="O280" t="s">
        <v>21</v>
      </c>
      <c r="P280">
        <f t="shared" si="14"/>
        <v>-400</v>
      </c>
      <c r="Q280" s="11">
        <f>IF(P280=0,0,IFERROR(Q279+G280*M280*IF(E280="FUTURE",VLOOKUP(MID(I280,2,2),[1]Futures!$A$2:$B$12,2),1),G280*M280*IF(E280="FUTURE",VLOOKUP(MID(I280,2,2),[1]Futures!$A$2:$B$12,2),1)))</f>
        <v>-15165</v>
      </c>
      <c r="R280" s="12">
        <f>IFERROR(Q280/P280/IF(E280="FUTURE",VLOOKUP(MID(I280,2,2),[1]Futures!$A$2:$B$12,2),1),"")</f>
        <v>37.912500000000001</v>
      </c>
      <c r="S280" s="13" t="str">
        <f>IF(AND(H280="TO CLOSE",P280=0),-G280*(M280-R279)*IF(E280="FUTURE",VLOOKUP(MID(I280,2,2),[1]Futures!$A$2:$B$12,2),1),"")</f>
        <v/>
      </c>
    </row>
    <row r="281" spans="1:19" x14ac:dyDescent="0.2">
      <c r="A281">
        <f t="shared" si="13"/>
        <v>77</v>
      </c>
      <c r="B281" s="3">
        <v>43935</v>
      </c>
      <c r="C281" s="3" t="str">
        <f t="shared" si="12"/>
        <v>Tuesday</v>
      </c>
      <c r="D281" s="2">
        <v>0.48994212962962963</v>
      </c>
      <c r="E281" t="s">
        <v>22</v>
      </c>
      <c r="F281" t="s">
        <v>19</v>
      </c>
      <c r="G281">
        <v>100</v>
      </c>
      <c r="H281" t="s">
        <v>16</v>
      </c>
      <c r="I281" t="s">
        <v>23</v>
      </c>
      <c r="L281" t="s">
        <v>22</v>
      </c>
      <c r="M281">
        <v>37.895000000000003</v>
      </c>
      <c r="N281">
        <v>37.895000000000003</v>
      </c>
      <c r="O281" t="s">
        <v>21</v>
      </c>
      <c r="P281">
        <f t="shared" si="14"/>
        <v>-300</v>
      </c>
      <c r="Q281" s="11">
        <f>IF(P281=0,0,IFERROR(Q280+G281*M281*IF(E281="FUTURE",VLOOKUP(MID(I281,2,2),[1]Futures!$A$2:$B$12,2),1),G281*M281*IF(E281="FUTURE",VLOOKUP(MID(I281,2,2),[1]Futures!$A$2:$B$12,2),1)))</f>
        <v>-11375.5</v>
      </c>
      <c r="R281" s="12">
        <f>IFERROR(Q281/P281/IF(E281="FUTURE",VLOOKUP(MID(I281,2,2),[1]Futures!$A$2:$B$12,2),1),"")</f>
        <v>37.918333333333337</v>
      </c>
      <c r="S281" s="13" t="str">
        <f>IF(AND(H281="TO CLOSE",P281=0),-G281*(M281-R280)*IF(E281="FUTURE",VLOOKUP(MID(I281,2,2),[1]Futures!$A$2:$B$12,2),1),"")</f>
        <v/>
      </c>
    </row>
    <row r="282" spans="1:19" x14ac:dyDescent="0.2">
      <c r="A282">
        <f t="shared" si="13"/>
        <v>77</v>
      </c>
      <c r="B282" s="3">
        <v>43935</v>
      </c>
      <c r="C282" s="3" t="str">
        <f t="shared" si="12"/>
        <v>Tuesday</v>
      </c>
      <c r="D282" s="2">
        <v>0.48994212962962963</v>
      </c>
      <c r="E282" t="s">
        <v>22</v>
      </c>
      <c r="F282" t="s">
        <v>19</v>
      </c>
      <c r="G282">
        <v>300</v>
      </c>
      <c r="H282" t="s">
        <v>16</v>
      </c>
      <c r="I282" t="s">
        <v>23</v>
      </c>
      <c r="L282" t="s">
        <v>22</v>
      </c>
      <c r="M282">
        <v>37.895000000000003</v>
      </c>
      <c r="N282">
        <v>37.895000000000003</v>
      </c>
      <c r="O282" t="s">
        <v>21</v>
      </c>
      <c r="P282">
        <f t="shared" si="14"/>
        <v>0</v>
      </c>
      <c r="Q282" s="11">
        <f>IF(P282=0,0,IFERROR(Q281+G282*M282*IF(E282="FUTURE",VLOOKUP(MID(I282,2,2),[1]Futures!$A$2:$B$12,2),1),G282*M282*IF(E282="FUTURE",VLOOKUP(MID(I282,2,2),[1]Futures!$A$2:$B$12,2),1)))</f>
        <v>0</v>
      </c>
      <c r="R282" s="12" t="str">
        <f>IFERROR(Q282/P282/IF(E282="FUTURE",VLOOKUP(MID(I282,2,2),[1]Futures!$A$2:$B$12,2),1),"")</f>
        <v/>
      </c>
      <c r="S282" s="13">
        <f>IF(AND(H282="TO CLOSE",P282=0),-G282*(M282-R281)*IF(E282="FUTURE",VLOOKUP(MID(I282,2,2),[1]Futures!$A$2:$B$12,2),1),"")</f>
        <v>7.0000000000000284</v>
      </c>
    </row>
    <row r="283" spans="1:19" x14ac:dyDescent="0.2">
      <c r="A283">
        <f t="shared" si="13"/>
        <v>78</v>
      </c>
      <c r="B283" s="3">
        <v>43935</v>
      </c>
      <c r="C283" s="3" t="str">
        <f t="shared" si="12"/>
        <v>Tuesday</v>
      </c>
      <c r="D283" s="2">
        <v>0.52244212962962966</v>
      </c>
      <c r="E283" t="s">
        <v>22</v>
      </c>
      <c r="F283" t="s">
        <v>19</v>
      </c>
      <c r="G283">
        <v>100</v>
      </c>
      <c r="H283" t="s">
        <v>20</v>
      </c>
      <c r="I283" t="s">
        <v>23</v>
      </c>
      <c r="L283" t="s">
        <v>22</v>
      </c>
      <c r="M283">
        <v>37.47</v>
      </c>
      <c r="N283">
        <v>37.47</v>
      </c>
      <c r="O283" t="s">
        <v>21</v>
      </c>
      <c r="P283">
        <f t="shared" si="14"/>
        <v>100</v>
      </c>
      <c r="Q283" s="11">
        <f>IF(P283=0,0,IFERROR(Q282+G283*M283*IF(E283="FUTURE",VLOOKUP(MID(I283,2,2),[1]Futures!$A$2:$B$12,2),1),G283*M283*IF(E283="FUTURE",VLOOKUP(MID(I283,2,2),[1]Futures!$A$2:$B$12,2),1)))</f>
        <v>3747</v>
      </c>
      <c r="R283" s="12">
        <f>IFERROR(Q283/P283/IF(E283="FUTURE",VLOOKUP(MID(I283,2,2),[1]Futures!$A$2:$B$12,2),1),"")</f>
        <v>37.47</v>
      </c>
      <c r="S283" s="13" t="str">
        <f>IF(AND(H283="TO CLOSE",P283=0),-G283*(M283-R282)*IF(E283="FUTURE",VLOOKUP(MID(I283,2,2),[1]Futures!$A$2:$B$12,2),1),"")</f>
        <v/>
      </c>
    </row>
    <row r="284" spans="1:19" x14ac:dyDescent="0.2">
      <c r="A284">
        <f t="shared" si="13"/>
        <v>78</v>
      </c>
      <c r="B284" s="3">
        <v>43935</v>
      </c>
      <c r="C284" s="3" t="str">
        <f t="shared" si="12"/>
        <v>Tuesday</v>
      </c>
      <c r="D284" s="2">
        <v>0.52244212962962966</v>
      </c>
      <c r="E284" t="s">
        <v>22</v>
      </c>
      <c r="F284" t="s">
        <v>19</v>
      </c>
      <c r="G284">
        <v>300</v>
      </c>
      <c r="H284" t="s">
        <v>20</v>
      </c>
      <c r="I284" t="s">
        <v>23</v>
      </c>
      <c r="L284" t="s">
        <v>22</v>
      </c>
      <c r="M284">
        <v>37.47</v>
      </c>
      <c r="N284">
        <v>37.47</v>
      </c>
      <c r="O284" t="s">
        <v>21</v>
      </c>
      <c r="P284">
        <f t="shared" si="14"/>
        <v>400</v>
      </c>
      <c r="Q284" s="11">
        <f>IF(P284=0,0,IFERROR(Q283+G284*M284*IF(E284="FUTURE",VLOOKUP(MID(I284,2,2),[1]Futures!$A$2:$B$12,2),1),G284*M284*IF(E284="FUTURE",VLOOKUP(MID(I284,2,2),[1]Futures!$A$2:$B$12,2),1)))</f>
        <v>14988</v>
      </c>
      <c r="R284" s="12">
        <f>IFERROR(Q284/P284/IF(E284="FUTURE",VLOOKUP(MID(I284,2,2),[1]Futures!$A$2:$B$12,2),1),"")</f>
        <v>37.47</v>
      </c>
      <c r="S284" s="13" t="str">
        <f>IF(AND(H284="TO CLOSE",P284=0),-G284*(M284-R283)*IF(E284="FUTURE",VLOOKUP(MID(I284,2,2),[1]Futures!$A$2:$B$12,2),1),"")</f>
        <v/>
      </c>
    </row>
    <row r="285" spans="1:19" x14ac:dyDescent="0.2">
      <c r="A285">
        <f t="shared" si="13"/>
        <v>78</v>
      </c>
      <c r="B285" s="3">
        <v>43935</v>
      </c>
      <c r="C285" s="3" t="str">
        <f t="shared" si="12"/>
        <v>Tuesday</v>
      </c>
      <c r="D285" s="2">
        <v>0.62281249999999999</v>
      </c>
      <c r="E285" t="s">
        <v>22</v>
      </c>
      <c r="F285" t="s">
        <v>15</v>
      </c>
      <c r="G285">
        <v>-375</v>
      </c>
      <c r="H285" t="s">
        <v>16</v>
      </c>
      <c r="I285" t="s">
        <v>23</v>
      </c>
      <c r="L285" t="s">
        <v>22</v>
      </c>
      <c r="M285">
        <v>37.159999999999997</v>
      </c>
      <c r="N285">
        <v>37.159999999999997</v>
      </c>
      <c r="O285" t="s">
        <v>18</v>
      </c>
      <c r="P285">
        <f t="shared" si="14"/>
        <v>25</v>
      </c>
      <c r="Q285" s="11">
        <f>IF(P285=0,0,IFERROR(Q284+G285*M285*IF(E285="FUTURE",VLOOKUP(MID(I285,2,2),[1]Futures!$A$2:$B$12,2),1),G285*M285*IF(E285="FUTURE",VLOOKUP(MID(I285,2,2),[1]Futures!$A$2:$B$12,2),1)))</f>
        <v>1053.0000000000018</v>
      </c>
      <c r="R285" s="12">
        <f>IFERROR(Q285/P285/IF(E285="FUTURE",VLOOKUP(MID(I285,2,2),[1]Futures!$A$2:$B$12,2),1),"")</f>
        <v>42.120000000000076</v>
      </c>
      <c r="S285" s="13" t="str">
        <f>IF(AND(H285="TO CLOSE",P285=0),-G285*(M285-R284)*IF(E285="FUTURE",VLOOKUP(MID(I285,2,2),[1]Futures!$A$2:$B$12,2),1),"")</f>
        <v/>
      </c>
    </row>
    <row r="286" spans="1:19" x14ac:dyDescent="0.2">
      <c r="A286">
        <f t="shared" si="13"/>
        <v>78</v>
      </c>
      <c r="B286" s="3">
        <v>43935</v>
      </c>
      <c r="C286" s="3" t="str">
        <f t="shared" si="12"/>
        <v>Tuesday</v>
      </c>
      <c r="D286" s="2">
        <v>0.62281249999999999</v>
      </c>
      <c r="E286" t="s">
        <v>22</v>
      </c>
      <c r="F286" t="s">
        <v>15</v>
      </c>
      <c r="G286">
        <v>-25</v>
      </c>
      <c r="H286" t="s">
        <v>16</v>
      </c>
      <c r="I286" t="s">
        <v>23</v>
      </c>
      <c r="L286" t="s">
        <v>22</v>
      </c>
      <c r="M286">
        <v>37.17</v>
      </c>
      <c r="N286">
        <v>37.17</v>
      </c>
      <c r="O286" t="s">
        <v>18</v>
      </c>
      <c r="P286">
        <f t="shared" si="14"/>
        <v>0</v>
      </c>
      <c r="Q286" s="11">
        <f>IF(P286=0,0,IFERROR(Q285+G286*M286*IF(E286="FUTURE",VLOOKUP(MID(I286,2,2),[1]Futures!$A$2:$B$12,2),1),G286*M286*IF(E286="FUTURE",VLOOKUP(MID(I286,2,2),[1]Futures!$A$2:$B$12,2),1)))</f>
        <v>0</v>
      </c>
      <c r="R286" s="12" t="str">
        <f>IFERROR(Q286/P286/IF(E286="FUTURE",VLOOKUP(MID(I286,2,2),[1]Futures!$A$2:$B$12,2),1),"")</f>
        <v/>
      </c>
      <c r="S286" s="13">
        <f>IF(AND(H286="TO CLOSE",P286=0),-G286*(M286-R285)*IF(E286="FUTURE",VLOOKUP(MID(I286,2,2),[1]Futures!$A$2:$B$12,2),1),"")</f>
        <v>-123.75000000000185</v>
      </c>
    </row>
    <row r="287" spans="1:19" x14ac:dyDescent="0.2">
      <c r="A287">
        <f t="shared" si="13"/>
        <v>79</v>
      </c>
      <c r="B287" s="3">
        <v>43936</v>
      </c>
      <c r="C287" s="3" t="str">
        <f t="shared" si="12"/>
        <v>Wednesday</v>
      </c>
      <c r="D287" s="2">
        <v>0.39204861111111117</v>
      </c>
      <c r="E287" t="s">
        <v>14</v>
      </c>
      <c r="F287" t="s">
        <v>19</v>
      </c>
      <c r="G287">
        <v>2</v>
      </c>
      <c r="H287" t="s">
        <v>20</v>
      </c>
      <c r="I287" t="s">
        <v>36</v>
      </c>
      <c r="J287" s="1">
        <v>43971</v>
      </c>
      <c r="L287" t="s">
        <v>14</v>
      </c>
      <c r="M287">
        <v>19.93</v>
      </c>
      <c r="N287">
        <v>19.93</v>
      </c>
      <c r="O287" t="s">
        <v>24</v>
      </c>
      <c r="P287">
        <f t="shared" si="14"/>
        <v>2</v>
      </c>
      <c r="Q287" s="11">
        <f>IF(P287=0,0,IFERROR(Q286+G287*M287*IF(E287="FUTURE",VLOOKUP(MID(I287,2,2),[1]Futures!$A$2:$B$12,2),1),G287*M287*IF(E287="FUTURE",VLOOKUP(MID(I287,2,2),[1]Futures!$A$2:$B$12,2),1)))</f>
        <v>39860</v>
      </c>
      <c r="R287" s="12">
        <f>IFERROR(Q287/P287/IF(E287="FUTURE",VLOOKUP(MID(I287,2,2),[1]Futures!$A$2:$B$12,2),1),"")</f>
        <v>19.93</v>
      </c>
      <c r="S287" s="13" t="str">
        <f>IF(AND(H287="TO CLOSE",P287=0),-G287*(M287-R286)*IF(E287="FUTURE",VLOOKUP(MID(I287,2,2),[1]Futures!$A$2:$B$12,2),1),"")</f>
        <v/>
      </c>
    </row>
    <row r="288" spans="1:19" x14ac:dyDescent="0.2">
      <c r="A288">
        <f t="shared" si="13"/>
        <v>79</v>
      </c>
      <c r="B288" s="3">
        <v>43936</v>
      </c>
      <c r="C288" s="3" t="str">
        <f t="shared" si="12"/>
        <v>Wednesday</v>
      </c>
      <c r="D288" s="2">
        <v>0.4036689814814815</v>
      </c>
      <c r="E288" t="s">
        <v>14</v>
      </c>
      <c r="F288" t="s">
        <v>19</v>
      </c>
      <c r="G288">
        <v>1</v>
      </c>
      <c r="H288" t="s">
        <v>20</v>
      </c>
      <c r="I288" t="s">
        <v>36</v>
      </c>
      <c r="J288" s="1">
        <v>43971</v>
      </c>
      <c r="L288" t="s">
        <v>14</v>
      </c>
      <c r="M288">
        <v>20.010000000000002</v>
      </c>
      <c r="N288">
        <v>20.010000000000002</v>
      </c>
      <c r="O288" t="s">
        <v>18</v>
      </c>
      <c r="P288">
        <f t="shared" si="14"/>
        <v>3</v>
      </c>
      <c r="Q288" s="11">
        <f>IF(P288=0,0,IFERROR(Q287+G288*M288*IF(E288="FUTURE",VLOOKUP(MID(I288,2,2),[1]Futures!$A$2:$B$12,2),1),G288*M288*IF(E288="FUTURE",VLOOKUP(MID(I288,2,2),[1]Futures!$A$2:$B$12,2),1)))</f>
        <v>59870</v>
      </c>
      <c r="R288" s="12">
        <f>IFERROR(Q288/P288/IF(E288="FUTURE",VLOOKUP(MID(I288,2,2),[1]Futures!$A$2:$B$12,2),1),"")</f>
        <v>19.956666666666667</v>
      </c>
      <c r="S288" s="13" t="str">
        <f>IF(AND(H288="TO CLOSE",P288=0),-G288*(M288-R287)*IF(E288="FUTURE",VLOOKUP(MID(I288,2,2),[1]Futures!$A$2:$B$12,2),1),"")</f>
        <v/>
      </c>
    </row>
    <row r="289" spans="1:19" x14ac:dyDescent="0.2">
      <c r="A289">
        <f t="shared" si="13"/>
        <v>79</v>
      </c>
      <c r="B289" s="3">
        <v>43936</v>
      </c>
      <c r="C289" s="3" t="str">
        <f t="shared" si="12"/>
        <v>Wednesday</v>
      </c>
      <c r="D289" s="2">
        <v>0.40552083333333333</v>
      </c>
      <c r="E289" t="s">
        <v>14</v>
      </c>
      <c r="F289" t="s">
        <v>15</v>
      </c>
      <c r="G289">
        <v>-1</v>
      </c>
      <c r="H289" t="s">
        <v>16</v>
      </c>
      <c r="I289" t="s">
        <v>36</v>
      </c>
      <c r="J289" s="1">
        <v>43971</v>
      </c>
      <c r="L289" t="s">
        <v>14</v>
      </c>
      <c r="M289">
        <v>20.059999999999999</v>
      </c>
      <c r="N289">
        <v>20.059999999999999</v>
      </c>
      <c r="O289" t="s">
        <v>21</v>
      </c>
      <c r="P289">
        <f t="shared" si="14"/>
        <v>2</v>
      </c>
      <c r="Q289" s="11">
        <f>IF(P289=0,0,IFERROR(Q288+G289*M289*IF(E289="FUTURE",VLOOKUP(MID(I289,2,2),[1]Futures!$A$2:$B$12,2),1),G289*M289*IF(E289="FUTURE",VLOOKUP(MID(I289,2,2),[1]Futures!$A$2:$B$12,2),1)))</f>
        <v>39810</v>
      </c>
      <c r="R289" s="12">
        <f>IFERROR(Q289/P289/IF(E289="FUTURE",VLOOKUP(MID(I289,2,2),[1]Futures!$A$2:$B$12,2),1),"")</f>
        <v>19.905000000000001</v>
      </c>
      <c r="S289" s="13" t="str">
        <f>IF(AND(H289="TO CLOSE",P289=0),-G289*(M289-R288)*IF(E289="FUTURE",VLOOKUP(MID(I289,2,2),[1]Futures!$A$2:$B$12,2),1),"")</f>
        <v/>
      </c>
    </row>
    <row r="290" spans="1:19" x14ac:dyDescent="0.2">
      <c r="A290">
        <f t="shared" si="13"/>
        <v>79</v>
      </c>
      <c r="B290" s="3">
        <v>43936</v>
      </c>
      <c r="C290" s="3" t="str">
        <f t="shared" si="12"/>
        <v>Wednesday</v>
      </c>
      <c r="D290" s="2">
        <v>0.40618055555555554</v>
      </c>
      <c r="E290" t="s">
        <v>14</v>
      </c>
      <c r="F290" t="s">
        <v>15</v>
      </c>
      <c r="G290">
        <v>-1</v>
      </c>
      <c r="H290" t="s">
        <v>16</v>
      </c>
      <c r="I290" t="s">
        <v>36</v>
      </c>
      <c r="J290" s="1">
        <v>43971</v>
      </c>
      <c r="L290" t="s">
        <v>14</v>
      </c>
      <c r="M290">
        <v>20.100000000000001</v>
      </c>
      <c r="N290">
        <v>20.100000000000001</v>
      </c>
      <c r="O290" t="s">
        <v>21</v>
      </c>
      <c r="P290">
        <f t="shared" si="14"/>
        <v>1</v>
      </c>
      <c r="Q290" s="11">
        <f>IF(P290=0,0,IFERROR(Q289+G290*M290*IF(E290="FUTURE",VLOOKUP(MID(I290,2,2),[1]Futures!$A$2:$B$12,2),1),G290*M290*IF(E290="FUTURE",VLOOKUP(MID(I290,2,2),[1]Futures!$A$2:$B$12,2),1)))</f>
        <v>19710</v>
      </c>
      <c r="R290" s="12">
        <f>IFERROR(Q290/P290/IF(E290="FUTURE",VLOOKUP(MID(I290,2,2),[1]Futures!$A$2:$B$12,2),1),"")</f>
        <v>19.71</v>
      </c>
      <c r="S290" s="13" t="str">
        <f>IF(AND(H290="TO CLOSE",P290=0),-G290*(M290-R289)*IF(E290="FUTURE",VLOOKUP(MID(I290,2,2),[1]Futures!$A$2:$B$12,2),1),"")</f>
        <v/>
      </c>
    </row>
    <row r="291" spans="1:19" x14ac:dyDescent="0.2">
      <c r="A291">
        <f t="shared" si="13"/>
        <v>79</v>
      </c>
      <c r="B291" s="3">
        <v>43936</v>
      </c>
      <c r="C291" s="3" t="str">
        <f t="shared" ref="C291:C354" si="15">IF(WEEKDAY(B291,2)=1,"Monday",IF(WEEKDAY(B291,2)=2,"Tuesday",IF(WEEKDAY(B291,2)=3,"Wednesday",IF(WEEKDAY(B291,2)=4,"Thursday",IF(WEEKDAY(B291,2)=5,"Friday","Sunday")))))</f>
        <v>Wednesday</v>
      </c>
      <c r="D291" s="2">
        <v>0.40762731481481485</v>
      </c>
      <c r="E291" t="s">
        <v>14</v>
      </c>
      <c r="F291" t="s">
        <v>15</v>
      </c>
      <c r="G291">
        <v>-1</v>
      </c>
      <c r="H291" t="s">
        <v>16</v>
      </c>
      <c r="I291" t="s">
        <v>36</v>
      </c>
      <c r="J291" s="1">
        <v>43971</v>
      </c>
      <c r="L291" t="s">
        <v>14</v>
      </c>
      <c r="M291">
        <v>20.03</v>
      </c>
      <c r="N291">
        <v>20.03</v>
      </c>
      <c r="O291" t="s">
        <v>21</v>
      </c>
      <c r="P291">
        <f t="shared" si="14"/>
        <v>0</v>
      </c>
      <c r="Q291" s="11">
        <f>IF(P291=0,0,IFERROR(Q290+G291*M291*IF(E291="FUTURE",VLOOKUP(MID(I291,2,2),[1]Futures!$A$2:$B$12,2),1),G291*M291*IF(E291="FUTURE",VLOOKUP(MID(I291,2,2),[1]Futures!$A$2:$B$12,2),1)))</f>
        <v>0</v>
      </c>
      <c r="R291" s="12" t="str">
        <f>IFERROR(Q291/P291/IF(E291="FUTURE",VLOOKUP(MID(I291,2,2),[1]Futures!$A$2:$B$12,2),1),"")</f>
        <v/>
      </c>
      <c r="S291" s="13">
        <f>IF(AND(H291="TO CLOSE",P291=0),-G291*(M291-R290)*IF(E291="FUTURE",VLOOKUP(MID(I291,2,2),[1]Futures!$A$2:$B$12,2),1),"")</f>
        <v>320.00000000000028</v>
      </c>
    </row>
    <row r="292" spans="1:19" x14ac:dyDescent="0.2">
      <c r="A292">
        <f t="shared" si="13"/>
        <v>80</v>
      </c>
      <c r="B292" s="3">
        <v>43936</v>
      </c>
      <c r="C292" s="3" t="str">
        <f t="shared" si="15"/>
        <v>Wednesday</v>
      </c>
      <c r="D292" s="2">
        <v>0.44640046296296299</v>
      </c>
      <c r="E292" t="s">
        <v>14</v>
      </c>
      <c r="F292" t="s">
        <v>19</v>
      </c>
      <c r="G292">
        <v>1</v>
      </c>
      <c r="H292" t="s">
        <v>20</v>
      </c>
      <c r="I292" t="s">
        <v>36</v>
      </c>
      <c r="J292" s="1">
        <v>43971</v>
      </c>
      <c r="L292" t="s">
        <v>14</v>
      </c>
      <c r="M292">
        <v>20.010000000000002</v>
      </c>
      <c r="N292">
        <v>20.010000000000002</v>
      </c>
      <c r="O292" t="s">
        <v>24</v>
      </c>
      <c r="P292">
        <f t="shared" si="14"/>
        <v>1</v>
      </c>
      <c r="Q292" s="11">
        <f>IF(P292=0,0,IFERROR(Q291+G292*M292*IF(E292="FUTURE",VLOOKUP(MID(I292,2,2),[1]Futures!$A$2:$B$12,2),1),G292*M292*IF(E292="FUTURE",VLOOKUP(MID(I292,2,2),[1]Futures!$A$2:$B$12,2),1)))</f>
        <v>20010</v>
      </c>
      <c r="R292" s="12">
        <f>IFERROR(Q292/P292/IF(E292="FUTURE",VLOOKUP(MID(I292,2,2),[1]Futures!$A$2:$B$12,2),1),"")</f>
        <v>20.010000000000002</v>
      </c>
      <c r="S292" s="13" t="str">
        <f>IF(AND(H292="TO CLOSE",P292=0),-G292*(M292-R291)*IF(E292="FUTURE",VLOOKUP(MID(I292,2,2),[1]Futures!$A$2:$B$12,2),1),"")</f>
        <v/>
      </c>
    </row>
    <row r="293" spans="1:19" x14ac:dyDescent="0.2">
      <c r="A293">
        <f t="shared" si="13"/>
        <v>80</v>
      </c>
      <c r="B293" s="3">
        <v>43936</v>
      </c>
      <c r="C293" s="3" t="str">
        <f t="shared" si="15"/>
        <v>Wednesday</v>
      </c>
      <c r="D293" s="2">
        <v>0.44903935185185184</v>
      </c>
      <c r="E293" t="s">
        <v>14</v>
      </c>
      <c r="F293" t="s">
        <v>19</v>
      </c>
      <c r="G293">
        <v>1</v>
      </c>
      <c r="H293" t="s">
        <v>20</v>
      </c>
      <c r="I293" t="s">
        <v>36</v>
      </c>
      <c r="J293" s="1">
        <v>43971</v>
      </c>
      <c r="L293" t="s">
        <v>14</v>
      </c>
      <c r="M293">
        <v>19.809999999999999</v>
      </c>
      <c r="N293">
        <v>19.809999999999999</v>
      </c>
      <c r="O293" t="s">
        <v>21</v>
      </c>
      <c r="P293">
        <f t="shared" si="14"/>
        <v>2</v>
      </c>
      <c r="Q293" s="11">
        <f>IF(P293=0,0,IFERROR(Q292+G293*M293*IF(E293="FUTURE",VLOOKUP(MID(I293,2,2),[1]Futures!$A$2:$B$12,2),1),G293*M293*IF(E293="FUTURE",VLOOKUP(MID(I293,2,2),[1]Futures!$A$2:$B$12,2),1)))</f>
        <v>39820</v>
      </c>
      <c r="R293" s="12">
        <f>IFERROR(Q293/P293/IF(E293="FUTURE",VLOOKUP(MID(I293,2,2),[1]Futures!$A$2:$B$12,2),1),"")</f>
        <v>19.91</v>
      </c>
      <c r="S293" s="13" t="str">
        <f>IF(AND(H293="TO CLOSE",P293=0),-G293*(M293-R292)*IF(E293="FUTURE",VLOOKUP(MID(I293,2,2),[1]Futures!$A$2:$B$12,2),1),"")</f>
        <v/>
      </c>
    </row>
    <row r="294" spans="1:19" x14ac:dyDescent="0.2">
      <c r="A294">
        <f t="shared" si="13"/>
        <v>80</v>
      </c>
      <c r="B294" s="3">
        <v>43936</v>
      </c>
      <c r="C294" s="3" t="str">
        <f t="shared" si="15"/>
        <v>Wednesday</v>
      </c>
      <c r="D294" s="2">
        <v>0.45695601851851847</v>
      </c>
      <c r="E294" t="s">
        <v>14</v>
      </c>
      <c r="F294" t="s">
        <v>19</v>
      </c>
      <c r="G294">
        <v>1</v>
      </c>
      <c r="H294" t="s">
        <v>20</v>
      </c>
      <c r="I294" t="s">
        <v>36</v>
      </c>
      <c r="J294" s="1">
        <v>43971</v>
      </c>
      <c r="L294" t="s">
        <v>14</v>
      </c>
      <c r="M294">
        <v>19.41</v>
      </c>
      <c r="N294">
        <v>19.41</v>
      </c>
      <c r="O294" t="s">
        <v>21</v>
      </c>
      <c r="P294">
        <f t="shared" si="14"/>
        <v>3</v>
      </c>
      <c r="Q294" s="11">
        <f>IF(P294=0,0,IFERROR(Q293+G294*M294*IF(E294="FUTURE",VLOOKUP(MID(I294,2,2),[1]Futures!$A$2:$B$12,2),1),G294*M294*IF(E294="FUTURE",VLOOKUP(MID(I294,2,2),[1]Futures!$A$2:$B$12,2),1)))</f>
        <v>59230</v>
      </c>
      <c r="R294" s="12">
        <f>IFERROR(Q294/P294/IF(E294="FUTURE",VLOOKUP(MID(I294,2,2),[1]Futures!$A$2:$B$12,2),1),"")</f>
        <v>19.743333333333332</v>
      </c>
      <c r="S294" s="13" t="str">
        <f>IF(AND(H294="TO CLOSE",P294=0),-G294*(M294-R293)*IF(E294="FUTURE",VLOOKUP(MID(I294,2,2),[1]Futures!$A$2:$B$12,2),1),"")</f>
        <v/>
      </c>
    </row>
    <row r="295" spans="1:19" x14ac:dyDescent="0.2">
      <c r="A295">
        <f t="shared" si="13"/>
        <v>80</v>
      </c>
      <c r="B295" s="3">
        <v>43936</v>
      </c>
      <c r="C295" s="3" t="str">
        <f t="shared" si="15"/>
        <v>Wednesday</v>
      </c>
      <c r="D295" s="2">
        <v>0.45833333333333331</v>
      </c>
      <c r="E295" t="s">
        <v>14</v>
      </c>
      <c r="F295" t="s">
        <v>15</v>
      </c>
      <c r="G295">
        <v>-1</v>
      </c>
      <c r="H295" t="s">
        <v>16</v>
      </c>
      <c r="I295" t="s">
        <v>36</v>
      </c>
      <c r="J295" s="1">
        <v>43971</v>
      </c>
      <c r="L295" t="s">
        <v>14</v>
      </c>
      <c r="M295">
        <v>19.510000000000002</v>
      </c>
      <c r="N295">
        <v>19.510000000000002</v>
      </c>
      <c r="O295" t="s">
        <v>21</v>
      </c>
      <c r="P295">
        <f t="shared" si="14"/>
        <v>2</v>
      </c>
      <c r="Q295" s="11">
        <f>IF(P295=0,0,IFERROR(Q294+G295*M295*IF(E295="FUTURE",VLOOKUP(MID(I295,2,2),[1]Futures!$A$2:$B$12,2),1),G295*M295*IF(E295="FUTURE",VLOOKUP(MID(I295,2,2),[1]Futures!$A$2:$B$12,2),1)))</f>
        <v>39720</v>
      </c>
      <c r="R295" s="12">
        <f>IFERROR(Q295/P295/IF(E295="FUTURE",VLOOKUP(MID(I295,2,2),[1]Futures!$A$2:$B$12,2),1),"")</f>
        <v>19.86</v>
      </c>
      <c r="S295" s="13" t="str">
        <f>IF(AND(H295="TO CLOSE",P295=0),-G295*(M295-R294)*IF(E295="FUTURE",VLOOKUP(MID(I295,2,2),[1]Futures!$A$2:$B$12,2),1),"")</f>
        <v/>
      </c>
    </row>
    <row r="296" spans="1:19" x14ac:dyDescent="0.2">
      <c r="A296">
        <f t="shared" si="13"/>
        <v>80</v>
      </c>
      <c r="B296" s="3">
        <v>43936</v>
      </c>
      <c r="C296" s="3" t="str">
        <f t="shared" si="15"/>
        <v>Wednesday</v>
      </c>
      <c r="D296" s="2">
        <v>0.46638888888888891</v>
      </c>
      <c r="E296" t="s">
        <v>14</v>
      </c>
      <c r="F296" t="s">
        <v>19</v>
      </c>
      <c r="G296">
        <v>1</v>
      </c>
      <c r="H296" t="s">
        <v>20</v>
      </c>
      <c r="I296" t="s">
        <v>36</v>
      </c>
      <c r="J296" s="1">
        <v>43971</v>
      </c>
      <c r="L296" t="s">
        <v>14</v>
      </c>
      <c r="M296">
        <v>19.46</v>
      </c>
      <c r="N296">
        <v>19.46</v>
      </c>
      <c r="O296" t="s">
        <v>21</v>
      </c>
      <c r="P296">
        <f t="shared" si="14"/>
        <v>3</v>
      </c>
      <c r="Q296" s="11">
        <f>IF(P296=0,0,IFERROR(Q295+G296*M296*IF(E296="FUTURE",VLOOKUP(MID(I296,2,2),[1]Futures!$A$2:$B$12,2),1),G296*M296*IF(E296="FUTURE",VLOOKUP(MID(I296,2,2),[1]Futures!$A$2:$B$12,2),1)))</f>
        <v>59180</v>
      </c>
      <c r="R296" s="12">
        <f>IFERROR(Q296/P296/IF(E296="FUTURE",VLOOKUP(MID(I296,2,2),[1]Futures!$A$2:$B$12,2),1),"")</f>
        <v>19.726666666666667</v>
      </c>
      <c r="S296" s="13" t="str">
        <f>IF(AND(H296="TO CLOSE",P296=0),-G296*(M296-R295)*IF(E296="FUTURE",VLOOKUP(MID(I296,2,2),[1]Futures!$A$2:$B$12,2),1),"")</f>
        <v/>
      </c>
    </row>
    <row r="297" spans="1:19" x14ac:dyDescent="0.2">
      <c r="A297">
        <f t="shared" si="13"/>
        <v>80</v>
      </c>
      <c r="B297" s="3">
        <v>43936</v>
      </c>
      <c r="C297" s="3" t="str">
        <f t="shared" si="15"/>
        <v>Wednesday</v>
      </c>
      <c r="D297" s="2">
        <v>0.47263888888888889</v>
      </c>
      <c r="E297" t="s">
        <v>14</v>
      </c>
      <c r="F297" t="s">
        <v>15</v>
      </c>
      <c r="G297">
        <v>-1</v>
      </c>
      <c r="H297" t="s">
        <v>16</v>
      </c>
      <c r="I297" t="s">
        <v>36</v>
      </c>
      <c r="J297" s="1">
        <v>43971</v>
      </c>
      <c r="L297" t="s">
        <v>14</v>
      </c>
      <c r="M297">
        <v>19.62</v>
      </c>
      <c r="N297">
        <v>19.62</v>
      </c>
      <c r="O297" t="s">
        <v>21</v>
      </c>
      <c r="P297">
        <f t="shared" si="14"/>
        <v>2</v>
      </c>
      <c r="Q297" s="11">
        <f>IF(P297=0,0,IFERROR(Q296+G297*M297*IF(E297="FUTURE",VLOOKUP(MID(I297,2,2),[1]Futures!$A$2:$B$12,2),1),G297*M297*IF(E297="FUTURE",VLOOKUP(MID(I297,2,2),[1]Futures!$A$2:$B$12,2),1)))</f>
        <v>39560</v>
      </c>
      <c r="R297" s="12">
        <f>IFERROR(Q297/P297/IF(E297="FUTURE",VLOOKUP(MID(I297,2,2),[1]Futures!$A$2:$B$12,2),1),"")</f>
        <v>19.78</v>
      </c>
      <c r="S297" s="13" t="str">
        <f>IF(AND(H297="TO CLOSE",P297=0),-G297*(M297-R296)*IF(E297="FUTURE",VLOOKUP(MID(I297,2,2),[1]Futures!$A$2:$B$12,2),1),"")</f>
        <v/>
      </c>
    </row>
    <row r="298" spans="1:19" x14ac:dyDescent="0.2">
      <c r="A298">
        <f t="shared" si="13"/>
        <v>80</v>
      </c>
      <c r="B298" s="3">
        <v>43936</v>
      </c>
      <c r="C298" s="3" t="str">
        <f t="shared" si="15"/>
        <v>Wednesday</v>
      </c>
      <c r="D298" s="2">
        <v>0.52280092592592597</v>
      </c>
      <c r="E298" t="s">
        <v>14</v>
      </c>
      <c r="F298" t="s">
        <v>15</v>
      </c>
      <c r="G298">
        <v>-1</v>
      </c>
      <c r="H298" t="s">
        <v>16</v>
      </c>
      <c r="I298" t="s">
        <v>36</v>
      </c>
      <c r="J298" s="1">
        <v>43971</v>
      </c>
      <c r="L298" t="s">
        <v>14</v>
      </c>
      <c r="M298">
        <v>19.82</v>
      </c>
      <c r="N298">
        <v>19.82</v>
      </c>
      <c r="O298" t="s">
        <v>21</v>
      </c>
      <c r="P298">
        <f t="shared" si="14"/>
        <v>1</v>
      </c>
      <c r="Q298" s="11">
        <f>IF(P298=0,0,IFERROR(Q297+G298*M298*IF(E298="FUTURE",VLOOKUP(MID(I298,2,2),[1]Futures!$A$2:$B$12,2),1),G298*M298*IF(E298="FUTURE",VLOOKUP(MID(I298,2,2),[1]Futures!$A$2:$B$12,2),1)))</f>
        <v>19740</v>
      </c>
      <c r="R298" s="12">
        <f>IFERROR(Q298/P298/IF(E298="FUTURE",VLOOKUP(MID(I298,2,2),[1]Futures!$A$2:$B$12,2),1),"")</f>
        <v>19.739999999999998</v>
      </c>
      <c r="S298" s="13" t="str">
        <f>IF(AND(H298="TO CLOSE",P298=0),-G298*(M298-R297)*IF(E298="FUTURE",VLOOKUP(MID(I298,2,2),[1]Futures!$A$2:$B$12,2),1),"")</f>
        <v/>
      </c>
    </row>
    <row r="299" spans="1:19" x14ac:dyDescent="0.2">
      <c r="A299">
        <f t="shared" si="13"/>
        <v>80</v>
      </c>
      <c r="B299" s="3">
        <v>43936</v>
      </c>
      <c r="C299" s="3" t="str">
        <f t="shared" si="15"/>
        <v>Wednesday</v>
      </c>
      <c r="D299" s="2">
        <v>0.52369212962962963</v>
      </c>
      <c r="E299" t="s">
        <v>14</v>
      </c>
      <c r="F299" t="s">
        <v>15</v>
      </c>
      <c r="G299">
        <v>-1</v>
      </c>
      <c r="H299" t="s">
        <v>16</v>
      </c>
      <c r="I299" t="s">
        <v>36</v>
      </c>
      <c r="J299" s="1">
        <v>43971</v>
      </c>
      <c r="L299" t="s">
        <v>14</v>
      </c>
      <c r="M299">
        <v>19.850000000000001</v>
      </c>
      <c r="N299">
        <v>19.850000000000001</v>
      </c>
      <c r="O299" t="s">
        <v>21</v>
      </c>
      <c r="P299">
        <f t="shared" si="14"/>
        <v>0</v>
      </c>
      <c r="Q299" s="11">
        <f>IF(P299=0,0,IFERROR(Q298+G299*M299*IF(E299="FUTURE",VLOOKUP(MID(I299,2,2),[1]Futures!$A$2:$B$12,2),1),G299*M299*IF(E299="FUTURE",VLOOKUP(MID(I299,2,2),[1]Futures!$A$2:$B$12,2),1)))</f>
        <v>0</v>
      </c>
      <c r="R299" s="12" t="str">
        <f>IFERROR(Q299/P299/IF(E299="FUTURE",VLOOKUP(MID(I299,2,2),[1]Futures!$A$2:$B$12,2),1),"")</f>
        <v/>
      </c>
      <c r="S299" s="13">
        <f>IF(AND(H299="TO CLOSE",P299=0),-G299*(M299-R298)*IF(E299="FUTURE",VLOOKUP(MID(I299,2,2),[1]Futures!$A$2:$B$12,2),1),"")</f>
        <v>110.00000000000298</v>
      </c>
    </row>
    <row r="300" spans="1:19" x14ac:dyDescent="0.2">
      <c r="A300">
        <f t="shared" si="13"/>
        <v>81</v>
      </c>
      <c r="B300" s="3">
        <v>43936</v>
      </c>
      <c r="C300" s="3" t="str">
        <f t="shared" si="15"/>
        <v>Wednesday</v>
      </c>
      <c r="D300" s="2">
        <v>0.60422453703703705</v>
      </c>
      <c r="E300" t="s">
        <v>14</v>
      </c>
      <c r="F300" t="s">
        <v>19</v>
      </c>
      <c r="G300">
        <v>1</v>
      </c>
      <c r="H300" t="s">
        <v>20</v>
      </c>
      <c r="I300" t="s">
        <v>36</v>
      </c>
      <c r="J300" s="1">
        <v>43971</v>
      </c>
      <c r="L300" t="s">
        <v>14</v>
      </c>
      <c r="M300">
        <v>19.989999999999998</v>
      </c>
      <c r="N300">
        <v>19.989999999999998</v>
      </c>
      <c r="O300" t="s">
        <v>21</v>
      </c>
      <c r="P300">
        <f t="shared" si="14"/>
        <v>1</v>
      </c>
      <c r="Q300" s="11">
        <f>IF(P300=0,0,IFERROR(Q299+G300*M300*IF(E300="FUTURE",VLOOKUP(MID(I300,2,2),[1]Futures!$A$2:$B$12,2),1),G300*M300*IF(E300="FUTURE",VLOOKUP(MID(I300,2,2),[1]Futures!$A$2:$B$12,2),1)))</f>
        <v>19990</v>
      </c>
      <c r="R300" s="12">
        <f>IFERROR(Q300/P300/IF(E300="FUTURE",VLOOKUP(MID(I300,2,2),[1]Futures!$A$2:$B$12,2),1),"")</f>
        <v>19.989999999999998</v>
      </c>
      <c r="S300" s="13" t="str">
        <f>IF(AND(H300="TO CLOSE",P300=0),-G300*(M300-R299)*IF(E300="FUTURE",VLOOKUP(MID(I300,2,2),[1]Futures!$A$2:$B$12,2),1),"")</f>
        <v/>
      </c>
    </row>
    <row r="301" spans="1:19" x14ac:dyDescent="0.2">
      <c r="A301">
        <f t="shared" si="13"/>
        <v>81</v>
      </c>
      <c r="B301" s="3">
        <v>43936</v>
      </c>
      <c r="C301" s="3" t="str">
        <f t="shared" si="15"/>
        <v>Wednesday</v>
      </c>
      <c r="D301" s="2">
        <v>0.60712962962962969</v>
      </c>
      <c r="E301" t="s">
        <v>14</v>
      </c>
      <c r="F301" t="s">
        <v>15</v>
      </c>
      <c r="G301">
        <v>-1</v>
      </c>
      <c r="H301" t="s">
        <v>16</v>
      </c>
      <c r="I301" t="s">
        <v>36</v>
      </c>
      <c r="J301" s="1">
        <v>43971</v>
      </c>
      <c r="L301" t="s">
        <v>14</v>
      </c>
      <c r="M301">
        <v>20.059999999999999</v>
      </c>
      <c r="N301">
        <v>20.059999999999999</v>
      </c>
      <c r="O301" t="s">
        <v>21</v>
      </c>
      <c r="P301">
        <f t="shared" si="14"/>
        <v>0</v>
      </c>
      <c r="Q301" s="11">
        <f>IF(P301=0,0,IFERROR(Q300+G301*M301*IF(E301="FUTURE",VLOOKUP(MID(I301,2,2),[1]Futures!$A$2:$B$12,2),1),G301*M301*IF(E301="FUTURE",VLOOKUP(MID(I301,2,2),[1]Futures!$A$2:$B$12,2),1)))</f>
        <v>0</v>
      </c>
      <c r="R301" s="12" t="str">
        <f>IFERROR(Q301/P301/IF(E301="FUTURE",VLOOKUP(MID(I301,2,2),[1]Futures!$A$2:$B$12,2),1),"")</f>
        <v/>
      </c>
      <c r="S301" s="13">
        <f>IF(AND(H301="TO CLOSE",P301=0),-G301*(M301-R300)*IF(E301="FUTURE",VLOOKUP(MID(I301,2,2),[1]Futures!$A$2:$B$12,2),1),"")</f>
        <v>70.000000000000284</v>
      </c>
    </row>
    <row r="302" spans="1:19" x14ac:dyDescent="0.2">
      <c r="A302">
        <f t="shared" si="13"/>
        <v>82</v>
      </c>
      <c r="B302" s="3">
        <v>43936</v>
      </c>
      <c r="C302" s="3" t="str">
        <f t="shared" si="15"/>
        <v>Wednesday</v>
      </c>
      <c r="D302" s="2">
        <v>0.43572916666666667</v>
      </c>
      <c r="E302" t="s">
        <v>14</v>
      </c>
      <c r="F302" t="s">
        <v>19</v>
      </c>
      <c r="G302">
        <v>1</v>
      </c>
      <c r="H302" t="s">
        <v>20</v>
      </c>
      <c r="I302" t="s">
        <v>17</v>
      </c>
      <c r="J302" s="1">
        <v>44002</v>
      </c>
      <c r="L302" t="s">
        <v>14</v>
      </c>
      <c r="M302">
        <v>2756.75</v>
      </c>
      <c r="N302">
        <v>2756.75</v>
      </c>
      <c r="O302" t="s">
        <v>24</v>
      </c>
      <c r="P302">
        <f t="shared" si="14"/>
        <v>1</v>
      </c>
      <c r="Q302" s="11">
        <f>IF(P302=0,0,IFERROR(Q301+G302*M302*IF(E302="FUTURE",VLOOKUP(MID(I302,2,2),[1]Futures!$A$2:$B$12,2),1),G302*M302*IF(E302="FUTURE",VLOOKUP(MID(I302,2,2),[1]Futures!$A$2:$B$12,2),1)))</f>
        <v>137837.5</v>
      </c>
      <c r="R302" s="12">
        <f>IFERROR(Q302/P302/IF(E302="FUTURE",VLOOKUP(MID(I302,2,2),[1]Futures!$A$2:$B$12,2),1),"")</f>
        <v>2756.75</v>
      </c>
      <c r="S302" s="13" t="str">
        <f>IF(AND(H302="TO CLOSE",P302=0),-G302*(M302-R301)*IF(E302="FUTURE",VLOOKUP(MID(I302,2,2),[1]Futures!$A$2:$B$12,2),1),"")</f>
        <v/>
      </c>
    </row>
    <row r="303" spans="1:19" x14ac:dyDescent="0.2">
      <c r="A303">
        <f t="shared" si="13"/>
        <v>82</v>
      </c>
      <c r="B303" s="3">
        <v>43936</v>
      </c>
      <c r="C303" s="3" t="str">
        <f t="shared" si="15"/>
        <v>Wednesday</v>
      </c>
      <c r="D303" s="2">
        <v>0.43908564814814816</v>
      </c>
      <c r="E303" t="s">
        <v>14</v>
      </c>
      <c r="F303" t="s">
        <v>15</v>
      </c>
      <c r="G303">
        <v>-1</v>
      </c>
      <c r="H303" t="s">
        <v>16</v>
      </c>
      <c r="I303" t="s">
        <v>17</v>
      </c>
      <c r="J303" s="1">
        <v>44002</v>
      </c>
      <c r="L303" t="s">
        <v>14</v>
      </c>
      <c r="M303">
        <v>2762.25</v>
      </c>
      <c r="N303">
        <v>2762.25</v>
      </c>
      <c r="O303" t="s">
        <v>21</v>
      </c>
      <c r="P303">
        <f t="shared" si="14"/>
        <v>0</v>
      </c>
      <c r="Q303" s="11">
        <f>IF(P303=0,0,IFERROR(Q302+G303*M303*IF(E303="FUTURE",VLOOKUP(MID(I303,2,2),[1]Futures!$A$2:$B$12,2),1),G303*M303*IF(E303="FUTURE",VLOOKUP(MID(I303,2,2),[1]Futures!$A$2:$B$12,2),1)))</f>
        <v>0</v>
      </c>
      <c r="R303" s="12" t="str">
        <f>IFERROR(Q303/P303/IF(E303="FUTURE",VLOOKUP(MID(I303,2,2),[1]Futures!$A$2:$B$12,2),1),"")</f>
        <v/>
      </c>
      <c r="S303" s="13">
        <f>IF(AND(H303="TO CLOSE",P303=0),-G303*(M303-R302)*IF(E303="FUTURE",VLOOKUP(MID(I303,2,2),[1]Futures!$A$2:$B$12,2),1),"")</f>
        <v>275</v>
      </c>
    </row>
    <row r="304" spans="1:19" x14ac:dyDescent="0.2">
      <c r="A304">
        <f t="shared" si="13"/>
        <v>83</v>
      </c>
      <c r="B304" s="3">
        <v>43936</v>
      </c>
      <c r="C304" s="3" t="str">
        <f t="shared" si="15"/>
        <v>Wednesday</v>
      </c>
      <c r="D304" s="2">
        <v>0.41200231481481481</v>
      </c>
      <c r="E304" t="s">
        <v>14</v>
      </c>
      <c r="F304" t="s">
        <v>19</v>
      </c>
      <c r="G304">
        <v>6</v>
      </c>
      <c r="H304" t="s">
        <v>20</v>
      </c>
      <c r="I304" t="s">
        <v>73</v>
      </c>
      <c r="J304" s="1">
        <v>44002</v>
      </c>
      <c r="L304" t="s">
        <v>14</v>
      </c>
      <c r="M304">
        <v>2763.75</v>
      </c>
      <c r="N304">
        <v>2763.75</v>
      </c>
      <c r="O304" t="s">
        <v>24</v>
      </c>
      <c r="P304">
        <f t="shared" si="14"/>
        <v>6</v>
      </c>
      <c r="Q304" s="11">
        <f>IF(P304=0,0,IFERROR(Q303+G304*M304*IF(E304="FUTURE",VLOOKUP(MID(I304,2,2),[1]Futures!$A$2:$B$12,2),1),G304*M304*IF(E304="FUTURE",VLOOKUP(MID(I304,2,2),[1]Futures!$A$2:$B$12,2),1)))</f>
        <v>82912.5</v>
      </c>
      <c r="R304" s="12">
        <f>IFERROR(Q304/P304/IF(E304="FUTURE",VLOOKUP(MID(I304,2,2),[1]Futures!$A$2:$B$12,2),1),"")</f>
        <v>2763.75</v>
      </c>
      <c r="S304" s="13" t="str">
        <f>IF(AND(H304="TO CLOSE",P304=0),-G304*(M304-R303)*IF(E304="FUTURE",VLOOKUP(MID(I304,2,2),[1]Futures!$A$2:$B$12,2),1),"")</f>
        <v/>
      </c>
    </row>
    <row r="305" spans="1:19" x14ac:dyDescent="0.2">
      <c r="A305">
        <f t="shared" si="13"/>
        <v>83</v>
      </c>
      <c r="B305" s="3">
        <v>43936</v>
      </c>
      <c r="C305" s="3" t="str">
        <f t="shared" si="15"/>
        <v>Wednesday</v>
      </c>
      <c r="D305" s="2">
        <v>0.41501157407407407</v>
      </c>
      <c r="E305" t="s">
        <v>14</v>
      </c>
      <c r="F305" t="s">
        <v>15</v>
      </c>
      <c r="G305">
        <v>-1</v>
      </c>
      <c r="H305" t="s">
        <v>16</v>
      </c>
      <c r="I305" t="s">
        <v>73</v>
      </c>
      <c r="J305" s="1">
        <v>44002</v>
      </c>
      <c r="L305" t="s">
        <v>14</v>
      </c>
      <c r="M305">
        <v>2767.75</v>
      </c>
      <c r="N305">
        <v>2767.75</v>
      </c>
      <c r="O305" t="s">
        <v>21</v>
      </c>
      <c r="P305">
        <f t="shared" si="14"/>
        <v>5</v>
      </c>
      <c r="Q305" s="11">
        <f>IF(P305=0,0,IFERROR(Q304+G305*M305*IF(E305="FUTURE",VLOOKUP(MID(I305,2,2),[1]Futures!$A$2:$B$12,2),1),G305*M305*IF(E305="FUTURE",VLOOKUP(MID(I305,2,2),[1]Futures!$A$2:$B$12,2),1)))</f>
        <v>69073.75</v>
      </c>
      <c r="R305" s="12">
        <f>IFERROR(Q305/P305/IF(E305="FUTURE",VLOOKUP(MID(I305,2,2),[1]Futures!$A$2:$B$12,2),1),"")</f>
        <v>2762.95</v>
      </c>
      <c r="S305" s="13" t="str">
        <f>IF(AND(H305="TO CLOSE",P305=0),-G305*(M305-R304)*IF(E305="FUTURE",VLOOKUP(MID(I305,2,2),[1]Futures!$A$2:$B$12,2),1),"")</f>
        <v/>
      </c>
    </row>
    <row r="306" spans="1:19" x14ac:dyDescent="0.2">
      <c r="A306">
        <f t="shared" si="13"/>
        <v>83</v>
      </c>
      <c r="B306" s="3">
        <v>43936</v>
      </c>
      <c r="C306" s="3" t="str">
        <f t="shared" si="15"/>
        <v>Wednesday</v>
      </c>
      <c r="D306" s="2">
        <v>0.41501157407407407</v>
      </c>
      <c r="E306" t="s">
        <v>14</v>
      </c>
      <c r="F306" t="s">
        <v>15</v>
      </c>
      <c r="G306">
        <v>-2</v>
      </c>
      <c r="H306" t="s">
        <v>16</v>
      </c>
      <c r="I306" t="s">
        <v>73</v>
      </c>
      <c r="J306" s="1">
        <v>44002</v>
      </c>
      <c r="L306" t="s">
        <v>14</v>
      </c>
      <c r="M306">
        <v>2767.75</v>
      </c>
      <c r="N306">
        <v>2767.75</v>
      </c>
      <c r="O306" t="s">
        <v>21</v>
      </c>
      <c r="P306">
        <f t="shared" si="14"/>
        <v>3</v>
      </c>
      <c r="Q306" s="11">
        <f>IF(P306=0,0,IFERROR(Q305+G306*M306*IF(E306="FUTURE",VLOOKUP(MID(I306,2,2),[1]Futures!$A$2:$B$12,2),1),G306*M306*IF(E306="FUTURE",VLOOKUP(MID(I306,2,2),[1]Futures!$A$2:$B$12,2),1)))</f>
        <v>41396.25</v>
      </c>
      <c r="R306" s="12">
        <f>IFERROR(Q306/P306/IF(E306="FUTURE",VLOOKUP(MID(I306,2,2),[1]Futures!$A$2:$B$12,2),1),"")</f>
        <v>2759.75</v>
      </c>
      <c r="S306" s="13" t="str">
        <f>IF(AND(H306="TO CLOSE",P306=0),-G306*(M306-R305)*IF(E306="FUTURE",VLOOKUP(MID(I306,2,2),[1]Futures!$A$2:$B$12,2),1),"")</f>
        <v/>
      </c>
    </row>
    <row r="307" spans="1:19" x14ac:dyDescent="0.2">
      <c r="A307">
        <f t="shared" si="13"/>
        <v>83</v>
      </c>
      <c r="B307" s="3">
        <v>43936</v>
      </c>
      <c r="C307" s="3" t="str">
        <f t="shared" si="15"/>
        <v>Wednesday</v>
      </c>
      <c r="D307" s="2">
        <v>0.41537037037037039</v>
      </c>
      <c r="E307" t="s">
        <v>14</v>
      </c>
      <c r="F307" t="s">
        <v>15</v>
      </c>
      <c r="G307">
        <v>-1</v>
      </c>
      <c r="H307" t="s">
        <v>16</v>
      </c>
      <c r="I307" t="s">
        <v>73</v>
      </c>
      <c r="J307" s="1">
        <v>44002</v>
      </c>
      <c r="L307" t="s">
        <v>14</v>
      </c>
      <c r="M307">
        <v>2770</v>
      </c>
      <c r="N307">
        <v>2770</v>
      </c>
      <c r="O307" t="s">
        <v>24</v>
      </c>
      <c r="P307">
        <f t="shared" si="14"/>
        <v>2</v>
      </c>
      <c r="Q307" s="11">
        <f>IF(P307=0,0,IFERROR(Q306+G307*M307*IF(E307="FUTURE",VLOOKUP(MID(I307,2,2),[1]Futures!$A$2:$B$12,2),1),G307*M307*IF(E307="FUTURE",VLOOKUP(MID(I307,2,2),[1]Futures!$A$2:$B$12,2),1)))</f>
        <v>27546.25</v>
      </c>
      <c r="R307" s="12">
        <f>IFERROR(Q307/P307/IF(E307="FUTURE",VLOOKUP(MID(I307,2,2),[1]Futures!$A$2:$B$12,2),1),"")</f>
        <v>2754.625</v>
      </c>
      <c r="S307" s="13" t="str">
        <f>IF(AND(H307="TO CLOSE",P307=0),-G307*(M307-R306)*IF(E307="FUTURE",VLOOKUP(MID(I307,2,2),[1]Futures!$A$2:$B$12,2),1),"")</f>
        <v/>
      </c>
    </row>
    <row r="308" spans="1:19" x14ac:dyDescent="0.2">
      <c r="A308">
        <f t="shared" si="13"/>
        <v>83</v>
      </c>
      <c r="B308" s="3">
        <v>43936</v>
      </c>
      <c r="C308" s="3" t="str">
        <f t="shared" si="15"/>
        <v>Wednesday</v>
      </c>
      <c r="D308" s="2">
        <v>0.41790509259259262</v>
      </c>
      <c r="E308" t="s">
        <v>14</v>
      </c>
      <c r="F308" t="s">
        <v>15</v>
      </c>
      <c r="G308">
        <v>-2</v>
      </c>
      <c r="H308" t="s">
        <v>16</v>
      </c>
      <c r="I308" t="s">
        <v>73</v>
      </c>
      <c r="J308" s="1">
        <v>44002</v>
      </c>
      <c r="L308" t="s">
        <v>14</v>
      </c>
      <c r="M308">
        <v>2768.75</v>
      </c>
      <c r="N308">
        <v>2768.75</v>
      </c>
      <c r="O308" t="s">
        <v>21</v>
      </c>
      <c r="P308">
        <f t="shared" si="14"/>
        <v>0</v>
      </c>
      <c r="Q308" s="11">
        <f>IF(P308=0,0,IFERROR(Q307+G308*M308*IF(E308="FUTURE",VLOOKUP(MID(I308,2,2),[1]Futures!$A$2:$B$12,2),1),G308*M308*IF(E308="FUTURE",VLOOKUP(MID(I308,2,2),[1]Futures!$A$2:$B$12,2),1)))</f>
        <v>0</v>
      </c>
      <c r="R308" s="12" t="str">
        <f>IFERROR(Q308/P308/IF(E308="FUTURE",VLOOKUP(MID(I308,2,2),[1]Futures!$A$2:$B$12,2),1),"")</f>
        <v/>
      </c>
      <c r="S308" s="13">
        <f>IF(AND(H308="TO CLOSE",P308=0),-G308*(M308-R307)*IF(E308="FUTURE",VLOOKUP(MID(I308,2,2),[1]Futures!$A$2:$B$12,2),1),"")</f>
        <v>141.25</v>
      </c>
    </row>
    <row r="309" spans="1:19" x14ac:dyDescent="0.2">
      <c r="A309">
        <f t="shared" si="13"/>
        <v>84</v>
      </c>
      <c r="B309" s="3">
        <v>43936</v>
      </c>
      <c r="C309" s="3" t="str">
        <f t="shared" si="15"/>
        <v>Wednesday</v>
      </c>
      <c r="D309" s="2">
        <v>0.49452546296296296</v>
      </c>
      <c r="E309" t="s">
        <v>14</v>
      </c>
      <c r="F309" t="s">
        <v>19</v>
      </c>
      <c r="G309">
        <v>4</v>
      </c>
      <c r="H309" t="s">
        <v>20</v>
      </c>
      <c r="I309" t="s">
        <v>73</v>
      </c>
      <c r="J309" s="1">
        <v>44002</v>
      </c>
      <c r="L309" t="s">
        <v>14</v>
      </c>
      <c r="M309">
        <v>2759.75</v>
      </c>
      <c r="N309">
        <v>2759.75</v>
      </c>
      <c r="O309" t="s">
        <v>21</v>
      </c>
      <c r="P309">
        <f t="shared" si="14"/>
        <v>4</v>
      </c>
      <c r="Q309" s="11">
        <f>IF(P309=0,0,IFERROR(Q308+G309*M309*IF(E309="FUTURE",VLOOKUP(MID(I309,2,2),[1]Futures!$A$2:$B$12,2),1),G309*M309*IF(E309="FUTURE",VLOOKUP(MID(I309,2,2),[1]Futures!$A$2:$B$12,2),1)))</f>
        <v>55195</v>
      </c>
      <c r="R309" s="12">
        <f>IFERROR(Q309/P309/IF(E309="FUTURE",VLOOKUP(MID(I309,2,2),[1]Futures!$A$2:$B$12,2),1),"")</f>
        <v>2759.75</v>
      </c>
      <c r="S309" s="13" t="str">
        <f>IF(AND(H309="TO CLOSE",P309=0),-G309*(M309-R308)*IF(E309="FUTURE",VLOOKUP(MID(I309,2,2),[1]Futures!$A$2:$B$12,2),1),"")</f>
        <v/>
      </c>
    </row>
    <row r="310" spans="1:19" x14ac:dyDescent="0.2">
      <c r="A310">
        <f t="shared" si="13"/>
        <v>84</v>
      </c>
      <c r="B310" s="3">
        <v>43936</v>
      </c>
      <c r="C310" s="3" t="str">
        <f t="shared" si="15"/>
        <v>Wednesday</v>
      </c>
      <c r="D310" s="2">
        <v>0.49452546296296296</v>
      </c>
      <c r="E310" t="s">
        <v>14</v>
      </c>
      <c r="F310" t="s">
        <v>19</v>
      </c>
      <c r="G310">
        <v>1</v>
      </c>
      <c r="H310" t="s">
        <v>20</v>
      </c>
      <c r="I310" t="s">
        <v>73</v>
      </c>
      <c r="J310" s="1">
        <v>44002</v>
      </c>
      <c r="L310" t="s">
        <v>14</v>
      </c>
      <c r="M310">
        <v>2759.75</v>
      </c>
      <c r="N310">
        <v>2759.75</v>
      </c>
      <c r="O310" t="s">
        <v>21</v>
      </c>
      <c r="P310">
        <f t="shared" si="14"/>
        <v>5</v>
      </c>
      <c r="Q310" s="11">
        <f>IF(P310=0,0,IFERROR(Q309+G310*M310*IF(E310="FUTURE",VLOOKUP(MID(I310,2,2),[1]Futures!$A$2:$B$12,2),1),G310*M310*IF(E310="FUTURE",VLOOKUP(MID(I310,2,2),[1]Futures!$A$2:$B$12,2),1)))</f>
        <v>68993.75</v>
      </c>
      <c r="R310" s="12">
        <f>IFERROR(Q310/P310/IF(E310="FUTURE",VLOOKUP(MID(I310,2,2),[1]Futures!$A$2:$B$12,2),1),"")</f>
        <v>2759.75</v>
      </c>
      <c r="S310" s="13" t="str">
        <f>IF(AND(H310="TO CLOSE",P310=0),-G310*(M310-R309)*IF(E310="FUTURE",VLOOKUP(MID(I310,2,2),[1]Futures!$A$2:$B$12,2),1),"")</f>
        <v/>
      </c>
    </row>
    <row r="311" spans="1:19" x14ac:dyDescent="0.2">
      <c r="A311">
        <f t="shared" si="13"/>
        <v>84</v>
      </c>
      <c r="B311" s="3">
        <v>43936</v>
      </c>
      <c r="C311" s="3" t="str">
        <f t="shared" si="15"/>
        <v>Wednesday</v>
      </c>
      <c r="D311" s="2">
        <v>0.50494212962962959</v>
      </c>
      <c r="E311" t="s">
        <v>14</v>
      </c>
      <c r="F311" t="s">
        <v>15</v>
      </c>
      <c r="G311">
        <v>-5</v>
      </c>
      <c r="H311" t="s">
        <v>16</v>
      </c>
      <c r="I311" t="s">
        <v>73</v>
      </c>
      <c r="J311" s="1">
        <v>44002</v>
      </c>
      <c r="L311" t="s">
        <v>14</v>
      </c>
      <c r="M311">
        <v>2760.25</v>
      </c>
      <c r="N311">
        <v>2760.25</v>
      </c>
      <c r="O311" t="s">
        <v>18</v>
      </c>
      <c r="P311">
        <f t="shared" si="14"/>
        <v>0</v>
      </c>
      <c r="Q311" s="11">
        <f>IF(P311=0,0,IFERROR(Q310+G311*M311*IF(E311="FUTURE",VLOOKUP(MID(I311,2,2),[1]Futures!$A$2:$B$12,2),1),G311*M311*IF(E311="FUTURE",VLOOKUP(MID(I311,2,2),[1]Futures!$A$2:$B$12,2),1)))</f>
        <v>0</v>
      </c>
      <c r="R311" s="12" t="str">
        <f>IFERROR(Q311/P311/IF(E311="FUTURE",VLOOKUP(MID(I311,2,2),[1]Futures!$A$2:$B$12,2),1),"")</f>
        <v/>
      </c>
      <c r="S311" s="13">
        <f>IF(AND(H311="TO CLOSE",P311=0),-G311*(M311-R310)*IF(E311="FUTURE",VLOOKUP(MID(I311,2,2),[1]Futures!$A$2:$B$12,2),1),"")</f>
        <v>12.5</v>
      </c>
    </row>
    <row r="312" spans="1:19" x14ac:dyDescent="0.2">
      <c r="A312">
        <f t="shared" si="13"/>
        <v>85</v>
      </c>
      <c r="B312" s="3">
        <v>43936</v>
      </c>
      <c r="C312" s="3" t="str">
        <f t="shared" si="15"/>
        <v>Wednesday</v>
      </c>
      <c r="D312" s="2">
        <v>0.39334490740740741</v>
      </c>
      <c r="E312" t="s">
        <v>22</v>
      </c>
      <c r="F312" t="s">
        <v>19</v>
      </c>
      <c r="G312">
        <v>100</v>
      </c>
      <c r="H312" t="s">
        <v>20</v>
      </c>
      <c r="I312" t="s">
        <v>23</v>
      </c>
      <c r="L312" t="s">
        <v>22</v>
      </c>
      <c r="M312">
        <v>40.07</v>
      </c>
      <c r="N312">
        <v>40.07</v>
      </c>
      <c r="O312" t="s">
        <v>21</v>
      </c>
      <c r="P312">
        <f t="shared" si="14"/>
        <v>100</v>
      </c>
      <c r="Q312" s="11">
        <f>IF(P312=0,0,IFERROR(Q311+G312*M312*IF(E312="FUTURE",VLOOKUP(MID(I312,2,2),[1]Futures!$A$2:$B$12,2),1),G312*M312*IF(E312="FUTURE",VLOOKUP(MID(I312,2,2),[1]Futures!$A$2:$B$12,2),1)))</f>
        <v>4007</v>
      </c>
      <c r="R312" s="12">
        <f>IFERROR(Q312/P312/IF(E312="FUTURE",VLOOKUP(MID(I312,2,2),[1]Futures!$A$2:$B$12,2),1),"")</f>
        <v>40.07</v>
      </c>
      <c r="S312" s="13" t="str">
        <f>IF(AND(H312="TO CLOSE",P312=0),-G312*(M312-R311)*IF(E312="FUTURE",VLOOKUP(MID(I312,2,2),[1]Futures!$A$2:$B$12,2),1),"")</f>
        <v/>
      </c>
    </row>
    <row r="313" spans="1:19" x14ac:dyDescent="0.2">
      <c r="A313">
        <f t="shared" si="13"/>
        <v>85</v>
      </c>
      <c r="B313" s="3">
        <v>43936</v>
      </c>
      <c r="C313" s="3" t="str">
        <f t="shared" si="15"/>
        <v>Wednesday</v>
      </c>
      <c r="D313" s="2">
        <v>0.39334490740740741</v>
      </c>
      <c r="E313" t="s">
        <v>22</v>
      </c>
      <c r="F313" t="s">
        <v>19</v>
      </c>
      <c r="G313">
        <v>100</v>
      </c>
      <c r="H313" t="s">
        <v>20</v>
      </c>
      <c r="I313" t="s">
        <v>23</v>
      </c>
      <c r="L313" t="s">
        <v>22</v>
      </c>
      <c r="M313">
        <v>40.07</v>
      </c>
      <c r="N313">
        <v>40.07</v>
      </c>
      <c r="O313" t="s">
        <v>21</v>
      </c>
      <c r="P313">
        <f t="shared" si="14"/>
        <v>200</v>
      </c>
      <c r="Q313" s="11">
        <f>IF(P313=0,0,IFERROR(Q312+G313*M313*IF(E313="FUTURE",VLOOKUP(MID(I313,2,2),[1]Futures!$A$2:$B$12,2),1),G313*M313*IF(E313="FUTURE",VLOOKUP(MID(I313,2,2),[1]Futures!$A$2:$B$12,2),1)))</f>
        <v>8014</v>
      </c>
      <c r="R313" s="12">
        <f>IFERROR(Q313/P313/IF(E313="FUTURE",VLOOKUP(MID(I313,2,2),[1]Futures!$A$2:$B$12,2),1),"")</f>
        <v>40.07</v>
      </c>
      <c r="S313" s="13" t="str">
        <f>IF(AND(H313="TO CLOSE",P313=0),-G313*(M313-R312)*IF(E313="FUTURE",VLOOKUP(MID(I313,2,2),[1]Futures!$A$2:$B$12,2),1),"")</f>
        <v/>
      </c>
    </row>
    <row r="314" spans="1:19" x14ac:dyDescent="0.2">
      <c r="A314">
        <f t="shared" si="13"/>
        <v>85</v>
      </c>
      <c r="B314" s="3">
        <v>43936</v>
      </c>
      <c r="C314" s="3" t="str">
        <f t="shared" si="15"/>
        <v>Wednesday</v>
      </c>
      <c r="D314" s="2">
        <v>0.3972222222222222</v>
      </c>
      <c r="E314" t="s">
        <v>22</v>
      </c>
      <c r="F314" t="s">
        <v>19</v>
      </c>
      <c r="G314">
        <v>100</v>
      </c>
      <c r="H314" t="s">
        <v>20</v>
      </c>
      <c r="I314" t="s">
        <v>23</v>
      </c>
      <c r="L314" t="s">
        <v>22</v>
      </c>
      <c r="M314">
        <v>39.82</v>
      </c>
      <c r="N314">
        <v>39.82</v>
      </c>
      <c r="O314" t="s">
        <v>21</v>
      </c>
      <c r="P314">
        <f t="shared" si="14"/>
        <v>300</v>
      </c>
      <c r="Q314" s="11">
        <f>IF(P314=0,0,IFERROR(Q313+G314*M314*IF(E314="FUTURE",VLOOKUP(MID(I314,2,2),[1]Futures!$A$2:$B$12,2),1),G314*M314*IF(E314="FUTURE",VLOOKUP(MID(I314,2,2),[1]Futures!$A$2:$B$12,2),1)))</f>
        <v>11996</v>
      </c>
      <c r="R314" s="12">
        <f>IFERROR(Q314/P314/IF(E314="FUTURE",VLOOKUP(MID(I314,2,2),[1]Futures!$A$2:$B$12,2),1),"")</f>
        <v>39.986666666666665</v>
      </c>
      <c r="S314" s="13" t="str">
        <f>IF(AND(H314="TO CLOSE",P314=0),-G314*(M314-R313)*IF(E314="FUTURE",VLOOKUP(MID(I314,2,2),[1]Futures!$A$2:$B$12,2),1),"")</f>
        <v/>
      </c>
    </row>
    <row r="315" spans="1:19" x14ac:dyDescent="0.2">
      <c r="A315">
        <f t="shared" si="13"/>
        <v>85</v>
      </c>
      <c r="B315" s="3">
        <v>43936</v>
      </c>
      <c r="C315" s="3" t="str">
        <f t="shared" si="15"/>
        <v>Wednesday</v>
      </c>
      <c r="D315" s="2">
        <v>0.39803240740740736</v>
      </c>
      <c r="E315" t="s">
        <v>22</v>
      </c>
      <c r="F315" t="s">
        <v>19</v>
      </c>
      <c r="G315">
        <v>100</v>
      </c>
      <c r="H315" t="s">
        <v>20</v>
      </c>
      <c r="I315" t="s">
        <v>23</v>
      </c>
      <c r="L315" t="s">
        <v>22</v>
      </c>
      <c r="M315">
        <v>39.559899999999999</v>
      </c>
      <c r="N315">
        <v>39.559899999999999</v>
      </c>
      <c r="O315" t="s">
        <v>24</v>
      </c>
      <c r="P315">
        <f t="shared" si="14"/>
        <v>400</v>
      </c>
      <c r="Q315" s="11">
        <f>IF(P315=0,0,IFERROR(Q314+G315*M315*IF(E315="FUTURE",VLOOKUP(MID(I315,2,2),[1]Futures!$A$2:$B$12,2),1),G315*M315*IF(E315="FUTURE",VLOOKUP(MID(I315,2,2),[1]Futures!$A$2:$B$12,2),1)))</f>
        <v>15951.99</v>
      </c>
      <c r="R315" s="12">
        <f>IFERROR(Q315/P315/IF(E315="FUTURE",VLOOKUP(MID(I315,2,2),[1]Futures!$A$2:$B$12,2),1),"")</f>
        <v>39.879975000000002</v>
      </c>
      <c r="S315" s="13" t="str">
        <f>IF(AND(H315="TO CLOSE",P315=0),-G315*(M315-R314)*IF(E315="FUTURE",VLOOKUP(MID(I315,2,2),[1]Futures!$A$2:$B$12,2),1),"")</f>
        <v/>
      </c>
    </row>
    <row r="316" spans="1:19" x14ac:dyDescent="0.2">
      <c r="A316">
        <f t="shared" si="13"/>
        <v>85</v>
      </c>
      <c r="B316" s="3">
        <v>43936</v>
      </c>
      <c r="C316" s="3" t="str">
        <f t="shared" si="15"/>
        <v>Wednesday</v>
      </c>
      <c r="D316" s="2">
        <v>0.40704861111111112</v>
      </c>
      <c r="E316" t="s">
        <v>22</v>
      </c>
      <c r="F316" t="s">
        <v>15</v>
      </c>
      <c r="G316">
        <v>-200</v>
      </c>
      <c r="H316" t="s">
        <v>16</v>
      </c>
      <c r="I316" t="s">
        <v>23</v>
      </c>
      <c r="L316" t="s">
        <v>22</v>
      </c>
      <c r="M316">
        <v>40.070099999999996</v>
      </c>
      <c r="N316">
        <v>40.070099999999996</v>
      </c>
      <c r="O316" t="s">
        <v>21</v>
      </c>
      <c r="P316">
        <f t="shared" si="14"/>
        <v>200</v>
      </c>
      <c r="Q316" s="11">
        <f>IF(P316=0,0,IFERROR(Q315+G316*M316*IF(E316="FUTURE",VLOOKUP(MID(I316,2,2),[1]Futures!$A$2:$B$12,2),1),G316*M316*IF(E316="FUTURE",VLOOKUP(MID(I316,2,2),[1]Futures!$A$2:$B$12,2),1)))</f>
        <v>7937.97</v>
      </c>
      <c r="R316" s="12">
        <f>IFERROR(Q316/P316/IF(E316="FUTURE",VLOOKUP(MID(I316,2,2),[1]Futures!$A$2:$B$12,2),1),"")</f>
        <v>39.68985</v>
      </c>
      <c r="S316" s="13" t="str">
        <f>IF(AND(H316="TO CLOSE",P316=0),-G316*(M316-R315)*IF(E316="FUTURE",VLOOKUP(MID(I316,2,2),[1]Futures!$A$2:$B$12,2),1),"")</f>
        <v/>
      </c>
    </row>
    <row r="317" spans="1:19" x14ac:dyDescent="0.2">
      <c r="A317">
        <f t="shared" si="13"/>
        <v>85</v>
      </c>
      <c r="B317" s="3">
        <v>43936</v>
      </c>
      <c r="C317" s="3" t="str">
        <f t="shared" si="15"/>
        <v>Wednesday</v>
      </c>
      <c r="D317" s="2">
        <v>0.41064814814814815</v>
      </c>
      <c r="E317" t="s">
        <v>22</v>
      </c>
      <c r="F317" t="s">
        <v>15</v>
      </c>
      <c r="G317">
        <v>-100</v>
      </c>
      <c r="H317" t="s">
        <v>16</v>
      </c>
      <c r="I317" t="s">
        <v>23</v>
      </c>
      <c r="L317" t="s">
        <v>22</v>
      </c>
      <c r="M317">
        <v>40</v>
      </c>
      <c r="N317">
        <v>40</v>
      </c>
      <c r="O317" t="s">
        <v>21</v>
      </c>
      <c r="P317">
        <f t="shared" si="14"/>
        <v>100</v>
      </c>
      <c r="Q317" s="11">
        <f>IF(P317=0,0,IFERROR(Q316+G317*M317*IF(E317="FUTURE",VLOOKUP(MID(I317,2,2),[1]Futures!$A$2:$B$12,2),1),G317*M317*IF(E317="FUTURE",VLOOKUP(MID(I317,2,2),[1]Futures!$A$2:$B$12,2),1)))</f>
        <v>3937.9700000000003</v>
      </c>
      <c r="R317" s="12">
        <f>IFERROR(Q317/P317/IF(E317="FUTURE",VLOOKUP(MID(I317,2,2),[1]Futures!$A$2:$B$12,2),1),"")</f>
        <v>39.3797</v>
      </c>
      <c r="S317" s="13" t="str">
        <f>IF(AND(H317="TO CLOSE",P317=0),-G317*(M317-R316)*IF(E317="FUTURE",VLOOKUP(MID(I317,2,2),[1]Futures!$A$2:$B$12,2),1),"")</f>
        <v/>
      </c>
    </row>
    <row r="318" spans="1:19" x14ac:dyDescent="0.2">
      <c r="A318">
        <f t="shared" si="13"/>
        <v>85</v>
      </c>
      <c r="B318" s="3">
        <v>43936</v>
      </c>
      <c r="C318" s="3" t="str">
        <f t="shared" si="15"/>
        <v>Wednesday</v>
      </c>
      <c r="D318" s="2">
        <v>0.41067129629629634</v>
      </c>
      <c r="E318" t="s">
        <v>22</v>
      </c>
      <c r="F318" t="s">
        <v>15</v>
      </c>
      <c r="G318">
        <v>-100</v>
      </c>
      <c r="H318" t="s">
        <v>16</v>
      </c>
      <c r="I318" t="s">
        <v>23</v>
      </c>
      <c r="L318" t="s">
        <v>22</v>
      </c>
      <c r="M318">
        <v>40</v>
      </c>
      <c r="N318">
        <v>40</v>
      </c>
      <c r="O318" t="s">
        <v>21</v>
      </c>
      <c r="P318">
        <f t="shared" si="14"/>
        <v>0</v>
      </c>
      <c r="Q318" s="11">
        <f>IF(P318=0,0,IFERROR(Q317+G318*M318*IF(E318="FUTURE",VLOOKUP(MID(I318,2,2),[1]Futures!$A$2:$B$12,2),1),G318*M318*IF(E318="FUTURE",VLOOKUP(MID(I318,2,2),[1]Futures!$A$2:$B$12,2),1)))</f>
        <v>0</v>
      </c>
      <c r="R318" s="12" t="str">
        <f>IFERROR(Q318/P318/IF(E318="FUTURE",VLOOKUP(MID(I318,2,2),[1]Futures!$A$2:$B$12,2),1),"")</f>
        <v/>
      </c>
      <c r="S318" s="13">
        <f>IF(AND(H318="TO CLOSE",P318=0),-G318*(M318-R317)*IF(E318="FUTURE",VLOOKUP(MID(I318,2,2),[1]Futures!$A$2:$B$12,2),1),"")</f>
        <v>62.03000000000003</v>
      </c>
    </row>
    <row r="319" spans="1:19" x14ac:dyDescent="0.2">
      <c r="A319">
        <f t="shared" si="13"/>
        <v>86</v>
      </c>
      <c r="B319" s="3">
        <v>43936</v>
      </c>
      <c r="C319" s="3" t="str">
        <f t="shared" si="15"/>
        <v>Wednesday</v>
      </c>
      <c r="D319" s="2">
        <v>0.41967592592592595</v>
      </c>
      <c r="E319" t="s">
        <v>22</v>
      </c>
      <c r="F319" t="s">
        <v>19</v>
      </c>
      <c r="G319">
        <v>200</v>
      </c>
      <c r="H319" t="s">
        <v>20</v>
      </c>
      <c r="I319" t="s">
        <v>23</v>
      </c>
      <c r="L319" t="s">
        <v>22</v>
      </c>
      <c r="M319">
        <v>40.49</v>
      </c>
      <c r="N319">
        <v>40.49</v>
      </c>
      <c r="O319" t="s">
        <v>21</v>
      </c>
      <c r="P319">
        <f t="shared" si="14"/>
        <v>200</v>
      </c>
      <c r="Q319" s="11">
        <f>IF(P319=0,0,IFERROR(Q318+G319*M319*IF(E319="FUTURE",VLOOKUP(MID(I319,2,2),[1]Futures!$A$2:$B$12,2),1),G319*M319*IF(E319="FUTURE",VLOOKUP(MID(I319,2,2),[1]Futures!$A$2:$B$12,2),1)))</f>
        <v>8098</v>
      </c>
      <c r="R319" s="12">
        <f>IFERROR(Q319/P319/IF(E319="FUTURE",VLOOKUP(MID(I319,2,2),[1]Futures!$A$2:$B$12,2),1),"")</f>
        <v>40.49</v>
      </c>
      <c r="S319" s="13" t="str">
        <f>IF(AND(H319="TO CLOSE",P319=0),-G319*(M319-R318)*IF(E319="FUTURE",VLOOKUP(MID(I319,2,2),[1]Futures!$A$2:$B$12,2),1),"")</f>
        <v/>
      </c>
    </row>
    <row r="320" spans="1:19" x14ac:dyDescent="0.2">
      <c r="A320">
        <f t="shared" si="13"/>
        <v>86</v>
      </c>
      <c r="B320" s="3">
        <v>43936</v>
      </c>
      <c r="C320" s="3" t="str">
        <f t="shared" si="15"/>
        <v>Wednesday</v>
      </c>
      <c r="D320" s="2">
        <v>0.42077546296296298</v>
      </c>
      <c r="E320" t="s">
        <v>22</v>
      </c>
      <c r="F320" t="s">
        <v>15</v>
      </c>
      <c r="G320">
        <v>-100</v>
      </c>
      <c r="H320" t="s">
        <v>16</v>
      </c>
      <c r="I320" t="s">
        <v>23</v>
      </c>
      <c r="L320" t="s">
        <v>22</v>
      </c>
      <c r="M320">
        <v>40.5</v>
      </c>
      <c r="N320">
        <v>40.5</v>
      </c>
      <c r="O320" t="s">
        <v>18</v>
      </c>
      <c r="P320">
        <f t="shared" si="14"/>
        <v>100</v>
      </c>
      <c r="Q320" s="11">
        <f>IF(P320=0,0,IFERROR(Q319+G320*M320*IF(E320="FUTURE",VLOOKUP(MID(I320,2,2),[1]Futures!$A$2:$B$12,2),1),G320*M320*IF(E320="FUTURE",VLOOKUP(MID(I320,2,2),[1]Futures!$A$2:$B$12,2),1)))</f>
        <v>4048</v>
      </c>
      <c r="R320" s="12">
        <f>IFERROR(Q320/P320/IF(E320="FUTURE",VLOOKUP(MID(I320,2,2),[1]Futures!$A$2:$B$12,2),1),"")</f>
        <v>40.479999999999997</v>
      </c>
      <c r="S320" s="13" t="str">
        <f>IF(AND(H320="TO CLOSE",P320=0),-G320*(M320-R319)*IF(E320="FUTURE",VLOOKUP(MID(I320,2,2),[1]Futures!$A$2:$B$12,2),1),"")</f>
        <v/>
      </c>
    </row>
    <row r="321" spans="1:19" x14ac:dyDescent="0.2">
      <c r="A321">
        <f t="shared" si="13"/>
        <v>86</v>
      </c>
      <c r="B321" s="3">
        <v>43936</v>
      </c>
      <c r="C321" s="3" t="str">
        <f t="shared" si="15"/>
        <v>Wednesday</v>
      </c>
      <c r="D321" s="2">
        <v>0.42077546296296298</v>
      </c>
      <c r="E321" t="s">
        <v>22</v>
      </c>
      <c r="F321" t="s">
        <v>15</v>
      </c>
      <c r="G321">
        <v>-100</v>
      </c>
      <c r="H321" t="s">
        <v>16</v>
      </c>
      <c r="I321" t="s">
        <v>23</v>
      </c>
      <c r="L321" t="s">
        <v>22</v>
      </c>
      <c r="M321">
        <v>40.5</v>
      </c>
      <c r="N321">
        <v>40.5</v>
      </c>
      <c r="O321" t="s">
        <v>18</v>
      </c>
      <c r="P321">
        <f t="shared" si="14"/>
        <v>0</v>
      </c>
      <c r="Q321" s="11">
        <f>IF(P321=0,0,IFERROR(Q320+G321*M321*IF(E321="FUTURE",VLOOKUP(MID(I321,2,2),[1]Futures!$A$2:$B$12,2),1),G321*M321*IF(E321="FUTURE",VLOOKUP(MID(I321,2,2),[1]Futures!$A$2:$B$12,2),1)))</f>
        <v>0</v>
      </c>
      <c r="R321" s="12" t="str">
        <f>IFERROR(Q321/P321/IF(E321="FUTURE",VLOOKUP(MID(I321,2,2),[1]Futures!$A$2:$B$12,2),1),"")</f>
        <v/>
      </c>
      <c r="S321" s="13">
        <f>IF(AND(H321="TO CLOSE",P321=0),-G321*(M321-R320)*IF(E321="FUTURE",VLOOKUP(MID(I321,2,2),[1]Futures!$A$2:$B$12,2),1),"")</f>
        <v>2.0000000000003126</v>
      </c>
    </row>
    <row r="322" spans="1:19" x14ac:dyDescent="0.2">
      <c r="A322">
        <f t="shared" ref="A322:A385" si="16">IF(AND(P321=0,H321="TO CLOSE"),IFERROR(A321+1,1),IFERROR(A321/1,1))</f>
        <v>87</v>
      </c>
      <c r="B322" s="3">
        <v>43937</v>
      </c>
      <c r="C322" s="3" t="str">
        <f t="shared" si="15"/>
        <v>Thursday</v>
      </c>
      <c r="D322" s="2">
        <v>0.3976851851851852</v>
      </c>
      <c r="E322" t="s">
        <v>14</v>
      </c>
      <c r="F322" t="s">
        <v>19</v>
      </c>
      <c r="G322">
        <v>1</v>
      </c>
      <c r="H322" t="s">
        <v>20</v>
      </c>
      <c r="I322" t="s">
        <v>36</v>
      </c>
      <c r="J322" s="1">
        <v>43971</v>
      </c>
      <c r="L322" t="s">
        <v>14</v>
      </c>
      <c r="M322">
        <v>20.3</v>
      </c>
      <c r="N322">
        <v>20.3</v>
      </c>
      <c r="O322" t="s">
        <v>24</v>
      </c>
      <c r="P322">
        <f t="shared" si="14"/>
        <v>1</v>
      </c>
      <c r="Q322" s="11">
        <f>IF(P322=0,0,IFERROR(Q321+G322*M322*IF(E322="FUTURE",VLOOKUP(MID(I322,2,2),[1]Futures!$A$2:$B$12,2),1),G322*M322*IF(E322="FUTURE",VLOOKUP(MID(I322,2,2),[1]Futures!$A$2:$B$12,2),1)))</f>
        <v>20300</v>
      </c>
      <c r="R322" s="12">
        <f>IFERROR(Q322/P322/IF(E322="FUTURE",VLOOKUP(MID(I322,2,2),[1]Futures!$A$2:$B$12,2),1),"")</f>
        <v>20.3</v>
      </c>
      <c r="S322" s="13" t="str">
        <f>IF(AND(H322="TO CLOSE",P322=0),-G322*(M322-R321)*IF(E322="FUTURE",VLOOKUP(MID(I322,2,2),[1]Futures!$A$2:$B$12,2),1),"")</f>
        <v/>
      </c>
    </row>
    <row r="323" spans="1:19" x14ac:dyDescent="0.2">
      <c r="A323">
        <f t="shared" si="16"/>
        <v>87</v>
      </c>
      <c r="B323" s="3">
        <v>43937</v>
      </c>
      <c r="C323" s="3" t="str">
        <f t="shared" si="15"/>
        <v>Thursday</v>
      </c>
      <c r="D323" s="2">
        <v>0.41480324074074071</v>
      </c>
      <c r="E323" t="s">
        <v>14</v>
      </c>
      <c r="F323" t="s">
        <v>15</v>
      </c>
      <c r="G323">
        <v>-2</v>
      </c>
      <c r="H323" t="s">
        <v>16</v>
      </c>
      <c r="I323" t="s">
        <v>36</v>
      </c>
      <c r="J323" s="1">
        <v>43971</v>
      </c>
      <c r="L323" t="s">
        <v>14</v>
      </c>
      <c r="M323">
        <v>20.100000000000001</v>
      </c>
      <c r="N323">
        <v>20.100000000000001</v>
      </c>
      <c r="O323" t="s">
        <v>21</v>
      </c>
      <c r="P323">
        <f t="shared" ref="P323:P386" si="17">IF(H323="TO OPEN",IFERROR(P322+G323,0+G323),IFERROR(P322+G323,0+G323))</f>
        <v>-1</v>
      </c>
      <c r="Q323" s="11">
        <f>IF(P323=0,0,IFERROR(Q322+G323*M323*IF(E323="FUTURE",VLOOKUP(MID(I323,2,2),[1]Futures!$A$2:$B$12,2),1),G323*M323*IF(E323="FUTURE",VLOOKUP(MID(I323,2,2),[1]Futures!$A$2:$B$12,2),1)))</f>
        <v>-19900</v>
      </c>
      <c r="R323" s="12">
        <f>IFERROR(Q323/P323/IF(E323="FUTURE",VLOOKUP(MID(I323,2,2),[1]Futures!$A$2:$B$12,2),1),"")</f>
        <v>19.899999999999999</v>
      </c>
      <c r="S323" s="13" t="str">
        <f>IF(AND(H323="TO CLOSE",P323=0),-G323*(M323-R322)*IF(E323="FUTURE",VLOOKUP(MID(I323,2,2),[1]Futures!$A$2:$B$12,2),1),"")</f>
        <v/>
      </c>
    </row>
    <row r="324" spans="1:19" x14ac:dyDescent="0.2">
      <c r="A324">
        <f t="shared" si="16"/>
        <v>87</v>
      </c>
      <c r="B324" s="3">
        <v>43937</v>
      </c>
      <c r="C324" s="3" t="str">
        <f t="shared" si="15"/>
        <v>Thursday</v>
      </c>
      <c r="D324" s="2">
        <v>0.41712962962962963</v>
      </c>
      <c r="E324" t="s">
        <v>14</v>
      </c>
      <c r="F324" t="s">
        <v>15</v>
      </c>
      <c r="G324">
        <v>-1</v>
      </c>
      <c r="H324" t="s">
        <v>20</v>
      </c>
      <c r="I324" t="s">
        <v>36</v>
      </c>
      <c r="J324" s="1">
        <v>43971</v>
      </c>
      <c r="L324" t="s">
        <v>14</v>
      </c>
      <c r="M324">
        <v>19.989999999999998</v>
      </c>
      <c r="N324">
        <v>19.989999999999998</v>
      </c>
      <c r="O324" t="s">
        <v>24</v>
      </c>
      <c r="P324">
        <f t="shared" si="17"/>
        <v>-2</v>
      </c>
      <c r="Q324" s="11">
        <f>IF(P324=0,0,IFERROR(Q323+G324*M324*IF(E324="FUTURE",VLOOKUP(MID(I324,2,2),[1]Futures!$A$2:$B$12,2),1),G324*M324*IF(E324="FUTURE",VLOOKUP(MID(I324,2,2),[1]Futures!$A$2:$B$12,2),1)))</f>
        <v>-39890</v>
      </c>
      <c r="R324" s="12">
        <f>IFERROR(Q324/P324/IF(E324="FUTURE",VLOOKUP(MID(I324,2,2),[1]Futures!$A$2:$B$12,2),1),"")</f>
        <v>19.945</v>
      </c>
      <c r="S324" s="13" t="str">
        <f>IF(AND(H324="TO CLOSE",P324=0),-G324*(M324-R323)*IF(E324="FUTURE",VLOOKUP(MID(I324,2,2),[1]Futures!$A$2:$B$12,2),1),"")</f>
        <v/>
      </c>
    </row>
    <row r="325" spans="1:19" x14ac:dyDescent="0.2">
      <c r="A325">
        <f t="shared" si="16"/>
        <v>87</v>
      </c>
      <c r="B325" s="3">
        <v>43937</v>
      </c>
      <c r="C325" s="3" t="str">
        <f t="shared" si="15"/>
        <v>Thursday</v>
      </c>
      <c r="D325" s="2">
        <v>0.42153935185185182</v>
      </c>
      <c r="E325" t="s">
        <v>14</v>
      </c>
      <c r="F325" t="s">
        <v>19</v>
      </c>
      <c r="G325">
        <v>1</v>
      </c>
      <c r="H325" t="s">
        <v>16</v>
      </c>
      <c r="I325" t="s">
        <v>36</v>
      </c>
      <c r="J325" s="1">
        <v>43971</v>
      </c>
      <c r="L325" t="s">
        <v>14</v>
      </c>
      <c r="M325">
        <v>20</v>
      </c>
      <c r="N325">
        <v>20</v>
      </c>
      <c r="O325" t="s">
        <v>21</v>
      </c>
      <c r="P325">
        <f t="shared" si="17"/>
        <v>-1</v>
      </c>
      <c r="Q325" s="11">
        <f>IF(P325=0,0,IFERROR(Q324+G325*M325*IF(E325="FUTURE",VLOOKUP(MID(I325,2,2),[1]Futures!$A$2:$B$12,2),1),G325*M325*IF(E325="FUTURE",VLOOKUP(MID(I325,2,2),[1]Futures!$A$2:$B$12,2),1)))</f>
        <v>-19890</v>
      </c>
      <c r="R325" s="12">
        <f>IFERROR(Q325/P325/IF(E325="FUTURE",VLOOKUP(MID(I325,2,2),[1]Futures!$A$2:$B$12,2),1),"")</f>
        <v>19.89</v>
      </c>
      <c r="S325" s="13" t="str">
        <f>IF(AND(H325="TO CLOSE",P325=0),-G325*(M325-R324)*IF(E325="FUTURE",VLOOKUP(MID(I325,2,2),[1]Futures!$A$2:$B$12,2),1),"")</f>
        <v/>
      </c>
    </row>
    <row r="326" spans="1:19" x14ac:dyDescent="0.2">
      <c r="A326">
        <f t="shared" si="16"/>
        <v>87</v>
      </c>
      <c r="B326" s="3">
        <v>43937</v>
      </c>
      <c r="C326" s="3" t="str">
        <f t="shared" si="15"/>
        <v>Thursday</v>
      </c>
      <c r="D326" s="2">
        <v>0.4225694444444445</v>
      </c>
      <c r="E326" t="s">
        <v>14</v>
      </c>
      <c r="F326" t="s">
        <v>15</v>
      </c>
      <c r="G326">
        <v>-1</v>
      </c>
      <c r="H326" t="s">
        <v>20</v>
      </c>
      <c r="I326" t="s">
        <v>36</v>
      </c>
      <c r="J326" s="1">
        <v>43971</v>
      </c>
      <c r="L326" t="s">
        <v>14</v>
      </c>
      <c r="M326">
        <v>19.940000000000001</v>
      </c>
      <c r="N326">
        <v>19.940000000000001</v>
      </c>
      <c r="O326" t="s">
        <v>18</v>
      </c>
      <c r="P326">
        <f t="shared" si="17"/>
        <v>-2</v>
      </c>
      <c r="Q326" s="11">
        <f>IF(P326=0,0,IFERROR(Q325+G326*M326*IF(E326="FUTURE",VLOOKUP(MID(I326,2,2),[1]Futures!$A$2:$B$12,2),1),G326*M326*IF(E326="FUTURE",VLOOKUP(MID(I326,2,2),[1]Futures!$A$2:$B$12,2),1)))</f>
        <v>-39830</v>
      </c>
      <c r="R326" s="12">
        <f>IFERROR(Q326/P326/IF(E326="FUTURE",VLOOKUP(MID(I326,2,2),[1]Futures!$A$2:$B$12,2),1),"")</f>
        <v>19.914999999999999</v>
      </c>
      <c r="S326" s="13" t="str">
        <f>IF(AND(H326="TO CLOSE",P326=0),-G326*(M326-R325)*IF(E326="FUTURE",VLOOKUP(MID(I326,2,2),[1]Futures!$A$2:$B$12,2),1),"")</f>
        <v/>
      </c>
    </row>
    <row r="327" spans="1:19" x14ac:dyDescent="0.2">
      <c r="A327">
        <f t="shared" si="16"/>
        <v>87</v>
      </c>
      <c r="B327" s="3">
        <v>43937</v>
      </c>
      <c r="C327" s="3" t="str">
        <f t="shared" si="15"/>
        <v>Thursday</v>
      </c>
      <c r="D327" s="2">
        <v>0.42359953703703707</v>
      </c>
      <c r="E327" t="s">
        <v>14</v>
      </c>
      <c r="F327" t="s">
        <v>15</v>
      </c>
      <c r="G327">
        <v>-1</v>
      </c>
      <c r="H327" t="s">
        <v>20</v>
      </c>
      <c r="I327" t="s">
        <v>36</v>
      </c>
      <c r="J327" s="1">
        <v>43971</v>
      </c>
      <c r="L327" t="s">
        <v>14</v>
      </c>
      <c r="M327">
        <v>20.100000000000001</v>
      </c>
      <c r="N327">
        <v>20.100000000000001</v>
      </c>
      <c r="O327" t="s">
        <v>21</v>
      </c>
      <c r="P327">
        <f t="shared" si="17"/>
        <v>-3</v>
      </c>
      <c r="Q327" s="11">
        <f>IF(P327=0,0,IFERROR(Q326+G327*M327*IF(E327="FUTURE",VLOOKUP(MID(I327,2,2),[1]Futures!$A$2:$B$12,2),1),G327*M327*IF(E327="FUTURE",VLOOKUP(MID(I327,2,2),[1]Futures!$A$2:$B$12,2),1)))</f>
        <v>-59930</v>
      </c>
      <c r="R327" s="12">
        <f>IFERROR(Q327/P327/IF(E327="FUTURE",VLOOKUP(MID(I327,2,2),[1]Futures!$A$2:$B$12,2),1),"")</f>
        <v>19.976666666666667</v>
      </c>
      <c r="S327" s="13" t="str">
        <f>IF(AND(H327="TO CLOSE",P327=0),-G327*(M327-R326)*IF(E327="FUTURE",VLOOKUP(MID(I327,2,2),[1]Futures!$A$2:$B$12,2),1),"")</f>
        <v/>
      </c>
    </row>
    <row r="328" spans="1:19" x14ac:dyDescent="0.2">
      <c r="A328">
        <f t="shared" si="16"/>
        <v>87</v>
      </c>
      <c r="B328" s="3">
        <v>43937</v>
      </c>
      <c r="C328" s="3" t="str">
        <f t="shared" si="15"/>
        <v>Thursday</v>
      </c>
      <c r="D328" s="2">
        <v>0.42480324074074072</v>
      </c>
      <c r="E328" t="s">
        <v>14</v>
      </c>
      <c r="F328" t="s">
        <v>19</v>
      </c>
      <c r="G328">
        <v>1</v>
      </c>
      <c r="H328" t="s">
        <v>16</v>
      </c>
      <c r="I328" t="s">
        <v>36</v>
      </c>
      <c r="J328" s="1">
        <v>43971</v>
      </c>
      <c r="L328" t="s">
        <v>14</v>
      </c>
      <c r="M328">
        <v>20.010000000000002</v>
      </c>
      <c r="N328">
        <v>20.010000000000002</v>
      </c>
      <c r="O328" t="s">
        <v>21</v>
      </c>
      <c r="P328">
        <f t="shared" si="17"/>
        <v>-2</v>
      </c>
      <c r="Q328" s="11">
        <f>IF(P328=0,0,IFERROR(Q327+G328*M328*IF(E328="FUTURE",VLOOKUP(MID(I328,2,2),[1]Futures!$A$2:$B$12,2),1),G328*M328*IF(E328="FUTURE",VLOOKUP(MID(I328,2,2),[1]Futures!$A$2:$B$12,2),1)))</f>
        <v>-39920</v>
      </c>
      <c r="R328" s="12">
        <f>IFERROR(Q328/P328/IF(E328="FUTURE",VLOOKUP(MID(I328,2,2),[1]Futures!$A$2:$B$12,2),1),"")</f>
        <v>19.96</v>
      </c>
      <c r="S328" s="13" t="str">
        <f>IF(AND(H328="TO CLOSE",P328=0),-G328*(M328-R327)*IF(E328="FUTURE",VLOOKUP(MID(I328,2,2),[1]Futures!$A$2:$B$12,2),1),"")</f>
        <v/>
      </c>
    </row>
    <row r="329" spans="1:19" x14ac:dyDescent="0.2">
      <c r="A329">
        <f t="shared" si="16"/>
        <v>87</v>
      </c>
      <c r="B329" s="3">
        <v>43937</v>
      </c>
      <c r="C329" s="3" t="str">
        <f t="shared" si="15"/>
        <v>Thursday</v>
      </c>
      <c r="D329" s="2">
        <v>0.42738425925925921</v>
      </c>
      <c r="E329" t="s">
        <v>14</v>
      </c>
      <c r="F329" t="s">
        <v>19</v>
      </c>
      <c r="G329">
        <v>1</v>
      </c>
      <c r="H329" t="s">
        <v>16</v>
      </c>
      <c r="I329" t="s">
        <v>36</v>
      </c>
      <c r="J329" s="1">
        <v>43971</v>
      </c>
      <c r="L329" t="s">
        <v>14</v>
      </c>
      <c r="M329">
        <v>19.920000000000002</v>
      </c>
      <c r="N329">
        <v>19.920000000000002</v>
      </c>
      <c r="O329" t="s">
        <v>21</v>
      </c>
      <c r="P329">
        <f t="shared" si="17"/>
        <v>-1</v>
      </c>
      <c r="Q329" s="11">
        <f>IF(P329=0,0,IFERROR(Q328+G329*M329*IF(E329="FUTURE",VLOOKUP(MID(I329,2,2),[1]Futures!$A$2:$B$12,2),1),G329*M329*IF(E329="FUTURE",VLOOKUP(MID(I329,2,2),[1]Futures!$A$2:$B$12,2),1)))</f>
        <v>-20000</v>
      </c>
      <c r="R329" s="12">
        <f>IFERROR(Q329/P329/IF(E329="FUTURE",VLOOKUP(MID(I329,2,2),[1]Futures!$A$2:$B$12,2),1),"")</f>
        <v>20</v>
      </c>
      <c r="S329" s="13" t="str">
        <f>IF(AND(H329="TO CLOSE",P329=0),-G329*(M329-R328)*IF(E329="FUTURE",VLOOKUP(MID(I329,2,2),[1]Futures!$A$2:$B$12,2),1),"")</f>
        <v/>
      </c>
    </row>
    <row r="330" spans="1:19" x14ac:dyDescent="0.2">
      <c r="A330">
        <f t="shared" si="16"/>
        <v>87</v>
      </c>
      <c r="B330" s="3">
        <v>43937</v>
      </c>
      <c r="C330" s="3" t="str">
        <f t="shared" si="15"/>
        <v>Thursday</v>
      </c>
      <c r="D330" s="2">
        <v>0.42788194444444444</v>
      </c>
      <c r="E330" t="s">
        <v>14</v>
      </c>
      <c r="F330" t="s">
        <v>19</v>
      </c>
      <c r="G330">
        <v>1</v>
      </c>
      <c r="H330" t="s">
        <v>16</v>
      </c>
      <c r="I330" t="s">
        <v>36</v>
      </c>
      <c r="J330" s="1">
        <v>43971</v>
      </c>
      <c r="L330" t="s">
        <v>14</v>
      </c>
      <c r="M330">
        <v>19.96</v>
      </c>
      <c r="N330">
        <v>19.96</v>
      </c>
      <c r="O330" t="s">
        <v>18</v>
      </c>
      <c r="P330">
        <f t="shared" si="17"/>
        <v>0</v>
      </c>
      <c r="Q330" s="11">
        <f>IF(P330=0,0,IFERROR(Q329+G330*M330*IF(E330="FUTURE",VLOOKUP(MID(I330,2,2),[1]Futures!$A$2:$B$12,2),1),G330*M330*IF(E330="FUTURE",VLOOKUP(MID(I330,2,2),[1]Futures!$A$2:$B$12,2),1)))</f>
        <v>0</v>
      </c>
      <c r="R330" s="12" t="str">
        <f>IFERROR(Q330/P330/IF(E330="FUTURE",VLOOKUP(MID(I330,2,2),[1]Futures!$A$2:$B$12,2),1),"")</f>
        <v/>
      </c>
      <c r="S330" s="13">
        <f>IF(AND(H330="TO CLOSE",P330=0),-G330*(M330-R329)*IF(E330="FUTURE",VLOOKUP(MID(I330,2,2),[1]Futures!$A$2:$B$12,2),1),"")</f>
        <v>39.999999999999147</v>
      </c>
    </row>
    <row r="331" spans="1:19" x14ac:dyDescent="0.2">
      <c r="A331">
        <f t="shared" si="16"/>
        <v>88</v>
      </c>
      <c r="B331" s="3">
        <v>43937</v>
      </c>
      <c r="C331" s="3" t="str">
        <f t="shared" si="15"/>
        <v>Thursday</v>
      </c>
      <c r="D331" s="2">
        <v>0.43501157407407409</v>
      </c>
      <c r="E331" t="s">
        <v>14</v>
      </c>
      <c r="F331" t="s">
        <v>19</v>
      </c>
      <c r="G331">
        <v>1</v>
      </c>
      <c r="H331" t="s">
        <v>20</v>
      </c>
      <c r="I331" t="s">
        <v>36</v>
      </c>
      <c r="J331" s="1">
        <v>43971</v>
      </c>
      <c r="L331" t="s">
        <v>14</v>
      </c>
      <c r="M331">
        <v>19.940000000000001</v>
      </c>
      <c r="N331">
        <v>19.940000000000001</v>
      </c>
      <c r="O331" t="s">
        <v>24</v>
      </c>
      <c r="P331">
        <f t="shared" si="17"/>
        <v>1</v>
      </c>
      <c r="Q331" s="11">
        <f>IF(P331=0,0,IFERROR(Q330+G331*M331*IF(E331="FUTURE",VLOOKUP(MID(I331,2,2),[1]Futures!$A$2:$B$12,2),1),G331*M331*IF(E331="FUTURE",VLOOKUP(MID(I331,2,2),[1]Futures!$A$2:$B$12,2),1)))</f>
        <v>19940</v>
      </c>
      <c r="R331" s="12">
        <f>IFERROR(Q331/P331/IF(E331="FUTURE",VLOOKUP(MID(I331,2,2),[1]Futures!$A$2:$B$12,2),1),"")</f>
        <v>19.940000000000001</v>
      </c>
      <c r="S331" s="13" t="str">
        <f>IF(AND(H331="TO CLOSE",P331=0),-G331*(M331-R330)*IF(E331="FUTURE",VLOOKUP(MID(I331,2,2),[1]Futures!$A$2:$B$12,2),1),"")</f>
        <v/>
      </c>
    </row>
    <row r="332" spans="1:19" x14ac:dyDescent="0.2">
      <c r="A332">
        <f t="shared" si="16"/>
        <v>88</v>
      </c>
      <c r="B332" s="3">
        <v>43937</v>
      </c>
      <c r="C332" s="3" t="str">
        <f t="shared" si="15"/>
        <v>Thursday</v>
      </c>
      <c r="D332" s="2">
        <v>0.44184027777777773</v>
      </c>
      <c r="E332" t="s">
        <v>14</v>
      </c>
      <c r="F332" t="s">
        <v>19</v>
      </c>
      <c r="G332">
        <v>1</v>
      </c>
      <c r="H332" t="s">
        <v>20</v>
      </c>
      <c r="I332" t="s">
        <v>36</v>
      </c>
      <c r="J332" s="1">
        <v>43971</v>
      </c>
      <c r="L332" t="s">
        <v>14</v>
      </c>
      <c r="M332">
        <v>20.04</v>
      </c>
      <c r="N332">
        <v>20.04</v>
      </c>
      <c r="O332" t="s">
        <v>18</v>
      </c>
      <c r="P332">
        <f t="shared" si="17"/>
        <v>2</v>
      </c>
      <c r="Q332" s="11">
        <f>IF(P332=0,0,IFERROR(Q331+G332*M332*IF(E332="FUTURE",VLOOKUP(MID(I332,2,2),[1]Futures!$A$2:$B$12,2),1),G332*M332*IF(E332="FUTURE",VLOOKUP(MID(I332,2,2),[1]Futures!$A$2:$B$12,2),1)))</f>
        <v>39980</v>
      </c>
      <c r="R332" s="12">
        <f>IFERROR(Q332/P332/IF(E332="FUTURE",VLOOKUP(MID(I332,2,2),[1]Futures!$A$2:$B$12,2),1),"")</f>
        <v>19.989999999999998</v>
      </c>
      <c r="S332" s="13" t="str">
        <f>IF(AND(H332="TO CLOSE",P332=0),-G332*(M332-R331)*IF(E332="FUTURE",VLOOKUP(MID(I332,2,2),[1]Futures!$A$2:$B$12,2),1),"")</f>
        <v/>
      </c>
    </row>
    <row r="333" spans="1:19" x14ac:dyDescent="0.2">
      <c r="A333">
        <f t="shared" si="16"/>
        <v>88</v>
      </c>
      <c r="B333" s="3">
        <v>43937</v>
      </c>
      <c r="C333" s="3" t="str">
        <f t="shared" si="15"/>
        <v>Thursday</v>
      </c>
      <c r="D333" s="2">
        <v>0.44540509259259259</v>
      </c>
      <c r="E333" t="s">
        <v>14</v>
      </c>
      <c r="F333" t="s">
        <v>15</v>
      </c>
      <c r="G333">
        <v>-1</v>
      </c>
      <c r="H333" t="s">
        <v>16</v>
      </c>
      <c r="I333" t="s">
        <v>36</v>
      </c>
      <c r="J333" s="1">
        <v>43971</v>
      </c>
      <c r="L333" t="s">
        <v>14</v>
      </c>
      <c r="M333">
        <v>20.09</v>
      </c>
      <c r="N333">
        <v>20.09</v>
      </c>
      <c r="O333" t="s">
        <v>21</v>
      </c>
      <c r="P333">
        <f t="shared" si="17"/>
        <v>1</v>
      </c>
      <c r="Q333" s="11">
        <f>IF(P333=0,0,IFERROR(Q332+G333*M333*IF(E333="FUTURE",VLOOKUP(MID(I333,2,2),[1]Futures!$A$2:$B$12,2),1),G333*M333*IF(E333="FUTURE",VLOOKUP(MID(I333,2,2),[1]Futures!$A$2:$B$12,2),1)))</f>
        <v>19890</v>
      </c>
      <c r="R333" s="12">
        <f>IFERROR(Q333/P333/IF(E333="FUTURE",VLOOKUP(MID(I333,2,2),[1]Futures!$A$2:$B$12,2),1),"")</f>
        <v>19.89</v>
      </c>
      <c r="S333" s="13" t="str">
        <f>IF(AND(H333="TO CLOSE",P333=0),-G333*(M333-R332)*IF(E333="FUTURE",VLOOKUP(MID(I333,2,2),[1]Futures!$A$2:$B$12,2),1),"")</f>
        <v/>
      </c>
    </row>
    <row r="334" spans="1:19" x14ac:dyDescent="0.2">
      <c r="A334">
        <f t="shared" si="16"/>
        <v>88</v>
      </c>
      <c r="B334" s="3">
        <v>43937</v>
      </c>
      <c r="C334" s="3" t="str">
        <f t="shared" si="15"/>
        <v>Thursday</v>
      </c>
      <c r="D334" s="2">
        <v>0.4458333333333333</v>
      </c>
      <c r="E334" t="s">
        <v>14</v>
      </c>
      <c r="F334" t="s">
        <v>15</v>
      </c>
      <c r="G334">
        <v>-1</v>
      </c>
      <c r="H334" t="s">
        <v>16</v>
      </c>
      <c r="I334" t="s">
        <v>36</v>
      </c>
      <c r="J334" s="1">
        <v>43971</v>
      </c>
      <c r="L334" t="s">
        <v>14</v>
      </c>
      <c r="M334">
        <v>20.14</v>
      </c>
      <c r="N334">
        <v>20.14</v>
      </c>
      <c r="O334" t="s">
        <v>24</v>
      </c>
      <c r="P334">
        <f t="shared" si="17"/>
        <v>0</v>
      </c>
      <c r="Q334" s="11">
        <f>IF(P334=0,0,IFERROR(Q333+G334*M334*IF(E334="FUTURE",VLOOKUP(MID(I334,2,2),[1]Futures!$A$2:$B$12,2),1),G334*M334*IF(E334="FUTURE",VLOOKUP(MID(I334,2,2),[1]Futures!$A$2:$B$12,2),1)))</f>
        <v>0</v>
      </c>
      <c r="R334" s="12" t="str">
        <f>IFERROR(Q334/P334/IF(E334="FUTURE",VLOOKUP(MID(I334,2,2),[1]Futures!$A$2:$B$12,2),1),"")</f>
        <v/>
      </c>
      <c r="S334" s="13">
        <f>IF(AND(H334="TO CLOSE",P334=0),-G334*(M334-R333)*IF(E334="FUTURE",VLOOKUP(MID(I334,2,2),[1]Futures!$A$2:$B$12,2),1),"")</f>
        <v>250</v>
      </c>
    </row>
    <row r="335" spans="1:19" x14ac:dyDescent="0.2">
      <c r="A335">
        <f t="shared" si="16"/>
        <v>89</v>
      </c>
      <c r="B335" s="3">
        <v>43937</v>
      </c>
      <c r="C335" s="3" t="str">
        <f t="shared" si="15"/>
        <v>Thursday</v>
      </c>
      <c r="D335" s="2">
        <v>0.47578703703703701</v>
      </c>
      <c r="E335" t="s">
        <v>14</v>
      </c>
      <c r="F335" t="s">
        <v>15</v>
      </c>
      <c r="G335">
        <v>-1</v>
      </c>
      <c r="H335" t="s">
        <v>20</v>
      </c>
      <c r="I335" t="s">
        <v>36</v>
      </c>
      <c r="J335" s="1">
        <v>43971</v>
      </c>
      <c r="L335" t="s">
        <v>14</v>
      </c>
      <c r="M335">
        <v>20.100000000000001</v>
      </c>
      <c r="N335">
        <v>20.100000000000001</v>
      </c>
      <c r="O335" t="s">
        <v>21</v>
      </c>
      <c r="P335">
        <f t="shared" si="17"/>
        <v>-1</v>
      </c>
      <c r="Q335" s="11">
        <f>IF(P335=0,0,IFERROR(Q334+G335*M335*IF(E335="FUTURE",VLOOKUP(MID(I335,2,2),[1]Futures!$A$2:$B$12,2),1),G335*M335*IF(E335="FUTURE",VLOOKUP(MID(I335,2,2),[1]Futures!$A$2:$B$12,2),1)))</f>
        <v>-20100</v>
      </c>
      <c r="R335" s="12">
        <f>IFERROR(Q335/P335/IF(E335="FUTURE",VLOOKUP(MID(I335,2,2),[1]Futures!$A$2:$B$12,2),1),"")</f>
        <v>20.100000000000001</v>
      </c>
      <c r="S335" s="13" t="str">
        <f>IF(AND(H335="TO CLOSE",P335=0),-G335*(M335-R334)*IF(E335="FUTURE",VLOOKUP(MID(I335,2,2),[1]Futures!$A$2:$B$12,2),1),"")</f>
        <v/>
      </c>
    </row>
    <row r="336" spans="1:19" x14ac:dyDescent="0.2">
      <c r="A336">
        <f t="shared" si="16"/>
        <v>89</v>
      </c>
      <c r="B336" s="3">
        <v>43937</v>
      </c>
      <c r="C336" s="3" t="str">
        <f t="shared" si="15"/>
        <v>Thursday</v>
      </c>
      <c r="D336" s="2">
        <v>0.4836226851851852</v>
      </c>
      <c r="E336" t="s">
        <v>14</v>
      </c>
      <c r="F336" t="s">
        <v>19</v>
      </c>
      <c r="G336">
        <v>1</v>
      </c>
      <c r="H336" t="s">
        <v>16</v>
      </c>
      <c r="I336" t="s">
        <v>36</v>
      </c>
      <c r="J336" s="1">
        <v>43971</v>
      </c>
      <c r="L336" t="s">
        <v>14</v>
      </c>
      <c r="M336">
        <v>19.920000000000002</v>
      </c>
      <c r="N336">
        <v>19.920000000000002</v>
      </c>
      <c r="O336" t="s">
        <v>21</v>
      </c>
      <c r="P336">
        <f t="shared" si="17"/>
        <v>0</v>
      </c>
      <c r="Q336" s="11">
        <f>IF(P336=0,0,IFERROR(Q335+G336*M336*IF(E336="FUTURE",VLOOKUP(MID(I336,2,2),[1]Futures!$A$2:$B$12,2),1),G336*M336*IF(E336="FUTURE",VLOOKUP(MID(I336,2,2),[1]Futures!$A$2:$B$12,2),1)))</f>
        <v>0</v>
      </c>
      <c r="R336" s="12" t="str">
        <f>IFERROR(Q336/P336/IF(E336="FUTURE",VLOOKUP(MID(I336,2,2),[1]Futures!$A$2:$B$12,2),1),"")</f>
        <v/>
      </c>
      <c r="S336" s="13">
        <f>IF(AND(H336="TO CLOSE",P336=0),-G336*(M336-R335)*IF(E336="FUTURE",VLOOKUP(MID(I336,2,2),[1]Futures!$A$2:$B$12,2),1),"")</f>
        <v>179.99999999999972</v>
      </c>
    </row>
    <row r="337" spans="1:19" x14ac:dyDescent="0.2">
      <c r="A337">
        <f t="shared" si="16"/>
        <v>90</v>
      </c>
      <c r="B337" s="3">
        <v>43937</v>
      </c>
      <c r="C337" s="3" t="str">
        <f t="shared" si="15"/>
        <v>Thursday</v>
      </c>
      <c r="D337" s="2">
        <v>0.49793981481481481</v>
      </c>
      <c r="E337" t="s">
        <v>14</v>
      </c>
      <c r="F337" t="s">
        <v>19</v>
      </c>
      <c r="G337">
        <v>1</v>
      </c>
      <c r="H337" t="s">
        <v>20</v>
      </c>
      <c r="I337" t="s">
        <v>36</v>
      </c>
      <c r="J337" s="1">
        <v>43971</v>
      </c>
      <c r="L337" t="s">
        <v>14</v>
      </c>
      <c r="M337">
        <v>20.100000000000001</v>
      </c>
      <c r="N337">
        <v>20.100000000000001</v>
      </c>
      <c r="O337" t="s">
        <v>21</v>
      </c>
      <c r="P337">
        <f t="shared" si="17"/>
        <v>1</v>
      </c>
      <c r="Q337" s="11">
        <f>IF(P337=0,0,IFERROR(Q336+G337*M337*IF(E337="FUTURE",VLOOKUP(MID(I337,2,2),[1]Futures!$A$2:$B$12,2),1),G337*M337*IF(E337="FUTURE",VLOOKUP(MID(I337,2,2),[1]Futures!$A$2:$B$12,2),1)))</f>
        <v>20100</v>
      </c>
      <c r="R337" s="12">
        <f>IFERROR(Q337/P337/IF(E337="FUTURE",VLOOKUP(MID(I337,2,2),[1]Futures!$A$2:$B$12,2),1),"")</f>
        <v>20.100000000000001</v>
      </c>
      <c r="S337" s="13" t="str">
        <f>IF(AND(H337="TO CLOSE",P337=0),-G337*(M337-R336)*IF(E337="FUTURE",VLOOKUP(MID(I337,2,2),[1]Futures!$A$2:$B$12,2),1),"")</f>
        <v/>
      </c>
    </row>
    <row r="338" spans="1:19" x14ac:dyDescent="0.2">
      <c r="A338">
        <f t="shared" si="16"/>
        <v>90</v>
      </c>
      <c r="B338" s="3">
        <v>43937</v>
      </c>
      <c r="C338" s="3" t="str">
        <f t="shared" si="15"/>
        <v>Thursday</v>
      </c>
      <c r="D338" s="2">
        <v>0.51913194444444444</v>
      </c>
      <c r="E338" t="s">
        <v>14</v>
      </c>
      <c r="F338" t="s">
        <v>19</v>
      </c>
      <c r="G338">
        <v>1</v>
      </c>
      <c r="H338" t="s">
        <v>20</v>
      </c>
      <c r="I338" t="s">
        <v>36</v>
      </c>
      <c r="J338" s="1">
        <v>43971</v>
      </c>
      <c r="L338" t="s">
        <v>14</v>
      </c>
      <c r="M338">
        <v>19.86</v>
      </c>
      <c r="N338">
        <v>19.86</v>
      </c>
      <c r="O338" t="s">
        <v>21</v>
      </c>
      <c r="P338">
        <f t="shared" si="17"/>
        <v>2</v>
      </c>
      <c r="Q338" s="11">
        <f>IF(P338=0,0,IFERROR(Q337+G338*M338*IF(E338="FUTURE",VLOOKUP(MID(I338,2,2),[1]Futures!$A$2:$B$12,2),1),G338*M338*IF(E338="FUTURE",VLOOKUP(MID(I338,2,2),[1]Futures!$A$2:$B$12,2),1)))</f>
        <v>39960</v>
      </c>
      <c r="R338" s="12">
        <f>IFERROR(Q338/P338/IF(E338="FUTURE",VLOOKUP(MID(I338,2,2),[1]Futures!$A$2:$B$12,2),1),"")</f>
        <v>19.98</v>
      </c>
      <c r="S338" s="13" t="str">
        <f>IF(AND(H338="TO CLOSE",P338=0),-G338*(M338-R337)*IF(E338="FUTURE",VLOOKUP(MID(I338,2,2),[1]Futures!$A$2:$B$12,2),1),"")</f>
        <v/>
      </c>
    </row>
    <row r="339" spans="1:19" x14ac:dyDescent="0.2">
      <c r="A339">
        <f t="shared" si="16"/>
        <v>90</v>
      </c>
      <c r="B339" s="3">
        <v>43937</v>
      </c>
      <c r="C339" s="3" t="str">
        <f t="shared" si="15"/>
        <v>Thursday</v>
      </c>
      <c r="D339" s="2">
        <v>0.53425925925925932</v>
      </c>
      <c r="E339" t="s">
        <v>14</v>
      </c>
      <c r="F339" t="s">
        <v>19</v>
      </c>
      <c r="G339">
        <v>1</v>
      </c>
      <c r="H339" t="s">
        <v>20</v>
      </c>
      <c r="I339" t="s">
        <v>36</v>
      </c>
      <c r="J339" s="1">
        <v>43971</v>
      </c>
      <c r="L339" t="s">
        <v>14</v>
      </c>
      <c r="M339">
        <v>19.75</v>
      </c>
      <c r="N339">
        <v>19.75</v>
      </c>
      <c r="O339" t="s">
        <v>21</v>
      </c>
      <c r="P339">
        <f t="shared" si="17"/>
        <v>3</v>
      </c>
      <c r="Q339" s="11">
        <f>IF(P339=0,0,IFERROR(Q338+G339*M339*IF(E339="FUTURE",VLOOKUP(MID(I339,2,2),[1]Futures!$A$2:$B$12,2),1),G339*M339*IF(E339="FUTURE",VLOOKUP(MID(I339,2,2),[1]Futures!$A$2:$B$12,2),1)))</f>
        <v>59710</v>
      </c>
      <c r="R339" s="12">
        <f>IFERROR(Q339/P339/IF(E339="FUTURE",VLOOKUP(MID(I339,2,2),[1]Futures!$A$2:$B$12,2),1),"")</f>
        <v>19.903333333333332</v>
      </c>
      <c r="S339" s="13" t="str">
        <f>IF(AND(H339="TO CLOSE",P339=0),-G339*(M339-R338)*IF(E339="FUTURE",VLOOKUP(MID(I339,2,2),[1]Futures!$A$2:$B$12,2),1),"")</f>
        <v/>
      </c>
    </row>
    <row r="340" spans="1:19" x14ac:dyDescent="0.2">
      <c r="A340">
        <f t="shared" si="16"/>
        <v>90</v>
      </c>
      <c r="B340" s="3">
        <v>43937</v>
      </c>
      <c r="C340" s="3" t="str">
        <f t="shared" si="15"/>
        <v>Thursday</v>
      </c>
      <c r="D340" s="2">
        <v>0.56232638888888886</v>
      </c>
      <c r="E340" t="s">
        <v>14</v>
      </c>
      <c r="F340" t="s">
        <v>15</v>
      </c>
      <c r="G340">
        <v>-1</v>
      </c>
      <c r="H340" t="s">
        <v>16</v>
      </c>
      <c r="I340" t="s">
        <v>36</v>
      </c>
      <c r="J340" s="1">
        <v>43971</v>
      </c>
      <c r="L340" t="s">
        <v>14</v>
      </c>
      <c r="M340">
        <v>19.809999999999999</v>
      </c>
      <c r="N340">
        <v>19.809999999999999</v>
      </c>
      <c r="O340" t="s">
        <v>21</v>
      </c>
      <c r="P340">
        <f t="shared" si="17"/>
        <v>2</v>
      </c>
      <c r="Q340" s="11">
        <f>IF(P340=0,0,IFERROR(Q339+G340*M340*IF(E340="FUTURE",VLOOKUP(MID(I340,2,2),[1]Futures!$A$2:$B$12,2),1),G340*M340*IF(E340="FUTURE",VLOOKUP(MID(I340,2,2),[1]Futures!$A$2:$B$12,2),1)))</f>
        <v>39900</v>
      </c>
      <c r="R340" s="12">
        <f>IFERROR(Q340/P340/IF(E340="FUTURE",VLOOKUP(MID(I340,2,2),[1]Futures!$A$2:$B$12,2),1),"")</f>
        <v>19.95</v>
      </c>
      <c r="S340" s="13" t="str">
        <f>IF(AND(H340="TO CLOSE",P340=0),-G340*(M340-R339)*IF(E340="FUTURE",VLOOKUP(MID(I340,2,2),[1]Futures!$A$2:$B$12,2),1),"")</f>
        <v/>
      </c>
    </row>
    <row r="341" spans="1:19" x14ac:dyDescent="0.2">
      <c r="A341">
        <f t="shared" si="16"/>
        <v>90</v>
      </c>
      <c r="B341" s="3">
        <v>43937</v>
      </c>
      <c r="C341" s="3" t="str">
        <f t="shared" si="15"/>
        <v>Thursday</v>
      </c>
      <c r="D341" s="2">
        <v>0.56363425925925925</v>
      </c>
      <c r="E341" t="s">
        <v>14</v>
      </c>
      <c r="F341" t="s">
        <v>15</v>
      </c>
      <c r="G341">
        <v>-1</v>
      </c>
      <c r="H341" t="s">
        <v>16</v>
      </c>
      <c r="I341" t="s">
        <v>36</v>
      </c>
      <c r="J341" s="1">
        <v>43971</v>
      </c>
      <c r="L341" t="s">
        <v>14</v>
      </c>
      <c r="M341">
        <v>19.91</v>
      </c>
      <c r="N341">
        <v>19.91</v>
      </c>
      <c r="O341" t="s">
        <v>21</v>
      </c>
      <c r="P341">
        <f t="shared" si="17"/>
        <v>1</v>
      </c>
      <c r="Q341" s="11">
        <f>IF(P341=0,0,IFERROR(Q340+G341*M341*IF(E341="FUTURE",VLOOKUP(MID(I341,2,2),[1]Futures!$A$2:$B$12,2),1),G341*M341*IF(E341="FUTURE",VLOOKUP(MID(I341,2,2),[1]Futures!$A$2:$B$12,2),1)))</f>
        <v>19990</v>
      </c>
      <c r="R341" s="12">
        <f>IFERROR(Q341/P341/IF(E341="FUTURE",VLOOKUP(MID(I341,2,2),[1]Futures!$A$2:$B$12,2),1),"")</f>
        <v>19.989999999999998</v>
      </c>
      <c r="S341" s="13" t="str">
        <f>IF(AND(H341="TO CLOSE",P341=0),-G341*(M341-R340)*IF(E341="FUTURE",VLOOKUP(MID(I341,2,2),[1]Futures!$A$2:$B$12,2),1),"")</f>
        <v/>
      </c>
    </row>
    <row r="342" spans="1:19" x14ac:dyDescent="0.2">
      <c r="A342">
        <f t="shared" si="16"/>
        <v>90</v>
      </c>
      <c r="B342" s="3">
        <v>43937</v>
      </c>
      <c r="C342" s="3" t="str">
        <f t="shared" si="15"/>
        <v>Thursday</v>
      </c>
      <c r="D342" s="2">
        <v>0.57861111111111108</v>
      </c>
      <c r="E342" t="s">
        <v>14</v>
      </c>
      <c r="F342" t="s">
        <v>15</v>
      </c>
      <c r="G342">
        <v>-1</v>
      </c>
      <c r="H342" t="s">
        <v>16</v>
      </c>
      <c r="I342" t="s">
        <v>36</v>
      </c>
      <c r="J342" s="1">
        <v>43971</v>
      </c>
      <c r="L342" t="s">
        <v>14</v>
      </c>
      <c r="M342">
        <v>19.850000000000001</v>
      </c>
      <c r="N342">
        <v>19.850000000000001</v>
      </c>
      <c r="O342" t="s">
        <v>21</v>
      </c>
      <c r="P342">
        <f t="shared" si="17"/>
        <v>0</v>
      </c>
      <c r="Q342" s="11">
        <f>IF(P342=0,0,IFERROR(Q341+G342*M342*IF(E342="FUTURE",VLOOKUP(MID(I342,2,2),[1]Futures!$A$2:$B$12,2),1),G342*M342*IF(E342="FUTURE",VLOOKUP(MID(I342,2,2),[1]Futures!$A$2:$B$12,2),1)))</f>
        <v>0</v>
      </c>
      <c r="R342" s="12" t="str">
        <f>IFERROR(Q342/P342/IF(E342="FUTURE",VLOOKUP(MID(I342,2,2),[1]Futures!$A$2:$B$12,2),1),"")</f>
        <v/>
      </c>
      <c r="S342" s="13">
        <f>IF(AND(H342="TO CLOSE",P342=0),-G342*(M342-R341)*IF(E342="FUTURE",VLOOKUP(MID(I342,2,2),[1]Futures!$A$2:$B$12,2),1),"")</f>
        <v>-139.99999999999702</v>
      </c>
    </row>
    <row r="343" spans="1:19" x14ac:dyDescent="0.2">
      <c r="A343">
        <f t="shared" si="16"/>
        <v>91</v>
      </c>
      <c r="B343" s="3">
        <v>43937</v>
      </c>
      <c r="C343" s="3" t="str">
        <f t="shared" si="15"/>
        <v>Thursday</v>
      </c>
      <c r="D343" s="2">
        <v>0.46953703703703703</v>
      </c>
      <c r="E343" t="s">
        <v>14</v>
      </c>
      <c r="F343" t="s">
        <v>15</v>
      </c>
      <c r="G343">
        <v>-2</v>
      </c>
      <c r="H343" t="s">
        <v>20</v>
      </c>
      <c r="I343" t="s">
        <v>73</v>
      </c>
      <c r="J343" s="1">
        <v>44002</v>
      </c>
      <c r="L343" t="s">
        <v>14</v>
      </c>
      <c r="M343">
        <v>2786.25</v>
      </c>
      <c r="N343">
        <v>2786.25</v>
      </c>
      <c r="O343" t="s">
        <v>21</v>
      </c>
      <c r="P343">
        <f t="shared" si="17"/>
        <v>-2</v>
      </c>
      <c r="Q343" s="11">
        <f>IF(P343=0,0,IFERROR(Q342+G343*M343*IF(E343="FUTURE",VLOOKUP(MID(I343,2,2),[1]Futures!$A$2:$B$12,2),1),G343*M343*IF(E343="FUTURE",VLOOKUP(MID(I343,2,2),[1]Futures!$A$2:$B$12,2),1)))</f>
        <v>-27862.5</v>
      </c>
      <c r="R343" s="12">
        <f>IFERROR(Q343/P343/IF(E343="FUTURE",VLOOKUP(MID(I343,2,2),[1]Futures!$A$2:$B$12,2),1),"")</f>
        <v>2786.25</v>
      </c>
      <c r="S343" s="13" t="str">
        <f>IF(AND(H343="TO CLOSE",P343=0),-G343*(M343-R342)*IF(E343="FUTURE",VLOOKUP(MID(I343,2,2),[1]Futures!$A$2:$B$12,2),1),"")</f>
        <v/>
      </c>
    </row>
    <row r="344" spans="1:19" x14ac:dyDescent="0.2">
      <c r="A344">
        <f t="shared" si="16"/>
        <v>91</v>
      </c>
      <c r="B344" s="3">
        <v>43937</v>
      </c>
      <c r="C344" s="3" t="str">
        <f t="shared" si="15"/>
        <v>Thursday</v>
      </c>
      <c r="D344" s="2">
        <v>0.46953703703703703</v>
      </c>
      <c r="E344" t="s">
        <v>14</v>
      </c>
      <c r="F344" t="s">
        <v>15</v>
      </c>
      <c r="G344">
        <v>-1</v>
      </c>
      <c r="H344" t="s">
        <v>20</v>
      </c>
      <c r="I344" t="s">
        <v>73</v>
      </c>
      <c r="J344" s="1">
        <v>44002</v>
      </c>
      <c r="L344" t="s">
        <v>14</v>
      </c>
      <c r="M344">
        <v>2786.25</v>
      </c>
      <c r="N344">
        <v>2786.25</v>
      </c>
      <c r="O344" t="s">
        <v>21</v>
      </c>
      <c r="P344">
        <f t="shared" si="17"/>
        <v>-3</v>
      </c>
      <c r="Q344" s="11">
        <f>IF(P344=0,0,IFERROR(Q343+G344*M344*IF(E344="FUTURE",VLOOKUP(MID(I344,2,2),[1]Futures!$A$2:$B$12,2),1),G344*M344*IF(E344="FUTURE",VLOOKUP(MID(I344,2,2),[1]Futures!$A$2:$B$12,2),1)))</f>
        <v>-41793.75</v>
      </c>
      <c r="R344" s="12">
        <f>IFERROR(Q344/P344/IF(E344="FUTURE",VLOOKUP(MID(I344,2,2),[1]Futures!$A$2:$B$12,2),1),"")</f>
        <v>2786.25</v>
      </c>
      <c r="S344" s="13" t="str">
        <f>IF(AND(H344="TO CLOSE",P344=0),-G344*(M344-R343)*IF(E344="FUTURE",VLOOKUP(MID(I344,2,2),[1]Futures!$A$2:$B$12,2),1),"")</f>
        <v/>
      </c>
    </row>
    <row r="345" spans="1:19" x14ac:dyDescent="0.2">
      <c r="A345">
        <f t="shared" si="16"/>
        <v>91</v>
      </c>
      <c r="B345" s="3">
        <v>43937</v>
      </c>
      <c r="C345" s="3" t="str">
        <f t="shared" si="15"/>
        <v>Thursday</v>
      </c>
      <c r="D345" s="2">
        <v>0.46953703703703703</v>
      </c>
      <c r="E345" t="s">
        <v>14</v>
      </c>
      <c r="F345" t="s">
        <v>15</v>
      </c>
      <c r="G345">
        <v>-2</v>
      </c>
      <c r="H345" t="s">
        <v>20</v>
      </c>
      <c r="I345" t="s">
        <v>73</v>
      </c>
      <c r="J345" s="1">
        <v>44002</v>
      </c>
      <c r="L345" t="s">
        <v>14</v>
      </c>
      <c r="M345">
        <v>2786.25</v>
      </c>
      <c r="N345">
        <v>2786.25</v>
      </c>
      <c r="O345" t="s">
        <v>21</v>
      </c>
      <c r="P345">
        <f t="shared" si="17"/>
        <v>-5</v>
      </c>
      <c r="Q345" s="11">
        <f>IF(P345=0,0,IFERROR(Q344+G345*M345*IF(E345="FUTURE",VLOOKUP(MID(I345,2,2),[1]Futures!$A$2:$B$12,2),1),G345*M345*IF(E345="FUTURE",VLOOKUP(MID(I345,2,2),[1]Futures!$A$2:$B$12,2),1)))</f>
        <v>-69656.25</v>
      </c>
      <c r="R345" s="12">
        <f>IFERROR(Q345/P345/IF(E345="FUTURE",VLOOKUP(MID(I345,2,2),[1]Futures!$A$2:$B$12,2),1),"")</f>
        <v>2786.25</v>
      </c>
      <c r="S345" s="13" t="str">
        <f>IF(AND(H345="TO CLOSE",P345=0),-G345*(M345-R344)*IF(E345="FUTURE",VLOOKUP(MID(I345,2,2),[1]Futures!$A$2:$B$12,2),1),"")</f>
        <v/>
      </c>
    </row>
    <row r="346" spans="1:19" x14ac:dyDescent="0.2">
      <c r="A346">
        <f t="shared" si="16"/>
        <v>91</v>
      </c>
      <c r="B346" s="3">
        <v>43937</v>
      </c>
      <c r="C346" s="3" t="str">
        <f t="shared" si="15"/>
        <v>Thursday</v>
      </c>
      <c r="D346" s="2">
        <v>0.48239583333333336</v>
      </c>
      <c r="E346" t="s">
        <v>14</v>
      </c>
      <c r="F346" t="s">
        <v>19</v>
      </c>
      <c r="G346">
        <v>5</v>
      </c>
      <c r="H346" t="s">
        <v>16</v>
      </c>
      <c r="I346" t="s">
        <v>73</v>
      </c>
      <c r="J346" s="1">
        <v>44002</v>
      </c>
      <c r="L346" t="s">
        <v>14</v>
      </c>
      <c r="M346">
        <v>2781.5</v>
      </c>
      <c r="N346">
        <v>2781.5</v>
      </c>
      <c r="O346" t="s">
        <v>21</v>
      </c>
      <c r="P346">
        <f t="shared" si="17"/>
        <v>0</v>
      </c>
      <c r="Q346" s="11">
        <f>IF(P346=0,0,IFERROR(Q345+G346*M346*IF(E346="FUTURE",VLOOKUP(MID(I346,2,2),[1]Futures!$A$2:$B$12,2),1),G346*M346*IF(E346="FUTURE",VLOOKUP(MID(I346,2,2),[1]Futures!$A$2:$B$12,2),1)))</f>
        <v>0</v>
      </c>
      <c r="R346" s="12" t="str">
        <f>IFERROR(Q346/P346/IF(E346="FUTURE",VLOOKUP(MID(I346,2,2),[1]Futures!$A$2:$B$12,2),1),"")</f>
        <v/>
      </c>
      <c r="S346" s="13">
        <f>IF(AND(H346="TO CLOSE",P346=0),-G346*(M346-R345)*IF(E346="FUTURE",VLOOKUP(MID(I346,2,2),[1]Futures!$A$2:$B$12,2),1),"")</f>
        <v>118.75</v>
      </c>
    </row>
    <row r="347" spans="1:19" x14ac:dyDescent="0.2">
      <c r="A347">
        <f t="shared" si="16"/>
        <v>92</v>
      </c>
      <c r="B347" s="3">
        <v>43937</v>
      </c>
      <c r="C347" s="3" t="str">
        <f t="shared" si="15"/>
        <v>Thursday</v>
      </c>
      <c r="D347" s="2">
        <v>0.52611111111111108</v>
      </c>
      <c r="E347" t="s">
        <v>14</v>
      </c>
      <c r="F347" t="s">
        <v>19</v>
      </c>
      <c r="G347">
        <v>3</v>
      </c>
      <c r="H347" t="s">
        <v>20</v>
      </c>
      <c r="I347" t="s">
        <v>73</v>
      </c>
      <c r="J347" s="1">
        <v>44002</v>
      </c>
      <c r="L347" t="s">
        <v>14</v>
      </c>
      <c r="M347">
        <v>2758.5</v>
      </c>
      <c r="N347">
        <v>2758.5</v>
      </c>
      <c r="O347" t="s">
        <v>21</v>
      </c>
      <c r="P347">
        <f t="shared" si="17"/>
        <v>3</v>
      </c>
      <c r="Q347" s="11">
        <f>IF(P347=0,0,IFERROR(Q346+G347*M347*IF(E347="FUTURE",VLOOKUP(MID(I347,2,2),[1]Futures!$A$2:$B$12,2),1),G347*M347*IF(E347="FUTURE",VLOOKUP(MID(I347,2,2),[1]Futures!$A$2:$B$12,2),1)))</f>
        <v>41377.5</v>
      </c>
      <c r="R347" s="12">
        <f>IFERROR(Q347/P347/IF(E347="FUTURE",VLOOKUP(MID(I347,2,2),[1]Futures!$A$2:$B$12,2),1),"")</f>
        <v>2758.5</v>
      </c>
      <c r="S347" s="13" t="str">
        <f>IF(AND(H347="TO CLOSE",P347=0),-G347*(M347-R346)*IF(E347="FUTURE",VLOOKUP(MID(I347,2,2),[1]Futures!$A$2:$B$12,2),1),"")</f>
        <v/>
      </c>
    </row>
    <row r="348" spans="1:19" x14ac:dyDescent="0.2">
      <c r="A348">
        <f t="shared" si="16"/>
        <v>92</v>
      </c>
      <c r="B348" s="3">
        <v>43937</v>
      </c>
      <c r="C348" s="3" t="str">
        <f t="shared" si="15"/>
        <v>Thursday</v>
      </c>
      <c r="D348" s="2">
        <v>0.52796296296296297</v>
      </c>
      <c r="E348" t="s">
        <v>14</v>
      </c>
      <c r="F348" t="s">
        <v>15</v>
      </c>
      <c r="G348">
        <v>-1</v>
      </c>
      <c r="H348" t="s">
        <v>16</v>
      </c>
      <c r="I348" t="s">
        <v>73</v>
      </c>
      <c r="J348" s="1">
        <v>44002</v>
      </c>
      <c r="L348" t="s">
        <v>14</v>
      </c>
      <c r="M348">
        <v>2762.5</v>
      </c>
      <c r="N348">
        <v>2762.5</v>
      </c>
      <c r="O348" t="s">
        <v>21</v>
      </c>
      <c r="P348">
        <f t="shared" si="17"/>
        <v>2</v>
      </c>
      <c r="Q348" s="11">
        <f>IF(P348=0,0,IFERROR(Q347+G348*M348*IF(E348="FUTURE",VLOOKUP(MID(I348,2,2),[1]Futures!$A$2:$B$12,2),1),G348*M348*IF(E348="FUTURE",VLOOKUP(MID(I348,2,2),[1]Futures!$A$2:$B$12,2),1)))</f>
        <v>27565</v>
      </c>
      <c r="R348" s="12">
        <f>IFERROR(Q348/P348/IF(E348="FUTURE",VLOOKUP(MID(I348,2,2),[1]Futures!$A$2:$B$12,2),1),"")</f>
        <v>2756.5</v>
      </c>
      <c r="S348" s="13" t="str">
        <f>IF(AND(H348="TO CLOSE",P348=0),-G348*(M348-R347)*IF(E348="FUTURE",VLOOKUP(MID(I348,2,2),[1]Futures!$A$2:$B$12,2),1),"")</f>
        <v/>
      </c>
    </row>
    <row r="349" spans="1:19" x14ac:dyDescent="0.2">
      <c r="A349">
        <f t="shared" si="16"/>
        <v>92</v>
      </c>
      <c r="B349" s="3">
        <v>43937</v>
      </c>
      <c r="C349" s="3" t="str">
        <f t="shared" si="15"/>
        <v>Thursday</v>
      </c>
      <c r="D349" s="2">
        <v>0.52796296296296297</v>
      </c>
      <c r="E349" t="s">
        <v>14</v>
      </c>
      <c r="F349" t="s">
        <v>15</v>
      </c>
      <c r="G349">
        <v>-2</v>
      </c>
      <c r="H349" t="s">
        <v>16</v>
      </c>
      <c r="I349" t="s">
        <v>73</v>
      </c>
      <c r="J349" s="1">
        <v>44002</v>
      </c>
      <c r="L349" t="s">
        <v>14</v>
      </c>
      <c r="M349">
        <v>2762.5</v>
      </c>
      <c r="N349">
        <v>2762.5</v>
      </c>
      <c r="O349" t="s">
        <v>21</v>
      </c>
      <c r="P349">
        <f t="shared" si="17"/>
        <v>0</v>
      </c>
      <c r="Q349" s="11">
        <f>IF(P349=0,0,IFERROR(Q348+G349*M349*IF(E349="FUTURE",VLOOKUP(MID(I349,2,2),[1]Futures!$A$2:$B$12,2),1),G349*M349*IF(E349="FUTURE",VLOOKUP(MID(I349,2,2),[1]Futures!$A$2:$B$12,2),1)))</f>
        <v>0</v>
      </c>
      <c r="R349" s="12" t="str">
        <f>IFERROR(Q349/P349/IF(E349="FUTURE",VLOOKUP(MID(I349,2,2),[1]Futures!$A$2:$B$12,2),1),"")</f>
        <v/>
      </c>
      <c r="S349" s="13">
        <f>IF(AND(H349="TO CLOSE",P349=0),-G349*(M349-R348)*IF(E349="FUTURE",VLOOKUP(MID(I349,2,2),[1]Futures!$A$2:$B$12,2),1),"")</f>
        <v>60</v>
      </c>
    </row>
    <row r="350" spans="1:19" x14ac:dyDescent="0.2">
      <c r="A350">
        <f t="shared" si="16"/>
        <v>93</v>
      </c>
      <c r="B350" s="3">
        <v>43937</v>
      </c>
      <c r="C350" s="3" t="str">
        <f t="shared" si="15"/>
        <v>Thursday</v>
      </c>
      <c r="D350" s="2">
        <v>0.39932870370370371</v>
      </c>
      <c r="E350" t="s">
        <v>22</v>
      </c>
      <c r="F350" t="s">
        <v>19</v>
      </c>
      <c r="G350">
        <v>400</v>
      </c>
      <c r="H350" t="s">
        <v>20</v>
      </c>
      <c r="I350" t="s">
        <v>23</v>
      </c>
      <c r="L350" t="s">
        <v>22</v>
      </c>
      <c r="M350">
        <v>40.520000000000003</v>
      </c>
      <c r="N350">
        <v>40.520000000000003</v>
      </c>
      <c r="O350" t="s">
        <v>24</v>
      </c>
      <c r="P350">
        <f t="shared" si="17"/>
        <v>400</v>
      </c>
      <c r="Q350" s="11">
        <f>IF(P350=0,0,IFERROR(Q349+G350*M350*IF(E350="FUTURE",VLOOKUP(MID(I350,2,2),[1]Futures!$A$2:$B$12,2),1),G350*M350*IF(E350="FUTURE",VLOOKUP(MID(I350,2,2),[1]Futures!$A$2:$B$12,2),1)))</f>
        <v>16208.000000000002</v>
      </c>
      <c r="R350" s="12">
        <f>IFERROR(Q350/P350/IF(E350="FUTURE",VLOOKUP(MID(I350,2,2),[1]Futures!$A$2:$B$12,2),1),"")</f>
        <v>40.520000000000003</v>
      </c>
      <c r="S350" s="13" t="str">
        <f>IF(AND(H350="TO CLOSE",P350=0),-G350*(M350-R349)*IF(E350="FUTURE",VLOOKUP(MID(I350,2,2),[1]Futures!$A$2:$B$12,2),1),"")</f>
        <v/>
      </c>
    </row>
    <row r="351" spans="1:19" x14ac:dyDescent="0.2">
      <c r="A351">
        <f t="shared" si="16"/>
        <v>93</v>
      </c>
      <c r="B351" s="3">
        <v>43937</v>
      </c>
      <c r="C351" s="3" t="str">
        <f t="shared" si="15"/>
        <v>Thursday</v>
      </c>
      <c r="D351" s="2">
        <v>0.4007175925925926</v>
      </c>
      <c r="E351" t="s">
        <v>22</v>
      </c>
      <c r="F351" t="s">
        <v>15</v>
      </c>
      <c r="G351">
        <v>-200</v>
      </c>
      <c r="H351" t="s">
        <v>16</v>
      </c>
      <c r="I351" t="s">
        <v>23</v>
      </c>
      <c r="L351" t="s">
        <v>22</v>
      </c>
      <c r="M351">
        <v>40.820300000000003</v>
      </c>
      <c r="N351">
        <v>40.820300000000003</v>
      </c>
      <c r="O351" t="s">
        <v>21</v>
      </c>
      <c r="P351">
        <f t="shared" si="17"/>
        <v>200</v>
      </c>
      <c r="Q351" s="11">
        <f>IF(P351=0,0,IFERROR(Q350+G351*M351*IF(E351="FUTURE",VLOOKUP(MID(I351,2,2),[1]Futures!$A$2:$B$12,2),1),G351*M351*IF(E351="FUTURE",VLOOKUP(MID(I351,2,2),[1]Futures!$A$2:$B$12,2),1)))</f>
        <v>8043.9400000000014</v>
      </c>
      <c r="R351" s="12">
        <f>IFERROR(Q351/P351/IF(E351="FUTURE",VLOOKUP(MID(I351,2,2),[1]Futures!$A$2:$B$12,2),1),"")</f>
        <v>40.21970000000001</v>
      </c>
      <c r="S351" s="13" t="str">
        <f>IF(AND(H351="TO CLOSE",P351=0),-G351*(M351-R350)*IF(E351="FUTURE",VLOOKUP(MID(I351,2,2),[1]Futures!$A$2:$B$12,2),1),"")</f>
        <v/>
      </c>
    </row>
    <row r="352" spans="1:19" x14ac:dyDescent="0.2">
      <c r="A352">
        <f t="shared" si="16"/>
        <v>93</v>
      </c>
      <c r="B352" s="3">
        <v>43937</v>
      </c>
      <c r="C352" s="3" t="str">
        <f t="shared" si="15"/>
        <v>Thursday</v>
      </c>
      <c r="D352" s="2">
        <v>0.41931712962962964</v>
      </c>
      <c r="E352" t="s">
        <v>22</v>
      </c>
      <c r="F352" t="s">
        <v>15</v>
      </c>
      <c r="G352">
        <v>-189</v>
      </c>
      <c r="H352" t="s">
        <v>16</v>
      </c>
      <c r="I352" t="s">
        <v>23</v>
      </c>
      <c r="L352" t="s">
        <v>22</v>
      </c>
      <c r="M352">
        <v>41.59</v>
      </c>
      <c r="N352">
        <v>41.59</v>
      </c>
      <c r="O352" t="s">
        <v>21</v>
      </c>
      <c r="P352">
        <f t="shared" si="17"/>
        <v>11</v>
      </c>
      <c r="Q352" s="11">
        <f>IF(P352=0,0,IFERROR(Q351+G352*M352*IF(E352="FUTURE",VLOOKUP(MID(I352,2,2),[1]Futures!$A$2:$B$12,2),1),G352*M352*IF(E352="FUTURE",VLOOKUP(MID(I352,2,2),[1]Futures!$A$2:$B$12,2),1)))</f>
        <v>183.4300000000012</v>
      </c>
      <c r="R352" s="12">
        <f>IFERROR(Q352/P352/IF(E352="FUTURE",VLOOKUP(MID(I352,2,2),[1]Futures!$A$2:$B$12,2),1),"")</f>
        <v>16.675454545454656</v>
      </c>
      <c r="S352" s="13" t="str">
        <f>IF(AND(H352="TO CLOSE",P352=0),-G352*(M352-R351)*IF(E352="FUTURE",VLOOKUP(MID(I352,2,2),[1]Futures!$A$2:$B$12,2),1),"")</f>
        <v/>
      </c>
    </row>
    <row r="353" spans="1:19" x14ac:dyDescent="0.2">
      <c r="A353">
        <f t="shared" si="16"/>
        <v>93</v>
      </c>
      <c r="B353" s="3">
        <v>43937</v>
      </c>
      <c r="C353" s="3" t="str">
        <f t="shared" si="15"/>
        <v>Thursday</v>
      </c>
      <c r="D353" s="2">
        <v>0.41931712962962964</v>
      </c>
      <c r="E353" t="s">
        <v>22</v>
      </c>
      <c r="F353" t="s">
        <v>15</v>
      </c>
      <c r="G353">
        <v>-11</v>
      </c>
      <c r="H353" t="s">
        <v>16</v>
      </c>
      <c r="I353" t="s">
        <v>23</v>
      </c>
      <c r="L353" t="s">
        <v>22</v>
      </c>
      <c r="M353">
        <v>41.59</v>
      </c>
      <c r="N353">
        <v>41.59</v>
      </c>
      <c r="O353" t="s">
        <v>21</v>
      </c>
      <c r="P353">
        <f t="shared" si="17"/>
        <v>0</v>
      </c>
      <c r="Q353" s="11">
        <f>IF(P353=0,0,IFERROR(Q352+G353*M353*IF(E353="FUTURE",VLOOKUP(MID(I353,2,2),[1]Futures!$A$2:$B$12,2),1),G353*M353*IF(E353="FUTURE",VLOOKUP(MID(I353,2,2),[1]Futures!$A$2:$B$12,2),1)))</f>
        <v>0</v>
      </c>
      <c r="R353" s="12" t="str">
        <f>IFERROR(Q353/P353/IF(E353="FUTURE",VLOOKUP(MID(I353,2,2),[1]Futures!$A$2:$B$12,2),1),"")</f>
        <v/>
      </c>
      <c r="S353" s="13">
        <f>IF(AND(H353="TO CLOSE",P353=0),-G353*(M353-R352)*IF(E353="FUTURE",VLOOKUP(MID(I353,2,2),[1]Futures!$A$2:$B$12,2),1),"")</f>
        <v>274.05999999999881</v>
      </c>
    </row>
    <row r="354" spans="1:19" x14ac:dyDescent="0.2">
      <c r="A354">
        <f t="shared" si="16"/>
        <v>94</v>
      </c>
      <c r="B354" s="3">
        <v>43937</v>
      </c>
      <c r="C354" s="3" t="str">
        <f t="shared" si="15"/>
        <v>Thursday</v>
      </c>
      <c r="D354" s="2">
        <v>0.43111111111111117</v>
      </c>
      <c r="E354" t="s">
        <v>22</v>
      </c>
      <c r="F354" t="s">
        <v>15</v>
      </c>
      <c r="G354">
        <v>-300</v>
      </c>
      <c r="H354" t="s">
        <v>20</v>
      </c>
      <c r="I354" t="s">
        <v>23</v>
      </c>
      <c r="L354" t="s">
        <v>22</v>
      </c>
      <c r="M354">
        <v>41.51</v>
      </c>
      <c r="N354">
        <v>41.51</v>
      </c>
      <c r="O354" t="s">
        <v>21</v>
      </c>
      <c r="P354">
        <f t="shared" si="17"/>
        <v>-300</v>
      </c>
      <c r="Q354" s="11">
        <f>IF(P354=0,0,IFERROR(Q353+G354*M354*IF(E354="FUTURE",VLOOKUP(MID(I354,2,2),[1]Futures!$A$2:$B$12,2),1),G354*M354*IF(E354="FUTURE",VLOOKUP(MID(I354,2,2),[1]Futures!$A$2:$B$12,2),1)))</f>
        <v>-12453</v>
      </c>
      <c r="R354" s="12">
        <f>IFERROR(Q354/P354/IF(E354="FUTURE",VLOOKUP(MID(I354,2,2),[1]Futures!$A$2:$B$12,2),1),"")</f>
        <v>41.51</v>
      </c>
      <c r="S354" s="13" t="str">
        <f>IF(AND(H354="TO CLOSE",P354=0),-G354*(M354-R353)*IF(E354="FUTURE",VLOOKUP(MID(I354,2,2),[1]Futures!$A$2:$B$12,2),1),"")</f>
        <v/>
      </c>
    </row>
    <row r="355" spans="1:19" x14ac:dyDescent="0.2">
      <c r="A355">
        <f t="shared" si="16"/>
        <v>94</v>
      </c>
      <c r="B355" s="3">
        <v>43937</v>
      </c>
      <c r="C355" s="3" t="str">
        <f t="shared" ref="C355:C418" si="18">IF(WEEKDAY(B355,2)=1,"Monday",IF(WEEKDAY(B355,2)=2,"Tuesday",IF(WEEKDAY(B355,2)=3,"Wednesday",IF(WEEKDAY(B355,2)=4,"Thursday",IF(WEEKDAY(B355,2)=5,"Friday","Sunday")))))</f>
        <v>Thursday</v>
      </c>
      <c r="D355" s="2">
        <v>0.43328703703703703</v>
      </c>
      <c r="E355" t="s">
        <v>22</v>
      </c>
      <c r="F355" t="s">
        <v>19</v>
      </c>
      <c r="G355">
        <v>100</v>
      </c>
      <c r="H355" t="s">
        <v>16</v>
      </c>
      <c r="I355" t="s">
        <v>23</v>
      </c>
      <c r="L355" t="s">
        <v>22</v>
      </c>
      <c r="M355">
        <v>41.21</v>
      </c>
      <c r="N355">
        <v>41.21</v>
      </c>
      <c r="O355" t="s">
        <v>21</v>
      </c>
      <c r="P355">
        <f t="shared" si="17"/>
        <v>-200</v>
      </c>
      <c r="Q355" s="11">
        <f>IF(P355=0,0,IFERROR(Q354+G355*M355*IF(E355="FUTURE",VLOOKUP(MID(I355,2,2),[1]Futures!$A$2:$B$12,2),1),G355*M355*IF(E355="FUTURE",VLOOKUP(MID(I355,2,2),[1]Futures!$A$2:$B$12,2),1)))</f>
        <v>-8332</v>
      </c>
      <c r="R355" s="12">
        <f>IFERROR(Q355/P355/IF(E355="FUTURE",VLOOKUP(MID(I355,2,2),[1]Futures!$A$2:$B$12,2),1),"")</f>
        <v>41.66</v>
      </c>
      <c r="S355" s="13" t="str">
        <f>IF(AND(H355="TO CLOSE",P355=0),-G355*(M355-R354)*IF(E355="FUTURE",VLOOKUP(MID(I355,2,2),[1]Futures!$A$2:$B$12,2),1),"")</f>
        <v/>
      </c>
    </row>
    <row r="356" spans="1:19" x14ac:dyDescent="0.2">
      <c r="A356">
        <f t="shared" si="16"/>
        <v>94</v>
      </c>
      <c r="B356" s="3">
        <v>43937</v>
      </c>
      <c r="C356" s="3" t="str">
        <f t="shared" si="18"/>
        <v>Thursday</v>
      </c>
      <c r="D356" s="2">
        <v>0.43328703703703703</v>
      </c>
      <c r="E356" t="s">
        <v>22</v>
      </c>
      <c r="F356" t="s">
        <v>19</v>
      </c>
      <c r="G356">
        <v>200</v>
      </c>
      <c r="H356" t="s">
        <v>16</v>
      </c>
      <c r="I356" t="s">
        <v>23</v>
      </c>
      <c r="L356" t="s">
        <v>22</v>
      </c>
      <c r="M356">
        <v>41.21</v>
      </c>
      <c r="N356">
        <v>41.21</v>
      </c>
      <c r="O356" t="s">
        <v>21</v>
      </c>
      <c r="P356">
        <f t="shared" si="17"/>
        <v>0</v>
      </c>
      <c r="Q356" s="11">
        <f>IF(P356=0,0,IFERROR(Q355+G356*M356*IF(E356="FUTURE",VLOOKUP(MID(I356,2,2),[1]Futures!$A$2:$B$12,2),1),G356*M356*IF(E356="FUTURE",VLOOKUP(MID(I356,2,2),[1]Futures!$A$2:$B$12,2),1)))</f>
        <v>0</v>
      </c>
      <c r="R356" s="12" t="str">
        <f>IFERROR(Q356/P356/IF(E356="FUTURE",VLOOKUP(MID(I356,2,2),[1]Futures!$A$2:$B$12,2),1),"")</f>
        <v/>
      </c>
      <c r="S356" s="13">
        <f>IF(AND(H356="TO CLOSE",P356=0),-G356*(M356-R355)*IF(E356="FUTURE",VLOOKUP(MID(I356,2,2),[1]Futures!$A$2:$B$12,2),1),"")</f>
        <v>89.999999999999147</v>
      </c>
    </row>
    <row r="357" spans="1:19" x14ac:dyDescent="0.2">
      <c r="A357">
        <f t="shared" si="16"/>
        <v>95</v>
      </c>
      <c r="B357" s="3">
        <v>43937</v>
      </c>
      <c r="C357" s="3" t="str">
        <f t="shared" si="18"/>
        <v>Thursday</v>
      </c>
      <c r="D357" s="2">
        <v>0.50836805555555553</v>
      </c>
      <c r="E357" t="s">
        <v>22</v>
      </c>
      <c r="F357" t="s">
        <v>19</v>
      </c>
      <c r="G357">
        <v>95</v>
      </c>
      <c r="H357" t="s">
        <v>20</v>
      </c>
      <c r="I357" t="s">
        <v>23</v>
      </c>
      <c r="L357" t="s">
        <v>22</v>
      </c>
      <c r="M357">
        <v>41.145299999999999</v>
      </c>
      <c r="N357">
        <v>41.14526</v>
      </c>
      <c r="O357" t="s">
        <v>24</v>
      </c>
      <c r="P357">
        <f t="shared" si="17"/>
        <v>95</v>
      </c>
      <c r="Q357" s="11">
        <f>IF(P357=0,0,IFERROR(Q356+G357*M357*IF(E357="FUTURE",VLOOKUP(MID(I357,2,2),[1]Futures!$A$2:$B$12,2),1),G357*M357*IF(E357="FUTURE",VLOOKUP(MID(I357,2,2),[1]Futures!$A$2:$B$12,2),1)))</f>
        <v>3908.8035</v>
      </c>
      <c r="R357" s="12">
        <f>IFERROR(Q357/P357/IF(E357="FUTURE",VLOOKUP(MID(I357,2,2),[1]Futures!$A$2:$B$12,2),1),"")</f>
        <v>41.145299999999999</v>
      </c>
      <c r="S357" s="13" t="str">
        <f>IF(AND(H357="TO CLOSE",P357=0),-G357*(M357-R356)*IF(E357="FUTURE",VLOOKUP(MID(I357,2,2),[1]Futures!$A$2:$B$12,2),1),"")</f>
        <v/>
      </c>
    </row>
    <row r="358" spans="1:19" x14ac:dyDescent="0.2">
      <c r="A358">
        <f t="shared" si="16"/>
        <v>95</v>
      </c>
      <c r="B358" s="3">
        <v>43937</v>
      </c>
      <c r="C358" s="3" t="str">
        <f t="shared" si="18"/>
        <v>Thursday</v>
      </c>
      <c r="D358" s="2">
        <v>0.50836805555555553</v>
      </c>
      <c r="E358" t="s">
        <v>22</v>
      </c>
      <c r="F358" t="s">
        <v>19</v>
      </c>
      <c r="G358">
        <v>100</v>
      </c>
      <c r="H358" t="s">
        <v>20</v>
      </c>
      <c r="I358" t="s">
        <v>23</v>
      </c>
      <c r="L358" t="s">
        <v>22</v>
      </c>
      <c r="M358">
        <v>41.145299999999999</v>
      </c>
      <c r="N358">
        <v>41.145299999999999</v>
      </c>
      <c r="O358" t="s">
        <v>24</v>
      </c>
      <c r="P358">
        <f t="shared" si="17"/>
        <v>195</v>
      </c>
      <c r="Q358" s="11">
        <f>IF(P358=0,0,IFERROR(Q357+G358*M358*IF(E358="FUTURE",VLOOKUP(MID(I358,2,2),[1]Futures!$A$2:$B$12,2),1),G358*M358*IF(E358="FUTURE",VLOOKUP(MID(I358,2,2),[1]Futures!$A$2:$B$12,2),1)))</f>
        <v>8023.3334999999997</v>
      </c>
      <c r="R358" s="12">
        <f>IFERROR(Q358/P358/IF(E358="FUTURE",VLOOKUP(MID(I358,2,2),[1]Futures!$A$2:$B$12,2),1),"")</f>
        <v>41.145299999999999</v>
      </c>
      <c r="S358" s="13" t="str">
        <f>IF(AND(H358="TO CLOSE",P358=0),-G358*(M358-R357)*IF(E358="FUTURE",VLOOKUP(MID(I358,2,2),[1]Futures!$A$2:$B$12,2),1),"")</f>
        <v/>
      </c>
    </row>
    <row r="359" spans="1:19" x14ac:dyDescent="0.2">
      <c r="A359">
        <f t="shared" si="16"/>
        <v>95</v>
      </c>
      <c r="B359" s="3">
        <v>43937</v>
      </c>
      <c r="C359" s="3" t="str">
        <f t="shared" si="18"/>
        <v>Thursday</v>
      </c>
      <c r="D359" s="2">
        <v>0.50836805555555553</v>
      </c>
      <c r="E359" t="s">
        <v>22</v>
      </c>
      <c r="F359" t="s">
        <v>19</v>
      </c>
      <c r="G359">
        <v>100</v>
      </c>
      <c r="H359" t="s">
        <v>20</v>
      </c>
      <c r="I359" t="s">
        <v>23</v>
      </c>
      <c r="L359" t="s">
        <v>22</v>
      </c>
      <c r="M359">
        <v>41.145299999999999</v>
      </c>
      <c r="N359">
        <v>41.145299999999999</v>
      </c>
      <c r="O359" t="s">
        <v>24</v>
      </c>
      <c r="P359">
        <f t="shared" si="17"/>
        <v>295</v>
      </c>
      <c r="Q359" s="11">
        <f>IF(P359=0,0,IFERROR(Q358+G359*M359*IF(E359="FUTURE",VLOOKUP(MID(I359,2,2),[1]Futures!$A$2:$B$12,2),1),G359*M359*IF(E359="FUTURE",VLOOKUP(MID(I359,2,2),[1]Futures!$A$2:$B$12,2),1)))</f>
        <v>12137.863499999999</v>
      </c>
      <c r="R359" s="12">
        <f>IFERROR(Q359/P359/IF(E359="FUTURE",VLOOKUP(MID(I359,2,2),[1]Futures!$A$2:$B$12,2),1),"")</f>
        <v>41.145299999999999</v>
      </c>
      <c r="S359" s="13" t="str">
        <f>IF(AND(H359="TO CLOSE",P359=0),-G359*(M359-R358)*IF(E359="FUTURE",VLOOKUP(MID(I359,2,2),[1]Futures!$A$2:$B$12,2),1),"")</f>
        <v/>
      </c>
    </row>
    <row r="360" spans="1:19" x14ac:dyDescent="0.2">
      <c r="A360">
        <f t="shared" si="16"/>
        <v>95</v>
      </c>
      <c r="B360" s="3">
        <v>43937</v>
      </c>
      <c r="C360" s="3" t="str">
        <f t="shared" si="18"/>
        <v>Thursday</v>
      </c>
      <c r="D360" s="2">
        <v>0.50836805555555553</v>
      </c>
      <c r="E360" t="s">
        <v>22</v>
      </c>
      <c r="F360" t="s">
        <v>19</v>
      </c>
      <c r="G360">
        <v>5</v>
      </c>
      <c r="H360" t="s">
        <v>20</v>
      </c>
      <c r="I360" t="s">
        <v>23</v>
      </c>
      <c r="L360" t="s">
        <v>22</v>
      </c>
      <c r="M360">
        <v>41.145299999999999</v>
      </c>
      <c r="N360">
        <v>41.146000000000001</v>
      </c>
      <c r="O360" t="s">
        <v>24</v>
      </c>
      <c r="P360">
        <f t="shared" si="17"/>
        <v>300</v>
      </c>
      <c r="Q360" s="11">
        <f>IF(P360=0,0,IFERROR(Q359+G360*M360*IF(E360="FUTURE",VLOOKUP(MID(I360,2,2),[1]Futures!$A$2:$B$12,2),1),G360*M360*IF(E360="FUTURE",VLOOKUP(MID(I360,2,2),[1]Futures!$A$2:$B$12,2),1)))</f>
        <v>12343.59</v>
      </c>
      <c r="R360" s="12">
        <f>IFERROR(Q360/P360/IF(E360="FUTURE",VLOOKUP(MID(I360,2,2),[1]Futures!$A$2:$B$12,2),1),"")</f>
        <v>41.145299999999999</v>
      </c>
      <c r="S360" s="13" t="str">
        <f>IF(AND(H360="TO CLOSE",P360=0),-G360*(M360-R359)*IF(E360="FUTURE",VLOOKUP(MID(I360,2,2),[1]Futures!$A$2:$B$12,2),1),"")</f>
        <v/>
      </c>
    </row>
    <row r="361" spans="1:19" x14ac:dyDescent="0.2">
      <c r="A361">
        <f t="shared" si="16"/>
        <v>95</v>
      </c>
      <c r="B361" s="3">
        <v>43937</v>
      </c>
      <c r="C361" s="3" t="str">
        <f t="shared" si="18"/>
        <v>Thursday</v>
      </c>
      <c r="D361" s="2">
        <v>0.51186342592592593</v>
      </c>
      <c r="E361" t="s">
        <v>22</v>
      </c>
      <c r="F361" t="s">
        <v>15</v>
      </c>
      <c r="G361">
        <v>-100</v>
      </c>
      <c r="H361" t="s">
        <v>16</v>
      </c>
      <c r="I361" t="s">
        <v>23</v>
      </c>
      <c r="L361" t="s">
        <v>22</v>
      </c>
      <c r="M361">
        <v>41.37</v>
      </c>
      <c r="N361">
        <v>41.37</v>
      </c>
      <c r="O361" t="s">
        <v>21</v>
      </c>
      <c r="P361">
        <f t="shared" si="17"/>
        <v>200</v>
      </c>
      <c r="Q361" s="11">
        <f>IF(P361=0,0,IFERROR(Q360+G361*M361*IF(E361="FUTURE",VLOOKUP(MID(I361,2,2),[1]Futures!$A$2:$B$12,2),1),G361*M361*IF(E361="FUTURE",VLOOKUP(MID(I361,2,2),[1]Futures!$A$2:$B$12,2),1)))</f>
        <v>8206.59</v>
      </c>
      <c r="R361" s="12">
        <f>IFERROR(Q361/P361/IF(E361="FUTURE",VLOOKUP(MID(I361,2,2),[1]Futures!$A$2:$B$12,2),1),"")</f>
        <v>41.03295</v>
      </c>
      <c r="S361" s="13" t="str">
        <f>IF(AND(H361="TO CLOSE",P361=0),-G361*(M361-R360)*IF(E361="FUTURE",VLOOKUP(MID(I361,2,2),[1]Futures!$A$2:$B$12,2),1),"")</f>
        <v/>
      </c>
    </row>
    <row r="362" spans="1:19" x14ac:dyDescent="0.2">
      <c r="A362">
        <f t="shared" si="16"/>
        <v>95</v>
      </c>
      <c r="B362" s="3">
        <v>43937</v>
      </c>
      <c r="C362" s="3" t="str">
        <f t="shared" si="18"/>
        <v>Thursday</v>
      </c>
      <c r="D362" s="2">
        <v>0.51405092592592594</v>
      </c>
      <c r="E362" t="s">
        <v>22</v>
      </c>
      <c r="F362" t="s">
        <v>15</v>
      </c>
      <c r="G362">
        <v>-100</v>
      </c>
      <c r="H362" t="s">
        <v>16</v>
      </c>
      <c r="I362" t="s">
        <v>23</v>
      </c>
      <c r="L362" t="s">
        <v>22</v>
      </c>
      <c r="M362">
        <v>41.370100000000001</v>
      </c>
      <c r="N362">
        <v>41.370100000000001</v>
      </c>
      <c r="O362" t="s">
        <v>24</v>
      </c>
      <c r="P362">
        <f t="shared" si="17"/>
        <v>100</v>
      </c>
      <c r="Q362" s="11">
        <f>IF(P362=0,0,IFERROR(Q361+G362*M362*IF(E362="FUTURE",VLOOKUP(MID(I362,2,2),[1]Futures!$A$2:$B$12,2),1),G362*M362*IF(E362="FUTURE",VLOOKUP(MID(I362,2,2),[1]Futures!$A$2:$B$12,2),1)))</f>
        <v>4069.58</v>
      </c>
      <c r="R362" s="12">
        <f>IFERROR(Q362/P362/IF(E362="FUTURE",VLOOKUP(MID(I362,2,2),[1]Futures!$A$2:$B$12,2),1),"")</f>
        <v>40.695799999999998</v>
      </c>
      <c r="S362" s="13" t="str">
        <f>IF(AND(H362="TO CLOSE",P362=0),-G362*(M362-R361)*IF(E362="FUTURE",VLOOKUP(MID(I362,2,2),[1]Futures!$A$2:$B$12,2),1),"")</f>
        <v/>
      </c>
    </row>
    <row r="363" spans="1:19" x14ac:dyDescent="0.2">
      <c r="A363">
        <f t="shared" si="16"/>
        <v>95</v>
      </c>
      <c r="B363" s="3">
        <v>43937</v>
      </c>
      <c r="C363" s="3" t="str">
        <f t="shared" si="18"/>
        <v>Thursday</v>
      </c>
      <c r="D363" s="2">
        <v>0.51495370370370364</v>
      </c>
      <c r="E363" t="s">
        <v>22</v>
      </c>
      <c r="F363" t="s">
        <v>15</v>
      </c>
      <c r="G363">
        <v>-100</v>
      </c>
      <c r="H363" t="s">
        <v>16</v>
      </c>
      <c r="I363" t="s">
        <v>23</v>
      </c>
      <c r="L363" t="s">
        <v>22</v>
      </c>
      <c r="M363">
        <v>41.55</v>
      </c>
      <c r="N363">
        <v>41.55</v>
      </c>
      <c r="O363" t="s">
        <v>21</v>
      </c>
      <c r="P363">
        <f t="shared" si="17"/>
        <v>0</v>
      </c>
      <c r="Q363" s="11">
        <f>IF(P363=0,0,IFERROR(Q362+G363*M363*IF(E363="FUTURE",VLOOKUP(MID(I363,2,2),[1]Futures!$A$2:$B$12,2),1),G363*M363*IF(E363="FUTURE",VLOOKUP(MID(I363,2,2),[1]Futures!$A$2:$B$12,2),1)))</f>
        <v>0</v>
      </c>
      <c r="R363" s="12" t="str">
        <f>IFERROR(Q363/P363/IF(E363="FUTURE",VLOOKUP(MID(I363,2,2),[1]Futures!$A$2:$B$12,2),1),"")</f>
        <v/>
      </c>
      <c r="S363" s="13">
        <f>IF(AND(H363="TO CLOSE",P363=0),-G363*(M363-R362)*IF(E363="FUTURE",VLOOKUP(MID(I363,2,2),[1]Futures!$A$2:$B$12,2),1),"")</f>
        <v>85.419999999999874</v>
      </c>
    </row>
    <row r="364" spans="1:19" x14ac:dyDescent="0.2">
      <c r="A364">
        <f t="shared" si="16"/>
        <v>96</v>
      </c>
      <c r="B364" s="3">
        <v>43937</v>
      </c>
      <c r="C364" s="3" t="str">
        <f t="shared" si="18"/>
        <v>Thursday</v>
      </c>
      <c r="D364" s="2">
        <v>0.58060185185185187</v>
      </c>
      <c r="E364" t="s">
        <v>22</v>
      </c>
      <c r="F364" t="s">
        <v>19</v>
      </c>
      <c r="G364">
        <v>169</v>
      </c>
      <c r="H364" t="s">
        <v>20</v>
      </c>
      <c r="I364" t="s">
        <v>23</v>
      </c>
      <c r="L364" t="s">
        <v>22</v>
      </c>
      <c r="M364">
        <v>41.32</v>
      </c>
      <c r="N364">
        <v>41.32</v>
      </c>
      <c r="O364" t="s">
        <v>21</v>
      </c>
      <c r="P364">
        <f t="shared" si="17"/>
        <v>169</v>
      </c>
      <c r="Q364" s="11">
        <f>IF(P364=0,0,IFERROR(Q363+G364*M364*IF(E364="FUTURE",VLOOKUP(MID(I364,2,2),[1]Futures!$A$2:$B$12,2),1),G364*M364*IF(E364="FUTURE",VLOOKUP(MID(I364,2,2),[1]Futures!$A$2:$B$12,2),1)))</f>
        <v>6983.08</v>
      </c>
      <c r="R364" s="12">
        <f>IFERROR(Q364/P364/IF(E364="FUTURE",VLOOKUP(MID(I364,2,2),[1]Futures!$A$2:$B$12,2),1),"")</f>
        <v>41.32</v>
      </c>
      <c r="S364" s="13" t="str">
        <f>IF(AND(H364="TO CLOSE",P364=0),-G364*(M364-R363)*IF(E364="FUTURE",VLOOKUP(MID(I364,2,2),[1]Futures!$A$2:$B$12,2),1),"")</f>
        <v/>
      </c>
    </row>
    <row r="365" spans="1:19" x14ac:dyDescent="0.2">
      <c r="A365">
        <f t="shared" si="16"/>
        <v>96</v>
      </c>
      <c r="B365" s="3">
        <v>43937</v>
      </c>
      <c r="C365" s="3" t="str">
        <f t="shared" si="18"/>
        <v>Thursday</v>
      </c>
      <c r="D365" s="2">
        <v>0.58062500000000006</v>
      </c>
      <c r="E365" t="s">
        <v>22</v>
      </c>
      <c r="F365" t="s">
        <v>19</v>
      </c>
      <c r="G365">
        <v>131</v>
      </c>
      <c r="H365" t="s">
        <v>20</v>
      </c>
      <c r="I365" t="s">
        <v>23</v>
      </c>
      <c r="L365" t="s">
        <v>22</v>
      </c>
      <c r="M365">
        <v>41.32</v>
      </c>
      <c r="N365">
        <v>41.32</v>
      </c>
      <c r="O365" t="s">
        <v>21</v>
      </c>
      <c r="P365">
        <f t="shared" si="17"/>
        <v>300</v>
      </c>
      <c r="Q365" s="11">
        <f>IF(P365=0,0,IFERROR(Q364+G365*M365*IF(E365="FUTURE",VLOOKUP(MID(I365,2,2),[1]Futures!$A$2:$B$12,2),1),G365*M365*IF(E365="FUTURE",VLOOKUP(MID(I365,2,2),[1]Futures!$A$2:$B$12,2),1)))</f>
        <v>12396</v>
      </c>
      <c r="R365" s="12">
        <f>IFERROR(Q365/P365/IF(E365="FUTURE",VLOOKUP(MID(I365,2,2),[1]Futures!$A$2:$B$12,2),1),"")</f>
        <v>41.32</v>
      </c>
      <c r="S365" s="13" t="str">
        <f>IF(AND(H365="TO CLOSE",P365=0),-G365*(M365-R364)*IF(E365="FUTURE",VLOOKUP(MID(I365,2,2),[1]Futures!$A$2:$B$12,2),1),"")</f>
        <v/>
      </c>
    </row>
    <row r="366" spans="1:19" x14ac:dyDescent="0.2">
      <c r="A366">
        <f t="shared" si="16"/>
        <v>96</v>
      </c>
      <c r="B366" s="3">
        <v>43937</v>
      </c>
      <c r="C366" s="3" t="str">
        <f t="shared" si="18"/>
        <v>Thursday</v>
      </c>
      <c r="D366" s="2">
        <v>0.58403935185185185</v>
      </c>
      <c r="E366" t="s">
        <v>22</v>
      </c>
      <c r="F366" t="s">
        <v>15</v>
      </c>
      <c r="G366">
        <v>-100</v>
      </c>
      <c r="H366" t="s">
        <v>16</v>
      </c>
      <c r="I366" t="s">
        <v>23</v>
      </c>
      <c r="L366" t="s">
        <v>22</v>
      </c>
      <c r="M366">
        <v>41.484999999999999</v>
      </c>
      <c r="N366">
        <v>41.484999999999999</v>
      </c>
      <c r="O366" t="s">
        <v>21</v>
      </c>
      <c r="P366">
        <f t="shared" si="17"/>
        <v>200</v>
      </c>
      <c r="Q366" s="11">
        <f>IF(P366=0,0,IFERROR(Q365+G366*M366*IF(E366="FUTURE",VLOOKUP(MID(I366,2,2),[1]Futures!$A$2:$B$12,2),1),G366*M366*IF(E366="FUTURE",VLOOKUP(MID(I366,2,2),[1]Futures!$A$2:$B$12,2),1)))</f>
        <v>8247.5</v>
      </c>
      <c r="R366" s="12">
        <f>IFERROR(Q366/P366/IF(E366="FUTURE",VLOOKUP(MID(I366,2,2),[1]Futures!$A$2:$B$12,2),1),"")</f>
        <v>41.237499999999997</v>
      </c>
      <c r="S366" s="13" t="str">
        <f>IF(AND(H366="TO CLOSE",P366=0),-G366*(M366-R365)*IF(E366="FUTURE",VLOOKUP(MID(I366,2,2),[1]Futures!$A$2:$B$12,2),1),"")</f>
        <v/>
      </c>
    </row>
    <row r="367" spans="1:19" x14ac:dyDescent="0.2">
      <c r="A367">
        <f t="shared" si="16"/>
        <v>96</v>
      </c>
      <c r="B367" s="3">
        <v>43937</v>
      </c>
      <c r="C367" s="3" t="str">
        <f t="shared" si="18"/>
        <v>Thursday</v>
      </c>
      <c r="D367" s="2">
        <v>0.58520833333333333</v>
      </c>
      <c r="E367" t="s">
        <v>22</v>
      </c>
      <c r="F367" t="s">
        <v>15</v>
      </c>
      <c r="G367">
        <v>-200</v>
      </c>
      <c r="H367" t="s">
        <v>16</v>
      </c>
      <c r="I367" t="s">
        <v>23</v>
      </c>
      <c r="L367" t="s">
        <v>22</v>
      </c>
      <c r="M367">
        <v>41.42</v>
      </c>
      <c r="N367">
        <v>41.42</v>
      </c>
      <c r="O367" t="s">
        <v>18</v>
      </c>
      <c r="P367">
        <f t="shared" si="17"/>
        <v>0</v>
      </c>
      <c r="Q367" s="11">
        <f>IF(P367=0,0,IFERROR(Q366+G367*M367*IF(E367="FUTURE",VLOOKUP(MID(I367,2,2),[1]Futures!$A$2:$B$12,2),1),G367*M367*IF(E367="FUTURE",VLOOKUP(MID(I367,2,2),[1]Futures!$A$2:$B$12,2),1)))</f>
        <v>0</v>
      </c>
      <c r="R367" s="12" t="str">
        <f>IFERROR(Q367/P367/IF(E367="FUTURE",VLOOKUP(MID(I367,2,2),[1]Futures!$A$2:$B$12,2),1),"")</f>
        <v/>
      </c>
      <c r="S367" s="13">
        <f>IF(AND(H367="TO CLOSE",P367=0),-G367*(M367-R366)*IF(E367="FUTURE",VLOOKUP(MID(I367,2,2),[1]Futures!$A$2:$B$12,2),1),"")</f>
        <v>36.500000000000909</v>
      </c>
    </row>
    <row r="368" spans="1:19" x14ac:dyDescent="0.2">
      <c r="A368">
        <f t="shared" si="16"/>
        <v>97</v>
      </c>
      <c r="B368" s="3">
        <v>43938</v>
      </c>
      <c r="C368" s="3" t="str">
        <f t="shared" si="18"/>
        <v>Friday</v>
      </c>
      <c r="D368" s="2">
        <v>0.4088310185185185</v>
      </c>
      <c r="E368" t="s">
        <v>14</v>
      </c>
      <c r="F368" t="s">
        <v>19</v>
      </c>
      <c r="G368">
        <v>2</v>
      </c>
      <c r="H368" t="s">
        <v>20</v>
      </c>
      <c r="I368" t="s">
        <v>75</v>
      </c>
      <c r="J368" s="1">
        <v>44002</v>
      </c>
      <c r="L368" t="s">
        <v>14</v>
      </c>
      <c r="M368">
        <v>25.4</v>
      </c>
      <c r="N368">
        <v>25.4</v>
      </c>
      <c r="O368" t="s">
        <v>24</v>
      </c>
      <c r="P368">
        <f t="shared" si="17"/>
        <v>2</v>
      </c>
      <c r="Q368" s="11">
        <f>IF(P368=0,0,IFERROR(Q367+G368*M368*IF(E368="FUTURE",VLOOKUP(MID(I368,2,2),[1]Futures!$A$2:$B$12,2),1),G368*M368*IF(E368="FUTURE",VLOOKUP(MID(I368,2,2),[1]Futures!$A$2:$B$12,2),1)))</f>
        <v>50800</v>
      </c>
      <c r="R368" s="12">
        <f>IFERROR(Q368/P368/IF(E368="FUTURE",VLOOKUP(MID(I368,2,2),[1]Futures!$A$2:$B$12,2),1),"")</f>
        <v>25.4</v>
      </c>
      <c r="S368" s="13" t="str">
        <f>IF(AND(H368="TO CLOSE",P368=0),-G368*(M368-R367)*IF(E368="FUTURE",VLOOKUP(MID(I368,2,2),[1]Futures!$A$2:$B$12,2),1),"")</f>
        <v/>
      </c>
    </row>
    <row r="369" spans="1:19" x14ac:dyDescent="0.2">
      <c r="A369">
        <f t="shared" si="16"/>
        <v>97</v>
      </c>
      <c r="B369" s="3">
        <v>43938</v>
      </c>
      <c r="C369" s="3" t="str">
        <f t="shared" si="18"/>
        <v>Friday</v>
      </c>
      <c r="D369" s="2">
        <v>0.41065972222222219</v>
      </c>
      <c r="E369" t="s">
        <v>14</v>
      </c>
      <c r="F369" t="s">
        <v>15</v>
      </c>
      <c r="G369">
        <v>-2</v>
      </c>
      <c r="H369" t="s">
        <v>16</v>
      </c>
      <c r="I369" t="s">
        <v>75</v>
      </c>
      <c r="J369" s="1">
        <v>44002</v>
      </c>
      <c r="L369" t="s">
        <v>14</v>
      </c>
      <c r="M369">
        <v>25.45</v>
      </c>
      <c r="N369">
        <v>25.45</v>
      </c>
      <c r="O369" t="s">
        <v>24</v>
      </c>
      <c r="P369">
        <f t="shared" si="17"/>
        <v>0</v>
      </c>
      <c r="Q369" s="11">
        <f>IF(P369=0,0,IFERROR(Q368+G369*M369*IF(E369="FUTURE",VLOOKUP(MID(I369,2,2),[1]Futures!$A$2:$B$12,2),1),G369*M369*IF(E369="FUTURE",VLOOKUP(MID(I369,2,2),[1]Futures!$A$2:$B$12,2),1)))</f>
        <v>0</v>
      </c>
      <c r="R369" s="12" t="str">
        <f>IFERROR(Q369/P369/IF(E369="FUTURE",VLOOKUP(MID(I369,2,2),[1]Futures!$A$2:$B$12,2),1),"")</f>
        <v/>
      </c>
      <c r="S369" s="13">
        <f>IF(AND(H369="TO CLOSE",P369=0),-G369*(M369-R368)*IF(E369="FUTURE",VLOOKUP(MID(I369,2,2),[1]Futures!$A$2:$B$12,2),1),"")</f>
        <v>100.00000000000142</v>
      </c>
    </row>
    <row r="370" spans="1:19" x14ac:dyDescent="0.2">
      <c r="A370">
        <f t="shared" si="16"/>
        <v>98</v>
      </c>
      <c r="B370" s="3">
        <v>43938</v>
      </c>
      <c r="C370" s="3" t="str">
        <f t="shared" si="18"/>
        <v>Friday</v>
      </c>
      <c r="D370" s="2">
        <v>0.41751157407407408</v>
      </c>
      <c r="E370" t="s">
        <v>14</v>
      </c>
      <c r="F370" t="s">
        <v>19</v>
      </c>
      <c r="G370">
        <v>2</v>
      </c>
      <c r="H370" t="s">
        <v>20</v>
      </c>
      <c r="I370" t="s">
        <v>75</v>
      </c>
      <c r="J370" s="1">
        <v>44002</v>
      </c>
      <c r="L370" t="s">
        <v>14</v>
      </c>
      <c r="M370">
        <v>25.39</v>
      </c>
      <c r="N370">
        <v>25.39</v>
      </c>
      <c r="O370" t="s">
        <v>21</v>
      </c>
      <c r="P370">
        <f t="shared" si="17"/>
        <v>2</v>
      </c>
      <c r="Q370" s="11">
        <f>IF(P370=0,0,IFERROR(Q369+G370*M370*IF(E370="FUTURE",VLOOKUP(MID(I370,2,2),[1]Futures!$A$2:$B$12,2),1),G370*M370*IF(E370="FUTURE",VLOOKUP(MID(I370,2,2),[1]Futures!$A$2:$B$12,2),1)))</f>
        <v>50780</v>
      </c>
      <c r="R370" s="12">
        <f>IFERROR(Q370/P370/IF(E370="FUTURE",VLOOKUP(MID(I370,2,2),[1]Futures!$A$2:$B$12,2),1),"")</f>
        <v>25.39</v>
      </c>
      <c r="S370" s="13" t="str">
        <f>IF(AND(H370="TO CLOSE",P370=0),-G370*(M370-R369)*IF(E370="FUTURE",VLOOKUP(MID(I370,2,2),[1]Futures!$A$2:$B$12,2),1),"")</f>
        <v/>
      </c>
    </row>
    <row r="371" spans="1:19" x14ac:dyDescent="0.2">
      <c r="A371">
        <f t="shared" si="16"/>
        <v>98</v>
      </c>
      <c r="B371" s="3">
        <v>43938</v>
      </c>
      <c r="C371" s="3" t="str">
        <f t="shared" si="18"/>
        <v>Friday</v>
      </c>
      <c r="D371" s="2">
        <v>0.42689814814814814</v>
      </c>
      <c r="E371" t="s">
        <v>14</v>
      </c>
      <c r="F371" t="s">
        <v>15</v>
      </c>
      <c r="G371">
        <v>-4</v>
      </c>
      <c r="H371" t="s">
        <v>16</v>
      </c>
      <c r="I371" t="s">
        <v>75</v>
      </c>
      <c r="J371" s="1">
        <v>44002</v>
      </c>
      <c r="L371" t="s">
        <v>14</v>
      </c>
      <c r="M371">
        <v>25.19</v>
      </c>
      <c r="N371">
        <v>25.19</v>
      </c>
      <c r="O371" t="s">
        <v>24</v>
      </c>
      <c r="P371">
        <f t="shared" si="17"/>
        <v>-2</v>
      </c>
      <c r="Q371" s="11">
        <f>IF(P371=0,0,IFERROR(Q370+G371*M371*IF(E371="FUTURE",VLOOKUP(MID(I371,2,2),[1]Futures!$A$2:$B$12,2),1),G371*M371*IF(E371="FUTURE",VLOOKUP(MID(I371,2,2),[1]Futures!$A$2:$B$12,2),1)))</f>
        <v>-49980</v>
      </c>
      <c r="R371" s="12">
        <f>IFERROR(Q371/P371/IF(E371="FUTURE",VLOOKUP(MID(I371,2,2),[1]Futures!$A$2:$B$12,2),1),"")</f>
        <v>24.99</v>
      </c>
      <c r="S371" s="13" t="str">
        <f>IF(AND(H371="TO CLOSE",P371=0),-G371*(M371-R370)*IF(E371="FUTURE",VLOOKUP(MID(I371,2,2),[1]Futures!$A$2:$B$12,2),1),"")</f>
        <v/>
      </c>
    </row>
    <row r="372" spans="1:19" x14ac:dyDescent="0.2">
      <c r="A372">
        <f t="shared" si="16"/>
        <v>98</v>
      </c>
      <c r="B372" s="3">
        <v>43938</v>
      </c>
      <c r="C372" s="3" t="str">
        <f t="shared" si="18"/>
        <v>Friday</v>
      </c>
      <c r="D372" s="2">
        <v>0.43296296296296299</v>
      </c>
      <c r="E372" t="s">
        <v>14</v>
      </c>
      <c r="F372" t="s">
        <v>19</v>
      </c>
      <c r="G372">
        <v>1</v>
      </c>
      <c r="H372" t="s">
        <v>16</v>
      </c>
      <c r="I372" t="s">
        <v>75</v>
      </c>
      <c r="J372" s="1">
        <v>44002</v>
      </c>
      <c r="L372" t="s">
        <v>14</v>
      </c>
      <c r="M372">
        <v>25.03</v>
      </c>
      <c r="N372">
        <v>25.03</v>
      </c>
      <c r="O372" t="s">
        <v>21</v>
      </c>
      <c r="P372">
        <f t="shared" si="17"/>
        <v>-1</v>
      </c>
      <c r="Q372" s="11">
        <f>IF(P372=0,0,IFERROR(Q371+G372*M372*IF(E372="FUTURE",VLOOKUP(MID(I372,2,2),[1]Futures!$A$2:$B$12,2),1),G372*M372*IF(E372="FUTURE",VLOOKUP(MID(I372,2,2),[1]Futures!$A$2:$B$12,2),1)))</f>
        <v>-24950</v>
      </c>
      <c r="R372" s="12">
        <f>IFERROR(Q372/P372/IF(E372="FUTURE",VLOOKUP(MID(I372,2,2),[1]Futures!$A$2:$B$12,2),1),"")</f>
        <v>24.95</v>
      </c>
      <c r="S372" s="13" t="str">
        <f>IF(AND(H372="TO CLOSE",P372=0),-G372*(M372-R371)*IF(E372="FUTURE",VLOOKUP(MID(I372,2,2),[1]Futures!$A$2:$B$12,2),1),"")</f>
        <v/>
      </c>
    </row>
    <row r="373" spans="1:19" x14ac:dyDescent="0.2">
      <c r="A373">
        <f t="shared" si="16"/>
        <v>98</v>
      </c>
      <c r="B373" s="3">
        <v>43938</v>
      </c>
      <c r="C373" s="3" t="str">
        <f t="shared" si="18"/>
        <v>Friday</v>
      </c>
      <c r="D373" s="2">
        <v>0.43489583333333331</v>
      </c>
      <c r="E373" t="s">
        <v>14</v>
      </c>
      <c r="F373" t="s">
        <v>19</v>
      </c>
      <c r="G373">
        <v>1</v>
      </c>
      <c r="H373" t="s">
        <v>16</v>
      </c>
      <c r="I373" t="s">
        <v>75</v>
      </c>
      <c r="J373" s="1">
        <v>44002</v>
      </c>
      <c r="L373" t="s">
        <v>14</v>
      </c>
      <c r="M373">
        <v>25.19</v>
      </c>
      <c r="N373">
        <v>25.19</v>
      </c>
      <c r="O373" t="s">
        <v>21</v>
      </c>
      <c r="P373">
        <f t="shared" si="17"/>
        <v>0</v>
      </c>
      <c r="Q373" s="11">
        <f>IF(P373=0,0,IFERROR(Q372+G373*M373*IF(E373="FUTURE",VLOOKUP(MID(I373,2,2),[1]Futures!$A$2:$B$12,2),1),G373*M373*IF(E373="FUTURE",VLOOKUP(MID(I373,2,2),[1]Futures!$A$2:$B$12,2),1)))</f>
        <v>0</v>
      </c>
      <c r="R373" s="12" t="str">
        <f>IFERROR(Q373/P373/IF(E373="FUTURE",VLOOKUP(MID(I373,2,2),[1]Futures!$A$2:$B$12,2),1),"")</f>
        <v/>
      </c>
      <c r="S373" s="13">
        <f>IF(AND(H373="TO CLOSE",P373=0),-G373*(M373-R372)*IF(E373="FUTURE",VLOOKUP(MID(I373,2,2),[1]Futures!$A$2:$B$12,2),1),"")</f>
        <v>-240.00000000000199</v>
      </c>
    </row>
    <row r="374" spans="1:19" x14ac:dyDescent="0.2">
      <c r="A374">
        <f t="shared" si="16"/>
        <v>99</v>
      </c>
      <c r="B374" s="3">
        <v>43938</v>
      </c>
      <c r="C374" s="3" t="str">
        <f t="shared" si="18"/>
        <v>Friday</v>
      </c>
      <c r="D374" s="2">
        <v>0.43508101851851855</v>
      </c>
      <c r="E374" t="s">
        <v>14</v>
      </c>
      <c r="F374" t="s">
        <v>19</v>
      </c>
      <c r="G374">
        <v>2</v>
      </c>
      <c r="H374" t="s">
        <v>16</v>
      </c>
      <c r="I374" t="s">
        <v>75</v>
      </c>
      <c r="J374" s="1">
        <v>44002</v>
      </c>
      <c r="L374" t="s">
        <v>14</v>
      </c>
      <c r="M374">
        <v>25.19</v>
      </c>
      <c r="N374">
        <v>25.19</v>
      </c>
      <c r="O374" t="s">
        <v>21</v>
      </c>
      <c r="P374">
        <f t="shared" si="17"/>
        <v>2</v>
      </c>
      <c r="Q374" s="11">
        <f>IF(P374=0,0,IFERROR(Q373+G374*M374*IF(E374="FUTURE",VLOOKUP(MID(I374,2,2),[1]Futures!$A$2:$B$12,2),1),G374*M374*IF(E374="FUTURE",VLOOKUP(MID(I374,2,2),[1]Futures!$A$2:$B$12,2),1)))</f>
        <v>50380</v>
      </c>
      <c r="R374" s="12">
        <f>IFERROR(Q374/P374/IF(E374="FUTURE",VLOOKUP(MID(I374,2,2),[1]Futures!$A$2:$B$12,2),1),"")</f>
        <v>25.19</v>
      </c>
      <c r="S374" s="13" t="str">
        <f>IF(AND(H374="TO CLOSE",P374=0),-G374*(M374-R373)*IF(E374="FUTURE",VLOOKUP(MID(I374,2,2),[1]Futures!$A$2:$B$12,2),1),"")</f>
        <v/>
      </c>
    </row>
    <row r="375" spans="1:19" x14ac:dyDescent="0.2">
      <c r="A375">
        <f t="shared" si="16"/>
        <v>99</v>
      </c>
      <c r="B375" s="3">
        <v>43938</v>
      </c>
      <c r="C375" s="3" t="str">
        <f t="shared" si="18"/>
        <v>Friday</v>
      </c>
      <c r="D375" s="2">
        <v>0.45601851851851855</v>
      </c>
      <c r="E375" t="s">
        <v>14</v>
      </c>
      <c r="F375" t="s">
        <v>19</v>
      </c>
      <c r="G375">
        <v>1</v>
      </c>
      <c r="H375" t="s">
        <v>20</v>
      </c>
      <c r="I375" t="s">
        <v>75</v>
      </c>
      <c r="J375" s="1">
        <v>44002</v>
      </c>
      <c r="L375" t="s">
        <v>14</v>
      </c>
      <c r="M375">
        <v>25.6</v>
      </c>
      <c r="N375">
        <v>25.6</v>
      </c>
      <c r="O375" t="s">
        <v>18</v>
      </c>
      <c r="P375">
        <f t="shared" si="17"/>
        <v>3</v>
      </c>
      <c r="Q375" s="11">
        <f>IF(P375=0,0,IFERROR(Q374+G375*M375*IF(E375="FUTURE",VLOOKUP(MID(I375,2,2),[1]Futures!$A$2:$B$12,2),1),G375*M375*IF(E375="FUTURE",VLOOKUP(MID(I375,2,2),[1]Futures!$A$2:$B$12,2),1)))</f>
        <v>75980</v>
      </c>
      <c r="R375" s="12">
        <f>IFERROR(Q375/P375/IF(E375="FUTURE",VLOOKUP(MID(I375,2,2),[1]Futures!$A$2:$B$12,2),1),"")</f>
        <v>25.326666666666668</v>
      </c>
      <c r="S375" s="13" t="str">
        <f>IF(AND(H375="TO CLOSE",P375=0),-G375*(M375-R374)*IF(E375="FUTURE",VLOOKUP(MID(I375,2,2),[1]Futures!$A$2:$B$12,2),1),"")</f>
        <v/>
      </c>
    </row>
    <row r="376" spans="1:19" x14ac:dyDescent="0.2">
      <c r="A376">
        <f t="shared" si="16"/>
        <v>99</v>
      </c>
      <c r="B376" s="3">
        <v>43938</v>
      </c>
      <c r="C376" s="3" t="str">
        <f t="shared" si="18"/>
        <v>Friday</v>
      </c>
      <c r="D376" s="2">
        <v>0.46679398148148149</v>
      </c>
      <c r="E376" t="s">
        <v>14</v>
      </c>
      <c r="F376" t="s">
        <v>15</v>
      </c>
      <c r="G376">
        <v>-1</v>
      </c>
      <c r="H376" t="s">
        <v>16</v>
      </c>
      <c r="I376" t="s">
        <v>75</v>
      </c>
      <c r="J376" s="1">
        <v>44002</v>
      </c>
      <c r="L376" t="s">
        <v>14</v>
      </c>
      <c r="M376">
        <v>25.53</v>
      </c>
      <c r="N376">
        <v>25.53</v>
      </c>
      <c r="O376" t="s">
        <v>21</v>
      </c>
      <c r="P376">
        <f t="shared" si="17"/>
        <v>2</v>
      </c>
      <c r="Q376" s="11">
        <f>IF(P376=0,0,IFERROR(Q375+G376*M376*IF(E376="FUTURE",VLOOKUP(MID(I376,2,2),[1]Futures!$A$2:$B$12,2),1),G376*M376*IF(E376="FUTURE",VLOOKUP(MID(I376,2,2),[1]Futures!$A$2:$B$12,2),1)))</f>
        <v>50450</v>
      </c>
      <c r="R376" s="12">
        <f>IFERROR(Q376/P376/IF(E376="FUTURE",VLOOKUP(MID(I376,2,2),[1]Futures!$A$2:$B$12,2),1),"")</f>
        <v>25.225000000000001</v>
      </c>
      <c r="S376" s="13" t="str">
        <f>IF(AND(H376="TO CLOSE",P376=0),-G376*(M376-R375)*IF(E376="FUTURE",VLOOKUP(MID(I376,2,2),[1]Futures!$A$2:$B$12,2),1),"")</f>
        <v/>
      </c>
    </row>
    <row r="377" spans="1:19" x14ac:dyDescent="0.2">
      <c r="A377">
        <f t="shared" si="16"/>
        <v>99</v>
      </c>
      <c r="B377" s="3">
        <v>43938</v>
      </c>
      <c r="C377" s="3" t="str">
        <f t="shared" si="18"/>
        <v>Friday</v>
      </c>
      <c r="D377" s="2">
        <v>0.47547453703703701</v>
      </c>
      <c r="E377" t="s">
        <v>14</v>
      </c>
      <c r="F377" t="s">
        <v>19</v>
      </c>
      <c r="G377">
        <v>1</v>
      </c>
      <c r="H377" t="s">
        <v>20</v>
      </c>
      <c r="I377" t="s">
        <v>75</v>
      </c>
      <c r="J377" s="1">
        <v>44002</v>
      </c>
      <c r="L377" t="s">
        <v>14</v>
      </c>
      <c r="M377">
        <v>25.13</v>
      </c>
      <c r="N377">
        <v>25.13</v>
      </c>
      <c r="O377" t="s">
        <v>21</v>
      </c>
      <c r="P377">
        <f t="shared" si="17"/>
        <v>3</v>
      </c>
      <c r="Q377" s="11">
        <f>IF(P377=0,0,IFERROR(Q376+G377*M377*IF(E377="FUTURE",VLOOKUP(MID(I377,2,2),[1]Futures!$A$2:$B$12,2),1),G377*M377*IF(E377="FUTURE",VLOOKUP(MID(I377,2,2),[1]Futures!$A$2:$B$12,2),1)))</f>
        <v>75580</v>
      </c>
      <c r="R377" s="12">
        <f>IFERROR(Q377/P377/IF(E377="FUTURE",VLOOKUP(MID(I377,2,2),[1]Futures!$A$2:$B$12,2),1),"")</f>
        <v>25.193333333333332</v>
      </c>
      <c r="S377" s="13" t="str">
        <f>IF(AND(H377="TO CLOSE",P377=0),-G377*(M377-R376)*IF(E377="FUTURE",VLOOKUP(MID(I377,2,2),[1]Futures!$A$2:$B$12,2),1),"")</f>
        <v/>
      </c>
    </row>
    <row r="378" spans="1:19" x14ac:dyDescent="0.2">
      <c r="A378">
        <f t="shared" si="16"/>
        <v>99</v>
      </c>
      <c r="B378" s="3">
        <v>43938</v>
      </c>
      <c r="C378" s="3" t="str">
        <f t="shared" si="18"/>
        <v>Friday</v>
      </c>
      <c r="D378" s="2">
        <v>0.50299768518518517</v>
      </c>
      <c r="E378" t="s">
        <v>14</v>
      </c>
      <c r="F378" t="s">
        <v>15</v>
      </c>
      <c r="G378">
        <v>-1</v>
      </c>
      <c r="H378" t="s">
        <v>16</v>
      </c>
      <c r="I378" t="s">
        <v>75</v>
      </c>
      <c r="J378" s="1">
        <v>44002</v>
      </c>
      <c r="L378" t="s">
        <v>14</v>
      </c>
      <c r="M378">
        <v>25.33</v>
      </c>
      <c r="N378">
        <v>25.33</v>
      </c>
      <c r="O378" t="s">
        <v>21</v>
      </c>
      <c r="P378">
        <f t="shared" si="17"/>
        <v>2</v>
      </c>
      <c r="Q378" s="11">
        <f>IF(P378=0,0,IFERROR(Q377+G378*M378*IF(E378="FUTURE",VLOOKUP(MID(I378,2,2),[1]Futures!$A$2:$B$12,2),1),G378*M378*IF(E378="FUTURE",VLOOKUP(MID(I378,2,2),[1]Futures!$A$2:$B$12,2),1)))</f>
        <v>50250</v>
      </c>
      <c r="R378" s="12">
        <f>IFERROR(Q378/P378/IF(E378="FUTURE",VLOOKUP(MID(I378,2,2),[1]Futures!$A$2:$B$12,2),1),"")</f>
        <v>25.125</v>
      </c>
      <c r="S378" s="13" t="str">
        <f>IF(AND(H378="TO CLOSE",P378=0),-G378*(M378-R377)*IF(E378="FUTURE",VLOOKUP(MID(I378,2,2),[1]Futures!$A$2:$B$12,2),1),"")</f>
        <v/>
      </c>
    </row>
    <row r="379" spans="1:19" x14ac:dyDescent="0.2">
      <c r="A379">
        <f t="shared" si="16"/>
        <v>99</v>
      </c>
      <c r="B379" s="3">
        <v>43938</v>
      </c>
      <c r="C379" s="3" t="str">
        <f t="shared" si="18"/>
        <v>Friday</v>
      </c>
      <c r="D379" s="2">
        <v>0.52806712962962965</v>
      </c>
      <c r="E379" t="s">
        <v>14</v>
      </c>
      <c r="F379" t="s">
        <v>15</v>
      </c>
      <c r="G379">
        <v>-2</v>
      </c>
      <c r="H379" t="s">
        <v>16</v>
      </c>
      <c r="I379" t="s">
        <v>75</v>
      </c>
      <c r="J379" s="1">
        <v>44002</v>
      </c>
      <c r="L379" t="s">
        <v>14</v>
      </c>
      <c r="M379">
        <v>24.97</v>
      </c>
      <c r="N379">
        <v>24.97</v>
      </c>
      <c r="O379" t="s">
        <v>18</v>
      </c>
      <c r="P379">
        <f t="shared" si="17"/>
        <v>0</v>
      </c>
      <c r="Q379" s="11">
        <f>IF(P379=0,0,IFERROR(Q378+G379*M379*IF(E379="FUTURE",VLOOKUP(MID(I379,2,2),[1]Futures!$A$2:$B$12,2),1),G379*M379*IF(E379="FUTURE",VLOOKUP(MID(I379,2,2),[1]Futures!$A$2:$B$12,2),1)))</f>
        <v>0</v>
      </c>
      <c r="R379" s="12" t="str">
        <f>IFERROR(Q379/P379/IF(E379="FUTURE",VLOOKUP(MID(I379,2,2),[1]Futures!$A$2:$B$12,2),1),"")</f>
        <v/>
      </c>
      <c r="S379" s="13">
        <f>IF(AND(H379="TO CLOSE",P379=0),-G379*(M379-R378)*IF(E379="FUTURE",VLOOKUP(MID(I379,2,2),[1]Futures!$A$2:$B$12,2),1),"")</f>
        <v>-310.00000000000227</v>
      </c>
    </row>
    <row r="380" spans="1:19" x14ac:dyDescent="0.2">
      <c r="A380">
        <f t="shared" si="16"/>
        <v>100</v>
      </c>
      <c r="B380" s="3">
        <v>43938</v>
      </c>
      <c r="C380" s="3" t="str">
        <f t="shared" si="18"/>
        <v>Friday</v>
      </c>
      <c r="D380" s="2">
        <v>0.53054398148148152</v>
      </c>
      <c r="E380" t="s">
        <v>14</v>
      </c>
      <c r="F380" t="s">
        <v>15</v>
      </c>
      <c r="G380">
        <v>-2</v>
      </c>
      <c r="H380" t="s">
        <v>20</v>
      </c>
      <c r="I380" t="s">
        <v>75</v>
      </c>
      <c r="J380" s="1">
        <v>44002</v>
      </c>
      <c r="L380" t="s">
        <v>14</v>
      </c>
      <c r="M380">
        <v>25.13</v>
      </c>
      <c r="N380">
        <v>25.13</v>
      </c>
      <c r="O380" t="s">
        <v>21</v>
      </c>
      <c r="P380">
        <f t="shared" si="17"/>
        <v>-2</v>
      </c>
      <c r="Q380" s="11">
        <f>IF(P380=0,0,IFERROR(Q379+G380*M380*IF(E380="FUTURE",VLOOKUP(MID(I380,2,2),[1]Futures!$A$2:$B$12,2),1),G380*M380*IF(E380="FUTURE",VLOOKUP(MID(I380,2,2),[1]Futures!$A$2:$B$12,2),1)))</f>
        <v>-50260</v>
      </c>
      <c r="R380" s="12">
        <f>IFERROR(Q380/P380/IF(E380="FUTURE",VLOOKUP(MID(I380,2,2),[1]Futures!$A$2:$B$12,2),1),"")</f>
        <v>25.13</v>
      </c>
      <c r="S380" s="13" t="str">
        <f>IF(AND(H380="TO CLOSE",P380=0),-G380*(M380-R379)*IF(E380="FUTURE",VLOOKUP(MID(I380,2,2),[1]Futures!$A$2:$B$12,2),1),"")</f>
        <v/>
      </c>
    </row>
    <row r="381" spans="1:19" x14ac:dyDescent="0.2">
      <c r="A381">
        <f t="shared" si="16"/>
        <v>100</v>
      </c>
      <c r="B381" s="3">
        <v>43938</v>
      </c>
      <c r="C381" s="3" t="str">
        <f t="shared" si="18"/>
        <v>Friday</v>
      </c>
      <c r="D381" s="2">
        <v>0.53457175925925926</v>
      </c>
      <c r="E381" t="s">
        <v>14</v>
      </c>
      <c r="F381" t="s">
        <v>19</v>
      </c>
      <c r="G381">
        <v>4</v>
      </c>
      <c r="H381" t="s">
        <v>16</v>
      </c>
      <c r="I381" t="s">
        <v>75</v>
      </c>
      <c r="J381" s="1">
        <v>44002</v>
      </c>
      <c r="L381" t="s">
        <v>14</v>
      </c>
      <c r="M381">
        <v>25.24</v>
      </c>
      <c r="N381">
        <v>25.24</v>
      </c>
      <c r="O381" t="s">
        <v>24</v>
      </c>
      <c r="P381">
        <f t="shared" si="17"/>
        <v>2</v>
      </c>
      <c r="Q381" s="11">
        <f>IF(P381=0,0,IFERROR(Q380+G381*M381*IF(E381="FUTURE",VLOOKUP(MID(I381,2,2),[1]Futures!$A$2:$B$12,2),1),G381*M381*IF(E381="FUTURE",VLOOKUP(MID(I381,2,2),[1]Futures!$A$2:$B$12,2),1)))</f>
        <v>50700</v>
      </c>
      <c r="R381" s="12">
        <f>IFERROR(Q381/P381/IF(E381="FUTURE",VLOOKUP(MID(I381,2,2),[1]Futures!$A$2:$B$12,2),1),"")</f>
        <v>25.35</v>
      </c>
      <c r="S381" s="13" t="str">
        <f>IF(AND(H381="TO CLOSE",P381=0),-G381*(M381-R380)*IF(E381="FUTURE",VLOOKUP(MID(I381,2,2),[1]Futures!$A$2:$B$12,2),1),"")</f>
        <v/>
      </c>
    </row>
    <row r="382" spans="1:19" x14ac:dyDescent="0.2">
      <c r="A382">
        <f t="shared" si="16"/>
        <v>100</v>
      </c>
      <c r="B382" s="3">
        <v>43938</v>
      </c>
      <c r="C382" s="3" t="str">
        <f t="shared" si="18"/>
        <v>Friday</v>
      </c>
      <c r="D382" s="2">
        <v>0.55349537037037033</v>
      </c>
      <c r="E382" t="s">
        <v>14</v>
      </c>
      <c r="F382" t="s">
        <v>15</v>
      </c>
      <c r="G382">
        <v>-2</v>
      </c>
      <c r="H382" t="s">
        <v>16</v>
      </c>
      <c r="I382" t="s">
        <v>75</v>
      </c>
      <c r="J382" s="1">
        <v>44002</v>
      </c>
      <c r="L382" t="s">
        <v>14</v>
      </c>
      <c r="M382">
        <v>25.03</v>
      </c>
      <c r="N382">
        <v>25.03</v>
      </c>
      <c r="O382" t="s">
        <v>24</v>
      </c>
      <c r="P382">
        <f t="shared" si="17"/>
        <v>0</v>
      </c>
      <c r="Q382" s="11">
        <f>IF(P382=0,0,IFERROR(Q381+G382*M382*IF(E382="FUTURE",VLOOKUP(MID(I382,2,2),[1]Futures!$A$2:$B$12,2),1),G382*M382*IF(E382="FUTURE",VLOOKUP(MID(I382,2,2),[1]Futures!$A$2:$B$12,2),1)))</f>
        <v>0</v>
      </c>
      <c r="R382" s="12" t="str">
        <f>IFERROR(Q382/P382/IF(E382="FUTURE",VLOOKUP(MID(I382,2,2),[1]Futures!$A$2:$B$12,2),1),"")</f>
        <v/>
      </c>
      <c r="S382" s="13">
        <f>IF(AND(H382="TO CLOSE",P382=0),-G382*(M382-R381)*IF(E382="FUTURE",VLOOKUP(MID(I382,2,2),[1]Futures!$A$2:$B$12,2),1),"")</f>
        <v>-640.00000000000057</v>
      </c>
    </row>
    <row r="383" spans="1:19" x14ac:dyDescent="0.2">
      <c r="A383">
        <f t="shared" si="16"/>
        <v>101</v>
      </c>
      <c r="B383" s="3">
        <v>43938</v>
      </c>
      <c r="C383" s="3" t="str">
        <f t="shared" si="18"/>
        <v>Friday</v>
      </c>
      <c r="D383" s="2">
        <v>0.55379629629629623</v>
      </c>
      <c r="E383" t="s">
        <v>14</v>
      </c>
      <c r="F383" t="s">
        <v>15</v>
      </c>
      <c r="G383">
        <v>-1</v>
      </c>
      <c r="H383" t="s">
        <v>20</v>
      </c>
      <c r="I383" t="s">
        <v>75</v>
      </c>
      <c r="J383" s="1">
        <v>44002</v>
      </c>
      <c r="L383" t="s">
        <v>14</v>
      </c>
      <c r="M383">
        <v>25.04</v>
      </c>
      <c r="N383">
        <v>25.04</v>
      </c>
      <c r="O383" t="s">
        <v>21</v>
      </c>
      <c r="P383">
        <f t="shared" si="17"/>
        <v>-1</v>
      </c>
      <c r="Q383" s="11">
        <f>IF(P383=0,0,IFERROR(Q382+G383*M383*IF(E383="FUTURE",VLOOKUP(MID(I383,2,2),[1]Futures!$A$2:$B$12,2),1),G383*M383*IF(E383="FUTURE",VLOOKUP(MID(I383,2,2),[1]Futures!$A$2:$B$12,2),1)))</f>
        <v>-25040</v>
      </c>
      <c r="R383" s="12">
        <f>IFERROR(Q383/P383/IF(E383="FUTURE",VLOOKUP(MID(I383,2,2),[1]Futures!$A$2:$B$12,2),1),"")</f>
        <v>25.04</v>
      </c>
      <c r="S383" s="13" t="str">
        <f>IF(AND(H383="TO CLOSE",P383=0),-G383*(M383-R382)*IF(E383="FUTURE",VLOOKUP(MID(I383,2,2),[1]Futures!$A$2:$B$12,2),1),"")</f>
        <v/>
      </c>
    </row>
    <row r="384" spans="1:19" x14ac:dyDescent="0.2">
      <c r="A384">
        <f t="shared" si="16"/>
        <v>101</v>
      </c>
      <c r="B384" s="3">
        <v>43938</v>
      </c>
      <c r="C384" s="3" t="str">
        <f t="shared" si="18"/>
        <v>Friday</v>
      </c>
      <c r="D384" s="2">
        <v>0.55540509259259263</v>
      </c>
      <c r="E384" t="s">
        <v>14</v>
      </c>
      <c r="F384" t="s">
        <v>15</v>
      </c>
      <c r="G384">
        <v>-1</v>
      </c>
      <c r="H384" t="s">
        <v>20</v>
      </c>
      <c r="I384" t="s">
        <v>75</v>
      </c>
      <c r="J384" s="1">
        <v>44002</v>
      </c>
      <c r="L384" t="s">
        <v>14</v>
      </c>
      <c r="M384">
        <v>25.1</v>
      </c>
      <c r="N384">
        <v>25.1</v>
      </c>
      <c r="O384" t="s">
        <v>21</v>
      </c>
      <c r="P384">
        <f t="shared" si="17"/>
        <v>-2</v>
      </c>
      <c r="Q384" s="11">
        <f>IF(P384=0,0,IFERROR(Q383+G384*M384*IF(E384="FUTURE",VLOOKUP(MID(I384,2,2),[1]Futures!$A$2:$B$12,2),1),G384*M384*IF(E384="FUTURE",VLOOKUP(MID(I384,2,2),[1]Futures!$A$2:$B$12,2),1)))</f>
        <v>-50140</v>
      </c>
      <c r="R384" s="12">
        <f>IFERROR(Q384/P384/IF(E384="FUTURE",VLOOKUP(MID(I384,2,2),[1]Futures!$A$2:$B$12,2),1),"")</f>
        <v>25.07</v>
      </c>
      <c r="S384" s="13" t="str">
        <f>IF(AND(H384="TO CLOSE",P384=0),-G384*(M384-R383)*IF(E384="FUTURE",VLOOKUP(MID(I384,2,2),[1]Futures!$A$2:$B$12,2),1),"")</f>
        <v/>
      </c>
    </row>
    <row r="385" spans="1:19" x14ac:dyDescent="0.2">
      <c r="A385">
        <f t="shared" si="16"/>
        <v>101</v>
      </c>
      <c r="B385" s="3">
        <v>43938</v>
      </c>
      <c r="C385" s="3" t="str">
        <f t="shared" si="18"/>
        <v>Friday</v>
      </c>
      <c r="D385" s="2">
        <v>0.55843750000000003</v>
      </c>
      <c r="E385" t="s">
        <v>14</v>
      </c>
      <c r="F385" t="s">
        <v>15</v>
      </c>
      <c r="G385">
        <v>-1</v>
      </c>
      <c r="H385" t="s">
        <v>20</v>
      </c>
      <c r="I385" t="s">
        <v>75</v>
      </c>
      <c r="J385" s="1">
        <v>44002</v>
      </c>
      <c r="L385" t="s">
        <v>14</v>
      </c>
      <c r="M385">
        <v>24.95</v>
      </c>
      <c r="N385">
        <v>24.95</v>
      </c>
      <c r="O385" t="s">
        <v>18</v>
      </c>
      <c r="P385">
        <f t="shared" si="17"/>
        <v>-3</v>
      </c>
      <c r="Q385" s="11">
        <f>IF(P385=0,0,IFERROR(Q384+G385*M385*IF(E385="FUTURE",VLOOKUP(MID(I385,2,2),[1]Futures!$A$2:$B$12,2),1),G385*M385*IF(E385="FUTURE",VLOOKUP(MID(I385,2,2),[1]Futures!$A$2:$B$12,2),1)))</f>
        <v>-75090</v>
      </c>
      <c r="R385" s="12">
        <f>IFERROR(Q385/P385/IF(E385="FUTURE",VLOOKUP(MID(I385,2,2),[1]Futures!$A$2:$B$12,2),1),"")</f>
        <v>25.03</v>
      </c>
      <c r="S385" s="13" t="str">
        <f>IF(AND(H385="TO CLOSE",P385=0),-G385*(M385-R384)*IF(E385="FUTURE",VLOOKUP(MID(I385,2,2),[1]Futures!$A$2:$B$12,2),1),"")</f>
        <v/>
      </c>
    </row>
    <row r="386" spans="1:19" x14ac:dyDescent="0.2">
      <c r="A386">
        <f t="shared" ref="A386:A449" si="19">IF(AND(P385=0,H385="TO CLOSE"),IFERROR(A385+1,1),IFERROR(A385/1,1))</f>
        <v>101</v>
      </c>
      <c r="B386" s="3">
        <v>43938</v>
      </c>
      <c r="C386" s="3" t="str">
        <f t="shared" si="18"/>
        <v>Friday</v>
      </c>
      <c r="D386" s="2">
        <v>0.56488425925925922</v>
      </c>
      <c r="E386" t="s">
        <v>14</v>
      </c>
      <c r="F386" t="s">
        <v>19</v>
      </c>
      <c r="G386">
        <v>3</v>
      </c>
      <c r="H386" t="s">
        <v>16</v>
      </c>
      <c r="I386" t="s">
        <v>75</v>
      </c>
      <c r="J386" s="1">
        <v>44002</v>
      </c>
      <c r="L386" t="s">
        <v>14</v>
      </c>
      <c r="M386">
        <v>25.15</v>
      </c>
      <c r="N386">
        <v>25.15</v>
      </c>
      <c r="O386" t="s">
        <v>18</v>
      </c>
      <c r="P386">
        <f t="shared" si="17"/>
        <v>0</v>
      </c>
      <c r="Q386" s="11">
        <f>IF(P386=0,0,IFERROR(Q385+G386*M386*IF(E386="FUTURE",VLOOKUP(MID(I386,2,2),[1]Futures!$A$2:$B$12,2),1),G386*M386*IF(E386="FUTURE",VLOOKUP(MID(I386,2,2),[1]Futures!$A$2:$B$12,2),1)))</f>
        <v>0</v>
      </c>
      <c r="R386" s="12" t="str">
        <f>IFERROR(Q386/P386/IF(E386="FUTURE",VLOOKUP(MID(I386,2,2),[1]Futures!$A$2:$B$12,2),1),"")</f>
        <v/>
      </c>
      <c r="S386" s="13">
        <f>IF(AND(H386="TO CLOSE",P386=0),-G386*(M386-R385)*IF(E386="FUTURE",VLOOKUP(MID(I386,2,2),[1]Futures!$A$2:$B$12,2),1),"")</f>
        <v>-359.99999999999233</v>
      </c>
    </row>
    <row r="387" spans="1:19" x14ac:dyDescent="0.2">
      <c r="A387">
        <f t="shared" si="19"/>
        <v>102</v>
      </c>
      <c r="B387" s="3">
        <v>43938</v>
      </c>
      <c r="C387" s="3" t="str">
        <f t="shared" si="18"/>
        <v>Friday</v>
      </c>
      <c r="D387" s="2">
        <v>0.56601851851851859</v>
      </c>
      <c r="E387" t="s">
        <v>14</v>
      </c>
      <c r="F387" t="s">
        <v>15</v>
      </c>
      <c r="G387">
        <v>-3</v>
      </c>
      <c r="H387" t="s">
        <v>20</v>
      </c>
      <c r="I387" t="s">
        <v>75</v>
      </c>
      <c r="J387" s="1">
        <v>44002</v>
      </c>
      <c r="L387" t="s">
        <v>14</v>
      </c>
      <c r="M387">
        <v>25.05</v>
      </c>
      <c r="N387">
        <v>25.05</v>
      </c>
      <c r="O387" t="s">
        <v>21</v>
      </c>
      <c r="P387">
        <f t="shared" ref="P387:P450" si="20">IF(H387="TO OPEN",IFERROR(P386+G387,0+G387),IFERROR(P386+G387,0+G387))</f>
        <v>-3</v>
      </c>
      <c r="Q387" s="11">
        <f>IF(P387=0,0,IFERROR(Q386+G387*M387*IF(E387="FUTURE",VLOOKUP(MID(I387,2,2),[1]Futures!$A$2:$B$12,2),1),G387*M387*IF(E387="FUTURE",VLOOKUP(MID(I387,2,2),[1]Futures!$A$2:$B$12,2),1)))</f>
        <v>-75150</v>
      </c>
      <c r="R387" s="12">
        <f>IFERROR(Q387/P387/IF(E387="FUTURE",VLOOKUP(MID(I387,2,2),[1]Futures!$A$2:$B$12,2),1),"")</f>
        <v>25.05</v>
      </c>
      <c r="S387" s="13" t="str">
        <f>IF(AND(H387="TO CLOSE",P387=0),-G387*(M387-R386)*IF(E387="FUTURE",VLOOKUP(MID(I387,2,2),[1]Futures!$A$2:$B$12,2),1),"")</f>
        <v/>
      </c>
    </row>
    <row r="388" spans="1:19" x14ac:dyDescent="0.2">
      <c r="A388">
        <f t="shared" si="19"/>
        <v>102</v>
      </c>
      <c r="B388" s="3">
        <v>43938</v>
      </c>
      <c r="C388" s="3" t="str">
        <f t="shared" si="18"/>
        <v>Friday</v>
      </c>
      <c r="D388" s="2">
        <v>0.56982638888888892</v>
      </c>
      <c r="E388" t="s">
        <v>14</v>
      </c>
      <c r="F388" t="s">
        <v>19</v>
      </c>
      <c r="G388">
        <v>6</v>
      </c>
      <c r="H388" t="s">
        <v>16</v>
      </c>
      <c r="I388" t="s">
        <v>75</v>
      </c>
      <c r="J388" s="1">
        <v>44002</v>
      </c>
      <c r="L388" t="s">
        <v>14</v>
      </c>
      <c r="M388">
        <v>25.14</v>
      </c>
      <c r="N388">
        <v>25.14</v>
      </c>
      <c r="O388" t="s">
        <v>24</v>
      </c>
      <c r="P388">
        <f t="shared" si="20"/>
        <v>3</v>
      </c>
      <c r="Q388" s="11">
        <f>IF(P388=0,0,IFERROR(Q387+G388*M388*IF(E388="FUTURE",VLOOKUP(MID(I388,2,2),[1]Futures!$A$2:$B$12,2),1),G388*M388*IF(E388="FUTURE",VLOOKUP(MID(I388,2,2),[1]Futures!$A$2:$B$12,2),1)))</f>
        <v>75690</v>
      </c>
      <c r="R388" s="12">
        <f>IFERROR(Q388/P388/IF(E388="FUTURE",VLOOKUP(MID(I388,2,2),[1]Futures!$A$2:$B$12,2),1),"")</f>
        <v>25.23</v>
      </c>
      <c r="S388" s="13" t="str">
        <f>IF(AND(H388="TO CLOSE",P388=0),-G388*(M388-R387)*IF(E388="FUTURE",VLOOKUP(MID(I388,2,2),[1]Futures!$A$2:$B$12,2),1),"")</f>
        <v/>
      </c>
    </row>
    <row r="389" spans="1:19" x14ac:dyDescent="0.2">
      <c r="A389">
        <f t="shared" si="19"/>
        <v>102</v>
      </c>
      <c r="B389" s="3">
        <v>43938</v>
      </c>
      <c r="C389" s="3" t="str">
        <f t="shared" si="18"/>
        <v>Friday</v>
      </c>
      <c r="D389" s="2">
        <v>0.57620370370370366</v>
      </c>
      <c r="E389" t="s">
        <v>14</v>
      </c>
      <c r="F389" t="s">
        <v>15</v>
      </c>
      <c r="G389">
        <v>-3</v>
      </c>
      <c r="H389" t="s">
        <v>16</v>
      </c>
      <c r="I389" t="s">
        <v>75</v>
      </c>
      <c r="J389" s="1">
        <v>44002</v>
      </c>
      <c r="L389" t="s">
        <v>14</v>
      </c>
      <c r="M389">
        <v>25.02</v>
      </c>
      <c r="N389">
        <v>25.02</v>
      </c>
      <c r="O389" t="s">
        <v>18</v>
      </c>
      <c r="P389">
        <f t="shared" si="20"/>
        <v>0</v>
      </c>
      <c r="Q389" s="11">
        <f>IF(P389=0,0,IFERROR(Q388+G389*M389*IF(E389="FUTURE",VLOOKUP(MID(I389,2,2),[1]Futures!$A$2:$B$12,2),1),G389*M389*IF(E389="FUTURE",VLOOKUP(MID(I389,2,2),[1]Futures!$A$2:$B$12,2),1)))</f>
        <v>0</v>
      </c>
      <c r="R389" s="12" t="str">
        <f>IFERROR(Q389/P389/IF(E389="FUTURE",VLOOKUP(MID(I389,2,2),[1]Futures!$A$2:$B$12,2),1),"")</f>
        <v/>
      </c>
      <c r="S389" s="13">
        <f>IF(AND(H389="TO CLOSE",P389=0),-G389*(M389-R388)*IF(E389="FUTURE",VLOOKUP(MID(I389,2,2),[1]Futures!$A$2:$B$12,2),1),"")</f>
        <v>-630.0000000000025</v>
      </c>
    </row>
    <row r="390" spans="1:19" x14ac:dyDescent="0.2">
      <c r="A390">
        <f t="shared" si="19"/>
        <v>103</v>
      </c>
      <c r="B390" s="3">
        <v>43938</v>
      </c>
      <c r="C390" s="3" t="str">
        <f t="shared" si="18"/>
        <v>Friday</v>
      </c>
      <c r="D390" s="2">
        <v>0.59115740740740741</v>
      </c>
      <c r="E390" t="s">
        <v>14</v>
      </c>
      <c r="F390" t="s">
        <v>19</v>
      </c>
      <c r="G390">
        <v>2</v>
      </c>
      <c r="H390" t="s">
        <v>20</v>
      </c>
      <c r="I390" t="s">
        <v>75</v>
      </c>
      <c r="J390" s="1">
        <v>44002</v>
      </c>
      <c r="L390" t="s">
        <v>14</v>
      </c>
      <c r="M390">
        <v>24.9</v>
      </c>
      <c r="N390">
        <v>24.9</v>
      </c>
      <c r="O390" t="s">
        <v>21</v>
      </c>
      <c r="P390">
        <f t="shared" si="20"/>
        <v>2</v>
      </c>
      <c r="Q390" s="11">
        <f>IF(P390=0,0,IFERROR(Q389+G390*M390*IF(E390="FUTURE",VLOOKUP(MID(I390,2,2),[1]Futures!$A$2:$B$12,2),1),G390*M390*IF(E390="FUTURE",VLOOKUP(MID(I390,2,2),[1]Futures!$A$2:$B$12,2),1)))</f>
        <v>49800</v>
      </c>
      <c r="R390" s="12">
        <f>IFERROR(Q390/P390/IF(E390="FUTURE",VLOOKUP(MID(I390,2,2),[1]Futures!$A$2:$B$12,2),1),"")</f>
        <v>24.9</v>
      </c>
      <c r="S390" s="13" t="str">
        <f>IF(AND(H390="TO CLOSE",P390=0),-G390*(M390-R389)*IF(E390="FUTURE",VLOOKUP(MID(I390,2,2),[1]Futures!$A$2:$B$12,2),1),"")</f>
        <v/>
      </c>
    </row>
    <row r="391" spans="1:19" x14ac:dyDescent="0.2">
      <c r="A391">
        <f t="shared" si="19"/>
        <v>103</v>
      </c>
      <c r="B391" s="3">
        <v>43938</v>
      </c>
      <c r="C391" s="3" t="str">
        <f t="shared" si="18"/>
        <v>Friday</v>
      </c>
      <c r="D391" s="2">
        <v>0.59775462962962966</v>
      </c>
      <c r="E391" t="s">
        <v>14</v>
      </c>
      <c r="F391" t="s">
        <v>19</v>
      </c>
      <c r="G391">
        <v>1</v>
      </c>
      <c r="H391" t="s">
        <v>20</v>
      </c>
      <c r="I391" t="s">
        <v>75</v>
      </c>
      <c r="J391" s="1">
        <v>44002</v>
      </c>
      <c r="L391" t="s">
        <v>14</v>
      </c>
      <c r="M391">
        <v>24.65</v>
      </c>
      <c r="N391">
        <v>24.65</v>
      </c>
      <c r="O391" t="s">
        <v>21</v>
      </c>
      <c r="P391">
        <f t="shared" si="20"/>
        <v>3</v>
      </c>
      <c r="Q391" s="11">
        <f>IF(P391=0,0,IFERROR(Q390+G391*M391*IF(E391="FUTURE",VLOOKUP(MID(I391,2,2),[1]Futures!$A$2:$B$12,2),1),G391*M391*IF(E391="FUTURE",VLOOKUP(MID(I391,2,2),[1]Futures!$A$2:$B$12,2),1)))</f>
        <v>74450</v>
      </c>
      <c r="R391" s="12">
        <f>IFERROR(Q391/P391/IF(E391="FUTURE",VLOOKUP(MID(I391,2,2),[1]Futures!$A$2:$B$12,2),1),"")</f>
        <v>24.816666666666666</v>
      </c>
      <c r="S391" s="13" t="str">
        <f>IF(AND(H391="TO CLOSE",P391=0),-G391*(M391-R390)*IF(E391="FUTURE",VLOOKUP(MID(I391,2,2),[1]Futures!$A$2:$B$12,2),1),"")</f>
        <v/>
      </c>
    </row>
    <row r="392" spans="1:19" x14ac:dyDescent="0.2">
      <c r="A392">
        <f t="shared" si="19"/>
        <v>103</v>
      </c>
      <c r="B392" s="3">
        <v>43938</v>
      </c>
      <c r="C392" s="3" t="str">
        <f t="shared" si="18"/>
        <v>Friday</v>
      </c>
      <c r="D392" s="2">
        <v>0.59829861111111116</v>
      </c>
      <c r="E392" t="s">
        <v>14</v>
      </c>
      <c r="F392" t="s">
        <v>15</v>
      </c>
      <c r="G392">
        <v>-1</v>
      </c>
      <c r="H392" t="s">
        <v>16</v>
      </c>
      <c r="I392" t="s">
        <v>75</v>
      </c>
      <c r="J392" s="1">
        <v>44002</v>
      </c>
      <c r="L392" t="s">
        <v>14</v>
      </c>
      <c r="M392">
        <v>24.83</v>
      </c>
      <c r="N392">
        <v>24.83</v>
      </c>
      <c r="O392" t="s">
        <v>21</v>
      </c>
      <c r="P392">
        <f t="shared" si="20"/>
        <v>2</v>
      </c>
      <c r="Q392" s="11">
        <f>IF(P392=0,0,IFERROR(Q391+G392*M392*IF(E392="FUTURE",VLOOKUP(MID(I392,2,2),[1]Futures!$A$2:$B$12,2),1),G392*M392*IF(E392="FUTURE",VLOOKUP(MID(I392,2,2),[1]Futures!$A$2:$B$12,2),1)))</f>
        <v>49620</v>
      </c>
      <c r="R392" s="12">
        <f>IFERROR(Q392/P392/IF(E392="FUTURE",VLOOKUP(MID(I392,2,2),[1]Futures!$A$2:$B$12,2),1),"")</f>
        <v>24.81</v>
      </c>
      <c r="S392" s="13" t="str">
        <f>IF(AND(H392="TO CLOSE",P392=0),-G392*(M392-R391)*IF(E392="FUTURE",VLOOKUP(MID(I392,2,2),[1]Futures!$A$2:$B$12,2),1),"")</f>
        <v/>
      </c>
    </row>
    <row r="393" spans="1:19" x14ac:dyDescent="0.2">
      <c r="A393">
        <f t="shared" si="19"/>
        <v>103</v>
      </c>
      <c r="B393" s="3">
        <v>43938</v>
      </c>
      <c r="C393" s="3" t="str">
        <f t="shared" si="18"/>
        <v>Friday</v>
      </c>
      <c r="D393" s="2">
        <v>0.5994328703703703</v>
      </c>
      <c r="E393" t="s">
        <v>14</v>
      </c>
      <c r="F393" t="s">
        <v>19</v>
      </c>
      <c r="G393">
        <v>1</v>
      </c>
      <c r="H393" t="s">
        <v>20</v>
      </c>
      <c r="I393" t="s">
        <v>75</v>
      </c>
      <c r="J393" s="1">
        <v>44002</v>
      </c>
      <c r="L393" t="s">
        <v>14</v>
      </c>
      <c r="M393">
        <v>24.94</v>
      </c>
      <c r="N393">
        <v>24.94</v>
      </c>
      <c r="O393" t="s">
        <v>18</v>
      </c>
      <c r="P393">
        <f t="shared" si="20"/>
        <v>3</v>
      </c>
      <c r="Q393" s="11">
        <f>IF(P393=0,0,IFERROR(Q392+G393*M393*IF(E393="FUTURE",VLOOKUP(MID(I393,2,2),[1]Futures!$A$2:$B$12,2),1),G393*M393*IF(E393="FUTURE",VLOOKUP(MID(I393,2,2),[1]Futures!$A$2:$B$12,2),1)))</f>
        <v>74560</v>
      </c>
      <c r="R393" s="12">
        <f>IFERROR(Q393/P393/IF(E393="FUTURE",VLOOKUP(MID(I393,2,2),[1]Futures!$A$2:$B$12,2),1),"")</f>
        <v>24.853333333333332</v>
      </c>
      <c r="S393" s="13" t="str">
        <f>IF(AND(H393="TO CLOSE",P393=0),-G393*(M393-R392)*IF(E393="FUTURE",VLOOKUP(MID(I393,2,2),[1]Futures!$A$2:$B$12,2),1),"")</f>
        <v/>
      </c>
    </row>
    <row r="394" spans="1:19" x14ac:dyDescent="0.2">
      <c r="A394">
        <f t="shared" si="19"/>
        <v>103</v>
      </c>
      <c r="B394" s="3">
        <v>43938</v>
      </c>
      <c r="C394" s="3" t="str">
        <f t="shared" si="18"/>
        <v>Friday</v>
      </c>
      <c r="D394" s="2">
        <v>0.6022453703703704</v>
      </c>
      <c r="E394" t="s">
        <v>14</v>
      </c>
      <c r="F394" t="s">
        <v>15</v>
      </c>
      <c r="G394">
        <v>-1</v>
      </c>
      <c r="H394" t="s">
        <v>16</v>
      </c>
      <c r="I394" t="s">
        <v>75</v>
      </c>
      <c r="J394" s="1">
        <v>44002</v>
      </c>
      <c r="L394" t="s">
        <v>14</v>
      </c>
      <c r="M394">
        <v>25.09</v>
      </c>
      <c r="N394">
        <v>25.09</v>
      </c>
      <c r="O394" t="s">
        <v>21</v>
      </c>
      <c r="P394">
        <f t="shared" si="20"/>
        <v>2</v>
      </c>
      <c r="Q394" s="11">
        <f>IF(P394=0,0,IFERROR(Q393+G394*M394*IF(E394="FUTURE",VLOOKUP(MID(I394,2,2),[1]Futures!$A$2:$B$12,2),1),G394*M394*IF(E394="FUTURE",VLOOKUP(MID(I394,2,2),[1]Futures!$A$2:$B$12,2),1)))</f>
        <v>49470</v>
      </c>
      <c r="R394" s="12">
        <f>IFERROR(Q394/P394/IF(E394="FUTURE",VLOOKUP(MID(I394,2,2),[1]Futures!$A$2:$B$12,2),1),"")</f>
        <v>24.734999999999999</v>
      </c>
      <c r="S394" s="13" t="str">
        <f>IF(AND(H394="TO CLOSE",P394=0),-G394*(M394-R393)*IF(E394="FUTURE",VLOOKUP(MID(I394,2,2),[1]Futures!$A$2:$B$12,2),1),"")</f>
        <v/>
      </c>
    </row>
    <row r="395" spans="1:19" x14ac:dyDescent="0.2">
      <c r="A395">
        <f t="shared" si="19"/>
        <v>103</v>
      </c>
      <c r="B395" s="3">
        <v>43938</v>
      </c>
      <c r="C395" s="3" t="str">
        <f t="shared" si="18"/>
        <v>Friday</v>
      </c>
      <c r="D395" s="2">
        <v>0.60751157407407408</v>
      </c>
      <c r="E395" t="s">
        <v>14</v>
      </c>
      <c r="F395" t="s">
        <v>15</v>
      </c>
      <c r="G395">
        <v>-1</v>
      </c>
      <c r="H395" t="s">
        <v>16</v>
      </c>
      <c r="I395" t="s">
        <v>75</v>
      </c>
      <c r="J395" s="1">
        <v>44002</v>
      </c>
      <c r="L395" t="s">
        <v>14</v>
      </c>
      <c r="M395">
        <v>25.14</v>
      </c>
      <c r="N395">
        <v>25.14</v>
      </c>
      <c r="O395" t="s">
        <v>21</v>
      </c>
      <c r="P395">
        <f t="shared" si="20"/>
        <v>1</v>
      </c>
      <c r="Q395" s="11">
        <f>IF(P395=0,0,IFERROR(Q394+G395*M395*IF(E395="FUTURE",VLOOKUP(MID(I395,2,2),[1]Futures!$A$2:$B$12,2),1),G395*M395*IF(E395="FUTURE",VLOOKUP(MID(I395,2,2),[1]Futures!$A$2:$B$12,2),1)))</f>
        <v>24330</v>
      </c>
      <c r="R395" s="12">
        <f>IFERROR(Q395/P395/IF(E395="FUTURE",VLOOKUP(MID(I395,2,2),[1]Futures!$A$2:$B$12,2),1),"")</f>
        <v>24.33</v>
      </c>
      <c r="S395" s="13" t="str">
        <f>IF(AND(H395="TO CLOSE",P395=0),-G395*(M395-R394)*IF(E395="FUTURE",VLOOKUP(MID(I395,2,2),[1]Futures!$A$2:$B$12,2),1),"")</f>
        <v/>
      </c>
    </row>
    <row r="396" spans="1:19" x14ac:dyDescent="0.2">
      <c r="A396">
        <f t="shared" si="19"/>
        <v>103</v>
      </c>
      <c r="B396" s="3">
        <v>43938</v>
      </c>
      <c r="C396" s="3" t="str">
        <f t="shared" si="18"/>
        <v>Friday</v>
      </c>
      <c r="D396" s="2">
        <v>0.60775462962962956</v>
      </c>
      <c r="E396" t="s">
        <v>14</v>
      </c>
      <c r="F396" t="s">
        <v>15</v>
      </c>
      <c r="G396">
        <v>-1</v>
      </c>
      <c r="H396" t="s">
        <v>16</v>
      </c>
      <c r="I396" t="s">
        <v>75</v>
      </c>
      <c r="J396" s="1">
        <v>44002</v>
      </c>
      <c r="L396" t="s">
        <v>14</v>
      </c>
      <c r="M396">
        <v>25.16</v>
      </c>
      <c r="N396">
        <v>25.16</v>
      </c>
      <c r="O396" t="s">
        <v>21</v>
      </c>
      <c r="P396">
        <f t="shared" si="20"/>
        <v>0</v>
      </c>
      <c r="Q396" s="11">
        <f>IF(P396=0,0,IFERROR(Q395+G396*M396*IF(E396="FUTURE",VLOOKUP(MID(I396,2,2),[1]Futures!$A$2:$B$12,2),1),G396*M396*IF(E396="FUTURE",VLOOKUP(MID(I396,2,2),[1]Futures!$A$2:$B$12,2),1)))</f>
        <v>0</v>
      </c>
      <c r="R396" s="12" t="str">
        <f>IFERROR(Q396/P396/IF(E396="FUTURE",VLOOKUP(MID(I396,2,2),[1]Futures!$A$2:$B$12,2),1),"")</f>
        <v/>
      </c>
      <c r="S396" s="13">
        <f>IF(AND(H396="TO CLOSE",P396=0),-G396*(M396-R395)*IF(E396="FUTURE",VLOOKUP(MID(I396,2,2),[1]Futures!$A$2:$B$12,2),1),"")</f>
        <v>830.00000000000182</v>
      </c>
    </row>
    <row r="397" spans="1:19" x14ac:dyDescent="0.2">
      <c r="A397">
        <f t="shared" si="19"/>
        <v>104</v>
      </c>
      <c r="B397" s="3">
        <v>43938</v>
      </c>
      <c r="C397" s="3" t="str">
        <f t="shared" si="18"/>
        <v>Friday</v>
      </c>
      <c r="D397" s="2">
        <v>0.41285879629629635</v>
      </c>
      <c r="E397" t="s">
        <v>14</v>
      </c>
      <c r="F397" t="s">
        <v>19</v>
      </c>
      <c r="G397">
        <v>5</v>
      </c>
      <c r="H397" t="s">
        <v>20</v>
      </c>
      <c r="I397" t="s">
        <v>73</v>
      </c>
      <c r="J397" s="1">
        <v>44002</v>
      </c>
      <c r="L397" t="s">
        <v>14</v>
      </c>
      <c r="M397">
        <v>2846</v>
      </c>
      <c r="N397">
        <v>2846</v>
      </c>
      <c r="O397" t="s">
        <v>21</v>
      </c>
      <c r="P397">
        <f t="shared" si="20"/>
        <v>5</v>
      </c>
      <c r="Q397" s="11">
        <f>IF(P397=0,0,IFERROR(Q396+G397*M397*IF(E397="FUTURE",VLOOKUP(MID(I397,2,2),[1]Futures!$A$2:$B$12,2),1),G397*M397*IF(E397="FUTURE",VLOOKUP(MID(I397,2,2),[1]Futures!$A$2:$B$12,2),1)))</f>
        <v>71150</v>
      </c>
      <c r="R397" s="12">
        <f>IFERROR(Q397/P397/IF(E397="FUTURE",VLOOKUP(MID(I397,2,2),[1]Futures!$A$2:$B$12,2),1),"")</f>
        <v>2846</v>
      </c>
      <c r="S397" s="13" t="str">
        <f>IF(AND(H397="TO CLOSE",P397=0),-G397*(M397-R396)*IF(E397="FUTURE",VLOOKUP(MID(I397,2,2),[1]Futures!$A$2:$B$12,2),1),"")</f>
        <v/>
      </c>
    </row>
    <row r="398" spans="1:19" x14ac:dyDescent="0.2">
      <c r="A398">
        <f t="shared" si="19"/>
        <v>104</v>
      </c>
      <c r="B398" s="3">
        <v>43938</v>
      </c>
      <c r="C398" s="3" t="str">
        <f t="shared" si="18"/>
        <v>Friday</v>
      </c>
      <c r="D398" s="2">
        <v>0.41445601851851849</v>
      </c>
      <c r="E398" t="s">
        <v>14</v>
      </c>
      <c r="F398" t="s">
        <v>15</v>
      </c>
      <c r="G398">
        <v>-5</v>
      </c>
      <c r="H398" t="s">
        <v>16</v>
      </c>
      <c r="I398" t="s">
        <v>73</v>
      </c>
      <c r="J398" s="1">
        <v>44002</v>
      </c>
      <c r="L398" t="s">
        <v>14</v>
      </c>
      <c r="M398">
        <v>2849.75</v>
      </c>
      <c r="N398">
        <v>2849.75</v>
      </c>
      <c r="O398" t="s">
        <v>21</v>
      </c>
      <c r="P398">
        <f t="shared" si="20"/>
        <v>0</v>
      </c>
      <c r="Q398" s="11">
        <f>IF(P398=0,0,IFERROR(Q397+G398*M398*IF(E398="FUTURE",VLOOKUP(MID(I398,2,2),[1]Futures!$A$2:$B$12,2),1),G398*M398*IF(E398="FUTURE",VLOOKUP(MID(I398,2,2),[1]Futures!$A$2:$B$12,2),1)))</f>
        <v>0</v>
      </c>
      <c r="R398" s="12" t="str">
        <f>IFERROR(Q398/P398/IF(E398="FUTURE",VLOOKUP(MID(I398,2,2),[1]Futures!$A$2:$B$12,2),1),"")</f>
        <v/>
      </c>
      <c r="S398" s="13">
        <f>IF(AND(H398="TO CLOSE",P398=0),-G398*(M398-R397)*IF(E398="FUTURE",VLOOKUP(MID(I398,2,2),[1]Futures!$A$2:$B$12,2),1),"")</f>
        <v>93.75</v>
      </c>
    </row>
    <row r="399" spans="1:19" x14ac:dyDescent="0.2">
      <c r="A399">
        <f t="shared" si="19"/>
        <v>105</v>
      </c>
      <c r="B399" s="3">
        <v>43938</v>
      </c>
      <c r="C399" s="3" t="str">
        <f t="shared" si="18"/>
        <v>Friday</v>
      </c>
      <c r="D399" s="2">
        <v>0.4175578703703704</v>
      </c>
      <c r="E399" t="s">
        <v>22</v>
      </c>
      <c r="F399" t="s">
        <v>15</v>
      </c>
      <c r="G399">
        <v>-200</v>
      </c>
      <c r="H399" t="s">
        <v>20</v>
      </c>
      <c r="I399" t="s">
        <v>23</v>
      </c>
      <c r="L399" t="s">
        <v>22</v>
      </c>
      <c r="M399">
        <v>39.560099999999998</v>
      </c>
      <c r="N399">
        <v>39.560099999999998</v>
      </c>
      <c r="O399" t="s">
        <v>24</v>
      </c>
      <c r="P399">
        <f t="shared" si="20"/>
        <v>-200</v>
      </c>
      <c r="Q399" s="11">
        <f>IF(P399=0,0,IFERROR(Q398+G399*M399*IF(E399="FUTURE",VLOOKUP(MID(I399,2,2),[1]Futures!$A$2:$B$12,2),1),G399*M399*IF(E399="FUTURE",VLOOKUP(MID(I399,2,2),[1]Futures!$A$2:$B$12,2),1)))</f>
        <v>-7912.0199999999995</v>
      </c>
      <c r="R399" s="12">
        <f>IFERROR(Q399/P399/IF(E399="FUTURE",VLOOKUP(MID(I399,2,2),[1]Futures!$A$2:$B$12,2),1),"")</f>
        <v>39.560099999999998</v>
      </c>
      <c r="S399" s="13" t="str">
        <f>IF(AND(H399="TO CLOSE",P399=0),-G399*(M399-R398)*IF(E399="FUTURE",VLOOKUP(MID(I399,2,2),[1]Futures!$A$2:$B$12,2),1),"")</f>
        <v/>
      </c>
    </row>
    <row r="400" spans="1:19" x14ac:dyDescent="0.2">
      <c r="A400">
        <f t="shared" si="19"/>
        <v>105</v>
      </c>
      <c r="B400" s="3">
        <v>43938</v>
      </c>
      <c r="C400" s="3" t="str">
        <f t="shared" si="18"/>
        <v>Friday</v>
      </c>
      <c r="D400" s="2">
        <v>0.4175578703703704</v>
      </c>
      <c r="E400" t="s">
        <v>22</v>
      </c>
      <c r="F400" t="s">
        <v>15</v>
      </c>
      <c r="G400">
        <v>-100</v>
      </c>
      <c r="H400" t="s">
        <v>20</v>
      </c>
      <c r="I400" t="s">
        <v>23</v>
      </c>
      <c r="L400" t="s">
        <v>22</v>
      </c>
      <c r="M400">
        <v>39.560099999999998</v>
      </c>
      <c r="N400">
        <v>39.560099999999998</v>
      </c>
      <c r="O400" t="s">
        <v>24</v>
      </c>
      <c r="P400">
        <f t="shared" si="20"/>
        <v>-300</v>
      </c>
      <c r="Q400" s="11">
        <f>IF(P400=0,0,IFERROR(Q399+G400*M400*IF(E400="FUTURE",VLOOKUP(MID(I400,2,2),[1]Futures!$A$2:$B$12,2),1),G400*M400*IF(E400="FUTURE",VLOOKUP(MID(I400,2,2),[1]Futures!$A$2:$B$12,2),1)))</f>
        <v>-11868.029999999999</v>
      </c>
      <c r="R400" s="12">
        <f>IFERROR(Q400/P400/IF(E400="FUTURE",VLOOKUP(MID(I400,2,2),[1]Futures!$A$2:$B$12,2),1),"")</f>
        <v>39.560099999999998</v>
      </c>
      <c r="S400" s="13" t="str">
        <f>IF(AND(H400="TO CLOSE",P400=0),-G400*(M400-R399)*IF(E400="FUTURE",VLOOKUP(MID(I400,2,2),[1]Futures!$A$2:$B$12,2),1),"")</f>
        <v/>
      </c>
    </row>
    <row r="401" spans="1:19" x14ac:dyDescent="0.2">
      <c r="A401">
        <f t="shared" si="19"/>
        <v>105</v>
      </c>
      <c r="B401" s="3">
        <v>43938</v>
      </c>
      <c r="C401" s="3" t="str">
        <f t="shared" si="18"/>
        <v>Friday</v>
      </c>
      <c r="D401" s="2">
        <v>0.4175578703703704</v>
      </c>
      <c r="E401" t="s">
        <v>22</v>
      </c>
      <c r="F401" t="s">
        <v>15</v>
      </c>
      <c r="G401">
        <v>-100</v>
      </c>
      <c r="H401" t="s">
        <v>20</v>
      </c>
      <c r="I401" t="s">
        <v>23</v>
      </c>
      <c r="L401" t="s">
        <v>22</v>
      </c>
      <c r="M401">
        <v>39.560099999999998</v>
      </c>
      <c r="N401">
        <v>39.560099999999998</v>
      </c>
      <c r="O401" t="s">
        <v>24</v>
      </c>
      <c r="P401">
        <f t="shared" si="20"/>
        <v>-400</v>
      </c>
      <c r="Q401" s="11">
        <f>IF(P401=0,0,IFERROR(Q400+G401*M401*IF(E401="FUTURE",VLOOKUP(MID(I401,2,2),[1]Futures!$A$2:$B$12,2),1),G401*M401*IF(E401="FUTURE",VLOOKUP(MID(I401,2,2),[1]Futures!$A$2:$B$12,2),1)))</f>
        <v>-15824.039999999999</v>
      </c>
      <c r="R401" s="12">
        <f>IFERROR(Q401/P401/IF(E401="FUTURE",VLOOKUP(MID(I401,2,2),[1]Futures!$A$2:$B$12,2),1),"")</f>
        <v>39.560099999999998</v>
      </c>
      <c r="S401" s="13" t="str">
        <f>IF(AND(H401="TO CLOSE",P401=0),-G401*(M401-R400)*IF(E401="FUTURE",VLOOKUP(MID(I401,2,2),[1]Futures!$A$2:$B$12,2),1),"")</f>
        <v/>
      </c>
    </row>
    <row r="402" spans="1:19" x14ac:dyDescent="0.2">
      <c r="A402">
        <f t="shared" si="19"/>
        <v>105</v>
      </c>
      <c r="B402" s="3">
        <v>43938</v>
      </c>
      <c r="C402" s="3" t="str">
        <f t="shared" si="18"/>
        <v>Friday</v>
      </c>
      <c r="D402" s="2">
        <v>0.42385416666666664</v>
      </c>
      <c r="E402" t="s">
        <v>22</v>
      </c>
      <c r="F402" t="s">
        <v>19</v>
      </c>
      <c r="G402">
        <v>200</v>
      </c>
      <c r="H402" t="s">
        <v>16</v>
      </c>
      <c r="I402" t="s">
        <v>23</v>
      </c>
      <c r="L402" t="s">
        <v>22</v>
      </c>
      <c r="M402">
        <v>39.42</v>
      </c>
      <c r="N402">
        <v>39.42</v>
      </c>
      <c r="O402" t="s">
        <v>21</v>
      </c>
      <c r="P402">
        <f t="shared" si="20"/>
        <v>-200</v>
      </c>
      <c r="Q402" s="11">
        <f>IF(P402=0,0,IFERROR(Q401+G402*M402*IF(E402="FUTURE",VLOOKUP(MID(I402,2,2),[1]Futures!$A$2:$B$12,2),1),G402*M402*IF(E402="FUTURE",VLOOKUP(MID(I402,2,2),[1]Futures!$A$2:$B$12,2),1)))</f>
        <v>-7940.0399999999991</v>
      </c>
      <c r="R402" s="12">
        <f>IFERROR(Q402/P402/IF(E402="FUTURE",VLOOKUP(MID(I402,2,2),[1]Futures!$A$2:$B$12,2),1),"")</f>
        <v>39.700199999999995</v>
      </c>
      <c r="S402" s="13" t="str">
        <f>IF(AND(H402="TO CLOSE",P402=0),-G402*(M402-R401)*IF(E402="FUTURE",VLOOKUP(MID(I402,2,2),[1]Futures!$A$2:$B$12,2),1),"")</f>
        <v/>
      </c>
    </row>
    <row r="403" spans="1:19" x14ac:dyDescent="0.2">
      <c r="A403">
        <f t="shared" si="19"/>
        <v>105</v>
      </c>
      <c r="B403" s="3">
        <v>43938</v>
      </c>
      <c r="C403" s="3" t="str">
        <f t="shared" si="18"/>
        <v>Friday</v>
      </c>
      <c r="D403" s="2">
        <v>0.42583333333333334</v>
      </c>
      <c r="E403" t="s">
        <v>22</v>
      </c>
      <c r="F403" t="s">
        <v>19</v>
      </c>
      <c r="G403">
        <v>200</v>
      </c>
      <c r="H403" t="s">
        <v>16</v>
      </c>
      <c r="I403" t="s">
        <v>23</v>
      </c>
      <c r="L403" t="s">
        <v>22</v>
      </c>
      <c r="M403">
        <v>39.57</v>
      </c>
      <c r="N403">
        <v>39.57</v>
      </c>
      <c r="O403" t="s">
        <v>18</v>
      </c>
      <c r="P403">
        <f t="shared" si="20"/>
        <v>0</v>
      </c>
      <c r="Q403" s="11">
        <f>IF(P403=0,0,IFERROR(Q402+G403*M403*IF(E403="FUTURE",VLOOKUP(MID(I403,2,2),[1]Futures!$A$2:$B$12,2),1),G403*M403*IF(E403="FUTURE",VLOOKUP(MID(I403,2,2),[1]Futures!$A$2:$B$12,2),1)))</f>
        <v>0</v>
      </c>
      <c r="R403" s="12" t="str">
        <f>IFERROR(Q403/P403/IF(E403="FUTURE",VLOOKUP(MID(I403,2,2),[1]Futures!$A$2:$B$12,2),1),"")</f>
        <v/>
      </c>
      <c r="S403" s="13">
        <f>IF(AND(H403="TO CLOSE",P403=0),-G403*(M403-R402)*IF(E403="FUTURE",VLOOKUP(MID(I403,2,2),[1]Futures!$A$2:$B$12,2),1),"")</f>
        <v>26.039999999998997</v>
      </c>
    </row>
    <row r="404" spans="1:19" x14ac:dyDescent="0.2">
      <c r="A404">
        <f t="shared" si="19"/>
        <v>106</v>
      </c>
      <c r="B404" s="3">
        <v>43938</v>
      </c>
      <c r="C404" s="3" t="str">
        <f t="shared" si="18"/>
        <v>Friday</v>
      </c>
      <c r="D404" s="2">
        <v>0.43046296296296299</v>
      </c>
      <c r="E404" t="s">
        <v>22</v>
      </c>
      <c r="F404" t="s">
        <v>15</v>
      </c>
      <c r="G404">
        <v>-200</v>
      </c>
      <c r="H404" t="s">
        <v>20</v>
      </c>
      <c r="I404" t="s">
        <v>23</v>
      </c>
      <c r="L404" t="s">
        <v>22</v>
      </c>
      <c r="M404">
        <v>39.875</v>
      </c>
      <c r="N404">
        <v>39.875</v>
      </c>
      <c r="O404" t="s">
        <v>24</v>
      </c>
      <c r="P404">
        <f t="shared" si="20"/>
        <v>-200</v>
      </c>
      <c r="Q404" s="11">
        <f>IF(P404=0,0,IFERROR(Q403+G404*M404*IF(E404="FUTURE",VLOOKUP(MID(I404,2,2),[1]Futures!$A$2:$B$12,2),1),G404*M404*IF(E404="FUTURE",VLOOKUP(MID(I404,2,2),[1]Futures!$A$2:$B$12,2),1)))</f>
        <v>-7975</v>
      </c>
      <c r="R404" s="12">
        <f>IFERROR(Q404/P404/IF(E404="FUTURE",VLOOKUP(MID(I404,2,2),[1]Futures!$A$2:$B$12,2),1),"")</f>
        <v>39.875</v>
      </c>
      <c r="S404" s="13" t="str">
        <f>IF(AND(H404="TO CLOSE",P404=0),-G404*(M404-R403)*IF(E404="FUTURE",VLOOKUP(MID(I404,2,2),[1]Futures!$A$2:$B$12,2),1),"")</f>
        <v/>
      </c>
    </row>
    <row r="405" spans="1:19" x14ac:dyDescent="0.2">
      <c r="A405">
        <f t="shared" si="19"/>
        <v>106</v>
      </c>
      <c r="B405" s="3">
        <v>43938</v>
      </c>
      <c r="C405" s="3" t="str">
        <f t="shared" si="18"/>
        <v>Friday</v>
      </c>
      <c r="D405" s="2">
        <v>0.43412037037037038</v>
      </c>
      <c r="E405" t="s">
        <v>22</v>
      </c>
      <c r="F405" t="s">
        <v>15</v>
      </c>
      <c r="G405">
        <v>-100</v>
      </c>
      <c r="H405" t="s">
        <v>20</v>
      </c>
      <c r="I405" t="s">
        <v>23</v>
      </c>
      <c r="L405" t="s">
        <v>22</v>
      </c>
      <c r="M405">
        <v>39.980499999999999</v>
      </c>
      <c r="N405">
        <v>39.980499999999999</v>
      </c>
      <c r="O405" t="s">
        <v>21</v>
      </c>
      <c r="P405">
        <f t="shared" si="20"/>
        <v>-300</v>
      </c>
      <c r="Q405" s="11">
        <f>IF(P405=0,0,IFERROR(Q404+G405*M405*IF(E405="FUTURE",VLOOKUP(MID(I405,2,2),[1]Futures!$A$2:$B$12,2),1),G405*M405*IF(E405="FUTURE",VLOOKUP(MID(I405,2,2),[1]Futures!$A$2:$B$12,2),1)))</f>
        <v>-11973.05</v>
      </c>
      <c r="R405" s="12">
        <f>IFERROR(Q405/P405/IF(E405="FUTURE",VLOOKUP(MID(I405,2,2),[1]Futures!$A$2:$B$12,2),1),"")</f>
        <v>39.910166666666662</v>
      </c>
      <c r="S405" s="13" t="str">
        <f>IF(AND(H405="TO CLOSE",P405=0),-G405*(M405-R404)*IF(E405="FUTURE",VLOOKUP(MID(I405,2,2),[1]Futures!$A$2:$B$12,2),1),"")</f>
        <v/>
      </c>
    </row>
    <row r="406" spans="1:19" x14ac:dyDescent="0.2">
      <c r="A406">
        <f t="shared" si="19"/>
        <v>106</v>
      </c>
      <c r="B406" s="3">
        <v>43938</v>
      </c>
      <c r="C406" s="3" t="str">
        <f t="shared" si="18"/>
        <v>Friday</v>
      </c>
      <c r="D406" s="2">
        <v>0.44061342592592595</v>
      </c>
      <c r="E406" t="s">
        <v>22</v>
      </c>
      <c r="F406" t="s">
        <v>15</v>
      </c>
      <c r="G406">
        <v>-100</v>
      </c>
      <c r="H406" t="s">
        <v>20</v>
      </c>
      <c r="I406" t="s">
        <v>23</v>
      </c>
      <c r="L406" t="s">
        <v>22</v>
      </c>
      <c r="M406">
        <v>40.070099999999996</v>
      </c>
      <c r="N406">
        <v>40.070099999999996</v>
      </c>
      <c r="O406" t="s">
        <v>24</v>
      </c>
      <c r="P406">
        <f t="shared" si="20"/>
        <v>-400</v>
      </c>
      <c r="Q406" s="11">
        <f>IF(P406=0,0,IFERROR(Q405+G406*M406*IF(E406="FUTURE",VLOOKUP(MID(I406,2,2),[1]Futures!$A$2:$B$12,2),1),G406*M406*IF(E406="FUTURE",VLOOKUP(MID(I406,2,2),[1]Futures!$A$2:$B$12,2),1)))</f>
        <v>-15980.06</v>
      </c>
      <c r="R406" s="12">
        <f>IFERROR(Q406/P406/IF(E406="FUTURE",VLOOKUP(MID(I406,2,2),[1]Futures!$A$2:$B$12,2),1),"")</f>
        <v>39.950150000000001</v>
      </c>
      <c r="S406" s="13" t="str">
        <f>IF(AND(H406="TO CLOSE",P406=0),-G406*(M406-R405)*IF(E406="FUTURE",VLOOKUP(MID(I406,2,2),[1]Futures!$A$2:$B$12,2),1),"")</f>
        <v/>
      </c>
    </row>
    <row r="407" spans="1:19" x14ac:dyDescent="0.2">
      <c r="A407">
        <f t="shared" si="19"/>
        <v>106</v>
      </c>
      <c r="B407" s="3">
        <v>43938</v>
      </c>
      <c r="C407" s="3" t="str">
        <f t="shared" si="18"/>
        <v>Friday</v>
      </c>
      <c r="D407" s="2">
        <v>0.55320601851851847</v>
      </c>
      <c r="E407" t="s">
        <v>22</v>
      </c>
      <c r="F407" t="s">
        <v>19</v>
      </c>
      <c r="G407">
        <v>100</v>
      </c>
      <c r="H407" t="s">
        <v>16</v>
      </c>
      <c r="I407" t="s">
        <v>23</v>
      </c>
      <c r="L407" t="s">
        <v>22</v>
      </c>
      <c r="M407">
        <v>39.784999999999997</v>
      </c>
      <c r="N407">
        <v>39.784999999999997</v>
      </c>
      <c r="O407" t="s">
        <v>24</v>
      </c>
      <c r="P407">
        <f t="shared" si="20"/>
        <v>-300</v>
      </c>
      <c r="Q407" s="11">
        <f>IF(P407=0,0,IFERROR(Q406+G407*M407*IF(E407="FUTURE",VLOOKUP(MID(I407,2,2),[1]Futures!$A$2:$B$12,2),1),G407*M407*IF(E407="FUTURE",VLOOKUP(MID(I407,2,2),[1]Futures!$A$2:$B$12,2),1)))</f>
        <v>-12001.56</v>
      </c>
      <c r="R407" s="12">
        <f>IFERROR(Q407/P407/IF(E407="FUTURE",VLOOKUP(MID(I407,2,2),[1]Futures!$A$2:$B$12,2),1),"")</f>
        <v>40.005199999999995</v>
      </c>
      <c r="S407" s="13" t="str">
        <f>IF(AND(H407="TO CLOSE",P407=0),-G407*(M407-R406)*IF(E407="FUTURE",VLOOKUP(MID(I407,2,2),[1]Futures!$A$2:$B$12,2),1),"")</f>
        <v/>
      </c>
    </row>
    <row r="408" spans="1:19" x14ac:dyDescent="0.2">
      <c r="A408">
        <f t="shared" si="19"/>
        <v>106</v>
      </c>
      <c r="B408" s="3">
        <v>43938</v>
      </c>
      <c r="C408" s="3" t="str">
        <f t="shared" si="18"/>
        <v>Friday</v>
      </c>
      <c r="D408" s="2">
        <v>0.55320601851851847</v>
      </c>
      <c r="E408" t="s">
        <v>22</v>
      </c>
      <c r="F408" t="s">
        <v>19</v>
      </c>
      <c r="G408">
        <v>100</v>
      </c>
      <c r="H408" t="s">
        <v>16</v>
      </c>
      <c r="I408" t="s">
        <v>23</v>
      </c>
      <c r="L408" t="s">
        <v>22</v>
      </c>
      <c r="M408">
        <v>39.784999999999997</v>
      </c>
      <c r="N408">
        <v>39.784999999999997</v>
      </c>
      <c r="O408" t="s">
        <v>24</v>
      </c>
      <c r="P408">
        <f t="shared" si="20"/>
        <v>-200</v>
      </c>
      <c r="Q408" s="11">
        <f>IF(P408=0,0,IFERROR(Q407+G408*M408*IF(E408="FUTURE",VLOOKUP(MID(I408,2,2),[1]Futures!$A$2:$B$12,2),1),G408*M408*IF(E408="FUTURE",VLOOKUP(MID(I408,2,2),[1]Futures!$A$2:$B$12,2),1)))</f>
        <v>-8023.0599999999995</v>
      </c>
      <c r="R408" s="12">
        <f>IFERROR(Q408/P408/IF(E408="FUTURE",VLOOKUP(MID(I408,2,2),[1]Futures!$A$2:$B$12,2),1),"")</f>
        <v>40.115299999999998</v>
      </c>
      <c r="S408" s="13" t="str">
        <f>IF(AND(H408="TO CLOSE",P408=0),-G408*(M408-R407)*IF(E408="FUTURE",VLOOKUP(MID(I408,2,2),[1]Futures!$A$2:$B$12,2),1),"")</f>
        <v/>
      </c>
    </row>
    <row r="409" spans="1:19" x14ac:dyDescent="0.2">
      <c r="A409">
        <f t="shared" si="19"/>
        <v>106</v>
      </c>
      <c r="B409" s="3">
        <v>43938</v>
      </c>
      <c r="C409" s="3" t="str">
        <f t="shared" si="18"/>
        <v>Friday</v>
      </c>
      <c r="D409" s="2">
        <v>0.55320601851851847</v>
      </c>
      <c r="E409" t="s">
        <v>22</v>
      </c>
      <c r="F409" t="s">
        <v>19</v>
      </c>
      <c r="G409">
        <v>100</v>
      </c>
      <c r="H409" t="s">
        <v>16</v>
      </c>
      <c r="I409" t="s">
        <v>23</v>
      </c>
      <c r="L409" t="s">
        <v>22</v>
      </c>
      <c r="M409">
        <v>39.784999999999997</v>
      </c>
      <c r="N409">
        <v>39.784999999999997</v>
      </c>
      <c r="O409" t="s">
        <v>24</v>
      </c>
      <c r="P409">
        <f t="shared" si="20"/>
        <v>-100</v>
      </c>
      <c r="Q409" s="11">
        <f>IF(P409=0,0,IFERROR(Q408+G409*M409*IF(E409="FUTURE",VLOOKUP(MID(I409,2,2),[1]Futures!$A$2:$B$12,2),1),G409*M409*IF(E409="FUTURE",VLOOKUP(MID(I409,2,2),[1]Futures!$A$2:$B$12,2),1)))</f>
        <v>-4044.56</v>
      </c>
      <c r="R409" s="12">
        <f>IFERROR(Q409/P409/IF(E409="FUTURE",VLOOKUP(MID(I409,2,2),[1]Futures!$A$2:$B$12,2),1),"")</f>
        <v>40.445599999999999</v>
      </c>
      <c r="S409" s="13" t="str">
        <f>IF(AND(H409="TO CLOSE",P409=0),-G409*(M409-R408)*IF(E409="FUTURE",VLOOKUP(MID(I409,2,2),[1]Futures!$A$2:$B$12,2),1),"")</f>
        <v/>
      </c>
    </row>
    <row r="410" spans="1:19" x14ac:dyDescent="0.2">
      <c r="A410">
        <f t="shared" si="19"/>
        <v>106</v>
      </c>
      <c r="B410" s="3">
        <v>43938</v>
      </c>
      <c r="C410" s="3" t="str">
        <f t="shared" si="18"/>
        <v>Friday</v>
      </c>
      <c r="D410" s="2">
        <v>0.55320601851851847</v>
      </c>
      <c r="E410" t="s">
        <v>22</v>
      </c>
      <c r="F410" t="s">
        <v>19</v>
      </c>
      <c r="G410">
        <v>100</v>
      </c>
      <c r="H410" t="s">
        <v>16</v>
      </c>
      <c r="I410" t="s">
        <v>23</v>
      </c>
      <c r="L410" t="s">
        <v>22</v>
      </c>
      <c r="M410">
        <v>39.784999999999997</v>
      </c>
      <c r="N410">
        <v>39.784999999999997</v>
      </c>
      <c r="O410" t="s">
        <v>24</v>
      </c>
      <c r="P410">
        <f t="shared" si="20"/>
        <v>0</v>
      </c>
      <c r="Q410" s="11">
        <f>IF(P410=0,0,IFERROR(Q409+G410*M410*IF(E410="FUTURE",VLOOKUP(MID(I410,2,2),[1]Futures!$A$2:$B$12,2),1),G410*M410*IF(E410="FUTURE",VLOOKUP(MID(I410,2,2),[1]Futures!$A$2:$B$12,2),1)))</f>
        <v>0</v>
      </c>
      <c r="R410" s="12" t="str">
        <f>IFERROR(Q410/P410/IF(E410="FUTURE",VLOOKUP(MID(I410,2,2),[1]Futures!$A$2:$B$12,2),1),"")</f>
        <v/>
      </c>
      <c r="S410" s="13">
        <f>IF(AND(H410="TO CLOSE",P410=0),-G410*(M410-R409)*IF(E410="FUTURE",VLOOKUP(MID(I410,2,2),[1]Futures!$A$2:$B$12,2),1),"")</f>
        <v>66.06000000000023</v>
      </c>
    </row>
    <row r="411" spans="1:19" x14ac:dyDescent="0.2">
      <c r="A411">
        <f t="shared" si="19"/>
        <v>107</v>
      </c>
      <c r="B411" s="3">
        <v>43941</v>
      </c>
      <c r="C411" s="3" t="str">
        <f t="shared" si="18"/>
        <v>Monday</v>
      </c>
      <c r="D411" s="2">
        <v>0.42828703703703702</v>
      </c>
      <c r="E411" t="s">
        <v>14</v>
      </c>
      <c r="F411" t="s">
        <v>15</v>
      </c>
      <c r="G411">
        <v>-1</v>
      </c>
      <c r="H411" t="s">
        <v>20</v>
      </c>
      <c r="I411" t="s">
        <v>75</v>
      </c>
      <c r="J411" s="1">
        <v>44002</v>
      </c>
      <c r="L411" t="s">
        <v>14</v>
      </c>
      <c r="M411">
        <v>22.91</v>
      </c>
      <c r="N411">
        <v>22.91</v>
      </c>
      <c r="O411" t="s">
        <v>21</v>
      </c>
      <c r="P411">
        <f t="shared" si="20"/>
        <v>-1</v>
      </c>
      <c r="Q411" s="11">
        <f>IF(P411=0,0,IFERROR(Q410+G411*M411*IF(E411="FUTURE",VLOOKUP(MID(I411,2,2),[1]Futures!$A$2:$B$12,2),1),G411*M411*IF(E411="FUTURE",VLOOKUP(MID(I411,2,2),[1]Futures!$A$2:$B$12,2),1)))</f>
        <v>-22910</v>
      </c>
      <c r="R411" s="12">
        <f>IFERROR(Q411/P411/IF(E411="FUTURE",VLOOKUP(MID(I411,2,2),[1]Futures!$A$2:$B$12,2),1),"")</f>
        <v>22.91</v>
      </c>
      <c r="S411" s="13" t="str">
        <f>IF(AND(H411="TO CLOSE",P411=0),-G411*(M411-R410)*IF(E411="FUTURE",VLOOKUP(MID(I411,2,2),[1]Futures!$A$2:$B$12,2),1),"")</f>
        <v/>
      </c>
    </row>
    <row r="412" spans="1:19" x14ac:dyDescent="0.2">
      <c r="A412">
        <f t="shared" si="19"/>
        <v>107</v>
      </c>
      <c r="B412" s="3">
        <v>43941</v>
      </c>
      <c r="C412" s="3" t="str">
        <f t="shared" si="18"/>
        <v>Monday</v>
      </c>
      <c r="D412" s="2">
        <v>0.42959490740740741</v>
      </c>
      <c r="E412" t="s">
        <v>14</v>
      </c>
      <c r="F412" t="s">
        <v>19</v>
      </c>
      <c r="G412">
        <v>1</v>
      </c>
      <c r="H412" t="s">
        <v>16</v>
      </c>
      <c r="I412" t="s">
        <v>75</v>
      </c>
      <c r="J412" s="1">
        <v>44002</v>
      </c>
      <c r="L412" t="s">
        <v>14</v>
      </c>
      <c r="M412">
        <v>22.76</v>
      </c>
      <c r="N412">
        <v>22.76</v>
      </c>
      <c r="O412" t="s">
        <v>21</v>
      </c>
      <c r="P412">
        <f t="shared" si="20"/>
        <v>0</v>
      </c>
      <c r="Q412" s="11">
        <f>IF(P412=0,0,IFERROR(Q411+G412*M412*IF(E412="FUTURE",VLOOKUP(MID(I412,2,2),[1]Futures!$A$2:$B$12,2),1),G412*M412*IF(E412="FUTURE",VLOOKUP(MID(I412,2,2),[1]Futures!$A$2:$B$12,2),1)))</f>
        <v>0</v>
      </c>
      <c r="R412" s="12" t="str">
        <f>IFERROR(Q412/P412/IF(E412="FUTURE",VLOOKUP(MID(I412,2,2),[1]Futures!$A$2:$B$12,2),1),"")</f>
        <v/>
      </c>
      <c r="S412" s="13">
        <f>IF(AND(H412="TO CLOSE",P412=0),-G412*(M412-R411)*IF(E412="FUTURE",VLOOKUP(MID(I412,2,2),[1]Futures!$A$2:$B$12,2),1),"")</f>
        <v>149.99999999999858</v>
      </c>
    </row>
    <row r="413" spans="1:19" x14ac:dyDescent="0.2">
      <c r="A413">
        <f t="shared" si="19"/>
        <v>108</v>
      </c>
      <c r="B413" s="3">
        <v>43941</v>
      </c>
      <c r="C413" s="3" t="str">
        <f t="shared" si="18"/>
        <v>Monday</v>
      </c>
      <c r="D413" s="2">
        <v>0.6042939814814815</v>
      </c>
      <c r="E413" t="s">
        <v>14</v>
      </c>
      <c r="F413" t="s">
        <v>19</v>
      </c>
      <c r="G413">
        <v>1</v>
      </c>
      <c r="H413" t="s">
        <v>20</v>
      </c>
      <c r="I413" t="s">
        <v>75</v>
      </c>
      <c r="J413" s="1">
        <v>44002</v>
      </c>
      <c r="L413" t="s">
        <v>14</v>
      </c>
      <c r="M413">
        <v>20.43</v>
      </c>
      <c r="N413">
        <v>20.43</v>
      </c>
      <c r="O413" t="s">
        <v>24</v>
      </c>
      <c r="P413">
        <f t="shared" si="20"/>
        <v>1</v>
      </c>
      <c r="Q413" s="11">
        <f>IF(P413=0,0,IFERROR(Q412+G413*M413*IF(E413="FUTURE",VLOOKUP(MID(I413,2,2),[1]Futures!$A$2:$B$12,2),1),G413*M413*IF(E413="FUTURE",VLOOKUP(MID(I413,2,2),[1]Futures!$A$2:$B$12,2),1)))</f>
        <v>20430</v>
      </c>
      <c r="R413" s="12">
        <f>IFERROR(Q413/P413/IF(E413="FUTURE",VLOOKUP(MID(I413,2,2),[1]Futures!$A$2:$B$12,2),1),"")</f>
        <v>20.43</v>
      </c>
      <c r="S413" s="13" t="str">
        <f>IF(AND(H413="TO CLOSE",P413=0),-G413*(M413-R412)*IF(E413="FUTURE",VLOOKUP(MID(I413,2,2),[1]Futures!$A$2:$B$12,2),1),"")</f>
        <v/>
      </c>
    </row>
    <row r="414" spans="1:19" x14ac:dyDescent="0.2">
      <c r="A414">
        <f t="shared" si="19"/>
        <v>108</v>
      </c>
      <c r="B414" s="3">
        <v>43941</v>
      </c>
      <c r="C414" s="3" t="str">
        <f t="shared" si="18"/>
        <v>Monday</v>
      </c>
      <c r="D414" s="2">
        <v>0.60884259259259255</v>
      </c>
      <c r="E414" t="s">
        <v>14</v>
      </c>
      <c r="F414" t="s">
        <v>15</v>
      </c>
      <c r="G414">
        <v>-1</v>
      </c>
      <c r="H414" t="s">
        <v>16</v>
      </c>
      <c r="I414" t="s">
        <v>75</v>
      </c>
      <c r="J414" s="1">
        <v>44002</v>
      </c>
      <c r="L414" t="s">
        <v>14</v>
      </c>
      <c r="M414">
        <v>20.92</v>
      </c>
      <c r="N414">
        <v>20.92</v>
      </c>
      <c r="O414" t="s">
        <v>24</v>
      </c>
      <c r="P414">
        <f t="shared" si="20"/>
        <v>0</v>
      </c>
      <c r="Q414" s="11">
        <f>IF(P414=0,0,IFERROR(Q413+G414*M414*IF(E414="FUTURE",VLOOKUP(MID(I414,2,2),[1]Futures!$A$2:$B$12,2),1),G414*M414*IF(E414="FUTURE",VLOOKUP(MID(I414,2,2),[1]Futures!$A$2:$B$12,2),1)))</f>
        <v>0</v>
      </c>
      <c r="R414" s="12" t="str">
        <f>IFERROR(Q414/P414/IF(E414="FUTURE",VLOOKUP(MID(I414,2,2),[1]Futures!$A$2:$B$12,2),1),"")</f>
        <v/>
      </c>
      <c r="S414" s="13">
        <f>IF(AND(H414="TO CLOSE",P414=0),-G414*(M414-R413)*IF(E414="FUTURE",VLOOKUP(MID(I414,2,2),[1]Futures!$A$2:$B$12,2),1),"")</f>
        <v>490.00000000000199</v>
      </c>
    </row>
    <row r="415" spans="1:19" x14ac:dyDescent="0.2">
      <c r="A415">
        <f t="shared" si="19"/>
        <v>109</v>
      </c>
      <c r="B415" s="3">
        <v>43941</v>
      </c>
      <c r="C415" s="3" t="str">
        <f t="shared" si="18"/>
        <v>Monday</v>
      </c>
      <c r="D415" s="2">
        <v>0.42290509259259257</v>
      </c>
      <c r="E415" t="s">
        <v>14</v>
      </c>
      <c r="F415" t="s">
        <v>19</v>
      </c>
      <c r="G415">
        <v>1</v>
      </c>
      <c r="H415" t="s">
        <v>20</v>
      </c>
      <c r="I415" t="s">
        <v>17</v>
      </c>
      <c r="J415" s="1">
        <v>44002</v>
      </c>
      <c r="L415" t="s">
        <v>14</v>
      </c>
      <c r="M415">
        <v>2833</v>
      </c>
      <c r="N415">
        <v>2833</v>
      </c>
      <c r="O415" t="s">
        <v>21</v>
      </c>
      <c r="P415">
        <f t="shared" si="20"/>
        <v>1</v>
      </c>
      <c r="Q415" s="11">
        <f>IF(P415=0,0,IFERROR(Q414+G415*M415*IF(E415="FUTURE",VLOOKUP(MID(I415,2,2),[1]Futures!$A$2:$B$12,2),1),G415*M415*IF(E415="FUTURE",VLOOKUP(MID(I415,2,2),[1]Futures!$A$2:$B$12,2),1)))</f>
        <v>141650</v>
      </c>
      <c r="R415" s="12">
        <f>IFERROR(Q415/P415/IF(E415="FUTURE",VLOOKUP(MID(I415,2,2),[1]Futures!$A$2:$B$12,2),1),"")</f>
        <v>2833</v>
      </c>
      <c r="S415" s="13" t="str">
        <f>IF(AND(H415="TO CLOSE",P415=0),-G415*(M415-R414)*IF(E415="FUTURE",VLOOKUP(MID(I415,2,2),[1]Futures!$A$2:$B$12,2),1),"")</f>
        <v/>
      </c>
    </row>
    <row r="416" spans="1:19" x14ac:dyDescent="0.2">
      <c r="A416">
        <f t="shared" si="19"/>
        <v>109</v>
      </c>
      <c r="B416" s="3">
        <v>43941</v>
      </c>
      <c r="C416" s="3" t="str">
        <f t="shared" si="18"/>
        <v>Monday</v>
      </c>
      <c r="D416" s="2">
        <v>0.42614583333333328</v>
      </c>
      <c r="E416" t="s">
        <v>14</v>
      </c>
      <c r="F416" t="s">
        <v>15</v>
      </c>
      <c r="G416">
        <v>-1</v>
      </c>
      <c r="H416" t="s">
        <v>16</v>
      </c>
      <c r="I416" t="s">
        <v>17</v>
      </c>
      <c r="J416" s="1">
        <v>44002</v>
      </c>
      <c r="L416" t="s">
        <v>14</v>
      </c>
      <c r="M416">
        <v>2836</v>
      </c>
      <c r="N416">
        <v>2836</v>
      </c>
      <c r="O416" t="s">
        <v>21</v>
      </c>
      <c r="P416">
        <f t="shared" si="20"/>
        <v>0</v>
      </c>
      <c r="Q416" s="11">
        <f>IF(P416=0,0,IFERROR(Q415+G416*M416*IF(E416="FUTURE",VLOOKUP(MID(I416,2,2),[1]Futures!$A$2:$B$12,2),1),G416*M416*IF(E416="FUTURE",VLOOKUP(MID(I416,2,2),[1]Futures!$A$2:$B$12,2),1)))</f>
        <v>0</v>
      </c>
      <c r="R416" s="12" t="str">
        <f>IFERROR(Q416/P416/IF(E416="FUTURE",VLOOKUP(MID(I416,2,2),[1]Futures!$A$2:$B$12,2),1),"")</f>
        <v/>
      </c>
      <c r="S416" s="13">
        <f>IF(AND(H416="TO CLOSE",P416=0),-G416*(M416-R415)*IF(E416="FUTURE",VLOOKUP(MID(I416,2,2),[1]Futures!$A$2:$B$12,2),1),"")</f>
        <v>150</v>
      </c>
    </row>
    <row r="417" spans="1:19" x14ac:dyDescent="0.2">
      <c r="A417">
        <f t="shared" si="19"/>
        <v>110</v>
      </c>
      <c r="B417" s="3">
        <v>43941</v>
      </c>
      <c r="C417" s="3" t="str">
        <f t="shared" si="18"/>
        <v>Monday</v>
      </c>
      <c r="D417" s="2">
        <v>0.44252314814814814</v>
      </c>
      <c r="E417" t="s">
        <v>14</v>
      </c>
      <c r="F417" t="s">
        <v>15</v>
      </c>
      <c r="G417">
        <v>-4</v>
      </c>
      <c r="H417" t="s">
        <v>20</v>
      </c>
      <c r="I417" t="s">
        <v>73</v>
      </c>
      <c r="J417" s="1">
        <v>44002</v>
      </c>
      <c r="L417" t="s">
        <v>14</v>
      </c>
      <c r="M417">
        <v>2834.75</v>
      </c>
      <c r="N417">
        <v>2834.75</v>
      </c>
      <c r="O417" t="s">
        <v>24</v>
      </c>
      <c r="P417">
        <f t="shared" si="20"/>
        <v>-4</v>
      </c>
      <c r="Q417" s="11">
        <f>IF(P417=0,0,IFERROR(Q416+G417*M417*IF(E417="FUTURE",VLOOKUP(MID(I417,2,2),[1]Futures!$A$2:$B$12,2),1),G417*M417*IF(E417="FUTURE",VLOOKUP(MID(I417,2,2),[1]Futures!$A$2:$B$12,2),1)))</f>
        <v>-56695</v>
      </c>
      <c r="R417" s="12">
        <f>IFERROR(Q417/P417/IF(E417="FUTURE",VLOOKUP(MID(I417,2,2),[1]Futures!$A$2:$B$12,2),1),"")</f>
        <v>2834.75</v>
      </c>
      <c r="S417" s="13" t="str">
        <f>IF(AND(H417="TO CLOSE",P417=0),-G417*(M417-R416)*IF(E417="FUTURE",VLOOKUP(MID(I417,2,2),[1]Futures!$A$2:$B$12,2),1),"")</f>
        <v/>
      </c>
    </row>
    <row r="418" spans="1:19" x14ac:dyDescent="0.2">
      <c r="A418">
        <f t="shared" si="19"/>
        <v>110</v>
      </c>
      <c r="B418" s="3">
        <v>43941</v>
      </c>
      <c r="C418" s="3" t="str">
        <f t="shared" si="18"/>
        <v>Monday</v>
      </c>
      <c r="D418" s="2">
        <v>0.44314814814814812</v>
      </c>
      <c r="E418" t="s">
        <v>14</v>
      </c>
      <c r="F418" t="s">
        <v>15</v>
      </c>
      <c r="G418">
        <v>-1</v>
      </c>
      <c r="H418" t="s">
        <v>20</v>
      </c>
      <c r="I418" t="s">
        <v>73</v>
      </c>
      <c r="J418" s="1">
        <v>44002</v>
      </c>
      <c r="L418" t="s">
        <v>14</v>
      </c>
      <c r="M418">
        <v>2836.5</v>
      </c>
      <c r="N418">
        <v>2836.5</v>
      </c>
      <c r="O418" t="s">
        <v>21</v>
      </c>
      <c r="P418">
        <f t="shared" si="20"/>
        <v>-5</v>
      </c>
      <c r="Q418" s="11">
        <f>IF(P418=0,0,IFERROR(Q417+G418*M418*IF(E418="FUTURE",VLOOKUP(MID(I418,2,2),[1]Futures!$A$2:$B$12,2),1),G418*M418*IF(E418="FUTURE",VLOOKUP(MID(I418,2,2),[1]Futures!$A$2:$B$12,2),1)))</f>
        <v>-70877.5</v>
      </c>
      <c r="R418" s="12">
        <f>IFERROR(Q418/P418/IF(E418="FUTURE",VLOOKUP(MID(I418,2,2),[1]Futures!$A$2:$B$12,2),1),"")</f>
        <v>2835.1</v>
      </c>
      <c r="S418" s="13" t="str">
        <f>IF(AND(H418="TO CLOSE",P418=0),-G418*(M418-R417)*IF(E418="FUTURE",VLOOKUP(MID(I418,2,2),[1]Futures!$A$2:$B$12,2),1),"")</f>
        <v/>
      </c>
    </row>
    <row r="419" spans="1:19" x14ac:dyDescent="0.2">
      <c r="A419">
        <f t="shared" si="19"/>
        <v>110</v>
      </c>
      <c r="B419" s="3">
        <v>43941</v>
      </c>
      <c r="C419" s="3" t="str">
        <f t="shared" ref="C419:C482" si="21">IF(WEEKDAY(B419,2)=1,"Monday",IF(WEEKDAY(B419,2)=2,"Tuesday",IF(WEEKDAY(B419,2)=3,"Wednesday",IF(WEEKDAY(B419,2)=4,"Thursday",IF(WEEKDAY(B419,2)=5,"Friday","Sunday")))))</f>
        <v>Monday</v>
      </c>
      <c r="D419" s="2">
        <v>0.44760416666666664</v>
      </c>
      <c r="E419" t="s">
        <v>14</v>
      </c>
      <c r="F419" t="s">
        <v>15</v>
      </c>
      <c r="G419">
        <v>-2</v>
      </c>
      <c r="H419" t="s">
        <v>20</v>
      </c>
      <c r="I419" t="s">
        <v>73</v>
      </c>
      <c r="J419" s="1">
        <v>44002</v>
      </c>
      <c r="L419" t="s">
        <v>14</v>
      </c>
      <c r="M419">
        <v>2840.75</v>
      </c>
      <c r="N419">
        <v>2840.75</v>
      </c>
      <c r="O419" t="s">
        <v>24</v>
      </c>
      <c r="P419">
        <f t="shared" si="20"/>
        <v>-7</v>
      </c>
      <c r="Q419" s="11">
        <f>IF(P419=0,0,IFERROR(Q418+G419*M419*IF(E419="FUTURE",VLOOKUP(MID(I419,2,2),[1]Futures!$A$2:$B$12,2),1),G419*M419*IF(E419="FUTURE",VLOOKUP(MID(I419,2,2),[1]Futures!$A$2:$B$12,2),1)))</f>
        <v>-99285</v>
      </c>
      <c r="R419" s="12">
        <f>IFERROR(Q419/P419/IF(E419="FUTURE",VLOOKUP(MID(I419,2,2),[1]Futures!$A$2:$B$12,2),1),"")</f>
        <v>2836.7142857142858</v>
      </c>
      <c r="S419" s="13" t="str">
        <f>IF(AND(H419="TO CLOSE",P419=0),-G419*(M419-R418)*IF(E419="FUTURE",VLOOKUP(MID(I419,2,2),[1]Futures!$A$2:$B$12,2),1),"")</f>
        <v/>
      </c>
    </row>
    <row r="420" spans="1:19" x14ac:dyDescent="0.2">
      <c r="A420">
        <f t="shared" si="19"/>
        <v>110</v>
      </c>
      <c r="B420" s="3">
        <v>43941</v>
      </c>
      <c r="C420" s="3" t="str">
        <f t="shared" si="21"/>
        <v>Monday</v>
      </c>
      <c r="D420" s="2">
        <v>0.44949074074074075</v>
      </c>
      <c r="E420" t="s">
        <v>14</v>
      </c>
      <c r="F420" t="s">
        <v>15</v>
      </c>
      <c r="G420">
        <v>-1</v>
      </c>
      <c r="H420" t="s">
        <v>20</v>
      </c>
      <c r="I420" t="s">
        <v>73</v>
      </c>
      <c r="J420" s="1">
        <v>44002</v>
      </c>
      <c r="L420" t="s">
        <v>14</v>
      </c>
      <c r="M420">
        <v>2846.5</v>
      </c>
      <c r="N420">
        <v>2846.5</v>
      </c>
      <c r="O420" t="s">
        <v>21</v>
      </c>
      <c r="P420">
        <f t="shared" si="20"/>
        <v>-8</v>
      </c>
      <c r="Q420" s="11">
        <f>IF(P420=0,0,IFERROR(Q419+G420*M420*IF(E420="FUTURE",VLOOKUP(MID(I420,2,2),[1]Futures!$A$2:$B$12,2),1),G420*M420*IF(E420="FUTURE",VLOOKUP(MID(I420,2,2),[1]Futures!$A$2:$B$12,2),1)))</f>
        <v>-113517.5</v>
      </c>
      <c r="R420" s="12">
        <f>IFERROR(Q420/P420/IF(E420="FUTURE",VLOOKUP(MID(I420,2,2),[1]Futures!$A$2:$B$12,2),1),"")</f>
        <v>2837.9375</v>
      </c>
      <c r="S420" s="13" t="str">
        <f>IF(AND(H420="TO CLOSE",P420=0),-G420*(M420-R419)*IF(E420="FUTURE",VLOOKUP(MID(I420,2,2),[1]Futures!$A$2:$B$12,2),1),"")</f>
        <v/>
      </c>
    </row>
    <row r="421" spans="1:19" x14ac:dyDescent="0.2">
      <c r="A421">
        <f t="shared" si="19"/>
        <v>110</v>
      </c>
      <c r="B421" s="3">
        <v>43941</v>
      </c>
      <c r="C421" s="3" t="str">
        <f t="shared" si="21"/>
        <v>Monday</v>
      </c>
      <c r="D421" s="2">
        <v>0.45542824074074079</v>
      </c>
      <c r="E421" t="s">
        <v>14</v>
      </c>
      <c r="F421" t="s">
        <v>15</v>
      </c>
      <c r="G421">
        <v>-2</v>
      </c>
      <c r="H421" t="s">
        <v>20</v>
      </c>
      <c r="I421" t="s">
        <v>73</v>
      </c>
      <c r="J421" s="1">
        <v>44002</v>
      </c>
      <c r="L421" t="s">
        <v>14</v>
      </c>
      <c r="M421">
        <v>2853</v>
      </c>
      <c r="N421">
        <v>2853</v>
      </c>
      <c r="O421" t="s">
        <v>24</v>
      </c>
      <c r="P421">
        <f t="shared" si="20"/>
        <v>-10</v>
      </c>
      <c r="Q421" s="11">
        <f>IF(P421=0,0,IFERROR(Q420+G421*M421*IF(E421="FUTURE",VLOOKUP(MID(I421,2,2),[1]Futures!$A$2:$B$12,2),1),G421*M421*IF(E421="FUTURE",VLOOKUP(MID(I421,2,2),[1]Futures!$A$2:$B$12,2),1)))</f>
        <v>-142047.5</v>
      </c>
      <c r="R421" s="12">
        <f>IFERROR(Q421/P421/IF(E421="FUTURE",VLOOKUP(MID(I421,2,2),[1]Futures!$A$2:$B$12,2),1),"")</f>
        <v>2840.95</v>
      </c>
      <c r="S421" s="13" t="str">
        <f>IF(AND(H421="TO CLOSE",P421=0),-G421*(M421-R420)*IF(E421="FUTURE",VLOOKUP(MID(I421,2,2),[1]Futures!$A$2:$B$12,2),1),"")</f>
        <v/>
      </c>
    </row>
    <row r="422" spans="1:19" x14ac:dyDescent="0.2">
      <c r="A422">
        <f t="shared" si="19"/>
        <v>110</v>
      </c>
      <c r="B422" s="3">
        <v>43941</v>
      </c>
      <c r="C422" s="3" t="str">
        <f t="shared" si="21"/>
        <v>Monday</v>
      </c>
      <c r="D422" s="2">
        <v>0.4695833333333333</v>
      </c>
      <c r="E422" t="s">
        <v>14</v>
      </c>
      <c r="F422" t="s">
        <v>19</v>
      </c>
      <c r="G422">
        <v>3</v>
      </c>
      <c r="H422" t="s">
        <v>16</v>
      </c>
      <c r="I422" t="s">
        <v>73</v>
      </c>
      <c r="J422" s="1">
        <v>44002</v>
      </c>
      <c r="L422" t="s">
        <v>14</v>
      </c>
      <c r="M422">
        <v>2845.25</v>
      </c>
      <c r="N422">
        <v>2845.25</v>
      </c>
      <c r="O422" t="s">
        <v>21</v>
      </c>
      <c r="P422">
        <f t="shared" si="20"/>
        <v>-7</v>
      </c>
      <c r="Q422" s="11">
        <f>IF(P422=0,0,IFERROR(Q421+G422*M422*IF(E422="FUTURE",VLOOKUP(MID(I422,2,2),[1]Futures!$A$2:$B$12,2),1),G422*M422*IF(E422="FUTURE",VLOOKUP(MID(I422,2,2),[1]Futures!$A$2:$B$12,2),1)))</f>
        <v>-99368.75</v>
      </c>
      <c r="R422" s="12">
        <f>IFERROR(Q422/P422/IF(E422="FUTURE",VLOOKUP(MID(I422,2,2),[1]Futures!$A$2:$B$12,2),1),"")</f>
        <v>2839.1071428571427</v>
      </c>
      <c r="S422" s="13" t="str">
        <f>IF(AND(H422="TO CLOSE",P422=0),-G422*(M422-R421)*IF(E422="FUTURE",VLOOKUP(MID(I422,2,2),[1]Futures!$A$2:$B$12,2),1),"")</f>
        <v/>
      </c>
    </row>
    <row r="423" spans="1:19" x14ac:dyDescent="0.2">
      <c r="A423">
        <f t="shared" si="19"/>
        <v>110</v>
      </c>
      <c r="B423" s="3">
        <v>43941</v>
      </c>
      <c r="C423" s="3" t="str">
        <f t="shared" si="21"/>
        <v>Monday</v>
      </c>
      <c r="D423" s="2">
        <v>0.47394675925925928</v>
      </c>
      <c r="E423" t="s">
        <v>14</v>
      </c>
      <c r="F423" t="s">
        <v>15</v>
      </c>
      <c r="G423">
        <v>-1</v>
      </c>
      <c r="H423" t="s">
        <v>20</v>
      </c>
      <c r="I423" t="s">
        <v>73</v>
      </c>
      <c r="J423" s="1">
        <v>44002</v>
      </c>
      <c r="L423" t="s">
        <v>14</v>
      </c>
      <c r="M423">
        <v>2850.25</v>
      </c>
      <c r="N423">
        <v>2850.25</v>
      </c>
      <c r="O423" t="s">
        <v>21</v>
      </c>
      <c r="P423">
        <f t="shared" si="20"/>
        <v>-8</v>
      </c>
      <c r="Q423" s="11">
        <f>IF(P423=0,0,IFERROR(Q422+G423*M423*IF(E423="FUTURE",VLOOKUP(MID(I423,2,2),[1]Futures!$A$2:$B$12,2),1),G423*M423*IF(E423="FUTURE",VLOOKUP(MID(I423,2,2),[1]Futures!$A$2:$B$12,2),1)))</f>
        <v>-113620</v>
      </c>
      <c r="R423" s="12">
        <f>IFERROR(Q423/P423/IF(E423="FUTURE",VLOOKUP(MID(I423,2,2),[1]Futures!$A$2:$B$12,2),1),"")</f>
        <v>2840.5</v>
      </c>
      <c r="S423" s="13" t="str">
        <f>IF(AND(H423="TO CLOSE",P423=0),-G423*(M423-R422)*IF(E423="FUTURE",VLOOKUP(MID(I423,2,2),[1]Futures!$A$2:$B$12,2),1),"")</f>
        <v/>
      </c>
    </row>
    <row r="424" spans="1:19" x14ac:dyDescent="0.2">
      <c r="A424">
        <f t="shared" si="19"/>
        <v>110</v>
      </c>
      <c r="B424" s="3">
        <v>43941</v>
      </c>
      <c r="C424" s="3" t="str">
        <f t="shared" si="21"/>
        <v>Monday</v>
      </c>
      <c r="D424" s="2">
        <v>0.49420138888888893</v>
      </c>
      <c r="E424" t="s">
        <v>14</v>
      </c>
      <c r="F424" t="s">
        <v>15</v>
      </c>
      <c r="G424">
        <v>-2</v>
      </c>
      <c r="H424" t="s">
        <v>20</v>
      </c>
      <c r="I424" t="s">
        <v>73</v>
      </c>
      <c r="J424" s="1">
        <v>44002</v>
      </c>
      <c r="L424" t="s">
        <v>14</v>
      </c>
      <c r="M424">
        <v>2857.75</v>
      </c>
      <c r="N424">
        <v>2857.75</v>
      </c>
      <c r="O424" t="s">
        <v>21</v>
      </c>
      <c r="P424">
        <f t="shared" si="20"/>
        <v>-10</v>
      </c>
      <c r="Q424" s="11">
        <f>IF(P424=0,0,IFERROR(Q423+G424*M424*IF(E424="FUTURE",VLOOKUP(MID(I424,2,2),[1]Futures!$A$2:$B$12,2),1),G424*M424*IF(E424="FUTURE",VLOOKUP(MID(I424,2,2),[1]Futures!$A$2:$B$12,2),1)))</f>
        <v>-142197.5</v>
      </c>
      <c r="R424" s="12">
        <f>IFERROR(Q424/P424/IF(E424="FUTURE",VLOOKUP(MID(I424,2,2),[1]Futures!$A$2:$B$12,2),1),"")</f>
        <v>2843.95</v>
      </c>
      <c r="S424" s="13" t="str">
        <f>IF(AND(H424="TO CLOSE",P424=0),-G424*(M424-R423)*IF(E424="FUTURE",VLOOKUP(MID(I424,2,2),[1]Futures!$A$2:$B$12,2),1),"")</f>
        <v/>
      </c>
    </row>
    <row r="425" spans="1:19" x14ac:dyDescent="0.2">
      <c r="A425">
        <f t="shared" si="19"/>
        <v>110</v>
      </c>
      <c r="B425" s="3">
        <v>43941</v>
      </c>
      <c r="C425" s="3" t="str">
        <f t="shared" si="21"/>
        <v>Monday</v>
      </c>
      <c r="D425" s="2">
        <v>0.50998842592592586</v>
      </c>
      <c r="E425" t="s">
        <v>14</v>
      </c>
      <c r="F425" t="s">
        <v>19</v>
      </c>
      <c r="G425">
        <v>1</v>
      </c>
      <c r="H425" t="s">
        <v>16</v>
      </c>
      <c r="I425" t="s">
        <v>73</v>
      </c>
      <c r="J425" s="1">
        <v>44002</v>
      </c>
      <c r="L425" t="s">
        <v>14</v>
      </c>
      <c r="M425">
        <v>2849.75</v>
      </c>
      <c r="N425">
        <v>2849.75</v>
      </c>
      <c r="O425" t="s">
        <v>21</v>
      </c>
      <c r="P425">
        <f t="shared" si="20"/>
        <v>-9</v>
      </c>
      <c r="Q425" s="11">
        <f>IF(P425=0,0,IFERROR(Q424+G425*M425*IF(E425="FUTURE",VLOOKUP(MID(I425,2,2),[1]Futures!$A$2:$B$12,2),1),G425*M425*IF(E425="FUTURE",VLOOKUP(MID(I425,2,2),[1]Futures!$A$2:$B$12,2),1)))</f>
        <v>-127948.75</v>
      </c>
      <c r="R425" s="12">
        <f>IFERROR(Q425/P425/IF(E425="FUTURE",VLOOKUP(MID(I425,2,2),[1]Futures!$A$2:$B$12,2),1),"")</f>
        <v>2843.3055555555557</v>
      </c>
      <c r="S425" s="13" t="str">
        <f>IF(AND(H425="TO CLOSE",P425=0),-G425*(M425-R424)*IF(E425="FUTURE",VLOOKUP(MID(I425,2,2),[1]Futures!$A$2:$B$12,2),1),"")</f>
        <v/>
      </c>
    </row>
    <row r="426" spans="1:19" x14ac:dyDescent="0.2">
      <c r="A426">
        <f t="shared" si="19"/>
        <v>110</v>
      </c>
      <c r="B426" s="3">
        <v>43941</v>
      </c>
      <c r="C426" s="3" t="str">
        <f t="shared" si="21"/>
        <v>Monday</v>
      </c>
      <c r="D426" s="2">
        <v>0.50998842592592586</v>
      </c>
      <c r="E426" t="s">
        <v>14</v>
      </c>
      <c r="F426" t="s">
        <v>19</v>
      </c>
      <c r="G426">
        <v>2</v>
      </c>
      <c r="H426" t="s">
        <v>16</v>
      </c>
      <c r="I426" t="s">
        <v>73</v>
      </c>
      <c r="J426" s="1">
        <v>44002</v>
      </c>
      <c r="L426" t="s">
        <v>14</v>
      </c>
      <c r="M426">
        <v>2849.75</v>
      </c>
      <c r="N426">
        <v>2849.75</v>
      </c>
      <c r="O426" t="s">
        <v>21</v>
      </c>
      <c r="P426">
        <f t="shared" si="20"/>
        <v>-7</v>
      </c>
      <c r="Q426" s="11">
        <f>IF(P426=0,0,IFERROR(Q425+G426*M426*IF(E426="FUTURE",VLOOKUP(MID(I426,2,2),[1]Futures!$A$2:$B$12,2),1),G426*M426*IF(E426="FUTURE",VLOOKUP(MID(I426,2,2),[1]Futures!$A$2:$B$12,2),1)))</f>
        <v>-99451.25</v>
      </c>
      <c r="R426" s="12">
        <f>IFERROR(Q426/P426/IF(E426="FUTURE",VLOOKUP(MID(I426,2,2),[1]Futures!$A$2:$B$12,2),1),"")</f>
        <v>2841.4642857142858</v>
      </c>
      <c r="S426" s="13" t="str">
        <f>IF(AND(H426="TO CLOSE",P426=0),-G426*(M426-R425)*IF(E426="FUTURE",VLOOKUP(MID(I426,2,2),[1]Futures!$A$2:$B$12,2),1),"")</f>
        <v/>
      </c>
    </row>
    <row r="427" spans="1:19" x14ac:dyDescent="0.2">
      <c r="A427">
        <f t="shared" si="19"/>
        <v>110</v>
      </c>
      <c r="B427" s="3">
        <v>43941</v>
      </c>
      <c r="C427" s="3" t="str">
        <f t="shared" si="21"/>
        <v>Monday</v>
      </c>
      <c r="D427" s="2">
        <v>0.55171296296296302</v>
      </c>
      <c r="E427" t="s">
        <v>14</v>
      </c>
      <c r="F427" t="s">
        <v>19</v>
      </c>
      <c r="G427">
        <v>2</v>
      </c>
      <c r="H427" t="s">
        <v>16</v>
      </c>
      <c r="I427" t="s">
        <v>73</v>
      </c>
      <c r="J427" s="1">
        <v>44002</v>
      </c>
      <c r="L427" t="s">
        <v>14</v>
      </c>
      <c r="M427">
        <v>2842.75</v>
      </c>
      <c r="N427">
        <v>2842.75</v>
      </c>
      <c r="O427" t="s">
        <v>21</v>
      </c>
      <c r="P427">
        <f t="shared" si="20"/>
        <v>-5</v>
      </c>
      <c r="Q427" s="11">
        <f>IF(P427=0,0,IFERROR(Q426+G427*M427*IF(E427="FUTURE",VLOOKUP(MID(I427,2,2),[1]Futures!$A$2:$B$12,2),1),G427*M427*IF(E427="FUTURE",VLOOKUP(MID(I427,2,2),[1]Futures!$A$2:$B$12,2),1)))</f>
        <v>-71023.75</v>
      </c>
      <c r="R427" s="12">
        <f>IFERROR(Q427/P427/IF(E427="FUTURE",VLOOKUP(MID(I427,2,2),[1]Futures!$A$2:$B$12,2),1),"")</f>
        <v>2840.95</v>
      </c>
      <c r="S427" s="13" t="str">
        <f>IF(AND(H427="TO CLOSE",P427=0),-G427*(M427-R426)*IF(E427="FUTURE",VLOOKUP(MID(I427,2,2),[1]Futures!$A$2:$B$12,2),1),"")</f>
        <v/>
      </c>
    </row>
    <row r="428" spans="1:19" x14ac:dyDescent="0.2">
      <c r="A428">
        <f t="shared" si="19"/>
        <v>110</v>
      </c>
      <c r="B428" s="3">
        <v>43941</v>
      </c>
      <c r="C428" s="3" t="str">
        <f t="shared" si="21"/>
        <v>Monday</v>
      </c>
      <c r="D428" s="2">
        <v>0.5927662037037037</v>
      </c>
      <c r="E428" t="s">
        <v>14</v>
      </c>
      <c r="F428" t="s">
        <v>19</v>
      </c>
      <c r="G428">
        <v>2</v>
      </c>
      <c r="H428" t="s">
        <v>16</v>
      </c>
      <c r="I428" t="s">
        <v>73</v>
      </c>
      <c r="J428" s="1">
        <v>44002</v>
      </c>
      <c r="L428" t="s">
        <v>14</v>
      </c>
      <c r="M428">
        <v>2837.75</v>
      </c>
      <c r="N428">
        <v>2837.75</v>
      </c>
      <c r="O428" t="s">
        <v>21</v>
      </c>
      <c r="P428">
        <f t="shared" si="20"/>
        <v>-3</v>
      </c>
      <c r="Q428" s="11">
        <f>IF(P428=0,0,IFERROR(Q427+G428*M428*IF(E428="FUTURE",VLOOKUP(MID(I428,2,2),[1]Futures!$A$2:$B$12,2),1),G428*M428*IF(E428="FUTURE",VLOOKUP(MID(I428,2,2),[1]Futures!$A$2:$B$12,2),1)))</f>
        <v>-42646.25</v>
      </c>
      <c r="R428" s="12">
        <f>IFERROR(Q428/P428/IF(E428="FUTURE",VLOOKUP(MID(I428,2,2),[1]Futures!$A$2:$B$12,2),1),"")</f>
        <v>2843.083333333333</v>
      </c>
      <c r="S428" s="13" t="str">
        <f>IF(AND(H428="TO CLOSE",P428=0),-G428*(M428-R427)*IF(E428="FUTURE",VLOOKUP(MID(I428,2,2),[1]Futures!$A$2:$B$12,2),1),"")</f>
        <v/>
      </c>
    </row>
    <row r="429" spans="1:19" x14ac:dyDescent="0.2">
      <c r="A429">
        <f t="shared" si="19"/>
        <v>110</v>
      </c>
      <c r="B429" s="3">
        <v>43941</v>
      </c>
      <c r="C429" s="3" t="str">
        <f t="shared" si="21"/>
        <v>Monday</v>
      </c>
      <c r="D429" s="2">
        <v>0.59406250000000005</v>
      </c>
      <c r="E429" t="s">
        <v>14</v>
      </c>
      <c r="F429" t="s">
        <v>19</v>
      </c>
      <c r="G429">
        <v>1</v>
      </c>
      <c r="H429" t="s">
        <v>16</v>
      </c>
      <c r="I429" t="s">
        <v>73</v>
      </c>
      <c r="J429" s="1">
        <v>44002</v>
      </c>
      <c r="L429" t="s">
        <v>14</v>
      </c>
      <c r="M429">
        <v>2836.75</v>
      </c>
      <c r="N429">
        <v>2836.75</v>
      </c>
      <c r="O429" t="s">
        <v>24</v>
      </c>
      <c r="P429">
        <f t="shared" si="20"/>
        <v>-2</v>
      </c>
      <c r="Q429" s="11">
        <f>IF(P429=0,0,IFERROR(Q428+G429*M429*IF(E429="FUTURE",VLOOKUP(MID(I429,2,2),[1]Futures!$A$2:$B$12,2),1),G429*M429*IF(E429="FUTURE",VLOOKUP(MID(I429,2,2),[1]Futures!$A$2:$B$12,2),1)))</f>
        <v>-28462.5</v>
      </c>
      <c r="R429" s="12">
        <f>IFERROR(Q429/P429/IF(E429="FUTURE",VLOOKUP(MID(I429,2,2),[1]Futures!$A$2:$B$12,2),1),"")</f>
        <v>2846.25</v>
      </c>
      <c r="S429" s="13" t="str">
        <f>IF(AND(H429="TO CLOSE",P429=0),-G429*(M429-R428)*IF(E429="FUTURE",VLOOKUP(MID(I429,2,2),[1]Futures!$A$2:$B$12,2),1),"")</f>
        <v/>
      </c>
    </row>
    <row r="430" spans="1:19" x14ac:dyDescent="0.2">
      <c r="A430">
        <f t="shared" si="19"/>
        <v>110</v>
      </c>
      <c r="B430" s="3">
        <v>43941</v>
      </c>
      <c r="C430" s="3" t="str">
        <f t="shared" si="21"/>
        <v>Monday</v>
      </c>
      <c r="D430" s="2">
        <v>0.59423611111111108</v>
      </c>
      <c r="E430" t="s">
        <v>14</v>
      </c>
      <c r="F430" t="s">
        <v>19</v>
      </c>
      <c r="G430">
        <v>2</v>
      </c>
      <c r="H430" t="s">
        <v>16</v>
      </c>
      <c r="I430" t="s">
        <v>73</v>
      </c>
      <c r="J430" s="1">
        <v>44002</v>
      </c>
      <c r="L430" t="s">
        <v>14</v>
      </c>
      <c r="M430">
        <v>2836.25</v>
      </c>
      <c r="N430">
        <v>2836.25</v>
      </c>
      <c r="O430" t="s">
        <v>24</v>
      </c>
      <c r="P430">
        <f t="shared" si="20"/>
        <v>0</v>
      </c>
      <c r="Q430" s="11">
        <f>IF(P430=0,0,IFERROR(Q429+G430*M430*IF(E430="FUTURE",VLOOKUP(MID(I430,2,2),[1]Futures!$A$2:$B$12,2),1),G430*M430*IF(E430="FUTURE",VLOOKUP(MID(I430,2,2),[1]Futures!$A$2:$B$12,2),1)))</f>
        <v>0</v>
      </c>
      <c r="R430" s="12" t="str">
        <f>IFERROR(Q430/P430/IF(E430="FUTURE",VLOOKUP(MID(I430,2,2),[1]Futures!$A$2:$B$12,2),1),"")</f>
        <v/>
      </c>
      <c r="S430" s="13">
        <f>IF(AND(H430="TO CLOSE",P430=0),-G430*(M430-R429)*IF(E430="FUTURE",VLOOKUP(MID(I430,2,2),[1]Futures!$A$2:$B$12,2),1),"")</f>
        <v>100</v>
      </c>
    </row>
    <row r="431" spans="1:19" x14ac:dyDescent="0.2">
      <c r="A431">
        <f t="shared" si="19"/>
        <v>111</v>
      </c>
      <c r="B431" s="3">
        <v>43941</v>
      </c>
      <c r="C431" s="3" t="str">
        <f t="shared" si="21"/>
        <v>Monday</v>
      </c>
      <c r="D431" s="2">
        <v>0.41464120370370372</v>
      </c>
      <c r="E431" t="s">
        <v>22</v>
      </c>
      <c r="F431" t="s">
        <v>19</v>
      </c>
      <c r="G431">
        <v>400</v>
      </c>
      <c r="H431" t="s">
        <v>20</v>
      </c>
      <c r="I431" t="s">
        <v>23</v>
      </c>
      <c r="L431" t="s">
        <v>22</v>
      </c>
      <c r="M431">
        <v>40.7286</v>
      </c>
      <c r="N431">
        <v>40.7286</v>
      </c>
      <c r="O431" t="s">
        <v>24</v>
      </c>
      <c r="P431">
        <f t="shared" si="20"/>
        <v>400</v>
      </c>
      <c r="Q431" s="11">
        <f>IF(P431=0,0,IFERROR(Q430+G431*M431*IF(E431="FUTURE",VLOOKUP(MID(I431,2,2),[1]Futures!$A$2:$B$12,2),1),G431*M431*IF(E431="FUTURE",VLOOKUP(MID(I431,2,2),[1]Futures!$A$2:$B$12,2),1)))</f>
        <v>16291.44</v>
      </c>
      <c r="R431" s="12">
        <f>IFERROR(Q431/P431/IF(E431="FUTURE",VLOOKUP(MID(I431,2,2),[1]Futures!$A$2:$B$12,2),1),"")</f>
        <v>40.7286</v>
      </c>
      <c r="S431" s="13" t="str">
        <f>IF(AND(H431="TO CLOSE",P431=0),-G431*(M431-R430)*IF(E431="FUTURE",VLOOKUP(MID(I431,2,2),[1]Futures!$A$2:$B$12,2),1),"")</f>
        <v/>
      </c>
    </row>
    <row r="432" spans="1:19" x14ac:dyDescent="0.2">
      <c r="A432">
        <f t="shared" si="19"/>
        <v>111</v>
      </c>
      <c r="B432" s="3">
        <v>43941</v>
      </c>
      <c r="C432" s="3" t="str">
        <f t="shared" si="21"/>
        <v>Monday</v>
      </c>
      <c r="D432" s="2">
        <v>0.42334490740740738</v>
      </c>
      <c r="E432" t="s">
        <v>22</v>
      </c>
      <c r="F432" t="s">
        <v>15</v>
      </c>
      <c r="G432">
        <v>-200</v>
      </c>
      <c r="H432" t="s">
        <v>16</v>
      </c>
      <c r="I432" t="s">
        <v>23</v>
      </c>
      <c r="L432" t="s">
        <v>22</v>
      </c>
      <c r="M432">
        <v>40.850099999999998</v>
      </c>
      <c r="N432">
        <v>40.850099999999998</v>
      </c>
      <c r="O432" t="s">
        <v>21</v>
      </c>
      <c r="P432">
        <f t="shared" si="20"/>
        <v>200</v>
      </c>
      <c r="Q432" s="11">
        <f>IF(P432=0,0,IFERROR(Q431+G432*M432*IF(E432="FUTURE",VLOOKUP(MID(I432,2,2),[1]Futures!$A$2:$B$12,2),1),G432*M432*IF(E432="FUTURE",VLOOKUP(MID(I432,2,2),[1]Futures!$A$2:$B$12,2),1)))</f>
        <v>8121.420000000001</v>
      </c>
      <c r="R432" s="12">
        <f>IFERROR(Q432/P432/IF(E432="FUTURE",VLOOKUP(MID(I432,2,2),[1]Futures!$A$2:$B$12,2),1),"")</f>
        <v>40.607100000000003</v>
      </c>
      <c r="S432" s="13" t="str">
        <f>IF(AND(H432="TO CLOSE",P432=0),-G432*(M432-R431)*IF(E432="FUTURE",VLOOKUP(MID(I432,2,2),[1]Futures!$A$2:$B$12,2),1),"")</f>
        <v/>
      </c>
    </row>
    <row r="433" spans="1:19" x14ac:dyDescent="0.2">
      <c r="A433">
        <f t="shared" si="19"/>
        <v>111</v>
      </c>
      <c r="B433" s="3">
        <v>43941</v>
      </c>
      <c r="C433" s="3" t="str">
        <f t="shared" si="21"/>
        <v>Monday</v>
      </c>
      <c r="D433" s="2">
        <v>0.44089120370370366</v>
      </c>
      <c r="E433" t="s">
        <v>22</v>
      </c>
      <c r="F433" t="s">
        <v>19</v>
      </c>
      <c r="G433">
        <v>100</v>
      </c>
      <c r="H433" t="s">
        <v>20</v>
      </c>
      <c r="I433" t="s">
        <v>23</v>
      </c>
      <c r="L433" t="s">
        <v>22</v>
      </c>
      <c r="M433">
        <v>40.729999999999997</v>
      </c>
      <c r="N433">
        <v>40.729999999999997</v>
      </c>
      <c r="O433" t="s">
        <v>21</v>
      </c>
      <c r="P433">
        <f t="shared" si="20"/>
        <v>300</v>
      </c>
      <c r="Q433" s="11">
        <f>IF(P433=0,0,IFERROR(Q432+G433*M433*IF(E433="FUTURE",VLOOKUP(MID(I433,2,2),[1]Futures!$A$2:$B$12,2),1),G433*M433*IF(E433="FUTURE",VLOOKUP(MID(I433,2,2),[1]Futures!$A$2:$B$12,2),1)))</f>
        <v>12194.42</v>
      </c>
      <c r="R433" s="12">
        <f>IFERROR(Q433/P433/IF(E433="FUTURE",VLOOKUP(MID(I433,2,2),[1]Futures!$A$2:$B$12,2),1),"")</f>
        <v>40.648066666666665</v>
      </c>
      <c r="S433" s="13" t="str">
        <f>IF(AND(H433="TO CLOSE",P433=0),-G433*(M433-R432)*IF(E433="FUTURE",VLOOKUP(MID(I433,2,2),[1]Futures!$A$2:$B$12,2),1),"")</f>
        <v/>
      </c>
    </row>
    <row r="434" spans="1:19" x14ac:dyDescent="0.2">
      <c r="A434">
        <f t="shared" si="19"/>
        <v>111</v>
      </c>
      <c r="B434" s="3">
        <v>43941</v>
      </c>
      <c r="C434" s="3" t="str">
        <f t="shared" si="21"/>
        <v>Monday</v>
      </c>
      <c r="D434" s="2">
        <v>0.45145833333333335</v>
      </c>
      <c r="E434" t="s">
        <v>22</v>
      </c>
      <c r="F434" t="s">
        <v>19</v>
      </c>
      <c r="G434">
        <v>100</v>
      </c>
      <c r="H434" t="s">
        <v>20</v>
      </c>
      <c r="I434" t="s">
        <v>23</v>
      </c>
      <c r="L434" t="s">
        <v>22</v>
      </c>
      <c r="M434">
        <v>40.377000000000002</v>
      </c>
      <c r="N434">
        <v>40.377000000000002</v>
      </c>
      <c r="O434" t="s">
        <v>21</v>
      </c>
      <c r="P434">
        <f t="shared" si="20"/>
        <v>400</v>
      </c>
      <c r="Q434" s="11">
        <f>IF(P434=0,0,IFERROR(Q433+G434*M434*IF(E434="FUTURE",VLOOKUP(MID(I434,2,2),[1]Futures!$A$2:$B$12,2),1),G434*M434*IF(E434="FUTURE",VLOOKUP(MID(I434,2,2),[1]Futures!$A$2:$B$12,2),1)))</f>
        <v>16232.12</v>
      </c>
      <c r="R434" s="12">
        <f>IFERROR(Q434/P434/IF(E434="FUTURE",VLOOKUP(MID(I434,2,2),[1]Futures!$A$2:$B$12,2),1),"")</f>
        <v>40.580300000000001</v>
      </c>
      <c r="S434" s="13" t="str">
        <f>IF(AND(H434="TO CLOSE",P434=0),-G434*(M434-R433)*IF(E434="FUTURE",VLOOKUP(MID(I434,2,2),[1]Futures!$A$2:$B$12,2),1),"")</f>
        <v/>
      </c>
    </row>
    <row r="435" spans="1:19" x14ac:dyDescent="0.2">
      <c r="A435">
        <f t="shared" si="19"/>
        <v>111</v>
      </c>
      <c r="B435" s="3">
        <v>43941</v>
      </c>
      <c r="C435" s="3" t="str">
        <f t="shared" si="21"/>
        <v>Monday</v>
      </c>
      <c r="D435" s="2">
        <v>0.54983796296296295</v>
      </c>
      <c r="E435" t="s">
        <v>22</v>
      </c>
      <c r="F435" t="s">
        <v>15</v>
      </c>
      <c r="G435">
        <v>-100</v>
      </c>
      <c r="H435" t="s">
        <v>16</v>
      </c>
      <c r="I435" t="s">
        <v>23</v>
      </c>
      <c r="L435" t="s">
        <v>22</v>
      </c>
      <c r="M435">
        <v>40.729999999999997</v>
      </c>
      <c r="N435">
        <v>40.729999999999997</v>
      </c>
      <c r="O435" t="s">
        <v>21</v>
      </c>
      <c r="P435">
        <f t="shared" si="20"/>
        <v>300</v>
      </c>
      <c r="Q435" s="11">
        <f>IF(P435=0,0,IFERROR(Q434+G435*M435*IF(E435="FUTURE",VLOOKUP(MID(I435,2,2),[1]Futures!$A$2:$B$12,2),1),G435*M435*IF(E435="FUTURE",VLOOKUP(MID(I435,2,2),[1]Futures!$A$2:$B$12,2),1)))</f>
        <v>12159.12</v>
      </c>
      <c r="R435" s="12">
        <f>IFERROR(Q435/P435/IF(E435="FUTURE",VLOOKUP(MID(I435,2,2),[1]Futures!$A$2:$B$12,2),1),"")</f>
        <v>40.5304</v>
      </c>
      <c r="S435" s="13" t="str">
        <f>IF(AND(H435="TO CLOSE",P435=0),-G435*(M435-R434)*IF(E435="FUTURE",VLOOKUP(MID(I435,2,2),[1]Futures!$A$2:$B$12,2),1),"")</f>
        <v/>
      </c>
    </row>
    <row r="436" spans="1:19" x14ac:dyDescent="0.2">
      <c r="A436">
        <f t="shared" si="19"/>
        <v>111</v>
      </c>
      <c r="B436" s="3">
        <v>43941</v>
      </c>
      <c r="C436" s="3" t="str">
        <f t="shared" si="21"/>
        <v>Monday</v>
      </c>
      <c r="D436" s="2">
        <v>0.5528819444444445</v>
      </c>
      <c r="E436" t="s">
        <v>22</v>
      </c>
      <c r="F436" t="s">
        <v>15</v>
      </c>
      <c r="G436">
        <v>-100</v>
      </c>
      <c r="H436" t="s">
        <v>16</v>
      </c>
      <c r="I436" t="s">
        <v>23</v>
      </c>
      <c r="L436" t="s">
        <v>22</v>
      </c>
      <c r="M436">
        <v>40.711799999999997</v>
      </c>
      <c r="N436">
        <v>40.711799999999997</v>
      </c>
      <c r="O436" t="s">
        <v>21</v>
      </c>
      <c r="P436">
        <f t="shared" si="20"/>
        <v>200</v>
      </c>
      <c r="Q436" s="11">
        <f>IF(P436=0,0,IFERROR(Q435+G436*M436*IF(E436="FUTURE",VLOOKUP(MID(I436,2,2),[1]Futures!$A$2:$B$12,2),1),G436*M436*IF(E436="FUTURE",VLOOKUP(MID(I436,2,2),[1]Futures!$A$2:$B$12,2),1)))</f>
        <v>8087.9400000000005</v>
      </c>
      <c r="R436" s="12">
        <f>IFERROR(Q436/P436/IF(E436="FUTURE",VLOOKUP(MID(I436,2,2),[1]Futures!$A$2:$B$12,2),1),"")</f>
        <v>40.439700000000002</v>
      </c>
      <c r="S436" s="13" t="str">
        <f>IF(AND(H436="TO CLOSE",P436=0),-G436*(M436-R435)*IF(E436="FUTURE",VLOOKUP(MID(I436,2,2),[1]Futures!$A$2:$B$12,2),1),"")</f>
        <v/>
      </c>
    </row>
    <row r="437" spans="1:19" x14ac:dyDescent="0.2">
      <c r="A437">
        <f t="shared" si="19"/>
        <v>111</v>
      </c>
      <c r="B437" s="3">
        <v>43941</v>
      </c>
      <c r="C437" s="3" t="str">
        <f t="shared" si="21"/>
        <v>Monday</v>
      </c>
      <c r="D437" s="2">
        <v>0.56604166666666667</v>
      </c>
      <c r="E437" t="s">
        <v>22</v>
      </c>
      <c r="F437" t="s">
        <v>15</v>
      </c>
      <c r="G437">
        <v>-100</v>
      </c>
      <c r="H437" t="s">
        <v>16</v>
      </c>
      <c r="I437" t="s">
        <v>23</v>
      </c>
      <c r="L437" t="s">
        <v>22</v>
      </c>
      <c r="M437">
        <v>40.844999999999999</v>
      </c>
      <c r="N437">
        <v>40.844999999999999</v>
      </c>
      <c r="O437" t="s">
        <v>21</v>
      </c>
      <c r="P437">
        <f t="shared" si="20"/>
        <v>100</v>
      </c>
      <c r="Q437" s="11">
        <f>IF(P437=0,0,IFERROR(Q436+G437*M437*IF(E437="FUTURE",VLOOKUP(MID(I437,2,2),[1]Futures!$A$2:$B$12,2),1),G437*M437*IF(E437="FUTURE",VLOOKUP(MID(I437,2,2),[1]Futures!$A$2:$B$12,2),1)))</f>
        <v>4003.4400000000005</v>
      </c>
      <c r="R437" s="12">
        <f>IFERROR(Q437/P437/IF(E437="FUTURE",VLOOKUP(MID(I437,2,2),[1]Futures!$A$2:$B$12,2),1),"")</f>
        <v>40.034400000000005</v>
      </c>
      <c r="S437" s="13" t="str">
        <f>IF(AND(H437="TO CLOSE",P437=0),-G437*(M437-R436)*IF(E437="FUTURE",VLOOKUP(MID(I437,2,2),[1]Futures!$A$2:$B$12,2),1),"")</f>
        <v/>
      </c>
    </row>
    <row r="438" spans="1:19" x14ac:dyDescent="0.2">
      <c r="A438">
        <f t="shared" si="19"/>
        <v>111</v>
      </c>
      <c r="B438" s="3">
        <v>43941</v>
      </c>
      <c r="C438" s="3" t="str">
        <f t="shared" si="21"/>
        <v>Monday</v>
      </c>
      <c r="D438" s="2">
        <v>0.56754629629629627</v>
      </c>
      <c r="E438" t="s">
        <v>22</v>
      </c>
      <c r="F438" t="s">
        <v>19</v>
      </c>
      <c r="G438">
        <v>100</v>
      </c>
      <c r="H438" t="s">
        <v>20</v>
      </c>
      <c r="I438" t="s">
        <v>23</v>
      </c>
      <c r="L438" t="s">
        <v>22</v>
      </c>
      <c r="M438">
        <v>40.98</v>
      </c>
      <c r="N438">
        <v>40.98</v>
      </c>
      <c r="O438" t="s">
        <v>18</v>
      </c>
      <c r="P438">
        <f t="shared" si="20"/>
        <v>200</v>
      </c>
      <c r="Q438" s="11">
        <f>IF(P438=0,0,IFERROR(Q437+G438*M438*IF(E438="FUTURE",VLOOKUP(MID(I438,2,2),[1]Futures!$A$2:$B$12,2),1),G438*M438*IF(E438="FUTURE",VLOOKUP(MID(I438,2,2),[1]Futures!$A$2:$B$12,2),1)))</f>
        <v>8101.4400000000005</v>
      </c>
      <c r="R438" s="12">
        <f>IFERROR(Q438/P438/IF(E438="FUTURE",VLOOKUP(MID(I438,2,2),[1]Futures!$A$2:$B$12,2),1),"")</f>
        <v>40.507200000000005</v>
      </c>
      <c r="S438" s="13" t="str">
        <f>IF(AND(H438="TO CLOSE",P438=0),-G438*(M438-R437)*IF(E438="FUTURE",VLOOKUP(MID(I438,2,2),[1]Futures!$A$2:$B$12,2),1),"")</f>
        <v/>
      </c>
    </row>
    <row r="439" spans="1:19" x14ac:dyDescent="0.2">
      <c r="A439">
        <f t="shared" si="19"/>
        <v>111</v>
      </c>
      <c r="B439" s="3">
        <v>43941</v>
      </c>
      <c r="C439" s="3" t="str">
        <f t="shared" si="21"/>
        <v>Monday</v>
      </c>
      <c r="D439" s="2">
        <v>0.58446759259259262</v>
      </c>
      <c r="E439" t="s">
        <v>22</v>
      </c>
      <c r="F439" t="s">
        <v>15</v>
      </c>
      <c r="G439">
        <v>-100</v>
      </c>
      <c r="H439" t="s">
        <v>16</v>
      </c>
      <c r="I439" t="s">
        <v>23</v>
      </c>
      <c r="L439" t="s">
        <v>22</v>
      </c>
      <c r="M439">
        <v>40.729999999999997</v>
      </c>
      <c r="N439">
        <v>40.729999999999997</v>
      </c>
      <c r="O439" t="s">
        <v>18</v>
      </c>
      <c r="P439">
        <f t="shared" si="20"/>
        <v>100</v>
      </c>
      <c r="Q439" s="11">
        <f>IF(P439=0,0,IFERROR(Q438+G439*M439*IF(E439="FUTURE",VLOOKUP(MID(I439,2,2),[1]Futures!$A$2:$B$12,2),1),G439*M439*IF(E439="FUTURE",VLOOKUP(MID(I439,2,2),[1]Futures!$A$2:$B$12,2),1)))</f>
        <v>4028.440000000001</v>
      </c>
      <c r="R439" s="12">
        <f>IFERROR(Q439/P439/IF(E439="FUTURE",VLOOKUP(MID(I439,2,2),[1]Futures!$A$2:$B$12,2),1),"")</f>
        <v>40.284400000000012</v>
      </c>
      <c r="S439" s="13" t="str">
        <f>IF(AND(H439="TO CLOSE",P439=0),-G439*(M439-R438)*IF(E439="FUTURE",VLOOKUP(MID(I439,2,2),[1]Futures!$A$2:$B$12,2),1),"")</f>
        <v/>
      </c>
    </row>
    <row r="440" spans="1:19" x14ac:dyDescent="0.2">
      <c r="A440">
        <f t="shared" si="19"/>
        <v>111</v>
      </c>
      <c r="B440" s="3">
        <v>43941</v>
      </c>
      <c r="C440" s="3" t="str">
        <f t="shared" si="21"/>
        <v>Monday</v>
      </c>
      <c r="D440" s="2">
        <v>0.58446759259259262</v>
      </c>
      <c r="E440" t="s">
        <v>22</v>
      </c>
      <c r="F440" t="s">
        <v>15</v>
      </c>
      <c r="G440">
        <v>-100</v>
      </c>
      <c r="H440" t="s">
        <v>16</v>
      </c>
      <c r="I440" t="s">
        <v>23</v>
      </c>
      <c r="L440" t="s">
        <v>22</v>
      </c>
      <c r="M440">
        <v>40.729999999999997</v>
      </c>
      <c r="N440">
        <v>40.729999999999997</v>
      </c>
      <c r="O440" t="s">
        <v>18</v>
      </c>
      <c r="P440">
        <f t="shared" si="20"/>
        <v>0</v>
      </c>
      <c r="Q440" s="11">
        <f>IF(P440=0,0,IFERROR(Q439+G440*M440*IF(E440="FUTURE",VLOOKUP(MID(I440,2,2),[1]Futures!$A$2:$B$12,2),1),G440*M440*IF(E440="FUTURE",VLOOKUP(MID(I440,2,2),[1]Futures!$A$2:$B$12,2),1)))</f>
        <v>0</v>
      </c>
      <c r="R440" s="12" t="str">
        <f>IFERROR(Q440/P440/IF(E440="FUTURE",VLOOKUP(MID(I440,2,2),[1]Futures!$A$2:$B$12,2),1),"")</f>
        <v/>
      </c>
      <c r="S440" s="13">
        <f>IF(AND(H440="TO CLOSE",P440=0),-G440*(M440-R439)*IF(E440="FUTURE",VLOOKUP(MID(I440,2,2),[1]Futures!$A$2:$B$12,2),1),"")</f>
        <v>44.559999999998468</v>
      </c>
    </row>
    <row r="441" spans="1:19" x14ac:dyDescent="0.2">
      <c r="A441">
        <f t="shared" si="19"/>
        <v>112</v>
      </c>
      <c r="B441" s="3">
        <v>43942</v>
      </c>
      <c r="C441" s="3" t="str">
        <f t="shared" si="21"/>
        <v>Tuesday</v>
      </c>
      <c r="D441" s="2">
        <v>0.41523148148148148</v>
      </c>
      <c r="E441" t="s">
        <v>14</v>
      </c>
      <c r="F441" t="s">
        <v>19</v>
      </c>
      <c r="G441">
        <v>1</v>
      </c>
      <c r="H441" t="s">
        <v>20</v>
      </c>
      <c r="I441" t="s">
        <v>75</v>
      </c>
      <c r="J441" s="1">
        <v>44002</v>
      </c>
      <c r="L441" t="s">
        <v>14</v>
      </c>
      <c r="M441">
        <v>15.69</v>
      </c>
      <c r="N441">
        <v>15.69</v>
      </c>
      <c r="O441" t="s">
        <v>21</v>
      </c>
      <c r="P441">
        <f t="shared" si="20"/>
        <v>1</v>
      </c>
      <c r="Q441" s="11">
        <f>IF(P441=0,0,IFERROR(Q440+G441*M441*IF(E441="FUTURE",VLOOKUP(MID(I441,2,2),[1]Futures!$A$2:$B$12,2),1),G441*M441*IF(E441="FUTURE",VLOOKUP(MID(I441,2,2),[1]Futures!$A$2:$B$12,2),1)))</f>
        <v>15690</v>
      </c>
      <c r="R441" s="12">
        <f>IFERROR(Q441/P441/IF(E441="FUTURE",VLOOKUP(MID(I441,2,2),[1]Futures!$A$2:$B$12,2),1),"")</f>
        <v>15.69</v>
      </c>
      <c r="S441" s="13" t="str">
        <f>IF(AND(H441="TO CLOSE",P441=0),-G441*(M441-R440)*IF(E441="FUTURE",VLOOKUP(MID(I441,2,2),[1]Futures!$A$2:$B$12,2),1),"")</f>
        <v/>
      </c>
    </row>
    <row r="442" spans="1:19" x14ac:dyDescent="0.2">
      <c r="A442">
        <f t="shared" si="19"/>
        <v>112</v>
      </c>
      <c r="B442" s="3">
        <v>43942</v>
      </c>
      <c r="C442" s="3" t="str">
        <f t="shared" si="21"/>
        <v>Tuesday</v>
      </c>
      <c r="D442" s="2">
        <v>0.42182870370370368</v>
      </c>
      <c r="E442" t="s">
        <v>14</v>
      </c>
      <c r="F442" t="s">
        <v>15</v>
      </c>
      <c r="G442">
        <v>-1</v>
      </c>
      <c r="H442" t="s">
        <v>16</v>
      </c>
      <c r="I442" t="s">
        <v>75</v>
      </c>
      <c r="J442" s="1">
        <v>44002</v>
      </c>
      <c r="L442" t="s">
        <v>14</v>
      </c>
      <c r="M442">
        <v>15.09</v>
      </c>
      <c r="N442">
        <v>15.09</v>
      </c>
      <c r="O442" t="s">
        <v>18</v>
      </c>
      <c r="P442">
        <f t="shared" si="20"/>
        <v>0</v>
      </c>
      <c r="Q442" s="11">
        <f>IF(P442=0,0,IFERROR(Q441+G442*M442*IF(E442="FUTURE",VLOOKUP(MID(I442,2,2),[1]Futures!$A$2:$B$12,2),1),G442*M442*IF(E442="FUTURE",VLOOKUP(MID(I442,2,2),[1]Futures!$A$2:$B$12,2),1)))</f>
        <v>0</v>
      </c>
      <c r="R442" s="12" t="str">
        <f>IFERROR(Q442/P442/IF(E442="FUTURE",VLOOKUP(MID(I442,2,2),[1]Futures!$A$2:$B$12,2),1),"")</f>
        <v/>
      </c>
      <c r="S442" s="13">
        <f>IF(AND(H442="TO CLOSE",P442=0),-G442*(M442-R441)*IF(E442="FUTURE",VLOOKUP(MID(I442,2,2),[1]Futures!$A$2:$B$12,2),1),"")</f>
        <v>-599.99999999999966</v>
      </c>
    </row>
    <row r="443" spans="1:19" x14ac:dyDescent="0.2">
      <c r="A443">
        <f t="shared" si="19"/>
        <v>113</v>
      </c>
      <c r="B443" s="3">
        <v>43942</v>
      </c>
      <c r="C443" s="3" t="str">
        <f t="shared" si="21"/>
        <v>Tuesday</v>
      </c>
      <c r="D443" s="2">
        <v>0.42924768518518519</v>
      </c>
      <c r="E443" t="s">
        <v>14</v>
      </c>
      <c r="F443" t="s">
        <v>15</v>
      </c>
      <c r="G443">
        <v>-1</v>
      </c>
      <c r="H443" t="s">
        <v>20</v>
      </c>
      <c r="I443" t="s">
        <v>75</v>
      </c>
      <c r="J443" s="1">
        <v>44002</v>
      </c>
      <c r="L443" t="s">
        <v>14</v>
      </c>
      <c r="M443">
        <v>14.65</v>
      </c>
      <c r="N443">
        <v>14.65</v>
      </c>
      <c r="O443" t="s">
        <v>21</v>
      </c>
      <c r="P443">
        <f t="shared" si="20"/>
        <v>-1</v>
      </c>
      <c r="Q443" s="11">
        <f>IF(P443=0,0,IFERROR(Q442+G443*M443*IF(E443="FUTURE",VLOOKUP(MID(I443,2,2),[1]Futures!$A$2:$B$12,2),1),G443*M443*IF(E443="FUTURE",VLOOKUP(MID(I443,2,2),[1]Futures!$A$2:$B$12,2),1)))</f>
        <v>-14650</v>
      </c>
      <c r="R443" s="12">
        <f>IFERROR(Q443/P443/IF(E443="FUTURE",VLOOKUP(MID(I443,2,2),[1]Futures!$A$2:$B$12,2),1),"")</f>
        <v>14.65</v>
      </c>
      <c r="S443" s="13" t="str">
        <f>IF(AND(H443="TO CLOSE",P443=0),-G443*(M443-R442)*IF(E443="FUTURE",VLOOKUP(MID(I443,2,2),[1]Futures!$A$2:$B$12,2),1),"")</f>
        <v/>
      </c>
    </row>
    <row r="444" spans="1:19" x14ac:dyDescent="0.2">
      <c r="A444">
        <f t="shared" si="19"/>
        <v>113</v>
      </c>
      <c r="B444" s="3">
        <v>43942</v>
      </c>
      <c r="C444" s="3" t="str">
        <f t="shared" si="21"/>
        <v>Tuesday</v>
      </c>
      <c r="D444" s="2">
        <v>0.42959490740740741</v>
      </c>
      <c r="E444" t="s">
        <v>14</v>
      </c>
      <c r="F444" t="s">
        <v>19</v>
      </c>
      <c r="G444">
        <v>1</v>
      </c>
      <c r="H444" t="s">
        <v>16</v>
      </c>
      <c r="I444" t="s">
        <v>75</v>
      </c>
      <c r="J444" s="1">
        <v>44002</v>
      </c>
      <c r="L444" t="s">
        <v>14</v>
      </c>
      <c r="M444">
        <v>14.54</v>
      </c>
      <c r="N444">
        <v>14.54</v>
      </c>
      <c r="O444" t="s">
        <v>21</v>
      </c>
      <c r="P444">
        <f t="shared" si="20"/>
        <v>0</v>
      </c>
      <c r="Q444" s="11">
        <f>IF(P444=0,0,IFERROR(Q443+G444*M444*IF(E444="FUTURE",VLOOKUP(MID(I444,2,2),[1]Futures!$A$2:$B$12,2),1),G444*M444*IF(E444="FUTURE",VLOOKUP(MID(I444,2,2),[1]Futures!$A$2:$B$12,2),1)))</f>
        <v>0</v>
      </c>
      <c r="R444" s="12" t="str">
        <f>IFERROR(Q444/P444/IF(E444="FUTURE",VLOOKUP(MID(I444,2,2),[1]Futures!$A$2:$B$12,2),1),"")</f>
        <v/>
      </c>
      <c r="S444" s="13">
        <f>IF(AND(H444="TO CLOSE",P444=0),-G444*(M444-R443)*IF(E444="FUTURE",VLOOKUP(MID(I444,2,2),[1]Futures!$A$2:$B$12,2),1),"")</f>
        <v>110.00000000000121</v>
      </c>
    </row>
    <row r="445" spans="1:19" x14ac:dyDescent="0.2">
      <c r="A445">
        <f t="shared" si="19"/>
        <v>114</v>
      </c>
      <c r="B445" s="3">
        <v>43942</v>
      </c>
      <c r="C445" s="3" t="str">
        <f t="shared" si="21"/>
        <v>Tuesday</v>
      </c>
      <c r="D445" s="2">
        <v>0.4312037037037037</v>
      </c>
      <c r="E445" t="s">
        <v>14</v>
      </c>
      <c r="F445" t="s">
        <v>19</v>
      </c>
      <c r="G445">
        <v>1</v>
      </c>
      <c r="H445" t="s">
        <v>20</v>
      </c>
      <c r="I445" t="s">
        <v>75</v>
      </c>
      <c r="J445" s="1">
        <v>44002</v>
      </c>
      <c r="L445" t="s">
        <v>14</v>
      </c>
      <c r="M445">
        <v>15.08</v>
      </c>
      <c r="N445">
        <v>15.08</v>
      </c>
      <c r="O445" t="s">
        <v>21</v>
      </c>
      <c r="P445">
        <f t="shared" si="20"/>
        <v>1</v>
      </c>
      <c r="Q445" s="11">
        <f>IF(P445=0,0,IFERROR(Q444+G445*M445*IF(E445="FUTURE",VLOOKUP(MID(I445,2,2),[1]Futures!$A$2:$B$12,2),1),G445*M445*IF(E445="FUTURE",VLOOKUP(MID(I445,2,2),[1]Futures!$A$2:$B$12,2),1)))</f>
        <v>15080</v>
      </c>
      <c r="R445" s="12">
        <f>IFERROR(Q445/P445/IF(E445="FUTURE",VLOOKUP(MID(I445,2,2),[1]Futures!$A$2:$B$12,2),1),"")</f>
        <v>15.08</v>
      </c>
      <c r="S445" s="13" t="str">
        <f>IF(AND(H445="TO CLOSE",P445=0),-G445*(M445-R444)*IF(E445="FUTURE",VLOOKUP(MID(I445,2,2),[1]Futures!$A$2:$B$12,2),1),"")</f>
        <v/>
      </c>
    </row>
    <row r="446" spans="1:19" x14ac:dyDescent="0.2">
      <c r="A446">
        <f t="shared" si="19"/>
        <v>114</v>
      </c>
      <c r="B446" s="3">
        <v>43942</v>
      </c>
      <c r="C446" s="3" t="str">
        <f t="shared" si="21"/>
        <v>Tuesday</v>
      </c>
      <c r="D446" s="2">
        <v>0.43597222222222221</v>
      </c>
      <c r="E446" t="s">
        <v>14</v>
      </c>
      <c r="F446" t="s">
        <v>15</v>
      </c>
      <c r="G446">
        <v>-1</v>
      </c>
      <c r="H446" t="s">
        <v>16</v>
      </c>
      <c r="I446" t="s">
        <v>75</v>
      </c>
      <c r="J446" s="1">
        <v>44002</v>
      </c>
      <c r="L446" t="s">
        <v>14</v>
      </c>
      <c r="M446">
        <v>15.1</v>
      </c>
      <c r="N446">
        <v>15.1</v>
      </c>
      <c r="O446" t="s">
        <v>18</v>
      </c>
      <c r="P446">
        <f t="shared" si="20"/>
        <v>0</v>
      </c>
      <c r="Q446" s="11">
        <f>IF(P446=0,0,IFERROR(Q445+G446*M446*IF(E446="FUTURE",VLOOKUP(MID(I446,2,2),[1]Futures!$A$2:$B$12,2),1),G446*M446*IF(E446="FUTURE",VLOOKUP(MID(I446,2,2),[1]Futures!$A$2:$B$12,2),1)))</f>
        <v>0</v>
      </c>
      <c r="R446" s="12" t="str">
        <f>IFERROR(Q446/P446/IF(E446="FUTURE",VLOOKUP(MID(I446,2,2),[1]Futures!$A$2:$B$12,2),1),"")</f>
        <v/>
      </c>
      <c r="S446" s="13">
        <f>IF(AND(H446="TO CLOSE",P446=0),-G446*(M446-R445)*IF(E446="FUTURE",VLOOKUP(MID(I446,2,2),[1]Futures!$A$2:$B$12,2),1),"")</f>
        <v>19.999999999999574</v>
      </c>
    </row>
    <row r="447" spans="1:19" x14ac:dyDescent="0.2">
      <c r="A447">
        <f t="shared" si="19"/>
        <v>115</v>
      </c>
      <c r="B447" s="3">
        <v>43942</v>
      </c>
      <c r="C447" s="3" t="str">
        <f t="shared" si="21"/>
        <v>Tuesday</v>
      </c>
      <c r="D447" s="2">
        <v>0.43673611111111116</v>
      </c>
      <c r="E447" t="s">
        <v>14</v>
      </c>
      <c r="F447" t="s">
        <v>19</v>
      </c>
      <c r="G447">
        <v>1</v>
      </c>
      <c r="H447" t="s">
        <v>20</v>
      </c>
      <c r="I447" t="s">
        <v>75</v>
      </c>
      <c r="J447" s="1">
        <v>44002</v>
      </c>
      <c r="L447" t="s">
        <v>14</v>
      </c>
      <c r="M447">
        <v>15.48</v>
      </c>
      <c r="N447">
        <v>15.48</v>
      </c>
      <c r="O447" t="s">
        <v>24</v>
      </c>
      <c r="P447">
        <f t="shared" si="20"/>
        <v>1</v>
      </c>
      <c r="Q447" s="11">
        <f>IF(P447=0,0,IFERROR(Q446+G447*M447*IF(E447="FUTURE",VLOOKUP(MID(I447,2,2),[1]Futures!$A$2:$B$12,2),1),G447*M447*IF(E447="FUTURE",VLOOKUP(MID(I447,2,2),[1]Futures!$A$2:$B$12,2),1)))</f>
        <v>15480</v>
      </c>
      <c r="R447" s="12">
        <f>IFERROR(Q447/P447/IF(E447="FUTURE",VLOOKUP(MID(I447,2,2),[1]Futures!$A$2:$B$12,2),1),"")</f>
        <v>15.48</v>
      </c>
      <c r="S447" s="13" t="str">
        <f>IF(AND(H447="TO CLOSE",P447=0),-G447*(M447-R446)*IF(E447="FUTURE",VLOOKUP(MID(I447,2,2),[1]Futures!$A$2:$B$12,2),1),"")</f>
        <v/>
      </c>
    </row>
    <row r="448" spans="1:19" x14ac:dyDescent="0.2">
      <c r="A448">
        <f t="shared" si="19"/>
        <v>115</v>
      </c>
      <c r="B448" s="3">
        <v>43942</v>
      </c>
      <c r="C448" s="3" t="str">
        <f t="shared" si="21"/>
        <v>Tuesday</v>
      </c>
      <c r="D448" s="2">
        <v>0.43756944444444446</v>
      </c>
      <c r="E448" t="s">
        <v>14</v>
      </c>
      <c r="F448" t="s">
        <v>15</v>
      </c>
      <c r="G448">
        <v>-1</v>
      </c>
      <c r="H448" t="s">
        <v>16</v>
      </c>
      <c r="I448" t="s">
        <v>75</v>
      </c>
      <c r="J448" s="1">
        <v>44002</v>
      </c>
      <c r="L448" t="s">
        <v>14</v>
      </c>
      <c r="M448">
        <v>15.5</v>
      </c>
      <c r="N448">
        <v>15.5</v>
      </c>
      <c r="O448" t="s">
        <v>18</v>
      </c>
      <c r="P448">
        <f t="shared" si="20"/>
        <v>0</v>
      </c>
      <c r="Q448" s="11">
        <f>IF(P448=0,0,IFERROR(Q447+G448*M448*IF(E448="FUTURE",VLOOKUP(MID(I448,2,2),[1]Futures!$A$2:$B$12,2),1),G448*M448*IF(E448="FUTURE",VLOOKUP(MID(I448,2,2),[1]Futures!$A$2:$B$12,2),1)))</f>
        <v>0</v>
      </c>
      <c r="R448" s="12" t="str">
        <f>IFERROR(Q448/P448/IF(E448="FUTURE",VLOOKUP(MID(I448,2,2),[1]Futures!$A$2:$B$12,2),1),"")</f>
        <v/>
      </c>
      <c r="S448" s="13">
        <f>IF(AND(H448="TO CLOSE",P448=0),-G448*(M448-R447)*IF(E448="FUTURE",VLOOKUP(MID(I448,2,2),[1]Futures!$A$2:$B$12,2),1),"")</f>
        <v>19.999999999999574</v>
      </c>
    </row>
    <row r="449" spans="1:19" x14ac:dyDescent="0.2">
      <c r="A449">
        <f t="shared" si="19"/>
        <v>116</v>
      </c>
      <c r="B449" s="3">
        <v>43942</v>
      </c>
      <c r="C449" s="3" t="str">
        <f t="shared" si="21"/>
        <v>Tuesday</v>
      </c>
      <c r="D449" s="2">
        <v>0.44261574074074073</v>
      </c>
      <c r="E449" t="s">
        <v>14</v>
      </c>
      <c r="F449" t="s">
        <v>15</v>
      </c>
      <c r="G449">
        <v>-1</v>
      </c>
      <c r="H449" t="s">
        <v>20</v>
      </c>
      <c r="I449" t="s">
        <v>75</v>
      </c>
      <c r="J449" s="1">
        <v>44002</v>
      </c>
      <c r="L449" t="s">
        <v>14</v>
      </c>
      <c r="M449">
        <v>15.2</v>
      </c>
      <c r="N449">
        <v>15.2</v>
      </c>
      <c r="O449" t="s">
        <v>21</v>
      </c>
      <c r="P449">
        <f t="shared" si="20"/>
        <v>-1</v>
      </c>
      <c r="Q449" s="11">
        <f>IF(P449=0,0,IFERROR(Q448+G449*M449*IF(E449="FUTURE",VLOOKUP(MID(I449,2,2),[1]Futures!$A$2:$B$12,2),1),G449*M449*IF(E449="FUTURE",VLOOKUP(MID(I449,2,2),[1]Futures!$A$2:$B$12,2),1)))</f>
        <v>-15200</v>
      </c>
      <c r="R449" s="12">
        <f>IFERROR(Q449/P449/IF(E449="FUTURE",VLOOKUP(MID(I449,2,2),[1]Futures!$A$2:$B$12,2),1),"")</f>
        <v>15.2</v>
      </c>
      <c r="S449" s="13" t="str">
        <f>IF(AND(H449="TO CLOSE",P449=0),-G449*(M449-R448)*IF(E449="FUTURE",VLOOKUP(MID(I449,2,2),[1]Futures!$A$2:$B$12,2),1),"")</f>
        <v/>
      </c>
    </row>
    <row r="450" spans="1:19" x14ac:dyDescent="0.2">
      <c r="A450">
        <f t="shared" ref="A450:A513" si="22">IF(AND(P449=0,H449="TO CLOSE"),IFERROR(A449+1,1),IFERROR(A449/1,1))</f>
        <v>116</v>
      </c>
      <c r="B450" s="3">
        <v>43942</v>
      </c>
      <c r="C450" s="3" t="str">
        <f t="shared" si="21"/>
        <v>Tuesday</v>
      </c>
      <c r="D450" s="2">
        <v>0.44384259259259262</v>
      </c>
      <c r="E450" t="s">
        <v>14</v>
      </c>
      <c r="F450" t="s">
        <v>19</v>
      </c>
      <c r="G450">
        <v>1</v>
      </c>
      <c r="H450" t="s">
        <v>16</v>
      </c>
      <c r="I450" t="s">
        <v>75</v>
      </c>
      <c r="J450" s="1">
        <v>44002</v>
      </c>
      <c r="L450" t="s">
        <v>14</v>
      </c>
      <c r="M450">
        <v>15.35</v>
      </c>
      <c r="N450">
        <v>15.35</v>
      </c>
      <c r="O450" t="s">
        <v>18</v>
      </c>
      <c r="P450">
        <f t="shared" si="20"/>
        <v>0</v>
      </c>
      <c r="Q450" s="11">
        <f>IF(P450=0,0,IFERROR(Q449+G450*M450*IF(E450="FUTURE",VLOOKUP(MID(I450,2,2),[1]Futures!$A$2:$B$12,2),1),G450*M450*IF(E450="FUTURE",VLOOKUP(MID(I450,2,2),[1]Futures!$A$2:$B$12,2),1)))</f>
        <v>0</v>
      </c>
      <c r="R450" s="12" t="str">
        <f>IFERROR(Q450/P450/IF(E450="FUTURE",VLOOKUP(MID(I450,2,2),[1]Futures!$A$2:$B$12,2),1),"")</f>
        <v/>
      </c>
      <c r="S450" s="13">
        <f>IF(AND(H450="TO CLOSE",P450=0),-G450*(M450-R449)*IF(E450="FUTURE",VLOOKUP(MID(I450,2,2),[1]Futures!$A$2:$B$12,2),1),"")</f>
        <v>-150.00000000000034</v>
      </c>
    </row>
    <row r="451" spans="1:19" x14ac:dyDescent="0.2">
      <c r="A451">
        <f t="shared" si="22"/>
        <v>117</v>
      </c>
      <c r="B451" s="3">
        <v>43942</v>
      </c>
      <c r="C451" s="3" t="str">
        <f t="shared" si="21"/>
        <v>Tuesday</v>
      </c>
      <c r="D451" s="2">
        <v>0.44489583333333332</v>
      </c>
      <c r="E451" t="s">
        <v>14</v>
      </c>
      <c r="F451" t="s">
        <v>15</v>
      </c>
      <c r="G451">
        <v>-1</v>
      </c>
      <c r="H451" t="s">
        <v>20</v>
      </c>
      <c r="I451" t="s">
        <v>75</v>
      </c>
      <c r="J451" s="1">
        <v>44002</v>
      </c>
      <c r="L451" t="s">
        <v>14</v>
      </c>
      <c r="M451">
        <v>15.24</v>
      </c>
      <c r="N451">
        <v>15.24</v>
      </c>
      <c r="O451" t="s">
        <v>21</v>
      </c>
      <c r="P451">
        <f t="shared" ref="P451:P514" si="23">IF(H451="TO OPEN",IFERROR(P450+G451,0+G451),IFERROR(P450+G451,0+G451))</f>
        <v>-1</v>
      </c>
      <c r="Q451" s="11">
        <f>IF(P451=0,0,IFERROR(Q450+G451*M451*IF(E451="FUTURE",VLOOKUP(MID(I451,2,2),[1]Futures!$A$2:$B$12,2),1),G451*M451*IF(E451="FUTURE",VLOOKUP(MID(I451,2,2),[1]Futures!$A$2:$B$12,2),1)))</f>
        <v>-15240</v>
      </c>
      <c r="R451" s="12">
        <f>IFERROR(Q451/P451/IF(E451="FUTURE",VLOOKUP(MID(I451,2,2),[1]Futures!$A$2:$B$12,2),1),"")</f>
        <v>15.24</v>
      </c>
      <c r="S451" s="13" t="str">
        <f>IF(AND(H451="TO CLOSE",P451=0),-G451*(M451-R450)*IF(E451="FUTURE",VLOOKUP(MID(I451,2,2),[1]Futures!$A$2:$B$12,2),1),"")</f>
        <v/>
      </c>
    </row>
    <row r="452" spans="1:19" x14ac:dyDescent="0.2">
      <c r="A452">
        <f t="shared" si="22"/>
        <v>117</v>
      </c>
      <c r="B452" s="3">
        <v>43942</v>
      </c>
      <c r="C452" s="3" t="str">
        <f t="shared" si="21"/>
        <v>Tuesday</v>
      </c>
      <c r="D452" s="2">
        <v>0.44665509259259256</v>
      </c>
      <c r="E452" t="s">
        <v>14</v>
      </c>
      <c r="F452" t="s">
        <v>19</v>
      </c>
      <c r="G452">
        <v>1</v>
      </c>
      <c r="H452" t="s">
        <v>16</v>
      </c>
      <c r="I452" t="s">
        <v>75</v>
      </c>
      <c r="J452" s="1">
        <v>44002</v>
      </c>
      <c r="L452" t="s">
        <v>14</v>
      </c>
      <c r="M452">
        <v>14.99</v>
      </c>
      <c r="N452">
        <v>14.99</v>
      </c>
      <c r="O452" t="s">
        <v>21</v>
      </c>
      <c r="P452">
        <f t="shared" si="23"/>
        <v>0</v>
      </c>
      <c r="Q452" s="11">
        <f>IF(P452=0,0,IFERROR(Q451+G452*M452*IF(E452="FUTURE",VLOOKUP(MID(I452,2,2),[1]Futures!$A$2:$B$12,2),1),G452*M452*IF(E452="FUTURE",VLOOKUP(MID(I452,2,2),[1]Futures!$A$2:$B$12,2),1)))</f>
        <v>0</v>
      </c>
      <c r="R452" s="12" t="str">
        <f>IFERROR(Q452/P452/IF(E452="FUTURE",VLOOKUP(MID(I452,2,2),[1]Futures!$A$2:$B$12,2),1),"")</f>
        <v/>
      </c>
      <c r="S452" s="13">
        <f>IF(AND(H452="TO CLOSE",P452=0),-G452*(M452-R451)*IF(E452="FUTURE",VLOOKUP(MID(I452,2,2),[1]Futures!$A$2:$B$12,2),1),"")</f>
        <v>250</v>
      </c>
    </row>
    <row r="453" spans="1:19" x14ac:dyDescent="0.2">
      <c r="A453">
        <f t="shared" si="22"/>
        <v>118</v>
      </c>
      <c r="B453" s="3">
        <v>43942</v>
      </c>
      <c r="C453" s="3" t="str">
        <f t="shared" si="21"/>
        <v>Tuesday</v>
      </c>
      <c r="D453" s="2">
        <v>0.45409722222222221</v>
      </c>
      <c r="E453" t="s">
        <v>14</v>
      </c>
      <c r="F453" t="s">
        <v>19</v>
      </c>
      <c r="G453">
        <v>1</v>
      </c>
      <c r="H453" t="s">
        <v>20</v>
      </c>
      <c r="I453" t="s">
        <v>75</v>
      </c>
      <c r="J453" s="1">
        <v>44002</v>
      </c>
      <c r="L453" t="s">
        <v>14</v>
      </c>
      <c r="M453">
        <v>14.89</v>
      </c>
      <c r="N453">
        <v>14.89</v>
      </c>
      <c r="O453" t="s">
        <v>21</v>
      </c>
      <c r="P453">
        <f t="shared" si="23"/>
        <v>1</v>
      </c>
      <c r="Q453" s="11">
        <f>IF(P453=0,0,IFERROR(Q452+G453*M453*IF(E453="FUTURE",VLOOKUP(MID(I453,2,2),[1]Futures!$A$2:$B$12,2),1),G453*M453*IF(E453="FUTURE",VLOOKUP(MID(I453,2,2),[1]Futures!$A$2:$B$12,2),1)))</f>
        <v>14890</v>
      </c>
      <c r="R453" s="12">
        <f>IFERROR(Q453/P453/IF(E453="FUTURE",VLOOKUP(MID(I453,2,2),[1]Futures!$A$2:$B$12,2),1),"")</f>
        <v>14.89</v>
      </c>
      <c r="S453" s="13" t="str">
        <f>IF(AND(H453="TO CLOSE",P453=0),-G453*(M453-R452)*IF(E453="FUTURE",VLOOKUP(MID(I453,2,2),[1]Futures!$A$2:$B$12,2),1),"")</f>
        <v/>
      </c>
    </row>
    <row r="454" spans="1:19" x14ac:dyDescent="0.2">
      <c r="A454">
        <f t="shared" si="22"/>
        <v>118</v>
      </c>
      <c r="B454" s="3">
        <v>43942</v>
      </c>
      <c r="C454" s="3" t="str">
        <f t="shared" si="21"/>
        <v>Tuesday</v>
      </c>
      <c r="D454" s="2">
        <v>0.47328703703703701</v>
      </c>
      <c r="E454" t="s">
        <v>14</v>
      </c>
      <c r="F454" t="s">
        <v>19</v>
      </c>
      <c r="G454">
        <v>1</v>
      </c>
      <c r="H454" t="s">
        <v>20</v>
      </c>
      <c r="I454" t="s">
        <v>75</v>
      </c>
      <c r="J454" s="1">
        <v>44002</v>
      </c>
      <c r="L454" t="s">
        <v>14</v>
      </c>
      <c r="M454">
        <v>14.4</v>
      </c>
      <c r="N454">
        <v>14.4</v>
      </c>
      <c r="O454" t="s">
        <v>18</v>
      </c>
      <c r="P454">
        <f t="shared" si="23"/>
        <v>2</v>
      </c>
      <c r="Q454" s="11">
        <f>IF(P454=0,0,IFERROR(Q453+G454*M454*IF(E454="FUTURE",VLOOKUP(MID(I454,2,2),[1]Futures!$A$2:$B$12,2),1),G454*M454*IF(E454="FUTURE",VLOOKUP(MID(I454,2,2),[1]Futures!$A$2:$B$12,2),1)))</f>
        <v>29290</v>
      </c>
      <c r="R454" s="12">
        <f>IFERROR(Q454/P454/IF(E454="FUTURE",VLOOKUP(MID(I454,2,2),[1]Futures!$A$2:$B$12,2),1),"")</f>
        <v>14.645</v>
      </c>
      <c r="S454" s="13" t="str">
        <f>IF(AND(H454="TO CLOSE",P454=0),-G454*(M454-R453)*IF(E454="FUTURE",VLOOKUP(MID(I454,2,2),[1]Futures!$A$2:$B$12,2),1),"")</f>
        <v/>
      </c>
    </row>
    <row r="455" spans="1:19" x14ac:dyDescent="0.2">
      <c r="A455">
        <f t="shared" si="22"/>
        <v>118</v>
      </c>
      <c r="B455" s="3">
        <v>43942</v>
      </c>
      <c r="C455" s="3" t="str">
        <f t="shared" si="21"/>
        <v>Tuesday</v>
      </c>
      <c r="D455" s="2">
        <v>0.48425925925925922</v>
      </c>
      <c r="E455" t="s">
        <v>14</v>
      </c>
      <c r="F455" t="s">
        <v>15</v>
      </c>
      <c r="G455">
        <v>-2</v>
      </c>
      <c r="H455" t="s">
        <v>16</v>
      </c>
      <c r="I455" t="s">
        <v>75</v>
      </c>
      <c r="J455" s="1">
        <v>44002</v>
      </c>
      <c r="L455" t="s">
        <v>14</v>
      </c>
      <c r="M455">
        <v>13.67</v>
      </c>
      <c r="N455">
        <v>13.67</v>
      </c>
      <c r="O455" t="s">
        <v>18</v>
      </c>
      <c r="P455">
        <f t="shared" si="23"/>
        <v>0</v>
      </c>
      <c r="Q455" s="11">
        <f>IF(P455=0,0,IFERROR(Q454+G455*M455*IF(E455="FUTURE",VLOOKUP(MID(I455,2,2),[1]Futures!$A$2:$B$12,2),1),G455*M455*IF(E455="FUTURE",VLOOKUP(MID(I455,2,2),[1]Futures!$A$2:$B$12,2),1)))</f>
        <v>0</v>
      </c>
      <c r="R455" s="12" t="str">
        <f>IFERROR(Q455/P455/IF(E455="FUTURE",VLOOKUP(MID(I455,2,2),[1]Futures!$A$2:$B$12,2),1),"")</f>
        <v/>
      </c>
      <c r="S455" s="13">
        <f>IF(AND(H455="TO CLOSE",P455=0),-G455*(M455-R454)*IF(E455="FUTURE",VLOOKUP(MID(I455,2,2),[1]Futures!$A$2:$B$12,2),1),"")</f>
        <v>-1949.9999999999993</v>
      </c>
    </row>
    <row r="456" spans="1:19" x14ac:dyDescent="0.2">
      <c r="A456">
        <f t="shared" si="22"/>
        <v>119</v>
      </c>
      <c r="B456" s="3">
        <v>43942</v>
      </c>
      <c r="C456" s="3" t="str">
        <f t="shared" si="21"/>
        <v>Tuesday</v>
      </c>
      <c r="D456" s="2">
        <v>0.4845949074074074</v>
      </c>
      <c r="E456" t="s">
        <v>14</v>
      </c>
      <c r="F456" t="s">
        <v>19</v>
      </c>
      <c r="G456">
        <v>1</v>
      </c>
      <c r="H456" t="s">
        <v>20</v>
      </c>
      <c r="I456" t="s">
        <v>75</v>
      </c>
      <c r="J456" s="1">
        <v>44002</v>
      </c>
      <c r="L456" t="s">
        <v>14</v>
      </c>
      <c r="M456">
        <v>13.66</v>
      </c>
      <c r="N456">
        <v>13.66</v>
      </c>
      <c r="O456" t="s">
        <v>24</v>
      </c>
      <c r="P456">
        <f t="shared" si="23"/>
        <v>1</v>
      </c>
      <c r="Q456" s="11">
        <f>IF(P456=0,0,IFERROR(Q455+G456*M456*IF(E456="FUTURE",VLOOKUP(MID(I456,2,2),[1]Futures!$A$2:$B$12,2),1),G456*M456*IF(E456="FUTURE",VLOOKUP(MID(I456,2,2),[1]Futures!$A$2:$B$12,2),1)))</f>
        <v>13660</v>
      </c>
      <c r="R456" s="12">
        <f>IFERROR(Q456/P456/IF(E456="FUTURE",VLOOKUP(MID(I456,2,2),[1]Futures!$A$2:$B$12,2),1),"")</f>
        <v>13.66</v>
      </c>
      <c r="S456" s="13" t="str">
        <f>IF(AND(H456="TO CLOSE",P456=0),-G456*(M456-R455)*IF(E456="FUTURE",VLOOKUP(MID(I456,2,2),[1]Futures!$A$2:$B$12,2),1),"")</f>
        <v/>
      </c>
    </row>
    <row r="457" spans="1:19" x14ac:dyDescent="0.2">
      <c r="A457">
        <f t="shared" si="22"/>
        <v>119</v>
      </c>
      <c r="B457" s="3">
        <v>43942</v>
      </c>
      <c r="C457" s="3" t="str">
        <f t="shared" si="21"/>
        <v>Tuesday</v>
      </c>
      <c r="D457" s="2">
        <v>0.4856712962962963</v>
      </c>
      <c r="E457" t="s">
        <v>14</v>
      </c>
      <c r="F457" t="s">
        <v>15</v>
      </c>
      <c r="G457">
        <v>-1</v>
      </c>
      <c r="H457" t="s">
        <v>16</v>
      </c>
      <c r="I457" t="s">
        <v>75</v>
      </c>
      <c r="J457" s="1">
        <v>44002</v>
      </c>
      <c r="L457" t="s">
        <v>14</v>
      </c>
      <c r="M457">
        <v>13.41</v>
      </c>
      <c r="N457">
        <v>13.41</v>
      </c>
      <c r="O457" t="s">
        <v>21</v>
      </c>
      <c r="P457">
        <f t="shared" si="23"/>
        <v>0</v>
      </c>
      <c r="Q457" s="11">
        <f>IF(P457=0,0,IFERROR(Q456+G457*M457*IF(E457="FUTURE",VLOOKUP(MID(I457,2,2),[1]Futures!$A$2:$B$12,2),1),G457*M457*IF(E457="FUTURE",VLOOKUP(MID(I457,2,2),[1]Futures!$A$2:$B$12,2),1)))</f>
        <v>0</v>
      </c>
      <c r="R457" s="12" t="str">
        <f>IFERROR(Q457/P457/IF(E457="FUTURE",VLOOKUP(MID(I457,2,2),[1]Futures!$A$2:$B$12,2),1),"")</f>
        <v/>
      </c>
      <c r="S457" s="13">
        <f>IF(AND(H457="TO CLOSE",P457=0),-G457*(M457-R456)*IF(E457="FUTURE",VLOOKUP(MID(I457,2,2),[1]Futures!$A$2:$B$12,2),1),"")</f>
        <v>-250</v>
      </c>
    </row>
    <row r="458" spans="1:19" x14ac:dyDescent="0.2">
      <c r="A458">
        <f t="shared" si="22"/>
        <v>120</v>
      </c>
      <c r="B458" s="3">
        <v>43942</v>
      </c>
      <c r="C458" s="3" t="str">
        <f t="shared" si="21"/>
        <v>Tuesday</v>
      </c>
      <c r="D458" s="2">
        <v>0.48758101851851854</v>
      </c>
      <c r="E458" t="s">
        <v>14</v>
      </c>
      <c r="F458" t="s">
        <v>19</v>
      </c>
      <c r="G458">
        <v>2</v>
      </c>
      <c r="H458" t="s">
        <v>20</v>
      </c>
      <c r="I458" t="s">
        <v>75</v>
      </c>
      <c r="J458" s="1">
        <v>44002</v>
      </c>
      <c r="L458" t="s">
        <v>14</v>
      </c>
      <c r="M458">
        <v>13.73</v>
      </c>
      <c r="N458">
        <v>13.73</v>
      </c>
      <c r="O458" t="s">
        <v>21</v>
      </c>
      <c r="P458">
        <f t="shared" si="23"/>
        <v>2</v>
      </c>
      <c r="Q458" s="11">
        <f>IF(P458=0,0,IFERROR(Q457+G458*M458*IF(E458="FUTURE",VLOOKUP(MID(I458,2,2),[1]Futures!$A$2:$B$12,2),1),G458*M458*IF(E458="FUTURE",VLOOKUP(MID(I458,2,2),[1]Futures!$A$2:$B$12,2),1)))</f>
        <v>27460</v>
      </c>
      <c r="R458" s="12">
        <f>IFERROR(Q458/P458/IF(E458="FUTURE",VLOOKUP(MID(I458,2,2),[1]Futures!$A$2:$B$12,2),1),"")</f>
        <v>13.73</v>
      </c>
      <c r="S458" s="13" t="str">
        <f>IF(AND(H458="TO CLOSE",P458=0),-G458*(M458-R457)*IF(E458="FUTURE",VLOOKUP(MID(I458,2,2),[1]Futures!$A$2:$B$12,2),1),"")</f>
        <v/>
      </c>
    </row>
    <row r="459" spans="1:19" x14ac:dyDescent="0.2">
      <c r="A459">
        <f t="shared" si="22"/>
        <v>120</v>
      </c>
      <c r="B459" s="3">
        <v>43942</v>
      </c>
      <c r="C459" s="3" t="str">
        <f t="shared" si="21"/>
        <v>Tuesday</v>
      </c>
      <c r="D459" s="2">
        <v>0.48982638888888891</v>
      </c>
      <c r="E459" t="s">
        <v>14</v>
      </c>
      <c r="F459" t="s">
        <v>15</v>
      </c>
      <c r="G459">
        <v>-2</v>
      </c>
      <c r="H459" t="s">
        <v>16</v>
      </c>
      <c r="I459" t="s">
        <v>75</v>
      </c>
      <c r="J459" s="1">
        <v>44002</v>
      </c>
      <c r="L459" t="s">
        <v>14</v>
      </c>
      <c r="M459">
        <v>13.2</v>
      </c>
      <c r="N459">
        <v>13.2</v>
      </c>
      <c r="O459" t="s">
        <v>18</v>
      </c>
      <c r="P459">
        <f t="shared" si="23"/>
        <v>0</v>
      </c>
      <c r="Q459" s="11">
        <f>IF(P459=0,0,IFERROR(Q458+G459*M459*IF(E459="FUTURE",VLOOKUP(MID(I459,2,2),[1]Futures!$A$2:$B$12,2),1),G459*M459*IF(E459="FUTURE",VLOOKUP(MID(I459,2,2),[1]Futures!$A$2:$B$12,2),1)))</f>
        <v>0</v>
      </c>
      <c r="R459" s="12" t="str">
        <f>IFERROR(Q459/P459/IF(E459="FUTURE",VLOOKUP(MID(I459,2,2),[1]Futures!$A$2:$B$12,2),1),"")</f>
        <v/>
      </c>
      <c r="S459" s="13">
        <f>IF(AND(H459="TO CLOSE",P459=0),-G459*(M459-R458)*IF(E459="FUTURE",VLOOKUP(MID(I459,2,2),[1]Futures!$A$2:$B$12,2),1),"")</f>
        <v>-1060.0000000000023</v>
      </c>
    </row>
    <row r="460" spans="1:19" x14ac:dyDescent="0.2">
      <c r="A460">
        <f t="shared" si="22"/>
        <v>121</v>
      </c>
      <c r="B460" s="3">
        <v>43942</v>
      </c>
      <c r="C460" s="3" t="str">
        <f t="shared" si="21"/>
        <v>Tuesday</v>
      </c>
      <c r="D460" s="2">
        <v>0.49189814814814814</v>
      </c>
      <c r="E460" t="s">
        <v>14</v>
      </c>
      <c r="F460" t="s">
        <v>15</v>
      </c>
      <c r="G460">
        <v>-1</v>
      </c>
      <c r="H460" t="s">
        <v>20</v>
      </c>
      <c r="I460" t="s">
        <v>75</v>
      </c>
      <c r="J460" s="1">
        <v>44002</v>
      </c>
      <c r="L460" t="s">
        <v>14</v>
      </c>
      <c r="M460">
        <v>13.07</v>
      </c>
      <c r="N460">
        <v>13.07</v>
      </c>
      <c r="O460" t="s">
        <v>24</v>
      </c>
      <c r="P460">
        <f t="shared" si="23"/>
        <v>-1</v>
      </c>
      <c r="Q460" s="11">
        <f>IF(P460=0,0,IFERROR(Q459+G460*M460*IF(E460="FUTURE",VLOOKUP(MID(I460,2,2),[1]Futures!$A$2:$B$12,2),1),G460*M460*IF(E460="FUTURE",VLOOKUP(MID(I460,2,2),[1]Futures!$A$2:$B$12,2),1)))</f>
        <v>-13070</v>
      </c>
      <c r="R460" s="12">
        <f>IFERROR(Q460/P460/IF(E460="FUTURE",VLOOKUP(MID(I460,2,2),[1]Futures!$A$2:$B$12,2),1),"")</f>
        <v>13.07</v>
      </c>
      <c r="S460" s="13" t="str">
        <f>IF(AND(H460="TO CLOSE",P460=0),-G460*(M460-R459)*IF(E460="FUTURE",VLOOKUP(MID(I460,2,2),[1]Futures!$A$2:$B$12,2),1),"")</f>
        <v/>
      </c>
    </row>
    <row r="461" spans="1:19" x14ac:dyDescent="0.2">
      <c r="A461">
        <f t="shared" si="22"/>
        <v>121</v>
      </c>
      <c r="B461" s="3">
        <v>43942</v>
      </c>
      <c r="C461" s="3" t="str">
        <f t="shared" si="21"/>
        <v>Tuesday</v>
      </c>
      <c r="D461" s="2">
        <v>0.49246527777777777</v>
      </c>
      <c r="E461" t="s">
        <v>14</v>
      </c>
      <c r="F461" t="s">
        <v>19</v>
      </c>
      <c r="G461">
        <v>1</v>
      </c>
      <c r="H461" t="s">
        <v>16</v>
      </c>
      <c r="I461" t="s">
        <v>75</v>
      </c>
      <c r="J461" s="1">
        <v>44002</v>
      </c>
      <c r="L461" t="s">
        <v>14</v>
      </c>
      <c r="M461">
        <v>13.05</v>
      </c>
      <c r="N461">
        <v>13.05</v>
      </c>
      <c r="O461" t="s">
        <v>18</v>
      </c>
      <c r="P461">
        <f t="shared" si="23"/>
        <v>0</v>
      </c>
      <c r="Q461" s="11">
        <f>IF(P461=0,0,IFERROR(Q460+G461*M461*IF(E461="FUTURE",VLOOKUP(MID(I461,2,2),[1]Futures!$A$2:$B$12,2),1),G461*M461*IF(E461="FUTURE",VLOOKUP(MID(I461,2,2),[1]Futures!$A$2:$B$12,2),1)))</f>
        <v>0</v>
      </c>
      <c r="R461" s="12" t="str">
        <f>IFERROR(Q461/P461/IF(E461="FUTURE",VLOOKUP(MID(I461,2,2),[1]Futures!$A$2:$B$12,2),1),"")</f>
        <v/>
      </c>
      <c r="S461" s="13">
        <f>IF(AND(H461="TO CLOSE",P461=0),-G461*(M461-R460)*IF(E461="FUTURE",VLOOKUP(MID(I461,2,2),[1]Futures!$A$2:$B$12,2),1),"")</f>
        <v>19.999999999999574</v>
      </c>
    </row>
    <row r="462" spans="1:19" x14ac:dyDescent="0.2">
      <c r="A462">
        <f t="shared" si="22"/>
        <v>122</v>
      </c>
      <c r="B462" s="3">
        <v>43942</v>
      </c>
      <c r="C462" s="3" t="str">
        <f t="shared" si="21"/>
        <v>Tuesday</v>
      </c>
      <c r="D462" s="2">
        <v>0.50137731481481485</v>
      </c>
      <c r="E462" t="s">
        <v>14</v>
      </c>
      <c r="F462" t="s">
        <v>19</v>
      </c>
      <c r="G462">
        <v>1</v>
      </c>
      <c r="H462" t="s">
        <v>20</v>
      </c>
      <c r="I462" t="s">
        <v>75</v>
      </c>
      <c r="J462" s="1">
        <v>44002</v>
      </c>
      <c r="L462" t="s">
        <v>14</v>
      </c>
      <c r="M462">
        <v>13.51</v>
      </c>
      <c r="N462">
        <v>13.51</v>
      </c>
      <c r="O462" t="s">
        <v>24</v>
      </c>
      <c r="P462">
        <f t="shared" si="23"/>
        <v>1</v>
      </c>
      <c r="Q462" s="11">
        <f>IF(P462=0,0,IFERROR(Q461+G462*M462*IF(E462="FUTURE",VLOOKUP(MID(I462,2,2),[1]Futures!$A$2:$B$12,2),1),G462*M462*IF(E462="FUTURE",VLOOKUP(MID(I462,2,2),[1]Futures!$A$2:$B$12,2),1)))</f>
        <v>13510</v>
      </c>
      <c r="R462" s="12">
        <f>IFERROR(Q462/P462/IF(E462="FUTURE",VLOOKUP(MID(I462,2,2),[1]Futures!$A$2:$B$12,2),1),"")</f>
        <v>13.51</v>
      </c>
      <c r="S462" s="13" t="str">
        <f>IF(AND(H462="TO CLOSE",P462=0),-G462*(M462-R461)*IF(E462="FUTURE",VLOOKUP(MID(I462,2,2),[1]Futures!$A$2:$B$12,2),1),"")</f>
        <v/>
      </c>
    </row>
    <row r="463" spans="1:19" x14ac:dyDescent="0.2">
      <c r="A463">
        <f t="shared" si="22"/>
        <v>122</v>
      </c>
      <c r="B463" s="3">
        <v>43942</v>
      </c>
      <c r="C463" s="3" t="str">
        <f t="shared" si="21"/>
        <v>Tuesday</v>
      </c>
      <c r="D463" s="2">
        <v>0.50773148148148151</v>
      </c>
      <c r="E463" t="s">
        <v>14</v>
      </c>
      <c r="F463" t="s">
        <v>19</v>
      </c>
      <c r="G463">
        <v>1</v>
      </c>
      <c r="H463" t="s">
        <v>20</v>
      </c>
      <c r="I463" t="s">
        <v>75</v>
      </c>
      <c r="J463" s="1">
        <v>44002</v>
      </c>
      <c r="L463" t="s">
        <v>14</v>
      </c>
      <c r="M463">
        <v>13.56</v>
      </c>
      <c r="N463">
        <v>13.56</v>
      </c>
      <c r="O463" t="s">
        <v>18</v>
      </c>
      <c r="P463">
        <f t="shared" si="23"/>
        <v>2</v>
      </c>
      <c r="Q463" s="11">
        <f>IF(P463=0,0,IFERROR(Q462+G463*M463*IF(E463="FUTURE",VLOOKUP(MID(I463,2,2),[1]Futures!$A$2:$B$12,2),1),G463*M463*IF(E463="FUTURE",VLOOKUP(MID(I463,2,2),[1]Futures!$A$2:$B$12,2),1)))</f>
        <v>27070</v>
      </c>
      <c r="R463" s="12">
        <f>IFERROR(Q463/P463/IF(E463="FUTURE",VLOOKUP(MID(I463,2,2),[1]Futures!$A$2:$B$12,2),1),"")</f>
        <v>13.535</v>
      </c>
      <c r="S463" s="13" t="str">
        <f>IF(AND(H463="TO CLOSE",P463=0),-G463*(M463-R462)*IF(E463="FUTURE",VLOOKUP(MID(I463,2,2),[1]Futures!$A$2:$B$12,2),1),"")</f>
        <v/>
      </c>
    </row>
    <row r="464" spans="1:19" x14ac:dyDescent="0.2">
      <c r="A464">
        <f t="shared" si="22"/>
        <v>122</v>
      </c>
      <c r="B464" s="3">
        <v>43942</v>
      </c>
      <c r="C464" s="3" t="str">
        <f t="shared" si="21"/>
        <v>Tuesday</v>
      </c>
      <c r="D464" s="2">
        <v>0.51282407407407404</v>
      </c>
      <c r="E464" t="s">
        <v>14</v>
      </c>
      <c r="F464" t="s">
        <v>15</v>
      </c>
      <c r="G464">
        <v>-2</v>
      </c>
      <c r="H464" t="s">
        <v>16</v>
      </c>
      <c r="I464" t="s">
        <v>75</v>
      </c>
      <c r="J464" s="1">
        <v>44002</v>
      </c>
      <c r="L464" t="s">
        <v>14</v>
      </c>
      <c r="M464">
        <v>12.82</v>
      </c>
      <c r="N464">
        <v>12.82</v>
      </c>
      <c r="O464" t="s">
        <v>18</v>
      </c>
      <c r="P464">
        <f t="shared" si="23"/>
        <v>0</v>
      </c>
      <c r="Q464" s="11">
        <f>IF(P464=0,0,IFERROR(Q463+G464*M464*IF(E464="FUTURE",VLOOKUP(MID(I464,2,2),[1]Futures!$A$2:$B$12,2),1),G464*M464*IF(E464="FUTURE",VLOOKUP(MID(I464,2,2),[1]Futures!$A$2:$B$12,2),1)))</f>
        <v>0</v>
      </c>
      <c r="R464" s="12" t="str">
        <f>IFERROR(Q464/P464/IF(E464="FUTURE",VLOOKUP(MID(I464,2,2),[1]Futures!$A$2:$B$12,2),1),"")</f>
        <v/>
      </c>
      <c r="S464" s="13">
        <f>IF(AND(H464="TO CLOSE",P464=0),-G464*(M464-R463)*IF(E464="FUTURE",VLOOKUP(MID(I464,2,2),[1]Futures!$A$2:$B$12,2),1),"")</f>
        <v>-1429.9999999999998</v>
      </c>
    </row>
    <row r="465" spans="1:19" x14ac:dyDescent="0.2">
      <c r="A465">
        <f t="shared" si="22"/>
        <v>123</v>
      </c>
      <c r="B465" s="3">
        <v>43942</v>
      </c>
      <c r="C465" s="3" t="str">
        <f t="shared" si="21"/>
        <v>Tuesday</v>
      </c>
      <c r="D465" s="2">
        <v>0.42274305555555558</v>
      </c>
      <c r="E465" t="s">
        <v>14</v>
      </c>
      <c r="F465" t="s">
        <v>15</v>
      </c>
      <c r="G465">
        <v>-1</v>
      </c>
      <c r="H465" t="s">
        <v>20</v>
      </c>
      <c r="I465" t="s">
        <v>17</v>
      </c>
      <c r="J465" s="1">
        <v>44002</v>
      </c>
      <c r="L465" t="s">
        <v>14</v>
      </c>
      <c r="M465">
        <v>2769.25</v>
      </c>
      <c r="N465">
        <v>2769.25</v>
      </c>
      <c r="O465" t="s">
        <v>21</v>
      </c>
      <c r="P465">
        <f t="shared" si="23"/>
        <v>-1</v>
      </c>
      <c r="Q465" s="11">
        <f>IF(P465=0,0,IFERROR(Q464+G465*M465*IF(E465="FUTURE",VLOOKUP(MID(I465,2,2),[1]Futures!$A$2:$B$12,2),1),G465*M465*IF(E465="FUTURE",VLOOKUP(MID(I465,2,2),[1]Futures!$A$2:$B$12,2),1)))</f>
        <v>-138462.5</v>
      </c>
      <c r="R465" s="12">
        <f>IFERROR(Q465/P465/IF(E465="FUTURE",VLOOKUP(MID(I465,2,2),[1]Futures!$A$2:$B$12,2),1),"")</f>
        <v>2769.25</v>
      </c>
      <c r="S465" s="13" t="str">
        <f>IF(AND(H465="TO CLOSE",P465=0),-G465*(M465-R464)*IF(E465="FUTURE",VLOOKUP(MID(I465,2,2),[1]Futures!$A$2:$B$12,2),1),"")</f>
        <v/>
      </c>
    </row>
    <row r="466" spans="1:19" x14ac:dyDescent="0.2">
      <c r="A466">
        <f t="shared" si="22"/>
        <v>123</v>
      </c>
      <c r="B466" s="3">
        <v>43942</v>
      </c>
      <c r="C466" s="3" t="str">
        <f t="shared" si="21"/>
        <v>Tuesday</v>
      </c>
      <c r="D466" s="2">
        <v>0.42324074074074075</v>
      </c>
      <c r="E466" t="s">
        <v>14</v>
      </c>
      <c r="F466" t="s">
        <v>19</v>
      </c>
      <c r="G466">
        <v>1</v>
      </c>
      <c r="H466" t="s">
        <v>16</v>
      </c>
      <c r="I466" t="s">
        <v>17</v>
      </c>
      <c r="J466" s="1">
        <v>44002</v>
      </c>
      <c r="L466" t="s">
        <v>14</v>
      </c>
      <c r="M466">
        <v>2766</v>
      </c>
      <c r="N466">
        <v>2766</v>
      </c>
      <c r="O466" t="s">
        <v>21</v>
      </c>
      <c r="P466">
        <f t="shared" si="23"/>
        <v>0</v>
      </c>
      <c r="Q466" s="11">
        <f>IF(P466=0,0,IFERROR(Q465+G466*M466*IF(E466="FUTURE",VLOOKUP(MID(I466,2,2),[1]Futures!$A$2:$B$12,2),1),G466*M466*IF(E466="FUTURE",VLOOKUP(MID(I466,2,2),[1]Futures!$A$2:$B$12,2),1)))</f>
        <v>0</v>
      </c>
      <c r="R466" s="12" t="str">
        <f>IFERROR(Q466/P466/IF(E466="FUTURE",VLOOKUP(MID(I466,2,2),[1]Futures!$A$2:$B$12,2),1),"")</f>
        <v/>
      </c>
      <c r="S466" s="13">
        <f>IF(AND(H466="TO CLOSE",P466=0),-G466*(M466-R465)*IF(E466="FUTURE",VLOOKUP(MID(I466,2,2),[1]Futures!$A$2:$B$12,2),1),"")</f>
        <v>162.5</v>
      </c>
    </row>
    <row r="467" spans="1:19" x14ac:dyDescent="0.2">
      <c r="A467">
        <f t="shared" si="22"/>
        <v>124</v>
      </c>
      <c r="B467" s="3">
        <v>43942</v>
      </c>
      <c r="C467" s="3" t="str">
        <f t="shared" si="21"/>
        <v>Tuesday</v>
      </c>
      <c r="D467" s="2">
        <v>0.4930208333333333</v>
      </c>
      <c r="E467" t="s">
        <v>14</v>
      </c>
      <c r="F467" t="s">
        <v>19</v>
      </c>
      <c r="G467">
        <v>5</v>
      </c>
      <c r="H467" t="s">
        <v>20</v>
      </c>
      <c r="I467" t="s">
        <v>73</v>
      </c>
      <c r="J467" s="1">
        <v>44002</v>
      </c>
      <c r="L467" t="s">
        <v>14</v>
      </c>
      <c r="M467">
        <v>2726</v>
      </c>
      <c r="N467">
        <v>2726</v>
      </c>
      <c r="O467" t="s">
        <v>24</v>
      </c>
      <c r="P467">
        <f t="shared" si="23"/>
        <v>5</v>
      </c>
      <c r="Q467" s="11">
        <f>IF(P467=0,0,IFERROR(Q466+G467*M467*IF(E467="FUTURE",VLOOKUP(MID(I467,2,2),[1]Futures!$A$2:$B$12,2),1),G467*M467*IF(E467="FUTURE",VLOOKUP(MID(I467,2,2),[1]Futures!$A$2:$B$12,2),1)))</f>
        <v>68150</v>
      </c>
      <c r="R467" s="12">
        <f>IFERROR(Q467/P467/IF(E467="FUTURE",VLOOKUP(MID(I467,2,2),[1]Futures!$A$2:$B$12,2),1),"")</f>
        <v>2726</v>
      </c>
      <c r="S467" s="13" t="str">
        <f>IF(AND(H467="TO CLOSE",P467=0),-G467*(M467-R466)*IF(E467="FUTURE",VLOOKUP(MID(I467,2,2),[1]Futures!$A$2:$B$12,2),1),"")</f>
        <v/>
      </c>
    </row>
    <row r="468" spans="1:19" x14ac:dyDescent="0.2">
      <c r="A468">
        <f t="shared" si="22"/>
        <v>124</v>
      </c>
      <c r="B468" s="3">
        <v>43942</v>
      </c>
      <c r="C468" s="3" t="str">
        <f t="shared" si="21"/>
        <v>Tuesday</v>
      </c>
      <c r="D468" s="2">
        <v>0.49789351851851849</v>
      </c>
      <c r="E468" t="s">
        <v>14</v>
      </c>
      <c r="F468" t="s">
        <v>15</v>
      </c>
      <c r="G468">
        <v>-3</v>
      </c>
      <c r="H468" t="s">
        <v>16</v>
      </c>
      <c r="I468" t="s">
        <v>73</v>
      </c>
      <c r="J468" s="1">
        <v>44002</v>
      </c>
      <c r="L468" t="s">
        <v>14</v>
      </c>
      <c r="M468">
        <v>2731.25</v>
      </c>
      <c r="N468">
        <v>2731.25</v>
      </c>
      <c r="O468" t="s">
        <v>21</v>
      </c>
      <c r="P468">
        <f t="shared" si="23"/>
        <v>2</v>
      </c>
      <c r="Q468" s="11">
        <f>IF(P468=0,0,IFERROR(Q467+G468*M468*IF(E468="FUTURE",VLOOKUP(MID(I468,2,2),[1]Futures!$A$2:$B$12,2),1),G468*M468*IF(E468="FUTURE",VLOOKUP(MID(I468,2,2),[1]Futures!$A$2:$B$12,2),1)))</f>
        <v>27181.25</v>
      </c>
      <c r="R468" s="12">
        <f>IFERROR(Q468/P468/IF(E468="FUTURE",VLOOKUP(MID(I468,2,2),[1]Futures!$A$2:$B$12,2),1),"")</f>
        <v>2718.125</v>
      </c>
      <c r="S468" s="13" t="str">
        <f>IF(AND(H468="TO CLOSE",P468=0),-G468*(M468-R467)*IF(E468="FUTURE",VLOOKUP(MID(I468,2,2),[1]Futures!$A$2:$B$12,2),1),"")</f>
        <v/>
      </c>
    </row>
    <row r="469" spans="1:19" x14ac:dyDescent="0.2">
      <c r="A469">
        <f t="shared" si="22"/>
        <v>124</v>
      </c>
      <c r="B469" s="3">
        <v>43942</v>
      </c>
      <c r="C469" s="3" t="str">
        <f t="shared" si="21"/>
        <v>Tuesday</v>
      </c>
      <c r="D469" s="2">
        <v>0.49866898148148148</v>
      </c>
      <c r="E469" t="s">
        <v>14</v>
      </c>
      <c r="F469" t="s">
        <v>15</v>
      </c>
      <c r="G469">
        <v>-1</v>
      </c>
      <c r="H469" t="s">
        <v>16</v>
      </c>
      <c r="I469" t="s">
        <v>73</v>
      </c>
      <c r="J469" s="1">
        <v>44002</v>
      </c>
      <c r="L469" t="s">
        <v>14</v>
      </c>
      <c r="M469">
        <v>2732.5</v>
      </c>
      <c r="N469">
        <v>2732.5</v>
      </c>
      <c r="O469" t="s">
        <v>21</v>
      </c>
      <c r="P469">
        <f t="shared" si="23"/>
        <v>1</v>
      </c>
      <c r="Q469" s="11">
        <f>IF(P469=0,0,IFERROR(Q468+G469*M469*IF(E469="FUTURE",VLOOKUP(MID(I469,2,2),[1]Futures!$A$2:$B$12,2),1),G469*M469*IF(E469="FUTURE",VLOOKUP(MID(I469,2,2),[1]Futures!$A$2:$B$12,2),1)))</f>
        <v>13518.75</v>
      </c>
      <c r="R469" s="12">
        <f>IFERROR(Q469/P469/IF(E469="FUTURE",VLOOKUP(MID(I469,2,2),[1]Futures!$A$2:$B$12,2),1),"")</f>
        <v>2703.75</v>
      </c>
      <c r="S469" s="13" t="str">
        <f>IF(AND(H469="TO CLOSE",P469=0),-G469*(M469-R468)*IF(E469="FUTURE",VLOOKUP(MID(I469,2,2),[1]Futures!$A$2:$B$12,2),1),"")</f>
        <v/>
      </c>
    </row>
    <row r="470" spans="1:19" x14ac:dyDescent="0.2">
      <c r="A470">
        <f t="shared" si="22"/>
        <v>124</v>
      </c>
      <c r="B470" s="3">
        <v>43942</v>
      </c>
      <c r="C470" s="3" t="str">
        <f t="shared" si="21"/>
        <v>Tuesday</v>
      </c>
      <c r="D470" s="2">
        <v>0.49866898148148148</v>
      </c>
      <c r="E470" t="s">
        <v>14</v>
      </c>
      <c r="F470" t="s">
        <v>15</v>
      </c>
      <c r="G470">
        <v>-1</v>
      </c>
      <c r="H470" t="s">
        <v>16</v>
      </c>
      <c r="I470" t="s">
        <v>73</v>
      </c>
      <c r="J470" s="1">
        <v>44002</v>
      </c>
      <c r="L470" t="s">
        <v>14</v>
      </c>
      <c r="M470">
        <v>2732.5</v>
      </c>
      <c r="N470">
        <v>2732.5</v>
      </c>
      <c r="O470" t="s">
        <v>21</v>
      </c>
      <c r="P470">
        <f t="shared" si="23"/>
        <v>0</v>
      </c>
      <c r="Q470" s="11">
        <f>IF(P470=0,0,IFERROR(Q469+G470*M470*IF(E470="FUTURE",VLOOKUP(MID(I470,2,2),[1]Futures!$A$2:$B$12,2),1),G470*M470*IF(E470="FUTURE",VLOOKUP(MID(I470,2,2),[1]Futures!$A$2:$B$12,2),1)))</f>
        <v>0</v>
      </c>
      <c r="R470" s="12" t="str">
        <f>IFERROR(Q470/P470/IF(E470="FUTURE",VLOOKUP(MID(I470,2,2),[1]Futures!$A$2:$B$12,2),1),"")</f>
        <v/>
      </c>
      <c r="S470" s="13">
        <f>IF(AND(H470="TO CLOSE",P470=0),-G470*(M470-R469)*IF(E470="FUTURE",VLOOKUP(MID(I470,2,2),[1]Futures!$A$2:$B$12,2),1),"")</f>
        <v>143.75</v>
      </c>
    </row>
    <row r="471" spans="1:19" x14ac:dyDescent="0.2">
      <c r="A471">
        <f t="shared" si="22"/>
        <v>125</v>
      </c>
      <c r="B471" s="3">
        <v>43942</v>
      </c>
      <c r="C471" s="3" t="str">
        <f t="shared" si="21"/>
        <v>Tuesday</v>
      </c>
      <c r="D471" s="2">
        <v>0.4268055555555556</v>
      </c>
      <c r="E471" t="s">
        <v>22</v>
      </c>
      <c r="F471" t="s">
        <v>19</v>
      </c>
      <c r="G471">
        <v>300</v>
      </c>
      <c r="H471" t="s">
        <v>20</v>
      </c>
      <c r="I471" t="s">
        <v>23</v>
      </c>
      <c r="L471" t="s">
        <v>22</v>
      </c>
      <c r="M471">
        <v>46.627400000000002</v>
      </c>
      <c r="N471">
        <v>46.627400000000002</v>
      </c>
      <c r="O471" t="s">
        <v>21</v>
      </c>
      <c r="P471">
        <f t="shared" si="23"/>
        <v>300</v>
      </c>
      <c r="Q471" s="11">
        <f>IF(P471=0,0,IFERROR(Q470+G471*M471*IF(E471="FUTURE",VLOOKUP(MID(I471,2,2),[1]Futures!$A$2:$B$12,2),1),G471*M471*IF(E471="FUTURE",VLOOKUP(MID(I471,2,2),[1]Futures!$A$2:$B$12,2),1)))</f>
        <v>13988.220000000001</v>
      </c>
      <c r="R471" s="12">
        <f>IFERROR(Q471/P471/IF(E471="FUTURE",VLOOKUP(MID(I471,2,2),[1]Futures!$A$2:$B$12,2),1),"")</f>
        <v>46.627400000000002</v>
      </c>
      <c r="S471" s="13" t="str">
        <f>IF(AND(H471="TO CLOSE",P471=0),-G471*(M471-R470)*IF(E471="FUTURE",VLOOKUP(MID(I471,2,2),[1]Futures!$A$2:$B$12,2),1),"")</f>
        <v/>
      </c>
    </row>
    <row r="472" spans="1:19" x14ac:dyDescent="0.2">
      <c r="A472">
        <f t="shared" si="22"/>
        <v>125</v>
      </c>
      <c r="B472" s="3">
        <v>43942</v>
      </c>
      <c r="C472" s="3" t="str">
        <f t="shared" si="21"/>
        <v>Tuesday</v>
      </c>
      <c r="D472" s="2">
        <v>0.42773148148148149</v>
      </c>
      <c r="E472" t="s">
        <v>22</v>
      </c>
      <c r="F472" t="s">
        <v>15</v>
      </c>
      <c r="G472">
        <v>-138</v>
      </c>
      <c r="H472" t="s">
        <v>16</v>
      </c>
      <c r="I472" t="s">
        <v>23</v>
      </c>
      <c r="L472" t="s">
        <v>22</v>
      </c>
      <c r="M472">
        <v>46.63</v>
      </c>
      <c r="N472">
        <v>46.63</v>
      </c>
      <c r="O472" t="s">
        <v>21</v>
      </c>
      <c r="P472">
        <f t="shared" si="23"/>
        <v>162</v>
      </c>
      <c r="Q472" s="11">
        <f>IF(P472=0,0,IFERROR(Q471+G472*M472*IF(E472="FUTURE",VLOOKUP(MID(I472,2,2),[1]Futures!$A$2:$B$12,2),1),G472*M472*IF(E472="FUTURE",VLOOKUP(MID(I472,2,2),[1]Futures!$A$2:$B$12,2),1)))</f>
        <v>7553.2800000000007</v>
      </c>
      <c r="R472" s="12">
        <f>IFERROR(Q472/P472/IF(E472="FUTURE",VLOOKUP(MID(I472,2,2),[1]Futures!$A$2:$B$12,2),1),"")</f>
        <v>46.625185185185188</v>
      </c>
      <c r="S472" s="13" t="str">
        <f>IF(AND(H472="TO CLOSE",P472=0),-G472*(M472-R471)*IF(E472="FUTURE",VLOOKUP(MID(I472,2,2),[1]Futures!$A$2:$B$12,2),1),"")</f>
        <v/>
      </c>
    </row>
    <row r="473" spans="1:19" x14ac:dyDescent="0.2">
      <c r="A473">
        <f t="shared" si="22"/>
        <v>125</v>
      </c>
      <c r="B473" s="3">
        <v>43942</v>
      </c>
      <c r="C473" s="3" t="str">
        <f t="shared" si="21"/>
        <v>Tuesday</v>
      </c>
      <c r="D473" s="2">
        <v>0.42773148148148149</v>
      </c>
      <c r="E473" t="s">
        <v>22</v>
      </c>
      <c r="F473" t="s">
        <v>15</v>
      </c>
      <c r="G473">
        <v>-162</v>
      </c>
      <c r="H473" t="s">
        <v>16</v>
      </c>
      <c r="I473" t="s">
        <v>23</v>
      </c>
      <c r="L473" t="s">
        <v>22</v>
      </c>
      <c r="M473">
        <v>46.63</v>
      </c>
      <c r="N473">
        <v>46.63</v>
      </c>
      <c r="O473" t="s">
        <v>21</v>
      </c>
      <c r="P473">
        <f t="shared" si="23"/>
        <v>0</v>
      </c>
      <c r="Q473" s="11">
        <f>IF(P473=0,0,IFERROR(Q472+G473*M473*IF(E473="FUTURE",VLOOKUP(MID(I473,2,2),[1]Futures!$A$2:$B$12,2),1),G473*M473*IF(E473="FUTURE",VLOOKUP(MID(I473,2,2),[1]Futures!$A$2:$B$12,2),1)))</f>
        <v>0</v>
      </c>
      <c r="R473" s="12" t="str">
        <f>IFERROR(Q473/P473/IF(E473="FUTURE",VLOOKUP(MID(I473,2,2),[1]Futures!$A$2:$B$12,2),1),"")</f>
        <v/>
      </c>
      <c r="S473" s="13">
        <f>IF(AND(H473="TO CLOSE",P473=0),-G473*(M473-R472)*IF(E473="FUTURE",VLOOKUP(MID(I473,2,2),[1]Futures!$A$2:$B$12,2),1),"")</f>
        <v>0.77999999999993008</v>
      </c>
    </row>
    <row r="474" spans="1:19" x14ac:dyDescent="0.2">
      <c r="A474">
        <f t="shared" si="22"/>
        <v>126</v>
      </c>
      <c r="B474" s="3">
        <v>43942</v>
      </c>
      <c r="C474" s="3" t="str">
        <f t="shared" si="21"/>
        <v>Tuesday</v>
      </c>
      <c r="D474" s="2">
        <v>0.43140046296296292</v>
      </c>
      <c r="E474" t="s">
        <v>22</v>
      </c>
      <c r="F474" t="s">
        <v>15</v>
      </c>
      <c r="G474">
        <v>-200</v>
      </c>
      <c r="H474" t="s">
        <v>20</v>
      </c>
      <c r="I474" t="s">
        <v>23</v>
      </c>
      <c r="L474" t="s">
        <v>22</v>
      </c>
      <c r="M474">
        <v>46.71</v>
      </c>
      <c r="N474">
        <v>46.71</v>
      </c>
      <c r="O474" t="s">
        <v>21</v>
      </c>
      <c r="P474">
        <f t="shared" si="23"/>
        <v>-200</v>
      </c>
      <c r="Q474" s="11">
        <f>IF(P474=0,0,IFERROR(Q473+G474*M474*IF(E474="FUTURE",VLOOKUP(MID(I474,2,2),[1]Futures!$A$2:$B$12,2),1),G474*M474*IF(E474="FUTURE",VLOOKUP(MID(I474,2,2),[1]Futures!$A$2:$B$12,2),1)))</f>
        <v>-9342</v>
      </c>
      <c r="R474" s="12">
        <f>IFERROR(Q474/P474/IF(E474="FUTURE",VLOOKUP(MID(I474,2,2),[1]Futures!$A$2:$B$12,2),1),"")</f>
        <v>46.71</v>
      </c>
      <c r="S474" s="13" t="str">
        <f>IF(AND(H474="TO CLOSE",P474=0),-G474*(M474-R473)*IF(E474="FUTURE",VLOOKUP(MID(I474,2,2),[1]Futures!$A$2:$B$12,2),1),"")</f>
        <v/>
      </c>
    </row>
    <row r="475" spans="1:19" x14ac:dyDescent="0.2">
      <c r="A475">
        <f t="shared" si="22"/>
        <v>126</v>
      </c>
      <c r="B475" s="3">
        <v>43942</v>
      </c>
      <c r="C475" s="3" t="str">
        <f t="shared" si="21"/>
        <v>Tuesday</v>
      </c>
      <c r="D475" s="2">
        <v>0.43140046296296292</v>
      </c>
      <c r="E475" t="s">
        <v>22</v>
      </c>
      <c r="F475" t="s">
        <v>15</v>
      </c>
      <c r="G475">
        <v>-200</v>
      </c>
      <c r="H475" t="s">
        <v>20</v>
      </c>
      <c r="I475" t="s">
        <v>23</v>
      </c>
      <c r="L475" t="s">
        <v>22</v>
      </c>
      <c r="M475">
        <v>46.71</v>
      </c>
      <c r="N475">
        <v>46.71</v>
      </c>
      <c r="O475" t="s">
        <v>21</v>
      </c>
      <c r="P475">
        <f t="shared" si="23"/>
        <v>-400</v>
      </c>
      <c r="Q475" s="11">
        <f>IF(P475=0,0,IFERROR(Q474+G475*M475*IF(E475="FUTURE",VLOOKUP(MID(I475,2,2),[1]Futures!$A$2:$B$12,2),1),G475*M475*IF(E475="FUTURE",VLOOKUP(MID(I475,2,2),[1]Futures!$A$2:$B$12,2),1)))</f>
        <v>-18684</v>
      </c>
      <c r="R475" s="12">
        <f>IFERROR(Q475/P475/IF(E475="FUTURE",VLOOKUP(MID(I475,2,2),[1]Futures!$A$2:$B$12,2),1),"")</f>
        <v>46.71</v>
      </c>
      <c r="S475" s="13" t="str">
        <f>IF(AND(H475="TO CLOSE",P475=0),-G475*(M475-R474)*IF(E475="FUTURE",VLOOKUP(MID(I475,2,2),[1]Futures!$A$2:$B$12,2),1),"")</f>
        <v/>
      </c>
    </row>
    <row r="476" spans="1:19" x14ac:dyDescent="0.2">
      <c r="A476">
        <f t="shared" si="22"/>
        <v>126</v>
      </c>
      <c r="B476" s="3">
        <v>43942</v>
      </c>
      <c r="C476" s="3" t="str">
        <f t="shared" si="21"/>
        <v>Tuesday</v>
      </c>
      <c r="D476" s="2">
        <v>0.43822916666666667</v>
      </c>
      <c r="E476" t="s">
        <v>22</v>
      </c>
      <c r="F476" t="s">
        <v>19</v>
      </c>
      <c r="G476">
        <v>100</v>
      </c>
      <c r="H476" t="s">
        <v>16</v>
      </c>
      <c r="I476" t="s">
        <v>23</v>
      </c>
      <c r="L476" t="s">
        <v>22</v>
      </c>
      <c r="M476">
        <v>46.36</v>
      </c>
      <c r="N476">
        <v>46.36</v>
      </c>
      <c r="O476" t="s">
        <v>21</v>
      </c>
      <c r="P476">
        <f t="shared" si="23"/>
        <v>-300</v>
      </c>
      <c r="Q476" s="11">
        <f>IF(P476=0,0,IFERROR(Q475+G476*M476*IF(E476="FUTURE",VLOOKUP(MID(I476,2,2),[1]Futures!$A$2:$B$12,2),1),G476*M476*IF(E476="FUTURE",VLOOKUP(MID(I476,2,2),[1]Futures!$A$2:$B$12,2),1)))</f>
        <v>-14048</v>
      </c>
      <c r="R476" s="12">
        <f>IFERROR(Q476/P476/IF(E476="FUTURE",VLOOKUP(MID(I476,2,2),[1]Futures!$A$2:$B$12,2),1),"")</f>
        <v>46.826666666666668</v>
      </c>
      <c r="S476" s="13" t="str">
        <f>IF(AND(H476="TO CLOSE",P476=0),-G476*(M476-R475)*IF(E476="FUTURE",VLOOKUP(MID(I476,2,2),[1]Futures!$A$2:$B$12,2),1),"")</f>
        <v/>
      </c>
    </row>
    <row r="477" spans="1:19" x14ac:dyDescent="0.2">
      <c r="A477">
        <f t="shared" si="22"/>
        <v>126</v>
      </c>
      <c r="B477" s="3">
        <v>43942</v>
      </c>
      <c r="C477" s="3" t="str">
        <f t="shared" si="21"/>
        <v>Tuesday</v>
      </c>
      <c r="D477" s="2">
        <v>0.43822916666666667</v>
      </c>
      <c r="E477" t="s">
        <v>22</v>
      </c>
      <c r="F477" t="s">
        <v>19</v>
      </c>
      <c r="G477">
        <v>100</v>
      </c>
      <c r="H477" t="s">
        <v>16</v>
      </c>
      <c r="I477" t="s">
        <v>23</v>
      </c>
      <c r="L477" t="s">
        <v>22</v>
      </c>
      <c r="M477">
        <v>46.36</v>
      </c>
      <c r="N477">
        <v>46.36</v>
      </c>
      <c r="O477" t="s">
        <v>21</v>
      </c>
      <c r="P477">
        <f t="shared" si="23"/>
        <v>-200</v>
      </c>
      <c r="Q477" s="11">
        <f>IF(P477=0,0,IFERROR(Q476+G477*M477*IF(E477="FUTURE",VLOOKUP(MID(I477,2,2),[1]Futures!$A$2:$B$12,2),1),G477*M477*IF(E477="FUTURE",VLOOKUP(MID(I477,2,2),[1]Futures!$A$2:$B$12,2),1)))</f>
        <v>-9412</v>
      </c>
      <c r="R477" s="12">
        <f>IFERROR(Q477/P477/IF(E477="FUTURE",VLOOKUP(MID(I477,2,2),[1]Futures!$A$2:$B$12,2),1),"")</f>
        <v>47.06</v>
      </c>
      <c r="S477" s="13" t="str">
        <f>IF(AND(H477="TO CLOSE",P477=0),-G477*(M477-R476)*IF(E477="FUTURE",VLOOKUP(MID(I477,2,2),[1]Futures!$A$2:$B$12,2),1),"")</f>
        <v/>
      </c>
    </row>
    <row r="478" spans="1:19" x14ac:dyDescent="0.2">
      <c r="A478">
        <f t="shared" si="22"/>
        <v>126</v>
      </c>
      <c r="B478" s="3">
        <v>43942</v>
      </c>
      <c r="C478" s="3" t="str">
        <f t="shared" si="21"/>
        <v>Tuesday</v>
      </c>
      <c r="D478" s="2">
        <v>0.4412152777777778</v>
      </c>
      <c r="E478" t="s">
        <v>22</v>
      </c>
      <c r="F478" t="s">
        <v>19</v>
      </c>
      <c r="G478">
        <v>95</v>
      </c>
      <c r="H478" t="s">
        <v>16</v>
      </c>
      <c r="I478" t="s">
        <v>23</v>
      </c>
      <c r="L478" t="s">
        <v>22</v>
      </c>
      <c r="M478">
        <v>46.63</v>
      </c>
      <c r="N478">
        <v>46.63</v>
      </c>
      <c r="O478" t="s">
        <v>21</v>
      </c>
      <c r="P478">
        <f t="shared" si="23"/>
        <v>-105</v>
      </c>
      <c r="Q478" s="11">
        <f>IF(P478=0,0,IFERROR(Q477+G478*M478*IF(E478="FUTURE",VLOOKUP(MID(I478,2,2),[1]Futures!$A$2:$B$12,2),1),G478*M478*IF(E478="FUTURE",VLOOKUP(MID(I478,2,2),[1]Futures!$A$2:$B$12,2),1)))</f>
        <v>-4982.1499999999996</v>
      </c>
      <c r="R478" s="12">
        <f>IFERROR(Q478/P478/IF(E478="FUTURE",VLOOKUP(MID(I478,2,2),[1]Futures!$A$2:$B$12,2),1),"")</f>
        <v>47.449047619047619</v>
      </c>
      <c r="S478" s="13" t="str">
        <f>IF(AND(H478="TO CLOSE",P478=0),-G478*(M478-R477)*IF(E478="FUTURE",VLOOKUP(MID(I478,2,2),[1]Futures!$A$2:$B$12,2),1),"")</f>
        <v/>
      </c>
    </row>
    <row r="479" spans="1:19" x14ac:dyDescent="0.2">
      <c r="A479">
        <f t="shared" si="22"/>
        <v>126</v>
      </c>
      <c r="B479" s="3">
        <v>43942</v>
      </c>
      <c r="C479" s="3" t="str">
        <f t="shared" si="21"/>
        <v>Tuesday</v>
      </c>
      <c r="D479" s="2">
        <v>0.4412152777777778</v>
      </c>
      <c r="E479" t="s">
        <v>22</v>
      </c>
      <c r="F479" t="s">
        <v>19</v>
      </c>
      <c r="G479">
        <v>100</v>
      </c>
      <c r="H479" t="s">
        <v>16</v>
      </c>
      <c r="I479" t="s">
        <v>23</v>
      </c>
      <c r="L479" t="s">
        <v>22</v>
      </c>
      <c r="M479">
        <v>46.63</v>
      </c>
      <c r="N479">
        <v>46.63</v>
      </c>
      <c r="O479" t="s">
        <v>21</v>
      </c>
      <c r="P479">
        <f t="shared" si="23"/>
        <v>-5</v>
      </c>
      <c r="Q479" s="11">
        <f>IF(P479=0,0,IFERROR(Q478+G479*M479*IF(E479="FUTURE",VLOOKUP(MID(I479,2,2),[1]Futures!$A$2:$B$12,2),1),G479*M479*IF(E479="FUTURE",VLOOKUP(MID(I479,2,2),[1]Futures!$A$2:$B$12,2),1)))</f>
        <v>-319.14999999999964</v>
      </c>
      <c r="R479" s="12">
        <f>IFERROR(Q479/P479/IF(E479="FUTURE",VLOOKUP(MID(I479,2,2),[1]Futures!$A$2:$B$12,2),1),"")</f>
        <v>63.829999999999927</v>
      </c>
      <c r="S479" s="13" t="str">
        <f>IF(AND(H479="TO CLOSE",P479=0),-G479*(M479-R478)*IF(E479="FUTURE",VLOOKUP(MID(I479,2,2),[1]Futures!$A$2:$B$12,2),1),"")</f>
        <v/>
      </c>
    </row>
    <row r="480" spans="1:19" x14ac:dyDescent="0.2">
      <c r="A480">
        <f t="shared" si="22"/>
        <v>126</v>
      </c>
      <c r="B480" s="3">
        <v>43942</v>
      </c>
      <c r="C480" s="3" t="str">
        <f t="shared" si="21"/>
        <v>Tuesday</v>
      </c>
      <c r="D480" s="2">
        <v>0.4412152777777778</v>
      </c>
      <c r="E480" t="s">
        <v>22</v>
      </c>
      <c r="F480" t="s">
        <v>19</v>
      </c>
      <c r="G480">
        <v>5</v>
      </c>
      <c r="H480" t="s">
        <v>16</v>
      </c>
      <c r="I480" t="s">
        <v>23</v>
      </c>
      <c r="L480" t="s">
        <v>22</v>
      </c>
      <c r="M480">
        <v>46.63</v>
      </c>
      <c r="N480">
        <v>46.63</v>
      </c>
      <c r="O480" t="s">
        <v>21</v>
      </c>
      <c r="P480">
        <f t="shared" si="23"/>
        <v>0</v>
      </c>
      <c r="Q480" s="11">
        <f>IF(P480=0,0,IFERROR(Q479+G480*M480*IF(E480="FUTURE",VLOOKUP(MID(I480,2,2),[1]Futures!$A$2:$B$12,2),1),G480*M480*IF(E480="FUTURE",VLOOKUP(MID(I480,2,2),[1]Futures!$A$2:$B$12,2),1)))</f>
        <v>0</v>
      </c>
      <c r="R480" s="12" t="str">
        <f>IFERROR(Q480/P480/IF(E480="FUTURE",VLOOKUP(MID(I480,2,2),[1]Futures!$A$2:$B$12,2),1),"")</f>
        <v/>
      </c>
      <c r="S480" s="13">
        <f>IF(AND(H480="TO CLOSE",P480=0),-G480*(M480-R479)*IF(E480="FUTURE",VLOOKUP(MID(I480,2,2),[1]Futures!$A$2:$B$12,2),1),"")</f>
        <v>85.999999999999631</v>
      </c>
    </row>
    <row r="481" spans="1:19" x14ac:dyDescent="0.2">
      <c r="A481">
        <f t="shared" si="22"/>
        <v>127</v>
      </c>
      <c r="B481" s="3">
        <v>43942</v>
      </c>
      <c r="C481" s="3" t="str">
        <f t="shared" si="21"/>
        <v>Tuesday</v>
      </c>
      <c r="D481" s="2">
        <v>0.45311342592592596</v>
      </c>
      <c r="E481" t="s">
        <v>22</v>
      </c>
      <c r="F481" t="s">
        <v>19</v>
      </c>
      <c r="G481">
        <v>400</v>
      </c>
      <c r="H481" t="s">
        <v>20</v>
      </c>
      <c r="I481" t="s">
        <v>23</v>
      </c>
      <c r="L481" t="s">
        <v>22</v>
      </c>
      <c r="M481">
        <v>47.17</v>
      </c>
      <c r="N481">
        <v>47.17</v>
      </c>
      <c r="O481" t="s">
        <v>21</v>
      </c>
      <c r="P481">
        <f t="shared" si="23"/>
        <v>400</v>
      </c>
      <c r="Q481" s="11">
        <f>IF(P481=0,0,IFERROR(Q480+G481*M481*IF(E481="FUTURE",VLOOKUP(MID(I481,2,2),[1]Futures!$A$2:$B$12,2),1),G481*M481*IF(E481="FUTURE",VLOOKUP(MID(I481,2,2),[1]Futures!$A$2:$B$12,2),1)))</f>
        <v>18868</v>
      </c>
      <c r="R481" s="12">
        <f>IFERROR(Q481/P481/IF(E481="FUTURE",VLOOKUP(MID(I481,2,2),[1]Futures!$A$2:$B$12,2),1),"")</f>
        <v>47.17</v>
      </c>
      <c r="S481" s="13" t="str">
        <f>IF(AND(H481="TO CLOSE",P481=0),-G481*(M481-R480)*IF(E481="FUTURE",VLOOKUP(MID(I481,2,2),[1]Futures!$A$2:$B$12,2),1),"")</f>
        <v/>
      </c>
    </row>
    <row r="482" spans="1:19" x14ac:dyDescent="0.2">
      <c r="A482">
        <f t="shared" si="22"/>
        <v>127</v>
      </c>
      <c r="B482" s="3">
        <v>43942</v>
      </c>
      <c r="C482" s="3" t="str">
        <f t="shared" si="21"/>
        <v>Tuesday</v>
      </c>
      <c r="D482" s="2">
        <v>0.45548611111111109</v>
      </c>
      <c r="E482" t="s">
        <v>22</v>
      </c>
      <c r="F482" t="s">
        <v>15</v>
      </c>
      <c r="G482">
        <v>-400</v>
      </c>
      <c r="H482" t="s">
        <v>16</v>
      </c>
      <c r="I482" t="s">
        <v>23</v>
      </c>
      <c r="L482" t="s">
        <v>22</v>
      </c>
      <c r="M482">
        <v>47.085000000000001</v>
      </c>
      <c r="N482">
        <v>47.085000000000001</v>
      </c>
      <c r="O482" t="s">
        <v>21</v>
      </c>
      <c r="P482">
        <f t="shared" si="23"/>
        <v>0</v>
      </c>
      <c r="Q482" s="11">
        <f>IF(P482=0,0,IFERROR(Q481+G482*M482*IF(E482="FUTURE",VLOOKUP(MID(I482,2,2),[1]Futures!$A$2:$B$12,2),1),G482*M482*IF(E482="FUTURE",VLOOKUP(MID(I482,2,2),[1]Futures!$A$2:$B$12,2),1)))</f>
        <v>0</v>
      </c>
      <c r="R482" s="12" t="str">
        <f>IFERROR(Q482/P482/IF(E482="FUTURE",VLOOKUP(MID(I482,2,2),[1]Futures!$A$2:$B$12,2),1),"")</f>
        <v/>
      </c>
      <c r="S482" s="13">
        <f>IF(AND(H482="TO CLOSE",P482=0),-G482*(M482-R481)*IF(E482="FUTURE",VLOOKUP(MID(I482,2,2),[1]Futures!$A$2:$B$12,2),1),"")</f>
        <v>-34.000000000000341</v>
      </c>
    </row>
    <row r="483" spans="1:19" x14ac:dyDescent="0.2">
      <c r="A483">
        <f t="shared" si="22"/>
        <v>128</v>
      </c>
      <c r="B483" s="3">
        <v>43942</v>
      </c>
      <c r="C483" s="3" t="str">
        <f t="shared" ref="C483:C546" si="24">IF(WEEKDAY(B483,2)=1,"Monday",IF(WEEKDAY(B483,2)=2,"Tuesday",IF(WEEKDAY(B483,2)=3,"Wednesday",IF(WEEKDAY(B483,2)=4,"Thursday",IF(WEEKDAY(B483,2)=5,"Friday","Sunday")))))</f>
        <v>Tuesday</v>
      </c>
      <c r="D483" s="2">
        <v>0.46136574074074077</v>
      </c>
      <c r="E483" t="s">
        <v>22</v>
      </c>
      <c r="F483" t="s">
        <v>15</v>
      </c>
      <c r="G483">
        <v>-400</v>
      </c>
      <c r="H483" t="s">
        <v>20</v>
      </c>
      <c r="I483" t="s">
        <v>23</v>
      </c>
      <c r="L483" t="s">
        <v>22</v>
      </c>
      <c r="M483">
        <v>47.202500000000001</v>
      </c>
      <c r="N483">
        <v>47.202500000000001</v>
      </c>
      <c r="O483" t="s">
        <v>21</v>
      </c>
      <c r="P483">
        <f t="shared" si="23"/>
        <v>-400</v>
      </c>
      <c r="Q483" s="11">
        <f>IF(P483=0,0,IFERROR(Q482+G483*M483*IF(E483="FUTURE",VLOOKUP(MID(I483,2,2),[1]Futures!$A$2:$B$12,2),1),G483*M483*IF(E483="FUTURE",VLOOKUP(MID(I483,2,2),[1]Futures!$A$2:$B$12,2),1)))</f>
        <v>-18881</v>
      </c>
      <c r="R483" s="12">
        <f>IFERROR(Q483/P483/IF(E483="FUTURE",VLOOKUP(MID(I483,2,2),[1]Futures!$A$2:$B$12,2),1),"")</f>
        <v>47.202500000000001</v>
      </c>
      <c r="S483" s="13" t="str">
        <f>IF(AND(H483="TO CLOSE",P483=0),-G483*(M483-R482)*IF(E483="FUTURE",VLOOKUP(MID(I483,2,2),[1]Futures!$A$2:$B$12,2),1),"")</f>
        <v/>
      </c>
    </row>
    <row r="484" spans="1:19" x14ac:dyDescent="0.2">
      <c r="A484">
        <f t="shared" si="22"/>
        <v>128</v>
      </c>
      <c r="B484" s="3">
        <v>43942</v>
      </c>
      <c r="C484" s="3" t="str">
        <f t="shared" si="24"/>
        <v>Tuesday</v>
      </c>
      <c r="D484" s="2">
        <v>0.51368055555555558</v>
      </c>
      <c r="E484" t="s">
        <v>22</v>
      </c>
      <c r="F484" t="s">
        <v>19</v>
      </c>
      <c r="G484">
        <v>140</v>
      </c>
      <c r="H484" t="s">
        <v>16</v>
      </c>
      <c r="I484" t="s">
        <v>23</v>
      </c>
      <c r="L484" t="s">
        <v>22</v>
      </c>
      <c r="M484">
        <v>47.44</v>
      </c>
      <c r="N484">
        <v>47.44</v>
      </c>
      <c r="O484" t="s">
        <v>24</v>
      </c>
      <c r="P484">
        <f t="shared" si="23"/>
        <v>-260</v>
      </c>
      <c r="Q484" s="11">
        <f>IF(P484=0,0,IFERROR(Q483+G484*M484*IF(E484="FUTURE",VLOOKUP(MID(I484,2,2),[1]Futures!$A$2:$B$12,2),1),G484*M484*IF(E484="FUTURE",VLOOKUP(MID(I484,2,2),[1]Futures!$A$2:$B$12,2),1)))</f>
        <v>-12239.400000000001</v>
      </c>
      <c r="R484" s="12">
        <f>IFERROR(Q484/P484/IF(E484="FUTURE",VLOOKUP(MID(I484,2,2),[1]Futures!$A$2:$B$12,2),1),"")</f>
        <v>47.074615384615392</v>
      </c>
      <c r="S484" s="13" t="str">
        <f>IF(AND(H484="TO CLOSE",P484=0),-G484*(M484-R483)*IF(E484="FUTURE",VLOOKUP(MID(I484,2,2),[1]Futures!$A$2:$B$12,2),1),"")</f>
        <v/>
      </c>
    </row>
    <row r="485" spans="1:19" x14ac:dyDescent="0.2">
      <c r="A485">
        <f t="shared" si="22"/>
        <v>128</v>
      </c>
      <c r="B485" s="3">
        <v>43942</v>
      </c>
      <c r="C485" s="3" t="str">
        <f t="shared" si="24"/>
        <v>Tuesday</v>
      </c>
      <c r="D485" s="2">
        <v>0.51368055555555558</v>
      </c>
      <c r="E485" t="s">
        <v>22</v>
      </c>
      <c r="F485" t="s">
        <v>19</v>
      </c>
      <c r="G485">
        <v>100</v>
      </c>
      <c r="H485" t="s">
        <v>16</v>
      </c>
      <c r="I485" t="s">
        <v>23</v>
      </c>
      <c r="L485" t="s">
        <v>22</v>
      </c>
      <c r="M485">
        <v>47.44</v>
      </c>
      <c r="N485">
        <v>47.44</v>
      </c>
      <c r="O485" t="s">
        <v>24</v>
      </c>
      <c r="P485">
        <f t="shared" si="23"/>
        <v>-160</v>
      </c>
      <c r="Q485" s="11">
        <f>IF(P485=0,0,IFERROR(Q484+G485*M485*IF(E485="FUTURE",VLOOKUP(MID(I485,2,2),[1]Futures!$A$2:$B$12,2),1),G485*M485*IF(E485="FUTURE",VLOOKUP(MID(I485,2,2),[1]Futures!$A$2:$B$12,2),1)))</f>
        <v>-7495.4000000000015</v>
      </c>
      <c r="R485" s="12">
        <f>IFERROR(Q485/P485/IF(E485="FUTURE",VLOOKUP(MID(I485,2,2),[1]Futures!$A$2:$B$12,2),1),"")</f>
        <v>46.846250000000012</v>
      </c>
      <c r="S485" s="13" t="str">
        <f>IF(AND(H485="TO CLOSE",P485=0),-G485*(M485-R484)*IF(E485="FUTURE",VLOOKUP(MID(I485,2,2),[1]Futures!$A$2:$B$12,2),1),"")</f>
        <v/>
      </c>
    </row>
    <row r="486" spans="1:19" x14ac:dyDescent="0.2">
      <c r="A486">
        <f t="shared" si="22"/>
        <v>128</v>
      </c>
      <c r="B486" s="3">
        <v>43942</v>
      </c>
      <c r="C486" s="3" t="str">
        <f t="shared" si="24"/>
        <v>Tuesday</v>
      </c>
      <c r="D486" s="2">
        <v>0.51368055555555558</v>
      </c>
      <c r="E486" t="s">
        <v>22</v>
      </c>
      <c r="F486" t="s">
        <v>19</v>
      </c>
      <c r="G486">
        <v>100</v>
      </c>
      <c r="H486" t="s">
        <v>16</v>
      </c>
      <c r="I486" t="s">
        <v>23</v>
      </c>
      <c r="L486" t="s">
        <v>22</v>
      </c>
      <c r="M486">
        <v>47.44</v>
      </c>
      <c r="N486">
        <v>47.44</v>
      </c>
      <c r="O486" t="s">
        <v>24</v>
      </c>
      <c r="P486">
        <f t="shared" si="23"/>
        <v>-60</v>
      </c>
      <c r="Q486" s="11">
        <f>IF(P486=0,0,IFERROR(Q485+G486*M486*IF(E486="FUTURE",VLOOKUP(MID(I486,2,2),[1]Futures!$A$2:$B$12,2),1),G486*M486*IF(E486="FUTURE",VLOOKUP(MID(I486,2,2),[1]Futures!$A$2:$B$12,2),1)))</f>
        <v>-2751.4000000000015</v>
      </c>
      <c r="R486" s="12">
        <f>IFERROR(Q486/P486/IF(E486="FUTURE",VLOOKUP(MID(I486,2,2),[1]Futures!$A$2:$B$12,2),1),"")</f>
        <v>45.85666666666669</v>
      </c>
      <c r="S486" s="13" t="str">
        <f>IF(AND(H486="TO CLOSE",P486=0),-G486*(M486-R485)*IF(E486="FUTURE",VLOOKUP(MID(I486,2,2),[1]Futures!$A$2:$B$12,2),1),"")</f>
        <v/>
      </c>
    </row>
    <row r="487" spans="1:19" x14ac:dyDescent="0.2">
      <c r="A487">
        <f t="shared" si="22"/>
        <v>128</v>
      </c>
      <c r="B487" s="3">
        <v>43942</v>
      </c>
      <c r="C487" s="3" t="str">
        <f t="shared" si="24"/>
        <v>Tuesday</v>
      </c>
      <c r="D487" s="2">
        <v>0.51368055555555558</v>
      </c>
      <c r="E487" t="s">
        <v>22</v>
      </c>
      <c r="F487" t="s">
        <v>19</v>
      </c>
      <c r="G487">
        <v>40</v>
      </c>
      <c r="H487" t="s">
        <v>16</v>
      </c>
      <c r="I487" t="s">
        <v>23</v>
      </c>
      <c r="L487" t="s">
        <v>22</v>
      </c>
      <c r="M487">
        <v>47.439900000000002</v>
      </c>
      <c r="N487">
        <v>47.44</v>
      </c>
      <c r="O487" t="s">
        <v>24</v>
      </c>
      <c r="P487">
        <f t="shared" si="23"/>
        <v>-20</v>
      </c>
      <c r="Q487" s="11">
        <f>IF(P487=0,0,IFERROR(Q486+G487*M487*IF(E487="FUTURE",VLOOKUP(MID(I487,2,2),[1]Futures!$A$2:$B$12,2),1),G487*M487*IF(E487="FUTURE",VLOOKUP(MID(I487,2,2),[1]Futures!$A$2:$B$12,2),1)))</f>
        <v>-853.80400000000145</v>
      </c>
      <c r="R487" s="12">
        <f>IFERROR(Q487/P487/IF(E487="FUTURE",VLOOKUP(MID(I487,2,2),[1]Futures!$A$2:$B$12,2),1),"")</f>
        <v>42.690200000000075</v>
      </c>
      <c r="S487" s="13" t="str">
        <f>IF(AND(H487="TO CLOSE",P487=0),-G487*(M487-R486)*IF(E487="FUTURE",VLOOKUP(MID(I487,2,2),[1]Futures!$A$2:$B$12,2),1),"")</f>
        <v/>
      </c>
    </row>
    <row r="488" spans="1:19" x14ac:dyDescent="0.2">
      <c r="A488">
        <f t="shared" si="22"/>
        <v>128</v>
      </c>
      <c r="B488" s="3">
        <v>43942</v>
      </c>
      <c r="C488" s="3" t="str">
        <f t="shared" si="24"/>
        <v>Tuesday</v>
      </c>
      <c r="D488" s="2">
        <v>0.51368055555555558</v>
      </c>
      <c r="E488" t="s">
        <v>22</v>
      </c>
      <c r="F488" t="s">
        <v>19</v>
      </c>
      <c r="G488">
        <v>20</v>
      </c>
      <c r="H488" t="s">
        <v>16</v>
      </c>
      <c r="I488" t="s">
        <v>23</v>
      </c>
      <c r="L488" t="s">
        <v>22</v>
      </c>
      <c r="M488">
        <v>47.439900000000002</v>
      </c>
      <c r="N488">
        <v>47.44</v>
      </c>
      <c r="O488" t="s">
        <v>24</v>
      </c>
      <c r="P488">
        <f t="shared" si="23"/>
        <v>0</v>
      </c>
      <c r="Q488" s="11">
        <f>IF(P488=0,0,IFERROR(Q487+G488*M488*IF(E488="FUTURE",VLOOKUP(MID(I488,2,2),[1]Futures!$A$2:$B$12,2),1),G488*M488*IF(E488="FUTURE",VLOOKUP(MID(I488,2,2),[1]Futures!$A$2:$B$12,2),1)))</f>
        <v>0</v>
      </c>
      <c r="R488" s="12" t="str">
        <f>IFERROR(Q488/P488/IF(E488="FUTURE",VLOOKUP(MID(I488,2,2),[1]Futures!$A$2:$B$12,2),1),"")</f>
        <v/>
      </c>
      <c r="S488" s="13">
        <f>IF(AND(H488="TO CLOSE",P488=0),-G488*(M488-R487)*IF(E488="FUTURE",VLOOKUP(MID(I488,2,2),[1]Futures!$A$2:$B$12,2),1),"")</f>
        <v>-94.993999999998522</v>
      </c>
    </row>
    <row r="489" spans="1:19" x14ac:dyDescent="0.2">
      <c r="A489">
        <f t="shared" si="22"/>
        <v>129</v>
      </c>
      <c r="B489" s="3">
        <v>43943</v>
      </c>
      <c r="C489" s="3" t="str">
        <f t="shared" si="24"/>
        <v>Wednesday</v>
      </c>
      <c r="D489" s="2">
        <v>0.40824074074074074</v>
      </c>
      <c r="E489" t="s">
        <v>14</v>
      </c>
      <c r="F489" t="s">
        <v>15</v>
      </c>
      <c r="G489">
        <v>-1</v>
      </c>
      <c r="H489" t="s">
        <v>20</v>
      </c>
      <c r="I489" t="s">
        <v>76</v>
      </c>
      <c r="J489" s="1">
        <v>44032</v>
      </c>
      <c r="L489" t="s">
        <v>14</v>
      </c>
      <c r="M489">
        <v>22.42</v>
      </c>
      <c r="N489">
        <v>22.42</v>
      </c>
      <c r="O489" t="s">
        <v>21</v>
      </c>
      <c r="P489">
        <f t="shared" si="23"/>
        <v>-1</v>
      </c>
      <c r="Q489" s="11">
        <f>IF(P489=0,0,IFERROR(Q488+G489*M489*IF(E489="FUTURE",VLOOKUP(MID(I489,2,2),[1]Futures!$A$2:$B$12,2),1),G489*M489*IF(E489="FUTURE",VLOOKUP(MID(I489,2,2),[1]Futures!$A$2:$B$12,2),1)))</f>
        <v>-22420</v>
      </c>
      <c r="R489" s="12">
        <f>IFERROR(Q489/P489/IF(E489="FUTURE",VLOOKUP(MID(I489,2,2),[1]Futures!$A$2:$B$12,2),1),"")</f>
        <v>22.42</v>
      </c>
      <c r="S489" s="13" t="str">
        <f>IF(AND(H489="TO CLOSE",P489=0),-G489*(M489-R488)*IF(E489="FUTURE",VLOOKUP(MID(I489,2,2),[1]Futures!$A$2:$B$12,2),1),"")</f>
        <v/>
      </c>
    </row>
    <row r="490" spans="1:19" x14ac:dyDescent="0.2">
      <c r="A490">
        <f t="shared" si="22"/>
        <v>129</v>
      </c>
      <c r="B490" s="3">
        <v>43943</v>
      </c>
      <c r="C490" s="3" t="str">
        <f t="shared" si="24"/>
        <v>Wednesday</v>
      </c>
      <c r="D490" s="2">
        <v>0.40944444444444444</v>
      </c>
      <c r="E490" t="s">
        <v>14</v>
      </c>
      <c r="F490" t="s">
        <v>19</v>
      </c>
      <c r="G490">
        <v>1</v>
      </c>
      <c r="H490" t="s">
        <v>16</v>
      </c>
      <c r="I490" t="s">
        <v>76</v>
      </c>
      <c r="J490" s="1">
        <v>44032</v>
      </c>
      <c r="L490" t="s">
        <v>14</v>
      </c>
      <c r="M490">
        <v>21.98</v>
      </c>
      <c r="N490">
        <v>21.98</v>
      </c>
      <c r="O490" t="s">
        <v>21</v>
      </c>
      <c r="P490">
        <f t="shared" si="23"/>
        <v>0</v>
      </c>
      <c r="Q490" s="11">
        <f>IF(P490=0,0,IFERROR(Q489+G490*M490*IF(E490="FUTURE",VLOOKUP(MID(I490,2,2),[1]Futures!$A$2:$B$12,2),1),G490*M490*IF(E490="FUTURE",VLOOKUP(MID(I490,2,2),[1]Futures!$A$2:$B$12,2),1)))</f>
        <v>0</v>
      </c>
      <c r="R490" s="12" t="str">
        <f>IFERROR(Q490/P490/IF(E490="FUTURE",VLOOKUP(MID(I490,2,2),[1]Futures!$A$2:$B$12,2),1),"")</f>
        <v/>
      </c>
      <c r="S490" s="13">
        <f>IF(AND(H490="TO CLOSE",P490=0),-G490*(M490-R489)*IF(E490="FUTURE",VLOOKUP(MID(I490,2,2),[1]Futures!$A$2:$B$12,2),1),"")</f>
        <v>440.00000000000125</v>
      </c>
    </row>
    <row r="491" spans="1:19" x14ac:dyDescent="0.2">
      <c r="A491">
        <f t="shared" si="22"/>
        <v>130</v>
      </c>
      <c r="B491" s="3">
        <v>43943</v>
      </c>
      <c r="C491" s="3" t="str">
        <f t="shared" si="24"/>
        <v>Wednesday</v>
      </c>
      <c r="D491" s="2">
        <v>0.41847222222222219</v>
      </c>
      <c r="E491" t="s">
        <v>14</v>
      </c>
      <c r="F491" t="s">
        <v>15</v>
      </c>
      <c r="G491">
        <v>-1</v>
      </c>
      <c r="H491" t="s">
        <v>20</v>
      </c>
      <c r="I491" t="s">
        <v>76</v>
      </c>
      <c r="J491" s="1">
        <v>44032</v>
      </c>
      <c r="L491" t="s">
        <v>14</v>
      </c>
      <c r="M491">
        <v>21.96</v>
      </c>
      <c r="N491">
        <v>21.96</v>
      </c>
      <c r="O491" t="s">
        <v>21</v>
      </c>
      <c r="P491">
        <f t="shared" si="23"/>
        <v>-1</v>
      </c>
      <c r="Q491" s="11">
        <f>IF(P491=0,0,IFERROR(Q490+G491*M491*IF(E491="FUTURE",VLOOKUP(MID(I491,2,2),[1]Futures!$A$2:$B$12,2),1),G491*M491*IF(E491="FUTURE",VLOOKUP(MID(I491,2,2),[1]Futures!$A$2:$B$12,2),1)))</f>
        <v>-21960</v>
      </c>
      <c r="R491" s="12">
        <f>IFERROR(Q491/P491/IF(E491="FUTURE",VLOOKUP(MID(I491,2,2),[1]Futures!$A$2:$B$12,2),1),"")</f>
        <v>21.96</v>
      </c>
      <c r="S491" s="13" t="str">
        <f>IF(AND(H491="TO CLOSE",P491=0),-G491*(M491-R490)*IF(E491="FUTURE",VLOOKUP(MID(I491,2,2),[1]Futures!$A$2:$B$12,2),1),"")</f>
        <v/>
      </c>
    </row>
    <row r="492" spans="1:19" x14ac:dyDescent="0.2">
      <c r="A492">
        <f t="shared" si="22"/>
        <v>130</v>
      </c>
      <c r="B492" s="3">
        <v>43943</v>
      </c>
      <c r="C492" s="3" t="str">
        <f t="shared" si="24"/>
        <v>Wednesday</v>
      </c>
      <c r="D492" s="2">
        <v>0.42163194444444446</v>
      </c>
      <c r="E492" t="s">
        <v>14</v>
      </c>
      <c r="F492" t="s">
        <v>19</v>
      </c>
      <c r="G492">
        <v>1</v>
      </c>
      <c r="H492" t="s">
        <v>16</v>
      </c>
      <c r="I492" t="s">
        <v>76</v>
      </c>
      <c r="J492" s="1">
        <v>44032</v>
      </c>
      <c r="L492" t="s">
        <v>14</v>
      </c>
      <c r="M492">
        <v>21.87</v>
      </c>
      <c r="N492">
        <v>21.87</v>
      </c>
      <c r="O492" t="s">
        <v>24</v>
      </c>
      <c r="P492">
        <f t="shared" si="23"/>
        <v>0</v>
      </c>
      <c r="Q492" s="11">
        <f>IF(P492=0,0,IFERROR(Q491+G492*M492*IF(E492="FUTURE",VLOOKUP(MID(I492,2,2),[1]Futures!$A$2:$B$12,2),1),G492*M492*IF(E492="FUTURE",VLOOKUP(MID(I492,2,2),[1]Futures!$A$2:$B$12,2),1)))</f>
        <v>0</v>
      </c>
      <c r="R492" s="12" t="str">
        <f>IFERROR(Q492/P492/IF(E492="FUTURE",VLOOKUP(MID(I492,2,2),[1]Futures!$A$2:$B$12,2),1),"")</f>
        <v/>
      </c>
      <c r="S492" s="13">
        <f>IF(AND(H492="TO CLOSE",P492=0),-G492*(M492-R491)*IF(E492="FUTURE",VLOOKUP(MID(I492,2,2),[1]Futures!$A$2:$B$12,2),1),"")</f>
        <v>89.999999999999858</v>
      </c>
    </row>
    <row r="493" spans="1:19" x14ac:dyDescent="0.2">
      <c r="A493">
        <f t="shared" si="22"/>
        <v>131</v>
      </c>
      <c r="B493" s="3">
        <v>43943</v>
      </c>
      <c r="C493" s="3" t="str">
        <f t="shared" si="24"/>
        <v>Wednesday</v>
      </c>
      <c r="D493" s="2">
        <v>0.43905092592592593</v>
      </c>
      <c r="E493" t="s">
        <v>14</v>
      </c>
      <c r="F493" t="s">
        <v>19</v>
      </c>
      <c r="G493">
        <v>1</v>
      </c>
      <c r="H493" t="s">
        <v>20</v>
      </c>
      <c r="I493" t="s">
        <v>76</v>
      </c>
      <c r="J493" s="1">
        <v>44032</v>
      </c>
      <c r="L493" t="s">
        <v>14</v>
      </c>
      <c r="M493">
        <v>21.2</v>
      </c>
      <c r="N493">
        <v>21.2</v>
      </c>
      <c r="O493" t="s">
        <v>18</v>
      </c>
      <c r="P493">
        <f t="shared" si="23"/>
        <v>1</v>
      </c>
      <c r="Q493" s="11">
        <f>IF(P493=0,0,IFERROR(Q492+G493*M493*IF(E493="FUTURE",VLOOKUP(MID(I493,2,2),[1]Futures!$A$2:$B$12,2),1),G493*M493*IF(E493="FUTURE",VLOOKUP(MID(I493,2,2),[1]Futures!$A$2:$B$12,2),1)))</f>
        <v>21200</v>
      </c>
      <c r="R493" s="12">
        <f>IFERROR(Q493/P493/IF(E493="FUTURE",VLOOKUP(MID(I493,2,2),[1]Futures!$A$2:$B$12,2),1),"")</f>
        <v>21.2</v>
      </c>
      <c r="S493" s="13" t="str">
        <f>IF(AND(H493="TO CLOSE",P493=0),-G493*(M493-R492)*IF(E493="FUTURE",VLOOKUP(MID(I493,2,2),[1]Futures!$A$2:$B$12,2),1),"")</f>
        <v/>
      </c>
    </row>
    <row r="494" spans="1:19" x14ac:dyDescent="0.2">
      <c r="A494">
        <f t="shared" si="22"/>
        <v>131</v>
      </c>
      <c r="B494" s="3">
        <v>43943</v>
      </c>
      <c r="C494" s="3" t="str">
        <f t="shared" si="24"/>
        <v>Wednesday</v>
      </c>
      <c r="D494" s="2">
        <v>0.44688657407407412</v>
      </c>
      <c r="E494" t="s">
        <v>14</v>
      </c>
      <c r="F494" t="s">
        <v>15</v>
      </c>
      <c r="G494">
        <v>-1</v>
      </c>
      <c r="H494" t="s">
        <v>16</v>
      </c>
      <c r="I494" t="s">
        <v>76</v>
      </c>
      <c r="J494" s="1">
        <v>44032</v>
      </c>
      <c r="L494" t="s">
        <v>14</v>
      </c>
      <c r="M494">
        <v>21.71</v>
      </c>
      <c r="N494">
        <v>21.71</v>
      </c>
      <c r="O494" t="s">
        <v>24</v>
      </c>
      <c r="P494">
        <f t="shared" si="23"/>
        <v>0</v>
      </c>
      <c r="Q494" s="11">
        <f>IF(P494=0,0,IFERROR(Q493+G494*M494*IF(E494="FUTURE",VLOOKUP(MID(I494,2,2),[1]Futures!$A$2:$B$12,2),1),G494*M494*IF(E494="FUTURE",VLOOKUP(MID(I494,2,2),[1]Futures!$A$2:$B$12,2),1)))</f>
        <v>0</v>
      </c>
      <c r="R494" s="12" t="str">
        <f>IFERROR(Q494/P494/IF(E494="FUTURE",VLOOKUP(MID(I494,2,2),[1]Futures!$A$2:$B$12,2),1),"")</f>
        <v/>
      </c>
      <c r="S494" s="13">
        <f>IF(AND(H494="TO CLOSE",P494=0),-G494*(M494-R493)*IF(E494="FUTURE",VLOOKUP(MID(I494,2,2),[1]Futures!$A$2:$B$12,2),1),"")</f>
        <v>510.00000000000159</v>
      </c>
    </row>
    <row r="495" spans="1:19" x14ac:dyDescent="0.2">
      <c r="A495">
        <f t="shared" si="22"/>
        <v>132</v>
      </c>
      <c r="B495" s="3">
        <v>43943</v>
      </c>
      <c r="C495" s="3" t="str">
        <f t="shared" si="24"/>
        <v>Wednesday</v>
      </c>
      <c r="D495" s="2">
        <v>0.4745138888888889</v>
      </c>
      <c r="E495" t="s">
        <v>14</v>
      </c>
      <c r="F495" t="s">
        <v>19</v>
      </c>
      <c r="G495">
        <v>1</v>
      </c>
      <c r="H495" t="s">
        <v>20</v>
      </c>
      <c r="I495" t="s">
        <v>77</v>
      </c>
      <c r="J495" s="1">
        <v>44063</v>
      </c>
      <c r="L495" t="s">
        <v>14</v>
      </c>
      <c r="M495">
        <v>23.77</v>
      </c>
      <c r="N495">
        <v>23.77</v>
      </c>
      <c r="O495" t="s">
        <v>21</v>
      </c>
      <c r="P495">
        <f t="shared" si="23"/>
        <v>1</v>
      </c>
      <c r="Q495" s="11">
        <f>IF(P495=0,0,IFERROR(Q494+G495*M495*IF(E495="FUTURE",VLOOKUP(MID(I495,2,2),[1]Futures!$A$2:$B$12,2),1),G495*M495*IF(E495="FUTURE",VLOOKUP(MID(I495,2,2),[1]Futures!$A$2:$B$12,2),1)))</f>
        <v>23770</v>
      </c>
      <c r="R495" s="12">
        <f>IFERROR(Q495/P495/IF(E495="FUTURE",VLOOKUP(MID(I495,2,2),[1]Futures!$A$2:$B$12,2),1),"")</f>
        <v>23.77</v>
      </c>
      <c r="S495" s="13" t="str">
        <f>IF(AND(H495="TO CLOSE",P495=0),-G495*(M495-R494)*IF(E495="FUTURE",VLOOKUP(MID(I495,2,2),[1]Futures!$A$2:$B$12,2),1),"")</f>
        <v/>
      </c>
    </row>
    <row r="496" spans="1:19" x14ac:dyDescent="0.2">
      <c r="A496">
        <f t="shared" si="22"/>
        <v>132</v>
      </c>
      <c r="B496" s="3">
        <v>43943</v>
      </c>
      <c r="C496" s="3" t="str">
        <f t="shared" si="24"/>
        <v>Wednesday</v>
      </c>
      <c r="D496" s="2">
        <v>0.4758101851851852</v>
      </c>
      <c r="E496" t="s">
        <v>14</v>
      </c>
      <c r="F496" t="s">
        <v>15</v>
      </c>
      <c r="G496">
        <v>-1</v>
      </c>
      <c r="H496" t="s">
        <v>16</v>
      </c>
      <c r="I496" t="s">
        <v>77</v>
      </c>
      <c r="J496" s="1">
        <v>44063</v>
      </c>
      <c r="L496" t="s">
        <v>14</v>
      </c>
      <c r="M496">
        <v>23.78</v>
      </c>
      <c r="N496">
        <v>23.78</v>
      </c>
      <c r="O496" t="s">
        <v>21</v>
      </c>
      <c r="P496">
        <f t="shared" si="23"/>
        <v>0</v>
      </c>
      <c r="Q496" s="11">
        <f>IF(P496=0,0,IFERROR(Q495+G496*M496*IF(E496="FUTURE",VLOOKUP(MID(I496,2,2),[1]Futures!$A$2:$B$12,2),1),G496*M496*IF(E496="FUTURE",VLOOKUP(MID(I496,2,2),[1]Futures!$A$2:$B$12,2),1)))</f>
        <v>0</v>
      </c>
      <c r="R496" s="12" t="str">
        <f>IFERROR(Q496/P496/IF(E496="FUTURE",VLOOKUP(MID(I496,2,2),[1]Futures!$A$2:$B$12,2),1),"")</f>
        <v/>
      </c>
      <c r="S496" s="13">
        <f>IF(AND(H496="TO CLOSE",P496=0),-G496*(M496-R495)*IF(E496="FUTURE",VLOOKUP(MID(I496,2,2),[1]Futures!$A$2:$B$12,2),1),"")</f>
        <v>10.000000000001563</v>
      </c>
    </row>
    <row r="497" spans="1:19" x14ac:dyDescent="0.2">
      <c r="A497">
        <f t="shared" si="22"/>
        <v>133</v>
      </c>
      <c r="B497" s="3">
        <v>43943</v>
      </c>
      <c r="C497" s="3" t="str">
        <f t="shared" si="24"/>
        <v>Wednesday</v>
      </c>
      <c r="D497" s="2">
        <v>0.46244212962962966</v>
      </c>
      <c r="E497" t="s">
        <v>14</v>
      </c>
      <c r="F497" t="s">
        <v>19</v>
      </c>
      <c r="G497">
        <v>5</v>
      </c>
      <c r="H497" t="s">
        <v>20</v>
      </c>
      <c r="I497" t="s">
        <v>73</v>
      </c>
      <c r="J497" s="1">
        <v>44002</v>
      </c>
      <c r="L497" t="s">
        <v>14</v>
      </c>
      <c r="M497">
        <v>2776.5</v>
      </c>
      <c r="N497">
        <v>2776.5</v>
      </c>
      <c r="O497" t="s">
        <v>24</v>
      </c>
      <c r="P497">
        <f t="shared" si="23"/>
        <v>5</v>
      </c>
      <c r="Q497" s="11">
        <f>IF(P497=0,0,IFERROR(Q496+G497*M497*IF(E497="FUTURE",VLOOKUP(MID(I497,2,2),[1]Futures!$A$2:$B$12,2),1),G497*M497*IF(E497="FUTURE",VLOOKUP(MID(I497,2,2),[1]Futures!$A$2:$B$12,2),1)))</f>
        <v>69412.5</v>
      </c>
      <c r="R497" s="12">
        <f>IFERROR(Q497/P497/IF(E497="FUTURE",VLOOKUP(MID(I497,2,2),[1]Futures!$A$2:$B$12,2),1),"")</f>
        <v>2776.5</v>
      </c>
      <c r="S497" s="13" t="str">
        <f>IF(AND(H497="TO CLOSE",P497=0),-G497*(M497-R496)*IF(E497="FUTURE",VLOOKUP(MID(I497,2,2),[1]Futures!$A$2:$B$12,2),1),"")</f>
        <v/>
      </c>
    </row>
    <row r="498" spans="1:19" x14ac:dyDescent="0.2">
      <c r="A498">
        <f t="shared" si="22"/>
        <v>133</v>
      </c>
      <c r="B498" s="3">
        <v>43943</v>
      </c>
      <c r="C498" s="3" t="str">
        <f t="shared" si="24"/>
        <v>Wednesday</v>
      </c>
      <c r="D498" s="2">
        <v>0.46865740740740741</v>
      </c>
      <c r="E498" t="s">
        <v>14</v>
      </c>
      <c r="F498" t="s">
        <v>15</v>
      </c>
      <c r="G498">
        <v>-3</v>
      </c>
      <c r="H498" t="s">
        <v>16</v>
      </c>
      <c r="I498" t="s">
        <v>73</v>
      </c>
      <c r="J498" s="1">
        <v>44002</v>
      </c>
      <c r="L498" t="s">
        <v>14</v>
      </c>
      <c r="M498">
        <v>2777.5</v>
      </c>
      <c r="N498">
        <v>2777.5</v>
      </c>
      <c r="O498" t="s">
        <v>21</v>
      </c>
      <c r="P498">
        <f t="shared" si="23"/>
        <v>2</v>
      </c>
      <c r="Q498" s="11">
        <f>IF(P498=0,0,IFERROR(Q497+G498*M498*IF(E498="FUTURE",VLOOKUP(MID(I498,2,2),[1]Futures!$A$2:$B$12,2),1),G498*M498*IF(E498="FUTURE",VLOOKUP(MID(I498,2,2),[1]Futures!$A$2:$B$12,2),1)))</f>
        <v>27750</v>
      </c>
      <c r="R498" s="12">
        <f>IFERROR(Q498/P498/IF(E498="FUTURE",VLOOKUP(MID(I498,2,2),[1]Futures!$A$2:$B$12,2),1),"")</f>
        <v>2775</v>
      </c>
      <c r="S498" s="13" t="str">
        <f>IF(AND(H498="TO CLOSE",P498=0),-G498*(M498-R497)*IF(E498="FUTURE",VLOOKUP(MID(I498,2,2),[1]Futures!$A$2:$B$12,2),1),"")</f>
        <v/>
      </c>
    </row>
    <row r="499" spans="1:19" x14ac:dyDescent="0.2">
      <c r="A499">
        <f t="shared" si="22"/>
        <v>133</v>
      </c>
      <c r="B499" s="3">
        <v>43943</v>
      </c>
      <c r="C499" s="3" t="str">
        <f t="shared" si="24"/>
        <v>Wednesday</v>
      </c>
      <c r="D499" s="2">
        <v>0.46932870370370372</v>
      </c>
      <c r="E499" t="s">
        <v>14</v>
      </c>
      <c r="F499" t="s">
        <v>15</v>
      </c>
      <c r="G499">
        <v>-2</v>
      </c>
      <c r="H499" t="s">
        <v>16</v>
      </c>
      <c r="I499" t="s">
        <v>73</v>
      </c>
      <c r="J499" s="1">
        <v>44002</v>
      </c>
      <c r="L499" t="s">
        <v>14</v>
      </c>
      <c r="M499">
        <v>2780</v>
      </c>
      <c r="N499">
        <v>2780</v>
      </c>
      <c r="O499" t="s">
        <v>21</v>
      </c>
      <c r="P499">
        <f t="shared" si="23"/>
        <v>0</v>
      </c>
      <c r="Q499" s="11">
        <f>IF(P499=0,0,IFERROR(Q498+G499*M499*IF(E499="FUTURE",VLOOKUP(MID(I499,2,2),[1]Futures!$A$2:$B$12,2),1),G499*M499*IF(E499="FUTURE",VLOOKUP(MID(I499,2,2),[1]Futures!$A$2:$B$12,2),1)))</f>
        <v>0</v>
      </c>
      <c r="R499" s="12" t="str">
        <f>IFERROR(Q499/P499/IF(E499="FUTURE",VLOOKUP(MID(I499,2,2),[1]Futures!$A$2:$B$12,2),1),"")</f>
        <v/>
      </c>
      <c r="S499" s="13">
        <f>IF(AND(H499="TO CLOSE",P499=0),-G499*(M499-R498)*IF(E499="FUTURE",VLOOKUP(MID(I499,2,2),[1]Futures!$A$2:$B$12,2),1),"")</f>
        <v>50</v>
      </c>
    </row>
    <row r="500" spans="1:19" x14ac:dyDescent="0.2">
      <c r="A500">
        <f t="shared" si="22"/>
        <v>134</v>
      </c>
      <c r="B500" s="3">
        <v>43943</v>
      </c>
      <c r="C500" s="3" t="str">
        <f t="shared" si="24"/>
        <v>Wednesday</v>
      </c>
      <c r="D500" s="2">
        <v>0.40019675925925924</v>
      </c>
      <c r="E500" t="s">
        <v>22</v>
      </c>
      <c r="F500" t="s">
        <v>15</v>
      </c>
      <c r="G500">
        <v>-350</v>
      </c>
      <c r="H500" t="s">
        <v>20</v>
      </c>
      <c r="I500" t="s">
        <v>23</v>
      </c>
      <c r="L500" t="s">
        <v>22</v>
      </c>
      <c r="M500">
        <v>45.14</v>
      </c>
      <c r="N500">
        <v>45.14</v>
      </c>
      <c r="O500" t="s">
        <v>21</v>
      </c>
      <c r="P500">
        <f t="shared" si="23"/>
        <v>-350</v>
      </c>
      <c r="Q500" s="11">
        <f>IF(P500=0,0,IFERROR(Q499+G500*M500*IF(E500="FUTURE",VLOOKUP(MID(I500,2,2),[1]Futures!$A$2:$B$12,2),1),G500*M500*IF(E500="FUTURE",VLOOKUP(MID(I500,2,2),[1]Futures!$A$2:$B$12,2),1)))</f>
        <v>-15799</v>
      </c>
      <c r="R500" s="12">
        <f>IFERROR(Q500/P500/IF(E500="FUTURE",VLOOKUP(MID(I500,2,2),[1]Futures!$A$2:$B$12,2),1),"")</f>
        <v>45.14</v>
      </c>
      <c r="S500" s="13" t="str">
        <f>IF(AND(H500="TO CLOSE",P500=0),-G500*(M500-R499)*IF(E500="FUTURE",VLOOKUP(MID(I500,2,2),[1]Futures!$A$2:$B$12,2),1),"")</f>
        <v/>
      </c>
    </row>
    <row r="501" spans="1:19" x14ac:dyDescent="0.2">
      <c r="A501">
        <f t="shared" si="22"/>
        <v>134</v>
      </c>
      <c r="B501" s="3">
        <v>43943</v>
      </c>
      <c r="C501" s="3" t="str">
        <f t="shared" si="24"/>
        <v>Wednesday</v>
      </c>
      <c r="D501" s="2">
        <v>0.43572916666666667</v>
      </c>
      <c r="E501" t="s">
        <v>22</v>
      </c>
      <c r="F501" t="s">
        <v>19</v>
      </c>
      <c r="G501">
        <v>100</v>
      </c>
      <c r="H501" t="s">
        <v>16</v>
      </c>
      <c r="I501" t="s">
        <v>23</v>
      </c>
      <c r="L501" t="s">
        <v>22</v>
      </c>
      <c r="M501">
        <v>44.559899999999999</v>
      </c>
      <c r="N501">
        <v>44.559899999999999</v>
      </c>
      <c r="O501" t="s">
        <v>24</v>
      </c>
      <c r="P501">
        <f t="shared" si="23"/>
        <v>-250</v>
      </c>
      <c r="Q501" s="11">
        <f>IF(P501=0,0,IFERROR(Q500+G501*M501*IF(E501="FUTURE",VLOOKUP(MID(I501,2,2),[1]Futures!$A$2:$B$12,2),1),G501*M501*IF(E501="FUTURE",VLOOKUP(MID(I501,2,2),[1]Futures!$A$2:$B$12,2),1)))</f>
        <v>-11343.01</v>
      </c>
      <c r="R501" s="12">
        <f>IFERROR(Q501/P501/IF(E501="FUTURE",VLOOKUP(MID(I501,2,2),[1]Futures!$A$2:$B$12,2),1),"")</f>
        <v>45.372039999999998</v>
      </c>
      <c r="S501" s="13" t="str">
        <f>IF(AND(H501="TO CLOSE",P501=0),-G501*(M501-R500)*IF(E501="FUTURE",VLOOKUP(MID(I501,2,2),[1]Futures!$A$2:$B$12,2),1),"")</f>
        <v/>
      </c>
    </row>
    <row r="502" spans="1:19" x14ac:dyDescent="0.2">
      <c r="A502">
        <f t="shared" si="22"/>
        <v>134</v>
      </c>
      <c r="B502" s="3">
        <v>43943</v>
      </c>
      <c r="C502" s="3" t="str">
        <f t="shared" si="24"/>
        <v>Wednesday</v>
      </c>
      <c r="D502" s="2">
        <v>0.43572916666666667</v>
      </c>
      <c r="E502" t="s">
        <v>22</v>
      </c>
      <c r="F502" t="s">
        <v>19</v>
      </c>
      <c r="G502">
        <v>50</v>
      </c>
      <c r="H502" t="s">
        <v>16</v>
      </c>
      <c r="I502" t="s">
        <v>23</v>
      </c>
      <c r="L502" t="s">
        <v>22</v>
      </c>
      <c r="M502">
        <v>44.559899999999999</v>
      </c>
      <c r="N502">
        <v>44.56</v>
      </c>
      <c r="O502" t="s">
        <v>24</v>
      </c>
      <c r="P502">
        <f t="shared" si="23"/>
        <v>-200</v>
      </c>
      <c r="Q502" s="11">
        <f>IF(P502=0,0,IFERROR(Q501+G502*M502*IF(E502="FUTURE",VLOOKUP(MID(I502,2,2),[1]Futures!$A$2:$B$12,2),1),G502*M502*IF(E502="FUTURE",VLOOKUP(MID(I502,2,2),[1]Futures!$A$2:$B$12,2),1)))</f>
        <v>-9115.0149999999994</v>
      </c>
      <c r="R502" s="12">
        <f>IFERROR(Q502/P502/IF(E502="FUTURE",VLOOKUP(MID(I502,2,2),[1]Futures!$A$2:$B$12,2),1),"")</f>
        <v>45.575074999999998</v>
      </c>
      <c r="S502" s="13" t="str">
        <f>IF(AND(H502="TO CLOSE",P502=0),-G502*(M502-R501)*IF(E502="FUTURE",VLOOKUP(MID(I502,2,2),[1]Futures!$A$2:$B$12,2),1),"")</f>
        <v/>
      </c>
    </row>
    <row r="503" spans="1:19" x14ac:dyDescent="0.2">
      <c r="A503">
        <f t="shared" si="22"/>
        <v>134</v>
      </c>
      <c r="B503" s="3">
        <v>43943</v>
      </c>
      <c r="C503" s="3" t="str">
        <f t="shared" si="24"/>
        <v>Wednesday</v>
      </c>
      <c r="D503" s="2">
        <v>0.44740740740740742</v>
      </c>
      <c r="E503" t="s">
        <v>22</v>
      </c>
      <c r="F503" t="s">
        <v>19</v>
      </c>
      <c r="G503">
        <v>100</v>
      </c>
      <c r="H503" t="s">
        <v>16</v>
      </c>
      <c r="I503" t="s">
        <v>23</v>
      </c>
      <c r="L503" t="s">
        <v>22</v>
      </c>
      <c r="M503">
        <v>44.5899</v>
      </c>
      <c r="N503">
        <v>44.5899</v>
      </c>
      <c r="O503" t="s">
        <v>21</v>
      </c>
      <c r="P503">
        <f t="shared" si="23"/>
        <v>-100</v>
      </c>
      <c r="Q503" s="11">
        <f>IF(P503=0,0,IFERROR(Q502+G503*M503*IF(E503="FUTURE",VLOOKUP(MID(I503,2,2),[1]Futures!$A$2:$B$12,2),1),G503*M503*IF(E503="FUTURE",VLOOKUP(MID(I503,2,2),[1]Futures!$A$2:$B$12,2),1)))</f>
        <v>-4656.0249999999996</v>
      </c>
      <c r="R503" s="12">
        <f>IFERROR(Q503/P503/IF(E503="FUTURE",VLOOKUP(MID(I503,2,2),[1]Futures!$A$2:$B$12,2),1),"")</f>
        <v>46.560249999999996</v>
      </c>
      <c r="S503" s="13" t="str">
        <f>IF(AND(H503="TO CLOSE",P503=0),-G503*(M503-R502)*IF(E503="FUTURE",VLOOKUP(MID(I503,2,2),[1]Futures!$A$2:$B$12,2),1),"")</f>
        <v/>
      </c>
    </row>
    <row r="504" spans="1:19" x14ac:dyDescent="0.2">
      <c r="A504">
        <f t="shared" si="22"/>
        <v>134</v>
      </c>
      <c r="B504" s="3">
        <v>43943</v>
      </c>
      <c r="C504" s="3" t="str">
        <f t="shared" si="24"/>
        <v>Wednesday</v>
      </c>
      <c r="D504" s="2">
        <v>0.44923611111111111</v>
      </c>
      <c r="E504" t="s">
        <v>22</v>
      </c>
      <c r="F504" t="s">
        <v>19</v>
      </c>
      <c r="G504">
        <v>90</v>
      </c>
      <c r="H504" t="s">
        <v>16</v>
      </c>
      <c r="I504" t="s">
        <v>23</v>
      </c>
      <c r="L504" t="s">
        <v>22</v>
      </c>
      <c r="M504">
        <v>44.598700000000001</v>
      </c>
      <c r="N504">
        <v>44.598669999999998</v>
      </c>
      <c r="O504" t="s">
        <v>24</v>
      </c>
      <c r="P504">
        <f t="shared" si="23"/>
        <v>-10</v>
      </c>
      <c r="Q504" s="11">
        <f>IF(P504=0,0,IFERROR(Q503+G504*M504*IF(E504="FUTURE",VLOOKUP(MID(I504,2,2),[1]Futures!$A$2:$B$12,2),1),G504*M504*IF(E504="FUTURE",VLOOKUP(MID(I504,2,2),[1]Futures!$A$2:$B$12,2),1)))</f>
        <v>-642.14199999999937</v>
      </c>
      <c r="R504" s="12">
        <f>IFERROR(Q504/P504/IF(E504="FUTURE",VLOOKUP(MID(I504,2,2),[1]Futures!$A$2:$B$12,2),1),"")</f>
        <v>64.214199999999934</v>
      </c>
      <c r="S504" s="13" t="str">
        <f>IF(AND(H504="TO CLOSE",P504=0),-G504*(M504-R503)*IF(E504="FUTURE",VLOOKUP(MID(I504,2,2),[1]Futures!$A$2:$B$12,2),1),"")</f>
        <v/>
      </c>
    </row>
    <row r="505" spans="1:19" x14ac:dyDescent="0.2">
      <c r="A505">
        <f t="shared" si="22"/>
        <v>134</v>
      </c>
      <c r="B505" s="3">
        <v>43943</v>
      </c>
      <c r="C505" s="3" t="str">
        <f t="shared" si="24"/>
        <v>Wednesday</v>
      </c>
      <c r="D505" s="2">
        <v>0.44923611111111111</v>
      </c>
      <c r="E505" t="s">
        <v>22</v>
      </c>
      <c r="F505" t="s">
        <v>19</v>
      </c>
      <c r="G505">
        <v>10</v>
      </c>
      <c r="H505" t="s">
        <v>16</v>
      </c>
      <c r="I505" t="s">
        <v>23</v>
      </c>
      <c r="L505" t="s">
        <v>22</v>
      </c>
      <c r="M505">
        <v>44.598700000000001</v>
      </c>
      <c r="N505">
        <v>44.598999999999997</v>
      </c>
      <c r="O505" t="s">
        <v>24</v>
      </c>
      <c r="P505">
        <f t="shared" si="23"/>
        <v>0</v>
      </c>
      <c r="Q505" s="11">
        <f>IF(P505=0,0,IFERROR(Q504+G505*M505*IF(E505="FUTURE",VLOOKUP(MID(I505,2,2),[1]Futures!$A$2:$B$12,2),1),G505*M505*IF(E505="FUTURE",VLOOKUP(MID(I505,2,2),[1]Futures!$A$2:$B$12,2),1)))</f>
        <v>0</v>
      </c>
      <c r="R505" s="12" t="str">
        <f>IFERROR(Q505/P505/IF(E505="FUTURE",VLOOKUP(MID(I505,2,2),[1]Futures!$A$2:$B$12,2),1),"")</f>
        <v/>
      </c>
      <c r="S505" s="13">
        <f>IF(AND(H505="TO CLOSE",P505=0),-G505*(M505-R504)*IF(E505="FUTURE",VLOOKUP(MID(I505,2,2),[1]Futures!$A$2:$B$12,2),1),"")</f>
        <v>196.15499999999935</v>
      </c>
    </row>
    <row r="506" spans="1:19" x14ac:dyDescent="0.2">
      <c r="A506">
        <f t="shared" si="22"/>
        <v>135</v>
      </c>
      <c r="B506" s="3">
        <v>43944</v>
      </c>
      <c r="C506" s="3" t="str">
        <f t="shared" si="24"/>
        <v>Thursday</v>
      </c>
      <c r="D506" s="2">
        <v>0.40822916666666664</v>
      </c>
      <c r="E506" t="s">
        <v>14</v>
      </c>
      <c r="F506" t="s">
        <v>15</v>
      </c>
      <c r="G506">
        <v>-1</v>
      </c>
      <c r="H506" t="s">
        <v>20</v>
      </c>
      <c r="I506" t="s">
        <v>17</v>
      </c>
      <c r="J506" s="1">
        <v>44002</v>
      </c>
      <c r="L506" t="s">
        <v>14</v>
      </c>
      <c r="M506">
        <v>2813.75</v>
      </c>
      <c r="N506">
        <v>2813.75</v>
      </c>
      <c r="O506" t="s">
        <v>21</v>
      </c>
      <c r="P506">
        <f t="shared" si="23"/>
        <v>-1</v>
      </c>
      <c r="Q506" s="11">
        <f>IF(P506=0,0,IFERROR(Q505+G506*M506*IF(E506="FUTURE",VLOOKUP(MID(I506,2,2),[1]Futures!$A$2:$B$12,2),1),G506*M506*IF(E506="FUTURE",VLOOKUP(MID(I506,2,2),[1]Futures!$A$2:$B$12,2),1)))</f>
        <v>-140687.5</v>
      </c>
      <c r="R506" s="12">
        <f>IFERROR(Q506/P506/IF(E506="FUTURE",VLOOKUP(MID(I506,2,2),[1]Futures!$A$2:$B$12,2),1),"")</f>
        <v>2813.75</v>
      </c>
      <c r="S506" s="13" t="str">
        <f>IF(AND(H506="TO CLOSE",P506=0),-G506*(M506-R505)*IF(E506="FUTURE",VLOOKUP(MID(I506,2,2),[1]Futures!$A$2:$B$12,2),1),"")</f>
        <v/>
      </c>
    </row>
    <row r="507" spans="1:19" x14ac:dyDescent="0.2">
      <c r="A507">
        <f t="shared" si="22"/>
        <v>135</v>
      </c>
      <c r="B507" s="3">
        <v>43944</v>
      </c>
      <c r="C507" s="3" t="str">
        <f t="shared" si="24"/>
        <v>Thursday</v>
      </c>
      <c r="D507" s="2">
        <v>0.41293981481481484</v>
      </c>
      <c r="E507" t="s">
        <v>14</v>
      </c>
      <c r="F507" t="s">
        <v>19</v>
      </c>
      <c r="G507">
        <v>1</v>
      </c>
      <c r="H507" t="s">
        <v>16</v>
      </c>
      <c r="I507" t="s">
        <v>17</v>
      </c>
      <c r="J507" s="1">
        <v>44002</v>
      </c>
      <c r="L507" t="s">
        <v>14</v>
      </c>
      <c r="M507">
        <v>2810</v>
      </c>
      <c r="N507">
        <v>2810</v>
      </c>
      <c r="O507" t="s">
        <v>24</v>
      </c>
      <c r="P507">
        <f t="shared" si="23"/>
        <v>0</v>
      </c>
      <c r="Q507" s="11">
        <f>IF(P507=0,0,IFERROR(Q506+G507*M507*IF(E507="FUTURE",VLOOKUP(MID(I507,2,2),[1]Futures!$A$2:$B$12,2),1),G507*M507*IF(E507="FUTURE",VLOOKUP(MID(I507,2,2),[1]Futures!$A$2:$B$12,2),1)))</f>
        <v>0</v>
      </c>
      <c r="R507" s="12" t="str">
        <f>IFERROR(Q507/P507/IF(E507="FUTURE",VLOOKUP(MID(I507,2,2),[1]Futures!$A$2:$B$12,2),1),"")</f>
        <v/>
      </c>
      <c r="S507" s="13">
        <f>IF(AND(H507="TO CLOSE",P507=0),-G507*(M507-R506)*IF(E507="FUTURE",VLOOKUP(MID(I507,2,2),[1]Futures!$A$2:$B$12,2),1),"")</f>
        <v>187.5</v>
      </c>
    </row>
    <row r="508" spans="1:19" x14ac:dyDescent="0.2">
      <c r="A508">
        <f t="shared" si="22"/>
        <v>136</v>
      </c>
      <c r="B508" s="3">
        <v>43944</v>
      </c>
      <c r="C508" s="3" t="str">
        <f t="shared" si="24"/>
        <v>Thursday</v>
      </c>
      <c r="D508" s="2">
        <v>0.41964120370370367</v>
      </c>
      <c r="E508" t="s">
        <v>14</v>
      </c>
      <c r="F508" t="s">
        <v>15</v>
      </c>
      <c r="G508">
        <v>-1</v>
      </c>
      <c r="H508" t="s">
        <v>20</v>
      </c>
      <c r="I508" t="s">
        <v>17</v>
      </c>
      <c r="J508" s="1">
        <v>44002</v>
      </c>
      <c r="L508" t="s">
        <v>14</v>
      </c>
      <c r="M508">
        <v>2812</v>
      </c>
      <c r="N508">
        <v>2812</v>
      </c>
      <c r="O508" t="s">
        <v>21</v>
      </c>
      <c r="P508">
        <f t="shared" si="23"/>
        <v>-1</v>
      </c>
      <c r="Q508" s="11">
        <f>IF(P508=0,0,IFERROR(Q507+G508*M508*IF(E508="FUTURE",VLOOKUP(MID(I508,2,2),[1]Futures!$A$2:$B$12,2),1),G508*M508*IF(E508="FUTURE",VLOOKUP(MID(I508,2,2),[1]Futures!$A$2:$B$12,2),1)))</f>
        <v>-140600</v>
      </c>
      <c r="R508" s="12">
        <f>IFERROR(Q508/P508/IF(E508="FUTURE",VLOOKUP(MID(I508,2,2),[1]Futures!$A$2:$B$12,2),1),"")</f>
        <v>2812</v>
      </c>
      <c r="S508" s="13" t="str">
        <f>IF(AND(H508="TO CLOSE",P508=0),-G508*(M508-R507)*IF(E508="FUTURE",VLOOKUP(MID(I508,2,2),[1]Futures!$A$2:$B$12,2),1),"")</f>
        <v/>
      </c>
    </row>
    <row r="509" spans="1:19" x14ac:dyDescent="0.2">
      <c r="A509">
        <f t="shared" si="22"/>
        <v>136</v>
      </c>
      <c r="B509" s="3">
        <v>43944</v>
      </c>
      <c r="C509" s="3" t="str">
        <f t="shared" si="24"/>
        <v>Thursday</v>
      </c>
      <c r="D509" s="2">
        <v>0.4322685185185185</v>
      </c>
      <c r="E509" t="s">
        <v>14</v>
      </c>
      <c r="F509" t="s">
        <v>19</v>
      </c>
      <c r="G509">
        <v>1</v>
      </c>
      <c r="H509" t="s">
        <v>16</v>
      </c>
      <c r="I509" t="s">
        <v>17</v>
      </c>
      <c r="J509" s="1">
        <v>44002</v>
      </c>
      <c r="L509" t="s">
        <v>14</v>
      </c>
      <c r="M509">
        <v>2822.5</v>
      </c>
      <c r="N509">
        <v>2822.5</v>
      </c>
      <c r="O509" t="s">
        <v>18</v>
      </c>
      <c r="P509">
        <f t="shared" si="23"/>
        <v>0</v>
      </c>
      <c r="Q509" s="11">
        <f>IF(P509=0,0,IFERROR(Q508+G509*M509*IF(E509="FUTURE",VLOOKUP(MID(I509,2,2),[1]Futures!$A$2:$B$12,2),1),G509*M509*IF(E509="FUTURE",VLOOKUP(MID(I509,2,2),[1]Futures!$A$2:$B$12,2),1)))</f>
        <v>0</v>
      </c>
      <c r="R509" s="12" t="str">
        <f>IFERROR(Q509/P509/IF(E509="FUTURE",VLOOKUP(MID(I509,2,2),[1]Futures!$A$2:$B$12,2),1),"")</f>
        <v/>
      </c>
      <c r="S509" s="13">
        <f>IF(AND(H509="TO CLOSE",P509=0),-G509*(M509-R508)*IF(E509="FUTURE",VLOOKUP(MID(I509,2,2),[1]Futures!$A$2:$B$12,2),1),"")</f>
        <v>-525</v>
      </c>
    </row>
    <row r="510" spans="1:19" x14ac:dyDescent="0.2">
      <c r="A510">
        <f t="shared" si="22"/>
        <v>137</v>
      </c>
      <c r="B510" s="3">
        <v>43944</v>
      </c>
      <c r="C510" s="3" t="str">
        <f t="shared" si="24"/>
        <v>Thursday</v>
      </c>
      <c r="D510" s="2">
        <v>0.4372685185185185</v>
      </c>
      <c r="E510" t="s">
        <v>14</v>
      </c>
      <c r="F510" t="s">
        <v>15</v>
      </c>
      <c r="G510">
        <v>-1</v>
      </c>
      <c r="H510" t="s">
        <v>20</v>
      </c>
      <c r="I510" t="s">
        <v>17</v>
      </c>
      <c r="J510" s="1">
        <v>44002</v>
      </c>
      <c r="L510" t="s">
        <v>14</v>
      </c>
      <c r="M510">
        <v>2821.5</v>
      </c>
      <c r="N510">
        <v>2821.5</v>
      </c>
      <c r="O510" t="s">
        <v>21</v>
      </c>
      <c r="P510">
        <f t="shared" si="23"/>
        <v>-1</v>
      </c>
      <c r="Q510" s="11">
        <f>IF(P510=0,0,IFERROR(Q509+G510*M510*IF(E510="FUTURE",VLOOKUP(MID(I510,2,2),[1]Futures!$A$2:$B$12,2),1),G510*M510*IF(E510="FUTURE",VLOOKUP(MID(I510,2,2),[1]Futures!$A$2:$B$12,2),1)))</f>
        <v>-141075</v>
      </c>
      <c r="R510" s="12">
        <f>IFERROR(Q510/P510/IF(E510="FUTURE",VLOOKUP(MID(I510,2,2),[1]Futures!$A$2:$B$12,2),1),"")</f>
        <v>2821.5</v>
      </c>
      <c r="S510" s="13" t="str">
        <f>IF(AND(H510="TO CLOSE",P510=0),-G510*(M510-R509)*IF(E510="FUTURE",VLOOKUP(MID(I510,2,2),[1]Futures!$A$2:$B$12,2),1),"")</f>
        <v/>
      </c>
    </row>
    <row r="511" spans="1:19" x14ac:dyDescent="0.2">
      <c r="A511">
        <f t="shared" si="22"/>
        <v>137</v>
      </c>
      <c r="B511" s="3">
        <v>43944</v>
      </c>
      <c r="C511" s="3" t="str">
        <f t="shared" si="24"/>
        <v>Thursday</v>
      </c>
      <c r="D511" s="2">
        <v>0.45753472222222219</v>
      </c>
      <c r="E511" t="s">
        <v>14</v>
      </c>
      <c r="F511" t="s">
        <v>19</v>
      </c>
      <c r="G511">
        <v>1</v>
      </c>
      <c r="H511" t="s">
        <v>16</v>
      </c>
      <c r="I511" t="s">
        <v>17</v>
      </c>
      <c r="J511" s="1">
        <v>44002</v>
      </c>
      <c r="L511" t="s">
        <v>14</v>
      </c>
      <c r="M511">
        <v>2833.25</v>
      </c>
      <c r="N511">
        <v>2833.25</v>
      </c>
      <c r="O511" t="s">
        <v>18</v>
      </c>
      <c r="P511">
        <f t="shared" si="23"/>
        <v>0</v>
      </c>
      <c r="Q511" s="11">
        <f>IF(P511=0,0,IFERROR(Q510+G511*M511*IF(E511="FUTURE",VLOOKUP(MID(I511,2,2),[1]Futures!$A$2:$B$12,2),1),G511*M511*IF(E511="FUTURE",VLOOKUP(MID(I511,2,2),[1]Futures!$A$2:$B$12,2),1)))</f>
        <v>0</v>
      </c>
      <c r="R511" s="12" t="str">
        <f>IFERROR(Q511/P511/IF(E511="FUTURE",VLOOKUP(MID(I511,2,2),[1]Futures!$A$2:$B$12,2),1),"")</f>
        <v/>
      </c>
      <c r="S511" s="13">
        <f>IF(AND(H511="TO CLOSE",P511=0),-G511*(M511-R510)*IF(E511="FUTURE",VLOOKUP(MID(I511,2,2),[1]Futures!$A$2:$B$12,2),1),"")</f>
        <v>-587.5</v>
      </c>
    </row>
    <row r="512" spans="1:19" x14ac:dyDescent="0.2">
      <c r="A512">
        <f t="shared" si="22"/>
        <v>138</v>
      </c>
      <c r="B512" s="3">
        <v>43944</v>
      </c>
      <c r="C512" s="3" t="str">
        <f t="shared" si="24"/>
        <v>Thursday</v>
      </c>
      <c r="D512" s="2">
        <v>0.46658564814814812</v>
      </c>
      <c r="E512" t="s">
        <v>14</v>
      </c>
      <c r="F512" t="s">
        <v>15</v>
      </c>
      <c r="G512">
        <v>-1</v>
      </c>
      <c r="H512" t="s">
        <v>20</v>
      </c>
      <c r="I512" t="s">
        <v>17</v>
      </c>
      <c r="J512" s="1">
        <v>44002</v>
      </c>
      <c r="L512" t="s">
        <v>14</v>
      </c>
      <c r="M512">
        <v>2824.75</v>
      </c>
      <c r="N512">
        <v>2824.75</v>
      </c>
      <c r="O512" t="s">
        <v>24</v>
      </c>
      <c r="P512">
        <f t="shared" si="23"/>
        <v>-1</v>
      </c>
      <c r="Q512" s="11">
        <f>IF(P512=0,0,IFERROR(Q511+G512*M512*IF(E512="FUTURE",VLOOKUP(MID(I512,2,2),[1]Futures!$A$2:$B$12,2),1),G512*M512*IF(E512="FUTURE",VLOOKUP(MID(I512,2,2),[1]Futures!$A$2:$B$12,2),1)))</f>
        <v>-141237.5</v>
      </c>
      <c r="R512" s="12">
        <f>IFERROR(Q512/P512/IF(E512="FUTURE",VLOOKUP(MID(I512,2,2),[1]Futures!$A$2:$B$12,2),1),"")</f>
        <v>2824.75</v>
      </c>
      <c r="S512" s="13" t="str">
        <f>IF(AND(H512="TO CLOSE",P512=0),-G512*(M512-R511)*IF(E512="FUTURE",VLOOKUP(MID(I512,2,2),[1]Futures!$A$2:$B$12,2),1),"")</f>
        <v/>
      </c>
    </row>
    <row r="513" spans="1:19" x14ac:dyDescent="0.2">
      <c r="A513">
        <f t="shared" si="22"/>
        <v>138</v>
      </c>
      <c r="B513" s="3">
        <v>43944</v>
      </c>
      <c r="C513" s="3" t="str">
        <f t="shared" si="24"/>
        <v>Thursday</v>
      </c>
      <c r="D513" s="2">
        <v>0.49201388888888892</v>
      </c>
      <c r="E513" t="s">
        <v>14</v>
      </c>
      <c r="F513" t="s">
        <v>19</v>
      </c>
      <c r="G513">
        <v>1</v>
      </c>
      <c r="H513" t="s">
        <v>16</v>
      </c>
      <c r="I513" t="s">
        <v>17</v>
      </c>
      <c r="J513" s="1">
        <v>44002</v>
      </c>
      <c r="L513" t="s">
        <v>14</v>
      </c>
      <c r="M513">
        <v>2817</v>
      </c>
      <c r="N513">
        <v>2817</v>
      </c>
      <c r="O513" t="s">
        <v>21</v>
      </c>
      <c r="P513">
        <f t="shared" si="23"/>
        <v>0</v>
      </c>
      <c r="Q513" s="11">
        <f>IF(P513=0,0,IFERROR(Q512+G513*M513*IF(E513="FUTURE",VLOOKUP(MID(I513,2,2),[1]Futures!$A$2:$B$12,2),1),G513*M513*IF(E513="FUTURE",VLOOKUP(MID(I513,2,2),[1]Futures!$A$2:$B$12,2),1)))</f>
        <v>0</v>
      </c>
      <c r="R513" s="12" t="str">
        <f>IFERROR(Q513/P513/IF(E513="FUTURE",VLOOKUP(MID(I513,2,2),[1]Futures!$A$2:$B$12,2),1),"")</f>
        <v/>
      </c>
      <c r="S513" s="13">
        <f>IF(AND(H513="TO CLOSE",P513=0),-G513*(M513-R512)*IF(E513="FUTURE",VLOOKUP(MID(I513,2,2),[1]Futures!$A$2:$B$12,2),1),"")</f>
        <v>387.5</v>
      </c>
    </row>
    <row r="514" spans="1:19" x14ac:dyDescent="0.2">
      <c r="A514">
        <f t="shared" ref="A514:A577" si="25">IF(AND(P513=0,H513="TO CLOSE"),IFERROR(A513+1,1),IFERROR(A513/1,1))</f>
        <v>139</v>
      </c>
      <c r="B514" s="3">
        <v>43944</v>
      </c>
      <c r="C514" s="3" t="str">
        <f t="shared" si="24"/>
        <v>Thursday</v>
      </c>
      <c r="D514" s="2">
        <v>0.50053240740740745</v>
      </c>
      <c r="E514" t="s">
        <v>14</v>
      </c>
      <c r="F514" t="s">
        <v>15</v>
      </c>
      <c r="G514">
        <v>-1</v>
      </c>
      <c r="H514" t="s">
        <v>20</v>
      </c>
      <c r="I514" t="s">
        <v>17</v>
      </c>
      <c r="J514" s="1">
        <v>44002</v>
      </c>
      <c r="L514" t="s">
        <v>14</v>
      </c>
      <c r="M514">
        <v>2820.25</v>
      </c>
      <c r="N514">
        <v>2820.25</v>
      </c>
      <c r="O514" t="s">
        <v>21</v>
      </c>
      <c r="P514">
        <f t="shared" si="23"/>
        <v>-1</v>
      </c>
      <c r="Q514" s="11">
        <f>IF(P514=0,0,IFERROR(Q513+G514*M514*IF(E514="FUTURE",VLOOKUP(MID(I514,2,2),[1]Futures!$A$2:$B$12,2),1),G514*M514*IF(E514="FUTURE",VLOOKUP(MID(I514,2,2),[1]Futures!$A$2:$B$12,2),1)))</f>
        <v>-141012.5</v>
      </c>
      <c r="R514" s="12">
        <f>IFERROR(Q514/P514/IF(E514="FUTURE",VLOOKUP(MID(I514,2,2),[1]Futures!$A$2:$B$12,2),1),"")</f>
        <v>2820.25</v>
      </c>
      <c r="S514" s="13" t="str">
        <f>IF(AND(H514="TO CLOSE",P514=0),-G514*(M514-R513)*IF(E514="FUTURE",VLOOKUP(MID(I514,2,2),[1]Futures!$A$2:$B$12,2),1),"")</f>
        <v/>
      </c>
    </row>
    <row r="515" spans="1:19" x14ac:dyDescent="0.2">
      <c r="A515">
        <f t="shared" si="25"/>
        <v>139</v>
      </c>
      <c r="B515" s="3">
        <v>43944</v>
      </c>
      <c r="C515" s="3" t="str">
        <f t="shared" si="24"/>
        <v>Thursday</v>
      </c>
      <c r="D515" s="2">
        <v>0.53116898148148151</v>
      </c>
      <c r="E515" t="s">
        <v>14</v>
      </c>
      <c r="F515" t="s">
        <v>19</v>
      </c>
      <c r="G515">
        <v>1</v>
      </c>
      <c r="H515" t="s">
        <v>16</v>
      </c>
      <c r="I515" t="s">
        <v>17</v>
      </c>
      <c r="J515" s="1">
        <v>44002</v>
      </c>
      <c r="L515" t="s">
        <v>14</v>
      </c>
      <c r="M515">
        <v>2808.25</v>
      </c>
      <c r="N515">
        <v>2808.25</v>
      </c>
      <c r="O515" t="s">
        <v>21</v>
      </c>
      <c r="P515">
        <f t="shared" ref="P515:P578" si="26">IF(H515="TO OPEN",IFERROR(P514+G515,0+G515),IFERROR(P514+G515,0+G515))</f>
        <v>0</v>
      </c>
      <c r="Q515" s="11">
        <f>IF(P515=0,0,IFERROR(Q514+G515*M515*IF(E515="FUTURE",VLOOKUP(MID(I515,2,2),[1]Futures!$A$2:$B$12,2),1),G515*M515*IF(E515="FUTURE",VLOOKUP(MID(I515,2,2),[1]Futures!$A$2:$B$12,2),1)))</f>
        <v>0</v>
      </c>
      <c r="R515" s="12" t="str">
        <f>IFERROR(Q515/P515/IF(E515="FUTURE",VLOOKUP(MID(I515,2,2),[1]Futures!$A$2:$B$12,2),1),"")</f>
        <v/>
      </c>
      <c r="S515" s="13">
        <f>IF(AND(H515="TO CLOSE",P515=0),-G515*(M515-R514)*IF(E515="FUTURE",VLOOKUP(MID(I515,2,2),[1]Futures!$A$2:$B$12,2),1),"")</f>
        <v>600</v>
      </c>
    </row>
    <row r="516" spans="1:19" x14ac:dyDescent="0.2">
      <c r="A516">
        <f t="shared" si="25"/>
        <v>140</v>
      </c>
      <c r="B516" s="3">
        <v>43944</v>
      </c>
      <c r="C516" s="3" t="str">
        <f t="shared" si="24"/>
        <v>Thursday</v>
      </c>
      <c r="D516" s="2">
        <v>0.56982638888888892</v>
      </c>
      <c r="E516" t="s">
        <v>14</v>
      </c>
      <c r="F516" t="s">
        <v>15</v>
      </c>
      <c r="G516">
        <v>-1</v>
      </c>
      <c r="H516" t="s">
        <v>20</v>
      </c>
      <c r="I516" t="s">
        <v>17</v>
      </c>
      <c r="J516" s="1">
        <v>44002</v>
      </c>
      <c r="L516" t="s">
        <v>14</v>
      </c>
      <c r="M516">
        <v>2801</v>
      </c>
      <c r="N516">
        <v>2801</v>
      </c>
      <c r="O516" t="s">
        <v>24</v>
      </c>
      <c r="P516">
        <f t="shared" si="26"/>
        <v>-1</v>
      </c>
      <c r="Q516" s="11">
        <f>IF(P516=0,0,IFERROR(Q515+G516*M516*IF(E516="FUTURE",VLOOKUP(MID(I516,2,2),[1]Futures!$A$2:$B$12,2),1),G516*M516*IF(E516="FUTURE",VLOOKUP(MID(I516,2,2),[1]Futures!$A$2:$B$12,2),1)))</f>
        <v>-140050</v>
      </c>
      <c r="R516" s="12">
        <f>IFERROR(Q516/P516/IF(E516="FUTURE",VLOOKUP(MID(I516,2,2),[1]Futures!$A$2:$B$12,2),1),"")</f>
        <v>2801</v>
      </c>
      <c r="S516" s="13" t="str">
        <f>IF(AND(H516="TO CLOSE",P516=0),-G516*(M516-R515)*IF(E516="FUTURE",VLOOKUP(MID(I516,2,2),[1]Futures!$A$2:$B$12,2),1),"")</f>
        <v/>
      </c>
    </row>
    <row r="517" spans="1:19" x14ac:dyDescent="0.2">
      <c r="A517">
        <f t="shared" si="25"/>
        <v>140</v>
      </c>
      <c r="B517" s="3">
        <v>43944</v>
      </c>
      <c r="C517" s="3" t="str">
        <f t="shared" si="24"/>
        <v>Thursday</v>
      </c>
      <c r="D517" s="2">
        <v>0.57060185185185186</v>
      </c>
      <c r="E517" t="s">
        <v>14</v>
      </c>
      <c r="F517" t="s">
        <v>19</v>
      </c>
      <c r="G517">
        <v>1</v>
      </c>
      <c r="H517" t="s">
        <v>16</v>
      </c>
      <c r="I517" t="s">
        <v>17</v>
      </c>
      <c r="J517" s="1">
        <v>44002</v>
      </c>
      <c r="L517" t="s">
        <v>14</v>
      </c>
      <c r="M517">
        <v>2798</v>
      </c>
      <c r="N517">
        <v>2798</v>
      </c>
      <c r="O517" t="s">
        <v>21</v>
      </c>
      <c r="P517">
        <f t="shared" si="26"/>
        <v>0</v>
      </c>
      <c r="Q517" s="11">
        <f>IF(P517=0,0,IFERROR(Q516+G517*M517*IF(E517="FUTURE",VLOOKUP(MID(I517,2,2),[1]Futures!$A$2:$B$12,2),1),G517*M517*IF(E517="FUTURE",VLOOKUP(MID(I517,2,2),[1]Futures!$A$2:$B$12,2),1)))</f>
        <v>0</v>
      </c>
      <c r="R517" s="12" t="str">
        <f>IFERROR(Q517/P517/IF(E517="FUTURE",VLOOKUP(MID(I517,2,2),[1]Futures!$A$2:$B$12,2),1),"")</f>
        <v/>
      </c>
      <c r="S517" s="13">
        <f>IF(AND(H517="TO CLOSE",P517=0),-G517*(M517-R516)*IF(E517="FUTURE",VLOOKUP(MID(I517,2,2),[1]Futures!$A$2:$B$12,2),1),"")</f>
        <v>150</v>
      </c>
    </row>
    <row r="518" spans="1:19" x14ac:dyDescent="0.2">
      <c r="A518">
        <f t="shared" si="25"/>
        <v>141</v>
      </c>
      <c r="B518" s="3">
        <v>43944</v>
      </c>
      <c r="C518" s="3" t="str">
        <f t="shared" si="24"/>
        <v>Thursday</v>
      </c>
      <c r="D518" s="2">
        <v>0.58594907407407404</v>
      </c>
      <c r="E518" t="s">
        <v>14</v>
      </c>
      <c r="F518" t="s">
        <v>19</v>
      </c>
      <c r="G518">
        <v>1</v>
      </c>
      <c r="H518" t="s">
        <v>20</v>
      </c>
      <c r="I518" t="s">
        <v>17</v>
      </c>
      <c r="J518" s="1">
        <v>44002</v>
      </c>
      <c r="L518" t="s">
        <v>14</v>
      </c>
      <c r="M518">
        <v>2796.25</v>
      </c>
      <c r="N518">
        <v>2796.25</v>
      </c>
      <c r="O518" t="s">
        <v>24</v>
      </c>
      <c r="P518">
        <f t="shared" si="26"/>
        <v>1</v>
      </c>
      <c r="Q518" s="11">
        <f>IF(P518=0,0,IFERROR(Q517+G518*M518*IF(E518="FUTURE",VLOOKUP(MID(I518,2,2),[1]Futures!$A$2:$B$12,2),1),G518*M518*IF(E518="FUTURE",VLOOKUP(MID(I518,2,2),[1]Futures!$A$2:$B$12,2),1)))</f>
        <v>139812.5</v>
      </c>
      <c r="R518" s="12">
        <f>IFERROR(Q518/P518/IF(E518="FUTURE",VLOOKUP(MID(I518,2,2),[1]Futures!$A$2:$B$12,2),1),"")</f>
        <v>2796.25</v>
      </c>
      <c r="S518" s="13" t="str">
        <f>IF(AND(H518="TO CLOSE",P518=0),-G518*(M518-R517)*IF(E518="FUTURE",VLOOKUP(MID(I518,2,2),[1]Futures!$A$2:$B$12,2),1),"")</f>
        <v/>
      </c>
    </row>
    <row r="519" spans="1:19" x14ac:dyDescent="0.2">
      <c r="A519">
        <f t="shared" si="25"/>
        <v>141</v>
      </c>
      <c r="B519" s="3">
        <v>43944</v>
      </c>
      <c r="C519" s="3" t="str">
        <f t="shared" si="24"/>
        <v>Thursday</v>
      </c>
      <c r="D519" s="2">
        <v>0.59488425925925925</v>
      </c>
      <c r="E519" t="s">
        <v>14</v>
      </c>
      <c r="F519" t="s">
        <v>15</v>
      </c>
      <c r="G519">
        <v>-1</v>
      </c>
      <c r="H519" t="s">
        <v>16</v>
      </c>
      <c r="I519" t="s">
        <v>17</v>
      </c>
      <c r="J519" s="1">
        <v>44002</v>
      </c>
      <c r="L519" t="s">
        <v>14</v>
      </c>
      <c r="M519">
        <v>2800.25</v>
      </c>
      <c r="N519">
        <v>2800.25</v>
      </c>
      <c r="O519" t="s">
        <v>21</v>
      </c>
      <c r="P519">
        <f t="shared" si="26"/>
        <v>0</v>
      </c>
      <c r="Q519" s="11">
        <f>IF(P519=0,0,IFERROR(Q518+G519*M519*IF(E519="FUTURE",VLOOKUP(MID(I519,2,2),[1]Futures!$A$2:$B$12,2),1),G519*M519*IF(E519="FUTURE",VLOOKUP(MID(I519,2,2),[1]Futures!$A$2:$B$12,2),1)))</f>
        <v>0</v>
      </c>
      <c r="R519" s="12" t="str">
        <f>IFERROR(Q519/P519/IF(E519="FUTURE",VLOOKUP(MID(I519,2,2),[1]Futures!$A$2:$B$12,2),1),"")</f>
        <v/>
      </c>
      <c r="S519" s="13">
        <f>IF(AND(H519="TO CLOSE",P519=0),-G519*(M519-R518)*IF(E519="FUTURE",VLOOKUP(MID(I519,2,2),[1]Futures!$A$2:$B$12,2),1),"")</f>
        <v>200</v>
      </c>
    </row>
    <row r="520" spans="1:19" x14ac:dyDescent="0.2">
      <c r="A520">
        <f t="shared" si="25"/>
        <v>142</v>
      </c>
      <c r="B520" s="3">
        <v>43944</v>
      </c>
      <c r="C520" s="3" t="str">
        <f t="shared" si="24"/>
        <v>Thursday</v>
      </c>
      <c r="D520" s="2">
        <v>0.40834490740740742</v>
      </c>
      <c r="E520" t="s">
        <v>22</v>
      </c>
      <c r="F520" t="s">
        <v>19</v>
      </c>
      <c r="G520">
        <v>293</v>
      </c>
      <c r="H520" t="s">
        <v>20</v>
      </c>
      <c r="I520" t="s">
        <v>23</v>
      </c>
      <c r="L520" t="s">
        <v>22</v>
      </c>
      <c r="M520">
        <v>43.28</v>
      </c>
      <c r="N520">
        <v>43.28</v>
      </c>
      <c r="O520" t="s">
        <v>21</v>
      </c>
      <c r="P520">
        <f t="shared" si="26"/>
        <v>293</v>
      </c>
      <c r="Q520" s="11">
        <f>IF(P520=0,0,IFERROR(Q519+G520*M520*IF(E520="FUTURE",VLOOKUP(MID(I520,2,2),[1]Futures!$A$2:$B$12,2),1),G520*M520*IF(E520="FUTURE",VLOOKUP(MID(I520,2,2),[1]Futures!$A$2:$B$12,2),1)))</f>
        <v>12681.04</v>
      </c>
      <c r="R520" s="12">
        <f>IFERROR(Q520/P520/IF(E520="FUTURE",VLOOKUP(MID(I520,2,2),[1]Futures!$A$2:$B$12,2),1),"")</f>
        <v>43.28</v>
      </c>
      <c r="S520" s="13" t="str">
        <f>IF(AND(H520="TO CLOSE",P520=0),-G520*(M520-R519)*IF(E520="FUTURE",VLOOKUP(MID(I520,2,2),[1]Futures!$A$2:$B$12,2),1),"")</f>
        <v/>
      </c>
    </row>
    <row r="521" spans="1:19" x14ac:dyDescent="0.2">
      <c r="A521">
        <f t="shared" si="25"/>
        <v>142</v>
      </c>
      <c r="B521" s="3">
        <v>43944</v>
      </c>
      <c r="C521" s="3" t="str">
        <f t="shared" si="24"/>
        <v>Thursday</v>
      </c>
      <c r="D521" s="2">
        <v>0.40834490740740742</v>
      </c>
      <c r="E521" t="s">
        <v>22</v>
      </c>
      <c r="F521" t="s">
        <v>19</v>
      </c>
      <c r="G521">
        <v>107</v>
      </c>
      <c r="H521" t="s">
        <v>20</v>
      </c>
      <c r="I521" t="s">
        <v>23</v>
      </c>
      <c r="L521" t="s">
        <v>22</v>
      </c>
      <c r="M521">
        <v>43.28</v>
      </c>
      <c r="N521">
        <v>43.28</v>
      </c>
      <c r="O521" t="s">
        <v>21</v>
      </c>
      <c r="P521">
        <f t="shared" si="26"/>
        <v>400</v>
      </c>
      <c r="Q521" s="11">
        <f>IF(P521=0,0,IFERROR(Q520+G521*M521*IF(E521="FUTURE",VLOOKUP(MID(I521,2,2),[1]Futures!$A$2:$B$12,2),1),G521*M521*IF(E521="FUTURE",VLOOKUP(MID(I521,2,2),[1]Futures!$A$2:$B$12,2),1)))</f>
        <v>17312</v>
      </c>
      <c r="R521" s="12">
        <f>IFERROR(Q521/P521/IF(E521="FUTURE",VLOOKUP(MID(I521,2,2),[1]Futures!$A$2:$B$12,2),1),"")</f>
        <v>43.28</v>
      </c>
      <c r="S521" s="13" t="str">
        <f>IF(AND(H521="TO CLOSE",P521=0),-G521*(M521-R520)*IF(E521="FUTURE",VLOOKUP(MID(I521,2,2),[1]Futures!$A$2:$B$12,2),1),"")</f>
        <v/>
      </c>
    </row>
    <row r="522" spans="1:19" x14ac:dyDescent="0.2">
      <c r="A522">
        <f t="shared" si="25"/>
        <v>142</v>
      </c>
      <c r="B522" s="3">
        <v>43944</v>
      </c>
      <c r="C522" s="3" t="str">
        <f t="shared" si="24"/>
        <v>Thursday</v>
      </c>
      <c r="D522" s="2">
        <v>0.4149768518518519</v>
      </c>
      <c r="E522" t="s">
        <v>22</v>
      </c>
      <c r="F522" t="s">
        <v>15</v>
      </c>
      <c r="G522">
        <v>-100</v>
      </c>
      <c r="H522" t="s">
        <v>16</v>
      </c>
      <c r="I522" t="s">
        <v>23</v>
      </c>
      <c r="L522" t="s">
        <v>22</v>
      </c>
      <c r="M522">
        <v>43.302700000000002</v>
      </c>
      <c r="N522">
        <v>43.302700000000002</v>
      </c>
      <c r="O522" t="s">
        <v>21</v>
      </c>
      <c r="P522">
        <f t="shared" si="26"/>
        <v>300</v>
      </c>
      <c r="Q522" s="11">
        <f>IF(P522=0,0,IFERROR(Q521+G522*M522*IF(E522="FUTURE",VLOOKUP(MID(I522,2,2),[1]Futures!$A$2:$B$12,2),1),G522*M522*IF(E522="FUTURE",VLOOKUP(MID(I522,2,2),[1]Futures!$A$2:$B$12,2),1)))</f>
        <v>12981.73</v>
      </c>
      <c r="R522" s="12">
        <f>IFERROR(Q522/P522/IF(E522="FUTURE",VLOOKUP(MID(I522,2,2),[1]Futures!$A$2:$B$12,2),1),"")</f>
        <v>43.272433333333332</v>
      </c>
      <c r="S522" s="13" t="str">
        <f>IF(AND(H522="TO CLOSE",P522=0),-G522*(M522-R521)*IF(E522="FUTURE",VLOOKUP(MID(I522,2,2),[1]Futures!$A$2:$B$12,2),1),"")</f>
        <v/>
      </c>
    </row>
    <row r="523" spans="1:19" x14ac:dyDescent="0.2">
      <c r="A523">
        <f t="shared" si="25"/>
        <v>142</v>
      </c>
      <c r="B523" s="3">
        <v>43944</v>
      </c>
      <c r="C523" s="3" t="str">
        <f t="shared" si="24"/>
        <v>Thursday</v>
      </c>
      <c r="D523" s="2">
        <v>0.4149768518518519</v>
      </c>
      <c r="E523" t="s">
        <v>22</v>
      </c>
      <c r="F523" t="s">
        <v>15</v>
      </c>
      <c r="G523">
        <v>-100</v>
      </c>
      <c r="H523" t="s">
        <v>16</v>
      </c>
      <c r="I523" t="s">
        <v>23</v>
      </c>
      <c r="L523" t="s">
        <v>22</v>
      </c>
      <c r="M523">
        <v>43.302700000000002</v>
      </c>
      <c r="N523">
        <v>43.302700000000002</v>
      </c>
      <c r="O523" t="s">
        <v>21</v>
      </c>
      <c r="P523">
        <f t="shared" si="26"/>
        <v>200</v>
      </c>
      <c r="Q523" s="11">
        <f>IF(P523=0,0,IFERROR(Q522+G523*M523*IF(E523="FUTURE",VLOOKUP(MID(I523,2,2),[1]Futures!$A$2:$B$12,2),1),G523*M523*IF(E523="FUTURE",VLOOKUP(MID(I523,2,2),[1]Futures!$A$2:$B$12,2),1)))</f>
        <v>8651.4599999999991</v>
      </c>
      <c r="R523" s="12">
        <f>IFERROR(Q523/P523/IF(E523="FUTURE",VLOOKUP(MID(I523,2,2),[1]Futures!$A$2:$B$12,2),1),"")</f>
        <v>43.257299999999994</v>
      </c>
      <c r="S523" s="13" t="str">
        <f>IF(AND(H523="TO CLOSE",P523=0),-G523*(M523-R522)*IF(E523="FUTURE",VLOOKUP(MID(I523,2,2),[1]Futures!$A$2:$B$12,2),1),"")</f>
        <v/>
      </c>
    </row>
    <row r="524" spans="1:19" x14ac:dyDescent="0.2">
      <c r="A524">
        <f t="shared" si="25"/>
        <v>142</v>
      </c>
      <c r="B524" s="3">
        <v>43944</v>
      </c>
      <c r="C524" s="3" t="str">
        <f t="shared" si="24"/>
        <v>Thursday</v>
      </c>
      <c r="D524" s="2">
        <v>0.4149768518518519</v>
      </c>
      <c r="E524" t="s">
        <v>22</v>
      </c>
      <c r="F524" t="s">
        <v>15</v>
      </c>
      <c r="G524">
        <v>-100</v>
      </c>
      <c r="H524" t="s">
        <v>16</v>
      </c>
      <c r="I524" t="s">
        <v>23</v>
      </c>
      <c r="L524" t="s">
        <v>22</v>
      </c>
      <c r="M524">
        <v>43.302700000000002</v>
      </c>
      <c r="N524">
        <v>43.302700000000002</v>
      </c>
      <c r="O524" t="s">
        <v>21</v>
      </c>
      <c r="P524">
        <f t="shared" si="26"/>
        <v>100</v>
      </c>
      <c r="Q524" s="11">
        <f>IF(P524=0,0,IFERROR(Q523+G524*M524*IF(E524="FUTURE",VLOOKUP(MID(I524,2,2),[1]Futures!$A$2:$B$12,2),1),G524*M524*IF(E524="FUTURE",VLOOKUP(MID(I524,2,2),[1]Futures!$A$2:$B$12,2),1)))</f>
        <v>4321.1899999999987</v>
      </c>
      <c r="R524" s="12">
        <f>IFERROR(Q524/P524/IF(E524="FUTURE",VLOOKUP(MID(I524,2,2),[1]Futures!$A$2:$B$12,2),1),"")</f>
        <v>43.211899999999986</v>
      </c>
      <c r="S524" s="13" t="str">
        <f>IF(AND(H524="TO CLOSE",P524=0),-G524*(M524-R523)*IF(E524="FUTURE",VLOOKUP(MID(I524,2,2),[1]Futures!$A$2:$B$12,2),1),"")</f>
        <v/>
      </c>
    </row>
    <row r="525" spans="1:19" x14ac:dyDescent="0.2">
      <c r="A525">
        <f t="shared" si="25"/>
        <v>142</v>
      </c>
      <c r="B525" s="3">
        <v>43944</v>
      </c>
      <c r="C525" s="3" t="str">
        <f t="shared" si="24"/>
        <v>Thursday</v>
      </c>
      <c r="D525" s="2">
        <v>0.4149768518518519</v>
      </c>
      <c r="E525" t="s">
        <v>22</v>
      </c>
      <c r="F525" t="s">
        <v>15</v>
      </c>
      <c r="G525">
        <v>-100</v>
      </c>
      <c r="H525" t="s">
        <v>16</v>
      </c>
      <c r="I525" t="s">
        <v>23</v>
      </c>
      <c r="L525" t="s">
        <v>22</v>
      </c>
      <c r="M525">
        <v>43.302700000000002</v>
      </c>
      <c r="N525">
        <v>43.302700000000002</v>
      </c>
      <c r="O525" t="s">
        <v>21</v>
      </c>
      <c r="P525">
        <f t="shared" si="26"/>
        <v>0</v>
      </c>
      <c r="Q525" s="11">
        <f>IF(P525=0,0,IFERROR(Q524+G525*M525*IF(E525="FUTURE",VLOOKUP(MID(I525,2,2),[1]Futures!$A$2:$B$12,2),1),G525*M525*IF(E525="FUTURE",VLOOKUP(MID(I525,2,2),[1]Futures!$A$2:$B$12,2),1)))</f>
        <v>0</v>
      </c>
      <c r="R525" s="12" t="str">
        <f>IFERROR(Q525/P525/IF(E525="FUTURE",VLOOKUP(MID(I525,2,2),[1]Futures!$A$2:$B$12,2),1),"")</f>
        <v/>
      </c>
      <c r="S525" s="13">
        <f>IF(AND(H525="TO CLOSE",P525=0),-G525*(M525-R524)*IF(E525="FUTURE",VLOOKUP(MID(I525,2,2),[1]Futures!$A$2:$B$12,2),1),"")</f>
        <v>9.0800000000015757</v>
      </c>
    </row>
    <row r="526" spans="1:19" x14ac:dyDescent="0.2">
      <c r="A526">
        <f t="shared" si="25"/>
        <v>143</v>
      </c>
      <c r="B526" s="3">
        <v>43944</v>
      </c>
      <c r="C526" s="3" t="str">
        <f t="shared" si="24"/>
        <v>Thursday</v>
      </c>
      <c r="D526" s="2">
        <v>0.41924768518518518</v>
      </c>
      <c r="E526" t="s">
        <v>22</v>
      </c>
      <c r="F526" t="s">
        <v>19</v>
      </c>
      <c r="G526">
        <v>300</v>
      </c>
      <c r="H526" t="s">
        <v>20</v>
      </c>
      <c r="I526" t="s">
        <v>23</v>
      </c>
      <c r="L526" t="s">
        <v>22</v>
      </c>
      <c r="M526">
        <v>43.269799999999996</v>
      </c>
      <c r="N526">
        <v>43.269799999999996</v>
      </c>
      <c r="O526" t="s">
        <v>21</v>
      </c>
      <c r="P526">
        <f t="shared" si="26"/>
        <v>300</v>
      </c>
      <c r="Q526" s="11">
        <f>IF(P526=0,0,IFERROR(Q525+G526*M526*IF(E526="FUTURE",VLOOKUP(MID(I526,2,2),[1]Futures!$A$2:$B$12,2),1),G526*M526*IF(E526="FUTURE",VLOOKUP(MID(I526,2,2),[1]Futures!$A$2:$B$12,2),1)))</f>
        <v>12980.939999999999</v>
      </c>
      <c r="R526" s="12">
        <f>IFERROR(Q526/P526/IF(E526="FUTURE",VLOOKUP(MID(I526,2,2),[1]Futures!$A$2:$B$12,2),1),"")</f>
        <v>43.269799999999996</v>
      </c>
      <c r="S526" s="13" t="str">
        <f>IF(AND(H526="TO CLOSE",P526=0),-G526*(M526-R525)*IF(E526="FUTURE",VLOOKUP(MID(I526,2,2),[1]Futures!$A$2:$B$12,2),1),"")</f>
        <v/>
      </c>
    </row>
    <row r="527" spans="1:19" x14ac:dyDescent="0.2">
      <c r="A527">
        <f t="shared" si="25"/>
        <v>143</v>
      </c>
      <c r="B527" s="3">
        <v>43944</v>
      </c>
      <c r="C527" s="3" t="str">
        <f t="shared" si="24"/>
        <v>Thursday</v>
      </c>
      <c r="D527" s="2">
        <v>0.41924768518518518</v>
      </c>
      <c r="E527" t="s">
        <v>22</v>
      </c>
      <c r="F527" t="s">
        <v>19</v>
      </c>
      <c r="G527">
        <v>100</v>
      </c>
      <c r="H527" t="s">
        <v>20</v>
      </c>
      <c r="I527" t="s">
        <v>23</v>
      </c>
      <c r="L527" t="s">
        <v>22</v>
      </c>
      <c r="M527">
        <v>43.265000000000001</v>
      </c>
      <c r="N527">
        <v>43.265000000000001</v>
      </c>
      <c r="O527" t="s">
        <v>21</v>
      </c>
      <c r="P527">
        <f t="shared" si="26"/>
        <v>400</v>
      </c>
      <c r="Q527" s="11">
        <f>IF(P527=0,0,IFERROR(Q526+G527*M527*IF(E527="FUTURE",VLOOKUP(MID(I527,2,2),[1]Futures!$A$2:$B$12,2),1),G527*M527*IF(E527="FUTURE",VLOOKUP(MID(I527,2,2),[1]Futures!$A$2:$B$12,2),1)))</f>
        <v>17307.439999999999</v>
      </c>
      <c r="R527" s="12">
        <f>IFERROR(Q527/P527/IF(E527="FUTURE",VLOOKUP(MID(I527,2,2),[1]Futures!$A$2:$B$12,2),1),"")</f>
        <v>43.268599999999999</v>
      </c>
      <c r="S527" s="13" t="str">
        <f>IF(AND(H527="TO CLOSE",P527=0),-G527*(M527-R526)*IF(E527="FUTURE",VLOOKUP(MID(I527,2,2),[1]Futures!$A$2:$B$12,2),1),"")</f>
        <v/>
      </c>
    </row>
    <row r="528" spans="1:19" x14ac:dyDescent="0.2">
      <c r="A528">
        <f t="shared" si="25"/>
        <v>143</v>
      </c>
      <c r="B528" s="3">
        <v>43944</v>
      </c>
      <c r="C528" s="3" t="str">
        <f t="shared" si="24"/>
        <v>Thursday</v>
      </c>
      <c r="D528" s="2">
        <v>0.44482638888888887</v>
      </c>
      <c r="E528" t="s">
        <v>22</v>
      </c>
      <c r="F528" t="s">
        <v>19</v>
      </c>
      <c r="G528">
        <v>200</v>
      </c>
      <c r="H528" t="s">
        <v>20</v>
      </c>
      <c r="I528" t="s">
        <v>23</v>
      </c>
      <c r="L528" t="s">
        <v>22</v>
      </c>
      <c r="M528">
        <v>42.97</v>
      </c>
      <c r="N528">
        <v>42.97</v>
      </c>
      <c r="O528" t="s">
        <v>21</v>
      </c>
      <c r="P528">
        <f t="shared" si="26"/>
        <v>600</v>
      </c>
      <c r="Q528" s="11">
        <f>IF(P528=0,0,IFERROR(Q527+G528*M528*IF(E528="FUTURE",VLOOKUP(MID(I528,2,2),[1]Futures!$A$2:$B$12,2),1),G528*M528*IF(E528="FUTURE",VLOOKUP(MID(I528,2,2),[1]Futures!$A$2:$B$12,2),1)))</f>
        <v>25901.439999999999</v>
      </c>
      <c r="R528" s="12">
        <f>IFERROR(Q528/P528/IF(E528="FUTURE",VLOOKUP(MID(I528,2,2),[1]Futures!$A$2:$B$12,2),1),"")</f>
        <v>43.169066666666666</v>
      </c>
      <c r="S528" s="13" t="str">
        <f>IF(AND(H528="TO CLOSE",P528=0),-G528*(M528-R527)*IF(E528="FUTURE",VLOOKUP(MID(I528,2,2),[1]Futures!$A$2:$B$12,2),1),"")</f>
        <v/>
      </c>
    </row>
    <row r="529" spans="1:19" x14ac:dyDescent="0.2">
      <c r="A529">
        <f t="shared" si="25"/>
        <v>143</v>
      </c>
      <c r="B529" s="3">
        <v>43944</v>
      </c>
      <c r="C529" s="3" t="str">
        <f t="shared" si="24"/>
        <v>Thursday</v>
      </c>
      <c r="D529" s="2">
        <v>0.49956018518518519</v>
      </c>
      <c r="E529" t="s">
        <v>22</v>
      </c>
      <c r="F529" t="s">
        <v>15</v>
      </c>
      <c r="G529">
        <v>-100</v>
      </c>
      <c r="H529" t="s">
        <v>16</v>
      </c>
      <c r="I529" t="s">
        <v>23</v>
      </c>
      <c r="L529" t="s">
        <v>22</v>
      </c>
      <c r="M529">
        <v>43.201099999999997</v>
      </c>
      <c r="N529">
        <v>43.201099999999997</v>
      </c>
      <c r="O529" t="s">
        <v>21</v>
      </c>
      <c r="P529">
        <f t="shared" si="26"/>
        <v>500</v>
      </c>
      <c r="Q529" s="11">
        <f>IF(P529=0,0,IFERROR(Q528+G529*M529*IF(E529="FUTURE",VLOOKUP(MID(I529,2,2),[1]Futures!$A$2:$B$12,2),1),G529*M529*IF(E529="FUTURE",VLOOKUP(MID(I529,2,2),[1]Futures!$A$2:$B$12,2),1)))</f>
        <v>21581.329999999998</v>
      </c>
      <c r="R529" s="12">
        <f>IFERROR(Q529/P529/IF(E529="FUTURE",VLOOKUP(MID(I529,2,2),[1]Futures!$A$2:$B$12,2),1),"")</f>
        <v>43.162659999999995</v>
      </c>
      <c r="S529" s="13" t="str">
        <f>IF(AND(H529="TO CLOSE",P529=0),-G529*(M529-R528)*IF(E529="FUTURE",VLOOKUP(MID(I529,2,2),[1]Futures!$A$2:$B$12,2),1),"")</f>
        <v/>
      </c>
    </row>
    <row r="530" spans="1:19" x14ac:dyDescent="0.2">
      <c r="A530">
        <f t="shared" si="25"/>
        <v>143</v>
      </c>
      <c r="B530" s="3">
        <v>43944</v>
      </c>
      <c r="C530" s="3" t="str">
        <f t="shared" si="24"/>
        <v>Thursday</v>
      </c>
      <c r="D530" s="2">
        <v>0.49956018518518519</v>
      </c>
      <c r="E530" t="s">
        <v>22</v>
      </c>
      <c r="F530" t="s">
        <v>15</v>
      </c>
      <c r="G530">
        <v>-100</v>
      </c>
      <c r="H530" t="s">
        <v>16</v>
      </c>
      <c r="I530" t="s">
        <v>23</v>
      </c>
      <c r="L530" t="s">
        <v>22</v>
      </c>
      <c r="M530">
        <v>43.201099999999997</v>
      </c>
      <c r="N530">
        <v>43.201099999999997</v>
      </c>
      <c r="O530" t="s">
        <v>21</v>
      </c>
      <c r="P530">
        <f t="shared" si="26"/>
        <v>400</v>
      </c>
      <c r="Q530" s="11">
        <f>IF(P530=0,0,IFERROR(Q529+G530*M530*IF(E530="FUTURE",VLOOKUP(MID(I530,2,2),[1]Futures!$A$2:$B$12,2),1),G530*M530*IF(E530="FUTURE",VLOOKUP(MID(I530,2,2),[1]Futures!$A$2:$B$12,2),1)))</f>
        <v>17261.219999999998</v>
      </c>
      <c r="R530" s="12">
        <f>IFERROR(Q530/P530/IF(E530="FUTURE",VLOOKUP(MID(I530,2,2),[1]Futures!$A$2:$B$12,2),1),"")</f>
        <v>43.153049999999993</v>
      </c>
      <c r="S530" s="13" t="str">
        <f>IF(AND(H530="TO CLOSE",P530=0),-G530*(M530-R529)*IF(E530="FUTURE",VLOOKUP(MID(I530,2,2),[1]Futures!$A$2:$B$12,2),1),"")</f>
        <v/>
      </c>
    </row>
    <row r="531" spans="1:19" x14ac:dyDescent="0.2">
      <c r="A531">
        <f t="shared" si="25"/>
        <v>143</v>
      </c>
      <c r="B531" s="3">
        <v>43944</v>
      </c>
      <c r="C531" s="3" t="str">
        <f t="shared" si="24"/>
        <v>Thursday</v>
      </c>
      <c r="D531" s="2">
        <v>0.51070601851851849</v>
      </c>
      <c r="E531" t="s">
        <v>22</v>
      </c>
      <c r="F531" t="s">
        <v>19</v>
      </c>
      <c r="G531">
        <v>200</v>
      </c>
      <c r="H531" t="s">
        <v>20</v>
      </c>
      <c r="I531" t="s">
        <v>23</v>
      </c>
      <c r="L531" t="s">
        <v>22</v>
      </c>
      <c r="M531">
        <v>43.01</v>
      </c>
      <c r="N531">
        <v>43.01</v>
      </c>
      <c r="O531" t="s">
        <v>21</v>
      </c>
      <c r="P531">
        <f t="shared" si="26"/>
        <v>600</v>
      </c>
      <c r="Q531" s="11">
        <f>IF(P531=0,0,IFERROR(Q530+G531*M531*IF(E531="FUTURE",VLOOKUP(MID(I531,2,2),[1]Futures!$A$2:$B$12,2),1),G531*M531*IF(E531="FUTURE",VLOOKUP(MID(I531,2,2),[1]Futures!$A$2:$B$12,2),1)))</f>
        <v>25863.219999999998</v>
      </c>
      <c r="R531" s="12">
        <f>IFERROR(Q531/P531/IF(E531="FUTURE",VLOOKUP(MID(I531,2,2),[1]Futures!$A$2:$B$12,2),1),"")</f>
        <v>43.105366666666662</v>
      </c>
      <c r="S531" s="13" t="str">
        <f>IF(AND(H531="TO CLOSE",P531=0),-G531*(M531-R530)*IF(E531="FUTURE",VLOOKUP(MID(I531,2,2),[1]Futures!$A$2:$B$12,2),1),"")</f>
        <v/>
      </c>
    </row>
    <row r="532" spans="1:19" x14ac:dyDescent="0.2">
      <c r="A532">
        <f t="shared" si="25"/>
        <v>143</v>
      </c>
      <c r="B532" s="3">
        <v>43944</v>
      </c>
      <c r="C532" s="3" t="str">
        <f t="shared" si="24"/>
        <v>Thursday</v>
      </c>
      <c r="D532" s="2">
        <v>0.53112268518518524</v>
      </c>
      <c r="E532" t="s">
        <v>22</v>
      </c>
      <c r="F532" t="s">
        <v>15</v>
      </c>
      <c r="G532">
        <v>-100</v>
      </c>
      <c r="H532" t="s">
        <v>16</v>
      </c>
      <c r="I532" t="s">
        <v>23</v>
      </c>
      <c r="L532" t="s">
        <v>22</v>
      </c>
      <c r="M532">
        <v>43.61</v>
      </c>
      <c r="N532">
        <v>43.61</v>
      </c>
      <c r="O532" t="s">
        <v>21</v>
      </c>
      <c r="P532">
        <f t="shared" si="26"/>
        <v>500</v>
      </c>
      <c r="Q532" s="11">
        <f>IF(P532=0,0,IFERROR(Q531+G532*M532*IF(E532="FUTURE",VLOOKUP(MID(I532,2,2),[1]Futures!$A$2:$B$12,2),1),G532*M532*IF(E532="FUTURE",VLOOKUP(MID(I532,2,2),[1]Futures!$A$2:$B$12,2),1)))</f>
        <v>21502.219999999998</v>
      </c>
      <c r="R532" s="12">
        <f>IFERROR(Q532/P532/IF(E532="FUTURE",VLOOKUP(MID(I532,2,2),[1]Futures!$A$2:$B$12,2),1),"")</f>
        <v>43.004439999999995</v>
      </c>
      <c r="S532" s="13" t="str">
        <f>IF(AND(H532="TO CLOSE",P532=0),-G532*(M532-R531)*IF(E532="FUTURE",VLOOKUP(MID(I532,2,2),[1]Futures!$A$2:$B$12,2),1),"")</f>
        <v/>
      </c>
    </row>
    <row r="533" spans="1:19" x14ac:dyDescent="0.2">
      <c r="A533">
        <f t="shared" si="25"/>
        <v>143</v>
      </c>
      <c r="B533" s="3">
        <v>43944</v>
      </c>
      <c r="C533" s="3" t="str">
        <f t="shared" si="24"/>
        <v>Thursday</v>
      </c>
      <c r="D533" s="2">
        <v>0.53112268518518524</v>
      </c>
      <c r="E533" t="s">
        <v>22</v>
      </c>
      <c r="F533" t="s">
        <v>15</v>
      </c>
      <c r="G533">
        <v>-200</v>
      </c>
      <c r="H533" t="s">
        <v>16</v>
      </c>
      <c r="I533" t="s">
        <v>23</v>
      </c>
      <c r="L533" t="s">
        <v>22</v>
      </c>
      <c r="M533">
        <v>43.61</v>
      </c>
      <c r="N533">
        <v>43.61</v>
      </c>
      <c r="O533" t="s">
        <v>21</v>
      </c>
      <c r="P533">
        <f t="shared" si="26"/>
        <v>300</v>
      </c>
      <c r="Q533" s="11">
        <f>IF(P533=0,0,IFERROR(Q532+G533*M533*IF(E533="FUTURE",VLOOKUP(MID(I533,2,2),[1]Futures!$A$2:$B$12,2),1),G533*M533*IF(E533="FUTURE",VLOOKUP(MID(I533,2,2),[1]Futures!$A$2:$B$12,2),1)))</f>
        <v>12780.219999999998</v>
      </c>
      <c r="R533" s="12">
        <f>IFERROR(Q533/P533/IF(E533="FUTURE",VLOOKUP(MID(I533,2,2),[1]Futures!$A$2:$B$12,2),1),"")</f>
        <v>42.600733333333324</v>
      </c>
      <c r="S533" s="13" t="str">
        <f>IF(AND(H533="TO CLOSE",P533=0),-G533*(M533-R532)*IF(E533="FUTURE",VLOOKUP(MID(I533,2,2),[1]Futures!$A$2:$B$12,2),1),"")</f>
        <v/>
      </c>
    </row>
    <row r="534" spans="1:19" x14ac:dyDescent="0.2">
      <c r="A534">
        <f t="shared" si="25"/>
        <v>143</v>
      </c>
      <c r="B534" s="3">
        <v>43944</v>
      </c>
      <c r="C534" s="3" t="str">
        <f t="shared" si="24"/>
        <v>Thursday</v>
      </c>
      <c r="D534" s="2">
        <v>0.53153935185185186</v>
      </c>
      <c r="E534" t="s">
        <v>22</v>
      </c>
      <c r="F534" t="s">
        <v>15</v>
      </c>
      <c r="G534">
        <v>-200</v>
      </c>
      <c r="H534" t="s">
        <v>16</v>
      </c>
      <c r="I534" t="s">
        <v>23</v>
      </c>
      <c r="L534" t="s">
        <v>22</v>
      </c>
      <c r="M534">
        <v>43.7301</v>
      </c>
      <c r="N534">
        <v>43.7301</v>
      </c>
      <c r="O534" t="s">
        <v>24</v>
      </c>
      <c r="P534">
        <f t="shared" si="26"/>
        <v>100</v>
      </c>
      <c r="Q534" s="11">
        <f>IF(P534=0,0,IFERROR(Q533+G534*M534*IF(E534="FUTURE",VLOOKUP(MID(I534,2,2),[1]Futures!$A$2:$B$12,2),1),G534*M534*IF(E534="FUTURE",VLOOKUP(MID(I534,2,2),[1]Futures!$A$2:$B$12,2),1)))</f>
        <v>4034.1999999999971</v>
      </c>
      <c r="R534" s="12">
        <f>IFERROR(Q534/P534/IF(E534="FUTURE",VLOOKUP(MID(I534,2,2),[1]Futures!$A$2:$B$12,2),1),"")</f>
        <v>40.34199999999997</v>
      </c>
      <c r="S534" s="13" t="str">
        <f>IF(AND(H534="TO CLOSE",P534=0),-G534*(M534-R533)*IF(E534="FUTURE",VLOOKUP(MID(I534,2,2),[1]Futures!$A$2:$B$12,2),1),"")</f>
        <v/>
      </c>
    </row>
    <row r="535" spans="1:19" x14ac:dyDescent="0.2">
      <c r="A535">
        <f t="shared" si="25"/>
        <v>143</v>
      </c>
      <c r="B535" s="3">
        <v>43944</v>
      </c>
      <c r="C535" s="3" t="str">
        <f t="shared" si="24"/>
        <v>Thursday</v>
      </c>
      <c r="D535" s="2">
        <v>0.53167824074074077</v>
      </c>
      <c r="E535" t="s">
        <v>22</v>
      </c>
      <c r="F535" t="s">
        <v>15</v>
      </c>
      <c r="G535">
        <v>-100</v>
      </c>
      <c r="H535" t="s">
        <v>16</v>
      </c>
      <c r="I535" t="s">
        <v>23</v>
      </c>
      <c r="L535" t="s">
        <v>22</v>
      </c>
      <c r="M535">
        <v>43.8431</v>
      </c>
      <c r="N535">
        <v>43.8431</v>
      </c>
      <c r="O535" t="s">
        <v>24</v>
      </c>
      <c r="P535">
        <f t="shared" si="26"/>
        <v>0</v>
      </c>
      <c r="Q535" s="11">
        <f>IF(P535=0,0,IFERROR(Q534+G535*M535*IF(E535="FUTURE",VLOOKUP(MID(I535,2,2),[1]Futures!$A$2:$B$12,2),1),G535*M535*IF(E535="FUTURE",VLOOKUP(MID(I535,2,2),[1]Futures!$A$2:$B$12,2),1)))</f>
        <v>0</v>
      </c>
      <c r="R535" s="12" t="str">
        <f>IFERROR(Q535/P535/IF(E535="FUTURE",VLOOKUP(MID(I535,2,2),[1]Futures!$A$2:$B$12,2),1),"")</f>
        <v/>
      </c>
      <c r="S535" s="13">
        <f>IF(AND(H535="TO CLOSE",P535=0),-G535*(M535-R534)*IF(E535="FUTURE",VLOOKUP(MID(I535,2,2),[1]Futures!$A$2:$B$12,2),1),"")</f>
        <v>350.11000000000297</v>
      </c>
    </row>
    <row r="536" spans="1:19" x14ac:dyDescent="0.2">
      <c r="A536">
        <f t="shared" si="25"/>
        <v>144</v>
      </c>
      <c r="B536" s="3">
        <v>43944</v>
      </c>
      <c r="C536" s="3" t="str">
        <f t="shared" si="24"/>
        <v>Thursday</v>
      </c>
      <c r="D536" s="2">
        <v>0.56300925925925926</v>
      </c>
      <c r="E536" t="s">
        <v>22</v>
      </c>
      <c r="F536" t="s">
        <v>15</v>
      </c>
      <c r="G536">
        <v>-191</v>
      </c>
      <c r="H536" t="s">
        <v>20</v>
      </c>
      <c r="I536" t="s">
        <v>23</v>
      </c>
      <c r="L536" t="s">
        <v>22</v>
      </c>
      <c r="M536">
        <v>44.17</v>
      </c>
      <c r="N536">
        <v>44.17</v>
      </c>
      <c r="O536" t="s">
        <v>21</v>
      </c>
      <c r="P536">
        <f t="shared" si="26"/>
        <v>-191</v>
      </c>
      <c r="Q536" s="11">
        <f>IF(P536=0,0,IFERROR(Q535+G536*M536*IF(E536="FUTURE",VLOOKUP(MID(I536,2,2),[1]Futures!$A$2:$B$12,2),1),G536*M536*IF(E536="FUTURE",VLOOKUP(MID(I536,2,2),[1]Futures!$A$2:$B$12,2),1)))</f>
        <v>-8436.4700000000012</v>
      </c>
      <c r="R536" s="12">
        <f>IFERROR(Q536/P536/IF(E536="FUTURE",VLOOKUP(MID(I536,2,2),[1]Futures!$A$2:$B$12,2),1),"")</f>
        <v>44.170000000000009</v>
      </c>
      <c r="S536" s="13" t="str">
        <f>IF(AND(H536="TO CLOSE",P536=0),-G536*(M536-R535)*IF(E536="FUTURE",VLOOKUP(MID(I536,2,2),[1]Futures!$A$2:$B$12,2),1),"")</f>
        <v/>
      </c>
    </row>
    <row r="537" spans="1:19" x14ac:dyDescent="0.2">
      <c r="A537">
        <f t="shared" si="25"/>
        <v>144</v>
      </c>
      <c r="B537" s="3">
        <v>43944</v>
      </c>
      <c r="C537" s="3" t="str">
        <f t="shared" si="24"/>
        <v>Thursday</v>
      </c>
      <c r="D537" s="2">
        <v>0.56300925925925926</v>
      </c>
      <c r="E537" t="s">
        <v>22</v>
      </c>
      <c r="F537" t="s">
        <v>15</v>
      </c>
      <c r="G537">
        <v>-7</v>
      </c>
      <c r="H537" t="s">
        <v>20</v>
      </c>
      <c r="I537" t="s">
        <v>23</v>
      </c>
      <c r="L537" t="s">
        <v>22</v>
      </c>
      <c r="M537">
        <v>44.17</v>
      </c>
      <c r="N537">
        <v>44.17</v>
      </c>
      <c r="O537" t="s">
        <v>21</v>
      </c>
      <c r="P537">
        <f t="shared" si="26"/>
        <v>-198</v>
      </c>
      <c r="Q537" s="11">
        <f>IF(P537=0,0,IFERROR(Q536+G537*M537*IF(E537="FUTURE",VLOOKUP(MID(I537,2,2),[1]Futures!$A$2:$B$12,2),1),G537*M537*IF(E537="FUTURE",VLOOKUP(MID(I537,2,2),[1]Futures!$A$2:$B$12,2),1)))</f>
        <v>-8745.6600000000017</v>
      </c>
      <c r="R537" s="12">
        <f>IFERROR(Q537/P537/IF(E537="FUTURE",VLOOKUP(MID(I537,2,2),[1]Futures!$A$2:$B$12,2),1),"")</f>
        <v>44.170000000000009</v>
      </c>
      <c r="S537" s="13" t="str">
        <f>IF(AND(H537="TO CLOSE",P537=0),-G537*(M537-R536)*IF(E537="FUTURE",VLOOKUP(MID(I537,2,2),[1]Futures!$A$2:$B$12,2),1),"")</f>
        <v/>
      </c>
    </row>
    <row r="538" spans="1:19" x14ac:dyDescent="0.2">
      <c r="A538">
        <f t="shared" si="25"/>
        <v>144</v>
      </c>
      <c r="B538" s="3">
        <v>43944</v>
      </c>
      <c r="C538" s="3" t="str">
        <f t="shared" si="24"/>
        <v>Thursday</v>
      </c>
      <c r="D538" s="2">
        <v>0.56300925925925926</v>
      </c>
      <c r="E538" t="s">
        <v>22</v>
      </c>
      <c r="F538" t="s">
        <v>15</v>
      </c>
      <c r="G538">
        <v>-102</v>
      </c>
      <c r="H538" t="s">
        <v>20</v>
      </c>
      <c r="I538" t="s">
        <v>23</v>
      </c>
      <c r="L538" t="s">
        <v>22</v>
      </c>
      <c r="M538">
        <v>44.17</v>
      </c>
      <c r="N538">
        <v>44.17</v>
      </c>
      <c r="O538" t="s">
        <v>21</v>
      </c>
      <c r="P538">
        <f t="shared" si="26"/>
        <v>-300</v>
      </c>
      <c r="Q538" s="11">
        <f>IF(P538=0,0,IFERROR(Q537+G538*M538*IF(E538="FUTURE",VLOOKUP(MID(I538,2,2),[1]Futures!$A$2:$B$12,2),1),G538*M538*IF(E538="FUTURE",VLOOKUP(MID(I538,2,2),[1]Futures!$A$2:$B$12,2),1)))</f>
        <v>-13251.000000000002</v>
      </c>
      <c r="R538" s="12">
        <f>IFERROR(Q538/P538/IF(E538="FUTURE",VLOOKUP(MID(I538,2,2),[1]Futures!$A$2:$B$12,2),1),"")</f>
        <v>44.170000000000009</v>
      </c>
      <c r="S538" s="13" t="str">
        <f>IF(AND(H538="TO CLOSE",P538=0),-G538*(M538-R537)*IF(E538="FUTURE",VLOOKUP(MID(I538,2,2),[1]Futures!$A$2:$B$12,2),1),"")</f>
        <v/>
      </c>
    </row>
    <row r="539" spans="1:19" x14ac:dyDescent="0.2">
      <c r="A539">
        <f t="shared" si="25"/>
        <v>144</v>
      </c>
      <c r="B539" s="3">
        <v>43944</v>
      </c>
      <c r="C539" s="3" t="str">
        <f t="shared" si="24"/>
        <v>Thursday</v>
      </c>
      <c r="D539" s="2">
        <v>0.56300925925925926</v>
      </c>
      <c r="E539" t="s">
        <v>22</v>
      </c>
      <c r="F539" t="s">
        <v>15</v>
      </c>
      <c r="G539">
        <v>-100</v>
      </c>
      <c r="H539" t="s">
        <v>20</v>
      </c>
      <c r="I539" t="s">
        <v>23</v>
      </c>
      <c r="L539" t="s">
        <v>22</v>
      </c>
      <c r="M539">
        <v>44.17</v>
      </c>
      <c r="N539">
        <v>44.17</v>
      </c>
      <c r="O539" t="s">
        <v>21</v>
      </c>
      <c r="P539">
        <f t="shared" si="26"/>
        <v>-400</v>
      </c>
      <c r="Q539" s="11">
        <f>IF(P539=0,0,IFERROR(Q538+G539*M539*IF(E539="FUTURE",VLOOKUP(MID(I539,2,2),[1]Futures!$A$2:$B$12,2),1),G539*M539*IF(E539="FUTURE",VLOOKUP(MID(I539,2,2),[1]Futures!$A$2:$B$12,2),1)))</f>
        <v>-17668</v>
      </c>
      <c r="R539" s="12">
        <f>IFERROR(Q539/P539/IF(E539="FUTURE",VLOOKUP(MID(I539,2,2),[1]Futures!$A$2:$B$12,2),1),"")</f>
        <v>44.17</v>
      </c>
      <c r="S539" s="13" t="str">
        <f>IF(AND(H539="TO CLOSE",P539=0),-G539*(M539-R538)*IF(E539="FUTURE",VLOOKUP(MID(I539,2,2),[1]Futures!$A$2:$B$12,2),1),"")</f>
        <v/>
      </c>
    </row>
    <row r="540" spans="1:19" x14ac:dyDescent="0.2">
      <c r="A540">
        <f t="shared" si="25"/>
        <v>144</v>
      </c>
      <c r="B540" s="3">
        <v>43944</v>
      </c>
      <c r="C540" s="3" t="str">
        <f t="shared" si="24"/>
        <v>Thursday</v>
      </c>
      <c r="D540" s="2">
        <v>0.56704861111111116</v>
      </c>
      <c r="E540" t="s">
        <v>22</v>
      </c>
      <c r="F540" t="s">
        <v>19</v>
      </c>
      <c r="G540">
        <v>200</v>
      </c>
      <c r="H540" t="s">
        <v>16</v>
      </c>
      <c r="I540" t="s">
        <v>23</v>
      </c>
      <c r="L540" t="s">
        <v>22</v>
      </c>
      <c r="M540">
        <v>43.95</v>
      </c>
      <c r="N540">
        <v>43.95</v>
      </c>
      <c r="O540" t="s">
        <v>21</v>
      </c>
      <c r="P540">
        <f t="shared" si="26"/>
        <v>-200</v>
      </c>
      <c r="Q540" s="11">
        <f>IF(P540=0,0,IFERROR(Q539+G540*M540*IF(E540="FUTURE",VLOOKUP(MID(I540,2,2),[1]Futures!$A$2:$B$12,2),1),G540*M540*IF(E540="FUTURE",VLOOKUP(MID(I540,2,2),[1]Futures!$A$2:$B$12,2),1)))</f>
        <v>-8878</v>
      </c>
      <c r="R540" s="12">
        <f>IFERROR(Q540/P540/IF(E540="FUTURE",VLOOKUP(MID(I540,2,2),[1]Futures!$A$2:$B$12,2),1),"")</f>
        <v>44.39</v>
      </c>
      <c r="S540" s="13" t="str">
        <f>IF(AND(H540="TO CLOSE",P540=0),-G540*(M540-R539)*IF(E540="FUTURE",VLOOKUP(MID(I540,2,2),[1]Futures!$A$2:$B$12,2),1),"")</f>
        <v/>
      </c>
    </row>
    <row r="541" spans="1:19" x14ac:dyDescent="0.2">
      <c r="A541">
        <f t="shared" si="25"/>
        <v>144</v>
      </c>
      <c r="B541" s="3">
        <v>43944</v>
      </c>
      <c r="C541" s="3" t="str">
        <f t="shared" si="24"/>
        <v>Thursday</v>
      </c>
      <c r="D541" s="2">
        <v>0.56890046296296293</v>
      </c>
      <c r="E541" t="s">
        <v>22</v>
      </c>
      <c r="F541" t="s">
        <v>19</v>
      </c>
      <c r="G541">
        <v>200</v>
      </c>
      <c r="H541" t="s">
        <v>16</v>
      </c>
      <c r="I541" t="s">
        <v>23</v>
      </c>
      <c r="L541" t="s">
        <v>22</v>
      </c>
      <c r="M541">
        <v>44.17</v>
      </c>
      <c r="N541">
        <v>44.17</v>
      </c>
      <c r="O541" t="s">
        <v>18</v>
      </c>
      <c r="P541">
        <f t="shared" si="26"/>
        <v>0</v>
      </c>
      <c r="Q541" s="11">
        <f>IF(P541=0,0,IFERROR(Q540+G541*M541*IF(E541="FUTURE",VLOOKUP(MID(I541,2,2),[1]Futures!$A$2:$B$12,2),1),G541*M541*IF(E541="FUTURE",VLOOKUP(MID(I541,2,2),[1]Futures!$A$2:$B$12,2),1)))</f>
        <v>0</v>
      </c>
      <c r="R541" s="12" t="str">
        <f>IFERROR(Q541/P541/IF(E541="FUTURE",VLOOKUP(MID(I541,2,2),[1]Futures!$A$2:$B$12,2),1),"")</f>
        <v/>
      </c>
      <c r="S541" s="13">
        <f>IF(AND(H541="TO CLOSE",P541=0),-G541*(M541-R540)*IF(E541="FUTURE",VLOOKUP(MID(I541,2,2),[1]Futures!$A$2:$B$12,2),1),"")</f>
        <v>43.999999999999773</v>
      </c>
    </row>
    <row r="542" spans="1:19" x14ac:dyDescent="0.2">
      <c r="A542">
        <f t="shared" si="25"/>
        <v>145</v>
      </c>
      <c r="B542" s="3">
        <v>43944</v>
      </c>
      <c r="C542" s="3" t="str">
        <f t="shared" si="24"/>
        <v>Thursday</v>
      </c>
      <c r="D542" s="2">
        <v>0.57413194444444449</v>
      </c>
      <c r="E542" t="s">
        <v>22</v>
      </c>
      <c r="F542" t="s">
        <v>15</v>
      </c>
      <c r="G542">
        <v>-400</v>
      </c>
      <c r="H542" t="s">
        <v>20</v>
      </c>
      <c r="I542" t="s">
        <v>23</v>
      </c>
      <c r="L542" t="s">
        <v>22</v>
      </c>
      <c r="M542">
        <v>44.2423</v>
      </c>
      <c r="N542">
        <v>44.2423</v>
      </c>
      <c r="O542" t="s">
        <v>21</v>
      </c>
      <c r="P542">
        <f t="shared" si="26"/>
        <v>-400</v>
      </c>
      <c r="Q542" s="11">
        <f>IF(P542=0,0,IFERROR(Q541+G542*M542*IF(E542="FUTURE",VLOOKUP(MID(I542,2,2),[1]Futures!$A$2:$B$12,2),1),G542*M542*IF(E542="FUTURE",VLOOKUP(MID(I542,2,2),[1]Futures!$A$2:$B$12,2),1)))</f>
        <v>-17696.919999999998</v>
      </c>
      <c r="R542" s="12">
        <f>IFERROR(Q542/P542/IF(E542="FUTURE",VLOOKUP(MID(I542,2,2),[1]Futures!$A$2:$B$12,2),1),"")</f>
        <v>44.242299999999993</v>
      </c>
      <c r="S542" s="13" t="str">
        <f>IF(AND(H542="TO CLOSE",P542=0),-G542*(M542-R541)*IF(E542="FUTURE",VLOOKUP(MID(I542,2,2),[1]Futures!$A$2:$B$12,2),1),"")</f>
        <v/>
      </c>
    </row>
    <row r="543" spans="1:19" x14ac:dyDescent="0.2">
      <c r="A543">
        <f t="shared" si="25"/>
        <v>145</v>
      </c>
      <c r="B543" s="3">
        <v>43944</v>
      </c>
      <c r="C543" s="3" t="str">
        <f t="shared" si="24"/>
        <v>Thursday</v>
      </c>
      <c r="D543" s="2">
        <v>0.5854166666666667</v>
      </c>
      <c r="E543" t="s">
        <v>22</v>
      </c>
      <c r="F543" t="s">
        <v>19</v>
      </c>
      <c r="G543">
        <v>400</v>
      </c>
      <c r="H543" t="s">
        <v>16</v>
      </c>
      <c r="I543" t="s">
        <v>23</v>
      </c>
      <c r="L543" t="s">
        <v>22</v>
      </c>
      <c r="M543">
        <v>44.549500000000002</v>
      </c>
      <c r="N543">
        <v>44.549500000000002</v>
      </c>
      <c r="O543" t="s">
        <v>24</v>
      </c>
      <c r="P543">
        <f t="shared" si="26"/>
        <v>0</v>
      </c>
      <c r="Q543" s="11">
        <f>IF(P543=0,0,IFERROR(Q542+G543*M543*IF(E543="FUTURE",VLOOKUP(MID(I543,2,2),[1]Futures!$A$2:$B$12,2),1),G543*M543*IF(E543="FUTURE",VLOOKUP(MID(I543,2,2),[1]Futures!$A$2:$B$12,2),1)))</f>
        <v>0</v>
      </c>
      <c r="R543" s="12" t="str">
        <f>IFERROR(Q543/P543/IF(E543="FUTURE",VLOOKUP(MID(I543,2,2),[1]Futures!$A$2:$B$12,2),1),"")</f>
        <v/>
      </c>
      <c r="S543" s="13">
        <f>IF(AND(H543="TO CLOSE",P543=0),-G543*(M543-R542)*IF(E543="FUTURE",VLOOKUP(MID(I543,2,2),[1]Futures!$A$2:$B$12,2),1),"")</f>
        <v>-122.88000000000352</v>
      </c>
    </row>
    <row r="544" spans="1:19" x14ac:dyDescent="0.2">
      <c r="A544">
        <f t="shared" si="25"/>
        <v>146</v>
      </c>
      <c r="B544" s="3">
        <v>43944</v>
      </c>
      <c r="C544" s="3" t="str">
        <f t="shared" si="24"/>
        <v>Thursday</v>
      </c>
      <c r="D544" s="2">
        <v>0.59270833333333328</v>
      </c>
      <c r="E544" t="s">
        <v>22</v>
      </c>
      <c r="F544" t="s">
        <v>15</v>
      </c>
      <c r="G544">
        <v>-100</v>
      </c>
      <c r="H544" t="s">
        <v>20</v>
      </c>
      <c r="I544" t="s">
        <v>23</v>
      </c>
      <c r="L544" t="s">
        <v>22</v>
      </c>
      <c r="M544">
        <v>44.69</v>
      </c>
      <c r="N544">
        <v>44.69</v>
      </c>
      <c r="O544" t="s">
        <v>21</v>
      </c>
      <c r="P544">
        <f t="shared" si="26"/>
        <v>-100</v>
      </c>
      <c r="Q544" s="11">
        <f>IF(P544=0,0,IFERROR(Q543+G544*M544*IF(E544="FUTURE",VLOOKUP(MID(I544,2,2),[1]Futures!$A$2:$B$12,2),1),G544*M544*IF(E544="FUTURE",VLOOKUP(MID(I544,2,2),[1]Futures!$A$2:$B$12,2),1)))</f>
        <v>-4469</v>
      </c>
      <c r="R544" s="12">
        <f>IFERROR(Q544/P544/IF(E544="FUTURE",VLOOKUP(MID(I544,2,2),[1]Futures!$A$2:$B$12,2),1),"")</f>
        <v>44.69</v>
      </c>
      <c r="S544" s="13" t="str">
        <f>IF(AND(H544="TO CLOSE",P544=0),-G544*(M544-R543)*IF(E544="FUTURE",VLOOKUP(MID(I544,2,2),[1]Futures!$A$2:$B$12,2),1),"")</f>
        <v/>
      </c>
    </row>
    <row r="545" spans="1:19" x14ac:dyDescent="0.2">
      <c r="A545">
        <f t="shared" si="25"/>
        <v>146</v>
      </c>
      <c r="B545" s="3">
        <v>43944</v>
      </c>
      <c r="C545" s="3" t="str">
        <f t="shared" si="24"/>
        <v>Thursday</v>
      </c>
      <c r="D545" s="2">
        <v>0.59271990740740743</v>
      </c>
      <c r="E545" t="s">
        <v>22</v>
      </c>
      <c r="F545" t="s">
        <v>15</v>
      </c>
      <c r="G545">
        <v>-71</v>
      </c>
      <c r="H545" t="s">
        <v>20</v>
      </c>
      <c r="I545" t="s">
        <v>23</v>
      </c>
      <c r="L545" t="s">
        <v>22</v>
      </c>
      <c r="M545">
        <v>44.69</v>
      </c>
      <c r="N545">
        <v>44.69</v>
      </c>
      <c r="O545" t="s">
        <v>21</v>
      </c>
      <c r="P545">
        <f t="shared" si="26"/>
        <v>-171</v>
      </c>
      <c r="Q545" s="11">
        <f>IF(P545=0,0,IFERROR(Q544+G545*M545*IF(E545="FUTURE",VLOOKUP(MID(I545,2,2),[1]Futures!$A$2:$B$12,2),1),G545*M545*IF(E545="FUTURE",VLOOKUP(MID(I545,2,2),[1]Futures!$A$2:$B$12,2),1)))</f>
        <v>-7641.99</v>
      </c>
      <c r="R545" s="12">
        <f>IFERROR(Q545/P545/IF(E545="FUTURE",VLOOKUP(MID(I545,2,2),[1]Futures!$A$2:$B$12,2),1),"")</f>
        <v>44.69</v>
      </c>
      <c r="S545" s="13" t="str">
        <f>IF(AND(H545="TO CLOSE",P545=0),-G545*(M545-R544)*IF(E545="FUTURE",VLOOKUP(MID(I545,2,2),[1]Futures!$A$2:$B$12,2),1),"")</f>
        <v/>
      </c>
    </row>
    <row r="546" spans="1:19" x14ac:dyDescent="0.2">
      <c r="A546">
        <f t="shared" si="25"/>
        <v>146</v>
      </c>
      <c r="B546" s="3">
        <v>43944</v>
      </c>
      <c r="C546" s="3" t="str">
        <f t="shared" si="24"/>
        <v>Thursday</v>
      </c>
      <c r="D546" s="2">
        <v>0.59271990740740743</v>
      </c>
      <c r="E546" t="s">
        <v>22</v>
      </c>
      <c r="F546" t="s">
        <v>15</v>
      </c>
      <c r="G546">
        <v>-80</v>
      </c>
      <c r="H546" t="s">
        <v>20</v>
      </c>
      <c r="I546" t="s">
        <v>23</v>
      </c>
      <c r="L546" t="s">
        <v>22</v>
      </c>
      <c r="M546">
        <v>44.69</v>
      </c>
      <c r="N546">
        <v>44.69</v>
      </c>
      <c r="O546" t="s">
        <v>21</v>
      </c>
      <c r="P546">
        <f t="shared" si="26"/>
        <v>-251</v>
      </c>
      <c r="Q546" s="11">
        <f>IF(P546=0,0,IFERROR(Q545+G546*M546*IF(E546="FUTURE",VLOOKUP(MID(I546,2,2),[1]Futures!$A$2:$B$12,2),1),G546*M546*IF(E546="FUTURE",VLOOKUP(MID(I546,2,2),[1]Futures!$A$2:$B$12,2),1)))</f>
        <v>-11217.189999999999</v>
      </c>
      <c r="R546" s="12">
        <f>IFERROR(Q546/P546/IF(E546="FUTURE",VLOOKUP(MID(I546,2,2),[1]Futures!$A$2:$B$12,2),1),"")</f>
        <v>44.69</v>
      </c>
      <c r="S546" s="13" t="str">
        <f>IF(AND(H546="TO CLOSE",P546=0),-G546*(M546-R545)*IF(E546="FUTURE",VLOOKUP(MID(I546,2,2),[1]Futures!$A$2:$B$12,2),1),"")</f>
        <v/>
      </c>
    </row>
    <row r="547" spans="1:19" x14ac:dyDescent="0.2">
      <c r="A547">
        <f t="shared" si="25"/>
        <v>146</v>
      </c>
      <c r="B547" s="3">
        <v>43944</v>
      </c>
      <c r="C547" s="3" t="str">
        <f t="shared" ref="C547:C610" si="27">IF(WEEKDAY(B547,2)=1,"Monday",IF(WEEKDAY(B547,2)=2,"Tuesday",IF(WEEKDAY(B547,2)=3,"Wednesday",IF(WEEKDAY(B547,2)=4,"Thursday",IF(WEEKDAY(B547,2)=5,"Friday","Sunday")))))</f>
        <v>Thursday</v>
      </c>
      <c r="D547" s="2">
        <v>0.59271990740740743</v>
      </c>
      <c r="E547" t="s">
        <v>22</v>
      </c>
      <c r="F547" t="s">
        <v>15</v>
      </c>
      <c r="G547">
        <v>-149</v>
      </c>
      <c r="H547" t="s">
        <v>20</v>
      </c>
      <c r="I547" t="s">
        <v>23</v>
      </c>
      <c r="L547" t="s">
        <v>22</v>
      </c>
      <c r="M547">
        <v>44.69</v>
      </c>
      <c r="N547">
        <v>44.69</v>
      </c>
      <c r="O547" t="s">
        <v>21</v>
      </c>
      <c r="P547">
        <f t="shared" si="26"/>
        <v>-400</v>
      </c>
      <c r="Q547" s="11">
        <f>IF(P547=0,0,IFERROR(Q546+G547*M547*IF(E547="FUTURE",VLOOKUP(MID(I547,2,2),[1]Futures!$A$2:$B$12,2),1),G547*M547*IF(E547="FUTURE",VLOOKUP(MID(I547,2,2),[1]Futures!$A$2:$B$12,2),1)))</f>
        <v>-17876</v>
      </c>
      <c r="R547" s="12">
        <f>IFERROR(Q547/P547/IF(E547="FUTURE",VLOOKUP(MID(I547,2,2),[1]Futures!$A$2:$B$12,2),1),"")</f>
        <v>44.69</v>
      </c>
      <c r="S547" s="13" t="str">
        <f>IF(AND(H547="TO CLOSE",P547=0),-G547*(M547-R546)*IF(E547="FUTURE",VLOOKUP(MID(I547,2,2),[1]Futures!$A$2:$B$12,2),1),"")</f>
        <v/>
      </c>
    </row>
    <row r="548" spans="1:19" x14ac:dyDescent="0.2">
      <c r="A548">
        <f t="shared" si="25"/>
        <v>146</v>
      </c>
      <c r="B548" s="3">
        <v>43944</v>
      </c>
      <c r="C548" s="3" t="str">
        <f t="shared" si="27"/>
        <v>Thursday</v>
      </c>
      <c r="D548" s="2">
        <v>0.59585648148148151</v>
      </c>
      <c r="E548" t="s">
        <v>22</v>
      </c>
      <c r="F548" t="s">
        <v>19</v>
      </c>
      <c r="G548">
        <v>200</v>
      </c>
      <c r="H548" t="s">
        <v>16</v>
      </c>
      <c r="I548" t="s">
        <v>23</v>
      </c>
      <c r="L548" t="s">
        <v>22</v>
      </c>
      <c r="M548">
        <v>44.37</v>
      </c>
      <c r="N548">
        <v>44.37</v>
      </c>
      <c r="O548" t="s">
        <v>21</v>
      </c>
      <c r="P548">
        <f t="shared" si="26"/>
        <v>-200</v>
      </c>
      <c r="Q548" s="11">
        <f>IF(P548=0,0,IFERROR(Q547+G548*M548*IF(E548="FUTURE",VLOOKUP(MID(I548,2,2),[1]Futures!$A$2:$B$12,2),1),G548*M548*IF(E548="FUTURE",VLOOKUP(MID(I548,2,2),[1]Futures!$A$2:$B$12,2),1)))</f>
        <v>-9002</v>
      </c>
      <c r="R548" s="12">
        <f>IFERROR(Q548/P548/IF(E548="FUTURE",VLOOKUP(MID(I548,2,2),[1]Futures!$A$2:$B$12,2),1),"")</f>
        <v>45.01</v>
      </c>
      <c r="S548" s="13" t="str">
        <f>IF(AND(H548="TO CLOSE",P548=0),-G548*(M548-R547)*IF(E548="FUTURE",VLOOKUP(MID(I548,2,2),[1]Futures!$A$2:$B$12,2),1),"")</f>
        <v/>
      </c>
    </row>
    <row r="549" spans="1:19" x14ac:dyDescent="0.2">
      <c r="A549">
        <f t="shared" si="25"/>
        <v>146</v>
      </c>
      <c r="B549" s="3">
        <v>43944</v>
      </c>
      <c r="C549" s="3" t="str">
        <f t="shared" si="27"/>
        <v>Thursday</v>
      </c>
      <c r="D549" s="2">
        <v>0.60063657407407411</v>
      </c>
      <c r="E549" t="s">
        <v>22</v>
      </c>
      <c r="F549" t="s">
        <v>19</v>
      </c>
      <c r="G549">
        <v>100</v>
      </c>
      <c r="H549" t="s">
        <v>16</v>
      </c>
      <c r="I549" t="s">
        <v>23</v>
      </c>
      <c r="L549" t="s">
        <v>22</v>
      </c>
      <c r="M549">
        <v>44.22</v>
      </c>
      <c r="N549">
        <v>44.22</v>
      </c>
      <c r="O549" t="s">
        <v>21</v>
      </c>
      <c r="P549">
        <f t="shared" si="26"/>
        <v>-100</v>
      </c>
      <c r="Q549" s="11">
        <f>IF(P549=0,0,IFERROR(Q548+G549*M549*IF(E549="FUTURE",VLOOKUP(MID(I549,2,2),[1]Futures!$A$2:$B$12,2),1),G549*M549*IF(E549="FUTURE",VLOOKUP(MID(I549,2,2),[1]Futures!$A$2:$B$12,2),1)))</f>
        <v>-4580</v>
      </c>
      <c r="R549" s="12">
        <f>IFERROR(Q549/P549/IF(E549="FUTURE",VLOOKUP(MID(I549,2,2),[1]Futures!$A$2:$B$12,2),1),"")</f>
        <v>45.8</v>
      </c>
      <c r="S549" s="13" t="str">
        <f>IF(AND(H549="TO CLOSE",P549=0),-G549*(M549-R548)*IF(E549="FUTURE",VLOOKUP(MID(I549,2,2),[1]Futures!$A$2:$B$12,2),1),"")</f>
        <v/>
      </c>
    </row>
    <row r="550" spans="1:19" x14ac:dyDescent="0.2">
      <c r="A550">
        <f t="shared" si="25"/>
        <v>146</v>
      </c>
      <c r="B550" s="3">
        <v>43944</v>
      </c>
      <c r="C550" s="3" t="str">
        <f t="shared" si="27"/>
        <v>Thursday</v>
      </c>
      <c r="D550" s="2">
        <v>0.60106481481481489</v>
      </c>
      <c r="E550" t="s">
        <v>22</v>
      </c>
      <c r="F550" t="s">
        <v>19</v>
      </c>
      <c r="G550">
        <v>100</v>
      </c>
      <c r="H550" t="s">
        <v>16</v>
      </c>
      <c r="I550" t="s">
        <v>23</v>
      </c>
      <c r="L550" t="s">
        <v>22</v>
      </c>
      <c r="M550">
        <v>44.018999999999998</v>
      </c>
      <c r="N550">
        <v>44.018999999999998</v>
      </c>
      <c r="O550" t="s">
        <v>24</v>
      </c>
      <c r="P550">
        <f t="shared" si="26"/>
        <v>0</v>
      </c>
      <c r="Q550" s="11">
        <f>IF(P550=0,0,IFERROR(Q549+G550*M550*IF(E550="FUTURE",VLOOKUP(MID(I550,2,2),[1]Futures!$A$2:$B$12,2),1),G550*M550*IF(E550="FUTURE",VLOOKUP(MID(I550,2,2),[1]Futures!$A$2:$B$12,2),1)))</f>
        <v>0</v>
      </c>
      <c r="R550" s="12" t="str">
        <f>IFERROR(Q550/P550/IF(E550="FUTURE",VLOOKUP(MID(I550,2,2),[1]Futures!$A$2:$B$12,2),1),"")</f>
        <v/>
      </c>
      <c r="S550" s="13">
        <f>IF(AND(H550="TO CLOSE",P550=0),-G550*(M550-R549)*IF(E550="FUTURE",VLOOKUP(MID(I550,2,2),[1]Futures!$A$2:$B$12,2),1),"")</f>
        <v>178.09999999999988</v>
      </c>
    </row>
    <row r="551" spans="1:19" x14ac:dyDescent="0.2">
      <c r="A551">
        <f t="shared" si="25"/>
        <v>147</v>
      </c>
      <c r="B551" s="3">
        <v>43945</v>
      </c>
      <c r="C551" s="3" t="str">
        <f t="shared" si="27"/>
        <v>Friday</v>
      </c>
      <c r="D551" s="2">
        <v>0.40625</v>
      </c>
      <c r="E551" t="s">
        <v>14</v>
      </c>
      <c r="F551" t="s">
        <v>19</v>
      </c>
      <c r="G551">
        <v>1</v>
      </c>
      <c r="H551" t="s">
        <v>20</v>
      </c>
      <c r="I551" t="s">
        <v>77</v>
      </c>
      <c r="J551" s="1">
        <v>44063</v>
      </c>
      <c r="L551" t="s">
        <v>14</v>
      </c>
      <c r="M551">
        <v>24.98</v>
      </c>
      <c r="N551">
        <v>24.98</v>
      </c>
      <c r="O551" t="s">
        <v>24</v>
      </c>
      <c r="P551">
        <f t="shared" si="26"/>
        <v>1</v>
      </c>
      <c r="Q551" s="11">
        <f>IF(P551=0,0,IFERROR(Q550+G551*M551*IF(E551="FUTURE",VLOOKUP(MID(I551,2,2),[1]Futures!$A$2:$B$12,2),1),G551*M551*IF(E551="FUTURE",VLOOKUP(MID(I551,2,2),[1]Futures!$A$2:$B$12,2),1)))</f>
        <v>24980</v>
      </c>
      <c r="R551" s="12">
        <f>IFERROR(Q551/P551/IF(E551="FUTURE",VLOOKUP(MID(I551,2,2),[1]Futures!$A$2:$B$12,2),1),"")</f>
        <v>24.98</v>
      </c>
      <c r="S551" s="13" t="str">
        <f>IF(AND(H551="TO CLOSE",P551=0),-G551*(M551-R550)*IF(E551="FUTURE",VLOOKUP(MID(I551,2,2),[1]Futures!$A$2:$B$12,2),1),"")</f>
        <v/>
      </c>
    </row>
    <row r="552" spans="1:19" x14ac:dyDescent="0.2">
      <c r="A552">
        <f t="shared" si="25"/>
        <v>147</v>
      </c>
      <c r="B552" s="3">
        <v>43945</v>
      </c>
      <c r="C552" s="3" t="str">
        <f t="shared" si="27"/>
        <v>Friday</v>
      </c>
      <c r="D552" s="2">
        <v>0.41071759259259261</v>
      </c>
      <c r="E552" t="s">
        <v>14</v>
      </c>
      <c r="F552" t="s">
        <v>15</v>
      </c>
      <c r="G552">
        <v>-2</v>
      </c>
      <c r="H552" t="s">
        <v>16</v>
      </c>
      <c r="I552" t="s">
        <v>77</v>
      </c>
      <c r="J552" s="1">
        <v>44063</v>
      </c>
      <c r="L552" t="s">
        <v>14</v>
      </c>
      <c r="M552">
        <v>24.71</v>
      </c>
      <c r="N552">
        <v>24.71</v>
      </c>
      <c r="O552" t="s">
        <v>21</v>
      </c>
      <c r="P552">
        <f t="shared" si="26"/>
        <v>-1</v>
      </c>
      <c r="Q552" s="11">
        <f>IF(P552=0,0,IFERROR(Q551+G552*M552*IF(E552="FUTURE",VLOOKUP(MID(I552,2,2),[1]Futures!$A$2:$B$12,2),1),G552*M552*IF(E552="FUTURE",VLOOKUP(MID(I552,2,2),[1]Futures!$A$2:$B$12,2),1)))</f>
        <v>-24440</v>
      </c>
      <c r="R552" s="12">
        <f>IFERROR(Q552/P552/IF(E552="FUTURE",VLOOKUP(MID(I552,2,2),[1]Futures!$A$2:$B$12,2),1),"")</f>
        <v>24.44</v>
      </c>
      <c r="S552" s="13" t="str">
        <f>IF(AND(H552="TO CLOSE",P552=0),-G552*(M552-R551)*IF(E552="FUTURE",VLOOKUP(MID(I552,2,2),[1]Futures!$A$2:$B$12,2),1),"")</f>
        <v/>
      </c>
    </row>
    <row r="553" spans="1:19" x14ac:dyDescent="0.2">
      <c r="A553">
        <f t="shared" si="25"/>
        <v>147</v>
      </c>
      <c r="B553" s="3">
        <v>43945</v>
      </c>
      <c r="C553" s="3" t="str">
        <f t="shared" si="27"/>
        <v>Friday</v>
      </c>
      <c r="D553" s="2">
        <v>0.42071759259259256</v>
      </c>
      <c r="E553" t="s">
        <v>14</v>
      </c>
      <c r="F553" t="s">
        <v>15</v>
      </c>
      <c r="G553">
        <v>-1</v>
      </c>
      <c r="H553" t="s">
        <v>20</v>
      </c>
      <c r="I553" t="s">
        <v>77</v>
      </c>
      <c r="J553" s="1">
        <v>44063</v>
      </c>
      <c r="L553" t="s">
        <v>14</v>
      </c>
      <c r="M553">
        <v>24.52</v>
      </c>
      <c r="N553">
        <v>24.52</v>
      </c>
      <c r="O553" t="s">
        <v>21</v>
      </c>
      <c r="P553">
        <f t="shared" si="26"/>
        <v>-2</v>
      </c>
      <c r="Q553" s="11">
        <f>IF(P553=0,0,IFERROR(Q552+G553*M553*IF(E553="FUTURE",VLOOKUP(MID(I553,2,2),[1]Futures!$A$2:$B$12,2),1),G553*M553*IF(E553="FUTURE",VLOOKUP(MID(I553,2,2),[1]Futures!$A$2:$B$12,2),1)))</f>
        <v>-48960</v>
      </c>
      <c r="R553" s="12">
        <f>IFERROR(Q553/P553/IF(E553="FUTURE",VLOOKUP(MID(I553,2,2),[1]Futures!$A$2:$B$12,2),1),"")</f>
        <v>24.48</v>
      </c>
      <c r="S553" s="13" t="str">
        <f>IF(AND(H553="TO CLOSE",P553=0),-G553*(M553-R552)*IF(E553="FUTURE",VLOOKUP(MID(I553,2,2),[1]Futures!$A$2:$B$12,2),1),"")</f>
        <v/>
      </c>
    </row>
    <row r="554" spans="1:19" x14ac:dyDescent="0.2">
      <c r="A554">
        <f t="shared" si="25"/>
        <v>147</v>
      </c>
      <c r="B554" s="3">
        <v>43945</v>
      </c>
      <c r="C554" s="3" t="str">
        <f t="shared" si="27"/>
        <v>Friday</v>
      </c>
      <c r="D554" s="2">
        <v>0.42464120370370373</v>
      </c>
      <c r="E554" t="s">
        <v>14</v>
      </c>
      <c r="F554" t="s">
        <v>19</v>
      </c>
      <c r="G554">
        <v>1</v>
      </c>
      <c r="H554" t="s">
        <v>16</v>
      </c>
      <c r="I554" t="s">
        <v>77</v>
      </c>
      <c r="J554" s="1">
        <v>44063</v>
      </c>
      <c r="L554" t="s">
        <v>14</v>
      </c>
      <c r="M554">
        <v>24.41</v>
      </c>
      <c r="N554">
        <v>24.41</v>
      </c>
      <c r="O554" t="s">
        <v>24</v>
      </c>
      <c r="P554">
        <f t="shared" si="26"/>
        <v>-1</v>
      </c>
      <c r="Q554" s="11">
        <f>IF(P554=0,0,IFERROR(Q553+G554*M554*IF(E554="FUTURE",VLOOKUP(MID(I554,2,2),[1]Futures!$A$2:$B$12,2),1),G554*M554*IF(E554="FUTURE",VLOOKUP(MID(I554,2,2),[1]Futures!$A$2:$B$12,2),1)))</f>
        <v>-24550</v>
      </c>
      <c r="R554" s="12">
        <f>IFERROR(Q554/P554/IF(E554="FUTURE",VLOOKUP(MID(I554,2,2),[1]Futures!$A$2:$B$12,2),1),"")</f>
        <v>24.55</v>
      </c>
      <c r="S554" s="13" t="str">
        <f>IF(AND(H554="TO CLOSE",P554=0),-G554*(M554-R553)*IF(E554="FUTURE",VLOOKUP(MID(I554,2,2),[1]Futures!$A$2:$B$12,2),1),"")</f>
        <v/>
      </c>
    </row>
    <row r="555" spans="1:19" x14ac:dyDescent="0.2">
      <c r="A555">
        <f t="shared" si="25"/>
        <v>147</v>
      </c>
      <c r="B555" s="3">
        <v>43945</v>
      </c>
      <c r="C555" s="3" t="str">
        <f t="shared" si="27"/>
        <v>Friday</v>
      </c>
      <c r="D555" s="2">
        <v>0.4263657407407408</v>
      </c>
      <c r="E555" t="s">
        <v>14</v>
      </c>
      <c r="F555" t="s">
        <v>19</v>
      </c>
      <c r="G555">
        <v>1</v>
      </c>
      <c r="H555" t="s">
        <v>16</v>
      </c>
      <c r="I555" t="s">
        <v>77</v>
      </c>
      <c r="J555" s="1">
        <v>44063</v>
      </c>
      <c r="L555" t="s">
        <v>14</v>
      </c>
      <c r="M555">
        <v>24.26</v>
      </c>
      <c r="N555">
        <v>24.26</v>
      </c>
      <c r="O555" t="s">
        <v>21</v>
      </c>
      <c r="P555">
        <f t="shared" si="26"/>
        <v>0</v>
      </c>
      <c r="Q555" s="11">
        <f>IF(P555=0,0,IFERROR(Q554+G555*M555*IF(E555="FUTURE",VLOOKUP(MID(I555,2,2),[1]Futures!$A$2:$B$12,2),1),G555*M555*IF(E555="FUTURE",VLOOKUP(MID(I555,2,2),[1]Futures!$A$2:$B$12,2),1)))</f>
        <v>0</v>
      </c>
      <c r="R555" s="12" t="str">
        <f>IFERROR(Q555/P555/IF(E555="FUTURE",VLOOKUP(MID(I555,2,2),[1]Futures!$A$2:$B$12,2),1),"")</f>
        <v/>
      </c>
      <c r="S555" s="13">
        <f>IF(AND(H555="TO CLOSE",P555=0),-G555*(M555-R554)*IF(E555="FUTURE",VLOOKUP(MID(I555,2,2),[1]Futures!$A$2:$B$12,2),1),"")</f>
        <v>289.99999999999915</v>
      </c>
    </row>
    <row r="556" spans="1:19" x14ac:dyDescent="0.2">
      <c r="A556">
        <f t="shared" si="25"/>
        <v>148</v>
      </c>
      <c r="B556" s="3">
        <v>43945</v>
      </c>
      <c r="C556" s="3" t="str">
        <f t="shared" si="27"/>
        <v>Friday</v>
      </c>
      <c r="D556" s="2">
        <v>0.43437500000000001</v>
      </c>
      <c r="E556" t="s">
        <v>14</v>
      </c>
      <c r="F556" t="s">
        <v>19</v>
      </c>
      <c r="G556">
        <v>1</v>
      </c>
      <c r="H556" t="s">
        <v>20</v>
      </c>
      <c r="I556" t="s">
        <v>77</v>
      </c>
      <c r="J556" s="1">
        <v>44063</v>
      </c>
      <c r="L556" t="s">
        <v>14</v>
      </c>
      <c r="M556">
        <v>24.37</v>
      </c>
      <c r="N556">
        <v>24.37</v>
      </c>
      <c r="O556" t="s">
        <v>21</v>
      </c>
      <c r="P556">
        <f t="shared" si="26"/>
        <v>1</v>
      </c>
      <c r="Q556" s="11">
        <f>IF(P556=0,0,IFERROR(Q555+G556*M556*IF(E556="FUTURE",VLOOKUP(MID(I556,2,2),[1]Futures!$A$2:$B$12,2),1),G556*M556*IF(E556="FUTURE",VLOOKUP(MID(I556,2,2),[1]Futures!$A$2:$B$12,2),1)))</f>
        <v>24370</v>
      </c>
      <c r="R556" s="12">
        <f>IFERROR(Q556/P556/IF(E556="FUTURE",VLOOKUP(MID(I556,2,2),[1]Futures!$A$2:$B$12,2),1),"")</f>
        <v>24.37</v>
      </c>
      <c r="S556" s="13" t="str">
        <f>IF(AND(H556="TO CLOSE",P556=0),-G556*(M556-R555)*IF(E556="FUTURE",VLOOKUP(MID(I556,2,2),[1]Futures!$A$2:$B$12,2),1),"")</f>
        <v/>
      </c>
    </row>
    <row r="557" spans="1:19" x14ac:dyDescent="0.2">
      <c r="A557">
        <f t="shared" si="25"/>
        <v>148</v>
      </c>
      <c r="B557" s="3">
        <v>43945</v>
      </c>
      <c r="C557" s="3" t="str">
        <f t="shared" si="27"/>
        <v>Friday</v>
      </c>
      <c r="D557" s="2">
        <v>0.44542824074074078</v>
      </c>
      <c r="E557" t="s">
        <v>14</v>
      </c>
      <c r="F557" t="s">
        <v>19</v>
      </c>
      <c r="G557">
        <v>1</v>
      </c>
      <c r="H557" t="s">
        <v>20</v>
      </c>
      <c r="I557" t="s">
        <v>77</v>
      </c>
      <c r="J557" s="1">
        <v>44063</v>
      </c>
      <c r="L557" t="s">
        <v>14</v>
      </c>
      <c r="M557">
        <v>24.25</v>
      </c>
      <c r="N557">
        <v>24.25</v>
      </c>
      <c r="O557" t="s">
        <v>21</v>
      </c>
      <c r="P557">
        <f t="shared" si="26"/>
        <v>2</v>
      </c>
      <c r="Q557" s="11">
        <f>IF(P557=0,0,IFERROR(Q556+G557*M557*IF(E557="FUTURE",VLOOKUP(MID(I557,2,2),[1]Futures!$A$2:$B$12,2),1),G557*M557*IF(E557="FUTURE",VLOOKUP(MID(I557,2,2),[1]Futures!$A$2:$B$12,2),1)))</f>
        <v>48620</v>
      </c>
      <c r="R557" s="12">
        <f>IFERROR(Q557/P557/IF(E557="FUTURE",VLOOKUP(MID(I557,2,2),[1]Futures!$A$2:$B$12,2),1),"")</f>
        <v>24.31</v>
      </c>
      <c r="S557" s="13" t="str">
        <f>IF(AND(H557="TO CLOSE",P557=0),-G557*(M557-R556)*IF(E557="FUTURE",VLOOKUP(MID(I557,2,2),[1]Futures!$A$2:$B$12,2),1),"")</f>
        <v/>
      </c>
    </row>
    <row r="558" spans="1:19" x14ac:dyDescent="0.2">
      <c r="A558">
        <f t="shared" si="25"/>
        <v>148</v>
      </c>
      <c r="B558" s="3">
        <v>43945</v>
      </c>
      <c r="C558" s="3" t="str">
        <f t="shared" si="27"/>
        <v>Friday</v>
      </c>
      <c r="D558" s="2">
        <v>0.46055555555555555</v>
      </c>
      <c r="E558" t="s">
        <v>14</v>
      </c>
      <c r="F558" t="s">
        <v>19</v>
      </c>
      <c r="G558">
        <v>1</v>
      </c>
      <c r="H558" t="s">
        <v>20</v>
      </c>
      <c r="I558" t="s">
        <v>77</v>
      </c>
      <c r="J558" s="1">
        <v>44063</v>
      </c>
      <c r="L558" t="s">
        <v>14</v>
      </c>
      <c r="M558">
        <v>23.85</v>
      </c>
      <c r="N558">
        <v>23.85</v>
      </c>
      <c r="O558" t="s">
        <v>21</v>
      </c>
      <c r="P558">
        <f t="shared" si="26"/>
        <v>3</v>
      </c>
      <c r="Q558" s="11">
        <f>IF(P558=0,0,IFERROR(Q557+G558*M558*IF(E558="FUTURE",VLOOKUP(MID(I558,2,2),[1]Futures!$A$2:$B$12,2),1),G558*M558*IF(E558="FUTURE",VLOOKUP(MID(I558,2,2),[1]Futures!$A$2:$B$12,2),1)))</f>
        <v>72470</v>
      </c>
      <c r="R558" s="12">
        <f>IFERROR(Q558/P558/IF(E558="FUTURE",VLOOKUP(MID(I558,2,2),[1]Futures!$A$2:$B$12,2),1),"")</f>
        <v>24.156666666666666</v>
      </c>
      <c r="S558" s="13" t="str">
        <f>IF(AND(H558="TO CLOSE",P558=0),-G558*(M558-R557)*IF(E558="FUTURE",VLOOKUP(MID(I558,2,2),[1]Futures!$A$2:$B$12,2),1),"")</f>
        <v/>
      </c>
    </row>
    <row r="559" spans="1:19" x14ac:dyDescent="0.2">
      <c r="A559">
        <f t="shared" si="25"/>
        <v>148</v>
      </c>
      <c r="B559" s="3">
        <v>43945</v>
      </c>
      <c r="C559" s="3" t="str">
        <f t="shared" si="27"/>
        <v>Friday</v>
      </c>
      <c r="D559" s="2">
        <v>0.47353009259259254</v>
      </c>
      <c r="E559" t="s">
        <v>14</v>
      </c>
      <c r="F559" t="s">
        <v>15</v>
      </c>
      <c r="G559">
        <v>-1</v>
      </c>
      <c r="H559" t="s">
        <v>16</v>
      </c>
      <c r="I559" t="s">
        <v>77</v>
      </c>
      <c r="J559" s="1">
        <v>44063</v>
      </c>
      <c r="L559" t="s">
        <v>14</v>
      </c>
      <c r="M559">
        <v>24.22</v>
      </c>
      <c r="N559">
        <v>24.22</v>
      </c>
      <c r="O559" t="s">
        <v>21</v>
      </c>
      <c r="P559">
        <f t="shared" si="26"/>
        <v>2</v>
      </c>
      <c r="Q559" s="11">
        <f>IF(P559=0,0,IFERROR(Q558+G559*M559*IF(E559="FUTURE",VLOOKUP(MID(I559,2,2),[1]Futures!$A$2:$B$12,2),1),G559*M559*IF(E559="FUTURE",VLOOKUP(MID(I559,2,2),[1]Futures!$A$2:$B$12,2),1)))</f>
        <v>48250</v>
      </c>
      <c r="R559" s="12">
        <f>IFERROR(Q559/P559/IF(E559="FUTURE",VLOOKUP(MID(I559,2,2),[1]Futures!$A$2:$B$12,2),1),"")</f>
        <v>24.125</v>
      </c>
      <c r="S559" s="13" t="str">
        <f>IF(AND(H559="TO CLOSE",P559=0),-G559*(M559-R558)*IF(E559="FUTURE",VLOOKUP(MID(I559,2,2),[1]Futures!$A$2:$B$12,2),1),"")</f>
        <v/>
      </c>
    </row>
    <row r="560" spans="1:19" x14ac:dyDescent="0.2">
      <c r="A560">
        <f t="shared" si="25"/>
        <v>148</v>
      </c>
      <c r="B560" s="3">
        <v>43945</v>
      </c>
      <c r="C560" s="3" t="str">
        <f t="shared" si="27"/>
        <v>Friday</v>
      </c>
      <c r="D560" s="2">
        <v>0.6395601851851852</v>
      </c>
      <c r="E560" t="s">
        <v>14</v>
      </c>
      <c r="F560" t="s">
        <v>15</v>
      </c>
      <c r="G560">
        <v>-1</v>
      </c>
      <c r="H560" t="s">
        <v>16</v>
      </c>
      <c r="I560" t="s">
        <v>77</v>
      </c>
      <c r="J560" s="1">
        <v>44063</v>
      </c>
      <c r="L560" t="s">
        <v>14</v>
      </c>
      <c r="M560">
        <v>24.13</v>
      </c>
      <c r="N560">
        <v>24.13</v>
      </c>
      <c r="O560" t="s">
        <v>21</v>
      </c>
      <c r="P560">
        <f t="shared" si="26"/>
        <v>1</v>
      </c>
      <c r="Q560" s="11">
        <f>IF(P560=0,0,IFERROR(Q559+G560*M560*IF(E560="FUTURE",VLOOKUP(MID(I560,2,2),[1]Futures!$A$2:$B$12,2),1),G560*M560*IF(E560="FUTURE",VLOOKUP(MID(I560,2,2),[1]Futures!$A$2:$B$12,2),1)))</f>
        <v>24120</v>
      </c>
      <c r="R560" s="12">
        <f>IFERROR(Q560/P560/IF(E560="FUTURE",VLOOKUP(MID(I560,2,2),[1]Futures!$A$2:$B$12,2),1),"")</f>
        <v>24.12</v>
      </c>
      <c r="S560" s="13" t="str">
        <f>IF(AND(H560="TO CLOSE",P560=0),-G560*(M560-R559)*IF(E560="FUTURE",VLOOKUP(MID(I560,2,2),[1]Futures!$A$2:$B$12,2),1),"")</f>
        <v/>
      </c>
    </row>
    <row r="561" spans="1:19" x14ac:dyDescent="0.2">
      <c r="A561">
        <f t="shared" si="25"/>
        <v>148</v>
      </c>
      <c r="B561" s="3">
        <v>43945</v>
      </c>
      <c r="C561" s="3" t="str">
        <f t="shared" si="27"/>
        <v>Friday</v>
      </c>
      <c r="D561" s="2">
        <v>0.6395601851851852</v>
      </c>
      <c r="E561" t="s">
        <v>14</v>
      </c>
      <c r="F561" t="s">
        <v>15</v>
      </c>
      <c r="G561">
        <v>-1</v>
      </c>
      <c r="H561" t="s">
        <v>16</v>
      </c>
      <c r="I561" t="s">
        <v>77</v>
      </c>
      <c r="J561" s="1">
        <v>44063</v>
      </c>
      <c r="L561" t="s">
        <v>14</v>
      </c>
      <c r="M561">
        <v>24.13</v>
      </c>
      <c r="N561">
        <v>24.13</v>
      </c>
      <c r="O561" t="s">
        <v>21</v>
      </c>
      <c r="P561">
        <f t="shared" si="26"/>
        <v>0</v>
      </c>
      <c r="Q561" s="11">
        <f>IF(P561=0,0,IFERROR(Q560+G561*M561*IF(E561="FUTURE",VLOOKUP(MID(I561,2,2),[1]Futures!$A$2:$B$12,2),1),G561*M561*IF(E561="FUTURE",VLOOKUP(MID(I561,2,2),[1]Futures!$A$2:$B$12,2),1)))</f>
        <v>0</v>
      </c>
      <c r="R561" s="12" t="str">
        <f>IFERROR(Q561/P561/IF(E561="FUTURE",VLOOKUP(MID(I561,2,2),[1]Futures!$A$2:$B$12,2),1),"")</f>
        <v/>
      </c>
      <c r="S561" s="13">
        <f>IF(AND(H561="TO CLOSE",P561=0),-G561*(M561-R560)*IF(E561="FUTURE",VLOOKUP(MID(I561,2,2),[1]Futures!$A$2:$B$12,2),1),"")</f>
        <v>9.9999999999980105</v>
      </c>
    </row>
    <row r="562" spans="1:19" x14ac:dyDescent="0.2">
      <c r="A562">
        <f t="shared" si="25"/>
        <v>149</v>
      </c>
      <c r="B562" s="3">
        <v>43945</v>
      </c>
      <c r="C562" s="3" t="str">
        <f t="shared" si="27"/>
        <v>Friday</v>
      </c>
      <c r="D562" s="2">
        <v>0.41473379629629631</v>
      </c>
      <c r="E562" t="s">
        <v>22</v>
      </c>
      <c r="F562" t="s">
        <v>19</v>
      </c>
      <c r="G562">
        <v>200</v>
      </c>
      <c r="H562" t="s">
        <v>20</v>
      </c>
      <c r="I562" t="s">
        <v>23</v>
      </c>
      <c r="L562" t="s">
        <v>22</v>
      </c>
      <c r="M562">
        <v>43.61</v>
      </c>
      <c r="N562">
        <v>43.61</v>
      </c>
      <c r="O562" t="s">
        <v>21</v>
      </c>
      <c r="P562">
        <f t="shared" si="26"/>
        <v>200</v>
      </c>
      <c r="Q562" s="11">
        <f>IF(P562=0,0,IFERROR(Q561+G562*M562*IF(E562="FUTURE",VLOOKUP(MID(I562,2,2),[1]Futures!$A$2:$B$12,2),1),G562*M562*IF(E562="FUTURE",VLOOKUP(MID(I562,2,2),[1]Futures!$A$2:$B$12,2),1)))</f>
        <v>8722</v>
      </c>
      <c r="R562" s="12">
        <f>IFERROR(Q562/P562/IF(E562="FUTURE",VLOOKUP(MID(I562,2,2),[1]Futures!$A$2:$B$12,2),1),"")</f>
        <v>43.61</v>
      </c>
      <c r="S562" s="13" t="str">
        <f>IF(AND(H562="TO CLOSE",P562=0),-G562*(M562-R561)*IF(E562="FUTURE",VLOOKUP(MID(I562,2,2),[1]Futures!$A$2:$B$12,2),1),"")</f>
        <v/>
      </c>
    </row>
    <row r="563" spans="1:19" x14ac:dyDescent="0.2">
      <c r="A563">
        <f t="shared" si="25"/>
        <v>149</v>
      </c>
      <c r="B563" s="3">
        <v>43945</v>
      </c>
      <c r="C563" s="3" t="str">
        <f t="shared" si="27"/>
        <v>Friday</v>
      </c>
      <c r="D563" s="2">
        <v>0.41947916666666668</v>
      </c>
      <c r="E563" t="s">
        <v>22</v>
      </c>
      <c r="F563" t="s">
        <v>19</v>
      </c>
      <c r="G563">
        <v>100</v>
      </c>
      <c r="H563" t="s">
        <v>20</v>
      </c>
      <c r="I563" t="s">
        <v>23</v>
      </c>
      <c r="L563" t="s">
        <v>22</v>
      </c>
      <c r="M563">
        <v>43.41</v>
      </c>
      <c r="N563">
        <v>43.41</v>
      </c>
      <c r="O563" t="s">
        <v>21</v>
      </c>
      <c r="P563">
        <f t="shared" si="26"/>
        <v>300</v>
      </c>
      <c r="Q563" s="11">
        <f>IF(P563=0,0,IFERROR(Q562+G563*M563*IF(E563="FUTURE",VLOOKUP(MID(I563,2,2),[1]Futures!$A$2:$B$12,2),1),G563*M563*IF(E563="FUTURE",VLOOKUP(MID(I563,2,2),[1]Futures!$A$2:$B$12,2),1)))</f>
        <v>13063</v>
      </c>
      <c r="R563" s="12">
        <f>IFERROR(Q563/P563/IF(E563="FUTURE",VLOOKUP(MID(I563,2,2),[1]Futures!$A$2:$B$12,2),1),"")</f>
        <v>43.543333333333337</v>
      </c>
      <c r="S563" s="13" t="str">
        <f>IF(AND(H563="TO CLOSE",P563=0),-G563*(M563-R562)*IF(E563="FUTURE",VLOOKUP(MID(I563,2,2),[1]Futures!$A$2:$B$12,2),1),"")</f>
        <v/>
      </c>
    </row>
    <row r="564" spans="1:19" x14ac:dyDescent="0.2">
      <c r="A564">
        <f t="shared" si="25"/>
        <v>149</v>
      </c>
      <c r="B564" s="3">
        <v>43945</v>
      </c>
      <c r="C564" s="3" t="str">
        <f t="shared" si="27"/>
        <v>Friday</v>
      </c>
      <c r="D564" s="2">
        <v>0.43452546296296296</v>
      </c>
      <c r="E564" t="s">
        <v>22</v>
      </c>
      <c r="F564" t="s">
        <v>15</v>
      </c>
      <c r="G564">
        <v>-100</v>
      </c>
      <c r="H564" t="s">
        <v>16</v>
      </c>
      <c r="I564" t="s">
        <v>23</v>
      </c>
      <c r="L564" t="s">
        <v>22</v>
      </c>
      <c r="M564">
        <v>43.41</v>
      </c>
      <c r="N564">
        <v>43.41</v>
      </c>
      <c r="O564" t="s">
        <v>21</v>
      </c>
      <c r="P564">
        <f t="shared" si="26"/>
        <v>200</v>
      </c>
      <c r="Q564" s="11">
        <f>IF(P564=0,0,IFERROR(Q563+G564*M564*IF(E564="FUTURE",VLOOKUP(MID(I564,2,2),[1]Futures!$A$2:$B$12,2),1),G564*M564*IF(E564="FUTURE",VLOOKUP(MID(I564,2,2),[1]Futures!$A$2:$B$12,2),1)))</f>
        <v>8722</v>
      </c>
      <c r="R564" s="12">
        <f>IFERROR(Q564/P564/IF(E564="FUTURE",VLOOKUP(MID(I564,2,2),[1]Futures!$A$2:$B$12,2),1),"")</f>
        <v>43.61</v>
      </c>
      <c r="S564" s="13" t="str">
        <f>IF(AND(H564="TO CLOSE",P564=0),-G564*(M564-R563)*IF(E564="FUTURE",VLOOKUP(MID(I564,2,2),[1]Futures!$A$2:$B$12,2),1),"")</f>
        <v/>
      </c>
    </row>
    <row r="565" spans="1:19" x14ac:dyDescent="0.2">
      <c r="A565">
        <f t="shared" si="25"/>
        <v>149</v>
      </c>
      <c r="B565" s="3">
        <v>43945</v>
      </c>
      <c r="C565" s="3" t="str">
        <f t="shared" si="27"/>
        <v>Friday</v>
      </c>
      <c r="D565" s="2">
        <v>0.4419907407407408</v>
      </c>
      <c r="E565" t="s">
        <v>22</v>
      </c>
      <c r="F565" t="s">
        <v>15</v>
      </c>
      <c r="G565">
        <v>-98</v>
      </c>
      <c r="H565" t="s">
        <v>16</v>
      </c>
      <c r="I565" t="s">
        <v>23</v>
      </c>
      <c r="L565" t="s">
        <v>22</v>
      </c>
      <c r="M565">
        <v>43.320099999999996</v>
      </c>
      <c r="N565">
        <v>43.320099999999996</v>
      </c>
      <c r="O565" t="s">
        <v>24</v>
      </c>
      <c r="P565">
        <f t="shared" si="26"/>
        <v>102</v>
      </c>
      <c r="Q565" s="11">
        <f>IF(P565=0,0,IFERROR(Q564+G565*M565*IF(E565="FUTURE",VLOOKUP(MID(I565,2,2),[1]Futures!$A$2:$B$12,2),1),G565*M565*IF(E565="FUTURE",VLOOKUP(MID(I565,2,2),[1]Futures!$A$2:$B$12,2),1)))</f>
        <v>4476.6302000000005</v>
      </c>
      <c r="R565" s="12">
        <f>IFERROR(Q565/P565/IF(E565="FUTURE",VLOOKUP(MID(I565,2,2),[1]Futures!$A$2:$B$12,2),1),"")</f>
        <v>43.888531372549025</v>
      </c>
      <c r="S565" s="13" t="str">
        <f>IF(AND(H565="TO CLOSE",P565=0),-G565*(M565-R564)*IF(E565="FUTURE",VLOOKUP(MID(I565,2,2),[1]Futures!$A$2:$B$12,2),1),"")</f>
        <v/>
      </c>
    </row>
    <row r="566" spans="1:19" x14ac:dyDescent="0.2">
      <c r="A566">
        <f t="shared" si="25"/>
        <v>149</v>
      </c>
      <c r="B566" s="3">
        <v>43945</v>
      </c>
      <c r="C566" s="3" t="str">
        <f t="shared" si="27"/>
        <v>Friday</v>
      </c>
      <c r="D566" s="2">
        <v>0.4419907407407408</v>
      </c>
      <c r="E566" t="s">
        <v>22</v>
      </c>
      <c r="F566" t="s">
        <v>15</v>
      </c>
      <c r="G566">
        <v>-2</v>
      </c>
      <c r="H566" t="s">
        <v>16</v>
      </c>
      <c r="I566" t="s">
        <v>23</v>
      </c>
      <c r="L566" t="s">
        <v>22</v>
      </c>
      <c r="M566">
        <v>43.320099999999996</v>
      </c>
      <c r="N566">
        <v>43.32</v>
      </c>
      <c r="O566" t="s">
        <v>24</v>
      </c>
      <c r="P566">
        <f t="shared" si="26"/>
        <v>100</v>
      </c>
      <c r="Q566" s="11">
        <f>IF(P566=0,0,IFERROR(Q565+G566*M566*IF(E566="FUTURE",VLOOKUP(MID(I566,2,2),[1]Futures!$A$2:$B$12,2),1),G566*M566*IF(E566="FUTURE",VLOOKUP(MID(I566,2,2),[1]Futures!$A$2:$B$12,2),1)))</f>
        <v>4389.9900000000007</v>
      </c>
      <c r="R566" s="12">
        <f>IFERROR(Q566/P566/IF(E566="FUTURE",VLOOKUP(MID(I566,2,2),[1]Futures!$A$2:$B$12,2),1),"")</f>
        <v>43.899900000000009</v>
      </c>
      <c r="S566" s="13" t="str">
        <f>IF(AND(H566="TO CLOSE",P566=0),-G566*(M566-R565)*IF(E566="FUTURE",VLOOKUP(MID(I566,2,2),[1]Futures!$A$2:$B$12,2),1),"")</f>
        <v/>
      </c>
    </row>
    <row r="567" spans="1:19" x14ac:dyDescent="0.2">
      <c r="A567">
        <f t="shared" si="25"/>
        <v>149</v>
      </c>
      <c r="B567" s="3">
        <v>43945</v>
      </c>
      <c r="C567" s="3" t="str">
        <f t="shared" si="27"/>
        <v>Friday</v>
      </c>
      <c r="D567" s="2">
        <v>0.4419907407407408</v>
      </c>
      <c r="E567" t="s">
        <v>22</v>
      </c>
      <c r="F567" t="s">
        <v>15</v>
      </c>
      <c r="G567">
        <v>-100</v>
      </c>
      <c r="H567" t="s">
        <v>16</v>
      </c>
      <c r="I567" t="s">
        <v>23</v>
      </c>
      <c r="L567" t="s">
        <v>22</v>
      </c>
      <c r="M567">
        <v>43.320099999999996</v>
      </c>
      <c r="N567">
        <v>43.320099999999996</v>
      </c>
      <c r="O567" t="s">
        <v>24</v>
      </c>
      <c r="P567">
        <f t="shared" si="26"/>
        <v>0</v>
      </c>
      <c r="Q567" s="11">
        <f>IF(P567=0,0,IFERROR(Q566+G567*M567*IF(E567="FUTURE",VLOOKUP(MID(I567,2,2),[1]Futures!$A$2:$B$12,2),1),G567*M567*IF(E567="FUTURE",VLOOKUP(MID(I567,2,2),[1]Futures!$A$2:$B$12,2),1)))</f>
        <v>0</v>
      </c>
      <c r="R567" s="12" t="str">
        <f>IFERROR(Q567/P567/IF(E567="FUTURE",VLOOKUP(MID(I567,2,2),[1]Futures!$A$2:$B$12,2),1),"")</f>
        <v/>
      </c>
      <c r="S567" s="13">
        <f>IF(AND(H567="TO CLOSE",P567=0),-G567*(M567-R566)*IF(E567="FUTURE",VLOOKUP(MID(I567,2,2),[1]Futures!$A$2:$B$12,2),1),"")</f>
        <v>-57.980000000001297</v>
      </c>
    </row>
    <row r="568" spans="1:19" x14ac:dyDescent="0.2">
      <c r="A568">
        <f t="shared" si="25"/>
        <v>150</v>
      </c>
      <c r="B568" s="3">
        <v>43945</v>
      </c>
      <c r="C568" s="3" t="str">
        <f t="shared" si="27"/>
        <v>Friday</v>
      </c>
      <c r="D568" s="2">
        <v>0.44225694444444441</v>
      </c>
      <c r="E568" t="s">
        <v>22</v>
      </c>
      <c r="F568" t="s">
        <v>15</v>
      </c>
      <c r="G568">
        <v>-400</v>
      </c>
      <c r="H568" t="s">
        <v>20</v>
      </c>
      <c r="I568" t="s">
        <v>23</v>
      </c>
      <c r="L568" t="s">
        <v>22</v>
      </c>
      <c r="M568">
        <v>43.32</v>
      </c>
      <c r="N568">
        <v>43.32</v>
      </c>
      <c r="O568" t="s">
        <v>21</v>
      </c>
      <c r="P568">
        <f t="shared" si="26"/>
        <v>-400</v>
      </c>
      <c r="Q568" s="11">
        <f>IF(P568=0,0,IFERROR(Q567+G568*M568*IF(E568="FUTURE",VLOOKUP(MID(I568,2,2),[1]Futures!$A$2:$B$12,2),1),G568*M568*IF(E568="FUTURE",VLOOKUP(MID(I568,2,2),[1]Futures!$A$2:$B$12,2),1)))</f>
        <v>-17328</v>
      </c>
      <c r="R568" s="12">
        <f>IFERROR(Q568/P568/IF(E568="FUTURE",VLOOKUP(MID(I568,2,2),[1]Futures!$A$2:$B$12,2),1),"")</f>
        <v>43.32</v>
      </c>
      <c r="S568" s="13" t="str">
        <f>IF(AND(H568="TO CLOSE",P568=0),-G568*(M568-R567)*IF(E568="FUTURE",VLOOKUP(MID(I568,2,2),[1]Futures!$A$2:$B$12,2),1),"")</f>
        <v/>
      </c>
    </row>
    <row r="569" spans="1:19" x14ac:dyDescent="0.2">
      <c r="A569">
        <f t="shared" si="25"/>
        <v>150</v>
      </c>
      <c r="B569" s="3">
        <v>43945</v>
      </c>
      <c r="C569" s="3" t="str">
        <f t="shared" si="27"/>
        <v>Friday</v>
      </c>
      <c r="D569" s="2">
        <v>0.45049768518518518</v>
      </c>
      <c r="E569" t="s">
        <v>22</v>
      </c>
      <c r="F569" t="s">
        <v>19</v>
      </c>
      <c r="G569">
        <v>20</v>
      </c>
      <c r="H569" t="s">
        <v>16</v>
      </c>
      <c r="I569" t="s">
        <v>23</v>
      </c>
      <c r="L569" t="s">
        <v>22</v>
      </c>
      <c r="M569">
        <v>43.11</v>
      </c>
      <c r="N569">
        <v>43.11</v>
      </c>
      <c r="O569" t="s">
        <v>21</v>
      </c>
      <c r="P569">
        <f t="shared" si="26"/>
        <v>-380</v>
      </c>
      <c r="Q569" s="11">
        <f>IF(P569=0,0,IFERROR(Q568+G569*M569*IF(E569="FUTURE",VLOOKUP(MID(I569,2,2),[1]Futures!$A$2:$B$12,2),1),G569*M569*IF(E569="FUTURE",VLOOKUP(MID(I569,2,2),[1]Futures!$A$2:$B$12,2),1)))</f>
        <v>-16465.8</v>
      </c>
      <c r="R569" s="12">
        <f>IFERROR(Q569/P569/IF(E569="FUTURE",VLOOKUP(MID(I569,2,2),[1]Futures!$A$2:$B$12,2),1),"")</f>
        <v>43.331052631578949</v>
      </c>
      <c r="S569" s="13" t="str">
        <f>IF(AND(H569="TO CLOSE",P569=0),-G569*(M569-R568)*IF(E569="FUTURE",VLOOKUP(MID(I569,2,2),[1]Futures!$A$2:$B$12,2),1),"")</f>
        <v/>
      </c>
    </row>
    <row r="570" spans="1:19" x14ac:dyDescent="0.2">
      <c r="A570">
        <f t="shared" si="25"/>
        <v>150</v>
      </c>
      <c r="B570" s="3">
        <v>43945</v>
      </c>
      <c r="C570" s="3" t="str">
        <f t="shared" si="27"/>
        <v>Friday</v>
      </c>
      <c r="D570" s="2">
        <v>0.45049768518518518</v>
      </c>
      <c r="E570" t="s">
        <v>22</v>
      </c>
      <c r="F570" t="s">
        <v>19</v>
      </c>
      <c r="G570">
        <v>180</v>
      </c>
      <c r="H570" t="s">
        <v>16</v>
      </c>
      <c r="I570" t="s">
        <v>23</v>
      </c>
      <c r="L570" t="s">
        <v>22</v>
      </c>
      <c r="M570">
        <v>43.11</v>
      </c>
      <c r="N570">
        <v>43.11</v>
      </c>
      <c r="O570" t="s">
        <v>21</v>
      </c>
      <c r="P570">
        <f t="shared" si="26"/>
        <v>-200</v>
      </c>
      <c r="Q570" s="11">
        <f>IF(P570=0,0,IFERROR(Q569+G570*M570*IF(E570="FUTURE",VLOOKUP(MID(I570,2,2),[1]Futures!$A$2:$B$12,2),1),G570*M570*IF(E570="FUTURE",VLOOKUP(MID(I570,2,2),[1]Futures!$A$2:$B$12,2),1)))</f>
        <v>-8706</v>
      </c>
      <c r="R570" s="12">
        <f>IFERROR(Q570/P570/IF(E570="FUTURE",VLOOKUP(MID(I570,2,2),[1]Futures!$A$2:$B$12,2),1),"")</f>
        <v>43.53</v>
      </c>
      <c r="S570" s="13" t="str">
        <f>IF(AND(H570="TO CLOSE",P570=0),-G570*(M570-R569)*IF(E570="FUTURE",VLOOKUP(MID(I570,2,2),[1]Futures!$A$2:$B$12,2),1),"")</f>
        <v/>
      </c>
    </row>
    <row r="571" spans="1:19" x14ac:dyDescent="0.2">
      <c r="A571">
        <f t="shared" si="25"/>
        <v>150</v>
      </c>
      <c r="B571" s="3">
        <v>43945</v>
      </c>
      <c r="C571" s="3" t="str">
        <f t="shared" si="27"/>
        <v>Friday</v>
      </c>
      <c r="D571" s="2">
        <v>0.47412037037037041</v>
      </c>
      <c r="E571" t="s">
        <v>22</v>
      </c>
      <c r="F571" t="s">
        <v>15</v>
      </c>
      <c r="G571">
        <v>-100</v>
      </c>
      <c r="H571" t="s">
        <v>20</v>
      </c>
      <c r="I571" t="s">
        <v>23</v>
      </c>
      <c r="L571" t="s">
        <v>22</v>
      </c>
      <c r="M571">
        <v>43.445</v>
      </c>
      <c r="N571">
        <v>43.445</v>
      </c>
      <c r="O571" t="s">
        <v>21</v>
      </c>
      <c r="P571">
        <f t="shared" si="26"/>
        <v>-300</v>
      </c>
      <c r="Q571" s="11">
        <f>IF(P571=0,0,IFERROR(Q570+G571*M571*IF(E571="FUTURE",VLOOKUP(MID(I571,2,2),[1]Futures!$A$2:$B$12,2),1),G571*M571*IF(E571="FUTURE",VLOOKUP(MID(I571,2,2),[1]Futures!$A$2:$B$12,2),1)))</f>
        <v>-13050.5</v>
      </c>
      <c r="R571" s="12">
        <f>IFERROR(Q571/P571/IF(E571="FUTURE",VLOOKUP(MID(I571,2,2),[1]Futures!$A$2:$B$12,2),1),"")</f>
        <v>43.501666666666665</v>
      </c>
      <c r="S571" s="13" t="str">
        <f>IF(AND(H571="TO CLOSE",P571=0),-G571*(M571-R570)*IF(E571="FUTURE",VLOOKUP(MID(I571,2,2),[1]Futures!$A$2:$B$12,2),1),"")</f>
        <v/>
      </c>
    </row>
    <row r="572" spans="1:19" x14ac:dyDescent="0.2">
      <c r="A572">
        <f t="shared" si="25"/>
        <v>150</v>
      </c>
      <c r="B572" s="3">
        <v>43945</v>
      </c>
      <c r="C572" s="3" t="str">
        <f t="shared" si="27"/>
        <v>Friday</v>
      </c>
      <c r="D572" s="2">
        <v>0.5254050925925926</v>
      </c>
      <c r="E572" t="s">
        <v>22</v>
      </c>
      <c r="F572" t="s">
        <v>19</v>
      </c>
      <c r="G572">
        <v>100</v>
      </c>
      <c r="H572" t="s">
        <v>16</v>
      </c>
      <c r="I572" t="s">
        <v>23</v>
      </c>
      <c r="L572" t="s">
        <v>22</v>
      </c>
      <c r="M572">
        <v>42.95</v>
      </c>
      <c r="N572">
        <v>42.95</v>
      </c>
      <c r="O572" t="s">
        <v>21</v>
      </c>
      <c r="P572">
        <f t="shared" si="26"/>
        <v>-200</v>
      </c>
      <c r="Q572" s="11">
        <f>IF(P572=0,0,IFERROR(Q571+G572*M572*IF(E572="FUTURE",VLOOKUP(MID(I572,2,2),[1]Futures!$A$2:$B$12,2),1),G572*M572*IF(E572="FUTURE",VLOOKUP(MID(I572,2,2),[1]Futures!$A$2:$B$12,2),1)))</f>
        <v>-8755.5</v>
      </c>
      <c r="R572" s="12">
        <f>IFERROR(Q572/P572/IF(E572="FUTURE",VLOOKUP(MID(I572,2,2),[1]Futures!$A$2:$B$12,2),1),"")</f>
        <v>43.777500000000003</v>
      </c>
      <c r="S572" s="13" t="str">
        <f>IF(AND(H572="TO CLOSE",P572=0),-G572*(M572-R571)*IF(E572="FUTURE",VLOOKUP(MID(I572,2,2),[1]Futures!$A$2:$B$12,2),1),"")</f>
        <v/>
      </c>
    </row>
    <row r="573" spans="1:19" x14ac:dyDescent="0.2">
      <c r="A573">
        <f t="shared" si="25"/>
        <v>150</v>
      </c>
      <c r="B573" s="3">
        <v>43945</v>
      </c>
      <c r="C573" s="3" t="str">
        <f t="shared" si="27"/>
        <v>Friday</v>
      </c>
      <c r="D573" s="2">
        <v>0.53371527777777772</v>
      </c>
      <c r="E573" t="s">
        <v>22</v>
      </c>
      <c r="F573" t="s">
        <v>19</v>
      </c>
      <c r="G573">
        <v>100</v>
      </c>
      <c r="H573" t="s">
        <v>16</v>
      </c>
      <c r="I573" t="s">
        <v>23</v>
      </c>
      <c r="L573" t="s">
        <v>22</v>
      </c>
      <c r="M573">
        <v>42.959899999999998</v>
      </c>
      <c r="N573">
        <v>42.959899999999998</v>
      </c>
      <c r="O573" t="s">
        <v>24</v>
      </c>
      <c r="P573">
        <f t="shared" si="26"/>
        <v>-100</v>
      </c>
      <c r="Q573" s="11">
        <f>IF(P573=0,0,IFERROR(Q572+G573*M573*IF(E573="FUTURE",VLOOKUP(MID(I573,2,2),[1]Futures!$A$2:$B$12,2),1),G573*M573*IF(E573="FUTURE",VLOOKUP(MID(I573,2,2),[1]Futures!$A$2:$B$12,2),1)))</f>
        <v>-4459.51</v>
      </c>
      <c r="R573" s="12">
        <f>IFERROR(Q573/P573/IF(E573="FUTURE",VLOOKUP(MID(I573,2,2),[1]Futures!$A$2:$B$12,2),1),"")</f>
        <v>44.595100000000002</v>
      </c>
      <c r="S573" s="13" t="str">
        <f>IF(AND(H573="TO CLOSE",P573=0),-G573*(M573-R572)*IF(E573="FUTURE",VLOOKUP(MID(I573,2,2),[1]Futures!$A$2:$B$12,2),1),"")</f>
        <v/>
      </c>
    </row>
    <row r="574" spans="1:19" x14ac:dyDescent="0.2">
      <c r="A574">
        <f t="shared" si="25"/>
        <v>150</v>
      </c>
      <c r="B574" s="3">
        <v>43945</v>
      </c>
      <c r="C574" s="3" t="str">
        <f t="shared" si="27"/>
        <v>Friday</v>
      </c>
      <c r="D574" s="2">
        <v>0.58292824074074068</v>
      </c>
      <c r="E574" t="s">
        <v>22</v>
      </c>
      <c r="F574" t="s">
        <v>19</v>
      </c>
      <c r="G574">
        <v>100</v>
      </c>
      <c r="H574" t="s">
        <v>16</v>
      </c>
      <c r="I574" t="s">
        <v>23</v>
      </c>
      <c r="L574" t="s">
        <v>22</v>
      </c>
      <c r="M574">
        <v>42.65</v>
      </c>
      <c r="N574">
        <v>42.65</v>
      </c>
      <c r="O574" t="s">
        <v>21</v>
      </c>
      <c r="P574">
        <f t="shared" si="26"/>
        <v>0</v>
      </c>
      <c r="Q574" s="11">
        <f>IF(P574=0,0,IFERROR(Q573+G574*M574*IF(E574="FUTURE",VLOOKUP(MID(I574,2,2),[1]Futures!$A$2:$B$12,2),1),G574*M574*IF(E574="FUTURE",VLOOKUP(MID(I574,2,2),[1]Futures!$A$2:$B$12,2),1)))</f>
        <v>0</v>
      </c>
      <c r="R574" s="12" t="str">
        <f>IFERROR(Q574/P574/IF(E574="FUTURE",VLOOKUP(MID(I574,2,2),[1]Futures!$A$2:$B$12,2),1),"")</f>
        <v/>
      </c>
      <c r="S574" s="13">
        <f>IF(AND(H574="TO CLOSE",P574=0),-G574*(M574-R573)*IF(E574="FUTURE",VLOOKUP(MID(I574,2,2),[1]Futures!$A$2:$B$12,2),1),"")</f>
        <v>194.51000000000036</v>
      </c>
    </row>
    <row r="575" spans="1:19" x14ac:dyDescent="0.2">
      <c r="A575">
        <f t="shared" si="25"/>
        <v>151</v>
      </c>
      <c r="B575" s="3">
        <v>43948</v>
      </c>
      <c r="C575" s="3" t="str">
        <f t="shared" si="27"/>
        <v>Monday</v>
      </c>
      <c r="D575" s="2">
        <v>0.38099537037037035</v>
      </c>
      <c r="E575" t="s">
        <v>14</v>
      </c>
      <c r="F575" t="s">
        <v>19</v>
      </c>
      <c r="G575">
        <v>1</v>
      </c>
      <c r="H575" t="s">
        <v>20</v>
      </c>
      <c r="I575" t="s">
        <v>77</v>
      </c>
      <c r="J575" s="1">
        <v>44063</v>
      </c>
      <c r="L575" t="s">
        <v>14</v>
      </c>
      <c r="M575">
        <v>21.83</v>
      </c>
      <c r="N575">
        <v>21.83</v>
      </c>
      <c r="O575" t="s">
        <v>21</v>
      </c>
      <c r="P575">
        <f t="shared" si="26"/>
        <v>1</v>
      </c>
      <c r="Q575" s="11">
        <f>IF(P575=0,0,IFERROR(Q574+G575*M575*IF(E575="FUTURE",VLOOKUP(MID(I575,2,2),[1]Futures!$A$2:$B$12,2),1),G575*M575*IF(E575="FUTURE",VLOOKUP(MID(I575,2,2),[1]Futures!$A$2:$B$12,2),1)))</f>
        <v>21830</v>
      </c>
      <c r="R575" s="12">
        <f>IFERROR(Q575/P575/IF(E575="FUTURE",VLOOKUP(MID(I575,2,2),[1]Futures!$A$2:$B$12,2),1),"")</f>
        <v>21.83</v>
      </c>
      <c r="S575" s="13" t="str">
        <f>IF(AND(H575="TO CLOSE",P575=0),-G575*(M575-R574)*IF(E575="FUTURE",VLOOKUP(MID(I575,2,2),[1]Futures!$A$2:$B$12,2),1),"")</f>
        <v/>
      </c>
    </row>
    <row r="576" spans="1:19" x14ac:dyDescent="0.2">
      <c r="A576">
        <f t="shared" si="25"/>
        <v>151</v>
      </c>
      <c r="B576" s="3">
        <v>43948</v>
      </c>
      <c r="C576" s="3" t="str">
        <f t="shared" si="27"/>
        <v>Monday</v>
      </c>
      <c r="D576" s="2">
        <v>0.38409722222222226</v>
      </c>
      <c r="E576" t="s">
        <v>14</v>
      </c>
      <c r="F576" t="s">
        <v>19</v>
      </c>
      <c r="G576">
        <v>1</v>
      </c>
      <c r="H576" t="s">
        <v>20</v>
      </c>
      <c r="I576" t="s">
        <v>77</v>
      </c>
      <c r="J576" s="1">
        <v>44063</v>
      </c>
      <c r="L576" t="s">
        <v>14</v>
      </c>
      <c r="M576">
        <v>21.69</v>
      </c>
      <c r="N576">
        <v>21.69</v>
      </c>
      <c r="O576" t="s">
        <v>21</v>
      </c>
      <c r="P576">
        <f t="shared" si="26"/>
        <v>2</v>
      </c>
      <c r="Q576" s="11">
        <f>IF(P576=0,0,IFERROR(Q575+G576*M576*IF(E576="FUTURE",VLOOKUP(MID(I576,2,2),[1]Futures!$A$2:$B$12,2),1),G576*M576*IF(E576="FUTURE",VLOOKUP(MID(I576,2,2),[1]Futures!$A$2:$B$12,2),1)))</f>
        <v>43520</v>
      </c>
      <c r="R576" s="12">
        <f>IFERROR(Q576/P576/IF(E576="FUTURE",VLOOKUP(MID(I576,2,2),[1]Futures!$A$2:$B$12,2),1),"")</f>
        <v>21.76</v>
      </c>
      <c r="S576" s="13" t="str">
        <f>IF(AND(H576="TO CLOSE",P576=0),-G576*(M576-R575)*IF(E576="FUTURE",VLOOKUP(MID(I576,2,2),[1]Futures!$A$2:$B$12,2),1),"")</f>
        <v/>
      </c>
    </row>
    <row r="577" spans="1:19" x14ac:dyDescent="0.2">
      <c r="A577">
        <f t="shared" si="25"/>
        <v>151</v>
      </c>
      <c r="B577" s="3">
        <v>43948</v>
      </c>
      <c r="C577" s="3" t="str">
        <f t="shared" si="27"/>
        <v>Monday</v>
      </c>
      <c r="D577" s="2">
        <v>0.45831018518518518</v>
      </c>
      <c r="E577" t="s">
        <v>14</v>
      </c>
      <c r="F577" t="s">
        <v>15</v>
      </c>
      <c r="G577">
        <v>-2</v>
      </c>
      <c r="H577" t="s">
        <v>16</v>
      </c>
      <c r="I577" t="s">
        <v>77</v>
      </c>
      <c r="J577" s="1">
        <v>44063</v>
      </c>
      <c r="L577" t="s">
        <v>14</v>
      </c>
      <c r="M577">
        <v>21.44</v>
      </c>
      <c r="N577">
        <v>21.44</v>
      </c>
      <c r="O577" t="s">
        <v>21</v>
      </c>
      <c r="P577">
        <f t="shared" si="26"/>
        <v>0</v>
      </c>
      <c r="Q577" s="11">
        <f>IF(P577=0,0,IFERROR(Q576+G577*M577*IF(E577="FUTURE",VLOOKUP(MID(I577,2,2),[1]Futures!$A$2:$B$12,2),1),G577*M577*IF(E577="FUTURE",VLOOKUP(MID(I577,2,2),[1]Futures!$A$2:$B$12,2),1)))</f>
        <v>0</v>
      </c>
      <c r="R577" s="12" t="str">
        <f>IFERROR(Q577/P577/IF(E577="FUTURE",VLOOKUP(MID(I577,2,2),[1]Futures!$A$2:$B$12,2),1),"")</f>
        <v/>
      </c>
      <c r="S577" s="13">
        <f>IF(AND(H577="TO CLOSE",P577=0),-G577*(M577-R576)*IF(E577="FUTURE",VLOOKUP(MID(I577,2,2),[1]Futures!$A$2:$B$12,2),1),"")</f>
        <v>-640.00000000000057</v>
      </c>
    </row>
    <row r="578" spans="1:19" x14ac:dyDescent="0.2">
      <c r="A578">
        <f t="shared" ref="A578:A641" si="28">IF(AND(P577=0,H577="TO CLOSE"),IFERROR(A577+1,1),IFERROR(A577/1,1))</f>
        <v>152</v>
      </c>
      <c r="B578" s="3">
        <v>43948</v>
      </c>
      <c r="C578" s="3" t="str">
        <f t="shared" si="27"/>
        <v>Monday</v>
      </c>
      <c r="D578" s="2">
        <v>0.48348379629629629</v>
      </c>
      <c r="E578" t="s">
        <v>14</v>
      </c>
      <c r="F578" t="s">
        <v>19</v>
      </c>
      <c r="G578">
        <v>1</v>
      </c>
      <c r="H578" t="s">
        <v>20</v>
      </c>
      <c r="I578" t="s">
        <v>77</v>
      </c>
      <c r="J578" s="1">
        <v>44063</v>
      </c>
      <c r="L578" t="s">
        <v>14</v>
      </c>
      <c r="M578">
        <v>21.19</v>
      </c>
      <c r="N578">
        <v>21.19</v>
      </c>
      <c r="O578" t="s">
        <v>21</v>
      </c>
      <c r="P578">
        <f t="shared" si="26"/>
        <v>1</v>
      </c>
      <c r="Q578" s="11">
        <f>IF(P578=0,0,IFERROR(Q577+G578*M578*IF(E578="FUTURE",VLOOKUP(MID(I578,2,2),[1]Futures!$A$2:$B$12,2),1),G578*M578*IF(E578="FUTURE",VLOOKUP(MID(I578,2,2),[1]Futures!$A$2:$B$12,2),1)))</f>
        <v>21190</v>
      </c>
      <c r="R578" s="12">
        <f>IFERROR(Q578/P578/IF(E578="FUTURE",VLOOKUP(MID(I578,2,2),[1]Futures!$A$2:$B$12,2),1),"")</f>
        <v>21.19</v>
      </c>
      <c r="S578" s="13" t="str">
        <f>IF(AND(H578="TO CLOSE",P578=0),-G578*(M578-R577)*IF(E578="FUTURE",VLOOKUP(MID(I578,2,2),[1]Futures!$A$2:$B$12,2),1),"")</f>
        <v/>
      </c>
    </row>
    <row r="579" spans="1:19" x14ac:dyDescent="0.2">
      <c r="A579">
        <f t="shared" si="28"/>
        <v>152</v>
      </c>
      <c r="B579" s="3">
        <v>43948</v>
      </c>
      <c r="C579" s="3" t="str">
        <f t="shared" si="27"/>
        <v>Monday</v>
      </c>
      <c r="D579" s="2">
        <v>0.48807870370370371</v>
      </c>
      <c r="E579" t="s">
        <v>14</v>
      </c>
      <c r="F579" t="s">
        <v>15</v>
      </c>
      <c r="G579">
        <v>-1</v>
      </c>
      <c r="H579" t="s">
        <v>16</v>
      </c>
      <c r="I579" t="s">
        <v>77</v>
      </c>
      <c r="J579" s="1">
        <v>44063</v>
      </c>
      <c r="L579" t="s">
        <v>14</v>
      </c>
      <c r="M579">
        <v>21.2</v>
      </c>
      <c r="N579">
        <v>21.2</v>
      </c>
      <c r="O579" t="s">
        <v>21</v>
      </c>
      <c r="P579">
        <f t="shared" ref="P579:P642" si="29">IF(H579="TO OPEN",IFERROR(P578+G579,0+G579),IFERROR(P578+G579,0+G579))</f>
        <v>0</v>
      </c>
      <c r="Q579" s="11">
        <f>IF(P579=0,0,IFERROR(Q578+G579*M579*IF(E579="FUTURE",VLOOKUP(MID(I579,2,2),[1]Futures!$A$2:$B$12,2),1),G579*M579*IF(E579="FUTURE",VLOOKUP(MID(I579,2,2),[1]Futures!$A$2:$B$12,2),1)))</f>
        <v>0</v>
      </c>
      <c r="R579" s="12" t="str">
        <f>IFERROR(Q579/P579/IF(E579="FUTURE",VLOOKUP(MID(I579,2,2),[1]Futures!$A$2:$B$12,2),1),"")</f>
        <v/>
      </c>
      <c r="S579" s="13">
        <f>IF(AND(H579="TO CLOSE",P579=0),-G579*(M579-R578)*IF(E579="FUTURE",VLOOKUP(MID(I579,2,2),[1]Futures!$A$2:$B$12,2),1),"")</f>
        <v>9.9999999999980105</v>
      </c>
    </row>
    <row r="580" spans="1:19" x14ac:dyDescent="0.2">
      <c r="A580">
        <f t="shared" si="28"/>
        <v>153</v>
      </c>
      <c r="B580" s="3">
        <v>43948</v>
      </c>
      <c r="C580" s="3" t="str">
        <f t="shared" si="27"/>
        <v>Monday</v>
      </c>
      <c r="D580" s="2">
        <v>0.58446759259259262</v>
      </c>
      <c r="E580" t="s">
        <v>14</v>
      </c>
      <c r="F580" t="s">
        <v>15</v>
      </c>
      <c r="G580">
        <v>-1</v>
      </c>
      <c r="H580" t="s">
        <v>20</v>
      </c>
      <c r="I580" t="s">
        <v>77</v>
      </c>
      <c r="J580" s="1">
        <v>44063</v>
      </c>
      <c r="L580" t="s">
        <v>14</v>
      </c>
      <c r="M580">
        <v>21.34</v>
      </c>
      <c r="N580">
        <v>21.34</v>
      </c>
      <c r="O580" t="s">
        <v>21</v>
      </c>
      <c r="P580">
        <f t="shared" si="29"/>
        <v>-1</v>
      </c>
      <c r="Q580" s="11">
        <f>IF(P580=0,0,IFERROR(Q579+G580*M580*IF(E580="FUTURE",VLOOKUP(MID(I580,2,2),[1]Futures!$A$2:$B$12,2),1),G580*M580*IF(E580="FUTURE",VLOOKUP(MID(I580,2,2),[1]Futures!$A$2:$B$12,2),1)))</f>
        <v>-21340</v>
      </c>
      <c r="R580" s="12">
        <f>IFERROR(Q580/P580/IF(E580="FUTURE",VLOOKUP(MID(I580,2,2),[1]Futures!$A$2:$B$12,2),1),"")</f>
        <v>21.34</v>
      </c>
      <c r="S580" s="13" t="str">
        <f>IF(AND(H580="TO CLOSE",P580=0),-G580*(M580-R579)*IF(E580="FUTURE",VLOOKUP(MID(I580,2,2),[1]Futures!$A$2:$B$12,2),1),"")</f>
        <v/>
      </c>
    </row>
    <row r="581" spans="1:19" x14ac:dyDescent="0.2">
      <c r="A581">
        <f t="shared" si="28"/>
        <v>153</v>
      </c>
      <c r="B581" s="3">
        <v>43948</v>
      </c>
      <c r="C581" s="3" t="str">
        <f t="shared" si="27"/>
        <v>Monday</v>
      </c>
      <c r="D581" s="2">
        <v>0.58513888888888888</v>
      </c>
      <c r="E581" t="s">
        <v>14</v>
      </c>
      <c r="F581" t="s">
        <v>15</v>
      </c>
      <c r="G581">
        <v>-1</v>
      </c>
      <c r="H581" t="s">
        <v>20</v>
      </c>
      <c r="I581" t="s">
        <v>77</v>
      </c>
      <c r="J581" s="1">
        <v>44063</v>
      </c>
      <c r="L581" t="s">
        <v>14</v>
      </c>
      <c r="M581">
        <v>21.44</v>
      </c>
      <c r="N581">
        <v>21.44</v>
      </c>
      <c r="O581" t="s">
        <v>21</v>
      </c>
      <c r="P581">
        <f t="shared" si="29"/>
        <v>-2</v>
      </c>
      <c r="Q581" s="11">
        <f>IF(P581=0,0,IFERROR(Q580+G581*M581*IF(E581="FUTURE",VLOOKUP(MID(I581,2,2),[1]Futures!$A$2:$B$12,2),1),G581*M581*IF(E581="FUTURE",VLOOKUP(MID(I581,2,2),[1]Futures!$A$2:$B$12,2),1)))</f>
        <v>-42780</v>
      </c>
      <c r="R581" s="12">
        <f>IFERROR(Q581/P581/IF(E581="FUTURE",VLOOKUP(MID(I581,2,2),[1]Futures!$A$2:$B$12,2),1),"")</f>
        <v>21.39</v>
      </c>
      <c r="S581" s="13" t="str">
        <f>IF(AND(H581="TO CLOSE",P581=0),-G581*(M581-R580)*IF(E581="FUTURE",VLOOKUP(MID(I581,2,2),[1]Futures!$A$2:$B$12,2),1),"")</f>
        <v/>
      </c>
    </row>
    <row r="582" spans="1:19" x14ac:dyDescent="0.2">
      <c r="A582">
        <f t="shared" si="28"/>
        <v>153</v>
      </c>
      <c r="B582" s="3">
        <v>43948</v>
      </c>
      <c r="C582" s="3" t="str">
        <f t="shared" si="27"/>
        <v>Monday</v>
      </c>
      <c r="D582" s="2">
        <v>0.58890046296296295</v>
      </c>
      <c r="E582" t="s">
        <v>14</v>
      </c>
      <c r="F582" t="s">
        <v>19</v>
      </c>
      <c r="G582">
        <v>1</v>
      </c>
      <c r="H582" t="s">
        <v>16</v>
      </c>
      <c r="I582" t="s">
        <v>77</v>
      </c>
      <c r="J582" s="1">
        <v>44063</v>
      </c>
      <c r="L582" t="s">
        <v>14</v>
      </c>
      <c r="M582">
        <v>21.29</v>
      </c>
      <c r="N582">
        <v>21.29</v>
      </c>
      <c r="O582" t="s">
        <v>21</v>
      </c>
      <c r="P582">
        <f t="shared" si="29"/>
        <v>-1</v>
      </c>
      <c r="Q582" s="11">
        <f>IF(P582=0,0,IFERROR(Q581+G582*M582*IF(E582="FUTURE",VLOOKUP(MID(I582,2,2),[1]Futures!$A$2:$B$12,2),1),G582*M582*IF(E582="FUTURE",VLOOKUP(MID(I582,2,2),[1]Futures!$A$2:$B$12,2),1)))</f>
        <v>-21490</v>
      </c>
      <c r="R582" s="12">
        <f>IFERROR(Q582/P582/IF(E582="FUTURE",VLOOKUP(MID(I582,2,2),[1]Futures!$A$2:$B$12,2),1),"")</f>
        <v>21.49</v>
      </c>
      <c r="S582" s="13" t="str">
        <f>IF(AND(H582="TO CLOSE",P582=0),-G582*(M582-R581)*IF(E582="FUTURE",VLOOKUP(MID(I582,2,2),[1]Futures!$A$2:$B$12,2),1),"")</f>
        <v/>
      </c>
    </row>
    <row r="583" spans="1:19" x14ac:dyDescent="0.2">
      <c r="A583">
        <f t="shared" si="28"/>
        <v>153</v>
      </c>
      <c r="B583" s="3">
        <v>43948</v>
      </c>
      <c r="C583" s="3" t="str">
        <f t="shared" si="27"/>
        <v>Monday</v>
      </c>
      <c r="D583" s="2">
        <v>0.5932291666666667</v>
      </c>
      <c r="E583" t="s">
        <v>14</v>
      </c>
      <c r="F583" t="s">
        <v>19</v>
      </c>
      <c r="G583">
        <v>1</v>
      </c>
      <c r="H583" t="s">
        <v>16</v>
      </c>
      <c r="I583" t="s">
        <v>77</v>
      </c>
      <c r="J583" s="1">
        <v>44063</v>
      </c>
      <c r="L583" t="s">
        <v>14</v>
      </c>
      <c r="M583">
        <v>21.24</v>
      </c>
      <c r="N583">
        <v>21.24</v>
      </c>
      <c r="O583" t="s">
        <v>21</v>
      </c>
      <c r="P583">
        <f t="shared" si="29"/>
        <v>0</v>
      </c>
      <c r="Q583" s="11">
        <f>IF(P583=0,0,IFERROR(Q582+G583*M583*IF(E583="FUTURE",VLOOKUP(MID(I583,2,2),[1]Futures!$A$2:$B$12,2),1),G583*M583*IF(E583="FUTURE",VLOOKUP(MID(I583,2,2),[1]Futures!$A$2:$B$12,2),1)))</f>
        <v>0</v>
      </c>
      <c r="R583" s="12" t="str">
        <f>IFERROR(Q583/P583/IF(E583="FUTURE",VLOOKUP(MID(I583,2,2),[1]Futures!$A$2:$B$12,2),1),"")</f>
        <v/>
      </c>
      <c r="S583" s="13">
        <f>IF(AND(H583="TO CLOSE",P583=0),-G583*(M583-R582)*IF(E583="FUTURE",VLOOKUP(MID(I583,2,2),[1]Futures!$A$2:$B$12,2),1),"")</f>
        <v>250</v>
      </c>
    </row>
    <row r="584" spans="1:19" x14ac:dyDescent="0.2">
      <c r="A584">
        <f t="shared" si="28"/>
        <v>154</v>
      </c>
      <c r="B584" s="3">
        <v>43948</v>
      </c>
      <c r="C584" s="3" t="str">
        <f t="shared" si="27"/>
        <v>Monday</v>
      </c>
      <c r="D584" s="2">
        <v>0.59753472222222215</v>
      </c>
      <c r="E584" t="s">
        <v>14</v>
      </c>
      <c r="F584" t="s">
        <v>19</v>
      </c>
      <c r="G584">
        <v>1</v>
      </c>
      <c r="H584" t="s">
        <v>20</v>
      </c>
      <c r="I584" t="s">
        <v>77</v>
      </c>
      <c r="J584" s="1">
        <v>44063</v>
      </c>
      <c r="L584" t="s">
        <v>14</v>
      </c>
      <c r="M584">
        <v>21.29</v>
      </c>
      <c r="N584">
        <v>21.29</v>
      </c>
      <c r="O584" t="s">
        <v>21</v>
      </c>
      <c r="P584">
        <f t="shared" si="29"/>
        <v>1</v>
      </c>
      <c r="Q584" s="11">
        <f>IF(P584=0,0,IFERROR(Q583+G584*M584*IF(E584="FUTURE",VLOOKUP(MID(I584,2,2),[1]Futures!$A$2:$B$12,2),1),G584*M584*IF(E584="FUTURE",VLOOKUP(MID(I584,2,2),[1]Futures!$A$2:$B$12,2),1)))</f>
        <v>21290</v>
      </c>
      <c r="R584" s="12">
        <f>IFERROR(Q584/P584/IF(E584="FUTURE",VLOOKUP(MID(I584,2,2),[1]Futures!$A$2:$B$12,2),1),"")</f>
        <v>21.29</v>
      </c>
      <c r="S584" s="13" t="str">
        <f>IF(AND(H584="TO CLOSE",P584=0),-G584*(M584-R583)*IF(E584="FUTURE",VLOOKUP(MID(I584,2,2),[1]Futures!$A$2:$B$12,2),1),"")</f>
        <v/>
      </c>
    </row>
    <row r="585" spans="1:19" x14ac:dyDescent="0.2">
      <c r="A585">
        <f t="shared" si="28"/>
        <v>154</v>
      </c>
      <c r="B585" s="3">
        <v>43948</v>
      </c>
      <c r="C585" s="3" t="str">
        <f t="shared" si="27"/>
        <v>Monday</v>
      </c>
      <c r="D585" s="2">
        <v>0.60111111111111104</v>
      </c>
      <c r="E585" t="s">
        <v>14</v>
      </c>
      <c r="F585" t="s">
        <v>15</v>
      </c>
      <c r="G585">
        <v>-1</v>
      </c>
      <c r="H585" t="s">
        <v>16</v>
      </c>
      <c r="I585" t="s">
        <v>77</v>
      </c>
      <c r="J585" s="1">
        <v>44063</v>
      </c>
      <c r="L585" t="s">
        <v>14</v>
      </c>
      <c r="M585">
        <v>21.39</v>
      </c>
      <c r="N585">
        <v>21.39</v>
      </c>
      <c r="O585" t="s">
        <v>21</v>
      </c>
      <c r="P585">
        <f t="shared" si="29"/>
        <v>0</v>
      </c>
      <c r="Q585" s="11">
        <f>IF(P585=0,0,IFERROR(Q584+G585*M585*IF(E585="FUTURE",VLOOKUP(MID(I585,2,2),[1]Futures!$A$2:$B$12,2),1),G585*M585*IF(E585="FUTURE",VLOOKUP(MID(I585,2,2),[1]Futures!$A$2:$B$12,2),1)))</f>
        <v>0</v>
      </c>
      <c r="R585" s="12" t="str">
        <f>IFERROR(Q585/P585/IF(E585="FUTURE",VLOOKUP(MID(I585,2,2),[1]Futures!$A$2:$B$12,2),1),"")</f>
        <v/>
      </c>
      <c r="S585" s="13">
        <f>IF(AND(H585="TO CLOSE",P585=0),-G585*(M585-R584)*IF(E585="FUTURE",VLOOKUP(MID(I585,2,2),[1]Futures!$A$2:$B$12,2),1),"")</f>
        <v>100.00000000000142</v>
      </c>
    </row>
    <row r="586" spans="1:19" x14ac:dyDescent="0.2">
      <c r="A586">
        <f t="shared" si="28"/>
        <v>155</v>
      </c>
      <c r="B586" s="3">
        <v>43948</v>
      </c>
      <c r="C586" s="3" t="str">
        <f t="shared" si="27"/>
        <v>Monday</v>
      </c>
      <c r="D586" s="2">
        <v>0.45965277777777774</v>
      </c>
      <c r="E586" t="s">
        <v>14</v>
      </c>
      <c r="F586" t="s">
        <v>15</v>
      </c>
      <c r="G586">
        <v>-1</v>
      </c>
      <c r="H586" t="s">
        <v>20</v>
      </c>
      <c r="I586" t="s">
        <v>17</v>
      </c>
      <c r="J586" s="1">
        <v>44002</v>
      </c>
      <c r="L586" t="s">
        <v>14</v>
      </c>
      <c r="M586">
        <v>2854</v>
      </c>
      <c r="N586">
        <v>2854</v>
      </c>
      <c r="O586" t="s">
        <v>21</v>
      </c>
      <c r="P586">
        <f t="shared" si="29"/>
        <v>-1</v>
      </c>
      <c r="Q586" s="11">
        <f>IF(P586=0,0,IFERROR(Q585+G586*M586*IF(E586="FUTURE",VLOOKUP(MID(I586,2,2),[1]Futures!$A$2:$B$12,2),1),G586*M586*IF(E586="FUTURE",VLOOKUP(MID(I586,2,2),[1]Futures!$A$2:$B$12,2),1)))</f>
        <v>-142700</v>
      </c>
      <c r="R586" s="12">
        <f>IFERROR(Q586/P586/IF(E586="FUTURE",VLOOKUP(MID(I586,2,2),[1]Futures!$A$2:$B$12,2),1),"")</f>
        <v>2854</v>
      </c>
      <c r="S586" s="13" t="str">
        <f>IF(AND(H586="TO CLOSE",P586=0),-G586*(M586-R585)*IF(E586="FUTURE",VLOOKUP(MID(I586,2,2),[1]Futures!$A$2:$B$12,2),1),"")</f>
        <v/>
      </c>
    </row>
    <row r="587" spans="1:19" x14ac:dyDescent="0.2">
      <c r="A587">
        <f t="shared" si="28"/>
        <v>155</v>
      </c>
      <c r="B587" s="3">
        <v>43948</v>
      </c>
      <c r="C587" s="3" t="str">
        <f t="shared" si="27"/>
        <v>Monday</v>
      </c>
      <c r="D587" s="2">
        <v>0.48193287037037041</v>
      </c>
      <c r="E587" t="s">
        <v>14</v>
      </c>
      <c r="F587" t="s">
        <v>19</v>
      </c>
      <c r="G587">
        <v>1</v>
      </c>
      <c r="H587" t="s">
        <v>16</v>
      </c>
      <c r="I587" t="s">
        <v>17</v>
      </c>
      <c r="J587" s="1">
        <v>44002</v>
      </c>
      <c r="L587" t="s">
        <v>14</v>
      </c>
      <c r="M587">
        <v>2866.25</v>
      </c>
      <c r="N587">
        <v>2866.25</v>
      </c>
      <c r="O587" t="s">
        <v>18</v>
      </c>
      <c r="P587">
        <f t="shared" si="29"/>
        <v>0</v>
      </c>
      <c r="Q587" s="11">
        <f>IF(P587=0,0,IFERROR(Q586+G587*M587*IF(E587="FUTURE",VLOOKUP(MID(I587,2,2),[1]Futures!$A$2:$B$12,2),1),G587*M587*IF(E587="FUTURE",VLOOKUP(MID(I587,2,2),[1]Futures!$A$2:$B$12,2),1)))</f>
        <v>0</v>
      </c>
      <c r="R587" s="12" t="str">
        <f>IFERROR(Q587/P587/IF(E587="FUTURE",VLOOKUP(MID(I587,2,2),[1]Futures!$A$2:$B$12,2),1),"")</f>
        <v/>
      </c>
      <c r="S587" s="13">
        <f>IF(AND(H587="TO CLOSE",P587=0),-G587*(M587-R586)*IF(E587="FUTURE",VLOOKUP(MID(I587,2,2),[1]Futures!$A$2:$B$12,2),1),"")</f>
        <v>-612.5</v>
      </c>
    </row>
    <row r="588" spans="1:19" x14ac:dyDescent="0.2">
      <c r="A588">
        <f t="shared" si="28"/>
        <v>156</v>
      </c>
      <c r="B588" s="3">
        <v>43948</v>
      </c>
      <c r="C588" s="3" t="str">
        <f t="shared" si="27"/>
        <v>Monday</v>
      </c>
      <c r="D588" s="2">
        <v>0.49502314814814818</v>
      </c>
      <c r="E588" t="s">
        <v>14</v>
      </c>
      <c r="F588" t="s">
        <v>15</v>
      </c>
      <c r="G588">
        <v>-1</v>
      </c>
      <c r="H588" t="s">
        <v>20</v>
      </c>
      <c r="I588" t="s">
        <v>17</v>
      </c>
      <c r="J588" s="1">
        <v>44002</v>
      </c>
      <c r="L588" t="s">
        <v>14</v>
      </c>
      <c r="M588">
        <v>2866.5</v>
      </c>
      <c r="N588">
        <v>2866.5</v>
      </c>
      <c r="O588" t="s">
        <v>21</v>
      </c>
      <c r="P588">
        <f t="shared" si="29"/>
        <v>-1</v>
      </c>
      <c r="Q588" s="11">
        <f>IF(P588=0,0,IFERROR(Q587+G588*M588*IF(E588="FUTURE",VLOOKUP(MID(I588,2,2),[1]Futures!$A$2:$B$12,2),1),G588*M588*IF(E588="FUTURE",VLOOKUP(MID(I588,2,2),[1]Futures!$A$2:$B$12,2),1)))</f>
        <v>-143325</v>
      </c>
      <c r="R588" s="12">
        <f>IFERROR(Q588/P588/IF(E588="FUTURE",VLOOKUP(MID(I588,2,2),[1]Futures!$A$2:$B$12,2),1),"")</f>
        <v>2866.5</v>
      </c>
      <c r="S588" s="13" t="str">
        <f>IF(AND(H588="TO CLOSE",P588=0),-G588*(M588-R587)*IF(E588="FUTURE",VLOOKUP(MID(I588,2,2),[1]Futures!$A$2:$B$12,2),1),"")</f>
        <v/>
      </c>
    </row>
    <row r="589" spans="1:19" x14ac:dyDescent="0.2">
      <c r="A589">
        <f t="shared" si="28"/>
        <v>156</v>
      </c>
      <c r="B589" s="3">
        <v>43948</v>
      </c>
      <c r="C589" s="3" t="str">
        <f t="shared" si="27"/>
        <v>Monday</v>
      </c>
      <c r="D589" s="2">
        <v>0.58381944444444445</v>
      </c>
      <c r="E589" t="s">
        <v>14</v>
      </c>
      <c r="F589" t="s">
        <v>19</v>
      </c>
      <c r="G589">
        <v>1</v>
      </c>
      <c r="H589" t="s">
        <v>16</v>
      </c>
      <c r="I589" t="s">
        <v>17</v>
      </c>
      <c r="J589" s="1">
        <v>44002</v>
      </c>
      <c r="L589" t="s">
        <v>14</v>
      </c>
      <c r="M589">
        <v>2866.25</v>
      </c>
      <c r="N589">
        <v>2866.25</v>
      </c>
      <c r="O589" t="s">
        <v>18</v>
      </c>
      <c r="P589">
        <f t="shared" si="29"/>
        <v>0</v>
      </c>
      <c r="Q589" s="11">
        <f>IF(P589=0,0,IFERROR(Q588+G589*M589*IF(E589="FUTURE",VLOOKUP(MID(I589,2,2),[1]Futures!$A$2:$B$12,2),1),G589*M589*IF(E589="FUTURE",VLOOKUP(MID(I589,2,2),[1]Futures!$A$2:$B$12,2),1)))</f>
        <v>0</v>
      </c>
      <c r="R589" s="12" t="str">
        <f>IFERROR(Q589/P589/IF(E589="FUTURE",VLOOKUP(MID(I589,2,2),[1]Futures!$A$2:$B$12,2),1),"")</f>
        <v/>
      </c>
      <c r="S589" s="13">
        <f>IF(AND(H589="TO CLOSE",P589=0),-G589*(M589-R588)*IF(E589="FUTURE",VLOOKUP(MID(I589,2,2),[1]Futures!$A$2:$B$12,2),1),"")</f>
        <v>12.5</v>
      </c>
    </row>
    <row r="590" spans="1:19" x14ac:dyDescent="0.2">
      <c r="A590">
        <f t="shared" si="28"/>
        <v>157</v>
      </c>
      <c r="B590" s="3">
        <v>43948</v>
      </c>
      <c r="C590" s="3" t="str">
        <f t="shared" si="27"/>
        <v>Monday</v>
      </c>
      <c r="D590" s="2">
        <v>0.60193287037037035</v>
      </c>
      <c r="E590" t="s">
        <v>14</v>
      </c>
      <c r="F590" t="s">
        <v>15</v>
      </c>
      <c r="G590">
        <v>-1</v>
      </c>
      <c r="H590" t="s">
        <v>20</v>
      </c>
      <c r="I590" t="s">
        <v>17</v>
      </c>
      <c r="J590" s="1">
        <v>44002</v>
      </c>
      <c r="L590" t="s">
        <v>14</v>
      </c>
      <c r="M590">
        <v>2867.25</v>
      </c>
      <c r="N590">
        <v>2867.25</v>
      </c>
      <c r="O590" t="s">
        <v>21</v>
      </c>
      <c r="P590">
        <f t="shared" si="29"/>
        <v>-1</v>
      </c>
      <c r="Q590" s="11">
        <f>IF(P590=0,0,IFERROR(Q589+G590*M590*IF(E590="FUTURE",VLOOKUP(MID(I590,2,2),[1]Futures!$A$2:$B$12,2),1),G590*M590*IF(E590="FUTURE",VLOOKUP(MID(I590,2,2),[1]Futures!$A$2:$B$12,2),1)))</f>
        <v>-143362.5</v>
      </c>
      <c r="R590" s="12">
        <f>IFERROR(Q590/P590/IF(E590="FUTURE",VLOOKUP(MID(I590,2,2),[1]Futures!$A$2:$B$12,2),1),"")</f>
        <v>2867.25</v>
      </c>
      <c r="S590" s="13" t="str">
        <f>IF(AND(H590="TO CLOSE",P590=0),-G590*(M590-R589)*IF(E590="FUTURE",VLOOKUP(MID(I590,2,2),[1]Futures!$A$2:$B$12,2),1),"")</f>
        <v/>
      </c>
    </row>
    <row r="591" spans="1:19" x14ac:dyDescent="0.2">
      <c r="A591">
        <f t="shared" si="28"/>
        <v>157</v>
      </c>
      <c r="B591" s="3">
        <v>43948</v>
      </c>
      <c r="C591" s="3" t="str">
        <f t="shared" si="27"/>
        <v>Monday</v>
      </c>
      <c r="D591" s="2">
        <v>0.62799768518518517</v>
      </c>
      <c r="E591" t="s">
        <v>14</v>
      </c>
      <c r="F591" t="s">
        <v>19</v>
      </c>
      <c r="G591">
        <v>1</v>
      </c>
      <c r="H591" t="s">
        <v>16</v>
      </c>
      <c r="I591" t="s">
        <v>17</v>
      </c>
      <c r="J591" s="1">
        <v>44002</v>
      </c>
      <c r="L591" t="s">
        <v>14</v>
      </c>
      <c r="M591">
        <v>2875</v>
      </c>
      <c r="N591">
        <v>2875</v>
      </c>
      <c r="O591" t="s">
        <v>18</v>
      </c>
      <c r="P591">
        <f t="shared" si="29"/>
        <v>0</v>
      </c>
      <c r="Q591" s="11">
        <f>IF(P591=0,0,IFERROR(Q590+G591*M591*IF(E591="FUTURE",VLOOKUP(MID(I591,2,2),[1]Futures!$A$2:$B$12,2),1),G591*M591*IF(E591="FUTURE",VLOOKUP(MID(I591,2,2),[1]Futures!$A$2:$B$12,2),1)))</f>
        <v>0</v>
      </c>
      <c r="R591" s="12" t="str">
        <f>IFERROR(Q591/P591/IF(E591="FUTURE",VLOOKUP(MID(I591,2,2),[1]Futures!$A$2:$B$12,2),1),"")</f>
        <v/>
      </c>
      <c r="S591" s="13">
        <f>IF(AND(H591="TO CLOSE",P591=0),-G591*(M591-R590)*IF(E591="FUTURE",VLOOKUP(MID(I591,2,2),[1]Futures!$A$2:$B$12,2),1),"")</f>
        <v>-387.5</v>
      </c>
    </row>
    <row r="592" spans="1:19" x14ac:dyDescent="0.2">
      <c r="A592">
        <f t="shared" si="28"/>
        <v>158</v>
      </c>
      <c r="B592" s="3">
        <v>43948</v>
      </c>
      <c r="C592" s="3" t="str">
        <f t="shared" si="27"/>
        <v>Monday</v>
      </c>
      <c r="D592" s="2">
        <v>0.45869212962962963</v>
      </c>
      <c r="E592" t="s">
        <v>22</v>
      </c>
      <c r="F592" t="s">
        <v>19</v>
      </c>
      <c r="G592">
        <v>100</v>
      </c>
      <c r="H592" t="s">
        <v>20</v>
      </c>
      <c r="I592" t="s">
        <v>23</v>
      </c>
      <c r="L592" t="s">
        <v>22</v>
      </c>
      <c r="M592">
        <v>38.49</v>
      </c>
      <c r="N592">
        <v>38.49</v>
      </c>
      <c r="O592" t="s">
        <v>21</v>
      </c>
      <c r="P592">
        <f t="shared" si="29"/>
        <v>100</v>
      </c>
      <c r="Q592" s="11">
        <f>IF(P592=0,0,IFERROR(Q591+G592*M592*IF(E592="FUTURE",VLOOKUP(MID(I592,2,2),[1]Futures!$A$2:$B$12,2),1),G592*M592*IF(E592="FUTURE",VLOOKUP(MID(I592,2,2),[1]Futures!$A$2:$B$12,2),1)))</f>
        <v>3849</v>
      </c>
      <c r="R592" s="12">
        <f>IFERROR(Q592/P592/IF(E592="FUTURE",VLOOKUP(MID(I592,2,2),[1]Futures!$A$2:$B$12,2),1),"")</f>
        <v>38.49</v>
      </c>
      <c r="S592" s="13" t="str">
        <f>IF(AND(H592="TO CLOSE",P592=0),-G592*(M592-R591)*IF(E592="FUTURE",VLOOKUP(MID(I592,2,2),[1]Futures!$A$2:$B$12,2),1),"")</f>
        <v/>
      </c>
    </row>
    <row r="593" spans="1:19" x14ac:dyDescent="0.2">
      <c r="A593">
        <f t="shared" si="28"/>
        <v>158</v>
      </c>
      <c r="B593" s="3">
        <v>43948</v>
      </c>
      <c r="C593" s="3" t="str">
        <f t="shared" si="27"/>
        <v>Monday</v>
      </c>
      <c r="D593" s="2">
        <v>0.45869212962962963</v>
      </c>
      <c r="E593" t="s">
        <v>22</v>
      </c>
      <c r="F593" t="s">
        <v>19</v>
      </c>
      <c r="G593">
        <v>300</v>
      </c>
      <c r="H593" t="s">
        <v>20</v>
      </c>
      <c r="I593" t="s">
        <v>23</v>
      </c>
      <c r="L593" t="s">
        <v>22</v>
      </c>
      <c r="M593">
        <v>38.49</v>
      </c>
      <c r="N593">
        <v>38.49</v>
      </c>
      <c r="O593" t="s">
        <v>21</v>
      </c>
      <c r="P593">
        <f t="shared" si="29"/>
        <v>400</v>
      </c>
      <c r="Q593" s="11">
        <f>IF(P593=0,0,IFERROR(Q592+G593*M593*IF(E593="FUTURE",VLOOKUP(MID(I593,2,2),[1]Futures!$A$2:$B$12,2),1),G593*M593*IF(E593="FUTURE",VLOOKUP(MID(I593,2,2),[1]Futures!$A$2:$B$12,2),1)))</f>
        <v>15396</v>
      </c>
      <c r="R593" s="12">
        <f>IFERROR(Q593/P593/IF(E593="FUTURE",VLOOKUP(MID(I593,2,2),[1]Futures!$A$2:$B$12,2),1),"")</f>
        <v>38.49</v>
      </c>
      <c r="S593" s="13" t="str">
        <f>IF(AND(H593="TO CLOSE",P593=0),-G593*(M593-R592)*IF(E593="FUTURE",VLOOKUP(MID(I593,2,2),[1]Futures!$A$2:$B$12,2),1),"")</f>
        <v/>
      </c>
    </row>
    <row r="594" spans="1:19" x14ac:dyDescent="0.2">
      <c r="A594">
        <f t="shared" si="28"/>
        <v>158</v>
      </c>
      <c r="B594" s="3">
        <v>43948</v>
      </c>
      <c r="C594" s="3" t="str">
        <f t="shared" si="27"/>
        <v>Monday</v>
      </c>
      <c r="D594" s="2">
        <v>0.46881944444444446</v>
      </c>
      <c r="E594" t="s">
        <v>22</v>
      </c>
      <c r="F594" t="s">
        <v>19</v>
      </c>
      <c r="G594">
        <v>100</v>
      </c>
      <c r="H594" t="s">
        <v>20</v>
      </c>
      <c r="I594" t="s">
        <v>23</v>
      </c>
      <c r="L594" t="s">
        <v>22</v>
      </c>
      <c r="M594">
        <v>38.167000000000002</v>
      </c>
      <c r="N594">
        <v>38.167000000000002</v>
      </c>
      <c r="O594" t="s">
        <v>21</v>
      </c>
      <c r="P594">
        <f t="shared" si="29"/>
        <v>500</v>
      </c>
      <c r="Q594" s="11">
        <f>IF(P594=0,0,IFERROR(Q593+G594*M594*IF(E594="FUTURE",VLOOKUP(MID(I594,2,2),[1]Futures!$A$2:$B$12,2),1),G594*M594*IF(E594="FUTURE",VLOOKUP(MID(I594,2,2),[1]Futures!$A$2:$B$12,2),1)))</f>
        <v>19212.7</v>
      </c>
      <c r="R594" s="12">
        <f>IFERROR(Q594/P594/IF(E594="FUTURE",VLOOKUP(MID(I594,2,2),[1]Futures!$A$2:$B$12,2),1),"")</f>
        <v>38.425400000000003</v>
      </c>
      <c r="S594" s="13" t="str">
        <f>IF(AND(H594="TO CLOSE",P594=0),-G594*(M594-R593)*IF(E594="FUTURE",VLOOKUP(MID(I594,2,2),[1]Futures!$A$2:$B$12,2),1),"")</f>
        <v/>
      </c>
    </row>
    <row r="595" spans="1:19" x14ac:dyDescent="0.2">
      <c r="A595">
        <f t="shared" si="28"/>
        <v>158</v>
      </c>
      <c r="B595" s="3">
        <v>43948</v>
      </c>
      <c r="C595" s="3" t="str">
        <f t="shared" si="27"/>
        <v>Monday</v>
      </c>
      <c r="D595" s="2">
        <v>0.48873842592592592</v>
      </c>
      <c r="E595" t="s">
        <v>22</v>
      </c>
      <c r="F595" t="s">
        <v>19</v>
      </c>
      <c r="G595">
        <v>100</v>
      </c>
      <c r="H595" t="s">
        <v>20</v>
      </c>
      <c r="I595" t="s">
        <v>23</v>
      </c>
      <c r="L595" t="s">
        <v>22</v>
      </c>
      <c r="M595">
        <v>37.96</v>
      </c>
      <c r="N595">
        <v>37.96</v>
      </c>
      <c r="O595" t="s">
        <v>21</v>
      </c>
      <c r="P595">
        <f t="shared" si="29"/>
        <v>600</v>
      </c>
      <c r="Q595" s="11">
        <f>IF(P595=0,0,IFERROR(Q594+G595*M595*IF(E595="FUTURE",VLOOKUP(MID(I595,2,2),[1]Futures!$A$2:$B$12,2),1),G595*M595*IF(E595="FUTURE",VLOOKUP(MID(I595,2,2),[1]Futures!$A$2:$B$12,2),1)))</f>
        <v>23008.7</v>
      </c>
      <c r="R595" s="12">
        <f>IFERROR(Q595/P595/IF(E595="FUTURE",VLOOKUP(MID(I595,2,2),[1]Futures!$A$2:$B$12,2),1),"")</f>
        <v>38.347833333333334</v>
      </c>
      <c r="S595" s="13" t="str">
        <f>IF(AND(H595="TO CLOSE",P595=0),-G595*(M595-R594)*IF(E595="FUTURE",VLOOKUP(MID(I595,2,2),[1]Futures!$A$2:$B$12,2),1),"")</f>
        <v/>
      </c>
    </row>
    <row r="596" spans="1:19" x14ac:dyDescent="0.2">
      <c r="A596">
        <f t="shared" si="28"/>
        <v>158</v>
      </c>
      <c r="B596" s="3">
        <v>43948</v>
      </c>
      <c r="C596" s="3" t="str">
        <f t="shared" si="27"/>
        <v>Monday</v>
      </c>
      <c r="D596" s="2">
        <v>0.55759259259259253</v>
      </c>
      <c r="E596" t="s">
        <v>22</v>
      </c>
      <c r="F596" t="s">
        <v>15</v>
      </c>
      <c r="G596">
        <v>-200</v>
      </c>
      <c r="H596" t="s">
        <v>16</v>
      </c>
      <c r="I596" t="s">
        <v>23</v>
      </c>
      <c r="L596" t="s">
        <v>22</v>
      </c>
      <c r="M596">
        <v>38.42</v>
      </c>
      <c r="N596">
        <v>38.42</v>
      </c>
      <c r="O596" t="s">
        <v>21</v>
      </c>
      <c r="P596">
        <f t="shared" si="29"/>
        <v>400</v>
      </c>
      <c r="Q596" s="11">
        <f>IF(P596=0,0,IFERROR(Q595+G596*M596*IF(E596="FUTURE",VLOOKUP(MID(I596,2,2),[1]Futures!$A$2:$B$12,2),1),G596*M596*IF(E596="FUTURE",VLOOKUP(MID(I596,2,2),[1]Futures!$A$2:$B$12,2),1)))</f>
        <v>15324.7</v>
      </c>
      <c r="R596" s="12">
        <f>IFERROR(Q596/P596/IF(E596="FUTURE",VLOOKUP(MID(I596,2,2),[1]Futures!$A$2:$B$12,2),1),"")</f>
        <v>38.311750000000004</v>
      </c>
      <c r="S596" s="13" t="str">
        <f>IF(AND(H596="TO CLOSE",P596=0),-G596*(M596-R595)*IF(E596="FUTURE",VLOOKUP(MID(I596,2,2),[1]Futures!$A$2:$B$12,2),1),"")</f>
        <v/>
      </c>
    </row>
    <row r="597" spans="1:19" x14ac:dyDescent="0.2">
      <c r="A597">
        <f t="shared" si="28"/>
        <v>158</v>
      </c>
      <c r="B597" s="3">
        <v>43948</v>
      </c>
      <c r="C597" s="3" t="str">
        <f t="shared" si="27"/>
        <v>Monday</v>
      </c>
      <c r="D597" s="2">
        <v>0.57600694444444445</v>
      </c>
      <c r="E597" t="s">
        <v>22</v>
      </c>
      <c r="F597" t="s">
        <v>15</v>
      </c>
      <c r="G597">
        <v>-25</v>
      </c>
      <c r="H597" t="s">
        <v>16</v>
      </c>
      <c r="I597" t="s">
        <v>23</v>
      </c>
      <c r="L597" t="s">
        <v>22</v>
      </c>
      <c r="M597">
        <v>38.71</v>
      </c>
      <c r="N597">
        <v>38.71</v>
      </c>
      <c r="O597" t="s">
        <v>21</v>
      </c>
      <c r="P597">
        <f t="shared" si="29"/>
        <v>375</v>
      </c>
      <c r="Q597" s="11">
        <f>IF(P597=0,0,IFERROR(Q596+G597*M597*IF(E597="FUTURE",VLOOKUP(MID(I597,2,2),[1]Futures!$A$2:$B$12,2),1),G597*M597*IF(E597="FUTURE",VLOOKUP(MID(I597,2,2),[1]Futures!$A$2:$B$12,2),1)))</f>
        <v>14356.95</v>
      </c>
      <c r="R597" s="12">
        <f>IFERROR(Q597/P597/IF(E597="FUTURE",VLOOKUP(MID(I597,2,2),[1]Futures!$A$2:$B$12,2),1),"")</f>
        <v>38.285200000000003</v>
      </c>
      <c r="S597" s="13" t="str">
        <f>IF(AND(H597="TO CLOSE",P597=0),-G597*(M597-R596)*IF(E597="FUTURE",VLOOKUP(MID(I597,2,2),[1]Futures!$A$2:$B$12,2),1),"")</f>
        <v/>
      </c>
    </row>
    <row r="598" spans="1:19" x14ac:dyDescent="0.2">
      <c r="A598">
        <f t="shared" si="28"/>
        <v>158</v>
      </c>
      <c r="B598" s="3">
        <v>43948</v>
      </c>
      <c r="C598" s="3" t="str">
        <f t="shared" si="27"/>
        <v>Monday</v>
      </c>
      <c r="D598" s="2">
        <v>0.57600694444444445</v>
      </c>
      <c r="E598" t="s">
        <v>22</v>
      </c>
      <c r="F598" t="s">
        <v>15</v>
      </c>
      <c r="G598">
        <v>-175</v>
      </c>
      <c r="H598" t="s">
        <v>16</v>
      </c>
      <c r="I598" t="s">
        <v>23</v>
      </c>
      <c r="L598" t="s">
        <v>22</v>
      </c>
      <c r="M598">
        <v>38.71</v>
      </c>
      <c r="N598">
        <v>38.71</v>
      </c>
      <c r="O598" t="s">
        <v>21</v>
      </c>
      <c r="P598">
        <f t="shared" si="29"/>
        <v>200</v>
      </c>
      <c r="Q598" s="11">
        <f>IF(P598=0,0,IFERROR(Q597+G598*M598*IF(E598="FUTURE",VLOOKUP(MID(I598,2,2),[1]Futures!$A$2:$B$12,2),1),G598*M598*IF(E598="FUTURE",VLOOKUP(MID(I598,2,2),[1]Futures!$A$2:$B$12,2),1)))</f>
        <v>7582.7000000000007</v>
      </c>
      <c r="R598" s="12">
        <f>IFERROR(Q598/P598/IF(E598="FUTURE",VLOOKUP(MID(I598,2,2),[1]Futures!$A$2:$B$12,2),1),"")</f>
        <v>37.913500000000006</v>
      </c>
      <c r="S598" s="13" t="str">
        <f>IF(AND(H598="TO CLOSE",P598=0),-G598*(M598-R597)*IF(E598="FUTURE",VLOOKUP(MID(I598,2,2),[1]Futures!$A$2:$B$12,2),1),"")</f>
        <v/>
      </c>
    </row>
    <row r="599" spans="1:19" x14ac:dyDescent="0.2">
      <c r="A599">
        <f t="shared" si="28"/>
        <v>158</v>
      </c>
      <c r="B599" s="3">
        <v>43948</v>
      </c>
      <c r="C599" s="3" t="str">
        <f t="shared" si="27"/>
        <v>Monday</v>
      </c>
      <c r="D599" s="2">
        <v>0.58189814814814811</v>
      </c>
      <c r="E599" t="s">
        <v>22</v>
      </c>
      <c r="F599" t="s">
        <v>15</v>
      </c>
      <c r="G599">
        <v>-200</v>
      </c>
      <c r="H599" t="s">
        <v>16</v>
      </c>
      <c r="I599" t="s">
        <v>23</v>
      </c>
      <c r="L599" t="s">
        <v>22</v>
      </c>
      <c r="M599">
        <v>38.585000000000001</v>
      </c>
      <c r="N599">
        <v>38.585000000000001</v>
      </c>
      <c r="O599" t="s">
        <v>24</v>
      </c>
      <c r="P599">
        <f t="shared" si="29"/>
        <v>0</v>
      </c>
      <c r="Q599" s="11">
        <f>IF(P599=0,0,IFERROR(Q598+G599*M599*IF(E599="FUTURE",VLOOKUP(MID(I599,2,2),[1]Futures!$A$2:$B$12,2),1),G599*M599*IF(E599="FUTURE",VLOOKUP(MID(I599,2,2),[1]Futures!$A$2:$B$12,2),1)))</f>
        <v>0</v>
      </c>
      <c r="R599" s="12" t="str">
        <f>IFERROR(Q599/P599/IF(E599="FUTURE",VLOOKUP(MID(I599,2,2),[1]Futures!$A$2:$B$12,2),1),"")</f>
        <v/>
      </c>
      <c r="S599" s="13">
        <f>IF(AND(H599="TO CLOSE",P599=0),-G599*(M599-R598)*IF(E599="FUTURE",VLOOKUP(MID(I599,2,2),[1]Futures!$A$2:$B$12,2),1),"")</f>
        <v>134.29999999999893</v>
      </c>
    </row>
    <row r="600" spans="1:19" x14ac:dyDescent="0.2">
      <c r="A600">
        <f t="shared" si="28"/>
        <v>159</v>
      </c>
      <c r="B600" s="3">
        <v>43949</v>
      </c>
      <c r="C600" s="3" t="str">
        <f t="shared" si="27"/>
        <v>Tuesday</v>
      </c>
      <c r="D600" s="2">
        <v>0.39087962962962958</v>
      </c>
      <c r="E600" t="s">
        <v>14</v>
      </c>
      <c r="F600" t="s">
        <v>19</v>
      </c>
      <c r="G600">
        <v>1</v>
      </c>
      <c r="H600" t="s">
        <v>20</v>
      </c>
      <c r="I600" t="s">
        <v>77</v>
      </c>
      <c r="J600" s="1">
        <v>44063</v>
      </c>
      <c r="L600" t="s">
        <v>14</v>
      </c>
      <c r="M600">
        <v>22.07</v>
      </c>
      <c r="N600">
        <v>22.07</v>
      </c>
      <c r="O600" t="s">
        <v>21</v>
      </c>
      <c r="P600">
        <f t="shared" si="29"/>
        <v>1</v>
      </c>
      <c r="Q600" s="11">
        <f>IF(P600=0,0,IFERROR(Q599+G600*M600*IF(E600="FUTURE",VLOOKUP(MID(I600,2,2),[1]Futures!$A$2:$B$12,2),1),G600*M600*IF(E600="FUTURE",VLOOKUP(MID(I600,2,2),[1]Futures!$A$2:$B$12,2),1)))</f>
        <v>22070</v>
      </c>
      <c r="R600" s="12">
        <f>IFERROR(Q600/P600/IF(E600="FUTURE",VLOOKUP(MID(I600,2,2),[1]Futures!$A$2:$B$12,2),1),"")</f>
        <v>22.07</v>
      </c>
      <c r="S600" s="13" t="str">
        <f>IF(AND(H600="TO CLOSE",P600=0),-G600*(M600-R599)*IF(E600="FUTURE",VLOOKUP(MID(I600,2,2),[1]Futures!$A$2:$B$12,2),1),"")</f>
        <v/>
      </c>
    </row>
    <row r="601" spans="1:19" x14ac:dyDescent="0.2">
      <c r="A601">
        <f t="shared" si="28"/>
        <v>159</v>
      </c>
      <c r="B601" s="3">
        <v>43949</v>
      </c>
      <c r="C601" s="3" t="str">
        <f t="shared" si="27"/>
        <v>Tuesday</v>
      </c>
      <c r="D601" s="2">
        <v>0.4160300925925926</v>
      </c>
      <c r="E601" t="s">
        <v>14</v>
      </c>
      <c r="F601" t="s">
        <v>15</v>
      </c>
      <c r="G601">
        <v>-1</v>
      </c>
      <c r="H601" t="s">
        <v>16</v>
      </c>
      <c r="I601" t="s">
        <v>77</v>
      </c>
      <c r="J601" s="1">
        <v>44063</v>
      </c>
      <c r="L601" t="s">
        <v>14</v>
      </c>
      <c r="M601">
        <v>22.16</v>
      </c>
      <c r="N601">
        <v>22.16</v>
      </c>
      <c r="O601" t="s">
        <v>21</v>
      </c>
      <c r="P601">
        <f t="shared" si="29"/>
        <v>0</v>
      </c>
      <c r="Q601" s="11">
        <f>IF(P601=0,0,IFERROR(Q600+G601*M601*IF(E601="FUTURE",VLOOKUP(MID(I601,2,2),[1]Futures!$A$2:$B$12,2),1),G601*M601*IF(E601="FUTURE",VLOOKUP(MID(I601,2,2),[1]Futures!$A$2:$B$12,2),1)))</f>
        <v>0</v>
      </c>
      <c r="R601" s="12" t="str">
        <f>IFERROR(Q601/P601/IF(E601="FUTURE",VLOOKUP(MID(I601,2,2),[1]Futures!$A$2:$B$12,2),1),"")</f>
        <v/>
      </c>
      <c r="S601" s="13">
        <f>IF(AND(H601="TO CLOSE",P601=0),-G601*(M601-R600)*IF(E601="FUTURE",VLOOKUP(MID(I601,2,2),[1]Futures!$A$2:$B$12,2),1),"")</f>
        <v>89.999999999999858</v>
      </c>
    </row>
    <row r="602" spans="1:19" x14ac:dyDescent="0.2">
      <c r="A602">
        <f t="shared" si="28"/>
        <v>160</v>
      </c>
      <c r="B602" s="3">
        <v>43949</v>
      </c>
      <c r="C602" s="3" t="str">
        <f t="shared" si="27"/>
        <v>Tuesday</v>
      </c>
      <c r="D602" s="2">
        <v>0.4425115740740741</v>
      </c>
      <c r="E602" t="s">
        <v>14</v>
      </c>
      <c r="F602" t="s">
        <v>15</v>
      </c>
      <c r="G602">
        <v>-1</v>
      </c>
      <c r="H602" t="s">
        <v>20</v>
      </c>
      <c r="I602" t="s">
        <v>77</v>
      </c>
      <c r="J602" s="1">
        <v>44063</v>
      </c>
      <c r="L602" t="s">
        <v>14</v>
      </c>
      <c r="M602">
        <v>21.88</v>
      </c>
      <c r="N602">
        <v>21.88</v>
      </c>
      <c r="O602" t="s">
        <v>21</v>
      </c>
      <c r="P602">
        <f t="shared" si="29"/>
        <v>-1</v>
      </c>
      <c r="Q602" s="11">
        <f>IF(P602=0,0,IFERROR(Q601+G602*M602*IF(E602="FUTURE",VLOOKUP(MID(I602,2,2),[1]Futures!$A$2:$B$12,2),1),G602*M602*IF(E602="FUTURE",VLOOKUP(MID(I602,2,2),[1]Futures!$A$2:$B$12,2),1)))</f>
        <v>-21880</v>
      </c>
      <c r="R602" s="12">
        <f>IFERROR(Q602/P602/IF(E602="FUTURE",VLOOKUP(MID(I602,2,2),[1]Futures!$A$2:$B$12,2),1),"")</f>
        <v>21.88</v>
      </c>
      <c r="S602" s="13" t="str">
        <f>IF(AND(H602="TO CLOSE",P602=0),-G602*(M602-R601)*IF(E602="FUTURE",VLOOKUP(MID(I602,2,2),[1]Futures!$A$2:$B$12,2),1),"")</f>
        <v/>
      </c>
    </row>
    <row r="603" spans="1:19" x14ac:dyDescent="0.2">
      <c r="A603">
        <f t="shared" si="28"/>
        <v>160</v>
      </c>
      <c r="B603" s="3">
        <v>43949</v>
      </c>
      <c r="C603" s="3" t="str">
        <f t="shared" si="27"/>
        <v>Tuesday</v>
      </c>
      <c r="D603" s="2">
        <v>0.44311342592592595</v>
      </c>
      <c r="E603" t="s">
        <v>14</v>
      </c>
      <c r="F603" t="s">
        <v>19</v>
      </c>
      <c r="G603">
        <v>1</v>
      </c>
      <c r="H603" t="s">
        <v>16</v>
      </c>
      <c r="I603" t="s">
        <v>77</v>
      </c>
      <c r="J603" s="1">
        <v>44063</v>
      </c>
      <c r="L603" t="s">
        <v>14</v>
      </c>
      <c r="M603">
        <v>21.78</v>
      </c>
      <c r="N603">
        <v>21.78</v>
      </c>
      <c r="O603" t="s">
        <v>21</v>
      </c>
      <c r="P603">
        <f t="shared" si="29"/>
        <v>0</v>
      </c>
      <c r="Q603" s="11">
        <f>IF(P603=0,0,IFERROR(Q602+G603*M603*IF(E603="FUTURE",VLOOKUP(MID(I603,2,2),[1]Futures!$A$2:$B$12,2),1),G603*M603*IF(E603="FUTURE",VLOOKUP(MID(I603,2,2),[1]Futures!$A$2:$B$12,2),1)))</f>
        <v>0</v>
      </c>
      <c r="R603" s="12" t="str">
        <f>IFERROR(Q603/P603/IF(E603="FUTURE",VLOOKUP(MID(I603,2,2),[1]Futures!$A$2:$B$12,2),1),"")</f>
        <v/>
      </c>
      <c r="S603" s="13">
        <f>IF(AND(H603="TO CLOSE",P603=0),-G603*(M603-R602)*IF(E603="FUTURE",VLOOKUP(MID(I603,2,2),[1]Futures!$A$2:$B$12,2),1),"")</f>
        <v>99.999999999997868</v>
      </c>
    </row>
    <row r="604" spans="1:19" x14ac:dyDescent="0.2">
      <c r="A604">
        <f t="shared" si="28"/>
        <v>161</v>
      </c>
      <c r="B604" s="3">
        <v>43949</v>
      </c>
      <c r="C604" s="3" t="str">
        <f t="shared" si="27"/>
        <v>Tuesday</v>
      </c>
      <c r="D604" s="2">
        <v>0.46835648148148151</v>
      </c>
      <c r="E604" t="s">
        <v>14</v>
      </c>
      <c r="F604" t="s">
        <v>19</v>
      </c>
      <c r="G604">
        <v>1</v>
      </c>
      <c r="H604" t="s">
        <v>20</v>
      </c>
      <c r="I604" t="s">
        <v>77</v>
      </c>
      <c r="J604" s="1">
        <v>44063</v>
      </c>
      <c r="L604" t="s">
        <v>14</v>
      </c>
      <c r="M604">
        <v>21.44</v>
      </c>
      <c r="N604">
        <v>21.44</v>
      </c>
      <c r="O604" t="s">
        <v>21</v>
      </c>
      <c r="P604">
        <f t="shared" si="29"/>
        <v>1</v>
      </c>
      <c r="Q604" s="11">
        <f>IF(P604=0,0,IFERROR(Q603+G604*M604*IF(E604="FUTURE",VLOOKUP(MID(I604,2,2),[1]Futures!$A$2:$B$12,2),1),G604*M604*IF(E604="FUTURE",VLOOKUP(MID(I604,2,2),[1]Futures!$A$2:$B$12,2),1)))</f>
        <v>21440</v>
      </c>
      <c r="R604" s="12">
        <f>IFERROR(Q604/P604/IF(E604="FUTURE",VLOOKUP(MID(I604,2,2),[1]Futures!$A$2:$B$12,2),1),"")</f>
        <v>21.44</v>
      </c>
      <c r="S604" s="13" t="str">
        <f>IF(AND(H604="TO CLOSE",P604=0),-G604*(M604-R603)*IF(E604="FUTURE",VLOOKUP(MID(I604,2,2),[1]Futures!$A$2:$B$12,2),1),"")</f>
        <v/>
      </c>
    </row>
    <row r="605" spans="1:19" x14ac:dyDescent="0.2">
      <c r="A605">
        <f t="shared" si="28"/>
        <v>161</v>
      </c>
      <c r="B605" s="3">
        <v>43949</v>
      </c>
      <c r="C605" s="3" t="str">
        <f t="shared" si="27"/>
        <v>Tuesday</v>
      </c>
      <c r="D605" s="2">
        <v>0.46991898148148148</v>
      </c>
      <c r="E605" t="s">
        <v>14</v>
      </c>
      <c r="F605" t="s">
        <v>15</v>
      </c>
      <c r="G605">
        <v>-1</v>
      </c>
      <c r="H605" t="s">
        <v>16</v>
      </c>
      <c r="I605" t="s">
        <v>77</v>
      </c>
      <c r="J605" s="1">
        <v>44063</v>
      </c>
      <c r="L605" t="s">
        <v>14</v>
      </c>
      <c r="M605">
        <v>21.48</v>
      </c>
      <c r="N605">
        <v>21.48</v>
      </c>
      <c r="O605" t="s">
        <v>21</v>
      </c>
      <c r="P605">
        <f t="shared" si="29"/>
        <v>0</v>
      </c>
      <c r="Q605" s="11">
        <f>IF(P605=0,0,IFERROR(Q604+G605*M605*IF(E605="FUTURE",VLOOKUP(MID(I605,2,2),[1]Futures!$A$2:$B$12,2),1),G605*M605*IF(E605="FUTURE",VLOOKUP(MID(I605,2,2),[1]Futures!$A$2:$B$12,2),1)))</f>
        <v>0</v>
      </c>
      <c r="R605" s="12" t="str">
        <f>IFERROR(Q605/P605/IF(E605="FUTURE",VLOOKUP(MID(I605,2,2),[1]Futures!$A$2:$B$12,2),1),"")</f>
        <v/>
      </c>
      <c r="S605" s="13">
        <f>IF(AND(H605="TO CLOSE",P605=0),-G605*(M605-R604)*IF(E605="FUTURE",VLOOKUP(MID(I605,2,2),[1]Futures!$A$2:$B$12,2),1),"")</f>
        <v>39.999999999999147</v>
      </c>
    </row>
    <row r="606" spans="1:19" x14ac:dyDescent="0.2">
      <c r="A606">
        <f t="shared" si="28"/>
        <v>162</v>
      </c>
      <c r="B606" s="3">
        <v>43949</v>
      </c>
      <c r="C606" s="3" t="str">
        <f t="shared" si="27"/>
        <v>Tuesday</v>
      </c>
      <c r="D606" s="2">
        <v>0.47418981481481487</v>
      </c>
      <c r="E606" t="s">
        <v>14</v>
      </c>
      <c r="F606" t="s">
        <v>19</v>
      </c>
      <c r="G606">
        <v>1</v>
      </c>
      <c r="H606" t="s">
        <v>20</v>
      </c>
      <c r="I606" t="s">
        <v>77</v>
      </c>
      <c r="J606" s="1">
        <v>44063</v>
      </c>
      <c r="L606" t="s">
        <v>14</v>
      </c>
      <c r="M606">
        <v>21.38</v>
      </c>
      <c r="N606">
        <v>21.38</v>
      </c>
      <c r="O606" t="s">
        <v>21</v>
      </c>
      <c r="P606">
        <f t="shared" si="29"/>
        <v>1</v>
      </c>
      <c r="Q606" s="11">
        <f>IF(P606=0,0,IFERROR(Q605+G606*M606*IF(E606="FUTURE",VLOOKUP(MID(I606,2,2),[1]Futures!$A$2:$B$12,2),1),G606*M606*IF(E606="FUTURE",VLOOKUP(MID(I606,2,2),[1]Futures!$A$2:$B$12,2),1)))</f>
        <v>21380</v>
      </c>
      <c r="R606" s="12">
        <f>IFERROR(Q606/P606/IF(E606="FUTURE",VLOOKUP(MID(I606,2,2),[1]Futures!$A$2:$B$12,2),1),"")</f>
        <v>21.38</v>
      </c>
      <c r="S606" s="13" t="str">
        <f>IF(AND(H606="TO CLOSE",P606=0),-G606*(M606-R605)*IF(E606="FUTURE",VLOOKUP(MID(I606,2,2),[1]Futures!$A$2:$B$12,2),1),"")</f>
        <v/>
      </c>
    </row>
    <row r="607" spans="1:19" x14ac:dyDescent="0.2">
      <c r="A607">
        <f t="shared" si="28"/>
        <v>162</v>
      </c>
      <c r="B607" s="3">
        <v>43949</v>
      </c>
      <c r="C607" s="3" t="str">
        <f t="shared" si="27"/>
        <v>Tuesday</v>
      </c>
      <c r="D607" s="2">
        <v>0.47635416666666663</v>
      </c>
      <c r="E607" t="s">
        <v>14</v>
      </c>
      <c r="F607" t="s">
        <v>15</v>
      </c>
      <c r="G607">
        <v>-1</v>
      </c>
      <c r="H607" t="s">
        <v>16</v>
      </c>
      <c r="I607" t="s">
        <v>77</v>
      </c>
      <c r="J607" s="1">
        <v>44063</v>
      </c>
      <c r="L607" t="s">
        <v>14</v>
      </c>
      <c r="M607">
        <v>21.61</v>
      </c>
      <c r="N607">
        <v>21.61</v>
      </c>
      <c r="O607" t="s">
        <v>21</v>
      </c>
      <c r="P607">
        <f t="shared" si="29"/>
        <v>0</v>
      </c>
      <c r="Q607" s="11">
        <f>IF(P607=0,0,IFERROR(Q606+G607*M607*IF(E607="FUTURE",VLOOKUP(MID(I607,2,2),[1]Futures!$A$2:$B$12,2),1),G607*M607*IF(E607="FUTURE",VLOOKUP(MID(I607,2,2),[1]Futures!$A$2:$B$12,2),1)))</f>
        <v>0</v>
      </c>
      <c r="R607" s="12" t="str">
        <f>IFERROR(Q607/P607/IF(E607="FUTURE",VLOOKUP(MID(I607,2,2),[1]Futures!$A$2:$B$12,2),1),"")</f>
        <v/>
      </c>
      <c r="S607" s="13">
        <f>IF(AND(H607="TO CLOSE",P607=0),-G607*(M607-R606)*IF(E607="FUTURE",VLOOKUP(MID(I607,2,2),[1]Futures!$A$2:$B$12,2),1),"")</f>
        <v>230.00000000000043</v>
      </c>
    </row>
    <row r="608" spans="1:19" x14ac:dyDescent="0.2">
      <c r="A608">
        <f t="shared" si="28"/>
        <v>163</v>
      </c>
      <c r="B608" s="3">
        <v>43949</v>
      </c>
      <c r="C608" s="3" t="str">
        <f t="shared" si="27"/>
        <v>Tuesday</v>
      </c>
      <c r="D608" s="2">
        <v>0.58884259259259253</v>
      </c>
      <c r="E608" t="s">
        <v>14</v>
      </c>
      <c r="F608" t="s">
        <v>15</v>
      </c>
      <c r="G608">
        <v>-1</v>
      </c>
      <c r="H608" t="s">
        <v>20</v>
      </c>
      <c r="I608" t="s">
        <v>77</v>
      </c>
      <c r="J608" s="1">
        <v>44063</v>
      </c>
      <c r="L608" t="s">
        <v>14</v>
      </c>
      <c r="M608">
        <v>20.99</v>
      </c>
      <c r="N608">
        <v>20.99</v>
      </c>
      <c r="O608" t="s">
        <v>21</v>
      </c>
      <c r="P608">
        <f t="shared" si="29"/>
        <v>-1</v>
      </c>
      <c r="Q608" s="11">
        <f>IF(P608=0,0,IFERROR(Q607+G608*M608*IF(E608="FUTURE",VLOOKUP(MID(I608,2,2),[1]Futures!$A$2:$B$12,2),1),G608*M608*IF(E608="FUTURE",VLOOKUP(MID(I608,2,2),[1]Futures!$A$2:$B$12,2),1)))</f>
        <v>-20990</v>
      </c>
      <c r="R608" s="12">
        <f>IFERROR(Q608/P608/IF(E608="FUTURE",VLOOKUP(MID(I608,2,2),[1]Futures!$A$2:$B$12,2),1),"")</f>
        <v>20.99</v>
      </c>
      <c r="S608" s="13" t="str">
        <f>IF(AND(H608="TO CLOSE",P608=0),-G608*(M608-R607)*IF(E608="FUTURE",VLOOKUP(MID(I608,2,2),[1]Futures!$A$2:$B$12,2),1),"")</f>
        <v/>
      </c>
    </row>
    <row r="609" spans="1:19" x14ac:dyDescent="0.2">
      <c r="A609">
        <f t="shared" si="28"/>
        <v>163</v>
      </c>
      <c r="B609" s="3">
        <v>43949</v>
      </c>
      <c r="C609" s="3" t="str">
        <f t="shared" si="27"/>
        <v>Tuesday</v>
      </c>
      <c r="D609" s="2">
        <v>0.59403935185185186</v>
      </c>
      <c r="E609" t="s">
        <v>14</v>
      </c>
      <c r="F609" t="s">
        <v>19</v>
      </c>
      <c r="G609">
        <v>1</v>
      </c>
      <c r="H609" t="s">
        <v>16</v>
      </c>
      <c r="I609" t="s">
        <v>77</v>
      </c>
      <c r="J609" s="1">
        <v>44063</v>
      </c>
      <c r="L609" t="s">
        <v>14</v>
      </c>
      <c r="M609">
        <v>20.95</v>
      </c>
      <c r="N609">
        <v>20.95</v>
      </c>
      <c r="O609" t="s">
        <v>21</v>
      </c>
      <c r="P609">
        <f t="shared" si="29"/>
        <v>0</v>
      </c>
      <c r="Q609" s="11">
        <f>IF(P609=0,0,IFERROR(Q608+G609*M609*IF(E609="FUTURE",VLOOKUP(MID(I609,2,2),[1]Futures!$A$2:$B$12,2),1),G609*M609*IF(E609="FUTURE",VLOOKUP(MID(I609,2,2),[1]Futures!$A$2:$B$12,2),1)))</f>
        <v>0</v>
      </c>
      <c r="R609" s="12" t="str">
        <f>IFERROR(Q609/P609/IF(E609="FUTURE",VLOOKUP(MID(I609,2,2),[1]Futures!$A$2:$B$12,2),1),"")</f>
        <v/>
      </c>
      <c r="S609" s="13">
        <f>IF(AND(H609="TO CLOSE",P609=0),-G609*(M609-R608)*IF(E609="FUTURE",VLOOKUP(MID(I609,2,2),[1]Futures!$A$2:$B$12,2),1),"")</f>
        <v>39.999999999999147</v>
      </c>
    </row>
    <row r="610" spans="1:19" x14ac:dyDescent="0.2">
      <c r="A610">
        <f t="shared" si="28"/>
        <v>164</v>
      </c>
      <c r="B610" s="3">
        <v>43949</v>
      </c>
      <c r="C610" s="3" t="str">
        <f t="shared" si="27"/>
        <v>Tuesday</v>
      </c>
      <c r="D610" s="2">
        <v>0.59739583333333335</v>
      </c>
      <c r="E610" t="s">
        <v>14</v>
      </c>
      <c r="F610" t="s">
        <v>19</v>
      </c>
      <c r="G610">
        <v>1</v>
      </c>
      <c r="H610" t="s">
        <v>20</v>
      </c>
      <c r="I610" t="s">
        <v>77</v>
      </c>
      <c r="J610" s="1">
        <v>44063</v>
      </c>
      <c r="L610" t="s">
        <v>14</v>
      </c>
      <c r="M610">
        <v>21.01</v>
      </c>
      <c r="N610">
        <v>21.01</v>
      </c>
      <c r="O610" t="s">
        <v>21</v>
      </c>
      <c r="P610">
        <f t="shared" si="29"/>
        <v>1</v>
      </c>
      <c r="Q610" s="11">
        <f>IF(P610=0,0,IFERROR(Q609+G610*M610*IF(E610="FUTURE",VLOOKUP(MID(I610,2,2),[1]Futures!$A$2:$B$12,2),1),G610*M610*IF(E610="FUTURE",VLOOKUP(MID(I610,2,2),[1]Futures!$A$2:$B$12,2),1)))</f>
        <v>21010</v>
      </c>
      <c r="R610" s="12">
        <f>IFERROR(Q610/P610/IF(E610="FUTURE",VLOOKUP(MID(I610,2,2),[1]Futures!$A$2:$B$12,2),1),"")</f>
        <v>21.01</v>
      </c>
      <c r="S610" s="13" t="str">
        <f>IF(AND(H610="TO CLOSE",P610=0),-G610*(M610-R609)*IF(E610="FUTURE",VLOOKUP(MID(I610,2,2),[1]Futures!$A$2:$B$12,2),1),"")</f>
        <v/>
      </c>
    </row>
    <row r="611" spans="1:19" x14ac:dyDescent="0.2">
      <c r="A611">
        <f t="shared" si="28"/>
        <v>164</v>
      </c>
      <c r="B611" s="3">
        <v>43949</v>
      </c>
      <c r="C611" s="3" t="str">
        <f t="shared" ref="C611:C674" si="30">IF(WEEKDAY(B611,2)=1,"Monday",IF(WEEKDAY(B611,2)=2,"Tuesday",IF(WEEKDAY(B611,2)=3,"Wednesday",IF(WEEKDAY(B611,2)=4,"Thursday",IF(WEEKDAY(B611,2)=5,"Friday","Sunday")))))</f>
        <v>Tuesday</v>
      </c>
      <c r="D611" s="2">
        <v>0.59798611111111111</v>
      </c>
      <c r="E611" t="s">
        <v>14</v>
      </c>
      <c r="F611" t="s">
        <v>15</v>
      </c>
      <c r="G611">
        <v>-1</v>
      </c>
      <c r="H611" t="s">
        <v>16</v>
      </c>
      <c r="I611" t="s">
        <v>77</v>
      </c>
      <c r="J611" s="1">
        <v>44063</v>
      </c>
      <c r="L611" t="s">
        <v>14</v>
      </c>
      <c r="M611">
        <v>21.12</v>
      </c>
      <c r="N611">
        <v>21.12</v>
      </c>
      <c r="O611" t="s">
        <v>21</v>
      </c>
      <c r="P611">
        <f t="shared" si="29"/>
        <v>0</v>
      </c>
      <c r="Q611" s="11">
        <f>IF(P611=0,0,IFERROR(Q610+G611*M611*IF(E611="FUTURE",VLOOKUP(MID(I611,2,2),[1]Futures!$A$2:$B$12,2),1),G611*M611*IF(E611="FUTURE",VLOOKUP(MID(I611,2,2),[1]Futures!$A$2:$B$12,2),1)))</f>
        <v>0</v>
      </c>
      <c r="R611" s="12" t="str">
        <f>IFERROR(Q611/P611/IF(E611="FUTURE",VLOOKUP(MID(I611,2,2),[1]Futures!$A$2:$B$12,2),1),"")</f>
        <v/>
      </c>
      <c r="S611" s="13">
        <f>IF(AND(H611="TO CLOSE",P611=0),-G611*(M611-R610)*IF(E611="FUTURE",VLOOKUP(MID(I611,2,2),[1]Futures!$A$2:$B$12,2),1),"")</f>
        <v>109.99999999999943</v>
      </c>
    </row>
    <row r="612" spans="1:19" x14ac:dyDescent="0.2">
      <c r="A612">
        <f t="shared" si="28"/>
        <v>165</v>
      </c>
      <c r="B612" s="3">
        <v>43949</v>
      </c>
      <c r="C612" s="3" t="str">
        <f t="shared" si="30"/>
        <v>Tuesday</v>
      </c>
      <c r="D612" s="2">
        <v>0.39219907407407412</v>
      </c>
      <c r="E612" t="s">
        <v>14</v>
      </c>
      <c r="F612" t="s">
        <v>15</v>
      </c>
      <c r="G612">
        <v>-1</v>
      </c>
      <c r="H612" t="s">
        <v>20</v>
      </c>
      <c r="I612" t="s">
        <v>17</v>
      </c>
      <c r="J612" s="1">
        <v>44002</v>
      </c>
      <c r="L612" t="s">
        <v>14</v>
      </c>
      <c r="M612">
        <v>2909</v>
      </c>
      <c r="N612">
        <v>2909</v>
      </c>
      <c r="O612" t="s">
        <v>21</v>
      </c>
      <c r="P612">
        <f t="shared" si="29"/>
        <v>-1</v>
      </c>
      <c r="Q612" s="11">
        <f>IF(P612=0,0,IFERROR(Q611+G612*M612*IF(E612="FUTURE",VLOOKUP(MID(I612,2,2),[1]Futures!$A$2:$B$12,2),1),G612*M612*IF(E612="FUTURE",VLOOKUP(MID(I612,2,2),[1]Futures!$A$2:$B$12,2),1)))</f>
        <v>-145450</v>
      </c>
      <c r="R612" s="12">
        <f>IFERROR(Q612/P612/IF(E612="FUTURE",VLOOKUP(MID(I612,2,2),[1]Futures!$A$2:$B$12,2),1),"")</f>
        <v>2909</v>
      </c>
      <c r="S612" s="13" t="str">
        <f>IF(AND(H612="TO CLOSE",P612=0),-G612*(M612-R611)*IF(E612="FUTURE",VLOOKUP(MID(I612,2,2),[1]Futures!$A$2:$B$12,2),1),"")</f>
        <v/>
      </c>
    </row>
    <row r="613" spans="1:19" x14ac:dyDescent="0.2">
      <c r="A613">
        <f t="shared" si="28"/>
        <v>165</v>
      </c>
      <c r="B613" s="3">
        <v>43949</v>
      </c>
      <c r="C613" s="3" t="str">
        <f t="shared" si="30"/>
        <v>Tuesday</v>
      </c>
      <c r="D613" s="2">
        <v>0.40125000000000005</v>
      </c>
      <c r="E613" t="s">
        <v>14</v>
      </c>
      <c r="F613" t="s">
        <v>19</v>
      </c>
      <c r="G613">
        <v>1</v>
      </c>
      <c r="H613" t="s">
        <v>16</v>
      </c>
      <c r="I613" t="s">
        <v>17</v>
      </c>
      <c r="J613" s="1">
        <v>44002</v>
      </c>
      <c r="L613" t="s">
        <v>14</v>
      </c>
      <c r="M613">
        <v>2902.25</v>
      </c>
      <c r="N613">
        <v>2902.25</v>
      </c>
      <c r="O613" t="s">
        <v>21</v>
      </c>
      <c r="P613">
        <f t="shared" si="29"/>
        <v>0</v>
      </c>
      <c r="Q613" s="11">
        <f>IF(P613=0,0,IFERROR(Q612+G613*M613*IF(E613="FUTURE",VLOOKUP(MID(I613,2,2),[1]Futures!$A$2:$B$12,2),1),G613*M613*IF(E613="FUTURE",VLOOKUP(MID(I613,2,2),[1]Futures!$A$2:$B$12,2),1)))</f>
        <v>0</v>
      </c>
      <c r="R613" s="12" t="str">
        <f>IFERROR(Q613/P613/IF(E613="FUTURE",VLOOKUP(MID(I613,2,2),[1]Futures!$A$2:$B$12,2),1),"")</f>
        <v/>
      </c>
      <c r="S613" s="13">
        <f>IF(AND(H613="TO CLOSE",P613=0),-G613*(M613-R612)*IF(E613="FUTURE",VLOOKUP(MID(I613,2,2),[1]Futures!$A$2:$B$12,2),1),"")</f>
        <v>337.5</v>
      </c>
    </row>
    <row r="614" spans="1:19" x14ac:dyDescent="0.2">
      <c r="A614">
        <f t="shared" si="28"/>
        <v>166</v>
      </c>
      <c r="B614" s="3">
        <v>43949</v>
      </c>
      <c r="C614" s="3" t="str">
        <f t="shared" si="30"/>
        <v>Tuesday</v>
      </c>
      <c r="D614" s="2">
        <v>0.4201273148148148</v>
      </c>
      <c r="E614" t="s">
        <v>14</v>
      </c>
      <c r="F614" t="s">
        <v>15</v>
      </c>
      <c r="G614">
        <v>-1</v>
      </c>
      <c r="H614" t="s">
        <v>20</v>
      </c>
      <c r="I614" t="s">
        <v>17</v>
      </c>
      <c r="J614" s="1">
        <v>44002</v>
      </c>
      <c r="L614" t="s">
        <v>14</v>
      </c>
      <c r="M614">
        <v>2892.5</v>
      </c>
      <c r="N614">
        <v>2892.5</v>
      </c>
      <c r="O614" t="s">
        <v>21</v>
      </c>
      <c r="P614">
        <f t="shared" si="29"/>
        <v>-1</v>
      </c>
      <c r="Q614" s="11">
        <f>IF(P614=0,0,IFERROR(Q613+G614*M614*IF(E614="FUTURE",VLOOKUP(MID(I614,2,2),[1]Futures!$A$2:$B$12,2),1),G614*M614*IF(E614="FUTURE",VLOOKUP(MID(I614,2,2),[1]Futures!$A$2:$B$12,2),1)))</f>
        <v>-144625</v>
      </c>
      <c r="R614" s="12">
        <f>IFERROR(Q614/P614/IF(E614="FUTURE",VLOOKUP(MID(I614,2,2),[1]Futures!$A$2:$B$12,2),1),"")</f>
        <v>2892.5</v>
      </c>
      <c r="S614" s="13" t="str">
        <f>IF(AND(H614="TO CLOSE",P614=0),-G614*(M614-R613)*IF(E614="FUTURE",VLOOKUP(MID(I614,2,2),[1]Futures!$A$2:$B$12,2),1),"")</f>
        <v/>
      </c>
    </row>
    <row r="615" spans="1:19" x14ac:dyDescent="0.2">
      <c r="A615">
        <f t="shared" si="28"/>
        <v>166</v>
      </c>
      <c r="B615" s="3">
        <v>43949</v>
      </c>
      <c r="C615" s="3" t="str">
        <f t="shared" si="30"/>
        <v>Tuesday</v>
      </c>
      <c r="D615" s="2">
        <v>0.4314236111111111</v>
      </c>
      <c r="E615" t="s">
        <v>14</v>
      </c>
      <c r="F615" t="s">
        <v>19</v>
      </c>
      <c r="G615">
        <v>1</v>
      </c>
      <c r="H615" t="s">
        <v>16</v>
      </c>
      <c r="I615" t="s">
        <v>17</v>
      </c>
      <c r="J615" s="1">
        <v>44002</v>
      </c>
      <c r="L615" t="s">
        <v>14</v>
      </c>
      <c r="M615">
        <v>2888.5</v>
      </c>
      <c r="N615">
        <v>2888.5</v>
      </c>
      <c r="O615" t="s">
        <v>21</v>
      </c>
      <c r="P615">
        <f t="shared" si="29"/>
        <v>0</v>
      </c>
      <c r="Q615" s="11">
        <f>IF(P615=0,0,IFERROR(Q614+G615*M615*IF(E615="FUTURE",VLOOKUP(MID(I615,2,2),[1]Futures!$A$2:$B$12,2),1),G615*M615*IF(E615="FUTURE",VLOOKUP(MID(I615,2,2),[1]Futures!$A$2:$B$12,2),1)))</f>
        <v>0</v>
      </c>
      <c r="R615" s="12" t="str">
        <f>IFERROR(Q615/P615/IF(E615="FUTURE",VLOOKUP(MID(I615,2,2),[1]Futures!$A$2:$B$12,2),1),"")</f>
        <v/>
      </c>
      <c r="S615" s="13">
        <f>IF(AND(H615="TO CLOSE",P615=0),-G615*(M615-R614)*IF(E615="FUTURE",VLOOKUP(MID(I615,2,2),[1]Futures!$A$2:$B$12,2),1),"")</f>
        <v>200</v>
      </c>
    </row>
    <row r="616" spans="1:19" x14ac:dyDescent="0.2">
      <c r="A616">
        <f t="shared" si="28"/>
        <v>167</v>
      </c>
      <c r="B616" s="3">
        <v>43949</v>
      </c>
      <c r="C616" s="3" t="str">
        <f t="shared" si="30"/>
        <v>Tuesday</v>
      </c>
      <c r="D616" s="2">
        <v>0.45736111111111111</v>
      </c>
      <c r="E616" t="s">
        <v>14</v>
      </c>
      <c r="F616" t="s">
        <v>19</v>
      </c>
      <c r="G616">
        <v>1</v>
      </c>
      <c r="H616" t="s">
        <v>20</v>
      </c>
      <c r="I616" t="s">
        <v>17</v>
      </c>
      <c r="J616" s="1">
        <v>44002</v>
      </c>
      <c r="L616" t="s">
        <v>14</v>
      </c>
      <c r="M616">
        <v>2859.75</v>
      </c>
      <c r="N616">
        <v>2859.75</v>
      </c>
      <c r="O616" t="s">
        <v>21</v>
      </c>
      <c r="P616">
        <f t="shared" si="29"/>
        <v>1</v>
      </c>
      <c r="Q616" s="11">
        <f>IF(P616=0,0,IFERROR(Q615+G616*M616*IF(E616="FUTURE",VLOOKUP(MID(I616,2,2),[1]Futures!$A$2:$B$12,2),1),G616*M616*IF(E616="FUTURE",VLOOKUP(MID(I616,2,2),[1]Futures!$A$2:$B$12,2),1)))</f>
        <v>142987.5</v>
      </c>
      <c r="R616" s="12">
        <f>IFERROR(Q616/P616/IF(E616="FUTURE",VLOOKUP(MID(I616,2,2),[1]Futures!$A$2:$B$12,2),1),"")</f>
        <v>2859.75</v>
      </c>
      <c r="S616" s="13" t="str">
        <f>IF(AND(H616="TO CLOSE",P616=0),-G616*(M616-R615)*IF(E616="FUTURE",VLOOKUP(MID(I616,2,2),[1]Futures!$A$2:$B$12,2),1),"")</f>
        <v/>
      </c>
    </row>
    <row r="617" spans="1:19" x14ac:dyDescent="0.2">
      <c r="A617">
        <f t="shared" si="28"/>
        <v>167</v>
      </c>
      <c r="B617" s="3">
        <v>43949</v>
      </c>
      <c r="C617" s="3" t="str">
        <f t="shared" si="30"/>
        <v>Tuesday</v>
      </c>
      <c r="D617" s="2">
        <v>0.4606365740740741</v>
      </c>
      <c r="E617" t="s">
        <v>14</v>
      </c>
      <c r="F617" t="s">
        <v>15</v>
      </c>
      <c r="G617">
        <v>-1</v>
      </c>
      <c r="H617" t="s">
        <v>16</v>
      </c>
      <c r="I617" t="s">
        <v>17</v>
      </c>
      <c r="J617" s="1">
        <v>44002</v>
      </c>
      <c r="L617" t="s">
        <v>14</v>
      </c>
      <c r="M617">
        <v>2863</v>
      </c>
      <c r="N617">
        <v>2863</v>
      </c>
      <c r="O617" t="s">
        <v>21</v>
      </c>
      <c r="P617">
        <f t="shared" si="29"/>
        <v>0</v>
      </c>
      <c r="Q617" s="11">
        <f>IF(P617=0,0,IFERROR(Q616+G617*M617*IF(E617="FUTURE",VLOOKUP(MID(I617,2,2),[1]Futures!$A$2:$B$12,2),1),G617*M617*IF(E617="FUTURE",VLOOKUP(MID(I617,2,2),[1]Futures!$A$2:$B$12,2),1)))</f>
        <v>0</v>
      </c>
      <c r="R617" s="12" t="str">
        <f>IFERROR(Q617/P617/IF(E617="FUTURE",VLOOKUP(MID(I617,2,2),[1]Futures!$A$2:$B$12,2),1),"")</f>
        <v/>
      </c>
      <c r="S617" s="13">
        <f>IF(AND(H617="TO CLOSE",P617=0),-G617*(M617-R616)*IF(E617="FUTURE",VLOOKUP(MID(I617,2,2),[1]Futures!$A$2:$B$12,2),1),"")</f>
        <v>162.5</v>
      </c>
    </row>
    <row r="618" spans="1:19" x14ac:dyDescent="0.2">
      <c r="A618">
        <f t="shared" si="28"/>
        <v>168</v>
      </c>
      <c r="B618" s="3">
        <v>43949</v>
      </c>
      <c r="C618" s="3" t="str">
        <f t="shared" si="30"/>
        <v>Tuesday</v>
      </c>
      <c r="D618" s="2">
        <v>0.40557870370370369</v>
      </c>
      <c r="E618" t="s">
        <v>22</v>
      </c>
      <c r="F618" t="s">
        <v>19</v>
      </c>
      <c r="G618">
        <v>350</v>
      </c>
      <c r="H618" t="s">
        <v>20</v>
      </c>
      <c r="I618" t="s">
        <v>23</v>
      </c>
      <c r="L618" t="s">
        <v>22</v>
      </c>
      <c r="M618">
        <v>37.22</v>
      </c>
      <c r="N618">
        <v>37.22</v>
      </c>
      <c r="O618" t="s">
        <v>21</v>
      </c>
      <c r="P618">
        <f t="shared" si="29"/>
        <v>350</v>
      </c>
      <c r="Q618" s="11">
        <f>IF(P618=0,0,IFERROR(Q617+G618*M618*IF(E618="FUTURE",VLOOKUP(MID(I618,2,2),[1]Futures!$A$2:$B$12,2),1),G618*M618*IF(E618="FUTURE",VLOOKUP(MID(I618,2,2),[1]Futures!$A$2:$B$12,2),1)))</f>
        <v>13027</v>
      </c>
      <c r="R618" s="12">
        <f>IFERROR(Q618/P618/IF(E618="FUTURE",VLOOKUP(MID(I618,2,2),[1]Futures!$A$2:$B$12,2),1),"")</f>
        <v>37.22</v>
      </c>
      <c r="S618" s="13" t="str">
        <f>IF(AND(H618="TO CLOSE",P618=0),-G618*(M618-R617)*IF(E618="FUTURE",VLOOKUP(MID(I618,2,2),[1]Futures!$A$2:$B$12,2),1),"")</f>
        <v/>
      </c>
    </row>
    <row r="619" spans="1:19" x14ac:dyDescent="0.2">
      <c r="A619">
        <f t="shared" si="28"/>
        <v>168</v>
      </c>
      <c r="B619" s="3">
        <v>43949</v>
      </c>
      <c r="C619" s="3" t="str">
        <f t="shared" si="30"/>
        <v>Tuesday</v>
      </c>
      <c r="D619" s="2">
        <v>0.41644675925925928</v>
      </c>
      <c r="E619" t="s">
        <v>22</v>
      </c>
      <c r="F619" t="s">
        <v>15</v>
      </c>
      <c r="G619">
        <v>-50</v>
      </c>
      <c r="H619" t="s">
        <v>16</v>
      </c>
      <c r="I619" t="s">
        <v>23</v>
      </c>
      <c r="L619" t="s">
        <v>22</v>
      </c>
      <c r="M619">
        <v>37.619999999999997</v>
      </c>
      <c r="N619">
        <v>37.619999999999997</v>
      </c>
      <c r="O619" t="s">
        <v>21</v>
      </c>
      <c r="P619">
        <f t="shared" si="29"/>
        <v>300</v>
      </c>
      <c r="Q619" s="11">
        <f>IF(P619=0,0,IFERROR(Q618+G619*M619*IF(E619="FUTURE",VLOOKUP(MID(I619,2,2),[1]Futures!$A$2:$B$12,2),1),G619*M619*IF(E619="FUTURE",VLOOKUP(MID(I619,2,2),[1]Futures!$A$2:$B$12,2),1)))</f>
        <v>11146</v>
      </c>
      <c r="R619" s="12">
        <f>IFERROR(Q619/P619/IF(E619="FUTURE",VLOOKUP(MID(I619,2,2),[1]Futures!$A$2:$B$12,2),1),"")</f>
        <v>37.153333333333336</v>
      </c>
      <c r="S619" s="13" t="str">
        <f>IF(AND(H619="TO CLOSE",P619=0),-G619*(M619-R618)*IF(E619="FUTURE",VLOOKUP(MID(I619,2,2),[1]Futures!$A$2:$B$12,2),1),"")</f>
        <v/>
      </c>
    </row>
    <row r="620" spans="1:19" x14ac:dyDescent="0.2">
      <c r="A620">
        <f t="shared" si="28"/>
        <v>168</v>
      </c>
      <c r="B620" s="3">
        <v>43949</v>
      </c>
      <c r="C620" s="3" t="str">
        <f t="shared" si="30"/>
        <v>Tuesday</v>
      </c>
      <c r="D620" s="2">
        <v>0.41758101851851853</v>
      </c>
      <c r="E620" t="s">
        <v>22</v>
      </c>
      <c r="F620" t="s">
        <v>15</v>
      </c>
      <c r="G620">
        <v>-100</v>
      </c>
      <c r="H620" t="s">
        <v>16</v>
      </c>
      <c r="I620" t="s">
        <v>23</v>
      </c>
      <c r="L620" t="s">
        <v>22</v>
      </c>
      <c r="M620">
        <v>37.8001</v>
      </c>
      <c r="N620">
        <v>37.8001</v>
      </c>
      <c r="O620" t="s">
        <v>24</v>
      </c>
      <c r="P620">
        <f t="shared" si="29"/>
        <v>200</v>
      </c>
      <c r="Q620" s="11">
        <f>IF(P620=0,0,IFERROR(Q619+G620*M620*IF(E620="FUTURE",VLOOKUP(MID(I620,2,2),[1]Futures!$A$2:$B$12,2),1),G620*M620*IF(E620="FUTURE",VLOOKUP(MID(I620,2,2),[1]Futures!$A$2:$B$12,2),1)))</f>
        <v>7365.99</v>
      </c>
      <c r="R620" s="12">
        <f>IFERROR(Q620/P620/IF(E620="FUTURE",VLOOKUP(MID(I620,2,2),[1]Futures!$A$2:$B$12,2),1),"")</f>
        <v>36.829949999999997</v>
      </c>
      <c r="S620" s="13" t="str">
        <f>IF(AND(H620="TO CLOSE",P620=0),-G620*(M620-R619)*IF(E620="FUTURE",VLOOKUP(MID(I620,2,2),[1]Futures!$A$2:$B$12,2),1),"")</f>
        <v/>
      </c>
    </row>
    <row r="621" spans="1:19" x14ac:dyDescent="0.2">
      <c r="A621">
        <f t="shared" si="28"/>
        <v>168</v>
      </c>
      <c r="B621" s="3">
        <v>43949</v>
      </c>
      <c r="C621" s="3" t="str">
        <f t="shared" si="30"/>
        <v>Tuesday</v>
      </c>
      <c r="D621" s="2">
        <v>0.43277777777777776</v>
      </c>
      <c r="E621" t="s">
        <v>22</v>
      </c>
      <c r="F621" t="s">
        <v>15</v>
      </c>
      <c r="G621">
        <v>-200</v>
      </c>
      <c r="H621" t="s">
        <v>16</v>
      </c>
      <c r="I621" t="s">
        <v>23</v>
      </c>
      <c r="L621" t="s">
        <v>22</v>
      </c>
      <c r="M621">
        <v>37.96</v>
      </c>
      <c r="N621">
        <v>37.96</v>
      </c>
      <c r="O621" t="s">
        <v>21</v>
      </c>
      <c r="P621">
        <f t="shared" si="29"/>
        <v>0</v>
      </c>
      <c r="Q621" s="11">
        <f>IF(P621=0,0,IFERROR(Q620+G621*M621*IF(E621="FUTURE",VLOOKUP(MID(I621,2,2),[1]Futures!$A$2:$B$12,2),1),G621*M621*IF(E621="FUTURE",VLOOKUP(MID(I621,2,2),[1]Futures!$A$2:$B$12,2),1)))</f>
        <v>0</v>
      </c>
      <c r="R621" s="12" t="str">
        <f>IFERROR(Q621/P621/IF(E621="FUTURE",VLOOKUP(MID(I621,2,2),[1]Futures!$A$2:$B$12,2),1),"")</f>
        <v/>
      </c>
      <c r="S621" s="13">
        <f>IF(AND(H621="TO CLOSE",P621=0),-G621*(M621-R620)*IF(E621="FUTURE",VLOOKUP(MID(I621,2,2),[1]Futures!$A$2:$B$12,2),1),"")</f>
        <v>226.01000000000084</v>
      </c>
    </row>
    <row r="622" spans="1:19" x14ac:dyDescent="0.2">
      <c r="A622">
        <f t="shared" si="28"/>
        <v>169</v>
      </c>
      <c r="B622" s="3">
        <v>43949</v>
      </c>
      <c r="C622" s="3" t="str">
        <f t="shared" si="30"/>
        <v>Tuesday</v>
      </c>
      <c r="D622" s="2">
        <v>0.4484143518518518</v>
      </c>
      <c r="E622" t="s">
        <v>22</v>
      </c>
      <c r="F622" t="s">
        <v>15</v>
      </c>
      <c r="G622">
        <v>-200</v>
      </c>
      <c r="H622" t="s">
        <v>20</v>
      </c>
      <c r="I622" t="s">
        <v>23</v>
      </c>
      <c r="L622" t="s">
        <v>22</v>
      </c>
      <c r="M622">
        <v>38.545000000000002</v>
      </c>
      <c r="N622">
        <v>38.545000000000002</v>
      </c>
      <c r="O622" t="s">
        <v>21</v>
      </c>
      <c r="P622">
        <f t="shared" si="29"/>
        <v>-200</v>
      </c>
      <c r="Q622" s="11">
        <f>IF(P622=0,0,IFERROR(Q621+G622*M622*IF(E622="FUTURE",VLOOKUP(MID(I622,2,2),[1]Futures!$A$2:$B$12,2),1),G622*M622*IF(E622="FUTURE",VLOOKUP(MID(I622,2,2),[1]Futures!$A$2:$B$12,2),1)))</f>
        <v>-7709</v>
      </c>
      <c r="R622" s="12">
        <f>IFERROR(Q622/P622/IF(E622="FUTURE",VLOOKUP(MID(I622,2,2),[1]Futures!$A$2:$B$12,2),1),"")</f>
        <v>38.545000000000002</v>
      </c>
      <c r="S622" s="13" t="str">
        <f>IF(AND(H622="TO CLOSE",P622=0),-G622*(M622-R621)*IF(E622="FUTURE",VLOOKUP(MID(I622,2,2),[1]Futures!$A$2:$B$12,2),1),"")</f>
        <v/>
      </c>
    </row>
    <row r="623" spans="1:19" x14ac:dyDescent="0.2">
      <c r="A623">
        <f t="shared" si="28"/>
        <v>169</v>
      </c>
      <c r="B623" s="3">
        <v>43949</v>
      </c>
      <c r="C623" s="3" t="str">
        <f t="shared" si="30"/>
        <v>Tuesday</v>
      </c>
      <c r="D623" s="2">
        <v>0.45012731481481483</v>
      </c>
      <c r="E623" t="s">
        <v>22</v>
      </c>
      <c r="F623" t="s">
        <v>15</v>
      </c>
      <c r="G623">
        <v>-50</v>
      </c>
      <c r="H623" t="s">
        <v>20</v>
      </c>
      <c r="I623" t="s">
        <v>23</v>
      </c>
      <c r="L623" t="s">
        <v>22</v>
      </c>
      <c r="M623">
        <v>38.67</v>
      </c>
      <c r="N623">
        <v>38.67</v>
      </c>
      <c r="O623" t="s">
        <v>21</v>
      </c>
      <c r="P623">
        <f t="shared" si="29"/>
        <v>-250</v>
      </c>
      <c r="Q623" s="11">
        <f>IF(P623=0,0,IFERROR(Q622+G623*M623*IF(E623="FUTURE",VLOOKUP(MID(I623,2,2),[1]Futures!$A$2:$B$12,2),1),G623*M623*IF(E623="FUTURE",VLOOKUP(MID(I623,2,2),[1]Futures!$A$2:$B$12,2),1)))</f>
        <v>-9642.5</v>
      </c>
      <c r="R623" s="12">
        <f>IFERROR(Q623/P623/IF(E623="FUTURE",VLOOKUP(MID(I623,2,2),[1]Futures!$A$2:$B$12,2),1),"")</f>
        <v>38.57</v>
      </c>
      <c r="S623" s="13" t="str">
        <f>IF(AND(H623="TO CLOSE",P623=0),-G623*(M623-R622)*IF(E623="FUTURE",VLOOKUP(MID(I623,2,2),[1]Futures!$A$2:$B$12,2),1),"")</f>
        <v/>
      </c>
    </row>
    <row r="624" spans="1:19" x14ac:dyDescent="0.2">
      <c r="A624">
        <f t="shared" si="28"/>
        <v>169</v>
      </c>
      <c r="B624" s="3">
        <v>43949</v>
      </c>
      <c r="C624" s="3" t="str">
        <f t="shared" si="30"/>
        <v>Tuesday</v>
      </c>
      <c r="D624" s="2">
        <v>0.45585648148148145</v>
      </c>
      <c r="E624" t="s">
        <v>22</v>
      </c>
      <c r="F624" t="s">
        <v>15</v>
      </c>
      <c r="G624">
        <v>-50</v>
      </c>
      <c r="H624" t="s">
        <v>20</v>
      </c>
      <c r="I624" t="s">
        <v>23</v>
      </c>
      <c r="L624" t="s">
        <v>22</v>
      </c>
      <c r="M624">
        <v>39.06</v>
      </c>
      <c r="N624">
        <v>39.06</v>
      </c>
      <c r="O624" t="s">
        <v>18</v>
      </c>
      <c r="P624">
        <f t="shared" si="29"/>
        <v>-300</v>
      </c>
      <c r="Q624" s="11">
        <f>IF(P624=0,0,IFERROR(Q623+G624*M624*IF(E624="FUTURE",VLOOKUP(MID(I624,2,2),[1]Futures!$A$2:$B$12,2),1),G624*M624*IF(E624="FUTURE",VLOOKUP(MID(I624,2,2),[1]Futures!$A$2:$B$12,2),1)))</f>
        <v>-11595.5</v>
      </c>
      <c r="R624" s="12">
        <f>IFERROR(Q624/P624/IF(E624="FUTURE",VLOOKUP(MID(I624,2,2),[1]Futures!$A$2:$B$12,2),1),"")</f>
        <v>38.651666666666664</v>
      </c>
      <c r="S624" s="13" t="str">
        <f>IF(AND(H624="TO CLOSE",P624=0),-G624*(M624-R623)*IF(E624="FUTURE",VLOOKUP(MID(I624,2,2),[1]Futures!$A$2:$B$12,2),1),"")</f>
        <v/>
      </c>
    </row>
    <row r="625" spans="1:19" x14ac:dyDescent="0.2">
      <c r="A625">
        <f t="shared" si="28"/>
        <v>169</v>
      </c>
      <c r="B625" s="3">
        <v>43949</v>
      </c>
      <c r="C625" s="3" t="str">
        <f t="shared" si="30"/>
        <v>Tuesday</v>
      </c>
      <c r="D625" s="2">
        <v>0.4563888888888889</v>
      </c>
      <c r="E625" t="s">
        <v>22</v>
      </c>
      <c r="F625" t="s">
        <v>15</v>
      </c>
      <c r="G625">
        <v>-100</v>
      </c>
      <c r="H625" t="s">
        <v>20</v>
      </c>
      <c r="I625" t="s">
        <v>23</v>
      </c>
      <c r="L625" t="s">
        <v>22</v>
      </c>
      <c r="M625">
        <v>39.28</v>
      </c>
      <c r="N625">
        <v>39.28</v>
      </c>
      <c r="O625" t="s">
        <v>21</v>
      </c>
      <c r="P625">
        <f t="shared" si="29"/>
        <v>-400</v>
      </c>
      <c r="Q625" s="11">
        <f>IF(P625=0,0,IFERROR(Q624+G625*M625*IF(E625="FUTURE",VLOOKUP(MID(I625,2,2),[1]Futures!$A$2:$B$12,2),1),G625*M625*IF(E625="FUTURE",VLOOKUP(MID(I625,2,2),[1]Futures!$A$2:$B$12,2),1)))</f>
        <v>-15523.5</v>
      </c>
      <c r="R625" s="12">
        <f>IFERROR(Q625/P625/IF(E625="FUTURE",VLOOKUP(MID(I625,2,2),[1]Futures!$A$2:$B$12,2),1),"")</f>
        <v>38.808750000000003</v>
      </c>
      <c r="S625" s="13" t="str">
        <f>IF(AND(H625="TO CLOSE",P625=0),-G625*(M625-R624)*IF(E625="FUTURE",VLOOKUP(MID(I625,2,2),[1]Futures!$A$2:$B$12,2),1),"")</f>
        <v/>
      </c>
    </row>
    <row r="626" spans="1:19" x14ac:dyDescent="0.2">
      <c r="A626">
        <f t="shared" si="28"/>
        <v>169</v>
      </c>
      <c r="B626" s="3">
        <v>43949</v>
      </c>
      <c r="C626" s="3" t="str">
        <f t="shared" si="30"/>
        <v>Tuesday</v>
      </c>
      <c r="D626" s="2">
        <v>0.46326388888888892</v>
      </c>
      <c r="E626" t="s">
        <v>22</v>
      </c>
      <c r="F626" t="s">
        <v>19</v>
      </c>
      <c r="G626">
        <v>90</v>
      </c>
      <c r="H626" t="s">
        <v>16</v>
      </c>
      <c r="I626" t="s">
        <v>23</v>
      </c>
      <c r="L626" t="s">
        <v>22</v>
      </c>
      <c r="M626">
        <v>38.96</v>
      </c>
      <c r="N626">
        <v>38.96</v>
      </c>
      <c r="O626" t="s">
        <v>21</v>
      </c>
      <c r="P626">
        <f t="shared" si="29"/>
        <v>-310</v>
      </c>
      <c r="Q626" s="11">
        <f>IF(P626=0,0,IFERROR(Q625+G626*M626*IF(E626="FUTURE",VLOOKUP(MID(I626,2,2),[1]Futures!$A$2:$B$12,2),1),G626*M626*IF(E626="FUTURE",VLOOKUP(MID(I626,2,2),[1]Futures!$A$2:$B$12,2),1)))</f>
        <v>-12017.1</v>
      </c>
      <c r="R626" s="12">
        <f>IFERROR(Q626/P626/IF(E626="FUTURE",VLOOKUP(MID(I626,2,2),[1]Futures!$A$2:$B$12,2),1),"")</f>
        <v>38.76483870967742</v>
      </c>
      <c r="S626" s="13" t="str">
        <f>IF(AND(H626="TO CLOSE",P626=0),-G626*(M626-R625)*IF(E626="FUTURE",VLOOKUP(MID(I626,2,2),[1]Futures!$A$2:$B$12,2),1),"")</f>
        <v/>
      </c>
    </row>
    <row r="627" spans="1:19" x14ac:dyDescent="0.2">
      <c r="A627">
        <f t="shared" si="28"/>
        <v>169</v>
      </c>
      <c r="B627" s="3">
        <v>43949</v>
      </c>
      <c r="C627" s="3" t="str">
        <f t="shared" si="30"/>
        <v>Tuesday</v>
      </c>
      <c r="D627" s="2">
        <v>0.46326388888888892</v>
      </c>
      <c r="E627" t="s">
        <v>22</v>
      </c>
      <c r="F627" t="s">
        <v>19</v>
      </c>
      <c r="G627">
        <v>100</v>
      </c>
      <c r="H627" t="s">
        <v>16</v>
      </c>
      <c r="I627" t="s">
        <v>23</v>
      </c>
      <c r="L627" t="s">
        <v>22</v>
      </c>
      <c r="M627">
        <v>38.96</v>
      </c>
      <c r="N627">
        <v>38.96</v>
      </c>
      <c r="O627" t="s">
        <v>21</v>
      </c>
      <c r="P627">
        <f t="shared" si="29"/>
        <v>-210</v>
      </c>
      <c r="Q627" s="11">
        <f>IF(P627=0,0,IFERROR(Q626+G627*M627*IF(E627="FUTURE",VLOOKUP(MID(I627,2,2),[1]Futures!$A$2:$B$12,2),1),G627*M627*IF(E627="FUTURE",VLOOKUP(MID(I627,2,2),[1]Futures!$A$2:$B$12,2),1)))</f>
        <v>-8121.1</v>
      </c>
      <c r="R627" s="12">
        <f>IFERROR(Q627/P627/IF(E627="FUTURE",VLOOKUP(MID(I627,2,2),[1]Futures!$A$2:$B$12,2),1),"")</f>
        <v>38.671904761904763</v>
      </c>
      <c r="S627" s="13" t="str">
        <f>IF(AND(H627="TO CLOSE",P627=0),-G627*(M627-R626)*IF(E627="FUTURE",VLOOKUP(MID(I627,2,2),[1]Futures!$A$2:$B$12,2),1),"")</f>
        <v/>
      </c>
    </row>
    <row r="628" spans="1:19" x14ac:dyDescent="0.2">
      <c r="A628">
        <f t="shared" si="28"/>
        <v>169</v>
      </c>
      <c r="B628" s="3">
        <v>43949</v>
      </c>
      <c r="C628" s="3" t="str">
        <f t="shared" si="30"/>
        <v>Tuesday</v>
      </c>
      <c r="D628" s="2">
        <v>0.46326388888888892</v>
      </c>
      <c r="E628" t="s">
        <v>22</v>
      </c>
      <c r="F628" t="s">
        <v>19</v>
      </c>
      <c r="G628">
        <v>10</v>
      </c>
      <c r="H628" t="s">
        <v>16</v>
      </c>
      <c r="I628" t="s">
        <v>23</v>
      </c>
      <c r="L628" t="s">
        <v>22</v>
      </c>
      <c r="M628">
        <v>38.96</v>
      </c>
      <c r="N628">
        <v>38.96</v>
      </c>
      <c r="O628" t="s">
        <v>21</v>
      </c>
      <c r="P628">
        <f t="shared" si="29"/>
        <v>-200</v>
      </c>
      <c r="Q628" s="11">
        <f>IF(P628=0,0,IFERROR(Q627+G628*M628*IF(E628="FUTURE",VLOOKUP(MID(I628,2,2),[1]Futures!$A$2:$B$12,2),1),G628*M628*IF(E628="FUTURE",VLOOKUP(MID(I628,2,2),[1]Futures!$A$2:$B$12,2),1)))</f>
        <v>-7731.5</v>
      </c>
      <c r="R628" s="12">
        <f>IFERROR(Q628/P628/IF(E628="FUTURE",VLOOKUP(MID(I628,2,2),[1]Futures!$A$2:$B$12,2),1),"")</f>
        <v>38.657499999999999</v>
      </c>
      <c r="S628" s="13" t="str">
        <f>IF(AND(H628="TO CLOSE",P628=0),-G628*(M628-R627)*IF(E628="FUTURE",VLOOKUP(MID(I628,2,2),[1]Futures!$A$2:$B$12,2),1),"")</f>
        <v/>
      </c>
    </row>
    <row r="629" spans="1:19" x14ac:dyDescent="0.2">
      <c r="A629">
        <f t="shared" si="28"/>
        <v>169</v>
      </c>
      <c r="B629" s="3">
        <v>43949</v>
      </c>
      <c r="C629" s="3" t="str">
        <f t="shared" si="30"/>
        <v>Tuesday</v>
      </c>
      <c r="D629" s="2">
        <v>0.4680555555555555</v>
      </c>
      <c r="E629" t="s">
        <v>22</v>
      </c>
      <c r="F629" t="s">
        <v>19</v>
      </c>
      <c r="G629">
        <v>200</v>
      </c>
      <c r="H629" t="s">
        <v>16</v>
      </c>
      <c r="I629" t="s">
        <v>23</v>
      </c>
      <c r="L629" t="s">
        <v>22</v>
      </c>
      <c r="M629">
        <v>38.569899999999997</v>
      </c>
      <c r="N629">
        <v>38.569899999999997</v>
      </c>
      <c r="O629" t="s">
        <v>21</v>
      </c>
      <c r="P629">
        <f t="shared" si="29"/>
        <v>0</v>
      </c>
      <c r="Q629" s="11">
        <f>IF(P629=0,0,IFERROR(Q628+G629*M629*IF(E629="FUTURE",VLOOKUP(MID(I629,2,2),[1]Futures!$A$2:$B$12,2),1),G629*M629*IF(E629="FUTURE",VLOOKUP(MID(I629,2,2),[1]Futures!$A$2:$B$12,2),1)))</f>
        <v>0</v>
      </c>
      <c r="R629" s="12" t="str">
        <f>IFERROR(Q629/P629/IF(E629="FUTURE",VLOOKUP(MID(I629,2,2),[1]Futures!$A$2:$B$12,2),1),"")</f>
        <v/>
      </c>
      <c r="S629" s="13">
        <f>IF(AND(H629="TO CLOSE",P629=0),-G629*(M629-R628)*IF(E629="FUTURE",VLOOKUP(MID(I629,2,2),[1]Futures!$A$2:$B$12,2),1),"")</f>
        <v>17.52000000000038</v>
      </c>
    </row>
    <row r="630" spans="1:19" x14ac:dyDescent="0.2">
      <c r="A630">
        <f t="shared" si="28"/>
        <v>170</v>
      </c>
      <c r="B630" s="3">
        <v>43950</v>
      </c>
      <c r="C630" s="3" t="str">
        <f t="shared" si="30"/>
        <v>Wednesday</v>
      </c>
      <c r="D630" s="2">
        <v>0.40115740740740741</v>
      </c>
      <c r="E630" t="s">
        <v>14</v>
      </c>
      <c r="F630" t="s">
        <v>15</v>
      </c>
      <c r="G630">
        <v>-1</v>
      </c>
      <c r="H630" t="s">
        <v>20</v>
      </c>
      <c r="I630" t="s">
        <v>77</v>
      </c>
      <c r="J630" s="1">
        <v>44063</v>
      </c>
      <c r="L630" t="s">
        <v>14</v>
      </c>
      <c r="M630">
        <v>22.61</v>
      </c>
      <c r="N630">
        <v>22.61</v>
      </c>
      <c r="O630" t="s">
        <v>21</v>
      </c>
      <c r="P630">
        <f t="shared" si="29"/>
        <v>-1</v>
      </c>
      <c r="Q630" s="11">
        <f>IF(P630=0,0,IFERROR(Q629+G630*M630*IF(E630="FUTURE",VLOOKUP(MID(I630,2,2),[1]Futures!$A$2:$B$12,2),1),G630*M630*IF(E630="FUTURE",VLOOKUP(MID(I630,2,2),[1]Futures!$A$2:$B$12,2),1)))</f>
        <v>-22610</v>
      </c>
      <c r="R630" s="12">
        <f>IFERROR(Q630/P630/IF(E630="FUTURE",VLOOKUP(MID(I630,2,2),[1]Futures!$A$2:$B$12,2),1),"")</f>
        <v>22.61</v>
      </c>
      <c r="S630" s="13" t="str">
        <f>IF(AND(H630="TO CLOSE",P630=0),-G630*(M630-R629)*IF(E630="FUTURE",VLOOKUP(MID(I630,2,2),[1]Futures!$A$2:$B$12,2),1),"")</f>
        <v/>
      </c>
    </row>
    <row r="631" spans="1:19" x14ac:dyDescent="0.2">
      <c r="A631">
        <f t="shared" si="28"/>
        <v>170</v>
      </c>
      <c r="B631" s="3">
        <v>43950</v>
      </c>
      <c r="C631" s="3" t="str">
        <f t="shared" si="30"/>
        <v>Wednesday</v>
      </c>
      <c r="D631" s="2">
        <v>0.40510416666666665</v>
      </c>
      <c r="E631" t="s">
        <v>14</v>
      </c>
      <c r="F631" t="s">
        <v>19</v>
      </c>
      <c r="G631">
        <v>1</v>
      </c>
      <c r="H631" t="s">
        <v>16</v>
      </c>
      <c r="I631" t="s">
        <v>77</v>
      </c>
      <c r="J631" s="1">
        <v>44063</v>
      </c>
      <c r="L631" t="s">
        <v>14</v>
      </c>
      <c r="M631">
        <v>22.36</v>
      </c>
      <c r="N631">
        <v>22.36</v>
      </c>
      <c r="O631" t="s">
        <v>21</v>
      </c>
      <c r="P631">
        <f t="shared" si="29"/>
        <v>0</v>
      </c>
      <c r="Q631" s="11">
        <f>IF(P631=0,0,IFERROR(Q630+G631*M631*IF(E631="FUTURE",VLOOKUP(MID(I631,2,2),[1]Futures!$A$2:$B$12,2),1),G631*M631*IF(E631="FUTURE",VLOOKUP(MID(I631,2,2),[1]Futures!$A$2:$B$12,2),1)))</f>
        <v>0</v>
      </c>
      <c r="R631" s="12" t="str">
        <f>IFERROR(Q631/P631/IF(E631="FUTURE",VLOOKUP(MID(I631,2,2),[1]Futures!$A$2:$B$12,2),1),"")</f>
        <v/>
      </c>
      <c r="S631" s="13">
        <f>IF(AND(H631="TO CLOSE",P631=0),-G631*(M631-R630)*IF(E631="FUTURE",VLOOKUP(MID(I631,2,2),[1]Futures!$A$2:$B$12,2),1),"")</f>
        <v>250</v>
      </c>
    </row>
    <row r="632" spans="1:19" x14ac:dyDescent="0.2">
      <c r="A632">
        <f t="shared" si="28"/>
        <v>171</v>
      </c>
      <c r="B632" s="3">
        <v>43950</v>
      </c>
      <c r="C632" s="3" t="str">
        <f t="shared" si="30"/>
        <v>Wednesday</v>
      </c>
      <c r="D632" s="2">
        <v>0.40811342592592598</v>
      </c>
      <c r="E632" t="s">
        <v>14</v>
      </c>
      <c r="F632" t="s">
        <v>15</v>
      </c>
      <c r="G632">
        <v>-1</v>
      </c>
      <c r="H632" t="s">
        <v>20</v>
      </c>
      <c r="I632" t="s">
        <v>77</v>
      </c>
      <c r="J632" s="1">
        <v>44063</v>
      </c>
      <c r="L632" t="s">
        <v>14</v>
      </c>
      <c r="M632">
        <v>22.56</v>
      </c>
      <c r="N632">
        <v>22.56</v>
      </c>
      <c r="O632" t="s">
        <v>21</v>
      </c>
      <c r="P632">
        <f t="shared" si="29"/>
        <v>-1</v>
      </c>
      <c r="Q632" s="11">
        <f>IF(P632=0,0,IFERROR(Q631+G632*M632*IF(E632="FUTURE",VLOOKUP(MID(I632,2,2),[1]Futures!$A$2:$B$12,2),1),G632*M632*IF(E632="FUTURE",VLOOKUP(MID(I632,2,2),[1]Futures!$A$2:$B$12,2),1)))</f>
        <v>-22560</v>
      </c>
      <c r="R632" s="12">
        <f>IFERROR(Q632/P632/IF(E632="FUTURE",VLOOKUP(MID(I632,2,2),[1]Futures!$A$2:$B$12,2),1),"")</f>
        <v>22.56</v>
      </c>
      <c r="S632" s="13" t="str">
        <f>IF(AND(H632="TO CLOSE",P632=0),-G632*(M632-R631)*IF(E632="FUTURE",VLOOKUP(MID(I632,2,2),[1]Futures!$A$2:$B$12,2),1),"")</f>
        <v/>
      </c>
    </row>
    <row r="633" spans="1:19" x14ac:dyDescent="0.2">
      <c r="A633">
        <f t="shared" si="28"/>
        <v>171</v>
      </c>
      <c r="B633" s="3">
        <v>43950</v>
      </c>
      <c r="C633" s="3" t="str">
        <f t="shared" si="30"/>
        <v>Wednesday</v>
      </c>
      <c r="D633" s="2">
        <v>0.41311342592592593</v>
      </c>
      <c r="E633" t="s">
        <v>14</v>
      </c>
      <c r="F633" t="s">
        <v>15</v>
      </c>
      <c r="G633">
        <v>-1</v>
      </c>
      <c r="H633" t="s">
        <v>20</v>
      </c>
      <c r="I633" t="s">
        <v>77</v>
      </c>
      <c r="J633" s="1">
        <v>44063</v>
      </c>
      <c r="L633" t="s">
        <v>14</v>
      </c>
      <c r="M633">
        <v>22.44</v>
      </c>
      <c r="N633">
        <v>22.44</v>
      </c>
      <c r="O633" t="s">
        <v>21</v>
      </c>
      <c r="P633">
        <f t="shared" si="29"/>
        <v>-2</v>
      </c>
      <c r="Q633" s="11">
        <f>IF(P633=0,0,IFERROR(Q632+G633*M633*IF(E633="FUTURE",VLOOKUP(MID(I633,2,2),[1]Futures!$A$2:$B$12,2),1),G633*M633*IF(E633="FUTURE",VLOOKUP(MID(I633,2,2),[1]Futures!$A$2:$B$12,2),1)))</f>
        <v>-45000</v>
      </c>
      <c r="R633" s="12">
        <f>IFERROR(Q633/P633/IF(E633="FUTURE",VLOOKUP(MID(I633,2,2),[1]Futures!$A$2:$B$12,2),1),"")</f>
        <v>22.5</v>
      </c>
      <c r="S633" s="13" t="str">
        <f>IF(AND(H633="TO CLOSE",P633=0),-G633*(M633-R632)*IF(E633="FUTURE",VLOOKUP(MID(I633,2,2),[1]Futures!$A$2:$B$12,2),1),"")</f>
        <v/>
      </c>
    </row>
    <row r="634" spans="1:19" x14ac:dyDescent="0.2">
      <c r="A634">
        <f t="shared" si="28"/>
        <v>171</v>
      </c>
      <c r="B634" s="3">
        <v>43950</v>
      </c>
      <c r="C634" s="3" t="str">
        <f t="shared" si="30"/>
        <v>Wednesday</v>
      </c>
      <c r="D634" s="2">
        <v>0.41768518518518521</v>
      </c>
      <c r="E634" t="s">
        <v>14</v>
      </c>
      <c r="F634" t="s">
        <v>19</v>
      </c>
      <c r="G634">
        <v>1</v>
      </c>
      <c r="H634" t="s">
        <v>16</v>
      </c>
      <c r="I634" t="s">
        <v>77</v>
      </c>
      <c r="J634" s="1">
        <v>44063</v>
      </c>
      <c r="L634" t="s">
        <v>14</v>
      </c>
      <c r="M634">
        <v>22.33</v>
      </c>
      <c r="N634">
        <v>22.33</v>
      </c>
      <c r="O634" t="s">
        <v>21</v>
      </c>
      <c r="P634">
        <f t="shared" si="29"/>
        <v>-1</v>
      </c>
      <c r="Q634" s="11">
        <f>IF(P634=0,0,IFERROR(Q633+G634*M634*IF(E634="FUTURE",VLOOKUP(MID(I634,2,2),[1]Futures!$A$2:$B$12,2),1),G634*M634*IF(E634="FUTURE",VLOOKUP(MID(I634,2,2),[1]Futures!$A$2:$B$12,2),1)))</f>
        <v>-22670</v>
      </c>
      <c r="R634" s="12">
        <f>IFERROR(Q634/P634/IF(E634="FUTURE",VLOOKUP(MID(I634,2,2),[1]Futures!$A$2:$B$12,2),1),"")</f>
        <v>22.67</v>
      </c>
      <c r="S634" s="13" t="str">
        <f>IF(AND(H634="TO CLOSE",P634=0),-G634*(M634-R633)*IF(E634="FUTURE",VLOOKUP(MID(I634,2,2),[1]Futures!$A$2:$B$12,2),1),"")</f>
        <v/>
      </c>
    </row>
    <row r="635" spans="1:19" x14ac:dyDescent="0.2">
      <c r="A635">
        <f t="shared" si="28"/>
        <v>171</v>
      </c>
      <c r="B635" s="3">
        <v>43950</v>
      </c>
      <c r="C635" s="3" t="str">
        <f t="shared" si="30"/>
        <v>Wednesday</v>
      </c>
      <c r="D635" s="2">
        <v>0.41917824074074073</v>
      </c>
      <c r="E635" t="s">
        <v>14</v>
      </c>
      <c r="F635" t="s">
        <v>19</v>
      </c>
      <c r="G635">
        <v>1</v>
      </c>
      <c r="H635" t="s">
        <v>16</v>
      </c>
      <c r="I635" t="s">
        <v>77</v>
      </c>
      <c r="J635" s="1">
        <v>44063</v>
      </c>
      <c r="L635" t="s">
        <v>14</v>
      </c>
      <c r="M635">
        <v>22.26</v>
      </c>
      <c r="N635">
        <v>22.26</v>
      </c>
      <c r="O635" t="s">
        <v>21</v>
      </c>
      <c r="P635">
        <f t="shared" si="29"/>
        <v>0</v>
      </c>
      <c r="Q635" s="11">
        <f>IF(P635=0,0,IFERROR(Q634+G635*M635*IF(E635="FUTURE",VLOOKUP(MID(I635,2,2),[1]Futures!$A$2:$B$12,2),1),G635*M635*IF(E635="FUTURE",VLOOKUP(MID(I635,2,2),[1]Futures!$A$2:$B$12,2),1)))</f>
        <v>0</v>
      </c>
      <c r="R635" s="12" t="str">
        <f>IFERROR(Q635/P635/IF(E635="FUTURE",VLOOKUP(MID(I635,2,2),[1]Futures!$A$2:$B$12,2),1),"")</f>
        <v/>
      </c>
      <c r="S635" s="13">
        <f>IF(AND(H635="TO CLOSE",P635=0),-G635*(M635-R634)*IF(E635="FUTURE",VLOOKUP(MID(I635,2,2),[1]Futures!$A$2:$B$12,2),1),"")</f>
        <v>410.00000000000011</v>
      </c>
    </row>
    <row r="636" spans="1:19" x14ac:dyDescent="0.2">
      <c r="A636">
        <f t="shared" si="28"/>
        <v>172</v>
      </c>
      <c r="B636" s="3">
        <v>43950</v>
      </c>
      <c r="C636" s="3" t="str">
        <f t="shared" si="30"/>
        <v>Wednesday</v>
      </c>
      <c r="D636" s="2">
        <v>0.43891203703703702</v>
      </c>
      <c r="E636" t="s">
        <v>14</v>
      </c>
      <c r="F636" t="s">
        <v>15</v>
      </c>
      <c r="G636">
        <v>-1</v>
      </c>
      <c r="H636" t="s">
        <v>20</v>
      </c>
      <c r="I636" t="s">
        <v>77</v>
      </c>
      <c r="J636" s="1">
        <v>44063</v>
      </c>
      <c r="L636" t="s">
        <v>14</v>
      </c>
      <c r="M636">
        <v>22.37</v>
      </c>
      <c r="N636">
        <v>22.37</v>
      </c>
      <c r="O636" t="s">
        <v>21</v>
      </c>
      <c r="P636">
        <f t="shared" si="29"/>
        <v>-1</v>
      </c>
      <c r="Q636" s="11">
        <f>IF(P636=0,0,IFERROR(Q635+G636*M636*IF(E636="FUTURE",VLOOKUP(MID(I636,2,2),[1]Futures!$A$2:$B$12,2),1),G636*M636*IF(E636="FUTURE",VLOOKUP(MID(I636,2,2),[1]Futures!$A$2:$B$12,2),1)))</f>
        <v>-22370</v>
      </c>
      <c r="R636" s="12">
        <f>IFERROR(Q636/P636/IF(E636="FUTURE",VLOOKUP(MID(I636,2,2),[1]Futures!$A$2:$B$12,2),1),"")</f>
        <v>22.37</v>
      </c>
      <c r="S636" s="13" t="str">
        <f>IF(AND(H636="TO CLOSE",P636=0),-G636*(M636-R635)*IF(E636="FUTURE",VLOOKUP(MID(I636,2,2),[1]Futures!$A$2:$B$12,2),1),"")</f>
        <v/>
      </c>
    </row>
    <row r="637" spans="1:19" x14ac:dyDescent="0.2">
      <c r="A637">
        <f t="shared" si="28"/>
        <v>172</v>
      </c>
      <c r="B637" s="3">
        <v>43950</v>
      </c>
      <c r="C637" s="3" t="str">
        <f t="shared" si="30"/>
        <v>Wednesday</v>
      </c>
      <c r="D637" s="2">
        <v>0.44086805555555553</v>
      </c>
      <c r="E637" t="s">
        <v>14</v>
      </c>
      <c r="F637" t="s">
        <v>19</v>
      </c>
      <c r="G637">
        <v>1</v>
      </c>
      <c r="H637" t="s">
        <v>16</v>
      </c>
      <c r="I637" t="s">
        <v>77</v>
      </c>
      <c r="J637" s="1">
        <v>44063</v>
      </c>
      <c r="L637" t="s">
        <v>14</v>
      </c>
      <c r="M637">
        <v>22.33</v>
      </c>
      <c r="N637">
        <v>22.33</v>
      </c>
      <c r="O637" t="s">
        <v>21</v>
      </c>
      <c r="P637">
        <f t="shared" si="29"/>
        <v>0</v>
      </c>
      <c r="Q637" s="11">
        <f>IF(P637=0,0,IFERROR(Q636+G637*M637*IF(E637="FUTURE",VLOOKUP(MID(I637,2,2),[1]Futures!$A$2:$B$12,2),1),G637*M637*IF(E637="FUTURE",VLOOKUP(MID(I637,2,2),[1]Futures!$A$2:$B$12,2),1)))</f>
        <v>0</v>
      </c>
      <c r="R637" s="12" t="str">
        <f>IFERROR(Q637/P637/IF(E637="FUTURE",VLOOKUP(MID(I637,2,2),[1]Futures!$A$2:$B$12,2),1),"")</f>
        <v/>
      </c>
      <c r="S637" s="13">
        <f>IF(AND(H637="TO CLOSE",P637=0),-G637*(M637-R636)*IF(E637="FUTURE",VLOOKUP(MID(I637,2,2),[1]Futures!$A$2:$B$12,2),1),"")</f>
        <v>40.0000000000027</v>
      </c>
    </row>
    <row r="638" spans="1:19" x14ac:dyDescent="0.2">
      <c r="A638">
        <f t="shared" si="28"/>
        <v>173</v>
      </c>
      <c r="B638" s="3">
        <v>43950</v>
      </c>
      <c r="C638" s="3" t="str">
        <f t="shared" si="30"/>
        <v>Wednesday</v>
      </c>
      <c r="D638" s="2">
        <v>0.46589120370370374</v>
      </c>
      <c r="E638" t="s">
        <v>14</v>
      </c>
      <c r="F638" t="s">
        <v>15</v>
      </c>
      <c r="G638">
        <v>-1</v>
      </c>
      <c r="H638" t="s">
        <v>20</v>
      </c>
      <c r="I638" t="s">
        <v>77</v>
      </c>
      <c r="J638" s="1">
        <v>44063</v>
      </c>
      <c r="L638" t="s">
        <v>14</v>
      </c>
      <c r="M638">
        <v>22.54</v>
      </c>
      <c r="N638">
        <v>22.54</v>
      </c>
      <c r="O638" t="s">
        <v>21</v>
      </c>
      <c r="P638">
        <f t="shared" si="29"/>
        <v>-1</v>
      </c>
      <c r="Q638" s="11">
        <f>IF(P638=0,0,IFERROR(Q637+G638*M638*IF(E638="FUTURE",VLOOKUP(MID(I638,2,2),[1]Futures!$A$2:$B$12,2),1),G638*M638*IF(E638="FUTURE",VLOOKUP(MID(I638,2,2),[1]Futures!$A$2:$B$12,2),1)))</f>
        <v>-22540</v>
      </c>
      <c r="R638" s="12">
        <f>IFERROR(Q638/P638/IF(E638="FUTURE",VLOOKUP(MID(I638,2,2),[1]Futures!$A$2:$B$12,2),1),"")</f>
        <v>22.54</v>
      </c>
      <c r="S638" s="13" t="str">
        <f>IF(AND(H638="TO CLOSE",P638=0),-G638*(M638-R637)*IF(E638="FUTURE",VLOOKUP(MID(I638,2,2),[1]Futures!$A$2:$B$12,2),1),"")</f>
        <v/>
      </c>
    </row>
    <row r="639" spans="1:19" x14ac:dyDescent="0.2">
      <c r="A639">
        <f t="shared" si="28"/>
        <v>173</v>
      </c>
      <c r="B639" s="3">
        <v>43950</v>
      </c>
      <c r="C639" s="3" t="str">
        <f t="shared" si="30"/>
        <v>Wednesday</v>
      </c>
      <c r="D639" s="2">
        <v>0.48305555555555557</v>
      </c>
      <c r="E639" t="s">
        <v>14</v>
      </c>
      <c r="F639" t="s">
        <v>19</v>
      </c>
      <c r="G639">
        <v>1</v>
      </c>
      <c r="H639" t="s">
        <v>16</v>
      </c>
      <c r="I639" t="s">
        <v>77</v>
      </c>
      <c r="J639" s="1">
        <v>44063</v>
      </c>
      <c r="L639" t="s">
        <v>14</v>
      </c>
      <c r="M639">
        <v>22.54</v>
      </c>
      <c r="N639">
        <v>22.54</v>
      </c>
      <c r="O639" t="s">
        <v>21</v>
      </c>
      <c r="P639">
        <f t="shared" si="29"/>
        <v>0</v>
      </c>
      <c r="Q639" s="11">
        <f>IF(P639=0,0,IFERROR(Q638+G639*M639*IF(E639="FUTURE",VLOOKUP(MID(I639,2,2),[1]Futures!$A$2:$B$12,2),1),G639*M639*IF(E639="FUTURE",VLOOKUP(MID(I639,2,2),[1]Futures!$A$2:$B$12,2),1)))</f>
        <v>0</v>
      </c>
      <c r="R639" s="12" t="str">
        <f>IFERROR(Q639/P639/IF(E639="FUTURE",VLOOKUP(MID(I639,2,2),[1]Futures!$A$2:$B$12,2),1),"")</f>
        <v/>
      </c>
      <c r="S639" s="13">
        <f>IF(AND(H639="TO CLOSE",P639=0),-G639*(M639-R638)*IF(E639="FUTURE",VLOOKUP(MID(I639,2,2),[1]Futures!$A$2:$B$12,2),1),"")</f>
        <v>0</v>
      </c>
    </row>
    <row r="640" spans="1:19" x14ac:dyDescent="0.2">
      <c r="A640">
        <f t="shared" si="28"/>
        <v>174</v>
      </c>
      <c r="B640" s="3">
        <v>43950</v>
      </c>
      <c r="C640" s="3" t="str">
        <f t="shared" si="30"/>
        <v>Wednesday</v>
      </c>
      <c r="D640" s="2">
        <v>0.44881944444444444</v>
      </c>
      <c r="E640" t="s">
        <v>14</v>
      </c>
      <c r="F640" t="s">
        <v>15</v>
      </c>
      <c r="G640">
        <v>-1</v>
      </c>
      <c r="H640" t="s">
        <v>20</v>
      </c>
      <c r="I640" t="s">
        <v>17</v>
      </c>
      <c r="J640" s="1">
        <v>44002</v>
      </c>
      <c r="L640" t="s">
        <v>14</v>
      </c>
      <c r="M640">
        <v>2919.5</v>
      </c>
      <c r="N640">
        <v>2919.5</v>
      </c>
      <c r="O640" t="s">
        <v>21</v>
      </c>
      <c r="P640">
        <f t="shared" si="29"/>
        <v>-1</v>
      </c>
      <c r="Q640" s="11">
        <f>IF(P640=0,0,IFERROR(Q639+G640*M640*IF(E640="FUTURE",VLOOKUP(MID(I640,2,2),[1]Futures!$A$2:$B$12,2),1),G640*M640*IF(E640="FUTURE",VLOOKUP(MID(I640,2,2),[1]Futures!$A$2:$B$12,2),1)))</f>
        <v>-145975</v>
      </c>
      <c r="R640" s="12">
        <f>IFERROR(Q640/P640/IF(E640="FUTURE",VLOOKUP(MID(I640,2,2),[1]Futures!$A$2:$B$12,2),1),"")</f>
        <v>2919.5</v>
      </c>
      <c r="S640" s="13" t="str">
        <f>IF(AND(H640="TO CLOSE",P640=0),-G640*(M640-R639)*IF(E640="FUTURE",VLOOKUP(MID(I640,2,2),[1]Futures!$A$2:$B$12,2),1),"")</f>
        <v/>
      </c>
    </row>
    <row r="641" spans="1:19" x14ac:dyDescent="0.2">
      <c r="A641">
        <f t="shared" si="28"/>
        <v>174</v>
      </c>
      <c r="B641" s="3">
        <v>43950</v>
      </c>
      <c r="C641" s="3" t="str">
        <f t="shared" si="30"/>
        <v>Wednesday</v>
      </c>
      <c r="D641" s="2">
        <v>0.70513888888888887</v>
      </c>
      <c r="E641" t="s">
        <v>14</v>
      </c>
      <c r="F641" t="s">
        <v>19</v>
      </c>
      <c r="G641">
        <v>1</v>
      </c>
      <c r="H641" t="s">
        <v>16</v>
      </c>
      <c r="I641" t="s">
        <v>17</v>
      </c>
      <c r="J641" s="1">
        <v>44002</v>
      </c>
      <c r="L641" t="s">
        <v>14</v>
      </c>
      <c r="M641">
        <v>2953.5</v>
      </c>
      <c r="N641">
        <v>2953.5</v>
      </c>
      <c r="O641" t="s">
        <v>21</v>
      </c>
      <c r="P641">
        <f t="shared" si="29"/>
        <v>0</v>
      </c>
      <c r="Q641" s="11">
        <f>IF(P641=0,0,IFERROR(Q640+G641*M641*IF(E641="FUTURE",VLOOKUP(MID(I641,2,2),[1]Futures!$A$2:$B$12,2),1),G641*M641*IF(E641="FUTURE",VLOOKUP(MID(I641,2,2),[1]Futures!$A$2:$B$12,2),1)))</f>
        <v>0</v>
      </c>
      <c r="R641" s="12" t="str">
        <f>IFERROR(Q641/P641/IF(E641="FUTURE",VLOOKUP(MID(I641,2,2),[1]Futures!$A$2:$B$12,2),1),"")</f>
        <v/>
      </c>
      <c r="S641" s="13">
        <f>IF(AND(H641="TO CLOSE",P641=0),-G641*(M641-R640)*IF(E641="FUTURE",VLOOKUP(MID(I641,2,2),[1]Futures!$A$2:$B$12,2),1),"")</f>
        <v>-1700</v>
      </c>
    </row>
    <row r="642" spans="1:19" x14ac:dyDescent="0.2">
      <c r="A642">
        <f t="shared" ref="A642:A705" si="31">IF(AND(P641=0,H641="TO CLOSE"),IFERROR(A641+1,1),IFERROR(A641/1,1))</f>
        <v>175</v>
      </c>
      <c r="B642" s="3">
        <v>43950</v>
      </c>
      <c r="C642" s="3" t="str">
        <f t="shared" si="30"/>
        <v>Wednesday</v>
      </c>
      <c r="D642" s="2">
        <v>0.52276620370370364</v>
      </c>
      <c r="E642" t="s">
        <v>14</v>
      </c>
      <c r="F642" t="s">
        <v>15</v>
      </c>
      <c r="G642">
        <v>-5</v>
      </c>
      <c r="H642" t="s">
        <v>20</v>
      </c>
      <c r="I642" t="s">
        <v>73</v>
      </c>
      <c r="J642" s="1">
        <v>44002</v>
      </c>
      <c r="L642" t="s">
        <v>14</v>
      </c>
      <c r="M642">
        <v>2935.25</v>
      </c>
      <c r="N642">
        <v>2935.25</v>
      </c>
      <c r="O642" t="s">
        <v>21</v>
      </c>
      <c r="P642">
        <f t="shared" si="29"/>
        <v>-5</v>
      </c>
      <c r="Q642" s="11">
        <f>IF(P642=0,0,IFERROR(Q641+G642*M642*IF(E642="FUTURE",VLOOKUP(MID(I642,2,2),[1]Futures!$A$2:$B$12,2),1),G642*M642*IF(E642="FUTURE",VLOOKUP(MID(I642,2,2),[1]Futures!$A$2:$B$12,2),1)))</f>
        <v>-73381.25</v>
      </c>
      <c r="R642" s="12">
        <f>IFERROR(Q642/P642/IF(E642="FUTURE",VLOOKUP(MID(I642,2,2),[1]Futures!$A$2:$B$12,2),1),"")</f>
        <v>2935.25</v>
      </c>
      <c r="S642" s="13" t="str">
        <f>IF(AND(H642="TO CLOSE",P642=0),-G642*(M642-R641)*IF(E642="FUTURE",VLOOKUP(MID(I642,2,2),[1]Futures!$A$2:$B$12,2),1),"")</f>
        <v/>
      </c>
    </row>
    <row r="643" spans="1:19" x14ac:dyDescent="0.2">
      <c r="A643">
        <f t="shared" si="31"/>
        <v>175</v>
      </c>
      <c r="B643" s="3">
        <v>43950</v>
      </c>
      <c r="C643" s="3" t="str">
        <f t="shared" si="30"/>
        <v>Wednesday</v>
      </c>
      <c r="D643" s="2">
        <v>0.52591435185185187</v>
      </c>
      <c r="E643" t="s">
        <v>14</v>
      </c>
      <c r="F643" t="s">
        <v>15</v>
      </c>
      <c r="G643">
        <v>-2</v>
      </c>
      <c r="H643" t="s">
        <v>20</v>
      </c>
      <c r="I643" t="s">
        <v>73</v>
      </c>
      <c r="J643" s="1">
        <v>44002</v>
      </c>
      <c r="L643" t="s">
        <v>14</v>
      </c>
      <c r="M643">
        <v>2938.25</v>
      </c>
      <c r="N643">
        <v>2938.25</v>
      </c>
      <c r="O643" t="s">
        <v>21</v>
      </c>
      <c r="P643">
        <f t="shared" ref="P643:P706" si="32">IF(H643="TO OPEN",IFERROR(P642+G643,0+G643),IFERROR(P642+G643,0+G643))</f>
        <v>-7</v>
      </c>
      <c r="Q643" s="11">
        <f>IF(P643=0,0,IFERROR(Q642+G643*M643*IF(E643="FUTURE",VLOOKUP(MID(I643,2,2),[1]Futures!$A$2:$B$12,2),1),G643*M643*IF(E643="FUTURE",VLOOKUP(MID(I643,2,2),[1]Futures!$A$2:$B$12,2),1)))</f>
        <v>-102763.75</v>
      </c>
      <c r="R643" s="12">
        <f>IFERROR(Q643/P643/IF(E643="FUTURE",VLOOKUP(MID(I643,2,2),[1]Futures!$A$2:$B$12,2),1),"")</f>
        <v>2936.1071428571427</v>
      </c>
      <c r="S643" s="13" t="str">
        <f>IF(AND(H643="TO CLOSE",P643=0),-G643*(M643-R642)*IF(E643="FUTURE",VLOOKUP(MID(I643,2,2),[1]Futures!$A$2:$B$12,2),1),"")</f>
        <v/>
      </c>
    </row>
    <row r="644" spans="1:19" x14ac:dyDescent="0.2">
      <c r="A644">
        <f t="shared" si="31"/>
        <v>175</v>
      </c>
      <c r="B644" s="3">
        <v>43950</v>
      </c>
      <c r="C644" s="3" t="str">
        <f t="shared" si="30"/>
        <v>Wednesday</v>
      </c>
      <c r="D644" s="2">
        <v>0.52855324074074073</v>
      </c>
      <c r="E644" t="s">
        <v>14</v>
      </c>
      <c r="F644" t="s">
        <v>15</v>
      </c>
      <c r="G644">
        <v>-1</v>
      </c>
      <c r="H644" t="s">
        <v>20</v>
      </c>
      <c r="I644" t="s">
        <v>73</v>
      </c>
      <c r="J644" s="1">
        <v>44002</v>
      </c>
      <c r="L644" t="s">
        <v>14</v>
      </c>
      <c r="M644">
        <v>2939.5</v>
      </c>
      <c r="N644">
        <v>2939.5</v>
      </c>
      <c r="O644" t="s">
        <v>21</v>
      </c>
      <c r="P644">
        <f t="shared" si="32"/>
        <v>-8</v>
      </c>
      <c r="Q644" s="11">
        <f>IF(P644=0,0,IFERROR(Q643+G644*M644*IF(E644="FUTURE",VLOOKUP(MID(I644,2,2),[1]Futures!$A$2:$B$12,2),1),G644*M644*IF(E644="FUTURE",VLOOKUP(MID(I644,2,2),[1]Futures!$A$2:$B$12,2),1)))</f>
        <v>-117461.25</v>
      </c>
      <c r="R644" s="12">
        <f>IFERROR(Q644/P644/IF(E644="FUTURE",VLOOKUP(MID(I644,2,2),[1]Futures!$A$2:$B$12,2),1),"")</f>
        <v>2936.53125</v>
      </c>
      <c r="S644" s="13" t="str">
        <f>IF(AND(H644="TO CLOSE",P644=0),-G644*(M644-R643)*IF(E644="FUTURE",VLOOKUP(MID(I644,2,2),[1]Futures!$A$2:$B$12,2),1),"")</f>
        <v/>
      </c>
    </row>
    <row r="645" spans="1:19" x14ac:dyDescent="0.2">
      <c r="A645">
        <f t="shared" si="31"/>
        <v>175</v>
      </c>
      <c r="B645" s="3">
        <v>43950</v>
      </c>
      <c r="C645" s="3" t="str">
        <f t="shared" si="30"/>
        <v>Wednesday</v>
      </c>
      <c r="D645" s="2">
        <v>0.56579861111111118</v>
      </c>
      <c r="E645" t="s">
        <v>14</v>
      </c>
      <c r="F645" t="s">
        <v>19</v>
      </c>
      <c r="G645">
        <v>4</v>
      </c>
      <c r="H645" t="s">
        <v>16</v>
      </c>
      <c r="I645" t="s">
        <v>73</v>
      </c>
      <c r="J645" s="1">
        <v>44002</v>
      </c>
      <c r="L645" t="s">
        <v>14</v>
      </c>
      <c r="M645">
        <v>2934.25</v>
      </c>
      <c r="N645">
        <v>2934.25</v>
      </c>
      <c r="O645" t="s">
        <v>21</v>
      </c>
      <c r="P645">
        <f t="shared" si="32"/>
        <v>-4</v>
      </c>
      <c r="Q645" s="11">
        <f>IF(P645=0,0,IFERROR(Q644+G645*M645*IF(E645="FUTURE",VLOOKUP(MID(I645,2,2),[1]Futures!$A$2:$B$12,2),1),G645*M645*IF(E645="FUTURE",VLOOKUP(MID(I645,2,2),[1]Futures!$A$2:$B$12,2),1)))</f>
        <v>-58776.25</v>
      </c>
      <c r="R645" s="12">
        <f>IFERROR(Q645/P645/IF(E645="FUTURE",VLOOKUP(MID(I645,2,2),[1]Futures!$A$2:$B$12,2),1),"")</f>
        <v>2938.8125</v>
      </c>
      <c r="S645" s="13" t="str">
        <f>IF(AND(H645="TO CLOSE",P645=0),-G645*(M645-R644)*IF(E645="FUTURE",VLOOKUP(MID(I645,2,2),[1]Futures!$A$2:$B$12,2),1),"")</f>
        <v/>
      </c>
    </row>
    <row r="646" spans="1:19" x14ac:dyDescent="0.2">
      <c r="A646">
        <f t="shared" si="31"/>
        <v>175</v>
      </c>
      <c r="B646" s="3">
        <v>43950</v>
      </c>
      <c r="C646" s="3" t="str">
        <f t="shared" si="30"/>
        <v>Wednesday</v>
      </c>
      <c r="D646" s="2">
        <v>0.57314814814814818</v>
      </c>
      <c r="E646" t="s">
        <v>14</v>
      </c>
      <c r="F646" t="s">
        <v>19</v>
      </c>
      <c r="G646">
        <v>4</v>
      </c>
      <c r="H646" t="s">
        <v>16</v>
      </c>
      <c r="I646" t="s">
        <v>73</v>
      </c>
      <c r="J646" s="1">
        <v>44002</v>
      </c>
      <c r="L646" t="s">
        <v>14</v>
      </c>
      <c r="M646">
        <v>2932.75</v>
      </c>
      <c r="N646">
        <v>2932.75</v>
      </c>
      <c r="O646" t="s">
        <v>21</v>
      </c>
      <c r="P646">
        <f t="shared" si="32"/>
        <v>0</v>
      </c>
      <c r="Q646" s="11">
        <f>IF(P646=0,0,IFERROR(Q645+G646*M646*IF(E646="FUTURE",VLOOKUP(MID(I646,2,2),[1]Futures!$A$2:$B$12,2),1),G646*M646*IF(E646="FUTURE",VLOOKUP(MID(I646,2,2),[1]Futures!$A$2:$B$12,2),1)))</f>
        <v>0</v>
      </c>
      <c r="R646" s="12" t="str">
        <f>IFERROR(Q646/P646/IF(E646="FUTURE",VLOOKUP(MID(I646,2,2),[1]Futures!$A$2:$B$12,2),1),"")</f>
        <v/>
      </c>
      <c r="S646" s="13">
        <f>IF(AND(H646="TO CLOSE",P646=0),-G646*(M646-R645)*IF(E646="FUTURE",VLOOKUP(MID(I646,2,2),[1]Futures!$A$2:$B$12,2),1),"")</f>
        <v>121.25</v>
      </c>
    </row>
    <row r="647" spans="1:19" x14ac:dyDescent="0.2">
      <c r="A647">
        <f t="shared" si="31"/>
        <v>176</v>
      </c>
      <c r="B647" s="3">
        <v>43950</v>
      </c>
      <c r="C647" s="3" t="str">
        <f t="shared" si="30"/>
        <v>Wednesday</v>
      </c>
      <c r="D647" s="2">
        <v>0.64329861111111108</v>
      </c>
      <c r="E647" t="s">
        <v>14</v>
      </c>
      <c r="F647" t="s">
        <v>15</v>
      </c>
      <c r="G647">
        <v>-5</v>
      </c>
      <c r="H647" t="s">
        <v>20</v>
      </c>
      <c r="I647" t="s">
        <v>73</v>
      </c>
      <c r="J647" s="1">
        <v>44002</v>
      </c>
      <c r="L647" t="s">
        <v>14</v>
      </c>
      <c r="M647">
        <v>2946.5</v>
      </c>
      <c r="N647">
        <v>2946.5</v>
      </c>
      <c r="O647" t="s">
        <v>21</v>
      </c>
      <c r="P647">
        <f t="shared" si="32"/>
        <v>-5</v>
      </c>
      <c r="Q647" s="11">
        <f>IF(P647=0,0,IFERROR(Q646+G647*M647*IF(E647="FUTURE",VLOOKUP(MID(I647,2,2),[1]Futures!$A$2:$B$12,2),1),G647*M647*IF(E647="FUTURE",VLOOKUP(MID(I647,2,2),[1]Futures!$A$2:$B$12,2),1)))</f>
        <v>-73662.5</v>
      </c>
      <c r="R647" s="12">
        <f>IFERROR(Q647/P647/IF(E647="FUTURE",VLOOKUP(MID(I647,2,2),[1]Futures!$A$2:$B$12,2),1),"")</f>
        <v>2946.5</v>
      </c>
      <c r="S647" s="13" t="str">
        <f>IF(AND(H647="TO CLOSE",P647=0),-G647*(M647-R646)*IF(E647="FUTURE",VLOOKUP(MID(I647,2,2),[1]Futures!$A$2:$B$12,2),1),"")</f>
        <v/>
      </c>
    </row>
    <row r="648" spans="1:19" x14ac:dyDescent="0.2">
      <c r="A648">
        <f t="shared" si="31"/>
        <v>176</v>
      </c>
      <c r="B648" s="3">
        <v>43950</v>
      </c>
      <c r="C648" s="3" t="str">
        <f t="shared" si="30"/>
        <v>Wednesday</v>
      </c>
      <c r="D648" s="2">
        <v>0.65972222222222221</v>
      </c>
      <c r="E648" t="s">
        <v>14</v>
      </c>
      <c r="F648" t="s">
        <v>19</v>
      </c>
      <c r="G648">
        <v>3</v>
      </c>
      <c r="H648" t="s">
        <v>16</v>
      </c>
      <c r="I648" t="s">
        <v>73</v>
      </c>
      <c r="J648" s="1">
        <v>44002</v>
      </c>
      <c r="L648" t="s">
        <v>14</v>
      </c>
      <c r="M648">
        <v>2938.5</v>
      </c>
      <c r="N648">
        <v>2938.5</v>
      </c>
      <c r="O648" t="s">
        <v>21</v>
      </c>
      <c r="P648">
        <f t="shared" si="32"/>
        <v>-2</v>
      </c>
      <c r="Q648" s="11">
        <f>IF(P648=0,0,IFERROR(Q647+G648*M648*IF(E648="FUTURE",VLOOKUP(MID(I648,2,2),[1]Futures!$A$2:$B$12,2),1),G648*M648*IF(E648="FUTURE",VLOOKUP(MID(I648,2,2),[1]Futures!$A$2:$B$12,2),1)))</f>
        <v>-29585</v>
      </c>
      <c r="R648" s="12">
        <f>IFERROR(Q648/P648/IF(E648="FUTURE",VLOOKUP(MID(I648,2,2),[1]Futures!$A$2:$B$12,2),1),"")</f>
        <v>2958.5</v>
      </c>
      <c r="S648" s="13" t="str">
        <f>IF(AND(H648="TO CLOSE",P648=0),-G648*(M648-R647)*IF(E648="FUTURE",VLOOKUP(MID(I648,2,2),[1]Futures!$A$2:$B$12,2),1),"")</f>
        <v/>
      </c>
    </row>
    <row r="649" spans="1:19" x14ac:dyDescent="0.2">
      <c r="A649">
        <f t="shared" si="31"/>
        <v>176</v>
      </c>
      <c r="B649" s="3">
        <v>43950</v>
      </c>
      <c r="C649" s="3" t="str">
        <f t="shared" si="30"/>
        <v>Wednesday</v>
      </c>
      <c r="D649" s="2">
        <v>0.65972222222222221</v>
      </c>
      <c r="E649" t="s">
        <v>14</v>
      </c>
      <c r="F649" t="s">
        <v>19</v>
      </c>
      <c r="G649">
        <v>1</v>
      </c>
      <c r="H649" t="s">
        <v>16</v>
      </c>
      <c r="I649" t="s">
        <v>73</v>
      </c>
      <c r="J649" s="1">
        <v>44002</v>
      </c>
      <c r="L649" t="s">
        <v>14</v>
      </c>
      <c r="M649">
        <v>2938.5</v>
      </c>
      <c r="N649">
        <v>2938.5</v>
      </c>
      <c r="O649" t="s">
        <v>21</v>
      </c>
      <c r="P649">
        <f t="shared" si="32"/>
        <v>-1</v>
      </c>
      <c r="Q649" s="11">
        <f>IF(P649=0,0,IFERROR(Q648+G649*M649*IF(E649="FUTURE",VLOOKUP(MID(I649,2,2),[1]Futures!$A$2:$B$12,2),1),G649*M649*IF(E649="FUTURE",VLOOKUP(MID(I649,2,2),[1]Futures!$A$2:$B$12,2),1)))</f>
        <v>-14892.5</v>
      </c>
      <c r="R649" s="12">
        <f>IFERROR(Q649/P649/IF(E649="FUTURE",VLOOKUP(MID(I649,2,2),[1]Futures!$A$2:$B$12,2),1),"")</f>
        <v>2978.5</v>
      </c>
      <c r="S649" s="13" t="str">
        <f>IF(AND(H649="TO CLOSE",P649=0),-G649*(M649-R648)*IF(E649="FUTURE",VLOOKUP(MID(I649,2,2),[1]Futures!$A$2:$B$12,2),1),"")</f>
        <v/>
      </c>
    </row>
    <row r="650" spans="1:19" x14ac:dyDescent="0.2">
      <c r="A650">
        <f t="shared" si="31"/>
        <v>176</v>
      </c>
      <c r="B650" s="3">
        <v>43950</v>
      </c>
      <c r="C650" s="3" t="str">
        <f t="shared" si="30"/>
        <v>Wednesday</v>
      </c>
      <c r="D650" s="2">
        <v>0.65972222222222221</v>
      </c>
      <c r="E650" t="s">
        <v>14</v>
      </c>
      <c r="F650" t="s">
        <v>19</v>
      </c>
      <c r="G650">
        <v>1</v>
      </c>
      <c r="H650" t="s">
        <v>16</v>
      </c>
      <c r="I650" t="s">
        <v>73</v>
      </c>
      <c r="J650" s="1">
        <v>44002</v>
      </c>
      <c r="L650" t="s">
        <v>14</v>
      </c>
      <c r="M650">
        <v>2938.5</v>
      </c>
      <c r="N650">
        <v>2938.5</v>
      </c>
      <c r="O650" t="s">
        <v>21</v>
      </c>
      <c r="P650">
        <f t="shared" si="32"/>
        <v>0</v>
      </c>
      <c r="Q650" s="11">
        <f>IF(P650=0,0,IFERROR(Q649+G650*M650*IF(E650="FUTURE",VLOOKUP(MID(I650,2,2),[1]Futures!$A$2:$B$12,2),1),G650*M650*IF(E650="FUTURE",VLOOKUP(MID(I650,2,2),[1]Futures!$A$2:$B$12,2),1)))</f>
        <v>0</v>
      </c>
      <c r="R650" s="12" t="str">
        <f>IFERROR(Q650/P650/IF(E650="FUTURE",VLOOKUP(MID(I650,2,2),[1]Futures!$A$2:$B$12,2),1),"")</f>
        <v/>
      </c>
      <c r="S650" s="13">
        <f>IF(AND(H650="TO CLOSE",P650=0),-G650*(M650-R649)*IF(E650="FUTURE",VLOOKUP(MID(I650,2,2),[1]Futures!$A$2:$B$12,2),1),"")</f>
        <v>200</v>
      </c>
    </row>
    <row r="651" spans="1:19" x14ac:dyDescent="0.2">
      <c r="A651">
        <f t="shared" si="31"/>
        <v>177</v>
      </c>
      <c r="B651" s="3">
        <v>43950</v>
      </c>
      <c r="C651" s="3" t="str">
        <f t="shared" si="30"/>
        <v>Wednesday</v>
      </c>
      <c r="D651" s="2">
        <v>0.41944444444444445</v>
      </c>
      <c r="E651" t="s">
        <v>22</v>
      </c>
      <c r="F651" t="s">
        <v>19</v>
      </c>
      <c r="G651">
        <v>200</v>
      </c>
      <c r="H651" t="s">
        <v>20</v>
      </c>
      <c r="I651" t="s">
        <v>23</v>
      </c>
      <c r="L651" t="s">
        <v>22</v>
      </c>
      <c r="M651">
        <v>36.340000000000003</v>
      </c>
      <c r="N651">
        <v>36.340000000000003</v>
      </c>
      <c r="O651" t="s">
        <v>21</v>
      </c>
      <c r="P651">
        <f t="shared" si="32"/>
        <v>200</v>
      </c>
      <c r="Q651" s="11">
        <f>IF(P651=0,0,IFERROR(Q650+G651*M651*IF(E651="FUTURE",VLOOKUP(MID(I651,2,2),[1]Futures!$A$2:$B$12,2),1),G651*M651*IF(E651="FUTURE",VLOOKUP(MID(I651,2,2),[1]Futures!$A$2:$B$12,2),1)))</f>
        <v>7268.0000000000009</v>
      </c>
      <c r="R651" s="12">
        <f>IFERROR(Q651/P651/IF(E651="FUTURE",VLOOKUP(MID(I651,2,2),[1]Futures!$A$2:$B$12,2),1),"")</f>
        <v>36.340000000000003</v>
      </c>
      <c r="S651" s="13" t="str">
        <f>IF(AND(H651="TO CLOSE",P651=0),-G651*(M651-R650)*IF(E651="FUTURE",VLOOKUP(MID(I651,2,2),[1]Futures!$A$2:$B$12,2),1),"")</f>
        <v/>
      </c>
    </row>
    <row r="652" spans="1:19" x14ac:dyDescent="0.2">
      <c r="A652">
        <f t="shared" si="31"/>
        <v>177</v>
      </c>
      <c r="B652" s="3">
        <v>43950</v>
      </c>
      <c r="C652" s="3" t="str">
        <f t="shared" si="30"/>
        <v>Wednesday</v>
      </c>
      <c r="D652" s="2">
        <v>0.42614583333333328</v>
      </c>
      <c r="E652" t="s">
        <v>22</v>
      </c>
      <c r="F652" t="s">
        <v>19</v>
      </c>
      <c r="G652">
        <v>100</v>
      </c>
      <c r="H652" t="s">
        <v>20</v>
      </c>
      <c r="I652" t="s">
        <v>23</v>
      </c>
      <c r="L652" t="s">
        <v>22</v>
      </c>
      <c r="M652">
        <v>36.32</v>
      </c>
      <c r="N652">
        <v>36.32</v>
      </c>
      <c r="O652" t="s">
        <v>21</v>
      </c>
      <c r="P652">
        <f t="shared" si="32"/>
        <v>300</v>
      </c>
      <c r="Q652" s="11">
        <f>IF(P652=0,0,IFERROR(Q651+G652*M652*IF(E652="FUTURE",VLOOKUP(MID(I652,2,2),[1]Futures!$A$2:$B$12,2),1),G652*M652*IF(E652="FUTURE",VLOOKUP(MID(I652,2,2),[1]Futures!$A$2:$B$12,2),1)))</f>
        <v>10900</v>
      </c>
      <c r="R652" s="12">
        <f>IFERROR(Q652/P652/IF(E652="FUTURE",VLOOKUP(MID(I652,2,2),[1]Futures!$A$2:$B$12,2),1),"")</f>
        <v>36.333333333333336</v>
      </c>
      <c r="S652" s="13" t="str">
        <f>IF(AND(H652="TO CLOSE",P652=0),-G652*(M652-R651)*IF(E652="FUTURE",VLOOKUP(MID(I652,2,2),[1]Futures!$A$2:$B$12,2),1),"")</f>
        <v/>
      </c>
    </row>
    <row r="653" spans="1:19" x14ac:dyDescent="0.2">
      <c r="A653">
        <f t="shared" si="31"/>
        <v>177</v>
      </c>
      <c r="B653" s="3">
        <v>43950</v>
      </c>
      <c r="C653" s="3" t="str">
        <f t="shared" si="30"/>
        <v>Wednesday</v>
      </c>
      <c r="D653" s="2">
        <v>0.42614583333333328</v>
      </c>
      <c r="E653" t="s">
        <v>22</v>
      </c>
      <c r="F653" t="s">
        <v>19</v>
      </c>
      <c r="G653">
        <v>100</v>
      </c>
      <c r="H653" t="s">
        <v>20</v>
      </c>
      <c r="I653" t="s">
        <v>23</v>
      </c>
      <c r="L653" t="s">
        <v>22</v>
      </c>
      <c r="M653">
        <v>36.32</v>
      </c>
      <c r="N653">
        <v>36.32</v>
      </c>
      <c r="O653" t="s">
        <v>21</v>
      </c>
      <c r="P653">
        <f t="shared" si="32"/>
        <v>400</v>
      </c>
      <c r="Q653" s="11">
        <f>IF(P653=0,0,IFERROR(Q652+G653*M653*IF(E653="FUTURE",VLOOKUP(MID(I653,2,2),[1]Futures!$A$2:$B$12,2),1),G653*M653*IF(E653="FUTURE",VLOOKUP(MID(I653,2,2),[1]Futures!$A$2:$B$12,2),1)))</f>
        <v>14532</v>
      </c>
      <c r="R653" s="12">
        <f>IFERROR(Q653/P653/IF(E653="FUTURE",VLOOKUP(MID(I653,2,2),[1]Futures!$A$2:$B$12,2),1),"")</f>
        <v>36.33</v>
      </c>
      <c r="S653" s="13" t="str">
        <f>IF(AND(H653="TO CLOSE",P653=0),-G653*(M653-R652)*IF(E653="FUTURE",VLOOKUP(MID(I653,2,2),[1]Futures!$A$2:$B$12,2),1),"")</f>
        <v/>
      </c>
    </row>
    <row r="654" spans="1:19" x14ac:dyDescent="0.2">
      <c r="A654">
        <f t="shared" si="31"/>
        <v>177</v>
      </c>
      <c r="B654" s="3">
        <v>43950</v>
      </c>
      <c r="C654" s="3" t="str">
        <f t="shared" si="30"/>
        <v>Wednesday</v>
      </c>
      <c r="D654" s="2">
        <v>0.42804398148148143</v>
      </c>
      <c r="E654" t="s">
        <v>22</v>
      </c>
      <c r="F654" t="s">
        <v>15</v>
      </c>
      <c r="G654">
        <v>-400</v>
      </c>
      <c r="H654" t="s">
        <v>16</v>
      </c>
      <c r="I654" t="s">
        <v>23</v>
      </c>
      <c r="L654" t="s">
        <v>22</v>
      </c>
      <c r="M654">
        <v>36.185000000000002</v>
      </c>
      <c r="N654">
        <v>36.185000000000002</v>
      </c>
      <c r="O654" t="s">
        <v>21</v>
      </c>
      <c r="P654">
        <f t="shared" si="32"/>
        <v>0</v>
      </c>
      <c r="Q654" s="11">
        <f>IF(P654=0,0,IFERROR(Q653+G654*M654*IF(E654="FUTURE",VLOOKUP(MID(I654,2,2),[1]Futures!$A$2:$B$12,2),1),G654*M654*IF(E654="FUTURE",VLOOKUP(MID(I654,2,2),[1]Futures!$A$2:$B$12,2),1)))</f>
        <v>0</v>
      </c>
      <c r="R654" s="12" t="str">
        <f>IFERROR(Q654/P654/IF(E654="FUTURE",VLOOKUP(MID(I654,2,2),[1]Futures!$A$2:$B$12,2),1),"")</f>
        <v/>
      </c>
      <c r="S654" s="13">
        <f>IF(AND(H654="TO CLOSE",P654=0),-G654*(M654-R653)*IF(E654="FUTURE",VLOOKUP(MID(I654,2,2),[1]Futures!$A$2:$B$12,2),1),"")</f>
        <v>-57.999999999998408</v>
      </c>
    </row>
    <row r="655" spans="1:19" x14ac:dyDescent="0.2">
      <c r="A655">
        <f t="shared" si="31"/>
        <v>178</v>
      </c>
      <c r="B655" s="3">
        <v>43950</v>
      </c>
      <c r="C655" s="3" t="str">
        <f t="shared" si="30"/>
        <v>Wednesday</v>
      </c>
      <c r="D655" s="2">
        <v>0.4369791666666667</v>
      </c>
      <c r="E655" t="s">
        <v>22</v>
      </c>
      <c r="F655" t="s">
        <v>19</v>
      </c>
      <c r="G655">
        <v>1</v>
      </c>
      <c r="H655" t="s">
        <v>20</v>
      </c>
      <c r="I655" t="s">
        <v>23</v>
      </c>
      <c r="L655" t="s">
        <v>22</v>
      </c>
      <c r="M655">
        <v>35.92</v>
      </c>
      <c r="N655">
        <v>35.92</v>
      </c>
      <c r="O655" t="s">
        <v>21</v>
      </c>
      <c r="P655">
        <f t="shared" si="32"/>
        <v>1</v>
      </c>
      <c r="Q655" s="11">
        <f>IF(P655=0,0,IFERROR(Q654+G655*M655*IF(E655="FUTURE",VLOOKUP(MID(I655,2,2),[1]Futures!$A$2:$B$12,2),1),G655*M655*IF(E655="FUTURE",VLOOKUP(MID(I655,2,2),[1]Futures!$A$2:$B$12,2),1)))</f>
        <v>35.92</v>
      </c>
      <c r="R655" s="12">
        <f>IFERROR(Q655/P655/IF(E655="FUTURE",VLOOKUP(MID(I655,2,2),[1]Futures!$A$2:$B$12,2),1),"")</f>
        <v>35.92</v>
      </c>
      <c r="S655" s="13" t="str">
        <f>IF(AND(H655="TO CLOSE",P655=0),-G655*(M655-R654)*IF(E655="FUTURE",VLOOKUP(MID(I655,2,2),[1]Futures!$A$2:$B$12,2),1),"")</f>
        <v/>
      </c>
    </row>
    <row r="656" spans="1:19" x14ac:dyDescent="0.2">
      <c r="A656">
        <f t="shared" si="31"/>
        <v>178</v>
      </c>
      <c r="B656" s="3">
        <v>43950</v>
      </c>
      <c r="C656" s="3" t="str">
        <f t="shared" si="30"/>
        <v>Wednesday</v>
      </c>
      <c r="D656" s="2">
        <v>0.43736111111111109</v>
      </c>
      <c r="E656" t="s">
        <v>22</v>
      </c>
      <c r="F656" t="s">
        <v>19</v>
      </c>
      <c r="G656">
        <v>199</v>
      </c>
      <c r="H656" t="s">
        <v>20</v>
      </c>
      <c r="I656" t="s">
        <v>23</v>
      </c>
      <c r="L656" t="s">
        <v>22</v>
      </c>
      <c r="M656">
        <v>36</v>
      </c>
      <c r="N656">
        <v>36</v>
      </c>
      <c r="O656" t="s">
        <v>21</v>
      </c>
      <c r="P656">
        <f t="shared" si="32"/>
        <v>200</v>
      </c>
      <c r="Q656" s="11">
        <f>IF(P656=0,0,IFERROR(Q655+G656*M656*IF(E656="FUTURE",VLOOKUP(MID(I656,2,2),[1]Futures!$A$2:$B$12,2),1),G656*M656*IF(E656="FUTURE",VLOOKUP(MID(I656,2,2),[1]Futures!$A$2:$B$12,2),1)))</f>
        <v>7199.92</v>
      </c>
      <c r="R656" s="12">
        <f>IFERROR(Q656/P656/IF(E656="FUTURE",VLOOKUP(MID(I656,2,2),[1]Futures!$A$2:$B$12,2),1),"")</f>
        <v>35.999600000000001</v>
      </c>
      <c r="S656" s="13" t="str">
        <f>IF(AND(H656="TO CLOSE",P656=0),-G656*(M656-R655)*IF(E656="FUTURE",VLOOKUP(MID(I656,2,2),[1]Futures!$A$2:$B$12,2),1),"")</f>
        <v/>
      </c>
    </row>
    <row r="657" spans="1:19" x14ac:dyDescent="0.2">
      <c r="A657">
        <f t="shared" si="31"/>
        <v>178</v>
      </c>
      <c r="B657" s="3">
        <v>43950</v>
      </c>
      <c r="C657" s="3" t="str">
        <f t="shared" si="30"/>
        <v>Wednesday</v>
      </c>
      <c r="D657" s="2">
        <v>0.44172453703703707</v>
      </c>
      <c r="E657" t="s">
        <v>22</v>
      </c>
      <c r="F657" t="s">
        <v>15</v>
      </c>
      <c r="G657">
        <v>-200</v>
      </c>
      <c r="H657" t="s">
        <v>16</v>
      </c>
      <c r="I657" t="s">
        <v>23</v>
      </c>
      <c r="L657" t="s">
        <v>22</v>
      </c>
      <c r="M657">
        <v>36.049999999999997</v>
      </c>
      <c r="N657">
        <v>36.049999999999997</v>
      </c>
      <c r="O657" t="s">
        <v>21</v>
      </c>
      <c r="P657">
        <f t="shared" si="32"/>
        <v>0</v>
      </c>
      <c r="Q657" s="11">
        <f>IF(P657=0,0,IFERROR(Q656+G657*M657*IF(E657="FUTURE",VLOOKUP(MID(I657,2,2),[1]Futures!$A$2:$B$12,2),1),G657*M657*IF(E657="FUTURE",VLOOKUP(MID(I657,2,2),[1]Futures!$A$2:$B$12,2),1)))</f>
        <v>0</v>
      </c>
      <c r="R657" s="12" t="str">
        <f>IFERROR(Q657/P657/IF(E657="FUTURE",VLOOKUP(MID(I657,2,2),[1]Futures!$A$2:$B$12,2),1),"")</f>
        <v/>
      </c>
      <c r="S657" s="13">
        <f>IF(AND(H657="TO CLOSE",P657=0),-G657*(M657-R656)*IF(E657="FUTURE",VLOOKUP(MID(I657,2,2),[1]Futures!$A$2:$B$12,2),1),"")</f>
        <v>10.079999999999245</v>
      </c>
    </row>
    <row r="658" spans="1:19" x14ac:dyDescent="0.2">
      <c r="A658">
        <f t="shared" si="31"/>
        <v>179</v>
      </c>
      <c r="B658" s="3">
        <v>43950</v>
      </c>
      <c r="C658" s="3" t="str">
        <f t="shared" si="30"/>
        <v>Wednesday</v>
      </c>
      <c r="D658" s="2">
        <v>0.44412037037037039</v>
      </c>
      <c r="E658" t="s">
        <v>22</v>
      </c>
      <c r="F658" t="s">
        <v>19</v>
      </c>
      <c r="G658">
        <v>34</v>
      </c>
      <c r="H658" t="s">
        <v>20</v>
      </c>
      <c r="I658" t="s">
        <v>23</v>
      </c>
      <c r="L658" t="s">
        <v>22</v>
      </c>
      <c r="M658">
        <v>36.17</v>
      </c>
      <c r="N658">
        <v>36.17</v>
      </c>
      <c r="O658" t="s">
        <v>21</v>
      </c>
      <c r="P658">
        <f t="shared" si="32"/>
        <v>34</v>
      </c>
      <c r="Q658" s="11">
        <f>IF(P658=0,0,IFERROR(Q657+G658*M658*IF(E658="FUTURE",VLOOKUP(MID(I658,2,2),[1]Futures!$A$2:$B$12,2),1),G658*M658*IF(E658="FUTURE",VLOOKUP(MID(I658,2,2),[1]Futures!$A$2:$B$12,2),1)))</f>
        <v>1229.78</v>
      </c>
      <c r="R658" s="12">
        <f>IFERROR(Q658/P658/IF(E658="FUTURE",VLOOKUP(MID(I658,2,2),[1]Futures!$A$2:$B$12,2),1),"")</f>
        <v>36.17</v>
      </c>
      <c r="S658" s="13" t="str">
        <f>IF(AND(H658="TO CLOSE",P658=0),-G658*(M658-R657)*IF(E658="FUTURE",VLOOKUP(MID(I658,2,2),[1]Futures!$A$2:$B$12,2),1),"")</f>
        <v/>
      </c>
    </row>
    <row r="659" spans="1:19" x14ac:dyDescent="0.2">
      <c r="A659">
        <f t="shared" si="31"/>
        <v>179</v>
      </c>
      <c r="B659" s="3">
        <v>43950</v>
      </c>
      <c r="C659" s="3" t="str">
        <f t="shared" si="30"/>
        <v>Wednesday</v>
      </c>
      <c r="D659" s="2">
        <v>0.44424768518518515</v>
      </c>
      <c r="E659" t="s">
        <v>22</v>
      </c>
      <c r="F659" t="s">
        <v>19</v>
      </c>
      <c r="G659">
        <v>366</v>
      </c>
      <c r="H659" t="s">
        <v>20</v>
      </c>
      <c r="I659" t="s">
        <v>23</v>
      </c>
      <c r="L659" t="s">
        <v>22</v>
      </c>
      <c r="M659">
        <v>36.17</v>
      </c>
      <c r="N659">
        <v>36.17</v>
      </c>
      <c r="O659" t="s">
        <v>21</v>
      </c>
      <c r="P659">
        <f t="shared" si="32"/>
        <v>400</v>
      </c>
      <c r="Q659" s="11">
        <f>IF(P659=0,0,IFERROR(Q658+G659*M659*IF(E659="FUTURE",VLOOKUP(MID(I659,2,2),[1]Futures!$A$2:$B$12,2),1),G659*M659*IF(E659="FUTURE",VLOOKUP(MID(I659,2,2),[1]Futures!$A$2:$B$12,2),1)))</f>
        <v>14468.000000000002</v>
      </c>
      <c r="R659" s="12">
        <f>IFERROR(Q659/P659/IF(E659="FUTURE",VLOOKUP(MID(I659,2,2),[1]Futures!$A$2:$B$12,2),1),"")</f>
        <v>36.17</v>
      </c>
      <c r="S659" s="13" t="str">
        <f>IF(AND(H659="TO CLOSE",P659=0),-G659*(M659-R658)*IF(E659="FUTURE",VLOOKUP(MID(I659,2,2),[1]Futures!$A$2:$B$12,2),1),"")</f>
        <v/>
      </c>
    </row>
    <row r="660" spans="1:19" x14ac:dyDescent="0.2">
      <c r="A660">
        <f t="shared" si="31"/>
        <v>179</v>
      </c>
      <c r="B660" s="3">
        <v>43950</v>
      </c>
      <c r="C660" s="3" t="str">
        <f t="shared" si="30"/>
        <v>Wednesday</v>
      </c>
      <c r="D660" s="2">
        <v>0.56717592592592592</v>
      </c>
      <c r="E660" t="s">
        <v>22</v>
      </c>
      <c r="F660" t="s">
        <v>15</v>
      </c>
      <c r="G660">
        <v>-200</v>
      </c>
      <c r="H660" t="s">
        <v>16</v>
      </c>
      <c r="I660" t="s">
        <v>23</v>
      </c>
      <c r="L660" t="s">
        <v>22</v>
      </c>
      <c r="M660">
        <v>36.299999999999997</v>
      </c>
      <c r="N660">
        <v>36.299999999999997</v>
      </c>
      <c r="O660" t="s">
        <v>21</v>
      </c>
      <c r="P660">
        <f t="shared" si="32"/>
        <v>200</v>
      </c>
      <c r="Q660" s="11">
        <f>IF(P660=0,0,IFERROR(Q659+G660*M660*IF(E660="FUTURE",VLOOKUP(MID(I660,2,2),[1]Futures!$A$2:$B$12,2),1),G660*M660*IF(E660="FUTURE",VLOOKUP(MID(I660,2,2),[1]Futures!$A$2:$B$12,2),1)))</f>
        <v>7208.0000000000027</v>
      </c>
      <c r="R660" s="12">
        <f>IFERROR(Q660/P660/IF(E660="FUTURE",VLOOKUP(MID(I660,2,2),[1]Futures!$A$2:$B$12,2),1),"")</f>
        <v>36.040000000000013</v>
      </c>
      <c r="S660" s="13" t="str">
        <f>IF(AND(H660="TO CLOSE",P660=0),-G660*(M660-R659)*IF(E660="FUTURE",VLOOKUP(MID(I660,2,2),[1]Futures!$A$2:$B$12,2),1),"")</f>
        <v/>
      </c>
    </row>
    <row r="661" spans="1:19" x14ac:dyDescent="0.2">
      <c r="A661">
        <f t="shared" si="31"/>
        <v>179</v>
      </c>
      <c r="B661" s="3">
        <v>43950</v>
      </c>
      <c r="C661" s="3" t="str">
        <f t="shared" si="30"/>
        <v>Wednesday</v>
      </c>
      <c r="D661" s="2">
        <v>0.58113425925925932</v>
      </c>
      <c r="E661" t="s">
        <v>22</v>
      </c>
      <c r="F661" t="s">
        <v>15</v>
      </c>
      <c r="G661">
        <v>-200</v>
      </c>
      <c r="H661" t="s">
        <v>16</v>
      </c>
      <c r="I661" t="s">
        <v>23</v>
      </c>
      <c r="L661" t="s">
        <v>22</v>
      </c>
      <c r="M661">
        <v>36.28</v>
      </c>
      <c r="N661">
        <v>36.28</v>
      </c>
      <c r="O661" t="s">
        <v>21</v>
      </c>
      <c r="P661">
        <f t="shared" si="32"/>
        <v>0</v>
      </c>
      <c r="Q661" s="11">
        <f>IF(P661=0,0,IFERROR(Q660+G661*M661*IF(E661="FUTURE",VLOOKUP(MID(I661,2,2),[1]Futures!$A$2:$B$12,2),1),G661*M661*IF(E661="FUTURE",VLOOKUP(MID(I661,2,2),[1]Futures!$A$2:$B$12,2),1)))</f>
        <v>0</v>
      </c>
      <c r="R661" s="12" t="str">
        <f>IFERROR(Q661/P661/IF(E661="FUTURE",VLOOKUP(MID(I661,2,2),[1]Futures!$A$2:$B$12,2),1),"")</f>
        <v/>
      </c>
      <c r="S661" s="13">
        <f>IF(AND(H661="TO CLOSE",P661=0),-G661*(M661-R660)*IF(E661="FUTURE",VLOOKUP(MID(I661,2,2),[1]Futures!$A$2:$B$12,2),1),"")</f>
        <v>47.999999999997556</v>
      </c>
    </row>
    <row r="662" spans="1:19" x14ac:dyDescent="0.2">
      <c r="A662">
        <f t="shared" si="31"/>
        <v>180</v>
      </c>
      <c r="B662" s="3">
        <v>43950</v>
      </c>
      <c r="C662" s="3" t="str">
        <f t="shared" si="30"/>
        <v>Wednesday</v>
      </c>
      <c r="D662" s="2">
        <v>0.62821759259259258</v>
      </c>
      <c r="E662" t="s">
        <v>22</v>
      </c>
      <c r="F662" t="s">
        <v>19</v>
      </c>
      <c r="G662">
        <v>300</v>
      </c>
      <c r="H662" t="s">
        <v>20</v>
      </c>
      <c r="I662" t="s">
        <v>23</v>
      </c>
      <c r="L662" t="s">
        <v>22</v>
      </c>
      <c r="M662">
        <v>36.340000000000003</v>
      </c>
      <c r="N662">
        <v>36.340000000000003</v>
      </c>
      <c r="O662" t="s">
        <v>21</v>
      </c>
      <c r="P662">
        <f t="shared" si="32"/>
        <v>300</v>
      </c>
      <c r="Q662" s="11">
        <f>IF(P662=0,0,IFERROR(Q661+G662*M662*IF(E662="FUTURE",VLOOKUP(MID(I662,2,2),[1]Futures!$A$2:$B$12,2),1),G662*M662*IF(E662="FUTURE",VLOOKUP(MID(I662,2,2),[1]Futures!$A$2:$B$12,2),1)))</f>
        <v>10902.000000000002</v>
      </c>
      <c r="R662" s="12">
        <f>IFERROR(Q662/P662/IF(E662="FUTURE",VLOOKUP(MID(I662,2,2),[1]Futures!$A$2:$B$12,2),1),"")</f>
        <v>36.340000000000003</v>
      </c>
      <c r="S662" s="13" t="str">
        <f>IF(AND(H662="TO CLOSE",P662=0),-G662*(M662-R661)*IF(E662="FUTURE",VLOOKUP(MID(I662,2,2),[1]Futures!$A$2:$B$12,2),1),"")</f>
        <v/>
      </c>
    </row>
    <row r="663" spans="1:19" x14ac:dyDescent="0.2">
      <c r="A663">
        <f t="shared" si="31"/>
        <v>180</v>
      </c>
      <c r="B663" s="3">
        <v>43950</v>
      </c>
      <c r="C663" s="3" t="str">
        <f t="shared" si="30"/>
        <v>Wednesday</v>
      </c>
      <c r="D663" s="2">
        <v>0.63476851851851845</v>
      </c>
      <c r="E663" t="s">
        <v>22</v>
      </c>
      <c r="F663" t="s">
        <v>15</v>
      </c>
      <c r="G663">
        <v>-300</v>
      </c>
      <c r="H663" t="s">
        <v>16</v>
      </c>
      <c r="I663" t="s">
        <v>23</v>
      </c>
      <c r="L663" t="s">
        <v>22</v>
      </c>
      <c r="M663">
        <v>36.43</v>
      </c>
      <c r="N663">
        <v>36.43</v>
      </c>
      <c r="O663" t="s">
        <v>21</v>
      </c>
      <c r="P663">
        <f t="shared" si="32"/>
        <v>0</v>
      </c>
      <c r="Q663" s="11">
        <f>IF(P663=0,0,IFERROR(Q662+G663*M663*IF(E663="FUTURE",VLOOKUP(MID(I663,2,2),[1]Futures!$A$2:$B$12,2),1),G663*M663*IF(E663="FUTURE",VLOOKUP(MID(I663,2,2),[1]Futures!$A$2:$B$12,2),1)))</f>
        <v>0</v>
      </c>
      <c r="R663" s="12" t="str">
        <f>IFERROR(Q663/P663/IF(E663="FUTURE",VLOOKUP(MID(I663,2,2),[1]Futures!$A$2:$B$12,2),1),"")</f>
        <v/>
      </c>
      <c r="S663" s="13">
        <f>IF(AND(H663="TO CLOSE",P663=0),-G663*(M663-R662)*IF(E663="FUTURE",VLOOKUP(MID(I663,2,2),[1]Futures!$A$2:$B$12,2),1),"")</f>
        <v>26.999999999998892</v>
      </c>
    </row>
    <row r="664" spans="1:19" x14ac:dyDescent="0.2">
      <c r="A664">
        <f t="shared" si="31"/>
        <v>181</v>
      </c>
      <c r="B664" s="3">
        <v>43951</v>
      </c>
      <c r="C664" s="3" t="str">
        <f t="shared" si="30"/>
        <v>Thursday</v>
      </c>
      <c r="D664" s="2">
        <v>0.41532407407407407</v>
      </c>
      <c r="E664" t="s">
        <v>14</v>
      </c>
      <c r="F664" t="s">
        <v>19</v>
      </c>
      <c r="G664">
        <v>1</v>
      </c>
      <c r="H664" t="s">
        <v>20</v>
      </c>
      <c r="I664" t="s">
        <v>77</v>
      </c>
      <c r="J664" s="1">
        <v>44063</v>
      </c>
      <c r="L664" t="s">
        <v>14</v>
      </c>
      <c r="M664">
        <v>24.21</v>
      </c>
      <c r="N664">
        <v>24.21</v>
      </c>
      <c r="O664" t="s">
        <v>21</v>
      </c>
      <c r="P664">
        <f t="shared" si="32"/>
        <v>1</v>
      </c>
      <c r="Q664" s="11">
        <f>IF(P664=0,0,IFERROR(Q663+G664*M664*IF(E664="FUTURE",VLOOKUP(MID(I664,2,2),[1]Futures!$A$2:$B$12,2),1),G664*M664*IF(E664="FUTURE",VLOOKUP(MID(I664,2,2),[1]Futures!$A$2:$B$12,2),1)))</f>
        <v>24210</v>
      </c>
      <c r="R664" s="12">
        <f>IFERROR(Q664/P664/IF(E664="FUTURE",VLOOKUP(MID(I664,2,2),[1]Futures!$A$2:$B$12,2),1),"")</f>
        <v>24.21</v>
      </c>
      <c r="S664" s="13" t="str">
        <f>IF(AND(H664="TO CLOSE",P664=0),-G664*(M664-R663)*IF(E664="FUTURE",VLOOKUP(MID(I664,2,2),[1]Futures!$A$2:$B$12,2),1),"")</f>
        <v/>
      </c>
    </row>
    <row r="665" spans="1:19" x14ac:dyDescent="0.2">
      <c r="A665">
        <f t="shared" si="31"/>
        <v>181</v>
      </c>
      <c r="B665" s="3">
        <v>43951</v>
      </c>
      <c r="C665" s="3" t="str">
        <f t="shared" si="30"/>
        <v>Thursday</v>
      </c>
      <c r="D665" s="2">
        <v>0.41556712962962966</v>
      </c>
      <c r="E665" t="s">
        <v>14</v>
      </c>
      <c r="F665" t="s">
        <v>15</v>
      </c>
      <c r="G665">
        <v>-1</v>
      </c>
      <c r="H665" t="s">
        <v>16</v>
      </c>
      <c r="I665" t="s">
        <v>77</v>
      </c>
      <c r="J665" s="1">
        <v>44063</v>
      </c>
      <c r="L665" t="s">
        <v>14</v>
      </c>
      <c r="M665">
        <v>24.23</v>
      </c>
      <c r="N665">
        <v>24.23</v>
      </c>
      <c r="O665" t="s">
        <v>21</v>
      </c>
      <c r="P665">
        <f t="shared" si="32"/>
        <v>0</v>
      </c>
      <c r="Q665" s="11">
        <f>IF(P665=0,0,IFERROR(Q664+G665*M665*IF(E665="FUTURE",VLOOKUP(MID(I665,2,2),[1]Futures!$A$2:$B$12,2),1),G665*M665*IF(E665="FUTURE",VLOOKUP(MID(I665,2,2),[1]Futures!$A$2:$B$12,2),1)))</f>
        <v>0</v>
      </c>
      <c r="R665" s="12" t="str">
        <f>IFERROR(Q665/P665/IF(E665="FUTURE",VLOOKUP(MID(I665,2,2),[1]Futures!$A$2:$B$12,2),1),"")</f>
        <v/>
      </c>
      <c r="S665" s="13">
        <f>IF(AND(H665="TO CLOSE",P665=0),-G665*(M665-R664)*IF(E665="FUTURE",VLOOKUP(MID(I665,2,2),[1]Futures!$A$2:$B$12,2),1),"")</f>
        <v>19.999999999999574</v>
      </c>
    </row>
    <row r="666" spans="1:19" x14ac:dyDescent="0.2">
      <c r="A666">
        <f t="shared" si="31"/>
        <v>182</v>
      </c>
      <c r="B666" s="3">
        <v>43951</v>
      </c>
      <c r="C666" s="3" t="str">
        <f t="shared" si="30"/>
        <v>Thursday</v>
      </c>
      <c r="D666" s="2">
        <v>0.41925925925925928</v>
      </c>
      <c r="E666" t="s">
        <v>14</v>
      </c>
      <c r="F666" t="s">
        <v>19</v>
      </c>
      <c r="G666">
        <v>1</v>
      </c>
      <c r="H666" t="s">
        <v>20</v>
      </c>
      <c r="I666" t="s">
        <v>77</v>
      </c>
      <c r="J666" s="1">
        <v>44063</v>
      </c>
      <c r="L666" t="s">
        <v>14</v>
      </c>
      <c r="M666">
        <v>24.06</v>
      </c>
      <c r="N666">
        <v>24.06</v>
      </c>
      <c r="O666" t="s">
        <v>21</v>
      </c>
      <c r="P666">
        <f t="shared" si="32"/>
        <v>1</v>
      </c>
      <c r="Q666" s="11">
        <f>IF(P666=0,0,IFERROR(Q665+G666*M666*IF(E666="FUTURE",VLOOKUP(MID(I666,2,2),[1]Futures!$A$2:$B$12,2),1),G666*M666*IF(E666="FUTURE",VLOOKUP(MID(I666,2,2),[1]Futures!$A$2:$B$12,2),1)))</f>
        <v>24060</v>
      </c>
      <c r="R666" s="12">
        <f>IFERROR(Q666/P666/IF(E666="FUTURE",VLOOKUP(MID(I666,2,2),[1]Futures!$A$2:$B$12,2),1),"")</f>
        <v>24.06</v>
      </c>
      <c r="S666" s="13" t="str">
        <f>IF(AND(H666="TO CLOSE",P666=0),-G666*(M666-R665)*IF(E666="FUTURE",VLOOKUP(MID(I666,2,2),[1]Futures!$A$2:$B$12,2),1),"")</f>
        <v/>
      </c>
    </row>
    <row r="667" spans="1:19" x14ac:dyDescent="0.2">
      <c r="A667">
        <f t="shared" si="31"/>
        <v>182</v>
      </c>
      <c r="B667" s="3">
        <v>43951</v>
      </c>
      <c r="C667" s="3" t="str">
        <f t="shared" si="30"/>
        <v>Thursday</v>
      </c>
      <c r="D667" s="2">
        <v>0.42091435185185189</v>
      </c>
      <c r="E667" t="s">
        <v>14</v>
      </c>
      <c r="F667" t="s">
        <v>15</v>
      </c>
      <c r="G667">
        <v>-1</v>
      </c>
      <c r="H667" t="s">
        <v>16</v>
      </c>
      <c r="I667" t="s">
        <v>77</v>
      </c>
      <c r="J667" s="1">
        <v>44063</v>
      </c>
      <c r="L667" t="s">
        <v>14</v>
      </c>
      <c r="M667">
        <v>24.11</v>
      </c>
      <c r="N667">
        <v>24.11</v>
      </c>
      <c r="O667" t="s">
        <v>21</v>
      </c>
      <c r="P667">
        <f t="shared" si="32"/>
        <v>0</v>
      </c>
      <c r="Q667" s="11">
        <f>IF(P667=0,0,IFERROR(Q666+G667*M667*IF(E667="FUTURE",VLOOKUP(MID(I667,2,2),[1]Futures!$A$2:$B$12,2),1),G667*M667*IF(E667="FUTURE",VLOOKUP(MID(I667,2,2),[1]Futures!$A$2:$B$12,2),1)))</f>
        <v>0</v>
      </c>
      <c r="R667" s="12" t="str">
        <f>IFERROR(Q667/P667/IF(E667="FUTURE",VLOOKUP(MID(I667,2,2),[1]Futures!$A$2:$B$12,2),1),"")</f>
        <v/>
      </c>
      <c r="S667" s="13">
        <f>IF(AND(H667="TO CLOSE",P667=0),-G667*(M667-R666)*IF(E667="FUTURE",VLOOKUP(MID(I667,2,2),[1]Futures!$A$2:$B$12,2),1),"")</f>
        <v>50.000000000000711</v>
      </c>
    </row>
    <row r="668" spans="1:19" x14ac:dyDescent="0.2">
      <c r="A668">
        <f t="shared" si="31"/>
        <v>183</v>
      </c>
      <c r="B668" s="3">
        <v>43951</v>
      </c>
      <c r="C668" s="3" t="str">
        <f t="shared" si="30"/>
        <v>Thursday</v>
      </c>
      <c r="D668" s="2">
        <v>0.42254629629629631</v>
      </c>
      <c r="E668" t="s">
        <v>14</v>
      </c>
      <c r="F668" t="s">
        <v>15</v>
      </c>
      <c r="G668">
        <v>-1</v>
      </c>
      <c r="H668" t="s">
        <v>20</v>
      </c>
      <c r="I668" t="s">
        <v>77</v>
      </c>
      <c r="J668" s="1">
        <v>44063</v>
      </c>
      <c r="L668" t="s">
        <v>14</v>
      </c>
      <c r="M668">
        <v>24.06</v>
      </c>
      <c r="N668">
        <v>24.06</v>
      </c>
      <c r="O668" t="s">
        <v>21</v>
      </c>
      <c r="P668">
        <f t="shared" si="32"/>
        <v>-1</v>
      </c>
      <c r="Q668" s="11">
        <f>IF(P668=0,0,IFERROR(Q667+G668*M668*IF(E668="FUTURE",VLOOKUP(MID(I668,2,2),[1]Futures!$A$2:$B$12,2),1),G668*M668*IF(E668="FUTURE",VLOOKUP(MID(I668,2,2),[1]Futures!$A$2:$B$12,2),1)))</f>
        <v>-24060</v>
      </c>
      <c r="R668" s="12">
        <f>IFERROR(Q668/P668/IF(E668="FUTURE",VLOOKUP(MID(I668,2,2),[1]Futures!$A$2:$B$12,2),1),"")</f>
        <v>24.06</v>
      </c>
      <c r="S668" s="13" t="str">
        <f>IF(AND(H668="TO CLOSE",P668=0),-G668*(M668-R667)*IF(E668="FUTURE",VLOOKUP(MID(I668,2,2),[1]Futures!$A$2:$B$12,2),1),"")</f>
        <v/>
      </c>
    </row>
    <row r="669" spans="1:19" x14ac:dyDescent="0.2">
      <c r="A669">
        <f t="shared" si="31"/>
        <v>183</v>
      </c>
      <c r="B669" s="3">
        <v>43951</v>
      </c>
      <c r="C669" s="3" t="str">
        <f t="shared" si="30"/>
        <v>Thursday</v>
      </c>
      <c r="D669" s="2">
        <v>0.42596064814814816</v>
      </c>
      <c r="E669" t="s">
        <v>14</v>
      </c>
      <c r="F669" t="s">
        <v>15</v>
      </c>
      <c r="G669">
        <v>-1</v>
      </c>
      <c r="H669" t="s">
        <v>20</v>
      </c>
      <c r="I669" t="s">
        <v>77</v>
      </c>
      <c r="J669" s="1">
        <v>44063</v>
      </c>
      <c r="L669" t="s">
        <v>14</v>
      </c>
      <c r="M669">
        <v>24.16</v>
      </c>
      <c r="N669">
        <v>24.16</v>
      </c>
      <c r="O669" t="s">
        <v>21</v>
      </c>
      <c r="P669">
        <f t="shared" si="32"/>
        <v>-2</v>
      </c>
      <c r="Q669" s="11">
        <f>IF(P669=0,0,IFERROR(Q668+G669*M669*IF(E669="FUTURE",VLOOKUP(MID(I669,2,2),[1]Futures!$A$2:$B$12,2),1),G669*M669*IF(E669="FUTURE",VLOOKUP(MID(I669,2,2),[1]Futures!$A$2:$B$12,2),1)))</f>
        <v>-48220</v>
      </c>
      <c r="R669" s="12">
        <f>IFERROR(Q669/P669/IF(E669="FUTURE",VLOOKUP(MID(I669,2,2),[1]Futures!$A$2:$B$12,2),1),"")</f>
        <v>24.11</v>
      </c>
      <c r="S669" s="13" t="str">
        <f>IF(AND(H669="TO CLOSE",P669=0),-G669*(M669-R668)*IF(E669="FUTURE",VLOOKUP(MID(I669,2,2),[1]Futures!$A$2:$B$12,2),1),"")</f>
        <v/>
      </c>
    </row>
    <row r="670" spans="1:19" x14ac:dyDescent="0.2">
      <c r="A670">
        <f t="shared" si="31"/>
        <v>183</v>
      </c>
      <c r="B670" s="3">
        <v>43951</v>
      </c>
      <c r="C670" s="3" t="str">
        <f t="shared" si="30"/>
        <v>Thursday</v>
      </c>
      <c r="D670" s="2">
        <v>0.43538194444444445</v>
      </c>
      <c r="E670" t="s">
        <v>14</v>
      </c>
      <c r="F670" t="s">
        <v>19</v>
      </c>
      <c r="G670">
        <v>1</v>
      </c>
      <c r="H670" t="s">
        <v>16</v>
      </c>
      <c r="I670" t="s">
        <v>77</v>
      </c>
      <c r="J670" s="1">
        <v>44063</v>
      </c>
      <c r="L670" t="s">
        <v>14</v>
      </c>
      <c r="M670">
        <v>23.89</v>
      </c>
      <c r="N670">
        <v>23.89</v>
      </c>
      <c r="O670" t="s">
        <v>21</v>
      </c>
      <c r="P670">
        <f t="shared" si="32"/>
        <v>-1</v>
      </c>
      <c r="Q670" s="11">
        <f>IF(P670=0,0,IFERROR(Q669+G670*M670*IF(E670="FUTURE",VLOOKUP(MID(I670,2,2),[1]Futures!$A$2:$B$12,2),1),G670*M670*IF(E670="FUTURE",VLOOKUP(MID(I670,2,2),[1]Futures!$A$2:$B$12,2),1)))</f>
        <v>-24330</v>
      </c>
      <c r="R670" s="12">
        <f>IFERROR(Q670/P670/IF(E670="FUTURE",VLOOKUP(MID(I670,2,2),[1]Futures!$A$2:$B$12,2),1),"")</f>
        <v>24.33</v>
      </c>
      <c r="S670" s="13" t="str">
        <f>IF(AND(H670="TO CLOSE",P670=0),-G670*(M670-R669)*IF(E670="FUTURE",VLOOKUP(MID(I670,2,2),[1]Futures!$A$2:$B$12,2),1),"")</f>
        <v/>
      </c>
    </row>
    <row r="671" spans="1:19" x14ac:dyDescent="0.2">
      <c r="A671">
        <f t="shared" si="31"/>
        <v>183</v>
      </c>
      <c r="B671" s="3">
        <v>43951</v>
      </c>
      <c r="C671" s="3" t="str">
        <f t="shared" si="30"/>
        <v>Thursday</v>
      </c>
      <c r="D671" s="2">
        <v>0.4372685185185185</v>
      </c>
      <c r="E671" t="s">
        <v>14</v>
      </c>
      <c r="F671" t="s">
        <v>19</v>
      </c>
      <c r="G671">
        <v>1</v>
      </c>
      <c r="H671" t="s">
        <v>16</v>
      </c>
      <c r="I671" t="s">
        <v>77</v>
      </c>
      <c r="J671" s="1">
        <v>44063</v>
      </c>
      <c r="L671" t="s">
        <v>14</v>
      </c>
      <c r="M671">
        <v>23.93</v>
      </c>
      <c r="N671">
        <v>23.93</v>
      </c>
      <c r="O671" t="s">
        <v>21</v>
      </c>
      <c r="P671">
        <f t="shared" si="32"/>
        <v>0</v>
      </c>
      <c r="Q671" s="11">
        <f>IF(P671=0,0,IFERROR(Q670+G671*M671*IF(E671="FUTURE",VLOOKUP(MID(I671,2,2),[1]Futures!$A$2:$B$12,2),1),G671*M671*IF(E671="FUTURE",VLOOKUP(MID(I671,2,2),[1]Futures!$A$2:$B$12,2),1)))</f>
        <v>0</v>
      </c>
      <c r="R671" s="12" t="str">
        <f>IFERROR(Q671/P671/IF(E671="FUTURE",VLOOKUP(MID(I671,2,2),[1]Futures!$A$2:$B$12,2),1),"")</f>
        <v/>
      </c>
      <c r="S671" s="13">
        <f>IF(AND(H671="TO CLOSE",P671=0),-G671*(M671-R670)*IF(E671="FUTURE",VLOOKUP(MID(I671,2,2),[1]Futures!$A$2:$B$12,2),1),"")</f>
        <v>399.99999999999858</v>
      </c>
    </row>
    <row r="672" spans="1:19" x14ac:dyDescent="0.2">
      <c r="A672">
        <f t="shared" si="31"/>
        <v>184</v>
      </c>
      <c r="B672" s="3">
        <v>43951</v>
      </c>
      <c r="C672" s="3" t="str">
        <f t="shared" si="30"/>
        <v>Thursday</v>
      </c>
      <c r="D672" s="2">
        <v>0.46150462962962963</v>
      </c>
      <c r="E672" t="s">
        <v>14</v>
      </c>
      <c r="F672" t="s">
        <v>15</v>
      </c>
      <c r="G672">
        <v>-1</v>
      </c>
      <c r="H672" t="s">
        <v>20</v>
      </c>
      <c r="I672" t="s">
        <v>77</v>
      </c>
      <c r="J672" s="1">
        <v>44063</v>
      </c>
      <c r="L672" t="s">
        <v>14</v>
      </c>
      <c r="M672">
        <v>24.01</v>
      </c>
      <c r="N672">
        <v>24.01</v>
      </c>
      <c r="O672" t="s">
        <v>21</v>
      </c>
      <c r="P672">
        <f t="shared" si="32"/>
        <v>-1</v>
      </c>
      <c r="Q672" s="11">
        <f>IF(P672=0,0,IFERROR(Q671+G672*M672*IF(E672="FUTURE",VLOOKUP(MID(I672,2,2),[1]Futures!$A$2:$B$12,2),1),G672*M672*IF(E672="FUTURE",VLOOKUP(MID(I672,2,2),[1]Futures!$A$2:$B$12,2),1)))</f>
        <v>-24010</v>
      </c>
      <c r="R672" s="12">
        <f>IFERROR(Q672/P672/IF(E672="FUTURE",VLOOKUP(MID(I672,2,2),[1]Futures!$A$2:$B$12,2),1),"")</f>
        <v>24.01</v>
      </c>
      <c r="S672" s="13" t="str">
        <f>IF(AND(H672="TO CLOSE",P672=0),-G672*(M672-R671)*IF(E672="FUTURE",VLOOKUP(MID(I672,2,2),[1]Futures!$A$2:$B$12,2),1),"")</f>
        <v/>
      </c>
    </row>
    <row r="673" spans="1:19" x14ac:dyDescent="0.2">
      <c r="A673">
        <f t="shared" si="31"/>
        <v>184</v>
      </c>
      <c r="B673" s="3">
        <v>43951</v>
      </c>
      <c r="C673" s="3" t="str">
        <f t="shared" si="30"/>
        <v>Thursday</v>
      </c>
      <c r="D673" s="2">
        <v>0.46332175925925928</v>
      </c>
      <c r="E673" t="s">
        <v>14</v>
      </c>
      <c r="F673" t="s">
        <v>19</v>
      </c>
      <c r="G673">
        <v>1</v>
      </c>
      <c r="H673" t="s">
        <v>16</v>
      </c>
      <c r="I673" t="s">
        <v>77</v>
      </c>
      <c r="J673" s="1">
        <v>44063</v>
      </c>
      <c r="L673" t="s">
        <v>14</v>
      </c>
      <c r="M673">
        <v>23.88</v>
      </c>
      <c r="N673">
        <v>23.88</v>
      </c>
      <c r="O673" t="s">
        <v>21</v>
      </c>
      <c r="P673">
        <f t="shared" si="32"/>
        <v>0</v>
      </c>
      <c r="Q673" s="11">
        <f>IF(P673=0,0,IFERROR(Q672+G673*M673*IF(E673="FUTURE",VLOOKUP(MID(I673,2,2),[1]Futures!$A$2:$B$12,2),1),G673*M673*IF(E673="FUTURE",VLOOKUP(MID(I673,2,2),[1]Futures!$A$2:$B$12,2),1)))</f>
        <v>0</v>
      </c>
      <c r="R673" s="12" t="str">
        <f>IFERROR(Q673/P673/IF(E673="FUTURE",VLOOKUP(MID(I673,2,2),[1]Futures!$A$2:$B$12,2),1),"")</f>
        <v/>
      </c>
      <c r="S673" s="13">
        <f>IF(AND(H673="TO CLOSE",P673=0),-G673*(M673-R672)*IF(E673="FUTURE",VLOOKUP(MID(I673,2,2),[1]Futures!$A$2:$B$12,2),1),"")</f>
        <v>130.00000000000256</v>
      </c>
    </row>
    <row r="674" spans="1:19" x14ac:dyDescent="0.2">
      <c r="A674">
        <f t="shared" si="31"/>
        <v>185</v>
      </c>
      <c r="B674" s="3">
        <v>43951</v>
      </c>
      <c r="C674" s="3" t="str">
        <f t="shared" si="30"/>
        <v>Thursday</v>
      </c>
      <c r="D674" s="2">
        <v>0.41119212962962964</v>
      </c>
      <c r="E674" t="s">
        <v>14</v>
      </c>
      <c r="F674" t="s">
        <v>19</v>
      </c>
      <c r="G674">
        <v>1</v>
      </c>
      <c r="H674" t="s">
        <v>20</v>
      </c>
      <c r="I674" t="s">
        <v>17</v>
      </c>
      <c r="J674" s="1">
        <v>44002</v>
      </c>
      <c r="L674" t="s">
        <v>14</v>
      </c>
      <c r="M674">
        <v>2904.25</v>
      </c>
      <c r="N674">
        <v>2904.25</v>
      </c>
      <c r="O674" t="s">
        <v>21</v>
      </c>
      <c r="P674">
        <f t="shared" si="32"/>
        <v>1</v>
      </c>
      <c r="Q674" s="11">
        <f>IF(P674=0,0,IFERROR(Q673+G674*M674*IF(E674="FUTURE",VLOOKUP(MID(I674,2,2),[1]Futures!$A$2:$B$12,2),1),G674*M674*IF(E674="FUTURE",VLOOKUP(MID(I674,2,2),[1]Futures!$A$2:$B$12,2),1)))</f>
        <v>145212.5</v>
      </c>
      <c r="R674" s="12">
        <f>IFERROR(Q674/P674/IF(E674="FUTURE",VLOOKUP(MID(I674,2,2),[1]Futures!$A$2:$B$12,2),1),"")</f>
        <v>2904.25</v>
      </c>
      <c r="S674" s="13" t="str">
        <f>IF(AND(H674="TO CLOSE",P674=0),-G674*(M674-R673)*IF(E674="FUTURE",VLOOKUP(MID(I674,2,2),[1]Futures!$A$2:$B$12,2),1),"")</f>
        <v/>
      </c>
    </row>
    <row r="675" spans="1:19" x14ac:dyDescent="0.2">
      <c r="A675">
        <f t="shared" si="31"/>
        <v>185</v>
      </c>
      <c r="B675" s="3">
        <v>43951</v>
      </c>
      <c r="C675" s="3" t="str">
        <f t="shared" ref="C675:C738" si="33">IF(WEEKDAY(B675,2)=1,"Monday",IF(WEEKDAY(B675,2)=2,"Tuesday",IF(WEEKDAY(B675,2)=3,"Wednesday",IF(WEEKDAY(B675,2)=4,"Thursday",IF(WEEKDAY(B675,2)=5,"Friday","Sunday")))))</f>
        <v>Thursday</v>
      </c>
      <c r="D675" s="2">
        <v>0.41444444444444445</v>
      </c>
      <c r="E675" t="s">
        <v>14</v>
      </c>
      <c r="F675" t="s">
        <v>15</v>
      </c>
      <c r="G675">
        <v>-1</v>
      </c>
      <c r="H675" t="s">
        <v>16</v>
      </c>
      <c r="I675" t="s">
        <v>17</v>
      </c>
      <c r="J675" s="1">
        <v>44002</v>
      </c>
      <c r="L675" t="s">
        <v>14</v>
      </c>
      <c r="M675">
        <v>2909.5</v>
      </c>
      <c r="N675">
        <v>2909.5</v>
      </c>
      <c r="O675" t="s">
        <v>21</v>
      </c>
      <c r="P675">
        <f t="shared" si="32"/>
        <v>0</v>
      </c>
      <c r="Q675" s="11">
        <f>IF(P675=0,0,IFERROR(Q674+G675*M675*IF(E675="FUTURE",VLOOKUP(MID(I675,2,2),[1]Futures!$A$2:$B$12,2),1),G675*M675*IF(E675="FUTURE",VLOOKUP(MID(I675,2,2),[1]Futures!$A$2:$B$12,2),1)))</f>
        <v>0</v>
      </c>
      <c r="R675" s="12" t="str">
        <f>IFERROR(Q675/P675/IF(E675="FUTURE",VLOOKUP(MID(I675,2,2),[1]Futures!$A$2:$B$12,2),1),"")</f>
        <v/>
      </c>
      <c r="S675" s="13">
        <f>IF(AND(H675="TO CLOSE",P675=0),-G675*(M675-R674)*IF(E675="FUTURE",VLOOKUP(MID(I675,2,2),[1]Futures!$A$2:$B$12,2),1),"")</f>
        <v>262.5</v>
      </c>
    </row>
    <row r="676" spans="1:19" x14ac:dyDescent="0.2">
      <c r="A676">
        <f t="shared" si="31"/>
        <v>186</v>
      </c>
      <c r="B676" s="3">
        <v>43951</v>
      </c>
      <c r="C676" s="3" t="str">
        <f t="shared" si="33"/>
        <v>Thursday</v>
      </c>
      <c r="D676" s="2">
        <v>0.49505787037037036</v>
      </c>
      <c r="E676" t="s">
        <v>14</v>
      </c>
      <c r="F676" t="s">
        <v>15</v>
      </c>
      <c r="G676">
        <v>-1</v>
      </c>
      <c r="H676" t="s">
        <v>20</v>
      </c>
      <c r="I676" t="s">
        <v>17</v>
      </c>
      <c r="J676" s="1">
        <v>44002</v>
      </c>
      <c r="L676" t="s">
        <v>14</v>
      </c>
      <c r="M676">
        <v>2898.75</v>
      </c>
      <c r="N676">
        <v>2898.75</v>
      </c>
      <c r="O676" t="s">
        <v>21</v>
      </c>
      <c r="P676">
        <f t="shared" si="32"/>
        <v>-1</v>
      </c>
      <c r="Q676" s="11">
        <f>IF(P676=0,0,IFERROR(Q675+G676*M676*IF(E676="FUTURE",VLOOKUP(MID(I676,2,2),[1]Futures!$A$2:$B$12,2),1),G676*M676*IF(E676="FUTURE",VLOOKUP(MID(I676,2,2),[1]Futures!$A$2:$B$12,2),1)))</f>
        <v>-144937.5</v>
      </c>
      <c r="R676" s="12">
        <f>IFERROR(Q676/P676/IF(E676="FUTURE",VLOOKUP(MID(I676,2,2),[1]Futures!$A$2:$B$12,2),1),"")</f>
        <v>2898.75</v>
      </c>
      <c r="S676" s="13" t="str">
        <f>IF(AND(H676="TO CLOSE",P676=0),-G676*(M676-R675)*IF(E676="FUTURE",VLOOKUP(MID(I676,2,2),[1]Futures!$A$2:$B$12,2),1),"")</f>
        <v/>
      </c>
    </row>
    <row r="677" spans="1:19" x14ac:dyDescent="0.2">
      <c r="A677">
        <f t="shared" si="31"/>
        <v>186</v>
      </c>
      <c r="B677" s="3">
        <v>43951</v>
      </c>
      <c r="C677" s="3" t="str">
        <f t="shared" si="33"/>
        <v>Thursday</v>
      </c>
      <c r="D677" s="2">
        <v>0.49706018518518519</v>
      </c>
      <c r="E677" t="s">
        <v>14</v>
      </c>
      <c r="F677" t="s">
        <v>19</v>
      </c>
      <c r="G677">
        <v>1</v>
      </c>
      <c r="H677" t="s">
        <v>16</v>
      </c>
      <c r="I677" t="s">
        <v>17</v>
      </c>
      <c r="J677" s="1">
        <v>44002</v>
      </c>
      <c r="L677" t="s">
        <v>14</v>
      </c>
      <c r="M677">
        <v>2897.75</v>
      </c>
      <c r="N677">
        <v>2897.75</v>
      </c>
      <c r="O677" t="s">
        <v>18</v>
      </c>
      <c r="P677">
        <f t="shared" si="32"/>
        <v>0</v>
      </c>
      <c r="Q677" s="11">
        <f>IF(P677=0,0,IFERROR(Q676+G677*M677*IF(E677="FUTURE",VLOOKUP(MID(I677,2,2),[1]Futures!$A$2:$B$12,2),1),G677*M677*IF(E677="FUTURE",VLOOKUP(MID(I677,2,2),[1]Futures!$A$2:$B$12,2),1)))</f>
        <v>0</v>
      </c>
      <c r="R677" s="12" t="str">
        <f>IFERROR(Q677/P677/IF(E677="FUTURE",VLOOKUP(MID(I677,2,2),[1]Futures!$A$2:$B$12,2),1),"")</f>
        <v/>
      </c>
      <c r="S677" s="13">
        <f>IF(AND(H677="TO CLOSE",P677=0),-G677*(M677-R676)*IF(E677="FUTURE",VLOOKUP(MID(I677,2,2),[1]Futures!$A$2:$B$12,2),1),"")</f>
        <v>50</v>
      </c>
    </row>
    <row r="678" spans="1:19" x14ac:dyDescent="0.2">
      <c r="A678">
        <f t="shared" si="31"/>
        <v>187</v>
      </c>
      <c r="B678" s="3">
        <v>43951</v>
      </c>
      <c r="C678" s="3" t="str">
        <f t="shared" si="33"/>
        <v>Thursday</v>
      </c>
      <c r="D678" s="2">
        <v>0.45199074074074069</v>
      </c>
      <c r="E678" t="s">
        <v>14</v>
      </c>
      <c r="F678" t="s">
        <v>19</v>
      </c>
      <c r="G678">
        <v>1</v>
      </c>
      <c r="H678" t="s">
        <v>20</v>
      </c>
      <c r="I678" t="s">
        <v>73</v>
      </c>
      <c r="J678" s="1">
        <v>44002</v>
      </c>
      <c r="L678" t="s">
        <v>14</v>
      </c>
      <c r="M678">
        <v>2909.5</v>
      </c>
      <c r="N678">
        <v>2909.5</v>
      </c>
      <c r="O678" t="s">
        <v>21</v>
      </c>
      <c r="P678">
        <f t="shared" si="32"/>
        <v>1</v>
      </c>
      <c r="Q678" s="11">
        <f>IF(P678=0,0,IFERROR(Q677+G678*M678*IF(E678="FUTURE",VLOOKUP(MID(I678,2,2),[1]Futures!$A$2:$B$12,2),1),G678*M678*IF(E678="FUTURE",VLOOKUP(MID(I678,2,2),[1]Futures!$A$2:$B$12,2),1)))</f>
        <v>14547.5</v>
      </c>
      <c r="R678" s="12">
        <f>IFERROR(Q678/P678/IF(E678="FUTURE",VLOOKUP(MID(I678,2,2),[1]Futures!$A$2:$B$12,2),1),"")</f>
        <v>2909.5</v>
      </c>
      <c r="S678" s="13" t="str">
        <f>IF(AND(H678="TO CLOSE",P678=0),-G678*(M678-R677)*IF(E678="FUTURE",VLOOKUP(MID(I678,2,2),[1]Futures!$A$2:$B$12,2),1),"")</f>
        <v/>
      </c>
    </row>
    <row r="679" spans="1:19" x14ac:dyDescent="0.2">
      <c r="A679">
        <f t="shared" si="31"/>
        <v>187</v>
      </c>
      <c r="B679" s="3">
        <v>43951</v>
      </c>
      <c r="C679" s="3" t="str">
        <f t="shared" si="33"/>
        <v>Thursday</v>
      </c>
      <c r="D679" s="2">
        <v>0.45416666666666666</v>
      </c>
      <c r="E679" t="s">
        <v>14</v>
      </c>
      <c r="F679" t="s">
        <v>19</v>
      </c>
      <c r="G679">
        <v>1</v>
      </c>
      <c r="H679" t="s">
        <v>20</v>
      </c>
      <c r="I679" t="s">
        <v>73</v>
      </c>
      <c r="J679" s="1">
        <v>44002</v>
      </c>
      <c r="L679" t="s">
        <v>14</v>
      </c>
      <c r="M679">
        <v>2908.5</v>
      </c>
      <c r="N679">
        <v>2908.5</v>
      </c>
      <c r="O679" t="s">
        <v>21</v>
      </c>
      <c r="P679">
        <f t="shared" si="32"/>
        <v>2</v>
      </c>
      <c r="Q679" s="11">
        <f>IF(P679=0,0,IFERROR(Q678+G679*M679*IF(E679="FUTURE",VLOOKUP(MID(I679,2,2),[1]Futures!$A$2:$B$12,2),1),G679*M679*IF(E679="FUTURE",VLOOKUP(MID(I679,2,2),[1]Futures!$A$2:$B$12,2),1)))</f>
        <v>29090</v>
      </c>
      <c r="R679" s="12">
        <f>IFERROR(Q679/P679/IF(E679="FUTURE",VLOOKUP(MID(I679,2,2),[1]Futures!$A$2:$B$12,2),1),"")</f>
        <v>2909</v>
      </c>
      <c r="S679" s="13" t="str">
        <f>IF(AND(H679="TO CLOSE",P679=0),-G679*(M679-R678)*IF(E679="FUTURE",VLOOKUP(MID(I679,2,2),[1]Futures!$A$2:$B$12,2),1),"")</f>
        <v/>
      </c>
    </row>
    <row r="680" spans="1:19" x14ac:dyDescent="0.2">
      <c r="A680">
        <f t="shared" si="31"/>
        <v>187</v>
      </c>
      <c r="B680" s="3">
        <v>43951</v>
      </c>
      <c r="C680" s="3" t="str">
        <f t="shared" si="33"/>
        <v>Thursday</v>
      </c>
      <c r="D680" s="2">
        <v>0.45921296296296293</v>
      </c>
      <c r="E680" t="s">
        <v>14</v>
      </c>
      <c r="F680" t="s">
        <v>15</v>
      </c>
      <c r="G680">
        <v>-2</v>
      </c>
      <c r="H680" t="s">
        <v>16</v>
      </c>
      <c r="I680" t="s">
        <v>73</v>
      </c>
      <c r="J680" s="1">
        <v>44002</v>
      </c>
      <c r="L680" t="s">
        <v>14</v>
      </c>
      <c r="M680">
        <v>2914.5</v>
      </c>
      <c r="N680">
        <v>2914.5</v>
      </c>
      <c r="O680" t="s">
        <v>21</v>
      </c>
      <c r="P680">
        <f t="shared" si="32"/>
        <v>0</v>
      </c>
      <c r="Q680" s="11">
        <f>IF(P680=0,0,IFERROR(Q679+G680*M680*IF(E680="FUTURE",VLOOKUP(MID(I680,2,2),[1]Futures!$A$2:$B$12,2),1),G680*M680*IF(E680="FUTURE",VLOOKUP(MID(I680,2,2),[1]Futures!$A$2:$B$12,2),1)))</f>
        <v>0</v>
      </c>
      <c r="R680" s="12" t="str">
        <f>IFERROR(Q680/P680/IF(E680="FUTURE",VLOOKUP(MID(I680,2,2),[1]Futures!$A$2:$B$12,2),1),"")</f>
        <v/>
      </c>
      <c r="S680" s="13">
        <f>IF(AND(H680="TO CLOSE",P680=0),-G680*(M680-R679)*IF(E680="FUTURE",VLOOKUP(MID(I680,2,2),[1]Futures!$A$2:$B$12,2),1),"")</f>
        <v>55</v>
      </c>
    </row>
    <row r="681" spans="1:19" x14ac:dyDescent="0.2">
      <c r="A681">
        <f t="shared" si="31"/>
        <v>188</v>
      </c>
      <c r="B681" s="3">
        <v>43951</v>
      </c>
      <c r="C681" s="3" t="str">
        <f t="shared" si="33"/>
        <v>Thursday</v>
      </c>
      <c r="D681" s="2">
        <v>0.41136574074074073</v>
      </c>
      <c r="E681" t="s">
        <v>22</v>
      </c>
      <c r="F681" t="s">
        <v>15</v>
      </c>
      <c r="G681">
        <v>-500</v>
      </c>
      <c r="H681" t="s">
        <v>20</v>
      </c>
      <c r="I681" t="s">
        <v>23</v>
      </c>
      <c r="L681" t="s">
        <v>78</v>
      </c>
      <c r="M681">
        <v>38.244999999999997</v>
      </c>
      <c r="N681">
        <v>38.244999999999997</v>
      </c>
      <c r="O681" t="s">
        <v>24</v>
      </c>
      <c r="P681">
        <f t="shared" si="32"/>
        <v>-500</v>
      </c>
      <c r="Q681" s="11">
        <f>IF(P681=0,0,IFERROR(Q680+G681*M681*IF(E681="FUTURE",VLOOKUP(MID(I681,2,2),[1]Futures!$A$2:$B$12,2),1),G681*M681*IF(E681="FUTURE",VLOOKUP(MID(I681,2,2),[1]Futures!$A$2:$B$12,2),1)))</f>
        <v>-19122.5</v>
      </c>
      <c r="R681" s="12">
        <f>IFERROR(Q681/P681/IF(E681="FUTURE",VLOOKUP(MID(I681,2,2),[1]Futures!$A$2:$B$12,2),1),"")</f>
        <v>38.244999999999997</v>
      </c>
      <c r="S681" s="13" t="str">
        <f>IF(AND(H681="TO CLOSE",P681=0),-G681*(M681-R680)*IF(E681="FUTURE",VLOOKUP(MID(I681,2,2),[1]Futures!$A$2:$B$12,2),1),"")</f>
        <v/>
      </c>
    </row>
    <row r="682" spans="1:19" x14ac:dyDescent="0.2">
      <c r="A682">
        <f t="shared" si="31"/>
        <v>188</v>
      </c>
      <c r="B682" s="3">
        <v>43951</v>
      </c>
      <c r="C682" s="3" t="str">
        <f t="shared" si="33"/>
        <v>Thursday</v>
      </c>
      <c r="D682" s="2">
        <v>0.41465277777777776</v>
      </c>
      <c r="E682" t="s">
        <v>22</v>
      </c>
      <c r="F682" t="s">
        <v>19</v>
      </c>
      <c r="G682">
        <v>500</v>
      </c>
      <c r="H682" t="s">
        <v>16</v>
      </c>
      <c r="I682" t="s">
        <v>23</v>
      </c>
      <c r="L682" t="s">
        <v>78</v>
      </c>
      <c r="M682">
        <v>37.94</v>
      </c>
      <c r="N682">
        <v>37.94</v>
      </c>
      <c r="O682" t="s">
        <v>21</v>
      </c>
      <c r="P682">
        <f t="shared" si="32"/>
        <v>0</v>
      </c>
      <c r="Q682" s="11">
        <f>IF(P682=0,0,IFERROR(Q681+G682*M682*IF(E682="FUTURE",VLOOKUP(MID(I682,2,2),[1]Futures!$A$2:$B$12,2),1),G682*M682*IF(E682="FUTURE",VLOOKUP(MID(I682,2,2),[1]Futures!$A$2:$B$12,2),1)))</f>
        <v>0</v>
      </c>
      <c r="R682" s="12" t="str">
        <f>IFERROR(Q682/P682/IF(E682="FUTURE",VLOOKUP(MID(I682,2,2),[1]Futures!$A$2:$B$12,2),1),"")</f>
        <v/>
      </c>
      <c r="S682" s="13">
        <f>IF(AND(H682="TO CLOSE",P682=0),-G682*(M682-R681)*IF(E682="FUTURE",VLOOKUP(MID(I682,2,2),[1]Futures!$A$2:$B$12,2),1),"")</f>
        <v>152.49999999999986</v>
      </c>
    </row>
    <row r="683" spans="1:19" x14ac:dyDescent="0.2">
      <c r="A683">
        <f t="shared" si="31"/>
        <v>189</v>
      </c>
      <c r="B683" s="3">
        <v>43951</v>
      </c>
      <c r="C683" s="3" t="str">
        <f t="shared" si="33"/>
        <v>Thursday</v>
      </c>
      <c r="D683" s="2">
        <v>0.44140046296296293</v>
      </c>
      <c r="E683" t="s">
        <v>22</v>
      </c>
      <c r="F683" t="s">
        <v>15</v>
      </c>
      <c r="G683">
        <v>-100</v>
      </c>
      <c r="H683" t="s">
        <v>20</v>
      </c>
      <c r="I683" t="s">
        <v>23</v>
      </c>
      <c r="L683" t="s">
        <v>78</v>
      </c>
      <c r="M683">
        <v>38.013100000000001</v>
      </c>
      <c r="N683">
        <v>38.013100000000001</v>
      </c>
      <c r="O683" t="s">
        <v>24</v>
      </c>
      <c r="P683">
        <f t="shared" si="32"/>
        <v>-100</v>
      </c>
      <c r="Q683" s="11">
        <f>IF(P683=0,0,IFERROR(Q682+G683*M683*IF(E683="FUTURE",VLOOKUP(MID(I683,2,2),[1]Futures!$A$2:$B$12,2),1),G683*M683*IF(E683="FUTURE",VLOOKUP(MID(I683,2,2),[1]Futures!$A$2:$B$12,2),1)))</f>
        <v>-3801.31</v>
      </c>
      <c r="R683" s="12">
        <f>IFERROR(Q683/P683/IF(E683="FUTURE",VLOOKUP(MID(I683,2,2),[1]Futures!$A$2:$B$12,2),1),"")</f>
        <v>38.013100000000001</v>
      </c>
      <c r="S683" s="13" t="str">
        <f>IF(AND(H683="TO CLOSE",P683=0),-G683*(M683-R682)*IF(E683="FUTURE",VLOOKUP(MID(I683,2,2),[1]Futures!$A$2:$B$12,2),1),"")</f>
        <v/>
      </c>
    </row>
    <row r="684" spans="1:19" x14ac:dyDescent="0.2">
      <c r="A684">
        <f t="shared" si="31"/>
        <v>189</v>
      </c>
      <c r="B684" s="3">
        <v>43951</v>
      </c>
      <c r="C684" s="3" t="str">
        <f t="shared" si="33"/>
        <v>Thursday</v>
      </c>
      <c r="D684" s="2">
        <v>0.44140046296296293</v>
      </c>
      <c r="E684" t="s">
        <v>22</v>
      </c>
      <c r="F684" t="s">
        <v>15</v>
      </c>
      <c r="G684">
        <v>-100</v>
      </c>
      <c r="H684" t="s">
        <v>20</v>
      </c>
      <c r="I684" t="s">
        <v>23</v>
      </c>
      <c r="L684" t="s">
        <v>78</v>
      </c>
      <c r="M684">
        <v>38.013800000000003</v>
      </c>
      <c r="N684">
        <v>38.013800000000003</v>
      </c>
      <c r="O684" t="s">
        <v>24</v>
      </c>
      <c r="P684">
        <f t="shared" si="32"/>
        <v>-200</v>
      </c>
      <c r="Q684" s="11">
        <f>IF(P684=0,0,IFERROR(Q683+G684*M684*IF(E684="FUTURE",VLOOKUP(MID(I684,2,2),[1]Futures!$A$2:$B$12,2),1),G684*M684*IF(E684="FUTURE",VLOOKUP(MID(I684,2,2),[1]Futures!$A$2:$B$12,2),1)))</f>
        <v>-7602.6900000000005</v>
      </c>
      <c r="R684" s="12">
        <f>IFERROR(Q684/P684/IF(E684="FUTURE",VLOOKUP(MID(I684,2,2),[1]Futures!$A$2:$B$12,2),1),"")</f>
        <v>38.013450000000006</v>
      </c>
      <c r="S684" s="13" t="str">
        <f>IF(AND(H684="TO CLOSE",P684=0),-G684*(M684-R683)*IF(E684="FUTURE",VLOOKUP(MID(I684,2,2),[1]Futures!$A$2:$B$12,2),1),"")</f>
        <v/>
      </c>
    </row>
    <row r="685" spans="1:19" x14ac:dyDescent="0.2">
      <c r="A685">
        <f t="shared" si="31"/>
        <v>189</v>
      </c>
      <c r="B685" s="3">
        <v>43951</v>
      </c>
      <c r="C685" s="3" t="str">
        <f t="shared" si="33"/>
        <v>Thursday</v>
      </c>
      <c r="D685" s="2">
        <v>0.44140046296296293</v>
      </c>
      <c r="E685" t="s">
        <v>22</v>
      </c>
      <c r="F685" t="s">
        <v>15</v>
      </c>
      <c r="G685">
        <v>-100</v>
      </c>
      <c r="H685" t="s">
        <v>20</v>
      </c>
      <c r="I685" t="s">
        <v>23</v>
      </c>
      <c r="L685" t="s">
        <v>78</v>
      </c>
      <c r="M685">
        <v>38.014099999999999</v>
      </c>
      <c r="N685">
        <v>38.014099999999999</v>
      </c>
      <c r="O685" t="s">
        <v>24</v>
      </c>
      <c r="P685">
        <f t="shared" si="32"/>
        <v>-300</v>
      </c>
      <c r="Q685" s="11">
        <f>IF(P685=0,0,IFERROR(Q684+G685*M685*IF(E685="FUTURE",VLOOKUP(MID(I685,2,2),[1]Futures!$A$2:$B$12,2),1),G685*M685*IF(E685="FUTURE",VLOOKUP(MID(I685,2,2),[1]Futures!$A$2:$B$12,2),1)))</f>
        <v>-11404.1</v>
      </c>
      <c r="R685" s="12">
        <f>IFERROR(Q685/P685/IF(E685="FUTURE",VLOOKUP(MID(I685,2,2),[1]Futures!$A$2:$B$12,2),1),"")</f>
        <v>38.013666666666666</v>
      </c>
      <c r="S685" s="13" t="str">
        <f>IF(AND(H685="TO CLOSE",P685=0),-G685*(M685-R684)*IF(E685="FUTURE",VLOOKUP(MID(I685,2,2),[1]Futures!$A$2:$B$12,2),1),"")</f>
        <v/>
      </c>
    </row>
    <row r="686" spans="1:19" x14ac:dyDescent="0.2">
      <c r="A686">
        <f t="shared" si="31"/>
        <v>189</v>
      </c>
      <c r="B686" s="3">
        <v>43951</v>
      </c>
      <c r="C686" s="3" t="str">
        <f t="shared" si="33"/>
        <v>Thursday</v>
      </c>
      <c r="D686" s="2">
        <v>0.44140046296296293</v>
      </c>
      <c r="E686" t="s">
        <v>22</v>
      </c>
      <c r="F686" t="s">
        <v>15</v>
      </c>
      <c r="G686">
        <v>-100</v>
      </c>
      <c r="H686" t="s">
        <v>20</v>
      </c>
      <c r="I686" t="s">
        <v>23</v>
      </c>
      <c r="L686" t="s">
        <v>78</v>
      </c>
      <c r="M686">
        <v>38.014099999999999</v>
      </c>
      <c r="N686">
        <v>38.014099999999999</v>
      </c>
      <c r="O686" t="s">
        <v>24</v>
      </c>
      <c r="P686">
        <f t="shared" si="32"/>
        <v>-400</v>
      </c>
      <c r="Q686" s="11">
        <f>IF(P686=0,0,IFERROR(Q685+G686*M686*IF(E686="FUTURE",VLOOKUP(MID(I686,2,2),[1]Futures!$A$2:$B$12,2),1),G686*M686*IF(E686="FUTURE",VLOOKUP(MID(I686,2,2),[1]Futures!$A$2:$B$12,2),1)))</f>
        <v>-15205.51</v>
      </c>
      <c r="R686" s="12">
        <f>IFERROR(Q686/P686/IF(E686="FUTURE",VLOOKUP(MID(I686,2,2),[1]Futures!$A$2:$B$12,2),1),"")</f>
        <v>38.013775000000003</v>
      </c>
      <c r="S686" s="13" t="str">
        <f>IF(AND(H686="TO CLOSE",P686=0),-G686*(M686-R685)*IF(E686="FUTURE",VLOOKUP(MID(I686,2,2),[1]Futures!$A$2:$B$12,2),1),"")</f>
        <v/>
      </c>
    </row>
    <row r="687" spans="1:19" x14ac:dyDescent="0.2">
      <c r="A687">
        <f t="shared" si="31"/>
        <v>189</v>
      </c>
      <c r="B687" s="3">
        <v>43951</v>
      </c>
      <c r="C687" s="3" t="str">
        <f t="shared" si="33"/>
        <v>Thursday</v>
      </c>
      <c r="D687" s="2">
        <v>0.46577546296296296</v>
      </c>
      <c r="E687" t="s">
        <v>22</v>
      </c>
      <c r="F687" t="s">
        <v>19</v>
      </c>
      <c r="G687">
        <v>400</v>
      </c>
      <c r="H687" t="s">
        <v>16</v>
      </c>
      <c r="I687" t="s">
        <v>23</v>
      </c>
      <c r="L687" t="s">
        <v>78</v>
      </c>
      <c r="M687">
        <v>38.01</v>
      </c>
      <c r="N687">
        <v>38.01</v>
      </c>
      <c r="O687" t="s">
        <v>21</v>
      </c>
      <c r="P687">
        <f t="shared" si="32"/>
        <v>0</v>
      </c>
      <c r="Q687" s="11">
        <f>IF(P687=0,0,IFERROR(Q686+G687*M687*IF(E687="FUTURE",VLOOKUP(MID(I687,2,2),[1]Futures!$A$2:$B$12,2),1),G687*M687*IF(E687="FUTURE",VLOOKUP(MID(I687,2,2),[1]Futures!$A$2:$B$12,2),1)))</f>
        <v>0</v>
      </c>
      <c r="R687" s="12" t="str">
        <f>IFERROR(Q687/P687/IF(E687="FUTURE",VLOOKUP(MID(I687,2,2),[1]Futures!$A$2:$B$12,2),1),"")</f>
        <v/>
      </c>
      <c r="S687" s="13">
        <f>IF(AND(H687="TO CLOSE",P687=0),-G687*(M687-R686)*IF(E687="FUTURE",VLOOKUP(MID(I687,2,2),[1]Futures!$A$2:$B$12,2),1),"")</f>
        <v>1.5100000000018099</v>
      </c>
    </row>
    <row r="688" spans="1:19" x14ac:dyDescent="0.2">
      <c r="A688">
        <f t="shared" si="31"/>
        <v>190</v>
      </c>
      <c r="B688" s="3">
        <v>43952</v>
      </c>
      <c r="C688" s="3" t="str">
        <f t="shared" si="33"/>
        <v>Friday</v>
      </c>
      <c r="D688" s="2">
        <v>0.41672453703703699</v>
      </c>
      <c r="E688" t="s">
        <v>14</v>
      </c>
      <c r="F688" t="s">
        <v>15</v>
      </c>
      <c r="G688">
        <v>-1</v>
      </c>
      <c r="H688" t="s">
        <v>20</v>
      </c>
      <c r="I688" t="s">
        <v>77</v>
      </c>
      <c r="J688" s="1">
        <v>44063</v>
      </c>
      <c r="L688" t="s">
        <v>14</v>
      </c>
      <c r="M688">
        <v>23.85</v>
      </c>
      <c r="N688">
        <v>23.85</v>
      </c>
      <c r="O688" t="s">
        <v>21</v>
      </c>
      <c r="P688">
        <f t="shared" si="32"/>
        <v>-1</v>
      </c>
      <c r="Q688" s="11">
        <f>IF(P688=0,0,IFERROR(Q687+G688*M688*IF(E688="FUTURE",VLOOKUP(MID(I688,2,2),[1]Futures!$A$2:$B$12,2),1),G688*M688*IF(E688="FUTURE",VLOOKUP(MID(I688,2,2),[1]Futures!$A$2:$B$12,2),1)))</f>
        <v>-23850</v>
      </c>
      <c r="R688" s="12">
        <f>IFERROR(Q688/P688/IF(E688="FUTURE",VLOOKUP(MID(I688,2,2),[1]Futures!$A$2:$B$12,2),1),"")</f>
        <v>23.85</v>
      </c>
      <c r="S688" s="13" t="str">
        <f>IF(AND(H688="TO CLOSE",P688=0),-G688*(M688-R687)*IF(E688="FUTURE",VLOOKUP(MID(I688,2,2),[1]Futures!$A$2:$B$12,2),1),"")</f>
        <v/>
      </c>
    </row>
    <row r="689" spans="1:19" x14ac:dyDescent="0.2">
      <c r="A689">
        <f t="shared" si="31"/>
        <v>190</v>
      </c>
      <c r="B689" s="3">
        <v>43952</v>
      </c>
      <c r="C689" s="3" t="str">
        <f t="shared" si="33"/>
        <v>Friday</v>
      </c>
      <c r="D689" s="2">
        <v>0.4216550925925926</v>
      </c>
      <c r="E689" t="s">
        <v>14</v>
      </c>
      <c r="F689" t="s">
        <v>19</v>
      </c>
      <c r="G689">
        <v>1</v>
      </c>
      <c r="H689" t="s">
        <v>16</v>
      </c>
      <c r="I689" t="s">
        <v>77</v>
      </c>
      <c r="J689" s="1">
        <v>44063</v>
      </c>
      <c r="L689" t="s">
        <v>14</v>
      </c>
      <c r="M689">
        <v>23.81</v>
      </c>
      <c r="N689">
        <v>23.81</v>
      </c>
      <c r="O689" t="s">
        <v>21</v>
      </c>
      <c r="P689">
        <f t="shared" si="32"/>
        <v>0</v>
      </c>
      <c r="Q689" s="11">
        <f>IF(P689=0,0,IFERROR(Q688+G689*M689*IF(E689="FUTURE",VLOOKUP(MID(I689,2,2),[1]Futures!$A$2:$B$12,2),1),G689*M689*IF(E689="FUTURE",VLOOKUP(MID(I689,2,2),[1]Futures!$A$2:$B$12,2),1)))</f>
        <v>0</v>
      </c>
      <c r="R689" s="12" t="str">
        <f>IFERROR(Q689/P689/IF(E689="FUTURE",VLOOKUP(MID(I689,2,2),[1]Futures!$A$2:$B$12,2),1),"")</f>
        <v/>
      </c>
      <c r="S689" s="13">
        <f>IF(AND(H689="TO CLOSE",P689=0),-G689*(M689-R688)*IF(E689="FUTURE",VLOOKUP(MID(I689,2,2),[1]Futures!$A$2:$B$12,2),1),"")</f>
        <v>40.0000000000027</v>
      </c>
    </row>
    <row r="690" spans="1:19" x14ac:dyDescent="0.2">
      <c r="A690">
        <f t="shared" si="31"/>
        <v>191</v>
      </c>
      <c r="B690" s="3">
        <v>43952</v>
      </c>
      <c r="C690" s="3" t="str">
        <f t="shared" si="33"/>
        <v>Friday</v>
      </c>
      <c r="D690" s="2">
        <v>0.43451388888888887</v>
      </c>
      <c r="E690" t="s">
        <v>14</v>
      </c>
      <c r="F690" t="s">
        <v>19</v>
      </c>
      <c r="G690">
        <v>1</v>
      </c>
      <c r="H690" t="s">
        <v>20</v>
      </c>
      <c r="I690" t="s">
        <v>77</v>
      </c>
      <c r="J690" s="1">
        <v>44063</v>
      </c>
      <c r="L690" t="s">
        <v>14</v>
      </c>
      <c r="M690">
        <v>23.82</v>
      </c>
      <c r="N690">
        <v>23.82</v>
      </c>
      <c r="O690" t="s">
        <v>21</v>
      </c>
      <c r="P690">
        <f t="shared" si="32"/>
        <v>1</v>
      </c>
      <c r="Q690" s="11">
        <f>IF(P690=0,0,IFERROR(Q689+G690*M690*IF(E690="FUTURE",VLOOKUP(MID(I690,2,2),[1]Futures!$A$2:$B$12,2),1),G690*M690*IF(E690="FUTURE",VLOOKUP(MID(I690,2,2),[1]Futures!$A$2:$B$12,2),1)))</f>
        <v>23820</v>
      </c>
      <c r="R690" s="12">
        <f>IFERROR(Q690/P690/IF(E690="FUTURE",VLOOKUP(MID(I690,2,2),[1]Futures!$A$2:$B$12,2),1),"")</f>
        <v>23.82</v>
      </c>
      <c r="S690" s="13" t="str">
        <f>IF(AND(H690="TO CLOSE",P690=0),-G690*(M690-R689)*IF(E690="FUTURE",VLOOKUP(MID(I690,2,2),[1]Futures!$A$2:$B$12,2),1),"")</f>
        <v/>
      </c>
    </row>
    <row r="691" spans="1:19" x14ac:dyDescent="0.2">
      <c r="A691">
        <f t="shared" si="31"/>
        <v>191</v>
      </c>
      <c r="B691" s="3">
        <v>43952</v>
      </c>
      <c r="C691" s="3" t="str">
        <f t="shared" si="33"/>
        <v>Friday</v>
      </c>
      <c r="D691" s="2">
        <v>0.44069444444444444</v>
      </c>
      <c r="E691" t="s">
        <v>14</v>
      </c>
      <c r="F691" t="s">
        <v>19</v>
      </c>
      <c r="G691">
        <v>1</v>
      </c>
      <c r="H691" t="s">
        <v>20</v>
      </c>
      <c r="I691" t="s">
        <v>77</v>
      </c>
      <c r="J691" s="1">
        <v>44063</v>
      </c>
      <c r="L691" t="s">
        <v>14</v>
      </c>
      <c r="M691">
        <v>23.8</v>
      </c>
      <c r="N691">
        <v>23.8</v>
      </c>
      <c r="O691" t="s">
        <v>21</v>
      </c>
      <c r="P691">
        <f t="shared" si="32"/>
        <v>2</v>
      </c>
      <c r="Q691" s="11">
        <f>IF(P691=0,0,IFERROR(Q690+G691*M691*IF(E691="FUTURE",VLOOKUP(MID(I691,2,2),[1]Futures!$A$2:$B$12,2),1),G691*M691*IF(E691="FUTURE",VLOOKUP(MID(I691,2,2),[1]Futures!$A$2:$B$12,2),1)))</f>
        <v>47620</v>
      </c>
      <c r="R691" s="12">
        <f>IFERROR(Q691/P691/IF(E691="FUTURE",VLOOKUP(MID(I691,2,2),[1]Futures!$A$2:$B$12,2),1),"")</f>
        <v>23.81</v>
      </c>
      <c r="S691" s="13" t="str">
        <f>IF(AND(H691="TO CLOSE",P691=0),-G691*(M691-R690)*IF(E691="FUTURE",VLOOKUP(MID(I691,2,2),[1]Futures!$A$2:$B$12,2),1),"")</f>
        <v/>
      </c>
    </row>
    <row r="692" spans="1:19" x14ac:dyDescent="0.2">
      <c r="A692">
        <f t="shared" si="31"/>
        <v>191</v>
      </c>
      <c r="B692" s="3">
        <v>43952</v>
      </c>
      <c r="C692" s="3" t="str">
        <f t="shared" si="33"/>
        <v>Friday</v>
      </c>
      <c r="D692" s="2">
        <v>0.44694444444444442</v>
      </c>
      <c r="E692" t="s">
        <v>14</v>
      </c>
      <c r="F692" t="s">
        <v>15</v>
      </c>
      <c r="G692">
        <v>-1</v>
      </c>
      <c r="H692" t="s">
        <v>16</v>
      </c>
      <c r="I692" t="s">
        <v>77</v>
      </c>
      <c r="J692" s="1">
        <v>44063</v>
      </c>
      <c r="L692" t="s">
        <v>14</v>
      </c>
      <c r="M692">
        <v>23.99</v>
      </c>
      <c r="N692">
        <v>23.99</v>
      </c>
      <c r="O692" t="s">
        <v>21</v>
      </c>
      <c r="P692">
        <f t="shared" si="32"/>
        <v>1</v>
      </c>
      <c r="Q692" s="11">
        <f>IF(P692=0,0,IFERROR(Q691+G692*M692*IF(E692="FUTURE",VLOOKUP(MID(I692,2,2),[1]Futures!$A$2:$B$12,2),1),G692*M692*IF(E692="FUTURE",VLOOKUP(MID(I692,2,2),[1]Futures!$A$2:$B$12,2),1)))</f>
        <v>23630</v>
      </c>
      <c r="R692" s="12">
        <f>IFERROR(Q692/P692/IF(E692="FUTURE",VLOOKUP(MID(I692,2,2),[1]Futures!$A$2:$B$12,2),1),"")</f>
        <v>23.63</v>
      </c>
      <c r="S692" s="13" t="str">
        <f>IF(AND(H692="TO CLOSE",P692=0),-G692*(M692-R691)*IF(E692="FUTURE",VLOOKUP(MID(I692,2,2),[1]Futures!$A$2:$B$12,2),1),"")</f>
        <v/>
      </c>
    </row>
    <row r="693" spans="1:19" x14ac:dyDescent="0.2">
      <c r="A693">
        <f t="shared" si="31"/>
        <v>191</v>
      </c>
      <c r="B693" s="3">
        <v>43952</v>
      </c>
      <c r="C693" s="3" t="str">
        <f t="shared" si="33"/>
        <v>Friday</v>
      </c>
      <c r="D693" s="2">
        <v>0.44969907407407406</v>
      </c>
      <c r="E693" t="s">
        <v>14</v>
      </c>
      <c r="F693" t="s">
        <v>15</v>
      </c>
      <c r="G693">
        <v>-1</v>
      </c>
      <c r="H693" t="s">
        <v>16</v>
      </c>
      <c r="I693" t="s">
        <v>77</v>
      </c>
      <c r="J693" s="1">
        <v>44063</v>
      </c>
      <c r="L693" t="s">
        <v>14</v>
      </c>
      <c r="M693">
        <v>24.02</v>
      </c>
      <c r="N693">
        <v>24.02</v>
      </c>
      <c r="O693" t="s">
        <v>21</v>
      </c>
      <c r="P693">
        <f t="shared" si="32"/>
        <v>0</v>
      </c>
      <c r="Q693" s="11">
        <f>IF(P693=0,0,IFERROR(Q692+G693*M693*IF(E693="FUTURE",VLOOKUP(MID(I693,2,2),[1]Futures!$A$2:$B$12,2),1),G693*M693*IF(E693="FUTURE",VLOOKUP(MID(I693,2,2),[1]Futures!$A$2:$B$12,2),1)))</f>
        <v>0</v>
      </c>
      <c r="R693" s="12" t="str">
        <f>IFERROR(Q693/P693/IF(E693="FUTURE",VLOOKUP(MID(I693,2,2),[1]Futures!$A$2:$B$12,2),1),"")</f>
        <v/>
      </c>
      <c r="S693" s="13">
        <f>IF(AND(H693="TO CLOSE",P693=0),-G693*(M693-R692)*IF(E693="FUTURE",VLOOKUP(MID(I693,2,2),[1]Futures!$A$2:$B$12,2),1),"")</f>
        <v>390.00000000000057</v>
      </c>
    </row>
    <row r="694" spans="1:19" x14ac:dyDescent="0.2">
      <c r="A694">
        <f t="shared" si="31"/>
        <v>192</v>
      </c>
      <c r="B694" s="3">
        <v>43952</v>
      </c>
      <c r="C694" s="3" t="str">
        <f t="shared" si="33"/>
        <v>Friday</v>
      </c>
      <c r="D694" s="2">
        <v>0.47409722222222223</v>
      </c>
      <c r="E694" t="s">
        <v>14</v>
      </c>
      <c r="F694" t="s">
        <v>15</v>
      </c>
      <c r="G694">
        <v>-1</v>
      </c>
      <c r="H694" t="s">
        <v>20</v>
      </c>
      <c r="I694" t="s">
        <v>77</v>
      </c>
      <c r="J694" s="1">
        <v>44063</v>
      </c>
      <c r="L694" t="s">
        <v>14</v>
      </c>
      <c r="M694">
        <v>24.01</v>
      </c>
      <c r="N694">
        <v>24.01</v>
      </c>
      <c r="O694" t="s">
        <v>21</v>
      </c>
      <c r="P694">
        <f t="shared" si="32"/>
        <v>-1</v>
      </c>
      <c r="Q694" s="11">
        <f>IF(P694=0,0,IFERROR(Q693+G694*M694*IF(E694="FUTURE",VLOOKUP(MID(I694,2,2),[1]Futures!$A$2:$B$12,2),1),G694*M694*IF(E694="FUTURE",VLOOKUP(MID(I694,2,2),[1]Futures!$A$2:$B$12,2),1)))</f>
        <v>-24010</v>
      </c>
      <c r="R694" s="12">
        <f>IFERROR(Q694/P694/IF(E694="FUTURE",VLOOKUP(MID(I694,2,2),[1]Futures!$A$2:$B$12,2),1),"")</f>
        <v>24.01</v>
      </c>
      <c r="S694" s="13" t="str">
        <f>IF(AND(H694="TO CLOSE",P694=0),-G694*(M694-R693)*IF(E694="FUTURE",VLOOKUP(MID(I694,2,2),[1]Futures!$A$2:$B$12,2),1),"")</f>
        <v/>
      </c>
    </row>
    <row r="695" spans="1:19" x14ac:dyDescent="0.2">
      <c r="A695">
        <f t="shared" si="31"/>
        <v>192</v>
      </c>
      <c r="B695" s="3">
        <v>43952</v>
      </c>
      <c r="C695" s="3" t="str">
        <f t="shared" si="33"/>
        <v>Friday</v>
      </c>
      <c r="D695" s="2">
        <v>0.47824074074074074</v>
      </c>
      <c r="E695" t="s">
        <v>14</v>
      </c>
      <c r="F695" t="s">
        <v>19</v>
      </c>
      <c r="G695">
        <v>1</v>
      </c>
      <c r="H695" t="s">
        <v>16</v>
      </c>
      <c r="I695" t="s">
        <v>77</v>
      </c>
      <c r="J695" s="1">
        <v>44063</v>
      </c>
      <c r="L695" t="s">
        <v>14</v>
      </c>
      <c r="M695">
        <v>23.97</v>
      </c>
      <c r="N695">
        <v>23.97</v>
      </c>
      <c r="O695" t="s">
        <v>21</v>
      </c>
      <c r="P695">
        <f t="shared" si="32"/>
        <v>0</v>
      </c>
      <c r="Q695" s="11">
        <f>IF(P695=0,0,IFERROR(Q694+G695*M695*IF(E695="FUTURE",VLOOKUP(MID(I695,2,2),[1]Futures!$A$2:$B$12,2),1),G695*M695*IF(E695="FUTURE",VLOOKUP(MID(I695,2,2),[1]Futures!$A$2:$B$12,2),1)))</f>
        <v>0</v>
      </c>
      <c r="R695" s="12" t="str">
        <f>IFERROR(Q695/P695/IF(E695="FUTURE",VLOOKUP(MID(I695,2,2),[1]Futures!$A$2:$B$12,2),1),"")</f>
        <v/>
      </c>
      <c r="S695" s="13">
        <f>IF(AND(H695="TO CLOSE",P695=0),-G695*(M695-R694)*IF(E695="FUTURE",VLOOKUP(MID(I695,2,2),[1]Futures!$A$2:$B$12,2),1),"")</f>
        <v>40.0000000000027</v>
      </c>
    </row>
    <row r="696" spans="1:19" x14ac:dyDescent="0.2">
      <c r="A696">
        <f t="shared" si="31"/>
        <v>193</v>
      </c>
      <c r="B696" s="3">
        <v>43952</v>
      </c>
      <c r="C696" s="3" t="str">
        <f t="shared" si="33"/>
        <v>Friday</v>
      </c>
      <c r="D696" s="2">
        <v>0.50215277777777778</v>
      </c>
      <c r="E696" t="s">
        <v>14</v>
      </c>
      <c r="F696" t="s">
        <v>19</v>
      </c>
      <c r="G696">
        <v>1</v>
      </c>
      <c r="H696" t="s">
        <v>20</v>
      </c>
      <c r="I696" t="s">
        <v>77</v>
      </c>
      <c r="J696" s="1">
        <v>44063</v>
      </c>
      <c r="L696" t="s">
        <v>14</v>
      </c>
      <c r="M696">
        <v>23.71</v>
      </c>
      <c r="N696">
        <v>23.71</v>
      </c>
      <c r="O696" t="s">
        <v>21</v>
      </c>
      <c r="P696">
        <f t="shared" si="32"/>
        <v>1</v>
      </c>
      <c r="Q696" s="11">
        <f>IF(P696=0,0,IFERROR(Q695+G696*M696*IF(E696="FUTURE",VLOOKUP(MID(I696,2,2),[1]Futures!$A$2:$B$12,2),1),G696*M696*IF(E696="FUTURE",VLOOKUP(MID(I696,2,2),[1]Futures!$A$2:$B$12,2),1)))</f>
        <v>23710</v>
      </c>
      <c r="R696" s="12">
        <f>IFERROR(Q696/P696/IF(E696="FUTURE",VLOOKUP(MID(I696,2,2),[1]Futures!$A$2:$B$12,2),1),"")</f>
        <v>23.71</v>
      </c>
      <c r="S696" s="13" t="str">
        <f>IF(AND(H696="TO CLOSE",P696=0),-G696*(M696-R695)*IF(E696="FUTURE",VLOOKUP(MID(I696,2,2),[1]Futures!$A$2:$B$12,2),1),"")</f>
        <v/>
      </c>
    </row>
    <row r="697" spans="1:19" x14ac:dyDescent="0.2">
      <c r="A697">
        <f t="shared" si="31"/>
        <v>193</v>
      </c>
      <c r="B697" s="3">
        <v>43952</v>
      </c>
      <c r="C697" s="3" t="str">
        <f t="shared" si="33"/>
        <v>Friday</v>
      </c>
      <c r="D697" s="2">
        <v>0.50314814814814812</v>
      </c>
      <c r="E697" t="s">
        <v>14</v>
      </c>
      <c r="F697" t="s">
        <v>15</v>
      </c>
      <c r="G697">
        <v>-1</v>
      </c>
      <c r="H697" t="s">
        <v>16</v>
      </c>
      <c r="I697" t="s">
        <v>77</v>
      </c>
      <c r="J697" s="1">
        <v>44063</v>
      </c>
      <c r="L697" t="s">
        <v>14</v>
      </c>
      <c r="M697">
        <v>23.74</v>
      </c>
      <c r="N697">
        <v>23.74</v>
      </c>
      <c r="O697" t="s">
        <v>21</v>
      </c>
      <c r="P697">
        <f t="shared" si="32"/>
        <v>0</v>
      </c>
      <c r="Q697" s="11">
        <f>IF(P697=0,0,IFERROR(Q696+G697*M697*IF(E697="FUTURE",VLOOKUP(MID(I697,2,2),[1]Futures!$A$2:$B$12,2),1),G697*M697*IF(E697="FUTURE",VLOOKUP(MID(I697,2,2),[1]Futures!$A$2:$B$12,2),1)))</f>
        <v>0</v>
      </c>
      <c r="R697" s="12" t="str">
        <f>IFERROR(Q697/P697/IF(E697="FUTURE",VLOOKUP(MID(I697,2,2),[1]Futures!$A$2:$B$12,2),1),"")</f>
        <v/>
      </c>
      <c r="S697" s="13">
        <f>IF(AND(H697="TO CLOSE",P697=0),-G697*(M697-R696)*IF(E697="FUTURE",VLOOKUP(MID(I697,2,2),[1]Futures!$A$2:$B$12,2),1),"")</f>
        <v>29.999999999997584</v>
      </c>
    </row>
    <row r="698" spans="1:19" x14ac:dyDescent="0.2">
      <c r="A698">
        <f t="shared" si="31"/>
        <v>194</v>
      </c>
      <c r="B698" s="3">
        <v>43952</v>
      </c>
      <c r="C698" s="3" t="str">
        <f t="shared" si="33"/>
        <v>Friday</v>
      </c>
      <c r="D698" s="2">
        <v>0.41554398148148147</v>
      </c>
      <c r="E698" t="s">
        <v>14</v>
      </c>
      <c r="F698" t="s">
        <v>19</v>
      </c>
      <c r="G698">
        <v>1</v>
      </c>
      <c r="H698" t="s">
        <v>20</v>
      </c>
      <c r="I698" t="s">
        <v>17</v>
      </c>
      <c r="J698" s="1">
        <v>44002</v>
      </c>
      <c r="L698" t="s">
        <v>14</v>
      </c>
      <c r="M698">
        <v>2845</v>
      </c>
      <c r="N698">
        <v>2845</v>
      </c>
      <c r="O698" t="s">
        <v>21</v>
      </c>
      <c r="P698">
        <f t="shared" si="32"/>
        <v>1</v>
      </c>
      <c r="Q698" s="11">
        <f>IF(P698=0,0,IFERROR(Q697+G698*M698*IF(E698="FUTURE",VLOOKUP(MID(I698,2,2),[1]Futures!$A$2:$B$12,2),1),G698*M698*IF(E698="FUTURE",VLOOKUP(MID(I698,2,2),[1]Futures!$A$2:$B$12,2),1)))</f>
        <v>142250</v>
      </c>
      <c r="R698" s="12">
        <f>IFERROR(Q698/P698/IF(E698="FUTURE",VLOOKUP(MID(I698,2,2),[1]Futures!$A$2:$B$12,2),1),"")</f>
        <v>2845</v>
      </c>
      <c r="S698" s="13" t="str">
        <f>IF(AND(H698="TO CLOSE",P698=0),-G698*(M698-R697)*IF(E698="FUTURE",VLOOKUP(MID(I698,2,2),[1]Futures!$A$2:$B$12,2),1),"")</f>
        <v/>
      </c>
    </row>
    <row r="699" spans="1:19" x14ac:dyDescent="0.2">
      <c r="A699">
        <f t="shared" si="31"/>
        <v>194</v>
      </c>
      <c r="B699" s="3">
        <v>43952</v>
      </c>
      <c r="C699" s="3" t="str">
        <f t="shared" si="33"/>
        <v>Friday</v>
      </c>
      <c r="D699" s="2">
        <v>0.41666666666666669</v>
      </c>
      <c r="E699" t="s">
        <v>14</v>
      </c>
      <c r="F699" t="s">
        <v>15</v>
      </c>
      <c r="G699">
        <v>-1</v>
      </c>
      <c r="H699" t="s">
        <v>16</v>
      </c>
      <c r="I699" t="s">
        <v>17</v>
      </c>
      <c r="J699" s="1">
        <v>44002</v>
      </c>
      <c r="L699" t="s">
        <v>14</v>
      </c>
      <c r="M699">
        <v>2851.25</v>
      </c>
      <c r="N699">
        <v>2851.25</v>
      </c>
      <c r="O699" t="s">
        <v>21</v>
      </c>
      <c r="P699">
        <f t="shared" si="32"/>
        <v>0</v>
      </c>
      <c r="Q699" s="11">
        <f>IF(P699=0,0,IFERROR(Q698+G699*M699*IF(E699="FUTURE",VLOOKUP(MID(I699,2,2),[1]Futures!$A$2:$B$12,2),1),G699*M699*IF(E699="FUTURE",VLOOKUP(MID(I699,2,2),[1]Futures!$A$2:$B$12,2),1)))</f>
        <v>0</v>
      </c>
      <c r="R699" s="12" t="str">
        <f>IFERROR(Q699/P699/IF(E699="FUTURE",VLOOKUP(MID(I699,2,2),[1]Futures!$A$2:$B$12,2),1),"")</f>
        <v/>
      </c>
      <c r="S699" s="13">
        <f>IF(AND(H699="TO CLOSE",P699=0),-G699*(M699-R698)*IF(E699="FUTURE",VLOOKUP(MID(I699,2,2),[1]Futures!$A$2:$B$12,2),1),"")</f>
        <v>312.5</v>
      </c>
    </row>
    <row r="700" spans="1:19" x14ac:dyDescent="0.2">
      <c r="A700">
        <f t="shared" si="31"/>
        <v>195</v>
      </c>
      <c r="B700" s="3">
        <v>43952</v>
      </c>
      <c r="C700" s="3" t="str">
        <f t="shared" si="33"/>
        <v>Friday</v>
      </c>
      <c r="D700" s="2">
        <v>0.42717592592592596</v>
      </c>
      <c r="E700" t="s">
        <v>14</v>
      </c>
      <c r="F700" t="s">
        <v>15</v>
      </c>
      <c r="G700">
        <v>-1</v>
      </c>
      <c r="H700" t="s">
        <v>20</v>
      </c>
      <c r="I700" t="s">
        <v>17</v>
      </c>
      <c r="J700" s="1">
        <v>44002</v>
      </c>
      <c r="L700" t="s">
        <v>14</v>
      </c>
      <c r="M700">
        <v>2845.75</v>
      </c>
      <c r="N700">
        <v>2845.75</v>
      </c>
      <c r="O700" t="s">
        <v>18</v>
      </c>
      <c r="P700">
        <f t="shared" si="32"/>
        <v>-1</v>
      </c>
      <c r="Q700" s="11">
        <f>IF(P700=0,0,IFERROR(Q699+G700*M700*IF(E700="FUTURE",VLOOKUP(MID(I700,2,2),[1]Futures!$A$2:$B$12,2),1),G700*M700*IF(E700="FUTURE",VLOOKUP(MID(I700,2,2),[1]Futures!$A$2:$B$12,2),1)))</f>
        <v>-142287.5</v>
      </c>
      <c r="R700" s="12">
        <f>IFERROR(Q700/P700/IF(E700="FUTURE",VLOOKUP(MID(I700,2,2),[1]Futures!$A$2:$B$12,2),1),"")</f>
        <v>2845.75</v>
      </c>
      <c r="S700" s="13" t="str">
        <f>IF(AND(H700="TO CLOSE",P700=0),-G700*(M700-R699)*IF(E700="FUTURE",VLOOKUP(MID(I700,2,2),[1]Futures!$A$2:$B$12,2),1),"")</f>
        <v/>
      </c>
    </row>
    <row r="701" spans="1:19" x14ac:dyDescent="0.2">
      <c r="A701">
        <f t="shared" si="31"/>
        <v>195</v>
      </c>
      <c r="B701" s="3">
        <v>43952</v>
      </c>
      <c r="C701" s="3" t="str">
        <f t="shared" si="33"/>
        <v>Friday</v>
      </c>
      <c r="D701" s="2">
        <v>0.42928240740740736</v>
      </c>
      <c r="E701" t="s">
        <v>14</v>
      </c>
      <c r="F701" t="s">
        <v>19</v>
      </c>
      <c r="G701">
        <v>1</v>
      </c>
      <c r="H701" t="s">
        <v>16</v>
      </c>
      <c r="I701" t="s">
        <v>17</v>
      </c>
      <c r="J701" s="1">
        <v>44002</v>
      </c>
      <c r="L701" t="s">
        <v>14</v>
      </c>
      <c r="M701">
        <v>2842.75</v>
      </c>
      <c r="N701">
        <v>2842.75</v>
      </c>
      <c r="O701" t="s">
        <v>21</v>
      </c>
      <c r="P701">
        <f t="shared" si="32"/>
        <v>0</v>
      </c>
      <c r="Q701" s="11">
        <f>IF(P701=0,0,IFERROR(Q700+G701*M701*IF(E701="FUTURE",VLOOKUP(MID(I701,2,2),[1]Futures!$A$2:$B$12,2),1),G701*M701*IF(E701="FUTURE",VLOOKUP(MID(I701,2,2),[1]Futures!$A$2:$B$12,2),1)))</f>
        <v>0</v>
      </c>
      <c r="R701" s="12" t="str">
        <f>IFERROR(Q701/P701/IF(E701="FUTURE",VLOOKUP(MID(I701,2,2),[1]Futures!$A$2:$B$12,2),1),"")</f>
        <v/>
      </c>
      <c r="S701" s="13">
        <f>IF(AND(H701="TO CLOSE",P701=0),-G701*(M701-R700)*IF(E701="FUTURE",VLOOKUP(MID(I701,2,2),[1]Futures!$A$2:$B$12,2),1),"")</f>
        <v>150</v>
      </c>
    </row>
    <row r="702" spans="1:19" x14ac:dyDescent="0.2">
      <c r="A702">
        <f t="shared" si="31"/>
        <v>196</v>
      </c>
      <c r="B702" s="3">
        <v>43952</v>
      </c>
      <c r="C702" s="3" t="str">
        <f t="shared" si="33"/>
        <v>Friday</v>
      </c>
      <c r="D702" s="2">
        <v>0.50620370370370371</v>
      </c>
      <c r="E702" t="s">
        <v>14</v>
      </c>
      <c r="F702" t="s">
        <v>19</v>
      </c>
      <c r="G702">
        <v>1</v>
      </c>
      <c r="H702" t="s">
        <v>20</v>
      </c>
      <c r="I702" t="s">
        <v>73</v>
      </c>
      <c r="J702" s="1">
        <v>44002</v>
      </c>
      <c r="L702" t="s">
        <v>14</v>
      </c>
      <c r="M702">
        <v>2819.25</v>
      </c>
      <c r="N702">
        <v>2819.25</v>
      </c>
      <c r="O702" t="s">
        <v>21</v>
      </c>
      <c r="P702">
        <f t="shared" si="32"/>
        <v>1</v>
      </c>
      <c r="Q702" s="11">
        <f>IF(P702=0,0,IFERROR(Q701+G702*M702*IF(E702="FUTURE",VLOOKUP(MID(I702,2,2),[1]Futures!$A$2:$B$12,2),1),G702*M702*IF(E702="FUTURE",VLOOKUP(MID(I702,2,2),[1]Futures!$A$2:$B$12,2),1)))</f>
        <v>14096.25</v>
      </c>
      <c r="R702" s="12">
        <f>IFERROR(Q702/P702/IF(E702="FUTURE",VLOOKUP(MID(I702,2,2),[1]Futures!$A$2:$B$12,2),1),"")</f>
        <v>2819.25</v>
      </c>
      <c r="S702" s="13" t="str">
        <f>IF(AND(H702="TO CLOSE",P702=0),-G702*(M702-R701)*IF(E702="FUTURE",VLOOKUP(MID(I702,2,2),[1]Futures!$A$2:$B$12,2),1),"")</f>
        <v/>
      </c>
    </row>
    <row r="703" spans="1:19" x14ac:dyDescent="0.2">
      <c r="A703">
        <f t="shared" si="31"/>
        <v>196</v>
      </c>
      <c r="B703" s="3">
        <v>43952</v>
      </c>
      <c r="C703" s="3" t="str">
        <f t="shared" si="33"/>
        <v>Friday</v>
      </c>
      <c r="D703" s="2">
        <v>0.50620370370370371</v>
      </c>
      <c r="E703" t="s">
        <v>14</v>
      </c>
      <c r="F703" t="s">
        <v>19</v>
      </c>
      <c r="G703">
        <v>4</v>
      </c>
      <c r="H703" t="s">
        <v>20</v>
      </c>
      <c r="I703" t="s">
        <v>73</v>
      </c>
      <c r="J703" s="1">
        <v>44002</v>
      </c>
      <c r="L703" t="s">
        <v>14</v>
      </c>
      <c r="M703">
        <v>2819.25</v>
      </c>
      <c r="N703">
        <v>2819.25</v>
      </c>
      <c r="O703" t="s">
        <v>21</v>
      </c>
      <c r="P703">
        <f t="shared" si="32"/>
        <v>5</v>
      </c>
      <c r="Q703" s="11">
        <f>IF(P703=0,0,IFERROR(Q702+G703*M703*IF(E703="FUTURE",VLOOKUP(MID(I703,2,2),[1]Futures!$A$2:$B$12,2),1),G703*M703*IF(E703="FUTURE",VLOOKUP(MID(I703,2,2),[1]Futures!$A$2:$B$12,2),1)))</f>
        <v>70481.25</v>
      </c>
      <c r="R703" s="12">
        <f>IFERROR(Q703/P703/IF(E703="FUTURE",VLOOKUP(MID(I703,2,2),[1]Futures!$A$2:$B$12,2),1),"")</f>
        <v>2819.25</v>
      </c>
      <c r="S703" s="13" t="str">
        <f>IF(AND(H703="TO CLOSE",P703=0),-G703*(M703-R702)*IF(E703="FUTURE",VLOOKUP(MID(I703,2,2),[1]Futures!$A$2:$B$12,2),1),"")</f>
        <v/>
      </c>
    </row>
    <row r="704" spans="1:19" x14ac:dyDescent="0.2">
      <c r="A704">
        <f t="shared" si="31"/>
        <v>196</v>
      </c>
      <c r="B704" s="3">
        <v>43952</v>
      </c>
      <c r="C704" s="3" t="str">
        <f t="shared" si="33"/>
        <v>Friday</v>
      </c>
      <c r="D704" s="2">
        <v>0.50774305555555554</v>
      </c>
      <c r="E704" t="s">
        <v>14</v>
      </c>
      <c r="F704" t="s">
        <v>15</v>
      </c>
      <c r="G704">
        <v>-2</v>
      </c>
      <c r="H704" t="s">
        <v>16</v>
      </c>
      <c r="I704" t="s">
        <v>73</v>
      </c>
      <c r="J704" s="1">
        <v>44002</v>
      </c>
      <c r="L704" t="s">
        <v>14</v>
      </c>
      <c r="M704">
        <v>2823</v>
      </c>
      <c r="N704">
        <v>2823</v>
      </c>
      <c r="O704" t="s">
        <v>21</v>
      </c>
      <c r="P704">
        <f t="shared" si="32"/>
        <v>3</v>
      </c>
      <c r="Q704" s="11">
        <f>IF(P704=0,0,IFERROR(Q703+G704*M704*IF(E704="FUTURE",VLOOKUP(MID(I704,2,2),[1]Futures!$A$2:$B$12,2),1),G704*M704*IF(E704="FUTURE",VLOOKUP(MID(I704,2,2),[1]Futures!$A$2:$B$12,2),1)))</f>
        <v>42251.25</v>
      </c>
      <c r="R704" s="12">
        <f>IFERROR(Q704/P704/IF(E704="FUTURE",VLOOKUP(MID(I704,2,2),[1]Futures!$A$2:$B$12,2),1),"")</f>
        <v>2816.75</v>
      </c>
      <c r="S704" s="13" t="str">
        <f>IF(AND(H704="TO CLOSE",P704=0),-G704*(M704-R703)*IF(E704="FUTURE",VLOOKUP(MID(I704,2,2),[1]Futures!$A$2:$B$12,2),1),"")</f>
        <v/>
      </c>
    </row>
    <row r="705" spans="1:19" x14ac:dyDescent="0.2">
      <c r="A705">
        <f t="shared" si="31"/>
        <v>196</v>
      </c>
      <c r="B705" s="3">
        <v>43952</v>
      </c>
      <c r="C705" s="3" t="str">
        <f t="shared" si="33"/>
        <v>Friday</v>
      </c>
      <c r="D705" s="2">
        <v>0.5081134259259259</v>
      </c>
      <c r="E705" t="s">
        <v>14</v>
      </c>
      <c r="F705" t="s">
        <v>15</v>
      </c>
      <c r="G705">
        <v>-3</v>
      </c>
      <c r="H705" t="s">
        <v>16</v>
      </c>
      <c r="I705" t="s">
        <v>73</v>
      </c>
      <c r="J705" s="1">
        <v>44002</v>
      </c>
      <c r="L705" t="s">
        <v>14</v>
      </c>
      <c r="M705">
        <v>2823.5</v>
      </c>
      <c r="N705">
        <v>2823.5</v>
      </c>
      <c r="O705" t="s">
        <v>21</v>
      </c>
      <c r="P705">
        <f t="shared" si="32"/>
        <v>0</v>
      </c>
      <c r="Q705" s="11">
        <f>IF(P705=0,0,IFERROR(Q704+G705*M705*IF(E705="FUTURE",VLOOKUP(MID(I705,2,2),[1]Futures!$A$2:$B$12,2),1),G705*M705*IF(E705="FUTURE",VLOOKUP(MID(I705,2,2),[1]Futures!$A$2:$B$12,2),1)))</f>
        <v>0</v>
      </c>
      <c r="R705" s="12" t="str">
        <f>IFERROR(Q705/P705/IF(E705="FUTURE",VLOOKUP(MID(I705,2,2),[1]Futures!$A$2:$B$12,2),1),"")</f>
        <v/>
      </c>
      <c r="S705" s="13">
        <f>IF(AND(H705="TO CLOSE",P705=0),-G705*(M705-R704)*IF(E705="FUTURE",VLOOKUP(MID(I705,2,2),[1]Futures!$A$2:$B$12,2),1),"")</f>
        <v>101.25</v>
      </c>
    </row>
    <row r="706" spans="1:19" x14ac:dyDescent="0.2">
      <c r="A706">
        <f t="shared" ref="A706:A769" si="34">IF(AND(P705=0,H705="TO CLOSE"),IFERROR(A705+1,1),IFERROR(A705/1,1))</f>
        <v>197</v>
      </c>
      <c r="B706" s="3">
        <v>43952</v>
      </c>
      <c r="C706" s="3" t="str">
        <f t="shared" si="33"/>
        <v>Friday</v>
      </c>
      <c r="D706" s="2">
        <v>0.42328703703703702</v>
      </c>
      <c r="E706" t="s">
        <v>22</v>
      </c>
      <c r="F706" t="s">
        <v>15</v>
      </c>
      <c r="G706">
        <v>-300</v>
      </c>
      <c r="H706" t="s">
        <v>20</v>
      </c>
      <c r="I706" t="s">
        <v>23</v>
      </c>
      <c r="L706" t="s">
        <v>22</v>
      </c>
      <c r="M706">
        <v>40.54</v>
      </c>
      <c r="N706">
        <v>40.54</v>
      </c>
      <c r="O706" t="s">
        <v>21</v>
      </c>
      <c r="P706">
        <f t="shared" si="32"/>
        <v>-300</v>
      </c>
      <c r="Q706" s="11">
        <f>IF(P706=0,0,IFERROR(Q705+G706*M706*IF(E706="FUTURE",VLOOKUP(MID(I706,2,2),[1]Futures!$A$2:$B$12,2),1),G706*M706*IF(E706="FUTURE",VLOOKUP(MID(I706,2,2),[1]Futures!$A$2:$B$12,2),1)))</f>
        <v>-12162</v>
      </c>
      <c r="R706" s="12">
        <f>IFERROR(Q706/P706/IF(E706="FUTURE",VLOOKUP(MID(I706,2,2),[1]Futures!$A$2:$B$12,2),1),"")</f>
        <v>40.54</v>
      </c>
      <c r="S706" s="13" t="str">
        <f>IF(AND(H706="TO CLOSE",P706=0),-G706*(M706-R705)*IF(E706="FUTURE",VLOOKUP(MID(I706,2,2),[1]Futures!$A$2:$B$12,2),1),"")</f>
        <v/>
      </c>
    </row>
    <row r="707" spans="1:19" x14ac:dyDescent="0.2">
      <c r="A707">
        <f t="shared" si="34"/>
        <v>197</v>
      </c>
      <c r="B707" s="3">
        <v>43952</v>
      </c>
      <c r="C707" s="3" t="str">
        <f t="shared" si="33"/>
        <v>Friday</v>
      </c>
      <c r="D707" s="2">
        <v>0.42692129629629627</v>
      </c>
      <c r="E707" t="s">
        <v>22</v>
      </c>
      <c r="F707" t="s">
        <v>19</v>
      </c>
      <c r="G707">
        <v>300</v>
      </c>
      <c r="H707" t="s">
        <v>16</v>
      </c>
      <c r="I707" t="s">
        <v>23</v>
      </c>
      <c r="L707" t="s">
        <v>22</v>
      </c>
      <c r="M707">
        <v>41.0199</v>
      </c>
      <c r="N707">
        <v>41.0199</v>
      </c>
      <c r="O707" t="s">
        <v>24</v>
      </c>
      <c r="P707">
        <f t="shared" ref="P707:P770" si="35">IF(H707="TO OPEN",IFERROR(P706+G707,0+G707),IFERROR(P706+G707,0+G707))</f>
        <v>0</v>
      </c>
      <c r="Q707" s="11">
        <f>IF(P707=0,0,IFERROR(Q706+G707*M707*IF(E707="FUTURE",VLOOKUP(MID(I707,2,2),[1]Futures!$A$2:$B$12,2),1),G707*M707*IF(E707="FUTURE",VLOOKUP(MID(I707,2,2),[1]Futures!$A$2:$B$12,2),1)))</f>
        <v>0</v>
      </c>
      <c r="R707" s="12" t="str">
        <f>IFERROR(Q707/P707/IF(E707="FUTURE",VLOOKUP(MID(I707,2,2),[1]Futures!$A$2:$B$12,2),1),"")</f>
        <v/>
      </c>
      <c r="S707" s="13">
        <f>IF(AND(H707="TO CLOSE",P707=0),-G707*(M707-R706)*IF(E707="FUTURE",VLOOKUP(MID(I707,2,2),[1]Futures!$A$2:$B$12,2),1),"")</f>
        <v>-143.9700000000002</v>
      </c>
    </row>
    <row r="708" spans="1:19" x14ac:dyDescent="0.2">
      <c r="A708">
        <f t="shared" si="34"/>
        <v>198</v>
      </c>
      <c r="B708" s="3">
        <v>43952</v>
      </c>
      <c r="C708" s="3" t="str">
        <f t="shared" si="33"/>
        <v>Friday</v>
      </c>
      <c r="D708" s="2">
        <v>0.4274074074074074</v>
      </c>
      <c r="E708" t="s">
        <v>22</v>
      </c>
      <c r="F708" t="s">
        <v>19</v>
      </c>
      <c r="G708">
        <v>400</v>
      </c>
      <c r="H708" t="s">
        <v>20</v>
      </c>
      <c r="I708" t="s">
        <v>23</v>
      </c>
      <c r="L708" t="s">
        <v>22</v>
      </c>
      <c r="M708">
        <v>40.999899999999997</v>
      </c>
      <c r="N708">
        <v>40.999899999999997</v>
      </c>
      <c r="O708" t="s">
        <v>24</v>
      </c>
      <c r="P708">
        <f t="shared" si="35"/>
        <v>400</v>
      </c>
      <c r="Q708" s="11">
        <f>IF(P708=0,0,IFERROR(Q707+G708*M708*IF(E708="FUTURE",VLOOKUP(MID(I708,2,2),[1]Futures!$A$2:$B$12,2),1),G708*M708*IF(E708="FUTURE",VLOOKUP(MID(I708,2,2),[1]Futures!$A$2:$B$12,2),1)))</f>
        <v>16399.96</v>
      </c>
      <c r="R708" s="12">
        <f>IFERROR(Q708/P708/IF(E708="FUTURE",VLOOKUP(MID(I708,2,2),[1]Futures!$A$2:$B$12,2),1),"")</f>
        <v>40.999899999999997</v>
      </c>
      <c r="S708" s="13" t="str">
        <f>IF(AND(H708="TO CLOSE",P708=0),-G708*(M708-R707)*IF(E708="FUTURE",VLOOKUP(MID(I708,2,2),[1]Futures!$A$2:$B$12,2),1),"")</f>
        <v/>
      </c>
    </row>
    <row r="709" spans="1:19" x14ac:dyDescent="0.2">
      <c r="A709">
        <f t="shared" si="34"/>
        <v>198</v>
      </c>
      <c r="B709" s="3">
        <v>43952</v>
      </c>
      <c r="C709" s="3" t="str">
        <f t="shared" si="33"/>
        <v>Friday</v>
      </c>
      <c r="D709" s="2">
        <v>0.43096064814814811</v>
      </c>
      <c r="E709" t="s">
        <v>22</v>
      </c>
      <c r="F709" t="s">
        <v>15</v>
      </c>
      <c r="G709">
        <v>-100</v>
      </c>
      <c r="H709" t="s">
        <v>16</v>
      </c>
      <c r="I709" t="s">
        <v>23</v>
      </c>
      <c r="L709" t="s">
        <v>22</v>
      </c>
      <c r="M709">
        <v>41.09</v>
      </c>
      <c r="N709">
        <v>41.09</v>
      </c>
      <c r="O709" t="s">
        <v>18</v>
      </c>
      <c r="P709">
        <f t="shared" si="35"/>
        <v>300</v>
      </c>
      <c r="Q709" s="11">
        <f>IF(P709=0,0,IFERROR(Q708+G709*M709*IF(E709="FUTURE",VLOOKUP(MID(I709,2,2),[1]Futures!$A$2:$B$12,2),1),G709*M709*IF(E709="FUTURE",VLOOKUP(MID(I709,2,2),[1]Futures!$A$2:$B$12,2),1)))</f>
        <v>12290.96</v>
      </c>
      <c r="R709" s="12">
        <f>IFERROR(Q709/P709/IF(E709="FUTURE",VLOOKUP(MID(I709,2,2),[1]Futures!$A$2:$B$12,2),1),"")</f>
        <v>40.969866666666661</v>
      </c>
      <c r="S709" s="13" t="str">
        <f>IF(AND(H709="TO CLOSE",P709=0),-G709*(M709-R708)*IF(E709="FUTURE",VLOOKUP(MID(I709,2,2),[1]Futures!$A$2:$B$12,2),1),"")</f>
        <v/>
      </c>
    </row>
    <row r="710" spans="1:19" x14ac:dyDescent="0.2">
      <c r="A710">
        <f t="shared" si="34"/>
        <v>198</v>
      </c>
      <c r="B710" s="3">
        <v>43952</v>
      </c>
      <c r="C710" s="3" t="str">
        <f t="shared" si="33"/>
        <v>Friday</v>
      </c>
      <c r="D710" s="2">
        <v>0.43096064814814811</v>
      </c>
      <c r="E710" t="s">
        <v>22</v>
      </c>
      <c r="F710" t="s">
        <v>15</v>
      </c>
      <c r="G710">
        <v>-100</v>
      </c>
      <c r="H710" t="s">
        <v>16</v>
      </c>
      <c r="I710" t="s">
        <v>23</v>
      </c>
      <c r="L710" t="s">
        <v>22</v>
      </c>
      <c r="M710">
        <v>41.09</v>
      </c>
      <c r="N710">
        <v>41.09</v>
      </c>
      <c r="O710" t="s">
        <v>18</v>
      </c>
      <c r="P710">
        <f t="shared" si="35"/>
        <v>200</v>
      </c>
      <c r="Q710" s="11">
        <f>IF(P710=0,0,IFERROR(Q709+G710*M710*IF(E710="FUTURE",VLOOKUP(MID(I710,2,2),[1]Futures!$A$2:$B$12,2),1),G710*M710*IF(E710="FUTURE",VLOOKUP(MID(I710,2,2),[1]Futures!$A$2:$B$12,2),1)))</f>
        <v>8181.9599999999991</v>
      </c>
      <c r="R710" s="12">
        <f>IFERROR(Q710/P710/IF(E710="FUTURE",VLOOKUP(MID(I710,2,2),[1]Futures!$A$2:$B$12,2),1),"")</f>
        <v>40.909799999999997</v>
      </c>
      <c r="S710" s="13" t="str">
        <f>IF(AND(H710="TO CLOSE",P710=0),-G710*(M710-R709)*IF(E710="FUTURE",VLOOKUP(MID(I710,2,2),[1]Futures!$A$2:$B$12,2),1),"")</f>
        <v/>
      </c>
    </row>
    <row r="711" spans="1:19" x14ac:dyDescent="0.2">
      <c r="A711">
        <f t="shared" si="34"/>
        <v>198</v>
      </c>
      <c r="B711" s="3">
        <v>43952</v>
      </c>
      <c r="C711" s="3" t="str">
        <f t="shared" si="33"/>
        <v>Friday</v>
      </c>
      <c r="D711" s="2">
        <v>0.43096064814814811</v>
      </c>
      <c r="E711" t="s">
        <v>22</v>
      </c>
      <c r="F711" t="s">
        <v>15</v>
      </c>
      <c r="G711">
        <v>-100</v>
      </c>
      <c r="H711" t="s">
        <v>16</v>
      </c>
      <c r="I711" t="s">
        <v>23</v>
      </c>
      <c r="L711" t="s">
        <v>22</v>
      </c>
      <c r="M711">
        <v>41.09</v>
      </c>
      <c r="N711">
        <v>41.09</v>
      </c>
      <c r="O711" t="s">
        <v>18</v>
      </c>
      <c r="P711">
        <f t="shared" si="35"/>
        <v>100</v>
      </c>
      <c r="Q711" s="11">
        <f>IF(P711=0,0,IFERROR(Q710+G711*M711*IF(E711="FUTURE",VLOOKUP(MID(I711,2,2),[1]Futures!$A$2:$B$12,2),1),G711*M711*IF(E711="FUTURE",VLOOKUP(MID(I711,2,2),[1]Futures!$A$2:$B$12,2),1)))</f>
        <v>4072.9599999999991</v>
      </c>
      <c r="R711" s="12">
        <f>IFERROR(Q711/P711/IF(E711="FUTURE",VLOOKUP(MID(I711,2,2),[1]Futures!$A$2:$B$12,2),1),"")</f>
        <v>40.729599999999991</v>
      </c>
      <c r="S711" s="13" t="str">
        <f>IF(AND(H711="TO CLOSE",P711=0),-G711*(M711-R710)*IF(E711="FUTURE",VLOOKUP(MID(I711,2,2),[1]Futures!$A$2:$B$12,2),1),"")</f>
        <v/>
      </c>
    </row>
    <row r="712" spans="1:19" x14ac:dyDescent="0.2">
      <c r="A712">
        <f t="shared" si="34"/>
        <v>198</v>
      </c>
      <c r="B712" s="3">
        <v>43952</v>
      </c>
      <c r="C712" s="3" t="str">
        <f t="shared" si="33"/>
        <v>Friday</v>
      </c>
      <c r="D712" s="2">
        <v>0.43096064814814811</v>
      </c>
      <c r="E712" t="s">
        <v>22</v>
      </c>
      <c r="F712" t="s">
        <v>15</v>
      </c>
      <c r="G712">
        <v>-100</v>
      </c>
      <c r="H712" t="s">
        <v>16</v>
      </c>
      <c r="I712" t="s">
        <v>23</v>
      </c>
      <c r="L712" t="s">
        <v>22</v>
      </c>
      <c r="M712">
        <v>41.09</v>
      </c>
      <c r="N712">
        <v>41.09</v>
      </c>
      <c r="O712" t="s">
        <v>18</v>
      </c>
      <c r="P712">
        <f t="shared" si="35"/>
        <v>0</v>
      </c>
      <c r="Q712" s="11">
        <f>IF(P712=0,0,IFERROR(Q711+G712*M712*IF(E712="FUTURE",VLOOKUP(MID(I712,2,2),[1]Futures!$A$2:$B$12,2),1),G712*M712*IF(E712="FUTURE",VLOOKUP(MID(I712,2,2),[1]Futures!$A$2:$B$12,2),1)))</f>
        <v>0</v>
      </c>
      <c r="R712" s="12" t="str">
        <f>IFERROR(Q712/P712/IF(E712="FUTURE",VLOOKUP(MID(I712,2,2),[1]Futures!$A$2:$B$12,2),1),"")</f>
        <v/>
      </c>
      <c r="S712" s="13">
        <f>IF(AND(H712="TO CLOSE",P712=0),-G712*(M712-R711)*IF(E712="FUTURE",VLOOKUP(MID(I712,2,2),[1]Futures!$A$2:$B$12,2),1),"")</f>
        <v>36.040000000001271</v>
      </c>
    </row>
    <row r="713" spans="1:19" x14ac:dyDescent="0.2">
      <c r="A713">
        <f t="shared" si="34"/>
        <v>199</v>
      </c>
      <c r="B713" s="3">
        <v>43952</v>
      </c>
      <c r="C713" s="3" t="str">
        <f t="shared" si="33"/>
        <v>Friday</v>
      </c>
      <c r="D713" s="2">
        <v>0.43144675925925924</v>
      </c>
      <c r="E713" t="s">
        <v>22</v>
      </c>
      <c r="F713" t="s">
        <v>15</v>
      </c>
      <c r="G713">
        <v>-171</v>
      </c>
      <c r="H713" t="s">
        <v>20</v>
      </c>
      <c r="I713" t="s">
        <v>23</v>
      </c>
      <c r="L713" t="s">
        <v>22</v>
      </c>
      <c r="M713">
        <v>41.02</v>
      </c>
      <c r="N713">
        <v>41.02</v>
      </c>
      <c r="O713" t="s">
        <v>21</v>
      </c>
      <c r="P713">
        <f t="shared" si="35"/>
        <v>-171</v>
      </c>
      <c r="Q713" s="11">
        <f>IF(P713=0,0,IFERROR(Q712+G713*M713*IF(E713="FUTURE",VLOOKUP(MID(I713,2,2),[1]Futures!$A$2:$B$12,2),1),G713*M713*IF(E713="FUTURE",VLOOKUP(MID(I713,2,2),[1]Futures!$A$2:$B$12,2),1)))</f>
        <v>-7014.420000000001</v>
      </c>
      <c r="R713" s="12">
        <f>IFERROR(Q713/P713/IF(E713="FUTURE",VLOOKUP(MID(I713,2,2),[1]Futures!$A$2:$B$12,2),1),"")</f>
        <v>41.02</v>
      </c>
      <c r="S713" s="13" t="str">
        <f>IF(AND(H713="TO CLOSE",P713=0),-G713*(M713-R712)*IF(E713="FUTURE",VLOOKUP(MID(I713,2,2),[1]Futures!$A$2:$B$12,2),1),"")</f>
        <v/>
      </c>
    </row>
    <row r="714" spans="1:19" x14ac:dyDescent="0.2">
      <c r="A714">
        <f t="shared" si="34"/>
        <v>199</v>
      </c>
      <c r="B714" s="3">
        <v>43952</v>
      </c>
      <c r="C714" s="3" t="str">
        <f t="shared" si="33"/>
        <v>Friday</v>
      </c>
      <c r="D714" s="2">
        <v>0.43144675925925924</v>
      </c>
      <c r="E714" t="s">
        <v>22</v>
      </c>
      <c r="F714" t="s">
        <v>15</v>
      </c>
      <c r="G714">
        <v>-129</v>
      </c>
      <c r="H714" t="s">
        <v>20</v>
      </c>
      <c r="I714" t="s">
        <v>23</v>
      </c>
      <c r="L714" t="s">
        <v>22</v>
      </c>
      <c r="M714">
        <v>41.02</v>
      </c>
      <c r="N714">
        <v>41.02</v>
      </c>
      <c r="O714" t="s">
        <v>21</v>
      </c>
      <c r="P714">
        <f t="shared" si="35"/>
        <v>-300</v>
      </c>
      <c r="Q714" s="11">
        <f>IF(P714=0,0,IFERROR(Q713+G714*M714*IF(E714="FUTURE",VLOOKUP(MID(I714,2,2),[1]Futures!$A$2:$B$12,2),1),G714*M714*IF(E714="FUTURE",VLOOKUP(MID(I714,2,2),[1]Futures!$A$2:$B$12,2),1)))</f>
        <v>-12306.000000000002</v>
      </c>
      <c r="R714" s="12">
        <f>IFERROR(Q714/P714/IF(E714="FUTURE",VLOOKUP(MID(I714,2,2),[1]Futures!$A$2:$B$12,2),1),"")</f>
        <v>41.02</v>
      </c>
      <c r="S714" s="13" t="str">
        <f>IF(AND(H714="TO CLOSE",P714=0),-G714*(M714-R713)*IF(E714="FUTURE",VLOOKUP(MID(I714,2,2),[1]Futures!$A$2:$B$12,2),1),"")</f>
        <v/>
      </c>
    </row>
    <row r="715" spans="1:19" x14ac:dyDescent="0.2">
      <c r="A715">
        <f t="shared" si="34"/>
        <v>199</v>
      </c>
      <c r="B715" s="3">
        <v>43952</v>
      </c>
      <c r="C715" s="3" t="str">
        <f t="shared" si="33"/>
        <v>Friday</v>
      </c>
      <c r="D715" s="2">
        <v>0.43289351851851854</v>
      </c>
      <c r="E715" t="s">
        <v>22</v>
      </c>
      <c r="F715" t="s">
        <v>19</v>
      </c>
      <c r="G715">
        <v>300</v>
      </c>
      <c r="H715" t="s">
        <v>16</v>
      </c>
      <c r="I715" t="s">
        <v>23</v>
      </c>
      <c r="L715" t="s">
        <v>22</v>
      </c>
      <c r="M715">
        <v>41.02</v>
      </c>
      <c r="N715">
        <v>41.02</v>
      </c>
      <c r="O715" t="s">
        <v>21</v>
      </c>
      <c r="P715">
        <f t="shared" si="35"/>
        <v>0</v>
      </c>
      <c r="Q715" s="11">
        <f>IF(P715=0,0,IFERROR(Q714+G715*M715*IF(E715="FUTURE",VLOOKUP(MID(I715,2,2),[1]Futures!$A$2:$B$12,2),1),G715*M715*IF(E715="FUTURE",VLOOKUP(MID(I715,2,2),[1]Futures!$A$2:$B$12,2),1)))</f>
        <v>0</v>
      </c>
      <c r="R715" s="12" t="str">
        <f>IFERROR(Q715/P715/IF(E715="FUTURE",VLOOKUP(MID(I715,2,2),[1]Futures!$A$2:$B$12,2),1),"")</f>
        <v/>
      </c>
      <c r="S715" s="13">
        <f>IF(AND(H715="TO CLOSE",P715=0),-G715*(M715-R714)*IF(E715="FUTURE",VLOOKUP(MID(I715,2,2),[1]Futures!$A$2:$B$12,2),1),"")</f>
        <v>0</v>
      </c>
    </row>
    <row r="716" spans="1:19" x14ac:dyDescent="0.2">
      <c r="A716">
        <f t="shared" si="34"/>
        <v>200</v>
      </c>
      <c r="B716" s="3">
        <v>43952</v>
      </c>
      <c r="C716" s="3" t="str">
        <f t="shared" si="33"/>
        <v>Friday</v>
      </c>
      <c r="D716" s="2">
        <v>0.47150462962962963</v>
      </c>
      <c r="E716" t="s">
        <v>22</v>
      </c>
      <c r="F716" t="s">
        <v>19</v>
      </c>
      <c r="G716">
        <v>400</v>
      </c>
      <c r="H716" t="s">
        <v>20</v>
      </c>
      <c r="I716" t="s">
        <v>23</v>
      </c>
      <c r="L716" t="s">
        <v>22</v>
      </c>
      <c r="M716">
        <v>40.966999999999999</v>
      </c>
      <c r="N716">
        <v>40.966999999999999</v>
      </c>
      <c r="O716" t="s">
        <v>21</v>
      </c>
      <c r="P716">
        <f t="shared" si="35"/>
        <v>400</v>
      </c>
      <c r="Q716" s="11">
        <f>IF(P716=0,0,IFERROR(Q715+G716*M716*IF(E716="FUTURE",VLOOKUP(MID(I716,2,2),[1]Futures!$A$2:$B$12,2),1),G716*M716*IF(E716="FUTURE",VLOOKUP(MID(I716,2,2),[1]Futures!$A$2:$B$12,2),1)))</f>
        <v>16386.8</v>
      </c>
      <c r="R716" s="12">
        <f>IFERROR(Q716/P716/IF(E716="FUTURE",VLOOKUP(MID(I716,2,2),[1]Futures!$A$2:$B$12,2),1),"")</f>
        <v>40.966999999999999</v>
      </c>
      <c r="S716" s="13" t="str">
        <f>IF(AND(H716="TO CLOSE",P716=0),-G716*(M716-R715)*IF(E716="FUTURE",VLOOKUP(MID(I716,2,2),[1]Futures!$A$2:$B$12,2),1),"")</f>
        <v/>
      </c>
    </row>
    <row r="717" spans="1:19" x14ac:dyDescent="0.2">
      <c r="A717">
        <f t="shared" si="34"/>
        <v>200</v>
      </c>
      <c r="B717" s="3">
        <v>43952</v>
      </c>
      <c r="C717" s="3" t="str">
        <f t="shared" si="33"/>
        <v>Friday</v>
      </c>
      <c r="D717" s="2">
        <v>0.48059027777777774</v>
      </c>
      <c r="E717" t="s">
        <v>22</v>
      </c>
      <c r="F717" t="s">
        <v>15</v>
      </c>
      <c r="G717">
        <v>-400</v>
      </c>
      <c r="H717" t="s">
        <v>16</v>
      </c>
      <c r="I717" t="s">
        <v>23</v>
      </c>
      <c r="L717" t="s">
        <v>22</v>
      </c>
      <c r="M717">
        <v>41.240099999999998</v>
      </c>
      <c r="N717">
        <v>41.240099999999998</v>
      </c>
      <c r="O717" t="s">
        <v>24</v>
      </c>
      <c r="P717">
        <f t="shared" si="35"/>
        <v>0</v>
      </c>
      <c r="Q717" s="11">
        <f>IF(P717=0,0,IFERROR(Q716+G717*M717*IF(E717="FUTURE",VLOOKUP(MID(I717,2,2),[1]Futures!$A$2:$B$12,2),1),G717*M717*IF(E717="FUTURE",VLOOKUP(MID(I717,2,2),[1]Futures!$A$2:$B$12,2),1)))</f>
        <v>0</v>
      </c>
      <c r="R717" s="12" t="str">
        <f>IFERROR(Q717/P717/IF(E717="FUTURE",VLOOKUP(MID(I717,2,2),[1]Futures!$A$2:$B$12,2),1),"")</f>
        <v/>
      </c>
      <c r="S717" s="13">
        <f>IF(AND(H717="TO CLOSE",P717=0),-G717*(M717-R716)*IF(E717="FUTURE",VLOOKUP(MID(I717,2,2),[1]Futures!$A$2:$B$12,2),1),"")</f>
        <v>109.23999999999978</v>
      </c>
    </row>
    <row r="718" spans="1:19" x14ac:dyDescent="0.2">
      <c r="A718">
        <f t="shared" si="34"/>
        <v>201</v>
      </c>
      <c r="B718" s="3">
        <v>43955</v>
      </c>
      <c r="C718" s="3" t="str">
        <f t="shared" si="33"/>
        <v>Monday</v>
      </c>
      <c r="D718" s="2">
        <v>0.41048611111111111</v>
      </c>
      <c r="E718" t="s">
        <v>14</v>
      </c>
      <c r="F718" t="s">
        <v>19</v>
      </c>
      <c r="G718">
        <v>1</v>
      </c>
      <c r="H718" t="s">
        <v>20</v>
      </c>
      <c r="I718" t="s">
        <v>77</v>
      </c>
      <c r="J718" s="1">
        <v>44063</v>
      </c>
      <c r="L718" t="s">
        <v>14</v>
      </c>
      <c r="M718">
        <v>24.09</v>
      </c>
      <c r="N718">
        <v>24.09</v>
      </c>
      <c r="O718" t="s">
        <v>21</v>
      </c>
      <c r="P718">
        <f t="shared" si="35"/>
        <v>1</v>
      </c>
      <c r="Q718" s="11">
        <f>IF(P718=0,0,IFERROR(Q717+G718*M718*IF(E718="FUTURE",VLOOKUP(MID(I718,2,2),[1]Futures!$A$2:$B$12,2),1),G718*M718*IF(E718="FUTURE",VLOOKUP(MID(I718,2,2),[1]Futures!$A$2:$B$12,2),1)))</f>
        <v>24090</v>
      </c>
      <c r="R718" s="12">
        <f>IFERROR(Q718/P718/IF(E718="FUTURE",VLOOKUP(MID(I718,2,2),[1]Futures!$A$2:$B$12,2),1),"")</f>
        <v>24.09</v>
      </c>
      <c r="S718" s="13" t="str">
        <f>IF(AND(H718="TO CLOSE",P718=0),-G718*(M718-R717)*IF(E718="FUTURE",VLOOKUP(MID(I718,2,2),[1]Futures!$A$2:$B$12,2),1),"")</f>
        <v/>
      </c>
    </row>
    <row r="719" spans="1:19" x14ac:dyDescent="0.2">
      <c r="A719">
        <f t="shared" si="34"/>
        <v>201</v>
      </c>
      <c r="B719" s="3">
        <v>43955</v>
      </c>
      <c r="C719" s="3" t="str">
        <f t="shared" si="33"/>
        <v>Monday</v>
      </c>
      <c r="D719" s="2">
        <v>0.41707175925925927</v>
      </c>
      <c r="E719" t="s">
        <v>14</v>
      </c>
      <c r="F719" t="s">
        <v>15</v>
      </c>
      <c r="G719">
        <v>-1</v>
      </c>
      <c r="H719" t="s">
        <v>16</v>
      </c>
      <c r="I719" t="s">
        <v>77</v>
      </c>
      <c r="J719" s="1">
        <v>44063</v>
      </c>
      <c r="L719" t="s">
        <v>14</v>
      </c>
      <c r="M719">
        <v>24.25</v>
      </c>
      <c r="N719">
        <v>24.25</v>
      </c>
      <c r="O719" t="s">
        <v>21</v>
      </c>
      <c r="P719">
        <f t="shared" si="35"/>
        <v>0</v>
      </c>
      <c r="Q719" s="11">
        <f>IF(P719=0,0,IFERROR(Q718+G719*M719*IF(E719="FUTURE",VLOOKUP(MID(I719,2,2),[1]Futures!$A$2:$B$12,2),1),G719*M719*IF(E719="FUTURE",VLOOKUP(MID(I719,2,2),[1]Futures!$A$2:$B$12,2),1)))</f>
        <v>0</v>
      </c>
      <c r="R719" s="12" t="str">
        <f>IFERROR(Q719/P719/IF(E719="FUTURE",VLOOKUP(MID(I719,2,2),[1]Futures!$A$2:$B$12,2),1),"")</f>
        <v/>
      </c>
      <c r="S719" s="13">
        <f>IF(AND(H719="TO CLOSE",P719=0),-G719*(M719-R718)*IF(E719="FUTURE",VLOOKUP(MID(I719,2,2),[1]Futures!$A$2:$B$12,2),1),"")</f>
        <v>160.00000000000014</v>
      </c>
    </row>
    <row r="720" spans="1:19" x14ac:dyDescent="0.2">
      <c r="A720">
        <f t="shared" si="34"/>
        <v>202</v>
      </c>
      <c r="B720" s="3">
        <v>43955</v>
      </c>
      <c r="C720" s="3" t="str">
        <f t="shared" si="33"/>
        <v>Monday</v>
      </c>
      <c r="D720" s="2">
        <v>0.41875000000000001</v>
      </c>
      <c r="E720" t="s">
        <v>14</v>
      </c>
      <c r="F720" t="s">
        <v>15</v>
      </c>
      <c r="G720">
        <v>-1</v>
      </c>
      <c r="H720" t="s">
        <v>20</v>
      </c>
      <c r="I720" t="s">
        <v>77</v>
      </c>
      <c r="J720" s="1">
        <v>44063</v>
      </c>
      <c r="L720" t="s">
        <v>14</v>
      </c>
      <c r="M720">
        <v>24.45</v>
      </c>
      <c r="N720">
        <v>24.45</v>
      </c>
      <c r="O720" t="s">
        <v>21</v>
      </c>
      <c r="P720">
        <f t="shared" si="35"/>
        <v>-1</v>
      </c>
      <c r="Q720" s="11">
        <f>IF(P720=0,0,IFERROR(Q719+G720*M720*IF(E720="FUTURE",VLOOKUP(MID(I720,2,2),[1]Futures!$A$2:$B$12,2),1),G720*M720*IF(E720="FUTURE",VLOOKUP(MID(I720,2,2),[1]Futures!$A$2:$B$12,2),1)))</f>
        <v>-24450</v>
      </c>
      <c r="R720" s="12">
        <f>IFERROR(Q720/P720/IF(E720="FUTURE",VLOOKUP(MID(I720,2,2),[1]Futures!$A$2:$B$12,2),1),"")</f>
        <v>24.45</v>
      </c>
      <c r="S720" s="13" t="str">
        <f>IF(AND(H720="TO CLOSE",P720=0),-G720*(M720-R719)*IF(E720="FUTURE",VLOOKUP(MID(I720,2,2),[1]Futures!$A$2:$B$12,2),1),"")</f>
        <v/>
      </c>
    </row>
    <row r="721" spans="1:19" x14ac:dyDescent="0.2">
      <c r="A721">
        <f t="shared" si="34"/>
        <v>202</v>
      </c>
      <c r="B721" s="3">
        <v>43955</v>
      </c>
      <c r="C721" s="3" t="str">
        <f t="shared" si="33"/>
        <v>Monday</v>
      </c>
      <c r="D721" s="2">
        <v>0.43737268518518518</v>
      </c>
      <c r="E721" t="s">
        <v>14</v>
      </c>
      <c r="F721" t="s">
        <v>19</v>
      </c>
      <c r="G721">
        <v>1</v>
      </c>
      <c r="H721" t="s">
        <v>16</v>
      </c>
      <c r="I721" t="s">
        <v>77</v>
      </c>
      <c r="J721" s="1">
        <v>44063</v>
      </c>
      <c r="L721" t="s">
        <v>14</v>
      </c>
      <c r="M721">
        <v>24.4</v>
      </c>
      <c r="N721">
        <v>24.4</v>
      </c>
      <c r="O721" t="s">
        <v>21</v>
      </c>
      <c r="P721">
        <f t="shared" si="35"/>
        <v>0</v>
      </c>
      <c r="Q721" s="11">
        <f>IF(P721=0,0,IFERROR(Q720+G721*M721*IF(E721="FUTURE",VLOOKUP(MID(I721,2,2),[1]Futures!$A$2:$B$12,2),1),G721*M721*IF(E721="FUTURE",VLOOKUP(MID(I721,2,2),[1]Futures!$A$2:$B$12,2),1)))</f>
        <v>0</v>
      </c>
      <c r="R721" s="12" t="str">
        <f>IFERROR(Q721/P721/IF(E721="FUTURE",VLOOKUP(MID(I721,2,2),[1]Futures!$A$2:$B$12,2),1),"")</f>
        <v/>
      </c>
      <c r="S721" s="13">
        <f>IF(AND(H721="TO CLOSE",P721=0),-G721*(M721-R720)*IF(E721="FUTURE",VLOOKUP(MID(I721,2,2),[1]Futures!$A$2:$B$12,2),1),"")</f>
        <v>50.000000000000711</v>
      </c>
    </row>
    <row r="722" spans="1:19" x14ac:dyDescent="0.2">
      <c r="A722">
        <f t="shared" si="34"/>
        <v>203</v>
      </c>
      <c r="B722" s="3">
        <v>43955</v>
      </c>
      <c r="C722" s="3" t="str">
        <f t="shared" si="33"/>
        <v>Monday</v>
      </c>
      <c r="D722" s="2">
        <v>0.48408564814814814</v>
      </c>
      <c r="E722" t="s">
        <v>14</v>
      </c>
      <c r="F722" t="s">
        <v>19</v>
      </c>
      <c r="G722">
        <v>1</v>
      </c>
      <c r="H722" t="s">
        <v>20</v>
      </c>
      <c r="I722" t="s">
        <v>77</v>
      </c>
      <c r="J722" s="1">
        <v>44063</v>
      </c>
      <c r="L722" t="s">
        <v>14</v>
      </c>
      <c r="M722">
        <v>24.05</v>
      </c>
      <c r="N722">
        <v>24.05</v>
      </c>
      <c r="O722" t="s">
        <v>21</v>
      </c>
      <c r="P722">
        <f t="shared" si="35"/>
        <v>1</v>
      </c>
      <c r="Q722" s="11">
        <f>IF(P722=0,0,IFERROR(Q721+G722*M722*IF(E722="FUTURE",VLOOKUP(MID(I722,2,2),[1]Futures!$A$2:$B$12,2),1),G722*M722*IF(E722="FUTURE",VLOOKUP(MID(I722,2,2),[1]Futures!$A$2:$B$12,2),1)))</f>
        <v>24050</v>
      </c>
      <c r="R722" s="12">
        <f>IFERROR(Q722/P722/IF(E722="FUTURE",VLOOKUP(MID(I722,2,2),[1]Futures!$A$2:$B$12,2),1),"")</f>
        <v>24.05</v>
      </c>
      <c r="S722" s="13" t="str">
        <f>IF(AND(H722="TO CLOSE",P722=0),-G722*(M722-R721)*IF(E722="FUTURE",VLOOKUP(MID(I722,2,2),[1]Futures!$A$2:$B$12,2),1),"")</f>
        <v/>
      </c>
    </row>
    <row r="723" spans="1:19" x14ac:dyDescent="0.2">
      <c r="A723">
        <f t="shared" si="34"/>
        <v>203</v>
      </c>
      <c r="B723" s="3">
        <v>43955</v>
      </c>
      <c r="C723" s="3" t="str">
        <f t="shared" si="33"/>
        <v>Monday</v>
      </c>
      <c r="D723" s="2">
        <v>0.49833333333333335</v>
      </c>
      <c r="E723" t="s">
        <v>14</v>
      </c>
      <c r="F723" t="s">
        <v>15</v>
      </c>
      <c r="G723">
        <v>-1</v>
      </c>
      <c r="H723" t="s">
        <v>16</v>
      </c>
      <c r="I723" t="s">
        <v>77</v>
      </c>
      <c r="J723" s="1">
        <v>44063</v>
      </c>
      <c r="L723" t="s">
        <v>14</v>
      </c>
      <c r="M723">
        <v>24.14</v>
      </c>
      <c r="N723">
        <v>24.14</v>
      </c>
      <c r="O723" t="s">
        <v>21</v>
      </c>
      <c r="P723">
        <f t="shared" si="35"/>
        <v>0</v>
      </c>
      <c r="Q723" s="11">
        <f>IF(P723=0,0,IFERROR(Q722+G723*M723*IF(E723="FUTURE",VLOOKUP(MID(I723,2,2),[1]Futures!$A$2:$B$12,2),1),G723*M723*IF(E723="FUTURE",VLOOKUP(MID(I723,2,2),[1]Futures!$A$2:$B$12,2),1)))</f>
        <v>0</v>
      </c>
      <c r="R723" s="12" t="str">
        <f>IFERROR(Q723/P723/IF(E723="FUTURE",VLOOKUP(MID(I723,2,2),[1]Futures!$A$2:$B$12,2),1),"")</f>
        <v/>
      </c>
      <c r="S723" s="13">
        <f>IF(AND(H723="TO CLOSE",P723=0),-G723*(M723-R722)*IF(E723="FUTURE",VLOOKUP(MID(I723,2,2),[1]Futures!$A$2:$B$12,2),1),"")</f>
        <v>89.999999999999858</v>
      </c>
    </row>
    <row r="724" spans="1:19" x14ac:dyDescent="0.2">
      <c r="A724">
        <f t="shared" si="34"/>
        <v>204</v>
      </c>
      <c r="B724" s="3">
        <v>43955</v>
      </c>
      <c r="C724" s="3" t="str">
        <f t="shared" si="33"/>
        <v>Monday</v>
      </c>
      <c r="D724" s="2">
        <v>0.5724421296296297</v>
      </c>
      <c r="E724" t="s">
        <v>14</v>
      </c>
      <c r="F724" t="s">
        <v>15</v>
      </c>
      <c r="G724">
        <v>-1</v>
      </c>
      <c r="H724" t="s">
        <v>20</v>
      </c>
      <c r="I724" t="s">
        <v>77</v>
      </c>
      <c r="J724" s="1">
        <v>44063</v>
      </c>
      <c r="L724" t="s">
        <v>14</v>
      </c>
      <c r="M724">
        <v>24.14</v>
      </c>
      <c r="N724">
        <v>24.14</v>
      </c>
      <c r="O724" t="s">
        <v>21</v>
      </c>
      <c r="P724">
        <f t="shared" si="35"/>
        <v>-1</v>
      </c>
      <c r="Q724" s="11">
        <f>IF(P724=0,0,IFERROR(Q723+G724*M724*IF(E724="FUTURE",VLOOKUP(MID(I724,2,2),[1]Futures!$A$2:$B$12,2),1),G724*M724*IF(E724="FUTURE",VLOOKUP(MID(I724,2,2),[1]Futures!$A$2:$B$12,2),1)))</f>
        <v>-24140</v>
      </c>
      <c r="R724" s="12">
        <f>IFERROR(Q724/P724/IF(E724="FUTURE",VLOOKUP(MID(I724,2,2),[1]Futures!$A$2:$B$12,2),1),"")</f>
        <v>24.14</v>
      </c>
      <c r="S724" s="13" t="str">
        <f>IF(AND(H724="TO CLOSE",P724=0),-G724*(M724-R723)*IF(E724="FUTURE",VLOOKUP(MID(I724,2,2),[1]Futures!$A$2:$B$12,2),1),"")</f>
        <v/>
      </c>
    </row>
    <row r="725" spans="1:19" x14ac:dyDescent="0.2">
      <c r="A725">
        <f t="shared" si="34"/>
        <v>204</v>
      </c>
      <c r="B725" s="3">
        <v>43955</v>
      </c>
      <c r="C725" s="3" t="str">
        <f t="shared" si="33"/>
        <v>Monday</v>
      </c>
      <c r="D725" s="2">
        <v>0.58047453703703711</v>
      </c>
      <c r="E725" t="s">
        <v>14</v>
      </c>
      <c r="F725" t="s">
        <v>19</v>
      </c>
      <c r="G725">
        <v>1</v>
      </c>
      <c r="H725" t="s">
        <v>16</v>
      </c>
      <c r="I725" t="s">
        <v>77</v>
      </c>
      <c r="J725" s="1">
        <v>44063</v>
      </c>
      <c r="L725" t="s">
        <v>14</v>
      </c>
      <c r="M725">
        <v>24.45</v>
      </c>
      <c r="N725">
        <v>24.45</v>
      </c>
      <c r="O725" t="s">
        <v>18</v>
      </c>
      <c r="P725">
        <f t="shared" si="35"/>
        <v>0</v>
      </c>
      <c r="Q725" s="11">
        <f>IF(P725=0,0,IFERROR(Q724+G725*M725*IF(E725="FUTURE",VLOOKUP(MID(I725,2,2),[1]Futures!$A$2:$B$12,2),1),G725*M725*IF(E725="FUTURE",VLOOKUP(MID(I725,2,2),[1]Futures!$A$2:$B$12,2),1)))</f>
        <v>0</v>
      </c>
      <c r="R725" s="12" t="str">
        <f>IFERROR(Q725/P725/IF(E725="FUTURE",VLOOKUP(MID(I725,2,2),[1]Futures!$A$2:$B$12,2),1),"")</f>
        <v/>
      </c>
      <c r="S725" s="13">
        <f>IF(AND(H725="TO CLOSE",P725=0),-G725*(M725-R724)*IF(E725="FUTURE",VLOOKUP(MID(I725,2,2),[1]Futures!$A$2:$B$12,2),1),"")</f>
        <v>-309.99999999999875</v>
      </c>
    </row>
    <row r="726" spans="1:19" x14ac:dyDescent="0.2">
      <c r="A726">
        <f t="shared" si="34"/>
        <v>205</v>
      </c>
      <c r="B726" s="3">
        <v>43955</v>
      </c>
      <c r="C726" s="3" t="str">
        <f t="shared" si="33"/>
        <v>Monday</v>
      </c>
      <c r="D726" s="2">
        <v>0.5809375</v>
      </c>
      <c r="E726" t="s">
        <v>14</v>
      </c>
      <c r="F726" t="s">
        <v>19</v>
      </c>
      <c r="G726">
        <v>1</v>
      </c>
      <c r="H726" t="s">
        <v>20</v>
      </c>
      <c r="I726" t="s">
        <v>77</v>
      </c>
      <c r="J726" s="1">
        <v>44063</v>
      </c>
      <c r="L726" t="s">
        <v>14</v>
      </c>
      <c r="M726">
        <v>24.43</v>
      </c>
      <c r="N726">
        <v>24.43</v>
      </c>
      <c r="O726" t="s">
        <v>21</v>
      </c>
      <c r="P726">
        <f t="shared" si="35"/>
        <v>1</v>
      </c>
      <c r="Q726" s="11">
        <f>IF(P726=0,0,IFERROR(Q725+G726*M726*IF(E726="FUTURE",VLOOKUP(MID(I726,2,2),[1]Futures!$A$2:$B$12,2),1),G726*M726*IF(E726="FUTURE",VLOOKUP(MID(I726,2,2),[1]Futures!$A$2:$B$12,2),1)))</f>
        <v>24430</v>
      </c>
      <c r="R726" s="12">
        <f>IFERROR(Q726/P726/IF(E726="FUTURE",VLOOKUP(MID(I726,2,2),[1]Futures!$A$2:$B$12,2),1),"")</f>
        <v>24.43</v>
      </c>
      <c r="S726" s="13" t="str">
        <f>IF(AND(H726="TO CLOSE",P726=0),-G726*(M726-R725)*IF(E726="FUTURE",VLOOKUP(MID(I726,2,2),[1]Futures!$A$2:$B$12,2),1),"")</f>
        <v/>
      </c>
    </row>
    <row r="727" spans="1:19" x14ac:dyDescent="0.2">
      <c r="A727">
        <f t="shared" si="34"/>
        <v>205</v>
      </c>
      <c r="B727" s="3">
        <v>43955</v>
      </c>
      <c r="C727" s="3" t="str">
        <f t="shared" si="33"/>
        <v>Monday</v>
      </c>
      <c r="D727" s="2">
        <v>0.58331018518518518</v>
      </c>
      <c r="E727" t="s">
        <v>14</v>
      </c>
      <c r="F727" t="s">
        <v>15</v>
      </c>
      <c r="G727">
        <v>-1</v>
      </c>
      <c r="H727" t="s">
        <v>16</v>
      </c>
      <c r="I727" t="s">
        <v>77</v>
      </c>
      <c r="J727" s="1">
        <v>44063</v>
      </c>
      <c r="L727" t="s">
        <v>14</v>
      </c>
      <c r="M727">
        <v>24.27</v>
      </c>
      <c r="N727">
        <v>24.27</v>
      </c>
      <c r="O727" t="s">
        <v>24</v>
      </c>
      <c r="P727">
        <f t="shared" si="35"/>
        <v>0</v>
      </c>
      <c r="Q727" s="11">
        <f>IF(P727=0,0,IFERROR(Q726+G727*M727*IF(E727="FUTURE",VLOOKUP(MID(I727,2,2),[1]Futures!$A$2:$B$12,2),1),G727*M727*IF(E727="FUTURE",VLOOKUP(MID(I727,2,2),[1]Futures!$A$2:$B$12,2),1)))</f>
        <v>0</v>
      </c>
      <c r="R727" s="12" t="str">
        <f>IFERROR(Q727/P727/IF(E727="FUTURE",VLOOKUP(MID(I727,2,2),[1]Futures!$A$2:$B$12,2),1),"")</f>
        <v/>
      </c>
      <c r="S727" s="13">
        <f>IF(AND(H727="TO CLOSE",P727=0),-G727*(M727-R726)*IF(E727="FUTURE",VLOOKUP(MID(I727,2,2),[1]Futures!$A$2:$B$12,2),1),"")</f>
        <v>-160.00000000000014</v>
      </c>
    </row>
    <row r="728" spans="1:19" x14ac:dyDescent="0.2">
      <c r="A728">
        <f t="shared" si="34"/>
        <v>206</v>
      </c>
      <c r="B728" s="3">
        <v>43955</v>
      </c>
      <c r="C728" s="3" t="str">
        <f t="shared" si="33"/>
        <v>Monday</v>
      </c>
      <c r="D728" s="2">
        <v>0.58334490740740741</v>
      </c>
      <c r="E728" t="s">
        <v>14</v>
      </c>
      <c r="F728" t="s">
        <v>15</v>
      </c>
      <c r="G728">
        <v>-1</v>
      </c>
      <c r="H728" t="s">
        <v>20</v>
      </c>
      <c r="I728" t="s">
        <v>77</v>
      </c>
      <c r="J728" s="1">
        <v>44063</v>
      </c>
      <c r="L728" t="s">
        <v>14</v>
      </c>
      <c r="M728">
        <v>24.27</v>
      </c>
      <c r="N728">
        <v>24.27</v>
      </c>
      <c r="O728" t="s">
        <v>24</v>
      </c>
      <c r="P728">
        <f t="shared" si="35"/>
        <v>-1</v>
      </c>
      <c r="Q728" s="11">
        <f>IF(P728=0,0,IFERROR(Q727+G728*M728*IF(E728="FUTURE",VLOOKUP(MID(I728,2,2),[1]Futures!$A$2:$B$12,2),1),G728*M728*IF(E728="FUTURE",VLOOKUP(MID(I728,2,2),[1]Futures!$A$2:$B$12,2),1)))</f>
        <v>-24270</v>
      </c>
      <c r="R728" s="12">
        <f>IFERROR(Q728/P728/IF(E728="FUTURE",VLOOKUP(MID(I728,2,2),[1]Futures!$A$2:$B$12,2),1),"")</f>
        <v>24.27</v>
      </c>
      <c r="S728" s="13" t="str">
        <f>IF(AND(H728="TO CLOSE",P728=0),-G728*(M728-R727)*IF(E728="FUTURE",VLOOKUP(MID(I728,2,2),[1]Futures!$A$2:$B$12,2),1),"")</f>
        <v/>
      </c>
    </row>
    <row r="729" spans="1:19" x14ac:dyDescent="0.2">
      <c r="A729">
        <f t="shared" si="34"/>
        <v>206</v>
      </c>
      <c r="B729" s="3">
        <v>43955</v>
      </c>
      <c r="C729" s="3" t="str">
        <f t="shared" si="33"/>
        <v>Monday</v>
      </c>
      <c r="D729" s="2">
        <v>0.59572916666666664</v>
      </c>
      <c r="E729" t="s">
        <v>14</v>
      </c>
      <c r="F729" t="s">
        <v>19</v>
      </c>
      <c r="G729">
        <v>1</v>
      </c>
      <c r="H729" t="s">
        <v>16</v>
      </c>
      <c r="I729" t="s">
        <v>77</v>
      </c>
      <c r="J729" s="1">
        <v>44063</v>
      </c>
      <c r="L729" t="s">
        <v>14</v>
      </c>
      <c r="M729">
        <v>24.43</v>
      </c>
      <c r="N729">
        <v>24.43</v>
      </c>
      <c r="O729" t="s">
        <v>24</v>
      </c>
      <c r="P729">
        <f t="shared" si="35"/>
        <v>0</v>
      </c>
      <c r="Q729" s="11">
        <f>IF(P729=0,0,IFERROR(Q728+G729*M729*IF(E729="FUTURE",VLOOKUP(MID(I729,2,2),[1]Futures!$A$2:$B$12,2),1),G729*M729*IF(E729="FUTURE",VLOOKUP(MID(I729,2,2),[1]Futures!$A$2:$B$12,2),1)))</f>
        <v>0</v>
      </c>
      <c r="R729" s="12" t="str">
        <f>IFERROR(Q729/P729/IF(E729="FUTURE",VLOOKUP(MID(I729,2,2),[1]Futures!$A$2:$B$12,2),1),"")</f>
        <v/>
      </c>
      <c r="S729" s="13">
        <f>IF(AND(H729="TO CLOSE",P729=0),-G729*(M729-R728)*IF(E729="FUTURE",VLOOKUP(MID(I729,2,2),[1]Futures!$A$2:$B$12,2),1),"")</f>
        <v>-160.00000000000014</v>
      </c>
    </row>
    <row r="730" spans="1:19" x14ac:dyDescent="0.2">
      <c r="A730">
        <f t="shared" si="34"/>
        <v>207</v>
      </c>
      <c r="B730" s="3">
        <v>43955</v>
      </c>
      <c r="C730" s="3" t="str">
        <f t="shared" si="33"/>
        <v>Monday</v>
      </c>
      <c r="D730" s="2">
        <v>0.59582175925925929</v>
      </c>
      <c r="E730" t="s">
        <v>14</v>
      </c>
      <c r="F730" t="s">
        <v>19</v>
      </c>
      <c r="G730">
        <v>1</v>
      </c>
      <c r="H730" t="s">
        <v>20</v>
      </c>
      <c r="I730" t="s">
        <v>77</v>
      </c>
      <c r="J730" s="1">
        <v>44063</v>
      </c>
      <c r="L730" t="s">
        <v>14</v>
      </c>
      <c r="M730">
        <v>24.47</v>
      </c>
      <c r="N730">
        <v>24.47</v>
      </c>
      <c r="O730" t="s">
        <v>24</v>
      </c>
      <c r="P730">
        <f t="shared" si="35"/>
        <v>1</v>
      </c>
      <c r="Q730" s="11">
        <f>IF(P730=0,0,IFERROR(Q729+G730*M730*IF(E730="FUTURE",VLOOKUP(MID(I730,2,2),[1]Futures!$A$2:$B$12,2),1),G730*M730*IF(E730="FUTURE",VLOOKUP(MID(I730,2,2),[1]Futures!$A$2:$B$12,2),1)))</f>
        <v>24470</v>
      </c>
      <c r="R730" s="12">
        <f>IFERROR(Q730/P730/IF(E730="FUTURE",VLOOKUP(MID(I730,2,2),[1]Futures!$A$2:$B$12,2),1),"")</f>
        <v>24.47</v>
      </c>
      <c r="S730" s="13" t="str">
        <f>IF(AND(H730="TO CLOSE",P730=0),-G730*(M730-R729)*IF(E730="FUTURE",VLOOKUP(MID(I730,2,2),[1]Futures!$A$2:$B$12,2),1),"")</f>
        <v/>
      </c>
    </row>
    <row r="731" spans="1:19" x14ac:dyDescent="0.2">
      <c r="A731">
        <f t="shared" si="34"/>
        <v>207</v>
      </c>
      <c r="B731" s="3">
        <v>43955</v>
      </c>
      <c r="C731" s="3" t="str">
        <f t="shared" si="33"/>
        <v>Monday</v>
      </c>
      <c r="D731" s="2">
        <v>0.5994328703703703</v>
      </c>
      <c r="E731" t="s">
        <v>14</v>
      </c>
      <c r="F731" t="s">
        <v>15</v>
      </c>
      <c r="G731">
        <v>-1</v>
      </c>
      <c r="H731" t="s">
        <v>16</v>
      </c>
      <c r="I731" t="s">
        <v>77</v>
      </c>
      <c r="J731" s="1">
        <v>44063</v>
      </c>
      <c r="L731" t="s">
        <v>14</v>
      </c>
      <c r="M731">
        <v>24.69</v>
      </c>
      <c r="N731">
        <v>24.69</v>
      </c>
      <c r="O731" t="s">
        <v>21</v>
      </c>
      <c r="P731">
        <f t="shared" si="35"/>
        <v>0</v>
      </c>
      <c r="Q731" s="11">
        <f>IF(P731=0,0,IFERROR(Q730+G731*M731*IF(E731="FUTURE",VLOOKUP(MID(I731,2,2),[1]Futures!$A$2:$B$12,2),1),G731*M731*IF(E731="FUTURE",VLOOKUP(MID(I731,2,2),[1]Futures!$A$2:$B$12,2),1)))</f>
        <v>0</v>
      </c>
      <c r="R731" s="12" t="str">
        <f>IFERROR(Q731/P731/IF(E731="FUTURE",VLOOKUP(MID(I731,2,2),[1]Futures!$A$2:$B$12,2),1),"")</f>
        <v/>
      </c>
      <c r="S731" s="13">
        <f>IF(AND(H731="TO CLOSE",P731=0),-G731*(M731-R730)*IF(E731="FUTURE",VLOOKUP(MID(I731,2,2),[1]Futures!$A$2:$B$12,2),1),"")</f>
        <v>220.00000000000242</v>
      </c>
    </row>
    <row r="732" spans="1:19" x14ac:dyDescent="0.2">
      <c r="A732">
        <f t="shared" si="34"/>
        <v>208</v>
      </c>
      <c r="B732" s="3">
        <v>43955</v>
      </c>
      <c r="C732" s="3" t="str">
        <f t="shared" si="33"/>
        <v>Monday</v>
      </c>
      <c r="D732" s="2">
        <v>0.60623842592592592</v>
      </c>
      <c r="E732" t="s">
        <v>14</v>
      </c>
      <c r="F732" t="s">
        <v>15</v>
      </c>
      <c r="G732">
        <v>-1</v>
      </c>
      <c r="H732" t="s">
        <v>20</v>
      </c>
      <c r="I732" t="s">
        <v>77</v>
      </c>
      <c r="J732" s="1">
        <v>44063</v>
      </c>
      <c r="L732" t="s">
        <v>14</v>
      </c>
      <c r="M732">
        <v>24.64</v>
      </c>
      <c r="N732">
        <v>24.64</v>
      </c>
      <c r="O732" t="s">
        <v>21</v>
      </c>
      <c r="P732">
        <f t="shared" si="35"/>
        <v>-1</v>
      </c>
      <c r="Q732" s="11">
        <f>IF(P732=0,0,IFERROR(Q731+G732*M732*IF(E732="FUTURE",VLOOKUP(MID(I732,2,2),[1]Futures!$A$2:$B$12,2),1),G732*M732*IF(E732="FUTURE",VLOOKUP(MID(I732,2,2),[1]Futures!$A$2:$B$12,2),1)))</f>
        <v>-24640</v>
      </c>
      <c r="R732" s="12">
        <f>IFERROR(Q732/P732/IF(E732="FUTURE",VLOOKUP(MID(I732,2,2),[1]Futures!$A$2:$B$12,2),1),"")</f>
        <v>24.64</v>
      </c>
      <c r="S732" s="13" t="str">
        <f>IF(AND(H732="TO CLOSE",P732=0),-G732*(M732-R731)*IF(E732="FUTURE",VLOOKUP(MID(I732,2,2),[1]Futures!$A$2:$B$12,2),1),"")</f>
        <v/>
      </c>
    </row>
    <row r="733" spans="1:19" x14ac:dyDescent="0.2">
      <c r="A733">
        <f t="shared" si="34"/>
        <v>208</v>
      </c>
      <c r="B733" s="3">
        <v>43955</v>
      </c>
      <c r="C733" s="3" t="str">
        <f t="shared" si="33"/>
        <v>Monday</v>
      </c>
      <c r="D733" s="2">
        <v>0.608912037037037</v>
      </c>
      <c r="E733" t="s">
        <v>14</v>
      </c>
      <c r="F733" t="s">
        <v>19</v>
      </c>
      <c r="G733">
        <v>1</v>
      </c>
      <c r="H733" t="s">
        <v>16</v>
      </c>
      <c r="I733" t="s">
        <v>77</v>
      </c>
      <c r="J733" s="1">
        <v>44063</v>
      </c>
      <c r="L733" t="s">
        <v>14</v>
      </c>
      <c r="M733">
        <v>24.61</v>
      </c>
      <c r="N733">
        <v>24.61</v>
      </c>
      <c r="O733" t="s">
        <v>21</v>
      </c>
      <c r="P733">
        <f t="shared" si="35"/>
        <v>0</v>
      </c>
      <c r="Q733" s="11">
        <f>IF(P733=0,0,IFERROR(Q732+G733*M733*IF(E733="FUTURE",VLOOKUP(MID(I733,2,2),[1]Futures!$A$2:$B$12,2),1),G733*M733*IF(E733="FUTURE",VLOOKUP(MID(I733,2,2),[1]Futures!$A$2:$B$12,2),1)))</f>
        <v>0</v>
      </c>
      <c r="R733" s="12" t="str">
        <f>IFERROR(Q733/P733/IF(E733="FUTURE",VLOOKUP(MID(I733,2,2),[1]Futures!$A$2:$B$12,2),1),"")</f>
        <v/>
      </c>
      <c r="S733" s="13">
        <f>IF(AND(H733="TO CLOSE",P733=0),-G733*(M733-R732)*IF(E733="FUTURE",VLOOKUP(MID(I733,2,2),[1]Futures!$A$2:$B$12,2),1),"")</f>
        <v>30.000000000001137</v>
      </c>
    </row>
    <row r="734" spans="1:19" x14ac:dyDescent="0.2">
      <c r="A734">
        <f t="shared" si="34"/>
        <v>209</v>
      </c>
      <c r="B734" s="3">
        <v>43955</v>
      </c>
      <c r="C734" s="3" t="str">
        <f t="shared" si="33"/>
        <v>Monday</v>
      </c>
      <c r="D734" s="2">
        <v>0.43810185185185185</v>
      </c>
      <c r="E734" t="s">
        <v>14</v>
      </c>
      <c r="F734" t="s">
        <v>19</v>
      </c>
      <c r="G734">
        <v>1</v>
      </c>
      <c r="H734" t="s">
        <v>20</v>
      </c>
      <c r="I734" t="s">
        <v>17</v>
      </c>
      <c r="J734" s="1">
        <v>44002</v>
      </c>
      <c r="L734" t="s">
        <v>14</v>
      </c>
      <c r="M734">
        <v>2807.5</v>
      </c>
      <c r="N734">
        <v>2807.5</v>
      </c>
      <c r="O734" t="s">
        <v>21</v>
      </c>
      <c r="P734">
        <f t="shared" si="35"/>
        <v>1</v>
      </c>
      <c r="Q734" s="11">
        <f>IF(P734=0,0,IFERROR(Q733+G734*M734*IF(E734="FUTURE",VLOOKUP(MID(I734,2,2),[1]Futures!$A$2:$B$12,2),1),G734*M734*IF(E734="FUTURE",VLOOKUP(MID(I734,2,2),[1]Futures!$A$2:$B$12,2),1)))</f>
        <v>140375</v>
      </c>
      <c r="R734" s="12">
        <f>IFERROR(Q734/P734/IF(E734="FUTURE",VLOOKUP(MID(I734,2,2),[1]Futures!$A$2:$B$12,2),1),"")</f>
        <v>2807.5</v>
      </c>
      <c r="S734" s="13" t="str">
        <f>IF(AND(H734="TO CLOSE",P734=0),-G734*(M734-R733)*IF(E734="FUTURE",VLOOKUP(MID(I734,2,2),[1]Futures!$A$2:$B$12,2),1),"")</f>
        <v/>
      </c>
    </row>
    <row r="735" spans="1:19" x14ac:dyDescent="0.2">
      <c r="A735">
        <f t="shared" si="34"/>
        <v>209</v>
      </c>
      <c r="B735" s="3">
        <v>43955</v>
      </c>
      <c r="C735" s="3" t="str">
        <f t="shared" si="33"/>
        <v>Monday</v>
      </c>
      <c r="D735" s="2">
        <v>0.45130787037037035</v>
      </c>
      <c r="E735" t="s">
        <v>14</v>
      </c>
      <c r="F735" t="s">
        <v>15</v>
      </c>
      <c r="G735">
        <v>-1</v>
      </c>
      <c r="H735" t="s">
        <v>16</v>
      </c>
      <c r="I735" t="s">
        <v>17</v>
      </c>
      <c r="J735" s="1">
        <v>44002</v>
      </c>
      <c r="L735" t="s">
        <v>14</v>
      </c>
      <c r="M735">
        <v>2810</v>
      </c>
      <c r="N735">
        <v>2810</v>
      </c>
      <c r="O735" t="s">
        <v>21</v>
      </c>
      <c r="P735">
        <f t="shared" si="35"/>
        <v>0</v>
      </c>
      <c r="Q735" s="11">
        <f>IF(P735=0,0,IFERROR(Q734+G735*M735*IF(E735="FUTURE",VLOOKUP(MID(I735,2,2),[1]Futures!$A$2:$B$12,2),1),G735*M735*IF(E735="FUTURE",VLOOKUP(MID(I735,2,2),[1]Futures!$A$2:$B$12,2),1)))</f>
        <v>0</v>
      </c>
      <c r="R735" s="12" t="str">
        <f>IFERROR(Q735/P735/IF(E735="FUTURE",VLOOKUP(MID(I735,2,2),[1]Futures!$A$2:$B$12,2),1),"")</f>
        <v/>
      </c>
      <c r="S735" s="13">
        <f>IF(AND(H735="TO CLOSE",P735=0),-G735*(M735-R734)*IF(E735="FUTURE",VLOOKUP(MID(I735,2,2),[1]Futures!$A$2:$B$12,2),1),"")</f>
        <v>125</v>
      </c>
    </row>
    <row r="736" spans="1:19" x14ac:dyDescent="0.2">
      <c r="A736">
        <f t="shared" si="34"/>
        <v>210</v>
      </c>
      <c r="B736" s="3">
        <v>43955</v>
      </c>
      <c r="C736" s="3" t="str">
        <f t="shared" si="33"/>
        <v>Monday</v>
      </c>
      <c r="D736" s="2">
        <v>0.45590277777777777</v>
      </c>
      <c r="E736" t="s">
        <v>14</v>
      </c>
      <c r="F736" t="s">
        <v>15</v>
      </c>
      <c r="G736">
        <v>-1</v>
      </c>
      <c r="H736" t="s">
        <v>20</v>
      </c>
      <c r="I736" t="s">
        <v>17</v>
      </c>
      <c r="J736" s="1">
        <v>44002</v>
      </c>
      <c r="L736" t="s">
        <v>14</v>
      </c>
      <c r="M736">
        <v>2807.5</v>
      </c>
      <c r="N736">
        <v>2807.5</v>
      </c>
      <c r="O736" t="s">
        <v>21</v>
      </c>
      <c r="P736">
        <f t="shared" si="35"/>
        <v>-1</v>
      </c>
      <c r="Q736" s="11">
        <f>IF(P736=0,0,IFERROR(Q735+G736*M736*IF(E736="FUTURE",VLOOKUP(MID(I736,2,2),[1]Futures!$A$2:$B$12,2),1),G736*M736*IF(E736="FUTURE",VLOOKUP(MID(I736,2,2),[1]Futures!$A$2:$B$12,2),1)))</f>
        <v>-140375</v>
      </c>
      <c r="R736" s="12">
        <f>IFERROR(Q736/P736/IF(E736="FUTURE",VLOOKUP(MID(I736,2,2),[1]Futures!$A$2:$B$12,2),1),"")</f>
        <v>2807.5</v>
      </c>
      <c r="S736" s="13" t="str">
        <f>IF(AND(H736="TO CLOSE",P736=0),-G736*(M736-R735)*IF(E736="FUTURE",VLOOKUP(MID(I736,2,2),[1]Futures!$A$2:$B$12,2),1),"")</f>
        <v/>
      </c>
    </row>
    <row r="737" spans="1:19" x14ac:dyDescent="0.2">
      <c r="A737">
        <f t="shared" si="34"/>
        <v>210</v>
      </c>
      <c r="B737" s="3">
        <v>43955</v>
      </c>
      <c r="C737" s="3" t="str">
        <f t="shared" si="33"/>
        <v>Monday</v>
      </c>
      <c r="D737" s="2">
        <v>0.4572222222222222</v>
      </c>
      <c r="E737" t="s">
        <v>14</v>
      </c>
      <c r="F737" t="s">
        <v>19</v>
      </c>
      <c r="G737">
        <v>1</v>
      </c>
      <c r="H737" t="s">
        <v>16</v>
      </c>
      <c r="I737" t="s">
        <v>17</v>
      </c>
      <c r="J737" s="1">
        <v>44002</v>
      </c>
      <c r="L737" t="s">
        <v>14</v>
      </c>
      <c r="M737">
        <v>2806.5</v>
      </c>
      <c r="N737">
        <v>2806.5</v>
      </c>
      <c r="O737" t="s">
        <v>21</v>
      </c>
      <c r="P737">
        <f t="shared" si="35"/>
        <v>0</v>
      </c>
      <c r="Q737" s="11">
        <f>IF(P737=0,0,IFERROR(Q736+G737*M737*IF(E737="FUTURE",VLOOKUP(MID(I737,2,2),[1]Futures!$A$2:$B$12,2),1),G737*M737*IF(E737="FUTURE",VLOOKUP(MID(I737,2,2),[1]Futures!$A$2:$B$12,2),1)))</f>
        <v>0</v>
      </c>
      <c r="R737" s="12" t="str">
        <f>IFERROR(Q737/P737/IF(E737="FUTURE",VLOOKUP(MID(I737,2,2),[1]Futures!$A$2:$B$12,2),1),"")</f>
        <v/>
      </c>
      <c r="S737" s="13">
        <f>IF(AND(H737="TO CLOSE",P737=0),-G737*(M737-R736)*IF(E737="FUTURE",VLOOKUP(MID(I737,2,2),[1]Futures!$A$2:$B$12,2),1),"")</f>
        <v>50</v>
      </c>
    </row>
    <row r="738" spans="1:19" x14ac:dyDescent="0.2">
      <c r="A738">
        <f t="shared" si="34"/>
        <v>211</v>
      </c>
      <c r="B738" s="3">
        <v>43955</v>
      </c>
      <c r="C738" s="3" t="str">
        <f t="shared" si="33"/>
        <v>Monday</v>
      </c>
      <c r="D738" s="2">
        <v>0.46149305555555559</v>
      </c>
      <c r="E738" t="s">
        <v>14</v>
      </c>
      <c r="F738" t="s">
        <v>15</v>
      </c>
      <c r="G738">
        <v>-1</v>
      </c>
      <c r="H738" t="s">
        <v>20</v>
      </c>
      <c r="I738" t="s">
        <v>17</v>
      </c>
      <c r="J738" s="1">
        <v>44002</v>
      </c>
      <c r="L738" t="s">
        <v>14</v>
      </c>
      <c r="M738">
        <v>2804.25</v>
      </c>
      <c r="N738">
        <v>2804.25</v>
      </c>
      <c r="O738" t="s">
        <v>21</v>
      </c>
      <c r="P738">
        <f t="shared" si="35"/>
        <v>-1</v>
      </c>
      <c r="Q738" s="11">
        <f>IF(P738=0,0,IFERROR(Q737+G738*M738*IF(E738="FUTURE",VLOOKUP(MID(I738,2,2),[1]Futures!$A$2:$B$12,2),1),G738*M738*IF(E738="FUTURE",VLOOKUP(MID(I738,2,2),[1]Futures!$A$2:$B$12,2),1)))</f>
        <v>-140212.5</v>
      </c>
      <c r="R738" s="12">
        <f>IFERROR(Q738/P738/IF(E738="FUTURE",VLOOKUP(MID(I738,2,2),[1]Futures!$A$2:$B$12,2),1),"")</f>
        <v>2804.25</v>
      </c>
      <c r="S738" s="13" t="str">
        <f>IF(AND(H738="TO CLOSE",P738=0),-G738*(M738-R737)*IF(E738="FUTURE",VLOOKUP(MID(I738,2,2),[1]Futures!$A$2:$B$12,2),1),"")</f>
        <v/>
      </c>
    </row>
    <row r="739" spans="1:19" x14ac:dyDescent="0.2">
      <c r="A739">
        <f t="shared" si="34"/>
        <v>211</v>
      </c>
      <c r="B739" s="3">
        <v>43955</v>
      </c>
      <c r="C739" s="3" t="str">
        <f t="shared" ref="C739:C802" si="36">IF(WEEKDAY(B739,2)=1,"Monday",IF(WEEKDAY(B739,2)=2,"Tuesday",IF(WEEKDAY(B739,2)=3,"Wednesday",IF(WEEKDAY(B739,2)=4,"Thursday",IF(WEEKDAY(B739,2)=5,"Friday","Sunday")))))</f>
        <v>Monday</v>
      </c>
      <c r="D739" s="2">
        <v>0.48663194444444446</v>
      </c>
      <c r="E739" t="s">
        <v>14</v>
      </c>
      <c r="F739" t="s">
        <v>19</v>
      </c>
      <c r="G739">
        <v>1</v>
      </c>
      <c r="H739" t="s">
        <v>16</v>
      </c>
      <c r="I739" t="s">
        <v>17</v>
      </c>
      <c r="J739" s="1">
        <v>44002</v>
      </c>
      <c r="L739" t="s">
        <v>14</v>
      </c>
      <c r="M739">
        <v>2814.25</v>
      </c>
      <c r="N739">
        <v>2814.25</v>
      </c>
      <c r="O739" t="s">
        <v>18</v>
      </c>
      <c r="P739">
        <f t="shared" si="35"/>
        <v>0</v>
      </c>
      <c r="Q739" s="11">
        <f>IF(P739=0,0,IFERROR(Q738+G739*M739*IF(E739="FUTURE",VLOOKUP(MID(I739,2,2),[1]Futures!$A$2:$B$12,2),1),G739*M739*IF(E739="FUTURE",VLOOKUP(MID(I739,2,2),[1]Futures!$A$2:$B$12,2),1)))</f>
        <v>0</v>
      </c>
      <c r="R739" s="12" t="str">
        <f>IFERROR(Q739/P739/IF(E739="FUTURE",VLOOKUP(MID(I739,2,2),[1]Futures!$A$2:$B$12,2),1),"")</f>
        <v/>
      </c>
      <c r="S739" s="13">
        <f>IF(AND(H739="TO CLOSE",P739=0),-G739*(M739-R738)*IF(E739="FUTURE",VLOOKUP(MID(I739,2,2),[1]Futures!$A$2:$B$12,2),1),"")</f>
        <v>-500</v>
      </c>
    </row>
    <row r="740" spans="1:19" x14ac:dyDescent="0.2">
      <c r="A740">
        <f t="shared" si="34"/>
        <v>212</v>
      </c>
      <c r="B740" s="3">
        <v>43955</v>
      </c>
      <c r="C740" s="3" t="str">
        <f t="shared" si="36"/>
        <v>Monday</v>
      </c>
      <c r="D740" s="2">
        <v>0.48707175925925927</v>
      </c>
      <c r="E740" t="s">
        <v>14</v>
      </c>
      <c r="F740" t="s">
        <v>19</v>
      </c>
      <c r="G740">
        <v>1</v>
      </c>
      <c r="H740" t="s">
        <v>20</v>
      </c>
      <c r="I740" t="s">
        <v>17</v>
      </c>
      <c r="J740" s="1">
        <v>44002</v>
      </c>
      <c r="L740" t="s">
        <v>14</v>
      </c>
      <c r="M740">
        <v>2814.75</v>
      </c>
      <c r="N740">
        <v>2814.75</v>
      </c>
      <c r="O740" t="s">
        <v>21</v>
      </c>
      <c r="P740">
        <f t="shared" si="35"/>
        <v>1</v>
      </c>
      <c r="Q740" s="11">
        <f>IF(P740=0,0,IFERROR(Q739+G740*M740*IF(E740="FUTURE",VLOOKUP(MID(I740,2,2),[1]Futures!$A$2:$B$12,2),1),G740*M740*IF(E740="FUTURE",VLOOKUP(MID(I740,2,2),[1]Futures!$A$2:$B$12,2),1)))</f>
        <v>140737.5</v>
      </c>
      <c r="R740" s="12">
        <f>IFERROR(Q740/P740/IF(E740="FUTURE",VLOOKUP(MID(I740,2,2),[1]Futures!$A$2:$B$12,2),1),"")</f>
        <v>2814.75</v>
      </c>
      <c r="S740" s="13" t="str">
        <f>IF(AND(H740="TO CLOSE",P740=0),-G740*(M740-R739)*IF(E740="FUTURE",VLOOKUP(MID(I740,2,2),[1]Futures!$A$2:$B$12,2),1),"")</f>
        <v/>
      </c>
    </row>
    <row r="741" spans="1:19" x14ac:dyDescent="0.2">
      <c r="A741">
        <f t="shared" si="34"/>
        <v>212</v>
      </c>
      <c r="B741" s="3">
        <v>43955</v>
      </c>
      <c r="C741" s="3" t="str">
        <f t="shared" si="36"/>
        <v>Monday</v>
      </c>
      <c r="D741" s="2">
        <v>0.5103240740740741</v>
      </c>
      <c r="E741" t="s">
        <v>14</v>
      </c>
      <c r="F741" t="s">
        <v>15</v>
      </c>
      <c r="G741">
        <v>-2</v>
      </c>
      <c r="H741" t="s">
        <v>16</v>
      </c>
      <c r="I741" t="s">
        <v>17</v>
      </c>
      <c r="J741" s="1">
        <v>44002</v>
      </c>
      <c r="L741" t="s">
        <v>14</v>
      </c>
      <c r="M741">
        <v>2810.75</v>
      </c>
      <c r="N741">
        <v>2810.75</v>
      </c>
      <c r="O741" t="s">
        <v>24</v>
      </c>
      <c r="P741">
        <f t="shared" si="35"/>
        <v>-1</v>
      </c>
      <c r="Q741" s="11">
        <f>IF(P741=0,0,IFERROR(Q740+G741*M741*IF(E741="FUTURE",VLOOKUP(MID(I741,2,2),[1]Futures!$A$2:$B$12,2),1),G741*M741*IF(E741="FUTURE",VLOOKUP(MID(I741,2,2),[1]Futures!$A$2:$B$12,2),1)))</f>
        <v>-140337.5</v>
      </c>
      <c r="R741" s="12">
        <f>IFERROR(Q741/P741/IF(E741="FUTURE",VLOOKUP(MID(I741,2,2),[1]Futures!$A$2:$B$12,2),1),"")</f>
        <v>2806.75</v>
      </c>
      <c r="S741" s="13" t="str">
        <f>IF(AND(H741="TO CLOSE",P741=0),-G741*(M741-R740)*IF(E741="FUTURE",VLOOKUP(MID(I741,2,2),[1]Futures!$A$2:$B$12,2),1),"")</f>
        <v/>
      </c>
    </row>
    <row r="742" spans="1:19" x14ac:dyDescent="0.2">
      <c r="A742">
        <f t="shared" si="34"/>
        <v>212</v>
      </c>
      <c r="B742" s="3">
        <v>43955</v>
      </c>
      <c r="C742" s="3" t="str">
        <f t="shared" si="36"/>
        <v>Monday</v>
      </c>
      <c r="D742" s="2">
        <v>0.60564814814814816</v>
      </c>
      <c r="E742" t="s">
        <v>14</v>
      </c>
      <c r="F742" t="s">
        <v>19</v>
      </c>
      <c r="G742">
        <v>1</v>
      </c>
      <c r="H742" t="s">
        <v>16</v>
      </c>
      <c r="I742" t="s">
        <v>17</v>
      </c>
      <c r="J742" s="1">
        <v>44002</v>
      </c>
      <c r="L742" t="s">
        <v>14</v>
      </c>
      <c r="M742">
        <v>2814.75</v>
      </c>
      <c r="N742">
        <v>2814.75</v>
      </c>
      <c r="O742" t="s">
        <v>18</v>
      </c>
      <c r="P742">
        <f t="shared" si="35"/>
        <v>0</v>
      </c>
      <c r="Q742" s="11">
        <f>IF(P742=0,0,IFERROR(Q741+G742*M742*IF(E742="FUTURE",VLOOKUP(MID(I742,2,2),[1]Futures!$A$2:$B$12,2),1),G742*M742*IF(E742="FUTURE",VLOOKUP(MID(I742,2,2),[1]Futures!$A$2:$B$12,2),1)))</f>
        <v>0</v>
      </c>
      <c r="R742" s="12" t="str">
        <f>IFERROR(Q742/P742/IF(E742="FUTURE",VLOOKUP(MID(I742,2,2),[1]Futures!$A$2:$B$12,2),1),"")</f>
        <v/>
      </c>
      <c r="S742" s="13">
        <f>IF(AND(H742="TO CLOSE",P742=0),-G742*(M742-R741)*IF(E742="FUTURE",VLOOKUP(MID(I742,2,2),[1]Futures!$A$2:$B$12,2),1),"")</f>
        <v>-400</v>
      </c>
    </row>
    <row r="743" spans="1:19" x14ac:dyDescent="0.2">
      <c r="A743">
        <f t="shared" si="34"/>
        <v>213</v>
      </c>
      <c r="B743" s="3">
        <v>43955</v>
      </c>
      <c r="C743" s="3" t="str">
        <f t="shared" si="36"/>
        <v>Monday</v>
      </c>
      <c r="D743" s="2">
        <v>0.60931712962962969</v>
      </c>
      <c r="E743" t="s">
        <v>14</v>
      </c>
      <c r="F743" t="s">
        <v>15</v>
      </c>
      <c r="G743">
        <v>-1</v>
      </c>
      <c r="H743" t="s">
        <v>20</v>
      </c>
      <c r="I743" t="s">
        <v>17</v>
      </c>
      <c r="J743" s="1">
        <v>44002</v>
      </c>
      <c r="L743" t="s">
        <v>14</v>
      </c>
      <c r="M743">
        <v>2810.75</v>
      </c>
      <c r="N743">
        <v>2810.75</v>
      </c>
      <c r="O743" t="s">
        <v>21</v>
      </c>
      <c r="P743">
        <f t="shared" si="35"/>
        <v>-1</v>
      </c>
      <c r="Q743" s="11">
        <f>IF(P743=0,0,IFERROR(Q742+G743*M743*IF(E743="FUTURE",VLOOKUP(MID(I743,2,2),[1]Futures!$A$2:$B$12,2),1),G743*M743*IF(E743="FUTURE",VLOOKUP(MID(I743,2,2),[1]Futures!$A$2:$B$12,2),1)))</f>
        <v>-140537.5</v>
      </c>
      <c r="R743" s="12">
        <f>IFERROR(Q743/P743/IF(E743="FUTURE",VLOOKUP(MID(I743,2,2),[1]Futures!$A$2:$B$12,2),1),"")</f>
        <v>2810.75</v>
      </c>
      <c r="S743" s="13" t="str">
        <f>IF(AND(H743="TO CLOSE",P743=0),-G743*(M743-R742)*IF(E743="FUTURE",VLOOKUP(MID(I743,2,2),[1]Futures!$A$2:$B$12,2),1),"")</f>
        <v/>
      </c>
    </row>
    <row r="744" spans="1:19" x14ac:dyDescent="0.2">
      <c r="A744">
        <f t="shared" si="34"/>
        <v>213</v>
      </c>
      <c r="B744" s="3">
        <v>43955</v>
      </c>
      <c r="C744" s="3" t="str">
        <f t="shared" si="36"/>
        <v>Monday</v>
      </c>
      <c r="D744" s="2">
        <v>0.61334490740740744</v>
      </c>
      <c r="E744" t="s">
        <v>14</v>
      </c>
      <c r="F744" t="s">
        <v>19</v>
      </c>
      <c r="G744">
        <v>1</v>
      </c>
      <c r="H744" t="s">
        <v>16</v>
      </c>
      <c r="I744" t="s">
        <v>17</v>
      </c>
      <c r="J744" s="1">
        <v>44002</v>
      </c>
      <c r="L744" t="s">
        <v>14</v>
      </c>
      <c r="M744">
        <v>2810</v>
      </c>
      <c r="N744">
        <v>2810</v>
      </c>
      <c r="O744" t="s">
        <v>18</v>
      </c>
      <c r="P744">
        <f t="shared" si="35"/>
        <v>0</v>
      </c>
      <c r="Q744" s="11">
        <f>IF(P744=0,0,IFERROR(Q743+G744*M744*IF(E744="FUTURE",VLOOKUP(MID(I744,2,2),[1]Futures!$A$2:$B$12,2),1),G744*M744*IF(E744="FUTURE",VLOOKUP(MID(I744,2,2),[1]Futures!$A$2:$B$12,2),1)))</f>
        <v>0</v>
      </c>
      <c r="R744" s="12" t="str">
        <f>IFERROR(Q744/P744/IF(E744="FUTURE",VLOOKUP(MID(I744,2,2),[1]Futures!$A$2:$B$12,2),1),"")</f>
        <v/>
      </c>
      <c r="S744" s="13">
        <f>IF(AND(H744="TO CLOSE",P744=0),-G744*(M744-R743)*IF(E744="FUTURE",VLOOKUP(MID(I744,2,2),[1]Futures!$A$2:$B$12,2),1),"")</f>
        <v>37.5</v>
      </c>
    </row>
    <row r="745" spans="1:19" x14ac:dyDescent="0.2">
      <c r="A745">
        <f t="shared" si="34"/>
        <v>214</v>
      </c>
      <c r="B745" s="3">
        <v>43955</v>
      </c>
      <c r="C745" s="3" t="str">
        <f t="shared" si="36"/>
        <v>Monday</v>
      </c>
      <c r="D745" s="2">
        <v>0.61495370370370372</v>
      </c>
      <c r="E745" t="s">
        <v>14</v>
      </c>
      <c r="F745" t="s">
        <v>15</v>
      </c>
      <c r="G745">
        <v>-1</v>
      </c>
      <c r="H745" t="s">
        <v>20</v>
      </c>
      <c r="I745" t="s">
        <v>17</v>
      </c>
      <c r="J745" s="1">
        <v>44002</v>
      </c>
      <c r="L745" t="s">
        <v>14</v>
      </c>
      <c r="M745">
        <v>2810.5</v>
      </c>
      <c r="N745">
        <v>2810.5</v>
      </c>
      <c r="O745" t="s">
        <v>21</v>
      </c>
      <c r="P745">
        <f t="shared" si="35"/>
        <v>-1</v>
      </c>
      <c r="Q745" s="11">
        <f>IF(P745=0,0,IFERROR(Q744+G745*M745*IF(E745="FUTURE",VLOOKUP(MID(I745,2,2),[1]Futures!$A$2:$B$12,2),1),G745*M745*IF(E745="FUTURE",VLOOKUP(MID(I745,2,2),[1]Futures!$A$2:$B$12,2),1)))</f>
        <v>-140525</v>
      </c>
      <c r="R745" s="12">
        <f>IFERROR(Q745/P745/IF(E745="FUTURE",VLOOKUP(MID(I745,2,2),[1]Futures!$A$2:$B$12,2),1),"")</f>
        <v>2810.5</v>
      </c>
      <c r="S745" s="13" t="str">
        <f>IF(AND(H745="TO CLOSE",P745=0),-G745*(M745-R744)*IF(E745="FUTURE",VLOOKUP(MID(I745,2,2),[1]Futures!$A$2:$B$12,2),1),"")</f>
        <v/>
      </c>
    </row>
    <row r="746" spans="1:19" x14ac:dyDescent="0.2">
      <c r="A746">
        <f t="shared" si="34"/>
        <v>214</v>
      </c>
      <c r="B746" s="3">
        <v>43955</v>
      </c>
      <c r="C746" s="3" t="str">
        <f t="shared" si="36"/>
        <v>Monday</v>
      </c>
      <c r="D746" s="2">
        <v>0.61924768518518525</v>
      </c>
      <c r="E746" t="s">
        <v>14</v>
      </c>
      <c r="F746" t="s">
        <v>15</v>
      </c>
      <c r="G746">
        <v>-1</v>
      </c>
      <c r="H746" t="s">
        <v>20</v>
      </c>
      <c r="I746" t="s">
        <v>17</v>
      </c>
      <c r="J746" s="1">
        <v>44002</v>
      </c>
      <c r="L746" t="s">
        <v>14</v>
      </c>
      <c r="M746">
        <v>2818.5</v>
      </c>
      <c r="N746">
        <v>2818.5</v>
      </c>
      <c r="O746" t="s">
        <v>21</v>
      </c>
      <c r="P746">
        <f t="shared" si="35"/>
        <v>-2</v>
      </c>
      <c r="Q746" s="11">
        <f>IF(P746=0,0,IFERROR(Q745+G746*M746*IF(E746="FUTURE",VLOOKUP(MID(I746,2,2),[1]Futures!$A$2:$B$12,2),1),G746*M746*IF(E746="FUTURE",VLOOKUP(MID(I746,2,2),[1]Futures!$A$2:$B$12,2),1)))</f>
        <v>-281450</v>
      </c>
      <c r="R746" s="12">
        <f>IFERROR(Q746/P746/IF(E746="FUTURE",VLOOKUP(MID(I746,2,2),[1]Futures!$A$2:$B$12,2),1),"")</f>
        <v>2814.5</v>
      </c>
      <c r="S746" s="13" t="str">
        <f>IF(AND(H746="TO CLOSE",P746=0),-G746*(M746-R745)*IF(E746="FUTURE",VLOOKUP(MID(I746,2,2),[1]Futures!$A$2:$B$12,2),1),"")</f>
        <v/>
      </c>
    </row>
    <row r="747" spans="1:19" x14ac:dyDescent="0.2">
      <c r="A747">
        <f t="shared" si="34"/>
        <v>214</v>
      </c>
      <c r="B747" s="3">
        <v>43955</v>
      </c>
      <c r="C747" s="3" t="str">
        <f t="shared" si="36"/>
        <v>Monday</v>
      </c>
      <c r="D747" s="2">
        <v>0.62189814814814814</v>
      </c>
      <c r="E747" t="s">
        <v>14</v>
      </c>
      <c r="F747" t="s">
        <v>19</v>
      </c>
      <c r="G747">
        <v>1</v>
      </c>
      <c r="H747" t="s">
        <v>16</v>
      </c>
      <c r="I747" t="s">
        <v>17</v>
      </c>
      <c r="J747" s="1">
        <v>44002</v>
      </c>
      <c r="L747" t="s">
        <v>14</v>
      </c>
      <c r="M747">
        <v>2818.25</v>
      </c>
      <c r="N747">
        <v>2818.25</v>
      </c>
      <c r="O747" t="s">
        <v>21</v>
      </c>
      <c r="P747">
        <f t="shared" si="35"/>
        <v>-1</v>
      </c>
      <c r="Q747" s="11">
        <f>IF(P747=0,0,IFERROR(Q746+G747*M747*IF(E747="FUTURE",VLOOKUP(MID(I747,2,2),[1]Futures!$A$2:$B$12,2),1),G747*M747*IF(E747="FUTURE",VLOOKUP(MID(I747,2,2),[1]Futures!$A$2:$B$12,2),1)))</f>
        <v>-140537.5</v>
      </c>
      <c r="R747" s="12">
        <f>IFERROR(Q747/P747/IF(E747="FUTURE",VLOOKUP(MID(I747,2,2),[1]Futures!$A$2:$B$12,2),1),"")</f>
        <v>2810.75</v>
      </c>
      <c r="S747" s="13" t="str">
        <f>IF(AND(H747="TO CLOSE",P747=0),-G747*(M747-R746)*IF(E747="FUTURE",VLOOKUP(MID(I747,2,2),[1]Futures!$A$2:$B$12,2),1),"")</f>
        <v/>
      </c>
    </row>
    <row r="748" spans="1:19" x14ac:dyDescent="0.2">
      <c r="A748">
        <f t="shared" si="34"/>
        <v>214</v>
      </c>
      <c r="B748" s="3">
        <v>43955</v>
      </c>
      <c r="C748" s="3" t="str">
        <f t="shared" si="36"/>
        <v>Monday</v>
      </c>
      <c r="D748" s="2">
        <v>0.62656250000000002</v>
      </c>
      <c r="E748" t="s">
        <v>14</v>
      </c>
      <c r="F748" t="s">
        <v>15</v>
      </c>
      <c r="G748">
        <v>-1</v>
      </c>
      <c r="H748" t="s">
        <v>20</v>
      </c>
      <c r="I748" t="s">
        <v>17</v>
      </c>
      <c r="J748" s="1">
        <v>44002</v>
      </c>
      <c r="L748" t="s">
        <v>14</v>
      </c>
      <c r="M748">
        <v>2820.25</v>
      </c>
      <c r="N748">
        <v>2820.25</v>
      </c>
      <c r="O748" t="s">
        <v>21</v>
      </c>
      <c r="P748">
        <f t="shared" si="35"/>
        <v>-2</v>
      </c>
      <c r="Q748" s="11">
        <f>IF(P748=0,0,IFERROR(Q747+G748*M748*IF(E748="FUTURE",VLOOKUP(MID(I748,2,2),[1]Futures!$A$2:$B$12,2),1),G748*M748*IF(E748="FUTURE",VLOOKUP(MID(I748,2,2),[1]Futures!$A$2:$B$12,2),1)))</f>
        <v>-281550</v>
      </c>
      <c r="R748" s="12">
        <f>IFERROR(Q748/P748/IF(E748="FUTURE",VLOOKUP(MID(I748,2,2),[1]Futures!$A$2:$B$12,2),1),"")</f>
        <v>2815.5</v>
      </c>
      <c r="S748" s="13" t="str">
        <f>IF(AND(H748="TO CLOSE",P748=0),-G748*(M748-R747)*IF(E748="FUTURE",VLOOKUP(MID(I748,2,2),[1]Futures!$A$2:$B$12,2),1),"")</f>
        <v/>
      </c>
    </row>
    <row r="749" spans="1:19" x14ac:dyDescent="0.2">
      <c r="A749">
        <f t="shared" si="34"/>
        <v>214</v>
      </c>
      <c r="B749" s="3">
        <v>43955</v>
      </c>
      <c r="C749" s="3" t="str">
        <f t="shared" si="36"/>
        <v>Monday</v>
      </c>
      <c r="D749" s="2">
        <v>0.63223379629629628</v>
      </c>
      <c r="E749" t="s">
        <v>14</v>
      </c>
      <c r="F749" t="s">
        <v>19</v>
      </c>
      <c r="G749">
        <v>2</v>
      </c>
      <c r="H749" t="s">
        <v>16</v>
      </c>
      <c r="I749" t="s">
        <v>17</v>
      </c>
      <c r="J749" s="1">
        <v>44002</v>
      </c>
      <c r="L749" t="s">
        <v>14</v>
      </c>
      <c r="M749">
        <v>2823</v>
      </c>
      <c r="N749">
        <v>2823</v>
      </c>
      <c r="O749" t="s">
        <v>18</v>
      </c>
      <c r="P749">
        <f t="shared" si="35"/>
        <v>0</v>
      </c>
      <c r="Q749" s="11">
        <f>IF(P749=0,0,IFERROR(Q748+G749*M749*IF(E749="FUTURE",VLOOKUP(MID(I749,2,2),[1]Futures!$A$2:$B$12,2),1),G749*M749*IF(E749="FUTURE",VLOOKUP(MID(I749,2,2),[1]Futures!$A$2:$B$12,2),1)))</f>
        <v>0</v>
      </c>
      <c r="R749" s="12" t="str">
        <f>IFERROR(Q749/P749/IF(E749="FUTURE",VLOOKUP(MID(I749,2,2),[1]Futures!$A$2:$B$12,2),1),"")</f>
        <v/>
      </c>
      <c r="S749" s="13">
        <f>IF(AND(H749="TO CLOSE",P749=0),-G749*(M749-R748)*IF(E749="FUTURE",VLOOKUP(MID(I749,2,2),[1]Futures!$A$2:$B$12,2),1),"")</f>
        <v>-750</v>
      </c>
    </row>
    <row r="750" spans="1:19" x14ac:dyDescent="0.2">
      <c r="A750">
        <f t="shared" si="34"/>
        <v>215</v>
      </c>
      <c r="B750" s="3">
        <v>43955</v>
      </c>
      <c r="C750" s="3" t="str">
        <f t="shared" si="36"/>
        <v>Monday</v>
      </c>
      <c r="D750" s="2">
        <v>0.43634259259259256</v>
      </c>
      <c r="E750" t="s">
        <v>22</v>
      </c>
      <c r="F750" t="s">
        <v>15</v>
      </c>
      <c r="G750">
        <v>-74</v>
      </c>
      <c r="H750" t="s">
        <v>20</v>
      </c>
      <c r="I750" t="s">
        <v>23</v>
      </c>
      <c r="L750" t="s">
        <v>22</v>
      </c>
      <c r="M750">
        <v>42.07</v>
      </c>
      <c r="N750">
        <v>42.07</v>
      </c>
      <c r="O750" t="s">
        <v>21</v>
      </c>
      <c r="P750">
        <f t="shared" si="35"/>
        <v>-74</v>
      </c>
      <c r="Q750" s="11">
        <f>IF(P750=0,0,IFERROR(Q749+G750*M750*IF(E750="FUTURE",VLOOKUP(MID(I750,2,2),[1]Futures!$A$2:$B$12,2),1),G750*M750*IF(E750="FUTURE",VLOOKUP(MID(I750,2,2),[1]Futures!$A$2:$B$12,2),1)))</f>
        <v>-3113.18</v>
      </c>
      <c r="R750" s="12">
        <f>IFERROR(Q750/P750/IF(E750="FUTURE",VLOOKUP(MID(I750,2,2),[1]Futures!$A$2:$B$12,2),1),"")</f>
        <v>42.07</v>
      </c>
      <c r="S750" s="13" t="str">
        <f>IF(AND(H750="TO CLOSE",P750=0),-G750*(M750-R749)*IF(E750="FUTURE",VLOOKUP(MID(I750,2,2),[1]Futures!$A$2:$B$12,2),1),"")</f>
        <v/>
      </c>
    </row>
    <row r="751" spans="1:19" x14ac:dyDescent="0.2">
      <c r="A751">
        <f t="shared" si="34"/>
        <v>215</v>
      </c>
      <c r="B751" s="3">
        <v>43955</v>
      </c>
      <c r="C751" s="3" t="str">
        <f t="shared" si="36"/>
        <v>Monday</v>
      </c>
      <c r="D751" s="2">
        <v>0.43634259259259256</v>
      </c>
      <c r="E751" t="s">
        <v>22</v>
      </c>
      <c r="F751" t="s">
        <v>15</v>
      </c>
      <c r="G751">
        <v>-100</v>
      </c>
      <c r="H751" t="s">
        <v>20</v>
      </c>
      <c r="I751" t="s">
        <v>23</v>
      </c>
      <c r="L751" t="s">
        <v>22</v>
      </c>
      <c r="M751">
        <v>42.07</v>
      </c>
      <c r="N751">
        <v>42.07</v>
      </c>
      <c r="O751" t="s">
        <v>21</v>
      </c>
      <c r="P751">
        <f t="shared" si="35"/>
        <v>-174</v>
      </c>
      <c r="Q751" s="11">
        <f>IF(P751=0,0,IFERROR(Q750+G751*M751*IF(E751="FUTURE",VLOOKUP(MID(I751,2,2),[1]Futures!$A$2:$B$12,2),1),G751*M751*IF(E751="FUTURE",VLOOKUP(MID(I751,2,2),[1]Futures!$A$2:$B$12,2),1)))</f>
        <v>-7320.18</v>
      </c>
      <c r="R751" s="12">
        <f>IFERROR(Q751/P751/IF(E751="FUTURE",VLOOKUP(MID(I751,2,2),[1]Futures!$A$2:$B$12,2),1),"")</f>
        <v>42.07</v>
      </c>
      <c r="S751" s="13" t="str">
        <f>IF(AND(H751="TO CLOSE",P751=0),-G751*(M751-R750)*IF(E751="FUTURE",VLOOKUP(MID(I751,2,2),[1]Futures!$A$2:$B$12,2),1),"")</f>
        <v/>
      </c>
    </row>
    <row r="752" spans="1:19" x14ac:dyDescent="0.2">
      <c r="A752">
        <f t="shared" si="34"/>
        <v>215</v>
      </c>
      <c r="B752" s="3">
        <v>43955</v>
      </c>
      <c r="C752" s="3" t="str">
        <f t="shared" si="36"/>
        <v>Monday</v>
      </c>
      <c r="D752" s="2">
        <v>0.43634259259259256</v>
      </c>
      <c r="E752" t="s">
        <v>22</v>
      </c>
      <c r="F752" t="s">
        <v>15</v>
      </c>
      <c r="G752">
        <v>-126</v>
      </c>
      <c r="H752" t="s">
        <v>20</v>
      </c>
      <c r="I752" t="s">
        <v>23</v>
      </c>
      <c r="L752" t="s">
        <v>22</v>
      </c>
      <c r="M752">
        <v>42.07</v>
      </c>
      <c r="N752">
        <v>42.07</v>
      </c>
      <c r="O752" t="s">
        <v>21</v>
      </c>
      <c r="P752">
        <f t="shared" si="35"/>
        <v>-300</v>
      </c>
      <c r="Q752" s="11">
        <f>IF(P752=0,0,IFERROR(Q751+G752*M752*IF(E752="FUTURE",VLOOKUP(MID(I752,2,2),[1]Futures!$A$2:$B$12,2),1),G752*M752*IF(E752="FUTURE",VLOOKUP(MID(I752,2,2),[1]Futures!$A$2:$B$12,2),1)))</f>
        <v>-12621</v>
      </c>
      <c r="R752" s="12">
        <f>IFERROR(Q752/P752/IF(E752="FUTURE",VLOOKUP(MID(I752,2,2),[1]Futures!$A$2:$B$12,2),1),"")</f>
        <v>42.07</v>
      </c>
      <c r="S752" s="13" t="str">
        <f>IF(AND(H752="TO CLOSE",P752=0),-G752*(M752-R751)*IF(E752="FUTURE",VLOOKUP(MID(I752,2,2),[1]Futures!$A$2:$B$12,2),1),"")</f>
        <v/>
      </c>
    </row>
    <row r="753" spans="1:19" x14ac:dyDescent="0.2">
      <c r="A753">
        <f t="shared" si="34"/>
        <v>215</v>
      </c>
      <c r="B753" s="3">
        <v>43955</v>
      </c>
      <c r="C753" s="3" t="str">
        <f t="shared" si="36"/>
        <v>Monday</v>
      </c>
      <c r="D753" s="2">
        <v>0.43984953703703705</v>
      </c>
      <c r="E753" t="s">
        <v>22</v>
      </c>
      <c r="F753" t="s">
        <v>15</v>
      </c>
      <c r="G753">
        <v>-100</v>
      </c>
      <c r="H753" t="s">
        <v>20</v>
      </c>
      <c r="I753" t="s">
        <v>23</v>
      </c>
      <c r="L753" t="s">
        <v>22</v>
      </c>
      <c r="M753">
        <v>42.19</v>
      </c>
      <c r="N753">
        <v>42.19</v>
      </c>
      <c r="O753" t="s">
        <v>21</v>
      </c>
      <c r="P753">
        <f t="shared" si="35"/>
        <v>-400</v>
      </c>
      <c r="Q753" s="11">
        <f>IF(P753=0,0,IFERROR(Q752+G753*M753*IF(E753="FUTURE",VLOOKUP(MID(I753,2,2),[1]Futures!$A$2:$B$12,2),1),G753*M753*IF(E753="FUTURE",VLOOKUP(MID(I753,2,2),[1]Futures!$A$2:$B$12,2),1)))</f>
        <v>-16840</v>
      </c>
      <c r="R753" s="12">
        <f>IFERROR(Q753/P753/IF(E753="FUTURE",VLOOKUP(MID(I753,2,2),[1]Futures!$A$2:$B$12,2),1),"")</f>
        <v>42.1</v>
      </c>
      <c r="S753" s="13" t="str">
        <f>IF(AND(H753="TO CLOSE",P753=0),-G753*(M753-R752)*IF(E753="FUTURE",VLOOKUP(MID(I753,2,2),[1]Futures!$A$2:$B$12,2),1),"")</f>
        <v/>
      </c>
    </row>
    <row r="754" spans="1:19" x14ac:dyDescent="0.2">
      <c r="A754">
        <f t="shared" si="34"/>
        <v>215</v>
      </c>
      <c r="B754" s="3">
        <v>43955</v>
      </c>
      <c r="C754" s="3" t="str">
        <f t="shared" si="36"/>
        <v>Monday</v>
      </c>
      <c r="D754" s="2">
        <v>0.44965277777777773</v>
      </c>
      <c r="E754" t="s">
        <v>22</v>
      </c>
      <c r="F754" t="s">
        <v>19</v>
      </c>
      <c r="G754">
        <v>40</v>
      </c>
      <c r="H754" t="s">
        <v>16</v>
      </c>
      <c r="I754" t="s">
        <v>23</v>
      </c>
      <c r="L754" t="s">
        <v>22</v>
      </c>
      <c r="M754">
        <v>42.02</v>
      </c>
      <c r="N754">
        <v>42.02</v>
      </c>
      <c r="O754" t="s">
        <v>21</v>
      </c>
      <c r="P754">
        <f t="shared" si="35"/>
        <v>-360</v>
      </c>
      <c r="Q754" s="11">
        <f>IF(P754=0,0,IFERROR(Q753+G754*M754*IF(E754="FUTURE",VLOOKUP(MID(I754,2,2),[1]Futures!$A$2:$B$12,2),1),G754*M754*IF(E754="FUTURE",VLOOKUP(MID(I754,2,2),[1]Futures!$A$2:$B$12,2),1)))</f>
        <v>-15159.2</v>
      </c>
      <c r="R754" s="12">
        <f>IFERROR(Q754/P754/IF(E754="FUTURE",VLOOKUP(MID(I754,2,2),[1]Futures!$A$2:$B$12,2),1),"")</f>
        <v>42.108888888888892</v>
      </c>
      <c r="S754" s="13" t="str">
        <f>IF(AND(H754="TO CLOSE",P754=0),-G754*(M754-R753)*IF(E754="FUTURE",VLOOKUP(MID(I754,2,2),[1]Futures!$A$2:$B$12,2),1),"")</f>
        <v/>
      </c>
    </row>
    <row r="755" spans="1:19" x14ac:dyDescent="0.2">
      <c r="A755">
        <f t="shared" si="34"/>
        <v>215</v>
      </c>
      <c r="B755" s="3">
        <v>43955</v>
      </c>
      <c r="C755" s="3" t="str">
        <f t="shared" si="36"/>
        <v>Monday</v>
      </c>
      <c r="D755" s="2">
        <v>0.44965277777777773</v>
      </c>
      <c r="E755" t="s">
        <v>22</v>
      </c>
      <c r="F755" t="s">
        <v>19</v>
      </c>
      <c r="G755">
        <v>100</v>
      </c>
      <c r="H755" t="s">
        <v>16</v>
      </c>
      <c r="I755" t="s">
        <v>23</v>
      </c>
      <c r="L755" t="s">
        <v>22</v>
      </c>
      <c r="M755">
        <v>42.02</v>
      </c>
      <c r="N755">
        <v>42.02</v>
      </c>
      <c r="O755" t="s">
        <v>21</v>
      </c>
      <c r="P755">
        <f t="shared" si="35"/>
        <v>-260</v>
      </c>
      <c r="Q755" s="11">
        <f>IF(P755=0,0,IFERROR(Q754+G755*M755*IF(E755="FUTURE",VLOOKUP(MID(I755,2,2),[1]Futures!$A$2:$B$12,2),1),G755*M755*IF(E755="FUTURE",VLOOKUP(MID(I755,2,2),[1]Futures!$A$2:$B$12,2),1)))</f>
        <v>-10957.2</v>
      </c>
      <c r="R755" s="12">
        <f>IFERROR(Q755/P755/IF(E755="FUTURE",VLOOKUP(MID(I755,2,2),[1]Futures!$A$2:$B$12,2),1),"")</f>
        <v>42.143076923076926</v>
      </c>
      <c r="S755" s="13" t="str">
        <f>IF(AND(H755="TO CLOSE",P755=0),-G755*(M755-R754)*IF(E755="FUTURE",VLOOKUP(MID(I755,2,2),[1]Futures!$A$2:$B$12,2),1),"")</f>
        <v/>
      </c>
    </row>
    <row r="756" spans="1:19" x14ac:dyDescent="0.2">
      <c r="A756">
        <f t="shared" si="34"/>
        <v>215</v>
      </c>
      <c r="B756" s="3">
        <v>43955</v>
      </c>
      <c r="C756" s="3" t="str">
        <f t="shared" si="36"/>
        <v>Monday</v>
      </c>
      <c r="D756" s="2">
        <v>0.44968750000000002</v>
      </c>
      <c r="E756" t="s">
        <v>22</v>
      </c>
      <c r="F756" t="s">
        <v>19</v>
      </c>
      <c r="G756">
        <v>141</v>
      </c>
      <c r="H756" t="s">
        <v>16</v>
      </c>
      <c r="I756" t="s">
        <v>23</v>
      </c>
      <c r="L756" t="s">
        <v>22</v>
      </c>
      <c r="M756">
        <v>42.02</v>
      </c>
      <c r="N756">
        <v>42.02</v>
      </c>
      <c r="O756" t="s">
        <v>21</v>
      </c>
      <c r="P756">
        <f t="shared" si="35"/>
        <v>-119</v>
      </c>
      <c r="Q756" s="11">
        <f>IF(P756=0,0,IFERROR(Q755+G756*M756*IF(E756="FUTURE",VLOOKUP(MID(I756,2,2),[1]Futures!$A$2:$B$12,2),1),G756*M756*IF(E756="FUTURE",VLOOKUP(MID(I756,2,2),[1]Futures!$A$2:$B$12,2),1)))</f>
        <v>-5032.38</v>
      </c>
      <c r="R756" s="12">
        <f>IFERROR(Q756/P756/IF(E756="FUTURE",VLOOKUP(MID(I756,2,2),[1]Futures!$A$2:$B$12,2),1),"")</f>
        <v>42.288907563025212</v>
      </c>
      <c r="S756" s="13" t="str">
        <f>IF(AND(H756="TO CLOSE",P756=0),-G756*(M756-R755)*IF(E756="FUTURE",VLOOKUP(MID(I756,2,2),[1]Futures!$A$2:$B$12,2),1),"")</f>
        <v/>
      </c>
    </row>
    <row r="757" spans="1:19" x14ac:dyDescent="0.2">
      <c r="A757">
        <f t="shared" si="34"/>
        <v>215</v>
      </c>
      <c r="B757" s="3">
        <v>43955</v>
      </c>
      <c r="C757" s="3" t="str">
        <f t="shared" si="36"/>
        <v>Monday</v>
      </c>
      <c r="D757" s="2">
        <v>0.44968750000000002</v>
      </c>
      <c r="E757" t="s">
        <v>22</v>
      </c>
      <c r="F757" t="s">
        <v>19</v>
      </c>
      <c r="G757">
        <v>119</v>
      </c>
      <c r="H757" t="s">
        <v>16</v>
      </c>
      <c r="I757" t="s">
        <v>23</v>
      </c>
      <c r="L757" t="s">
        <v>22</v>
      </c>
      <c r="M757">
        <v>42.02</v>
      </c>
      <c r="N757">
        <v>42.02</v>
      </c>
      <c r="O757" t="s">
        <v>21</v>
      </c>
      <c r="P757">
        <f t="shared" si="35"/>
        <v>0</v>
      </c>
      <c r="Q757" s="11">
        <f>IF(P757=0,0,IFERROR(Q756+G757*M757*IF(E757="FUTURE",VLOOKUP(MID(I757,2,2),[1]Futures!$A$2:$B$12,2),1),G757*M757*IF(E757="FUTURE",VLOOKUP(MID(I757,2,2),[1]Futures!$A$2:$B$12,2),1)))</f>
        <v>0</v>
      </c>
      <c r="R757" s="12" t="str">
        <f>IFERROR(Q757/P757/IF(E757="FUTURE",VLOOKUP(MID(I757,2,2),[1]Futures!$A$2:$B$12,2),1),"")</f>
        <v/>
      </c>
      <c r="S757" s="13">
        <f>IF(AND(H757="TO CLOSE",P757=0),-G757*(M757-R756)*IF(E757="FUTURE",VLOOKUP(MID(I757,2,2),[1]Futures!$A$2:$B$12,2),1),"")</f>
        <v>31.999999999999886</v>
      </c>
    </row>
    <row r="758" spans="1:19" x14ac:dyDescent="0.2">
      <c r="A758">
        <f t="shared" si="34"/>
        <v>216</v>
      </c>
      <c r="B758" s="3">
        <v>43955</v>
      </c>
      <c r="C758" s="3" t="str">
        <f t="shared" si="36"/>
        <v>Monday</v>
      </c>
      <c r="D758" s="2">
        <v>0.45175925925925925</v>
      </c>
      <c r="E758" t="s">
        <v>22</v>
      </c>
      <c r="F758" t="s">
        <v>19</v>
      </c>
      <c r="G758">
        <v>397</v>
      </c>
      <c r="H758" t="s">
        <v>20</v>
      </c>
      <c r="I758" t="s">
        <v>23</v>
      </c>
      <c r="L758" t="s">
        <v>22</v>
      </c>
      <c r="M758">
        <v>41.939300000000003</v>
      </c>
      <c r="N758">
        <v>41.93929</v>
      </c>
      <c r="O758" t="s">
        <v>21</v>
      </c>
      <c r="P758">
        <f t="shared" si="35"/>
        <v>397</v>
      </c>
      <c r="Q758" s="11">
        <f>IF(P758=0,0,IFERROR(Q757+G758*M758*IF(E758="FUTURE",VLOOKUP(MID(I758,2,2),[1]Futures!$A$2:$B$12,2),1),G758*M758*IF(E758="FUTURE",VLOOKUP(MID(I758,2,2),[1]Futures!$A$2:$B$12,2),1)))</f>
        <v>16649.902099999999</v>
      </c>
      <c r="R758" s="12">
        <f>IFERROR(Q758/P758/IF(E758="FUTURE",VLOOKUP(MID(I758,2,2),[1]Futures!$A$2:$B$12,2),1),"")</f>
        <v>41.939299999999996</v>
      </c>
      <c r="S758" s="13" t="str">
        <f>IF(AND(H758="TO CLOSE",P758=0),-G758*(M758-R757)*IF(E758="FUTURE",VLOOKUP(MID(I758,2,2),[1]Futures!$A$2:$B$12,2),1),"")</f>
        <v/>
      </c>
    </row>
    <row r="759" spans="1:19" x14ac:dyDescent="0.2">
      <c r="A759">
        <f t="shared" si="34"/>
        <v>216</v>
      </c>
      <c r="B759" s="3">
        <v>43955</v>
      </c>
      <c r="C759" s="3" t="str">
        <f t="shared" si="36"/>
        <v>Monday</v>
      </c>
      <c r="D759" s="2">
        <v>0.45175925925925925</v>
      </c>
      <c r="E759" t="s">
        <v>22</v>
      </c>
      <c r="F759" t="s">
        <v>19</v>
      </c>
      <c r="G759">
        <v>3</v>
      </c>
      <c r="H759" t="s">
        <v>20</v>
      </c>
      <c r="I759" t="s">
        <v>23</v>
      </c>
      <c r="L759" t="s">
        <v>22</v>
      </c>
      <c r="M759">
        <v>41.939300000000003</v>
      </c>
      <c r="N759">
        <v>41.94</v>
      </c>
      <c r="O759" t="s">
        <v>21</v>
      </c>
      <c r="P759">
        <f t="shared" si="35"/>
        <v>400</v>
      </c>
      <c r="Q759" s="11">
        <f>IF(P759=0,0,IFERROR(Q758+G759*M759*IF(E759="FUTURE",VLOOKUP(MID(I759,2,2),[1]Futures!$A$2:$B$12,2),1),G759*M759*IF(E759="FUTURE",VLOOKUP(MID(I759,2,2),[1]Futures!$A$2:$B$12,2),1)))</f>
        <v>16775.72</v>
      </c>
      <c r="R759" s="12">
        <f>IFERROR(Q759/P759/IF(E759="FUTURE",VLOOKUP(MID(I759,2,2),[1]Futures!$A$2:$B$12,2),1),"")</f>
        <v>41.939300000000003</v>
      </c>
      <c r="S759" s="13" t="str">
        <f>IF(AND(H759="TO CLOSE",P759=0),-G759*(M759-R758)*IF(E759="FUTURE",VLOOKUP(MID(I759,2,2),[1]Futures!$A$2:$B$12,2),1),"")</f>
        <v/>
      </c>
    </row>
    <row r="760" spans="1:19" x14ac:dyDescent="0.2">
      <c r="A760">
        <f t="shared" si="34"/>
        <v>216</v>
      </c>
      <c r="B760" s="3">
        <v>43955</v>
      </c>
      <c r="C760" s="3" t="str">
        <f t="shared" si="36"/>
        <v>Monday</v>
      </c>
      <c r="D760" s="2">
        <v>0.45378472222222221</v>
      </c>
      <c r="E760" t="s">
        <v>22</v>
      </c>
      <c r="F760" t="s">
        <v>15</v>
      </c>
      <c r="G760">
        <v>-388</v>
      </c>
      <c r="H760" t="s">
        <v>16</v>
      </c>
      <c r="I760" t="s">
        <v>23</v>
      </c>
      <c r="L760" t="s">
        <v>22</v>
      </c>
      <c r="M760">
        <v>41.97</v>
      </c>
      <c r="N760">
        <v>41.97</v>
      </c>
      <c r="O760" t="s">
        <v>21</v>
      </c>
      <c r="P760">
        <f t="shared" si="35"/>
        <v>12</v>
      </c>
      <c r="Q760" s="11">
        <f>IF(P760=0,0,IFERROR(Q759+G760*M760*IF(E760="FUTURE",VLOOKUP(MID(I760,2,2),[1]Futures!$A$2:$B$12,2),1),G760*M760*IF(E760="FUTURE",VLOOKUP(MID(I760,2,2),[1]Futures!$A$2:$B$12,2),1)))</f>
        <v>491.3600000000024</v>
      </c>
      <c r="R760" s="12">
        <f>IFERROR(Q760/P760/IF(E760="FUTURE",VLOOKUP(MID(I760,2,2),[1]Futures!$A$2:$B$12,2),1),"")</f>
        <v>40.946666666666864</v>
      </c>
      <c r="S760" s="13" t="str">
        <f>IF(AND(H760="TO CLOSE",P760=0),-G760*(M760-R759)*IF(E760="FUTURE",VLOOKUP(MID(I760,2,2),[1]Futures!$A$2:$B$12,2),1),"")</f>
        <v/>
      </c>
    </row>
    <row r="761" spans="1:19" x14ac:dyDescent="0.2">
      <c r="A761">
        <f t="shared" si="34"/>
        <v>216</v>
      </c>
      <c r="B761" s="3">
        <v>43955</v>
      </c>
      <c r="C761" s="3" t="str">
        <f t="shared" si="36"/>
        <v>Monday</v>
      </c>
      <c r="D761" s="2">
        <v>0.45378472222222221</v>
      </c>
      <c r="E761" t="s">
        <v>22</v>
      </c>
      <c r="F761" t="s">
        <v>15</v>
      </c>
      <c r="G761">
        <v>-12</v>
      </c>
      <c r="H761" t="s">
        <v>16</v>
      </c>
      <c r="I761" t="s">
        <v>23</v>
      </c>
      <c r="L761" t="s">
        <v>22</v>
      </c>
      <c r="M761">
        <v>41.97</v>
      </c>
      <c r="N761">
        <v>41.97</v>
      </c>
      <c r="O761" t="s">
        <v>21</v>
      </c>
      <c r="P761">
        <f t="shared" si="35"/>
        <v>0</v>
      </c>
      <c r="Q761" s="11">
        <f>IF(P761=0,0,IFERROR(Q760+G761*M761*IF(E761="FUTURE",VLOOKUP(MID(I761,2,2),[1]Futures!$A$2:$B$12,2),1),G761*M761*IF(E761="FUTURE",VLOOKUP(MID(I761,2,2),[1]Futures!$A$2:$B$12,2),1)))</f>
        <v>0</v>
      </c>
      <c r="R761" s="12" t="str">
        <f>IFERROR(Q761/P761/IF(E761="FUTURE",VLOOKUP(MID(I761,2,2),[1]Futures!$A$2:$B$12,2),1),"")</f>
        <v/>
      </c>
      <c r="S761" s="13">
        <f>IF(AND(H761="TO CLOSE",P761=0),-G761*(M761-R760)*IF(E761="FUTURE",VLOOKUP(MID(I761,2,2),[1]Futures!$A$2:$B$12,2),1),"")</f>
        <v>12.279999999997614</v>
      </c>
    </row>
    <row r="762" spans="1:19" x14ac:dyDescent="0.2">
      <c r="A762">
        <f t="shared" si="34"/>
        <v>217</v>
      </c>
      <c r="B762" s="3">
        <v>43955</v>
      </c>
      <c r="C762" s="3" t="str">
        <f t="shared" si="36"/>
        <v>Monday</v>
      </c>
      <c r="D762" s="2">
        <v>0.46900462962962958</v>
      </c>
      <c r="E762" t="s">
        <v>22</v>
      </c>
      <c r="F762" t="s">
        <v>19</v>
      </c>
      <c r="G762">
        <v>400</v>
      </c>
      <c r="H762" t="s">
        <v>20</v>
      </c>
      <c r="I762" t="s">
        <v>23</v>
      </c>
      <c r="L762" t="s">
        <v>22</v>
      </c>
      <c r="M762">
        <v>41.75</v>
      </c>
      <c r="N762">
        <v>41.75</v>
      </c>
      <c r="O762" t="s">
        <v>21</v>
      </c>
      <c r="P762">
        <f t="shared" si="35"/>
        <v>400</v>
      </c>
      <c r="Q762" s="11">
        <f>IF(P762=0,0,IFERROR(Q761+G762*M762*IF(E762="FUTURE",VLOOKUP(MID(I762,2,2),[1]Futures!$A$2:$B$12,2),1),G762*M762*IF(E762="FUTURE",VLOOKUP(MID(I762,2,2),[1]Futures!$A$2:$B$12,2),1)))</f>
        <v>16700</v>
      </c>
      <c r="R762" s="12">
        <f>IFERROR(Q762/P762/IF(E762="FUTURE",VLOOKUP(MID(I762,2,2),[1]Futures!$A$2:$B$12,2),1),"")</f>
        <v>41.75</v>
      </c>
      <c r="S762" s="13" t="str">
        <f>IF(AND(H762="TO CLOSE",P762=0),-G762*(M762-R761)*IF(E762="FUTURE",VLOOKUP(MID(I762,2,2),[1]Futures!$A$2:$B$12,2),1),"")</f>
        <v/>
      </c>
    </row>
    <row r="763" spans="1:19" x14ac:dyDescent="0.2">
      <c r="A763">
        <f t="shared" si="34"/>
        <v>217</v>
      </c>
      <c r="B763" s="3">
        <v>43955</v>
      </c>
      <c r="C763" s="3" t="str">
        <f t="shared" si="36"/>
        <v>Monday</v>
      </c>
      <c r="D763" s="2">
        <v>0.48199074074074072</v>
      </c>
      <c r="E763" t="s">
        <v>22</v>
      </c>
      <c r="F763" t="s">
        <v>15</v>
      </c>
      <c r="G763">
        <v>-400</v>
      </c>
      <c r="H763" t="s">
        <v>16</v>
      </c>
      <c r="I763" t="s">
        <v>23</v>
      </c>
      <c r="L763" t="s">
        <v>22</v>
      </c>
      <c r="M763">
        <v>41.75</v>
      </c>
      <c r="N763">
        <v>41.75</v>
      </c>
      <c r="O763" t="s">
        <v>21</v>
      </c>
      <c r="P763">
        <f t="shared" si="35"/>
        <v>0</v>
      </c>
      <c r="Q763" s="11">
        <f>IF(P763=0,0,IFERROR(Q762+G763*M763*IF(E763="FUTURE",VLOOKUP(MID(I763,2,2),[1]Futures!$A$2:$B$12,2),1),G763*M763*IF(E763="FUTURE",VLOOKUP(MID(I763,2,2),[1]Futures!$A$2:$B$12,2),1)))</f>
        <v>0</v>
      </c>
      <c r="R763" s="12" t="str">
        <f>IFERROR(Q763/P763/IF(E763="FUTURE",VLOOKUP(MID(I763,2,2),[1]Futures!$A$2:$B$12,2),1),"")</f>
        <v/>
      </c>
      <c r="S763" s="13">
        <f>IF(AND(H763="TO CLOSE",P763=0),-G763*(M763-R762)*IF(E763="FUTURE",VLOOKUP(MID(I763,2,2),[1]Futures!$A$2:$B$12,2),1),"")</f>
        <v>0</v>
      </c>
    </row>
    <row r="764" spans="1:19" x14ac:dyDescent="0.2">
      <c r="A764">
        <f t="shared" si="34"/>
        <v>218</v>
      </c>
      <c r="B764" s="3">
        <v>43955</v>
      </c>
      <c r="C764" s="3" t="str">
        <f t="shared" si="36"/>
        <v>Monday</v>
      </c>
      <c r="D764" s="2">
        <v>0.50575231481481475</v>
      </c>
      <c r="E764" t="s">
        <v>22</v>
      </c>
      <c r="F764" t="s">
        <v>19</v>
      </c>
      <c r="G764">
        <v>400</v>
      </c>
      <c r="H764" t="s">
        <v>20</v>
      </c>
      <c r="I764" t="s">
        <v>23</v>
      </c>
      <c r="L764" t="s">
        <v>22</v>
      </c>
      <c r="M764">
        <v>41.0199</v>
      </c>
      <c r="N764">
        <v>41.0199</v>
      </c>
      <c r="O764" t="s">
        <v>24</v>
      </c>
      <c r="P764">
        <f t="shared" si="35"/>
        <v>400</v>
      </c>
      <c r="Q764" s="11">
        <f>IF(P764=0,0,IFERROR(Q763+G764*M764*IF(E764="FUTURE",VLOOKUP(MID(I764,2,2),[1]Futures!$A$2:$B$12,2),1),G764*M764*IF(E764="FUTURE",VLOOKUP(MID(I764,2,2),[1]Futures!$A$2:$B$12,2),1)))</f>
        <v>16407.96</v>
      </c>
      <c r="R764" s="12">
        <f>IFERROR(Q764/P764/IF(E764="FUTURE",VLOOKUP(MID(I764,2,2),[1]Futures!$A$2:$B$12,2),1),"")</f>
        <v>41.0199</v>
      </c>
      <c r="S764" s="13" t="str">
        <f>IF(AND(H764="TO CLOSE",P764=0),-G764*(M764-R763)*IF(E764="FUTURE",VLOOKUP(MID(I764,2,2),[1]Futures!$A$2:$B$12,2),1),"")</f>
        <v/>
      </c>
    </row>
    <row r="765" spans="1:19" x14ac:dyDescent="0.2">
      <c r="A765">
        <f t="shared" si="34"/>
        <v>218</v>
      </c>
      <c r="B765" s="3">
        <v>43955</v>
      </c>
      <c r="C765" s="3" t="str">
        <f t="shared" si="36"/>
        <v>Monday</v>
      </c>
      <c r="D765" s="2">
        <v>0.55045138888888889</v>
      </c>
      <c r="E765" t="s">
        <v>22</v>
      </c>
      <c r="F765" t="s">
        <v>15</v>
      </c>
      <c r="G765">
        <v>-200</v>
      </c>
      <c r="H765" t="s">
        <v>16</v>
      </c>
      <c r="I765" t="s">
        <v>23</v>
      </c>
      <c r="L765" t="s">
        <v>22</v>
      </c>
      <c r="M765">
        <v>41.49</v>
      </c>
      <c r="N765">
        <v>41.49</v>
      </c>
      <c r="O765" t="s">
        <v>21</v>
      </c>
      <c r="P765">
        <f t="shared" si="35"/>
        <v>200</v>
      </c>
      <c r="Q765" s="11">
        <f>IF(P765=0,0,IFERROR(Q764+G765*M765*IF(E765="FUTURE",VLOOKUP(MID(I765,2,2),[1]Futures!$A$2:$B$12,2),1),G765*M765*IF(E765="FUTURE",VLOOKUP(MID(I765,2,2),[1]Futures!$A$2:$B$12,2),1)))</f>
        <v>8109.9599999999991</v>
      </c>
      <c r="R765" s="12">
        <f>IFERROR(Q765/P765/IF(E765="FUTURE",VLOOKUP(MID(I765,2,2),[1]Futures!$A$2:$B$12,2),1),"")</f>
        <v>40.549799999999998</v>
      </c>
      <c r="S765" s="13" t="str">
        <f>IF(AND(H765="TO CLOSE",P765=0),-G765*(M765-R764)*IF(E765="FUTURE",VLOOKUP(MID(I765,2,2),[1]Futures!$A$2:$B$12,2),1),"")</f>
        <v/>
      </c>
    </row>
    <row r="766" spans="1:19" x14ac:dyDescent="0.2">
      <c r="A766">
        <f t="shared" si="34"/>
        <v>218</v>
      </c>
      <c r="B766" s="3">
        <v>43955</v>
      </c>
      <c r="C766" s="3" t="str">
        <f t="shared" si="36"/>
        <v>Monday</v>
      </c>
      <c r="D766" s="2">
        <v>0.55516203703703704</v>
      </c>
      <c r="E766" t="s">
        <v>22</v>
      </c>
      <c r="F766" t="s">
        <v>15</v>
      </c>
      <c r="G766">
        <v>-200</v>
      </c>
      <c r="H766" t="s">
        <v>16</v>
      </c>
      <c r="I766" t="s">
        <v>23</v>
      </c>
      <c r="L766" t="s">
        <v>22</v>
      </c>
      <c r="M766">
        <v>41.65</v>
      </c>
      <c r="N766">
        <v>41.65</v>
      </c>
      <c r="O766" t="s">
        <v>21</v>
      </c>
      <c r="P766">
        <f t="shared" si="35"/>
        <v>0</v>
      </c>
      <c r="Q766" s="11">
        <f>IF(P766=0,0,IFERROR(Q765+G766*M766*IF(E766="FUTURE",VLOOKUP(MID(I766,2,2),[1]Futures!$A$2:$B$12,2),1),G766*M766*IF(E766="FUTURE",VLOOKUP(MID(I766,2,2),[1]Futures!$A$2:$B$12,2),1)))</f>
        <v>0</v>
      </c>
      <c r="R766" s="12" t="str">
        <f>IFERROR(Q766/P766/IF(E766="FUTURE",VLOOKUP(MID(I766,2,2),[1]Futures!$A$2:$B$12,2),1),"")</f>
        <v/>
      </c>
      <c r="S766" s="13">
        <f>IF(AND(H766="TO CLOSE",P766=0),-G766*(M766-R765)*IF(E766="FUTURE",VLOOKUP(MID(I766,2,2),[1]Futures!$A$2:$B$12,2),1),"")</f>
        <v>220.04000000000019</v>
      </c>
    </row>
    <row r="767" spans="1:19" x14ac:dyDescent="0.2">
      <c r="A767">
        <f t="shared" si="34"/>
        <v>219</v>
      </c>
      <c r="B767" s="3">
        <v>43955</v>
      </c>
      <c r="C767" s="3" t="str">
        <f t="shared" si="36"/>
        <v>Monday</v>
      </c>
      <c r="D767" s="2">
        <v>0.6150578703703703</v>
      </c>
      <c r="E767" t="s">
        <v>22</v>
      </c>
      <c r="F767" t="s">
        <v>19</v>
      </c>
      <c r="G767">
        <v>300</v>
      </c>
      <c r="H767" t="s">
        <v>20</v>
      </c>
      <c r="I767" t="s">
        <v>23</v>
      </c>
      <c r="L767" t="s">
        <v>22</v>
      </c>
      <c r="M767">
        <v>41.104999999999997</v>
      </c>
      <c r="N767">
        <v>41.104999999999997</v>
      </c>
      <c r="O767" t="s">
        <v>21</v>
      </c>
      <c r="P767">
        <f t="shared" si="35"/>
        <v>300</v>
      </c>
      <c r="Q767" s="11">
        <f>IF(P767=0,0,IFERROR(Q766+G767*M767*IF(E767="FUTURE",VLOOKUP(MID(I767,2,2),[1]Futures!$A$2:$B$12,2),1),G767*M767*IF(E767="FUTURE",VLOOKUP(MID(I767,2,2),[1]Futures!$A$2:$B$12,2),1)))</f>
        <v>12331.499999999998</v>
      </c>
      <c r="R767" s="12">
        <f>IFERROR(Q767/P767/IF(E767="FUTURE",VLOOKUP(MID(I767,2,2),[1]Futures!$A$2:$B$12,2),1),"")</f>
        <v>41.104999999999997</v>
      </c>
      <c r="S767" s="13" t="str">
        <f>IF(AND(H767="TO CLOSE",P767=0),-G767*(M767-R766)*IF(E767="FUTURE",VLOOKUP(MID(I767,2,2),[1]Futures!$A$2:$B$12,2),1),"")</f>
        <v/>
      </c>
    </row>
    <row r="768" spans="1:19" x14ac:dyDescent="0.2">
      <c r="A768">
        <f t="shared" si="34"/>
        <v>219</v>
      </c>
      <c r="B768" s="3">
        <v>43955</v>
      </c>
      <c r="C768" s="3" t="str">
        <f t="shared" si="36"/>
        <v>Monday</v>
      </c>
      <c r="D768" s="2">
        <v>0.63187499999999996</v>
      </c>
      <c r="E768" t="s">
        <v>22</v>
      </c>
      <c r="F768" t="s">
        <v>15</v>
      </c>
      <c r="G768">
        <v>-100</v>
      </c>
      <c r="H768" t="s">
        <v>16</v>
      </c>
      <c r="I768" t="s">
        <v>23</v>
      </c>
      <c r="L768" t="s">
        <v>22</v>
      </c>
      <c r="M768">
        <v>40.72</v>
      </c>
      <c r="N768">
        <v>40.72</v>
      </c>
      <c r="O768" t="s">
        <v>24</v>
      </c>
      <c r="P768">
        <f t="shared" si="35"/>
        <v>200</v>
      </c>
      <c r="Q768" s="11">
        <f>IF(P768=0,0,IFERROR(Q767+G768*M768*IF(E768="FUTURE",VLOOKUP(MID(I768,2,2),[1]Futures!$A$2:$B$12,2),1),G768*M768*IF(E768="FUTURE",VLOOKUP(MID(I768,2,2),[1]Futures!$A$2:$B$12,2),1)))</f>
        <v>8259.4999999999982</v>
      </c>
      <c r="R768" s="12">
        <f>IFERROR(Q768/P768/IF(E768="FUTURE",VLOOKUP(MID(I768,2,2),[1]Futures!$A$2:$B$12,2),1),"")</f>
        <v>41.297499999999992</v>
      </c>
      <c r="S768" s="13" t="str">
        <f>IF(AND(H768="TO CLOSE",P768=0),-G768*(M768-R767)*IF(E768="FUTURE",VLOOKUP(MID(I768,2,2),[1]Futures!$A$2:$B$12,2),1),"")</f>
        <v/>
      </c>
    </row>
    <row r="769" spans="1:19" x14ac:dyDescent="0.2">
      <c r="A769">
        <f t="shared" si="34"/>
        <v>219</v>
      </c>
      <c r="B769" s="3">
        <v>43955</v>
      </c>
      <c r="C769" s="3" t="str">
        <f t="shared" si="36"/>
        <v>Monday</v>
      </c>
      <c r="D769" s="2">
        <v>0.63187499999999996</v>
      </c>
      <c r="E769" t="s">
        <v>22</v>
      </c>
      <c r="F769" t="s">
        <v>15</v>
      </c>
      <c r="G769">
        <v>-100</v>
      </c>
      <c r="H769" t="s">
        <v>16</v>
      </c>
      <c r="I769" t="s">
        <v>23</v>
      </c>
      <c r="L769" t="s">
        <v>22</v>
      </c>
      <c r="M769">
        <v>40.72</v>
      </c>
      <c r="N769">
        <v>40.72</v>
      </c>
      <c r="O769" t="s">
        <v>24</v>
      </c>
      <c r="P769">
        <f t="shared" si="35"/>
        <v>100</v>
      </c>
      <c r="Q769" s="11">
        <f>IF(P769=0,0,IFERROR(Q768+G769*M769*IF(E769="FUTURE",VLOOKUP(MID(I769,2,2),[1]Futures!$A$2:$B$12,2),1),G769*M769*IF(E769="FUTURE",VLOOKUP(MID(I769,2,2),[1]Futures!$A$2:$B$12,2),1)))</f>
        <v>4187.4999999999982</v>
      </c>
      <c r="R769" s="12">
        <f>IFERROR(Q769/P769/IF(E769="FUTURE",VLOOKUP(MID(I769,2,2),[1]Futures!$A$2:$B$12,2),1),"")</f>
        <v>41.874999999999979</v>
      </c>
      <c r="S769" s="13" t="str">
        <f>IF(AND(H769="TO CLOSE",P769=0),-G769*(M769-R768)*IF(E769="FUTURE",VLOOKUP(MID(I769,2,2),[1]Futures!$A$2:$B$12,2),1),"")</f>
        <v/>
      </c>
    </row>
    <row r="770" spans="1:19" x14ac:dyDescent="0.2">
      <c r="A770">
        <f t="shared" ref="A770:A833" si="37">IF(AND(P769=0,H769="TO CLOSE"),IFERROR(A769+1,1),IFERROR(A769/1,1))</f>
        <v>219</v>
      </c>
      <c r="B770" s="3">
        <v>43955</v>
      </c>
      <c r="C770" s="3" t="str">
        <f t="shared" si="36"/>
        <v>Monday</v>
      </c>
      <c r="D770" s="2">
        <v>0.63187499999999996</v>
      </c>
      <c r="E770" t="s">
        <v>22</v>
      </c>
      <c r="F770" t="s">
        <v>15</v>
      </c>
      <c r="G770">
        <v>-100</v>
      </c>
      <c r="H770" t="s">
        <v>16</v>
      </c>
      <c r="I770" t="s">
        <v>23</v>
      </c>
      <c r="L770" t="s">
        <v>22</v>
      </c>
      <c r="M770">
        <v>40.720100000000002</v>
      </c>
      <c r="N770">
        <v>40.720100000000002</v>
      </c>
      <c r="O770" t="s">
        <v>24</v>
      </c>
      <c r="P770">
        <f t="shared" si="35"/>
        <v>0</v>
      </c>
      <c r="Q770" s="11">
        <f>IF(P770=0,0,IFERROR(Q769+G770*M770*IF(E770="FUTURE",VLOOKUP(MID(I770,2,2),[1]Futures!$A$2:$B$12,2),1),G770*M770*IF(E770="FUTURE",VLOOKUP(MID(I770,2,2),[1]Futures!$A$2:$B$12,2),1)))</f>
        <v>0</v>
      </c>
      <c r="R770" s="12" t="str">
        <f>IFERROR(Q770/P770/IF(E770="FUTURE",VLOOKUP(MID(I770,2,2),[1]Futures!$A$2:$B$12,2),1),"")</f>
        <v/>
      </c>
      <c r="S770" s="13">
        <f>IF(AND(H770="TO CLOSE",P770=0),-G770*(M770-R769)*IF(E770="FUTURE",VLOOKUP(MID(I770,2,2),[1]Futures!$A$2:$B$12,2),1),"")</f>
        <v>-115.48999999999765</v>
      </c>
    </row>
    <row r="771" spans="1:19" x14ac:dyDescent="0.2">
      <c r="A771">
        <f t="shared" si="37"/>
        <v>220</v>
      </c>
      <c r="B771" s="3">
        <v>43956</v>
      </c>
      <c r="C771" s="3" t="str">
        <f t="shared" si="36"/>
        <v>Tuesday</v>
      </c>
      <c r="D771" s="2">
        <v>0.34429398148148144</v>
      </c>
      <c r="E771" t="s">
        <v>14</v>
      </c>
      <c r="F771" t="s">
        <v>15</v>
      </c>
      <c r="G771">
        <v>-1</v>
      </c>
      <c r="H771" t="s">
        <v>20</v>
      </c>
      <c r="I771" t="s">
        <v>77</v>
      </c>
      <c r="J771" s="1">
        <v>44063</v>
      </c>
      <c r="L771" t="s">
        <v>14</v>
      </c>
      <c r="M771">
        <v>26.22</v>
      </c>
      <c r="N771">
        <v>26.22</v>
      </c>
      <c r="O771" t="s">
        <v>21</v>
      </c>
      <c r="P771">
        <f t="shared" ref="P771:P834" si="38">IF(H771="TO OPEN",IFERROR(P770+G771,0+G771),IFERROR(P770+G771,0+G771))</f>
        <v>-1</v>
      </c>
      <c r="Q771" s="11">
        <f>IF(P771=0,0,IFERROR(Q770+G771*M771*IF(E771="FUTURE",VLOOKUP(MID(I771,2,2),[1]Futures!$A$2:$B$12,2),1),G771*M771*IF(E771="FUTURE",VLOOKUP(MID(I771,2,2),[1]Futures!$A$2:$B$12,2),1)))</f>
        <v>-26220</v>
      </c>
      <c r="R771" s="12">
        <f>IFERROR(Q771/P771/IF(E771="FUTURE",VLOOKUP(MID(I771,2,2),[1]Futures!$A$2:$B$12,2),1),"")</f>
        <v>26.22</v>
      </c>
      <c r="S771" s="13" t="str">
        <f>IF(AND(H771="TO CLOSE",P771=0),-G771*(M771-R770)*IF(E771="FUTURE",VLOOKUP(MID(I771,2,2),[1]Futures!$A$2:$B$12,2),1),"")</f>
        <v/>
      </c>
    </row>
    <row r="772" spans="1:19" x14ac:dyDescent="0.2">
      <c r="A772">
        <f t="shared" si="37"/>
        <v>220</v>
      </c>
      <c r="B772" s="3">
        <v>43956</v>
      </c>
      <c r="C772" s="3" t="str">
        <f t="shared" si="36"/>
        <v>Tuesday</v>
      </c>
      <c r="D772" s="2">
        <v>0.34653935185185186</v>
      </c>
      <c r="E772" t="s">
        <v>14</v>
      </c>
      <c r="F772" t="s">
        <v>19</v>
      </c>
      <c r="G772">
        <v>2</v>
      </c>
      <c r="H772" t="s">
        <v>16</v>
      </c>
      <c r="I772" t="s">
        <v>77</v>
      </c>
      <c r="J772" s="1">
        <v>44063</v>
      </c>
      <c r="L772" t="s">
        <v>14</v>
      </c>
      <c r="M772">
        <v>26.34</v>
      </c>
      <c r="N772">
        <v>26.34</v>
      </c>
      <c r="O772" t="s">
        <v>24</v>
      </c>
      <c r="P772">
        <f t="shared" si="38"/>
        <v>1</v>
      </c>
      <c r="Q772" s="11">
        <f>IF(P772=0,0,IFERROR(Q771+G772*M772*IF(E772="FUTURE",VLOOKUP(MID(I772,2,2),[1]Futures!$A$2:$B$12,2),1),G772*M772*IF(E772="FUTURE",VLOOKUP(MID(I772,2,2),[1]Futures!$A$2:$B$12,2),1)))</f>
        <v>26460</v>
      </c>
      <c r="R772" s="12">
        <f>IFERROR(Q772/P772/IF(E772="FUTURE",VLOOKUP(MID(I772,2,2),[1]Futures!$A$2:$B$12,2),1),"")</f>
        <v>26.46</v>
      </c>
      <c r="S772" s="13" t="str">
        <f>IF(AND(H772="TO CLOSE",P772=0),-G772*(M772-R771)*IF(E772="FUTURE",VLOOKUP(MID(I772,2,2),[1]Futures!$A$2:$B$12,2),1),"")</f>
        <v/>
      </c>
    </row>
    <row r="773" spans="1:19" x14ac:dyDescent="0.2">
      <c r="A773">
        <f t="shared" si="37"/>
        <v>220</v>
      </c>
      <c r="B773" s="3">
        <v>43956</v>
      </c>
      <c r="C773" s="3" t="str">
        <f t="shared" si="36"/>
        <v>Tuesday</v>
      </c>
      <c r="D773" s="2">
        <v>0.35952546296296295</v>
      </c>
      <c r="E773" t="s">
        <v>14</v>
      </c>
      <c r="F773" t="s">
        <v>15</v>
      </c>
      <c r="G773">
        <v>-1</v>
      </c>
      <c r="H773" t="s">
        <v>16</v>
      </c>
      <c r="I773" t="s">
        <v>77</v>
      </c>
      <c r="J773" s="1">
        <v>44063</v>
      </c>
      <c r="L773" t="s">
        <v>14</v>
      </c>
      <c r="M773">
        <v>26.56</v>
      </c>
      <c r="N773">
        <v>26.56</v>
      </c>
      <c r="O773" t="s">
        <v>21</v>
      </c>
      <c r="P773">
        <f t="shared" si="38"/>
        <v>0</v>
      </c>
      <c r="Q773" s="11">
        <f>IF(P773=0,0,IFERROR(Q772+G773*M773*IF(E773="FUTURE",VLOOKUP(MID(I773,2,2),[1]Futures!$A$2:$B$12,2),1),G773*M773*IF(E773="FUTURE",VLOOKUP(MID(I773,2,2),[1]Futures!$A$2:$B$12,2),1)))</f>
        <v>0</v>
      </c>
      <c r="R773" s="12" t="str">
        <f>IFERROR(Q773/P773/IF(E773="FUTURE",VLOOKUP(MID(I773,2,2),[1]Futures!$A$2:$B$12,2),1),"")</f>
        <v/>
      </c>
      <c r="S773" s="13">
        <f>IF(AND(H773="TO CLOSE",P773=0),-G773*(M773-R772)*IF(E773="FUTURE",VLOOKUP(MID(I773,2,2),[1]Futures!$A$2:$B$12,2),1),"")</f>
        <v>99.999999999997868</v>
      </c>
    </row>
    <row r="774" spans="1:19" x14ac:dyDescent="0.2">
      <c r="A774">
        <f t="shared" si="37"/>
        <v>221</v>
      </c>
      <c r="B774" s="3">
        <v>43956</v>
      </c>
      <c r="C774" s="3" t="str">
        <f t="shared" si="36"/>
        <v>Tuesday</v>
      </c>
      <c r="D774" s="2">
        <v>0.37672453703703707</v>
      </c>
      <c r="E774" t="s">
        <v>14</v>
      </c>
      <c r="F774" t="s">
        <v>15</v>
      </c>
      <c r="G774">
        <v>-1</v>
      </c>
      <c r="H774" t="s">
        <v>20</v>
      </c>
      <c r="I774" t="s">
        <v>77</v>
      </c>
      <c r="J774" s="1">
        <v>44063</v>
      </c>
      <c r="L774" t="s">
        <v>14</v>
      </c>
      <c r="M774">
        <v>26.51</v>
      </c>
      <c r="N774">
        <v>26.51</v>
      </c>
      <c r="O774" t="s">
        <v>21</v>
      </c>
      <c r="P774">
        <f t="shared" si="38"/>
        <v>-1</v>
      </c>
      <c r="Q774" s="11">
        <f>IF(P774=0,0,IFERROR(Q773+G774*M774*IF(E774="FUTURE",VLOOKUP(MID(I774,2,2),[1]Futures!$A$2:$B$12,2),1),G774*M774*IF(E774="FUTURE",VLOOKUP(MID(I774,2,2),[1]Futures!$A$2:$B$12,2),1)))</f>
        <v>-26510</v>
      </c>
      <c r="R774" s="12">
        <f>IFERROR(Q774/P774/IF(E774="FUTURE",VLOOKUP(MID(I774,2,2),[1]Futures!$A$2:$B$12,2),1),"")</f>
        <v>26.51</v>
      </c>
      <c r="S774" s="13" t="str">
        <f>IF(AND(H774="TO CLOSE",P774=0),-G774*(M774-R773)*IF(E774="FUTURE",VLOOKUP(MID(I774,2,2),[1]Futures!$A$2:$B$12,2),1),"")</f>
        <v/>
      </c>
    </row>
    <row r="775" spans="1:19" x14ac:dyDescent="0.2">
      <c r="A775">
        <f t="shared" si="37"/>
        <v>221</v>
      </c>
      <c r="B775" s="3">
        <v>43956</v>
      </c>
      <c r="C775" s="3" t="str">
        <f t="shared" si="36"/>
        <v>Tuesday</v>
      </c>
      <c r="D775" s="2">
        <v>0.38010416666666669</v>
      </c>
      <c r="E775" t="s">
        <v>14</v>
      </c>
      <c r="F775" t="s">
        <v>19</v>
      </c>
      <c r="G775">
        <v>2</v>
      </c>
      <c r="H775" t="s">
        <v>16</v>
      </c>
      <c r="I775" t="s">
        <v>77</v>
      </c>
      <c r="J775" s="1">
        <v>44063</v>
      </c>
      <c r="L775" t="s">
        <v>14</v>
      </c>
      <c r="M775">
        <v>26.6</v>
      </c>
      <c r="N775">
        <v>26.6</v>
      </c>
      <c r="O775" t="s">
        <v>24</v>
      </c>
      <c r="P775">
        <f t="shared" si="38"/>
        <v>1</v>
      </c>
      <c r="Q775" s="11">
        <f>IF(P775=0,0,IFERROR(Q774+G775*M775*IF(E775="FUTURE",VLOOKUP(MID(I775,2,2),[1]Futures!$A$2:$B$12,2),1),G775*M775*IF(E775="FUTURE",VLOOKUP(MID(I775,2,2),[1]Futures!$A$2:$B$12,2),1)))</f>
        <v>26690</v>
      </c>
      <c r="R775" s="12">
        <f>IFERROR(Q775/P775/IF(E775="FUTURE",VLOOKUP(MID(I775,2,2),[1]Futures!$A$2:$B$12,2),1),"")</f>
        <v>26.69</v>
      </c>
      <c r="S775" s="13" t="str">
        <f>IF(AND(H775="TO CLOSE",P775=0),-G775*(M775-R774)*IF(E775="FUTURE",VLOOKUP(MID(I775,2,2),[1]Futures!$A$2:$B$12,2),1),"")</f>
        <v/>
      </c>
    </row>
    <row r="776" spans="1:19" x14ac:dyDescent="0.2">
      <c r="A776">
        <f t="shared" si="37"/>
        <v>221</v>
      </c>
      <c r="B776" s="3">
        <v>43956</v>
      </c>
      <c r="C776" s="3" t="str">
        <f t="shared" si="36"/>
        <v>Tuesday</v>
      </c>
      <c r="D776" s="2">
        <v>0.3823611111111111</v>
      </c>
      <c r="E776" t="s">
        <v>14</v>
      </c>
      <c r="F776" t="s">
        <v>15</v>
      </c>
      <c r="G776">
        <v>-1</v>
      </c>
      <c r="H776" t="s">
        <v>16</v>
      </c>
      <c r="I776" t="s">
        <v>77</v>
      </c>
      <c r="J776" s="1">
        <v>44063</v>
      </c>
      <c r="L776" t="s">
        <v>14</v>
      </c>
      <c r="M776">
        <v>26.72</v>
      </c>
      <c r="N776">
        <v>26.72</v>
      </c>
      <c r="O776" t="s">
        <v>21</v>
      </c>
      <c r="P776">
        <f t="shared" si="38"/>
        <v>0</v>
      </c>
      <c r="Q776" s="11">
        <f>IF(P776=0,0,IFERROR(Q775+G776*M776*IF(E776="FUTURE",VLOOKUP(MID(I776,2,2),[1]Futures!$A$2:$B$12,2),1),G776*M776*IF(E776="FUTURE",VLOOKUP(MID(I776,2,2),[1]Futures!$A$2:$B$12,2),1)))</f>
        <v>0</v>
      </c>
      <c r="R776" s="12" t="str">
        <f>IFERROR(Q776/P776/IF(E776="FUTURE",VLOOKUP(MID(I776,2,2),[1]Futures!$A$2:$B$12,2),1),"")</f>
        <v/>
      </c>
      <c r="S776" s="13">
        <f>IF(AND(H776="TO CLOSE",P776=0),-G776*(M776-R775)*IF(E776="FUTURE",VLOOKUP(MID(I776,2,2),[1]Futures!$A$2:$B$12,2),1),"")</f>
        <v>29.999999999997584</v>
      </c>
    </row>
    <row r="777" spans="1:19" x14ac:dyDescent="0.2">
      <c r="A777">
        <f t="shared" si="37"/>
        <v>222</v>
      </c>
      <c r="B777" s="3">
        <v>43956</v>
      </c>
      <c r="C777" s="3" t="str">
        <f t="shared" si="36"/>
        <v>Tuesday</v>
      </c>
      <c r="D777" s="2">
        <v>0.39299768518518513</v>
      </c>
      <c r="E777" t="s">
        <v>14</v>
      </c>
      <c r="F777" t="s">
        <v>15</v>
      </c>
      <c r="G777">
        <v>-1</v>
      </c>
      <c r="H777" t="s">
        <v>20</v>
      </c>
      <c r="I777" t="s">
        <v>77</v>
      </c>
      <c r="J777" s="1">
        <v>44063</v>
      </c>
      <c r="L777" t="s">
        <v>14</v>
      </c>
      <c r="M777">
        <v>26.73</v>
      </c>
      <c r="N777">
        <v>26.73</v>
      </c>
      <c r="O777" t="s">
        <v>21</v>
      </c>
      <c r="P777">
        <f t="shared" si="38"/>
        <v>-1</v>
      </c>
      <c r="Q777" s="11">
        <f>IF(P777=0,0,IFERROR(Q776+G777*M777*IF(E777="FUTURE",VLOOKUP(MID(I777,2,2),[1]Futures!$A$2:$B$12,2),1),G777*M777*IF(E777="FUTURE",VLOOKUP(MID(I777,2,2),[1]Futures!$A$2:$B$12,2),1)))</f>
        <v>-26730</v>
      </c>
      <c r="R777" s="12">
        <f>IFERROR(Q777/P777/IF(E777="FUTURE",VLOOKUP(MID(I777,2,2),[1]Futures!$A$2:$B$12,2),1),"")</f>
        <v>26.73</v>
      </c>
      <c r="S777" s="13" t="str">
        <f>IF(AND(H777="TO CLOSE",P777=0),-G777*(M777-R776)*IF(E777="FUTURE",VLOOKUP(MID(I777,2,2),[1]Futures!$A$2:$B$12,2),1),"")</f>
        <v/>
      </c>
    </row>
    <row r="778" spans="1:19" x14ac:dyDescent="0.2">
      <c r="A778">
        <f t="shared" si="37"/>
        <v>222</v>
      </c>
      <c r="B778" s="3">
        <v>43956</v>
      </c>
      <c r="C778" s="3" t="str">
        <f t="shared" si="36"/>
        <v>Tuesday</v>
      </c>
      <c r="D778" s="2">
        <v>0.40120370370370373</v>
      </c>
      <c r="E778" t="s">
        <v>14</v>
      </c>
      <c r="F778" t="s">
        <v>15</v>
      </c>
      <c r="G778">
        <v>-1</v>
      </c>
      <c r="H778" t="s">
        <v>20</v>
      </c>
      <c r="I778" t="s">
        <v>77</v>
      </c>
      <c r="J778" s="1">
        <v>44063</v>
      </c>
      <c r="L778" t="s">
        <v>14</v>
      </c>
      <c r="M778">
        <v>27.07</v>
      </c>
      <c r="N778">
        <v>27.07</v>
      </c>
      <c r="O778" t="s">
        <v>21</v>
      </c>
      <c r="P778">
        <f t="shared" si="38"/>
        <v>-2</v>
      </c>
      <c r="Q778" s="11">
        <f>IF(P778=0,0,IFERROR(Q777+G778*M778*IF(E778="FUTURE",VLOOKUP(MID(I778,2,2),[1]Futures!$A$2:$B$12,2),1),G778*M778*IF(E778="FUTURE",VLOOKUP(MID(I778,2,2),[1]Futures!$A$2:$B$12,2),1)))</f>
        <v>-53800</v>
      </c>
      <c r="R778" s="12">
        <f>IFERROR(Q778/P778/IF(E778="FUTURE",VLOOKUP(MID(I778,2,2),[1]Futures!$A$2:$B$12,2),1),"")</f>
        <v>26.9</v>
      </c>
      <c r="S778" s="13" t="str">
        <f>IF(AND(H778="TO CLOSE",P778=0),-G778*(M778-R777)*IF(E778="FUTURE",VLOOKUP(MID(I778,2,2),[1]Futures!$A$2:$B$12,2),1),"")</f>
        <v/>
      </c>
    </row>
    <row r="779" spans="1:19" x14ac:dyDescent="0.2">
      <c r="A779">
        <f t="shared" si="37"/>
        <v>222</v>
      </c>
      <c r="B779" s="3">
        <v>43956</v>
      </c>
      <c r="C779" s="3" t="str">
        <f t="shared" si="36"/>
        <v>Tuesday</v>
      </c>
      <c r="D779" s="2">
        <v>0.41046296296296297</v>
      </c>
      <c r="E779" t="s">
        <v>14</v>
      </c>
      <c r="F779" t="s">
        <v>19</v>
      </c>
      <c r="G779">
        <v>1</v>
      </c>
      <c r="H779" t="s">
        <v>16</v>
      </c>
      <c r="I779" t="s">
        <v>77</v>
      </c>
      <c r="J779" s="1">
        <v>44063</v>
      </c>
      <c r="L779" t="s">
        <v>14</v>
      </c>
      <c r="M779">
        <v>26.87</v>
      </c>
      <c r="N779">
        <v>26.87</v>
      </c>
      <c r="O779" t="s">
        <v>21</v>
      </c>
      <c r="P779">
        <f t="shared" si="38"/>
        <v>-1</v>
      </c>
      <c r="Q779" s="11">
        <f>IF(P779=0,0,IFERROR(Q778+G779*M779*IF(E779="FUTURE",VLOOKUP(MID(I779,2,2),[1]Futures!$A$2:$B$12,2),1),G779*M779*IF(E779="FUTURE",VLOOKUP(MID(I779,2,2),[1]Futures!$A$2:$B$12,2),1)))</f>
        <v>-26930</v>
      </c>
      <c r="R779" s="12">
        <f>IFERROR(Q779/P779/IF(E779="FUTURE",VLOOKUP(MID(I779,2,2),[1]Futures!$A$2:$B$12,2),1),"")</f>
        <v>26.93</v>
      </c>
      <c r="S779" s="13" t="str">
        <f>IF(AND(H779="TO CLOSE",P779=0),-G779*(M779-R778)*IF(E779="FUTURE",VLOOKUP(MID(I779,2,2),[1]Futures!$A$2:$B$12,2),1),"")</f>
        <v/>
      </c>
    </row>
    <row r="780" spans="1:19" x14ac:dyDescent="0.2">
      <c r="A780">
        <f t="shared" si="37"/>
        <v>222</v>
      </c>
      <c r="B780" s="3">
        <v>43956</v>
      </c>
      <c r="C780" s="3" t="str">
        <f t="shared" si="36"/>
        <v>Tuesday</v>
      </c>
      <c r="D780" s="2">
        <v>0.41077546296296297</v>
      </c>
      <c r="E780" t="s">
        <v>14</v>
      </c>
      <c r="F780" t="s">
        <v>19</v>
      </c>
      <c r="G780">
        <v>1</v>
      </c>
      <c r="H780" t="s">
        <v>16</v>
      </c>
      <c r="I780" t="s">
        <v>77</v>
      </c>
      <c r="J780" s="1">
        <v>44063</v>
      </c>
      <c r="L780" t="s">
        <v>14</v>
      </c>
      <c r="M780">
        <v>26.87</v>
      </c>
      <c r="N780">
        <v>26.87</v>
      </c>
      <c r="O780" t="s">
        <v>21</v>
      </c>
      <c r="P780">
        <f t="shared" si="38"/>
        <v>0</v>
      </c>
      <c r="Q780" s="11">
        <f>IF(P780=0,0,IFERROR(Q779+G780*M780*IF(E780="FUTURE",VLOOKUP(MID(I780,2,2),[1]Futures!$A$2:$B$12,2),1),G780*M780*IF(E780="FUTURE",VLOOKUP(MID(I780,2,2),[1]Futures!$A$2:$B$12,2),1)))</f>
        <v>0</v>
      </c>
      <c r="R780" s="12" t="str">
        <f>IFERROR(Q780/P780/IF(E780="FUTURE",VLOOKUP(MID(I780,2,2),[1]Futures!$A$2:$B$12,2),1),"")</f>
        <v/>
      </c>
      <c r="S780" s="13">
        <f>IF(AND(H780="TO CLOSE",P780=0),-G780*(M780-R779)*IF(E780="FUTURE",VLOOKUP(MID(I780,2,2),[1]Futures!$A$2:$B$12,2),1),"")</f>
        <v>59.999999999998721</v>
      </c>
    </row>
    <row r="781" spans="1:19" x14ac:dyDescent="0.2">
      <c r="A781">
        <f t="shared" si="37"/>
        <v>223</v>
      </c>
      <c r="B781" s="3">
        <v>43956</v>
      </c>
      <c r="C781" s="3" t="str">
        <f t="shared" si="36"/>
        <v>Tuesday</v>
      </c>
      <c r="D781" s="2">
        <v>0.42196759259259259</v>
      </c>
      <c r="E781" t="s">
        <v>14</v>
      </c>
      <c r="F781" t="s">
        <v>15</v>
      </c>
      <c r="G781">
        <v>-1</v>
      </c>
      <c r="H781" t="s">
        <v>20</v>
      </c>
      <c r="I781" t="s">
        <v>77</v>
      </c>
      <c r="J781" s="1">
        <v>44063</v>
      </c>
      <c r="L781" t="s">
        <v>14</v>
      </c>
      <c r="M781">
        <v>27.31</v>
      </c>
      <c r="N781">
        <v>27.31</v>
      </c>
      <c r="O781" t="s">
        <v>21</v>
      </c>
      <c r="P781">
        <f t="shared" si="38"/>
        <v>-1</v>
      </c>
      <c r="Q781" s="11">
        <f>IF(P781=0,0,IFERROR(Q780+G781*M781*IF(E781="FUTURE",VLOOKUP(MID(I781,2,2),[1]Futures!$A$2:$B$12,2),1),G781*M781*IF(E781="FUTURE",VLOOKUP(MID(I781,2,2),[1]Futures!$A$2:$B$12,2),1)))</f>
        <v>-27310</v>
      </c>
      <c r="R781" s="12">
        <f>IFERROR(Q781/P781/IF(E781="FUTURE",VLOOKUP(MID(I781,2,2),[1]Futures!$A$2:$B$12,2),1),"")</f>
        <v>27.31</v>
      </c>
      <c r="S781" s="13" t="str">
        <f>IF(AND(H781="TO CLOSE",P781=0),-G781*(M781-R780)*IF(E781="FUTURE",VLOOKUP(MID(I781,2,2),[1]Futures!$A$2:$B$12,2),1),"")</f>
        <v/>
      </c>
    </row>
    <row r="782" spans="1:19" x14ac:dyDescent="0.2">
      <c r="A782">
        <f t="shared" si="37"/>
        <v>223</v>
      </c>
      <c r="B782" s="3">
        <v>43956</v>
      </c>
      <c r="C782" s="3" t="str">
        <f t="shared" si="36"/>
        <v>Tuesday</v>
      </c>
      <c r="D782" s="2">
        <v>0.4246759259259259</v>
      </c>
      <c r="E782" t="s">
        <v>14</v>
      </c>
      <c r="F782" t="s">
        <v>19</v>
      </c>
      <c r="G782">
        <v>1</v>
      </c>
      <c r="H782" t="s">
        <v>16</v>
      </c>
      <c r="I782" t="s">
        <v>77</v>
      </c>
      <c r="J782" s="1">
        <v>44063</v>
      </c>
      <c r="L782" t="s">
        <v>14</v>
      </c>
      <c r="M782">
        <v>27.16</v>
      </c>
      <c r="N782">
        <v>27.16</v>
      </c>
      <c r="O782" t="s">
        <v>21</v>
      </c>
      <c r="P782">
        <f t="shared" si="38"/>
        <v>0</v>
      </c>
      <c r="Q782" s="11">
        <f>IF(P782=0,0,IFERROR(Q781+G782*M782*IF(E782="FUTURE",VLOOKUP(MID(I782,2,2),[1]Futures!$A$2:$B$12,2),1),G782*M782*IF(E782="FUTURE",VLOOKUP(MID(I782,2,2),[1]Futures!$A$2:$B$12,2),1)))</f>
        <v>0</v>
      </c>
      <c r="R782" s="12" t="str">
        <f>IFERROR(Q782/P782/IF(E782="FUTURE",VLOOKUP(MID(I782,2,2),[1]Futures!$A$2:$B$12,2),1),"")</f>
        <v/>
      </c>
      <c r="S782" s="13">
        <f>IF(AND(H782="TO CLOSE",P782=0),-G782*(M782-R781)*IF(E782="FUTURE",VLOOKUP(MID(I782,2,2),[1]Futures!$A$2:$B$12,2),1),"")</f>
        <v>149.99999999999858</v>
      </c>
    </row>
    <row r="783" spans="1:19" x14ac:dyDescent="0.2">
      <c r="A783">
        <f t="shared" si="37"/>
        <v>224</v>
      </c>
      <c r="B783" s="3">
        <v>43956</v>
      </c>
      <c r="C783" s="3" t="str">
        <f t="shared" si="36"/>
        <v>Tuesday</v>
      </c>
      <c r="D783" s="2">
        <v>0.43600694444444449</v>
      </c>
      <c r="E783" t="s">
        <v>14</v>
      </c>
      <c r="F783" t="s">
        <v>15</v>
      </c>
      <c r="G783">
        <v>-1</v>
      </c>
      <c r="H783" t="s">
        <v>20</v>
      </c>
      <c r="I783" t="s">
        <v>77</v>
      </c>
      <c r="J783" s="1">
        <v>44063</v>
      </c>
      <c r="L783" t="s">
        <v>14</v>
      </c>
      <c r="M783">
        <v>27.25</v>
      </c>
      <c r="N783">
        <v>27.25</v>
      </c>
      <c r="O783" t="s">
        <v>21</v>
      </c>
      <c r="P783">
        <f t="shared" si="38"/>
        <v>-1</v>
      </c>
      <c r="Q783" s="11">
        <f>IF(P783=0,0,IFERROR(Q782+G783*M783*IF(E783="FUTURE",VLOOKUP(MID(I783,2,2),[1]Futures!$A$2:$B$12,2),1),G783*M783*IF(E783="FUTURE",VLOOKUP(MID(I783,2,2),[1]Futures!$A$2:$B$12,2),1)))</f>
        <v>-27250</v>
      </c>
      <c r="R783" s="12">
        <f>IFERROR(Q783/P783/IF(E783="FUTURE",VLOOKUP(MID(I783,2,2),[1]Futures!$A$2:$B$12,2),1),"")</f>
        <v>27.25</v>
      </c>
      <c r="S783" s="13" t="str">
        <f>IF(AND(H783="TO CLOSE",P783=0),-G783*(M783-R782)*IF(E783="FUTURE",VLOOKUP(MID(I783,2,2),[1]Futures!$A$2:$B$12,2),1),"")</f>
        <v/>
      </c>
    </row>
    <row r="784" spans="1:19" x14ac:dyDescent="0.2">
      <c r="A784">
        <f t="shared" si="37"/>
        <v>224</v>
      </c>
      <c r="B784" s="3">
        <v>43956</v>
      </c>
      <c r="C784" s="3" t="str">
        <f t="shared" si="36"/>
        <v>Tuesday</v>
      </c>
      <c r="D784" s="2">
        <v>0.43885416666666671</v>
      </c>
      <c r="E784" t="s">
        <v>14</v>
      </c>
      <c r="F784" t="s">
        <v>19</v>
      </c>
      <c r="G784">
        <v>1</v>
      </c>
      <c r="H784" t="s">
        <v>16</v>
      </c>
      <c r="I784" t="s">
        <v>77</v>
      </c>
      <c r="J784" s="1">
        <v>44063</v>
      </c>
      <c r="L784" t="s">
        <v>14</v>
      </c>
      <c r="M784">
        <v>27.11</v>
      </c>
      <c r="N784">
        <v>27.11</v>
      </c>
      <c r="O784" t="s">
        <v>21</v>
      </c>
      <c r="P784">
        <f t="shared" si="38"/>
        <v>0</v>
      </c>
      <c r="Q784" s="11">
        <f>IF(P784=0,0,IFERROR(Q783+G784*M784*IF(E784="FUTURE",VLOOKUP(MID(I784,2,2),[1]Futures!$A$2:$B$12,2),1),G784*M784*IF(E784="FUTURE",VLOOKUP(MID(I784,2,2),[1]Futures!$A$2:$B$12,2),1)))</f>
        <v>0</v>
      </c>
      <c r="R784" s="12" t="str">
        <f>IFERROR(Q784/P784/IF(E784="FUTURE",VLOOKUP(MID(I784,2,2),[1]Futures!$A$2:$B$12,2),1),"")</f>
        <v/>
      </c>
      <c r="S784" s="13">
        <f>IF(AND(H784="TO CLOSE",P784=0),-G784*(M784-R783)*IF(E784="FUTURE",VLOOKUP(MID(I784,2,2),[1]Futures!$A$2:$B$12,2),1),"")</f>
        <v>140.00000000000057</v>
      </c>
    </row>
    <row r="785" spans="1:19" x14ac:dyDescent="0.2">
      <c r="A785">
        <f t="shared" si="37"/>
        <v>225</v>
      </c>
      <c r="B785" s="3">
        <v>43956</v>
      </c>
      <c r="C785" s="3" t="str">
        <f t="shared" si="36"/>
        <v>Tuesday</v>
      </c>
      <c r="D785" s="2">
        <v>0.44138888888888889</v>
      </c>
      <c r="E785" t="s">
        <v>14</v>
      </c>
      <c r="F785" t="s">
        <v>15</v>
      </c>
      <c r="G785">
        <v>-1</v>
      </c>
      <c r="H785" t="s">
        <v>20</v>
      </c>
      <c r="I785" t="s">
        <v>77</v>
      </c>
      <c r="J785" s="1">
        <v>44063</v>
      </c>
      <c r="L785" t="s">
        <v>14</v>
      </c>
      <c r="M785">
        <v>27.18</v>
      </c>
      <c r="N785">
        <v>27.18</v>
      </c>
      <c r="O785" t="s">
        <v>21</v>
      </c>
      <c r="P785">
        <f t="shared" si="38"/>
        <v>-1</v>
      </c>
      <c r="Q785" s="11">
        <f>IF(P785=0,0,IFERROR(Q784+G785*M785*IF(E785="FUTURE",VLOOKUP(MID(I785,2,2),[1]Futures!$A$2:$B$12,2),1),G785*M785*IF(E785="FUTURE",VLOOKUP(MID(I785,2,2),[1]Futures!$A$2:$B$12,2),1)))</f>
        <v>-27180</v>
      </c>
      <c r="R785" s="12">
        <f>IFERROR(Q785/P785/IF(E785="FUTURE",VLOOKUP(MID(I785,2,2),[1]Futures!$A$2:$B$12,2),1),"")</f>
        <v>27.18</v>
      </c>
      <c r="S785" s="13" t="str">
        <f>IF(AND(H785="TO CLOSE",P785=0),-G785*(M785-R784)*IF(E785="FUTURE",VLOOKUP(MID(I785,2,2),[1]Futures!$A$2:$B$12,2),1),"")</f>
        <v/>
      </c>
    </row>
    <row r="786" spans="1:19" x14ac:dyDescent="0.2">
      <c r="A786">
        <f t="shared" si="37"/>
        <v>225</v>
      </c>
      <c r="B786" s="3">
        <v>43956</v>
      </c>
      <c r="C786" s="3" t="str">
        <f t="shared" si="36"/>
        <v>Tuesday</v>
      </c>
      <c r="D786" s="2">
        <v>0.44197916666666665</v>
      </c>
      <c r="E786" t="s">
        <v>14</v>
      </c>
      <c r="F786" t="s">
        <v>19</v>
      </c>
      <c r="G786">
        <v>1</v>
      </c>
      <c r="H786" t="s">
        <v>16</v>
      </c>
      <c r="I786" t="s">
        <v>77</v>
      </c>
      <c r="J786" s="1">
        <v>44063</v>
      </c>
      <c r="L786" t="s">
        <v>14</v>
      </c>
      <c r="M786">
        <v>27.15</v>
      </c>
      <c r="N786">
        <v>27.15</v>
      </c>
      <c r="O786" t="s">
        <v>21</v>
      </c>
      <c r="P786">
        <f t="shared" si="38"/>
        <v>0</v>
      </c>
      <c r="Q786" s="11">
        <f>IF(P786=0,0,IFERROR(Q785+G786*M786*IF(E786="FUTURE",VLOOKUP(MID(I786,2,2),[1]Futures!$A$2:$B$12,2),1),G786*M786*IF(E786="FUTURE",VLOOKUP(MID(I786,2,2),[1]Futures!$A$2:$B$12,2),1)))</f>
        <v>0</v>
      </c>
      <c r="R786" s="12" t="str">
        <f>IFERROR(Q786/P786/IF(E786="FUTURE",VLOOKUP(MID(I786,2,2),[1]Futures!$A$2:$B$12,2),1),"")</f>
        <v/>
      </c>
      <c r="S786" s="13">
        <f>IF(AND(H786="TO CLOSE",P786=0),-G786*(M786-R785)*IF(E786="FUTURE",VLOOKUP(MID(I786,2,2),[1]Futures!$A$2:$B$12,2),1),"")</f>
        <v>30.000000000001137</v>
      </c>
    </row>
    <row r="787" spans="1:19" x14ac:dyDescent="0.2">
      <c r="A787">
        <f t="shared" si="37"/>
        <v>226</v>
      </c>
      <c r="B787" s="3">
        <v>43956</v>
      </c>
      <c r="C787" s="3" t="str">
        <f t="shared" si="36"/>
        <v>Tuesday</v>
      </c>
      <c r="D787" s="2">
        <v>0.45503472222222219</v>
      </c>
      <c r="E787" t="s">
        <v>14</v>
      </c>
      <c r="F787" t="s">
        <v>19</v>
      </c>
      <c r="G787">
        <v>2</v>
      </c>
      <c r="H787" t="s">
        <v>20</v>
      </c>
      <c r="I787" t="s">
        <v>77</v>
      </c>
      <c r="J787" s="1">
        <v>44063</v>
      </c>
      <c r="L787" t="s">
        <v>14</v>
      </c>
      <c r="M787">
        <v>27.17</v>
      </c>
      <c r="N787">
        <v>27.17</v>
      </c>
      <c r="O787" t="s">
        <v>24</v>
      </c>
      <c r="P787">
        <f t="shared" si="38"/>
        <v>2</v>
      </c>
      <c r="Q787" s="11">
        <f>IF(P787=0,0,IFERROR(Q786+G787*M787*IF(E787="FUTURE",VLOOKUP(MID(I787,2,2),[1]Futures!$A$2:$B$12,2),1),G787*M787*IF(E787="FUTURE",VLOOKUP(MID(I787,2,2),[1]Futures!$A$2:$B$12,2),1)))</f>
        <v>54340</v>
      </c>
      <c r="R787" s="12">
        <f>IFERROR(Q787/P787/IF(E787="FUTURE",VLOOKUP(MID(I787,2,2),[1]Futures!$A$2:$B$12,2),1),"")</f>
        <v>27.17</v>
      </c>
      <c r="S787" s="13" t="str">
        <f>IF(AND(H787="TO CLOSE",P787=0),-G787*(M787-R786)*IF(E787="FUTURE",VLOOKUP(MID(I787,2,2),[1]Futures!$A$2:$B$12,2),1),"")</f>
        <v/>
      </c>
    </row>
    <row r="788" spans="1:19" x14ac:dyDescent="0.2">
      <c r="A788">
        <f t="shared" si="37"/>
        <v>226</v>
      </c>
      <c r="B788" s="3">
        <v>43956</v>
      </c>
      <c r="C788" s="3" t="str">
        <f t="shared" si="36"/>
        <v>Tuesday</v>
      </c>
      <c r="D788" s="2">
        <v>0.45697916666666666</v>
      </c>
      <c r="E788" t="s">
        <v>14</v>
      </c>
      <c r="F788" t="s">
        <v>15</v>
      </c>
      <c r="G788">
        <v>-3</v>
      </c>
      <c r="H788" t="s">
        <v>16</v>
      </c>
      <c r="I788" t="s">
        <v>77</v>
      </c>
      <c r="J788" s="1">
        <v>44063</v>
      </c>
      <c r="L788" t="s">
        <v>14</v>
      </c>
      <c r="M788">
        <v>26.85</v>
      </c>
      <c r="N788">
        <v>26.85</v>
      </c>
      <c r="O788" t="s">
        <v>24</v>
      </c>
      <c r="P788">
        <f t="shared" si="38"/>
        <v>-1</v>
      </c>
      <c r="Q788" s="11">
        <f>IF(P788=0,0,IFERROR(Q787+G788*M788*IF(E788="FUTURE",VLOOKUP(MID(I788,2,2),[1]Futures!$A$2:$B$12,2),1),G788*M788*IF(E788="FUTURE",VLOOKUP(MID(I788,2,2),[1]Futures!$A$2:$B$12,2),1)))</f>
        <v>-26210.000000000015</v>
      </c>
      <c r="R788" s="12">
        <f>IFERROR(Q788/P788/IF(E788="FUTURE",VLOOKUP(MID(I788,2,2),[1]Futures!$A$2:$B$12,2),1),"")</f>
        <v>26.210000000000015</v>
      </c>
      <c r="S788" s="13" t="str">
        <f>IF(AND(H788="TO CLOSE",P788=0),-G788*(M788-R787)*IF(E788="FUTURE",VLOOKUP(MID(I788,2,2),[1]Futures!$A$2:$B$12,2),1),"")</f>
        <v/>
      </c>
    </row>
    <row r="789" spans="1:19" x14ac:dyDescent="0.2">
      <c r="A789">
        <f t="shared" si="37"/>
        <v>226</v>
      </c>
      <c r="B789" s="3">
        <v>43956</v>
      </c>
      <c r="C789" s="3" t="str">
        <f t="shared" si="36"/>
        <v>Tuesday</v>
      </c>
      <c r="D789" s="2">
        <v>0.45697916666666666</v>
      </c>
      <c r="E789" t="s">
        <v>14</v>
      </c>
      <c r="F789" t="s">
        <v>15</v>
      </c>
      <c r="G789">
        <v>-1</v>
      </c>
      <c r="H789" t="s">
        <v>16</v>
      </c>
      <c r="I789" t="s">
        <v>77</v>
      </c>
      <c r="J789" s="1">
        <v>44063</v>
      </c>
      <c r="L789" t="s">
        <v>14</v>
      </c>
      <c r="M789">
        <v>26.85</v>
      </c>
      <c r="N789">
        <v>26.85</v>
      </c>
      <c r="O789" t="s">
        <v>24</v>
      </c>
      <c r="P789">
        <f t="shared" si="38"/>
        <v>-2</v>
      </c>
      <c r="Q789" s="11">
        <f>IF(P789=0,0,IFERROR(Q788+G789*M789*IF(E789="FUTURE",VLOOKUP(MID(I789,2,2),[1]Futures!$A$2:$B$12,2),1),G789*M789*IF(E789="FUTURE",VLOOKUP(MID(I789,2,2),[1]Futures!$A$2:$B$12,2),1)))</f>
        <v>-53060.000000000015</v>
      </c>
      <c r="R789" s="12">
        <f>IFERROR(Q789/P789/IF(E789="FUTURE",VLOOKUP(MID(I789,2,2),[1]Futures!$A$2:$B$12,2),1),"")</f>
        <v>26.530000000000008</v>
      </c>
      <c r="S789" s="13" t="str">
        <f>IF(AND(H789="TO CLOSE",P789=0),-G789*(M789-R788)*IF(E789="FUTURE",VLOOKUP(MID(I789,2,2),[1]Futures!$A$2:$B$12,2),1),"")</f>
        <v/>
      </c>
    </row>
    <row r="790" spans="1:19" x14ac:dyDescent="0.2">
      <c r="A790">
        <f t="shared" si="37"/>
        <v>226</v>
      </c>
      <c r="B790" s="3">
        <v>43956</v>
      </c>
      <c r="C790" s="3" t="str">
        <f t="shared" si="36"/>
        <v>Tuesday</v>
      </c>
      <c r="D790" s="2">
        <v>0.47438657407407409</v>
      </c>
      <c r="E790" t="s">
        <v>14</v>
      </c>
      <c r="F790" t="s">
        <v>19</v>
      </c>
      <c r="G790">
        <v>4</v>
      </c>
      <c r="H790" t="s">
        <v>16</v>
      </c>
      <c r="I790" t="s">
        <v>77</v>
      </c>
      <c r="J790" s="1">
        <v>44063</v>
      </c>
      <c r="L790" t="s">
        <v>14</v>
      </c>
      <c r="M790">
        <v>27.22</v>
      </c>
      <c r="N790">
        <v>27.22</v>
      </c>
      <c r="O790" t="s">
        <v>18</v>
      </c>
      <c r="P790">
        <f t="shared" si="38"/>
        <v>2</v>
      </c>
      <c r="Q790" s="11">
        <f>IF(P790=0,0,IFERROR(Q789+G790*M790*IF(E790="FUTURE",VLOOKUP(MID(I790,2,2),[1]Futures!$A$2:$B$12,2),1),G790*M790*IF(E790="FUTURE",VLOOKUP(MID(I790,2,2),[1]Futures!$A$2:$B$12,2),1)))</f>
        <v>55819.999999999985</v>
      </c>
      <c r="R790" s="12">
        <f>IFERROR(Q790/P790/IF(E790="FUTURE",VLOOKUP(MID(I790,2,2),[1]Futures!$A$2:$B$12,2),1),"")</f>
        <v>27.909999999999993</v>
      </c>
      <c r="S790" s="13" t="str">
        <f>IF(AND(H790="TO CLOSE",P790=0),-G790*(M790-R789)*IF(E790="FUTURE",VLOOKUP(MID(I790,2,2),[1]Futures!$A$2:$B$12,2),1),"")</f>
        <v/>
      </c>
    </row>
    <row r="791" spans="1:19" x14ac:dyDescent="0.2">
      <c r="A791">
        <f t="shared" si="37"/>
        <v>226</v>
      </c>
      <c r="B791" s="3">
        <v>43956</v>
      </c>
      <c r="C791" s="3" t="str">
        <f t="shared" si="36"/>
        <v>Tuesday</v>
      </c>
      <c r="D791" s="2">
        <v>0.49346064814814811</v>
      </c>
      <c r="E791" t="s">
        <v>14</v>
      </c>
      <c r="F791" t="s">
        <v>15</v>
      </c>
      <c r="G791">
        <v>-1</v>
      </c>
      <c r="H791" t="s">
        <v>16</v>
      </c>
      <c r="I791" t="s">
        <v>77</v>
      </c>
      <c r="J791" s="1">
        <v>44063</v>
      </c>
      <c r="L791" t="s">
        <v>14</v>
      </c>
      <c r="M791">
        <v>27.38</v>
      </c>
      <c r="N791">
        <v>27.38</v>
      </c>
      <c r="O791" t="s">
        <v>21</v>
      </c>
      <c r="P791">
        <f t="shared" si="38"/>
        <v>1</v>
      </c>
      <c r="Q791" s="11">
        <f>IF(P791=0,0,IFERROR(Q790+G791*M791*IF(E791="FUTURE",VLOOKUP(MID(I791,2,2),[1]Futures!$A$2:$B$12,2),1),G791*M791*IF(E791="FUTURE",VLOOKUP(MID(I791,2,2),[1]Futures!$A$2:$B$12,2),1)))</f>
        <v>28439.999999999985</v>
      </c>
      <c r="R791" s="12">
        <f>IFERROR(Q791/P791/IF(E791="FUTURE",VLOOKUP(MID(I791,2,2),[1]Futures!$A$2:$B$12,2),1),"")</f>
        <v>28.439999999999987</v>
      </c>
      <c r="S791" s="13" t="str">
        <f>IF(AND(H791="TO CLOSE",P791=0),-G791*(M791-R790)*IF(E791="FUTURE",VLOOKUP(MID(I791,2,2),[1]Futures!$A$2:$B$12,2),1),"")</f>
        <v/>
      </c>
    </row>
    <row r="792" spans="1:19" x14ac:dyDescent="0.2">
      <c r="A792">
        <f t="shared" si="37"/>
        <v>226</v>
      </c>
      <c r="B792" s="3">
        <v>43956</v>
      </c>
      <c r="C792" s="3" t="str">
        <f t="shared" si="36"/>
        <v>Tuesday</v>
      </c>
      <c r="D792" s="2">
        <v>0.49349537037037039</v>
      </c>
      <c r="E792" t="s">
        <v>14</v>
      </c>
      <c r="F792" t="s">
        <v>15</v>
      </c>
      <c r="G792">
        <v>-2</v>
      </c>
      <c r="H792" t="s">
        <v>16</v>
      </c>
      <c r="I792" t="s">
        <v>77</v>
      </c>
      <c r="J792" s="1">
        <v>44063</v>
      </c>
      <c r="L792" t="s">
        <v>14</v>
      </c>
      <c r="M792">
        <v>27.38</v>
      </c>
      <c r="N792">
        <v>27.38</v>
      </c>
      <c r="O792" t="s">
        <v>21</v>
      </c>
      <c r="P792">
        <f t="shared" si="38"/>
        <v>-1</v>
      </c>
      <c r="Q792" s="11">
        <f>IF(P792=0,0,IFERROR(Q791+G792*M792*IF(E792="FUTURE",VLOOKUP(MID(I792,2,2),[1]Futures!$A$2:$B$12,2),1),G792*M792*IF(E792="FUTURE",VLOOKUP(MID(I792,2,2),[1]Futures!$A$2:$B$12,2),1)))</f>
        <v>-26320.000000000015</v>
      </c>
      <c r="R792" s="12">
        <f>IFERROR(Q792/P792/IF(E792="FUTURE",VLOOKUP(MID(I792,2,2),[1]Futures!$A$2:$B$12,2),1),"")</f>
        <v>26.320000000000014</v>
      </c>
      <c r="S792" s="13" t="str">
        <f>IF(AND(H792="TO CLOSE",P792=0),-G792*(M792-R791)*IF(E792="FUTURE",VLOOKUP(MID(I792,2,2),[1]Futures!$A$2:$B$12,2),1),"")</f>
        <v/>
      </c>
    </row>
    <row r="793" spans="1:19" x14ac:dyDescent="0.2">
      <c r="A793">
        <f t="shared" si="37"/>
        <v>226</v>
      </c>
      <c r="B793" s="3">
        <v>43956</v>
      </c>
      <c r="C793" s="3" t="str">
        <f t="shared" si="36"/>
        <v>Tuesday</v>
      </c>
      <c r="D793" s="2">
        <v>0.49349537037037039</v>
      </c>
      <c r="E793" t="s">
        <v>14</v>
      </c>
      <c r="F793" t="s">
        <v>15</v>
      </c>
      <c r="G793">
        <v>-1</v>
      </c>
      <c r="H793" t="s">
        <v>16</v>
      </c>
      <c r="I793" t="s">
        <v>77</v>
      </c>
      <c r="J793" s="1">
        <v>44063</v>
      </c>
      <c r="L793" t="s">
        <v>14</v>
      </c>
      <c r="M793">
        <v>27.38</v>
      </c>
      <c r="N793">
        <v>27.38</v>
      </c>
      <c r="O793" t="s">
        <v>21</v>
      </c>
      <c r="P793">
        <f t="shared" si="38"/>
        <v>-2</v>
      </c>
      <c r="Q793" s="11">
        <f>IF(P793=0,0,IFERROR(Q792+G793*M793*IF(E793="FUTURE",VLOOKUP(MID(I793,2,2),[1]Futures!$A$2:$B$12,2),1),G793*M793*IF(E793="FUTURE",VLOOKUP(MID(I793,2,2),[1]Futures!$A$2:$B$12,2),1)))</f>
        <v>-53700.000000000015</v>
      </c>
      <c r="R793" s="12">
        <f>IFERROR(Q793/P793/IF(E793="FUTURE",VLOOKUP(MID(I793,2,2),[1]Futures!$A$2:$B$12,2),1),"")</f>
        <v>26.850000000000009</v>
      </c>
      <c r="S793" s="13" t="str">
        <f>IF(AND(H793="TO CLOSE",P793=0),-G793*(M793-R792)*IF(E793="FUTURE",VLOOKUP(MID(I793,2,2),[1]Futures!$A$2:$B$12,2),1),"")</f>
        <v/>
      </c>
    </row>
    <row r="794" spans="1:19" x14ac:dyDescent="0.2">
      <c r="A794">
        <f t="shared" si="37"/>
        <v>226</v>
      </c>
      <c r="B794" s="3">
        <v>43956</v>
      </c>
      <c r="C794" s="3" t="str">
        <f t="shared" si="36"/>
        <v>Tuesday</v>
      </c>
      <c r="D794" s="2">
        <v>0.58931712962962968</v>
      </c>
      <c r="E794" t="s">
        <v>14</v>
      </c>
      <c r="F794" t="s">
        <v>19</v>
      </c>
      <c r="G794">
        <v>2</v>
      </c>
      <c r="H794" t="s">
        <v>16</v>
      </c>
      <c r="I794" t="s">
        <v>77</v>
      </c>
      <c r="J794" s="1">
        <v>44063</v>
      </c>
      <c r="L794" t="s">
        <v>14</v>
      </c>
      <c r="M794">
        <v>27.78</v>
      </c>
      <c r="N794">
        <v>27.78</v>
      </c>
      <c r="O794" t="s">
        <v>21</v>
      </c>
      <c r="P794">
        <f t="shared" si="38"/>
        <v>0</v>
      </c>
      <c r="Q794" s="11">
        <f>IF(P794=0,0,IFERROR(Q793+G794*M794*IF(E794="FUTURE",VLOOKUP(MID(I794,2,2),[1]Futures!$A$2:$B$12,2),1),G794*M794*IF(E794="FUTURE",VLOOKUP(MID(I794,2,2),[1]Futures!$A$2:$B$12,2),1)))</f>
        <v>0</v>
      </c>
      <c r="R794" s="12" t="str">
        <f>IFERROR(Q794/P794/IF(E794="FUTURE",VLOOKUP(MID(I794,2,2),[1]Futures!$A$2:$B$12,2),1),"")</f>
        <v/>
      </c>
      <c r="S794" s="13">
        <f>IF(AND(H794="TO CLOSE",P794=0),-G794*(M794-R793)*IF(E794="FUTURE",VLOOKUP(MID(I794,2,2),[1]Futures!$A$2:$B$12,2),1),"")</f>
        <v>-1859.9999999999852</v>
      </c>
    </row>
    <row r="795" spans="1:19" x14ac:dyDescent="0.2">
      <c r="A795">
        <f t="shared" si="37"/>
        <v>227</v>
      </c>
      <c r="B795" s="3">
        <v>43956</v>
      </c>
      <c r="C795" s="3" t="str">
        <f t="shared" si="36"/>
        <v>Tuesday</v>
      </c>
      <c r="D795" s="2">
        <v>0.36841435185185184</v>
      </c>
      <c r="E795" t="s">
        <v>14</v>
      </c>
      <c r="F795" t="s">
        <v>15</v>
      </c>
      <c r="G795">
        <v>-1</v>
      </c>
      <c r="H795" t="s">
        <v>20</v>
      </c>
      <c r="I795" t="s">
        <v>17</v>
      </c>
      <c r="J795" s="1">
        <v>44002</v>
      </c>
      <c r="L795" t="s">
        <v>14</v>
      </c>
      <c r="M795">
        <v>2861</v>
      </c>
      <c r="N795">
        <v>2861</v>
      </c>
      <c r="O795" t="s">
        <v>21</v>
      </c>
      <c r="P795">
        <f t="shared" si="38"/>
        <v>-1</v>
      </c>
      <c r="Q795" s="11">
        <f>IF(P795=0,0,IFERROR(Q794+G795*M795*IF(E795="FUTURE",VLOOKUP(MID(I795,2,2),[1]Futures!$A$2:$B$12,2),1),G795*M795*IF(E795="FUTURE",VLOOKUP(MID(I795,2,2),[1]Futures!$A$2:$B$12,2),1)))</f>
        <v>-143050</v>
      </c>
      <c r="R795" s="12">
        <f>IFERROR(Q795/P795/IF(E795="FUTURE",VLOOKUP(MID(I795,2,2),[1]Futures!$A$2:$B$12,2),1),"")</f>
        <v>2861</v>
      </c>
      <c r="S795" s="13" t="str">
        <f>IF(AND(H795="TO CLOSE",P795=0),-G795*(M795-R794)*IF(E795="FUTURE",VLOOKUP(MID(I795,2,2),[1]Futures!$A$2:$B$12,2),1),"")</f>
        <v/>
      </c>
    </row>
    <row r="796" spans="1:19" x14ac:dyDescent="0.2">
      <c r="A796">
        <f t="shared" si="37"/>
        <v>227</v>
      </c>
      <c r="B796" s="3">
        <v>43956</v>
      </c>
      <c r="C796" s="3" t="str">
        <f t="shared" si="36"/>
        <v>Tuesday</v>
      </c>
      <c r="D796" s="2">
        <v>0.37818287037037041</v>
      </c>
      <c r="E796" t="s">
        <v>14</v>
      </c>
      <c r="F796" t="s">
        <v>19</v>
      </c>
      <c r="G796">
        <v>1</v>
      </c>
      <c r="H796" t="s">
        <v>16</v>
      </c>
      <c r="I796" t="s">
        <v>17</v>
      </c>
      <c r="J796" s="1">
        <v>44002</v>
      </c>
      <c r="L796" t="s">
        <v>14</v>
      </c>
      <c r="M796">
        <v>2860</v>
      </c>
      <c r="N796">
        <v>2860</v>
      </c>
      <c r="O796" t="s">
        <v>21</v>
      </c>
      <c r="P796">
        <f t="shared" si="38"/>
        <v>0</v>
      </c>
      <c r="Q796" s="11">
        <f>IF(P796=0,0,IFERROR(Q795+G796*M796*IF(E796="FUTURE",VLOOKUP(MID(I796,2,2),[1]Futures!$A$2:$B$12,2),1),G796*M796*IF(E796="FUTURE",VLOOKUP(MID(I796,2,2),[1]Futures!$A$2:$B$12,2),1)))</f>
        <v>0</v>
      </c>
      <c r="R796" s="12" t="str">
        <f>IFERROR(Q796/P796/IF(E796="FUTURE",VLOOKUP(MID(I796,2,2),[1]Futures!$A$2:$B$12,2),1),"")</f>
        <v/>
      </c>
      <c r="S796" s="13">
        <f>IF(AND(H796="TO CLOSE",P796=0),-G796*(M796-R795)*IF(E796="FUTURE",VLOOKUP(MID(I796,2,2),[1]Futures!$A$2:$B$12,2),1),"")</f>
        <v>50</v>
      </c>
    </row>
    <row r="797" spans="1:19" x14ac:dyDescent="0.2">
      <c r="A797">
        <f t="shared" si="37"/>
        <v>228</v>
      </c>
      <c r="B797" s="3">
        <v>43956</v>
      </c>
      <c r="C797" s="3" t="str">
        <f t="shared" si="36"/>
        <v>Tuesday</v>
      </c>
      <c r="D797" s="2">
        <v>0.38547453703703699</v>
      </c>
      <c r="E797" t="s">
        <v>14</v>
      </c>
      <c r="F797" t="s">
        <v>15</v>
      </c>
      <c r="G797">
        <v>-1</v>
      </c>
      <c r="H797" t="s">
        <v>20</v>
      </c>
      <c r="I797" t="s">
        <v>17</v>
      </c>
      <c r="J797" s="1">
        <v>44002</v>
      </c>
      <c r="L797" t="s">
        <v>14</v>
      </c>
      <c r="M797">
        <v>2864</v>
      </c>
      <c r="N797">
        <v>2864</v>
      </c>
      <c r="O797" t="s">
        <v>21</v>
      </c>
      <c r="P797">
        <f t="shared" si="38"/>
        <v>-1</v>
      </c>
      <c r="Q797" s="11">
        <f>IF(P797=0,0,IFERROR(Q796+G797*M797*IF(E797="FUTURE",VLOOKUP(MID(I797,2,2),[1]Futures!$A$2:$B$12,2),1),G797*M797*IF(E797="FUTURE",VLOOKUP(MID(I797,2,2),[1]Futures!$A$2:$B$12,2),1)))</f>
        <v>-143200</v>
      </c>
      <c r="R797" s="12">
        <f>IFERROR(Q797/P797/IF(E797="FUTURE",VLOOKUP(MID(I797,2,2),[1]Futures!$A$2:$B$12,2),1),"")</f>
        <v>2864</v>
      </c>
      <c r="S797" s="13" t="str">
        <f>IF(AND(H797="TO CLOSE",P797=0),-G797*(M797-R796)*IF(E797="FUTURE",VLOOKUP(MID(I797,2,2),[1]Futures!$A$2:$B$12,2),1),"")</f>
        <v/>
      </c>
    </row>
    <row r="798" spans="1:19" x14ac:dyDescent="0.2">
      <c r="A798">
        <f t="shared" si="37"/>
        <v>228</v>
      </c>
      <c r="B798" s="3">
        <v>43956</v>
      </c>
      <c r="C798" s="3" t="str">
        <f t="shared" si="36"/>
        <v>Tuesday</v>
      </c>
      <c r="D798" s="2">
        <v>0.38678240740740738</v>
      </c>
      <c r="E798" t="s">
        <v>14</v>
      </c>
      <c r="F798" t="s">
        <v>19</v>
      </c>
      <c r="G798">
        <v>1</v>
      </c>
      <c r="H798" t="s">
        <v>16</v>
      </c>
      <c r="I798" t="s">
        <v>17</v>
      </c>
      <c r="J798" s="1">
        <v>44002</v>
      </c>
      <c r="L798" t="s">
        <v>14</v>
      </c>
      <c r="M798">
        <v>2861.75</v>
      </c>
      <c r="N798">
        <v>2861.75</v>
      </c>
      <c r="O798" t="s">
        <v>21</v>
      </c>
      <c r="P798">
        <f t="shared" si="38"/>
        <v>0</v>
      </c>
      <c r="Q798" s="11">
        <f>IF(P798=0,0,IFERROR(Q797+G798*M798*IF(E798="FUTURE",VLOOKUP(MID(I798,2,2),[1]Futures!$A$2:$B$12,2),1),G798*M798*IF(E798="FUTURE",VLOOKUP(MID(I798,2,2),[1]Futures!$A$2:$B$12,2),1)))</f>
        <v>0</v>
      </c>
      <c r="R798" s="12" t="str">
        <f>IFERROR(Q798/P798/IF(E798="FUTURE",VLOOKUP(MID(I798,2,2),[1]Futures!$A$2:$B$12,2),1),"")</f>
        <v/>
      </c>
      <c r="S798" s="13">
        <f>IF(AND(H798="TO CLOSE",P798=0),-G798*(M798-R797)*IF(E798="FUTURE",VLOOKUP(MID(I798,2,2),[1]Futures!$A$2:$B$12,2),1),"")</f>
        <v>112.5</v>
      </c>
    </row>
    <row r="799" spans="1:19" x14ac:dyDescent="0.2">
      <c r="A799">
        <f t="shared" si="37"/>
        <v>229</v>
      </c>
      <c r="B799" s="3">
        <v>43956</v>
      </c>
      <c r="C799" s="3" t="str">
        <f t="shared" si="36"/>
        <v>Tuesday</v>
      </c>
      <c r="D799" s="2">
        <v>0.41539351851851852</v>
      </c>
      <c r="E799" t="s">
        <v>14</v>
      </c>
      <c r="F799" t="s">
        <v>15</v>
      </c>
      <c r="G799">
        <v>-1</v>
      </c>
      <c r="H799" t="s">
        <v>20</v>
      </c>
      <c r="I799" t="s">
        <v>17</v>
      </c>
      <c r="J799" s="1">
        <v>44002</v>
      </c>
      <c r="L799" t="s">
        <v>14</v>
      </c>
      <c r="M799">
        <v>2877.25</v>
      </c>
      <c r="N799">
        <v>2877.25</v>
      </c>
      <c r="O799" t="s">
        <v>21</v>
      </c>
      <c r="P799">
        <f t="shared" si="38"/>
        <v>-1</v>
      </c>
      <c r="Q799" s="11">
        <f>IF(P799=0,0,IFERROR(Q798+G799*M799*IF(E799="FUTURE",VLOOKUP(MID(I799,2,2),[1]Futures!$A$2:$B$12,2),1),G799*M799*IF(E799="FUTURE",VLOOKUP(MID(I799,2,2),[1]Futures!$A$2:$B$12,2),1)))</f>
        <v>-143862.5</v>
      </c>
      <c r="R799" s="12">
        <f>IFERROR(Q799/P799/IF(E799="FUTURE",VLOOKUP(MID(I799,2,2),[1]Futures!$A$2:$B$12,2),1),"")</f>
        <v>2877.25</v>
      </c>
      <c r="S799" s="13" t="str">
        <f>IF(AND(H799="TO CLOSE",P799=0),-G799*(M799-R798)*IF(E799="FUTURE",VLOOKUP(MID(I799,2,2),[1]Futures!$A$2:$B$12,2),1),"")</f>
        <v/>
      </c>
    </row>
    <row r="800" spans="1:19" x14ac:dyDescent="0.2">
      <c r="A800">
        <f t="shared" si="37"/>
        <v>229</v>
      </c>
      <c r="B800" s="3">
        <v>43956</v>
      </c>
      <c r="C800" s="3" t="str">
        <f t="shared" si="36"/>
        <v>Tuesday</v>
      </c>
      <c r="D800" s="2">
        <v>0.42474537037037036</v>
      </c>
      <c r="E800" t="s">
        <v>14</v>
      </c>
      <c r="F800" t="s">
        <v>19</v>
      </c>
      <c r="G800">
        <v>1</v>
      </c>
      <c r="H800" t="s">
        <v>16</v>
      </c>
      <c r="I800" t="s">
        <v>17</v>
      </c>
      <c r="J800" s="1">
        <v>44002</v>
      </c>
      <c r="L800" t="s">
        <v>14</v>
      </c>
      <c r="M800">
        <v>2873.75</v>
      </c>
      <c r="N800">
        <v>2873.75</v>
      </c>
      <c r="O800" t="s">
        <v>21</v>
      </c>
      <c r="P800">
        <f t="shared" si="38"/>
        <v>0</v>
      </c>
      <c r="Q800" s="11">
        <f>IF(P800=0,0,IFERROR(Q799+G800*M800*IF(E800="FUTURE",VLOOKUP(MID(I800,2,2),[1]Futures!$A$2:$B$12,2),1),G800*M800*IF(E800="FUTURE",VLOOKUP(MID(I800,2,2),[1]Futures!$A$2:$B$12,2),1)))</f>
        <v>0</v>
      </c>
      <c r="R800" s="12" t="str">
        <f>IFERROR(Q800/P800/IF(E800="FUTURE",VLOOKUP(MID(I800,2,2),[1]Futures!$A$2:$B$12,2),1),"")</f>
        <v/>
      </c>
      <c r="S800" s="13">
        <f>IF(AND(H800="TO CLOSE",P800=0),-G800*(M800-R799)*IF(E800="FUTURE",VLOOKUP(MID(I800,2,2),[1]Futures!$A$2:$B$12,2),1),"")</f>
        <v>175</v>
      </c>
    </row>
    <row r="801" spans="1:19" x14ac:dyDescent="0.2">
      <c r="A801">
        <f t="shared" si="37"/>
        <v>230</v>
      </c>
      <c r="B801" s="3">
        <v>43956</v>
      </c>
      <c r="C801" s="3" t="str">
        <f t="shared" si="36"/>
        <v>Tuesday</v>
      </c>
      <c r="D801" s="2">
        <v>0.43228009259259265</v>
      </c>
      <c r="E801" t="s">
        <v>14</v>
      </c>
      <c r="F801" t="s">
        <v>15</v>
      </c>
      <c r="G801">
        <v>-1</v>
      </c>
      <c r="H801" t="s">
        <v>20</v>
      </c>
      <c r="I801" t="s">
        <v>17</v>
      </c>
      <c r="J801" s="1">
        <v>44002</v>
      </c>
      <c r="L801" t="s">
        <v>14</v>
      </c>
      <c r="M801">
        <v>2875</v>
      </c>
      <c r="N801">
        <v>2875</v>
      </c>
      <c r="O801" t="s">
        <v>21</v>
      </c>
      <c r="P801">
        <f t="shared" si="38"/>
        <v>-1</v>
      </c>
      <c r="Q801" s="11">
        <f>IF(P801=0,0,IFERROR(Q800+G801*M801*IF(E801="FUTURE",VLOOKUP(MID(I801,2,2),[1]Futures!$A$2:$B$12,2),1),G801*M801*IF(E801="FUTURE",VLOOKUP(MID(I801,2,2),[1]Futures!$A$2:$B$12,2),1)))</f>
        <v>-143750</v>
      </c>
      <c r="R801" s="12">
        <f>IFERROR(Q801/P801/IF(E801="FUTURE",VLOOKUP(MID(I801,2,2),[1]Futures!$A$2:$B$12,2),1),"")</f>
        <v>2875</v>
      </c>
      <c r="S801" s="13" t="str">
        <f>IF(AND(H801="TO CLOSE",P801=0),-G801*(M801-R800)*IF(E801="FUTURE",VLOOKUP(MID(I801,2,2),[1]Futures!$A$2:$B$12,2),1),"")</f>
        <v/>
      </c>
    </row>
    <row r="802" spans="1:19" x14ac:dyDescent="0.2">
      <c r="A802">
        <f t="shared" si="37"/>
        <v>230</v>
      </c>
      <c r="B802" s="3">
        <v>43956</v>
      </c>
      <c r="C802" s="3" t="str">
        <f t="shared" si="36"/>
        <v>Tuesday</v>
      </c>
      <c r="D802" s="2">
        <v>0.43395833333333328</v>
      </c>
      <c r="E802" t="s">
        <v>14</v>
      </c>
      <c r="F802" t="s">
        <v>19</v>
      </c>
      <c r="G802">
        <v>1</v>
      </c>
      <c r="H802" t="s">
        <v>16</v>
      </c>
      <c r="I802" t="s">
        <v>17</v>
      </c>
      <c r="J802" s="1">
        <v>44002</v>
      </c>
      <c r="L802" t="s">
        <v>14</v>
      </c>
      <c r="M802">
        <v>2874.25</v>
      </c>
      <c r="N802">
        <v>2874.25</v>
      </c>
      <c r="O802" t="s">
        <v>18</v>
      </c>
      <c r="P802">
        <f t="shared" si="38"/>
        <v>0</v>
      </c>
      <c r="Q802" s="11">
        <f>IF(P802=0,0,IFERROR(Q801+G802*M802*IF(E802="FUTURE",VLOOKUP(MID(I802,2,2),[1]Futures!$A$2:$B$12,2),1),G802*M802*IF(E802="FUTURE",VLOOKUP(MID(I802,2,2),[1]Futures!$A$2:$B$12,2),1)))</f>
        <v>0</v>
      </c>
      <c r="R802" s="12" t="str">
        <f>IFERROR(Q802/P802/IF(E802="FUTURE",VLOOKUP(MID(I802,2,2),[1]Futures!$A$2:$B$12,2),1),"")</f>
        <v/>
      </c>
      <c r="S802" s="13">
        <f>IF(AND(H802="TO CLOSE",P802=0),-G802*(M802-R801)*IF(E802="FUTURE",VLOOKUP(MID(I802,2,2),[1]Futures!$A$2:$B$12,2),1),"")</f>
        <v>37.5</v>
      </c>
    </row>
    <row r="803" spans="1:19" x14ac:dyDescent="0.2">
      <c r="A803">
        <f t="shared" si="37"/>
        <v>231</v>
      </c>
      <c r="B803" s="3">
        <v>43956</v>
      </c>
      <c r="C803" s="3" t="str">
        <f t="shared" ref="C803:C824" si="39">IF(WEEKDAY(B803,2)=1,"Monday",IF(WEEKDAY(B803,2)=2,"Tuesday",IF(WEEKDAY(B803,2)=3,"Wednesday",IF(WEEKDAY(B803,2)=4,"Thursday",IF(WEEKDAY(B803,2)=5,"Friday","Sunday")))))</f>
        <v>Tuesday</v>
      </c>
      <c r="D803" s="2">
        <v>0.34372685185185187</v>
      </c>
      <c r="E803" t="s">
        <v>22</v>
      </c>
      <c r="F803" t="s">
        <v>15</v>
      </c>
      <c r="G803">
        <v>-50</v>
      </c>
      <c r="H803" t="s">
        <v>20</v>
      </c>
      <c r="I803" t="s">
        <v>23</v>
      </c>
      <c r="L803" t="s">
        <v>22</v>
      </c>
      <c r="M803">
        <v>39.21</v>
      </c>
      <c r="N803">
        <v>39.21</v>
      </c>
      <c r="O803" t="s">
        <v>21</v>
      </c>
      <c r="P803">
        <f t="shared" si="38"/>
        <v>-50</v>
      </c>
      <c r="Q803" s="11">
        <f>IF(P803=0,0,IFERROR(Q802+G803*M803*IF(E803="FUTURE",VLOOKUP(MID(I803,2,2),[1]Futures!$A$2:$B$12,2),1),G803*M803*IF(E803="FUTURE",VLOOKUP(MID(I803,2,2),[1]Futures!$A$2:$B$12,2),1)))</f>
        <v>-1960.5</v>
      </c>
      <c r="R803" s="12">
        <f>IFERROR(Q803/P803/IF(E803="FUTURE",VLOOKUP(MID(I803,2,2),[1]Futures!$A$2:$B$12,2),1),"")</f>
        <v>39.21</v>
      </c>
      <c r="S803" s="13" t="str">
        <f>IF(AND(H803="TO CLOSE",P803=0),-G803*(M803-R802)*IF(E803="FUTURE",VLOOKUP(MID(I803,2,2),[1]Futures!$A$2:$B$12,2),1),"")</f>
        <v/>
      </c>
    </row>
    <row r="804" spans="1:19" x14ac:dyDescent="0.2">
      <c r="A804">
        <f t="shared" si="37"/>
        <v>231</v>
      </c>
      <c r="B804" s="3">
        <v>43956</v>
      </c>
      <c r="C804" s="3" t="str">
        <f t="shared" si="39"/>
        <v>Tuesday</v>
      </c>
      <c r="D804" s="2">
        <v>0.34383101851851849</v>
      </c>
      <c r="E804" t="s">
        <v>22</v>
      </c>
      <c r="F804" t="s">
        <v>15</v>
      </c>
      <c r="G804">
        <v>-100</v>
      </c>
      <c r="H804" t="s">
        <v>20</v>
      </c>
      <c r="I804" t="s">
        <v>23</v>
      </c>
      <c r="L804" t="s">
        <v>22</v>
      </c>
      <c r="M804">
        <v>39.229999999999997</v>
      </c>
      <c r="N804">
        <v>39.229999999999997</v>
      </c>
      <c r="O804" t="s">
        <v>21</v>
      </c>
      <c r="P804">
        <f t="shared" si="38"/>
        <v>-150</v>
      </c>
      <c r="Q804" s="11">
        <f>IF(P804=0,0,IFERROR(Q803+G804*M804*IF(E804="FUTURE",VLOOKUP(MID(I804,2,2),[1]Futures!$A$2:$B$12,2),1),G804*M804*IF(E804="FUTURE",VLOOKUP(MID(I804,2,2),[1]Futures!$A$2:$B$12,2),1)))</f>
        <v>-5883.5</v>
      </c>
      <c r="R804" s="12">
        <f>IFERROR(Q804/P804/IF(E804="FUTURE",VLOOKUP(MID(I804,2,2),[1]Futures!$A$2:$B$12,2),1),"")</f>
        <v>39.223333333333336</v>
      </c>
      <c r="S804" s="13" t="str">
        <f>IF(AND(H804="TO CLOSE",P804=0),-G804*(M804-R803)*IF(E804="FUTURE",VLOOKUP(MID(I804,2,2),[1]Futures!$A$2:$B$12,2),1),"")</f>
        <v/>
      </c>
    </row>
    <row r="805" spans="1:19" x14ac:dyDescent="0.2">
      <c r="A805">
        <f t="shared" si="37"/>
        <v>231</v>
      </c>
      <c r="B805" s="3">
        <v>43956</v>
      </c>
      <c r="C805" s="3" t="str">
        <f t="shared" si="39"/>
        <v>Tuesday</v>
      </c>
      <c r="D805" s="2">
        <v>0.34406249999999999</v>
      </c>
      <c r="E805" t="s">
        <v>22</v>
      </c>
      <c r="F805" t="s">
        <v>15</v>
      </c>
      <c r="G805">
        <v>-111</v>
      </c>
      <c r="H805" t="s">
        <v>20</v>
      </c>
      <c r="I805" t="s">
        <v>23</v>
      </c>
      <c r="L805" t="s">
        <v>22</v>
      </c>
      <c r="M805">
        <v>39.21</v>
      </c>
      <c r="N805">
        <v>39.21</v>
      </c>
      <c r="O805" t="s">
        <v>21</v>
      </c>
      <c r="P805">
        <f t="shared" si="38"/>
        <v>-261</v>
      </c>
      <c r="Q805" s="11">
        <f>IF(P805=0,0,IFERROR(Q804+G805*M805*IF(E805="FUTURE",VLOOKUP(MID(I805,2,2),[1]Futures!$A$2:$B$12,2),1),G805*M805*IF(E805="FUTURE",VLOOKUP(MID(I805,2,2),[1]Futures!$A$2:$B$12,2),1)))</f>
        <v>-10235.810000000001</v>
      </c>
      <c r="R805" s="12">
        <f>IFERROR(Q805/P805/IF(E805="FUTURE",VLOOKUP(MID(I805,2,2),[1]Futures!$A$2:$B$12,2),1),"")</f>
        <v>39.217662835249044</v>
      </c>
      <c r="S805" s="13" t="str">
        <f>IF(AND(H805="TO CLOSE",P805=0),-G805*(M805-R804)*IF(E805="FUTURE",VLOOKUP(MID(I805,2,2),[1]Futures!$A$2:$B$12,2),1),"")</f>
        <v/>
      </c>
    </row>
    <row r="806" spans="1:19" x14ac:dyDescent="0.2">
      <c r="A806">
        <f t="shared" si="37"/>
        <v>231</v>
      </c>
      <c r="B806" s="3">
        <v>43956</v>
      </c>
      <c r="C806" s="3" t="str">
        <f t="shared" si="39"/>
        <v>Tuesday</v>
      </c>
      <c r="D806" s="2">
        <v>0.34503472222222226</v>
      </c>
      <c r="E806" t="s">
        <v>22</v>
      </c>
      <c r="F806" t="s">
        <v>15</v>
      </c>
      <c r="G806">
        <v>-139</v>
      </c>
      <c r="H806" t="s">
        <v>20</v>
      </c>
      <c r="I806" t="s">
        <v>23</v>
      </c>
      <c r="L806" t="s">
        <v>22</v>
      </c>
      <c r="M806">
        <v>39.21</v>
      </c>
      <c r="N806">
        <v>39.21</v>
      </c>
      <c r="O806" t="s">
        <v>21</v>
      </c>
      <c r="P806">
        <f t="shared" si="38"/>
        <v>-400</v>
      </c>
      <c r="Q806" s="11">
        <f>IF(P806=0,0,IFERROR(Q805+G806*M806*IF(E806="FUTURE",VLOOKUP(MID(I806,2,2),[1]Futures!$A$2:$B$12,2),1),G806*M806*IF(E806="FUTURE",VLOOKUP(MID(I806,2,2),[1]Futures!$A$2:$B$12,2),1)))</f>
        <v>-15686.000000000002</v>
      </c>
      <c r="R806" s="12">
        <f>IFERROR(Q806/P806/IF(E806="FUTURE",VLOOKUP(MID(I806,2,2),[1]Futures!$A$2:$B$12,2),1),"")</f>
        <v>39.215000000000003</v>
      </c>
      <c r="S806" s="13" t="str">
        <f>IF(AND(H806="TO CLOSE",P806=0),-G806*(M806-R805)*IF(E806="FUTURE",VLOOKUP(MID(I806,2,2),[1]Futures!$A$2:$B$12,2),1),"")</f>
        <v/>
      </c>
    </row>
    <row r="807" spans="1:19" x14ac:dyDescent="0.2">
      <c r="A807">
        <f t="shared" si="37"/>
        <v>231</v>
      </c>
      <c r="B807" s="3">
        <v>43956</v>
      </c>
      <c r="C807" s="3" t="str">
        <f t="shared" si="39"/>
        <v>Tuesday</v>
      </c>
      <c r="D807" s="2">
        <v>0.35542824074074075</v>
      </c>
      <c r="E807" t="s">
        <v>22</v>
      </c>
      <c r="F807" t="s">
        <v>19</v>
      </c>
      <c r="G807">
        <v>200</v>
      </c>
      <c r="H807" t="s">
        <v>16</v>
      </c>
      <c r="I807" t="s">
        <v>23</v>
      </c>
      <c r="L807" t="s">
        <v>22</v>
      </c>
      <c r="M807">
        <v>38.94</v>
      </c>
      <c r="N807">
        <v>38.94</v>
      </c>
      <c r="O807" t="s">
        <v>21</v>
      </c>
      <c r="P807">
        <f t="shared" si="38"/>
        <v>-200</v>
      </c>
      <c r="Q807" s="11">
        <f>IF(P807=0,0,IFERROR(Q806+G807*M807*IF(E807="FUTURE",VLOOKUP(MID(I807,2,2),[1]Futures!$A$2:$B$12,2),1),G807*M807*IF(E807="FUTURE",VLOOKUP(MID(I807,2,2),[1]Futures!$A$2:$B$12,2),1)))</f>
        <v>-7898.0000000000018</v>
      </c>
      <c r="R807" s="12">
        <f>IFERROR(Q807/P807/IF(E807="FUTURE",VLOOKUP(MID(I807,2,2),[1]Futures!$A$2:$B$12,2),1),"")</f>
        <v>39.490000000000009</v>
      </c>
      <c r="S807" s="13" t="str">
        <f>IF(AND(H807="TO CLOSE",P807=0),-G807*(M807-R806)*IF(E807="FUTURE",VLOOKUP(MID(I807,2,2),[1]Futures!$A$2:$B$12,2),1),"")</f>
        <v/>
      </c>
    </row>
    <row r="808" spans="1:19" x14ac:dyDescent="0.2">
      <c r="A808">
        <f t="shared" si="37"/>
        <v>231</v>
      </c>
      <c r="B808" s="3">
        <v>43956</v>
      </c>
      <c r="C808" s="3" t="str">
        <f t="shared" si="39"/>
        <v>Tuesday</v>
      </c>
      <c r="D808" s="2">
        <v>0.35542824074074075</v>
      </c>
      <c r="E808" t="s">
        <v>22</v>
      </c>
      <c r="F808" t="s">
        <v>19</v>
      </c>
      <c r="G808">
        <v>100</v>
      </c>
      <c r="H808" t="s">
        <v>16</v>
      </c>
      <c r="I808" t="s">
        <v>23</v>
      </c>
      <c r="L808" t="s">
        <v>22</v>
      </c>
      <c r="M808">
        <v>38.94</v>
      </c>
      <c r="N808">
        <v>38.94</v>
      </c>
      <c r="O808" t="s">
        <v>21</v>
      </c>
      <c r="P808">
        <f t="shared" si="38"/>
        <v>-100</v>
      </c>
      <c r="Q808" s="11">
        <f>IF(P808=0,0,IFERROR(Q807+G808*M808*IF(E808="FUTURE",VLOOKUP(MID(I808,2,2),[1]Futures!$A$2:$B$12,2),1),G808*M808*IF(E808="FUTURE",VLOOKUP(MID(I808,2,2),[1]Futures!$A$2:$B$12,2),1)))</f>
        <v>-4004.0000000000018</v>
      </c>
      <c r="R808" s="12">
        <f>IFERROR(Q808/P808/IF(E808="FUTURE",VLOOKUP(MID(I808,2,2),[1]Futures!$A$2:$B$12,2),1),"")</f>
        <v>40.04000000000002</v>
      </c>
      <c r="S808" s="13" t="str">
        <f>IF(AND(H808="TO CLOSE",P808=0),-G808*(M808-R807)*IF(E808="FUTURE",VLOOKUP(MID(I808,2,2),[1]Futures!$A$2:$B$12,2),1),"")</f>
        <v/>
      </c>
    </row>
    <row r="809" spans="1:19" x14ac:dyDescent="0.2">
      <c r="A809">
        <f t="shared" si="37"/>
        <v>231</v>
      </c>
      <c r="B809" s="3">
        <v>43956</v>
      </c>
      <c r="C809" s="3" t="str">
        <f t="shared" si="39"/>
        <v>Tuesday</v>
      </c>
      <c r="D809" s="2">
        <v>0.35542824074074075</v>
      </c>
      <c r="E809" t="s">
        <v>22</v>
      </c>
      <c r="F809" t="s">
        <v>19</v>
      </c>
      <c r="G809">
        <v>100</v>
      </c>
      <c r="H809" t="s">
        <v>16</v>
      </c>
      <c r="I809" t="s">
        <v>23</v>
      </c>
      <c r="L809" t="s">
        <v>22</v>
      </c>
      <c r="M809">
        <v>38.94</v>
      </c>
      <c r="N809">
        <v>38.94</v>
      </c>
      <c r="O809" t="s">
        <v>21</v>
      </c>
      <c r="P809">
        <f t="shared" si="38"/>
        <v>0</v>
      </c>
      <c r="Q809" s="11">
        <f>IF(P809=0,0,IFERROR(Q808+G809*M809*IF(E809="FUTURE",VLOOKUP(MID(I809,2,2),[1]Futures!$A$2:$B$12,2),1),G809*M809*IF(E809="FUTURE",VLOOKUP(MID(I809,2,2),[1]Futures!$A$2:$B$12,2),1)))</f>
        <v>0</v>
      </c>
      <c r="R809" s="12" t="str">
        <f>IFERROR(Q809/P809/IF(E809="FUTURE",VLOOKUP(MID(I809,2,2),[1]Futures!$A$2:$B$12,2),1),"")</f>
        <v/>
      </c>
      <c r="S809" s="13">
        <f>IF(AND(H809="TO CLOSE",P809=0),-G809*(M809-R808)*IF(E809="FUTURE",VLOOKUP(MID(I809,2,2),[1]Futures!$A$2:$B$12,2),1),"")</f>
        <v>110.00000000000227</v>
      </c>
    </row>
    <row r="810" spans="1:19" x14ac:dyDescent="0.2">
      <c r="A810">
        <f t="shared" si="37"/>
        <v>232</v>
      </c>
      <c r="B810" s="3">
        <v>43956</v>
      </c>
      <c r="C810" s="3" t="str">
        <f t="shared" si="39"/>
        <v>Tuesday</v>
      </c>
      <c r="D810" s="2">
        <v>0.43137731481481478</v>
      </c>
      <c r="E810" t="s">
        <v>22</v>
      </c>
      <c r="F810" t="s">
        <v>19</v>
      </c>
      <c r="G810">
        <v>183</v>
      </c>
      <c r="H810" t="s">
        <v>20</v>
      </c>
      <c r="I810" t="s">
        <v>23</v>
      </c>
      <c r="L810" t="s">
        <v>22</v>
      </c>
      <c r="M810">
        <v>38.49</v>
      </c>
      <c r="N810">
        <v>38.49</v>
      </c>
      <c r="O810" t="s">
        <v>21</v>
      </c>
      <c r="P810">
        <f t="shared" si="38"/>
        <v>183</v>
      </c>
      <c r="Q810" s="11">
        <f>IF(P810=0,0,IFERROR(Q809+G810*M810*IF(E810="FUTURE",VLOOKUP(MID(I810,2,2),[1]Futures!$A$2:$B$12,2),1),G810*M810*IF(E810="FUTURE",VLOOKUP(MID(I810,2,2),[1]Futures!$A$2:$B$12,2),1)))</f>
        <v>7043.67</v>
      </c>
      <c r="R810" s="12">
        <f>IFERROR(Q810/P810/IF(E810="FUTURE",VLOOKUP(MID(I810,2,2),[1]Futures!$A$2:$B$12,2),1),"")</f>
        <v>38.49</v>
      </c>
      <c r="S810" s="13" t="str">
        <f>IF(AND(H810="TO CLOSE",P810=0),-G810*(M810-R809)*IF(E810="FUTURE",VLOOKUP(MID(I810,2,2),[1]Futures!$A$2:$B$12,2),1),"")</f>
        <v/>
      </c>
    </row>
    <row r="811" spans="1:19" x14ac:dyDescent="0.2">
      <c r="A811">
        <f t="shared" si="37"/>
        <v>232</v>
      </c>
      <c r="B811" s="3">
        <v>43956</v>
      </c>
      <c r="C811" s="3" t="str">
        <f t="shared" si="39"/>
        <v>Tuesday</v>
      </c>
      <c r="D811" s="2">
        <v>0.43137731481481478</v>
      </c>
      <c r="E811" t="s">
        <v>22</v>
      </c>
      <c r="F811" t="s">
        <v>19</v>
      </c>
      <c r="G811">
        <v>17</v>
      </c>
      <c r="H811" t="s">
        <v>20</v>
      </c>
      <c r="I811" t="s">
        <v>23</v>
      </c>
      <c r="L811" t="s">
        <v>22</v>
      </c>
      <c r="M811">
        <v>38.49</v>
      </c>
      <c r="N811">
        <v>38.49</v>
      </c>
      <c r="O811" t="s">
        <v>21</v>
      </c>
      <c r="P811">
        <f t="shared" si="38"/>
        <v>200</v>
      </c>
      <c r="Q811" s="11">
        <f>IF(P811=0,0,IFERROR(Q810+G811*M811*IF(E811="FUTURE",VLOOKUP(MID(I811,2,2),[1]Futures!$A$2:$B$12,2),1),G811*M811*IF(E811="FUTURE",VLOOKUP(MID(I811,2,2),[1]Futures!$A$2:$B$12,2),1)))</f>
        <v>7698</v>
      </c>
      <c r="R811" s="12">
        <f>IFERROR(Q811/P811/IF(E811="FUTURE",VLOOKUP(MID(I811,2,2),[1]Futures!$A$2:$B$12,2),1),"")</f>
        <v>38.49</v>
      </c>
      <c r="S811" s="13" t="str">
        <f>IF(AND(H811="TO CLOSE",P811=0),-G811*(M811-R810)*IF(E811="FUTURE",VLOOKUP(MID(I811,2,2),[1]Futures!$A$2:$B$12,2),1),"")</f>
        <v/>
      </c>
    </row>
    <row r="812" spans="1:19" x14ac:dyDescent="0.2">
      <c r="A812">
        <f t="shared" si="37"/>
        <v>232</v>
      </c>
      <c r="B812" s="3">
        <v>43956</v>
      </c>
      <c r="C812" s="3" t="str">
        <f t="shared" si="39"/>
        <v>Tuesday</v>
      </c>
      <c r="D812" s="2">
        <v>0.4346180555555556</v>
      </c>
      <c r="E812" t="s">
        <v>22</v>
      </c>
      <c r="F812" t="s">
        <v>15</v>
      </c>
      <c r="G812">
        <v>-200</v>
      </c>
      <c r="H812" t="s">
        <v>16</v>
      </c>
      <c r="I812" t="s">
        <v>23</v>
      </c>
      <c r="L812" t="s">
        <v>22</v>
      </c>
      <c r="M812">
        <v>38.560099999999998</v>
      </c>
      <c r="N812">
        <v>38.560099999999998</v>
      </c>
      <c r="O812" t="s">
        <v>24</v>
      </c>
      <c r="P812">
        <f t="shared" si="38"/>
        <v>0</v>
      </c>
      <c r="Q812" s="11">
        <f>IF(P812=0,0,IFERROR(Q811+G812*M812*IF(E812="FUTURE",VLOOKUP(MID(I812,2,2),[1]Futures!$A$2:$B$12,2),1),G812*M812*IF(E812="FUTURE",VLOOKUP(MID(I812,2,2),[1]Futures!$A$2:$B$12,2),1)))</f>
        <v>0</v>
      </c>
      <c r="R812" s="12" t="str">
        <f>IFERROR(Q812/P812/IF(E812="FUTURE",VLOOKUP(MID(I812,2,2),[1]Futures!$A$2:$B$12,2),1),"")</f>
        <v/>
      </c>
      <c r="S812" s="13">
        <f>IF(AND(H812="TO CLOSE",P812=0),-G812*(M812-R811)*IF(E812="FUTURE",VLOOKUP(MID(I812,2,2),[1]Futures!$A$2:$B$12,2),1),"")</f>
        <v>14.0199999999993</v>
      </c>
    </row>
    <row r="813" spans="1:19" x14ac:dyDescent="0.2">
      <c r="A813">
        <f t="shared" si="37"/>
        <v>233</v>
      </c>
      <c r="B813" s="3">
        <v>43957</v>
      </c>
      <c r="C813" s="3" t="str">
        <f t="shared" si="39"/>
        <v>Wednesday</v>
      </c>
      <c r="D813" s="2">
        <v>0.41053240740740743</v>
      </c>
      <c r="E813" t="s">
        <v>14</v>
      </c>
      <c r="F813" t="s">
        <v>15</v>
      </c>
      <c r="G813">
        <v>-1</v>
      </c>
      <c r="H813" t="s">
        <v>20</v>
      </c>
      <c r="I813" t="s">
        <v>77</v>
      </c>
      <c r="J813" s="1">
        <v>44063</v>
      </c>
      <c r="L813" t="s">
        <v>14</v>
      </c>
      <c r="M813">
        <v>27.06</v>
      </c>
      <c r="N813">
        <v>27.06</v>
      </c>
      <c r="O813" t="s">
        <v>21</v>
      </c>
      <c r="P813">
        <f t="shared" si="38"/>
        <v>-1</v>
      </c>
      <c r="Q813" s="11">
        <f>IF(P813=0,0,IFERROR(Q812+G813*M813*IF(E813="FUTURE",VLOOKUP(MID(I813,2,2),[1]Futures!$A$2:$B$12,2),1),G813*M813*IF(E813="FUTURE",VLOOKUP(MID(I813,2,2),[1]Futures!$A$2:$B$12,2),1)))</f>
        <v>-27060</v>
      </c>
      <c r="R813" s="12">
        <f>IFERROR(Q813/P813/IF(E813="FUTURE",VLOOKUP(MID(I813,2,2),[1]Futures!$A$2:$B$12,2),1),"")</f>
        <v>27.06</v>
      </c>
      <c r="S813" s="13" t="str">
        <f>IF(AND(H813="TO CLOSE",P813=0),-G813*(M813-R812)*IF(E813="FUTURE",VLOOKUP(MID(I813,2,2),[1]Futures!$A$2:$B$12,2),1),"")</f>
        <v/>
      </c>
    </row>
    <row r="814" spans="1:19" x14ac:dyDescent="0.2">
      <c r="A814">
        <f t="shared" si="37"/>
        <v>233</v>
      </c>
      <c r="B814" s="3">
        <v>43957</v>
      </c>
      <c r="C814" s="3" t="str">
        <f t="shared" si="39"/>
        <v>Wednesday</v>
      </c>
      <c r="D814" s="2">
        <v>0.41796296296296293</v>
      </c>
      <c r="E814" t="s">
        <v>14</v>
      </c>
      <c r="F814" t="s">
        <v>19</v>
      </c>
      <c r="G814">
        <v>1</v>
      </c>
      <c r="H814" t="s">
        <v>16</v>
      </c>
      <c r="I814" t="s">
        <v>77</v>
      </c>
      <c r="J814" s="1">
        <v>44063</v>
      </c>
      <c r="L814" t="s">
        <v>14</v>
      </c>
      <c r="M814">
        <v>26.96</v>
      </c>
      <c r="N814">
        <v>26.96</v>
      </c>
      <c r="O814" t="s">
        <v>21</v>
      </c>
      <c r="P814">
        <f t="shared" si="38"/>
        <v>0</v>
      </c>
      <c r="Q814" s="11">
        <f>IF(P814=0,0,IFERROR(Q813+G814*M814*IF(E814="FUTURE",VLOOKUP(MID(I814,2,2),[1]Futures!$A$2:$B$12,2),1),G814*M814*IF(E814="FUTURE",VLOOKUP(MID(I814,2,2),[1]Futures!$A$2:$B$12,2),1)))</f>
        <v>0</v>
      </c>
      <c r="R814" s="12" t="str">
        <f>IFERROR(Q814/P814/IF(E814="FUTURE",VLOOKUP(MID(I814,2,2),[1]Futures!$A$2:$B$12,2),1),"")</f>
        <v/>
      </c>
      <c r="S814" s="13">
        <f>IF(AND(H814="TO CLOSE",P814=0),-G814*(M814-R813)*IF(E814="FUTURE",VLOOKUP(MID(I814,2,2),[1]Futures!$A$2:$B$12,2),1),"")</f>
        <v>99.999999999997868</v>
      </c>
    </row>
    <row r="815" spans="1:19" x14ac:dyDescent="0.2">
      <c r="A815">
        <f t="shared" si="37"/>
        <v>234</v>
      </c>
      <c r="B815" s="3">
        <v>43957</v>
      </c>
      <c r="C815" s="3" t="str">
        <f t="shared" si="39"/>
        <v>Wednesday</v>
      </c>
      <c r="D815" s="2">
        <v>0.41848379629629634</v>
      </c>
      <c r="E815" t="s">
        <v>14</v>
      </c>
      <c r="F815" t="s">
        <v>19</v>
      </c>
      <c r="G815">
        <v>1</v>
      </c>
      <c r="H815" t="s">
        <v>20</v>
      </c>
      <c r="I815" t="s">
        <v>77</v>
      </c>
      <c r="J815" s="1">
        <v>44063</v>
      </c>
      <c r="L815" t="s">
        <v>14</v>
      </c>
      <c r="M815">
        <v>26.98</v>
      </c>
      <c r="N815">
        <v>26.98</v>
      </c>
      <c r="O815" t="s">
        <v>21</v>
      </c>
      <c r="P815">
        <f t="shared" si="38"/>
        <v>1</v>
      </c>
      <c r="Q815" s="11">
        <f>IF(P815=0,0,IFERROR(Q814+G815*M815*IF(E815="FUTURE",VLOOKUP(MID(I815,2,2),[1]Futures!$A$2:$B$12,2),1),G815*M815*IF(E815="FUTURE",VLOOKUP(MID(I815,2,2),[1]Futures!$A$2:$B$12,2),1)))</f>
        <v>26980</v>
      </c>
      <c r="R815" s="12">
        <f>IFERROR(Q815/P815/IF(E815="FUTURE",VLOOKUP(MID(I815,2,2),[1]Futures!$A$2:$B$12,2),1),"")</f>
        <v>26.98</v>
      </c>
      <c r="S815" s="13" t="str">
        <f>IF(AND(H815="TO CLOSE",P815=0),-G815*(M815-R814)*IF(E815="FUTURE",VLOOKUP(MID(I815,2,2),[1]Futures!$A$2:$B$12,2),1),"")</f>
        <v/>
      </c>
    </row>
    <row r="816" spans="1:19" x14ac:dyDescent="0.2">
      <c r="A816">
        <f t="shared" si="37"/>
        <v>234</v>
      </c>
      <c r="B816" s="3">
        <v>43957</v>
      </c>
      <c r="C816" s="3" t="str">
        <f t="shared" si="39"/>
        <v>Wednesday</v>
      </c>
      <c r="D816" s="2">
        <v>0.42311342592592593</v>
      </c>
      <c r="E816" t="s">
        <v>14</v>
      </c>
      <c r="F816" t="s">
        <v>15</v>
      </c>
      <c r="G816">
        <v>-1</v>
      </c>
      <c r="H816" t="s">
        <v>16</v>
      </c>
      <c r="I816" t="s">
        <v>77</v>
      </c>
      <c r="J816" s="1">
        <v>44063</v>
      </c>
      <c r="L816" t="s">
        <v>14</v>
      </c>
      <c r="M816">
        <v>26.91</v>
      </c>
      <c r="N816">
        <v>26.91</v>
      </c>
      <c r="O816" t="s">
        <v>21</v>
      </c>
      <c r="P816">
        <f t="shared" si="38"/>
        <v>0</v>
      </c>
      <c r="Q816" s="11">
        <f>IF(P816=0,0,IFERROR(Q815+G816*M816*IF(E816="FUTURE",VLOOKUP(MID(I816,2,2),[1]Futures!$A$2:$B$12,2),1),G816*M816*IF(E816="FUTURE",VLOOKUP(MID(I816,2,2),[1]Futures!$A$2:$B$12,2),1)))</f>
        <v>0</v>
      </c>
      <c r="R816" s="12" t="str">
        <f>IFERROR(Q816/P816/IF(E816="FUTURE",VLOOKUP(MID(I816,2,2),[1]Futures!$A$2:$B$12,2),1),"")</f>
        <v/>
      </c>
      <c r="S816" s="13">
        <f>IF(AND(H816="TO CLOSE",P816=0),-G816*(M816-R815)*IF(E816="FUTURE",VLOOKUP(MID(I816,2,2),[1]Futures!$A$2:$B$12,2),1),"")</f>
        <v>-70.000000000000284</v>
      </c>
    </row>
    <row r="817" spans="1:19" x14ac:dyDescent="0.2">
      <c r="A817">
        <f t="shared" si="37"/>
        <v>235</v>
      </c>
      <c r="B817" s="3">
        <v>43957</v>
      </c>
      <c r="C817" s="3" t="str">
        <f t="shared" si="39"/>
        <v>Wednesday</v>
      </c>
      <c r="D817" s="2">
        <v>0.43004629629629632</v>
      </c>
      <c r="E817" t="s">
        <v>14</v>
      </c>
      <c r="F817" t="s">
        <v>19</v>
      </c>
      <c r="G817">
        <v>1</v>
      </c>
      <c r="H817" t="s">
        <v>20</v>
      </c>
      <c r="I817" t="s">
        <v>77</v>
      </c>
      <c r="J817" s="1">
        <v>44063</v>
      </c>
      <c r="L817" t="s">
        <v>14</v>
      </c>
      <c r="M817">
        <v>26.88</v>
      </c>
      <c r="N817">
        <v>26.88</v>
      </c>
      <c r="O817" t="s">
        <v>21</v>
      </c>
      <c r="P817">
        <f t="shared" si="38"/>
        <v>1</v>
      </c>
      <c r="Q817" s="11">
        <f>IF(P817=0,0,IFERROR(Q816+G817*M817*IF(E817="FUTURE",VLOOKUP(MID(I817,2,2),[1]Futures!$A$2:$B$12,2),1),G817*M817*IF(E817="FUTURE",VLOOKUP(MID(I817,2,2),[1]Futures!$A$2:$B$12,2),1)))</f>
        <v>26880</v>
      </c>
      <c r="R817" s="12">
        <f>IFERROR(Q817/P817/IF(E817="FUTURE",VLOOKUP(MID(I817,2,2),[1]Futures!$A$2:$B$12,2),1),"")</f>
        <v>26.88</v>
      </c>
      <c r="S817" s="13" t="str">
        <f>IF(AND(H817="TO CLOSE",P817=0),-G817*(M817-R816)*IF(E817="FUTURE",VLOOKUP(MID(I817,2,2),[1]Futures!$A$2:$B$12,2),1),"")</f>
        <v/>
      </c>
    </row>
    <row r="818" spans="1:19" x14ac:dyDescent="0.2">
      <c r="A818">
        <f t="shared" si="37"/>
        <v>235</v>
      </c>
      <c r="B818" s="3">
        <v>43957</v>
      </c>
      <c r="C818" s="3" t="str">
        <f t="shared" si="39"/>
        <v>Wednesday</v>
      </c>
      <c r="D818" s="2">
        <v>0.43516203703703704</v>
      </c>
      <c r="E818" t="s">
        <v>14</v>
      </c>
      <c r="F818" t="s">
        <v>15</v>
      </c>
      <c r="G818">
        <v>-1</v>
      </c>
      <c r="H818" t="s">
        <v>16</v>
      </c>
      <c r="I818" t="s">
        <v>77</v>
      </c>
      <c r="J818" s="1">
        <v>44063</v>
      </c>
      <c r="L818" t="s">
        <v>14</v>
      </c>
      <c r="M818">
        <v>26.89</v>
      </c>
      <c r="N818">
        <v>26.89</v>
      </c>
      <c r="O818" t="s">
        <v>18</v>
      </c>
      <c r="P818">
        <f t="shared" si="38"/>
        <v>0</v>
      </c>
      <c r="Q818" s="11">
        <f>IF(P818=0,0,IFERROR(Q817+G818*M818*IF(E818="FUTURE",VLOOKUP(MID(I818,2,2),[1]Futures!$A$2:$B$12,2),1),G818*M818*IF(E818="FUTURE",VLOOKUP(MID(I818,2,2),[1]Futures!$A$2:$B$12,2),1)))</f>
        <v>0</v>
      </c>
      <c r="R818" s="12" t="str">
        <f>IFERROR(Q818/P818/IF(E818="FUTURE",VLOOKUP(MID(I818,2,2),[1]Futures!$A$2:$B$12,2),1),"")</f>
        <v/>
      </c>
      <c r="S818" s="13">
        <f>IF(AND(H818="TO CLOSE",P818=0),-G818*(M818-R817)*IF(E818="FUTURE",VLOOKUP(MID(I818,2,2),[1]Futures!$A$2:$B$12,2),1),"")</f>
        <v>10.000000000001563</v>
      </c>
    </row>
    <row r="819" spans="1:19" x14ac:dyDescent="0.2">
      <c r="A819">
        <f t="shared" si="37"/>
        <v>236</v>
      </c>
      <c r="B819" s="3">
        <v>43957</v>
      </c>
      <c r="C819" s="3" t="str">
        <f t="shared" si="39"/>
        <v>Wednesday</v>
      </c>
      <c r="D819" s="2">
        <v>0.4375</v>
      </c>
      <c r="E819" t="s">
        <v>14</v>
      </c>
      <c r="F819" t="s">
        <v>19</v>
      </c>
      <c r="G819">
        <v>1</v>
      </c>
      <c r="H819" t="s">
        <v>20</v>
      </c>
      <c r="I819" t="s">
        <v>77</v>
      </c>
      <c r="J819" s="1">
        <v>44063</v>
      </c>
      <c r="L819" t="s">
        <v>14</v>
      </c>
      <c r="M819">
        <v>27.06</v>
      </c>
      <c r="N819">
        <v>27.06</v>
      </c>
      <c r="O819" t="s">
        <v>18</v>
      </c>
      <c r="P819">
        <f t="shared" si="38"/>
        <v>1</v>
      </c>
      <c r="Q819" s="11">
        <f>IF(P819=0,0,IFERROR(Q818+G819*M819*IF(E819="FUTURE",VLOOKUP(MID(I819,2,2),[1]Futures!$A$2:$B$12,2),1),G819*M819*IF(E819="FUTURE",VLOOKUP(MID(I819,2,2),[1]Futures!$A$2:$B$12,2),1)))</f>
        <v>27060</v>
      </c>
      <c r="R819" s="12">
        <f>IFERROR(Q819/P819/IF(E819="FUTURE",VLOOKUP(MID(I819,2,2),[1]Futures!$A$2:$B$12,2),1),"")</f>
        <v>27.06</v>
      </c>
      <c r="S819" s="13" t="str">
        <f>IF(AND(H819="TO CLOSE",P819=0),-G819*(M819-R818)*IF(E819="FUTURE",VLOOKUP(MID(I819,2,2),[1]Futures!$A$2:$B$12,2),1),"")</f>
        <v/>
      </c>
    </row>
    <row r="820" spans="1:19" x14ac:dyDescent="0.2">
      <c r="A820">
        <f t="shared" si="37"/>
        <v>236</v>
      </c>
      <c r="B820" s="3">
        <v>43957</v>
      </c>
      <c r="C820" s="3" t="str">
        <f t="shared" si="39"/>
        <v>Wednesday</v>
      </c>
      <c r="D820" s="2">
        <v>0.43763888888888891</v>
      </c>
      <c r="E820" t="s">
        <v>14</v>
      </c>
      <c r="F820" t="s">
        <v>15</v>
      </c>
      <c r="G820">
        <v>-1</v>
      </c>
      <c r="H820" t="s">
        <v>16</v>
      </c>
      <c r="I820" t="s">
        <v>77</v>
      </c>
      <c r="J820" s="1">
        <v>44063</v>
      </c>
      <c r="L820" t="s">
        <v>14</v>
      </c>
      <c r="M820">
        <v>27.35</v>
      </c>
      <c r="N820">
        <v>27.35</v>
      </c>
      <c r="O820" t="s">
        <v>24</v>
      </c>
      <c r="P820">
        <f t="shared" si="38"/>
        <v>0</v>
      </c>
      <c r="Q820" s="11">
        <f>IF(P820=0,0,IFERROR(Q819+G820*M820*IF(E820="FUTURE",VLOOKUP(MID(I820,2,2),[1]Futures!$A$2:$B$12,2),1),G820*M820*IF(E820="FUTURE",VLOOKUP(MID(I820,2,2),[1]Futures!$A$2:$B$12,2),1)))</f>
        <v>0</v>
      </c>
      <c r="R820" s="12" t="str">
        <f>IFERROR(Q820/P820/IF(E820="FUTURE",VLOOKUP(MID(I820,2,2),[1]Futures!$A$2:$B$12,2),1),"")</f>
        <v/>
      </c>
      <c r="S820" s="13">
        <f>IF(AND(H820="TO CLOSE",P820=0),-G820*(M820-R819)*IF(E820="FUTURE",VLOOKUP(MID(I820,2,2),[1]Futures!$A$2:$B$12,2),1),"")</f>
        <v>290.00000000000273</v>
      </c>
    </row>
    <row r="821" spans="1:19" x14ac:dyDescent="0.2">
      <c r="A821">
        <f t="shared" si="37"/>
        <v>237</v>
      </c>
      <c r="B821" s="3">
        <v>43957</v>
      </c>
      <c r="C821" s="3" t="str">
        <f t="shared" si="39"/>
        <v>Wednesday</v>
      </c>
      <c r="D821" s="2">
        <v>0.44043981481481481</v>
      </c>
      <c r="E821" t="s">
        <v>14</v>
      </c>
      <c r="F821" t="s">
        <v>15</v>
      </c>
      <c r="G821">
        <v>-1</v>
      </c>
      <c r="H821" t="s">
        <v>20</v>
      </c>
      <c r="I821" t="s">
        <v>77</v>
      </c>
      <c r="J821" s="1">
        <v>44063</v>
      </c>
      <c r="L821" t="s">
        <v>14</v>
      </c>
      <c r="M821">
        <v>27.45</v>
      </c>
      <c r="N821">
        <v>27.45</v>
      </c>
      <c r="O821" t="s">
        <v>21</v>
      </c>
      <c r="P821">
        <f t="shared" si="38"/>
        <v>-1</v>
      </c>
      <c r="Q821" s="11">
        <f>IF(P821=0,0,IFERROR(Q820+G821*M821*IF(E821="FUTURE",VLOOKUP(MID(I821,2,2),[1]Futures!$A$2:$B$12,2),1),G821*M821*IF(E821="FUTURE",VLOOKUP(MID(I821,2,2),[1]Futures!$A$2:$B$12,2),1)))</f>
        <v>-27450</v>
      </c>
      <c r="R821" s="12">
        <f>IFERROR(Q821/P821/IF(E821="FUTURE",VLOOKUP(MID(I821,2,2),[1]Futures!$A$2:$B$12,2),1),"")</f>
        <v>27.45</v>
      </c>
      <c r="S821" s="13" t="str">
        <f>IF(AND(H821="TO CLOSE",P821=0),-G821*(M821-R820)*IF(E821="FUTURE",VLOOKUP(MID(I821,2,2),[1]Futures!$A$2:$B$12,2),1),"")</f>
        <v/>
      </c>
    </row>
    <row r="822" spans="1:19" x14ac:dyDescent="0.2">
      <c r="A822">
        <f t="shared" si="37"/>
        <v>237</v>
      </c>
      <c r="B822" s="3">
        <v>43957</v>
      </c>
      <c r="C822" s="3" t="str">
        <f t="shared" si="39"/>
        <v>Wednesday</v>
      </c>
      <c r="D822" s="2">
        <v>0.44175925925925924</v>
      </c>
      <c r="E822" t="s">
        <v>14</v>
      </c>
      <c r="F822" t="s">
        <v>19</v>
      </c>
      <c r="G822">
        <v>1</v>
      </c>
      <c r="H822" t="s">
        <v>16</v>
      </c>
      <c r="I822" t="s">
        <v>77</v>
      </c>
      <c r="J822" s="1">
        <v>44063</v>
      </c>
      <c r="L822" t="s">
        <v>14</v>
      </c>
      <c r="M822">
        <v>27.2</v>
      </c>
      <c r="N822">
        <v>27.2</v>
      </c>
      <c r="O822" t="s">
        <v>24</v>
      </c>
      <c r="P822">
        <f t="shared" si="38"/>
        <v>0</v>
      </c>
      <c r="Q822" s="11">
        <f>IF(P822=0,0,IFERROR(Q821+G822*M822*IF(E822="FUTURE",VLOOKUP(MID(I822,2,2),[1]Futures!$A$2:$B$12,2),1),G822*M822*IF(E822="FUTURE",VLOOKUP(MID(I822,2,2),[1]Futures!$A$2:$B$12,2),1)))</f>
        <v>0</v>
      </c>
      <c r="R822" s="12" t="str">
        <f>IFERROR(Q822/P822/IF(E822="FUTURE",VLOOKUP(MID(I822,2,2),[1]Futures!$A$2:$B$12,2),1),"")</f>
        <v/>
      </c>
      <c r="S822" s="13">
        <f>IF(AND(H822="TO CLOSE",P822=0),-G822*(M822-R821)*IF(E822="FUTURE",VLOOKUP(MID(I822,2,2),[1]Futures!$A$2:$B$12,2),1),"")</f>
        <v>250</v>
      </c>
    </row>
    <row r="823" spans="1:19" x14ac:dyDescent="0.2">
      <c r="A823">
        <f t="shared" si="37"/>
        <v>238</v>
      </c>
      <c r="B823" s="3">
        <v>43957</v>
      </c>
      <c r="C823" s="3" t="str">
        <f t="shared" si="39"/>
        <v>Wednesday</v>
      </c>
      <c r="D823" s="2">
        <v>0.46417824074074071</v>
      </c>
      <c r="E823" t="s">
        <v>14</v>
      </c>
      <c r="F823" t="s">
        <v>15</v>
      </c>
      <c r="G823">
        <v>-1</v>
      </c>
      <c r="H823" t="s">
        <v>20</v>
      </c>
      <c r="I823" t="s">
        <v>77</v>
      </c>
      <c r="J823" s="1">
        <v>44063</v>
      </c>
      <c r="L823" t="s">
        <v>14</v>
      </c>
      <c r="M823">
        <v>26.69</v>
      </c>
      <c r="N823">
        <v>26.69</v>
      </c>
      <c r="O823" t="s">
        <v>21</v>
      </c>
      <c r="P823">
        <f t="shared" si="38"/>
        <v>-1</v>
      </c>
      <c r="Q823" s="11">
        <f>IF(P823=0,0,IFERROR(Q822+G823*M823*IF(E823="FUTURE",VLOOKUP(MID(I823,2,2),[1]Futures!$A$2:$B$12,2),1),G823*M823*IF(E823="FUTURE",VLOOKUP(MID(I823,2,2),[1]Futures!$A$2:$B$12,2),1)))</f>
        <v>-26690</v>
      </c>
      <c r="R823" s="12">
        <f>IFERROR(Q823/P823/IF(E823="FUTURE",VLOOKUP(MID(I823,2,2),[1]Futures!$A$2:$B$12,2),1),"")</f>
        <v>26.69</v>
      </c>
      <c r="S823" s="13" t="str">
        <f>IF(AND(H823="TO CLOSE",P823=0),-G823*(M823-R822)*IF(E823="FUTURE",VLOOKUP(MID(I823,2,2),[1]Futures!$A$2:$B$12,2),1),"")</f>
        <v/>
      </c>
    </row>
    <row r="824" spans="1:19" x14ac:dyDescent="0.2">
      <c r="A824">
        <f t="shared" si="37"/>
        <v>238</v>
      </c>
      <c r="B824" s="3">
        <v>43957</v>
      </c>
      <c r="C824" s="3" t="str">
        <f t="shared" si="39"/>
        <v>Wednesday</v>
      </c>
      <c r="D824" s="2">
        <v>0.4730671296296296</v>
      </c>
      <c r="E824" t="s">
        <v>14</v>
      </c>
      <c r="F824" t="s">
        <v>19</v>
      </c>
      <c r="G824">
        <v>1</v>
      </c>
      <c r="H824" t="s">
        <v>16</v>
      </c>
      <c r="I824" t="s">
        <v>77</v>
      </c>
      <c r="J824" s="1">
        <v>44063</v>
      </c>
      <c r="L824" t="s">
        <v>14</v>
      </c>
      <c r="M824">
        <v>26.69</v>
      </c>
      <c r="N824">
        <v>26.69</v>
      </c>
      <c r="O824" t="s">
        <v>21</v>
      </c>
      <c r="P824">
        <f t="shared" si="38"/>
        <v>0</v>
      </c>
      <c r="Q824" s="11">
        <f>IF(P824=0,0,IFERROR(Q823+G824*M824*IF(E824="FUTURE",VLOOKUP(MID(I824,2,2),[1]Futures!$A$2:$B$12,2),1),G824*M824*IF(E824="FUTURE",VLOOKUP(MID(I824,2,2),[1]Futures!$A$2:$B$12,2),1)))</f>
        <v>0</v>
      </c>
      <c r="R824" s="12" t="str">
        <f>IFERROR(Q824/P824/IF(E824="FUTURE",VLOOKUP(MID(I824,2,2),[1]Futures!$A$2:$B$12,2),1),"")</f>
        <v/>
      </c>
      <c r="S824" s="13">
        <f>IF(AND(H824="TO CLOSE",P824=0),-G824*(M824-R823)*IF(E824="FUTURE",VLOOKUP(MID(I824,2,2),[1]Futures!$A$2:$B$12,2),1),"")</f>
        <v>0</v>
      </c>
    </row>
    <row r="825" spans="1:19" x14ac:dyDescent="0.2">
      <c r="A825">
        <f t="shared" si="37"/>
        <v>239</v>
      </c>
      <c r="B825" s="3">
        <v>43957</v>
      </c>
      <c r="C825" s="3" t="str">
        <f>IF(WEEKDAY(B825,2)=1,"Monday",IF(WEEKDAY(B825,2)=2,"Tuesday",IF(WEEKDAY(B825,2)=3,"Wednesday",IF(WEEKDAY(B825,2)=4,"Thursday",IF(WEEKDAY(B825,2)=5,"Friday","Sunday")))))</f>
        <v>Wednesday</v>
      </c>
      <c r="D825" s="2">
        <v>0.45739583333333328</v>
      </c>
      <c r="E825" t="s">
        <v>14</v>
      </c>
      <c r="F825" t="s">
        <v>15</v>
      </c>
      <c r="G825">
        <v>-1</v>
      </c>
      <c r="H825" t="s">
        <v>20</v>
      </c>
      <c r="I825" t="s">
        <v>17</v>
      </c>
      <c r="J825" s="1">
        <v>44002</v>
      </c>
      <c r="L825" t="s">
        <v>14</v>
      </c>
      <c r="M825">
        <v>2869.25</v>
      </c>
      <c r="N825">
        <v>2869.25</v>
      </c>
      <c r="O825" t="s">
        <v>21</v>
      </c>
      <c r="P825">
        <f t="shared" si="38"/>
        <v>-1</v>
      </c>
      <c r="Q825" s="11">
        <f>IF(P825=0,0,IFERROR(Q824+G825*M825*IF(E825="FUTURE",VLOOKUP(MID(I825,2,2),[1]Futures!$A$2:$B$12,2),1),G825*M825*IF(E825="FUTURE",VLOOKUP(MID(I825,2,2),[1]Futures!$A$2:$B$12,2),1)))</f>
        <v>-143462.5</v>
      </c>
      <c r="R825" s="12">
        <f>IFERROR(Q825/P825/IF(E825="FUTURE",VLOOKUP(MID(I825,2,2),[1]Futures!$A$2:$B$12,2),1),"")</f>
        <v>2869.25</v>
      </c>
      <c r="S825" s="13" t="str">
        <f>IF(AND(H825="TO CLOSE",P825=0),-G825*(M825-R824)*IF(E825="FUTURE",VLOOKUP(MID(I825,2,2),[1]Futures!$A$2:$B$12,2),1),"")</f>
        <v/>
      </c>
    </row>
    <row r="826" spans="1:19" x14ac:dyDescent="0.2">
      <c r="A826">
        <f t="shared" si="37"/>
        <v>239</v>
      </c>
      <c r="B826" s="3">
        <v>43957</v>
      </c>
      <c r="C826" s="3" t="str">
        <f>IF(WEEKDAY(B826,2)=1,"Monday",IF(WEEKDAY(B826,2)=2,"Tuesday",IF(WEEKDAY(B826,2)=3,"Wednesday",IF(WEEKDAY(B826,2)=4,"Thursday",IF(WEEKDAY(B826,2)=5,"Friday","Sunday")))))</f>
        <v>Wednesday</v>
      </c>
      <c r="D826" s="2">
        <v>0.4632175925925926</v>
      </c>
      <c r="E826" t="s">
        <v>14</v>
      </c>
      <c r="F826" t="s">
        <v>19</v>
      </c>
      <c r="G826">
        <v>1</v>
      </c>
      <c r="H826" t="s">
        <v>16</v>
      </c>
      <c r="I826" t="s">
        <v>17</v>
      </c>
      <c r="J826" s="1">
        <v>44002</v>
      </c>
      <c r="L826" t="s">
        <v>14</v>
      </c>
      <c r="M826">
        <v>2865.5</v>
      </c>
      <c r="N826">
        <v>2865.5</v>
      </c>
      <c r="O826" t="s">
        <v>21</v>
      </c>
      <c r="P826">
        <f t="shared" si="38"/>
        <v>0</v>
      </c>
      <c r="Q826" s="11">
        <f>IF(P826=0,0,IFERROR(Q825+G826*M826*IF(E826="FUTURE",VLOOKUP(MID(I826,2,2),[1]Futures!$A$2:$B$12,2),1),G826*M826*IF(E826="FUTURE",VLOOKUP(MID(I826,2,2),[1]Futures!$A$2:$B$12,2),1)))</f>
        <v>0</v>
      </c>
      <c r="R826" s="12" t="str">
        <f>IFERROR(Q826/P826/IF(E826="FUTURE",VLOOKUP(MID(I826,2,2),[1]Futures!$A$2:$B$12,2),1),"")</f>
        <v/>
      </c>
      <c r="S826" s="13">
        <f>IF(AND(H826="TO CLOSE",P826=0),-G826*(M826-R825)*IF(E826="FUTURE",VLOOKUP(MID(I826,2,2),[1]Futures!$A$2:$B$12,2),1),"")</f>
        <v>187.5</v>
      </c>
    </row>
    <row r="827" spans="1:19" x14ac:dyDescent="0.2">
      <c r="A827">
        <f t="shared" si="37"/>
        <v>240</v>
      </c>
      <c r="B827" s="3">
        <v>43957</v>
      </c>
      <c r="C827" s="3" t="str">
        <f>IF(WEEKDAY(B827,2)=1,"Monday",IF(WEEKDAY(B827,2)=2,"Tuesday",IF(WEEKDAY(B827,2)=3,"Wednesday",IF(WEEKDAY(B827,2)=4,"Thursday",IF(WEEKDAY(B827,2)=5,"Friday","Sunday")))))</f>
        <v>Wednesday</v>
      </c>
      <c r="D827" s="2">
        <v>0.41469907407407408</v>
      </c>
      <c r="E827" t="s">
        <v>22</v>
      </c>
      <c r="F827" t="s">
        <v>19</v>
      </c>
      <c r="G827">
        <v>400</v>
      </c>
      <c r="H827" t="s">
        <v>20</v>
      </c>
      <c r="I827" t="s">
        <v>23</v>
      </c>
      <c r="L827" t="s">
        <v>22</v>
      </c>
      <c r="M827">
        <v>38.5</v>
      </c>
      <c r="N827">
        <v>38.5</v>
      </c>
      <c r="O827" t="s">
        <v>21</v>
      </c>
      <c r="P827">
        <f t="shared" si="38"/>
        <v>400</v>
      </c>
      <c r="Q827" s="11">
        <f>IF(P827=0,0,IFERROR(Q826+G827*M827*IF(E827="FUTURE",VLOOKUP(MID(I827,2,2),[1]Futures!$A$2:$B$12,2),1),G827*M827*IF(E827="FUTURE",VLOOKUP(MID(I827,2,2),[1]Futures!$A$2:$B$12,2),1)))</f>
        <v>15400</v>
      </c>
      <c r="R827" s="12">
        <f>IFERROR(Q827/P827/IF(E827="FUTURE",VLOOKUP(MID(I827,2,2),[1]Futures!$A$2:$B$12,2),1),"")</f>
        <v>38.5</v>
      </c>
      <c r="S827" s="13" t="str">
        <f>IF(AND(H827="TO CLOSE",P827=0),-G827*(M827-R826)*IF(E827="FUTURE",VLOOKUP(MID(I827,2,2),[1]Futures!$A$2:$B$12,2),1),"")</f>
        <v/>
      </c>
    </row>
    <row r="828" spans="1:19" x14ac:dyDescent="0.2">
      <c r="A828">
        <f t="shared" si="37"/>
        <v>240</v>
      </c>
      <c r="B828" s="3">
        <v>43957</v>
      </c>
      <c r="C828" s="3" t="str">
        <f>IF(WEEKDAY(B828,2)=1,"Monday",IF(WEEKDAY(B828,2)=2,"Tuesday",IF(WEEKDAY(B828,2)=3,"Wednesday",IF(WEEKDAY(B828,2)=4,"Thursday",IF(WEEKDAY(B828,2)=5,"Friday","Sunday")))))</f>
        <v>Wednesday</v>
      </c>
      <c r="D828" s="2">
        <v>0.42167824074074073</v>
      </c>
      <c r="E828" t="s">
        <v>22</v>
      </c>
      <c r="F828" t="s">
        <v>15</v>
      </c>
      <c r="G828">
        <v>-200</v>
      </c>
      <c r="H828" t="s">
        <v>16</v>
      </c>
      <c r="I828" t="s">
        <v>23</v>
      </c>
      <c r="L828" t="s">
        <v>22</v>
      </c>
      <c r="M828">
        <v>38.82</v>
      </c>
      <c r="N828">
        <v>38.82</v>
      </c>
      <c r="O828" t="s">
        <v>21</v>
      </c>
      <c r="P828">
        <f t="shared" si="38"/>
        <v>200</v>
      </c>
      <c r="Q828" s="11">
        <f>IF(P828=0,0,IFERROR(Q827+G828*M828*IF(E828="FUTURE",VLOOKUP(MID(I828,2,2),[1]Futures!$A$2:$B$12,2),1),G828*M828*IF(E828="FUTURE",VLOOKUP(MID(I828,2,2),[1]Futures!$A$2:$B$12,2),1)))</f>
        <v>7636</v>
      </c>
      <c r="R828" s="12">
        <f>IFERROR(Q828/P828/IF(E828="FUTURE",VLOOKUP(MID(I828,2,2),[1]Futures!$A$2:$B$12,2),1),"")</f>
        <v>38.18</v>
      </c>
      <c r="S828" s="13" t="str">
        <f>IF(AND(H828="TO CLOSE",P828=0),-G828*(M828-R827)*IF(E828="FUTURE",VLOOKUP(MID(I828,2,2),[1]Futures!$A$2:$B$12,2),1),"")</f>
        <v/>
      </c>
    </row>
    <row r="829" spans="1:19" x14ac:dyDescent="0.2">
      <c r="A829">
        <f t="shared" si="37"/>
        <v>240</v>
      </c>
      <c r="B829" s="3">
        <v>43957</v>
      </c>
      <c r="C829" s="3" t="str">
        <f>IF(WEEKDAY(B829,2)=1,"Monday",IF(WEEKDAY(B829,2)=2,"Tuesday",IF(WEEKDAY(B829,2)=3,"Wednesday",IF(WEEKDAY(B829,2)=4,"Thursday",IF(WEEKDAY(B829,2)=5,"Friday","Sunday")))))</f>
        <v>Wednesday</v>
      </c>
      <c r="D829" s="2">
        <v>0.4241550925925926</v>
      </c>
      <c r="E829" t="s">
        <v>22</v>
      </c>
      <c r="F829" t="s">
        <v>15</v>
      </c>
      <c r="G829">
        <v>-200</v>
      </c>
      <c r="H829" t="s">
        <v>16</v>
      </c>
      <c r="I829" t="s">
        <v>23</v>
      </c>
      <c r="L829" t="s">
        <v>22</v>
      </c>
      <c r="M829">
        <v>39.061700000000002</v>
      </c>
      <c r="N829">
        <v>39.061700000000002</v>
      </c>
      <c r="O829" t="s">
        <v>21</v>
      </c>
      <c r="P829">
        <f t="shared" si="38"/>
        <v>0</v>
      </c>
      <c r="Q829" s="11">
        <f>IF(P829=0,0,IFERROR(Q828+G829*M829*IF(E829="FUTURE",VLOOKUP(MID(I829,2,2),[1]Futures!$A$2:$B$12,2),1),G829*M829*IF(E829="FUTURE",VLOOKUP(MID(I829,2,2),[1]Futures!$A$2:$B$12,2),1)))</f>
        <v>0</v>
      </c>
      <c r="R829" s="12" t="str">
        <f>IFERROR(Q829/P829/IF(E829="FUTURE",VLOOKUP(MID(I829,2,2),[1]Futures!$A$2:$B$12,2),1),"")</f>
        <v/>
      </c>
      <c r="S829" s="13">
        <f>IF(AND(H829="TO CLOSE",P829=0),-G829*(M829-R828)*IF(E829="FUTURE",VLOOKUP(MID(I829,2,2),[1]Futures!$A$2:$B$12,2),1),"")</f>
        <v>176.34000000000043</v>
      </c>
    </row>
    <row r="830" spans="1:19" x14ac:dyDescent="0.2">
      <c r="A830">
        <f t="shared" si="37"/>
        <v>241</v>
      </c>
      <c r="B830" s="3">
        <v>43958</v>
      </c>
      <c r="C830" s="3" t="str">
        <f t="shared" ref="C830:C893" si="40">IF(WEEKDAY(B830,2)=1,"Monday",IF(WEEKDAY(B830,2)=2,"Tuesday",IF(WEEKDAY(B830,2)=3,"Wednesday",IF(WEEKDAY(B830,2)=4,"Thursday",IF(WEEKDAY(B830,2)=5,"Friday","Sunday")))))</f>
        <v>Thursday</v>
      </c>
      <c r="D830" s="2">
        <v>0.39635416666666662</v>
      </c>
      <c r="E830" t="s">
        <v>14</v>
      </c>
      <c r="F830" t="s">
        <v>15</v>
      </c>
      <c r="G830">
        <v>-1</v>
      </c>
      <c r="H830" t="s">
        <v>20</v>
      </c>
      <c r="I830" t="s">
        <v>77</v>
      </c>
      <c r="J830" s="1">
        <v>44063</v>
      </c>
      <c r="L830" t="s">
        <v>14</v>
      </c>
      <c r="M830">
        <v>28.56</v>
      </c>
      <c r="N830">
        <v>28.56</v>
      </c>
      <c r="O830" t="s">
        <v>21</v>
      </c>
      <c r="P830">
        <f t="shared" si="38"/>
        <v>-1</v>
      </c>
      <c r="Q830" s="11">
        <f>IF(P830=0,0,IFERROR(Q829+G830*M830*IF(E830="FUTURE",VLOOKUP(MID(I830,2,2),[1]Futures!$A$2:$B$12,2),1),G830*M830*IF(E830="FUTURE",VLOOKUP(MID(I830,2,2),[1]Futures!$A$2:$B$12,2),1)))</f>
        <v>-28560</v>
      </c>
      <c r="R830" s="12">
        <f>IFERROR(Q830/P830/IF(E830="FUTURE",VLOOKUP(MID(I830,2,2),[1]Futures!$A$2:$B$12,2),1),"")</f>
        <v>28.56</v>
      </c>
      <c r="S830" s="13" t="str">
        <f>IF(AND(H830="TO CLOSE",P830=0),-G830*(M830-R829)*IF(E830="FUTURE",VLOOKUP(MID(I830,2,2),[1]Futures!$A$2:$B$12,2),1),"")</f>
        <v/>
      </c>
    </row>
    <row r="831" spans="1:19" x14ac:dyDescent="0.2">
      <c r="A831">
        <f t="shared" si="37"/>
        <v>241</v>
      </c>
      <c r="B831" s="3">
        <v>43958</v>
      </c>
      <c r="C831" s="3" t="str">
        <f t="shared" si="40"/>
        <v>Thursday</v>
      </c>
      <c r="D831" s="2">
        <v>0.4099652777777778</v>
      </c>
      <c r="E831" t="s">
        <v>14</v>
      </c>
      <c r="F831" t="s">
        <v>19</v>
      </c>
      <c r="G831">
        <v>1</v>
      </c>
      <c r="H831" t="s">
        <v>16</v>
      </c>
      <c r="I831" t="s">
        <v>77</v>
      </c>
      <c r="J831" s="1">
        <v>44063</v>
      </c>
      <c r="L831" t="s">
        <v>14</v>
      </c>
      <c r="M831">
        <v>28.46</v>
      </c>
      <c r="N831">
        <v>28.46</v>
      </c>
      <c r="O831" t="s">
        <v>21</v>
      </c>
      <c r="P831">
        <f t="shared" si="38"/>
        <v>0</v>
      </c>
      <c r="Q831" s="11">
        <f>IF(P831=0,0,IFERROR(Q830+G831*M831*IF(E831="FUTURE",VLOOKUP(MID(I831,2,2),[1]Futures!$A$2:$B$12,2),1),G831*M831*IF(E831="FUTURE",VLOOKUP(MID(I831,2,2),[1]Futures!$A$2:$B$12,2),1)))</f>
        <v>0</v>
      </c>
      <c r="R831" s="12" t="str">
        <f>IFERROR(Q831/P831/IF(E831="FUTURE",VLOOKUP(MID(I831,2,2),[1]Futures!$A$2:$B$12,2),1),"")</f>
        <v/>
      </c>
      <c r="S831" s="13">
        <f>IF(AND(H831="TO CLOSE",P831=0),-G831*(M831-R830)*IF(E831="FUTURE",VLOOKUP(MID(I831,2,2),[1]Futures!$A$2:$B$12,2),1),"")</f>
        <v>99.999999999997868</v>
      </c>
    </row>
    <row r="832" spans="1:19" x14ac:dyDescent="0.2">
      <c r="A832">
        <f t="shared" si="37"/>
        <v>242</v>
      </c>
      <c r="B832" s="3">
        <v>43958</v>
      </c>
      <c r="C832" s="3" t="str">
        <f t="shared" si="40"/>
        <v>Thursday</v>
      </c>
      <c r="D832" s="2">
        <v>0.46759259259259256</v>
      </c>
      <c r="E832" t="s">
        <v>14</v>
      </c>
      <c r="F832" t="s">
        <v>19</v>
      </c>
      <c r="G832">
        <v>1</v>
      </c>
      <c r="H832" t="s">
        <v>20</v>
      </c>
      <c r="I832" t="s">
        <v>77</v>
      </c>
      <c r="J832" s="1">
        <v>44063</v>
      </c>
      <c r="L832" t="s">
        <v>14</v>
      </c>
      <c r="M832">
        <v>28.1</v>
      </c>
      <c r="N832">
        <v>28.1</v>
      </c>
      <c r="O832" t="s">
        <v>21</v>
      </c>
      <c r="P832">
        <f t="shared" si="38"/>
        <v>1</v>
      </c>
      <c r="Q832" s="11">
        <f>IF(P832=0,0,IFERROR(Q831+G832*M832*IF(E832="FUTURE",VLOOKUP(MID(I832,2,2),[1]Futures!$A$2:$B$12,2),1),G832*M832*IF(E832="FUTURE",VLOOKUP(MID(I832,2,2),[1]Futures!$A$2:$B$12,2),1)))</f>
        <v>28100</v>
      </c>
      <c r="R832" s="12">
        <f>IFERROR(Q832/P832/IF(E832="FUTURE",VLOOKUP(MID(I832,2,2),[1]Futures!$A$2:$B$12,2),1),"")</f>
        <v>28.1</v>
      </c>
      <c r="S832" s="13" t="str">
        <f>IF(AND(H832="TO CLOSE",P832=0),-G832*(M832-R831)*IF(E832="FUTURE",VLOOKUP(MID(I832,2,2),[1]Futures!$A$2:$B$12,2),1),"")</f>
        <v/>
      </c>
    </row>
    <row r="833" spans="1:19" x14ac:dyDescent="0.2">
      <c r="A833">
        <f t="shared" si="37"/>
        <v>242</v>
      </c>
      <c r="B833" s="3">
        <v>43958</v>
      </c>
      <c r="C833" s="3" t="str">
        <f t="shared" si="40"/>
        <v>Thursday</v>
      </c>
      <c r="D833" s="2">
        <v>0.47497685185185184</v>
      </c>
      <c r="E833" t="s">
        <v>14</v>
      </c>
      <c r="F833" t="s">
        <v>15</v>
      </c>
      <c r="G833">
        <v>-1</v>
      </c>
      <c r="H833" t="s">
        <v>16</v>
      </c>
      <c r="I833" t="s">
        <v>77</v>
      </c>
      <c r="J833" s="1">
        <v>44063</v>
      </c>
      <c r="L833" t="s">
        <v>14</v>
      </c>
      <c r="M833">
        <v>28.26</v>
      </c>
      <c r="N833">
        <v>28.26</v>
      </c>
      <c r="O833" t="s">
        <v>21</v>
      </c>
      <c r="P833">
        <f t="shared" si="38"/>
        <v>0</v>
      </c>
      <c r="Q833" s="11">
        <f>IF(P833=0,0,IFERROR(Q832+G833*M833*IF(E833="FUTURE",VLOOKUP(MID(I833,2,2),[1]Futures!$A$2:$B$12,2),1),G833*M833*IF(E833="FUTURE",VLOOKUP(MID(I833,2,2),[1]Futures!$A$2:$B$12,2),1)))</f>
        <v>0</v>
      </c>
      <c r="R833" s="12" t="str">
        <f>IFERROR(Q833/P833/IF(E833="FUTURE",VLOOKUP(MID(I833,2,2),[1]Futures!$A$2:$B$12,2),1),"")</f>
        <v/>
      </c>
      <c r="S833" s="13">
        <f>IF(AND(H833="TO CLOSE",P833=0),-G833*(M833-R832)*IF(E833="FUTURE",VLOOKUP(MID(I833,2,2),[1]Futures!$A$2:$B$12,2),1),"")</f>
        <v>160.00000000000014</v>
      </c>
    </row>
    <row r="834" spans="1:19" x14ac:dyDescent="0.2">
      <c r="A834">
        <f t="shared" ref="A834:A897" si="41">IF(AND(P833=0,H833="TO CLOSE"),IFERROR(A833+1,1),IFERROR(A833/1,1))</f>
        <v>243</v>
      </c>
      <c r="B834" s="3">
        <v>43958</v>
      </c>
      <c r="C834" s="3" t="str">
        <f t="shared" si="40"/>
        <v>Thursday</v>
      </c>
      <c r="D834" s="2">
        <v>0.60328703703703701</v>
      </c>
      <c r="E834" t="s">
        <v>14</v>
      </c>
      <c r="F834" t="s">
        <v>19</v>
      </c>
      <c r="G834">
        <v>1</v>
      </c>
      <c r="H834" t="s">
        <v>20</v>
      </c>
      <c r="I834" t="s">
        <v>77</v>
      </c>
      <c r="J834" s="1">
        <v>44063</v>
      </c>
      <c r="L834" t="s">
        <v>14</v>
      </c>
      <c r="M834">
        <v>26.43</v>
      </c>
      <c r="N834">
        <v>26.43</v>
      </c>
      <c r="O834" t="s">
        <v>21</v>
      </c>
      <c r="P834">
        <f t="shared" si="38"/>
        <v>1</v>
      </c>
      <c r="Q834" s="11">
        <f>IF(P834=0,0,IFERROR(Q833+G834*M834*IF(E834="FUTURE",VLOOKUP(MID(I834,2,2),[1]Futures!$A$2:$B$12,2),1),G834*M834*IF(E834="FUTURE",VLOOKUP(MID(I834,2,2),[1]Futures!$A$2:$B$12,2),1)))</f>
        <v>26430</v>
      </c>
      <c r="R834" s="12">
        <f>IFERROR(Q834/P834/IF(E834="FUTURE",VLOOKUP(MID(I834,2,2),[1]Futures!$A$2:$B$12,2),1),"")</f>
        <v>26.43</v>
      </c>
      <c r="S834" s="13" t="str">
        <f>IF(AND(H834="TO CLOSE",P834=0),-G834*(M834-R833)*IF(E834="FUTURE",VLOOKUP(MID(I834,2,2),[1]Futures!$A$2:$B$12,2),1),"")</f>
        <v/>
      </c>
    </row>
    <row r="835" spans="1:19" x14ac:dyDescent="0.2">
      <c r="A835">
        <f t="shared" si="41"/>
        <v>243</v>
      </c>
      <c r="B835" s="3">
        <v>43958</v>
      </c>
      <c r="C835" s="3" t="str">
        <f t="shared" si="40"/>
        <v>Thursday</v>
      </c>
      <c r="D835" s="2">
        <v>0.60436342592592596</v>
      </c>
      <c r="E835" t="s">
        <v>14</v>
      </c>
      <c r="F835" t="s">
        <v>15</v>
      </c>
      <c r="G835">
        <v>-1</v>
      </c>
      <c r="H835" t="s">
        <v>16</v>
      </c>
      <c r="I835" t="s">
        <v>77</v>
      </c>
      <c r="J835" s="1">
        <v>44063</v>
      </c>
      <c r="L835" t="s">
        <v>14</v>
      </c>
      <c r="M835">
        <v>26.65</v>
      </c>
      <c r="N835">
        <v>26.65</v>
      </c>
      <c r="O835" t="s">
        <v>21</v>
      </c>
      <c r="P835">
        <f t="shared" ref="P835:P898" si="42">IF(H835="TO OPEN",IFERROR(P834+G835,0+G835),IFERROR(P834+G835,0+G835))</f>
        <v>0</v>
      </c>
      <c r="Q835" s="11">
        <f>IF(P835=0,0,IFERROR(Q834+G835*M835*IF(E835="FUTURE",VLOOKUP(MID(I835,2,2),[1]Futures!$A$2:$B$12,2),1),G835*M835*IF(E835="FUTURE",VLOOKUP(MID(I835,2,2),[1]Futures!$A$2:$B$12,2),1)))</f>
        <v>0</v>
      </c>
      <c r="R835" s="12" t="str">
        <f>IFERROR(Q835/P835/IF(E835="FUTURE",VLOOKUP(MID(I835,2,2),[1]Futures!$A$2:$B$12,2),1),"")</f>
        <v/>
      </c>
      <c r="S835" s="13">
        <f>IF(AND(H835="TO CLOSE",P835=0),-G835*(M835-R834)*IF(E835="FUTURE",VLOOKUP(MID(I835,2,2),[1]Futures!$A$2:$B$12,2),1),"")</f>
        <v>219.99999999999886</v>
      </c>
    </row>
    <row r="836" spans="1:19" x14ac:dyDescent="0.2">
      <c r="A836">
        <f t="shared" si="41"/>
        <v>244</v>
      </c>
      <c r="B836" s="3">
        <v>43958</v>
      </c>
      <c r="C836" s="3" t="str">
        <f t="shared" si="40"/>
        <v>Thursday</v>
      </c>
      <c r="D836" s="2">
        <v>0.39557870370370374</v>
      </c>
      <c r="E836" t="s">
        <v>14</v>
      </c>
      <c r="F836" t="s">
        <v>15</v>
      </c>
      <c r="G836">
        <v>-1</v>
      </c>
      <c r="H836" t="s">
        <v>20</v>
      </c>
      <c r="I836" t="s">
        <v>17</v>
      </c>
      <c r="J836" s="1">
        <v>44002</v>
      </c>
      <c r="L836" t="s">
        <v>14</v>
      </c>
      <c r="M836">
        <v>2874</v>
      </c>
      <c r="N836">
        <v>2874</v>
      </c>
      <c r="O836" t="s">
        <v>21</v>
      </c>
      <c r="P836">
        <f t="shared" si="42"/>
        <v>-1</v>
      </c>
      <c r="Q836" s="11">
        <f>IF(P836=0,0,IFERROR(Q835+G836*M836*IF(E836="FUTURE",VLOOKUP(MID(I836,2,2),[1]Futures!$A$2:$B$12,2),1),G836*M836*IF(E836="FUTURE",VLOOKUP(MID(I836,2,2),[1]Futures!$A$2:$B$12,2),1)))</f>
        <v>-143700</v>
      </c>
      <c r="R836" s="12">
        <f>IFERROR(Q836/P836/IF(E836="FUTURE",VLOOKUP(MID(I836,2,2),[1]Futures!$A$2:$B$12,2),1),"")</f>
        <v>2874</v>
      </c>
      <c r="S836" s="13" t="str">
        <f>IF(AND(H836="TO CLOSE",P836=0),-G836*(M836-R835)*IF(E836="FUTURE",VLOOKUP(MID(I836,2,2),[1]Futures!$A$2:$B$12,2),1),"")</f>
        <v/>
      </c>
    </row>
    <row r="837" spans="1:19" x14ac:dyDescent="0.2">
      <c r="A837">
        <f t="shared" si="41"/>
        <v>244</v>
      </c>
      <c r="B837" s="3">
        <v>43958</v>
      </c>
      <c r="C837" s="3" t="str">
        <f t="shared" si="40"/>
        <v>Thursday</v>
      </c>
      <c r="D837" s="2">
        <v>0.62633101851851858</v>
      </c>
      <c r="E837" t="s">
        <v>14</v>
      </c>
      <c r="F837" t="s">
        <v>19</v>
      </c>
      <c r="G837">
        <v>1</v>
      </c>
      <c r="H837" t="s">
        <v>16</v>
      </c>
      <c r="I837" t="s">
        <v>17</v>
      </c>
      <c r="J837" s="1">
        <v>44002</v>
      </c>
      <c r="L837" t="s">
        <v>14</v>
      </c>
      <c r="M837">
        <v>2873</v>
      </c>
      <c r="N837">
        <v>2873</v>
      </c>
      <c r="O837" t="s">
        <v>24</v>
      </c>
      <c r="P837">
        <f t="shared" si="42"/>
        <v>0</v>
      </c>
      <c r="Q837" s="11">
        <f>IF(P837=0,0,IFERROR(Q836+G837*M837*IF(E837="FUTURE",VLOOKUP(MID(I837,2,2),[1]Futures!$A$2:$B$12,2),1),G837*M837*IF(E837="FUTURE",VLOOKUP(MID(I837,2,2),[1]Futures!$A$2:$B$12,2),1)))</f>
        <v>0</v>
      </c>
      <c r="R837" s="12" t="str">
        <f>IFERROR(Q837/P837/IF(E837="FUTURE",VLOOKUP(MID(I837,2,2),[1]Futures!$A$2:$B$12,2),1),"")</f>
        <v/>
      </c>
      <c r="S837" s="13">
        <f>IF(AND(H837="TO CLOSE",P837=0),-G837*(M837-R836)*IF(E837="FUTURE",VLOOKUP(MID(I837,2,2),[1]Futures!$A$2:$B$12,2),1),"")</f>
        <v>50</v>
      </c>
    </row>
    <row r="838" spans="1:19" x14ac:dyDescent="0.2">
      <c r="A838">
        <f t="shared" si="41"/>
        <v>245</v>
      </c>
      <c r="B838" s="3">
        <v>43958</v>
      </c>
      <c r="C838" s="3" t="str">
        <f t="shared" si="40"/>
        <v>Thursday</v>
      </c>
      <c r="D838" s="2">
        <v>0.44842592592592595</v>
      </c>
      <c r="E838" t="s">
        <v>14</v>
      </c>
      <c r="F838" t="s">
        <v>15</v>
      </c>
      <c r="G838">
        <v>-2</v>
      </c>
      <c r="H838" t="s">
        <v>20</v>
      </c>
      <c r="I838" t="s">
        <v>73</v>
      </c>
      <c r="J838" s="1">
        <v>44002</v>
      </c>
      <c r="L838" t="s">
        <v>14</v>
      </c>
      <c r="M838">
        <v>2881</v>
      </c>
      <c r="N838">
        <v>2881</v>
      </c>
      <c r="O838" t="s">
        <v>21</v>
      </c>
      <c r="P838">
        <f t="shared" si="42"/>
        <v>-2</v>
      </c>
      <c r="Q838" s="11">
        <f>IF(P838=0,0,IFERROR(Q837+G838*M838*IF(E838="FUTURE",VLOOKUP(MID(I838,2,2),[1]Futures!$A$2:$B$12,2),1),G838*M838*IF(E838="FUTURE",VLOOKUP(MID(I838,2,2),[1]Futures!$A$2:$B$12,2),1)))</f>
        <v>-28810</v>
      </c>
      <c r="R838" s="12">
        <f>IFERROR(Q838/P838/IF(E838="FUTURE",VLOOKUP(MID(I838,2,2),[1]Futures!$A$2:$B$12,2),1),"")</f>
        <v>2881</v>
      </c>
      <c r="S838" s="13" t="str">
        <f>IF(AND(H838="TO CLOSE",P838=0),-G838*(M838-R837)*IF(E838="FUTURE",VLOOKUP(MID(I838,2,2),[1]Futures!$A$2:$B$12,2),1),"")</f>
        <v/>
      </c>
    </row>
    <row r="839" spans="1:19" x14ac:dyDescent="0.2">
      <c r="A839">
        <f t="shared" si="41"/>
        <v>245</v>
      </c>
      <c r="B839" s="3">
        <v>43958</v>
      </c>
      <c r="C839" s="3" t="str">
        <f t="shared" si="40"/>
        <v>Thursday</v>
      </c>
      <c r="D839" s="2">
        <v>0.44843749999999999</v>
      </c>
      <c r="E839" t="s">
        <v>14</v>
      </c>
      <c r="F839" t="s">
        <v>15</v>
      </c>
      <c r="G839">
        <v>-1</v>
      </c>
      <c r="H839" t="s">
        <v>20</v>
      </c>
      <c r="I839" t="s">
        <v>73</v>
      </c>
      <c r="J839" s="1">
        <v>44002</v>
      </c>
      <c r="L839" t="s">
        <v>14</v>
      </c>
      <c r="M839">
        <v>2881</v>
      </c>
      <c r="N839">
        <v>2881</v>
      </c>
      <c r="O839" t="s">
        <v>21</v>
      </c>
      <c r="P839">
        <f t="shared" si="42"/>
        <v>-3</v>
      </c>
      <c r="Q839" s="11">
        <f>IF(P839=0,0,IFERROR(Q838+G839*M839*IF(E839="FUTURE",VLOOKUP(MID(I839,2,2),[1]Futures!$A$2:$B$12,2),1),G839*M839*IF(E839="FUTURE",VLOOKUP(MID(I839,2,2),[1]Futures!$A$2:$B$12,2),1)))</f>
        <v>-43215</v>
      </c>
      <c r="R839" s="12">
        <f>IFERROR(Q839/P839/IF(E839="FUTURE",VLOOKUP(MID(I839,2,2),[1]Futures!$A$2:$B$12,2),1),"")</f>
        <v>2881</v>
      </c>
      <c r="S839" s="13" t="str">
        <f>IF(AND(H839="TO CLOSE",P839=0),-G839*(M839-R838)*IF(E839="FUTURE",VLOOKUP(MID(I839,2,2),[1]Futures!$A$2:$B$12,2),1),"")</f>
        <v/>
      </c>
    </row>
    <row r="840" spans="1:19" x14ac:dyDescent="0.2">
      <c r="A840">
        <f t="shared" si="41"/>
        <v>245</v>
      </c>
      <c r="B840" s="3">
        <v>43958</v>
      </c>
      <c r="C840" s="3" t="str">
        <f t="shared" si="40"/>
        <v>Thursday</v>
      </c>
      <c r="D840" s="2">
        <v>0.44843749999999999</v>
      </c>
      <c r="E840" t="s">
        <v>14</v>
      </c>
      <c r="F840" t="s">
        <v>15</v>
      </c>
      <c r="G840">
        <v>-1</v>
      </c>
      <c r="H840" t="s">
        <v>20</v>
      </c>
      <c r="I840" t="s">
        <v>73</v>
      </c>
      <c r="J840" s="1">
        <v>44002</v>
      </c>
      <c r="L840" t="s">
        <v>14</v>
      </c>
      <c r="M840">
        <v>2881</v>
      </c>
      <c r="N840">
        <v>2881</v>
      </c>
      <c r="O840" t="s">
        <v>21</v>
      </c>
      <c r="P840">
        <f t="shared" si="42"/>
        <v>-4</v>
      </c>
      <c r="Q840" s="11">
        <f>IF(P840=0,0,IFERROR(Q839+G840*M840*IF(E840="FUTURE",VLOOKUP(MID(I840,2,2),[1]Futures!$A$2:$B$12,2),1),G840*M840*IF(E840="FUTURE",VLOOKUP(MID(I840,2,2),[1]Futures!$A$2:$B$12,2),1)))</f>
        <v>-57620</v>
      </c>
      <c r="R840" s="12">
        <f>IFERROR(Q840/P840/IF(E840="FUTURE",VLOOKUP(MID(I840,2,2),[1]Futures!$A$2:$B$12,2),1),"")</f>
        <v>2881</v>
      </c>
      <c r="S840" s="13" t="str">
        <f>IF(AND(H840="TO CLOSE",P840=0),-G840*(M840-R839)*IF(E840="FUTURE",VLOOKUP(MID(I840,2,2),[1]Futures!$A$2:$B$12,2),1),"")</f>
        <v/>
      </c>
    </row>
    <row r="841" spans="1:19" x14ac:dyDescent="0.2">
      <c r="A841">
        <f t="shared" si="41"/>
        <v>245</v>
      </c>
      <c r="B841" s="3">
        <v>43958</v>
      </c>
      <c r="C841" s="3" t="str">
        <f t="shared" si="40"/>
        <v>Thursday</v>
      </c>
      <c r="D841" s="2">
        <v>0.44843749999999999</v>
      </c>
      <c r="E841" t="s">
        <v>14</v>
      </c>
      <c r="F841" t="s">
        <v>15</v>
      </c>
      <c r="G841">
        <v>-1</v>
      </c>
      <c r="H841" t="s">
        <v>20</v>
      </c>
      <c r="I841" t="s">
        <v>73</v>
      </c>
      <c r="J841" s="1">
        <v>44002</v>
      </c>
      <c r="L841" t="s">
        <v>14</v>
      </c>
      <c r="M841">
        <v>2881</v>
      </c>
      <c r="N841">
        <v>2881</v>
      </c>
      <c r="O841" t="s">
        <v>21</v>
      </c>
      <c r="P841">
        <f t="shared" si="42"/>
        <v>-5</v>
      </c>
      <c r="Q841" s="11">
        <f>IF(P841=0,0,IFERROR(Q840+G841*M841*IF(E841="FUTURE",VLOOKUP(MID(I841,2,2),[1]Futures!$A$2:$B$12,2),1),G841*M841*IF(E841="FUTURE",VLOOKUP(MID(I841,2,2),[1]Futures!$A$2:$B$12,2),1)))</f>
        <v>-72025</v>
      </c>
      <c r="R841" s="12">
        <f>IFERROR(Q841/P841/IF(E841="FUTURE",VLOOKUP(MID(I841,2,2),[1]Futures!$A$2:$B$12,2),1),"")</f>
        <v>2881</v>
      </c>
      <c r="S841" s="13" t="str">
        <f>IF(AND(H841="TO CLOSE",P841=0),-G841*(M841-R840)*IF(E841="FUTURE",VLOOKUP(MID(I841,2,2),[1]Futures!$A$2:$B$12,2),1),"")</f>
        <v/>
      </c>
    </row>
    <row r="842" spans="1:19" x14ac:dyDescent="0.2">
      <c r="A842">
        <f t="shared" si="41"/>
        <v>245</v>
      </c>
      <c r="B842" s="3">
        <v>43958</v>
      </c>
      <c r="C842" s="3" t="str">
        <f t="shared" si="40"/>
        <v>Thursday</v>
      </c>
      <c r="D842" s="2">
        <v>0.45025462962962964</v>
      </c>
      <c r="E842" t="s">
        <v>14</v>
      </c>
      <c r="F842" t="s">
        <v>19</v>
      </c>
      <c r="G842">
        <v>5</v>
      </c>
      <c r="H842" t="s">
        <v>16</v>
      </c>
      <c r="I842" t="s">
        <v>73</v>
      </c>
      <c r="J842" s="1">
        <v>44002</v>
      </c>
      <c r="L842" t="s">
        <v>14</v>
      </c>
      <c r="M842">
        <v>2875</v>
      </c>
      <c r="N842">
        <v>2875</v>
      </c>
      <c r="O842" t="s">
        <v>21</v>
      </c>
      <c r="P842">
        <f t="shared" si="42"/>
        <v>0</v>
      </c>
      <c r="Q842" s="11">
        <f>IF(P842=0,0,IFERROR(Q841+G842*M842*IF(E842="FUTURE",VLOOKUP(MID(I842,2,2),[1]Futures!$A$2:$B$12,2),1),G842*M842*IF(E842="FUTURE",VLOOKUP(MID(I842,2,2),[1]Futures!$A$2:$B$12,2),1)))</f>
        <v>0</v>
      </c>
      <c r="R842" s="12" t="str">
        <f>IFERROR(Q842/P842/IF(E842="FUTURE",VLOOKUP(MID(I842,2,2),[1]Futures!$A$2:$B$12,2),1),"")</f>
        <v/>
      </c>
      <c r="S842" s="13">
        <f>IF(AND(H842="TO CLOSE",P842=0),-G842*(M842-R841)*IF(E842="FUTURE",VLOOKUP(MID(I842,2,2),[1]Futures!$A$2:$B$12,2),1),"")</f>
        <v>150</v>
      </c>
    </row>
    <row r="843" spans="1:19" x14ac:dyDescent="0.2">
      <c r="A843">
        <f t="shared" si="41"/>
        <v>246</v>
      </c>
      <c r="B843" s="3">
        <v>43958</v>
      </c>
      <c r="C843" s="3" t="str">
        <f t="shared" si="40"/>
        <v>Thursday</v>
      </c>
      <c r="D843" s="2">
        <v>0.48925925925925928</v>
      </c>
      <c r="E843" t="s">
        <v>14</v>
      </c>
      <c r="F843" t="s">
        <v>15</v>
      </c>
      <c r="G843">
        <v>-1</v>
      </c>
      <c r="H843" t="s">
        <v>20</v>
      </c>
      <c r="I843" t="s">
        <v>73</v>
      </c>
      <c r="J843" s="1">
        <v>44002</v>
      </c>
      <c r="L843" t="s">
        <v>14</v>
      </c>
      <c r="M843">
        <v>2891</v>
      </c>
      <c r="N843">
        <v>2891</v>
      </c>
      <c r="O843" t="s">
        <v>21</v>
      </c>
      <c r="P843">
        <f t="shared" si="42"/>
        <v>-1</v>
      </c>
      <c r="Q843" s="11">
        <f>IF(P843=0,0,IFERROR(Q842+G843*M843*IF(E843="FUTURE",VLOOKUP(MID(I843,2,2),[1]Futures!$A$2:$B$12,2),1),G843*M843*IF(E843="FUTURE",VLOOKUP(MID(I843,2,2),[1]Futures!$A$2:$B$12,2),1)))</f>
        <v>-14455</v>
      </c>
      <c r="R843" s="12">
        <f>IFERROR(Q843/P843/IF(E843="FUTURE",VLOOKUP(MID(I843,2,2),[1]Futures!$A$2:$B$12,2),1),"")</f>
        <v>2891</v>
      </c>
      <c r="S843" s="13" t="str">
        <f>IF(AND(H843="TO CLOSE",P843=0),-G843*(M843-R842)*IF(E843="FUTURE",VLOOKUP(MID(I843,2,2),[1]Futures!$A$2:$B$12,2),1),"")</f>
        <v/>
      </c>
    </row>
    <row r="844" spans="1:19" x14ac:dyDescent="0.2">
      <c r="A844">
        <f t="shared" si="41"/>
        <v>246</v>
      </c>
      <c r="B844" s="3">
        <v>43958</v>
      </c>
      <c r="C844" s="3" t="str">
        <f t="shared" si="40"/>
        <v>Thursday</v>
      </c>
      <c r="D844" s="2">
        <v>0.48925925925925928</v>
      </c>
      <c r="E844" t="s">
        <v>14</v>
      </c>
      <c r="F844" t="s">
        <v>15</v>
      </c>
      <c r="G844">
        <v>-1</v>
      </c>
      <c r="H844" t="s">
        <v>20</v>
      </c>
      <c r="I844" t="s">
        <v>73</v>
      </c>
      <c r="J844" s="1">
        <v>44002</v>
      </c>
      <c r="L844" t="s">
        <v>14</v>
      </c>
      <c r="M844">
        <v>2891</v>
      </c>
      <c r="N844">
        <v>2891</v>
      </c>
      <c r="O844" t="s">
        <v>21</v>
      </c>
      <c r="P844">
        <f t="shared" si="42"/>
        <v>-2</v>
      </c>
      <c r="Q844" s="11">
        <f>IF(P844=0,0,IFERROR(Q843+G844*M844*IF(E844="FUTURE",VLOOKUP(MID(I844,2,2),[1]Futures!$A$2:$B$12,2),1),G844*M844*IF(E844="FUTURE",VLOOKUP(MID(I844,2,2),[1]Futures!$A$2:$B$12,2),1)))</f>
        <v>-28910</v>
      </c>
      <c r="R844" s="12">
        <f>IFERROR(Q844/P844/IF(E844="FUTURE",VLOOKUP(MID(I844,2,2),[1]Futures!$A$2:$B$12,2),1),"")</f>
        <v>2891</v>
      </c>
      <c r="S844" s="13" t="str">
        <f>IF(AND(H844="TO CLOSE",P844=0),-G844*(M844-R843)*IF(E844="FUTURE",VLOOKUP(MID(I844,2,2),[1]Futures!$A$2:$B$12,2),1),"")</f>
        <v/>
      </c>
    </row>
    <row r="845" spans="1:19" x14ac:dyDescent="0.2">
      <c r="A845">
        <f t="shared" si="41"/>
        <v>246</v>
      </c>
      <c r="B845" s="3">
        <v>43958</v>
      </c>
      <c r="C845" s="3" t="str">
        <f t="shared" si="40"/>
        <v>Thursday</v>
      </c>
      <c r="D845" s="2">
        <v>0.48925925925925928</v>
      </c>
      <c r="E845" t="s">
        <v>14</v>
      </c>
      <c r="F845" t="s">
        <v>15</v>
      </c>
      <c r="G845">
        <v>-1</v>
      </c>
      <c r="H845" t="s">
        <v>20</v>
      </c>
      <c r="I845" t="s">
        <v>73</v>
      </c>
      <c r="J845" s="1">
        <v>44002</v>
      </c>
      <c r="L845" t="s">
        <v>14</v>
      </c>
      <c r="M845">
        <v>2891</v>
      </c>
      <c r="N845">
        <v>2891</v>
      </c>
      <c r="O845" t="s">
        <v>21</v>
      </c>
      <c r="P845">
        <f t="shared" si="42"/>
        <v>-3</v>
      </c>
      <c r="Q845" s="11">
        <f>IF(P845=0,0,IFERROR(Q844+G845*M845*IF(E845="FUTURE",VLOOKUP(MID(I845,2,2),[1]Futures!$A$2:$B$12,2),1),G845*M845*IF(E845="FUTURE",VLOOKUP(MID(I845,2,2),[1]Futures!$A$2:$B$12,2),1)))</f>
        <v>-43365</v>
      </c>
      <c r="R845" s="12">
        <f>IFERROR(Q845/P845/IF(E845="FUTURE",VLOOKUP(MID(I845,2,2),[1]Futures!$A$2:$B$12,2),1),"")</f>
        <v>2891</v>
      </c>
      <c r="S845" s="13" t="str">
        <f>IF(AND(H845="TO CLOSE",P845=0),-G845*(M845-R844)*IF(E845="FUTURE",VLOOKUP(MID(I845,2,2),[1]Futures!$A$2:$B$12,2),1),"")</f>
        <v/>
      </c>
    </row>
    <row r="846" spans="1:19" x14ac:dyDescent="0.2">
      <c r="A846">
        <f t="shared" si="41"/>
        <v>246</v>
      </c>
      <c r="B846" s="3">
        <v>43958</v>
      </c>
      <c r="C846" s="3" t="str">
        <f t="shared" si="40"/>
        <v>Thursday</v>
      </c>
      <c r="D846" s="2">
        <v>0.48925925925925928</v>
      </c>
      <c r="E846" t="s">
        <v>14</v>
      </c>
      <c r="F846" t="s">
        <v>15</v>
      </c>
      <c r="G846">
        <v>-2</v>
      </c>
      <c r="H846" t="s">
        <v>20</v>
      </c>
      <c r="I846" t="s">
        <v>73</v>
      </c>
      <c r="J846" s="1">
        <v>44002</v>
      </c>
      <c r="L846" t="s">
        <v>14</v>
      </c>
      <c r="M846">
        <v>2891</v>
      </c>
      <c r="N846">
        <v>2891</v>
      </c>
      <c r="O846" t="s">
        <v>21</v>
      </c>
      <c r="P846">
        <f t="shared" si="42"/>
        <v>-5</v>
      </c>
      <c r="Q846" s="11">
        <f>IF(P846=0,0,IFERROR(Q845+G846*M846*IF(E846="FUTURE",VLOOKUP(MID(I846,2,2),[1]Futures!$A$2:$B$12,2),1),G846*M846*IF(E846="FUTURE",VLOOKUP(MID(I846,2,2),[1]Futures!$A$2:$B$12,2),1)))</f>
        <v>-72275</v>
      </c>
      <c r="R846" s="12">
        <f>IFERROR(Q846/P846/IF(E846="FUTURE",VLOOKUP(MID(I846,2,2),[1]Futures!$A$2:$B$12,2),1),"")</f>
        <v>2891</v>
      </c>
      <c r="S846" s="13" t="str">
        <f>IF(AND(H846="TO CLOSE",P846=0),-G846*(M846-R845)*IF(E846="FUTURE",VLOOKUP(MID(I846,2,2),[1]Futures!$A$2:$B$12,2),1),"")</f>
        <v/>
      </c>
    </row>
    <row r="847" spans="1:19" x14ac:dyDescent="0.2">
      <c r="A847">
        <f t="shared" si="41"/>
        <v>246</v>
      </c>
      <c r="B847" s="3">
        <v>43958</v>
      </c>
      <c r="C847" s="3" t="str">
        <f t="shared" si="40"/>
        <v>Thursday</v>
      </c>
      <c r="D847" s="2">
        <v>0.53503472222222226</v>
      </c>
      <c r="E847" t="s">
        <v>14</v>
      </c>
      <c r="F847" t="s">
        <v>19</v>
      </c>
      <c r="G847">
        <v>5</v>
      </c>
      <c r="H847" t="s">
        <v>16</v>
      </c>
      <c r="I847" t="s">
        <v>73</v>
      </c>
      <c r="J847" s="1">
        <v>44002</v>
      </c>
      <c r="L847" t="s">
        <v>14</v>
      </c>
      <c r="M847">
        <v>2886</v>
      </c>
      <c r="N847">
        <v>2886</v>
      </c>
      <c r="O847" t="s">
        <v>21</v>
      </c>
      <c r="P847">
        <f t="shared" si="42"/>
        <v>0</v>
      </c>
      <c r="Q847" s="11">
        <f>IF(P847=0,0,IFERROR(Q846+G847*M847*IF(E847="FUTURE",VLOOKUP(MID(I847,2,2),[1]Futures!$A$2:$B$12,2),1),G847*M847*IF(E847="FUTURE",VLOOKUP(MID(I847,2,2),[1]Futures!$A$2:$B$12,2),1)))</f>
        <v>0</v>
      </c>
      <c r="R847" s="12" t="str">
        <f>IFERROR(Q847/P847/IF(E847="FUTURE",VLOOKUP(MID(I847,2,2),[1]Futures!$A$2:$B$12,2),1),"")</f>
        <v/>
      </c>
      <c r="S847" s="13">
        <f>IF(AND(H847="TO CLOSE",P847=0),-G847*(M847-R846)*IF(E847="FUTURE",VLOOKUP(MID(I847,2,2),[1]Futures!$A$2:$B$12,2),1),"")</f>
        <v>125</v>
      </c>
    </row>
    <row r="848" spans="1:19" x14ac:dyDescent="0.2">
      <c r="A848">
        <f t="shared" si="41"/>
        <v>247</v>
      </c>
      <c r="B848" s="3">
        <v>43958</v>
      </c>
      <c r="C848" s="3" t="str">
        <f t="shared" si="40"/>
        <v>Thursday</v>
      </c>
      <c r="D848" s="2">
        <v>0.41084490740740742</v>
      </c>
      <c r="E848" t="s">
        <v>22</v>
      </c>
      <c r="F848" t="s">
        <v>19</v>
      </c>
      <c r="G848">
        <v>200</v>
      </c>
      <c r="H848" t="s">
        <v>20</v>
      </c>
      <c r="I848" t="s">
        <v>23</v>
      </c>
      <c r="L848" t="s">
        <v>22</v>
      </c>
      <c r="M848">
        <v>37.578299999999999</v>
      </c>
      <c r="N848">
        <v>37.578299999999999</v>
      </c>
      <c r="O848" t="s">
        <v>21</v>
      </c>
      <c r="P848">
        <f t="shared" si="42"/>
        <v>200</v>
      </c>
      <c r="Q848" s="11">
        <f>IF(P848=0,0,IFERROR(Q847+G848*M848*IF(E848="FUTURE",VLOOKUP(MID(I848,2,2),[1]Futures!$A$2:$B$12,2),1),G848*M848*IF(E848="FUTURE",VLOOKUP(MID(I848,2,2),[1]Futures!$A$2:$B$12,2),1)))</f>
        <v>7515.66</v>
      </c>
      <c r="R848" s="12">
        <f>IFERROR(Q848/P848/IF(E848="FUTURE",VLOOKUP(MID(I848,2,2),[1]Futures!$A$2:$B$12,2),1),"")</f>
        <v>37.578299999999999</v>
      </c>
      <c r="S848" s="13" t="str">
        <f>IF(AND(H848="TO CLOSE",P848=0),-G848*(M848-R847)*IF(E848="FUTURE",VLOOKUP(MID(I848,2,2),[1]Futures!$A$2:$B$12,2),1),"")</f>
        <v/>
      </c>
    </row>
    <row r="849" spans="1:19" x14ac:dyDescent="0.2">
      <c r="A849">
        <f t="shared" si="41"/>
        <v>247</v>
      </c>
      <c r="B849" s="3">
        <v>43958</v>
      </c>
      <c r="C849" s="3" t="str">
        <f t="shared" si="40"/>
        <v>Thursday</v>
      </c>
      <c r="D849" s="2">
        <v>0.41166666666666668</v>
      </c>
      <c r="E849" t="s">
        <v>22</v>
      </c>
      <c r="F849" t="s">
        <v>19</v>
      </c>
      <c r="G849">
        <v>100</v>
      </c>
      <c r="H849" t="s">
        <v>20</v>
      </c>
      <c r="I849" t="s">
        <v>23</v>
      </c>
      <c r="L849" t="s">
        <v>22</v>
      </c>
      <c r="M849">
        <v>37.450000000000003</v>
      </c>
      <c r="N849">
        <v>37.450000000000003</v>
      </c>
      <c r="O849" t="s">
        <v>21</v>
      </c>
      <c r="P849">
        <f t="shared" si="42"/>
        <v>300</v>
      </c>
      <c r="Q849" s="11">
        <f>IF(P849=0,0,IFERROR(Q848+G849*M849*IF(E849="FUTURE",VLOOKUP(MID(I849,2,2),[1]Futures!$A$2:$B$12,2),1),G849*M849*IF(E849="FUTURE",VLOOKUP(MID(I849,2,2),[1]Futures!$A$2:$B$12,2),1)))</f>
        <v>11260.66</v>
      </c>
      <c r="R849" s="12">
        <f>IFERROR(Q849/P849/IF(E849="FUTURE",VLOOKUP(MID(I849,2,2),[1]Futures!$A$2:$B$12,2),1),"")</f>
        <v>37.535533333333333</v>
      </c>
      <c r="S849" s="13" t="str">
        <f>IF(AND(H849="TO CLOSE",P849=0),-G849*(M849-R848)*IF(E849="FUTURE",VLOOKUP(MID(I849,2,2),[1]Futures!$A$2:$B$12,2),1),"")</f>
        <v/>
      </c>
    </row>
    <row r="850" spans="1:19" x14ac:dyDescent="0.2">
      <c r="A850">
        <f t="shared" si="41"/>
        <v>247</v>
      </c>
      <c r="B850" s="3">
        <v>43958</v>
      </c>
      <c r="C850" s="3" t="str">
        <f t="shared" si="40"/>
        <v>Thursday</v>
      </c>
      <c r="D850" s="2">
        <v>0.41402777777777783</v>
      </c>
      <c r="E850" t="s">
        <v>22</v>
      </c>
      <c r="F850" t="s">
        <v>19</v>
      </c>
      <c r="G850">
        <v>100</v>
      </c>
      <c r="H850" t="s">
        <v>20</v>
      </c>
      <c r="I850" t="s">
        <v>23</v>
      </c>
      <c r="L850" t="s">
        <v>22</v>
      </c>
      <c r="M850">
        <v>37.380000000000003</v>
      </c>
      <c r="N850">
        <v>37.380000000000003</v>
      </c>
      <c r="O850" t="s">
        <v>21</v>
      </c>
      <c r="P850">
        <f t="shared" si="42"/>
        <v>400</v>
      </c>
      <c r="Q850" s="11">
        <f>IF(P850=0,0,IFERROR(Q849+G850*M850*IF(E850="FUTURE",VLOOKUP(MID(I850,2,2),[1]Futures!$A$2:$B$12,2),1),G850*M850*IF(E850="FUTURE",VLOOKUP(MID(I850,2,2),[1]Futures!$A$2:$B$12,2),1)))</f>
        <v>14998.66</v>
      </c>
      <c r="R850" s="12">
        <f>IFERROR(Q850/P850/IF(E850="FUTURE",VLOOKUP(MID(I850,2,2),[1]Futures!$A$2:$B$12,2),1),"")</f>
        <v>37.496650000000002</v>
      </c>
      <c r="S850" s="13" t="str">
        <f>IF(AND(H850="TO CLOSE",P850=0),-G850*(M850-R849)*IF(E850="FUTURE",VLOOKUP(MID(I850,2,2),[1]Futures!$A$2:$B$12,2),1),"")</f>
        <v/>
      </c>
    </row>
    <row r="851" spans="1:19" x14ac:dyDescent="0.2">
      <c r="A851">
        <f t="shared" si="41"/>
        <v>247</v>
      </c>
      <c r="B851" s="3">
        <v>43958</v>
      </c>
      <c r="C851" s="3" t="str">
        <f t="shared" si="40"/>
        <v>Thursday</v>
      </c>
      <c r="D851" s="2">
        <v>0.42450231481481482</v>
      </c>
      <c r="E851" t="s">
        <v>22</v>
      </c>
      <c r="F851" t="s">
        <v>19</v>
      </c>
      <c r="G851">
        <v>100</v>
      </c>
      <c r="H851" t="s">
        <v>20</v>
      </c>
      <c r="I851" t="s">
        <v>23</v>
      </c>
      <c r="L851" t="s">
        <v>22</v>
      </c>
      <c r="M851">
        <v>37.68</v>
      </c>
      <c r="N851">
        <v>37.68</v>
      </c>
      <c r="O851" t="s">
        <v>24</v>
      </c>
      <c r="P851">
        <f t="shared" si="42"/>
        <v>500</v>
      </c>
      <c r="Q851" s="11">
        <f>IF(P851=0,0,IFERROR(Q850+G851*M851*IF(E851="FUTURE",VLOOKUP(MID(I851,2,2),[1]Futures!$A$2:$B$12,2),1),G851*M851*IF(E851="FUTURE",VLOOKUP(MID(I851,2,2),[1]Futures!$A$2:$B$12,2),1)))</f>
        <v>18766.66</v>
      </c>
      <c r="R851" s="12">
        <f>IFERROR(Q851/P851/IF(E851="FUTURE",VLOOKUP(MID(I851,2,2),[1]Futures!$A$2:$B$12,2),1),"")</f>
        <v>37.533319999999996</v>
      </c>
      <c r="S851" s="13" t="str">
        <f>IF(AND(H851="TO CLOSE",P851=0),-G851*(M851-R850)*IF(E851="FUTURE",VLOOKUP(MID(I851,2,2),[1]Futures!$A$2:$B$12,2),1),"")</f>
        <v/>
      </c>
    </row>
    <row r="852" spans="1:19" x14ac:dyDescent="0.2">
      <c r="A852">
        <f t="shared" si="41"/>
        <v>247</v>
      </c>
      <c r="B852" s="3">
        <v>43958</v>
      </c>
      <c r="C852" s="3" t="str">
        <f t="shared" si="40"/>
        <v>Thursday</v>
      </c>
      <c r="D852" s="2">
        <v>0.4667824074074074</v>
      </c>
      <c r="E852" t="s">
        <v>22</v>
      </c>
      <c r="F852" t="s">
        <v>15</v>
      </c>
      <c r="G852">
        <v>-500</v>
      </c>
      <c r="H852" t="s">
        <v>16</v>
      </c>
      <c r="I852" t="s">
        <v>23</v>
      </c>
      <c r="L852" t="s">
        <v>22</v>
      </c>
      <c r="M852">
        <v>37.580100000000002</v>
      </c>
      <c r="N852">
        <v>37.580100000000002</v>
      </c>
      <c r="O852" t="s">
        <v>24</v>
      </c>
      <c r="P852">
        <f t="shared" si="42"/>
        <v>0</v>
      </c>
      <c r="Q852" s="11">
        <f>IF(P852=0,0,IFERROR(Q851+G852*M852*IF(E852="FUTURE",VLOOKUP(MID(I852,2,2),[1]Futures!$A$2:$B$12,2),1),G852*M852*IF(E852="FUTURE",VLOOKUP(MID(I852,2,2),[1]Futures!$A$2:$B$12,2),1)))</f>
        <v>0</v>
      </c>
      <c r="R852" s="12" t="str">
        <f>IFERROR(Q852/P852/IF(E852="FUTURE",VLOOKUP(MID(I852,2,2),[1]Futures!$A$2:$B$12,2),1),"")</f>
        <v/>
      </c>
      <c r="S852" s="13">
        <f>IF(AND(H852="TO CLOSE",P852=0),-G852*(M852-R851)*IF(E852="FUTURE",VLOOKUP(MID(I852,2,2),[1]Futures!$A$2:$B$12,2),1),"")</f>
        <v>23.390000000002686</v>
      </c>
    </row>
    <row r="853" spans="1:19" x14ac:dyDescent="0.2">
      <c r="A853">
        <f t="shared" si="41"/>
        <v>248</v>
      </c>
      <c r="B853" s="3">
        <v>43958</v>
      </c>
      <c r="C853" s="3" t="str">
        <f t="shared" si="40"/>
        <v>Thursday</v>
      </c>
      <c r="D853" s="2">
        <v>0.47715277777777776</v>
      </c>
      <c r="E853" t="s">
        <v>22</v>
      </c>
      <c r="F853" t="s">
        <v>19</v>
      </c>
      <c r="G853">
        <v>7</v>
      </c>
      <c r="H853" t="s">
        <v>20</v>
      </c>
      <c r="I853" t="s">
        <v>23</v>
      </c>
      <c r="L853" t="s">
        <v>22</v>
      </c>
      <c r="M853">
        <v>37.58</v>
      </c>
      <c r="N853">
        <v>37.58</v>
      </c>
      <c r="O853" t="s">
        <v>21</v>
      </c>
      <c r="P853">
        <f t="shared" si="42"/>
        <v>7</v>
      </c>
      <c r="Q853" s="11">
        <f>IF(P853=0,0,IFERROR(Q852+G853*M853*IF(E853="FUTURE",VLOOKUP(MID(I853,2,2),[1]Futures!$A$2:$B$12,2),1),G853*M853*IF(E853="FUTURE",VLOOKUP(MID(I853,2,2),[1]Futures!$A$2:$B$12,2),1)))</f>
        <v>263.06</v>
      </c>
      <c r="R853" s="12">
        <f>IFERROR(Q853/P853/IF(E853="FUTURE",VLOOKUP(MID(I853,2,2),[1]Futures!$A$2:$B$12,2),1),"")</f>
        <v>37.58</v>
      </c>
      <c r="S853" s="13" t="str">
        <f>IF(AND(H853="TO CLOSE",P853=0),-G853*(M853-R852)*IF(E853="FUTURE",VLOOKUP(MID(I853,2,2),[1]Futures!$A$2:$B$12,2),1),"")</f>
        <v/>
      </c>
    </row>
    <row r="854" spans="1:19" x14ac:dyDescent="0.2">
      <c r="A854">
        <f t="shared" si="41"/>
        <v>248</v>
      </c>
      <c r="B854" s="3">
        <v>43958</v>
      </c>
      <c r="C854" s="3" t="str">
        <f t="shared" si="40"/>
        <v>Thursday</v>
      </c>
      <c r="D854" s="2">
        <v>0.47715277777777776</v>
      </c>
      <c r="E854" t="s">
        <v>22</v>
      </c>
      <c r="F854" t="s">
        <v>19</v>
      </c>
      <c r="G854">
        <v>100</v>
      </c>
      <c r="H854" t="s">
        <v>20</v>
      </c>
      <c r="I854" t="s">
        <v>23</v>
      </c>
      <c r="L854" t="s">
        <v>22</v>
      </c>
      <c r="M854">
        <v>37.58</v>
      </c>
      <c r="N854">
        <v>37.58</v>
      </c>
      <c r="O854" t="s">
        <v>21</v>
      </c>
      <c r="P854">
        <f t="shared" si="42"/>
        <v>107</v>
      </c>
      <c r="Q854" s="11">
        <f>IF(P854=0,0,IFERROR(Q853+G854*M854*IF(E854="FUTURE",VLOOKUP(MID(I854,2,2),[1]Futures!$A$2:$B$12,2),1),G854*M854*IF(E854="FUTURE",VLOOKUP(MID(I854,2,2),[1]Futures!$A$2:$B$12,2),1)))</f>
        <v>4021.06</v>
      </c>
      <c r="R854" s="12">
        <f>IFERROR(Q854/P854/IF(E854="FUTURE",VLOOKUP(MID(I854,2,2),[1]Futures!$A$2:$B$12,2),1),"")</f>
        <v>37.58</v>
      </c>
      <c r="S854" s="13" t="str">
        <f>IF(AND(H854="TO CLOSE",P854=0),-G854*(M854-R853)*IF(E854="FUTURE",VLOOKUP(MID(I854,2,2),[1]Futures!$A$2:$B$12,2),1),"")</f>
        <v/>
      </c>
    </row>
    <row r="855" spans="1:19" x14ac:dyDescent="0.2">
      <c r="A855">
        <f t="shared" si="41"/>
        <v>248</v>
      </c>
      <c r="B855" s="3">
        <v>43958</v>
      </c>
      <c r="C855" s="3" t="str">
        <f t="shared" si="40"/>
        <v>Thursday</v>
      </c>
      <c r="D855" s="2">
        <v>0.47715277777777776</v>
      </c>
      <c r="E855" t="s">
        <v>22</v>
      </c>
      <c r="F855" t="s">
        <v>19</v>
      </c>
      <c r="G855">
        <v>193</v>
      </c>
      <c r="H855" t="s">
        <v>20</v>
      </c>
      <c r="I855" t="s">
        <v>23</v>
      </c>
      <c r="L855" t="s">
        <v>22</v>
      </c>
      <c r="M855">
        <v>37.58</v>
      </c>
      <c r="N855">
        <v>37.58</v>
      </c>
      <c r="O855" t="s">
        <v>21</v>
      </c>
      <c r="P855">
        <f t="shared" si="42"/>
        <v>300</v>
      </c>
      <c r="Q855" s="11">
        <f>IF(P855=0,0,IFERROR(Q854+G855*M855*IF(E855="FUTURE",VLOOKUP(MID(I855,2,2),[1]Futures!$A$2:$B$12,2),1),G855*M855*IF(E855="FUTURE",VLOOKUP(MID(I855,2,2),[1]Futures!$A$2:$B$12,2),1)))</f>
        <v>11274</v>
      </c>
      <c r="R855" s="12">
        <f>IFERROR(Q855/P855/IF(E855="FUTURE",VLOOKUP(MID(I855,2,2),[1]Futures!$A$2:$B$12,2),1),"")</f>
        <v>37.58</v>
      </c>
      <c r="S855" s="13" t="str">
        <f>IF(AND(H855="TO CLOSE",P855=0),-G855*(M855-R854)*IF(E855="FUTURE",VLOOKUP(MID(I855,2,2),[1]Futures!$A$2:$B$12,2),1),"")</f>
        <v/>
      </c>
    </row>
    <row r="856" spans="1:19" x14ac:dyDescent="0.2">
      <c r="A856">
        <f t="shared" si="41"/>
        <v>248</v>
      </c>
      <c r="B856" s="3">
        <v>43958</v>
      </c>
      <c r="C856" s="3" t="str">
        <f t="shared" si="40"/>
        <v>Thursday</v>
      </c>
      <c r="D856" s="2">
        <v>0.47715277777777776</v>
      </c>
      <c r="E856" t="s">
        <v>22</v>
      </c>
      <c r="F856" t="s">
        <v>19</v>
      </c>
      <c r="G856">
        <v>100</v>
      </c>
      <c r="H856" t="s">
        <v>20</v>
      </c>
      <c r="I856" t="s">
        <v>23</v>
      </c>
      <c r="L856" t="s">
        <v>22</v>
      </c>
      <c r="M856">
        <v>37.58</v>
      </c>
      <c r="N856">
        <v>37.58</v>
      </c>
      <c r="O856" t="s">
        <v>21</v>
      </c>
      <c r="P856">
        <f t="shared" si="42"/>
        <v>400</v>
      </c>
      <c r="Q856" s="11">
        <f>IF(P856=0,0,IFERROR(Q855+G856*M856*IF(E856="FUTURE",VLOOKUP(MID(I856,2,2),[1]Futures!$A$2:$B$12,2),1),G856*M856*IF(E856="FUTURE",VLOOKUP(MID(I856,2,2),[1]Futures!$A$2:$B$12,2),1)))</f>
        <v>15032</v>
      </c>
      <c r="R856" s="12">
        <f>IFERROR(Q856/P856/IF(E856="FUTURE",VLOOKUP(MID(I856,2,2),[1]Futures!$A$2:$B$12,2),1),"")</f>
        <v>37.58</v>
      </c>
      <c r="S856" s="13" t="str">
        <f>IF(AND(H856="TO CLOSE",P856=0),-G856*(M856-R855)*IF(E856="FUTURE",VLOOKUP(MID(I856,2,2),[1]Futures!$A$2:$B$12,2),1),"")</f>
        <v/>
      </c>
    </row>
    <row r="857" spans="1:19" x14ac:dyDescent="0.2">
      <c r="A857">
        <f t="shared" si="41"/>
        <v>248</v>
      </c>
      <c r="B857" s="3">
        <v>43958</v>
      </c>
      <c r="C857" s="3" t="str">
        <f t="shared" si="40"/>
        <v>Thursday</v>
      </c>
      <c r="D857" s="2">
        <v>0.49124999999999996</v>
      </c>
      <c r="E857" t="s">
        <v>22</v>
      </c>
      <c r="F857" t="s">
        <v>19</v>
      </c>
      <c r="G857">
        <v>100</v>
      </c>
      <c r="H857" t="s">
        <v>20</v>
      </c>
      <c r="I857" t="s">
        <v>23</v>
      </c>
      <c r="L857" t="s">
        <v>22</v>
      </c>
      <c r="M857">
        <v>37.380000000000003</v>
      </c>
      <c r="N857">
        <v>37.380000000000003</v>
      </c>
      <c r="O857" t="s">
        <v>21</v>
      </c>
      <c r="P857">
        <f t="shared" si="42"/>
        <v>500</v>
      </c>
      <c r="Q857" s="11">
        <f>IF(P857=0,0,IFERROR(Q856+G857*M857*IF(E857="FUTURE",VLOOKUP(MID(I857,2,2),[1]Futures!$A$2:$B$12,2),1),G857*M857*IF(E857="FUTURE",VLOOKUP(MID(I857,2,2),[1]Futures!$A$2:$B$12,2),1)))</f>
        <v>18770</v>
      </c>
      <c r="R857" s="12">
        <f>IFERROR(Q857/P857/IF(E857="FUTURE",VLOOKUP(MID(I857,2,2),[1]Futures!$A$2:$B$12,2),1),"")</f>
        <v>37.54</v>
      </c>
      <c r="S857" s="13" t="str">
        <f>IF(AND(H857="TO CLOSE",P857=0),-G857*(M857-R856)*IF(E857="FUTURE",VLOOKUP(MID(I857,2,2),[1]Futures!$A$2:$B$12,2),1),"")</f>
        <v/>
      </c>
    </row>
    <row r="858" spans="1:19" x14ac:dyDescent="0.2">
      <c r="A858">
        <f t="shared" si="41"/>
        <v>248</v>
      </c>
      <c r="B858" s="3">
        <v>43958</v>
      </c>
      <c r="C858" s="3" t="str">
        <f t="shared" si="40"/>
        <v>Thursday</v>
      </c>
      <c r="D858" s="2">
        <v>0.6017245370370371</v>
      </c>
      <c r="E858" t="s">
        <v>22</v>
      </c>
      <c r="F858" t="s">
        <v>15</v>
      </c>
      <c r="G858">
        <v>-180</v>
      </c>
      <c r="H858" t="s">
        <v>16</v>
      </c>
      <c r="I858" t="s">
        <v>23</v>
      </c>
      <c r="L858" t="s">
        <v>22</v>
      </c>
      <c r="M858">
        <v>37.700000000000003</v>
      </c>
      <c r="N858">
        <v>37.700000000000003</v>
      </c>
      <c r="O858" t="s">
        <v>21</v>
      </c>
      <c r="P858">
        <f t="shared" si="42"/>
        <v>320</v>
      </c>
      <c r="Q858" s="11">
        <f>IF(P858=0,0,IFERROR(Q857+G858*M858*IF(E858="FUTURE",VLOOKUP(MID(I858,2,2),[1]Futures!$A$2:$B$12,2),1),G858*M858*IF(E858="FUTURE",VLOOKUP(MID(I858,2,2),[1]Futures!$A$2:$B$12,2),1)))</f>
        <v>11984</v>
      </c>
      <c r="R858" s="12">
        <f>IFERROR(Q858/P858/IF(E858="FUTURE",VLOOKUP(MID(I858,2,2),[1]Futures!$A$2:$B$12,2),1),"")</f>
        <v>37.450000000000003</v>
      </c>
      <c r="S858" s="13" t="str">
        <f>IF(AND(H858="TO CLOSE",P858=0),-G858*(M858-R857)*IF(E858="FUTURE",VLOOKUP(MID(I858,2,2),[1]Futures!$A$2:$B$12,2),1),"")</f>
        <v/>
      </c>
    </row>
    <row r="859" spans="1:19" x14ac:dyDescent="0.2">
      <c r="A859">
        <f t="shared" si="41"/>
        <v>248</v>
      </c>
      <c r="B859" s="3">
        <v>43958</v>
      </c>
      <c r="C859" s="3" t="str">
        <f t="shared" si="40"/>
        <v>Thursday</v>
      </c>
      <c r="D859" s="2">
        <v>0.6017245370370371</v>
      </c>
      <c r="E859" t="s">
        <v>22</v>
      </c>
      <c r="F859" t="s">
        <v>15</v>
      </c>
      <c r="G859">
        <v>-20</v>
      </c>
      <c r="H859" t="s">
        <v>16</v>
      </c>
      <c r="I859" t="s">
        <v>23</v>
      </c>
      <c r="L859" t="s">
        <v>22</v>
      </c>
      <c r="M859">
        <v>37.700000000000003</v>
      </c>
      <c r="N859">
        <v>37.700000000000003</v>
      </c>
      <c r="O859" t="s">
        <v>21</v>
      </c>
      <c r="P859">
        <f t="shared" si="42"/>
        <v>300</v>
      </c>
      <c r="Q859" s="11">
        <f>IF(P859=0,0,IFERROR(Q858+G859*M859*IF(E859="FUTURE",VLOOKUP(MID(I859,2,2),[1]Futures!$A$2:$B$12,2),1),G859*M859*IF(E859="FUTURE",VLOOKUP(MID(I859,2,2),[1]Futures!$A$2:$B$12,2),1)))</f>
        <v>11230</v>
      </c>
      <c r="R859" s="12">
        <f>IFERROR(Q859/P859/IF(E859="FUTURE",VLOOKUP(MID(I859,2,2),[1]Futures!$A$2:$B$12,2),1),"")</f>
        <v>37.43333333333333</v>
      </c>
      <c r="S859" s="13" t="str">
        <f>IF(AND(H859="TO CLOSE",P859=0),-G859*(M859-R858)*IF(E859="FUTURE",VLOOKUP(MID(I859,2,2),[1]Futures!$A$2:$B$12,2),1),"")</f>
        <v/>
      </c>
    </row>
    <row r="860" spans="1:19" x14ac:dyDescent="0.2">
      <c r="A860">
        <f t="shared" si="41"/>
        <v>248</v>
      </c>
      <c r="B860" s="3">
        <v>43958</v>
      </c>
      <c r="C860" s="3" t="str">
        <f t="shared" si="40"/>
        <v>Thursday</v>
      </c>
      <c r="D860" s="2">
        <v>0.60320601851851852</v>
      </c>
      <c r="E860" t="s">
        <v>22</v>
      </c>
      <c r="F860" t="s">
        <v>15</v>
      </c>
      <c r="G860">
        <v>-100</v>
      </c>
      <c r="H860" t="s">
        <v>16</v>
      </c>
      <c r="I860" t="s">
        <v>23</v>
      </c>
      <c r="L860" t="s">
        <v>22</v>
      </c>
      <c r="M860">
        <v>37.704999999999998</v>
      </c>
      <c r="N860">
        <v>37.704999999999998</v>
      </c>
      <c r="O860" t="s">
        <v>21</v>
      </c>
      <c r="P860">
        <f t="shared" si="42"/>
        <v>200</v>
      </c>
      <c r="Q860" s="11">
        <f>IF(P860=0,0,IFERROR(Q859+G860*M860*IF(E860="FUTURE",VLOOKUP(MID(I860,2,2),[1]Futures!$A$2:$B$12,2),1),G860*M860*IF(E860="FUTURE",VLOOKUP(MID(I860,2,2),[1]Futures!$A$2:$B$12,2),1)))</f>
        <v>7459.5</v>
      </c>
      <c r="R860" s="12">
        <f>IFERROR(Q860/P860/IF(E860="FUTURE",VLOOKUP(MID(I860,2,2),[1]Futures!$A$2:$B$12,2),1),"")</f>
        <v>37.297499999999999</v>
      </c>
      <c r="S860" s="13" t="str">
        <f>IF(AND(H860="TO CLOSE",P860=0),-G860*(M860-R859)*IF(E860="FUTURE",VLOOKUP(MID(I860,2,2),[1]Futures!$A$2:$B$12,2),1),"")</f>
        <v/>
      </c>
    </row>
    <row r="861" spans="1:19" x14ac:dyDescent="0.2">
      <c r="A861">
        <f t="shared" si="41"/>
        <v>248</v>
      </c>
      <c r="B861" s="3">
        <v>43958</v>
      </c>
      <c r="C861" s="3" t="str">
        <f t="shared" si="40"/>
        <v>Thursday</v>
      </c>
      <c r="D861" s="2">
        <v>0.61873842592592598</v>
      </c>
      <c r="E861" t="s">
        <v>22</v>
      </c>
      <c r="F861" t="s">
        <v>15</v>
      </c>
      <c r="G861">
        <v>-200</v>
      </c>
      <c r="H861" t="s">
        <v>16</v>
      </c>
      <c r="I861" t="s">
        <v>23</v>
      </c>
      <c r="L861" t="s">
        <v>22</v>
      </c>
      <c r="M861">
        <v>37.76</v>
      </c>
      <c r="N861">
        <v>37.76</v>
      </c>
      <c r="O861" t="s">
        <v>21</v>
      </c>
      <c r="P861">
        <f t="shared" si="42"/>
        <v>0</v>
      </c>
      <c r="Q861" s="11">
        <f>IF(P861=0,0,IFERROR(Q860+G861*M861*IF(E861="FUTURE",VLOOKUP(MID(I861,2,2),[1]Futures!$A$2:$B$12,2),1),G861*M861*IF(E861="FUTURE",VLOOKUP(MID(I861,2,2),[1]Futures!$A$2:$B$12,2),1)))</f>
        <v>0</v>
      </c>
      <c r="R861" s="12" t="str">
        <f>IFERROR(Q861/P861/IF(E861="FUTURE",VLOOKUP(MID(I861,2,2),[1]Futures!$A$2:$B$12,2),1),"")</f>
        <v/>
      </c>
      <c r="S861" s="13">
        <f>IF(AND(H861="TO CLOSE",P861=0),-G861*(M861-R860)*IF(E861="FUTURE",VLOOKUP(MID(I861,2,2),[1]Futures!$A$2:$B$12,2),1),"")</f>
        <v>92.499999999999716</v>
      </c>
    </row>
    <row r="862" spans="1:19" x14ac:dyDescent="0.2">
      <c r="A862">
        <f t="shared" si="41"/>
        <v>249</v>
      </c>
      <c r="B862" s="3">
        <v>43959</v>
      </c>
      <c r="C862" s="3" t="str">
        <f t="shared" si="40"/>
        <v>Friday</v>
      </c>
      <c r="D862" s="2">
        <v>0.40599537037037042</v>
      </c>
      <c r="E862" t="s">
        <v>14</v>
      </c>
      <c r="F862" t="s">
        <v>15</v>
      </c>
      <c r="G862">
        <v>-1</v>
      </c>
      <c r="H862" t="s">
        <v>20</v>
      </c>
      <c r="I862" t="s">
        <v>77</v>
      </c>
      <c r="J862" s="1">
        <v>44063</v>
      </c>
      <c r="L862" t="s">
        <v>14</v>
      </c>
      <c r="M862">
        <v>27.1</v>
      </c>
      <c r="N862">
        <v>27.1</v>
      </c>
      <c r="O862" t="s">
        <v>21</v>
      </c>
      <c r="P862">
        <f t="shared" si="42"/>
        <v>-1</v>
      </c>
      <c r="Q862" s="11">
        <f>IF(P862=0,0,IFERROR(Q861+G862*M862*IF(E862="FUTURE",VLOOKUP(MID(I862,2,2),[1]Futures!$A$2:$B$12,2),1),G862*M862*IF(E862="FUTURE",VLOOKUP(MID(I862,2,2),[1]Futures!$A$2:$B$12,2),1)))</f>
        <v>-27100</v>
      </c>
      <c r="R862" s="12">
        <f>IFERROR(Q862/P862/IF(E862="FUTURE",VLOOKUP(MID(I862,2,2),[1]Futures!$A$2:$B$12,2),1),"")</f>
        <v>27.1</v>
      </c>
      <c r="S862" s="13" t="str">
        <f>IF(AND(H862="TO CLOSE",P862=0),-G862*(M862-R861)*IF(E862="FUTURE",VLOOKUP(MID(I862,2,2),[1]Futures!$A$2:$B$12,2),1),"")</f>
        <v/>
      </c>
    </row>
    <row r="863" spans="1:19" x14ac:dyDescent="0.2">
      <c r="A863">
        <f t="shared" si="41"/>
        <v>249</v>
      </c>
      <c r="B863" s="3">
        <v>43959</v>
      </c>
      <c r="C863" s="3" t="str">
        <f t="shared" si="40"/>
        <v>Friday</v>
      </c>
      <c r="D863" s="2">
        <v>0.47989583333333335</v>
      </c>
      <c r="E863" t="s">
        <v>14</v>
      </c>
      <c r="F863" t="s">
        <v>19</v>
      </c>
      <c r="G863">
        <v>1</v>
      </c>
      <c r="H863" t="s">
        <v>16</v>
      </c>
      <c r="I863" t="s">
        <v>77</v>
      </c>
      <c r="J863" s="1">
        <v>44063</v>
      </c>
      <c r="L863" t="s">
        <v>14</v>
      </c>
      <c r="M863">
        <v>27.37</v>
      </c>
      <c r="N863">
        <v>27.37</v>
      </c>
      <c r="O863" t="s">
        <v>18</v>
      </c>
      <c r="P863">
        <f t="shared" si="42"/>
        <v>0</v>
      </c>
      <c r="Q863" s="11">
        <f>IF(P863=0,0,IFERROR(Q862+G863*M863*IF(E863="FUTURE",VLOOKUP(MID(I863,2,2),[1]Futures!$A$2:$B$12,2),1),G863*M863*IF(E863="FUTURE",VLOOKUP(MID(I863,2,2),[1]Futures!$A$2:$B$12,2),1)))</f>
        <v>0</v>
      </c>
      <c r="R863" s="12" t="str">
        <f>IFERROR(Q863/P863/IF(E863="FUTURE",VLOOKUP(MID(I863,2,2),[1]Futures!$A$2:$B$12,2),1),"")</f>
        <v/>
      </c>
      <c r="S863" s="13">
        <f>IF(AND(H863="TO CLOSE",P863=0),-G863*(M863-R862)*IF(E863="FUTURE",VLOOKUP(MID(I863,2,2),[1]Futures!$A$2:$B$12,2),1),"")</f>
        <v>-269.99999999999955</v>
      </c>
    </row>
    <row r="864" spans="1:19" x14ac:dyDescent="0.2">
      <c r="A864">
        <f t="shared" si="41"/>
        <v>250</v>
      </c>
      <c r="B864" s="3">
        <v>43959</v>
      </c>
      <c r="C864" s="3" t="str">
        <f t="shared" si="40"/>
        <v>Friday</v>
      </c>
      <c r="D864" s="2">
        <v>0.47998842592592594</v>
      </c>
      <c r="E864" t="s">
        <v>14</v>
      </c>
      <c r="F864" t="s">
        <v>19</v>
      </c>
      <c r="G864">
        <v>1</v>
      </c>
      <c r="H864" t="s">
        <v>20</v>
      </c>
      <c r="I864" t="s">
        <v>77</v>
      </c>
      <c r="J864" s="1">
        <v>44063</v>
      </c>
      <c r="L864" t="s">
        <v>14</v>
      </c>
      <c r="M864">
        <v>27.4</v>
      </c>
      <c r="N864">
        <v>27.4</v>
      </c>
      <c r="O864" t="s">
        <v>24</v>
      </c>
      <c r="P864">
        <f t="shared" si="42"/>
        <v>1</v>
      </c>
      <c r="Q864" s="11">
        <f>IF(P864=0,0,IFERROR(Q863+G864*M864*IF(E864="FUTURE",VLOOKUP(MID(I864,2,2),[1]Futures!$A$2:$B$12,2),1),G864*M864*IF(E864="FUTURE",VLOOKUP(MID(I864,2,2),[1]Futures!$A$2:$B$12,2),1)))</f>
        <v>27400</v>
      </c>
      <c r="R864" s="12">
        <f>IFERROR(Q864/P864/IF(E864="FUTURE",VLOOKUP(MID(I864,2,2),[1]Futures!$A$2:$B$12,2),1),"")</f>
        <v>27.4</v>
      </c>
      <c r="S864" s="13" t="str">
        <f>IF(AND(H864="TO CLOSE",P864=0),-G864*(M864-R863)*IF(E864="FUTURE",VLOOKUP(MID(I864,2,2),[1]Futures!$A$2:$B$12,2),1),"")</f>
        <v/>
      </c>
    </row>
    <row r="865" spans="1:19" x14ac:dyDescent="0.2">
      <c r="A865">
        <f t="shared" si="41"/>
        <v>250</v>
      </c>
      <c r="B865" s="3">
        <v>43959</v>
      </c>
      <c r="C865" s="3" t="str">
        <f t="shared" si="40"/>
        <v>Friday</v>
      </c>
      <c r="D865" s="2">
        <v>0.48206018518518517</v>
      </c>
      <c r="E865" t="s">
        <v>14</v>
      </c>
      <c r="F865" t="s">
        <v>15</v>
      </c>
      <c r="G865">
        <v>-1</v>
      </c>
      <c r="H865" t="s">
        <v>16</v>
      </c>
      <c r="I865" t="s">
        <v>77</v>
      </c>
      <c r="J865" s="1">
        <v>44063</v>
      </c>
      <c r="L865" t="s">
        <v>14</v>
      </c>
      <c r="M865">
        <v>27.17</v>
      </c>
      <c r="N865">
        <v>27.17</v>
      </c>
      <c r="O865" t="s">
        <v>18</v>
      </c>
      <c r="P865">
        <f t="shared" si="42"/>
        <v>0</v>
      </c>
      <c r="Q865" s="11">
        <f>IF(P865=0,0,IFERROR(Q864+G865*M865*IF(E865="FUTURE",VLOOKUP(MID(I865,2,2),[1]Futures!$A$2:$B$12,2),1),G865*M865*IF(E865="FUTURE",VLOOKUP(MID(I865,2,2),[1]Futures!$A$2:$B$12,2),1)))</f>
        <v>0</v>
      </c>
      <c r="R865" s="12" t="str">
        <f>IFERROR(Q865/P865/IF(E865="FUTURE",VLOOKUP(MID(I865,2,2),[1]Futures!$A$2:$B$12,2),1),"")</f>
        <v/>
      </c>
      <c r="S865" s="13">
        <f>IF(AND(H865="TO CLOSE",P865=0),-G865*(M865-R864)*IF(E865="FUTURE",VLOOKUP(MID(I865,2,2),[1]Futures!$A$2:$B$12,2),1),"")</f>
        <v>-229.99999999999687</v>
      </c>
    </row>
    <row r="866" spans="1:19" x14ac:dyDescent="0.2">
      <c r="A866">
        <f t="shared" si="41"/>
        <v>251</v>
      </c>
      <c r="B866" s="3">
        <v>43959</v>
      </c>
      <c r="C866" s="3" t="str">
        <f t="shared" si="40"/>
        <v>Friday</v>
      </c>
      <c r="D866" s="2">
        <v>0.48317129629629635</v>
      </c>
      <c r="E866" t="s">
        <v>14</v>
      </c>
      <c r="F866" t="s">
        <v>15</v>
      </c>
      <c r="G866">
        <v>-1</v>
      </c>
      <c r="H866" t="s">
        <v>20</v>
      </c>
      <c r="I866" t="s">
        <v>77</v>
      </c>
      <c r="J866" s="1">
        <v>44063</v>
      </c>
      <c r="L866" t="s">
        <v>14</v>
      </c>
      <c r="M866">
        <v>27.13</v>
      </c>
      <c r="N866">
        <v>27.13</v>
      </c>
      <c r="O866" t="s">
        <v>21</v>
      </c>
      <c r="P866">
        <f t="shared" si="42"/>
        <v>-1</v>
      </c>
      <c r="Q866" s="11">
        <f>IF(P866=0,0,IFERROR(Q865+G866*M866*IF(E866="FUTURE",VLOOKUP(MID(I866,2,2),[1]Futures!$A$2:$B$12,2),1),G866*M866*IF(E866="FUTURE",VLOOKUP(MID(I866,2,2),[1]Futures!$A$2:$B$12,2),1)))</f>
        <v>-27130</v>
      </c>
      <c r="R866" s="12">
        <f>IFERROR(Q866/P866/IF(E866="FUTURE",VLOOKUP(MID(I866,2,2),[1]Futures!$A$2:$B$12,2),1),"")</f>
        <v>27.13</v>
      </c>
      <c r="S866" s="13" t="str">
        <f>IF(AND(H866="TO CLOSE",P866=0),-G866*(M866-R865)*IF(E866="FUTURE",VLOOKUP(MID(I866,2,2),[1]Futures!$A$2:$B$12,2),1),"")</f>
        <v/>
      </c>
    </row>
    <row r="867" spans="1:19" x14ac:dyDescent="0.2">
      <c r="A867">
        <f t="shared" si="41"/>
        <v>251</v>
      </c>
      <c r="B867" s="3">
        <v>43959</v>
      </c>
      <c r="C867" s="3" t="str">
        <f t="shared" si="40"/>
        <v>Friday</v>
      </c>
      <c r="D867" s="2">
        <v>0.50094907407407407</v>
      </c>
      <c r="E867" t="s">
        <v>14</v>
      </c>
      <c r="F867" t="s">
        <v>19</v>
      </c>
      <c r="G867">
        <v>1</v>
      </c>
      <c r="H867" t="s">
        <v>16</v>
      </c>
      <c r="I867" t="s">
        <v>77</v>
      </c>
      <c r="J867" s="1">
        <v>44063</v>
      </c>
      <c r="L867" t="s">
        <v>14</v>
      </c>
      <c r="M867">
        <v>27.33</v>
      </c>
      <c r="N867">
        <v>27.33</v>
      </c>
      <c r="O867" t="s">
        <v>18</v>
      </c>
      <c r="P867">
        <f t="shared" si="42"/>
        <v>0</v>
      </c>
      <c r="Q867" s="11">
        <f>IF(P867=0,0,IFERROR(Q866+G867*M867*IF(E867="FUTURE",VLOOKUP(MID(I867,2,2),[1]Futures!$A$2:$B$12,2),1),G867*M867*IF(E867="FUTURE",VLOOKUP(MID(I867,2,2),[1]Futures!$A$2:$B$12,2),1)))</f>
        <v>0</v>
      </c>
      <c r="R867" s="12" t="str">
        <f>IFERROR(Q867/P867/IF(E867="FUTURE",VLOOKUP(MID(I867,2,2),[1]Futures!$A$2:$B$12,2),1),"")</f>
        <v/>
      </c>
      <c r="S867" s="13">
        <f>IF(AND(H867="TO CLOSE",P867=0),-G867*(M867-R866)*IF(E867="FUTURE",VLOOKUP(MID(I867,2,2),[1]Futures!$A$2:$B$12,2),1),"")</f>
        <v>-199.99999999999929</v>
      </c>
    </row>
    <row r="868" spans="1:19" x14ac:dyDescent="0.2">
      <c r="A868">
        <f t="shared" si="41"/>
        <v>252</v>
      </c>
      <c r="B868" s="3">
        <v>43959</v>
      </c>
      <c r="C868" s="3" t="str">
        <f t="shared" si="40"/>
        <v>Friday</v>
      </c>
      <c r="D868" s="2">
        <v>0.4132291666666667</v>
      </c>
      <c r="E868" t="s">
        <v>14</v>
      </c>
      <c r="F868" t="s">
        <v>15</v>
      </c>
      <c r="G868">
        <v>-1</v>
      </c>
      <c r="H868" t="s">
        <v>20</v>
      </c>
      <c r="I868" t="s">
        <v>17</v>
      </c>
      <c r="J868" s="1">
        <v>44002</v>
      </c>
      <c r="L868" t="s">
        <v>14</v>
      </c>
      <c r="M868">
        <v>2902.75</v>
      </c>
      <c r="N868">
        <v>2902.75</v>
      </c>
      <c r="O868" t="s">
        <v>21</v>
      </c>
      <c r="P868">
        <f t="shared" si="42"/>
        <v>-1</v>
      </c>
      <c r="Q868" s="11">
        <f>IF(P868=0,0,IFERROR(Q867+G868*M868*IF(E868="FUTURE",VLOOKUP(MID(I868,2,2),[1]Futures!$A$2:$B$12,2),1),G868*M868*IF(E868="FUTURE",VLOOKUP(MID(I868,2,2),[1]Futures!$A$2:$B$12,2),1)))</f>
        <v>-145137.5</v>
      </c>
      <c r="R868" s="12">
        <f>IFERROR(Q868/P868/IF(E868="FUTURE",VLOOKUP(MID(I868,2,2),[1]Futures!$A$2:$B$12,2),1),"")</f>
        <v>2902.75</v>
      </c>
      <c r="S868" s="13" t="str">
        <f>IF(AND(H868="TO CLOSE",P868=0),-G868*(M868-R867)*IF(E868="FUTURE",VLOOKUP(MID(I868,2,2),[1]Futures!$A$2:$B$12,2),1),"")</f>
        <v/>
      </c>
    </row>
    <row r="869" spans="1:19" x14ac:dyDescent="0.2">
      <c r="A869">
        <f t="shared" si="41"/>
        <v>252</v>
      </c>
      <c r="B869" s="3">
        <v>43959</v>
      </c>
      <c r="C869" s="3" t="str">
        <f t="shared" si="40"/>
        <v>Friday</v>
      </c>
      <c r="D869" s="2">
        <v>0.421875</v>
      </c>
      <c r="E869" t="s">
        <v>14</v>
      </c>
      <c r="F869" t="s">
        <v>19</v>
      </c>
      <c r="G869">
        <v>2</v>
      </c>
      <c r="H869" t="s">
        <v>16</v>
      </c>
      <c r="I869" t="s">
        <v>17</v>
      </c>
      <c r="J869" s="1">
        <v>44002</v>
      </c>
      <c r="L869" t="s">
        <v>14</v>
      </c>
      <c r="M869">
        <v>2910.5</v>
      </c>
      <c r="N869">
        <v>2910.5</v>
      </c>
      <c r="O869" t="s">
        <v>24</v>
      </c>
      <c r="P869">
        <f t="shared" si="42"/>
        <v>1</v>
      </c>
      <c r="Q869" s="11">
        <f>IF(P869=0,0,IFERROR(Q868+G869*M869*IF(E869="FUTURE",VLOOKUP(MID(I869,2,2),[1]Futures!$A$2:$B$12,2),1),G869*M869*IF(E869="FUTURE",VLOOKUP(MID(I869,2,2),[1]Futures!$A$2:$B$12,2),1)))</f>
        <v>145912.5</v>
      </c>
      <c r="R869" s="12">
        <f>IFERROR(Q869/P869/IF(E869="FUTURE",VLOOKUP(MID(I869,2,2),[1]Futures!$A$2:$B$12,2),1),"")</f>
        <v>2918.25</v>
      </c>
      <c r="S869" s="13" t="str">
        <f>IF(AND(H869="TO CLOSE",P869=0),-G869*(M869-R868)*IF(E869="FUTURE",VLOOKUP(MID(I869,2,2),[1]Futures!$A$2:$B$12,2),1),"")</f>
        <v/>
      </c>
    </row>
    <row r="870" spans="1:19" x14ac:dyDescent="0.2">
      <c r="A870">
        <f t="shared" si="41"/>
        <v>252</v>
      </c>
      <c r="B870" s="3">
        <v>43959</v>
      </c>
      <c r="C870" s="3" t="str">
        <f t="shared" si="40"/>
        <v>Friday</v>
      </c>
      <c r="D870" s="2">
        <v>0.43535879629629631</v>
      </c>
      <c r="E870" t="s">
        <v>14</v>
      </c>
      <c r="F870" t="s">
        <v>15</v>
      </c>
      <c r="G870">
        <v>-2</v>
      </c>
      <c r="H870" t="s">
        <v>16</v>
      </c>
      <c r="I870" t="s">
        <v>17</v>
      </c>
      <c r="J870" s="1">
        <v>44002</v>
      </c>
      <c r="L870" t="s">
        <v>14</v>
      </c>
      <c r="M870">
        <v>2906.75</v>
      </c>
      <c r="N870">
        <v>2906.75</v>
      </c>
      <c r="O870" t="s">
        <v>21</v>
      </c>
      <c r="P870">
        <f t="shared" si="42"/>
        <v>-1</v>
      </c>
      <c r="Q870" s="11">
        <f>IF(P870=0,0,IFERROR(Q869+G870*M870*IF(E870="FUTURE",VLOOKUP(MID(I870,2,2),[1]Futures!$A$2:$B$12,2),1),G870*M870*IF(E870="FUTURE",VLOOKUP(MID(I870,2,2),[1]Futures!$A$2:$B$12,2),1)))</f>
        <v>-144762.5</v>
      </c>
      <c r="R870" s="12">
        <f>IFERROR(Q870/P870/IF(E870="FUTURE",VLOOKUP(MID(I870,2,2),[1]Futures!$A$2:$B$12,2),1),"")</f>
        <v>2895.25</v>
      </c>
      <c r="S870" s="13" t="str">
        <f>IF(AND(H870="TO CLOSE",P870=0),-G870*(M870-R869)*IF(E870="FUTURE",VLOOKUP(MID(I870,2,2),[1]Futures!$A$2:$B$12,2),1),"")</f>
        <v/>
      </c>
    </row>
    <row r="871" spans="1:19" x14ac:dyDescent="0.2">
      <c r="A871">
        <f t="shared" si="41"/>
        <v>252</v>
      </c>
      <c r="B871" s="3">
        <v>43959</v>
      </c>
      <c r="C871" s="3" t="str">
        <f t="shared" si="40"/>
        <v>Friday</v>
      </c>
      <c r="D871" s="2">
        <v>0.48048611111111111</v>
      </c>
      <c r="E871" t="s">
        <v>14</v>
      </c>
      <c r="F871" t="s">
        <v>19</v>
      </c>
      <c r="G871">
        <v>1</v>
      </c>
      <c r="H871" t="s">
        <v>16</v>
      </c>
      <c r="I871" t="s">
        <v>17</v>
      </c>
      <c r="J871" s="1">
        <v>44002</v>
      </c>
      <c r="L871" t="s">
        <v>14</v>
      </c>
      <c r="M871">
        <v>2914</v>
      </c>
      <c r="N871">
        <v>2914</v>
      </c>
      <c r="O871" t="s">
        <v>24</v>
      </c>
      <c r="P871">
        <f t="shared" si="42"/>
        <v>0</v>
      </c>
      <c r="Q871" s="11">
        <f>IF(P871=0,0,IFERROR(Q870+G871*M871*IF(E871="FUTURE",VLOOKUP(MID(I871,2,2),[1]Futures!$A$2:$B$12,2),1),G871*M871*IF(E871="FUTURE",VLOOKUP(MID(I871,2,2),[1]Futures!$A$2:$B$12,2),1)))</f>
        <v>0</v>
      </c>
      <c r="R871" s="12" t="str">
        <f>IFERROR(Q871/P871/IF(E871="FUTURE",VLOOKUP(MID(I871,2,2),[1]Futures!$A$2:$B$12,2),1),"")</f>
        <v/>
      </c>
      <c r="S871" s="13">
        <f>IF(AND(H871="TO CLOSE",P871=0),-G871*(M871-R870)*IF(E871="FUTURE",VLOOKUP(MID(I871,2,2),[1]Futures!$A$2:$B$12,2),1),"")</f>
        <v>-937.5</v>
      </c>
    </row>
    <row r="872" spans="1:19" x14ac:dyDescent="0.2">
      <c r="A872">
        <f t="shared" si="41"/>
        <v>253</v>
      </c>
      <c r="B872" s="3">
        <v>43959</v>
      </c>
      <c r="C872" s="3" t="str">
        <f t="shared" si="40"/>
        <v>Friday</v>
      </c>
      <c r="D872" s="2">
        <v>0.48304398148148148</v>
      </c>
      <c r="E872" t="s">
        <v>14</v>
      </c>
      <c r="F872" t="s">
        <v>19</v>
      </c>
      <c r="G872">
        <v>1</v>
      </c>
      <c r="H872" t="s">
        <v>20</v>
      </c>
      <c r="I872" t="s">
        <v>17</v>
      </c>
      <c r="J872" s="1">
        <v>44002</v>
      </c>
      <c r="L872" t="s">
        <v>14</v>
      </c>
      <c r="M872">
        <v>2912.75</v>
      </c>
      <c r="N872">
        <v>2912.75</v>
      </c>
      <c r="O872" t="s">
        <v>24</v>
      </c>
      <c r="P872">
        <f t="shared" si="42"/>
        <v>1</v>
      </c>
      <c r="Q872" s="11">
        <f>IF(P872=0,0,IFERROR(Q871+G872*M872*IF(E872="FUTURE",VLOOKUP(MID(I872,2,2),[1]Futures!$A$2:$B$12,2),1),G872*M872*IF(E872="FUTURE",VLOOKUP(MID(I872,2,2),[1]Futures!$A$2:$B$12,2),1)))</f>
        <v>145637.5</v>
      </c>
      <c r="R872" s="12">
        <f>IFERROR(Q872/P872/IF(E872="FUTURE",VLOOKUP(MID(I872,2,2),[1]Futures!$A$2:$B$12,2),1),"")</f>
        <v>2912.75</v>
      </c>
      <c r="S872" s="13" t="str">
        <f>IF(AND(H872="TO CLOSE",P872=0),-G872*(M872-R871)*IF(E872="FUTURE",VLOOKUP(MID(I872,2,2),[1]Futures!$A$2:$B$12,2),1),"")</f>
        <v/>
      </c>
    </row>
    <row r="873" spans="1:19" x14ac:dyDescent="0.2">
      <c r="A873">
        <f t="shared" si="41"/>
        <v>253</v>
      </c>
      <c r="B873" s="3">
        <v>43959</v>
      </c>
      <c r="C873" s="3" t="str">
        <f t="shared" si="40"/>
        <v>Friday</v>
      </c>
      <c r="D873" s="2">
        <v>0.49469907407407404</v>
      </c>
      <c r="E873" t="s">
        <v>14</v>
      </c>
      <c r="F873" t="s">
        <v>15</v>
      </c>
      <c r="G873">
        <v>-1</v>
      </c>
      <c r="H873" t="s">
        <v>16</v>
      </c>
      <c r="I873" t="s">
        <v>17</v>
      </c>
      <c r="J873" s="1">
        <v>44002</v>
      </c>
      <c r="L873" t="s">
        <v>14</v>
      </c>
      <c r="M873">
        <v>2912.75</v>
      </c>
      <c r="N873">
        <v>2912.75</v>
      </c>
      <c r="O873" t="s">
        <v>21</v>
      </c>
      <c r="P873">
        <f t="shared" si="42"/>
        <v>0</v>
      </c>
      <c r="Q873" s="11">
        <f>IF(P873=0,0,IFERROR(Q872+G873*M873*IF(E873="FUTURE",VLOOKUP(MID(I873,2,2),[1]Futures!$A$2:$B$12,2),1),G873*M873*IF(E873="FUTURE",VLOOKUP(MID(I873,2,2),[1]Futures!$A$2:$B$12,2),1)))</f>
        <v>0</v>
      </c>
      <c r="R873" s="12" t="str">
        <f>IFERROR(Q873/P873/IF(E873="FUTURE",VLOOKUP(MID(I873,2,2),[1]Futures!$A$2:$B$12,2),1),"")</f>
        <v/>
      </c>
      <c r="S873" s="13">
        <f>IF(AND(H873="TO CLOSE",P873=0),-G873*(M873-R872)*IF(E873="FUTURE",VLOOKUP(MID(I873,2,2),[1]Futures!$A$2:$B$12,2),1),"")</f>
        <v>0</v>
      </c>
    </row>
    <row r="874" spans="1:19" x14ac:dyDescent="0.2">
      <c r="A874">
        <f t="shared" si="41"/>
        <v>254</v>
      </c>
      <c r="B874" s="3">
        <v>43959</v>
      </c>
      <c r="C874" s="3" t="str">
        <f t="shared" si="40"/>
        <v>Friday</v>
      </c>
      <c r="D874" s="2">
        <v>0.49583333333333335</v>
      </c>
      <c r="E874" t="s">
        <v>22</v>
      </c>
      <c r="F874" t="s">
        <v>19</v>
      </c>
      <c r="G874">
        <v>100</v>
      </c>
      <c r="H874" t="s">
        <v>20</v>
      </c>
      <c r="I874" t="s">
        <v>23</v>
      </c>
      <c r="L874" t="s">
        <v>22</v>
      </c>
      <c r="M874">
        <v>35.72</v>
      </c>
      <c r="N874">
        <v>35.72</v>
      </c>
      <c r="O874" t="s">
        <v>21</v>
      </c>
      <c r="P874">
        <f t="shared" si="42"/>
        <v>100</v>
      </c>
      <c r="Q874" s="11">
        <f>IF(P874=0,0,IFERROR(Q873+G874*M874*IF(E874="FUTURE",VLOOKUP(MID(I874,2,2),[1]Futures!$A$2:$B$12,2),1),G874*M874*IF(E874="FUTURE",VLOOKUP(MID(I874,2,2),[1]Futures!$A$2:$B$12,2),1)))</f>
        <v>3572</v>
      </c>
      <c r="R874" s="12">
        <f>IFERROR(Q874/P874/IF(E874="FUTURE",VLOOKUP(MID(I874,2,2),[1]Futures!$A$2:$B$12,2),1),"")</f>
        <v>35.72</v>
      </c>
      <c r="S874" s="13" t="str">
        <f>IF(AND(H874="TO CLOSE",P874=0),-G874*(M874-R873)*IF(E874="FUTURE",VLOOKUP(MID(I874,2,2),[1]Futures!$A$2:$B$12,2),1),"")</f>
        <v/>
      </c>
    </row>
    <row r="875" spans="1:19" x14ac:dyDescent="0.2">
      <c r="A875">
        <f t="shared" si="41"/>
        <v>254</v>
      </c>
      <c r="B875" s="3">
        <v>43959</v>
      </c>
      <c r="C875" s="3" t="str">
        <f t="shared" si="40"/>
        <v>Friday</v>
      </c>
      <c r="D875" s="2">
        <v>0.49583333333333335</v>
      </c>
      <c r="E875" t="s">
        <v>22</v>
      </c>
      <c r="F875" t="s">
        <v>19</v>
      </c>
      <c r="G875">
        <v>100</v>
      </c>
      <c r="H875" t="s">
        <v>20</v>
      </c>
      <c r="I875" t="s">
        <v>23</v>
      </c>
      <c r="L875" t="s">
        <v>22</v>
      </c>
      <c r="M875">
        <v>35.72</v>
      </c>
      <c r="N875">
        <v>35.72</v>
      </c>
      <c r="O875" t="s">
        <v>21</v>
      </c>
      <c r="P875">
        <f t="shared" si="42"/>
        <v>200</v>
      </c>
      <c r="Q875" s="11">
        <f>IF(P875=0,0,IFERROR(Q874+G875*M875*IF(E875="FUTURE",VLOOKUP(MID(I875,2,2),[1]Futures!$A$2:$B$12,2),1),G875*M875*IF(E875="FUTURE",VLOOKUP(MID(I875,2,2),[1]Futures!$A$2:$B$12,2),1)))</f>
        <v>7144</v>
      </c>
      <c r="R875" s="12">
        <f>IFERROR(Q875/P875/IF(E875="FUTURE",VLOOKUP(MID(I875,2,2),[1]Futures!$A$2:$B$12,2),1),"")</f>
        <v>35.72</v>
      </c>
      <c r="S875" s="13" t="str">
        <f>IF(AND(H875="TO CLOSE",P875=0),-G875*(M875-R874)*IF(E875="FUTURE",VLOOKUP(MID(I875,2,2),[1]Futures!$A$2:$B$12,2),1),"")</f>
        <v/>
      </c>
    </row>
    <row r="876" spans="1:19" x14ac:dyDescent="0.2">
      <c r="A876">
        <f t="shared" si="41"/>
        <v>254</v>
      </c>
      <c r="B876" s="3">
        <v>43959</v>
      </c>
      <c r="C876" s="3" t="str">
        <f t="shared" si="40"/>
        <v>Friday</v>
      </c>
      <c r="D876" s="2">
        <v>0.49583333333333335</v>
      </c>
      <c r="E876" t="s">
        <v>22</v>
      </c>
      <c r="F876" t="s">
        <v>19</v>
      </c>
      <c r="G876">
        <v>150</v>
      </c>
      <c r="H876" t="s">
        <v>20</v>
      </c>
      <c r="I876" t="s">
        <v>23</v>
      </c>
      <c r="L876" t="s">
        <v>22</v>
      </c>
      <c r="M876">
        <v>35.72</v>
      </c>
      <c r="N876">
        <v>35.72</v>
      </c>
      <c r="O876" t="s">
        <v>21</v>
      </c>
      <c r="P876">
        <f t="shared" si="42"/>
        <v>350</v>
      </c>
      <c r="Q876" s="11">
        <f>IF(P876=0,0,IFERROR(Q875+G876*M876*IF(E876="FUTURE",VLOOKUP(MID(I876,2,2),[1]Futures!$A$2:$B$12,2),1),G876*M876*IF(E876="FUTURE",VLOOKUP(MID(I876,2,2),[1]Futures!$A$2:$B$12,2),1)))</f>
        <v>12502</v>
      </c>
      <c r="R876" s="12">
        <f>IFERROR(Q876/P876/IF(E876="FUTURE",VLOOKUP(MID(I876,2,2),[1]Futures!$A$2:$B$12,2),1),"")</f>
        <v>35.72</v>
      </c>
      <c r="S876" s="13" t="str">
        <f>IF(AND(H876="TO CLOSE",P876=0),-G876*(M876-R875)*IF(E876="FUTURE",VLOOKUP(MID(I876,2,2),[1]Futures!$A$2:$B$12,2),1),"")</f>
        <v/>
      </c>
    </row>
    <row r="877" spans="1:19" x14ac:dyDescent="0.2">
      <c r="A877">
        <f t="shared" si="41"/>
        <v>254</v>
      </c>
      <c r="B877" s="3">
        <v>43959</v>
      </c>
      <c r="C877" s="3" t="str">
        <f t="shared" si="40"/>
        <v>Friday</v>
      </c>
      <c r="D877" s="2">
        <v>0.49584490740740739</v>
      </c>
      <c r="E877" t="s">
        <v>22</v>
      </c>
      <c r="F877" t="s">
        <v>19</v>
      </c>
      <c r="G877">
        <v>50</v>
      </c>
      <c r="H877" t="s">
        <v>20</v>
      </c>
      <c r="I877" t="s">
        <v>23</v>
      </c>
      <c r="L877" t="s">
        <v>22</v>
      </c>
      <c r="M877">
        <v>35.72</v>
      </c>
      <c r="N877">
        <v>35.72</v>
      </c>
      <c r="O877" t="s">
        <v>21</v>
      </c>
      <c r="P877">
        <f t="shared" si="42"/>
        <v>400</v>
      </c>
      <c r="Q877" s="11">
        <f>IF(P877=0,0,IFERROR(Q876+G877*M877*IF(E877="FUTURE",VLOOKUP(MID(I877,2,2),[1]Futures!$A$2:$B$12,2),1),G877*M877*IF(E877="FUTURE",VLOOKUP(MID(I877,2,2),[1]Futures!$A$2:$B$12,2),1)))</f>
        <v>14288</v>
      </c>
      <c r="R877" s="12">
        <f>IFERROR(Q877/P877/IF(E877="FUTURE",VLOOKUP(MID(I877,2,2),[1]Futures!$A$2:$B$12,2),1),"")</f>
        <v>35.72</v>
      </c>
      <c r="S877" s="13" t="str">
        <f>IF(AND(H877="TO CLOSE",P877=0),-G877*(M877-R876)*IF(E877="FUTURE",VLOOKUP(MID(I877,2,2),[1]Futures!$A$2:$B$12,2),1),"")</f>
        <v/>
      </c>
    </row>
    <row r="878" spans="1:19" x14ac:dyDescent="0.2">
      <c r="A878">
        <f t="shared" si="41"/>
        <v>254</v>
      </c>
      <c r="B878" s="3">
        <v>43959</v>
      </c>
      <c r="C878" s="3" t="str">
        <f t="shared" si="40"/>
        <v>Friday</v>
      </c>
      <c r="D878" s="2">
        <v>0.49584490740740739</v>
      </c>
      <c r="E878" t="s">
        <v>22</v>
      </c>
      <c r="F878" t="s">
        <v>19</v>
      </c>
      <c r="G878">
        <v>100</v>
      </c>
      <c r="H878" t="s">
        <v>20</v>
      </c>
      <c r="I878" t="s">
        <v>23</v>
      </c>
      <c r="L878" t="s">
        <v>22</v>
      </c>
      <c r="M878">
        <v>35.72</v>
      </c>
      <c r="N878">
        <v>35.72</v>
      </c>
      <c r="O878" t="s">
        <v>21</v>
      </c>
      <c r="P878">
        <f t="shared" si="42"/>
        <v>500</v>
      </c>
      <c r="Q878" s="11">
        <f>IF(P878=0,0,IFERROR(Q877+G878*M878*IF(E878="FUTURE",VLOOKUP(MID(I878,2,2),[1]Futures!$A$2:$B$12,2),1),G878*M878*IF(E878="FUTURE",VLOOKUP(MID(I878,2,2),[1]Futures!$A$2:$B$12,2),1)))</f>
        <v>17860</v>
      </c>
      <c r="R878" s="12">
        <f>IFERROR(Q878/P878/IF(E878="FUTURE",VLOOKUP(MID(I878,2,2),[1]Futures!$A$2:$B$12,2),1),"")</f>
        <v>35.72</v>
      </c>
      <c r="S878" s="13" t="str">
        <f>IF(AND(H878="TO CLOSE",P878=0),-G878*(M878-R877)*IF(E878="FUTURE",VLOOKUP(MID(I878,2,2),[1]Futures!$A$2:$B$12,2),1),"")</f>
        <v/>
      </c>
    </row>
    <row r="879" spans="1:19" x14ac:dyDescent="0.2">
      <c r="A879">
        <f t="shared" si="41"/>
        <v>254</v>
      </c>
      <c r="B879" s="3">
        <v>43959</v>
      </c>
      <c r="C879" s="3" t="str">
        <f t="shared" si="40"/>
        <v>Friday</v>
      </c>
      <c r="D879" s="2">
        <v>0.50107638888888884</v>
      </c>
      <c r="E879" t="s">
        <v>22</v>
      </c>
      <c r="F879" t="s">
        <v>15</v>
      </c>
      <c r="G879">
        <v>-500</v>
      </c>
      <c r="H879" t="s">
        <v>16</v>
      </c>
      <c r="I879" t="s">
        <v>23</v>
      </c>
      <c r="L879" t="s">
        <v>22</v>
      </c>
      <c r="M879">
        <v>35.572099999999999</v>
      </c>
      <c r="N879">
        <v>35.572099999999999</v>
      </c>
      <c r="O879" t="s">
        <v>24</v>
      </c>
      <c r="P879">
        <f t="shared" si="42"/>
        <v>0</v>
      </c>
      <c r="Q879" s="11">
        <f>IF(P879=0,0,IFERROR(Q878+G879*M879*IF(E879="FUTURE",VLOOKUP(MID(I879,2,2),[1]Futures!$A$2:$B$12,2),1),G879*M879*IF(E879="FUTURE",VLOOKUP(MID(I879,2,2),[1]Futures!$A$2:$B$12,2),1)))</f>
        <v>0</v>
      </c>
      <c r="R879" s="12" t="str">
        <f>IFERROR(Q879/P879/IF(E879="FUTURE",VLOOKUP(MID(I879,2,2),[1]Futures!$A$2:$B$12,2),1),"")</f>
        <v/>
      </c>
      <c r="S879" s="13">
        <f>IF(AND(H879="TO CLOSE",P879=0),-G879*(M879-R878)*IF(E879="FUTURE",VLOOKUP(MID(I879,2,2),[1]Futures!$A$2:$B$12,2),1),"")</f>
        <v>-73.94999999999996</v>
      </c>
    </row>
    <row r="880" spans="1:19" x14ac:dyDescent="0.2">
      <c r="A880">
        <f t="shared" si="41"/>
        <v>255</v>
      </c>
      <c r="B880" s="3">
        <v>43962</v>
      </c>
      <c r="C880" s="3" t="str">
        <f t="shared" si="40"/>
        <v>Monday</v>
      </c>
      <c r="D880" s="2">
        <v>0.39792824074074074</v>
      </c>
      <c r="E880" t="s">
        <v>14</v>
      </c>
      <c r="F880" t="s">
        <v>19</v>
      </c>
      <c r="G880">
        <v>1</v>
      </c>
      <c r="H880" t="s">
        <v>20</v>
      </c>
      <c r="I880" t="s">
        <v>77</v>
      </c>
      <c r="J880" s="1">
        <v>44063</v>
      </c>
      <c r="L880" t="s">
        <v>14</v>
      </c>
      <c r="M880">
        <v>27.9</v>
      </c>
      <c r="N880">
        <v>27.9</v>
      </c>
      <c r="O880" t="s">
        <v>24</v>
      </c>
      <c r="P880">
        <f t="shared" si="42"/>
        <v>1</v>
      </c>
      <c r="Q880" s="11">
        <f>IF(P880=0,0,IFERROR(Q879+G880*M880*IF(E880="FUTURE",VLOOKUP(MID(I880,2,2),[1]Futures!$A$2:$B$12,2),1),G880*M880*IF(E880="FUTURE",VLOOKUP(MID(I880,2,2),[1]Futures!$A$2:$B$12,2),1)))</f>
        <v>27900</v>
      </c>
      <c r="R880" s="12">
        <f>IFERROR(Q880/P880/IF(E880="FUTURE",VLOOKUP(MID(I880,2,2),[1]Futures!$A$2:$B$12,2),1),"")</f>
        <v>27.9</v>
      </c>
      <c r="S880" s="13" t="str">
        <f>IF(AND(H880="TO CLOSE",P880=0),-G880*(M880-R879)*IF(E880="FUTURE",VLOOKUP(MID(I880,2,2),[1]Futures!$A$2:$B$12,2),1),"")</f>
        <v/>
      </c>
    </row>
    <row r="881" spans="1:19" x14ac:dyDescent="0.2">
      <c r="A881">
        <f t="shared" si="41"/>
        <v>255</v>
      </c>
      <c r="B881" s="3">
        <v>43962</v>
      </c>
      <c r="C881" s="3" t="str">
        <f t="shared" si="40"/>
        <v>Monday</v>
      </c>
      <c r="D881" s="2">
        <v>0.40575231481481483</v>
      </c>
      <c r="E881" t="s">
        <v>14</v>
      </c>
      <c r="F881" t="s">
        <v>15</v>
      </c>
      <c r="G881">
        <v>-2</v>
      </c>
      <c r="H881" t="s">
        <v>16</v>
      </c>
      <c r="I881" t="s">
        <v>77</v>
      </c>
      <c r="J881" s="1">
        <v>44063</v>
      </c>
      <c r="L881" t="s">
        <v>14</v>
      </c>
      <c r="M881">
        <v>27.81</v>
      </c>
      <c r="N881">
        <v>27.81</v>
      </c>
      <c r="O881" t="s">
        <v>24</v>
      </c>
      <c r="P881">
        <f t="shared" si="42"/>
        <v>-1</v>
      </c>
      <c r="Q881" s="11">
        <f>IF(P881=0,0,IFERROR(Q880+G881*M881*IF(E881="FUTURE",VLOOKUP(MID(I881,2,2),[1]Futures!$A$2:$B$12,2),1),G881*M881*IF(E881="FUTURE",VLOOKUP(MID(I881,2,2),[1]Futures!$A$2:$B$12,2),1)))</f>
        <v>-27720</v>
      </c>
      <c r="R881" s="12">
        <f>IFERROR(Q881/P881/IF(E881="FUTURE",VLOOKUP(MID(I881,2,2),[1]Futures!$A$2:$B$12,2),1),"")</f>
        <v>27.72</v>
      </c>
      <c r="S881" s="13" t="str">
        <f>IF(AND(H881="TO CLOSE",P881=0),-G881*(M881-R880)*IF(E881="FUTURE",VLOOKUP(MID(I881,2,2),[1]Futures!$A$2:$B$12,2),1),"")</f>
        <v/>
      </c>
    </row>
    <row r="882" spans="1:19" x14ac:dyDescent="0.2">
      <c r="A882">
        <f t="shared" si="41"/>
        <v>255</v>
      </c>
      <c r="B882" s="3">
        <v>43962</v>
      </c>
      <c r="C882" s="3" t="str">
        <f t="shared" si="40"/>
        <v>Monday</v>
      </c>
      <c r="D882" s="2">
        <v>0.47172453703703704</v>
      </c>
      <c r="E882" t="s">
        <v>14</v>
      </c>
      <c r="F882" t="s">
        <v>19</v>
      </c>
      <c r="G882">
        <v>1</v>
      </c>
      <c r="H882" t="s">
        <v>16</v>
      </c>
      <c r="I882" t="s">
        <v>77</v>
      </c>
      <c r="J882" s="1">
        <v>44063</v>
      </c>
      <c r="L882" t="s">
        <v>14</v>
      </c>
      <c r="M882">
        <v>27.39</v>
      </c>
      <c r="N882">
        <v>27.39</v>
      </c>
      <c r="O882" t="s">
        <v>21</v>
      </c>
      <c r="P882">
        <f t="shared" si="42"/>
        <v>0</v>
      </c>
      <c r="Q882" s="11">
        <f>IF(P882=0,0,IFERROR(Q881+G882*M882*IF(E882="FUTURE",VLOOKUP(MID(I882,2,2),[1]Futures!$A$2:$B$12,2),1),G882*M882*IF(E882="FUTURE",VLOOKUP(MID(I882,2,2),[1]Futures!$A$2:$B$12,2),1)))</f>
        <v>0</v>
      </c>
      <c r="R882" s="12" t="str">
        <f>IFERROR(Q882/P882/IF(E882="FUTURE",VLOOKUP(MID(I882,2,2),[1]Futures!$A$2:$B$12,2),1),"")</f>
        <v/>
      </c>
      <c r="S882" s="13">
        <f>IF(AND(H882="TO CLOSE",P882=0),-G882*(M882-R881)*IF(E882="FUTURE",VLOOKUP(MID(I882,2,2),[1]Futures!$A$2:$B$12,2),1),"")</f>
        <v>329.99999999999829</v>
      </c>
    </row>
    <row r="883" spans="1:19" x14ac:dyDescent="0.2">
      <c r="A883">
        <f t="shared" si="41"/>
        <v>256</v>
      </c>
      <c r="B883" s="3">
        <v>43962</v>
      </c>
      <c r="C883" s="3" t="str">
        <f t="shared" si="40"/>
        <v>Monday</v>
      </c>
      <c r="D883" s="2">
        <v>0.47744212962962962</v>
      </c>
      <c r="E883" t="s">
        <v>14</v>
      </c>
      <c r="F883" t="s">
        <v>19</v>
      </c>
      <c r="G883">
        <v>1</v>
      </c>
      <c r="H883" t="s">
        <v>20</v>
      </c>
      <c r="I883" t="s">
        <v>77</v>
      </c>
      <c r="J883" s="1">
        <v>44063</v>
      </c>
      <c r="L883" t="s">
        <v>14</v>
      </c>
      <c r="M883">
        <v>27.29</v>
      </c>
      <c r="N883">
        <v>27.29</v>
      </c>
      <c r="O883" t="s">
        <v>24</v>
      </c>
      <c r="P883">
        <f t="shared" si="42"/>
        <v>1</v>
      </c>
      <c r="Q883" s="11">
        <f>IF(P883=0,0,IFERROR(Q882+G883*M883*IF(E883="FUTURE",VLOOKUP(MID(I883,2,2),[1]Futures!$A$2:$B$12,2),1),G883*M883*IF(E883="FUTURE",VLOOKUP(MID(I883,2,2),[1]Futures!$A$2:$B$12,2),1)))</f>
        <v>27290</v>
      </c>
      <c r="R883" s="12">
        <f>IFERROR(Q883/P883/IF(E883="FUTURE",VLOOKUP(MID(I883,2,2),[1]Futures!$A$2:$B$12,2),1),"")</f>
        <v>27.29</v>
      </c>
      <c r="S883" s="13" t="str">
        <f>IF(AND(H883="TO CLOSE",P883=0),-G883*(M883-R882)*IF(E883="FUTURE",VLOOKUP(MID(I883,2,2),[1]Futures!$A$2:$B$12,2),1),"")</f>
        <v/>
      </c>
    </row>
    <row r="884" spans="1:19" x14ac:dyDescent="0.2">
      <c r="A884">
        <f t="shared" si="41"/>
        <v>256</v>
      </c>
      <c r="B884" s="3">
        <v>43962</v>
      </c>
      <c r="C884" s="3" t="str">
        <f t="shared" si="40"/>
        <v>Monday</v>
      </c>
      <c r="D884" s="2">
        <v>0.49627314814814816</v>
      </c>
      <c r="E884" t="s">
        <v>14</v>
      </c>
      <c r="F884" t="s">
        <v>15</v>
      </c>
      <c r="G884">
        <v>-1</v>
      </c>
      <c r="H884" t="s">
        <v>16</v>
      </c>
      <c r="I884" t="s">
        <v>77</v>
      </c>
      <c r="J884" s="1">
        <v>44063</v>
      </c>
      <c r="L884" t="s">
        <v>14</v>
      </c>
      <c r="M884">
        <v>27.31</v>
      </c>
      <c r="N884">
        <v>27.31</v>
      </c>
      <c r="O884" t="s">
        <v>21</v>
      </c>
      <c r="P884">
        <f t="shared" si="42"/>
        <v>0</v>
      </c>
      <c r="Q884" s="11">
        <f>IF(P884=0,0,IFERROR(Q883+G884*M884*IF(E884="FUTURE",VLOOKUP(MID(I884,2,2),[1]Futures!$A$2:$B$12,2),1),G884*M884*IF(E884="FUTURE",VLOOKUP(MID(I884,2,2),[1]Futures!$A$2:$B$12,2),1)))</f>
        <v>0</v>
      </c>
      <c r="R884" s="12" t="str">
        <f>IFERROR(Q884/P884/IF(E884="FUTURE",VLOOKUP(MID(I884,2,2),[1]Futures!$A$2:$B$12,2),1),"")</f>
        <v/>
      </c>
      <c r="S884" s="13">
        <f>IF(AND(H884="TO CLOSE",P884=0),-G884*(M884-R883)*IF(E884="FUTURE",VLOOKUP(MID(I884,2,2),[1]Futures!$A$2:$B$12,2),1),"")</f>
        <v>19.999999999999574</v>
      </c>
    </row>
    <row r="885" spans="1:19" x14ac:dyDescent="0.2">
      <c r="A885">
        <f t="shared" si="41"/>
        <v>257</v>
      </c>
      <c r="B885" s="3">
        <v>43962</v>
      </c>
      <c r="C885" s="3" t="str">
        <f t="shared" si="40"/>
        <v>Monday</v>
      </c>
      <c r="D885" s="2">
        <v>0.40540509259259255</v>
      </c>
      <c r="E885" t="s">
        <v>14</v>
      </c>
      <c r="F885" t="s">
        <v>19</v>
      </c>
      <c r="G885">
        <v>1</v>
      </c>
      <c r="H885" t="s">
        <v>20</v>
      </c>
      <c r="I885" t="s">
        <v>17</v>
      </c>
      <c r="J885" s="1">
        <v>44002</v>
      </c>
      <c r="L885" t="s">
        <v>14</v>
      </c>
      <c r="M885">
        <v>2904.25</v>
      </c>
      <c r="N885">
        <v>2904.25</v>
      </c>
      <c r="O885" t="s">
        <v>21</v>
      </c>
      <c r="P885">
        <f t="shared" si="42"/>
        <v>1</v>
      </c>
      <c r="Q885" s="11">
        <f>IF(P885=0,0,IFERROR(Q884+G885*M885*IF(E885="FUTURE",VLOOKUP(MID(I885,2,2),[1]Futures!$A$2:$B$12,2),1),G885*M885*IF(E885="FUTURE",VLOOKUP(MID(I885,2,2),[1]Futures!$A$2:$B$12,2),1)))</f>
        <v>145212.5</v>
      </c>
      <c r="R885" s="12">
        <f>IFERROR(Q885/P885/IF(E885="FUTURE",VLOOKUP(MID(I885,2,2),[1]Futures!$A$2:$B$12,2),1),"")</f>
        <v>2904.25</v>
      </c>
      <c r="S885" s="13" t="str">
        <f>IF(AND(H885="TO CLOSE",P885=0),-G885*(M885-R884)*IF(E885="FUTURE",VLOOKUP(MID(I885,2,2),[1]Futures!$A$2:$B$12,2),1),"")</f>
        <v/>
      </c>
    </row>
    <row r="886" spans="1:19" x14ac:dyDescent="0.2">
      <c r="A886">
        <f t="shared" si="41"/>
        <v>257</v>
      </c>
      <c r="B886" s="3">
        <v>43962</v>
      </c>
      <c r="C886" s="3" t="str">
        <f t="shared" si="40"/>
        <v>Monday</v>
      </c>
      <c r="D886" s="2">
        <v>0.42957175925925922</v>
      </c>
      <c r="E886" t="s">
        <v>14</v>
      </c>
      <c r="F886" t="s">
        <v>15</v>
      </c>
      <c r="G886">
        <v>-1</v>
      </c>
      <c r="H886" t="s">
        <v>16</v>
      </c>
      <c r="I886" t="s">
        <v>17</v>
      </c>
      <c r="J886" s="1">
        <v>44002</v>
      </c>
      <c r="L886" t="s">
        <v>14</v>
      </c>
      <c r="M886">
        <v>2901.25</v>
      </c>
      <c r="N886">
        <v>2901.25</v>
      </c>
      <c r="O886" t="s">
        <v>21</v>
      </c>
      <c r="P886">
        <f t="shared" si="42"/>
        <v>0</v>
      </c>
      <c r="Q886" s="11">
        <f>IF(P886=0,0,IFERROR(Q885+G886*M886*IF(E886="FUTURE",VLOOKUP(MID(I886,2,2),[1]Futures!$A$2:$B$12,2),1),G886*M886*IF(E886="FUTURE",VLOOKUP(MID(I886,2,2),[1]Futures!$A$2:$B$12,2),1)))</f>
        <v>0</v>
      </c>
      <c r="R886" s="12" t="str">
        <f>IFERROR(Q886/P886/IF(E886="FUTURE",VLOOKUP(MID(I886,2,2),[1]Futures!$A$2:$B$12,2),1),"")</f>
        <v/>
      </c>
      <c r="S886" s="13">
        <f>IF(AND(H886="TO CLOSE",P886=0),-G886*(M886-R885)*IF(E886="FUTURE",VLOOKUP(MID(I886,2,2),[1]Futures!$A$2:$B$12,2),1),"")</f>
        <v>-150</v>
      </c>
    </row>
    <row r="887" spans="1:19" x14ac:dyDescent="0.2">
      <c r="A887">
        <f t="shared" si="41"/>
        <v>258</v>
      </c>
      <c r="B887" s="3">
        <v>43962</v>
      </c>
      <c r="C887" s="3" t="str">
        <f t="shared" si="40"/>
        <v>Monday</v>
      </c>
      <c r="D887" s="2">
        <v>0.42957175925925922</v>
      </c>
      <c r="E887" t="s">
        <v>14</v>
      </c>
      <c r="F887" t="s">
        <v>15</v>
      </c>
      <c r="G887">
        <v>-1</v>
      </c>
      <c r="H887" t="s">
        <v>16</v>
      </c>
      <c r="I887" t="s">
        <v>17</v>
      </c>
      <c r="J887" s="1">
        <v>44002</v>
      </c>
      <c r="L887" t="s">
        <v>14</v>
      </c>
      <c r="M887">
        <v>2901.25</v>
      </c>
      <c r="N887">
        <v>2901.25</v>
      </c>
      <c r="O887" t="s">
        <v>21</v>
      </c>
      <c r="P887">
        <f t="shared" si="42"/>
        <v>-1</v>
      </c>
      <c r="Q887" s="11">
        <f>IF(P887=0,0,IFERROR(Q886+G887*M887*IF(E887="FUTURE",VLOOKUP(MID(I887,2,2),[1]Futures!$A$2:$B$12,2),1),G887*M887*IF(E887="FUTURE",VLOOKUP(MID(I887,2,2),[1]Futures!$A$2:$B$12,2),1)))</f>
        <v>-145062.5</v>
      </c>
      <c r="R887" s="12">
        <f>IFERROR(Q887/P887/IF(E887="FUTURE",VLOOKUP(MID(I887,2,2),[1]Futures!$A$2:$B$12,2),1),"")</f>
        <v>2901.25</v>
      </c>
      <c r="S887" s="13" t="str">
        <f>IF(AND(H887="TO CLOSE",P887=0),-G887*(M887-R886)*IF(E887="FUTURE",VLOOKUP(MID(I887,2,2),[1]Futures!$A$2:$B$12,2),1),"")</f>
        <v/>
      </c>
    </row>
    <row r="888" spans="1:19" x14ac:dyDescent="0.2">
      <c r="A888">
        <f t="shared" si="41"/>
        <v>258</v>
      </c>
      <c r="B888" s="3">
        <v>43962</v>
      </c>
      <c r="C888" s="3" t="str">
        <f t="shared" si="40"/>
        <v>Monday</v>
      </c>
      <c r="D888" s="2">
        <v>0.48513888888888884</v>
      </c>
      <c r="E888" t="s">
        <v>14</v>
      </c>
      <c r="F888" t="s">
        <v>19</v>
      </c>
      <c r="G888">
        <v>1</v>
      </c>
      <c r="H888" t="s">
        <v>16</v>
      </c>
      <c r="I888" t="s">
        <v>17</v>
      </c>
      <c r="J888" s="1">
        <v>44002</v>
      </c>
      <c r="L888" t="s">
        <v>14</v>
      </c>
      <c r="M888">
        <v>2916.25</v>
      </c>
      <c r="N888">
        <v>2916.25</v>
      </c>
      <c r="O888" t="s">
        <v>21</v>
      </c>
      <c r="P888">
        <f t="shared" si="42"/>
        <v>0</v>
      </c>
      <c r="Q888" s="11">
        <f>IF(P888=0,0,IFERROR(Q887+G888*M888*IF(E888="FUTURE",VLOOKUP(MID(I888,2,2),[1]Futures!$A$2:$B$12,2),1),G888*M888*IF(E888="FUTURE",VLOOKUP(MID(I888,2,2),[1]Futures!$A$2:$B$12,2),1)))</f>
        <v>0</v>
      </c>
      <c r="R888" s="12" t="str">
        <f>IFERROR(Q888/P888/IF(E888="FUTURE",VLOOKUP(MID(I888,2,2),[1]Futures!$A$2:$B$12,2),1),"")</f>
        <v/>
      </c>
      <c r="S888" s="13">
        <f>IF(AND(H888="TO CLOSE",P888=0),-G888*(M888-R887)*IF(E888="FUTURE",VLOOKUP(MID(I888,2,2),[1]Futures!$A$2:$B$12,2),1),"")</f>
        <v>-750</v>
      </c>
    </row>
    <row r="889" spans="1:19" x14ac:dyDescent="0.2">
      <c r="A889">
        <f t="shared" si="41"/>
        <v>259</v>
      </c>
      <c r="B889" s="3">
        <v>43962</v>
      </c>
      <c r="C889" s="3" t="str">
        <f t="shared" si="40"/>
        <v>Monday</v>
      </c>
      <c r="D889" s="2">
        <v>0.49717592592592591</v>
      </c>
      <c r="E889" t="s">
        <v>14</v>
      </c>
      <c r="F889" t="s">
        <v>19</v>
      </c>
      <c r="G889">
        <v>1</v>
      </c>
      <c r="H889" t="s">
        <v>20</v>
      </c>
      <c r="I889" t="s">
        <v>17</v>
      </c>
      <c r="J889" s="1">
        <v>44002</v>
      </c>
      <c r="L889" t="s">
        <v>14</v>
      </c>
      <c r="M889">
        <v>2914.75</v>
      </c>
      <c r="N889">
        <v>2914.75</v>
      </c>
      <c r="O889" t="s">
        <v>21</v>
      </c>
      <c r="P889">
        <f t="shared" si="42"/>
        <v>1</v>
      </c>
      <c r="Q889" s="11">
        <f>IF(P889=0,0,IFERROR(Q888+G889*M889*IF(E889="FUTURE",VLOOKUP(MID(I889,2,2),[1]Futures!$A$2:$B$12,2),1),G889*M889*IF(E889="FUTURE",VLOOKUP(MID(I889,2,2),[1]Futures!$A$2:$B$12,2),1)))</f>
        <v>145737.5</v>
      </c>
      <c r="R889" s="12">
        <f>IFERROR(Q889/P889/IF(E889="FUTURE",VLOOKUP(MID(I889,2,2),[1]Futures!$A$2:$B$12,2),1),"")</f>
        <v>2914.75</v>
      </c>
      <c r="S889" s="13" t="str">
        <f>IF(AND(H889="TO CLOSE",P889=0),-G889*(M889-R888)*IF(E889="FUTURE",VLOOKUP(MID(I889,2,2),[1]Futures!$A$2:$B$12,2),1),"")</f>
        <v/>
      </c>
    </row>
    <row r="890" spans="1:19" x14ac:dyDescent="0.2">
      <c r="A890">
        <f t="shared" si="41"/>
        <v>259</v>
      </c>
      <c r="B890" s="3">
        <v>43962</v>
      </c>
      <c r="C890" s="3" t="str">
        <f t="shared" si="40"/>
        <v>Monday</v>
      </c>
      <c r="D890" s="2">
        <v>0.51300925925925933</v>
      </c>
      <c r="E890" t="s">
        <v>14</v>
      </c>
      <c r="F890" t="s">
        <v>15</v>
      </c>
      <c r="G890">
        <v>-1</v>
      </c>
      <c r="H890" t="s">
        <v>16</v>
      </c>
      <c r="I890" t="s">
        <v>17</v>
      </c>
      <c r="J890" s="1">
        <v>44002</v>
      </c>
      <c r="L890" t="s">
        <v>14</v>
      </c>
      <c r="M890">
        <v>2918.75</v>
      </c>
      <c r="N890">
        <v>2918.75</v>
      </c>
      <c r="O890" t="s">
        <v>21</v>
      </c>
      <c r="P890">
        <f t="shared" si="42"/>
        <v>0</v>
      </c>
      <c r="Q890" s="11">
        <f>IF(P890=0,0,IFERROR(Q889+G890*M890*IF(E890="FUTURE",VLOOKUP(MID(I890,2,2),[1]Futures!$A$2:$B$12,2),1),G890*M890*IF(E890="FUTURE",VLOOKUP(MID(I890,2,2),[1]Futures!$A$2:$B$12,2),1)))</f>
        <v>0</v>
      </c>
      <c r="R890" s="12" t="str">
        <f>IFERROR(Q890/P890/IF(E890="FUTURE",VLOOKUP(MID(I890,2,2),[1]Futures!$A$2:$B$12,2),1),"")</f>
        <v/>
      </c>
      <c r="S890" s="13">
        <f>IF(AND(H890="TO CLOSE",P890=0),-G890*(M890-R889)*IF(E890="FUTURE",VLOOKUP(MID(I890,2,2),[1]Futures!$A$2:$B$12,2),1),"")</f>
        <v>200</v>
      </c>
    </row>
    <row r="891" spans="1:19" x14ac:dyDescent="0.2">
      <c r="A891">
        <f t="shared" si="41"/>
        <v>260</v>
      </c>
      <c r="B891" s="3">
        <v>43962</v>
      </c>
      <c r="C891" s="3" t="str">
        <f t="shared" si="40"/>
        <v>Monday</v>
      </c>
      <c r="D891" s="2">
        <v>0.51437500000000003</v>
      </c>
      <c r="E891" t="s">
        <v>14</v>
      </c>
      <c r="F891" t="s">
        <v>15</v>
      </c>
      <c r="G891">
        <v>-1</v>
      </c>
      <c r="H891" t="s">
        <v>20</v>
      </c>
      <c r="I891" t="s">
        <v>17</v>
      </c>
      <c r="J891" s="1">
        <v>44002</v>
      </c>
      <c r="L891" t="s">
        <v>14</v>
      </c>
      <c r="M891">
        <v>2920.75</v>
      </c>
      <c r="N891">
        <v>2920.75</v>
      </c>
      <c r="O891" t="s">
        <v>21</v>
      </c>
      <c r="P891">
        <f t="shared" si="42"/>
        <v>-1</v>
      </c>
      <c r="Q891" s="11">
        <f>IF(P891=0,0,IFERROR(Q890+G891*M891*IF(E891="FUTURE",VLOOKUP(MID(I891,2,2),[1]Futures!$A$2:$B$12,2),1),G891*M891*IF(E891="FUTURE",VLOOKUP(MID(I891,2,2),[1]Futures!$A$2:$B$12,2),1)))</f>
        <v>-146037.5</v>
      </c>
      <c r="R891" s="12">
        <f>IFERROR(Q891/P891/IF(E891="FUTURE",VLOOKUP(MID(I891,2,2),[1]Futures!$A$2:$B$12,2),1),"")</f>
        <v>2920.75</v>
      </c>
      <c r="S891" s="13" t="str">
        <f>IF(AND(H891="TO CLOSE",P891=0),-G891*(M891-R890)*IF(E891="FUTURE",VLOOKUP(MID(I891,2,2),[1]Futures!$A$2:$B$12,2),1),"")</f>
        <v/>
      </c>
    </row>
    <row r="892" spans="1:19" x14ac:dyDescent="0.2">
      <c r="A892">
        <f t="shared" si="41"/>
        <v>260</v>
      </c>
      <c r="B892" s="3">
        <v>43962</v>
      </c>
      <c r="C892" s="3" t="str">
        <f t="shared" si="40"/>
        <v>Monday</v>
      </c>
      <c r="D892" s="2">
        <v>0.62005787037037041</v>
      </c>
      <c r="E892" t="s">
        <v>14</v>
      </c>
      <c r="F892" t="s">
        <v>19</v>
      </c>
      <c r="G892">
        <v>1</v>
      </c>
      <c r="H892" t="s">
        <v>16</v>
      </c>
      <c r="I892" t="s">
        <v>17</v>
      </c>
      <c r="J892" s="1">
        <v>44002</v>
      </c>
      <c r="L892" t="s">
        <v>14</v>
      </c>
      <c r="M892">
        <v>2934</v>
      </c>
      <c r="N892">
        <v>2934</v>
      </c>
      <c r="O892" t="s">
        <v>21</v>
      </c>
      <c r="P892">
        <f t="shared" si="42"/>
        <v>0</v>
      </c>
      <c r="Q892" s="11">
        <f>IF(P892=0,0,IFERROR(Q891+G892*M892*IF(E892="FUTURE",VLOOKUP(MID(I892,2,2),[1]Futures!$A$2:$B$12,2),1),G892*M892*IF(E892="FUTURE",VLOOKUP(MID(I892,2,2),[1]Futures!$A$2:$B$12,2),1)))</f>
        <v>0</v>
      </c>
      <c r="R892" s="12" t="str">
        <f>IFERROR(Q892/P892/IF(E892="FUTURE",VLOOKUP(MID(I892,2,2),[1]Futures!$A$2:$B$12,2),1),"")</f>
        <v/>
      </c>
      <c r="S892" s="13">
        <f>IF(AND(H892="TO CLOSE",P892=0),-G892*(M892-R891)*IF(E892="FUTURE",VLOOKUP(MID(I892,2,2),[1]Futures!$A$2:$B$12,2),1),"")</f>
        <v>-662.5</v>
      </c>
    </row>
    <row r="893" spans="1:19" x14ac:dyDescent="0.2">
      <c r="A893">
        <f t="shared" si="41"/>
        <v>261</v>
      </c>
      <c r="B893" s="3">
        <v>43962</v>
      </c>
      <c r="C893" s="3" t="str">
        <f t="shared" si="40"/>
        <v>Monday</v>
      </c>
      <c r="D893" s="2">
        <v>0.63913194444444443</v>
      </c>
      <c r="E893" t="s">
        <v>14</v>
      </c>
      <c r="F893" t="s">
        <v>15</v>
      </c>
      <c r="G893">
        <v>-1</v>
      </c>
      <c r="H893" t="s">
        <v>20</v>
      </c>
      <c r="I893" t="s">
        <v>17</v>
      </c>
      <c r="J893" s="1">
        <v>44002</v>
      </c>
      <c r="L893" t="s">
        <v>14</v>
      </c>
      <c r="M893">
        <v>2934</v>
      </c>
      <c r="N893">
        <v>2934</v>
      </c>
      <c r="O893" t="s">
        <v>21</v>
      </c>
      <c r="P893">
        <f t="shared" si="42"/>
        <v>-1</v>
      </c>
      <c r="Q893" s="11">
        <f>IF(P893=0,0,IFERROR(Q892+G893*M893*IF(E893="FUTURE",VLOOKUP(MID(I893,2,2),[1]Futures!$A$2:$B$12,2),1),G893*M893*IF(E893="FUTURE",VLOOKUP(MID(I893,2,2),[1]Futures!$A$2:$B$12,2),1)))</f>
        <v>-146700</v>
      </c>
      <c r="R893" s="12">
        <f>IFERROR(Q893/P893/IF(E893="FUTURE",VLOOKUP(MID(I893,2,2),[1]Futures!$A$2:$B$12,2),1),"")</f>
        <v>2934</v>
      </c>
      <c r="S893" s="13" t="str">
        <f>IF(AND(H893="TO CLOSE",P893=0),-G893*(M893-R892)*IF(E893="FUTURE",VLOOKUP(MID(I893,2,2),[1]Futures!$A$2:$B$12,2),1),"")</f>
        <v/>
      </c>
    </row>
    <row r="894" spans="1:19" x14ac:dyDescent="0.2">
      <c r="A894">
        <f t="shared" si="41"/>
        <v>261</v>
      </c>
      <c r="B894" s="3">
        <v>43962</v>
      </c>
      <c r="C894" s="3" t="str">
        <f t="shared" ref="C894:C957" si="43">IF(WEEKDAY(B894,2)=1,"Monday",IF(WEEKDAY(B894,2)=2,"Tuesday",IF(WEEKDAY(B894,2)=3,"Wednesday",IF(WEEKDAY(B894,2)=4,"Thursday",IF(WEEKDAY(B894,2)=5,"Friday","Sunday")))))</f>
        <v>Monday</v>
      </c>
      <c r="D894" s="2">
        <v>0.64368055555555559</v>
      </c>
      <c r="E894" t="s">
        <v>14</v>
      </c>
      <c r="F894" t="s">
        <v>19</v>
      </c>
      <c r="G894">
        <v>1</v>
      </c>
      <c r="H894" t="s">
        <v>16</v>
      </c>
      <c r="I894" t="s">
        <v>17</v>
      </c>
      <c r="J894" s="1">
        <v>44002</v>
      </c>
      <c r="L894" t="s">
        <v>14</v>
      </c>
      <c r="M894">
        <v>2930</v>
      </c>
      <c r="N894">
        <v>2930</v>
      </c>
      <c r="O894" t="s">
        <v>21</v>
      </c>
      <c r="P894">
        <f t="shared" si="42"/>
        <v>0</v>
      </c>
      <c r="Q894" s="11">
        <f>IF(P894=0,0,IFERROR(Q893+G894*M894*IF(E894="FUTURE",VLOOKUP(MID(I894,2,2),[1]Futures!$A$2:$B$12,2),1),G894*M894*IF(E894="FUTURE",VLOOKUP(MID(I894,2,2),[1]Futures!$A$2:$B$12,2),1)))</f>
        <v>0</v>
      </c>
      <c r="R894" s="12" t="str">
        <f>IFERROR(Q894/P894/IF(E894="FUTURE",VLOOKUP(MID(I894,2,2),[1]Futures!$A$2:$B$12,2),1),"")</f>
        <v/>
      </c>
      <c r="S894" s="13">
        <f>IF(AND(H894="TO CLOSE",P894=0),-G894*(M894-R893)*IF(E894="FUTURE",VLOOKUP(MID(I894,2,2),[1]Futures!$A$2:$B$12,2),1),"")</f>
        <v>200</v>
      </c>
    </row>
    <row r="895" spans="1:19" x14ac:dyDescent="0.2">
      <c r="A895">
        <f t="shared" si="41"/>
        <v>262</v>
      </c>
      <c r="B895" s="3">
        <v>43962</v>
      </c>
      <c r="C895" s="3" t="str">
        <f t="shared" si="43"/>
        <v>Monday</v>
      </c>
      <c r="D895" s="2">
        <v>0.65121527777777777</v>
      </c>
      <c r="E895" t="s">
        <v>14</v>
      </c>
      <c r="F895" t="s">
        <v>15</v>
      </c>
      <c r="G895">
        <v>-1</v>
      </c>
      <c r="H895" t="s">
        <v>20</v>
      </c>
      <c r="I895" t="s">
        <v>17</v>
      </c>
      <c r="J895" s="1">
        <v>44002</v>
      </c>
      <c r="L895" t="s">
        <v>14</v>
      </c>
      <c r="M895">
        <v>2929</v>
      </c>
      <c r="N895">
        <v>2929</v>
      </c>
      <c r="O895" t="s">
        <v>21</v>
      </c>
      <c r="P895">
        <f t="shared" si="42"/>
        <v>-1</v>
      </c>
      <c r="Q895" s="11">
        <f>IF(P895=0,0,IFERROR(Q894+G895*M895*IF(E895="FUTURE",VLOOKUP(MID(I895,2,2),[1]Futures!$A$2:$B$12,2),1),G895*M895*IF(E895="FUTURE",VLOOKUP(MID(I895,2,2),[1]Futures!$A$2:$B$12,2),1)))</f>
        <v>-146450</v>
      </c>
      <c r="R895" s="12">
        <f>IFERROR(Q895/P895/IF(E895="FUTURE",VLOOKUP(MID(I895,2,2),[1]Futures!$A$2:$B$12,2),1),"")</f>
        <v>2929</v>
      </c>
      <c r="S895" s="13" t="str">
        <f>IF(AND(H895="TO CLOSE",P895=0),-G895*(M895-R894)*IF(E895="FUTURE",VLOOKUP(MID(I895,2,2),[1]Futures!$A$2:$B$12,2),1),"")</f>
        <v/>
      </c>
    </row>
    <row r="896" spans="1:19" x14ac:dyDescent="0.2">
      <c r="A896">
        <f t="shared" si="41"/>
        <v>262</v>
      </c>
      <c r="B896" s="3">
        <v>43962</v>
      </c>
      <c r="C896" s="3" t="str">
        <f t="shared" si="43"/>
        <v>Monday</v>
      </c>
      <c r="D896" s="2">
        <v>0.65459490740740744</v>
      </c>
      <c r="E896" t="s">
        <v>14</v>
      </c>
      <c r="F896" t="s">
        <v>19</v>
      </c>
      <c r="G896">
        <v>1</v>
      </c>
      <c r="H896" t="s">
        <v>16</v>
      </c>
      <c r="I896" t="s">
        <v>17</v>
      </c>
      <c r="J896" s="1">
        <v>44002</v>
      </c>
      <c r="L896" t="s">
        <v>14</v>
      </c>
      <c r="M896">
        <v>2928.5</v>
      </c>
      <c r="N896">
        <v>2928.5</v>
      </c>
      <c r="O896" t="s">
        <v>21</v>
      </c>
      <c r="P896">
        <f t="shared" si="42"/>
        <v>0</v>
      </c>
      <c r="Q896" s="11">
        <f>IF(P896=0,0,IFERROR(Q895+G896*M896*IF(E896="FUTURE",VLOOKUP(MID(I896,2,2),[1]Futures!$A$2:$B$12,2),1),G896*M896*IF(E896="FUTURE",VLOOKUP(MID(I896,2,2),[1]Futures!$A$2:$B$12,2),1)))</f>
        <v>0</v>
      </c>
      <c r="R896" s="12" t="str">
        <f>IFERROR(Q896/P896/IF(E896="FUTURE",VLOOKUP(MID(I896,2,2),[1]Futures!$A$2:$B$12,2),1),"")</f>
        <v/>
      </c>
      <c r="S896" s="13">
        <f>IF(AND(H896="TO CLOSE",P896=0),-G896*(M896-R895)*IF(E896="FUTURE",VLOOKUP(MID(I896,2,2),[1]Futures!$A$2:$B$12,2),1),"")</f>
        <v>25</v>
      </c>
    </row>
    <row r="897" spans="1:19" x14ac:dyDescent="0.2">
      <c r="A897">
        <f t="shared" si="41"/>
        <v>263</v>
      </c>
      <c r="B897" s="3">
        <v>43962</v>
      </c>
      <c r="C897" s="3" t="str">
        <f t="shared" si="43"/>
        <v>Monday</v>
      </c>
      <c r="D897" s="2">
        <v>0.53822916666666665</v>
      </c>
      <c r="E897" t="s">
        <v>14</v>
      </c>
      <c r="F897" t="s">
        <v>15</v>
      </c>
      <c r="G897">
        <v>-5</v>
      </c>
      <c r="H897" t="s">
        <v>20</v>
      </c>
      <c r="I897" t="s">
        <v>73</v>
      </c>
      <c r="J897" s="1">
        <v>44002</v>
      </c>
      <c r="L897" t="s">
        <v>14</v>
      </c>
      <c r="M897">
        <v>2926.75</v>
      </c>
      <c r="N897">
        <v>2926.75</v>
      </c>
      <c r="O897" t="s">
        <v>21</v>
      </c>
      <c r="P897">
        <f t="shared" si="42"/>
        <v>-5</v>
      </c>
      <c r="Q897" s="11">
        <f>IF(P897=0,0,IFERROR(Q896+G897*M897*IF(E897="FUTURE",VLOOKUP(MID(I897,2,2),[1]Futures!$A$2:$B$12,2),1),G897*M897*IF(E897="FUTURE",VLOOKUP(MID(I897,2,2),[1]Futures!$A$2:$B$12,2),1)))</f>
        <v>-73168.75</v>
      </c>
      <c r="R897" s="12">
        <f>IFERROR(Q897/P897/IF(E897="FUTURE",VLOOKUP(MID(I897,2,2),[1]Futures!$A$2:$B$12,2),1),"")</f>
        <v>2926.75</v>
      </c>
      <c r="S897" s="13" t="str">
        <f>IF(AND(H897="TO CLOSE",P897=0),-G897*(M897-R896)*IF(E897="FUTURE",VLOOKUP(MID(I897,2,2),[1]Futures!$A$2:$B$12,2),1),"")</f>
        <v/>
      </c>
    </row>
    <row r="898" spans="1:19" x14ac:dyDescent="0.2">
      <c r="A898">
        <f t="shared" ref="A898:A961" si="44">IF(AND(P897=0,H897="TO CLOSE"),IFERROR(A897+1,1),IFERROR(A897/1,1))</f>
        <v>263</v>
      </c>
      <c r="B898" s="3">
        <v>43962</v>
      </c>
      <c r="C898" s="3" t="str">
        <f t="shared" si="43"/>
        <v>Monday</v>
      </c>
      <c r="D898" s="2">
        <v>0.54505787037037035</v>
      </c>
      <c r="E898" t="s">
        <v>14</v>
      </c>
      <c r="F898" t="s">
        <v>15</v>
      </c>
      <c r="G898">
        <v>-1</v>
      </c>
      <c r="H898" t="s">
        <v>20</v>
      </c>
      <c r="I898" t="s">
        <v>73</v>
      </c>
      <c r="J898" s="1">
        <v>44002</v>
      </c>
      <c r="L898" t="s">
        <v>14</v>
      </c>
      <c r="M898">
        <v>2927.75</v>
      </c>
      <c r="N898">
        <v>2927.75</v>
      </c>
      <c r="O898" t="s">
        <v>21</v>
      </c>
      <c r="P898">
        <f t="shared" si="42"/>
        <v>-6</v>
      </c>
      <c r="Q898" s="11">
        <f>IF(P898=0,0,IFERROR(Q897+G898*M898*IF(E898="FUTURE",VLOOKUP(MID(I898,2,2),[1]Futures!$A$2:$B$12,2),1),G898*M898*IF(E898="FUTURE",VLOOKUP(MID(I898,2,2),[1]Futures!$A$2:$B$12,2),1)))</f>
        <v>-87807.5</v>
      </c>
      <c r="R898" s="12">
        <f>IFERROR(Q898/P898/IF(E898="FUTURE",VLOOKUP(MID(I898,2,2),[1]Futures!$A$2:$B$12,2),1),"")</f>
        <v>2926.916666666667</v>
      </c>
      <c r="S898" s="13" t="str">
        <f>IF(AND(H898="TO CLOSE",P898=0),-G898*(M898-R897)*IF(E898="FUTURE",VLOOKUP(MID(I898,2,2),[1]Futures!$A$2:$B$12,2),1),"")</f>
        <v/>
      </c>
    </row>
    <row r="899" spans="1:19" x14ac:dyDescent="0.2">
      <c r="A899">
        <f t="shared" si="44"/>
        <v>263</v>
      </c>
      <c r="B899" s="3">
        <v>43962</v>
      </c>
      <c r="C899" s="3" t="str">
        <f t="shared" si="43"/>
        <v>Monday</v>
      </c>
      <c r="D899" s="2">
        <v>0.54765046296296294</v>
      </c>
      <c r="E899" t="s">
        <v>14</v>
      </c>
      <c r="F899" t="s">
        <v>15</v>
      </c>
      <c r="G899">
        <v>-1</v>
      </c>
      <c r="H899" t="s">
        <v>20</v>
      </c>
      <c r="I899" t="s">
        <v>73</v>
      </c>
      <c r="J899" s="1">
        <v>44002</v>
      </c>
      <c r="L899" t="s">
        <v>14</v>
      </c>
      <c r="M899">
        <v>2930.75</v>
      </c>
      <c r="N899">
        <v>2930.75</v>
      </c>
      <c r="O899" t="s">
        <v>21</v>
      </c>
      <c r="P899">
        <f t="shared" ref="P899:P962" si="45">IF(H899="TO OPEN",IFERROR(P898+G899,0+G899),IFERROR(P898+G899,0+G899))</f>
        <v>-7</v>
      </c>
      <c r="Q899" s="11">
        <f>IF(P899=0,0,IFERROR(Q898+G899*M899*IF(E899="FUTURE",VLOOKUP(MID(I899,2,2),[1]Futures!$A$2:$B$12,2),1),G899*M899*IF(E899="FUTURE",VLOOKUP(MID(I899,2,2),[1]Futures!$A$2:$B$12,2),1)))</f>
        <v>-102461.25</v>
      </c>
      <c r="R899" s="12">
        <f>IFERROR(Q899/P899/IF(E899="FUTURE",VLOOKUP(MID(I899,2,2),[1]Futures!$A$2:$B$12,2),1),"")</f>
        <v>2927.4642857142858</v>
      </c>
      <c r="S899" s="13" t="str">
        <f>IF(AND(H899="TO CLOSE",P899=0),-G899*(M899-R898)*IF(E899="FUTURE",VLOOKUP(MID(I899,2,2),[1]Futures!$A$2:$B$12,2),1),"")</f>
        <v/>
      </c>
    </row>
    <row r="900" spans="1:19" x14ac:dyDescent="0.2">
      <c r="A900">
        <f t="shared" si="44"/>
        <v>263</v>
      </c>
      <c r="B900" s="3">
        <v>43962</v>
      </c>
      <c r="C900" s="3" t="str">
        <f t="shared" si="43"/>
        <v>Monday</v>
      </c>
      <c r="D900" s="2">
        <v>0.55607638888888888</v>
      </c>
      <c r="E900" t="s">
        <v>14</v>
      </c>
      <c r="F900" t="s">
        <v>15</v>
      </c>
      <c r="G900">
        <v>-1</v>
      </c>
      <c r="H900" t="s">
        <v>20</v>
      </c>
      <c r="I900" t="s">
        <v>73</v>
      </c>
      <c r="J900" s="1">
        <v>44002</v>
      </c>
      <c r="L900" t="s">
        <v>14</v>
      </c>
      <c r="M900">
        <v>2932.75</v>
      </c>
      <c r="N900">
        <v>2932.75</v>
      </c>
      <c r="O900" t="s">
        <v>21</v>
      </c>
      <c r="P900">
        <f t="shared" si="45"/>
        <v>-8</v>
      </c>
      <c r="Q900" s="11">
        <f>IF(P900=0,0,IFERROR(Q899+G900*M900*IF(E900="FUTURE",VLOOKUP(MID(I900,2,2),[1]Futures!$A$2:$B$12,2),1),G900*M900*IF(E900="FUTURE",VLOOKUP(MID(I900,2,2),[1]Futures!$A$2:$B$12,2),1)))</f>
        <v>-117125</v>
      </c>
      <c r="R900" s="12">
        <f>IFERROR(Q900/P900/IF(E900="FUTURE",VLOOKUP(MID(I900,2,2),[1]Futures!$A$2:$B$12,2),1),"")</f>
        <v>2928.125</v>
      </c>
      <c r="S900" s="13" t="str">
        <f>IF(AND(H900="TO CLOSE",P900=0),-G900*(M900-R899)*IF(E900="FUTURE",VLOOKUP(MID(I900,2,2),[1]Futures!$A$2:$B$12,2),1),"")</f>
        <v/>
      </c>
    </row>
    <row r="901" spans="1:19" x14ac:dyDescent="0.2">
      <c r="A901">
        <f t="shared" si="44"/>
        <v>263</v>
      </c>
      <c r="B901" s="3">
        <v>43962</v>
      </c>
      <c r="C901" s="3" t="str">
        <f t="shared" si="43"/>
        <v>Monday</v>
      </c>
      <c r="D901" s="2">
        <v>0.5873032407407407</v>
      </c>
      <c r="E901" t="s">
        <v>14</v>
      </c>
      <c r="F901" t="s">
        <v>19</v>
      </c>
      <c r="G901">
        <v>4</v>
      </c>
      <c r="H901" t="s">
        <v>16</v>
      </c>
      <c r="I901" t="s">
        <v>73</v>
      </c>
      <c r="J901" s="1">
        <v>44002</v>
      </c>
      <c r="L901" t="s">
        <v>14</v>
      </c>
      <c r="M901">
        <v>2925.75</v>
      </c>
      <c r="N901">
        <v>2925.75</v>
      </c>
      <c r="O901" t="s">
        <v>21</v>
      </c>
      <c r="P901">
        <f t="shared" si="45"/>
        <v>-4</v>
      </c>
      <c r="Q901" s="11">
        <f>IF(P901=0,0,IFERROR(Q900+G901*M901*IF(E901="FUTURE",VLOOKUP(MID(I901,2,2),[1]Futures!$A$2:$B$12,2),1),G901*M901*IF(E901="FUTURE",VLOOKUP(MID(I901,2,2),[1]Futures!$A$2:$B$12,2),1)))</f>
        <v>-58610</v>
      </c>
      <c r="R901" s="12">
        <f>IFERROR(Q901/P901/IF(E901="FUTURE",VLOOKUP(MID(I901,2,2),[1]Futures!$A$2:$B$12,2),1),"")</f>
        <v>2930.5</v>
      </c>
      <c r="S901" s="13" t="str">
        <f>IF(AND(H901="TO CLOSE",P901=0),-G901*(M901-R900)*IF(E901="FUTURE",VLOOKUP(MID(I901,2,2),[1]Futures!$A$2:$B$12,2),1),"")</f>
        <v/>
      </c>
    </row>
    <row r="902" spans="1:19" x14ac:dyDescent="0.2">
      <c r="A902">
        <f t="shared" si="44"/>
        <v>263</v>
      </c>
      <c r="B902" s="3">
        <v>43962</v>
      </c>
      <c r="C902" s="3" t="str">
        <f t="shared" si="43"/>
        <v>Monday</v>
      </c>
      <c r="D902" s="2">
        <v>0.61482638888888885</v>
      </c>
      <c r="E902" t="s">
        <v>14</v>
      </c>
      <c r="F902" t="s">
        <v>15</v>
      </c>
      <c r="G902">
        <v>-4</v>
      </c>
      <c r="H902" t="s">
        <v>20</v>
      </c>
      <c r="I902" t="s">
        <v>73</v>
      </c>
      <c r="J902" s="1">
        <v>44002</v>
      </c>
      <c r="L902" t="s">
        <v>14</v>
      </c>
      <c r="M902">
        <v>2930.75</v>
      </c>
      <c r="N902">
        <v>2930.75</v>
      </c>
      <c r="O902" t="s">
        <v>21</v>
      </c>
      <c r="P902">
        <f t="shared" si="45"/>
        <v>-8</v>
      </c>
      <c r="Q902" s="11">
        <f>IF(P902=0,0,IFERROR(Q901+G902*M902*IF(E902="FUTURE",VLOOKUP(MID(I902,2,2),[1]Futures!$A$2:$B$12,2),1),G902*M902*IF(E902="FUTURE",VLOOKUP(MID(I902,2,2),[1]Futures!$A$2:$B$12,2),1)))</f>
        <v>-117225</v>
      </c>
      <c r="R902" s="12">
        <f>IFERROR(Q902/P902/IF(E902="FUTURE",VLOOKUP(MID(I902,2,2),[1]Futures!$A$2:$B$12,2),1),"")</f>
        <v>2930.625</v>
      </c>
      <c r="S902" s="13" t="str">
        <f>IF(AND(H902="TO CLOSE",P902=0),-G902*(M902-R901)*IF(E902="FUTURE",VLOOKUP(MID(I902,2,2),[1]Futures!$A$2:$B$12,2),1),"")</f>
        <v/>
      </c>
    </row>
    <row r="903" spans="1:19" x14ac:dyDescent="0.2">
      <c r="A903">
        <f t="shared" si="44"/>
        <v>263</v>
      </c>
      <c r="B903" s="3">
        <v>43962</v>
      </c>
      <c r="C903" s="3" t="str">
        <f t="shared" si="43"/>
        <v>Monday</v>
      </c>
      <c r="D903" s="2">
        <v>0.61994212962962958</v>
      </c>
      <c r="E903" t="s">
        <v>14</v>
      </c>
      <c r="F903" t="s">
        <v>19</v>
      </c>
      <c r="G903">
        <v>8</v>
      </c>
      <c r="H903" t="s">
        <v>16</v>
      </c>
      <c r="I903" t="s">
        <v>73</v>
      </c>
      <c r="J903" s="1">
        <v>44002</v>
      </c>
      <c r="L903" t="s">
        <v>14</v>
      </c>
      <c r="M903">
        <v>2934</v>
      </c>
      <c r="N903">
        <v>2934</v>
      </c>
      <c r="O903" t="s">
        <v>24</v>
      </c>
      <c r="P903">
        <f t="shared" si="45"/>
        <v>0</v>
      </c>
      <c r="Q903" s="11">
        <f>IF(P903=0,0,IFERROR(Q902+G903*M903*IF(E903="FUTURE",VLOOKUP(MID(I903,2,2),[1]Futures!$A$2:$B$12,2),1),G903*M903*IF(E903="FUTURE",VLOOKUP(MID(I903,2,2),[1]Futures!$A$2:$B$12,2),1)))</f>
        <v>0</v>
      </c>
      <c r="R903" s="12" t="str">
        <f>IFERROR(Q903/P903/IF(E903="FUTURE",VLOOKUP(MID(I903,2,2),[1]Futures!$A$2:$B$12,2),1),"")</f>
        <v/>
      </c>
      <c r="S903" s="13">
        <f>IF(AND(H903="TO CLOSE",P903=0),-G903*(M903-R902)*IF(E903="FUTURE",VLOOKUP(MID(I903,2,2),[1]Futures!$A$2:$B$12,2),1),"")</f>
        <v>-135</v>
      </c>
    </row>
    <row r="904" spans="1:19" x14ac:dyDescent="0.2">
      <c r="A904">
        <f t="shared" si="44"/>
        <v>264</v>
      </c>
      <c r="B904" s="3">
        <v>43962</v>
      </c>
      <c r="C904" s="3" t="str">
        <f t="shared" si="43"/>
        <v>Monday</v>
      </c>
      <c r="D904" s="2">
        <v>0.45236111111111116</v>
      </c>
      <c r="E904" t="s">
        <v>22</v>
      </c>
      <c r="F904" t="s">
        <v>19</v>
      </c>
      <c r="G904">
        <v>149</v>
      </c>
      <c r="H904" t="s">
        <v>20</v>
      </c>
      <c r="I904" t="s">
        <v>23</v>
      </c>
      <c r="L904" t="s">
        <v>22</v>
      </c>
      <c r="M904">
        <v>34.590000000000003</v>
      </c>
      <c r="N904">
        <v>34.590000000000003</v>
      </c>
      <c r="O904" t="s">
        <v>21</v>
      </c>
      <c r="P904">
        <f t="shared" si="45"/>
        <v>149</v>
      </c>
      <c r="Q904" s="11">
        <f>IF(P904=0,0,IFERROR(Q903+G904*M904*IF(E904="FUTURE",VLOOKUP(MID(I904,2,2),[1]Futures!$A$2:$B$12,2),1),G904*M904*IF(E904="FUTURE",VLOOKUP(MID(I904,2,2),[1]Futures!$A$2:$B$12,2),1)))</f>
        <v>5153.9100000000008</v>
      </c>
      <c r="R904" s="12">
        <f>IFERROR(Q904/P904/IF(E904="FUTURE",VLOOKUP(MID(I904,2,2),[1]Futures!$A$2:$B$12,2),1),"")</f>
        <v>34.590000000000003</v>
      </c>
      <c r="S904" s="13" t="str">
        <f>IF(AND(H904="TO CLOSE",P904=0),-G904*(M904-R903)*IF(E904="FUTURE",VLOOKUP(MID(I904,2,2),[1]Futures!$A$2:$B$12,2),1),"")</f>
        <v/>
      </c>
    </row>
    <row r="905" spans="1:19" x14ac:dyDescent="0.2">
      <c r="A905">
        <f t="shared" si="44"/>
        <v>264</v>
      </c>
      <c r="B905" s="3">
        <v>43962</v>
      </c>
      <c r="C905" s="3" t="str">
        <f t="shared" si="43"/>
        <v>Monday</v>
      </c>
      <c r="D905" s="2">
        <v>0.45236111111111116</v>
      </c>
      <c r="E905" t="s">
        <v>22</v>
      </c>
      <c r="F905" t="s">
        <v>19</v>
      </c>
      <c r="G905">
        <v>1</v>
      </c>
      <c r="H905" t="s">
        <v>20</v>
      </c>
      <c r="I905" t="s">
        <v>23</v>
      </c>
      <c r="L905" t="s">
        <v>22</v>
      </c>
      <c r="M905">
        <v>34.590000000000003</v>
      </c>
      <c r="N905">
        <v>34.590000000000003</v>
      </c>
      <c r="O905" t="s">
        <v>21</v>
      </c>
      <c r="P905">
        <f t="shared" si="45"/>
        <v>150</v>
      </c>
      <c r="Q905" s="11">
        <f>IF(P905=0,0,IFERROR(Q904+G905*M905*IF(E905="FUTURE",VLOOKUP(MID(I905,2,2),[1]Futures!$A$2:$B$12,2),1),G905*M905*IF(E905="FUTURE",VLOOKUP(MID(I905,2,2),[1]Futures!$A$2:$B$12,2),1)))</f>
        <v>5188.5000000000009</v>
      </c>
      <c r="R905" s="12">
        <f>IFERROR(Q905/P905/IF(E905="FUTURE",VLOOKUP(MID(I905,2,2),[1]Futures!$A$2:$B$12,2),1),"")</f>
        <v>34.590000000000003</v>
      </c>
      <c r="S905" s="13" t="str">
        <f>IF(AND(H905="TO CLOSE",P905=0),-G905*(M905-R904)*IF(E905="FUTURE",VLOOKUP(MID(I905,2,2),[1]Futures!$A$2:$B$12,2),1),"")</f>
        <v/>
      </c>
    </row>
    <row r="906" spans="1:19" x14ac:dyDescent="0.2">
      <c r="A906">
        <f t="shared" si="44"/>
        <v>264</v>
      </c>
      <c r="B906" s="3">
        <v>43962</v>
      </c>
      <c r="C906" s="3" t="str">
        <f t="shared" si="43"/>
        <v>Monday</v>
      </c>
      <c r="D906" s="2">
        <v>0.48378472222222224</v>
      </c>
      <c r="E906" t="s">
        <v>22</v>
      </c>
      <c r="F906" t="s">
        <v>19</v>
      </c>
      <c r="G906">
        <v>50</v>
      </c>
      <c r="H906" t="s">
        <v>20</v>
      </c>
      <c r="I906" t="s">
        <v>23</v>
      </c>
      <c r="L906" t="s">
        <v>22</v>
      </c>
      <c r="M906">
        <v>33.9499</v>
      </c>
      <c r="N906">
        <v>33.950000000000003</v>
      </c>
      <c r="O906" t="s">
        <v>21</v>
      </c>
      <c r="P906">
        <f t="shared" si="45"/>
        <v>200</v>
      </c>
      <c r="Q906" s="11">
        <f>IF(P906=0,0,IFERROR(Q905+G906*M906*IF(E906="FUTURE",VLOOKUP(MID(I906,2,2),[1]Futures!$A$2:$B$12,2),1),G906*M906*IF(E906="FUTURE",VLOOKUP(MID(I906,2,2),[1]Futures!$A$2:$B$12,2),1)))</f>
        <v>6885.9950000000008</v>
      </c>
      <c r="R906" s="12">
        <f>IFERROR(Q906/P906/IF(E906="FUTURE",VLOOKUP(MID(I906,2,2),[1]Futures!$A$2:$B$12,2),1),"")</f>
        <v>34.429975000000006</v>
      </c>
      <c r="S906" s="13" t="str">
        <f>IF(AND(H906="TO CLOSE",P906=0),-G906*(M906-R905)*IF(E906="FUTURE",VLOOKUP(MID(I906,2,2),[1]Futures!$A$2:$B$12,2),1),"")</f>
        <v/>
      </c>
    </row>
    <row r="907" spans="1:19" x14ac:dyDescent="0.2">
      <c r="A907">
        <f t="shared" si="44"/>
        <v>264</v>
      </c>
      <c r="B907" s="3">
        <v>43962</v>
      </c>
      <c r="C907" s="3" t="str">
        <f t="shared" si="43"/>
        <v>Monday</v>
      </c>
      <c r="D907" s="2">
        <v>0.51571759259259264</v>
      </c>
      <c r="E907" t="s">
        <v>22</v>
      </c>
      <c r="F907" t="s">
        <v>19</v>
      </c>
      <c r="G907">
        <v>200</v>
      </c>
      <c r="H907" t="s">
        <v>20</v>
      </c>
      <c r="I907" t="s">
        <v>23</v>
      </c>
      <c r="L907" t="s">
        <v>22</v>
      </c>
      <c r="M907">
        <v>33.630000000000003</v>
      </c>
      <c r="N907">
        <v>33.630000000000003</v>
      </c>
      <c r="O907" t="s">
        <v>21</v>
      </c>
      <c r="P907">
        <f t="shared" si="45"/>
        <v>400</v>
      </c>
      <c r="Q907" s="11">
        <f>IF(P907=0,0,IFERROR(Q906+G907*M907*IF(E907="FUTURE",VLOOKUP(MID(I907,2,2),[1]Futures!$A$2:$B$12,2),1),G907*M907*IF(E907="FUTURE",VLOOKUP(MID(I907,2,2),[1]Futures!$A$2:$B$12,2),1)))</f>
        <v>13611.995000000003</v>
      </c>
      <c r="R907" s="12">
        <f>IFERROR(Q907/P907/IF(E907="FUTURE",VLOOKUP(MID(I907,2,2),[1]Futures!$A$2:$B$12,2),1),"")</f>
        <v>34.029987500000004</v>
      </c>
      <c r="S907" s="13" t="str">
        <f>IF(AND(H907="TO CLOSE",P907=0),-G907*(M907-R906)*IF(E907="FUTURE",VLOOKUP(MID(I907,2,2),[1]Futures!$A$2:$B$12,2),1),"")</f>
        <v/>
      </c>
    </row>
    <row r="908" spans="1:19" x14ac:dyDescent="0.2">
      <c r="A908">
        <f t="shared" si="44"/>
        <v>264</v>
      </c>
      <c r="B908" s="3">
        <v>43962</v>
      </c>
      <c r="C908" s="3" t="str">
        <f t="shared" si="43"/>
        <v>Monday</v>
      </c>
      <c r="D908" s="2">
        <v>0.52664351851851854</v>
      </c>
      <c r="E908" t="s">
        <v>22</v>
      </c>
      <c r="F908" t="s">
        <v>19</v>
      </c>
      <c r="G908">
        <v>100</v>
      </c>
      <c r="H908" t="s">
        <v>20</v>
      </c>
      <c r="I908" t="s">
        <v>23</v>
      </c>
      <c r="L908" t="s">
        <v>22</v>
      </c>
      <c r="M908">
        <v>33.18</v>
      </c>
      <c r="N908">
        <v>33.18</v>
      </c>
      <c r="O908" t="s">
        <v>21</v>
      </c>
      <c r="P908">
        <f t="shared" si="45"/>
        <v>500</v>
      </c>
      <c r="Q908" s="11">
        <f>IF(P908=0,0,IFERROR(Q907+G908*M908*IF(E908="FUTURE",VLOOKUP(MID(I908,2,2),[1]Futures!$A$2:$B$12,2),1),G908*M908*IF(E908="FUTURE",VLOOKUP(MID(I908,2,2),[1]Futures!$A$2:$B$12,2),1)))</f>
        <v>16929.995000000003</v>
      </c>
      <c r="R908" s="12">
        <f>IFERROR(Q908/P908/IF(E908="FUTURE",VLOOKUP(MID(I908,2,2),[1]Futures!$A$2:$B$12,2),1),"")</f>
        <v>33.859990000000003</v>
      </c>
      <c r="S908" s="13" t="str">
        <f>IF(AND(H908="TO CLOSE",P908=0),-G908*(M908-R907)*IF(E908="FUTURE",VLOOKUP(MID(I908,2,2),[1]Futures!$A$2:$B$12,2),1),"")</f>
        <v/>
      </c>
    </row>
    <row r="909" spans="1:19" x14ac:dyDescent="0.2">
      <c r="A909">
        <f t="shared" si="44"/>
        <v>264</v>
      </c>
      <c r="B909" s="3">
        <v>43962</v>
      </c>
      <c r="C909" s="3" t="str">
        <f t="shared" si="43"/>
        <v>Monday</v>
      </c>
      <c r="D909" s="2">
        <v>0.62059027777777775</v>
      </c>
      <c r="E909" t="s">
        <v>22</v>
      </c>
      <c r="F909" t="s">
        <v>15</v>
      </c>
      <c r="G909">
        <v>-299</v>
      </c>
      <c r="H909" t="s">
        <v>16</v>
      </c>
      <c r="I909" t="s">
        <v>23</v>
      </c>
      <c r="L909" t="s">
        <v>22</v>
      </c>
      <c r="M909">
        <v>32.6</v>
      </c>
      <c r="N909">
        <v>32.6</v>
      </c>
      <c r="O909" t="s">
        <v>18</v>
      </c>
      <c r="P909">
        <f t="shared" si="45"/>
        <v>201</v>
      </c>
      <c r="Q909" s="11">
        <f>IF(P909=0,0,IFERROR(Q908+G909*M909*IF(E909="FUTURE",VLOOKUP(MID(I909,2,2),[1]Futures!$A$2:$B$12,2),1),G909*M909*IF(E909="FUTURE",VLOOKUP(MID(I909,2,2),[1]Futures!$A$2:$B$12,2),1)))</f>
        <v>7182.595000000003</v>
      </c>
      <c r="R909" s="12">
        <f>IFERROR(Q909/P909/IF(E909="FUTURE",VLOOKUP(MID(I909,2,2),[1]Futures!$A$2:$B$12,2),1),"")</f>
        <v>35.73430348258708</v>
      </c>
      <c r="S909" s="13" t="str">
        <f>IF(AND(H909="TO CLOSE",P909=0),-G909*(M909-R908)*IF(E909="FUTURE",VLOOKUP(MID(I909,2,2),[1]Futures!$A$2:$B$12,2),1),"")</f>
        <v/>
      </c>
    </row>
    <row r="910" spans="1:19" x14ac:dyDescent="0.2">
      <c r="A910">
        <f t="shared" si="44"/>
        <v>264</v>
      </c>
      <c r="B910" s="3">
        <v>43962</v>
      </c>
      <c r="C910" s="3" t="str">
        <f t="shared" si="43"/>
        <v>Monday</v>
      </c>
      <c r="D910" s="2">
        <v>0.62059027777777775</v>
      </c>
      <c r="E910" t="s">
        <v>22</v>
      </c>
      <c r="F910" t="s">
        <v>15</v>
      </c>
      <c r="G910">
        <v>-101</v>
      </c>
      <c r="H910" t="s">
        <v>16</v>
      </c>
      <c r="I910" t="s">
        <v>23</v>
      </c>
      <c r="L910" t="s">
        <v>22</v>
      </c>
      <c r="M910">
        <v>32.61</v>
      </c>
      <c r="N910">
        <v>32.61</v>
      </c>
      <c r="O910" t="s">
        <v>18</v>
      </c>
      <c r="P910">
        <f t="shared" si="45"/>
        <v>100</v>
      </c>
      <c r="Q910" s="11">
        <f>IF(P910=0,0,IFERROR(Q909+G910*M910*IF(E910="FUTURE",VLOOKUP(MID(I910,2,2),[1]Futures!$A$2:$B$12,2),1),G910*M910*IF(E910="FUTURE",VLOOKUP(MID(I910,2,2),[1]Futures!$A$2:$B$12,2),1)))</f>
        <v>3888.9850000000029</v>
      </c>
      <c r="R910" s="12">
        <f>IFERROR(Q910/P910/IF(E910="FUTURE",VLOOKUP(MID(I910,2,2),[1]Futures!$A$2:$B$12,2),1),"")</f>
        <v>38.889850000000031</v>
      </c>
      <c r="S910" s="13" t="str">
        <f>IF(AND(H910="TO CLOSE",P910=0),-G910*(M910-R909)*IF(E910="FUTURE",VLOOKUP(MID(I910,2,2),[1]Futures!$A$2:$B$12,2),1),"")</f>
        <v/>
      </c>
    </row>
    <row r="911" spans="1:19" x14ac:dyDescent="0.2">
      <c r="A911">
        <f t="shared" si="44"/>
        <v>264</v>
      </c>
      <c r="B911" s="3">
        <v>43962</v>
      </c>
      <c r="C911" s="3" t="str">
        <f t="shared" si="43"/>
        <v>Monday</v>
      </c>
      <c r="D911" s="2">
        <v>0.62059027777777775</v>
      </c>
      <c r="E911" t="s">
        <v>22</v>
      </c>
      <c r="F911" t="s">
        <v>15</v>
      </c>
      <c r="G911">
        <v>-100</v>
      </c>
      <c r="H911" t="s">
        <v>16</v>
      </c>
      <c r="I911" t="s">
        <v>23</v>
      </c>
      <c r="L911" t="s">
        <v>22</v>
      </c>
      <c r="M911">
        <v>32.61</v>
      </c>
      <c r="N911">
        <v>32.61</v>
      </c>
      <c r="O911" t="s">
        <v>18</v>
      </c>
      <c r="P911">
        <f t="shared" si="45"/>
        <v>0</v>
      </c>
      <c r="Q911" s="11">
        <f>IF(P911=0,0,IFERROR(Q910+G911*M911*IF(E911="FUTURE",VLOOKUP(MID(I911,2,2),[1]Futures!$A$2:$B$12,2),1),G911*M911*IF(E911="FUTURE",VLOOKUP(MID(I911,2,2),[1]Futures!$A$2:$B$12,2),1)))</f>
        <v>0</v>
      </c>
      <c r="R911" s="12" t="str">
        <f>IFERROR(Q911/P911/IF(E911="FUTURE",VLOOKUP(MID(I911,2,2),[1]Futures!$A$2:$B$12,2),1),"")</f>
        <v/>
      </c>
      <c r="S911" s="13">
        <f>IF(AND(H911="TO CLOSE",P911=0),-G911*(M911-R910)*IF(E911="FUTURE",VLOOKUP(MID(I911,2,2),[1]Futures!$A$2:$B$12,2),1),"")</f>
        <v>-627.9850000000032</v>
      </c>
    </row>
    <row r="912" spans="1:19" x14ac:dyDescent="0.2">
      <c r="A912">
        <f t="shared" si="44"/>
        <v>265</v>
      </c>
      <c r="B912" s="3">
        <v>43962</v>
      </c>
      <c r="C912" s="3" t="str">
        <f t="shared" si="43"/>
        <v>Monday</v>
      </c>
      <c r="D912" s="2">
        <v>0.63922453703703697</v>
      </c>
      <c r="E912" t="s">
        <v>22</v>
      </c>
      <c r="F912" t="s">
        <v>19</v>
      </c>
      <c r="G912">
        <v>157</v>
      </c>
      <c r="H912" t="s">
        <v>20</v>
      </c>
      <c r="I912" t="s">
        <v>23</v>
      </c>
      <c r="L912" t="s">
        <v>22</v>
      </c>
      <c r="M912">
        <v>32.549999999999997</v>
      </c>
      <c r="N912">
        <v>32.549999999999997</v>
      </c>
      <c r="O912" t="s">
        <v>21</v>
      </c>
      <c r="P912">
        <f t="shared" si="45"/>
        <v>157</v>
      </c>
      <c r="Q912" s="11">
        <f>IF(P912=0,0,IFERROR(Q911+G912*M912*IF(E912="FUTURE",VLOOKUP(MID(I912,2,2),[1]Futures!$A$2:$B$12,2),1),G912*M912*IF(E912="FUTURE",VLOOKUP(MID(I912,2,2),[1]Futures!$A$2:$B$12,2),1)))</f>
        <v>5110.3499999999995</v>
      </c>
      <c r="R912" s="12">
        <f>IFERROR(Q912/P912/IF(E912="FUTURE",VLOOKUP(MID(I912,2,2),[1]Futures!$A$2:$B$12,2),1),"")</f>
        <v>32.549999999999997</v>
      </c>
      <c r="S912" s="13" t="str">
        <f>IF(AND(H912="TO CLOSE",P912=0),-G912*(M912-R911)*IF(E912="FUTURE",VLOOKUP(MID(I912,2,2),[1]Futures!$A$2:$B$12,2),1),"")</f>
        <v/>
      </c>
    </row>
    <row r="913" spans="1:19" x14ac:dyDescent="0.2">
      <c r="A913">
        <f t="shared" si="44"/>
        <v>265</v>
      </c>
      <c r="B913" s="3">
        <v>43962</v>
      </c>
      <c r="C913" s="3" t="str">
        <f t="shared" si="43"/>
        <v>Monday</v>
      </c>
      <c r="D913" s="2">
        <v>0.64150462962962962</v>
      </c>
      <c r="E913" t="s">
        <v>22</v>
      </c>
      <c r="F913" t="s">
        <v>19</v>
      </c>
      <c r="G913">
        <v>343</v>
      </c>
      <c r="H913" t="s">
        <v>20</v>
      </c>
      <c r="I913" t="s">
        <v>23</v>
      </c>
      <c r="L913" t="s">
        <v>22</v>
      </c>
      <c r="M913">
        <v>32.64</v>
      </c>
      <c r="N913">
        <v>32.64</v>
      </c>
      <c r="O913" t="s">
        <v>21</v>
      </c>
      <c r="P913">
        <f t="shared" si="45"/>
        <v>500</v>
      </c>
      <c r="Q913" s="11">
        <f>IF(P913=0,0,IFERROR(Q912+G913*M913*IF(E913="FUTURE",VLOOKUP(MID(I913,2,2),[1]Futures!$A$2:$B$12,2),1),G913*M913*IF(E913="FUTURE",VLOOKUP(MID(I913,2,2),[1]Futures!$A$2:$B$12,2),1)))</f>
        <v>16305.869999999999</v>
      </c>
      <c r="R913" s="12">
        <f>IFERROR(Q913/P913/IF(E913="FUTURE",VLOOKUP(MID(I913,2,2),[1]Futures!$A$2:$B$12,2),1),"")</f>
        <v>32.611739999999998</v>
      </c>
      <c r="S913" s="13" t="str">
        <f>IF(AND(H913="TO CLOSE",P913=0),-G913*(M913-R912)*IF(E913="FUTURE",VLOOKUP(MID(I913,2,2),[1]Futures!$A$2:$B$12,2),1),"")</f>
        <v/>
      </c>
    </row>
    <row r="914" spans="1:19" x14ac:dyDescent="0.2">
      <c r="A914">
        <f t="shared" si="44"/>
        <v>265</v>
      </c>
      <c r="B914" s="3">
        <v>43962</v>
      </c>
      <c r="C914" s="3" t="str">
        <f t="shared" si="43"/>
        <v>Monday</v>
      </c>
      <c r="D914" s="2">
        <v>0.64449074074074075</v>
      </c>
      <c r="E914" t="s">
        <v>22</v>
      </c>
      <c r="F914" t="s">
        <v>15</v>
      </c>
      <c r="G914">
        <v>-500</v>
      </c>
      <c r="H914" t="s">
        <v>16</v>
      </c>
      <c r="I914" t="s">
        <v>23</v>
      </c>
      <c r="L914" t="s">
        <v>22</v>
      </c>
      <c r="M914">
        <v>32.630000000000003</v>
      </c>
      <c r="N914">
        <v>32.630000000000003</v>
      </c>
      <c r="O914" t="s">
        <v>18</v>
      </c>
      <c r="P914">
        <f t="shared" si="45"/>
        <v>0</v>
      </c>
      <c r="Q914" s="11">
        <f>IF(P914=0,0,IFERROR(Q913+G914*M914*IF(E914="FUTURE",VLOOKUP(MID(I914,2,2),[1]Futures!$A$2:$B$12,2),1),G914*M914*IF(E914="FUTURE",VLOOKUP(MID(I914,2,2),[1]Futures!$A$2:$B$12,2),1)))</f>
        <v>0</v>
      </c>
      <c r="R914" s="12" t="str">
        <f>IFERROR(Q914/P914/IF(E914="FUTURE",VLOOKUP(MID(I914,2,2),[1]Futures!$A$2:$B$12,2),1),"")</f>
        <v/>
      </c>
      <c r="S914" s="13">
        <f>IF(AND(H914="TO CLOSE",P914=0),-G914*(M914-R913)*IF(E914="FUTURE",VLOOKUP(MID(I914,2,2),[1]Futures!$A$2:$B$12,2),1),"")</f>
        <v>9.130000000002525</v>
      </c>
    </row>
    <row r="915" spans="1:19" x14ac:dyDescent="0.2">
      <c r="A915">
        <f t="shared" si="44"/>
        <v>266</v>
      </c>
      <c r="B915" s="3">
        <v>43964</v>
      </c>
      <c r="C915" s="3" t="str">
        <f t="shared" si="43"/>
        <v>Wednesday</v>
      </c>
      <c r="D915" s="2">
        <v>0.3411689814814815</v>
      </c>
      <c r="E915" t="s">
        <v>14</v>
      </c>
      <c r="F915" t="s">
        <v>15</v>
      </c>
      <c r="G915">
        <v>-1</v>
      </c>
      <c r="H915" t="s">
        <v>20</v>
      </c>
      <c r="I915" t="s">
        <v>77</v>
      </c>
      <c r="J915" s="1">
        <v>44063</v>
      </c>
      <c r="L915" t="s">
        <v>14</v>
      </c>
      <c r="M915">
        <v>27.36</v>
      </c>
      <c r="N915">
        <v>27.36</v>
      </c>
      <c r="O915" t="s">
        <v>21</v>
      </c>
      <c r="P915">
        <f t="shared" si="45"/>
        <v>-1</v>
      </c>
      <c r="Q915" s="11">
        <f>IF(P915=0,0,IFERROR(Q914+G915*M915*IF(E915="FUTURE",VLOOKUP(MID(I915,2,2),[1]Futures!$A$2:$B$12,2),1),G915*M915*IF(E915="FUTURE",VLOOKUP(MID(I915,2,2),[1]Futures!$A$2:$B$12,2),1)))</f>
        <v>-27360</v>
      </c>
      <c r="R915" s="12">
        <f>IFERROR(Q915/P915/IF(E915="FUTURE",VLOOKUP(MID(I915,2,2),[1]Futures!$A$2:$B$12,2),1),"")</f>
        <v>27.36</v>
      </c>
      <c r="S915" s="13" t="str">
        <f>IF(AND(H915="TO CLOSE",P915=0),-G915*(M915-R914)*IF(E915="FUTURE",VLOOKUP(MID(I915,2,2),[1]Futures!$A$2:$B$12,2),1),"")</f>
        <v/>
      </c>
    </row>
    <row r="916" spans="1:19" x14ac:dyDescent="0.2">
      <c r="A916">
        <f t="shared" si="44"/>
        <v>266</v>
      </c>
      <c r="B916" s="3">
        <v>43964</v>
      </c>
      <c r="C916" s="3" t="str">
        <f t="shared" si="43"/>
        <v>Wednesday</v>
      </c>
      <c r="D916" s="2">
        <v>0.35120370370370368</v>
      </c>
      <c r="E916" t="s">
        <v>14</v>
      </c>
      <c r="F916" t="s">
        <v>19</v>
      </c>
      <c r="G916">
        <v>1</v>
      </c>
      <c r="H916" t="s">
        <v>16</v>
      </c>
      <c r="I916" t="s">
        <v>77</v>
      </c>
      <c r="J916" s="1">
        <v>44063</v>
      </c>
      <c r="L916" t="s">
        <v>14</v>
      </c>
      <c r="M916">
        <v>27.32</v>
      </c>
      <c r="N916">
        <v>27.32</v>
      </c>
      <c r="O916" t="s">
        <v>21</v>
      </c>
      <c r="P916">
        <f t="shared" si="45"/>
        <v>0</v>
      </c>
      <c r="Q916" s="11">
        <f>IF(P916=0,0,IFERROR(Q915+G916*M916*IF(E916="FUTURE",VLOOKUP(MID(I916,2,2),[1]Futures!$A$2:$B$12,2),1),G916*M916*IF(E916="FUTURE",VLOOKUP(MID(I916,2,2),[1]Futures!$A$2:$B$12,2),1)))</f>
        <v>0</v>
      </c>
      <c r="R916" s="12" t="str">
        <f>IFERROR(Q916/P916/IF(E916="FUTURE",VLOOKUP(MID(I916,2,2),[1]Futures!$A$2:$B$12,2),1),"")</f>
        <v/>
      </c>
      <c r="S916" s="13">
        <f>IF(AND(H916="TO CLOSE",P916=0),-G916*(M916-R915)*IF(E916="FUTURE",VLOOKUP(MID(I916,2,2),[1]Futures!$A$2:$B$12,2),1),"")</f>
        <v>39.999999999999147</v>
      </c>
    </row>
    <row r="917" spans="1:19" x14ac:dyDescent="0.2">
      <c r="A917">
        <f t="shared" si="44"/>
        <v>267</v>
      </c>
      <c r="B917" s="3">
        <v>43964</v>
      </c>
      <c r="C917" s="3" t="str">
        <f t="shared" si="43"/>
        <v>Wednesday</v>
      </c>
      <c r="D917" s="2">
        <v>0.35471064814814812</v>
      </c>
      <c r="E917" t="s">
        <v>14</v>
      </c>
      <c r="F917" t="s">
        <v>19</v>
      </c>
      <c r="G917">
        <v>1</v>
      </c>
      <c r="H917" t="s">
        <v>20</v>
      </c>
      <c r="I917" t="s">
        <v>77</v>
      </c>
      <c r="J917" s="1">
        <v>44063</v>
      </c>
      <c r="L917" t="s">
        <v>14</v>
      </c>
      <c r="M917">
        <v>27.39</v>
      </c>
      <c r="N917">
        <v>27.39</v>
      </c>
      <c r="O917" t="s">
        <v>24</v>
      </c>
      <c r="P917">
        <f t="shared" si="45"/>
        <v>1</v>
      </c>
      <c r="Q917" s="11">
        <f>IF(P917=0,0,IFERROR(Q916+G917*M917*IF(E917="FUTURE",VLOOKUP(MID(I917,2,2),[1]Futures!$A$2:$B$12,2),1),G917*M917*IF(E917="FUTURE",VLOOKUP(MID(I917,2,2),[1]Futures!$A$2:$B$12,2),1)))</f>
        <v>27390</v>
      </c>
      <c r="R917" s="12">
        <f>IFERROR(Q917/P917/IF(E917="FUTURE",VLOOKUP(MID(I917,2,2),[1]Futures!$A$2:$B$12,2),1),"")</f>
        <v>27.39</v>
      </c>
      <c r="S917" s="13" t="str">
        <f>IF(AND(H917="TO CLOSE",P917=0),-G917*(M917-R916)*IF(E917="FUTURE",VLOOKUP(MID(I917,2,2),[1]Futures!$A$2:$B$12,2),1),"")</f>
        <v/>
      </c>
    </row>
    <row r="918" spans="1:19" x14ac:dyDescent="0.2">
      <c r="A918">
        <f t="shared" si="44"/>
        <v>267</v>
      </c>
      <c r="B918" s="3">
        <v>43964</v>
      </c>
      <c r="C918" s="3" t="str">
        <f t="shared" si="43"/>
        <v>Wednesday</v>
      </c>
      <c r="D918" s="2">
        <v>0.37144675925925924</v>
      </c>
      <c r="E918" t="s">
        <v>14</v>
      </c>
      <c r="F918" t="s">
        <v>15</v>
      </c>
      <c r="G918">
        <v>-1</v>
      </c>
      <c r="H918" t="s">
        <v>16</v>
      </c>
      <c r="I918" t="s">
        <v>77</v>
      </c>
      <c r="J918" s="1">
        <v>44063</v>
      </c>
      <c r="L918" t="s">
        <v>14</v>
      </c>
      <c r="M918">
        <v>27.41</v>
      </c>
      <c r="N918">
        <v>27.41</v>
      </c>
      <c r="O918" t="s">
        <v>21</v>
      </c>
      <c r="P918">
        <f t="shared" si="45"/>
        <v>0</v>
      </c>
      <c r="Q918" s="11">
        <f>IF(P918=0,0,IFERROR(Q917+G918*M918*IF(E918="FUTURE",VLOOKUP(MID(I918,2,2),[1]Futures!$A$2:$B$12,2),1),G918*M918*IF(E918="FUTURE",VLOOKUP(MID(I918,2,2),[1]Futures!$A$2:$B$12,2),1)))</f>
        <v>0</v>
      </c>
      <c r="R918" s="12" t="str">
        <f>IFERROR(Q918/P918/IF(E918="FUTURE",VLOOKUP(MID(I918,2,2),[1]Futures!$A$2:$B$12,2),1),"")</f>
        <v/>
      </c>
      <c r="S918" s="13">
        <f>IF(AND(H918="TO CLOSE",P918=0),-G918*(M918-R917)*IF(E918="FUTURE",VLOOKUP(MID(I918,2,2),[1]Futures!$A$2:$B$12,2),1),"")</f>
        <v>19.999999999999574</v>
      </c>
    </row>
    <row r="919" spans="1:19" x14ac:dyDescent="0.2">
      <c r="A919">
        <f t="shared" si="44"/>
        <v>268</v>
      </c>
      <c r="B919" s="3">
        <v>43964</v>
      </c>
      <c r="C919" s="3" t="str">
        <f t="shared" si="43"/>
        <v>Wednesday</v>
      </c>
      <c r="D919" s="2">
        <v>0.37491898148148151</v>
      </c>
      <c r="E919" t="s">
        <v>14</v>
      </c>
      <c r="F919" t="s">
        <v>15</v>
      </c>
      <c r="G919">
        <v>-1</v>
      </c>
      <c r="H919" t="s">
        <v>20</v>
      </c>
      <c r="I919" t="s">
        <v>77</v>
      </c>
      <c r="J919" s="1">
        <v>44063</v>
      </c>
      <c r="L919" t="s">
        <v>14</v>
      </c>
      <c r="M919">
        <v>27.38</v>
      </c>
      <c r="N919">
        <v>27.38</v>
      </c>
      <c r="O919" t="s">
        <v>21</v>
      </c>
      <c r="P919">
        <f t="shared" si="45"/>
        <v>-1</v>
      </c>
      <c r="Q919" s="11">
        <f>IF(P919=0,0,IFERROR(Q918+G919*M919*IF(E919="FUTURE",VLOOKUP(MID(I919,2,2),[1]Futures!$A$2:$B$12,2),1),G919*M919*IF(E919="FUTURE",VLOOKUP(MID(I919,2,2),[1]Futures!$A$2:$B$12,2),1)))</f>
        <v>-27380</v>
      </c>
      <c r="R919" s="12">
        <f>IFERROR(Q919/P919/IF(E919="FUTURE",VLOOKUP(MID(I919,2,2),[1]Futures!$A$2:$B$12,2),1),"")</f>
        <v>27.38</v>
      </c>
      <c r="S919" s="13" t="str">
        <f>IF(AND(H919="TO CLOSE",P919=0),-G919*(M919-R918)*IF(E919="FUTURE",VLOOKUP(MID(I919,2,2),[1]Futures!$A$2:$B$12,2),1),"")</f>
        <v/>
      </c>
    </row>
    <row r="920" spans="1:19" x14ac:dyDescent="0.2">
      <c r="A920">
        <f t="shared" si="44"/>
        <v>268</v>
      </c>
      <c r="B920" s="3">
        <v>43964</v>
      </c>
      <c r="C920" s="3" t="str">
        <f t="shared" si="43"/>
        <v>Wednesday</v>
      </c>
      <c r="D920" s="2">
        <v>0.37947916666666665</v>
      </c>
      <c r="E920" t="s">
        <v>14</v>
      </c>
      <c r="F920" t="s">
        <v>19</v>
      </c>
      <c r="G920">
        <v>1</v>
      </c>
      <c r="H920" t="s">
        <v>16</v>
      </c>
      <c r="I920" t="s">
        <v>77</v>
      </c>
      <c r="J920" s="1">
        <v>44063</v>
      </c>
      <c r="L920" t="s">
        <v>14</v>
      </c>
      <c r="M920">
        <v>27.35</v>
      </c>
      <c r="N920">
        <v>27.35</v>
      </c>
      <c r="O920" t="s">
        <v>21</v>
      </c>
      <c r="P920">
        <f t="shared" si="45"/>
        <v>0</v>
      </c>
      <c r="Q920" s="11">
        <f>IF(P920=0,0,IFERROR(Q919+G920*M920*IF(E920="FUTURE",VLOOKUP(MID(I920,2,2),[1]Futures!$A$2:$B$12,2),1),G920*M920*IF(E920="FUTURE",VLOOKUP(MID(I920,2,2),[1]Futures!$A$2:$B$12,2),1)))</f>
        <v>0</v>
      </c>
      <c r="R920" s="12" t="str">
        <f>IFERROR(Q920/P920/IF(E920="FUTURE",VLOOKUP(MID(I920,2,2),[1]Futures!$A$2:$B$12,2),1),"")</f>
        <v/>
      </c>
      <c r="S920" s="13">
        <f>IF(AND(H920="TO CLOSE",P920=0),-G920*(M920-R919)*IF(E920="FUTURE",VLOOKUP(MID(I920,2,2),[1]Futures!$A$2:$B$12,2),1),"")</f>
        <v>29.999999999997584</v>
      </c>
    </row>
    <row r="921" spans="1:19" x14ac:dyDescent="0.2">
      <c r="A921">
        <f t="shared" si="44"/>
        <v>269</v>
      </c>
      <c r="B921" s="3">
        <v>43964</v>
      </c>
      <c r="C921" s="3" t="str">
        <f t="shared" si="43"/>
        <v>Wednesday</v>
      </c>
      <c r="D921" s="2">
        <v>0.38240740740740736</v>
      </c>
      <c r="E921" t="s">
        <v>14</v>
      </c>
      <c r="F921" t="s">
        <v>19</v>
      </c>
      <c r="G921">
        <v>1</v>
      </c>
      <c r="H921" t="s">
        <v>20</v>
      </c>
      <c r="I921" t="s">
        <v>77</v>
      </c>
      <c r="J921" s="1">
        <v>44063</v>
      </c>
      <c r="L921" t="s">
        <v>14</v>
      </c>
      <c r="M921">
        <v>27.35</v>
      </c>
      <c r="N921">
        <v>27.35</v>
      </c>
      <c r="O921" t="s">
        <v>24</v>
      </c>
      <c r="P921">
        <f t="shared" si="45"/>
        <v>1</v>
      </c>
      <c r="Q921" s="11">
        <f>IF(P921=0,0,IFERROR(Q920+G921*M921*IF(E921="FUTURE",VLOOKUP(MID(I921,2,2),[1]Futures!$A$2:$B$12,2),1),G921*M921*IF(E921="FUTURE",VLOOKUP(MID(I921,2,2),[1]Futures!$A$2:$B$12,2),1)))</f>
        <v>27350</v>
      </c>
      <c r="R921" s="12">
        <f>IFERROR(Q921/P921/IF(E921="FUTURE",VLOOKUP(MID(I921,2,2),[1]Futures!$A$2:$B$12,2),1),"")</f>
        <v>27.35</v>
      </c>
      <c r="S921" s="13" t="str">
        <f>IF(AND(H921="TO CLOSE",P921=0),-G921*(M921-R920)*IF(E921="FUTURE",VLOOKUP(MID(I921,2,2),[1]Futures!$A$2:$B$12,2),1),"")</f>
        <v/>
      </c>
    </row>
    <row r="922" spans="1:19" x14ac:dyDescent="0.2">
      <c r="A922">
        <f t="shared" si="44"/>
        <v>269</v>
      </c>
      <c r="B922" s="3">
        <v>43964</v>
      </c>
      <c r="C922" s="3" t="str">
        <f t="shared" si="43"/>
        <v>Wednesday</v>
      </c>
      <c r="D922" s="2">
        <v>0.38780092592592591</v>
      </c>
      <c r="E922" t="s">
        <v>14</v>
      </c>
      <c r="F922" t="s">
        <v>15</v>
      </c>
      <c r="G922">
        <v>-1</v>
      </c>
      <c r="H922" t="s">
        <v>16</v>
      </c>
      <c r="I922" t="s">
        <v>77</v>
      </c>
      <c r="J922" s="1">
        <v>44063</v>
      </c>
      <c r="L922" t="s">
        <v>14</v>
      </c>
      <c r="M922">
        <v>27.39</v>
      </c>
      <c r="N922">
        <v>27.39</v>
      </c>
      <c r="O922" t="s">
        <v>21</v>
      </c>
      <c r="P922">
        <f t="shared" si="45"/>
        <v>0</v>
      </c>
      <c r="Q922" s="11">
        <f>IF(P922=0,0,IFERROR(Q921+G922*M922*IF(E922="FUTURE",VLOOKUP(MID(I922,2,2),[1]Futures!$A$2:$B$12,2),1),G922*M922*IF(E922="FUTURE",VLOOKUP(MID(I922,2,2),[1]Futures!$A$2:$B$12,2),1)))</f>
        <v>0</v>
      </c>
      <c r="R922" s="12" t="str">
        <f>IFERROR(Q922/P922/IF(E922="FUTURE",VLOOKUP(MID(I922,2,2),[1]Futures!$A$2:$B$12,2),1),"")</f>
        <v/>
      </c>
      <c r="S922" s="13">
        <f>IF(AND(H922="TO CLOSE",P922=0),-G922*(M922-R921)*IF(E922="FUTURE",VLOOKUP(MID(I922,2,2),[1]Futures!$A$2:$B$12,2),1),"")</f>
        <v>39.999999999999147</v>
      </c>
    </row>
    <row r="923" spans="1:19" x14ac:dyDescent="0.2">
      <c r="A923">
        <f t="shared" si="44"/>
        <v>270</v>
      </c>
      <c r="B923" s="3">
        <v>43964</v>
      </c>
      <c r="C923" s="3" t="str">
        <f t="shared" si="43"/>
        <v>Wednesday</v>
      </c>
      <c r="D923" s="2">
        <v>0.38938657407407407</v>
      </c>
      <c r="E923" t="s">
        <v>14</v>
      </c>
      <c r="F923" t="s">
        <v>19</v>
      </c>
      <c r="G923">
        <v>1</v>
      </c>
      <c r="H923" t="s">
        <v>20</v>
      </c>
      <c r="I923" t="s">
        <v>77</v>
      </c>
      <c r="J923" s="1">
        <v>44063</v>
      </c>
      <c r="L923" t="s">
        <v>14</v>
      </c>
      <c r="M923">
        <v>27.48</v>
      </c>
      <c r="N923">
        <v>27.48</v>
      </c>
      <c r="O923" t="s">
        <v>21</v>
      </c>
      <c r="P923">
        <f t="shared" si="45"/>
        <v>1</v>
      </c>
      <c r="Q923" s="11">
        <f>IF(P923=0,0,IFERROR(Q922+G923*M923*IF(E923="FUTURE",VLOOKUP(MID(I923,2,2),[1]Futures!$A$2:$B$12,2),1),G923*M923*IF(E923="FUTURE",VLOOKUP(MID(I923,2,2),[1]Futures!$A$2:$B$12,2),1)))</f>
        <v>27480</v>
      </c>
      <c r="R923" s="12">
        <f>IFERROR(Q923/P923/IF(E923="FUTURE",VLOOKUP(MID(I923,2,2),[1]Futures!$A$2:$B$12,2),1),"")</f>
        <v>27.48</v>
      </c>
      <c r="S923" s="13" t="str">
        <f>IF(AND(H923="TO CLOSE",P923=0),-G923*(M923-R922)*IF(E923="FUTURE",VLOOKUP(MID(I923,2,2),[1]Futures!$A$2:$B$12,2),1),"")</f>
        <v/>
      </c>
    </row>
    <row r="924" spans="1:19" x14ac:dyDescent="0.2">
      <c r="A924">
        <f t="shared" si="44"/>
        <v>270</v>
      </c>
      <c r="B924" s="3">
        <v>43964</v>
      </c>
      <c r="C924" s="3" t="str">
        <f t="shared" si="43"/>
        <v>Wednesday</v>
      </c>
      <c r="D924" s="2">
        <v>0.40090277777777777</v>
      </c>
      <c r="E924" t="s">
        <v>14</v>
      </c>
      <c r="F924" t="s">
        <v>15</v>
      </c>
      <c r="G924">
        <v>-1</v>
      </c>
      <c r="H924" t="s">
        <v>16</v>
      </c>
      <c r="I924" t="s">
        <v>77</v>
      </c>
      <c r="J924" s="1">
        <v>44063</v>
      </c>
      <c r="L924" t="s">
        <v>14</v>
      </c>
      <c r="M924">
        <v>27.18</v>
      </c>
      <c r="N924">
        <v>27.18</v>
      </c>
      <c r="O924" t="s">
        <v>24</v>
      </c>
      <c r="P924">
        <f t="shared" si="45"/>
        <v>0</v>
      </c>
      <c r="Q924" s="11">
        <f>IF(P924=0,0,IFERROR(Q923+G924*M924*IF(E924="FUTURE",VLOOKUP(MID(I924,2,2),[1]Futures!$A$2:$B$12,2),1),G924*M924*IF(E924="FUTURE",VLOOKUP(MID(I924,2,2),[1]Futures!$A$2:$B$12,2),1)))</f>
        <v>0</v>
      </c>
      <c r="R924" s="12" t="str">
        <f>IFERROR(Q924/P924/IF(E924="FUTURE",VLOOKUP(MID(I924,2,2),[1]Futures!$A$2:$B$12,2),1),"")</f>
        <v/>
      </c>
      <c r="S924" s="13">
        <f>IF(AND(H924="TO CLOSE",P924=0),-G924*(M924-R923)*IF(E924="FUTURE",VLOOKUP(MID(I924,2,2),[1]Futures!$A$2:$B$12,2),1),"")</f>
        <v>-300.00000000000068</v>
      </c>
    </row>
    <row r="925" spans="1:19" x14ac:dyDescent="0.2">
      <c r="A925">
        <f t="shared" si="44"/>
        <v>271</v>
      </c>
      <c r="B925" s="3">
        <v>43964</v>
      </c>
      <c r="C925" s="3" t="str">
        <f t="shared" si="43"/>
        <v>Wednesday</v>
      </c>
      <c r="D925" s="2">
        <v>0.40800925925925924</v>
      </c>
      <c r="E925" t="s">
        <v>14</v>
      </c>
      <c r="F925" t="s">
        <v>19</v>
      </c>
      <c r="G925">
        <v>1</v>
      </c>
      <c r="H925" t="s">
        <v>20</v>
      </c>
      <c r="I925" t="s">
        <v>77</v>
      </c>
      <c r="J925" s="1">
        <v>44063</v>
      </c>
      <c r="L925" t="s">
        <v>14</v>
      </c>
      <c r="M925">
        <v>27.28</v>
      </c>
      <c r="N925">
        <v>27.28</v>
      </c>
      <c r="O925" t="s">
        <v>24</v>
      </c>
      <c r="P925">
        <f t="shared" si="45"/>
        <v>1</v>
      </c>
      <c r="Q925" s="11">
        <f>IF(P925=0,0,IFERROR(Q924+G925*M925*IF(E925="FUTURE",VLOOKUP(MID(I925,2,2),[1]Futures!$A$2:$B$12,2),1),G925*M925*IF(E925="FUTURE",VLOOKUP(MID(I925,2,2),[1]Futures!$A$2:$B$12,2),1)))</f>
        <v>27280</v>
      </c>
      <c r="R925" s="12">
        <f>IFERROR(Q925/P925/IF(E925="FUTURE",VLOOKUP(MID(I925,2,2),[1]Futures!$A$2:$B$12,2),1),"")</f>
        <v>27.28</v>
      </c>
      <c r="S925" s="13" t="str">
        <f>IF(AND(H925="TO CLOSE",P925=0),-G925*(M925-R924)*IF(E925="FUTURE",VLOOKUP(MID(I925,2,2),[1]Futures!$A$2:$B$12,2),1),"")</f>
        <v/>
      </c>
    </row>
    <row r="926" spans="1:19" x14ac:dyDescent="0.2">
      <c r="A926">
        <f t="shared" si="44"/>
        <v>271</v>
      </c>
      <c r="B926" s="3">
        <v>43964</v>
      </c>
      <c r="C926" s="3" t="str">
        <f t="shared" si="43"/>
        <v>Wednesday</v>
      </c>
      <c r="D926" s="2">
        <v>0.41106481481481483</v>
      </c>
      <c r="E926" t="s">
        <v>14</v>
      </c>
      <c r="F926" t="s">
        <v>15</v>
      </c>
      <c r="G926">
        <v>-1</v>
      </c>
      <c r="H926" t="s">
        <v>16</v>
      </c>
      <c r="I926" t="s">
        <v>77</v>
      </c>
      <c r="J926" s="1">
        <v>44063</v>
      </c>
      <c r="L926" t="s">
        <v>14</v>
      </c>
      <c r="M926">
        <v>27.15</v>
      </c>
      <c r="N926">
        <v>27.15</v>
      </c>
      <c r="O926" t="s">
        <v>18</v>
      </c>
      <c r="P926">
        <f t="shared" si="45"/>
        <v>0</v>
      </c>
      <c r="Q926" s="11">
        <f>IF(P926=0,0,IFERROR(Q925+G926*M926*IF(E926="FUTURE",VLOOKUP(MID(I926,2,2),[1]Futures!$A$2:$B$12,2),1),G926*M926*IF(E926="FUTURE",VLOOKUP(MID(I926,2,2),[1]Futures!$A$2:$B$12,2),1)))</f>
        <v>0</v>
      </c>
      <c r="R926" s="12" t="str">
        <f>IFERROR(Q926/P926/IF(E926="FUTURE",VLOOKUP(MID(I926,2,2),[1]Futures!$A$2:$B$12,2),1),"")</f>
        <v/>
      </c>
      <c r="S926" s="13">
        <f>IF(AND(H926="TO CLOSE",P926=0),-G926*(M926-R925)*IF(E926="FUTURE",VLOOKUP(MID(I926,2,2),[1]Futures!$A$2:$B$12,2),1),"")</f>
        <v>-130.00000000000256</v>
      </c>
    </row>
    <row r="927" spans="1:19" x14ac:dyDescent="0.2">
      <c r="A927">
        <f t="shared" si="44"/>
        <v>272</v>
      </c>
      <c r="B927" s="3">
        <v>43964</v>
      </c>
      <c r="C927" s="3" t="str">
        <f t="shared" si="43"/>
        <v>Wednesday</v>
      </c>
      <c r="D927" s="2">
        <v>0.41278935185185189</v>
      </c>
      <c r="E927" t="s">
        <v>14</v>
      </c>
      <c r="F927" t="s">
        <v>15</v>
      </c>
      <c r="G927">
        <v>-1</v>
      </c>
      <c r="H927" t="s">
        <v>20</v>
      </c>
      <c r="I927" t="s">
        <v>77</v>
      </c>
      <c r="J927" s="1">
        <v>44063</v>
      </c>
      <c r="L927" t="s">
        <v>14</v>
      </c>
      <c r="M927">
        <v>27.12</v>
      </c>
      <c r="N927">
        <v>27.12</v>
      </c>
      <c r="O927" t="s">
        <v>21</v>
      </c>
      <c r="P927">
        <f t="shared" si="45"/>
        <v>-1</v>
      </c>
      <c r="Q927" s="11">
        <f>IF(P927=0,0,IFERROR(Q926+G927*M927*IF(E927="FUTURE",VLOOKUP(MID(I927,2,2),[1]Futures!$A$2:$B$12,2),1),G927*M927*IF(E927="FUTURE",VLOOKUP(MID(I927,2,2),[1]Futures!$A$2:$B$12,2),1)))</f>
        <v>-27120</v>
      </c>
      <c r="R927" s="12">
        <f>IFERROR(Q927/P927/IF(E927="FUTURE",VLOOKUP(MID(I927,2,2),[1]Futures!$A$2:$B$12,2),1),"")</f>
        <v>27.12</v>
      </c>
      <c r="S927" s="13" t="str">
        <f>IF(AND(H927="TO CLOSE",P927=0),-G927*(M927-R926)*IF(E927="FUTURE",VLOOKUP(MID(I927,2,2),[1]Futures!$A$2:$B$12,2),1),"")</f>
        <v/>
      </c>
    </row>
    <row r="928" spans="1:19" x14ac:dyDescent="0.2">
      <c r="A928">
        <f t="shared" si="44"/>
        <v>272</v>
      </c>
      <c r="B928" s="3">
        <v>43964</v>
      </c>
      <c r="C928" s="3" t="str">
        <f t="shared" si="43"/>
        <v>Wednesday</v>
      </c>
      <c r="D928" s="2">
        <v>0.42974537037037036</v>
      </c>
      <c r="E928" t="s">
        <v>14</v>
      </c>
      <c r="F928" t="s">
        <v>19</v>
      </c>
      <c r="G928">
        <v>1</v>
      </c>
      <c r="H928" t="s">
        <v>16</v>
      </c>
      <c r="I928" t="s">
        <v>77</v>
      </c>
      <c r="J928" s="1">
        <v>44063</v>
      </c>
      <c r="L928" t="s">
        <v>14</v>
      </c>
      <c r="M928">
        <v>27.02</v>
      </c>
      <c r="N928">
        <v>27.02</v>
      </c>
      <c r="O928" t="s">
        <v>21</v>
      </c>
      <c r="P928">
        <f t="shared" si="45"/>
        <v>0</v>
      </c>
      <c r="Q928" s="11">
        <f>IF(P928=0,0,IFERROR(Q927+G928*M928*IF(E928="FUTURE",VLOOKUP(MID(I928,2,2),[1]Futures!$A$2:$B$12,2),1),G928*M928*IF(E928="FUTURE",VLOOKUP(MID(I928,2,2),[1]Futures!$A$2:$B$12,2),1)))</f>
        <v>0</v>
      </c>
      <c r="R928" s="12" t="str">
        <f>IFERROR(Q928/P928/IF(E928="FUTURE",VLOOKUP(MID(I928,2,2),[1]Futures!$A$2:$B$12,2),1),"")</f>
        <v/>
      </c>
      <c r="S928" s="13">
        <f>IF(AND(H928="TO CLOSE",P928=0),-G928*(M928-R927)*IF(E928="FUTURE",VLOOKUP(MID(I928,2,2),[1]Futures!$A$2:$B$12,2),1),"")</f>
        <v>100.00000000000142</v>
      </c>
    </row>
    <row r="929" spans="1:19" x14ac:dyDescent="0.2">
      <c r="A929">
        <f t="shared" si="44"/>
        <v>273</v>
      </c>
      <c r="B929" s="3">
        <v>43964</v>
      </c>
      <c r="C929" s="3" t="str">
        <f t="shared" si="43"/>
        <v>Wednesday</v>
      </c>
      <c r="D929" s="2">
        <v>0.43760416666666663</v>
      </c>
      <c r="E929" t="s">
        <v>14</v>
      </c>
      <c r="F929" t="s">
        <v>15</v>
      </c>
      <c r="G929">
        <v>-1</v>
      </c>
      <c r="H929" t="s">
        <v>20</v>
      </c>
      <c r="I929" t="s">
        <v>77</v>
      </c>
      <c r="J929" s="1">
        <v>44063</v>
      </c>
      <c r="L929" t="s">
        <v>14</v>
      </c>
      <c r="M929">
        <v>27.37</v>
      </c>
      <c r="N929">
        <v>27.37</v>
      </c>
      <c r="O929" t="s">
        <v>24</v>
      </c>
      <c r="P929">
        <f t="shared" si="45"/>
        <v>-1</v>
      </c>
      <c r="Q929" s="11">
        <f>IF(P929=0,0,IFERROR(Q928+G929*M929*IF(E929="FUTURE",VLOOKUP(MID(I929,2,2),[1]Futures!$A$2:$B$12,2),1),G929*M929*IF(E929="FUTURE",VLOOKUP(MID(I929,2,2),[1]Futures!$A$2:$B$12,2),1)))</f>
        <v>-27370</v>
      </c>
      <c r="R929" s="12">
        <f>IFERROR(Q929/P929/IF(E929="FUTURE",VLOOKUP(MID(I929,2,2),[1]Futures!$A$2:$B$12,2),1),"")</f>
        <v>27.37</v>
      </c>
      <c r="S929" s="13" t="str">
        <f>IF(AND(H929="TO CLOSE",P929=0),-G929*(M929-R928)*IF(E929="FUTURE",VLOOKUP(MID(I929,2,2),[1]Futures!$A$2:$B$12,2),1),"")</f>
        <v/>
      </c>
    </row>
    <row r="930" spans="1:19" x14ac:dyDescent="0.2">
      <c r="A930">
        <f t="shared" si="44"/>
        <v>273</v>
      </c>
      <c r="B930" s="3">
        <v>43964</v>
      </c>
      <c r="C930" s="3" t="str">
        <f t="shared" si="43"/>
        <v>Wednesday</v>
      </c>
      <c r="D930" s="2">
        <v>0.43857638888888889</v>
      </c>
      <c r="E930" t="s">
        <v>14</v>
      </c>
      <c r="F930" t="s">
        <v>19</v>
      </c>
      <c r="G930">
        <v>1</v>
      </c>
      <c r="H930" t="s">
        <v>16</v>
      </c>
      <c r="I930" t="s">
        <v>77</v>
      </c>
      <c r="J930" s="1">
        <v>44063</v>
      </c>
      <c r="L930" t="s">
        <v>14</v>
      </c>
      <c r="M930">
        <v>27.63</v>
      </c>
      <c r="N930">
        <v>27.63</v>
      </c>
      <c r="O930" t="s">
        <v>18</v>
      </c>
      <c r="P930">
        <f t="shared" si="45"/>
        <v>0</v>
      </c>
      <c r="Q930" s="11">
        <f>IF(P930=0,0,IFERROR(Q929+G930*M930*IF(E930="FUTURE",VLOOKUP(MID(I930,2,2),[1]Futures!$A$2:$B$12,2),1),G930*M930*IF(E930="FUTURE",VLOOKUP(MID(I930,2,2),[1]Futures!$A$2:$B$12,2),1)))</f>
        <v>0</v>
      </c>
      <c r="R930" s="12" t="str">
        <f>IFERROR(Q930/P930/IF(E930="FUTURE",VLOOKUP(MID(I930,2,2),[1]Futures!$A$2:$B$12,2),1),"")</f>
        <v/>
      </c>
      <c r="S930" s="13">
        <f>IF(AND(H930="TO CLOSE",P930=0),-G930*(M930-R929)*IF(E930="FUTURE",VLOOKUP(MID(I930,2,2),[1]Futures!$A$2:$B$12,2),1),"")</f>
        <v>-259.99999999999801</v>
      </c>
    </row>
    <row r="931" spans="1:19" x14ac:dyDescent="0.2">
      <c r="A931">
        <f t="shared" si="44"/>
        <v>274</v>
      </c>
      <c r="B931" s="3">
        <v>43964</v>
      </c>
      <c r="C931" s="3" t="str">
        <f t="shared" si="43"/>
        <v>Wednesday</v>
      </c>
      <c r="D931" s="2">
        <v>0.44116898148148148</v>
      </c>
      <c r="E931" t="s">
        <v>14</v>
      </c>
      <c r="F931" t="s">
        <v>15</v>
      </c>
      <c r="G931">
        <v>-1</v>
      </c>
      <c r="H931" t="s">
        <v>20</v>
      </c>
      <c r="I931" t="s">
        <v>77</v>
      </c>
      <c r="J931" s="1">
        <v>44063</v>
      </c>
      <c r="L931" t="s">
        <v>14</v>
      </c>
      <c r="M931">
        <v>27.72</v>
      </c>
      <c r="N931">
        <v>27.72</v>
      </c>
      <c r="O931" t="s">
        <v>21</v>
      </c>
      <c r="P931">
        <f t="shared" si="45"/>
        <v>-1</v>
      </c>
      <c r="Q931" s="11">
        <f>IF(P931=0,0,IFERROR(Q930+G931*M931*IF(E931="FUTURE",VLOOKUP(MID(I931,2,2),[1]Futures!$A$2:$B$12,2),1),G931*M931*IF(E931="FUTURE",VLOOKUP(MID(I931,2,2),[1]Futures!$A$2:$B$12,2),1)))</f>
        <v>-27720</v>
      </c>
      <c r="R931" s="12">
        <f>IFERROR(Q931/P931/IF(E931="FUTURE",VLOOKUP(MID(I931,2,2),[1]Futures!$A$2:$B$12,2),1),"")</f>
        <v>27.72</v>
      </c>
      <c r="S931" s="13" t="str">
        <f>IF(AND(H931="TO CLOSE",P931=0),-G931*(M931-R930)*IF(E931="FUTURE",VLOOKUP(MID(I931,2,2),[1]Futures!$A$2:$B$12,2),1),"")</f>
        <v/>
      </c>
    </row>
    <row r="932" spans="1:19" x14ac:dyDescent="0.2">
      <c r="A932">
        <f t="shared" si="44"/>
        <v>274</v>
      </c>
      <c r="B932" s="3">
        <v>43964</v>
      </c>
      <c r="C932" s="3" t="str">
        <f t="shared" si="43"/>
        <v>Wednesday</v>
      </c>
      <c r="D932" s="2">
        <v>0.45001157407407405</v>
      </c>
      <c r="E932" t="s">
        <v>14</v>
      </c>
      <c r="F932" t="s">
        <v>19</v>
      </c>
      <c r="G932">
        <v>1</v>
      </c>
      <c r="H932" t="s">
        <v>16</v>
      </c>
      <c r="I932" t="s">
        <v>77</v>
      </c>
      <c r="J932" s="1">
        <v>44063</v>
      </c>
      <c r="L932" t="s">
        <v>14</v>
      </c>
      <c r="M932">
        <v>27.2</v>
      </c>
      <c r="N932">
        <v>27.2</v>
      </c>
      <c r="O932" t="s">
        <v>21</v>
      </c>
      <c r="P932">
        <f t="shared" si="45"/>
        <v>0</v>
      </c>
      <c r="Q932" s="11">
        <f>IF(P932=0,0,IFERROR(Q931+G932*M932*IF(E932="FUTURE",VLOOKUP(MID(I932,2,2),[1]Futures!$A$2:$B$12,2),1),G932*M932*IF(E932="FUTURE",VLOOKUP(MID(I932,2,2),[1]Futures!$A$2:$B$12,2),1)))</f>
        <v>0</v>
      </c>
      <c r="R932" s="12" t="str">
        <f>IFERROR(Q932/P932/IF(E932="FUTURE",VLOOKUP(MID(I932,2,2),[1]Futures!$A$2:$B$12,2),1),"")</f>
        <v/>
      </c>
      <c r="S932" s="13">
        <f>IF(AND(H932="TO CLOSE",P932=0),-G932*(M932-R931)*IF(E932="FUTURE",VLOOKUP(MID(I932,2,2),[1]Futures!$A$2:$B$12,2),1),"")</f>
        <v>519.99999999999955</v>
      </c>
    </row>
    <row r="933" spans="1:19" x14ac:dyDescent="0.2">
      <c r="A933">
        <f t="shared" si="44"/>
        <v>275</v>
      </c>
      <c r="B933" s="3">
        <v>43964</v>
      </c>
      <c r="C933" s="3" t="str">
        <f t="shared" si="43"/>
        <v>Wednesday</v>
      </c>
      <c r="D933" s="2">
        <v>0.45557870370370374</v>
      </c>
      <c r="E933" t="s">
        <v>14</v>
      </c>
      <c r="F933" t="s">
        <v>15</v>
      </c>
      <c r="G933">
        <v>-1</v>
      </c>
      <c r="H933" t="s">
        <v>20</v>
      </c>
      <c r="I933" t="s">
        <v>77</v>
      </c>
      <c r="J933" s="1">
        <v>44063</v>
      </c>
      <c r="L933" t="s">
        <v>14</v>
      </c>
      <c r="M933">
        <v>27.13</v>
      </c>
      <c r="N933">
        <v>27.13</v>
      </c>
      <c r="O933" t="s">
        <v>21</v>
      </c>
      <c r="P933">
        <f t="shared" si="45"/>
        <v>-1</v>
      </c>
      <c r="Q933" s="11">
        <f>IF(P933=0,0,IFERROR(Q932+G933*M933*IF(E933="FUTURE",VLOOKUP(MID(I933,2,2),[1]Futures!$A$2:$B$12,2),1),G933*M933*IF(E933="FUTURE",VLOOKUP(MID(I933,2,2),[1]Futures!$A$2:$B$12,2),1)))</f>
        <v>-27130</v>
      </c>
      <c r="R933" s="12">
        <f>IFERROR(Q933/P933/IF(E933="FUTURE",VLOOKUP(MID(I933,2,2),[1]Futures!$A$2:$B$12,2),1),"")</f>
        <v>27.13</v>
      </c>
      <c r="S933" s="13" t="str">
        <f>IF(AND(H933="TO CLOSE",P933=0),-G933*(M933-R932)*IF(E933="FUTURE",VLOOKUP(MID(I933,2,2),[1]Futures!$A$2:$B$12,2),1),"")</f>
        <v/>
      </c>
    </row>
    <row r="934" spans="1:19" x14ac:dyDescent="0.2">
      <c r="A934">
        <f t="shared" si="44"/>
        <v>275</v>
      </c>
      <c r="B934" s="3">
        <v>43964</v>
      </c>
      <c r="C934" s="3" t="str">
        <f t="shared" si="43"/>
        <v>Wednesday</v>
      </c>
      <c r="D934" s="2">
        <v>0.45954861111111112</v>
      </c>
      <c r="E934" t="s">
        <v>14</v>
      </c>
      <c r="F934" t="s">
        <v>19</v>
      </c>
      <c r="G934">
        <v>1</v>
      </c>
      <c r="H934" t="s">
        <v>16</v>
      </c>
      <c r="I934" t="s">
        <v>77</v>
      </c>
      <c r="J934" s="1">
        <v>44063</v>
      </c>
      <c r="L934" t="s">
        <v>14</v>
      </c>
      <c r="M934">
        <v>26.84</v>
      </c>
      <c r="N934">
        <v>26.84</v>
      </c>
      <c r="O934" t="s">
        <v>24</v>
      </c>
      <c r="P934">
        <f t="shared" si="45"/>
        <v>0</v>
      </c>
      <c r="Q934" s="11">
        <f>IF(P934=0,0,IFERROR(Q933+G934*M934*IF(E934="FUTURE",VLOOKUP(MID(I934,2,2),[1]Futures!$A$2:$B$12,2),1),G934*M934*IF(E934="FUTURE",VLOOKUP(MID(I934,2,2),[1]Futures!$A$2:$B$12,2),1)))</f>
        <v>0</v>
      </c>
      <c r="R934" s="12" t="str">
        <f>IFERROR(Q934/P934/IF(E934="FUTURE",VLOOKUP(MID(I934,2,2),[1]Futures!$A$2:$B$12,2),1),"")</f>
        <v/>
      </c>
      <c r="S934" s="13">
        <f>IF(AND(H934="TO CLOSE",P934=0),-G934*(M934-R933)*IF(E934="FUTURE",VLOOKUP(MID(I934,2,2),[1]Futures!$A$2:$B$12,2),1),"")</f>
        <v>289.99999999999915</v>
      </c>
    </row>
    <row r="935" spans="1:19" x14ac:dyDescent="0.2">
      <c r="A935">
        <f t="shared" si="44"/>
        <v>276</v>
      </c>
      <c r="B935" s="3">
        <v>43964</v>
      </c>
      <c r="C935" s="3" t="str">
        <f t="shared" si="43"/>
        <v>Wednesday</v>
      </c>
      <c r="D935" s="2">
        <v>0.46883101851851849</v>
      </c>
      <c r="E935" t="s">
        <v>14</v>
      </c>
      <c r="F935" t="s">
        <v>19</v>
      </c>
      <c r="G935">
        <v>1</v>
      </c>
      <c r="H935" t="s">
        <v>20</v>
      </c>
      <c r="I935" t="s">
        <v>77</v>
      </c>
      <c r="J935" s="1">
        <v>44063</v>
      </c>
      <c r="L935" t="s">
        <v>14</v>
      </c>
      <c r="M935">
        <v>26.93</v>
      </c>
      <c r="N935">
        <v>26.93</v>
      </c>
      <c r="O935" t="s">
        <v>21</v>
      </c>
      <c r="P935">
        <f t="shared" si="45"/>
        <v>1</v>
      </c>
      <c r="Q935" s="11">
        <f>IF(P935=0,0,IFERROR(Q934+G935*M935*IF(E935="FUTURE",VLOOKUP(MID(I935,2,2),[1]Futures!$A$2:$B$12,2),1),G935*M935*IF(E935="FUTURE",VLOOKUP(MID(I935,2,2),[1]Futures!$A$2:$B$12,2),1)))</f>
        <v>26930</v>
      </c>
      <c r="R935" s="12">
        <f>IFERROR(Q935/P935/IF(E935="FUTURE",VLOOKUP(MID(I935,2,2),[1]Futures!$A$2:$B$12,2),1),"")</f>
        <v>26.93</v>
      </c>
      <c r="S935" s="13" t="str">
        <f>IF(AND(H935="TO CLOSE",P935=0),-G935*(M935-R934)*IF(E935="FUTURE",VLOOKUP(MID(I935,2,2),[1]Futures!$A$2:$B$12,2),1),"")</f>
        <v/>
      </c>
    </row>
    <row r="936" spans="1:19" x14ac:dyDescent="0.2">
      <c r="A936">
        <f t="shared" si="44"/>
        <v>276</v>
      </c>
      <c r="B936" s="3">
        <v>43964</v>
      </c>
      <c r="C936" s="3" t="str">
        <f t="shared" si="43"/>
        <v>Wednesday</v>
      </c>
      <c r="D936" s="2">
        <v>0.47064814814814815</v>
      </c>
      <c r="E936" t="s">
        <v>14</v>
      </c>
      <c r="F936" t="s">
        <v>15</v>
      </c>
      <c r="G936">
        <v>-1</v>
      </c>
      <c r="H936" t="s">
        <v>16</v>
      </c>
      <c r="I936" t="s">
        <v>77</v>
      </c>
      <c r="J936" s="1">
        <v>44063</v>
      </c>
      <c r="L936" t="s">
        <v>14</v>
      </c>
      <c r="M936">
        <v>27.08</v>
      </c>
      <c r="N936">
        <v>27.08</v>
      </c>
      <c r="O936" t="s">
        <v>21</v>
      </c>
      <c r="P936">
        <f t="shared" si="45"/>
        <v>0</v>
      </c>
      <c r="Q936" s="11">
        <f>IF(P936=0,0,IFERROR(Q935+G936*M936*IF(E936="FUTURE",VLOOKUP(MID(I936,2,2),[1]Futures!$A$2:$B$12,2),1),G936*M936*IF(E936="FUTURE",VLOOKUP(MID(I936,2,2),[1]Futures!$A$2:$B$12,2),1)))</f>
        <v>0</v>
      </c>
      <c r="R936" s="12" t="str">
        <f>IFERROR(Q936/P936/IF(E936="FUTURE",VLOOKUP(MID(I936,2,2),[1]Futures!$A$2:$B$12,2),1),"")</f>
        <v/>
      </c>
      <c r="S936" s="13">
        <f>IF(AND(H936="TO CLOSE",P936=0),-G936*(M936-R935)*IF(E936="FUTURE",VLOOKUP(MID(I936,2,2),[1]Futures!$A$2:$B$12,2),1),"")</f>
        <v>149.99999999999858</v>
      </c>
    </row>
    <row r="937" spans="1:19" x14ac:dyDescent="0.2">
      <c r="A937">
        <f t="shared" si="44"/>
        <v>277</v>
      </c>
      <c r="B937" s="3">
        <v>43964</v>
      </c>
      <c r="C937" s="3" t="str">
        <f t="shared" si="43"/>
        <v>Wednesday</v>
      </c>
      <c r="D937" s="2">
        <v>0.34644675925925927</v>
      </c>
      <c r="E937" t="s">
        <v>14</v>
      </c>
      <c r="F937" t="s">
        <v>15</v>
      </c>
      <c r="G937">
        <v>-1</v>
      </c>
      <c r="H937" t="s">
        <v>20</v>
      </c>
      <c r="I937" t="s">
        <v>17</v>
      </c>
      <c r="J937" s="1">
        <v>44002</v>
      </c>
      <c r="L937" t="s">
        <v>14</v>
      </c>
      <c r="M937">
        <v>2872.5</v>
      </c>
      <c r="N937">
        <v>2872.5</v>
      </c>
      <c r="O937" t="s">
        <v>21</v>
      </c>
      <c r="P937">
        <f t="shared" si="45"/>
        <v>-1</v>
      </c>
      <c r="Q937" s="11">
        <f>IF(P937=0,0,IFERROR(Q936+G937*M937*IF(E937="FUTURE",VLOOKUP(MID(I937,2,2),[1]Futures!$A$2:$B$12,2),1),G937*M937*IF(E937="FUTURE",VLOOKUP(MID(I937,2,2),[1]Futures!$A$2:$B$12,2),1)))</f>
        <v>-143625</v>
      </c>
      <c r="R937" s="12">
        <f>IFERROR(Q937/P937/IF(E937="FUTURE",VLOOKUP(MID(I937,2,2),[1]Futures!$A$2:$B$12,2),1),"")</f>
        <v>2872.5</v>
      </c>
      <c r="S937" s="13" t="str">
        <f>IF(AND(H937="TO CLOSE",P937=0),-G937*(M937-R936)*IF(E937="FUTURE",VLOOKUP(MID(I937,2,2),[1]Futures!$A$2:$B$12,2),1),"")</f>
        <v/>
      </c>
    </row>
    <row r="938" spans="1:19" x14ac:dyDescent="0.2">
      <c r="A938">
        <f t="shared" si="44"/>
        <v>277</v>
      </c>
      <c r="B938" s="3">
        <v>43964</v>
      </c>
      <c r="C938" s="3" t="str">
        <f t="shared" si="43"/>
        <v>Wednesday</v>
      </c>
      <c r="D938" s="2">
        <v>0.35048611111111111</v>
      </c>
      <c r="E938" t="s">
        <v>14</v>
      </c>
      <c r="F938" t="s">
        <v>19</v>
      </c>
      <c r="G938">
        <v>1</v>
      </c>
      <c r="H938" t="s">
        <v>16</v>
      </c>
      <c r="I938" t="s">
        <v>17</v>
      </c>
      <c r="J938" s="1">
        <v>44002</v>
      </c>
      <c r="L938" t="s">
        <v>14</v>
      </c>
      <c r="M938">
        <v>2871.5</v>
      </c>
      <c r="N938">
        <v>2871.5</v>
      </c>
      <c r="O938" t="s">
        <v>21</v>
      </c>
      <c r="P938">
        <f t="shared" si="45"/>
        <v>0</v>
      </c>
      <c r="Q938" s="11">
        <f>IF(P938=0,0,IFERROR(Q937+G938*M938*IF(E938="FUTURE",VLOOKUP(MID(I938,2,2),[1]Futures!$A$2:$B$12,2),1),G938*M938*IF(E938="FUTURE",VLOOKUP(MID(I938,2,2),[1]Futures!$A$2:$B$12,2),1)))</f>
        <v>0</v>
      </c>
      <c r="R938" s="12" t="str">
        <f>IFERROR(Q938/P938/IF(E938="FUTURE",VLOOKUP(MID(I938,2,2),[1]Futures!$A$2:$B$12,2),1),"")</f>
        <v/>
      </c>
      <c r="S938" s="13">
        <f>IF(AND(H938="TO CLOSE",P938=0),-G938*(M938-R937)*IF(E938="FUTURE",VLOOKUP(MID(I938,2,2),[1]Futures!$A$2:$B$12,2),1),"")</f>
        <v>50</v>
      </c>
    </row>
    <row r="939" spans="1:19" x14ac:dyDescent="0.2">
      <c r="A939">
        <f t="shared" si="44"/>
        <v>278</v>
      </c>
      <c r="B939" s="3">
        <v>43964</v>
      </c>
      <c r="C939" s="3" t="str">
        <f t="shared" si="43"/>
        <v>Wednesday</v>
      </c>
      <c r="D939" s="2">
        <v>0.40163194444444444</v>
      </c>
      <c r="E939" t="s">
        <v>14</v>
      </c>
      <c r="F939" t="s">
        <v>19</v>
      </c>
      <c r="G939">
        <v>1</v>
      </c>
      <c r="H939" t="s">
        <v>20</v>
      </c>
      <c r="I939" t="s">
        <v>17</v>
      </c>
      <c r="J939" s="1">
        <v>44002</v>
      </c>
      <c r="L939" t="s">
        <v>14</v>
      </c>
      <c r="M939">
        <v>2839.75</v>
      </c>
      <c r="N939">
        <v>2839.75</v>
      </c>
      <c r="O939" t="s">
        <v>24</v>
      </c>
      <c r="P939">
        <f t="shared" si="45"/>
        <v>1</v>
      </c>
      <c r="Q939" s="11">
        <f>IF(P939=0,0,IFERROR(Q938+G939*M939*IF(E939="FUTURE",VLOOKUP(MID(I939,2,2),[1]Futures!$A$2:$B$12,2),1),G939*M939*IF(E939="FUTURE",VLOOKUP(MID(I939,2,2),[1]Futures!$A$2:$B$12,2),1)))</f>
        <v>141987.5</v>
      </c>
      <c r="R939" s="12">
        <f>IFERROR(Q939/P939/IF(E939="FUTURE",VLOOKUP(MID(I939,2,2),[1]Futures!$A$2:$B$12,2),1),"")</f>
        <v>2839.75</v>
      </c>
      <c r="S939" s="13" t="str">
        <f>IF(AND(H939="TO CLOSE",P939=0),-G939*(M939-R938)*IF(E939="FUTURE",VLOOKUP(MID(I939,2,2),[1]Futures!$A$2:$B$12,2),1),"")</f>
        <v/>
      </c>
    </row>
    <row r="940" spans="1:19" x14ac:dyDescent="0.2">
      <c r="A940">
        <f t="shared" si="44"/>
        <v>278</v>
      </c>
      <c r="B940" s="3">
        <v>43964</v>
      </c>
      <c r="C940" s="3" t="str">
        <f t="shared" si="43"/>
        <v>Wednesday</v>
      </c>
      <c r="D940" s="2">
        <v>0.40266203703703707</v>
      </c>
      <c r="E940" t="s">
        <v>14</v>
      </c>
      <c r="F940" t="s">
        <v>15</v>
      </c>
      <c r="G940">
        <v>-1</v>
      </c>
      <c r="H940" t="s">
        <v>16</v>
      </c>
      <c r="I940" t="s">
        <v>17</v>
      </c>
      <c r="J940" s="1">
        <v>44002</v>
      </c>
      <c r="L940" t="s">
        <v>14</v>
      </c>
      <c r="M940">
        <v>2843.75</v>
      </c>
      <c r="N940">
        <v>2843.75</v>
      </c>
      <c r="O940" t="s">
        <v>21</v>
      </c>
      <c r="P940">
        <f t="shared" si="45"/>
        <v>0</v>
      </c>
      <c r="Q940" s="11">
        <f>IF(P940=0,0,IFERROR(Q939+G940*M940*IF(E940="FUTURE",VLOOKUP(MID(I940,2,2),[1]Futures!$A$2:$B$12,2),1),G940*M940*IF(E940="FUTURE",VLOOKUP(MID(I940,2,2),[1]Futures!$A$2:$B$12,2),1)))</f>
        <v>0</v>
      </c>
      <c r="R940" s="12" t="str">
        <f>IFERROR(Q940/P940/IF(E940="FUTURE",VLOOKUP(MID(I940,2,2),[1]Futures!$A$2:$B$12,2),1),"")</f>
        <v/>
      </c>
      <c r="S940" s="13">
        <f>IF(AND(H940="TO CLOSE",P940=0),-G940*(M940-R939)*IF(E940="FUTURE",VLOOKUP(MID(I940,2,2),[1]Futures!$A$2:$B$12,2),1),"")</f>
        <v>200</v>
      </c>
    </row>
    <row r="941" spans="1:19" x14ac:dyDescent="0.2">
      <c r="A941">
        <f t="shared" si="44"/>
        <v>279</v>
      </c>
      <c r="B941" s="3">
        <v>43964</v>
      </c>
      <c r="C941" s="3" t="str">
        <f t="shared" si="43"/>
        <v>Wednesday</v>
      </c>
      <c r="D941" s="2">
        <v>0.4051967592592593</v>
      </c>
      <c r="E941" t="s">
        <v>14</v>
      </c>
      <c r="F941" t="s">
        <v>19</v>
      </c>
      <c r="G941">
        <v>1</v>
      </c>
      <c r="H941" t="s">
        <v>20</v>
      </c>
      <c r="I941" t="s">
        <v>17</v>
      </c>
      <c r="J941" s="1">
        <v>44002</v>
      </c>
      <c r="L941" t="s">
        <v>14</v>
      </c>
      <c r="M941">
        <v>2841.75</v>
      </c>
      <c r="N941">
        <v>2841.75</v>
      </c>
      <c r="O941" t="s">
        <v>24</v>
      </c>
      <c r="P941">
        <f t="shared" si="45"/>
        <v>1</v>
      </c>
      <c r="Q941" s="11">
        <f>IF(P941=0,0,IFERROR(Q940+G941*M941*IF(E941="FUTURE",VLOOKUP(MID(I941,2,2),[1]Futures!$A$2:$B$12,2),1),G941*M941*IF(E941="FUTURE",VLOOKUP(MID(I941,2,2),[1]Futures!$A$2:$B$12,2),1)))</f>
        <v>142087.5</v>
      </c>
      <c r="R941" s="12">
        <f>IFERROR(Q941/P941/IF(E941="FUTURE",VLOOKUP(MID(I941,2,2),[1]Futures!$A$2:$B$12,2),1),"")</f>
        <v>2841.75</v>
      </c>
      <c r="S941" s="13" t="str">
        <f>IF(AND(H941="TO CLOSE",P941=0),-G941*(M941-R940)*IF(E941="FUTURE",VLOOKUP(MID(I941,2,2),[1]Futures!$A$2:$B$12,2),1),"")</f>
        <v/>
      </c>
    </row>
    <row r="942" spans="1:19" x14ac:dyDescent="0.2">
      <c r="A942">
        <f t="shared" si="44"/>
        <v>279</v>
      </c>
      <c r="B942" s="3">
        <v>43964</v>
      </c>
      <c r="C942" s="3" t="str">
        <f t="shared" si="43"/>
        <v>Wednesday</v>
      </c>
      <c r="D942" s="2">
        <v>0.4123263888888889</v>
      </c>
      <c r="E942" t="s">
        <v>14</v>
      </c>
      <c r="F942" t="s">
        <v>15</v>
      </c>
      <c r="G942">
        <v>-1</v>
      </c>
      <c r="H942" t="s">
        <v>16</v>
      </c>
      <c r="I942" t="s">
        <v>17</v>
      </c>
      <c r="J942" s="1">
        <v>44002</v>
      </c>
      <c r="L942" t="s">
        <v>14</v>
      </c>
      <c r="M942">
        <v>2842.25</v>
      </c>
      <c r="N942">
        <v>2842.25</v>
      </c>
      <c r="O942" t="s">
        <v>18</v>
      </c>
      <c r="P942">
        <f t="shared" si="45"/>
        <v>0</v>
      </c>
      <c r="Q942" s="11">
        <f>IF(P942=0,0,IFERROR(Q941+G942*M942*IF(E942="FUTURE",VLOOKUP(MID(I942,2,2),[1]Futures!$A$2:$B$12,2),1),G942*M942*IF(E942="FUTURE",VLOOKUP(MID(I942,2,2),[1]Futures!$A$2:$B$12,2),1)))</f>
        <v>0</v>
      </c>
      <c r="R942" s="12" t="str">
        <f>IFERROR(Q942/P942/IF(E942="FUTURE",VLOOKUP(MID(I942,2,2),[1]Futures!$A$2:$B$12,2),1),"")</f>
        <v/>
      </c>
      <c r="S942" s="13">
        <f>IF(AND(H942="TO CLOSE",P942=0),-G942*(M942-R941)*IF(E942="FUTURE",VLOOKUP(MID(I942,2,2),[1]Futures!$A$2:$B$12,2),1),"")</f>
        <v>25</v>
      </c>
    </row>
    <row r="943" spans="1:19" x14ac:dyDescent="0.2">
      <c r="A943">
        <f t="shared" si="44"/>
        <v>280</v>
      </c>
      <c r="B943" s="3">
        <v>43964</v>
      </c>
      <c r="C943" s="3" t="str">
        <f t="shared" si="43"/>
        <v>Wednesday</v>
      </c>
      <c r="D943" s="2">
        <v>0.43140046296296292</v>
      </c>
      <c r="E943" t="s">
        <v>14</v>
      </c>
      <c r="F943" t="s">
        <v>15</v>
      </c>
      <c r="G943">
        <v>-1</v>
      </c>
      <c r="H943" t="s">
        <v>20</v>
      </c>
      <c r="I943" t="s">
        <v>17</v>
      </c>
      <c r="J943" s="1">
        <v>44002</v>
      </c>
      <c r="L943" t="s">
        <v>14</v>
      </c>
      <c r="M943">
        <v>2851.75</v>
      </c>
      <c r="N943">
        <v>2851.75</v>
      </c>
      <c r="O943" t="s">
        <v>21</v>
      </c>
      <c r="P943">
        <f t="shared" si="45"/>
        <v>-1</v>
      </c>
      <c r="Q943" s="11">
        <f>IF(P943=0,0,IFERROR(Q942+G943*M943*IF(E943="FUTURE",VLOOKUP(MID(I943,2,2),[1]Futures!$A$2:$B$12,2),1),G943*M943*IF(E943="FUTURE",VLOOKUP(MID(I943,2,2),[1]Futures!$A$2:$B$12,2),1)))</f>
        <v>-142587.5</v>
      </c>
      <c r="R943" s="12">
        <f>IFERROR(Q943/P943/IF(E943="FUTURE",VLOOKUP(MID(I943,2,2),[1]Futures!$A$2:$B$12,2),1),"")</f>
        <v>2851.75</v>
      </c>
      <c r="S943" s="13" t="str">
        <f>IF(AND(H943="TO CLOSE",P943=0),-G943*(M943-R942)*IF(E943="FUTURE",VLOOKUP(MID(I943,2,2),[1]Futures!$A$2:$B$12,2),1),"")</f>
        <v/>
      </c>
    </row>
    <row r="944" spans="1:19" x14ac:dyDescent="0.2">
      <c r="A944">
        <f t="shared" si="44"/>
        <v>280</v>
      </c>
      <c r="B944" s="3">
        <v>43964</v>
      </c>
      <c r="C944" s="3" t="str">
        <f t="shared" si="43"/>
        <v>Wednesday</v>
      </c>
      <c r="D944" s="2">
        <v>0.43289351851851854</v>
      </c>
      <c r="E944" t="s">
        <v>14</v>
      </c>
      <c r="F944" t="s">
        <v>19</v>
      </c>
      <c r="G944">
        <v>1</v>
      </c>
      <c r="H944" t="s">
        <v>16</v>
      </c>
      <c r="I944" t="s">
        <v>17</v>
      </c>
      <c r="J944" s="1">
        <v>44002</v>
      </c>
      <c r="L944" t="s">
        <v>14</v>
      </c>
      <c r="M944">
        <v>2850.75</v>
      </c>
      <c r="N944">
        <v>2850.75</v>
      </c>
      <c r="O944" t="s">
        <v>21</v>
      </c>
      <c r="P944">
        <f t="shared" si="45"/>
        <v>0</v>
      </c>
      <c r="Q944" s="11">
        <f>IF(P944=0,0,IFERROR(Q943+G944*M944*IF(E944="FUTURE",VLOOKUP(MID(I944,2,2),[1]Futures!$A$2:$B$12,2),1),G944*M944*IF(E944="FUTURE",VLOOKUP(MID(I944,2,2),[1]Futures!$A$2:$B$12,2),1)))</f>
        <v>0</v>
      </c>
      <c r="R944" s="12" t="str">
        <f>IFERROR(Q944/P944/IF(E944="FUTURE",VLOOKUP(MID(I944,2,2),[1]Futures!$A$2:$B$12,2),1),"")</f>
        <v/>
      </c>
      <c r="S944" s="13">
        <f>IF(AND(H944="TO CLOSE",P944=0),-G944*(M944-R943)*IF(E944="FUTURE",VLOOKUP(MID(I944,2,2),[1]Futures!$A$2:$B$12,2),1),"")</f>
        <v>50</v>
      </c>
    </row>
    <row r="945" spans="1:19" x14ac:dyDescent="0.2">
      <c r="A945">
        <f t="shared" si="44"/>
        <v>281</v>
      </c>
      <c r="B945" s="3">
        <v>43964</v>
      </c>
      <c r="C945" s="3" t="str">
        <f t="shared" si="43"/>
        <v>Wednesday</v>
      </c>
      <c r="D945" s="2">
        <v>0.47791666666666671</v>
      </c>
      <c r="E945" t="s">
        <v>14</v>
      </c>
      <c r="F945" t="s">
        <v>19</v>
      </c>
      <c r="G945">
        <v>1</v>
      </c>
      <c r="H945" t="s">
        <v>20</v>
      </c>
      <c r="I945" t="s">
        <v>17</v>
      </c>
      <c r="J945" s="1">
        <v>44002</v>
      </c>
      <c r="L945" t="s">
        <v>14</v>
      </c>
      <c r="M945">
        <v>2833.75</v>
      </c>
      <c r="N945">
        <v>2833.75</v>
      </c>
      <c r="O945" t="s">
        <v>24</v>
      </c>
      <c r="P945">
        <f t="shared" si="45"/>
        <v>1</v>
      </c>
      <c r="Q945" s="11">
        <f>IF(P945=0,0,IFERROR(Q944+G945*M945*IF(E945="FUTURE",VLOOKUP(MID(I945,2,2),[1]Futures!$A$2:$B$12,2),1),G945*M945*IF(E945="FUTURE",VLOOKUP(MID(I945,2,2),[1]Futures!$A$2:$B$12,2),1)))</f>
        <v>141687.5</v>
      </c>
      <c r="R945" s="12">
        <f>IFERROR(Q945/P945/IF(E945="FUTURE",VLOOKUP(MID(I945,2,2),[1]Futures!$A$2:$B$12,2),1),"")</f>
        <v>2833.75</v>
      </c>
      <c r="S945" s="13" t="str">
        <f>IF(AND(H945="TO CLOSE",P945=0),-G945*(M945-R944)*IF(E945="FUTURE",VLOOKUP(MID(I945,2,2),[1]Futures!$A$2:$B$12,2),1),"")</f>
        <v/>
      </c>
    </row>
    <row r="946" spans="1:19" x14ac:dyDescent="0.2">
      <c r="A946">
        <f t="shared" si="44"/>
        <v>281</v>
      </c>
      <c r="B946" s="3">
        <v>43964</v>
      </c>
      <c r="C946" s="3" t="str">
        <f t="shared" si="43"/>
        <v>Wednesday</v>
      </c>
      <c r="D946" s="2">
        <v>0.47913194444444446</v>
      </c>
      <c r="E946" t="s">
        <v>14</v>
      </c>
      <c r="F946" t="s">
        <v>15</v>
      </c>
      <c r="G946">
        <v>-1</v>
      </c>
      <c r="H946" t="s">
        <v>16</v>
      </c>
      <c r="I946" t="s">
        <v>17</v>
      </c>
      <c r="J946" s="1">
        <v>44002</v>
      </c>
      <c r="L946" t="s">
        <v>14</v>
      </c>
      <c r="M946">
        <v>2836.75</v>
      </c>
      <c r="N946">
        <v>2836.75</v>
      </c>
      <c r="O946" t="s">
        <v>21</v>
      </c>
      <c r="P946">
        <f t="shared" si="45"/>
        <v>0</v>
      </c>
      <c r="Q946" s="11">
        <f>IF(P946=0,0,IFERROR(Q945+G946*M946*IF(E946="FUTURE",VLOOKUP(MID(I946,2,2),[1]Futures!$A$2:$B$12,2),1),G946*M946*IF(E946="FUTURE",VLOOKUP(MID(I946,2,2),[1]Futures!$A$2:$B$12,2),1)))</f>
        <v>0</v>
      </c>
      <c r="R946" s="12" t="str">
        <f>IFERROR(Q946/P946/IF(E946="FUTURE",VLOOKUP(MID(I946,2,2),[1]Futures!$A$2:$B$12,2),1),"")</f>
        <v/>
      </c>
      <c r="S946" s="13">
        <f>IF(AND(H946="TO CLOSE",P946=0),-G946*(M946-R945)*IF(E946="FUTURE",VLOOKUP(MID(I946,2,2),[1]Futures!$A$2:$B$12,2),1),"")</f>
        <v>150</v>
      </c>
    </row>
    <row r="947" spans="1:19" x14ac:dyDescent="0.2">
      <c r="A947">
        <f t="shared" si="44"/>
        <v>282</v>
      </c>
      <c r="B947" s="3">
        <v>43964</v>
      </c>
      <c r="C947" s="3" t="str">
        <f t="shared" si="43"/>
        <v>Wednesday</v>
      </c>
      <c r="D947" s="2">
        <v>0.55380787037037038</v>
      </c>
      <c r="E947" t="s">
        <v>14</v>
      </c>
      <c r="F947" t="s">
        <v>19</v>
      </c>
      <c r="G947">
        <v>1</v>
      </c>
      <c r="H947" t="s">
        <v>20</v>
      </c>
      <c r="I947" t="s">
        <v>17</v>
      </c>
      <c r="J947" s="1">
        <v>44002</v>
      </c>
      <c r="L947" t="s">
        <v>14</v>
      </c>
      <c r="M947">
        <v>2813.25</v>
      </c>
      <c r="N947">
        <v>2813.25</v>
      </c>
      <c r="O947" t="s">
        <v>21</v>
      </c>
      <c r="P947">
        <f t="shared" si="45"/>
        <v>1</v>
      </c>
      <c r="Q947" s="11">
        <f>IF(P947=0,0,IFERROR(Q946+G947*M947*IF(E947="FUTURE",VLOOKUP(MID(I947,2,2),[1]Futures!$A$2:$B$12,2),1),G947*M947*IF(E947="FUTURE",VLOOKUP(MID(I947,2,2),[1]Futures!$A$2:$B$12,2),1)))</f>
        <v>140662.5</v>
      </c>
      <c r="R947" s="12">
        <f>IFERROR(Q947/P947/IF(E947="FUTURE",VLOOKUP(MID(I947,2,2),[1]Futures!$A$2:$B$12,2),1),"")</f>
        <v>2813.25</v>
      </c>
      <c r="S947" s="13" t="str">
        <f>IF(AND(H947="TO CLOSE",P947=0),-G947*(M947-R946)*IF(E947="FUTURE",VLOOKUP(MID(I947,2,2),[1]Futures!$A$2:$B$12,2),1),"")</f>
        <v/>
      </c>
    </row>
    <row r="948" spans="1:19" x14ac:dyDescent="0.2">
      <c r="A948">
        <f t="shared" si="44"/>
        <v>282</v>
      </c>
      <c r="B948" s="3">
        <v>43964</v>
      </c>
      <c r="C948" s="3" t="str">
        <f t="shared" si="43"/>
        <v>Wednesday</v>
      </c>
      <c r="D948" s="2">
        <v>0.5541666666666667</v>
      </c>
      <c r="E948" t="s">
        <v>14</v>
      </c>
      <c r="F948" t="s">
        <v>15</v>
      </c>
      <c r="G948">
        <v>-1</v>
      </c>
      <c r="H948" t="s">
        <v>16</v>
      </c>
      <c r="I948" t="s">
        <v>17</v>
      </c>
      <c r="J948" s="1">
        <v>44002</v>
      </c>
      <c r="L948" t="s">
        <v>14</v>
      </c>
      <c r="M948">
        <v>2817.25</v>
      </c>
      <c r="N948">
        <v>2817.25</v>
      </c>
      <c r="O948" t="s">
        <v>21</v>
      </c>
      <c r="P948">
        <f t="shared" si="45"/>
        <v>0</v>
      </c>
      <c r="Q948" s="11">
        <f>IF(P948=0,0,IFERROR(Q947+G948*M948*IF(E948="FUTURE",VLOOKUP(MID(I948,2,2),[1]Futures!$A$2:$B$12,2),1),G948*M948*IF(E948="FUTURE",VLOOKUP(MID(I948,2,2),[1]Futures!$A$2:$B$12,2),1)))</f>
        <v>0</v>
      </c>
      <c r="R948" s="12" t="str">
        <f>IFERROR(Q948/P948/IF(E948="FUTURE",VLOOKUP(MID(I948,2,2),[1]Futures!$A$2:$B$12,2),1),"")</f>
        <v/>
      </c>
      <c r="S948" s="13">
        <f>IF(AND(H948="TO CLOSE",P948=0),-G948*(M948-R947)*IF(E948="FUTURE",VLOOKUP(MID(I948,2,2),[1]Futures!$A$2:$B$12,2),1),"")</f>
        <v>200</v>
      </c>
    </row>
    <row r="949" spans="1:19" x14ac:dyDescent="0.2">
      <c r="A949">
        <f t="shared" si="44"/>
        <v>283</v>
      </c>
      <c r="B949" s="3">
        <v>43964</v>
      </c>
      <c r="C949" s="3" t="str">
        <f t="shared" si="43"/>
        <v>Wednesday</v>
      </c>
      <c r="D949" s="2">
        <v>0.65374999999999994</v>
      </c>
      <c r="E949" t="s">
        <v>14</v>
      </c>
      <c r="F949" t="s">
        <v>19</v>
      </c>
      <c r="G949">
        <v>1</v>
      </c>
      <c r="H949" t="s">
        <v>20</v>
      </c>
      <c r="I949" t="s">
        <v>17</v>
      </c>
      <c r="J949" s="1">
        <v>44002</v>
      </c>
      <c r="L949" t="s">
        <v>14</v>
      </c>
      <c r="M949">
        <v>2802.75</v>
      </c>
      <c r="N949">
        <v>2802.75</v>
      </c>
      <c r="O949" t="s">
        <v>21</v>
      </c>
      <c r="P949">
        <f t="shared" si="45"/>
        <v>1</v>
      </c>
      <c r="Q949" s="11">
        <f>IF(P949=0,0,IFERROR(Q948+G949*M949*IF(E949="FUTURE",VLOOKUP(MID(I949,2,2),[1]Futures!$A$2:$B$12,2),1),G949*M949*IF(E949="FUTURE",VLOOKUP(MID(I949,2,2),[1]Futures!$A$2:$B$12,2),1)))</f>
        <v>140137.5</v>
      </c>
      <c r="R949" s="12">
        <f>IFERROR(Q949/P949/IF(E949="FUTURE",VLOOKUP(MID(I949,2,2),[1]Futures!$A$2:$B$12,2),1),"")</f>
        <v>2802.75</v>
      </c>
      <c r="S949" s="13" t="str">
        <f>IF(AND(H949="TO CLOSE",P949=0),-G949*(M949-R948)*IF(E949="FUTURE",VLOOKUP(MID(I949,2,2),[1]Futures!$A$2:$B$12,2),1),"")</f>
        <v/>
      </c>
    </row>
    <row r="950" spans="1:19" x14ac:dyDescent="0.2">
      <c r="A950">
        <f t="shared" si="44"/>
        <v>283</v>
      </c>
      <c r="B950" s="3">
        <v>43964</v>
      </c>
      <c r="C950" s="3" t="str">
        <f t="shared" si="43"/>
        <v>Wednesday</v>
      </c>
      <c r="D950" s="2">
        <v>0.65587962962962965</v>
      </c>
      <c r="E950" t="s">
        <v>14</v>
      </c>
      <c r="F950" t="s">
        <v>15</v>
      </c>
      <c r="G950">
        <v>-1</v>
      </c>
      <c r="H950" t="s">
        <v>16</v>
      </c>
      <c r="I950" t="s">
        <v>17</v>
      </c>
      <c r="J950" s="1">
        <v>44002</v>
      </c>
      <c r="L950" t="s">
        <v>14</v>
      </c>
      <c r="M950">
        <v>2803</v>
      </c>
      <c r="N950">
        <v>2803</v>
      </c>
      <c r="O950" t="s">
        <v>18</v>
      </c>
      <c r="P950">
        <f t="shared" si="45"/>
        <v>0</v>
      </c>
      <c r="Q950" s="11">
        <f>IF(P950=0,0,IFERROR(Q949+G950*M950*IF(E950="FUTURE",VLOOKUP(MID(I950,2,2),[1]Futures!$A$2:$B$12,2),1),G950*M950*IF(E950="FUTURE",VLOOKUP(MID(I950,2,2),[1]Futures!$A$2:$B$12,2),1)))</f>
        <v>0</v>
      </c>
      <c r="R950" s="12" t="str">
        <f>IFERROR(Q950/P950/IF(E950="FUTURE",VLOOKUP(MID(I950,2,2),[1]Futures!$A$2:$B$12,2),1),"")</f>
        <v/>
      </c>
      <c r="S950" s="13">
        <f>IF(AND(H950="TO CLOSE",P950=0),-G950*(M950-R949)*IF(E950="FUTURE",VLOOKUP(MID(I950,2,2),[1]Futures!$A$2:$B$12,2),1),"")</f>
        <v>12.5</v>
      </c>
    </row>
    <row r="951" spans="1:19" x14ac:dyDescent="0.2">
      <c r="A951">
        <f t="shared" si="44"/>
        <v>284</v>
      </c>
      <c r="B951" s="3">
        <v>43964</v>
      </c>
      <c r="C951" s="3" t="str">
        <f t="shared" si="43"/>
        <v>Wednesday</v>
      </c>
      <c r="D951" s="2">
        <v>0.49291666666666667</v>
      </c>
      <c r="E951" t="s">
        <v>14</v>
      </c>
      <c r="F951" t="s">
        <v>19</v>
      </c>
      <c r="G951">
        <v>2</v>
      </c>
      <c r="H951" t="s">
        <v>20</v>
      </c>
      <c r="I951" t="s">
        <v>73</v>
      </c>
      <c r="J951" s="1">
        <v>44002</v>
      </c>
      <c r="L951" t="s">
        <v>14</v>
      </c>
      <c r="M951">
        <v>2815.5</v>
      </c>
      <c r="N951">
        <v>2815.5</v>
      </c>
      <c r="O951" t="s">
        <v>18</v>
      </c>
      <c r="P951">
        <f t="shared" si="45"/>
        <v>2</v>
      </c>
      <c r="Q951" s="11">
        <f>IF(P951=0,0,IFERROR(Q950+G951*M951*IF(E951="FUTURE",VLOOKUP(MID(I951,2,2),[1]Futures!$A$2:$B$12,2),1),G951*M951*IF(E951="FUTURE",VLOOKUP(MID(I951,2,2),[1]Futures!$A$2:$B$12,2),1)))</f>
        <v>28155</v>
      </c>
      <c r="R951" s="12">
        <f>IFERROR(Q951/P951/IF(E951="FUTURE",VLOOKUP(MID(I951,2,2),[1]Futures!$A$2:$B$12,2),1),"")</f>
        <v>2815.5</v>
      </c>
      <c r="S951" s="13" t="str">
        <f>IF(AND(H951="TO CLOSE",P951=0),-G951*(M951-R950)*IF(E951="FUTURE",VLOOKUP(MID(I951,2,2),[1]Futures!$A$2:$B$12,2),1),"")</f>
        <v/>
      </c>
    </row>
    <row r="952" spans="1:19" x14ac:dyDescent="0.2">
      <c r="A952">
        <f t="shared" si="44"/>
        <v>284</v>
      </c>
      <c r="B952" s="3">
        <v>43964</v>
      </c>
      <c r="C952" s="3" t="str">
        <f t="shared" si="43"/>
        <v>Wednesday</v>
      </c>
      <c r="D952" s="2">
        <v>0.49356481481481485</v>
      </c>
      <c r="E952" t="s">
        <v>14</v>
      </c>
      <c r="F952" t="s">
        <v>19</v>
      </c>
      <c r="G952">
        <v>1</v>
      </c>
      <c r="H952" t="s">
        <v>20</v>
      </c>
      <c r="I952" t="s">
        <v>73</v>
      </c>
      <c r="J952" s="1">
        <v>44002</v>
      </c>
      <c r="L952" t="s">
        <v>14</v>
      </c>
      <c r="M952">
        <v>2814</v>
      </c>
      <c r="N952">
        <v>2814</v>
      </c>
      <c r="O952" t="s">
        <v>21</v>
      </c>
      <c r="P952">
        <f t="shared" si="45"/>
        <v>3</v>
      </c>
      <c r="Q952" s="11">
        <f>IF(P952=0,0,IFERROR(Q951+G952*M952*IF(E952="FUTURE",VLOOKUP(MID(I952,2,2),[1]Futures!$A$2:$B$12,2),1),G952*M952*IF(E952="FUTURE",VLOOKUP(MID(I952,2,2),[1]Futures!$A$2:$B$12,2),1)))</f>
        <v>42225</v>
      </c>
      <c r="R952" s="12">
        <f>IFERROR(Q952/P952/IF(E952="FUTURE",VLOOKUP(MID(I952,2,2),[1]Futures!$A$2:$B$12,2),1),"")</f>
        <v>2815</v>
      </c>
      <c r="S952" s="13" t="str">
        <f>IF(AND(H952="TO CLOSE",P952=0),-G952*(M952-R951)*IF(E952="FUTURE",VLOOKUP(MID(I952,2,2),[1]Futures!$A$2:$B$12,2),1),"")</f>
        <v/>
      </c>
    </row>
    <row r="953" spans="1:19" x14ac:dyDescent="0.2">
      <c r="A953">
        <f t="shared" si="44"/>
        <v>284</v>
      </c>
      <c r="B953" s="3">
        <v>43964</v>
      </c>
      <c r="C953" s="3" t="str">
        <f t="shared" si="43"/>
        <v>Wednesday</v>
      </c>
      <c r="D953" s="2">
        <v>0.49594907407407413</v>
      </c>
      <c r="E953" t="s">
        <v>14</v>
      </c>
      <c r="F953" t="s">
        <v>19</v>
      </c>
      <c r="G953">
        <v>1</v>
      </c>
      <c r="H953" t="s">
        <v>20</v>
      </c>
      <c r="I953" t="s">
        <v>73</v>
      </c>
      <c r="J953" s="1">
        <v>44002</v>
      </c>
      <c r="L953" t="s">
        <v>14</v>
      </c>
      <c r="M953">
        <v>2811</v>
      </c>
      <c r="N953">
        <v>2811</v>
      </c>
      <c r="O953" t="s">
        <v>21</v>
      </c>
      <c r="P953">
        <f t="shared" si="45"/>
        <v>4</v>
      </c>
      <c r="Q953" s="11">
        <f>IF(P953=0,0,IFERROR(Q952+G953*M953*IF(E953="FUTURE",VLOOKUP(MID(I953,2,2),[1]Futures!$A$2:$B$12,2),1),G953*M953*IF(E953="FUTURE",VLOOKUP(MID(I953,2,2),[1]Futures!$A$2:$B$12,2),1)))</f>
        <v>56280</v>
      </c>
      <c r="R953" s="12">
        <f>IFERROR(Q953/P953/IF(E953="FUTURE",VLOOKUP(MID(I953,2,2),[1]Futures!$A$2:$B$12,2),1),"")</f>
        <v>2814</v>
      </c>
      <c r="S953" s="13" t="str">
        <f>IF(AND(H953="TO CLOSE",P953=0),-G953*(M953-R952)*IF(E953="FUTURE",VLOOKUP(MID(I953,2,2),[1]Futures!$A$2:$B$12,2),1),"")</f>
        <v/>
      </c>
    </row>
    <row r="954" spans="1:19" x14ac:dyDescent="0.2">
      <c r="A954">
        <f t="shared" si="44"/>
        <v>284</v>
      </c>
      <c r="B954" s="3">
        <v>43964</v>
      </c>
      <c r="C954" s="3" t="str">
        <f t="shared" si="43"/>
        <v>Wednesday</v>
      </c>
      <c r="D954" s="2">
        <v>0.50513888888888892</v>
      </c>
      <c r="E954" t="s">
        <v>14</v>
      </c>
      <c r="F954" t="s">
        <v>19</v>
      </c>
      <c r="G954">
        <v>1</v>
      </c>
      <c r="H954" t="s">
        <v>20</v>
      </c>
      <c r="I954" t="s">
        <v>73</v>
      </c>
      <c r="J954" s="1">
        <v>44002</v>
      </c>
      <c r="L954" t="s">
        <v>14</v>
      </c>
      <c r="M954">
        <v>2804</v>
      </c>
      <c r="N954">
        <v>2804</v>
      </c>
      <c r="O954" t="s">
        <v>21</v>
      </c>
      <c r="P954">
        <f t="shared" si="45"/>
        <v>5</v>
      </c>
      <c r="Q954" s="11">
        <f>IF(P954=0,0,IFERROR(Q953+G954*M954*IF(E954="FUTURE",VLOOKUP(MID(I954,2,2),[1]Futures!$A$2:$B$12,2),1),G954*M954*IF(E954="FUTURE",VLOOKUP(MID(I954,2,2),[1]Futures!$A$2:$B$12,2),1)))</f>
        <v>70300</v>
      </c>
      <c r="R954" s="12">
        <f>IFERROR(Q954/P954/IF(E954="FUTURE",VLOOKUP(MID(I954,2,2),[1]Futures!$A$2:$B$12,2),1),"")</f>
        <v>2812</v>
      </c>
      <c r="S954" s="13" t="str">
        <f>IF(AND(H954="TO CLOSE",P954=0),-G954*(M954-R953)*IF(E954="FUTURE",VLOOKUP(MID(I954,2,2),[1]Futures!$A$2:$B$12,2),1),"")</f>
        <v/>
      </c>
    </row>
    <row r="955" spans="1:19" x14ac:dyDescent="0.2">
      <c r="A955">
        <f t="shared" si="44"/>
        <v>284</v>
      </c>
      <c r="B955" s="3">
        <v>43964</v>
      </c>
      <c r="C955" s="3" t="str">
        <f t="shared" si="43"/>
        <v>Wednesday</v>
      </c>
      <c r="D955" s="2">
        <v>0.51126157407407413</v>
      </c>
      <c r="E955" t="s">
        <v>14</v>
      </c>
      <c r="F955" t="s">
        <v>19</v>
      </c>
      <c r="G955">
        <v>1</v>
      </c>
      <c r="H955" t="s">
        <v>20</v>
      </c>
      <c r="I955" t="s">
        <v>73</v>
      </c>
      <c r="J955" s="1">
        <v>44002</v>
      </c>
      <c r="L955" t="s">
        <v>14</v>
      </c>
      <c r="M955">
        <v>2800</v>
      </c>
      <c r="N955">
        <v>2800</v>
      </c>
      <c r="O955" t="s">
        <v>18</v>
      </c>
      <c r="P955">
        <f t="shared" si="45"/>
        <v>6</v>
      </c>
      <c r="Q955" s="11">
        <f>IF(P955=0,0,IFERROR(Q954+G955*M955*IF(E955="FUTURE",VLOOKUP(MID(I955,2,2),[1]Futures!$A$2:$B$12,2),1),G955*M955*IF(E955="FUTURE",VLOOKUP(MID(I955,2,2),[1]Futures!$A$2:$B$12,2),1)))</f>
        <v>84300</v>
      </c>
      <c r="R955" s="12">
        <f>IFERROR(Q955/P955/IF(E955="FUTURE",VLOOKUP(MID(I955,2,2),[1]Futures!$A$2:$B$12,2),1),"")</f>
        <v>2810</v>
      </c>
      <c r="S955" s="13" t="str">
        <f>IF(AND(H955="TO CLOSE",P955=0),-G955*(M955-R954)*IF(E955="FUTURE",VLOOKUP(MID(I955,2,2),[1]Futures!$A$2:$B$12,2),1),"")</f>
        <v/>
      </c>
    </row>
    <row r="956" spans="1:19" x14ac:dyDescent="0.2">
      <c r="A956">
        <f t="shared" si="44"/>
        <v>284</v>
      </c>
      <c r="B956" s="3">
        <v>43964</v>
      </c>
      <c r="C956" s="3" t="str">
        <f t="shared" si="43"/>
        <v>Wednesday</v>
      </c>
      <c r="D956" s="2">
        <v>0.53502314814814811</v>
      </c>
      <c r="E956" t="s">
        <v>14</v>
      </c>
      <c r="F956" t="s">
        <v>15</v>
      </c>
      <c r="G956">
        <v>-2</v>
      </c>
      <c r="H956" t="s">
        <v>16</v>
      </c>
      <c r="I956" t="s">
        <v>73</v>
      </c>
      <c r="J956" s="1">
        <v>44002</v>
      </c>
      <c r="L956" t="s">
        <v>14</v>
      </c>
      <c r="M956">
        <v>2815.5</v>
      </c>
      <c r="N956">
        <v>2815.5</v>
      </c>
      <c r="O956" t="s">
        <v>21</v>
      </c>
      <c r="P956">
        <f t="shared" si="45"/>
        <v>4</v>
      </c>
      <c r="Q956" s="11">
        <f>IF(P956=0,0,IFERROR(Q955+G956*M956*IF(E956="FUTURE",VLOOKUP(MID(I956,2,2),[1]Futures!$A$2:$B$12,2),1),G956*M956*IF(E956="FUTURE",VLOOKUP(MID(I956,2,2),[1]Futures!$A$2:$B$12,2),1)))</f>
        <v>56145</v>
      </c>
      <c r="R956" s="12">
        <f>IFERROR(Q956/P956/IF(E956="FUTURE",VLOOKUP(MID(I956,2,2),[1]Futures!$A$2:$B$12,2),1),"")</f>
        <v>2807.25</v>
      </c>
      <c r="S956" s="13" t="str">
        <f>IF(AND(H956="TO CLOSE",P956=0),-G956*(M956-R955)*IF(E956="FUTURE",VLOOKUP(MID(I956,2,2),[1]Futures!$A$2:$B$12,2),1),"")</f>
        <v/>
      </c>
    </row>
    <row r="957" spans="1:19" x14ac:dyDescent="0.2">
      <c r="A957">
        <f t="shared" si="44"/>
        <v>284</v>
      </c>
      <c r="B957" s="3">
        <v>43964</v>
      </c>
      <c r="C957" s="3" t="str">
        <f t="shared" si="43"/>
        <v>Wednesday</v>
      </c>
      <c r="D957" s="2">
        <v>0.53605324074074068</v>
      </c>
      <c r="E957" t="s">
        <v>14</v>
      </c>
      <c r="F957" t="s">
        <v>15</v>
      </c>
      <c r="G957">
        <v>-2</v>
      </c>
      <c r="H957" t="s">
        <v>16</v>
      </c>
      <c r="I957" t="s">
        <v>73</v>
      </c>
      <c r="J957" s="1">
        <v>44002</v>
      </c>
      <c r="L957" t="s">
        <v>14</v>
      </c>
      <c r="M957">
        <v>2815.25</v>
      </c>
      <c r="N957">
        <v>2815.25</v>
      </c>
      <c r="O957" t="s">
        <v>21</v>
      </c>
      <c r="P957">
        <f t="shared" si="45"/>
        <v>2</v>
      </c>
      <c r="Q957" s="11">
        <f>IF(P957=0,0,IFERROR(Q956+G957*M957*IF(E957="FUTURE",VLOOKUP(MID(I957,2,2),[1]Futures!$A$2:$B$12,2),1),G957*M957*IF(E957="FUTURE",VLOOKUP(MID(I957,2,2),[1]Futures!$A$2:$B$12,2),1)))</f>
        <v>27992.5</v>
      </c>
      <c r="R957" s="12">
        <f>IFERROR(Q957/P957/IF(E957="FUTURE",VLOOKUP(MID(I957,2,2),[1]Futures!$A$2:$B$12,2),1),"")</f>
        <v>2799.25</v>
      </c>
      <c r="S957" s="13" t="str">
        <f>IF(AND(H957="TO CLOSE",P957=0),-G957*(M957-R956)*IF(E957="FUTURE",VLOOKUP(MID(I957,2,2),[1]Futures!$A$2:$B$12,2),1),"")</f>
        <v/>
      </c>
    </row>
    <row r="958" spans="1:19" x14ac:dyDescent="0.2">
      <c r="A958">
        <f t="shared" si="44"/>
        <v>284</v>
      </c>
      <c r="B958" s="3">
        <v>43964</v>
      </c>
      <c r="C958" s="3" t="str">
        <f t="shared" ref="C958:C1021" si="46">IF(WEEKDAY(B958,2)=1,"Monday",IF(WEEKDAY(B958,2)=2,"Tuesday",IF(WEEKDAY(B958,2)=3,"Wednesday",IF(WEEKDAY(B958,2)=4,"Thursday",IF(WEEKDAY(B958,2)=5,"Friday","Sunday")))))</f>
        <v>Wednesday</v>
      </c>
      <c r="D958" s="2">
        <v>0.58719907407407412</v>
      </c>
      <c r="E958" t="s">
        <v>14</v>
      </c>
      <c r="F958" t="s">
        <v>19</v>
      </c>
      <c r="G958">
        <v>2</v>
      </c>
      <c r="H958" t="s">
        <v>20</v>
      </c>
      <c r="I958" t="s">
        <v>73</v>
      </c>
      <c r="J958" s="1">
        <v>44002</v>
      </c>
      <c r="L958" t="s">
        <v>14</v>
      </c>
      <c r="M958">
        <v>2799.75</v>
      </c>
      <c r="N958">
        <v>2799.75</v>
      </c>
      <c r="O958" t="s">
        <v>21</v>
      </c>
      <c r="P958">
        <f t="shared" si="45"/>
        <v>4</v>
      </c>
      <c r="Q958" s="11">
        <f>IF(P958=0,0,IFERROR(Q957+G958*M958*IF(E958="FUTURE",VLOOKUP(MID(I958,2,2),[1]Futures!$A$2:$B$12,2),1),G958*M958*IF(E958="FUTURE",VLOOKUP(MID(I958,2,2),[1]Futures!$A$2:$B$12,2),1)))</f>
        <v>55990</v>
      </c>
      <c r="R958" s="12">
        <f>IFERROR(Q958/P958/IF(E958="FUTURE",VLOOKUP(MID(I958,2,2),[1]Futures!$A$2:$B$12,2),1),"")</f>
        <v>2799.5</v>
      </c>
      <c r="S958" s="13" t="str">
        <f>IF(AND(H958="TO CLOSE",P958=0),-G958*(M958-R957)*IF(E958="FUTURE",VLOOKUP(MID(I958,2,2),[1]Futures!$A$2:$B$12,2),1),"")</f>
        <v/>
      </c>
    </row>
    <row r="959" spans="1:19" x14ac:dyDescent="0.2">
      <c r="A959">
        <f t="shared" si="44"/>
        <v>284</v>
      </c>
      <c r="B959" s="3">
        <v>43964</v>
      </c>
      <c r="C959" s="3" t="str">
        <f t="shared" si="46"/>
        <v>Wednesday</v>
      </c>
      <c r="D959" s="2">
        <v>0.59857638888888887</v>
      </c>
      <c r="E959" t="s">
        <v>14</v>
      </c>
      <c r="F959" t="s">
        <v>15</v>
      </c>
      <c r="G959">
        <v>-2</v>
      </c>
      <c r="H959" t="s">
        <v>16</v>
      </c>
      <c r="I959" t="s">
        <v>73</v>
      </c>
      <c r="J959" s="1">
        <v>44002</v>
      </c>
      <c r="L959" t="s">
        <v>14</v>
      </c>
      <c r="M959">
        <v>2812.5</v>
      </c>
      <c r="N959">
        <v>2812.5</v>
      </c>
      <c r="O959" t="s">
        <v>21</v>
      </c>
      <c r="P959">
        <f t="shared" si="45"/>
        <v>2</v>
      </c>
      <c r="Q959" s="11">
        <f>IF(P959=0,0,IFERROR(Q958+G959*M959*IF(E959="FUTURE",VLOOKUP(MID(I959,2,2),[1]Futures!$A$2:$B$12,2),1),G959*M959*IF(E959="FUTURE",VLOOKUP(MID(I959,2,2),[1]Futures!$A$2:$B$12,2),1)))</f>
        <v>27865</v>
      </c>
      <c r="R959" s="12">
        <f>IFERROR(Q959/P959/IF(E959="FUTURE",VLOOKUP(MID(I959,2,2),[1]Futures!$A$2:$B$12,2),1),"")</f>
        <v>2786.5</v>
      </c>
      <c r="S959" s="13" t="str">
        <f>IF(AND(H959="TO CLOSE",P959=0),-G959*(M959-R958)*IF(E959="FUTURE",VLOOKUP(MID(I959,2,2),[1]Futures!$A$2:$B$12,2),1),"")</f>
        <v/>
      </c>
    </row>
    <row r="960" spans="1:19" x14ac:dyDescent="0.2">
      <c r="A960">
        <f t="shared" si="44"/>
        <v>284</v>
      </c>
      <c r="B960" s="3">
        <v>43964</v>
      </c>
      <c r="C960" s="3" t="str">
        <f t="shared" si="46"/>
        <v>Wednesday</v>
      </c>
      <c r="D960" s="2">
        <v>0.6054166666666666</v>
      </c>
      <c r="E960" t="s">
        <v>14</v>
      </c>
      <c r="F960" t="s">
        <v>19</v>
      </c>
      <c r="G960">
        <v>2</v>
      </c>
      <c r="H960" t="s">
        <v>20</v>
      </c>
      <c r="I960" t="s">
        <v>73</v>
      </c>
      <c r="J960" s="1">
        <v>44002</v>
      </c>
      <c r="L960" t="s">
        <v>14</v>
      </c>
      <c r="M960">
        <v>2804</v>
      </c>
      <c r="N960">
        <v>2804</v>
      </c>
      <c r="O960" t="s">
        <v>21</v>
      </c>
      <c r="P960">
        <f t="shared" si="45"/>
        <v>4</v>
      </c>
      <c r="Q960" s="11">
        <f>IF(P960=0,0,IFERROR(Q959+G960*M960*IF(E960="FUTURE",VLOOKUP(MID(I960,2,2),[1]Futures!$A$2:$B$12,2),1),G960*M960*IF(E960="FUTURE",VLOOKUP(MID(I960,2,2),[1]Futures!$A$2:$B$12,2),1)))</f>
        <v>55905</v>
      </c>
      <c r="R960" s="12">
        <f>IFERROR(Q960/P960/IF(E960="FUTURE",VLOOKUP(MID(I960,2,2),[1]Futures!$A$2:$B$12,2),1),"")</f>
        <v>2795.25</v>
      </c>
      <c r="S960" s="13" t="str">
        <f>IF(AND(H960="TO CLOSE",P960=0),-G960*(M960-R959)*IF(E960="FUTURE",VLOOKUP(MID(I960,2,2),[1]Futures!$A$2:$B$12,2),1),"")</f>
        <v/>
      </c>
    </row>
    <row r="961" spans="1:19" x14ac:dyDescent="0.2">
      <c r="A961">
        <f t="shared" si="44"/>
        <v>284</v>
      </c>
      <c r="B961" s="3">
        <v>43964</v>
      </c>
      <c r="C961" s="3" t="str">
        <f t="shared" si="46"/>
        <v>Wednesday</v>
      </c>
      <c r="D961" s="2">
        <v>0.64070601851851849</v>
      </c>
      <c r="E961" t="s">
        <v>14</v>
      </c>
      <c r="F961" t="s">
        <v>15</v>
      </c>
      <c r="G961">
        <v>-4</v>
      </c>
      <c r="H961" t="s">
        <v>16</v>
      </c>
      <c r="I961" t="s">
        <v>73</v>
      </c>
      <c r="J961" s="1">
        <v>44002</v>
      </c>
      <c r="L961" t="s">
        <v>14</v>
      </c>
      <c r="M961">
        <v>2791.5</v>
      </c>
      <c r="N961">
        <v>2791.5</v>
      </c>
      <c r="O961" t="s">
        <v>18</v>
      </c>
      <c r="P961">
        <f t="shared" si="45"/>
        <v>0</v>
      </c>
      <c r="Q961" s="11">
        <f>IF(P961=0,0,IFERROR(Q960+G961*M961*IF(E961="FUTURE",VLOOKUP(MID(I961,2,2),[1]Futures!$A$2:$B$12,2),1),G961*M961*IF(E961="FUTURE",VLOOKUP(MID(I961,2,2),[1]Futures!$A$2:$B$12,2),1)))</f>
        <v>0</v>
      </c>
      <c r="R961" s="12" t="str">
        <f>IFERROR(Q961/P961/IF(E961="FUTURE",VLOOKUP(MID(I961,2,2),[1]Futures!$A$2:$B$12,2),1),"")</f>
        <v/>
      </c>
      <c r="S961" s="13">
        <f>IF(AND(H961="TO CLOSE",P961=0),-G961*(M961-R960)*IF(E961="FUTURE",VLOOKUP(MID(I961,2,2),[1]Futures!$A$2:$B$12,2),1),"")</f>
        <v>-75</v>
      </c>
    </row>
    <row r="962" spans="1:19" x14ac:dyDescent="0.2">
      <c r="A962">
        <f t="shared" ref="A962:A1025" si="47">IF(AND(P961=0,H961="TO CLOSE"),IFERROR(A961+1,1),IFERROR(A961/1,1))</f>
        <v>285</v>
      </c>
      <c r="B962" s="3">
        <v>43964</v>
      </c>
      <c r="C962" s="3" t="str">
        <f t="shared" si="46"/>
        <v>Wednesday</v>
      </c>
      <c r="D962" s="2">
        <v>0.64568287037037042</v>
      </c>
      <c r="E962" t="s">
        <v>14</v>
      </c>
      <c r="F962" t="s">
        <v>19</v>
      </c>
      <c r="G962">
        <v>6</v>
      </c>
      <c r="H962" t="s">
        <v>20</v>
      </c>
      <c r="I962" t="s">
        <v>73</v>
      </c>
      <c r="J962" s="1">
        <v>44002</v>
      </c>
      <c r="L962" t="s">
        <v>14</v>
      </c>
      <c r="M962">
        <v>2795.75</v>
      </c>
      <c r="N962">
        <v>2795.75</v>
      </c>
      <c r="O962" t="s">
        <v>18</v>
      </c>
      <c r="P962">
        <f t="shared" si="45"/>
        <v>6</v>
      </c>
      <c r="Q962" s="11">
        <f>IF(P962=0,0,IFERROR(Q961+G962*M962*IF(E962="FUTURE",VLOOKUP(MID(I962,2,2),[1]Futures!$A$2:$B$12,2),1),G962*M962*IF(E962="FUTURE",VLOOKUP(MID(I962,2,2),[1]Futures!$A$2:$B$12,2),1)))</f>
        <v>83872.5</v>
      </c>
      <c r="R962" s="12">
        <f>IFERROR(Q962/P962/IF(E962="FUTURE",VLOOKUP(MID(I962,2,2),[1]Futures!$A$2:$B$12,2),1),"")</f>
        <v>2795.75</v>
      </c>
      <c r="S962" s="13" t="str">
        <f>IF(AND(H962="TO CLOSE",P962=0),-G962*(M962-R961)*IF(E962="FUTURE",VLOOKUP(MID(I962,2,2),[1]Futures!$A$2:$B$12,2),1),"")</f>
        <v/>
      </c>
    </row>
    <row r="963" spans="1:19" x14ac:dyDescent="0.2">
      <c r="A963">
        <f t="shared" si="47"/>
        <v>285</v>
      </c>
      <c r="B963" s="3">
        <v>43964</v>
      </c>
      <c r="C963" s="3" t="str">
        <f t="shared" si="46"/>
        <v>Wednesday</v>
      </c>
      <c r="D963" s="2">
        <v>0.65197916666666667</v>
      </c>
      <c r="E963" t="s">
        <v>14</v>
      </c>
      <c r="F963" t="s">
        <v>15</v>
      </c>
      <c r="G963">
        <v>-6</v>
      </c>
      <c r="H963" t="s">
        <v>16</v>
      </c>
      <c r="I963" t="s">
        <v>73</v>
      </c>
      <c r="J963" s="1">
        <v>44002</v>
      </c>
      <c r="L963" t="s">
        <v>14</v>
      </c>
      <c r="M963">
        <v>2797.5</v>
      </c>
      <c r="N963">
        <v>2797.5</v>
      </c>
      <c r="O963" t="s">
        <v>24</v>
      </c>
      <c r="P963">
        <f t="shared" ref="P963:P1026" si="48">IF(H963="TO OPEN",IFERROR(P962+G963,0+G963),IFERROR(P962+G963,0+G963))</f>
        <v>0</v>
      </c>
      <c r="Q963" s="11">
        <f>IF(P963=0,0,IFERROR(Q962+G963*M963*IF(E963="FUTURE",VLOOKUP(MID(I963,2,2),[1]Futures!$A$2:$B$12,2),1),G963*M963*IF(E963="FUTURE",VLOOKUP(MID(I963,2,2),[1]Futures!$A$2:$B$12,2),1)))</f>
        <v>0</v>
      </c>
      <c r="R963" s="12" t="str">
        <f>IFERROR(Q963/P963/IF(E963="FUTURE",VLOOKUP(MID(I963,2,2),[1]Futures!$A$2:$B$12,2),1),"")</f>
        <v/>
      </c>
      <c r="S963" s="13">
        <f>IF(AND(H963="TO CLOSE",P963=0),-G963*(M963-R962)*IF(E963="FUTURE",VLOOKUP(MID(I963,2,2),[1]Futures!$A$2:$B$12,2),1),"")</f>
        <v>52.5</v>
      </c>
    </row>
    <row r="964" spans="1:19" x14ac:dyDescent="0.2">
      <c r="A964">
        <f t="shared" si="47"/>
        <v>286</v>
      </c>
      <c r="B964" s="3">
        <v>43964</v>
      </c>
      <c r="C964" s="3" t="str">
        <f t="shared" si="46"/>
        <v>Wednesday</v>
      </c>
      <c r="D964" s="2">
        <v>0.38500000000000001</v>
      </c>
      <c r="E964" t="s">
        <v>22</v>
      </c>
      <c r="F964" t="s">
        <v>15</v>
      </c>
      <c r="G964">
        <v>-400</v>
      </c>
      <c r="H964" t="s">
        <v>20</v>
      </c>
      <c r="I964" t="s">
        <v>23</v>
      </c>
      <c r="L964" t="s">
        <v>22</v>
      </c>
      <c r="M964">
        <v>36.409999999999997</v>
      </c>
      <c r="N964">
        <v>36.409999999999997</v>
      </c>
      <c r="O964" t="s">
        <v>21</v>
      </c>
      <c r="P964">
        <f t="shared" si="48"/>
        <v>-400</v>
      </c>
      <c r="Q964" s="11">
        <f>IF(P964=0,0,IFERROR(Q963+G964*M964*IF(E964="FUTURE",VLOOKUP(MID(I964,2,2),[1]Futures!$A$2:$B$12,2),1),G964*M964*IF(E964="FUTURE",VLOOKUP(MID(I964,2,2),[1]Futures!$A$2:$B$12,2),1)))</f>
        <v>-14563.999999999998</v>
      </c>
      <c r="R964" s="12">
        <f>IFERROR(Q964/P964/IF(E964="FUTURE",VLOOKUP(MID(I964,2,2),[1]Futures!$A$2:$B$12,2),1),"")</f>
        <v>36.409999999999997</v>
      </c>
      <c r="S964" s="13" t="str">
        <f>IF(AND(H964="TO CLOSE",P964=0),-G964*(M964-R963)*IF(E964="FUTURE",VLOOKUP(MID(I964,2,2),[1]Futures!$A$2:$B$12,2),1),"")</f>
        <v/>
      </c>
    </row>
    <row r="965" spans="1:19" x14ac:dyDescent="0.2">
      <c r="A965">
        <f t="shared" si="47"/>
        <v>286</v>
      </c>
      <c r="B965" s="3">
        <v>43964</v>
      </c>
      <c r="C965" s="3" t="str">
        <f t="shared" si="46"/>
        <v>Wednesday</v>
      </c>
      <c r="D965" s="2">
        <v>0.4045023148148148</v>
      </c>
      <c r="E965" t="s">
        <v>22</v>
      </c>
      <c r="F965" t="s">
        <v>19</v>
      </c>
      <c r="G965">
        <v>400</v>
      </c>
      <c r="H965" t="s">
        <v>16</v>
      </c>
      <c r="I965" t="s">
        <v>23</v>
      </c>
      <c r="L965" t="s">
        <v>22</v>
      </c>
      <c r="M965">
        <v>37.549999999999997</v>
      </c>
      <c r="N965">
        <v>37.549999999999997</v>
      </c>
      <c r="O965" t="s">
        <v>18</v>
      </c>
      <c r="P965">
        <f t="shared" si="48"/>
        <v>0</v>
      </c>
      <c r="Q965" s="11">
        <f>IF(P965=0,0,IFERROR(Q964+G965*M965*IF(E965="FUTURE",VLOOKUP(MID(I965,2,2),[1]Futures!$A$2:$B$12,2),1),G965*M965*IF(E965="FUTURE",VLOOKUP(MID(I965,2,2),[1]Futures!$A$2:$B$12,2),1)))</f>
        <v>0</v>
      </c>
      <c r="R965" s="12" t="str">
        <f>IFERROR(Q965/P965/IF(E965="FUTURE",VLOOKUP(MID(I965,2,2),[1]Futures!$A$2:$B$12,2),1),"")</f>
        <v/>
      </c>
      <c r="S965" s="13">
        <f>IF(AND(H965="TO CLOSE",P965=0),-G965*(M965-R964)*IF(E965="FUTURE",VLOOKUP(MID(I965,2,2),[1]Futures!$A$2:$B$12,2),1),"")</f>
        <v>-456.00000000000023</v>
      </c>
    </row>
    <row r="966" spans="1:19" x14ac:dyDescent="0.2">
      <c r="A966">
        <f t="shared" si="47"/>
        <v>287</v>
      </c>
      <c r="B966" s="3">
        <v>43964</v>
      </c>
      <c r="C966" s="3" t="str">
        <f t="shared" si="46"/>
        <v>Wednesday</v>
      </c>
      <c r="D966" s="2">
        <v>0.41405092592592596</v>
      </c>
      <c r="E966" t="s">
        <v>22</v>
      </c>
      <c r="F966" t="s">
        <v>19</v>
      </c>
      <c r="G966">
        <v>400</v>
      </c>
      <c r="H966" t="s">
        <v>20</v>
      </c>
      <c r="I966" t="s">
        <v>23</v>
      </c>
      <c r="L966" t="s">
        <v>22</v>
      </c>
      <c r="M966">
        <v>37.0565</v>
      </c>
      <c r="N966">
        <v>37.0565</v>
      </c>
      <c r="O966" t="s">
        <v>21</v>
      </c>
      <c r="P966">
        <f t="shared" si="48"/>
        <v>400</v>
      </c>
      <c r="Q966" s="11">
        <f>IF(P966=0,0,IFERROR(Q965+G966*M966*IF(E966="FUTURE",VLOOKUP(MID(I966,2,2),[1]Futures!$A$2:$B$12,2),1),G966*M966*IF(E966="FUTURE",VLOOKUP(MID(I966,2,2),[1]Futures!$A$2:$B$12,2),1)))</f>
        <v>14822.6</v>
      </c>
      <c r="R966" s="12">
        <f>IFERROR(Q966/P966/IF(E966="FUTURE",VLOOKUP(MID(I966,2,2),[1]Futures!$A$2:$B$12,2),1),"")</f>
        <v>37.0565</v>
      </c>
      <c r="S966" s="13" t="str">
        <f>IF(AND(H966="TO CLOSE",P966=0),-G966*(M966-R965)*IF(E966="FUTURE",VLOOKUP(MID(I966,2,2),[1]Futures!$A$2:$B$12,2),1),"")</f>
        <v/>
      </c>
    </row>
    <row r="967" spans="1:19" x14ac:dyDescent="0.2">
      <c r="A967">
        <f t="shared" si="47"/>
        <v>287</v>
      </c>
      <c r="B967" s="3">
        <v>43964</v>
      </c>
      <c r="C967" s="3" t="str">
        <f t="shared" si="46"/>
        <v>Wednesday</v>
      </c>
      <c r="D967" s="2">
        <v>0.43810185185185185</v>
      </c>
      <c r="E967" t="s">
        <v>22</v>
      </c>
      <c r="F967" t="s">
        <v>15</v>
      </c>
      <c r="G967">
        <v>-400</v>
      </c>
      <c r="H967" t="s">
        <v>16</v>
      </c>
      <c r="I967" t="s">
        <v>23</v>
      </c>
      <c r="L967" t="s">
        <v>22</v>
      </c>
      <c r="M967">
        <v>36.070999999999998</v>
      </c>
      <c r="N967">
        <v>36.070999999999998</v>
      </c>
      <c r="O967" t="s">
        <v>18</v>
      </c>
      <c r="P967">
        <f t="shared" si="48"/>
        <v>0</v>
      </c>
      <c r="Q967" s="11">
        <f>IF(P967=0,0,IFERROR(Q966+G967*M967*IF(E967="FUTURE",VLOOKUP(MID(I967,2,2),[1]Futures!$A$2:$B$12,2),1),G967*M967*IF(E967="FUTURE",VLOOKUP(MID(I967,2,2),[1]Futures!$A$2:$B$12,2),1)))</f>
        <v>0</v>
      </c>
      <c r="R967" s="12" t="str">
        <f>IFERROR(Q967/P967/IF(E967="FUTURE",VLOOKUP(MID(I967,2,2),[1]Futures!$A$2:$B$12,2),1),"")</f>
        <v/>
      </c>
      <c r="S967" s="13">
        <f>IF(AND(H967="TO CLOSE",P967=0),-G967*(M967-R966)*IF(E967="FUTURE",VLOOKUP(MID(I967,2,2),[1]Futures!$A$2:$B$12,2),1),"")</f>
        <v>-394.20000000000073</v>
      </c>
    </row>
    <row r="968" spans="1:19" x14ac:dyDescent="0.2">
      <c r="A968">
        <f t="shared" si="47"/>
        <v>288</v>
      </c>
      <c r="B968" s="3">
        <v>43964</v>
      </c>
      <c r="C968" s="3" t="str">
        <f t="shared" si="46"/>
        <v>Wednesday</v>
      </c>
      <c r="D968" s="2">
        <v>0.43934027777777779</v>
      </c>
      <c r="E968" t="s">
        <v>22</v>
      </c>
      <c r="F968" t="s">
        <v>15</v>
      </c>
      <c r="G968">
        <v>-145</v>
      </c>
      <c r="H968" t="s">
        <v>20</v>
      </c>
      <c r="I968" t="s">
        <v>23</v>
      </c>
      <c r="L968" t="s">
        <v>22</v>
      </c>
      <c r="M968">
        <v>35.85</v>
      </c>
      <c r="N968">
        <v>35.85</v>
      </c>
      <c r="O968" t="s">
        <v>21</v>
      </c>
      <c r="P968">
        <f t="shared" si="48"/>
        <v>-145</v>
      </c>
      <c r="Q968" s="11">
        <f>IF(P968=0,0,IFERROR(Q967+G968*M968*IF(E968="FUTURE",VLOOKUP(MID(I968,2,2),[1]Futures!$A$2:$B$12,2),1),G968*M968*IF(E968="FUTURE",VLOOKUP(MID(I968,2,2),[1]Futures!$A$2:$B$12,2),1)))</f>
        <v>-5198.25</v>
      </c>
      <c r="R968" s="12">
        <f>IFERROR(Q968/P968/IF(E968="FUTURE",VLOOKUP(MID(I968,2,2),[1]Futures!$A$2:$B$12,2),1),"")</f>
        <v>35.85</v>
      </c>
      <c r="S968" s="13" t="str">
        <f>IF(AND(H968="TO CLOSE",P968=0),-G968*(M968-R967)*IF(E968="FUTURE",VLOOKUP(MID(I968,2,2),[1]Futures!$A$2:$B$12,2),1),"")</f>
        <v/>
      </c>
    </row>
    <row r="969" spans="1:19" x14ac:dyDescent="0.2">
      <c r="A969">
        <f t="shared" si="47"/>
        <v>288</v>
      </c>
      <c r="B969" s="3">
        <v>43964</v>
      </c>
      <c r="C969" s="3" t="str">
        <f t="shared" si="46"/>
        <v>Wednesday</v>
      </c>
      <c r="D969" s="2">
        <v>0.43934027777777779</v>
      </c>
      <c r="E969" t="s">
        <v>22</v>
      </c>
      <c r="F969" t="s">
        <v>15</v>
      </c>
      <c r="G969">
        <v>-128</v>
      </c>
      <c r="H969" t="s">
        <v>20</v>
      </c>
      <c r="I969" t="s">
        <v>23</v>
      </c>
      <c r="L969" t="s">
        <v>22</v>
      </c>
      <c r="M969">
        <v>35.85</v>
      </c>
      <c r="N969">
        <v>35.85</v>
      </c>
      <c r="O969" t="s">
        <v>21</v>
      </c>
      <c r="P969">
        <f t="shared" si="48"/>
        <v>-273</v>
      </c>
      <c r="Q969" s="11">
        <f>IF(P969=0,0,IFERROR(Q968+G969*M969*IF(E969="FUTURE",VLOOKUP(MID(I969,2,2),[1]Futures!$A$2:$B$12,2),1),G969*M969*IF(E969="FUTURE",VLOOKUP(MID(I969,2,2),[1]Futures!$A$2:$B$12,2),1)))</f>
        <v>-9787.0499999999993</v>
      </c>
      <c r="R969" s="12">
        <f>IFERROR(Q969/P969/IF(E969="FUTURE",VLOOKUP(MID(I969,2,2),[1]Futures!$A$2:$B$12,2),1),"")</f>
        <v>35.849999999999994</v>
      </c>
      <c r="S969" s="13" t="str">
        <f>IF(AND(H969="TO CLOSE",P969=0),-G969*(M969-R968)*IF(E969="FUTURE",VLOOKUP(MID(I969,2,2),[1]Futures!$A$2:$B$12,2),1),"")</f>
        <v/>
      </c>
    </row>
    <row r="970" spans="1:19" x14ac:dyDescent="0.2">
      <c r="A970">
        <f t="shared" si="47"/>
        <v>288</v>
      </c>
      <c r="B970" s="3">
        <v>43964</v>
      </c>
      <c r="C970" s="3" t="str">
        <f t="shared" si="46"/>
        <v>Wednesday</v>
      </c>
      <c r="D970" s="2">
        <v>0.43934027777777779</v>
      </c>
      <c r="E970" t="s">
        <v>22</v>
      </c>
      <c r="F970" t="s">
        <v>15</v>
      </c>
      <c r="G970">
        <v>-127</v>
      </c>
      <c r="H970" t="s">
        <v>20</v>
      </c>
      <c r="I970" t="s">
        <v>23</v>
      </c>
      <c r="L970" t="s">
        <v>22</v>
      </c>
      <c r="M970">
        <v>35.85</v>
      </c>
      <c r="N970">
        <v>35.85</v>
      </c>
      <c r="O970" t="s">
        <v>21</v>
      </c>
      <c r="P970">
        <f t="shared" si="48"/>
        <v>-400</v>
      </c>
      <c r="Q970" s="11">
        <f>IF(P970=0,0,IFERROR(Q969+G970*M970*IF(E970="FUTURE",VLOOKUP(MID(I970,2,2),[1]Futures!$A$2:$B$12,2),1),G970*M970*IF(E970="FUTURE",VLOOKUP(MID(I970,2,2),[1]Futures!$A$2:$B$12,2),1)))</f>
        <v>-14340</v>
      </c>
      <c r="R970" s="12">
        <f>IFERROR(Q970/P970/IF(E970="FUTURE",VLOOKUP(MID(I970,2,2),[1]Futures!$A$2:$B$12,2),1),"")</f>
        <v>35.85</v>
      </c>
      <c r="S970" s="13" t="str">
        <f>IF(AND(H970="TO CLOSE",P970=0),-G970*(M970-R969)*IF(E970="FUTURE",VLOOKUP(MID(I970,2,2),[1]Futures!$A$2:$B$12,2),1),"")</f>
        <v/>
      </c>
    </row>
    <row r="971" spans="1:19" x14ac:dyDescent="0.2">
      <c r="A971">
        <f t="shared" si="47"/>
        <v>288</v>
      </c>
      <c r="B971" s="3">
        <v>43964</v>
      </c>
      <c r="C971" s="3" t="str">
        <f t="shared" si="46"/>
        <v>Wednesday</v>
      </c>
      <c r="D971" s="2">
        <v>0.45283564814814814</v>
      </c>
      <c r="E971" t="s">
        <v>22</v>
      </c>
      <c r="F971" t="s">
        <v>19</v>
      </c>
      <c r="G971">
        <v>400</v>
      </c>
      <c r="H971" t="s">
        <v>16</v>
      </c>
      <c r="I971" t="s">
        <v>23</v>
      </c>
      <c r="L971" t="s">
        <v>22</v>
      </c>
      <c r="M971">
        <v>36.619999999999997</v>
      </c>
      <c r="N971">
        <v>36.619999999999997</v>
      </c>
      <c r="O971" t="s">
        <v>18</v>
      </c>
      <c r="P971">
        <f t="shared" si="48"/>
        <v>0</v>
      </c>
      <c r="Q971" s="11">
        <f>IF(P971=0,0,IFERROR(Q970+G971*M971*IF(E971="FUTURE",VLOOKUP(MID(I971,2,2),[1]Futures!$A$2:$B$12,2),1),G971*M971*IF(E971="FUTURE",VLOOKUP(MID(I971,2,2),[1]Futures!$A$2:$B$12,2),1)))</f>
        <v>0</v>
      </c>
      <c r="R971" s="12" t="str">
        <f>IFERROR(Q971/P971/IF(E971="FUTURE",VLOOKUP(MID(I971,2,2),[1]Futures!$A$2:$B$12,2),1),"")</f>
        <v/>
      </c>
      <c r="S971" s="13">
        <f>IF(AND(H971="TO CLOSE",P971=0),-G971*(M971-R970)*IF(E971="FUTURE",VLOOKUP(MID(I971,2,2),[1]Futures!$A$2:$B$12,2),1),"")</f>
        <v>-307.99999999999841</v>
      </c>
    </row>
    <row r="972" spans="1:19" x14ac:dyDescent="0.2">
      <c r="A972">
        <f t="shared" si="47"/>
        <v>289</v>
      </c>
      <c r="B972" s="3">
        <v>43964</v>
      </c>
      <c r="C972" s="3" t="str">
        <f t="shared" si="46"/>
        <v>Wednesday</v>
      </c>
      <c r="D972" s="2">
        <v>0.45293981481481477</v>
      </c>
      <c r="E972" t="s">
        <v>22</v>
      </c>
      <c r="F972" t="s">
        <v>19</v>
      </c>
      <c r="G972">
        <v>400</v>
      </c>
      <c r="H972" t="s">
        <v>20</v>
      </c>
      <c r="I972" t="s">
        <v>23</v>
      </c>
      <c r="L972" t="s">
        <v>22</v>
      </c>
      <c r="M972">
        <v>36.648000000000003</v>
      </c>
      <c r="N972">
        <v>36.648000000000003</v>
      </c>
      <c r="O972" t="s">
        <v>24</v>
      </c>
      <c r="P972">
        <f t="shared" si="48"/>
        <v>400</v>
      </c>
      <c r="Q972" s="11">
        <f>IF(P972=0,0,IFERROR(Q971+G972*M972*IF(E972="FUTURE",VLOOKUP(MID(I972,2,2),[1]Futures!$A$2:$B$12,2),1),G972*M972*IF(E972="FUTURE",VLOOKUP(MID(I972,2,2),[1]Futures!$A$2:$B$12,2),1)))</f>
        <v>14659.2</v>
      </c>
      <c r="R972" s="12">
        <f>IFERROR(Q972/P972/IF(E972="FUTURE",VLOOKUP(MID(I972,2,2),[1]Futures!$A$2:$B$12,2),1),"")</f>
        <v>36.648000000000003</v>
      </c>
      <c r="S972" s="13" t="str">
        <f>IF(AND(H972="TO CLOSE",P972=0),-G972*(M972-R971)*IF(E972="FUTURE",VLOOKUP(MID(I972,2,2),[1]Futures!$A$2:$B$12,2),1),"")</f>
        <v/>
      </c>
    </row>
    <row r="973" spans="1:19" x14ac:dyDescent="0.2">
      <c r="A973">
        <f t="shared" si="47"/>
        <v>289</v>
      </c>
      <c r="B973" s="3">
        <v>43964</v>
      </c>
      <c r="C973" s="3" t="str">
        <f t="shared" si="46"/>
        <v>Wednesday</v>
      </c>
      <c r="D973" s="2">
        <v>0.46118055555555554</v>
      </c>
      <c r="E973" t="s">
        <v>22</v>
      </c>
      <c r="F973" t="s">
        <v>19</v>
      </c>
      <c r="G973">
        <v>200</v>
      </c>
      <c r="H973" t="s">
        <v>20</v>
      </c>
      <c r="I973" t="s">
        <v>23</v>
      </c>
      <c r="L973" t="s">
        <v>22</v>
      </c>
      <c r="M973">
        <v>37.24</v>
      </c>
      <c r="N973">
        <v>37.24</v>
      </c>
      <c r="O973" t="s">
        <v>18</v>
      </c>
      <c r="P973">
        <f t="shared" si="48"/>
        <v>600</v>
      </c>
      <c r="Q973" s="11">
        <f>IF(P973=0,0,IFERROR(Q972+G973*M973*IF(E973="FUTURE",VLOOKUP(MID(I973,2,2),[1]Futures!$A$2:$B$12,2),1),G973*M973*IF(E973="FUTURE",VLOOKUP(MID(I973,2,2),[1]Futures!$A$2:$B$12,2),1)))</f>
        <v>22107.200000000001</v>
      </c>
      <c r="R973" s="12">
        <f>IFERROR(Q973/P973/IF(E973="FUTURE",VLOOKUP(MID(I973,2,2),[1]Futures!$A$2:$B$12,2),1),"")</f>
        <v>36.845333333333336</v>
      </c>
      <c r="S973" s="13" t="str">
        <f>IF(AND(H973="TO CLOSE",P973=0),-G973*(M973-R972)*IF(E973="FUTURE",VLOOKUP(MID(I973,2,2),[1]Futures!$A$2:$B$12,2),1),"")</f>
        <v/>
      </c>
    </row>
    <row r="974" spans="1:19" x14ac:dyDescent="0.2">
      <c r="A974">
        <f t="shared" si="47"/>
        <v>289</v>
      </c>
      <c r="B974" s="3">
        <v>43964</v>
      </c>
      <c r="C974" s="3" t="str">
        <f t="shared" si="46"/>
        <v>Wednesday</v>
      </c>
      <c r="D974" s="2">
        <v>0.46626157407407409</v>
      </c>
      <c r="E974" t="s">
        <v>22</v>
      </c>
      <c r="F974" t="s">
        <v>15</v>
      </c>
      <c r="G974">
        <v>-600</v>
      </c>
      <c r="H974" t="s">
        <v>16</v>
      </c>
      <c r="I974" t="s">
        <v>23</v>
      </c>
      <c r="L974" t="s">
        <v>22</v>
      </c>
      <c r="M974">
        <v>36.951000000000001</v>
      </c>
      <c r="N974">
        <v>36.951000000000001</v>
      </c>
      <c r="O974" t="s">
        <v>24</v>
      </c>
      <c r="P974">
        <f t="shared" si="48"/>
        <v>0</v>
      </c>
      <c r="Q974" s="11">
        <f>IF(P974=0,0,IFERROR(Q973+G974*M974*IF(E974="FUTURE",VLOOKUP(MID(I974,2,2),[1]Futures!$A$2:$B$12,2),1),G974*M974*IF(E974="FUTURE",VLOOKUP(MID(I974,2,2),[1]Futures!$A$2:$B$12,2),1)))</f>
        <v>0</v>
      </c>
      <c r="R974" s="12" t="str">
        <f>IFERROR(Q974/P974/IF(E974="FUTURE",VLOOKUP(MID(I974,2,2),[1]Futures!$A$2:$B$12,2),1),"")</f>
        <v/>
      </c>
      <c r="S974" s="13">
        <f>IF(AND(H974="TO CLOSE",P974=0),-G974*(M974-R973)*IF(E974="FUTURE",VLOOKUP(MID(I974,2,2),[1]Futures!$A$2:$B$12,2),1),"")</f>
        <v>63.399999999998613</v>
      </c>
    </row>
    <row r="975" spans="1:19" x14ac:dyDescent="0.2">
      <c r="A975">
        <f t="shared" si="47"/>
        <v>290</v>
      </c>
      <c r="B975" s="3">
        <v>43964</v>
      </c>
      <c r="C975" s="3" t="str">
        <f t="shared" si="46"/>
        <v>Wednesday</v>
      </c>
      <c r="D975" s="2">
        <v>0.4664699074074074</v>
      </c>
      <c r="E975" t="s">
        <v>22</v>
      </c>
      <c r="F975" t="s">
        <v>15</v>
      </c>
      <c r="G975">
        <v>-408</v>
      </c>
      <c r="H975" t="s">
        <v>20</v>
      </c>
      <c r="I975" t="s">
        <v>23</v>
      </c>
      <c r="L975" t="s">
        <v>22</v>
      </c>
      <c r="M975">
        <v>36.92</v>
      </c>
      <c r="N975">
        <v>36.92</v>
      </c>
      <c r="O975" t="s">
        <v>21</v>
      </c>
      <c r="P975">
        <f t="shared" si="48"/>
        <v>-408</v>
      </c>
      <c r="Q975" s="11">
        <f>IF(P975=0,0,IFERROR(Q974+G975*M975*IF(E975="FUTURE",VLOOKUP(MID(I975,2,2),[1]Futures!$A$2:$B$12,2),1),G975*M975*IF(E975="FUTURE",VLOOKUP(MID(I975,2,2),[1]Futures!$A$2:$B$12,2),1)))</f>
        <v>-15063.36</v>
      </c>
      <c r="R975" s="12">
        <f>IFERROR(Q975/P975/IF(E975="FUTURE",VLOOKUP(MID(I975,2,2),[1]Futures!$A$2:$B$12,2),1),"")</f>
        <v>36.92</v>
      </c>
      <c r="S975" s="13" t="str">
        <f>IF(AND(H975="TO CLOSE",P975=0),-G975*(M975-R974)*IF(E975="FUTURE",VLOOKUP(MID(I975,2,2),[1]Futures!$A$2:$B$12,2),1),"")</f>
        <v/>
      </c>
    </row>
    <row r="976" spans="1:19" x14ac:dyDescent="0.2">
      <c r="A976">
        <f t="shared" si="47"/>
        <v>290</v>
      </c>
      <c r="B976" s="3">
        <v>43964</v>
      </c>
      <c r="C976" s="3" t="str">
        <f t="shared" si="46"/>
        <v>Wednesday</v>
      </c>
      <c r="D976" s="2">
        <v>0.4664699074074074</v>
      </c>
      <c r="E976" t="s">
        <v>22</v>
      </c>
      <c r="F976" t="s">
        <v>15</v>
      </c>
      <c r="G976">
        <v>-192</v>
      </c>
      <c r="H976" t="s">
        <v>20</v>
      </c>
      <c r="I976" t="s">
        <v>23</v>
      </c>
      <c r="L976" t="s">
        <v>22</v>
      </c>
      <c r="M976">
        <v>36.92</v>
      </c>
      <c r="N976">
        <v>36.92</v>
      </c>
      <c r="O976" t="s">
        <v>21</v>
      </c>
      <c r="P976">
        <f t="shared" si="48"/>
        <v>-600</v>
      </c>
      <c r="Q976" s="11">
        <f>IF(P976=0,0,IFERROR(Q975+G976*M976*IF(E976="FUTURE",VLOOKUP(MID(I976,2,2),[1]Futures!$A$2:$B$12,2),1),G976*M976*IF(E976="FUTURE",VLOOKUP(MID(I976,2,2),[1]Futures!$A$2:$B$12,2),1)))</f>
        <v>-22152</v>
      </c>
      <c r="R976" s="12">
        <f>IFERROR(Q976/P976/IF(E976="FUTURE",VLOOKUP(MID(I976,2,2),[1]Futures!$A$2:$B$12,2),1),"")</f>
        <v>36.92</v>
      </c>
      <c r="S976" s="13" t="str">
        <f>IF(AND(H976="TO CLOSE",P976=0),-G976*(M976-R975)*IF(E976="FUTURE",VLOOKUP(MID(I976,2,2),[1]Futures!$A$2:$B$12,2),1),"")</f>
        <v/>
      </c>
    </row>
    <row r="977" spans="1:19" x14ac:dyDescent="0.2">
      <c r="A977">
        <f t="shared" si="47"/>
        <v>290</v>
      </c>
      <c r="B977" s="3">
        <v>43964</v>
      </c>
      <c r="C977" s="3" t="str">
        <f t="shared" si="46"/>
        <v>Wednesday</v>
      </c>
      <c r="D977" s="2">
        <v>0.46836805555555555</v>
      </c>
      <c r="E977" t="s">
        <v>22</v>
      </c>
      <c r="F977" t="s">
        <v>19</v>
      </c>
      <c r="G977">
        <v>200</v>
      </c>
      <c r="H977" t="s">
        <v>16</v>
      </c>
      <c r="I977" t="s">
        <v>23</v>
      </c>
      <c r="L977" t="s">
        <v>22</v>
      </c>
      <c r="M977">
        <v>36.9</v>
      </c>
      <c r="N977">
        <v>36.9</v>
      </c>
      <c r="O977" t="s">
        <v>21</v>
      </c>
      <c r="P977">
        <f t="shared" si="48"/>
        <v>-400</v>
      </c>
      <c r="Q977" s="11">
        <f>IF(P977=0,0,IFERROR(Q976+G977*M977*IF(E977="FUTURE",VLOOKUP(MID(I977,2,2),[1]Futures!$A$2:$B$12,2),1),G977*M977*IF(E977="FUTURE",VLOOKUP(MID(I977,2,2),[1]Futures!$A$2:$B$12,2),1)))</f>
        <v>-14772</v>
      </c>
      <c r="R977" s="12">
        <f>IFERROR(Q977/P977/IF(E977="FUTURE",VLOOKUP(MID(I977,2,2),[1]Futures!$A$2:$B$12,2),1),"")</f>
        <v>36.93</v>
      </c>
      <c r="S977" s="13" t="str">
        <f>IF(AND(H977="TO CLOSE",P977=0),-G977*(M977-R976)*IF(E977="FUTURE",VLOOKUP(MID(I977,2,2),[1]Futures!$A$2:$B$12,2),1),"")</f>
        <v/>
      </c>
    </row>
    <row r="978" spans="1:19" x14ac:dyDescent="0.2">
      <c r="A978">
        <f t="shared" si="47"/>
        <v>290</v>
      </c>
      <c r="B978" s="3">
        <v>43964</v>
      </c>
      <c r="C978" s="3" t="str">
        <f t="shared" si="46"/>
        <v>Wednesday</v>
      </c>
      <c r="D978" s="2">
        <v>0.47153935185185186</v>
      </c>
      <c r="E978" t="s">
        <v>22</v>
      </c>
      <c r="F978" t="s">
        <v>19</v>
      </c>
      <c r="G978">
        <v>400</v>
      </c>
      <c r="H978" t="s">
        <v>16</v>
      </c>
      <c r="I978" t="s">
        <v>23</v>
      </c>
      <c r="L978" t="s">
        <v>22</v>
      </c>
      <c r="M978">
        <v>36.909999999999997</v>
      </c>
      <c r="N978">
        <v>36.909999999999997</v>
      </c>
      <c r="O978" t="s">
        <v>18</v>
      </c>
      <c r="P978">
        <f t="shared" si="48"/>
        <v>0</v>
      </c>
      <c r="Q978" s="11">
        <f>IF(P978=0,0,IFERROR(Q977+G978*M978*IF(E978="FUTURE",VLOOKUP(MID(I978,2,2),[1]Futures!$A$2:$B$12,2),1),G978*M978*IF(E978="FUTURE",VLOOKUP(MID(I978,2,2),[1]Futures!$A$2:$B$12,2),1)))</f>
        <v>0</v>
      </c>
      <c r="R978" s="12" t="str">
        <f>IFERROR(Q978/P978/IF(E978="FUTURE",VLOOKUP(MID(I978,2,2),[1]Futures!$A$2:$B$12,2),1),"")</f>
        <v/>
      </c>
      <c r="S978" s="13">
        <f>IF(AND(H978="TO CLOSE",P978=0),-G978*(M978-R977)*IF(E978="FUTURE",VLOOKUP(MID(I978,2,2),[1]Futures!$A$2:$B$12,2),1),"")</f>
        <v>8.0000000000012506</v>
      </c>
    </row>
    <row r="979" spans="1:19" x14ac:dyDescent="0.2">
      <c r="A979">
        <f t="shared" si="47"/>
        <v>291</v>
      </c>
      <c r="B979" s="3">
        <v>43964</v>
      </c>
      <c r="C979" s="3" t="str">
        <f t="shared" si="46"/>
        <v>Wednesday</v>
      </c>
      <c r="D979" s="2">
        <v>0.47222222222222227</v>
      </c>
      <c r="E979" t="s">
        <v>22</v>
      </c>
      <c r="F979" t="s">
        <v>19</v>
      </c>
      <c r="G979">
        <v>200</v>
      </c>
      <c r="H979" t="s">
        <v>20</v>
      </c>
      <c r="I979" t="s">
        <v>23</v>
      </c>
      <c r="L979" t="s">
        <v>22</v>
      </c>
      <c r="M979">
        <v>37.159999999999997</v>
      </c>
      <c r="N979">
        <v>37.159999999999997</v>
      </c>
      <c r="O979" t="s">
        <v>24</v>
      </c>
      <c r="P979">
        <f t="shared" si="48"/>
        <v>200</v>
      </c>
      <c r="Q979" s="11">
        <f>IF(P979=0,0,IFERROR(Q978+G979*M979*IF(E979="FUTURE",VLOOKUP(MID(I979,2,2),[1]Futures!$A$2:$B$12,2),1),G979*M979*IF(E979="FUTURE",VLOOKUP(MID(I979,2,2),[1]Futures!$A$2:$B$12,2),1)))</f>
        <v>7431.9999999999991</v>
      </c>
      <c r="R979" s="12">
        <f>IFERROR(Q979/P979/IF(E979="FUTURE",VLOOKUP(MID(I979,2,2),[1]Futures!$A$2:$B$12,2),1),"")</f>
        <v>37.159999999999997</v>
      </c>
      <c r="S979" s="13" t="str">
        <f>IF(AND(H979="TO CLOSE",P979=0),-G979*(M979-R978)*IF(E979="FUTURE",VLOOKUP(MID(I979,2,2),[1]Futures!$A$2:$B$12,2),1),"")</f>
        <v/>
      </c>
    </row>
    <row r="980" spans="1:19" x14ac:dyDescent="0.2">
      <c r="A980">
        <f t="shared" si="47"/>
        <v>291</v>
      </c>
      <c r="B980" s="3">
        <v>43964</v>
      </c>
      <c r="C980" s="3" t="str">
        <f t="shared" si="46"/>
        <v>Wednesday</v>
      </c>
      <c r="D980" s="2">
        <v>0.47222222222222227</v>
      </c>
      <c r="E980" t="s">
        <v>22</v>
      </c>
      <c r="F980" t="s">
        <v>19</v>
      </c>
      <c r="G980">
        <v>200</v>
      </c>
      <c r="H980" t="s">
        <v>20</v>
      </c>
      <c r="I980" t="s">
        <v>23</v>
      </c>
      <c r="L980" t="s">
        <v>22</v>
      </c>
      <c r="M980">
        <v>37.159999999999997</v>
      </c>
      <c r="N980">
        <v>37.159999999999997</v>
      </c>
      <c r="O980" t="s">
        <v>24</v>
      </c>
      <c r="P980">
        <f t="shared" si="48"/>
        <v>400</v>
      </c>
      <c r="Q980" s="11">
        <f>IF(P980=0,0,IFERROR(Q979+G980*M980*IF(E980="FUTURE",VLOOKUP(MID(I980,2,2),[1]Futures!$A$2:$B$12,2),1),G980*M980*IF(E980="FUTURE",VLOOKUP(MID(I980,2,2),[1]Futures!$A$2:$B$12,2),1)))</f>
        <v>14863.999999999998</v>
      </c>
      <c r="R980" s="12">
        <f>IFERROR(Q980/P980/IF(E980="FUTURE",VLOOKUP(MID(I980,2,2),[1]Futures!$A$2:$B$12,2),1),"")</f>
        <v>37.159999999999997</v>
      </c>
      <c r="S980" s="13" t="str">
        <f>IF(AND(H980="TO CLOSE",P980=0),-G980*(M980-R979)*IF(E980="FUTURE",VLOOKUP(MID(I980,2,2),[1]Futures!$A$2:$B$12,2),1),"")</f>
        <v/>
      </c>
    </row>
    <row r="981" spans="1:19" x14ac:dyDescent="0.2">
      <c r="A981">
        <f t="shared" si="47"/>
        <v>291</v>
      </c>
      <c r="B981" s="3">
        <v>43964</v>
      </c>
      <c r="C981" s="3" t="str">
        <f t="shared" si="46"/>
        <v>Wednesday</v>
      </c>
      <c r="D981" s="2">
        <v>0.47364583333333332</v>
      </c>
      <c r="E981" t="s">
        <v>22</v>
      </c>
      <c r="F981" t="s">
        <v>15</v>
      </c>
      <c r="G981">
        <v>-200</v>
      </c>
      <c r="H981" t="s">
        <v>16</v>
      </c>
      <c r="I981" t="s">
        <v>23</v>
      </c>
      <c r="L981" t="s">
        <v>22</v>
      </c>
      <c r="M981">
        <v>37.445</v>
      </c>
      <c r="N981">
        <v>37.445</v>
      </c>
      <c r="O981" t="s">
        <v>24</v>
      </c>
      <c r="P981">
        <f t="shared" si="48"/>
        <v>200</v>
      </c>
      <c r="Q981" s="11">
        <f>IF(P981=0,0,IFERROR(Q980+G981*M981*IF(E981="FUTURE",VLOOKUP(MID(I981,2,2),[1]Futures!$A$2:$B$12,2),1),G981*M981*IF(E981="FUTURE",VLOOKUP(MID(I981,2,2),[1]Futures!$A$2:$B$12,2),1)))</f>
        <v>7374.9999999999982</v>
      </c>
      <c r="R981" s="12">
        <f>IFERROR(Q981/P981/IF(E981="FUTURE",VLOOKUP(MID(I981,2,2),[1]Futures!$A$2:$B$12,2),1),"")</f>
        <v>36.874999999999993</v>
      </c>
      <c r="S981" s="13" t="str">
        <f>IF(AND(H981="TO CLOSE",P981=0),-G981*(M981-R980)*IF(E981="FUTURE",VLOOKUP(MID(I981,2,2),[1]Futures!$A$2:$B$12,2),1),"")</f>
        <v/>
      </c>
    </row>
    <row r="982" spans="1:19" x14ac:dyDescent="0.2">
      <c r="A982">
        <f t="shared" si="47"/>
        <v>291</v>
      </c>
      <c r="B982" s="3">
        <v>43964</v>
      </c>
      <c r="C982" s="3" t="str">
        <f t="shared" si="46"/>
        <v>Wednesday</v>
      </c>
      <c r="D982" s="2">
        <v>0.4740625</v>
      </c>
      <c r="E982" t="s">
        <v>22</v>
      </c>
      <c r="F982" t="s">
        <v>19</v>
      </c>
      <c r="G982">
        <v>200</v>
      </c>
      <c r="H982" t="s">
        <v>20</v>
      </c>
      <c r="I982" t="s">
        <v>23</v>
      </c>
      <c r="L982" t="s">
        <v>22</v>
      </c>
      <c r="M982">
        <v>37.64</v>
      </c>
      <c r="N982">
        <v>37.64</v>
      </c>
      <c r="O982" t="s">
        <v>18</v>
      </c>
      <c r="P982">
        <f t="shared" si="48"/>
        <v>400</v>
      </c>
      <c r="Q982" s="11">
        <f>IF(P982=0,0,IFERROR(Q981+G982*M982*IF(E982="FUTURE",VLOOKUP(MID(I982,2,2),[1]Futures!$A$2:$B$12,2),1),G982*M982*IF(E982="FUTURE",VLOOKUP(MID(I982,2,2),[1]Futures!$A$2:$B$12,2),1)))</f>
        <v>14902.999999999998</v>
      </c>
      <c r="R982" s="12">
        <f>IFERROR(Q982/P982/IF(E982="FUTURE",VLOOKUP(MID(I982,2,2),[1]Futures!$A$2:$B$12,2),1),"")</f>
        <v>37.257499999999993</v>
      </c>
      <c r="S982" s="13" t="str">
        <f>IF(AND(H982="TO CLOSE",P982=0),-G982*(M982-R981)*IF(E982="FUTURE",VLOOKUP(MID(I982,2,2),[1]Futures!$A$2:$B$12,2),1),"")</f>
        <v/>
      </c>
    </row>
    <row r="983" spans="1:19" x14ac:dyDescent="0.2">
      <c r="A983">
        <f t="shared" si="47"/>
        <v>291</v>
      </c>
      <c r="B983" s="3">
        <v>43964</v>
      </c>
      <c r="C983" s="3" t="str">
        <f t="shared" si="46"/>
        <v>Wednesday</v>
      </c>
      <c r="D983" s="2">
        <v>0.47673611111111108</v>
      </c>
      <c r="E983" t="s">
        <v>22</v>
      </c>
      <c r="F983" t="s">
        <v>15</v>
      </c>
      <c r="G983">
        <v>-400</v>
      </c>
      <c r="H983" t="s">
        <v>16</v>
      </c>
      <c r="I983" t="s">
        <v>23</v>
      </c>
      <c r="L983" t="s">
        <v>22</v>
      </c>
      <c r="M983">
        <v>37.729999999999997</v>
      </c>
      <c r="N983">
        <v>37.729999999999997</v>
      </c>
      <c r="O983" t="s">
        <v>18</v>
      </c>
      <c r="P983">
        <f t="shared" si="48"/>
        <v>0</v>
      </c>
      <c r="Q983" s="11">
        <f>IF(P983=0,0,IFERROR(Q982+G983*M983*IF(E983="FUTURE",VLOOKUP(MID(I983,2,2),[1]Futures!$A$2:$B$12,2),1),G983*M983*IF(E983="FUTURE",VLOOKUP(MID(I983,2,2),[1]Futures!$A$2:$B$12,2),1)))</f>
        <v>0</v>
      </c>
      <c r="R983" s="12" t="str">
        <f>IFERROR(Q983/P983/IF(E983="FUTURE",VLOOKUP(MID(I983,2,2),[1]Futures!$A$2:$B$12,2),1),"")</f>
        <v/>
      </c>
      <c r="S983" s="13">
        <f>IF(AND(H983="TO CLOSE",P983=0),-G983*(M983-R982)*IF(E983="FUTURE",VLOOKUP(MID(I983,2,2),[1]Futures!$A$2:$B$12,2),1),"")</f>
        <v>189.00000000000148</v>
      </c>
    </row>
    <row r="984" spans="1:19" x14ac:dyDescent="0.2">
      <c r="A984">
        <f t="shared" si="47"/>
        <v>292</v>
      </c>
      <c r="B984" s="3">
        <v>43964</v>
      </c>
      <c r="C984" s="3" t="str">
        <f t="shared" si="46"/>
        <v>Wednesday</v>
      </c>
      <c r="D984" s="2">
        <v>0.48003472222222227</v>
      </c>
      <c r="E984" t="s">
        <v>22</v>
      </c>
      <c r="F984" t="s">
        <v>19</v>
      </c>
      <c r="G984">
        <v>200</v>
      </c>
      <c r="H984" t="s">
        <v>20</v>
      </c>
      <c r="I984" t="s">
        <v>23</v>
      </c>
      <c r="L984" t="s">
        <v>22</v>
      </c>
      <c r="M984">
        <v>37.39</v>
      </c>
      <c r="N984">
        <v>37.39</v>
      </c>
      <c r="O984" t="s">
        <v>21</v>
      </c>
      <c r="P984">
        <f t="shared" si="48"/>
        <v>200</v>
      </c>
      <c r="Q984" s="11">
        <f>IF(P984=0,0,IFERROR(Q983+G984*M984*IF(E984="FUTURE",VLOOKUP(MID(I984,2,2),[1]Futures!$A$2:$B$12,2),1),G984*M984*IF(E984="FUTURE",VLOOKUP(MID(I984,2,2),[1]Futures!$A$2:$B$12,2),1)))</f>
        <v>7478</v>
      </c>
      <c r="R984" s="12">
        <f>IFERROR(Q984/P984/IF(E984="FUTURE",VLOOKUP(MID(I984,2,2),[1]Futures!$A$2:$B$12,2),1),"")</f>
        <v>37.39</v>
      </c>
      <c r="S984" s="13" t="str">
        <f>IF(AND(H984="TO CLOSE",P984=0),-G984*(M984-R983)*IF(E984="FUTURE",VLOOKUP(MID(I984,2,2),[1]Futures!$A$2:$B$12,2),1),"")</f>
        <v/>
      </c>
    </row>
    <row r="985" spans="1:19" x14ac:dyDescent="0.2">
      <c r="A985">
        <f t="shared" si="47"/>
        <v>292</v>
      </c>
      <c r="B985" s="3">
        <v>43964</v>
      </c>
      <c r="C985" s="3" t="str">
        <f t="shared" si="46"/>
        <v>Wednesday</v>
      </c>
      <c r="D985" s="2">
        <v>0.48502314814814818</v>
      </c>
      <c r="E985" t="s">
        <v>22</v>
      </c>
      <c r="F985" t="s">
        <v>15</v>
      </c>
      <c r="G985">
        <v>-200</v>
      </c>
      <c r="H985" t="s">
        <v>16</v>
      </c>
      <c r="I985" t="s">
        <v>23</v>
      </c>
      <c r="L985" t="s">
        <v>22</v>
      </c>
      <c r="M985">
        <v>37.835000000000001</v>
      </c>
      <c r="N985">
        <v>37.835000000000001</v>
      </c>
      <c r="O985" t="s">
        <v>24</v>
      </c>
      <c r="P985">
        <f t="shared" si="48"/>
        <v>0</v>
      </c>
      <c r="Q985" s="11">
        <f>IF(P985=0,0,IFERROR(Q984+G985*M985*IF(E985="FUTURE",VLOOKUP(MID(I985,2,2),[1]Futures!$A$2:$B$12,2),1),G985*M985*IF(E985="FUTURE",VLOOKUP(MID(I985,2,2),[1]Futures!$A$2:$B$12,2),1)))</f>
        <v>0</v>
      </c>
      <c r="R985" s="12" t="str">
        <f>IFERROR(Q985/P985/IF(E985="FUTURE",VLOOKUP(MID(I985,2,2),[1]Futures!$A$2:$B$12,2),1),"")</f>
        <v/>
      </c>
      <c r="S985" s="13">
        <f>IF(AND(H985="TO CLOSE",P985=0),-G985*(M985-R984)*IF(E985="FUTURE",VLOOKUP(MID(I985,2,2),[1]Futures!$A$2:$B$12,2),1),"")</f>
        <v>89.000000000000057</v>
      </c>
    </row>
    <row r="986" spans="1:19" x14ac:dyDescent="0.2">
      <c r="A986">
        <f t="shared" si="47"/>
        <v>293</v>
      </c>
      <c r="B986" s="3">
        <v>43964</v>
      </c>
      <c r="C986" s="3" t="str">
        <f t="shared" si="46"/>
        <v>Wednesday</v>
      </c>
      <c r="D986" s="2">
        <v>0.48646990740740742</v>
      </c>
      <c r="E986" t="s">
        <v>22</v>
      </c>
      <c r="F986" t="s">
        <v>15</v>
      </c>
      <c r="G986">
        <v>-200</v>
      </c>
      <c r="H986" t="s">
        <v>20</v>
      </c>
      <c r="I986" t="s">
        <v>23</v>
      </c>
      <c r="L986" t="s">
        <v>22</v>
      </c>
      <c r="M986">
        <v>37.762300000000003</v>
      </c>
      <c r="N986">
        <v>37.762300000000003</v>
      </c>
      <c r="O986" t="s">
        <v>21</v>
      </c>
      <c r="P986">
        <f t="shared" si="48"/>
        <v>-200</v>
      </c>
      <c r="Q986" s="11">
        <f>IF(P986=0,0,IFERROR(Q985+G986*M986*IF(E986="FUTURE",VLOOKUP(MID(I986,2,2),[1]Futures!$A$2:$B$12,2),1),G986*M986*IF(E986="FUTURE",VLOOKUP(MID(I986,2,2),[1]Futures!$A$2:$B$12,2),1)))</f>
        <v>-7552.4600000000009</v>
      </c>
      <c r="R986" s="12">
        <f>IFERROR(Q986/P986/IF(E986="FUTURE",VLOOKUP(MID(I986,2,2),[1]Futures!$A$2:$B$12,2),1),"")</f>
        <v>37.762300000000003</v>
      </c>
      <c r="S986" s="13" t="str">
        <f>IF(AND(H986="TO CLOSE",P986=0),-G986*(M986-R985)*IF(E986="FUTURE",VLOOKUP(MID(I986,2,2),[1]Futures!$A$2:$B$12,2),1),"")</f>
        <v/>
      </c>
    </row>
    <row r="987" spans="1:19" x14ac:dyDescent="0.2">
      <c r="A987">
        <f t="shared" si="47"/>
        <v>293</v>
      </c>
      <c r="B987" s="3">
        <v>43964</v>
      </c>
      <c r="C987" s="3" t="str">
        <f t="shared" si="46"/>
        <v>Wednesday</v>
      </c>
      <c r="D987" s="2">
        <v>0.48780092592592594</v>
      </c>
      <c r="E987" t="s">
        <v>22</v>
      </c>
      <c r="F987" t="s">
        <v>19</v>
      </c>
      <c r="G987">
        <v>200</v>
      </c>
      <c r="H987" t="s">
        <v>16</v>
      </c>
      <c r="I987" t="s">
        <v>23</v>
      </c>
      <c r="L987" t="s">
        <v>22</v>
      </c>
      <c r="M987">
        <v>38.079000000000001</v>
      </c>
      <c r="N987">
        <v>38.079000000000001</v>
      </c>
      <c r="O987" t="s">
        <v>18</v>
      </c>
      <c r="P987">
        <f t="shared" si="48"/>
        <v>0</v>
      </c>
      <c r="Q987" s="11">
        <f>IF(P987=0,0,IFERROR(Q986+G987*M987*IF(E987="FUTURE",VLOOKUP(MID(I987,2,2),[1]Futures!$A$2:$B$12,2),1),G987*M987*IF(E987="FUTURE",VLOOKUP(MID(I987,2,2),[1]Futures!$A$2:$B$12,2),1)))</f>
        <v>0</v>
      </c>
      <c r="R987" s="12" t="str">
        <f>IFERROR(Q987/P987/IF(E987="FUTURE",VLOOKUP(MID(I987,2,2),[1]Futures!$A$2:$B$12,2),1),"")</f>
        <v/>
      </c>
      <c r="S987" s="13">
        <f>IF(AND(H987="TO CLOSE",P987=0),-G987*(M987-R986)*IF(E987="FUTURE",VLOOKUP(MID(I987,2,2),[1]Futures!$A$2:$B$12,2),1),"")</f>
        <v>-63.339999999999463</v>
      </c>
    </row>
    <row r="988" spans="1:19" x14ac:dyDescent="0.2">
      <c r="A988">
        <f t="shared" si="47"/>
        <v>294</v>
      </c>
      <c r="B988" s="3">
        <v>43964</v>
      </c>
      <c r="C988" s="3" t="str">
        <f t="shared" si="46"/>
        <v>Wednesday</v>
      </c>
      <c r="D988" s="2">
        <v>0.4913541666666667</v>
      </c>
      <c r="E988" t="s">
        <v>22</v>
      </c>
      <c r="F988" t="s">
        <v>15</v>
      </c>
      <c r="G988">
        <v>-200</v>
      </c>
      <c r="H988" t="s">
        <v>20</v>
      </c>
      <c r="I988" t="s">
        <v>23</v>
      </c>
      <c r="L988" t="s">
        <v>22</v>
      </c>
      <c r="M988">
        <v>38.46</v>
      </c>
      <c r="N988">
        <v>38.46</v>
      </c>
      <c r="O988" t="s">
        <v>21</v>
      </c>
      <c r="P988">
        <f t="shared" si="48"/>
        <v>-200</v>
      </c>
      <c r="Q988" s="11">
        <f>IF(P988=0,0,IFERROR(Q987+G988*M988*IF(E988="FUTURE",VLOOKUP(MID(I988,2,2),[1]Futures!$A$2:$B$12,2),1),G988*M988*IF(E988="FUTURE",VLOOKUP(MID(I988,2,2),[1]Futures!$A$2:$B$12,2),1)))</f>
        <v>-7692</v>
      </c>
      <c r="R988" s="12">
        <f>IFERROR(Q988/P988/IF(E988="FUTURE",VLOOKUP(MID(I988,2,2),[1]Futures!$A$2:$B$12,2),1),"")</f>
        <v>38.46</v>
      </c>
      <c r="S988" s="13" t="str">
        <f>IF(AND(H988="TO CLOSE",P988=0),-G988*(M988-R987)*IF(E988="FUTURE",VLOOKUP(MID(I988,2,2),[1]Futures!$A$2:$B$12,2),1),"")</f>
        <v/>
      </c>
    </row>
    <row r="989" spans="1:19" x14ac:dyDescent="0.2">
      <c r="A989">
        <f t="shared" si="47"/>
        <v>294</v>
      </c>
      <c r="B989" s="3">
        <v>43964</v>
      </c>
      <c r="C989" s="3" t="str">
        <f t="shared" si="46"/>
        <v>Wednesday</v>
      </c>
      <c r="D989" s="2">
        <v>0.4927199074074074</v>
      </c>
      <c r="E989" t="s">
        <v>22</v>
      </c>
      <c r="F989" t="s">
        <v>15</v>
      </c>
      <c r="G989">
        <v>-100</v>
      </c>
      <c r="H989" t="s">
        <v>20</v>
      </c>
      <c r="I989" t="s">
        <v>23</v>
      </c>
      <c r="L989" t="s">
        <v>22</v>
      </c>
      <c r="M989">
        <v>38.69</v>
      </c>
      <c r="N989">
        <v>38.69</v>
      </c>
      <c r="O989" t="s">
        <v>21</v>
      </c>
      <c r="P989">
        <f t="shared" si="48"/>
        <v>-300</v>
      </c>
      <c r="Q989" s="11">
        <f>IF(P989=0,0,IFERROR(Q988+G989*M989*IF(E989="FUTURE",VLOOKUP(MID(I989,2,2),[1]Futures!$A$2:$B$12,2),1),G989*M989*IF(E989="FUTURE",VLOOKUP(MID(I989,2,2),[1]Futures!$A$2:$B$12,2),1)))</f>
        <v>-11561</v>
      </c>
      <c r="R989" s="12">
        <f>IFERROR(Q989/P989/IF(E989="FUTURE",VLOOKUP(MID(I989,2,2),[1]Futures!$A$2:$B$12,2),1),"")</f>
        <v>38.536666666666669</v>
      </c>
      <c r="S989" s="13" t="str">
        <f>IF(AND(H989="TO CLOSE",P989=0),-G989*(M989-R988)*IF(E989="FUTURE",VLOOKUP(MID(I989,2,2),[1]Futures!$A$2:$B$12,2),1),"")</f>
        <v/>
      </c>
    </row>
    <row r="990" spans="1:19" x14ac:dyDescent="0.2">
      <c r="A990">
        <f t="shared" si="47"/>
        <v>294</v>
      </c>
      <c r="B990" s="3">
        <v>43964</v>
      </c>
      <c r="C990" s="3" t="str">
        <f t="shared" si="46"/>
        <v>Wednesday</v>
      </c>
      <c r="D990" s="2">
        <v>0.49770833333333336</v>
      </c>
      <c r="E990" t="s">
        <v>22</v>
      </c>
      <c r="F990" t="s">
        <v>15</v>
      </c>
      <c r="G990">
        <v>-100</v>
      </c>
      <c r="H990" t="s">
        <v>20</v>
      </c>
      <c r="I990" t="s">
        <v>23</v>
      </c>
      <c r="L990" t="s">
        <v>22</v>
      </c>
      <c r="M990">
        <v>38.68</v>
      </c>
      <c r="N990">
        <v>38.68</v>
      </c>
      <c r="O990" t="s">
        <v>21</v>
      </c>
      <c r="P990">
        <f t="shared" si="48"/>
        <v>-400</v>
      </c>
      <c r="Q990" s="11">
        <f>IF(P990=0,0,IFERROR(Q989+G990*M990*IF(E990="FUTURE",VLOOKUP(MID(I990,2,2),[1]Futures!$A$2:$B$12,2),1),G990*M990*IF(E990="FUTURE",VLOOKUP(MID(I990,2,2),[1]Futures!$A$2:$B$12,2),1)))</f>
        <v>-15429</v>
      </c>
      <c r="R990" s="12">
        <f>IFERROR(Q990/P990/IF(E990="FUTURE",VLOOKUP(MID(I990,2,2),[1]Futures!$A$2:$B$12,2),1),"")</f>
        <v>38.572499999999998</v>
      </c>
      <c r="S990" s="13" t="str">
        <f>IF(AND(H990="TO CLOSE",P990=0),-G990*(M990-R989)*IF(E990="FUTURE",VLOOKUP(MID(I990,2,2),[1]Futures!$A$2:$B$12,2),1),"")</f>
        <v/>
      </c>
    </row>
    <row r="991" spans="1:19" x14ac:dyDescent="0.2">
      <c r="A991">
        <f t="shared" si="47"/>
        <v>294</v>
      </c>
      <c r="B991" s="3">
        <v>43964</v>
      </c>
      <c r="C991" s="3" t="str">
        <f t="shared" si="46"/>
        <v>Wednesday</v>
      </c>
      <c r="D991" s="2">
        <v>0.50612268518518522</v>
      </c>
      <c r="E991" t="s">
        <v>22</v>
      </c>
      <c r="F991" t="s">
        <v>15</v>
      </c>
      <c r="G991">
        <v>-100</v>
      </c>
      <c r="H991" t="s">
        <v>20</v>
      </c>
      <c r="I991" t="s">
        <v>23</v>
      </c>
      <c r="L991" t="s">
        <v>22</v>
      </c>
      <c r="M991">
        <v>39.07</v>
      </c>
      <c r="N991">
        <v>39.07</v>
      </c>
      <c r="O991" t="s">
        <v>21</v>
      </c>
      <c r="P991">
        <f t="shared" si="48"/>
        <v>-500</v>
      </c>
      <c r="Q991" s="11">
        <f>IF(P991=0,0,IFERROR(Q990+G991*M991*IF(E991="FUTURE",VLOOKUP(MID(I991,2,2),[1]Futures!$A$2:$B$12,2),1),G991*M991*IF(E991="FUTURE",VLOOKUP(MID(I991,2,2),[1]Futures!$A$2:$B$12,2),1)))</f>
        <v>-19336</v>
      </c>
      <c r="R991" s="12">
        <f>IFERROR(Q991/P991/IF(E991="FUTURE",VLOOKUP(MID(I991,2,2),[1]Futures!$A$2:$B$12,2),1),"")</f>
        <v>38.671999999999997</v>
      </c>
      <c r="S991" s="13" t="str">
        <f>IF(AND(H991="TO CLOSE",P991=0),-G991*(M991-R990)*IF(E991="FUTURE",VLOOKUP(MID(I991,2,2),[1]Futures!$A$2:$B$12,2),1),"")</f>
        <v/>
      </c>
    </row>
    <row r="992" spans="1:19" x14ac:dyDescent="0.2">
      <c r="A992">
        <f t="shared" si="47"/>
        <v>294</v>
      </c>
      <c r="B992" s="3">
        <v>43964</v>
      </c>
      <c r="C992" s="3" t="str">
        <f t="shared" si="46"/>
        <v>Wednesday</v>
      </c>
      <c r="D992" s="2">
        <v>0.63714120370370375</v>
      </c>
      <c r="E992" t="s">
        <v>22</v>
      </c>
      <c r="F992" t="s">
        <v>19</v>
      </c>
      <c r="G992">
        <v>300</v>
      </c>
      <c r="H992" t="s">
        <v>16</v>
      </c>
      <c r="I992" t="s">
        <v>23</v>
      </c>
      <c r="L992" t="s">
        <v>22</v>
      </c>
      <c r="M992">
        <v>40.21</v>
      </c>
      <c r="N992">
        <v>40.21</v>
      </c>
      <c r="O992" t="s">
        <v>18</v>
      </c>
      <c r="P992">
        <f t="shared" si="48"/>
        <v>-200</v>
      </c>
      <c r="Q992" s="11">
        <f>IF(P992=0,0,IFERROR(Q991+G992*M992*IF(E992="FUTURE",VLOOKUP(MID(I992,2,2),[1]Futures!$A$2:$B$12,2),1),G992*M992*IF(E992="FUTURE",VLOOKUP(MID(I992,2,2),[1]Futures!$A$2:$B$12,2),1)))</f>
        <v>-7273</v>
      </c>
      <c r="R992" s="12">
        <f>IFERROR(Q992/P992/IF(E992="FUTURE",VLOOKUP(MID(I992,2,2),[1]Futures!$A$2:$B$12,2),1),"")</f>
        <v>36.365000000000002</v>
      </c>
      <c r="S992" s="13" t="str">
        <f>IF(AND(H992="TO CLOSE",P992=0),-G992*(M992-R991)*IF(E992="FUTURE",VLOOKUP(MID(I992,2,2),[1]Futures!$A$2:$B$12,2),1),"")</f>
        <v/>
      </c>
    </row>
    <row r="993" spans="1:19" x14ac:dyDescent="0.2">
      <c r="A993">
        <f t="shared" si="47"/>
        <v>294</v>
      </c>
      <c r="B993" s="3">
        <v>43964</v>
      </c>
      <c r="C993" s="3" t="str">
        <f t="shared" si="46"/>
        <v>Wednesday</v>
      </c>
      <c r="D993" s="2">
        <v>0.63714120370370375</v>
      </c>
      <c r="E993" t="s">
        <v>22</v>
      </c>
      <c r="F993" t="s">
        <v>19</v>
      </c>
      <c r="G993">
        <v>100</v>
      </c>
      <c r="H993" t="s">
        <v>16</v>
      </c>
      <c r="I993" t="s">
        <v>23</v>
      </c>
      <c r="L993" t="s">
        <v>22</v>
      </c>
      <c r="M993">
        <v>40.21</v>
      </c>
      <c r="N993">
        <v>40.21</v>
      </c>
      <c r="O993" t="s">
        <v>18</v>
      </c>
      <c r="P993">
        <f t="shared" si="48"/>
        <v>-100</v>
      </c>
      <c r="Q993" s="11">
        <f>IF(P993=0,0,IFERROR(Q992+G993*M993*IF(E993="FUTURE",VLOOKUP(MID(I993,2,2),[1]Futures!$A$2:$B$12,2),1),G993*M993*IF(E993="FUTURE",VLOOKUP(MID(I993,2,2),[1]Futures!$A$2:$B$12,2),1)))</f>
        <v>-3252</v>
      </c>
      <c r="R993" s="12">
        <f>IFERROR(Q993/P993/IF(E993="FUTURE",VLOOKUP(MID(I993,2,2),[1]Futures!$A$2:$B$12,2),1),"")</f>
        <v>32.520000000000003</v>
      </c>
      <c r="S993" s="13" t="str">
        <f>IF(AND(H993="TO CLOSE",P993=0),-G993*(M993-R992)*IF(E993="FUTURE",VLOOKUP(MID(I993,2,2),[1]Futures!$A$2:$B$12,2),1),"")</f>
        <v/>
      </c>
    </row>
    <row r="994" spans="1:19" x14ac:dyDescent="0.2">
      <c r="A994">
        <f t="shared" si="47"/>
        <v>294</v>
      </c>
      <c r="B994" s="3">
        <v>43964</v>
      </c>
      <c r="C994" s="3" t="str">
        <f t="shared" si="46"/>
        <v>Wednesday</v>
      </c>
      <c r="D994" s="2">
        <v>0.63714120370370375</v>
      </c>
      <c r="E994" t="s">
        <v>22</v>
      </c>
      <c r="F994" t="s">
        <v>19</v>
      </c>
      <c r="G994">
        <v>100</v>
      </c>
      <c r="H994" t="s">
        <v>16</v>
      </c>
      <c r="I994" t="s">
        <v>23</v>
      </c>
      <c r="L994" t="s">
        <v>22</v>
      </c>
      <c r="M994">
        <v>40.21</v>
      </c>
      <c r="N994">
        <v>40.21</v>
      </c>
      <c r="O994" t="s">
        <v>18</v>
      </c>
      <c r="P994">
        <f t="shared" si="48"/>
        <v>0</v>
      </c>
      <c r="Q994" s="11">
        <f>IF(P994=0,0,IFERROR(Q993+G994*M994*IF(E994="FUTURE",VLOOKUP(MID(I994,2,2),[1]Futures!$A$2:$B$12,2),1),G994*M994*IF(E994="FUTURE",VLOOKUP(MID(I994,2,2),[1]Futures!$A$2:$B$12,2),1)))</f>
        <v>0</v>
      </c>
      <c r="R994" s="12" t="str">
        <f>IFERROR(Q994/P994/IF(E994="FUTURE",VLOOKUP(MID(I994,2,2),[1]Futures!$A$2:$B$12,2),1),"")</f>
        <v/>
      </c>
      <c r="S994" s="13">
        <f>IF(AND(H994="TO CLOSE",P994=0),-G994*(M994-R993)*IF(E994="FUTURE",VLOOKUP(MID(I994,2,2),[1]Futures!$A$2:$B$12,2),1),"")</f>
        <v>-768.99999999999977</v>
      </c>
    </row>
    <row r="995" spans="1:19" x14ac:dyDescent="0.2">
      <c r="A995">
        <f t="shared" si="47"/>
        <v>295</v>
      </c>
      <c r="B995" s="3">
        <v>43964</v>
      </c>
      <c r="C995" s="3" t="str">
        <f t="shared" si="46"/>
        <v>Wednesday</v>
      </c>
      <c r="D995" s="2">
        <v>0.63898148148148148</v>
      </c>
      <c r="E995" t="s">
        <v>22</v>
      </c>
      <c r="F995" t="s">
        <v>15</v>
      </c>
      <c r="G995">
        <v>-500</v>
      </c>
      <c r="H995" t="s">
        <v>20</v>
      </c>
      <c r="I995" t="s">
        <v>23</v>
      </c>
      <c r="L995" t="s">
        <v>22</v>
      </c>
      <c r="M995">
        <v>39.903300000000002</v>
      </c>
      <c r="N995">
        <v>39.903300000000002</v>
      </c>
      <c r="O995" t="s">
        <v>24</v>
      </c>
      <c r="P995">
        <f t="shared" si="48"/>
        <v>-500</v>
      </c>
      <c r="Q995" s="11">
        <f>IF(P995=0,0,IFERROR(Q994+G995*M995*IF(E995="FUTURE",VLOOKUP(MID(I995,2,2),[1]Futures!$A$2:$B$12,2),1),G995*M995*IF(E995="FUTURE",VLOOKUP(MID(I995,2,2),[1]Futures!$A$2:$B$12,2),1)))</f>
        <v>-19951.650000000001</v>
      </c>
      <c r="R995" s="12">
        <f>IFERROR(Q995/P995/IF(E995="FUTURE",VLOOKUP(MID(I995,2,2),[1]Futures!$A$2:$B$12,2),1),"")</f>
        <v>39.903300000000002</v>
      </c>
      <c r="S995" s="13" t="str">
        <f>IF(AND(H995="TO CLOSE",P995=0),-G995*(M995-R994)*IF(E995="FUTURE",VLOOKUP(MID(I995,2,2),[1]Futures!$A$2:$B$12,2),1),"")</f>
        <v/>
      </c>
    </row>
    <row r="996" spans="1:19" x14ac:dyDescent="0.2">
      <c r="A996">
        <f t="shared" si="47"/>
        <v>295</v>
      </c>
      <c r="B996" s="3">
        <v>43964</v>
      </c>
      <c r="C996" s="3" t="str">
        <f t="shared" si="46"/>
        <v>Wednesday</v>
      </c>
      <c r="D996" s="2">
        <v>0.64070601851851849</v>
      </c>
      <c r="E996" t="s">
        <v>22</v>
      </c>
      <c r="F996" t="s">
        <v>19</v>
      </c>
      <c r="G996">
        <v>190</v>
      </c>
      <c r="H996" t="s">
        <v>16</v>
      </c>
      <c r="I996" t="s">
        <v>23</v>
      </c>
      <c r="L996" t="s">
        <v>22</v>
      </c>
      <c r="M996">
        <v>40.4</v>
      </c>
      <c r="N996">
        <v>40.4</v>
      </c>
      <c r="O996" t="s">
        <v>18</v>
      </c>
      <c r="P996">
        <f t="shared" si="48"/>
        <v>-310</v>
      </c>
      <c r="Q996" s="11">
        <f>IF(P996=0,0,IFERROR(Q995+G996*M996*IF(E996="FUTURE",VLOOKUP(MID(I996,2,2),[1]Futures!$A$2:$B$12,2),1),G996*M996*IF(E996="FUTURE",VLOOKUP(MID(I996,2,2),[1]Futures!$A$2:$B$12,2),1)))</f>
        <v>-12275.650000000001</v>
      </c>
      <c r="R996" s="12">
        <f>IFERROR(Q996/P996/IF(E996="FUTURE",VLOOKUP(MID(I996,2,2),[1]Futures!$A$2:$B$12,2),1),"")</f>
        <v>39.598870967741938</v>
      </c>
      <c r="S996" s="13" t="str">
        <f>IF(AND(H996="TO CLOSE",P996=0),-G996*(M996-R995)*IF(E996="FUTURE",VLOOKUP(MID(I996,2,2),[1]Futures!$A$2:$B$12,2),1),"")</f>
        <v/>
      </c>
    </row>
    <row r="997" spans="1:19" x14ac:dyDescent="0.2">
      <c r="A997">
        <f t="shared" si="47"/>
        <v>295</v>
      </c>
      <c r="B997" s="3">
        <v>43964</v>
      </c>
      <c r="C997" s="3" t="str">
        <f t="shared" si="46"/>
        <v>Wednesday</v>
      </c>
      <c r="D997" s="2">
        <v>0.64070601851851849</v>
      </c>
      <c r="E997" t="s">
        <v>22</v>
      </c>
      <c r="F997" t="s">
        <v>19</v>
      </c>
      <c r="G997">
        <v>100</v>
      </c>
      <c r="H997" t="s">
        <v>16</v>
      </c>
      <c r="I997" t="s">
        <v>23</v>
      </c>
      <c r="L997" t="s">
        <v>22</v>
      </c>
      <c r="M997">
        <v>40.4</v>
      </c>
      <c r="N997">
        <v>40.4</v>
      </c>
      <c r="O997" t="s">
        <v>18</v>
      </c>
      <c r="P997">
        <f t="shared" si="48"/>
        <v>-210</v>
      </c>
      <c r="Q997" s="11">
        <f>IF(P997=0,0,IFERROR(Q996+G997*M997*IF(E997="FUTURE",VLOOKUP(MID(I997,2,2),[1]Futures!$A$2:$B$12,2),1),G997*M997*IF(E997="FUTURE",VLOOKUP(MID(I997,2,2),[1]Futures!$A$2:$B$12,2),1)))</f>
        <v>-8235.6500000000015</v>
      </c>
      <c r="R997" s="12">
        <f>IFERROR(Q997/P997/IF(E997="FUTURE",VLOOKUP(MID(I997,2,2),[1]Futures!$A$2:$B$12,2),1),"")</f>
        <v>39.217380952380957</v>
      </c>
      <c r="S997" s="13" t="str">
        <f>IF(AND(H997="TO CLOSE",P997=0),-G997*(M997-R996)*IF(E997="FUTURE",VLOOKUP(MID(I997,2,2),[1]Futures!$A$2:$B$12,2),1),"")</f>
        <v/>
      </c>
    </row>
    <row r="998" spans="1:19" x14ac:dyDescent="0.2">
      <c r="A998">
        <f t="shared" si="47"/>
        <v>295</v>
      </c>
      <c r="B998" s="3">
        <v>43964</v>
      </c>
      <c r="C998" s="3" t="str">
        <f t="shared" si="46"/>
        <v>Wednesday</v>
      </c>
      <c r="D998" s="2">
        <v>0.64070601851851849</v>
      </c>
      <c r="E998" t="s">
        <v>22</v>
      </c>
      <c r="F998" t="s">
        <v>19</v>
      </c>
      <c r="G998">
        <v>200</v>
      </c>
      <c r="H998" t="s">
        <v>16</v>
      </c>
      <c r="I998" t="s">
        <v>23</v>
      </c>
      <c r="L998" t="s">
        <v>22</v>
      </c>
      <c r="M998">
        <v>40.4</v>
      </c>
      <c r="N998">
        <v>40.4</v>
      </c>
      <c r="O998" t="s">
        <v>18</v>
      </c>
      <c r="P998">
        <f t="shared" si="48"/>
        <v>-10</v>
      </c>
      <c r="Q998" s="11">
        <f>IF(P998=0,0,IFERROR(Q997+G998*M998*IF(E998="FUTURE",VLOOKUP(MID(I998,2,2),[1]Futures!$A$2:$B$12,2),1),G998*M998*IF(E998="FUTURE",VLOOKUP(MID(I998,2,2),[1]Futures!$A$2:$B$12,2),1)))</f>
        <v>-155.65000000000146</v>
      </c>
      <c r="R998" s="12">
        <f>IFERROR(Q998/P998/IF(E998="FUTURE",VLOOKUP(MID(I998,2,2),[1]Futures!$A$2:$B$12,2),1),"")</f>
        <v>15.565000000000145</v>
      </c>
      <c r="S998" s="13" t="str">
        <f>IF(AND(H998="TO CLOSE",P998=0),-G998*(M998-R997)*IF(E998="FUTURE",VLOOKUP(MID(I998,2,2),[1]Futures!$A$2:$B$12,2),1),"")</f>
        <v/>
      </c>
    </row>
    <row r="999" spans="1:19" x14ac:dyDescent="0.2">
      <c r="A999">
        <f t="shared" si="47"/>
        <v>295</v>
      </c>
      <c r="B999" s="3">
        <v>43964</v>
      </c>
      <c r="C999" s="3" t="str">
        <f t="shared" si="46"/>
        <v>Wednesday</v>
      </c>
      <c r="D999" s="2">
        <v>0.64070601851851849</v>
      </c>
      <c r="E999" t="s">
        <v>22</v>
      </c>
      <c r="F999" t="s">
        <v>19</v>
      </c>
      <c r="G999">
        <v>10</v>
      </c>
      <c r="H999" t="s">
        <v>16</v>
      </c>
      <c r="I999" t="s">
        <v>23</v>
      </c>
      <c r="L999" t="s">
        <v>22</v>
      </c>
      <c r="M999">
        <v>40.4</v>
      </c>
      <c r="N999">
        <v>40.4</v>
      </c>
      <c r="O999" t="s">
        <v>18</v>
      </c>
      <c r="P999">
        <f t="shared" si="48"/>
        <v>0</v>
      </c>
      <c r="Q999" s="11">
        <f>IF(P999=0,0,IFERROR(Q998+G999*M999*IF(E999="FUTURE",VLOOKUP(MID(I999,2,2),[1]Futures!$A$2:$B$12,2),1),G999*M999*IF(E999="FUTURE",VLOOKUP(MID(I999,2,2),[1]Futures!$A$2:$B$12,2),1)))</f>
        <v>0</v>
      </c>
      <c r="R999" s="12" t="str">
        <f>IFERROR(Q999/P999/IF(E999="FUTURE",VLOOKUP(MID(I999,2,2),[1]Futures!$A$2:$B$12,2),1),"")</f>
        <v/>
      </c>
      <c r="S999" s="13">
        <f>IF(AND(H999="TO CLOSE",P999=0),-G999*(M999-R998)*IF(E999="FUTURE",VLOOKUP(MID(I999,2,2),[1]Futures!$A$2:$B$12,2),1),"")</f>
        <v>-248.34999999999852</v>
      </c>
    </row>
    <row r="1000" spans="1:19" x14ac:dyDescent="0.2">
      <c r="A1000">
        <f t="shared" si="47"/>
        <v>296</v>
      </c>
      <c r="B1000" s="3">
        <v>43964</v>
      </c>
      <c r="C1000" s="3" t="str">
        <f t="shared" si="46"/>
        <v>Wednesday</v>
      </c>
      <c r="D1000" s="2">
        <v>0.64468749999999997</v>
      </c>
      <c r="E1000" t="s">
        <v>22</v>
      </c>
      <c r="F1000" t="s">
        <v>15</v>
      </c>
      <c r="G1000">
        <v>-100</v>
      </c>
      <c r="H1000" t="s">
        <v>20</v>
      </c>
      <c r="I1000" t="s">
        <v>23</v>
      </c>
      <c r="L1000" t="s">
        <v>22</v>
      </c>
      <c r="M1000">
        <v>40.500100000000003</v>
      </c>
      <c r="N1000">
        <v>40.500100000000003</v>
      </c>
      <c r="O1000" t="s">
        <v>21</v>
      </c>
      <c r="P1000">
        <f t="shared" si="48"/>
        <v>-100</v>
      </c>
      <c r="Q1000" s="11">
        <f>IF(P1000=0,0,IFERROR(Q999+G1000*M1000*IF(E1000="FUTURE",VLOOKUP(MID(I1000,2,2),[1]Futures!$A$2:$B$12,2),1),G1000*M1000*IF(E1000="FUTURE",VLOOKUP(MID(I1000,2,2),[1]Futures!$A$2:$B$12,2),1)))</f>
        <v>-4050.01</v>
      </c>
      <c r="R1000" s="12">
        <f>IFERROR(Q1000/P1000/IF(E1000="FUTURE",VLOOKUP(MID(I1000,2,2),[1]Futures!$A$2:$B$12,2),1),"")</f>
        <v>40.500100000000003</v>
      </c>
      <c r="S1000" s="13" t="str">
        <f>IF(AND(H1000="TO CLOSE",P1000=0),-G1000*(M1000-R999)*IF(E1000="FUTURE",VLOOKUP(MID(I1000,2,2),[1]Futures!$A$2:$B$12,2),1),"")</f>
        <v/>
      </c>
    </row>
    <row r="1001" spans="1:19" x14ac:dyDescent="0.2">
      <c r="A1001">
        <f t="shared" si="47"/>
        <v>296</v>
      </c>
      <c r="B1001" s="3">
        <v>43964</v>
      </c>
      <c r="C1001" s="3" t="str">
        <f t="shared" si="46"/>
        <v>Wednesday</v>
      </c>
      <c r="D1001" s="2">
        <v>0.64468749999999997</v>
      </c>
      <c r="E1001" t="s">
        <v>22</v>
      </c>
      <c r="F1001" t="s">
        <v>15</v>
      </c>
      <c r="G1001">
        <v>-100</v>
      </c>
      <c r="H1001" t="s">
        <v>20</v>
      </c>
      <c r="I1001" t="s">
        <v>23</v>
      </c>
      <c r="L1001" t="s">
        <v>22</v>
      </c>
      <c r="M1001">
        <v>40.500100000000003</v>
      </c>
      <c r="N1001">
        <v>40.500100000000003</v>
      </c>
      <c r="O1001" t="s">
        <v>21</v>
      </c>
      <c r="P1001">
        <f t="shared" si="48"/>
        <v>-200</v>
      </c>
      <c r="Q1001" s="11">
        <f>IF(P1001=0,0,IFERROR(Q1000+G1001*M1001*IF(E1001="FUTURE",VLOOKUP(MID(I1001,2,2),[1]Futures!$A$2:$B$12,2),1),G1001*M1001*IF(E1001="FUTURE",VLOOKUP(MID(I1001,2,2),[1]Futures!$A$2:$B$12,2),1)))</f>
        <v>-8100.02</v>
      </c>
      <c r="R1001" s="12">
        <f>IFERROR(Q1001/P1001/IF(E1001="FUTURE",VLOOKUP(MID(I1001,2,2),[1]Futures!$A$2:$B$12,2),1),"")</f>
        <v>40.500100000000003</v>
      </c>
      <c r="S1001" s="13" t="str">
        <f>IF(AND(H1001="TO CLOSE",P1001=0),-G1001*(M1001-R1000)*IF(E1001="FUTURE",VLOOKUP(MID(I1001,2,2),[1]Futures!$A$2:$B$12,2),1),"")</f>
        <v/>
      </c>
    </row>
    <row r="1002" spans="1:19" x14ac:dyDescent="0.2">
      <c r="A1002">
        <f t="shared" si="47"/>
        <v>296</v>
      </c>
      <c r="B1002" s="3">
        <v>43964</v>
      </c>
      <c r="C1002" s="3" t="str">
        <f t="shared" si="46"/>
        <v>Wednesday</v>
      </c>
      <c r="D1002" s="2">
        <v>0.64468749999999997</v>
      </c>
      <c r="E1002" t="s">
        <v>22</v>
      </c>
      <c r="F1002" t="s">
        <v>15</v>
      </c>
      <c r="G1002">
        <v>-100</v>
      </c>
      <c r="H1002" t="s">
        <v>20</v>
      </c>
      <c r="I1002" t="s">
        <v>23</v>
      </c>
      <c r="L1002" t="s">
        <v>22</v>
      </c>
      <c r="M1002">
        <v>40.500100000000003</v>
      </c>
      <c r="N1002">
        <v>40.500100000000003</v>
      </c>
      <c r="O1002" t="s">
        <v>21</v>
      </c>
      <c r="P1002">
        <f t="shared" si="48"/>
        <v>-300</v>
      </c>
      <c r="Q1002" s="11">
        <f>IF(P1002=0,0,IFERROR(Q1001+G1002*M1002*IF(E1002="FUTURE",VLOOKUP(MID(I1002,2,2),[1]Futures!$A$2:$B$12,2),1),G1002*M1002*IF(E1002="FUTURE",VLOOKUP(MID(I1002,2,2),[1]Futures!$A$2:$B$12,2),1)))</f>
        <v>-12150.03</v>
      </c>
      <c r="R1002" s="12">
        <f>IFERROR(Q1002/P1002/IF(E1002="FUTURE",VLOOKUP(MID(I1002,2,2),[1]Futures!$A$2:$B$12,2),1),"")</f>
        <v>40.500100000000003</v>
      </c>
      <c r="S1002" s="13" t="str">
        <f>IF(AND(H1002="TO CLOSE",P1002=0),-G1002*(M1002-R1001)*IF(E1002="FUTURE",VLOOKUP(MID(I1002,2,2),[1]Futures!$A$2:$B$12,2),1),"")</f>
        <v/>
      </c>
    </row>
    <row r="1003" spans="1:19" x14ac:dyDescent="0.2">
      <c r="A1003">
        <f t="shared" si="47"/>
        <v>296</v>
      </c>
      <c r="B1003" s="3">
        <v>43964</v>
      </c>
      <c r="C1003" s="3" t="str">
        <f t="shared" si="46"/>
        <v>Wednesday</v>
      </c>
      <c r="D1003" s="2">
        <v>0.64468749999999997</v>
      </c>
      <c r="E1003" t="s">
        <v>22</v>
      </c>
      <c r="F1003" t="s">
        <v>15</v>
      </c>
      <c r="G1003">
        <v>-10</v>
      </c>
      <c r="H1003" t="s">
        <v>20</v>
      </c>
      <c r="I1003" t="s">
        <v>23</v>
      </c>
      <c r="L1003" t="s">
        <v>22</v>
      </c>
      <c r="M1003">
        <v>40.500100000000003</v>
      </c>
      <c r="N1003">
        <v>40.5</v>
      </c>
      <c r="O1003" t="s">
        <v>21</v>
      </c>
      <c r="P1003">
        <f t="shared" si="48"/>
        <v>-310</v>
      </c>
      <c r="Q1003" s="11">
        <f>IF(P1003=0,0,IFERROR(Q1002+G1003*M1003*IF(E1003="FUTURE",VLOOKUP(MID(I1003,2,2),[1]Futures!$A$2:$B$12,2),1),G1003*M1003*IF(E1003="FUTURE",VLOOKUP(MID(I1003,2,2),[1]Futures!$A$2:$B$12,2),1)))</f>
        <v>-12555.031000000001</v>
      </c>
      <c r="R1003" s="12">
        <f>IFERROR(Q1003/P1003/IF(E1003="FUTURE",VLOOKUP(MID(I1003,2,2),[1]Futures!$A$2:$B$12,2),1),"")</f>
        <v>40.500100000000003</v>
      </c>
      <c r="S1003" s="13" t="str">
        <f>IF(AND(H1003="TO CLOSE",P1003=0),-G1003*(M1003-R1002)*IF(E1003="FUTURE",VLOOKUP(MID(I1003,2,2),[1]Futures!$A$2:$B$12,2),1),"")</f>
        <v/>
      </c>
    </row>
    <row r="1004" spans="1:19" x14ac:dyDescent="0.2">
      <c r="A1004">
        <f t="shared" si="47"/>
        <v>296</v>
      </c>
      <c r="B1004" s="3">
        <v>43964</v>
      </c>
      <c r="C1004" s="3" t="str">
        <f t="shared" si="46"/>
        <v>Wednesday</v>
      </c>
      <c r="D1004" s="2">
        <v>0.64468749999999997</v>
      </c>
      <c r="E1004" t="s">
        <v>22</v>
      </c>
      <c r="F1004" t="s">
        <v>15</v>
      </c>
      <c r="G1004">
        <v>-100</v>
      </c>
      <c r="H1004" t="s">
        <v>20</v>
      </c>
      <c r="I1004" t="s">
        <v>23</v>
      </c>
      <c r="L1004" t="s">
        <v>22</v>
      </c>
      <c r="M1004">
        <v>40.505000000000003</v>
      </c>
      <c r="N1004">
        <v>40.505000000000003</v>
      </c>
      <c r="O1004" t="s">
        <v>21</v>
      </c>
      <c r="P1004">
        <f t="shared" si="48"/>
        <v>-410</v>
      </c>
      <c r="Q1004" s="11">
        <f>IF(P1004=0,0,IFERROR(Q1003+G1004*M1004*IF(E1004="FUTURE",VLOOKUP(MID(I1004,2,2),[1]Futures!$A$2:$B$12,2),1),G1004*M1004*IF(E1004="FUTURE",VLOOKUP(MID(I1004,2,2),[1]Futures!$A$2:$B$12,2),1)))</f>
        <v>-16605.531000000003</v>
      </c>
      <c r="R1004" s="12">
        <f>IFERROR(Q1004/P1004/IF(E1004="FUTURE",VLOOKUP(MID(I1004,2,2),[1]Futures!$A$2:$B$12,2),1),"")</f>
        <v>40.501295121951223</v>
      </c>
      <c r="S1004" s="13" t="str">
        <f>IF(AND(H1004="TO CLOSE",P1004=0),-G1004*(M1004-R1003)*IF(E1004="FUTURE",VLOOKUP(MID(I1004,2,2),[1]Futures!$A$2:$B$12,2),1),"")</f>
        <v/>
      </c>
    </row>
    <row r="1005" spans="1:19" x14ac:dyDescent="0.2">
      <c r="A1005">
        <f t="shared" si="47"/>
        <v>296</v>
      </c>
      <c r="B1005" s="3">
        <v>43964</v>
      </c>
      <c r="C1005" s="3" t="str">
        <f t="shared" si="46"/>
        <v>Wednesday</v>
      </c>
      <c r="D1005" s="2">
        <v>0.64469907407407401</v>
      </c>
      <c r="E1005" t="s">
        <v>22</v>
      </c>
      <c r="F1005" t="s">
        <v>15</v>
      </c>
      <c r="G1005">
        <v>-90</v>
      </c>
      <c r="H1005" t="s">
        <v>20</v>
      </c>
      <c r="I1005" t="s">
        <v>23</v>
      </c>
      <c r="L1005" t="s">
        <v>22</v>
      </c>
      <c r="M1005">
        <v>40.5</v>
      </c>
      <c r="N1005">
        <v>40.5</v>
      </c>
      <c r="O1005" t="s">
        <v>21</v>
      </c>
      <c r="P1005">
        <f t="shared" si="48"/>
        <v>-500</v>
      </c>
      <c r="Q1005" s="11">
        <f>IF(P1005=0,0,IFERROR(Q1004+G1005*M1005*IF(E1005="FUTURE",VLOOKUP(MID(I1005,2,2),[1]Futures!$A$2:$B$12,2),1),G1005*M1005*IF(E1005="FUTURE",VLOOKUP(MID(I1005,2,2),[1]Futures!$A$2:$B$12,2),1)))</f>
        <v>-20250.531000000003</v>
      </c>
      <c r="R1005" s="12">
        <f>IFERROR(Q1005/P1005/IF(E1005="FUTURE",VLOOKUP(MID(I1005,2,2),[1]Futures!$A$2:$B$12,2),1),"")</f>
        <v>40.501062000000005</v>
      </c>
      <c r="S1005" s="13" t="str">
        <f>IF(AND(H1005="TO CLOSE",P1005=0),-G1005*(M1005-R1004)*IF(E1005="FUTURE",VLOOKUP(MID(I1005,2,2),[1]Futures!$A$2:$B$12,2),1),"")</f>
        <v/>
      </c>
    </row>
    <row r="1006" spans="1:19" x14ac:dyDescent="0.2">
      <c r="A1006">
        <f t="shared" si="47"/>
        <v>296</v>
      </c>
      <c r="B1006" s="3">
        <v>43964</v>
      </c>
      <c r="C1006" s="3" t="str">
        <f t="shared" si="46"/>
        <v>Wednesday</v>
      </c>
      <c r="D1006" s="2">
        <v>0.65203703703703708</v>
      </c>
      <c r="E1006" t="s">
        <v>22</v>
      </c>
      <c r="F1006" t="s">
        <v>19</v>
      </c>
      <c r="G1006">
        <v>500</v>
      </c>
      <c r="H1006" t="s">
        <v>16</v>
      </c>
      <c r="I1006" t="s">
        <v>23</v>
      </c>
      <c r="L1006" t="s">
        <v>22</v>
      </c>
      <c r="M1006">
        <v>40.380000000000003</v>
      </c>
      <c r="N1006">
        <v>40.380000000000003</v>
      </c>
      <c r="O1006" t="s">
        <v>18</v>
      </c>
      <c r="P1006">
        <f t="shared" si="48"/>
        <v>0</v>
      </c>
      <c r="Q1006" s="11">
        <f>IF(P1006=0,0,IFERROR(Q1005+G1006*M1006*IF(E1006="FUTURE",VLOOKUP(MID(I1006,2,2),[1]Futures!$A$2:$B$12,2),1),G1006*M1006*IF(E1006="FUTURE",VLOOKUP(MID(I1006,2,2),[1]Futures!$A$2:$B$12,2),1)))</f>
        <v>0</v>
      </c>
      <c r="R1006" s="12" t="str">
        <f>IFERROR(Q1006/P1006/IF(E1006="FUTURE",VLOOKUP(MID(I1006,2,2),[1]Futures!$A$2:$B$12,2),1),"")</f>
        <v/>
      </c>
      <c r="S1006" s="13">
        <f>IF(AND(H1006="TO CLOSE",P1006=0),-G1006*(M1006-R1005)*IF(E1006="FUTURE",VLOOKUP(MID(I1006,2,2),[1]Futures!$A$2:$B$12,2),1),"")</f>
        <v>60.531000000001001</v>
      </c>
    </row>
    <row r="1007" spans="1:19" x14ac:dyDescent="0.2">
      <c r="A1007">
        <f t="shared" si="47"/>
        <v>297</v>
      </c>
      <c r="B1007" s="3">
        <v>43965</v>
      </c>
      <c r="C1007" s="3" t="str">
        <f t="shared" si="46"/>
        <v>Thursday</v>
      </c>
      <c r="D1007" s="2">
        <v>0.41328703703703701</v>
      </c>
      <c r="E1007" t="s">
        <v>14</v>
      </c>
      <c r="F1007" t="s">
        <v>15</v>
      </c>
      <c r="G1007">
        <v>-1</v>
      </c>
      <c r="H1007" t="s">
        <v>20</v>
      </c>
      <c r="I1007" t="s">
        <v>77</v>
      </c>
      <c r="J1007" s="1">
        <v>44063</v>
      </c>
      <c r="L1007" t="s">
        <v>14</v>
      </c>
      <c r="M1007">
        <v>27.24</v>
      </c>
      <c r="N1007">
        <v>27.24</v>
      </c>
      <c r="O1007" t="s">
        <v>21</v>
      </c>
      <c r="P1007">
        <f t="shared" si="48"/>
        <v>-1</v>
      </c>
      <c r="Q1007" s="11">
        <f>IF(P1007=0,0,IFERROR(Q1006+G1007*M1007*IF(E1007="FUTURE",VLOOKUP(MID(I1007,2,2),[1]Futures!$A$2:$B$12,2),1),G1007*M1007*IF(E1007="FUTURE",VLOOKUP(MID(I1007,2,2),[1]Futures!$A$2:$B$12,2),1)))</f>
        <v>-27240</v>
      </c>
      <c r="R1007" s="12">
        <f>IFERROR(Q1007/P1007/IF(E1007="FUTURE",VLOOKUP(MID(I1007,2,2),[1]Futures!$A$2:$B$12,2),1),"")</f>
        <v>27.24</v>
      </c>
      <c r="S1007" s="13" t="str">
        <f>IF(AND(H1007="TO CLOSE",P1007=0),-G1007*(M1007-R1006)*IF(E1007="FUTURE",VLOOKUP(MID(I1007,2,2),[1]Futures!$A$2:$B$12,2),1),"")</f>
        <v/>
      </c>
    </row>
    <row r="1008" spans="1:19" x14ac:dyDescent="0.2">
      <c r="A1008">
        <f t="shared" si="47"/>
        <v>297</v>
      </c>
      <c r="B1008" s="3">
        <v>43965</v>
      </c>
      <c r="C1008" s="3" t="str">
        <f t="shared" si="46"/>
        <v>Thursday</v>
      </c>
      <c r="D1008" s="2">
        <v>0.42668981481481483</v>
      </c>
      <c r="E1008" t="s">
        <v>14</v>
      </c>
      <c r="F1008" t="s">
        <v>19</v>
      </c>
      <c r="G1008">
        <v>1</v>
      </c>
      <c r="H1008" t="s">
        <v>16</v>
      </c>
      <c r="I1008" t="s">
        <v>77</v>
      </c>
      <c r="J1008" s="1">
        <v>44063</v>
      </c>
      <c r="L1008" t="s">
        <v>14</v>
      </c>
      <c r="M1008">
        <v>27.61</v>
      </c>
      <c r="N1008">
        <v>27.61</v>
      </c>
      <c r="O1008" t="s">
        <v>18</v>
      </c>
      <c r="P1008">
        <f t="shared" si="48"/>
        <v>0</v>
      </c>
      <c r="Q1008" s="11">
        <f>IF(P1008=0,0,IFERROR(Q1007+G1008*M1008*IF(E1008="FUTURE",VLOOKUP(MID(I1008,2,2),[1]Futures!$A$2:$B$12,2),1),G1008*M1008*IF(E1008="FUTURE",VLOOKUP(MID(I1008,2,2),[1]Futures!$A$2:$B$12,2),1)))</f>
        <v>0</v>
      </c>
      <c r="R1008" s="12" t="str">
        <f>IFERROR(Q1008/P1008/IF(E1008="FUTURE",VLOOKUP(MID(I1008,2,2),[1]Futures!$A$2:$B$12,2),1),"")</f>
        <v/>
      </c>
      <c r="S1008" s="13">
        <f>IF(AND(H1008="TO CLOSE",P1008=0),-G1008*(M1008-R1007)*IF(E1008="FUTURE",VLOOKUP(MID(I1008,2,2),[1]Futures!$A$2:$B$12,2),1),"")</f>
        <v>-370.00000000000102</v>
      </c>
    </row>
    <row r="1009" spans="1:19" x14ac:dyDescent="0.2">
      <c r="A1009">
        <f t="shared" si="47"/>
        <v>298</v>
      </c>
      <c r="B1009" s="3">
        <v>43965</v>
      </c>
      <c r="C1009" s="3" t="str">
        <f t="shared" si="46"/>
        <v>Thursday</v>
      </c>
      <c r="D1009" s="2">
        <v>0.44835648148148149</v>
      </c>
      <c r="E1009" t="s">
        <v>14</v>
      </c>
      <c r="F1009" t="s">
        <v>15</v>
      </c>
      <c r="G1009">
        <v>-1</v>
      </c>
      <c r="H1009" t="s">
        <v>20</v>
      </c>
      <c r="I1009" t="s">
        <v>77</v>
      </c>
      <c r="J1009" s="1">
        <v>44063</v>
      </c>
      <c r="L1009" t="s">
        <v>14</v>
      </c>
      <c r="M1009">
        <v>27.6</v>
      </c>
      <c r="N1009">
        <v>27.6</v>
      </c>
      <c r="O1009" t="s">
        <v>21</v>
      </c>
      <c r="P1009">
        <f t="shared" si="48"/>
        <v>-1</v>
      </c>
      <c r="Q1009" s="11">
        <f>IF(P1009=0,0,IFERROR(Q1008+G1009*M1009*IF(E1009="FUTURE",VLOOKUP(MID(I1009,2,2),[1]Futures!$A$2:$B$12,2),1),G1009*M1009*IF(E1009="FUTURE",VLOOKUP(MID(I1009,2,2),[1]Futures!$A$2:$B$12,2),1)))</f>
        <v>-27600</v>
      </c>
      <c r="R1009" s="12">
        <f>IFERROR(Q1009/P1009/IF(E1009="FUTURE",VLOOKUP(MID(I1009,2,2),[1]Futures!$A$2:$B$12,2),1),"")</f>
        <v>27.6</v>
      </c>
      <c r="S1009" s="13" t="str">
        <f>IF(AND(H1009="TO CLOSE",P1009=0),-G1009*(M1009-R1008)*IF(E1009="FUTURE",VLOOKUP(MID(I1009,2,2),[1]Futures!$A$2:$B$12,2),1),"")</f>
        <v/>
      </c>
    </row>
    <row r="1010" spans="1:19" x14ac:dyDescent="0.2">
      <c r="A1010">
        <f t="shared" si="47"/>
        <v>298</v>
      </c>
      <c r="B1010" s="3">
        <v>43965</v>
      </c>
      <c r="C1010" s="3" t="str">
        <f t="shared" si="46"/>
        <v>Thursday</v>
      </c>
      <c r="D1010" s="2">
        <v>0.45200231481481484</v>
      </c>
      <c r="E1010" t="s">
        <v>14</v>
      </c>
      <c r="F1010" t="s">
        <v>19</v>
      </c>
      <c r="G1010">
        <v>2</v>
      </c>
      <c r="H1010" t="s">
        <v>16</v>
      </c>
      <c r="I1010" t="s">
        <v>77</v>
      </c>
      <c r="J1010" s="1">
        <v>44063</v>
      </c>
      <c r="L1010" t="s">
        <v>14</v>
      </c>
      <c r="M1010">
        <v>27.79</v>
      </c>
      <c r="N1010">
        <v>27.79</v>
      </c>
      <c r="O1010" t="s">
        <v>24</v>
      </c>
      <c r="P1010">
        <f t="shared" si="48"/>
        <v>1</v>
      </c>
      <c r="Q1010" s="11">
        <f>IF(P1010=0,0,IFERROR(Q1009+G1010*M1010*IF(E1010="FUTURE",VLOOKUP(MID(I1010,2,2),[1]Futures!$A$2:$B$12,2),1),G1010*M1010*IF(E1010="FUTURE",VLOOKUP(MID(I1010,2,2),[1]Futures!$A$2:$B$12,2),1)))</f>
        <v>27980</v>
      </c>
      <c r="R1010" s="12">
        <f>IFERROR(Q1010/P1010/IF(E1010="FUTURE",VLOOKUP(MID(I1010,2,2),[1]Futures!$A$2:$B$12,2),1),"")</f>
        <v>27.98</v>
      </c>
      <c r="S1010" s="13" t="str">
        <f>IF(AND(H1010="TO CLOSE",P1010=0),-G1010*(M1010-R1009)*IF(E1010="FUTURE",VLOOKUP(MID(I1010,2,2),[1]Futures!$A$2:$B$12,2),1),"")</f>
        <v/>
      </c>
    </row>
    <row r="1011" spans="1:19" x14ac:dyDescent="0.2">
      <c r="A1011">
        <f t="shared" si="47"/>
        <v>298</v>
      </c>
      <c r="B1011" s="3">
        <v>43965</v>
      </c>
      <c r="C1011" s="3" t="str">
        <f t="shared" si="46"/>
        <v>Thursday</v>
      </c>
      <c r="D1011" s="2">
        <v>0.47693287037037035</v>
      </c>
      <c r="E1011" t="s">
        <v>14</v>
      </c>
      <c r="F1011" t="s">
        <v>15</v>
      </c>
      <c r="G1011">
        <v>-2</v>
      </c>
      <c r="H1011" t="s">
        <v>16</v>
      </c>
      <c r="I1011" t="s">
        <v>77</v>
      </c>
      <c r="J1011" s="1">
        <v>44063</v>
      </c>
      <c r="L1011" t="s">
        <v>14</v>
      </c>
      <c r="M1011">
        <v>27.59</v>
      </c>
      <c r="N1011">
        <v>27.59</v>
      </c>
      <c r="O1011" t="s">
        <v>24</v>
      </c>
      <c r="P1011">
        <f t="shared" si="48"/>
        <v>-1</v>
      </c>
      <c r="Q1011" s="11">
        <f>IF(P1011=0,0,IFERROR(Q1010+G1011*M1011*IF(E1011="FUTURE",VLOOKUP(MID(I1011,2,2),[1]Futures!$A$2:$B$12,2),1),G1011*M1011*IF(E1011="FUTURE",VLOOKUP(MID(I1011,2,2),[1]Futures!$A$2:$B$12,2),1)))</f>
        <v>-27200</v>
      </c>
      <c r="R1011" s="12">
        <f>IFERROR(Q1011/P1011/IF(E1011="FUTURE",VLOOKUP(MID(I1011,2,2),[1]Futures!$A$2:$B$12,2),1),"")</f>
        <v>27.2</v>
      </c>
      <c r="S1011" s="13" t="str">
        <f>IF(AND(H1011="TO CLOSE",P1011=0),-G1011*(M1011-R1010)*IF(E1011="FUTURE",VLOOKUP(MID(I1011,2,2),[1]Futures!$A$2:$B$12,2),1),"")</f>
        <v/>
      </c>
    </row>
    <row r="1012" spans="1:19" x14ac:dyDescent="0.2">
      <c r="A1012">
        <f t="shared" si="47"/>
        <v>298</v>
      </c>
      <c r="B1012" s="3">
        <v>43965</v>
      </c>
      <c r="C1012" s="3" t="str">
        <f t="shared" si="46"/>
        <v>Thursday</v>
      </c>
      <c r="D1012" s="2">
        <v>0.48312500000000003</v>
      </c>
      <c r="E1012" t="s">
        <v>14</v>
      </c>
      <c r="F1012" t="s">
        <v>19</v>
      </c>
      <c r="G1012">
        <v>1</v>
      </c>
      <c r="H1012" t="s">
        <v>16</v>
      </c>
      <c r="I1012" t="s">
        <v>77</v>
      </c>
      <c r="J1012" s="1">
        <v>44063</v>
      </c>
      <c r="L1012" t="s">
        <v>14</v>
      </c>
      <c r="M1012">
        <v>27.69</v>
      </c>
      <c r="N1012">
        <v>27.69</v>
      </c>
      <c r="O1012" t="s">
        <v>24</v>
      </c>
      <c r="P1012">
        <f t="shared" si="48"/>
        <v>0</v>
      </c>
      <c r="Q1012" s="11">
        <f>IF(P1012=0,0,IFERROR(Q1011+G1012*M1012*IF(E1012="FUTURE",VLOOKUP(MID(I1012,2,2),[1]Futures!$A$2:$B$12,2),1),G1012*M1012*IF(E1012="FUTURE",VLOOKUP(MID(I1012,2,2),[1]Futures!$A$2:$B$12,2),1)))</f>
        <v>0</v>
      </c>
      <c r="R1012" s="12" t="str">
        <f>IFERROR(Q1012/P1012/IF(E1012="FUTURE",VLOOKUP(MID(I1012,2,2),[1]Futures!$A$2:$B$12,2),1),"")</f>
        <v/>
      </c>
      <c r="S1012" s="13">
        <f>IF(AND(H1012="TO CLOSE",P1012=0),-G1012*(M1012-R1011)*IF(E1012="FUTURE",VLOOKUP(MID(I1012,2,2),[1]Futures!$A$2:$B$12,2),1),"")</f>
        <v>-490.00000000000199</v>
      </c>
    </row>
    <row r="1013" spans="1:19" x14ac:dyDescent="0.2">
      <c r="A1013">
        <f t="shared" si="47"/>
        <v>299</v>
      </c>
      <c r="B1013" s="3">
        <v>43965</v>
      </c>
      <c r="C1013" s="3" t="str">
        <f t="shared" si="46"/>
        <v>Thursday</v>
      </c>
      <c r="D1013" s="2">
        <v>0.48312500000000003</v>
      </c>
      <c r="E1013" t="s">
        <v>14</v>
      </c>
      <c r="F1013" t="s">
        <v>19</v>
      </c>
      <c r="G1013">
        <v>1</v>
      </c>
      <c r="H1013" t="s">
        <v>16</v>
      </c>
      <c r="I1013" t="s">
        <v>77</v>
      </c>
      <c r="J1013" s="1">
        <v>44063</v>
      </c>
      <c r="L1013" t="s">
        <v>14</v>
      </c>
      <c r="M1013">
        <v>27.69</v>
      </c>
      <c r="N1013">
        <v>27.69</v>
      </c>
      <c r="O1013" t="s">
        <v>24</v>
      </c>
      <c r="P1013">
        <f t="shared" si="48"/>
        <v>1</v>
      </c>
      <c r="Q1013" s="11">
        <f>IF(P1013=0,0,IFERROR(Q1012+G1013*M1013*IF(E1013="FUTURE",VLOOKUP(MID(I1013,2,2),[1]Futures!$A$2:$B$12,2),1),G1013*M1013*IF(E1013="FUTURE",VLOOKUP(MID(I1013,2,2),[1]Futures!$A$2:$B$12,2),1)))</f>
        <v>27690</v>
      </c>
      <c r="R1013" s="12">
        <f>IFERROR(Q1013/P1013/IF(E1013="FUTURE",VLOOKUP(MID(I1013,2,2),[1]Futures!$A$2:$B$12,2),1),"")</f>
        <v>27.69</v>
      </c>
      <c r="S1013" s="13" t="str">
        <f>IF(AND(H1013="TO CLOSE",P1013=0),-G1013*(M1013-R1012)*IF(E1013="FUTURE",VLOOKUP(MID(I1013,2,2),[1]Futures!$A$2:$B$12,2),1),"")</f>
        <v/>
      </c>
    </row>
    <row r="1014" spans="1:19" x14ac:dyDescent="0.2">
      <c r="A1014">
        <f t="shared" si="47"/>
        <v>299</v>
      </c>
      <c r="B1014" s="3">
        <v>43965</v>
      </c>
      <c r="C1014" s="3" t="str">
        <f t="shared" si="46"/>
        <v>Thursday</v>
      </c>
      <c r="D1014" s="2">
        <v>0.49353009259259256</v>
      </c>
      <c r="E1014" t="s">
        <v>14</v>
      </c>
      <c r="F1014" t="s">
        <v>15</v>
      </c>
      <c r="G1014">
        <v>-1</v>
      </c>
      <c r="H1014" t="s">
        <v>16</v>
      </c>
      <c r="I1014" t="s">
        <v>77</v>
      </c>
      <c r="J1014" s="1">
        <v>44063</v>
      </c>
      <c r="L1014" t="s">
        <v>14</v>
      </c>
      <c r="M1014">
        <v>27.64</v>
      </c>
      <c r="N1014">
        <v>27.64</v>
      </c>
      <c r="O1014" t="s">
        <v>24</v>
      </c>
      <c r="P1014">
        <f t="shared" si="48"/>
        <v>0</v>
      </c>
      <c r="Q1014" s="11">
        <f>IF(P1014=0,0,IFERROR(Q1013+G1014*M1014*IF(E1014="FUTURE",VLOOKUP(MID(I1014,2,2),[1]Futures!$A$2:$B$12,2),1),G1014*M1014*IF(E1014="FUTURE",VLOOKUP(MID(I1014,2,2),[1]Futures!$A$2:$B$12,2),1)))</f>
        <v>0</v>
      </c>
      <c r="R1014" s="12" t="str">
        <f>IFERROR(Q1014/P1014/IF(E1014="FUTURE",VLOOKUP(MID(I1014,2,2),[1]Futures!$A$2:$B$12,2),1),"")</f>
        <v/>
      </c>
      <c r="S1014" s="13">
        <f>IF(AND(H1014="TO CLOSE",P1014=0),-G1014*(M1014-R1013)*IF(E1014="FUTURE",VLOOKUP(MID(I1014,2,2),[1]Futures!$A$2:$B$12,2),1),"")</f>
        <v>-50.000000000000711</v>
      </c>
    </row>
    <row r="1015" spans="1:19" x14ac:dyDescent="0.2">
      <c r="A1015">
        <f t="shared" si="47"/>
        <v>300</v>
      </c>
      <c r="B1015" s="3">
        <v>43965</v>
      </c>
      <c r="C1015" s="3" t="str">
        <f t="shared" si="46"/>
        <v>Thursday</v>
      </c>
      <c r="D1015" s="2">
        <v>0.56741898148148151</v>
      </c>
      <c r="E1015" t="s">
        <v>14</v>
      </c>
      <c r="F1015" t="s">
        <v>15</v>
      </c>
      <c r="G1015">
        <v>-1</v>
      </c>
      <c r="H1015" t="s">
        <v>20</v>
      </c>
      <c r="I1015" t="s">
        <v>77</v>
      </c>
      <c r="J1015" s="1">
        <v>44063</v>
      </c>
      <c r="L1015" t="s">
        <v>14</v>
      </c>
      <c r="M1015">
        <v>28.29</v>
      </c>
      <c r="N1015">
        <v>28.29</v>
      </c>
      <c r="O1015" t="s">
        <v>21</v>
      </c>
      <c r="P1015">
        <f t="shared" si="48"/>
        <v>-1</v>
      </c>
      <c r="Q1015" s="11">
        <f>IF(P1015=0,0,IFERROR(Q1014+G1015*M1015*IF(E1015="FUTURE",VLOOKUP(MID(I1015,2,2),[1]Futures!$A$2:$B$12,2),1),G1015*M1015*IF(E1015="FUTURE",VLOOKUP(MID(I1015,2,2),[1]Futures!$A$2:$B$12,2),1)))</f>
        <v>-28290</v>
      </c>
      <c r="R1015" s="12">
        <f>IFERROR(Q1015/P1015/IF(E1015="FUTURE",VLOOKUP(MID(I1015,2,2),[1]Futures!$A$2:$B$12,2),1),"")</f>
        <v>28.29</v>
      </c>
      <c r="S1015" s="13" t="str">
        <f>IF(AND(H1015="TO CLOSE",P1015=0),-G1015*(M1015-R1014)*IF(E1015="FUTURE",VLOOKUP(MID(I1015,2,2),[1]Futures!$A$2:$B$12,2),1),"")</f>
        <v/>
      </c>
    </row>
    <row r="1016" spans="1:19" x14ac:dyDescent="0.2">
      <c r="A1016">
        <f t="shared" si="47"/>
        <v>300</v>
      </c>
      <c r="B1016" s="3">
        <v>43965</v>
      </c>
      <c r="C1016" s="3" t="str">
        <f t="shared" si="46"/>
        <v>Thursday</v>
      </c>
      <c r="D1016" s="2">
        <v>0.62730324074074073</v>
      </c>
      <c r="E1016" t="s">
        <v>14</v>
      </c>
      <c r="F1016" t="s">
        <v>19</v>
      </c>
      <c r="G1016">
        <v>1</v>
      </c>
      <c r="H1016" t="s">
        <v>16</v>
      </c>
      <c r="I1016" t="s">
        <v>77</v>
      </c>
      <c r="J1016" s="1">
        <v>44063</v>
      </c>
      <c r="L1016" t="s">
        <v>14</v>
      </c>
      <c r="M1016">
        <v>28.59</v>
      </c>
      <c r="N1016">
        <v>28.59</v>
      </c>
      <c r="O1016" t="s">
        <v>21</v>
      </c>
      <c r="P1016">
        <f t="shared" si="48"/>
        <v>0</v>
      </c>
      <c r="Q1016" s="11">
        <f>IF(P1016=0,0,IFERROR(Q1015+G1016*M1016*IF(E1016="FUTURE",VLOOKUP(MID(I1016,2,2),[1]Futures!$A$2:$B$12,2),1),G1016*M1016*IF(E1016="FUTURE",VLOOKUP(MID(I1016,2,2),[1]Futures!$A$2:$B$12,2),1)))</f>
        <v>0</v>
      </c>
      <c r="R1016" s="12" t="str">
        <f>IFERROR(Q1016/P1016/IF(E1016="FUTURE",VLOOKUP(MID(I1016,2,2),[1]Futures!$A$2:$B$12,2),1),"")</f>
        <v/>
      </c>
      <c r="S1016" s="13">
        <f>IF(AND(H1016="TO CLOSE",P1016=0),-G1016*(M1016-R1015)*IF(E1016="FUTURE",VLOOKUP(MID(I1016,2,2),[1]Futures!$A$2:$B$12,2),1),"")</f>
        <v>-300.00000000000068</v>
      </c>
    </row>
    <row r="1017" spans="1:19" x14ac:dyDescent="0.2">
      <c r="A1017">
        <f t="shared" si="47"/>
        <v>301</v>
      </c>
      <c r="B1017" s="3">
        <v>43965</v>
      </c>
      <c r="C1017" s="3" t="str">
        <f t="shared" si="46"/>
        <v>Thursday</v>
      </c>
      <c r="D1017" s="2">
        <v>0.4277199074074074</v>
      </c>
      <c r="E1017" t="s">
        <v>14</v>
      </c>
      <c r="F1017" t="s">
        <v>19</v>
      </c>
      <c r="G1017">
        <v>1</v>
      </c>
      <c r="H1017" t="s">
        <v>20</v>
      </c>
      <c r="I1017" t="s">
        <v>17</v>
      </c>
      <c r="J1017" s="1">
        <v>44002</v>
      </c>
      <c r="L1017" t="s">
        <v>14</v>
      </c>
      <c r="M1017">
        <v>2772.25</v>
      </c>
      <c r="N1017">
        <v>2772.25</v>
      </c>
      <c r="O1017" t="s">
        <v>24</v>
      </c>
      <c r="P1017">
        <f t="shared" si="48"/>
        <v>1</v>
      </c>
      <c r="Q1017" s="11">
        <f>IF(P1017=0,0,IFERROR(Q1016+G1017*M1017*IF(E1017="FUTURE",VLOOKUP(MID(I1017,2,2),[1]Futures!$A$2:$B$12,2),1),G1017*M1017*IF(E1017="FUTURE",VLOOKUP(MID(I1017,2,2),[1]Futures!$A$2:$B$12,2),1)))</f>
        <v>138612.5</v>
      </c>
      <c r="R1017" s="12">
        <f>IFERROR(Q1017/P1017/IF(E1017="FUTURE",VLOOKUP(MID(I1017,2,2),[1]Futures!$A$2:$B$12,2),1),"")</f>
        <v>2772.25</v>
      </c>
      <c r="S1017" s="13" t="str">
        <f>IF(AND(H1017="TO CLOSE",P1017=0),-G1017*(M1017-R1016)*IF(E1017="FUTURE",VLOOKUP(MID(I1017,2,2),[1]Futures!$A$2:$B$12,2),1),"")</f>
        <v/>
      </c>
    </row>
    <row r="1018" spans="1:19" x14ac:dyDescent="0.2">
      <c r="A1018">
        <f t="shared" si="47"/>
        <v>301</v>
      </c>
      <c r="B1018" s="3">
        <v>43965</v>
      </c>
      <c r="C1018" s="3" t="str">
        <f t="shared" si="46"/>
        <v>Thursday</v>
      </c>
      <c r="D1018" s="2">
        <v>0.44188657407407406</v>
      </c>
      <c r="E1018" t="s">
        <v>14</v>
      </c>
      <c r="F1018" t="s">
        <v>15</v>
      </c>
      <c r="G1018">
        <v>-1</v>
      </c>
      <c r="H1018" t="s">
        <v>16</v>
      </c>
      <c r="I1018" t="s">
        <v>17</v>
      </c>
      <c r="J1018" s="1">
        <v>44002</v>
      </c>
      <c r="L1018" t="s">
        <v>14</v>
      </c>
      <c r="M1018">
        <v>2782.5</v>
      </c>
      <c r="N1018">
        <v>2782.5</v>
      </c>
      <c r="O1018" t="s">
        <v>21</v>
      </c>
      <c r="P1018">
        <f t="shared" si="48"/>
        <v>0</v>
      </c>
      <c r="Q1018" s="11">
        <f>IF(P1018=0,0,IFERROR(Q1017+G1018*M1018*IF(E1018="FUTURE",VLOOKUP(MID(I1018,2,2),[1]Futures!$A$2:$B$12,2),1),G1018*M1018*IF(E1018="FUTURE",VLOOKUP(MID(I1018,2,2),[1]Futures!$A$2:$B$12,2),1)))</f>
        <v>0</v>
      </c>
      <c r="R1018" s="12" t="str">
        <f>IFERROR(Q1018/P1018/IF(E1018="FUTURE",VLOOKUP(MID(I1018,2,2),[1]Futures!$A$2:$B$12,2),1),"")</f>
        <v/>
      </c>
      <c r="S1018" s="13">
        <f>IF(AND(H1018="TO CLOSE",P1018=0),-G1018*(M1018-R1017)*IF(E1018="FUTURE",VLOOKUP(MID(I1018,2,2),[1]Futures!$A$2:$B$12,2),1),"")</f>
        <v>512.5</v>
      </c>
    </row>
    <row r="1019" spans="1:19" x14ac:dyDescent="0.2">
      <c r="A1019">
        <f t="shared" si="47"/>
        <v>302</v>
      </c>
      <c r="B1019" s="3">
        <v>43965</v>
      </c>
      <c r="C1019" s="3" t="str">
        <f t="shared" si="46"/>
        <v>Thursday</v>
      </c>
      <c r="D1019" s="2">
        <v>0.44399305555555557</v>
      </c>
      <c r="E1019" t="s">
        <v>14</v>
      </c>
      <c r="F1019" t="s">
        <v>15</v>
      </c>
      <c r="G1019">
        <v>-1</v>
      </c>
      <c r="H1019" t="s">
        <v>20</v>
      </c>
      <c r="I1019" t="s">
        <v>17</v>
      </c>
      <c r="J1019" s="1">
        <v>44002</v>
      </c>
      <c r="L1019" t="s">
        <v>14</v>
      </c>
      <c r="M1019">
        <v>2789.5</v>
      </c>
      <c r="N1019">
        <v>2789.5</v>
      </c>
      <c r="O1019" t="s">
        <v>24</v>
      </c>
      <c r="P1019">
        <f t="shared" si="48"/>
        <v>-1</v>
      </c>
      <c r="Q1019" s="11">
        <f>IF(P1019=0,0,IFERROR(Q1018+G1019*M1019*IF(E1019="FUTURE",VLOOKUP(MID(I1019,2,2),[1]Futures!$A$2:$B$12,2),1),G1019*M1019*IF(E1019="FUTURE",VLOOKUP(MID(I1019,2,2),[1]Futures!$A$2:$B$12,2),1)))</f>
        <v>-139475</v>
      </c>
      <c r="R1019" s="12">
        <f>IFERROR(Q1019/P1019/IF(E1019="FUTURE",VLOOKUP(MID(I1019,2,2),[1]Futures!$A$2:$B$12,2),1),"")</f>
        <v>2789.5</v>
      </c>
      <c r="S1019" s="13" t="str">
        <f>IF(AND(H1019="TO CLOSE",P1019=0),-G1019*(M1019-R1018)*IF(E1019="FUTURE",VLOOKUP(MID(I1019,2,2),[1]Futures!$A$2:$B$12,2),1),"")</f>
        <v/>
      </c>
    </row>
    <row r="1020" spans="1:19" x14ac:dyDescent="0.2">
      <c r="A1020">
        <f t="shared" si="47"/>
        <v>302</v>
      </c>
      <c r="B1020" s="3">
        <v>43965</v>
      </c>
      <c r="C1020" s="3" t="str">
        <f t="shared" si="46"/>
        <v>Thursday</v>
      </c>
      <c r="D1020" s="2">
        <v>0.44568287037037035</v>
      </c>
      <c r="E1020" t="s">
        <v>14</v>
      </c>
      <c r="F1020" t="s">
        <v>19</v>
      </c>
      <c r="G1020">
        <v>1</v>
      </c>
      <c r="H1020" t="s">
        <v>16</v>
      </c>
      <c r="I1020" t="s">
        <v>17</v>
      </c>
      <c r="J1020" s="1">
        <v>44002</v>
      </c>
      <c r="L1020" t="s">
        <v>14</v>
      </c>
      <c r="M1020">
        <v>2786.75</v>
      </c>
      <c r="N1020">
        <v>2786.75</v>
      </c>
      <c r="O1020" t="s">
        <v>21</v>
      </c>
      <c r="P1020">
        <f t="shared" si="48"/>
        <v>0</v>
      </c>
      <c r="Q1020" s="11">
        <f>IF(P1020=0,0,IFERROR(Q1019+G1020*M1020*IF(E1020="FUTURE",VLOOKUP(MID(I1020,2,2),[1]Futures!$A$2:$B$12,2),1),G1020*M1020*IF(E1020="FUTURE",VLOOKUP(MID(I1020,2,2),[1]Futures!$A$2:$B$12,2),1)))</f>
        <v>0</v>
      </c>
      <c r="R1020" s="12" t="str">
        <f>IFERROR(Q1020/P1020/IF(E1020="FUTURE",VLOOKUP(MID(I1020,2,2),[1]Futures!$A$2:$B$12,2),1),"")</f>
        <v/>
      </c>
      <c r="S1020" s="13">
        <f>IF(AND(H1020="TO CLOSE",P1020=0),-G1020*(M1020-R1019)*IF(E1020="FUTURE",VLOOKUP(MID(I1020,2,2),[1]Futures!$A$2:$B$12,2),1),"")</f>
        <v>137.5</v>
      </c>
    </row>
    <row r="1021" spans="1:19" x14ac:dyDescent="0.2">
      <c r="A1021">
        <f t="shared" si="47"/>
        <v>303</v>
      </c>
      <c r="B1021" s="3">
        <v>43965</v>
      </c>
      <c r="C1021" s="3" t="str">
        <f t="shared" si="46"/>
        <v>Thursday</v>
      </c>
      <c r="D1021" s="2">
        <v>0.41111111111111115</v>
      </c>
      <c r="E1021" t="s">
        <v>22</v>
      </c>
      <c r="F1021" t="s">
        <v>19</v>
      </c>
      <c r="G1021">
        <v>500</v>
      </c>
      <c r="H1021" t="s">
        <v>20</v>
      </c>
      <c r="I1021" t="s">
        <v>23</v>
      </c>
      <c r="L1021" t="s">
        <v>22</v>
      </c>
      <c r="M1021">
        <v>42.47</v>
      </c>
      <c r="N1021">
        <v>42.47</v>
      </c>
      <c r="O1021" t="s">
        <v>24</v>
      </c>
      <c r="P1021">
        <f t="shared" si="48"/>
        <v>500</v>
      </c>
      <c r="Q1021" s="11">
        <f>IF(P1021=0,0,IFERROR(Q1020+G1021*M1021*IF(E1021="FUTURE",VLOOKUP(MID(I1021,2,2),[1]Futures!$A$2:$B$12,2),1),G1021*M1021*IF(E1021="FUTURE",VLOOKUP(MID(I1021,2,2),[1]Futures!$A$2:$B$12,2),1)))</f>
        <v>21235</v>
      </c>
      <c r="R1021" s="12">
        <f>IFERROR(Q1021/P1021/IF(E1021="FUTURE",VLOOKUP(MID(I1021,2,2),[1]Futures!$A$2:$B$12,2),1),"")</f>
        <v>42.47</v>
      </c>
      <c r="S1021" s="13" t="str">
        <f>IF(AND(H1021="TO CLOSE",P1021=0),-G1021*(M1021-R1020)*IF(E1021="FUTURE",VLOOKUP(MID(I1021,2,2),[1]Futures!$A$2:$B$12,2),1),"")</f>
        <v/>
      </c>
    </row>
    <row r="1022" spans="1:19" x14ac:dyDescent="0.2">
      <c r="A1022">
        <f t="shared" si="47"/>
        <v>303</v>
      </c>
      <c r="B1022" s="3">
        <v>43965</v>
      </c>
      <c r="C1022" s="3" t="str">
        <f t="shared" ref="C1022:C1085" si="49">IF(WEEKDAY(B1022,2)=1,"Monday",IF(WEEKDAY(B1022,2)=2,"Tuesday",IF(WEEKDAY(B1022,2)=3,"Wednesday",IF(WEEKDAY(B1022,2)=4,"Thursday",IF(WEEKDAY(B1022,2)=5,"Friday","Sunday")))))</f>
        <v>Thursday</v>
      </c>
      <c r="D1022" s="2">
        <v>0.43008101851851849</v>
      </c>
      <c r="E1022" t="s">
        <v>22</v>
      </c>
      <c r="F1022" t="s">
        <v>15</v>
      </c>
      <c r="G1022">
        <v>-500</v>
      </c>
      <c r="H1022" t="s">
        <v>16</v>
      </c>
      <c r="I1022" t="s">
        <v>23</v>
      </c>
      <c r="L1022" t="s">
        <v>22</v>
      </c>
      <c r="M1022">
        <v>42.260100000000001</v>
      </c>
      <c r="N1022">
        <v>42.260100000000001</v>
      </c>
      <c r="O1022" t="s">
        <v>24</v>
      </c>
      <c r="P1022">
        <f t="shared" si="48"/>
        <v>0</v>
      </c>
      <c r="Q1022" s="11">
        <f>IF(P1022=0,0,IFERROR(Q1021+G1022*M1022*IF(E1022="FUTURE",VLOOKUP(MID(I1022,2,2),[1]Futures!$A$2:$B$12,2),1),G1022*M1022*IF(E1022="FUTURE",VLOOKUP(MID(I1022,2,2),[1]Futures!$A$2:$B$12,2),1)))</f>
        <v>0</v>
      </c>
      <c r="R1022" s="12" t="str">
        <f>IFERROR(Q1022/P1022/IF(E1022="FUTURE",VLOOKUP(MID(I1022,2,2),[1]Futures!$A$2:$B$12,2),1),"")</f>
        <v/>
      </c>
      <c r="S1022" s="13">
        <f>IF(AND(H1022="TO CLOSE",P1022=0),-G1022*(M1022-R1021)*IF(E1022="FUTURE",VLOOKUP(MID(I1022,2,2),[1]Futures!$A$2:$B$12,2),1),"")</f>
        <v>-104.94999999999877</v>
      </c>
    </row>
    <row r="1023" spans="1:19" x14ac:dyDescent="0.2">
      <c r="A1023">
        <f t="shared" si="47"/>
        <v>304</v>
      </c>
      <c r="B1023" s="3">
        <v>43965</v>
      </c>
      <c r="C1023" s="3" t="str">
        <f t="shared" si="49"/>
        <v>Thursday</v>
      </c>
      <c r="D1023" s="2">
        <v>0.43077546296296299</v>
      </c>
      <c r="E1023" t="s">
        <v>22</v>
      </c>
      <c r="F1023" t="s">
        <v>15</v>
      </c>
      <c r="G1023">
        <v>-400</v>
      </c>
      <c r="H1023" t="s">
        <v>20</v>
      </c>
      <c r="I1023" t="s">
        <v>23</v>
      </c>
      <c r="L1023" t="s">
        <v>22</v>
      </c>
      <c r="M1023">
        <v>42.085000000000001</v>
      </c>
      <c r="N1023">
        <v>42.085000000000001</v>
      </c>
      <c r="O1023" t="s">
        <v>24</v>
      </c>
      <c r="P1023">
        <f t="shared" si="48"/>
        <v>-400</v>
      </c>
      <c r="Q1023" s="11">
        <f>IF(P1023=0,0,IFERROR(Q1022+G1023*M1023*IF(E1023="FUTURE",VLOOKUP(MID(I1023,2,2),[1]Futures!$A$2:$B$12,2),1),G1023*M1023*IF(E1023="FUTURE",VLOOKUP(MID(I1023,2,2),[1]Futures!$A$2:$B$12,2),1)))</f>
        <v>-16834</v>
      </c>
      <c r="R1023" s="12">
        <f>IFERROR(Q1023/P1023/IF(E1023="FUTURE",VLOOKUP(MID(I1023,2,2),[1]Futures!$A$2:$B$12,2),1),"")</f>
        <v>42.085000000000001</v>
      </c>
      <c r="S1023" s="13" t="str">
        <f>IF(AND(H1023="TO CLOSE",P1023=0),-G1023*(M1023-R1022)*IF(E1023="FUTURE",VLOOKUP(MID(I1023,2,2),[1]Futures!$A$2:$B$12,2),1),"")</f>
        <v/>
      </c>
    </row>
    <row r="1024" spans="1:19" x14ac:dyDescent="0.2">
      <c r="A1024">
        <f t="shared" si="47"/>
        <v>304</v>
      </c>
      <c r="B1024" s="3">
        <v>43965</v>
      </c>
      <c r="C1024" s="3" t="str">
        <f t="shared" si="49"/>
        <v>Thursday</v>
      </c>
      <c r="D1024" s="2">
        <v>0.44188657407407406</v>
      </c>
      <c r="E1024" t="s">
        <v>22</v>
      </c>
      <c r="F1024" t="s">
        <v>19</v>
      </c>
      <c r="G1024">
        <v>400</v>
      </c>
      <c r="H1024" t="s">
        <v>16</v>
      </c>
      <c r="I1024" t="s">
        <v>23</v>
      </c>
      <c r="L1024" t="s">
        <v>22</v>
      </c>
      <c r="M1024">
        <v>41.56</v>
      </c>
      <c r="N1024">
        <v>41.56</v>
      </c>
      <c r="O1024" t="s">
        <v>21</v>
      </c>
      <c r="P1024">
        <f t="shared" si="48"/>
        <v>0</v>
      </c>
      <c r="Q1024" s="11">
        <f>IF(P1024=0,0,IFERROR(Q1023+G1024*M1024*IF(E1024="FUTURE",VLOOKUP(MID(I1024,2,2),[1]Futures!$A$2:$B$12,2),1),G1024*M1024*IF(E1024="FUTURE",VLOOKUP(MID(I1024,2,2),[1]Futures!$A$2:$B$12,2),1)))</f>
        <v>0</v>
      </c>
      <c r="R1024" s="12" t="str">
        <f>IFERROR(Q1024/P1024/IF(E1024="FUTURE",VLOOKUP(MID(I1024,2,2),[1]Futures!$A$2:$B$12,2),1),"")</f>
        <v/>
      </c>
      <c r="S1024" s="13">
        <f>IF(AND(H1024="TO CLOSE",P1024=0),-G1024*(M1024-R1023)*IF(E1024="FUTURE",VLOOKUP(MID(I1024,2,2),[1]Futures!$A$2:$B$12,2),1),"")</f>
        <v>209.99999999999943</v>
      </c>
    </row>
    <row r="1025" spans="1:19" x14ac:dyDescent="0.2">
      <c r="A1025">
        <f t="shared" si="47"/>
        <v>305</v>
      </c>
      <c r="B1025" s="3">
        <v>43965</v>
      </c>
      <c r="C1025" s="3" t="str">
        <f t="shared" si="49"/>
        <v>Thursday</v>
      </c>
      <c r="D1025" s="2">
        <v>0.45096064814814812</v>
      </c>
      <c r="E1025" t="s">
        <v>22</v>
      </c>
      <c r="F1025" t="s">
        <v>15</v>
      </c>
      <c r="G1025">
        <v>-500</v>
      </c>
      <c r="H1025" t="s">
        <v>20</v>
      </c>
      <c r="I1025" t="s">
        <v>23</v>
      </c>
      <c r="L1025" t="s">
        <v>22</v>
      </c>
      <c r="M1025">
        <v>41.06</v>
      </c>
      <c r="N1025">
        <v>41.06</v>
      </c>
      <c r="O1025" t="s">
        <v>21</v>
      </c>
      <c r="P1025">
        <f t="shared" si="48"/>
        <v>-500</v>
      </c>
      <c r="Q1025" s="11">
        <f>IF(P1025=0,0,IFERROR(Q1024+G1025*M1025*IF(E1025="FUTURE",VLOOKUP(MID(I1025,2,2),[1]Futures!$A$2:$B$12,2),1),G1025*M1025*IF(E1025="FUTURE",VLOOKUP(MID(I1025,2,2),[1]Futures!$A$2:$B$12,2),1)))</f>
        <v>-20530</v>
      </c>
      <c r="R1025" s="12">
        <f>IFERROR(Q1025/P1025/IF(E1025="FUTURE",VLOOKUP(MID(I1025,2,2),[1]Futures!$A$2:$B$12,2),1),"")</f>
        <v>41.06</v>
      </c>
      <c r="S1025" s="13" t="str">
        <f>IF(AND(H1025="TO CLOSE",P1025=0),-G1025*(M1025-R1024)*IF(E1025="FUTURE",VLOOKUP(MID(I1025,2,2),[1]Futures!$A$2:$B$12,2),1),"")</f>
        <v/>
      </c>
    </row>
    <row r="1026" spans="1:19" x14ac:dyDescent="0.2">
      <c r="A1026">
        <f t="shared" ref="A1026:A1089" si="50">IF(AND(P1025=0,H1025="TO CLOSE"),IFERROR(A1025+1,1),IFERROR(A1025/1,1))</f>
        <v>305</v>
      </c>
      <c r="B1026" s="3">
        <v>43965</v>
      </c>
      <c r="C1026" s="3" t="str">
        <f t="shared" si="49"/>
        <v>Thursday</v>
      </c>
      <c r="D1026" s="2">
        <v>0.45383101851851854</v>
      </c>
      <c r="E1026" t="s">
        <v>22</v>
      </c>
      <c r="F1026" t="s">
        <v>19</v>
      </c>
      <c r="G1026">
        <v>500</v>
      </c>
      <c r="H1026" t="s">
        <v>16</v>
      </c>
      <c r="I1026" t="s">
        <v>23</v>
      </c>
      <c r="L1026" t="s">
        <v>22</v>
      </c>
      <c r="M1026">
        <v>40.637700000000002</v>
      </c>
      <c r="N1026">
        <v>40.637700000000002</v>
      </c>
      <c r="O1026" t="s">
        <v>21</v>
      </c>
      <c r="P1026">
        <f t="shared" si="48"/>
        <v>0</v>
      </c>
      <c r="Q1026" s="11">
        <f>IF(P1026=0,0,IFERROR(Q1025+G1026*M1026*IF(E1026="FUTURE",VLOOKUP(MID(I1026,2,2),[1]Futures!$A$2:$B$12,2),1),G1026*M1026*IF(E1026="FUTURE",VLOOKUP(MID(I1026,2,2),[1]Futures!$A$2:$B$12,2),1)))</f>
        <v>0</v>
      </c>
      <c r="R1026" s="12" t="str">
        <f>IFERROR(Q1026/P1026/IF(E1026="FUTURE",VLOOKUP(MID(I1026,2,2),[1]Futures!$A$2:$B$12,2),1),"")</f>
        <v/>
      </c>
      <c r="S1026" s="13">
        <f>IF(AND(H1026="TO CLOSE",P1026=0),-G1026*(M1026-R1025)*IF(E1026="FUTURE",VLOOKUP(MID(I1026,2,2),[1]Futures!$A$2:$B$12,2),1),"")</f>
        <v>211.14999999999995</v>
      </c>
    </row>
    <row r="1027" spans="1:19" x14ac:dyDescent="0.2">
      <c r="A1027">
        <f t="shared" si="50"/>
        <v>306</v>
      </c>
      <c r="B1027" s="3">
        <v>43965</v>
      </c>
      <c r="C1027" s="3" t="str">
        <f t="shared" si="49"/>
        <v>Thursday</v>
      </c>
      <c r="D1027" s="2">
        <v>0.54048611111111111</v>
      </c>
      <c r="E1027" t="s">
        <v>22</v>
      </c>
      <c r="F1027" t="s">
        <v>15</v>
      </c>
      <c r="G1027">
        <v>-400</v>
      </c>
      <c r="H1027" t="s">
        <v>20</v>
      </c>
      <c r="I1027" t="s">
        <v>23</v>
      </c>
      <c r="L1027" t="s">
        <v>22</v>
      </c>
      <c r="M1027">
        <v>39.64</v>
      </c>
      <c r="N1027">
        <v>39.64</v>
      </c>
      <c r="O1027" t="s">
        <v>21</v>
      </c>
      <c r="P1027">
        <f t="shared" ref="P1027:P1090" si="51">IF(H1027="TO OPEN",IFERROR(P1026+G1027,0+G1027),IFERROR(P1026+G1027,0+G1027))</f>
        <v>-400</v>
      </c>
      <c r="Q1027" s="11">
        <f>IF(P1027=0,0,IFERROR(Q1026+G1027*M1027*IF(E1027="FUTURE",VLOOKUP(MID(I1027,2,2),[1]Futures!$A$2:$B$12,2),1),G1027*M1027*IF(E1027="FUTURE",VLOOKUP(MID(I1027,2,2),[1]Futures!$A$2:$B$12,2),1)))</f>
        <v>-15856</v>
      </c>
      <c r="R1027" s="12">
        <f>IFERROR(Q1027/P1027/IF(E1027="FUTURE",VLOOKUP(MID(I1027,2,2),[1]Futures!$A$2:$B$12,2),1),"")</f>
        <v>39.64</v>
      </c>
      <c r="S1027" s="13" t="str">
        <f>IF(AND(H1027="TO CLOSE",P1027=0),-G1027*(M1027-R1026)*IF(E1027="FUTURE",VLOOKUP(MID(I1027,2,2),[1]Futures!$A$2:$B$12,2),1),"")</f>
        <v/>
      </c>
    </row>
    <row r="1028" spans="1:19" x14ac:dyDescent="0.2">
      <c r="A1028">
        <f t="shared" si="50"/>
        <v>306</v>
      </c>
      <c r="B1028" s="3">
        <v>43965</v>
      </c>
      <c r="C1028" s="3" t="str">
        <f t="shared" si="49"/>
        <v>Thursday</v>
      </c>
      <c r="D1028" s="2">
        <v>0.56241898148148151</v>
      </c>
      <c r="E1028" t="s">
        <v>22</v>
      </c>
      <c r="F1028" t="s">
        <v>19</v>
      </c>
      <c r="G1028">
        <v>400</v>
      </c>
      <c r="H1028" t="s">
        <v>16</v>
      </c>
      <c r="I1028" t="s">
        <v>23</v>
      </c>
      <c r="L1028" t="s">
        <v>22</v>
      </c>
      <c r="M1028">
        <v>39.11</v>
      </c>
      <c r="N1028">
        <v>39.11</v>
      </c>
      <c r="O1028" t="s">
        <v>21</v>
      </c>
      <c r="P1028">
        <f t="shared" si="51"/>
        <v>0</v>
      </c>
      <c r="Q1028" s="11">
        <f>IF(P1028=0,0,IFERROR(Q1027+G1028*M1028*IF(E1028="FUTURE",VLOOKUP(MID(I1028,2,2),[1]Futures!$A$2:$B$12,2),1),G1028*M1028*IF(E1028="FUTURE",VLOOKUP(MID(I1028,2,2),[1]Futures!$A$2:$B$12,2),1)))</f>
        <v>0</v>
      </c>
      <c r="R1028" s="12" t="str">
        <f>IFERROR(Q1028/P1028/IF(E1028="FUTURE",VLOOKUP(MID(I1028,2,2),[1]Futures!$A$2:$B$12,2),1),"")</f>
        <v/>
      </c>
      <c r="S1028" s="13">
        <f>IF(AND(H1028="TO CLOSE",P1028=0),-G1028*(M1028-R1027)*IF(E1028="FUTURE",VLOOKUP(MID(I1028,2,2),[1]Futures!$A$2:$B$12,2),1),"")</f>
        <v>212.00000000000045</v>
      </c>
    </row>
    <row r="1029" spans="1:19" x14ac:dyDescent="0.2">
      <c r="A1029">
        <f t="shared" si="50"/>
        <v>307</v>
      </c>
      <c r="B1029" s="3">
        <v>43966</v>
      </c>
      <c r="C1029" s="3" t="str">
        <f t="shared" si="49"/>
        <v>Friday</v>
      </c>
      <c r="D1029" s="2">
        <v>0.59410879629629632</v>
      </c>
      <c r="E1029" t="s">
        <v>14</v>
      </c>
      <c r="F1029" t="s">
        <v>15</v>
      </c>
      <c r="G1029">
        <v>-1</v>
      </c>
      <c r="H1029" t="s">
        <v>20</v>
      </c>
      <c r="I1029" t="s">
        <v>77</v>
      </c>
      <c r="J1029" s="1">
        <v>44063</v>
      </c>
      <c r="L1029" t="s">
        <v>14</v>
      </c>
      <c r="M1029">
        <v>30.13</v>
      </c>
      <c r="N1029">
        <v>30.13</v>
      </c>
      <c r="O1029" t="s">
        <v>21</v>
      </c>
      <c r="P1029">
        <f t="shared" si="51"/>
        <v>-1</v>
      </c>
      <c r="Q1029" s="11">
        <f>IF(P1029=0,0,IFERROR(Q1028+G1029*M1029*IF(E1029="FUTURE",VLOOKUP(MID(I1029,2,2),[1]Futures!$A$2:$B$12,2),1),G1029*M1029*IF(E1029="FUTURE",VLOOKUP(MID(I1029,2,2),[1]Futures!$A$2:$B$12,2),1)))</f>
        <v>-30130</v>
      </c>
      <c r="R1029" s="12">
        <f>IFERROR(Q1029/P1029/IF(E1029="FUTURE",VLOOKUP(MID(I1029,2,2),[1]Futures!$A$2:$B$12,2),1),"")</f>
        <v>30.13</v>
      </c>
      <c r="S1029" s="13" t="str">
        <f>IF(AND(H1029="TO CLOSE",P1029=0),-G1029*(M1029-R1028)*IF(E1029="FUTURE",VLOOKUP(MID(I1029,2,2),[1]Futures!$A$2:$B$12,2),1),"")</f>
        <v/>
      </c>
    </row>
    <row r="1030" spans="1:19" x14ac:dyDescent="0.2">
      <c r="A1030">
        <f t="shared" si="50"/>
        <v>307</v>
      </c>
      <c r="B1030" s="3">
        <v>43966</v>
      </c>
      <c r="C1030" s="3" t="str">
        <f t="shared" si="49"/>
        <v>Friday</v>
      </c>
      <c r="D1030" s="2">
        <v>0.5980671296296296</v>
      </c>
      <c r="E1030" t="s">
        <v>14</v>
      </c>
      <c r="F1030" t="s">
        <v>19</v>
      </c>
      <c r="G1030">
        <v>1</v>
      </c>
      <c r="H1030" t="s">
        <v>16</v>
      </c>
      <c r="I1030" t="s">
        <v>77</v>
      </c>
      <c r="J1030" s="1">
        <v>44063</v>
      </c>
      <c r="L1030" t="s">
        <v>14</v>
      </c>
      <c r="M1030">
        <v>30.12</v>
      </c>
      <c r="N1030">
        <v>30.12</v>
      </c>
      <c r="O1030" t="s">
        <v>18</v>
      </c>
      <c r="P1030">
        <f t="shared" si="51"/>
        <v>0</v>
      </c>
      <c r="Q1030" s="11">
        <f>IF(P1030=0,0,IFERROR(Q1029+G1030*M1030*IF(E1030="FUTURE",VLOOKUP(MID(I1030,2,2),[1]Futures!$A$2:$B$12,2),1),G1030*M1030*IF(E1030="FUTURE",VLOOKUP(MID(I1030,2,2),[1]Futures!$A$2:$B$12,2),1)))</f>
        <v>0</v>
      </c>
      <c r="R1030" s="12" t="str">
        <f>IFERROR(Q1030/P1030/IF(E1030="FUTURE",VLOOKUP(MID(I1030,2,2),[1]Futures!$A$2:$B$12,2),1),"")</f>
        <v/>
      </c>
      <c r="S1030" s="13">
        <f>IF(AND(H1030="TO CLOSE",P1030=0),-G1030*(M1030-R1029)*IF(E1030="FUTURE",VLOOKUP(MID(I1030,2,2),[1]Futures!$A$2:$B$12,2),1),"")</f>
        <v>9.9999999999980105</v>
      </c>
    </row>
    <row r="1031" spans="1:19" x14ac:dyDescent="0.2">
      <c r="A1031">
        <f t="shared" si="50"/>
        <v>308</v>
      </c>
      <c r="B1031" s="3">
        <v>43966</v>
      </c>
      <c r="C1031" s="3" t="str">
        <f t="shared" si="49"/>
        <v>Friday</v>
      </c>
      <c r="D1031" s="2">
        <v>0.60277777777777775</v>
      </c>
      <c r="E1031" t="s">
        <v>14</v>
      </c>
      <c r="F1031" t="s">
        <v>15</v>
      </c>
      <c r="G1031">
        <v>-1</v>
      </c>
      <c r="H1031" t="s">
        <v>20</v>
      </c>
      <c r="I1031" t="s">
        <v>77</v>
      </c>
      <c r="J1031" s="1">
        <v>44063</v>
      </c>
      <c r="L1031" t="s">
        <v>14</v>
      </c>
      <c r="M1031">
        <v>30.05</v>
      </c>
      <c r="N1031">
        <v>30.05</v>
      </c>
      <c r="O1031" t="s">
        <v>21</v>
      </c>
      <c r="P1031">
        <f t="shared" si="51"/>
        <v>-1</v>
      </c>
      <c r="Q1031" s="11">
        <f>IF(P1031=0,0,IFERROR(Q1030+G1031*M1031*IF(E1031="FUTURE",VLOOKUP(MID(I1031,2,2),[1]Futures!$A$2:$B$12,2),1),G1031*M1031*IF(E1031="FUTURE",VLOOKUP(MID(I1031,2,2),[1]Futures!$A$2:$B$12,2),1)))</f>
        <v>-30050</v>
      </c>
      <c r="R1031" s="12">
        <f>IFERROR(Q1031/P1031/IF(E1031="FUTURE",VLOOKUP(MID(I1031,2,2),[1]Futures!$A$2:$B$12,2),1),"")</f>
        <v>30.05</v>
      </c>
      <c r="S1031" s="13" t="str">
        <f>IF(AND(H1031="TO CLOSE",P1031=0),-G1031*(M1031-R1030)*IF(E1031="FUTURE",VLOOKUP(MID(I1031,2,2),[1]Futures!$A$2:$B$12,2),1),"")</f>
        <v/>
      </c>
    </row>
    <row r="1032" spans="1:19" x14ac:dyDescent="0.2">
      <c r="A1032">
        <f t="shared" si="50"/>
        <v>308</v>
      </c>
      <c r="B1032" s="3">
        <v>43966</v>
      </c>
      <c r="C1032" s="3" t="str">
        <f t="shared" si="49"/>
        <v>Friday</v>
      </c>
      <c r="D1032" s="2">
        <v>0.60734953703703709</v>
      </c>
      <c r="E1032" t="s">
        <v>14</v>
      </c>
      <c r="F1032" t="s">
        <v>19</v>
      </c>
      <c r="G1032">
        <v>1</v>
      </c>
      <c r="H1032" t="s">
        <v>16</v>
      </c>
      <c r="I1032" t="s">
        <v>77</v>
      </c>
      <c r="J1032" s="1">
        <v>44063</v>
      </c>
      <c r="L1032" t="s">
        <v>14</v>
      </c>
      <c r="M1032">
        <v>30.04</v>
      </c>
      <c r="N1032">
        <v>30.04</v>
      </c>
      <c r="O1032" t="s">
        <v>21</v>
      </c>
      <c r="P1032">
        <f t="shared" si="51"/>
        <v>0</v>
      </c>
      <c r="Q1032" s="11">
        <f>IF(P1032=0,0,IFERROR(Q1031+G1032*M1032*IF(E1032="FUTURE",VLOOKUP(MID(I1032,2,2),[1]Futures!$A$2:$B$12,2),1),G1032*M1032*IF(E1032="FUTURE",VLOOKUP(MID(I1032,2,2),[1]Futures!$A$2:$B$12,2),1)))</f>
        <v>0</v>
      </c>
      <c r="R1032" s="12" t="str">
        <f>IFERROR(Q1032/P1032/IF(E1032="FUTURE",VLOOKUP(MID(I1032,2,2),[1]Futures!$A$2:$B$12,2),1),"")</f>
        <v/>
      </c>
      <c r="S1032" s="13">
        <f>IF(AND(H1032="TO CLOSE",P1032=0),-G1032*(M1032-R1031)*IF(E1032="FUTURE",VLOOKUP(MID(I1032,2,2),[1]Futures!$A$2:$B$12,2),1),"")</f>
        <v>10.000000000001563</v>
      </c>
    </row>
    <row r="1033" spans="1:19" x14ac:dyDescent="0.2">
      <c r="A1033">
        <f t="shared" si="50"/>
        <v>309</v>
      </c>
      <c r="B1033" s="3">
        <v>43966</v>
      </c>
      <c r="C1033" s="3" t="str">
        <f t="shared" si="49"/>
        <v>Friday</v>
      </c>
      <c r="D1033" s="2">
        <v>0.58187500000000003</v>
      </c>
      <c r="E1033" t="s">
        <v>22</v>
      </c>
      <c r="F1033" t="s">
        <v>15</v>
      </c>
      <c r="G1033">
        <v>-177</v>
      </c>
      <c r="H1033" t="s">
        <v>20</v>
      </c>
      <c r="I1033" t="s">
        <v>23</v>
      </c>
      <c r="L1033" t="s">
        <v>22</v>
      </c>
      <c r="M1033">
        <v>37.6</v>
      </c>
      <c r="N1033">
        <v>37.6</v>
      </c>
      <c r="O1033" t="s">
        <v>21</v>
      </c>
      <c r="P1033">
        <f t="shared" si="51"/>
        <v>-177</v>
      </c>
      <c r="Q1033" s="11">
        <f>IF(P1033=0,0,IFERROR(Q1032+G1033*M1033*IF(E1033="FUTURE",VLOOKUP(MID(I1033,2,2),[1]Futures!$A$2:$B$12,2),1),G1033*M1033*IF(E1033="FUTURE",VLOOKUP(MID(I1033,2,2),[1]Futures!$A$2:$B$12,2),1)))</f>
        <v>-6655.2</v>
      </c>
      <c r="R1033" s="12">
        <f>IFERROR(Q1033/P1033/IF(E1033="FUTURE",VLOOKUP(MID(I1033,2,2),[1]Futures!$A$2:$B$12,2),1),"")</f>
        <v>37.6</v>
      </c>
      <c r="S1033" s="13" t="str">
        <f>IF(AND(H1033="TO CLOSE",P1033=0),-G1033*(M1033-R1032)*IF(E1033="FUTURE",VLOOKUP(MID(I1033,2,2),[1]Futures!$A$2:$B$12,2),1),"")</f>
        <v/>
      </c>
    </row>
    <row r="1034" spans="1:19" x14ac:dyDescent="0.2">
      <c r="A1034">
        <f t="shared" si="50"/>
        <v>309</v>
      </c>
      <c r="B1034" s="3">
        <v>43966</v>
      </c>
      <c r="C1034" s="3" t="str">
        <f t="shared" si="49"/>
        <v>Friday</v>
      </c>
      <c r="D1034" s="2">
        <v>0.58187500000000003</v>
      </c>
      <c r="E1034" t="s">
        <v>22</v>
      </c>
      <c r="F1034" t="s">
        <v>15</v>
      </c>
      <c r="G1034">
        <v>-23</v>
      </c>
      <c r="H1034" t="s">
        <v>20</v>
      </c>
      <c r="I1034" t="s">
        <v>23</v>
      </c>
      <c r="L1034" t="s">
        <v>22</v>
      </c>
      <c r="M1034">
        <v>37.6</v>
      </c>
      <c r="N1034">
        <v>37.6</v>
      </c>
      <c r="O1034" t="s">
        <v>21</v>
      </c>
      <c r="P1034">
        <f t="shared" si="51"/>
        <v>-200</v>
      </c>
      <c r="Q1034" s="11">
        <f>IF(P1034=0,0,IFERROR(Q1033+G1034*M1034*IF(E1034="FUTURE",VLOOKUP(MID(I1034,2,2),[1]Futures!$A$2:$B$12,2),1),G1034*M1034*IF(E1034="FUTURE",VLOOKUP(MID(I1034,2,2),[1]Futures!$A$2:$B$12,2),1)))</f>
        <v>-7520</v>
      </c>
      <c r="R1034" s="12">
        <f>IFERROR(Q1034/P1034/IF(E1034="FUTURE",VLOOKUP(MID(I1034,2,2),[1]Futures!$A$2:$B$12,2),1),"")</f>
        <v>37.6</v>
      </c>
      <c r="S1034" s="13" t="str">
        <f>IF(AND(H1034="TO CLOSE",P1034=0),-G1034*(M1034-R1033)*IF(E1034="FUTURE",VLOOKUP(MID(I1034,2,2),[1]Futures!$A$2:$B$12,2),1),"")</f>
        <v/>
      </c>
    </row>
    <row r="1035" spans="1:19" x14ac:dyDescent="0.2">
      <c r="A1035">
        <f t="shared" si="50"/>
        <v>309</v>
      </c>
      <c r="B1035" s="3">
        <v>43966</v>
      </c>
      <c r="C1035" s="3" t="str">
        <f t="shared" si="49"/>
        <v>Friday</v>
      </c>
      <c r="D1035" s="2">
        <v>0.58187500000000003</v>
      </c>
      <c r="E1035" t="s">
        <v>22</v>
      </c>
      <c r="F1035" t="s">
        <v>15</v>
      </c>
      <c r="G1035">
        <v>-200</v>
      </c>
      <c r="H1035" t="s">
        <v>20</v>
      </c>
      <c r="I1035" t="s">
        <v>23</v>
      </c>
      <c r="L1035" t="s">
        <v>22</v>
      </c>
      <c r="M1035">
        <v>37.6</v>
      </c>
      <c r="N1035">
        <v>37.6</v>
      </c>
      <c r="O1035" t="s">
        <v>21</v>
      </c>
      <c r="P1035">
        <f t="shared" si="51"/>
        <v>-400</v>
      </c>
      <c r="Q1035" s="11">
        <f>IF(P1035=0,0,IFERROR(Q1034+G1035*M1035*IF(E1035="FUTURE",VLOOKUP(MID(I1035,2,2),[1]Futures!$A$2:$B$12,2),1),G1035*M1035*IF(E1035="FUTURE",VLOOKUP(MID(I1035,2,2),[1]Futures!$A$2:$B$12,2),1)))</f>
        <v>-15040</v>
      </c>
      <c r="R1035" s="12">
        <f>IFERROR(Q1035/P1035/IF(E1035="FUTURE",VLOOKUP(MID(I1035,2,2),[1]Futures!$A$2:$B$12,2),1),"")</f>
        <v>37.6</v>
      </c>
      <c r="S1035" s="13" t="str">
        <f>IF(AND(H1035="TO CLOSE",P1035=0),-G1035*(M1035-R1034)*IF(E1035="FUTURE",VLOOKUP(MID(I1035,2,2),[1]Futures!$A$2:$B$12,2),1),"")</f>
        <v/>
      </c>
    </row>
    <row r="1036" spans="1:19" x14ac:dyDescent="0.2">
      <c r="A1036">
        <f t="shared" si="50"/>
        <v>309</v>
      </c>
      <c r="B1036" s="3">
        <v>43966</v>
      </c>
      <c r="C1036" s="3" t="str">
        <f t="shared" si="49"/>
        <v>Friday</v>
      </c>
      <c r="D1036" s="2">
        <v>0.5926851851851852</v>
      </c>
      <c r="E1036" t="s">
        <v>22</v>
      </c>
      <c r="F1036" t="s">
        <v>19</v>
      </c>
      <c r="G1036">
        <v>400</v>
      </c>
      <c r="H1036" t="s">
        <v>16</v>
      </c>
      <c r="I1036" t="s">
        <v>23</v>
      </c>
      <c r="L1036" t="s">
        <v>22</v>
      </c>
      <c r="M1036">
        <v>37.32</v>
      </c>
      <c r="N1036">
        <v>37.32</v>
      </c>
      <c r="O1036" t="s">
        <v>21</v>
      </c>
      <c r="P1036">
        <f t="shared" si="51"/>
        <v>0</v>
      </c>
      <c r="Q1036" s="11">
        <f>IF(P1036=0,0,IFERROR(Q1035+G1036*M1036*IF(E1036="FUTURE",VLOOKUP(MID(I1036,2,2),[1]Futures!$A$2:$B$12,2),1),G1036*M1036*IF(E1036="FUTURE",VLOOKUP(MID(I1036,2,2),[1]Futures!$A$2:$B$12,2),1)))</f>
        <v>0</v>
      </c>
      <c r="R1036" s="12" t="str">
        <f>IFERROR(Q1036/P1036/IF(E1036="FUTURE",VLOOKUP(MID(I1036,2,2),[1]Futures!$A$2:$B$12,2),1),"")</f>
        <v/>
      </c>
      <c r="S1036" s="13">
        <f>IF(AND(H1036="TO CLOSE",P1036=0),-G1036*(M1036-R1035)*IF(E1036="FUTURE",VLOOKUP(MID(I1036,2,2),[1]Futures!$A$2:$B$12,2),1),"")</f>
        <v>112.00000000000045</v>
      </c>
    </row>
    <row r="1037" spans="1:19" x14ac:dyDescent="0.2">
      <c r="A1037">
        <f t="shared" si="50"/>
        <v>310</v>
      </c>
      <c r="B1037" s="3">
        <v>43969</v>
      </c>
      <c r="C1037" s="3" t="str">
        <f t="shared" si="49"/>
        <v>Monday</v>
      </c>
      <c r="D1037" s="2">
        <v>0.34182870370370372</v>
      </c>
      <c r="E1037" t="s">
        <v>14</v>
      </c>
      <c r="F1037" t="s">
        <v>15</v>
      </c>
      <c r="G1037">
        <v>-1</v>
      </c>
      <c r="H1037" t="s">
        <v>20</v>
      </c>
      <c r="I1037" t="s">
        <v>77</v>
      </c>
      <c r="J1037" s="1">
        <v>44063</v>
      </c>
      <c r="L1037" t="s">
        <v>14</v>
      </c>
      <c r="M1037">
        <v>32.479999999999997</v>
      </c>
      <c r="N1037">
        <v>32.479999999999997</v>
      </c>
      <c r="O1037" t="s">
        <v>21</v>
      </c>
      <c r="P1037">
        <f t="shared" si="51"/>
        <v>-1</v>
      </c>
      <c r="Q1037" s="11">
        <f>IF(P1037=0,0,IFERROR(Q1036+G1037*M1037*IF(E1037="FUTURE",VLOOKUP(MID(I1037,2,2),[1]Futures!$A$2:$B$12,2),1),G1037*M1037*IF(E1037="FUTURE",VLOOKUP(MID(I1037,2,2),[1]Futures!$A$2:$B$12,2),1)))</f>
        <v>-32479.999999999996</v>
      </c>
      <c r="R1037" s="12">
        <f>IFERROR(Q1037/P1037/IF(E1037="FUTURE",VLOOKUP(MID(I1037,2,2),[1]Futures!$A$2:$B$12,2),1),"")</f>
        <v>32.479999999999997</v>
      </c>
      <c r="S1037" s="13" t="str">
        <f>IF(AND(H1037="TO CLOSE",P1037=0),-G1037*(M1037-R1036)*IF(E1037="FUTURE",VLOOKUP(MID(I1037,2,2),[1]Futures!$A$2:$B$12,2),1),"")</f>
        <v/>
      </c>
    </row>
    <row r="1038" spans="1:19" x14ac:dyDescent="0.2">
      <c r="A1038">
        <f t="shared" si="50"/>
        <v>310</v>
      </c>
      <c r="B1038" s="3">
        <v>43969</v>
      </c>
      <c r="C1038" s="3" t="str">
        <f t="shared" si="49"/>
        <v>Monday</v>
      </c>
      <c r="D1038" s="2">
        <v>0.34554398148148152</v>
      </c>
      <c r="E1038" t="s">
        <v>14</v>
      </c>
      <c r="F1038" t="s">
        <v>19</v>
      </c>
      <c r="G1038">
        <v>1</v>
      </c>
      <c r="H1038" t="s">
        <v>16</v>
      </c>
      <c r="I1038" t="s">
        <v>77</v>
      </c>
      <c r="J1038" s="1">
        <v>44063</v>
      </c>
      <c r="L1038" t="s">
        <v>14</v>
      </c>
      <c r="M1038">
        <v>32.31</v>
      </c>
      <c r="N1038">
        <v>32.31</v>
      </c>
      <c r="O1038" t="s">
        <v>24</v>
      </c>
      <c r="P1038">
        <f t="shared" si="51"/>
        <v>0</v>
      </c>
      <c r="Q1038" s="11">
        <f>IF(P1038=0,0,IFERROR(Q1037+G1038*M1038*IF(E1038="FUTURE",VLOOKUP(MID(I1038,2,2),[1]Futures!$A$2:$B$12,2),1),G1038*M1038*IF(E1038="FUTURE",VLOOKUP(MID(I1038,2,2),[1]Futures!$A$2:$B$12,2),1)))</f>
        <v>0</v>
      </c>
      <c r="R1038" s="12" t="str">
        <f>IFERROR(Q1038/P1038/IF(E1038="FUTURE",VLOOKUP(MID(I1038,2,2),[1]Futures!$A$2:$B$12,2),1),"")</f>
        <v/>
      </c>
      <c r="S1038" s="13">
        <f>IF(AND(H1038="TO CLOSE",P1038=0),-G1038*(M1038-R1037)*IF(E1038="FUTURE",VLOOKUP(MID(I1038,2,2),[1]Futures!$A$2:$B$12,2),1),"")</f>
        <v>169.9999999999946</v>
      </c>
    </row>
    <row r="1039" spans="1:19" x14ac:dyDescent="0.2">
      <c r="A1039">
        <f t="shared" si="50"/>
        <v>311</v>
      </c>
      <c r="B1039" s="3">
        <v>43969</v>
      </c>
      <c r="C1039" s="3" t="str">
        <f t="shared" si="49"/>
        <v>Monday</v>
      </c>
      <c r="D1039" s="2">
        <v>0.41204861111111107</v>
      </c>
      <c r="E1039" t="s">
        <v>14</v>
      </c>
      <c r="F1039" t="s">
        <v>15</v>
      </c>
      <c r="G1039">
        <v>-1</v>
      </c>
      <c r="H1039" t="s">
        <v>20</v>
      </c>
      <c r="I1039" t="s">
        <v>77</v>
      </c>
      <c r="J1039" s="1">
        <v>44063</v>
      </c>
      <c r="L1039" t="s">
        <v>14</v>
      </c>
      <c r="M1039">
        <v>32.69</v>
      </c>
      <c r="N1039">
        <v>32.69</v>
      </c>
      <c r="O1039" t="s">
        <v>21</v>
      </c>
      <c r="P1039">
        <f t="shared" si="51"/>
        <v>-1</v>
      </c>
      <c r="Q1039" s="11">
        <f>IF(P1039=0,0,IFERROR(Q1038+G1039*M1039*IF(E1039="FUTURE",VLOOKUP(MID(I1039,2,2),[1]Futures!$A$2:$B$12,2),1),G1039*M1039*IF(E1039="FUTURE",VLOOKUP(MID(I1039,2,2),[1]Futures!$A$2:$B$12,2),1)))</f>
        <v>-32689.999999999996</v>
      </c>
      <c r="R1039" s="12">
        <f>IFERROR(Q1039/P1039/IF(E1039="FUTURE",VLOOKUP(MID(I1039,2,2),[1]Futures!$A$2:$B$12,2),1),"")</f>
        <v>32.69</v>
      </c>
      <c r="S1039" s="13" t="str">
        <f>IF(AND(H1039="TO CLOSE",P1039=0),-G1039*(M1039-R1038)*IF(E1039="FUTURE",VLOOKUP(MID(I1039,2,2),[1]Futures!$A$2:$B$12,2),1),"")</f>
        <v/>
      </c>
    </row>
    <row r="1040" spans="1:19" x14ac:dyDescent="0.2">
      <c r="A1040">
        <f t="shared" si="50"/>
        <v>311</v>
      </c>
      <c r="B1040" s="3">
        <v>43969</v>
      </c>
      <c r="C1040" s="3" t="str">
        <f t="shared" si="49"/>
        <v>Monday</v>
      </c>
      <c r="D1040" s="2">
        <v>0.41378472222222223</v>
      </c>
      <c r="E1040" t="s">
        <v>14</v>
      </c>
      <c r="F1040" t="s">
        <v>19</v>
      </c>
      <c r="G1040">
        <v>1</v>
      </c>
      <c r="H1040" t="s">
        <v>16</v>
      </c>
      <c r="I1040" t="s">
        <v>77</v>
      </c>
      <c r="J1040" s="1">
        <v>44063</v>
      </c>
      <c r="L1040" t="s">
        <v>14</v>
      </c>
      <c r="M1040">
        <v>32.54</v>
      </c>
      <c r="N1040">
        <v>32.54</v>
      </c>
      <c r="O1040" t="s">
        <v>21</v>
      </c>
      <c r="P1040">
        <f t="shared" si="51"/>
        <v>0</v>
      </c>
      <c r="Q1040" s="11">
        <f>IF(P1040=0,0,IFERROR(Q1039+G1040*M1040*IF(E1040="FUTURE",VLOOKUP(MID(I1040,2,2),[1]Futures!$A$2:$B$12,2),1),G1040*M1040*IF(E1040="FUTURE",VLOOKUP(MID(I1040,2,2),[1]Futures!$A$2:$B$12,2),1)))</f>
        <v>0</v>
      </c>
      <c r="R1040" s="12" t="str">
        <f>IFERROR(Q1040/P1040/IF(E1040="FUTURE",VLOOKUP(MID(I1040,2,2),[1]Futures!$A$2:$B$12,2),1),"")</f>
        <v/>
      </c>
      <c r="S1040" s="13">
        <f>IF(AND(H1040="TO CLOSE",P1040=0),-G1040*(M1040-R1039)*IF(E1040="FUTURE",VLOOKUP(MID(I1040,2,2),[1]Futures!$A$2:$B$12,2),1),"")</f>
        <v>149.99999999999858</v>
      </c>
    </row>
    <row r="1041" spans="1:19" x14ac:dyDescent="0.2">
      <c r="A1041">
        <f t="shared" si="50"/>
        <v>312</v>
      </c>
      <c r="B1041" s="3">
        <v>43969</v>
      </c>
      <c r="C1041" s="3" t="str">
        <f t="shared" si="49"/>
        <v>Monday</v>
      </c>
      <c r="D1041" s="2">
        <v>0.55925925925925923</v>
      </c>
      <c r="E1041" t="s">
        <v>14</v>
      </c>
      <c r="F1041" t="s">
        <v>19</v>
      </c>
      <c r="G1041">
        <v>1</v>
      </c>
      <c r="H1041" t="s">
        <v>20</v>
      </c>
      <c r="I1041" t="s">
        <v>77</v>
      </c>
      <c r="J1041" s="1">
        <v>44063</v>
      </c>
      <c r="L1041" t="s">
        <v>14</v>
      </c>
      <c r="M1041">
        <v>32.42</v>
      </c>
      <c r="N1041">
        <v>32.42</v>
      </c>
      <c r="O1041" t="s">
        <v>24</v>
      </c>
      <c r="P1041">
        <f t="shared" si="51"/>
        <v>1</v>
      </c>
      <c r="Q1041" s="11">
        <f>IF(P1041=0,0,IFERROR(Q1040+G1041*M1041*IF(E1041="FUTURE",VLOOKUP(MID(I1041,2,2),[1]Futures!$A$2:$B$12,2),1),G1041*M1041*IF(E1041="FUTURE",VLOOKUP(MID(I1041,2,2),[1]Futures!$A$2:$B$12,2),1)))</f>
        <v>32420</v>
      </c>
      <c r="R1041" s="12">
        <f>IFERROR(Q1041/P1041/IF(E1041="FUTURE",VLOOKUP(MID(I1041,2,2),[1]Futures!$A$2:$B$12,2),1),"")</f>
        <v>32.42</v>
      </c>
      <c r="S1041" s="13" t="str">
        <f>IF(AND(H1041="TO CLOSE",P1041=0),-G1041*(M1041-R1040)*IF(E1041="FUTURE",VLOOKUP(MID(I1041,2,2),[1]Futures!$A$2:$B$12,2),1),"")</f>
        <v/>
      </c>
    </row>
    <row r="1042" spans="1:19" x14ac:dyDescent="0.2">
      <c r="A1042">
        <f t="shared" si="50"/>
        <v>312</v>
      </c>
      <c r="B1042" s="3">
        <v>43969</v>
      </c>
      <c r="C1042" s="3" t="str">
        <f t="shared" si="49"/>
        <v>Monday</v>
      </c>
      <c r="D1042" s="2">
        <v>0.56473379629629628</v>
      </c>
      <c r="E1042" t="s">
        <v>14</v>
      </c>
      <c r="F1042" t="s">
        <v>15</v>
      </c>
      <c r="G1042">
        <v>-1</v>
      </c>
      <c r="H1042" t="s">
        <v>16</v>
      </c>
      <c r="I1042" t="s">
        <v>77</v>
      </c>
      <c r="J1042" s="1">
        <v>44063</v>
      </c>
      <c r="L1042" t="s">
        <v>14</v>
      </c>
      <c r="M1042">
        <v>32.090000000000003</v>
      </c>
      <c r="N1042">
        <v>32.090000000000003</v>
      </c>
      <c r="O1042" t="s">
        <v>24</v>
      </c>
      <c r="P1042">
        <f t="shared" si="51"/>
        <v>0</v>
      </c>
      <c r="Q1042" s="11">
        <f>IF(P1042=0,0,IFERROR(Q1041+G1042*M1042*IF(E1042="FUTURE",VLOOKUP(MID(I1042,2,2),[1]Futures!$A$2:$B$12,2),1),G1042*M1042*IF(E1042="FUTURE",VLOOKUP(MID(I1042,2,2),[1]Futures!$A$2:$B$12,2),1)))</f>
        <v>0</v>
      </c>
      <c r="R1042" s="12" t="str">
        <f>IFERROR(Q1042/P1042/IF(E1042="FUTURE",VLOOKUP(MID(I1042,2,2),[1]Futures!$A$2:$B$12,2),1),"")</f>
        <v/>
      </c>
      <c r="S1042" s="13">
        <f>IF(AND(H1042="TO CLOSE",P1042=0),-G1042*(M1042-R1041)*IF(E1042="FUTURE",VLOOKUP(MID(I1042,2,2),[1]Futures!$A$2:$B$12,2),1),"")</f>
        <v>-329.99999999999829</v>
      </c>
    </row>
    <row r="1043" spans="1:19" x14ac:dyDescent="0.2">
      <c r="A1043">
        <f t="shared" si="50"/>
        <v>313</v>
      </c>
      <c r="B1043" s="3">
        <v>43969</v>
      </c>
      <c r="C1043" s="3" t="str">
        <f t="shared" si="49"/>
        <v>Monday</v>
      </c>
      <c r="D1043" s="2">
        <v>0.57347222222222227</v>
      </c>
      <c r="E1043" t="s">
        <v>14</v>
      </c>
      <c r="F1043" t="s">
        <v>19</v>
      </c>
      <c r="G1043">
        <v>1</v>
      </c>
      <c r="H1043" t="s">
        <v>20</v>
      </c>
      <c r="I1043" t="s">
        <v>77</v>
      </c>
      <c r="J1043" s="1">
        <v>44063</v>
      </c>
      <c r="L1043" t="s">
        <v>14</v>
      </c>
      <c r="M1043">
        <v>32.119999999999997</v>
      </c>
      <c r="N1043">
        <v>32.119999999999997</v>
      </c>
      <c r="O1043" t="s">
        <v>21</v>
      </c>
      <c r="P1043">
        <f t="shared" si="51"/>
        <v>1</v>
      </c>
      <c r="Q1043" s="11">
        <f>IF(P1043=0,0,IFERROR(Q1042+G1043*M1043*IF(E1043="FUTURE",VLOOKUP(MID(I1043,2,2),[1]Futures!$A$2:$B$12,2),1),G1043*M1043*IF(E1043="FUTURE",VLOOKUP(MID(I1043,2,2),[1]Futures!$A$2:$B$12,2),1)))</f>
        <v>32119.999999999996</v>
      </c>
      <c r="R1043" s="12">
        <f>IFERROR(Q1043/P1043/IF(E1043="FUTURE",VLOOKUP(MID(I1043,2,2),[1]Futures!$A$2:$B$12,2),1),"")</f>
        <v>32.119999999999997</v>
      </c>
      <c r="S1043" s="13" t="str">
        <f>IF(AND(H1043="TO CLOSE",P1043=0),-G1043*(M1043-R1042)*IF(E1043="FUTURE",VLOOKUP(MID(I1043,2,2),[1]Futures!$A$2:$B$12,2),1),"")</f>
        <v/>
      </c>
    </row>
    <row r="1044" spans="1:19" x14ac:dyDescent="0.2">
      <c r="A1044">
        <f t="shared" si="50"/>
        <v>313</v>
      </c>
      <c r="B1044" s="3">
        <v>43969</v>
      </c>
      <c r="C1044" s="3" t="str">
        <f t="shared" si="49"/>
        <v>Monday</v>
      </c>
      <c r="D1044" s="2">
        <v>0.57414351851851853</v>
      </c>
      <c r="E1044" t="s">
        <v>14</v>
      </c>
      <c r="F1044" t="s">
        <v>15</v>
      </c>
      <c r="G1044">
        <v>-1</v>
      </c>
      <c r="H1044" t="s">
        <v>16</v>
      </c>
      <c r="I1044" t="s">
        <v>77</v>
      </c>
      <c r="J1044" s="1">
        <v>44063</v>
      </c>
      <c r="L1044" t="s">
        <v>14</v>
      </c>
      <c r="M1044">
        <v>32.14</v>
      </c>
      <c r="N1044">
        <v>32.14</v>
      </c>
      <c r="O1044" t="s">
        <v>21</v>
      </c>
      <c r="P1044">
        <f t="shared" si="51"/>
        <v>0</v>
      </c>
      <c r="Q1044" s="11">
        <f>IF(P1044=0,0,IFERROR(Q1043+G1044*M1044*IF(E1044="FUTURE",VLOOKUP(MID(I1044,2,2),[1]Futures!$A$2:$B$12,2),1),G1044*M1044*IF(E1044="FUTURE",VLOOKUP(MID(I1044,2,2),[1]Futures!$A$2:$B$12,2),1)))</f>
        <v>0</v>
      </c>
      <c r="R1044" s="12" t="str">
        <f>IFERROR(Q1044/P1044/IF(E1044="FUTURE",VLOOKUP(MID(I1044,2,2),[1]Futures!$A$2:$B$12,2),1),"")</f>
        <v/>
      </c>
      <c r="S1044" s="13">
        <f>IF(AND(H1044="TO CLOSE",P1044=0),-G1044*(M1044-R1043)*IF(E1044="FUTURE",VLOOKUP(MID(I1044,2,2),[1]Futures!$A$2:$B$12,2),1),"")</f>
        <v>20.000000000003126</v>
      </c>
    </row>
    <row r="1045" spans="1:19" x14ac:dyDescent="0.2">
      <c r="A1045">
        <f t="shared" si="50"/>
        <v>314</v>
      </c>
      <c r="B1045" s="3">
        <v>43969</v>
      </c>
      <c r="C1045" s="3" t="str">
        <f t="shared" si="49"/>
        <v>Monday</v>
      </c>
      <c r="D1045" s="2">
        <v>0.36636574074074074</v>
      </c>
      <c r="E1045" t="s">
        <v>14</v>
      </c>
      <c r="F1045" t="s">
        <v>15</v>
      </c>
      <c r="G1045">
        <v>-1</v>
      </c>
      <c r="H1045" t="s">
        <v>20</v>
      </c>
      <c r="I1045" t="s">
        <v>17</v>
      </c>
      <c r="J1045" s="1">
        <v>44002</v>
      </c>
      <c r="L1045" t="s">
        <v>14</v>
      </c>
      <c r="M1045">
        <v>2926</v>
      </c>
      <c r="N1045">
        <v>2926</v>
      </c>
      <c r="O1045" t="s">
        <v>21</v>
      </c>
      <c r="P1045">
        <f t="shared" si="51"/>
        <v>-1</v>
      </c>
      <c r="Q1045" s="11">
        <f>IF(P1045=0,0,IFERROR(Q1044+G1045*M1045*IF(E1045="FUTURE",VLOOKUP(MID(I1045,2,2),[1]Futures!$A$2:$B$12,2),1),G1045*M1045*IF(E1045="FUTURE",VLOOKUP(MID(I1045,2,2),[1]Futures!$A$2:$B$12,2),1)))</f>
        <v>-146300</v>
      </c>
      <c r="R1045" s="12">
        <f>IFERROR(Q1045/P1045/IF(E1045="FUTURE",VLOOKUP(MID(I1045,2,2),[1]Futures!$A$2:$B$12,2),1),"")</f>
        <v>2926</v>
      </c>
      <c r="S1045" s="13" t="str">
        <f>IF(AND(H1045="TO CLOSE",P1045=0),-G1045*(M1045-R1044)*IF(E1045="FUTURE",VLOOKUP(MID(I1045,2,2),[1]Futures!$A$2:$B$12,2),1),"")</f>
        <v/>
      </c>
    </row>
    <row r="1046" spans="1:19" x14ac:dyDescent="0.2">
      <c r="A1046">
        <f t="shared" si="50"/>
        <v>314</v>
      </c>
      <c r="B1046" s="3">
        <v>43969</v>
      </c>
      <c r="C1046" s="3" t="str">
        <f t="shared" si="49"/>
        <v>Monday</v>
      </c>
      <c r="D1046" s="2">
        <v>0.36969907407407404</v>
      </c>
      <c r="E1046" t="s">
        <v>14</v>
      </c>
      <c r="F1046" t="s">
        <v>19</v>
      </c>
      <c r="G1046">
        <v>1</v>
      </c>
      <c r="H1046" t="s">
        <v>16</v>
      </c>
      <c r="I1046" t="s">
        <v>17</v>
      </c>
      <c r="J1046" s="1">
        <v>44002</v>
      </c>
      <c r="L1046" t="s">
        <v>14</v>
      </c>
      <c r="M1046">
        <v>2925.5</v>
      </c>
      <c r="N1046">
        <v>2925.5</v>
      </c>
      <c r="O1046" t="s">
        <v>21</v>
      </c>
      <c r="P1046">
        <f t="shared" si="51"/>
        <v>0</v>
      </c>
      <c r="Q1046" s="11">
        <f>IF(P1046=0,0,IFERROR(Q1045+G1046*M1046*IF(E1046="FUTURE",VLOOKUP(MID(I1046,2,2),[1]Futures!$A$2:$B$12,2),1),G1046*M1046*IF(E1046="FUTURE",VLOOKUP(MID(I1046,2,2),[1]Futures!$A$2:$B$12,2),1)))</f>
        <v>0</v>
      </c>
      <c r="R1046" s="12" t="str">
        <f>IFERROR(Q1046/P1046/IF(E1046="FUTURE",VLOOKUP(MID(I1046,2,2),[1]Futures!$A$2:$B$12,2),1),"")</f>
        <v/>
      </c>
      <c r="S1046" s="13">
        <f>IF(AND(H1046="TO CLOSE",P1046=0),-G1046*(M1046-R1045)*IF(E1046="FUTURE",VLOOKUP(MID(I1046,2,2),[1]Futures!$A$2:$B$12,2),1),"")</f>
        <v>25</v>
      </c>
    </row>
    <row r="1047" spans="1:19" x14ac:dyDescent="0.2">
      <c r="A1047">
        <f t="shared" si="50"/>
        <v>315</v>
      </c>
      <c r="B1047" s="3">
        <v>43969</v>
      </c>
      <c r="C1047" s="3" t="str">
        <f t="shared" si="49"/>
        <v>Monday</v>
      </c>
      <c r="D1047" s="2">
        <v>0.37716435185185188</v>
      </c>
      <c r="E1047" t="s">
        <v>14</v>
      </c>
      <c r="F1047" t="s">
        <v>15</v>
      </c>
      <c r="G1047">
        <v>-1</v>
      </c>
      <c r="H1047" t="s">
        <v>20</v>
      </c>
      <c r="I1047" t="s">
        <v>17</v>
      </c>
      <c r="J1047" s="1">
        <v>44002</v>
      </c>
      <c r="L1047" t="s">
        <v>14</v>
      </c>
      <c r="M1047">
        <v>2929</v>
      </c>
      <c r="N1047">
        <v>2929</v>
      </c>
      <c r="O1047" t="s">
        <v>21</v>
      </c>
      <c r="P1047">
        <f t="shared" si="51"/>
        <v>-1</v>
      </c>
      <c r="Q1047" s="11">
        <f>IF(P1047=0,0,IFERROR(Q1046+G1047*M1047*IF(E1047="FUTURE",VLOOKUP(MID(I1047,2,2),[1]Futures!$A$2:$B$12,2),1),G1047*M1047*IF(E1047="FUTURE",VLOOKUP(MID(I1047,2,2),[1]Futures!$A$2:$B$12,2),1)))</f>
        <v>-146450</v>
      </c>
      <c r="R1047" s="12">
        <f>IFERROR(Q1047/P1047/IF(E1047="FUTURE",VLOOKUP(MID(I1047,2,2),[1]Futures!$A$2:$B$12,2),1),"")</f>
        <v>2929</v>
      </c>
      <c r="S1047" s="13" t="str">
        <f>IF(AND(H1047="TO CLOSE",P1047=0),-G1047*(M1047-R1046)*IF(E1047="FUTURE",VLOOKUP(MID(I1047,2,2),[1]Futures!$A$2:$B$12,2),1),"")</f>
        <v/>
      </c>
    </row>
    <row r="1048" spans="1:19" x14ac:dyDescent="0.2">
      <c r="A1048">
        <f t="shared" si="50"/>
        <v>315</v>
      </c>
      <c r="B1048" s="3">
        <v>43969</v>
      </c>
      <c r="C1048" s="3" t="str">
        <f t="shared" si="49"/>
        <v>Monday</v>
      </c>
      <c r="D1048" s="2">
        <v>0.38381944444444444</v>
      </c>
      <c r="E1048" t="s">
        <v>14</v>
      </c>
      <c r="F1048" t="s">
        <v>19</v>
      </c>
      <c r="G1048">
        <v>1</v>
      </c>
      <c r="H1048" t="s">
        <v>16</v>
      </c>
      <c r="I1048" t="s">
        <v>17</v>
      </c>
      <c r="J1048" s="1">
        <v>44002</v>
      </c>
      <c r="L1048" t="s">
        <v>14</v>
      </c>
      <c r="M1048">
        <v>2928.5</v>
      </c>
      <c r="N1048">
        <v>2928.5</v>
      </c>
      <c r="O1048" t="s">
        <v>21</v>
      </c>
      <c r="P1048">
        <f t="shared" si="51"/>
        <v>0</v>
      </c>
      <c r="Q1048" s="11">
        <f>IF(P1048=0,0,IFERROR(Q1047+G1048*M1048*IF(E1048="FUTURE",VLOOKUP(MID(I1048,2,2),[1]Futures!$A$2:$B$12,2),1),G1048*M1048*IF(E1048="FUTURE",VLOOKUP(MID(I1048,2,2),[1]Futures!$A$2:$B$12,2),1)))</f>
        <v>0</v>
      </c>
      <c r="R1048" s="12" t="str">
        <f>IFERROR(Q1048/P1048/IF(E1048="FUTURE",VLOOKUP(MID(I1048,2,2),[1]Futures!$A$2:$B$12,2),1),"")</f>
        <v/>
      </c>
      <c r="S1048" s="13">
        <f>IF(AND(H1048="TO CLOSE",P1048=0),-G1048*(M1048-R1047)*IF(E1048="FUTURE",VLOOKUP(MID(I1048,2,2),[1]Futures!$A$2:$B$12,2),1),"")</f>
        <v>25</v>
      </c>
    </row>
    <row r="1049" spans="1:19" x14ac:dyDescent="0.2">
      <c r="A1049">
        <f t="shared" si="50"/>
        <v>316</v>
      </c>
      <c r="B1049" s="3">
        <v>43969</v>
      </c>
      <c r="C1049" s="3" t="str">
        <f t="shared" si="49"/>
        <v>Monday</v>
      </c>
      <c r="D1049" s="2">
        <v>0.45031249999999995</v>
      </c>
      <c r="E1049" t="s">
        <v>14</v>
      </c>
      <c r="F1049" t="s">
        <v>15</v>
      </c>
      <c r="G1049">
        <v>-1</v>
      </c>
      <c r="H1049" t="s">
        <v>20</v>
      </c>
      <c r="I1049" t="s">
        <v>17</v>
      </c>
      <c r="J1049" s="1">
        <v>44002</v>
      </c>
      <c r="L1049" t="s">
        <v>14</v>
      </c>
      <c r="M1049">
        <v>2938.5</v>
      </c>
      <c r="N1049">
        <v>2938.5</v>
      </c>
      <c r="O1049" t="s">
        <v>21</v>
      </c>
      <c r="P1049">
        <f t="shared" si="51"/>
        <v>-1</v>
      </c>
      <c r="Q1049" s="11">
        <f>IF(P1049=0,0,IFERROR(Q1048+G1049*M1049*IF(E1049="FUTURE",VLOOKUP(MID(I1049,2,2),[1]Futures!$A$2:$B$12,2),1),G1049*M1049*IF(E1049="FUTURE",VLOOKUP(MID(I1049,2,2),[1]Futures!$A$2:$B$12,2),1)))</f>
        <v>-146925</v>
      </c>
      <c r="R1049" s="12">
        <f>IFERROR(Q1049/P1049/IF(E1049="FUTURE",VLOOKUP(MID(I1049,2,2),[1]Futures!$A$2:$B$12,2),1),"")</f>
        <v>2938.5</v>
      </c>
      <c r="S1049" s="13" t="str">
        <f>IF(AND(H1049="TO CLOSE",P1049=0),-G1049*(M1049-R1048)*IF(E1049="FUTURE",VLOOKUP(MID(I1049,2,2),[1]Futures!$A$2:$B$12,2),1),"")</f>
        <v/>
      </c>
    </row>
    <row r="1050" spans="1:19" x14ac:dyDescent="0.2">
      <c r="A1050">
        <f t="shared" si="50"/>
        <v>316</v>
      </c>
      <c r="B1050" s="3">
        <v>43969</v>
      </c>
      <c r="C1050" s="3" t="str">
        <f t="shared" si="49"/>
        <v>Monday</v>
      </c>
      <c r="D1050" s="2">
        <v>0.46868055555555554</v>
      </c>
      <c r="E1050" t="s">
        <v>14</v>
      </c>
      <c r="F1050" t="s">
        <v>15</v>
      </c>
      <c r="G1050">
        <v>-1</v>
      </c>
      <c r="H1050" t="s">
        <v>20</v>
      </c>
      <c r="I1050" t="s">
        <v>17</v>
      </c>
      <c r="J1050" s="1">
        <v>44002</v>
      </c>
      <c r="L1050" t="s">
        <v>14</v>
      </c>
      <c r="M1050">
        <v>2944.5</v>
      </c>
      <c r="N1050">
        <v>2944.5</v>
      </c>
      <c r="O1050" t="s">
        <v>21</v>
      </c>
      <c r="P1050">
        <f t="shared" si="51"/>
        <v>-2</v>
      </c>
      <c r="Q1050" s="11">
        <f>IF(P1050=0,0,IFERROR(Q1049+G1050*M1050*IF(E1050="FUTURE",VLOOKUP(MID(I1050,2,2),[1]Futures!$A$2:$B$12,2),1),G1050*M1050*IF(E1050="FUTURE",VLOOKUP(MID(I1050,2,2),[1]Futures!$A$2:$B$12,2),1)))</f>
        <v>-294150</v>
      </c>
      <c r="R1050" s="12">
        <f>IFERROR(Q1050/P1050/IF(E1050="FUTURE",VLOOKUP(MID(I1050,2,2),[1]Futures!$A$2:$B$12,2),1),"")</f>
        <v>2941.5</v>
      </c>
      <c r="S1050" s="13" t="str">
        <f>IF(AND(H1050="TO CLOSE",P1050=0),-G1050*(M1050-R1049)*IF(E1050="FUTURE",VLOOKUP(MID(I1050,2,2),[1]Futures!$A$2:$B$12,2),1),"")</f>
        <v/>
      </c>
    </row>
    <row r="1051" spans="1:19" x14ac:dyDescent="0.2">
      <c r="A1051">
        <f t="shared" si="50"/>
        <v>316</v>
      </c>
      <c r="B1051" s="3">
        <v>43969</v>
      </c>
      <c r="C1051" s="3" t="str">
        <f t="shared" si="49"/>
        <v>Monday</v>
      </c>
      <c r="D1051" s="2">
        <v>0.55552083333333335</v>
      </c>
      <c r="E1051" t="s">
        <v>14</v>
      </c>
      <c r="F1051" t="s">
        <v>19</v>
      </c>
      <c r="G1051">
        <v>2</v>
      </c>
      <c r="H1051" t="s">
        <v>16</v>
      </c>
      <c r="I1051" t="s">
        <v>17</v>
      </c>
      <c r="J1051" s="1">
        <v>44002</v>
      </c>
      <c r="L1051" t="s">
        <v>14</v>
      </c>
      <c r="M1051">
        <v>2952</v>
      </c>
      <c r="N1051">
        <v>2952</v>
      </c>
      <c r="O1051" t="s">
        <v>18</v>
      </c>
      <c r="P1051">
        <f t="shared" si="51"/>
        <v>0</v>
      </c>
      <c r="Q1051" s="11">
        <f>IF(P1051=0,0,IFERROR(Q1050+G1051*M1051*IF(E1051="FUTURE",VLOOKUP(MID(I1051,2,2),[1]Futures!$A$2:$B$12,2),1),G1051*M1051*IF(E1051="FUTURE",VLOOKUP(MID(I1051,2,2),[1]Futures!$A$2:$B$12,2),1)))</f>
        <v>0</v>
      </c>
      <c r="R1051" s="12" t="str">
        <f>IFERROR(Q1051/P1051/IF(E1051="FUTURE",VLOOKUP(MID(I1051,2,2),[1]Futures!$A$2:$B$12,2),1),"")</f>
        <v/>
      </c>
      <c r="S1051" s="13">
        <f>IF(AND(H1051="TO CLOSE",P1051=0),-G1051*(M1051-R1050)*IF(E1051="FUTURE",VLOOKUP(MID(I1051,2,2),[1]Futures!$A$2:$B$12,2),1),"")</f>
        <v>-1050</v>
      </c>
    </row>
    <row r="1052" spans="1:19" x14ac:dyDescent="0.2">
      <c r="A1052">
        <f t="shared" si="50"/>
        <v>317</v>
      </c>
      <c r="B1052" s="3">
        <v>43969</v>
      </c>
      <c r="C1052" s="3" t="str">
        <f t="shared" si="49"/>
        <v>Monday</v>
      </c>
      <c r="D1052" s="2">
        <v>0.56565972222222227</v>
      </c>
      <c r="E1052" t="s">
        <v>14</v>
      </c>
      <c r="F1052" t="s">
        <v>15</v>
      </c>
      <c r="G1052">
        <v>-1</v>
      </c>
      <c r="H1052" t="s">
        <v>20</v>
      </c>
      <c r="I1052" t="s">
        <v>17</v>
      </c>
      <c r="J1052" s="1">
        <v>44002</v>
      </c>
      <c r="L1052" t="s">
        <v>14</v>
      </c>
      <c r="M1052">
        <v>2952.5</v>
      </c>
      <c r="N1052">
        <v>2952.5</v>
      </c>
      <c r="O1052" t="s">
        <v>21</v>
      </c>
      <c r="P1052">
        <f t="shared" si="51"/>
        <v>-1</v>
      </c>
      <c r="Q1052" s="11">
        <f>IF(P1052=0,0,IFERROR(Q1051+G1052*M1052*IF(E1052="FUTURE",VLOOKUP(MID(I1052,2,2),[1]Futures!$A$2:$B$12,2),1),G1052*M1052*IF(E1052="FUTURE",VLOOKUP(MID(I1052,2,2),[1]Futures!$A$2:$B$12,2),1)))</f>
        <v>-147625</v>
      </c>
      <c r="R1052" s="12">
        <f>IFERROR(Q1052/P1052/IF(E1052="FUTURE",VLOOKUP(MID(I1052,2,2),[1]Futures!$A$2:$B$12,2),1),"")</f>
        <v>2952.5</v>
      </c>
      <c r="S1052" s="13" t="str">
        <f>IF(AND(H1052="TO CLOSE",P1052=0),-G1052*(M1052-R1051)*IF(E1052="FUTURE",VLOOKUP(MID(I1052,2,2),[1]Futures!$A$2:$B$12,2),1),"")</f>
        <v/>
      </c>
    </row>
    <row r="1053" spans="1:19" x14ac:dyDescent="0.2">
      <c r="A1053">
        <f t="shared" si="50"/>
        <v>317</v>
      </c>
      <c r="B1053" s="3">
        <v>43969</v>
      </c>
      <c r="C1053" s="3" t="str">
        <f t="shared" si="49"/>
        <v>Monday</v>
      </c>
      <c r="D1053" s="2">
        <v>0.57251157407407405</v>
      </c>
      <c r="E1053" t="s">
        <v>14</v>
      </c>
      <c r="F1053" t="s">
        <v>19</v>
      </c>
      <c r="G1053">
        <v>1</v>
      </c>
      <c r="H1053" t="s">
        <v>16</v>
      </c>
      <c r="I1053" t="s">
        <v>17</v>
      </c>
      <c r="J1053" s="1">
        <v>44002</v>
      </c>
      <c r="L1053" t="s">
        <v>14</v>
      </c>
      <c r="M1053">
        <v>2951.5</v>
      </c>
      <c r="N1053">
        <v>2951.5</v>
      </c>
      <c r="O1053" t="s">
        <v>21</v>
      </c>
      <c r="P1053">
        <f t="shared" si="51"/>
        <v>0</v>
      </c>
      <c r="Q1053" s="11">
        <f>IF(P1053=0,0,IFERROR(Q1052+G1053*M1053*IF(E1053="FUTURE",VLOOKUP(MID(I1053,2,2),[1]Futures!$A$2:$B$12,2),1),G1053*M1053*IF(E1053="FUTURE",VLOOKUP(MID(I1053,2,2),[1]Futures!$A$2:$B$12,2),1)))</f>
        <v>0</v>
      </c>
      <c r="R1053" s="12" t="str">
        <f>IFERROR(Q1053/P1053/IF(E1053="FUTURE",VLOOKUP(MID(I1053,2,2),[1]Futures!$A$2:$B$12,2),1),"")</f>
        <v/>
      </c>
      <c r="S1053" s="13">
        <f>IF(AND(H1053="TO CLOSE",P1053=0),-G1053*(M1053-R1052)*IF(E1053="FUTURE",VLOOKUP(MID(I1053,2,2),[1]Futures!$A$2:$B$12,2),1),"")</f>
        <v>50</v>
      </c>
    </row>
    <row r="1054" spans="1:19" x14ac:dyDescent="0.2">
      <c r="A1054">
        <f t="shared" si="50"/>
        <v>318</v>
      </c>
      <c r="B1054" s="3">
        <v>43969</v>
      </c>
      <c r="C1054" s="3" t="str">
        <f t="shared" si="49"/>
        <v>Monday</v>
      </c>
      <c r="D1054" s="2">
        <v>0.57944444444444443</v>
      </c>
      <c r="E1054" t="s">
        <v>14</v>
      </c>
      <c r="F1054" t="s">
        <v>15</v>
      </c>
      <c r="G1054">
        <v>-1</v>
      </c>
      <c r="H1054" t="s">
        <v>20</v>
      </c>
      <c r="I1054" t="s">
        <v>17</v>
      </c>
      <c r="J1054" s="1">
        <v>44002</v>
      </c>
      <c r="L1054" t="s">
        <v>14</v>
      </c>
      <c r="M1054">
        <v>2952</v>
      </c>
      <c r="N1054">
        <v>2952</v>
      </c>
      <c r="O1054" t="s">
        <v>21</v>
      </c>
      <c r="P1054">
        <f t="shared" si="51"/>
        <v>-1</v>
      </c>
      <c r="Q1054" s="11">
        <f>IF(P1054=0,0,IFERROR(Q1053+G1054*M1054*IF(E1054="FUTURE",VLOOKUP(MID(I1054,2,2),[1]Futures!$A$2:$B$12,2),1),G1054*M1054*IF(E1054="FUTURE",VLOOKUP(MID(I1054,2,2),[1]Futures!$A$2:$B$12,2),1)))</f>
        <v>-147600</v>
      </c>
      <c r="R1054" s="12">
        <f>IFERROR(Q1054/P1054/IF(E1054="FUTURE",VLOOKUP(MID(I1054,2,2),[1]Futures!$A$2:$B$12,2),1),"")</f>
        <v>2952</v>
      </c>
      <c r="S1054" s="13" t="str">
        <f>IF(AND(H1054="TO CLOSE",P1054=0),-G1054*(M1054-R1053)*IF(E1054="FUTURE",VLOOKUP(MID(I1054,2,2),[1]Futures!$A$2:$B$12,2),1),"")</f>
        <v/>
      </c>
    </row>
    <row r="1055" spans="1:19" x14ac:dyDescent="0.2">
      <c r="A1055">
        <f t="shared" si="50"/>
        <v>318</v>
      </c>
      <c r="B1055" s="3">
        <v>43969</v>
      </c>
      <c r="C1055" s="3" t="str">
        <f t="shared" si="49"/>
        <v>Monday</v>
      </c>
      <c r="D1055" s="2">
        <v>0.59052083333333327</v>
      </c>
      <c r="E1055" t="s">
        <v>14</v>
      </c>
      <c r="F1055" t="s">
        <v>19</v>
      </c>
      <c r="G1055">
        <v>1</v>
      </c>
      <c r="H1055" t="s">
        <v>16</v>
      </c>
      <c r="I1055" t="s">
        <v>17</v>
      </c>
      <c r="J1055" s="1">
        <v>44002</v>
      </c>
      <c r="L1055" t="s">
        <v>14</v>
      </c>
      <c r="M1055">
        <v>2951.5</v>
      </c>
      <c r="N1055">
        <v>2951.5</v>
      </c>
      <c r="O1055" t="s">
        <v>21</v>
      </c>
      <c r="P1055">
        <f t="shared" si="51"/>
        <v>0</v>
      </c>
      <c r="Q1055" s="11">
        <f>IF(P1055=0,0,IFERROR(Q1054+G1055*M1055*IF(E1055="FUTURE",VLOOKUP(MID(I1055,2,2),[1]Futures!$A$2:$B$12,2),1),G1055*M1055*IF(E1055="FUTURE",VLOOKUP(MID(I1055,2,2),[1]Futures!$A$2:$B$12,2),1)))</f>
        <v>0</v>
      </c>
      <c r="R1055" s="12" t="str">
        <f>IFERROR(Q1055/P1055/IF(E1055="FUTURE",VLOOKUP(MID(I1055,2,2),[1]Futures!$A$2:$B$12,2),1),"")</f>
        <v/>
      </c>
      <c r="S1055" s="13">
        <f>IF(AND(H1055="TO CLOSE",P1055=0),-G1055*(M1055-R1054)*IF(E1055="FUTURE",VLOOKUP(MID(I1055,2,2),[1]Futures!$A$2:$B$12,2),1),"")</f>
        <v>25</v>
      </c>
    </row>
    <row r="1056" spans="1:19" x14ac:dyDescent="0.2">
      <c r="A1056">
        <f t="shared" si="50"/>
        <v>319</v>
      </c>
      <c r="B1056" s="3">
        <v>43969</v>
      </c>
      <c r="C1056" s="3" t="str">
        <f t="shared" si="49"/>
        <v>Monday</v>
      </c>
      <c r="D1056" s="2">
        <v>0.59466435185185185</v>
      </c>
      <c r="E1056" t="s">
        <v>14</v>
      </c>
      <c r="F1056" t="s">
        <v>15</v>
      </c>
      <c r="G1056">
        <v>-2</v>
      </c>
      <c r="H1056" t="s">
        <v>20</v>
      </c>
      <c r="I1056" t="s">
        <v>17</v>
      </c>
      <c r="J1056" s="1">
        <v>44002</v>
      </c>
      <c r="L1056" t="s">
        <v>14</v>
      </c>
      <c r="M1056">
        <v>2954</v>
      </c>
      <c r="N1056">
        <v>2954</v>
      </c>
      <c r="O1056" t="s">
        <v>21</v>
      </c>
      <c r="P1056">
        <f t="shared" si="51"/>
        <v>-2</v>
      </c>
      <c r="Q1056" s="11">
        <f>IF(P1056=0,0,IFERROR(Q1055+G1056*M1056*IF(E1056="FUTURE",VLOOKUP(MID(I1056,2,2),[1]Futures!$A$2:$B$12,2),1),G1056*M1056*IF(E1056="FUTURE",VLOOKUP(MID(I1056,2,2),[1]Futures!$A$2:$B$12,2),1)))</f>
        <v>-295400</v>
      </c>
      <c r="R1056" s="12">
        <f>IFERROR(Q1056/P1056/IF(E1056="FUTURE",VLOOKUP(MID(I1056,2,2),[1]Futures!$A$2:$B$12,2),1),"")</f>
        <v>2954</v>
      </c>
      <c r="S1056" s="13" t="str">
        <f>IF(AND(H1056="TO CLOSE",P1056=0),-G1056*(M1056-R1055)*IF(E1056="FUTURE",VLOOKUP(MID(I1056,2,2),[1]Futures!$A$2:$B$12,2),1),"")</f>
        <v/>
      </c>
    </row>
    <row r="1057" spans="1:19" x14ac:dyDescent="0.2">
      <c r="A1057">
        <f t="shared" si="50"/>
        <v>319</v>
      </c>
      <c r="B1057" s="3">
        <v>43969</v>
      </c>
      <c r="C1057" s="3" t="str">
        <f t="shared" si="49"/>
        <v>Monday</v>
      </c>
      <c r="D1057" s="2">
        <v>0.59660879629629626</v>
      </c>
      <c r="E1057" t="s">
        <v>14</v>
      </c>
      <c r="F1057" t="s">
        <v>19</v>
      </c>
      <c r="G1057">
        <v>1</v>
      </c>
      <c r="H1057" t="s">
        <v>16</v>
      </c>
      <c r="I1057" t="s">
        <v>17</v>
      </c>
      <c r="J1057" s="1">
        <v>44002</v>
      </c>
      <c r="L1057" t="s">
        <v>14</v>
      </c>
      <c r="M1057">
        <v>2952.5</v>
      </c>
      <c r="N1057">
        <v>2952.5</v>
      </c>
      <c r="O1057" t="s">
        <v>21</v>
      </c>
      <c r="P1057">
        <f t="shared" si="51"/>
        <v>-1</v>
      </c>
      <c r="Q1057" s="11">
        <f>IF(P1057=0,0,IFERROR(Q1056+G1057*M1057*IF(E1057="FUTURE",VLOOKUP(MID(I1057,2,2),[1]Futures!$A$2:$B$12,2),1),G1057*M1057*IF(E1057="FUTURE",VLOOKUP(MID(I1057,2,2),[1]Futures!$A$2:$B$12,2),1)))</f>
        <v>-147775</v>
      </c>
      <c r="R1057" s="12">
        <f>IFERROR(Q1057/P1057/IF(E1057="FUTURE",VLOOKUP(MID(I1057,2,2),[1]Futures!$A$2:$B$12,2),1),"")</f>
        <v>2955.5</v>
      </c>
      <c r="S1057" s="13" t="str">
        <f>IF(AND(H1057="TO CLOSE",P1057=0),-G1057*(M1057-R1056)*IF(E1057="FUTURE",VLOOKUP(MID(I1057,2,2),[1]Futures!$A$2:$B$12,2),1),"")</f>
        <v/>
      </c>
    </row>
    <row r="1058" spans="1:19" x14ac:dyDescent="0.2">
      <c r="A1058">
        <f t="shared" si="50"/>
        <v>319</v>
      </c>
      <c r="B1058" s="3">
        <v>43969</v>
      </c>
      <c r="C1058" s="3" t="str">
        <f t="shared" si="49"/>
        <v>Monday</v>
      </c>
      <c r="D1058" s="2">
        <v>0.59763888888888894</v>
      </c>
      <c r="E1058" t="s">
        <v>14</v>
      </c>
      <c r="F1058" t="s">
        <v>19</v>
      </c>
      <c r="G1058">
        <v>1</v>
      </c>
      <c r="H1058" t="s">
        <v>16</v>
      </c>
      <c r="I1058" t="s">
        <v>17</v>
      </c>
      <c r="J1058" s="1">
        <v>44002</v>
      </c>
      <c r="L1058" t="s">
        <v>14</v>
      </c>
      <c r="M1058">
        <v>2953.75</v>
      </c>
      <c r="N1058">
        <v>2953.75</v>
      </c>
      <c r="O1058" t="s">
        <v>18</v>
      </c>
      <c r="P1058">
        <f t="shared" si="51"/>
        <v>0</v>
      </c>
      <c r="Q1058" s="11">
        <f>IF(P1058=0,0,IFERROR(Q1057+G1058*M1058*IF(E1058="FUTURE",VLOOKUP(MID(I1058,2,2),[1]Futures!$A$2:$B$12,2),1),G1058*M1058*IF(E1058="FUTURE",VLOOKUP(MID(I1058,2,2),[1]Futures!$A$2:$B$12,2),1)))</f>
        <v>0</v>
      </c>
      <c r="R1058" s="12" t="str">
        <f>IFERROR(Q1058/P1058/IF(E1058="FUTURE",VLOOKUP(MID(I1058,2,2),[1]Futures!$A$2:$B$12,2),1),"")</f>
        <v/>
      </c>
      <c r="S1058" s="13">
        <f>IF(AND(H1058="TO CLOSE",P1058=0),-G1058*(M1058-R1057)*IF(E1058="FUTURE",VLOOKUP(MID(I1058,2,2),[1]Futures!$A$2:$B$12,2),1),"")</f>
        <v>87.5</v>
      </c>
    </row>
    <row r="1059" spans="1:19" x14ac:dyDescent="0.2">
      <c r="A1059">
        <f t="shared" si="50"/>
        <v>320</v>
      </c>
      <c r="B1059" s="3">
        <v>43969</v>
      </c>
      <c r="C1059" s="3" t="str">
        <f t="shared" si="49"/>
        <v>Monday</v>
      </c>
      <c r="D1059" s="2">
        <v>0.40631944444444446</v>
      </c>
      <c r="E1059" t="s">
        <v>22</v>
      </c>
      <c r="F1059" t="s">
        <v>19</v>
      </c>
      <c r="G1059">
        <v>400</v>
      </c>
      <c r="H1059" t="s">
        <v>20</v>
      </c>
      <c r="I1059" t="s">
        <v>23</v>
      </c>
      <c r="L1059" t="s">
        <v>22</v>
      </c>
      <c r="M1059">
        <v>33.947699999999998</v>
      </c>
      <c r="N1059">
        <v>33.947699999999998</v>
      </c>
      <c r="O1059" t="s">
        <v>21</v>
      </c>
      <c r="P1059">
        <f t="shared" si="51"/>
        <v>400</v>
      </c>
      <c r="Q1059" s="11">
        <f>IF(P1059=0,0,IFERROR(Q1058+G1059*M1059*IF(E1059="FUTURE",VLOOKUP(MID(I1059,2,2),[1]Futures!$A$2:$B$12,2),1),G1059*M1059*IF(E1059="FUTURE",VLOOKUP(MID(I1059,2,2),[1]Futures!$A$2:$B$12,2),1)))</f>
        <v>13579.079999999998</v>
      </c>
      <c r="R1059" s="12">
        <f>IFERROR(Q1059/P1059/IF(E1059="FUTURE",VLOOKUP(MID(I1059,2,2),[1]Futures!$A$2:$B$12,2),1),"")</f>
        <v>33.947699999999998</v>
      </c>
      <c r="S1059" s="13" t="str">
        <f>IF(AND(H1059="TO CLOSE",P1059=0),-G1059*(M1059-R1058)*IF(E1059="FUTURE",VLOOKUP(MID(I1059,2,2),[1]Futures!$A$2:$B$12,2),1),"")</f>
        <v/>
      </c>
    </row>
    <row r="1060" spans="1:19" x14ac:dyDescent="0.2">
      <c r="A1060">
        <f t="shared" si="50"/>
        <v>320</v>
      </c>
      <c r="B1060" s="3">
        <v>43969</v>
      </c>
      <c r="C1060" s="3" t="str">
        <f t="shared" si="49"/>
        <v>Monday</v>
      </c>
      <c r="D1060" s="2">
        <v>0.40914351851851855</v>
      </c>
      <c r="E1060" t="s">
        <v>22</v>
      </c>
      <c r="F1060" t="s">
        <v>15</v>
      </c>
      <c r="G1060">
        <v>-400</v>
      </c>
      <c r="H1060" t="s">
        <v>16</v>
      </c>
      <c r="I1060" t="s">
        <v>23</v>
      </c>
      <c r="L1060" t="s">
        <v>22</v>
      </c>
      <c r="M1060">
        <v>34.07</v>
      </c>
      <c r="N1060">
        <v>34.07</v>
      </c>
      <c r="O1060" t="s">
        <v>21</v>
      </c>
      <c r="P1060">
        <f t="shared" si="51"/>
        <v>0</v>
      </c>
      <c r="Q1060" s="11">
        <f>IF(P1060=0,0,IFERROR(Q1059+G1060*M1060*IF(E1060="FUTURE",VLOOKUP(MID(I1060,2,2),[1]Futures!$A$2:$B$12,2),1),G1060*M1060*IF(E1060="FUTURE",VLOOKUP(MID(I1060,2,2),[1]Futures!$A$2:$B$12,2),1)))</f>
        <v>0</v>
      </c>
      <c r="R1060" s="12" t="str">
        <f>IFERROR(Q1060/P1060/IF(E1060="FUTURE",VLOOKUP(MID(I1060,2,2),[1]Futures!$A$2:$B$12,2),1),"")</f>
        <v/>
      </c>
      <c r="S1060" s="13">
        <f>IF(AND(H1060="TO CLOSE",P1060=0),-G1060*(M1060-R1059)*IF(E1060="FUTURE",VLOOKUP(MID(I1060,2,2),[1]Futures!$A$2:$B$12,2),1),"")</f>
        <v>48.920000000001096</v>
      </c>
    </row>
    <row r="1061" spans="1:19" x14ac:dyDescent="0.2">
      <c r="A1061">
        <f t="shared" si="50"/>
        <v>321</v>
      </c>
      <c r="B1061" s="3">
        <v>43969</v>
      </c>
      <c r="C1061" s="3" t="str">
        <f t="shared" si="49"/>
        <v>Monday</v>
      </c>
      <c r="D1061" s="2">
        <v>0.41530092592592593</v>
      </c>
      <c r="E1061" t="s">
        <v>22</v>
      </c>
      <c r="F1061" t="s">
        <v>15</v>
      </c>
      <c r="G1061">
        <v>-400</v>
      </c>
      <c r="H1061" t="s">
        <v>20</v>
      </c>
      <c r="I1061" t="s">
        <v>23</v>
      </c>
      <c r="L1061" t="s">
        <v>22</v>
      </c>
      <c r="M1061">
        <v>34.51</v>
      </c>
      <c r="N1061">
        <v>34.51</v>
      </c>
      <c r="O1061" t="s">
        <v>21</v>
      </c>
      <c r="P1061">
        <f t="shared" si="51"/>
        <v>-400</v>
      </c>
      <c r="Q1061" s="11">
        <f>IF(P1061=0,0,IFERROR(Q1060+G1061*M1061*IF(E1061="FUTURE",VLOOKUP(MID(I1061,2,2),[1]Futures!$A$2:$B$12,2),1),G1061*M1061*IF(E1061="FUTURE",VLOOKUP(MID(I1061,2,2),[1]Futures!$A$2:$B$12,2),1)))</f>
        <v>-13804</v>
      </c>
      <c r="R1061" s="12">
        <f>IFERROR(Q1061/P1061/IF(E1061="FUTURE",VLOOKUP(MID(I1061,2,2),[1]Futures!$A$2:$B$12,2),1),"")</f>
        <v>34.51</v>
      </c>
      <c r="S1061" s="13" t="str">
        <f>IF(AND(H1061="TO CLOSE",P1061=0),-G1061*(M1061-R1060)*IF(E1061="FUTURE",VLOOKUP(MID(I1061,2,2),[1]Futures!$A$2:$B$12,2),1),"")</f>
        <v/>
      </c>
    </row>
    <row r="1062" spans="1:19" x14ac:dyDescent="0.2">
      <c r="A1062">
        <f t="shared" si="50"/>
        <v>321</v>
      </c>
      <c r="B1062" s="3">
        <v>43969</v>
      </c>
      <c r="C1062" s="3" t="str">
        <f t="shared" si="49"/>
        <v>Monday</v>
      </c>
      <c r="D1062" s="2">
        <v>0.4274074074074074</v>
      </c>
      <c r="E1062" t="s">
        <v>22</v>
      </c>
      <c r="F1062" t="s">
        <v>15</v>
      </c>
      <c r="G1062">
        <v>-200</v>
      </c>
      <c r="H1062" t="s">
        <v>20</v>
      </c>
      <c r="I1062" t="s">
        <v>23</v>
      </c>
      <c r="L1062" t="s">
        <v>22</v>
      </c>
      <c r="M1062">
        <v>34.92</v>
      </c>
      <c r="N1062">
        <v>34.92</v>
      </c>
      <c r="O1062" t="s">
        <v>21</v>
      </c>
      <c r="P1062">
        <f t="shared" si="51"/>
        <v>-600</v>
      </c>
      <c r="Q1062" s="11">
        <f>IF(P1062=0,0,IFERROR(Q1061+G1062*M1062*IF(E1062="FUTURE",VLOOKUP(MID(I1062,2,2),[1]Futures!$A$2:$B$12,2),1),G1062*M1062*IF(E1062="FUTURE",VLOOKUP(MID(I1062,2,2),[1]Futures!$A$2:$B$12,2),1)))</f>
        <v>-20788</v>
      </c>
      <c r="R1062" s="12">
        <f>IFERROR(Q1062/P1062/IF(E1062="FUTURE",VLOOKUP(MID(I1062,2,2),[1]Futures!$A$2:$B$12,2),1),"")</f>
        <v>34.646666666666668</v>
      </c>
      <c r="S1062" s="13" t="str">
        <f>IF(AND(H1062="TO CLOSE",P1062=0),-G1062*(M1062-R1061)*IF(E1062="FUTURE",VLOOKUP(MID(I1062,2,2),[1]Futures!$A$2:$B$12,2),1),"")</f>
        <v/>
      </c>
    </row>
    <row r="1063" spans="1:19" x14ac:dyDescent="0.2">
      <c r="A1063">
        <f t="shared" si="50"/>
        <v>321</v>
      </c>
      <c r="B1063" s="3">
        <v>43969</v>
      </c>
      <c r="C1063" s="3" t="str">
        <f t="shared" si="49"/>
        <v>Monday</v>
      </c>
      <c r="D1063" s="2">
        <v>0.4283912037037037</v>
      </c>
      <c r="E1063" t="s">
        <v>22</v>
      </c>
      <c r="F1063" t="s">
        <v>19</v>
      </c>
      <c r="G1063">
        <v>200</v>
      </c>
      <c r="H1063" t="s">
        <v>16</v>
      </c>
      <c r="I1063" t="s">
        <v>23</v>
      </c>
      <c r="L1063" t="s">
        <v>22</v>
      </c>
      <c r="M1063">
        <v>34.65</v>
      </c>
      <c r="N1063">
        <v>34.65</v>
      </c>
      <c r="O1063" t="s">
        <v>21</v>
      </c>
      <c r="P1063">
        <f t="shared" si="51"/>
        <v>-400</v>
      </c>
      <c r="Q1063" s="11">
        <f>IF(P1063=0,0,IFERROR(Q1062+G1063*M1063*IF(E1063="FUTURE",VLOOKUP(MID(I1063,2,2),[1]Futures!$A$2:$B$12,2),1),G1063*M1063*IF(E1063="FUTURE",VLOOKUP(MID(I1063,2,2),[1]Futures!$A$2:$B$12,2),1)))</f>
        <v>-13858</v>
      </c>
      <c r="R1063" s="12">
        <f>IFERROR(Q1063/P1063/IF(E1063="FUTURE",VLOOKUP(MID(I1063,2,2),[1]Futures!$A$2:$B$12,2),1),"")</f>
        <v>34.645000000000003</v>
      </c>
      <c r="S1063" s="13" t="str">
        <f>IF(AND(H1063="TO CLOSE",P1063=0),-G1063*(M1063-R1062)*IF(E1063="FUTURE",VLOOKUP(MID(I1063,2,2),[1]Futures!$A$2:$B$12,2),1),"")</f>
        <v/>
      </c>
    </row>
    <row r="1064" spans="1:19" x14ac:dyDescent="0.2">
      <c r="A1064">
        <f t="shared" si="50"/>
        <v>321</v>
      </c>
      <c r="B1064" s="3">
        <v>43969</v>
      </c>
      <c r="C1064" s="3" t="str">
        <f t="shared" si="49"/>
        <v>Monday</v>
      </c>
      <c r="D1064" s="2">
        <v>0.43321759259259257</v>
      </c>
      <c r="E1064" t="s">
        <v>22</v>
      </c>
      <c r="F1064" t="s">
        <v>19</v>
      </c>
      <c r="G1064">
        <v>200</v>
      </c>
      <c r="H1064" t="s">
        <v>16</v>
      </c>
      <c r="I1064" t="s">
        <v>23</v>
      </c>
      <c r="L1064" t="s">
        <v>22</v>
      </c>
      <c r="M1064">
        <v>34.51</v>
      </c>
      <c r="N1064">
        <v>34.51</v>
      </c>
      <c r="O1064" t="s">
        <v>21</v>
      </c>
      <c r="P1064">
        <f t="shared" si="51"/>
        <v>-200</v>
      </c>
      <c r="Q1064" s="11">
        <f>IF(P1064=0,0,IFERROR(Q1063+G1064*M1064*IF(E1064="FUTURE",VLOOKUP(MID(I1064,2,2),[1]Futures!$A$2:$B$12,2),1),G1064*M1064*IF(E1064="FUTURE",VLOOKUP(MID(I1064,2,2),[1]Futures!$A$2:$B$12,2),1)))</f>
        <v>-6956</v>
      </c>
      <c r="R1064" s="12">
        <f>IFERROR(Q1064/P1064/IF(E1064="FUTURE",VLOOKUP(MID(I1064,2,2),[1]Futures!$A$2:$B$12,2),1),"")</f>
        <v>34.78</v>
      </c>
      <c r="S1064" s="13" t="str">
        <f>IF(AND(H1064="TO CLOSE",P1064=0),-G1064*(M1064-R1063)*IF(E1064="FUTURE",VLOOKUP(MID(I1064,2,2),[1]Futures!$A$2:$B$12,2),1),"")</f>
        <v/>
      </c>
    </row>
    <row r="1065" spans="1:19" x14ac:dyDescent="0.2">
      <c r="A1065">
        <f t="shared" si="50"/>
        <v>321</v>
      </c>
      <c r="B1065" s="3">
        <v>43969</v>
      </c>
      <c r="C1065" s="3" t="str">
        <f t="shared" si="49"/>
        <v>Monday</v>
      </c>
      <c r="D1065" s="2">
        <v>0.44557870370370373</v>
      </c>
      <c r="E1065" t="s">
        <v>22</v>
      </c>
      <c r="F1065" t="s">
        <v>15</v>
      </c>
      <c r="G1065">
        <v>-100</v>
      </c>
      <c r="H1065" t="s">
        <v>20</v>
      </c>
      <c r="I1065" t="s">
        <v>23</v>
      </c>
      <c r="L1065" t="s">
        <v>22</v>
      </c>
      <c r="M1065">
        <v>34.69</v>
      </c>
      <c r="N1065">
        <v>34.69</v>
      </c>
      <c r="O1065" t="s">
        <v>21</v>
      </c>
      <c r="P1065">
        <f t="shared" si="51"/>
        <v>-300</v>
      </c>
      <c r="Q1065" s="11">
        <f>IF(P1065=0,0,IFERROR(Q1064+G1065*M1065*IF(E1065="FUTURE",VLOOKUP(MID(I1065,2,2),[1]Futures!$A$2:$B$12,2),1),G1065*M1065*IF(E1065="FUTURE",VLOOKUP(MID(I1065,2,2),[1]Futures!$A$2:$B$12,2),1)))</f>
        <v>-10425</v>
      </c>
      <c r="R1065" s="12">
        <f>IFERROR(Q1065/P1065/IF(E1065="FUTURE",VLOOKUP(MID(I1065,2,2),[1]Futures!$A$2:$B$12,2),1),"")</f>
        <v>34.75</v>
      </c>
      <c r="S1065" s="13" t="str">
        <f>IF(AND(H1065="TO CLOSE",P1065=0),-G1065*(M1065-R1064)*IF(E1065="FUTURE",VLOOKUP(MID(I1065,2,2),[1]Futures!$A$2:$B$12,2),1),"")</f>
        <v/>
      </c>
    </row>
    <row r="1066" spans="1:19" x14ac:dyDescent="0.2">
      <c r="A1066">
        <f t="shared" si="50"/>
        <v>321</v>
      </c>
      <c r="B1066" s="3">
        <v>43969</v>
      </c>
      <c r="C1066" s="3" t="str">
        <f t="shared" si="49"/>
        <v>Monday</v>
      </c>
      <c r="D1066" s="2">
        <v>0.44966435185185188</v>
      </c>
      <c r="E1066" t="s">
        <v>22</v>
      </c>
      <c r="F1066" t="s">
        <v>19</v>
      </c>
      <c r="G1066">
        <v>300</v>
      </c>
      <c r="H1066" t="s">
        <v>16</v>
      </c>
      <c r="I1066" t="s">
        <v>23</v>
      </c>
      <c r="L1066" t="s">
        <v>22</v>
      </c>
      <c r="M1066">
        <v>34.697299999999998</v>
      </c>
      <c r="N1066">
        <v>34.697299999999998</v>
      </c>
      <c r="O1066" t="s">
        <v>24</v>
      </c>
      <c r="P1066">
        <f t="shared" si="51"/>
        <v>0</v>
      </c>
      <c r="Q1066" s="11">
        <f>IF(P1066=0,0,IFERROR(Q1065+G1066*M1066*IF(E1066="FUTURE",VLOOKUP(MID(I1066,2,2),[1]Futures!$A$2:$B$12,2),1),G1066*M1066*IF(E1066="FUTURE",VLOOKUP(MID(I1066,2,2),[1]Futures!$A$2:$B$12,2),1)))</f>
        <v>0</v>
      </c>
      <c r="R1066" s="12" t="str">
        <f>IFERROR(Q1066/P1066/IF(E1066="FUTURE",VLOOKUP(MID(I1066,2,2),[1]Futures!$A$2:$B$12,2),1),"")</f>
        <v/>
      </c>
      <c r="S1066" s="13">
        <f>IF(AND(H1066="TO CLOSE",P1066=0),-G1066*(M1066-R1065)*IF(E1066="FUTURE",VLOOKUP(MID(I1066,2,2),[1]Futures!$A$2:$B$12,2),1),"")</f>
        <v>15.810000000000457</v>
      </c>
    </row>
    <row r="1067" spans="1:19" x14ac:dyDescent="0.2">
      <c r="A1067">
        <f t="shared" si="50"/>
        <v>322</v>
      </c>
      <c r="B1067" s="3">
        <v>43970</v>
      </c>
      <c r="C1067" s="3" t="str">
        <f t="shared" si="49"/>
        <v>Tuesday</v>
      </c>
      <c r="D1067" s="2">
        <v>0.42394675925925923</v>
      </c>
      <c r="E1067" t="s">
        <v>14</v>
      </c>
      <c r="F1067" t="s">
        <v>15</v>
      </c>
      <c r="G1067">
        <v>-1</v>
      </c>
      <c r="H1067" t="s">
        <v>20</v>
      </c>
      <c r="I1067" t="s">
        <v>77</v>
      </c>
      <c r="J1067" s="1">
        <v>44063</v>
      </c>
      <c r="L1067" t="s">
        <v>14</v>
      </c>
      <c r="M1067">
        <v>32.65</v>
      </c>
      <c r="N1067">
        <v>32.65</v>
      </c>
      <c r="O1067" t="s">
        <v>21</v>
      </c>
      <c r="P1067">
        <f t="shared" si="51"/>
        <v>-1</v>
      </c>
      <c r="Q1067" s="11">
        <f>IF(P1067=0,0,IFERROR(Q1066+G1067*M1067*IF(E1067="FUTURE",VLOOKUP(MID(I1067,2,2),[1]Futures!$A$2:$B$12,2),1),G1067*M1067*IF(E1067="FUTURE",VLOOKUP(MID(I1067,2,2),[1]Futures!$A$2:$B$12,2),1)))</f>
        <v>-32650</v>
      </c>
      <c r="R1067" s="12">
        <f>IFERROR(Q1067/P1067/IF(E1067="FUTURE",VLOOKUP(MID(I1067,2,2),[1]Futures!$A$2:$B$12,2),1),"")</f>
        <v>32.65</v>
      </c>
      <c r="S1067" s="13" t="str">
        <f>IF(AND(H1067="TO CLOSE",P1067=0),-G1067*(M1067-R1066)*IF(E1067="FUTURE",VLOOKUP(MID(I1067,2,2),[1]Futures!$A$2:$B$12,2),1),"")</f>
        <v/>
      </c>
    </row>
    <row r="1068" spans="1:19" x14ac:dyDescent="0.2">
      <c r="A1068">
        <f t="shared" si="50"/>
        <v>322</v>
      </c>
      <c r="B1068" s="3">
        <v>43970</v>
      </c>
      <c r="C1068" s="3" t="str">
        <f t="shared" si="49"/>
        <v>Tuesday</v>
      </c>
      <c r="D1068" s="2">
        <v>0.43033564814814818</v>
      </c>
      <c r="E1068" t="s">
        <v>14</v>
      </c>
      <c r="F1068" t="s">
        <v>19</v>
      </c>
      <c r="G1068">
        <v>1</v>
      </c>
      <c r="H1068" t="s">
        <v>16</v>
      </c>
      <c r="I1068" t="s">
        <v>77</v>
      </c>
      <c r="J1068" s="1">
        <v>44063</v>
      </c>
      <c r="L1068" t="s">
        <v>14</v>
      </c>
      <c r="M1068">
        <v>32.61</v>
      </c>
      <c r="N1068">
        <v>32.61</v>
      </c>
      <c r="O1068" t="s">
        <v>21</v>
      </c>
      <c r="P1068">
        <f t="shared" si="51"/>
        <v>0</v>
      </c>
      <c r="Q1068" s="11">
        <f>IF(P1068=0,0,IFERROR(Q1067+G1068*M1068*IF(E1068="FUTURE",VLOOKUP(MID(I1068,2,2),[1]Futures!$A$2:$B$12,2),1),G1068*M1068*IF(E1068="FUTURE",VLOOKUP(MID(I1068,2,2),[1]Futures!$A$2:$B$12,2),1)))</f>
        <v>0</v>
      </c>
      <c r="R1068" s="12" t="str">
        <f>IFERROR(Q1068/P1068/IF(E1068="FUTURE",VLOOKUP(MID(I1068,2,2),[1]Futures!$A$2:$B$12,2),1),"")</f>
        <v/>
      </c>
      <c r="S1068" s="13">
        <f>IF(AND(H1068="TO CLOSE",P1068=0),-G1068*(M1068-R1067)*IF(E1068="FUTURE",VLOOKUP(MID(I1068,2,2),[1]Futures!$A$2:$B$12,2),1),"")</f>
        <v>39.999999999999147</v>
      </c>
    </row>
    <row r="1069" spans="1:19" x14ac:dyDescent="0.2">
      <c r="A1069">
        <f t="shared" si="50"/>
        <v>323</v>
      </c>
      <c r="B1069" s="3">
        <v>43970</v>
      </c>
      <c r="C1069" s="3" t="str">
        <f t="shared" si="49"/>
        <v>Tuesday</v>
      </c>
      <c r="D1069" s="2">
        <v>0.39209490740740738</v>
      </c>
      <c r="E1069" t="s">
        <v>14</v>
      </c>
      <c r="F1069" t="s">
        <v>19</v>
      </c>
      <c r="G1069">
        <v>1</v>
      </c>
      <c r="H1069" t="s">
        <v>20</v>
      </c>
      <c r="I1069" t="s">
        <v>17</v>
      </c>
      <c r="J1069" s="1">
        <v>44002</v>
      </c>
      <c r="L1069" t="s">
        <v>14</v>
      </c>
      <c r="M1069">
        <v>2941.5</v>
      </c>
      <c r="N1069">
        <v>2941.5</v>
      </c>
      <c r="O1069" t="s">
        <v>24</v>
      </c>
      <c r="P1069">
        <f t="shared" si="51"/>
        <v>1</v>
      </c>
      <c r="Q1069" s="11">
        <f>IF(P1069=0,0,IFERROR(Q1068+G1069*M1069*IF(E1069="FUTURE",VLOOKUP(MID(I1069,2,2),[1]Futures!$A$2:$B$12,2),1),G1069*M1069*IF(E1069="FUTURE",VLOOKUP(MID(I1069,2,2),[1]Futures!$A$2:$B$12,2),1)))</f>
        <v>147075</v>
      </c>
      <c r="R1069" s="12">
        <f>IFERROR(Q1069/P1069/IF(E1069="FUTURE",VLOOKUP(MID(I1069,2,2),[1]Futures!$A$2:$B$12,2),1),"")</f>
        <v>2941.5</v>
      </c>
      <c r="S1069" s="13" t="str">
        <f>IF(AND(H1069="TO CLOSE",P1069=0),-G1069*(M1069-R1068)*IF(E1069="FUTURE",VLOOKUP(MID(I1069,2,2),[1]Futures!$A$2:$B$12,2),1),"")</f>
        <v/>
      </c>
    </row>
    <row r="1070" spans="1:19" x14ac:dyDescent="0.2">
      <c r="A1070">
        <f t="shared" si="50"/>
        <v>323</v>
      </c>
      <c r="B1070" s="3">
        <v>43970</v>
      </c>
      <c r="C1070" s="3" t="str">
        <f t="shared" si="49"/>
        <v>Tuesday</v>
      </c>
      <c r="D1070" s="2">
        <v>0.42199074074074078</v>
      </c>
      <c r="E1070" t="s">
        <v>14</v>
      </c>
      <c r="F1070" t="s">
        <v>15</v>
      </c>
      <c r="G1070">
        <v>-1</v>
      </c>
      <c r="H1070" t="s">
        <v>16</v>
      </c>
      <c r="I1070" t="s">
        <v>17</v>
      </c>
      <c r="J1070" s="1">
        <v>44002</v>
      </c>
      <c r="L1070" t="s">
        <v>14</v>
      </c>
      <c r="M1070">
        <v>2952.75</v>
      </c>
      <c r="N1070">
        <v>2952.75</v>
      </c>
      <c r="O1070" t="s">
        <v>21</v>
      </c>
      <c r="P1070">
        <f t="shared" si="51"/>
        <v>0</v>
      </c>
      <c r="Q1070" s="11">
        <f>IF(P1070=0,0,IFERROR(Q1069+G1070*M1070*IF(E1070="FUTURE",VLOOKUP(MID(I1070,2,2),[1]Futures!$A$2:$B$12,2),1),G1070*M1070*IF(E1070="FUTURE",VLOOKUP(MID(I1070,2,2),[1]Futures!$A$2:$B$12,2),1)))</f>
        <v>0</v>
      </c>
      <c r="R1070" s="12" t="str">
        <f>IFERROR(Q1070/P1070/IF(E1070="FUTURE",VLOOKUP(MID(I1070,2,2),[1]Futures!$A$2:$B$12,2),1),"")</f>
        <v/>
      </c>
      <c r="S1070" s="13">
        <f>IF(AND(H1070="TO CLOSE",P1070=0),-G1070*(M1070-R1069)*IF(E1070="FUTURE",VLOOKUP(MID(I1070,2,2),[1]Futures!$A$2:$B$12,2),1),"")</f>
        <v>562.5</v>
      </c>
    </row>
    <row r="1071" spans="1:19" x14ac:dyDescent="0.2">
      <c r="A1071">
        <f t="shared" si="50"/>
        <v>324</v>
      </c>
      <c r="B1071" s="3">
        <v>43970</v>
      </c>
      <c r="C1071" s="3" t="str">
        <f t="shared" si="49"/>
        <v>Tuesday</v>
      </c>
      <c r="D1071" s="2">
        <v>0.40524305555555556</v>
      </c>
      <c r="E1071" t="s">
        <v>22</v>
      </c>
      <c r="F1071" t="s">
        <v>15</v>
      </c>
      <c r="G1071">
        <v>-300</v>
      </c>
      <c r="H1071" t="s">
        <v>20</v>
      </c>
      <c r="I1071" t="s">
        <v>23</v>
      </c>
      <c r="L1071" t="s">
        <v>22</v>
      </c>
      <c r="M1071">
        <v>34.44</v>
      </c>
      <c r="N1071">
        <v>34.44</v>
      </c>
      <c r="O1071" t="s">
        <v>21</v>
      </c>
      <c r="P1071">
        <f t="shared" si="51"/>
        <v>-300</v>
      </c>
      <c r="Q1071" s="11">
        <f>IF(P1071=0,0,IFERROR(Q1070+G1071*M1071*IF(E1071="FUTURE",VLOOKUP(MID(I1071,2,2),[1]Futures!$A$2:$B$12,2),1),G1071*M1071*IF(E1071="FUTURE",VLOOKUP(MID(I1071,2,2),[1]Futures!$A$2:$B$12,2),1)))</f>
        <v>-10332</v>
      </c>
      <c r="R1071" s="12">
        <f>IFERROR(Q1071/P1071/IF(E1071="FUTURE",VLOOKUP(MID(I1071,2,2),[1]Futures!$A$2:$B$12,2),1),"")</f>
        <v>34.44</v>
      </c>
      <c r="S1071" s="13" t="str">
        <f>IF(AND(H1071="TO CLOSE",P1071=0),-G1071*(M1071-R1070)*IF(E1071="FUTURE",VLOOKUP(MID(I1071,2,2),[1]Futures!$A$2:$B$12,2),1),"")</f>
        <v/>
      </c>
    </row>
    <row r="1072" spans="1:19" x14ac:dyDescent="0.2">
      <c r="A1072">
        <f t="shared" si="50"/>
        <v>324</v>
      </c>
      <c r="B1072" s="3">
        <v>43970</v>
      </c>
      <c r="C1072" s="3" t="str">
        <f t="shared" si="49"/>
        <v>Tuesday</v>
      </c>
      <c r="D1072" s="2">
        <v>0.40524305555555556</v>
      </c>
      <c r="E1072" t="s">
        <v>22</v>
      </c>
      <c r="F1072" t="s">
        <v>15</v>
      </c>
      <c r="G1072">
        <v>-100</v>
      </c>
      <c r="H1072" t="s">
        <v>20</v>
      </c>
      <c r="I1072" t="s">
        <v>23</v>
      </c>
      <c r="L1072" t="s">
        <v>22</v>
      </c>
      <c r="M1072">
        <v>34.44</v>
      </c>
      <c r="N1072">
        <v>34.44</v>
      </c>
      <c r="O1072" t="s">
        <v>21</v>
      </c>
      <c r="P1072">
        <f t="shared" si="51"/>
        <v>-400</v>
      </c>
      <c r="Q1072" s="11">
        <f>IF(P1072=0,0,IFERROR(Q1071+G1072*M1072*IF(E1072="FUTURE",VLOOKUP(MID(I1072,2,2),[1]Futures!$A$2:$B$12,2),1),G1072*M1072*IF(E1072="FUTURE",VLOOKUP(MID(I1072,2,2),[1]Futures!$A$2:$B$12,2),1)))</f>
        <v>-13776</v>
      </c>
      <c r="R1072" s="12">
        <f>IFERROR(Q1072/P1072/IF(E1072="FUTURE",VLOOKUP(MID(I1072,2,2),[1]Futures!$A$2:$B$12,2),1),"")</f>
        <v>34.44</v>
      </c>
      <c r="S1072" s="13" t="str">
        <f>IF(AND(H1072="TO CLOSE",P1072=0),-G1072*(M1072-R1071)*IF(E1072="FUTURE",VLOOKUP(MID(I1072,2,2),[1]Futures!$A$2:$B$12,2),1),"")</f>
        <v/>
      </c>
    </row>
    <row r="1073" spans="1:19" x14ac:dyDescent="0.2">
      <c r="A1073">
        <f t="shared" si="50"/>
        <v>324</v>
      </c>
      <c r="B1073" s="3">
        <v>43970</v>
      </c>
      <c r="C1073" s="3" t="str">
        <f t="shared" si="49"/>
        <v>Tuesday</v>
      </c>
      <c r="D1073" s="2">
        <v>0.42575231481481479</v>
      </c>
      <c r="E1073" t="s">
        <v>22</v>
      </c>
      <c r="F1073" t="s">
        <v>19</v>
      </c>
      <c r="G1073">
        <v>400</v>
      </c>
      <c r="H1073" t="s">
        <v>16</v>
      </c>
      <c r="I1073" t="s">
        <v>23</v>
      </c>
      <c r="L1073" t="s">
        <v>22</v>
      </c>
      <c r="M1073">
        <v>33.946800000000003</v>
      </c>
      <c r="N1073">
        <v>33.946800000000003</v>
      </c>
      <c r="O1073" t="s">
        <v>24</v>
      </c>
      <c r="P1073">
        <f t="shared" si="51"/>
        <v>0</v>
      </c>
      <c r="Q1073" s="11">
        <f>IF(P1073=0,0,IFERROR(Q1072+G1073*M1073*IF(E1073="FUTURE",VLOOKUP(MID(I1073,2,2),[1]Futures!$A$2:$B$12,2),1),G1073*M1073*IF(E1073="FUTURE",VLOOKUP(MID(I1073,2,2),[1]Futures!$A$2:$B$12,2),1)))</f>
        <v>0</v>
      </c>
      <c r="R1073" s="12" t="str">
        <f>IFERROR(Q1073/P1073/IF(E1073="FUTURE",VLOOKUP(MID(I1073,2,2),[1]Futures!$A$2:$B$12,2),1),"")</f>
        <v/>
      </c>
      <c r="S1073" s="13">
        <f>IF(AND(H1073="TO CLOSE",P1073=0),-G1073*(M1073-R1072)*IF(E1073="FUTURE",VLOOKUP(MID(I1073,2,2),[1]Futures!$A$2:$B$12,2),1),"")</f>
        <v>197.27999999999781</v>
      </c>
    </row>
    <row r="1074" spans="1:19" x14ac:dyDescent="0.2">
      <c r="A1074">
        <f t="shared" si="50"/>
        <v>325</v>
      </c>
      <c r="B1074" s="3">
        <v>43971</v>
      </c>
      <c r="C1074" s="3" t="str">
        <f t="shared" si="49"/>
        <v>Wednesday</v>
      </c>
      <c r="D1074" s="2">
        <v>0.38111111111111112</v>
      </c>
      <c r="E1074" t="s">
        <v>14</v>
      </c>
      <c r="F1074" t="s">
        <v>15</v>
      </c>
      <c r="G1074">
        <v>-1</v>
      </c>
      <c r="H1074" t="s">
        <v>20</v>
      </c>
      <c r="I1074" t="s">
        <v>77</v>
      </c>
      <c r="J1074" s="1">
        <v>44063</v>
      </c>
      <c r="L1074" t="s">
        <v>14</v>
      </c>
      <c r="M1074">
        <v>33.24</v>
      </c>
      <c r="N1074">
        <v>33.24</v>
      </c>
      <c r="O1074" t="s">
        <v>21</v>
      </c>
      <c r="P1074">
        <f t="shared" si="51"/>
        <v>-1</v>
      </c>
      <c r="Q1074" s="11">
        <f>IF(P1074=0,0,IFERROR(Q1073+G1074*M1074*IF(E1074="FUTURE",VLOOKUP(MID(I1074,2,2),[1]Futures!$A$2:$B$12,2),1),G1074*M1074*IF(E1074="FUTURE",VLOOKUP(MID(I1074,2,2),[1]Futures!$A$2:$B$12,2),1)))</f>
        <v>-33240</v>
      </c>
      <c r="R1074" s="12">
        <f>IFERROR(Q1074/P1074/IF(E1074="FUTURE",VLOOKUP(MID(I1074,2,2),[1]Futures!$A$2:$B$12,2),1),"")</f>
        <v>33.24</v>
      </c>
      <c r="S1074" s="13" t="str">
        <f>IF(AND(H1074="TO CLOSE",P1074=0),-G1074*(M1074-R1073)*IF(E1074="FUTURE",VLOOKUP(MID(I1074,2,2),[1]Futures!$A$2:$B$12,2),1),"")</f>
        <v/>
      </c>
    </row>
    <row r="1075" spans="1:19" x14ac:dyDescent="0.2">
      <c r="A1075">
        <f t="shared" si="50"/>
        <v>325</v>
      </c>
      <c r="B1075" s="3">
        <v>43971</v>
      </c>
      <c r="C1075" s="3" t="str">
        <f t="shared" si="49"/>
        <v>Wednesday</v>
      </c>
      <c r="D1075" s="2">
        <v>0.40256944444444448</v>
      </c>
      <c r="E1075" t="s">
        <v>14</v>
      </c>
      <c r="F1075" t="s">
        <v>19</v>
      </c>
      <c r="G1075">
        <v>1</v>
      </c>
      <c r="H1075" t="s">
        <v>16</v>
      </c>
      <c r="I1075" t="s">
        <v>77</v>
      </c>
      <c r="J1075" s="1">
        <v>44063</v>
      </c>
      <c r="L1075" t="s">
        <v>14</v>
      </c>
      <c r="M1075">
        <v>33.380000000000003</v>
      </c>
      <c r="N1075">
        <v>33.380000000000003</v>
      </c>
      <c r="O1075" t="s">
        <v>18</v>
      </c>
      <c r="P1075">
        <f t="shared" si="51"/>
        <v>0</v>
      </c>
      <c r="Q1075" s="11">
        <f>IF(P1075=0,0,IFERROR(Q1074+G1075*M1075*IF(E1075="FUTURE",VLOOKUP(MID(I1075,2,2),[1]Futures!$A$2:$B$12,2),1),G1075*M1075*IF(E1075="FUTURE",VLOOKUP(MID(I1075,2,2),[1]Futures!$A$2:$B$12,2),1)))</f>
        <v>0</v>
      </c>
      <c r="R1075" s="12" t="str">
        <f>IFERROR(Q1075/P1075/IF(E1075="FUTURE",VLOOKUP(MID(I1075,2,2),[1]Futures!$A$2:$B$12,2),1),"")</f>
        <v/>
      </c>
      <c r="S1075" s="13">
        <f>IF(AND(H1075="TO CLOSE",P1075=0),-G1075*(M1075-R1074)*IF(E1075="FUTURE",VLOOKUP(MID(I1075,2,2),[1]Futures!$A$2:$B$12,2),1),"")</f>
        <v>-140.00000000000057</v>
      </c>
    </row>
    <row r="1076" spans="1:19" x14ac:dyDescent="0.2">
      <c r="A1076">
        <f t="shared" si="50"/>
        <v>326</v>
      </c>
      <c r="B1076" s="3">
        <v>43971</v>
      </c>
      <c r="C1076" s="3" t="str">
        <f t="shared" si="49"/>
        <v>Wednesday</v>
      </c>
      <c r="D1076" s="2">
        <v>0.46050925925925923</v>
      </c>
      <c r="E1076" t="s">
        <v>14</v>
      </c>
      <c r="F1076" t="s">
        <v>15</v>
      </c>
      <c r="G1076">
        <v>-1</v>
      </c>
      <c r="H1076" t="s">
        <v>20</v>
      </c>
      <c r="I1076" t="s">
        <v>77</v>
      </c>
      <c r="J1076" s="1">
        <v>44063</v>
      </c>
      <c r="L1076" t="s">
        <v>14</v>
      </c>
      <c r="M1076">
        <v>33.729999999999997</v>
      </c>
      <c r="N1076">
        <v>33.729999999999997</v>
      </c>
      <c r="O1076" t="s">
        <v>24</v>
      </c>
      <c r="P1076">
        <f t="shared" si="51"/>
        <v>-1</v>
      </c>
      <c r="Q1076" s="11">
        <f>IF(P1076=0,0,IFERROR(Q1075+G1076*M1076*IF(E1076="FUTURE",VLOOKUP(MID(I1076,2,2),[1]Futures!$A$2:$B$12,2),1),G1076*M1076*IF(E1076="FUTURE",VLOOKUP(MID(I1076,2,2),[1]Futures!$A$2:$B$12,2),1)))</f>
        <v>-33730</v>
      </c>
      <c r="R1076" s="12">
        <f>IFERROR(Q1076/P1076/IF(E1076="FUTURE",VLOOKUP(MID(I1076,2,2),[1]Futures!$A$2:$B$12,2),1),"")</f>
        <v>33.729999999999997</v>
      </c>
      <c r="S1076" s="13" t="str">
        <f>IF(AND(H1076="TO CLOSE",P1076=0),-G1076*(M1076-R1075)*IF(E1076="FUTURE",VLOOKUP(MID(I1076,2,2),[1]Futures!$A$2:$B$12,2),1),"")</f>
        <v/>
      </c>
    </row>
    <row r="1077" spans="1:19" x14ac:dyDescent="0.2">
      <c r="A1077">
        <f t="shared" si="50"/>
        <v>326</v>
      </c>
      <c r="B1077" s="3">
        <v>43971</v>
      </c>
      <c r="C1077" s="3" t="str">
        <f t="shared" si="49"/>
        <v>Wednesday</v>
      </c>
      <c r="D1077" s="2">
        <v>0.4626851851851852</v>
      </c>
      <c r="E1077" t="s">
        <v>14</v>
      </c>
      <c r="F1077" t="s">
        <v>19</v>
      </c>
      <c r="G1077">
        <v>1</v>
      </c>
      <c r="H1077" t="s">
        <v>16</v>
      </c>
      <c r="I1077" t="s">
        <v>77</v>
      </c>
      <c r="J1077" s="1">
        <v>44063</v>
      </c>
      <c r="L1077" t="s">
        <v>14</v>
      </c>
      <c r="M1077">
        <v>33.479999999999997</v>
      </c>
      <c r="N1077">
        <v>33.479999999999997</v>
      </c>
      <c r="O1077" t="s">
        <v>24</v>
      </c>
      <c r="P1077">
        <f t="shared" si="51"/>
        <v>0</v>
      </c>
      <c r="Q1077" s="11">
        <f>IF(P1077=0,0,IFERROR(Q1076+G1077*M1077*IF(E1077="FUTURE",VLOOKUP(MID(I1077,2,2),[1]Futures!$A$2:$B$12,2),1),G1077*M1077*IF(E1077="FUTURE",VLOOKUP(MID(I1077,2,2),[1]Futures!$A$2:$B$12,2),1)))</f>
        <v>0</v>
      </c>
      <c r="R1077" s="12" t="str">
        <f>IFERROR(Q1077/P1077/IF(E1077="FUTURE",VLOOKUP(MID(I1077,2,2),[1]Futures!$A$2:$B$12,2),1),"")</f>
        <v/>
      </c>
      <c r="S1077" s="13">
        <f>IF(AND(H1077="TO CLOSE",P1077=0),-G1077*(M1077-R1076)*IF(E1077="FUTURE",VLOOKUP(MID(I1077,2,2),[1]Futures!$A$2:$B$12,2),1),"")</f>
        <v>250</v>
      </c>
    </row>
    <row r="1078" spans="1:19" x14ac:dyDescent="0.2">
      <c r="A1078">
        <f t="shared" si="50"/>
        <v>327</v>
      </c>
      <c r="B1078" s="3">
        <v>43971</v>
      </c>
      <c r="C1078" s="3" t="str">
        <f t="shared" si="49"/>
        <v>Wednesday</v>
      </c>
      <c r="D1078" s="2">
        <v>0.50472222222222218</v>
      </c>
      <c r="E1078" t="s">
        <v>14</v>
      </c>
      <c r="F1078" t="s">
        <v>15</v>
      </c>
      <c r="G1078">
        <v>-1</v>
      </c>
      <c r="H1078" t="s">
        <v>20</v>
      </c>
      <c r="I1078" t="s">
        <v>77</v>
      </c>
      <c r="J1078" s="1">
        <v>44063</v>
      </c>
      <c r="L1078" t="s">
        <v>14</v>
      </c>
      <c r="M1078">
        <v>33.49</v>
      </c>
      <c r="N1078">
        <v>33.49</v>
      </c>
      <c r="O1078" t="s">
        <v>21</v>
      </c>
      <c r="P1078">
        <f t="shared" si="51"/>
        <v>-1</v>
      </c>
      <c r="Q1078" s="11">
        <f>IF(P1078=0,0,IFERROR(Q1077+G1078*M1078*IF(E1078="FUTURE",VLOOKUP(MID(I1078,2,2),[1]Futures!$A$2:$B$12,2),1),G1078*M1078*IF(E1078="FUTURE",VLOOKUP(MID(I1078,2,2),[1]Futures!$A$2:$B$12,2),1)))</f>
        <v>-33490</v>
      </c>
      <c r="R1078" s="12">
        <f>IFERROR(Q1078/P1078/IF(E1078="FUTURE",VLOOKUP(MID(I1078,2,2),[1]Futures!$A$2:$B$12,2),1),"")</f>
        <v>33.49</v>
      </c>
      <c r="S1078" s="13" t="str">
        <f>IF(AND(H1078="TO CLOSE",P1078=0),-G1078*(M1078-R1077)*IF(E1078="FUTURE",VLOOKUP(MID(I1078,2,2),[1]Futures!$A$2:$B$12,2),1),"")</f>
        <v/>
      </c>
    </row>
    <row r="1079" spans="1:19" x14ac:dyDescent="0.2">
      <c r="A1079">
        <f t="shared" si="50"/>
        <v>327</v>
      </c>
      <c r="B1079" s="3">
        <v>43971</v>
      </c>
      <c r="C1079" s="3" t="str">
        <f t="shared" si="49"/>
        <v>Wednesday</v>
      </c>
      <c r="D1079" s="2">
        <v>0.50571759259259264</v>
      </c>
      <c r="E1079" t="s">
        <v>14</v>
      </c>
      <c r="F1079" t="s">
        <v>19</v>
      </c>
      <c r="G1079">
        <v>1</v>
      </c>
      <c r="H1079" t="s">
        <v>16</v>
      </c>
      <c r="I1079" t="s">
        <v>77</v>
      </c>
      <c r="J1079" s="1">
        <v>44063</v>
      </c>
      <c r="L1079" t="s">
        <v>14</v>
      </c>
      <c r="M1079">
        <v>33.479999999999997</v>
      </c>
      <c r="N1079">
        <v>33.479999999999997</v>
      </c>
      <c r="O1079" t="s">
        <v>21</v>
      </c>
      <c r="P1079">
        <f t="shared" si="51"/>
        <v>0</v>
      </c>
      <c r="Q1079" s="11">
        <f>IF(P1079=0,0,IFERROR(Q1078+G1079*M1079*IF(E1079="FUTURE",VLOOKUP(MID(I1079,2,2),[1]Futures!$A$2:$B$12,2),1),G1079*M1079*IF(E1079="FUTURE",VLOOKUP(MID(I1079,2,2),[1]Futures!$A$2:$B$12,2),1)))</f>
        <v>0</v>
      </c>
      <c r="R1079" s="12" t="str">
        <f>IFERROR(Q1079/P1079/IF(E1079="FUTURE",VLOOKUP(MID(I1079,2,2),[1]Futures!$A$2:$B$12,2),1),"")</f>
        <v/>
      </c>
      <c r="S1079" s="13">
        <f>IF(AND(H1079="TO CLOSE",P1079=0),-G1079*(M1079-R1078)*IF(E1079="FUTURE",VLOOKUP(MID(I1079,2,2),[1]Futures!$A$2:$B$12,2),1),"")</f>
        <v>10.000000000005116</v>
      </c>
    </row>
    <row r="1080" spans="1:19" x14ac:dyDescent="0.2">
      <c r="A1080">
        <f t="shared" si="50"/>
        <v>328</v>
      </c>
      <c r="B1080" s="3">
        <v>43971</v>
      </c>
      <c r="C1080" s="3" t="str">
        <f t="shared" si="49"/>
        <v>Wednesday</v>
      </c>
      <c r="D1080" s="2">
        <v>0.50789351851851849</v>
      </c>
      <c r="E1080" t="s">
        <v>14</v>
      </c>
      <c r="F1080" t="s">
        <v>15</v>
      </c>
      <c r="G1080">
        <v>-1</v>
      </c>
      <c r="H1080" t="s">
        <v>20</v>
      </c>
      <c r="I1080" t="s">
        <v>77</v>
      </c>
      <c r="J1080" s="1">
        <v>44063</v>
      </c>
      <c r="L1080" t="s">
        <v>14</v>
      </c>
      <c r="M1080">
        <v>33.340000000000003</v>
      </c>
      <c r="N1080">
        <v>33.340000000000003</v>
      </c>
      <c r="O1080" t="s">
        <v>24</v>
      </c>
      <c r="P1080">
        <f t="shared" si="51"/>
        <v>-1</v>
      </c>
      <c r="Q1080" s="11">
        <f>IF(P1080=0,0,IFERROR(Q1079+G1080*M1080*IF(E1080="FUTURE",VLOOKUP(MID(I1080,2,2),[1]Futures!$A$2:$B$12,2),1),G1080*M1080*IF(E1080="FUTURE",VLOOKUP(MID(I1080,2,2),[1]Futures!$A$2:$B$12,2),1)))</f>
        <v>-33340</v>
      </c>
      <c r="R1080" s="12">
        <f>IFERROR(Q1080/P1080/IF(E1080="FUTURE",VLOOKUP(MID(I1080,2,2),[1]Futures!$A$2:$B$12,2),1),"")</f>
        <v>33.340000000000003</v>
      </c>
      <c r="S1080" s="13" t="str">
        <f>IF(AND(H1080="TO CLOSE",P1080=0),-G1080*(M1080-R1079)*IF(E1080="FUTURE",VLOOKUP(MID(I1080,2,2),[1]Futures!$A$2:$B$12,2),1),"")</f>
        <v/>
      </c>
    </row>
    <row r="1081" spans="1:19" x14ac:dyDescent="0.2">
      <c r="A1081">
        <f t="shared" si="50"/>
        <v>328</v>
      </c>
      <c r="B1081" s="3">
        <v>43971</v>
      </c>
      <c r="C1081" s="3" t="str">
        <f t="shared" si="49"/>
        <v>Wednesday</v>
      </c>
      <c r="D1081" s="2">
        <v>0.51045138888888886</v>
      </c>
      <c r="E1081" t="s">
        <v>14</v>
      </c>
      <c r="F1081" t="s">
        <v>19</v>
      </c>
      <c r="G1081">
        <v>1</v>
      </c>
      <c r="H1081" t="s">
        <v>16</v>
      </c>
      <c r="I1081" t="s">
        <v>77</v>
      </c>
      <c r="J1081" s="1">
        <v>44063</v>
      </c>
      <c r="L1081" t="s">
        <v>14</v>
      </c>
      <c r="M1081">
        <v>33.32</v>
      </c>
      <c r="N1081">
        <v>33.32</v>
      </c>
      <c r="O1081" t="s">
        <v>21</v>
      </c>
      <c r="P1081">
        <f t="shared" si="51"/>
        <v>0</v>
      </c>
      <c r="Q1081" s="11">
        <f>IF(P1081=0,0,IFERROR(Q1080+G1081*M1081*IF(E1081="FUTURE",VLOOKUP(MID(I1081,2,2),[1]Futures!$A$2:$B$12,2),1),G1081*M1081*IF(E1081="FUTURE",VLOOKUP(MID(I1081,2,2),[1]Futures!$A$2:$B$12,2),1)))</f>
        <v>0</v>
      </c>
      <c r="R1081" s="12" t="str">
        <f>IFERROR(Q1081/P1081/IF(E1081="FUTURE",VLOOKUP(MID(I1081,2,2),[1]Futures!$A$2:$B$12,2),1),"")</f>
        <v/>
      </c>
      <c r="S1081" s="13">
        <f>IF(AND(H1081="TO CLOSE",P1081=0),-G1081*(M1081-R1080)*IF(E1081="FUTURE",VLOOKUP(MID(I1081,2,2),[1]Futures!$A$2:$B$12,2),1),"")</f>
        <v>20.000000000003126</v>
      </c>
    </row>
    <row r="1082" spans="1:19" x14ac:dyDescent="0.2">
      <c r="A1082">
        <f t="shared" si="50"/>
        <v>329</v>
      </c>
      <c r="B1082" s="3">
        <v>43971</v>
      </c>
      <c r="C1082" s="3" t="str">
        <f t="shared" si="49"/>
        <v>Wednesday</v>
      </c>
      <c r="D1082" s="2">
        <v>0.52085648148148145</v>
      </c>
      <c r="E1082" t="s">
        <v>14</v>
      </c>
      <c r="F1082" t="s">
        <v>15</v>
      </c>
      <c r="G1082">
        <v>-1</v>
      </c>
      <c r="H1082" t="s">
        <v>20</v>
      </c>
      <c r="I1082" t="s">
        <v>77</v>
      </c>
      <c r="J1082" s="1">
        <v>44063</v>
      </c>
      <c r="L1082" t="s">
        <v>14</v>
      </c>
      <c r="M1082">
        <v>33.369999999999997</v>
      </c>
      <c r="N1082">
        <v>33.369999999999997</v>
      </c>
      <c r="O1082" t="s">
        <v>21</v>
      </c>
      <c r="P1082">
        <f t="shared" si="51"/>
        <v>-1</v>
      </c>
      <c r="Q1082" s="11">
        <f>IF(P1082=0,0,IFERROR(Q1081+G1082*M1082*IF(E1082="FUTURE",VLOOKUP(MID(I1082,2,2),[1]Futures!$A$2:$B$12,2),1),G1082*M1082*IF(E1082="FUTURE",VLOOKUP(MID(I1082,2,2),[1]Futures!$A$2:$B$12,2),1)))</f>
        <v>-33370</v>
      </c>
      <c r="R1082" s="12">
        <f>IFERROR(Q1082/P1082/IF(E1082="FUTURE",VLOOKUP(MID(I1082,2,2),[1]Futures!$A$2:$B$12,2),1),"")</f>
        <v>33.369999999999997</v>
      </c>
      <c r="S1082" s="13" t="str">
        <f>IF(AND(H1082="TO CLOSE",P1082=0),-G1082*(M1082-R1081)*IF(E1082="FUTURE",VLOOKUP(MID(I1082,2,2),[1]Futures!$A$2:$B$12,2),1),"")</f>
        <v/>
      </c>
    </row>
    <row r="1083" spans="1:19" x14ac:dyDescent="0.2">
      <c r="A1083">
        <f t="shared" si="50"/>
        <v>329</v>
      </c>
      <c r="B1083" s="3">
        <v>43971</v>
      </c>
      <c r="C1083" s="3" t="str">
        <f t="shared" si="49"/>
        <v>Wednesday</v>
      </c>
      <c r="D1083" s="2">
        <v>0.52150462962962962</v>
      </c>
      <c r="E1083" t="s">
        <v>14</v>
      </c>
      <c r="F1083" t="s">
        <v>19</v>
      </c>
      <c r="G1083">
        <v>1</v>
      </c>
      <c r="H1083" t="s">
        <v>16</v>
      </c>
      <c r="I1083" t="s">
        <v>77</v>
      </c>
      <c r="J1083" s="1">
        <v>44063</v>
      </c>
      <c r="L1083" t="s">
        <v>14</v>
      </c>
      <c r="M1083">
        <v>33.36</v>
      </c>
      <c r="N1083">
        <v>33.36</v>
      </c>
      <c r="O1083" t="s">
        <v>21</v>
      </c>
      <c r="P1083">
        <f t="shared" si="51"/>
        <v>0</v>
      </c>
      <c r="Q1083" s="11">
        <f>IF(P1083=0,0,IFERROR(Q1082+G1083*M1083*IF(E1083="FUTURE",VLOOKUP(MID(I1083,2,2),[1]Futures!$A$2:$B$12,2),1),G1083*M1083*IF(E1083="FUTURE",VLOOKUP(MID(I1083,2,2),[1]Futures!$A$2:$B$12,2),1)))</f>
        <v>0</v>
      </c>
      <c r="R1083" s="12" t="str">
        <f>IFERROR(Q1083/P1083/IF(E1083="FUTURE",VLOOKUP(MID(I1083,2,2),[1]Futures!$A$2:$B$12,2),1),"")</f>
        <v/>
      </c>
      <c r="S1083" s="13">
        <f>IF(AND(H1083="TO CLOSE",P1083=0),-G1083*(M1083-R1082)*IF(E1083="FUTURE",VLOOKUP(MID(I1083,2,2),[1]Futures!$A$2:$B$12,2),1),"")</f>
        <v>9.9999999999980105</v>
      </c>
    </row>
    <row r="1084" spans="1:19" x14ac:dyDescent="0.2">
      <c r="A1084">
        <f t="shared" si="50"/>
        <v>330</v>
      </c>
      <c r="B1084" s="3">
        <v>43971</v>
      </c>
      <c r="C1084" s="3" t="str">
        <f t="shared" si="49"/>
        <v>Wednesday</v>
      </c>
      <c r="D1084" s="2">
        <v>0.5314120370370371</v>
      </c>
      <c r="E1084" t="s">
        <v>14</v>
      </c>
      <c r="F1084" t="s">
        <v>19</v>
      </c>
      <c r="G1084">
        <v>1</v>
      </c>
      <c r="H1084" t="s">
        <v>20</v>
      </c>
      <c r="I1084" t="s">
        <v>77</v>
      </c>
      <c r="J1084" s="1">
        <v>44063</v>
      </c>
      <c r="L1084" t="s">
        <v>14</v>
      </c>
      <c r="M1084">
        <v>33.42</v>
      </c>
      <c r="N1084">
        <v>33.42</v>
      </c>
      <c r="O1084" t="s">
        <v>24</v>
      </c>
      <c r="P1084">
        <f t="shared" si="51"/>
        <v>1</v>
      </c>
      <c r="Q1084" s="11">
        <f>IF(P1084=0,0,IFERROR(Q1083+G1084*M1084*IF(E1084="FUTURE",VLOOKUP(MID(I1084,2,2),[1]Futures!$A$2:$B$12,2),1),G1084*M1084*IF(E1084="FUTURE",VLOOKUP(MID(I1084,2,2),[1]Futures!$A$2:$B$12,2),1)))</f>
        <v>33420</v>
      </c>
      <c r="R1084" s="12">
        <f>IFERROR(Q1084/P1084/IF(E1084="FUTURE",VLOOKUP(MID(I1084,2,2),[1]Futures!$A$2:$B$12,2),1),"")</f>
        <v>33.42</v>
      </c>
      <c r="S1084" s="13" t="str">
        <f>IF(AND(H1084="TO CLOSE",P1084=0),-G1084*(M1084-R1083)*IF(E1084="FUTURE",VLOOKUP(MID(I1084,2,2),[1]Futures!$A$2:$B$12,2),1),"")</f>
        <v/>
      </c>
    </row>
    <row r="1085" spans="1:19" x14ac:dyDescent="0.2">
      <c r="A1085">
        <f t="shared" si="50"/>
        <v>330</v>
      </c>
      <c r="B1085" s="3">
        <v>43971</v>
      </c>
      <c r="C1085" s="3" t="str">
        <f t="shared" si="49"/>
        <v>Wednesday</v>
      </c>
      <c r="D1085" s="2">
        <v>0.53579861111111116</v>
      </c>
      <c r="E1085" t="s">
        <v>14</v>
      </c>
      <c r="F1085" t="s">
        <v>15</v>
      </c>
      <c r="G1085">
        <v>-1</v>
      </c>
      <c r="H1085" t="s">
        <v>16</v>
      </c>
      <c r="I1085" t="s">
        <v>77</v>
      </c>
      <c r="J1085" s="1">
        <v>44063</v>
      </c>
      <c r="L1085" t="s">
        <v>14</v>
      </c>
      <c r="M1085">
        <v>33.51</v>
      </c>
      <c r="N1085">
        <v>33.51</v>
      </c>
      <c r="O1085" t="s">
        <v>21</v>
      </c>
      <c r="P1085">
        <f t="shared" si="51"/>
        <v>0</v>
      </c>
      <c r="Q1085" s="11">
        <f>IF(P1085=0,0,IFERROR(Q1084+G1085*M1085*IF(E1085="FUTURE",VLOOKUP(MID(I1085,2,2),[1]Futures!$A$2:$B$12,2),1),G1085*M1085*IF(E1085="FUTURE",VLOOKUP(MID(I1085,2,2),[1]Futures!$A$2:$B$12,2),1)))</f>
        <v>0</v>
      </c>
      <c r="R1085" s="12" t="str">
        <f>IFERROR(Q1085/P1085/IF(E1085="FUTURE",VLOOKUP(MID(I1085,2,2),[1]Futures!$A$2:$B$12,2),1),"")</f>
        <v/>
      </c>
      <c r="S1085" s="13">
        <f>IF(AND(H1085="TO CLOSE",P1085=0),-G1085*(M1085-R1084)*IF(E1085="FUTURE",VLOOKUP(MID(I1085,2,2),[1]Futures!$A$2:$B$12,2),1),"")</f>
        <v>89.999999999996305</v>
      </c>
    </row>
    <row r="1086" spans="1:19" x14ac:dyDescent="0.2">
      <c r="A1086">
        <f t="shared" si="50"/>
        <v>331</v>
      </c>
      <c r="B1086" s="3">
        <v>43971</v>
      </c>
      <c r="C1086" s="3" t="str">
        <f t="shared" ref="C1086:C1149" si="52">IF(WEEKDAY(B1086,2)=1,"Monday",IF(WEEKDAY(B1086,2)=2,"Tuesday",IF(WEEKDAY(B1086,2)=3,"Wednesday",IF(WEEKDAY(B1086,2)=4,"Thursday",IF(WEEKDAY(B1086,2)=5,"Friday","Sunday")))))</f>
        <v>Wednesday</v>
      </c>
      <c r="D1086" s="2">
        <v>0.40599537037037042</v>
      </c>
      <c r="E1086" t="s">
        <v>14</v>
      </c>
      <c r="F1086" t="s">
        <v>19</v>
      </c>
      <c r="G1086">
        <v>1</v>
      </c>
      <c r="H1086" t="s">
        <v>20</v>
      </c>
      <c r="I1086" t="s">
        <v>17</v>
      </c>
      <c r="J1086" s="1">
        <v>44002</v>
      </c>
      <c r="L1086" t="s">
        <v>14</v>
      </c>
      <c r="M1086">
        <v>2959.5</v>
      </c>
      <c r="N1086">
        <v>2959.5</v>
      </c>
      <c r="O1086" t="s">
        <v>21</v>
      </c>
      <c r="P1086">
        <f t="shared" si="51"/>
        <v>1</v>
      </c>
      <c r="Q1086" s="11">
        <f>IF(P1086=0,0,IFERROR(Q1085+G1086*M1086*IF(E1086="FUTURE",VLOOKUP(MID(I1086,2,2),[1]Futures!$A$2:$B$12,2),1),G1086*M1086*IF(E1086="FUTURE",VLOOKUP(MID(I1086,2,2),[1]Futures!$A$2:$B$12,2),1)))</f>
        <v>147975</v>
      </c>
      <c r="R1086" s="12">
        <f>IFERROR(Q1086/P1086/IF(E1086="FUTURE",VLOOKUP(MID(I1086,2,2),[1]Futures!$A$2:$B$12,2),1),"")</f>
        <v>2959.5</v>
      </c>
      <c r="S1086" s="13" t="str">
        <f>IF(AND(H1086="TO CLOSE",P1086=0),-G1086*(M1086-R1085)*IF(E1086="FUTURE",VLOOKUP(MID(I1086,2,2),[1]Futures!$A$2:$B$12,2),1),"")</f>
        <v/>
      </c>
    </row>
    <row r="1087" spans="1:19" x14ac:dyDescent="0.2">
      <c r="A1087">
        <f t="shared" si="50"/>
        <v>331</v>
      </c>
      <c r="B1087" s="3">
        <v>43971</v>
      </c>
      <c r="C1087" s="3" t="str">
        <f t="shared" si="52"/>
        <v>Wednesday</v>
      </c>
      <c r="D1087" s="2">
        <v>0.4079976851851852</v>
      </c>
      <c r="E1087" t="s">
        <v>14</v>
      </c>
      <c r="F1087" t="s">
        <v>15</v>
      </c>
      <c r="G1087">
        <v>-1</v>
      </c>
      <c r="H1087" t="s">
        <v>16</v>
      </c>
      <c r="I1087" t="s">
        <v>17</v>
      </c>
      <c r="J1087" s="1">
        <v>44002</v>
      </c>
      <c r="L1087" t="s">
        <v>14</v>
      </c>
      <c r="M1087">
        <v>2962.5</v>
      </c>
      <c r="N1087">
        <v>2962.5</v>
      </c>
      <c r="O1087" t="s">
        <v>21</v>
      </c>
      <c r="P1087">
        <f t="shared" si="51"/>
        <v>0</v>
      </c>
      <c r="Q1087" s="11">
        <f>IF(P1087=0,0,IFERROR(Q1086+G1087*M1087*IF(E1087="FUTURE",VLOOKUP(MID(I1087,2,2),[1]Futures!$A$2:$B$12,2),1),G1087*M1087*IF(E1087="FUTURE",VLOOKUP(MID(I1087,2,2),[1]Futures!$A$2:$B$12,2),1)))</f>
        <v>0</v>
      </c>
      <c r="R1087" s="12" t="str">
        <f>IFERROR(Q1087/P1087/IF(E1087="FUTURE",VLOOKUP(MID(I1087,2,2),[1]Futures!$A$2:$B$12,2),1),"")</f>
        <v/>
      </c>
      <c r="S1087" s="13">
        <f>IF(AND(H1087="TO CLOSE",P1087=0),-G1087*(M1087-R1086)*IF(E1087="FUTURE",VLOOKUP(MID(I1087,2,2),[1]Futures!$A$2:$B$12,2),1),"")</f>
        <v>150</v>
      </c>
    </row>
    <row r="1088" spans="1:19" x14ac:dyDescent="0.2">
      <c r="A1088">
        <f t="shared" si="50"/>
        <v>332</v>
      </c>
      <c r="B1088" s="3">
        <v>43971</v>
      </c>
      <c r="C1088" s="3" t="str">
        <f t="shared" si="52"/>
        <v>Wednesday</v>
      </c>
      <c r="D1088" s="2">
        <v>0.41979166666666662</v>
      </c>
      <c r="E1088" t="s">
        <v>14</v>
      </c>
      <c r="F1088" t="s">
        <v>15</v>
      </c>
      <c r="G1088">
        <v>-1</v>
      </c>
      <c r="H1088" t="s">
        <v>20</v>
      </c>
      <c r="I1088" t="s">
        <v>17</v>
      </c>
      <c r="J1088" s="1">
        <v>44002</v>
      </c>
      <c r="L1088" t="s">
        <v>14</v>
      </c>
      <c r="M1088">
        <v>2965</v>
      </c>
      <c r="N1088">
        <v>2965</v>
      </c>
      <c r="O1088" t="s">
        <v>21</v>
      </c>
      <c r="P1088">
        <f t="shared" si="51"/>
        <v>-1</v>
      </c>
      <c r="Q1088" s="11">
        <f>IF(P1088=0,0,IFERROR(Q1087+G1088*M1088*IF(E1088="FUTURE",VLOOKUP(MID(I1088,2,2),[1]Futures!$A$2:$B$12,2),1),G1088*M1088*IF(E1088="FUTURE",VLOOKUP(MID(I1088,2,2),[1]Futures!$A$2:$B$12,2),1)))</f>
        <v>-148250</v>
      </c>
      <c r="R1088" s="12">
        <f>IFERROR(Q1088/P1088/IF(E1088="FUTURE",VLOOKUP(MID(I1088,2,2),[1]Futures!$A$2:$B$12,2),1),"")</f>
        <v>2965</v>
      </c>
      <c r="S1088" s="13" t="str">
        <f>IF(AND(H1088="TO CLOSE",P1088=0),-G1088*(M1088-R1087)*IF(E1088="FUTURE",VLOOKUP(MID(I1088,2,2),[1]Futures!$A$2:$B$12,2),1),"")</f>
        <v/>
      </c>
    </row>
    <row r="1089" spans="1:19" x14ac:dyDescent="0.2">
      <c r="A1089">
        <f t="shared" si="50"/>
        <v>332</v>
      </c>
      <c r="B1089" s="3">
        <v>43971</v>
      </c>
      <c r="C1089" s="3" t="str">
        <f t="shared" si="52"/>
        <v>Wednesday</v>
      </c>
      <c r="D1089" s="2">
        <v>0.46015046296296297</v>
      </c>
      <c r="E1089" t="s">
        <v>14</v>
      </c>
      <c r="F1089" t="s">
        <v>19</v>
      </c>
      <c r="G1089">
        <v>1</v>
      </c>
      <c r="H1089" t="s">
        <v>16</v>
      </c>
      <c r="I1089" t="s">
        <v>17</v>
      </c>
      <c r="J1089" s="1">
        <v>44002</v>
      </c>
      <c r="L1089" t="s">
        <v>14</v>
      </c>
      <c r="M1089">
        <v>2970</v>
      </c>
      <c r="N1089">
        <v>2970</v>
      </c>
      <c r="O1089" t="s">
        <v>18</v>
      </c>
      <c r="P1089">
        <f t="shared" si="51"/>
        <v>0</v>
      </c>
      <c r="Q1089" s="11">
        <f>IF(P1089=0,0,IFERROR(Q1088+G1089*M1089*IF(E1089="FUTURE",VLOOKUP(MID(I1089,2,2),[1]Futures!$A$2:$B$12,2),1),G1089*M1089*IF(E1089="FUTURE",VLOOKUP(MID(I1089,2,2),[1]Futures!$A$2:$B$12,2),1)))</f>
        <v>0</v>
      </c>
      <c r="R1089" s="12" t="str">
        <f>IFERROR(Q1089/P1089/IF(E1089="FUTURE",VLOOKUP(MID(I1089,2,2),[1]Futures!$A$2:$B$12,2),1),"")</f>
        <v/>
      </c>
      <c r="S1089" s="13">
        <f>IF(AND(H1089="TO CLOSE",P1089=0),-G1089*(M1089-R1088)*IF(E1089="FUTURE",VLOOKUP(MID(I1089,2,2),[1]Futures!$A$2:$B$12,2),1),"")</f>
        <v>-250</v>
      </c>
    </row>
    <row r="1090" spans="1:19" x14ac:dyDescent="0.2">
      <c r="A1090">
        <f t="shared" ref="A1090:A1153" si="53">IF(AND(P1089=0,H1089="TO CLOSE"),IFERROR(A1089+1,1),IFERROR(A1089/1,1))</f>
        <v>333</v>
      </c>
      <c r="B1090" s="3">
        <v>43971</v>
      </c>
      <c r="C1090" s="3" t="str">
        <f t="shared" si="52"/>
        <v>Wednesday</v>
      </c>
      <c r="D1090" s="2">
        <v>0.46318287037037037</v>
      </c>
      <c r="E1090" t="s">
        <v>14</v>
      </c>
      <c r="F1090" t="s">
        <v>19</v>
      </c>
      <c r="G1090">
        <v>1</v>
      </c>
      <c r="H1090" t="s">
        <v>20</v>
      </c>
      <c r="I1090" t="s">
        <v>17</v>
      </c>
      <c r="J1090" s="1">
        <v>44002</v>
      </c>
      <c r="L1090" t="s">
        <v>14</v>
      </c>
      <c r="M1090">
        <v>2969</v>
      </c>
      <c r="N1090">
        <v>2969</v>
      </c>
      <c r="O1090" t="s">
        <v>24</v>
      </c>
      <c r="P1090">
        <f t="shared" si="51"/>
        <v>1</v>
      </c>
      <c r="Q1090" s="11">
        <f>IF(P1090=0,0,IFERROR(Q1089+G1090*M1090*IF(E1090="FUTURE",VLOOKUP(MID(I1090,2,2),[1]Futures!$A$2:$B$12,2),1),G1090*M1090*IF(E1090="FUTURE",VLOOKUP(MID(I1090,2,2),[1]Futures!$A$2:$B$12,2),1)))</f>
        <v>148450</v>
      </c>
      <c r="R1090" s="12">
        <f>IFERROR(Q1090/P1090/IF(E1090="FUTURE",VLOOKUP(MID(I1090,2,2),[1]Futures!$A$2:$B$12,2),1),"")</f>
        <v>2969</v>
      </c>
      <c r="S1090" s="13" t="str">
        <f>IF(AND(H1090="TO CLOSE",P1090=0),-G1090*(M1090-R1089)*IF(E1090="FUTURE",VLOOKUP(MID(I1090,2,2),[1]Futures!$A$2:$B$12,2),1),"")</f>
        <v/>
      </c>
    </row>
    <row r="1091" spans="1:19" x14ac:dyDescent="0.2">
      <c r="A1091">
        <f t="shared" si="53"/>
        <v>333</v>
      </c>
      <c r="B1091" s="3">
        <v>43971</v>
      </c>
      <c r="C1091" s="3" t="str">
        <f t="shared" si="52"/>
        <v>Wednesday</v>
      </c>
      <c r="D1091" s="2">
        <v>0.46612268518518518</v>
      </c>
      <c r="E1091" t="s">
        <v>14</v>
      </c>
      <c r="F1091" t="s">
        <v>15</v>
      </c>
      <c r="G1091">
        <v>-1</v>
      </c>
      <c r="H1091" t="s">
        <v>16</v>
      </c>
      <c r="I1091" t="s">
        <v>17</v>
      </c>
      <c r="J1091" s="1">
        <v>44002</v>
      </c>
      <c r="L1091" t="s">
        <v>14</v>
      </c>
      <c r="M1091">
        <v>2969.25</v>
      </c>
      <c r="N1091">
        <v>2969.25</v>
      </c>
      <c r="O1091" t="s">
        <v>21</v>
      </c>
      <c r="P1091">
        <f t="shared" ref="P1091:P1154" si="54">IF(H1091="TO OPEN",IFERROR(P1090+G1091,0+G1091),IFERROR(P1090+G1091,0+G1091))</f>
        <v>0</v>
      </c>
      <c r="Q1091" s="11">
        <f>IF(P1091=0,0,IFERROR(Q1090+G1091*M1091*IF(E1091="FUTURE",VLOOKUP(MID(I1091,2,2),[1]Futures!$A$2:$B$12,2),1),G1091*M1091*IF(E1091="FUTURE",VLOOKUP(MID(I1091,2,2),[1]Futures!$A$2:$B$12,2),1)))</f>
        <v>0</v>
      </c>
      <c r="R1091" s="12" t="str">
        <f>IFERROR(Q1091/P1091/IF(E1091="FUTURE",VLOOKUP(MID(I1091,2,2),[1]Futures!$A$2:$B$12,2),1),"")</f>
        <v/>
      </c>
      <c r="S1091" s="13">
        <f>IF(AND(H1091="TO CLOSE",P1091=0),-G1091*(M1091-R1090)*IF(E1091="FUTURE",VLOOKUP(MID(I1091,2,2),[1]Futures!$A$2:$B$12,2),1),"")</f>
        <v>12.5</v>
      </c>
    </row>
    <row r="1092" spans="1:19" x14ac:dyDescent="0.2">
      <c r="A1092">
        <f t="shared" si="53"/>
        <v>334</v>
      </c>
      <c r="B1092" s="3">
        <v>43971</v>
      </c>
      <c r="C1092" s="3" t="str">
        <f t="shared" si="52"/>
        <v>Wednesday</v>
      </c>
      <c r="D1092" s="2">
        <v>0.46900462962962958</v>
      </c>
      <c r="E1092" t="s">
        <v>14</v>
      </c>
      <c r="F1092" t="s">
        <v>19</v>
      </c>
      <c r="G1092">
        <v>1</v>
      </c>
      <c r="H1092" t="s">
        <v>20</v>
      </c>
      <c r="I1092" t="s">
        <v>17</v>
      </c>
      <c r="J1092" s="1">
        <v>44002</v>
      </c>
      <c r="L1092" t="s">
        <v>14</v>
      </c>
      <c r="M1092">
        <v>2971</v>
      </c>
      <c r="N1092">
        <v>2971</v>
      </c>
      <c r="O1092" t="s">
        <v>21</v>
      </c>
      <c r="P1092">
        <f t="shared" si="54"/>
        <v>1</v>
      </c>
      <c r="Q1092" s="11">
        <f>IF(P1092=0,0,IFERROR(Q1091+G1092*M1092*IF(E1092="FUTURE",VLOOKUP(MID(I1092,2,2),[1]Futures!$A$2:$B$12,2),1),G1092*M1092*IF(E1092="FUTURE",VLOOKUP(MID(I1092,2,2),[1]Futures!$A$2:$B$12,2),1)))</f>
        <v>148550</v>
      </c>
      <c r="R1092" s="12">
        <f>IFERROR(Q1092/P1092/IF(E1092="FUTURE",VLOOKUP(MID(I1092,2,2),[1]Futures!$A$2:$B$12,2),1),"")</f>
        <v>2971</v>
      </c>
      <c r="S1092" s="13" t="str">
        <f>IF(AND(H1092="TO CLOSE",P1092=0),-G1092*(M1092-R1091)*IF(E1092="FUTURE",VLOOKUP(MID(I1092,2,2),[1]Futures!$A$2:$B$12,2),1),"")</f>
        <v/>
      </c>
    </row>
    <row r="1093" spans="1:19" x14ac:dyDescent="0.2">
      <c r="A1093">
        <f t="shared" si="53"/>
        <v>334</v>
      </c>
      <c r="B1093" s="3">
        <v>43971</v>
      </c>
      <c r="C1093" s="3" t="str">
        <f t="shared" si="52"/>
        <v>Wednesday</v>
      </c>
      <c r="D1093" s="2">
        <v>0.47364583333333332</v>
      </c>
      <c r="E1093" t="s">
        <v>14</v>
      </c>
      <c r="F1093" t="s">
        <v>15</v>
      </c>
      <c r="G1093">
        <v>-1</v>
      </c>
      <c r="H1093" t="s">
        <v>16</v>
      </c>
      <c r="I1093" t="s">
        <v>17</v>
      </c>
      <c r="J1093" s="1">
        <v>44002</v>
      </c>
      <c r="L1093" t="s">
        <v>14</v>
      </c>
      <c r="M1093">
        <v>2973.75</v>
      </c>
      <c r="N1093">
        <v>2973.75</v>
      </c>
      <c r="O1093" t="s">
        <v>21</v>
      </c>
      <c r="P1093">
        <f t="shared" si="54"/>
        <v>0</v>
      </c>
      <c r="Q1093" s="11">
        <f>IF(P1093=0,0,IFERROR(Q1092+G1093*M1093*IF(E1093="FUTURE",VLOOKUP(MID(I1093,2,2),[1]Futures!$A$2:$B$12,2),1),G1093*M1093*IF(E1093="FUTURE",VLOOKUP(MID(I1093,2,2),[1]Futures!$A$2:$B$12,2),1)))</f>
        <v>0</v>
      </c>
      <c r="R1093" s="12" t="str">
        <f>IFERROR(Q1093/P1093/IF(E1093="FUTURE",VLOOKUP(MID(I1093,2,2),[1]Futures!$A$2:$B$12,2),1),"")</f>
        <v/>
      </c>
      <c r="S1093" s="13">
        <f>IF(AND(H1093="TO CLOSE",P1093=0),-G1093*(M1093-R1092)*IF(E1093="FUTURE",VLOOKUP(MID(I1093,2,2),[1]Futures!$A$2:$B$12,2),1),"")</f>
        <v>137.5</v>
      </c>
    </row>
    <row r="1094" spans="1:19" x14ac:dyDescent="0.2">
      <c r="A1094">
        <f t="shared" si="53"/>
        <v>335</v>
      </c>
      <c r="B1094" s="3">
        <v>43971</v>
      </c>
      <c r="C1094" s="3" t="str">
        <f t="shared" si="52"/>
        <v>Wednesday</v>
      </c>
      <c r="D1094" s="2">
        <v>0.48887731481481483</v>
      </c>
      <c r="E1094" t="s">
        <v>14</v>
      </c>
      <c r="F1094" t="s">
        <v>15</v>
      </c>
      <c r="G1094">
        <v>-1</v>
      </c>
      <c r="H1094" t="s">
        <v>20</v>
      </c>
      <c r="I1094" t="s">
        <v>17</v>
      </c>
      <c r="J1094" s="1">
        <v>44002</v>
      </c>
      <c r="L1094" t="s">
        <v>14</v>
      </c>
      <c r="M1094">
        <v>2973.5</v>
      </c>
      <c r="N1094">
        <v>2973.5</v>
      </c>
      <c r="O1094" t="s">
        <v>21</v>
      </c>
      <c r="P1094">
        <f t="shared" si="54"/>
        <v>-1</v>
      </c>
      <c r="Q1094" s="11">
        <f>IF(P1094=0,0,IFERROR(Q1093+G1094*M1094*IF(E1094="FUTURE",VLOOKUP(MID(I1094,2,2),[1]Futures!$A$2:$B$12,2),1),G1094*M1094*IF(E1094="FUTURE",VLOOKUP(MID(I1094,2,2),[1]Futures!$A$2:$B$12,2),1)))</f>
        <v>-148675</v>
      </c>
      <c r="R1094" s="12">
        <f>IFERROR(Q1094/P1094/IF(E1094="FUTURE",VLOOKUP(MID(I1094,2,2),[1]Futures!$A$2:$B$12,2),1),"")</f>
        <v>2973.5</v>
      </c>
      <c r="S1094" s="13" t="str">
        <f>IF(AND(H1094="TO CLOSE",P1094=0),-G1094*(M1094-R1093)*IF(E1094="FUTURE",VLOOKUP(MID(I1094,2,2),[1]Futures!$A$2:$B$12,2),1),"")</f>
        <v/>
      </c>
    </row>
    <row r="1095" spans="1:19" x14ac:dyDescent="0.2">
      <c r="A1095">
        <f t="shared" si="53"/>
        <v>335</v>
      </c>
      <c r="B1095" s="3">
        <v>43971</v>
      </c>
      <c r="C1095" s="3" t="str">
        <f t="shared" si="52"/>
        <v>Wednesday</v>
      </c>
      <c r="D1095" s="2">
        <v>0.49861111111111112</v>
      </c>
      <c r="E1095" t="s">
        <v>14</v>
      </c>
      <c r="F1095" t="s">
        <v>19</v>
      </c>
      <c r="G1095">
        <v>1</v>
      </c>
      <c r="H1095" t="s">
        <v>16</v>
      </c>
      <c r="I1095" t="s">
        <v>17</v>
      </c>
      <c r="J1095" s="1">
        <v>44002</v>
      </c>
      <c r="L1095" t="s">
        <v>14</v>
      </c>
      <c r="M1095">
        <v>2972</v>
      </c>
      <c r="N1095">
        <v>2972</v>
      </c>
      <c r="O1095" t="s">
        <v>21</v>
      </c>
      <c r="P1095">
        <f t="shared" si="54"/>
        <v>0</v>
      </c>
      <c r="Q1095" s="11">
        <f>IF(P1095=0,0,IFERROR(Q1094+G1095*M1095*IF(E1095="FUTURE",VLOOKUP(MID(I1095,2,2),[1]Futures!$A$2:$B$12,2),1),G1095*M1095*IF(E1095="FUTURE",VLOOKUP(MID(I1095,2,2),[1]Futures!$A$2:$B$12,2),1)))</f>
        <v>0</v>
      </c>
      <c r="R1095" s="12" t="str">
        <f>IFERROR(Q1095/P1095/IF(E1095="FUTURE",VLOOKUP(MID(I1095,2,2),[1]Futures!$A$2:$B$12,2),1),"")</f>
        <v/>
      </c>
      <c r="S1095" s="13">
        <f>IF(AND(H1095="TO CLOSE",P1095=0),-G1095*(M1095-R1094)*IF(E1095="FUTURE",VLOOKUP(MID(I1095,2,2),[1]Futures!$A$2:$B$12,2),1),"")</f>
        <v>75</v>
      </c>
    </row>
    <row r="1096" spans="1:19" x14ac:dyDescent="0.2">
      <c r="A1096">
        <f t="shared" si="53"/>
        <v>336</v>
      </c>
      <c r="B1096" s="3">
        <v>43971</v>
      </c>
      <c r="C1096" s="3" t="str">
        <f t="shared" si="52"/>
        <v>Wednesday</v>
      </c>
      <c r="D1096" s="2">
        <v>0.51324074074074078</v>
      </c>
      <c r="E1096" t="s">
        <v>14</v>
      </c>
      <c r="F1096" t="s">
        <v>19</v>
      </c>
      <c r="G1096">
        <v>1</v>
      </c>
      <c r="H1096" t="s">
        <v>20</v>
      </c>
      <c r="I1096" t="s">
        <v>17</v>
      </c>
      <c r="J1096" s="1">
        <v>44002</v>
      </c>
      <c r="L1096" t="s">
        <v>14</v>
      </c>
      <c r="M1096">
        <v>2964</v>
      </c>
      <c r="N1096">
        <v>2964</v>
      </c>
      <c r="O1096" t="s">
        <v>24</v>
      </c>
      <c r="P1096">
        <f t="shared" si="54"/>
        <v>1</v>
      </c>
      <c r="Q1096" s="11">
        <f>IF(P1096=0,0,IFERROR(Q1095+G1096*M1096*IF(E1096="FUTURE",VLOOKUP(MID(I1096,2,2),[1]Futures!$A$2:$B$12,2),1),G1096*M1096*IF(E1096="FUTURE",VLOOKUP(MID(I1096,2,2),[1]Futures!$A$2:$B$12,2),1)))</f>
        <v>148200</v>
      </c>
      <c r="R1096" s="12">
        <f>IFERROR(Q1096/P1096/IF(E1096="FUTURE",VLOOKUP(MID(I1096,2,2),[1]Futures!$A$2:$B$12,2),1),"")</f>
        <v>2964</v>
      </c>
      <c r="S1096" s="13" t="str">
        <f>IF(AND(H1096="TO CLOSE",P1096=0),-G1096*(M1096-R1095)*IF(E1096="FUTURE",VLOOKUP(MID(I1096,2,2),[1]Futures!$A$2:$B$12,2),1),"")</f>
        <v/>
      </c>
    </row>
    <row r="1097" spans="1:19" x14ac:dyDescent="0.2">
      <c r="A1097">
        <f t="shared" si="53"/>
        <v>336</v>
      </c>
      <c r="B1097" s="3">
        <v>43971</v>
      </c>
      <c r="C1097" s="3" t="str">
        <f t="shared" si="52"/>
        <v>Wednesday</v>
      </c>
      <c r="D1097" s="2">
        <v>0.513738425925926</v>
      </c>
      <c r="E1097" t="s">
        <v>14</v>
      </c>
      <c r="F1097" t="s">
        <v>15</v>
      </c>
      <c r="G1097">
        <v>-1</v>
      </c>
      <c r="H1097" t="s">
        <v>16</v>
      </c>
      <c r="I1097" t="s">
        <v>17</v>
      </c>
      <c r="J1097" s="1">
        <v>44002</v>
      </c>
      <c r="L1097" t="s">
        <v>14</v>
      </c>
      <c r="M1097">
        <v>2964.25</v>
      </c>
      <c r="N1097">
        <v>2964.25</v>
      </c>
      <c r="O1097" t="s">
        <v>21</v>
      </c>
      <c r="P1097">
        <f t="shared" si="54"/>
        <v>0</v>
      </c>
      <c r="Q1097" s="11">
        <f>IF(P1097=0,0,IFERROR(Q1096+G1097*M1097*IF(E1097="FUTURE",VLOOKUP(MID(I1097,2,2),[1]Futures!$A$2:$B$12,2),1),G1097*M1097*IF(E1097="FUTURE",VLOOKUP(MID(I1097,2,2),[1]Futures!$A$2:$B$12,2),1)))</f>
        <v>0</v>
      </c>
      <c r="R1097" s="12" t="str">
        <f>IFERROR(Q1097/P1097/IF(E1097="FUTURE",VLOOKUP(MID(I1097,2,2),[1]Futures!$A$2:$B$12,2),1),"")</f>
        <v/>
      </c>
      <c r="S1097" s="13">
        <f>IF(AND(H1097="TO CLOSE",P1097=0),-G1097*(M1097-R1096)*IF(E1097="FUTURE",VLOOKUP(MID(I1097,2,2),[1]Futures!$A$2:$B$12,2),1),"")</f>
        <v>12.5</v>
      </c>
    </row>
    <row r="1098" spans="1:19" x14ac:dyDescent="0.2">
      <c r="A1098">
        <f t="shared" si="53"/>
        <v>337</v>
      </c>
      <c r="B1098" s="3">
        <v>43971</v>
      </c>
      <c r="C1098" s="3" t="str">
        <f t="shared" si="52"/>
        <v>Wednesday</v>
      </c>
      <c r="D1098" s="2">
        <v>0.5151041666666667</v>
      </c>
      <c r="E1098" t="s">
        <v>14</v>
      </c>
      <c r="F1098" t="s">
        <v>19</v>
      </c>
      <c r="G1098">
        <v>1</v>
      </c>
      <c r="H1098" t="s">
        <v>20</v>
      </c>
      <c r="I1098" t="s">
        <v>17</v>
      </c>
      <c r="J1098" s="1">
        <v>44002</v>
      </c>
      <c r="L1098" t="s">
        <v>14</v>
      </c>
      <c r="M1098">
        <v>2964.5</v>
      </c>
      <c r="N1098">
        <v>2964.5</v>
      </c>
      <c r="O1098" t="s">
        <v>21</v>
      </c>
      <c r="P1098">
        <f t="shared" si="54"/>
        <v>1</v>
      </c>
      <c r="Q1098" s="11">
        <f>IF(P1098=0,0,IFERROR(Q1097+G1098*M1098*IF(E1098="FUTURE",VLOOKUP(MID(I1098,2,2),[1]Futures!$A$2:$B$12,2),1),G1098*M1098*IF(E1098="FUTURE",VLOOKUP(MID(I1098,2,2),[1]Futures!$A$2:$B$12,2),1)))</f>
        <v>148225</v>
      </c>
      <c r="R1098" s="12">
        <f>IFERROR(Q1098/P1098/IF(E1098="FUTURE",VLOOKUP(MID(I1098,2,2),[1]Futures!$A$2:$B$12,2),1),"")</f>
        <v>2964.5</v>
      </c>
      <c r="S1098" s="13" t="str">
        <f>IF(AND(H1098="TO CLOSE",P1098=0),-G1098*(M1098-R1097)*IF(E1098="FUTURE",VLOOKUP(MID(I1098,2,2),[1]Futures!$A$2:$B$12,2),1),"")</f>
        <v/>
      </c>
    </row>
    <row r="1099" spans="1:19" x14ac:dyDescent="0.2">
      <c r="A1099">
        <f t="shared" si="53"/>
        <v>337</v>
      </c>
      <c r="B1099" s="3">
        <v>43971</v>
      </c>
      <c r="C1099" s="3" t="str">
        <f t="shared" si="52"/>
        <v>Wednesday</v>
      </c>
      <c r="D1099" s="2">
        <v>0.51981481481481484</v>
      </c>
      <c r="E1099" t="s">
        <v>14</v>
      </c>
      <c r="F1099" t="s">
        <v>15</v>
      </c>
      <c r="G1099">
        <v>-1</v>
      </c>
      <c r="H1099" t="s">
        <v>16</v>
      </c>
      <c r="I1099" t="s">
        <v>17</v>
      </c>
      <c r="J1099" s="1">
        <v>44002</v>
      </c>
      <c r="L1099" t="s">
        <v>14</v>
      </c>
      <c r="M1099">
        <v>2965</v>
      </c>
      <c r="N1099">
        <v>2965</v>
      </c>
      <c r="O1099" t="s">
        <v>21</v>
      </c>
      <c r="P1099">
        <f t="shared" si="54"/>
        <v>0</v>
      </c>
      <c r="Q1099" s="11">
        <f>IF(P1099=0,0,IFERROR(Q1098+G1099*M1099*IF(E1099="FUTURE",VLOOKUP(MID(I1099,2,2),[1]Futures!$A$2:$B$12,2),1),G1099*M1099*IF(E1099="FUTURE",VLOOKUP(MID(I1099,2,2),[1]Futures!$A$2:$B$12,2),1)))</f>
        <v>0</v>
      </c>
      <c r="R1099" s="12" t="str">
        <f>IFERROR(Q1099/P1099/IF(E1099="FUTURE",VLOOKUP(MID(I1099,2,2),[1]Futures!$A$2:$B$12,2),1),"")</f>
        <v/>
      </c>
      <c r="S1099" s="13">
        <f>IF(AND(H1099="TO CLOSE",P1099=0),-G1099*(M1099-R1098)*IF(E1099="FUTURE",VLOOKUP(MID(I1099,2,2),[1]Futures!$A$2:$B$12,2),1),"")</f>
        <v>25</v>
      </c>
    </row>
    <row r="1100" spans="1:19" x14ac:dyDescent="0.2">
      <c r="A1100">
        <f t="shared" si="53"/>
        <v>338</v>
      </c>
      <c r="B1100" s="3">
        <v>43971</v>
      </c>
      <c r="C1100" s="3" t="str">
        <f t="shared" si="52"/>
        <v>Wednesday</v>
      </c>
      <c r="D1100" s="2">
        <v>0.53983796296296294</v>
      </c>
      <c r="E1100" t="s">
        <v>14</v>
      </c>
      <c r="F1100" t="s">
        <v>19</v>
      </c>
      <c r="G1100">
        <v>1</v>
      </c>
      <c r="H1100" t="s">
        <v>20</v>
      </c>
      <c r="I1100" t="s">
        <v>17</v>
      </c>
      <c r="J1100" s="1">
        <v>44002</v>
      </c>
      <c r="L1100" t="s">
        <v>14</v>
      </c>
      <c r="M1100">
        <v>2965</v>
      </c>
      <c r="N1100">
        <v>2965</v>
      </c>
      <c r="O1100" t="s">
        <v>24</v>
      </c>
      <c r="P1100">
        <f t="shared" si="54"/>
        <v>1</v>
      </c>
      <c r="Q1100" s="11">
        <f>IF(P1100=0,0,IFERROR(Q1099+G1100*M1100*IF(E1100="FUTURE",VLOOKUP(MID(I1100,2,2),[1]Futures!$A$2:$B$12,2),1),G1100*M1100*IF(E1100="FUTURE",VLOOKUP(MID(I1100,2,2),[1]Futures!$A$2:$B$12,2),1)))</f>
        <v>148250</v>
      </c>
      <c r="R1100" s="12">
        <f>IFERROR(Q1100/P1100/IF(E1100="FUTURE",VLOOKUP(MID(I1100,2,2),[1]Futures!$A$2:$B$12,2),1),"")</f>
        <v>2965</v>
      </c>
      <c r="S1100" s="13" t="str">
        <f>IF(AND(H1100="TO CLOSE",P1100=0),-G1100*(M1100-R1099)*IF(E1100="FUTURE",VLOOKUP(MID(I1100,2,2),[1]Futures!$A$2:$B$12,2),1),"")</f>
        <v/>
      </c>
    </row>
    <row r="1101" spans="1:19" x14ac:dyDescent="0.2">
      <c r="A1101">
        <f t="shared" si="53"/>
        <v>338</v>
      </c>
      <c r="B1101" s="3">
        <v>43971</v>
      </c>
      <c r="C1101" s="3" t="str">
        <f t="shared" si="52"/>
        <v>Wednesday</v>
      </c>
      <c r="D1101" s="2">
        <v>0.54258101851851859</v>
      </c>
      <c r="E1101" t="s">
        <v>14</v>
      </c>
      <c r="F1101" t="s">
        <v>15</v>
      </c>
      <c r="G1101">
        <v>-1</v>
      </c>
      <c r="H1101" t="s">
        <v>16</v>
      </c>
      <c r="I1101" t="s">
        <v>17</v>
      </c>
      <c r="J1101" s="1">
        <v>44002</v>
      </c>
      <c r="L1101" t="s">
        <v>14</v>
      </c>
      <c r="M1101">
        <v>2965.75</v>
      </c>
      <c r="N1101">
        <v>2965.75</v>
      </c>
      <c r="O1101" t="s">
        <v>21</v>
      </c>
      <c r="P1101">
        <f t="shared" si="54"/>
        <v>0</v>
      </c>
      <c r="Q1101" s="11">
        <f>IF(P1101=0,0,IFERROR(Q1100+G1101*M1101*IF(E1101="FUTURE",VLOOKUP(MID(I1101,2,2),[1]Futures!$A$2:$B$12,2),1),G1101*M1101*IF(E1101="FUTURE",VLOOKUP(MID(I1101,2,2),[1]Futures!$A$2:$B$12,2),1)))</f>
        <v>0</v>
      </c>
      <c r="R1101" s="12" t="str">
        <f>IFERROR(Q1101/P1101/IF(E1101="FUTURE",VLOOKUP(MID(I1101,2,2),[1]Futures!$A$2:$B$12,2),1),"")</f>
        <v/>
      </c>
      <c r="S1101" s="13">
        <f>IF(AND(H1101="TO CLOSE",P1101=0),-G1101*(M1101-R1100)*IF(E1101="FUTURE",VLOOKUP(MID(I1101,2,2),[1]Futures!$A$2:$B$12,2),1),"")</f>
        <v>37.5</v>
      </c>
    </row>
    <row r="1102" spans="1:19" x14ac:dyDescent="0.2">
      <c r="A1102">
        <f t="shared" si="53"/>
        <v>339</v>
      </c>
      <c r="B1102" s="3">
        <v>43971</v>
      </c>
      <c r="C1102" s="3" t="str">
        <f t="shared" si="52"/>
        <v>Wednesday</v>
      </c>
      <c r="D1102" s="2">
        <v>0.40030092592592598</v>
      </c>
      <c r="E1102" t="s">
        <v>22</v>
      </c>
      <c r="F1102" t="s">
        <v>19</v>
      </c>
      <c r="G1102">
        <v>400</v>
      </c>
      <c r="H1102" t="s">
        <v>20</v>
      </c>
      <c r="I1102" t="s">
        <v>23</v>
      </c>
      <c r="L1102" t="s">
        <v>22</v>
      </c>
      <c r="M1102">
        <v>34.475000000000001</v>
      </c>
      <c r="N1102">
        <v>34.475000000000001</v>
      </c>
      <c r="O1102" t="s">
        <v>24</v>
      </c>
      <c r="P1102">
        <f t="shared" si="54"/>
        <v>400</v>
      </c>
      <c r="Q1102" s="11">
        <f>IF(P1102=0,0,IFERROR(Q1101+G1102*M1102*IF(E1102="FUTURE",VLOOKUP(MID(I1102,2,2),[1]Futures!$A$2:$B$12,2),1),G1102*M1102*IF(E1102="FUTURE",VLOOKUP(MID(I1102,2,2),[1]Futures!$A$2:$B$12,2),1)))</f>
        <v>13790</v>
      </c>
      <c r="R1102" s="12">
        <f>IFERROR(Q1102/P1102/IF(E1102="FUTURE",VLOOKUP(MID(I1102,2,2),[1]Futures!$A$2:$B$12,2),1),"")</f>
        <v>34.475000000000001</v>
      </c>
      <c r="S1102" s="13" t="str">
        <f>IF(AND(H1102="TO CLOSE",P1102=0),-G1102*(M1102-R1101)*IF(E1102="FUTURE",VLOOKUP(MID(I1102,2,2),[1]Futures!$A$2:$B$12,2),1),"")</f>
        <v/>
      </c>
    </row>
    <row r="1103" spans="1:19" x14ac:dyDescent="0.2">
      <c r="A1103">
        <f t="shared" si="53"/>
        <v>339</v>
      </c>
      <c r="B1103" s="3">
        <v>43971</v>
      </c>
      <c r="C1103" s="3" t="str">
        <f t="shared" si="52"/>
        <v>Wednesday</v>
      </c>
      <c r="D1103" s="2">
        <v>0.40236111111111111</v>
      </c>
      <c r="E1103" t="s">
        <v>22</v>
      </c>
      <c r="F1103" t="s">
        <v>15</v>
      </c>
      <c r="G1103">
        <v>-400</v>
      </c>
      <c r="H1103" t="s">
        <v>16</v>
      </c>
      <c r="I1103" t="s">
        <v>23</v>
      </c>
      <c r="L1103" t="s">
        <v>22</v>
      </c>
      <c r="M1103">
        <v>34.280099999999997</v>
      </c>
      <c r="N1103">
        <v>34.280099999999997</v>
      </c>
      <c r="O1103" t="s">
        <v>24</v>
      </c>
      <c r="P1103">
        <f t="shared" si="54"/>
        <v>0</v>
      </c>
      <c r="Q1103" s="11">
        <f>IF(P1103=0,0,IFERROR(Q1102+G1103*M1103*IF(E1103="FUTURE",VLOOKUP(MID(I1103,2,2),[1]Futures!$A$2:$B$12,2),1),G1103*M1103*IF(E1103="FUTURE",VLOOKUP(MID(I1103,2,2),[1]Futures!$A$2:$B$12,2),1)))</f>
        <v>0</v>
      </c>
      <c r="R1103" s="12" t="str">
        <f>IFERROR(Q1103/P1103/IF(E1103="FUTURE",VLOOKUP(MID(I1103,2,2),[1]Futures!$A$2:$B$12,2),1),"")</f>
        <v/>
      </c>
      <c r="S1103" s="13">
        <f>IF(AND(H1103="TO CLOSE",P1103=0),-G1103*(M1103-R1102)*IF(E1103="FUTURE",VLOOKUP(MID(I1103,2,2),[1]Futures!$A$2:$B$12,2),1),"")</f>
        <v>-77.960000000001628</v>
      </c>
    </row>
    <row r="1104" spans="1:19" x14ac:dyDescent="0.2">
      <c r="A1104">
        <f t="shared" si="53"/>
        <v>340</v>
      </c>
      <c r="B1104" s="3">
        <v>43971</v>
      </c>
      <c r="C1104" s="3" t="str">
        <f t="shared" si="52"/>
        <v>Wednesday</v>
      </c>
      <c r="D1104" s="2">
        <v>0.40335648148148145</v>
      </c>
      <c r="E1104" t="s">
        <v>22</v>
      </c>
      <c r="F1104" t="s">
        <v>15</v>
      </c>
      <c r="G1104">
        <v>-100</v>
      </c>
      <c r="H1104" t="s">
        <v>20</v>
      </c>
      <c r="I1104" t="s">
        <v>23</v>
      </c>
      <c r="L1104" t="s">
        <v>22</v>
      </c>
      <c r="M1104">
        <v>34.19</v>
      </c>
      <c r="N1104">
        <v>34.19</v>
      </c>
      <c r="O1104" t="s">
        <v>21</v>
      </c>
      <c r="P1104">
        <f t="shared" si="54"/>
        <v>-100</v>
      </c>
      <c r="Q1104" s="11">
        <f>IF(P1104=0,0,IFERROR(Q1103+G1104*M1104*IF(E1104="FUTURE",VLOOKUP(MID(I1104,2,2),[1]Futures!$A$2:$B$12,2),1),G1104*M1104*IF(E1104="FUTURE",VLOOKUP(MID(I1104,2,2),[1]Futures!$A$2:$B$12,2),1)))</f>
        <v>-3419</v>
      </c>
      <c r="R1104" s="12">
        <f>IFERROR(Q1104/P1104/IF(E1104="FUTURE",VLOOKUP(MID(I1104,2,2),[1]Futures!$A$2:$B$12,2),1),"")</f>
        <v>34.19</v>
      </c>
      <c r="S1104" s="13" t="str">
        <f>IF(AND(H1104="TO CLOSE",P1104=0),-G1104*(M1104-R1103)*IF(E1104="FUTURE",VLOOKUP(MID(I1104,2,2),[1]Futures!$A$2:$B$12,2),1),"")</f>
        <v/>
      </c>
    </row>
    <row r="1105" spans="1:19" x14ac:dyDescent="0.2">
      <c r="A1105">
        <f t="shared" si="53"/>
        <v>340</v>
      </c>
      <c r="B1105" s="3">
        <v>43971</v>
      </c>
      <c r="C1105" s="3" t="str">
        <f t="shared" si="52"/>
        <v>Wednesday</v>
      </c>
      <c r="D1105" s="2">
        <v>0.4033680555555556</v>
      </c>
      <c r="E1105" t="s">
        <v>22</v>
      </c>
      <c r="F1105" t="s">
        <v>15</v>
      </c>
      <c r="G1105">
        <v>-400</v>
      </c>
      <c r="H1105" t="s">
        <v>20</v>
      </c>
      <c r="I1105" t="s">
        <v>23</v>
      </c>
      <c r="L1105" t="s">
        <v>22</v>
      </c>
      <c r="M1105">
        <v>34.19</v>
      </c>
      <c r="N1105">
        <v>34.19</v>
      </c>
      <c r="O1105" t="s">
        <v>21</v>
      </c>
      <c r="P1105">
        <f t="shared" si="54"/>
        <v>-500</v>
      </c>
      <c r="Q1105" s="11">
        <f>IF(P1105=0,0,IFERROR(Q1104+G1105*M1105*IF(E1105="FUTURE",VLOOKUP(MID(I1105,2,2),[1]Futures!$A$2:$B$12,2),1),G1105*M1105*IF(E1105="FUTURE",VLOOKUP(MID(I1105,2,2),[1]Futures!$A$2:$B$12,2),1)))</f>
        <v>-17095</v>
      </c>
      <c r="R1105" s="12">
        <f>IFERROR(Q1105/P1105/IF(E1105="FUTURE",VLOOKUP(MID(I1105,2,2),[1]Futures!$A$2:$B$12,2),1),"")</f>
        <v>34.19</v>
      </c>
      <c r="S1105" s="13" t="str">
        <f>IF(AND(H1105="TO CLOSE",P1105=0),-G1105*(M1105-R1104)*IF(E1105="FUTURE",VLOOKUP(MID(I1105,2,2),[1]Futures!$A$2:$B$12,2),1),"")</f>
        <v/>
      </c>
    </row>
    <row r="1106" spans="1:19" x14ac:dyDescent="0.2">
      <c r="A1106">
        <f t="shared" si="53"/>
        <v>340</v>
      </c>
      <c r="B1106" s="3">
        <v>43971</v>
      </c>
      <c r="C1106" s="3" t="str">
        <f t="shared" si="52"/>
        <v>Wednesday</v>
      </c>
      <c r="D1106" s="2">
        <v>0.409212962962963</v>
      </c>
      <c r="E1106" t="s">
        <v>22</v>
      </c>
      <c r="F1106" t="s">
        <v>19</v>
      </c>
      <c r="G1106">
        <v>500</v>
      </c>
      <c r="H1106" t="s">
        <v>16</v>
      </c>
      <c r="I1106" t="s">
        <v>23</v>
      </c>
      <c r="L1106" t="s">
        <v>22</v>
      </c>
      <c r="M1106">
        <v>34.319899999999997</v>
      </c>
      <c r="N1106">
        <v>34.319899999999997</v>
      </c>
      <c r="O1106" t="s">
        <v>24</v>
      </c>
      <c r="P1106">
        <f t="shared" si="54"/>
        <v>0</v>
      </c>
      <c r="Q1106" s="11">
        <f>IF(P1106=0,0,IFERROR(Q1105+G1106*M1106*IF(E1106="FUTURE",VLOOKUP(MID(I1106,2,2),[1]Futures!$A$2:$B$12,2),1),G1106*M1106*IF(E1106="FUTURE",VLOOKUP(MID(I1106,2,2),[1]Futures!$A$2:$B$12,2),1)))</f>
        <v>0</v>
      </c>
      <c r="R1106" s="12" t="str">
        <f>IFERROR(Q1106/P1106/IF(E1106="FUTURE",VLOOKUP(MID(I1106,2,2),[1]Futures!$A$2:$B$12,2),1),"")</f>
        <v/>
      </c>
      <c r="S1106" s="13">
        <f>IF(AND(H1106="TO CLOSE",P1106=0),-G1106*(M1106-R1105)*IF(E1106="FUTURE",VLOOKUP(MID(I1106,2,2),[1]Futures!$A$2:$B$12,2),1),"")</f>
        <v>-64.949999999999619</v>
      </c>
    </row>
    <row r="1107" spans="1:19" x14ac:dyDescent="0.2">
      <c r="A1107">
        <f t="shared" si="53"/>
        <v>341</v>
      </c>
      <c r="B1107" s="3">
        <v>43971</v>
      </c>
      <c r="C1107" s="3" t="str">
        <f t="shared" si="52"/>
        <v>Wednesday</v>
      </c>
      <c r="D1107" s="2">
        <v>0.40959490740740739</v>
      </c>
      <c r="E1107" t="s">
        <v>22</v>
      </c>
      <c r="F1107" t="s">
        <v>19</v>
      </c>
      <c r="G1107">
        <v>500</v>
      </c>
      <c r="H1107" t="s">
        <v>20</v>
      </c>
      <c r="I1107" t="s">
        <v>23</v>
      </c>
      <c r="L1107" t="s">
        <v>22</v>
      </c>
      <c r="M1107">
        <v>34.305</v>
      </c>
      <c r="N1107">
        <v>34.305</v>
      </c>
      <c r="O1107" t="s">
        <v>24</v>
      </c>
      <c r="P1107">
        <f t="shared" si="54"/>
        <v>500</v>
      </c>
      <c r="Q1107" s="11">
        <f>IF(P1107=0,0,IFERROR(Q1106+G1107*M1107*IF(E1107="FUTURE",VLOOKUP(MID(I1107,2,2),[1]Futures!$A$2:$B$12,2),1),G1107*M1107*IF(E1107="FUTURE",VLOOKUP(MID(I1107,2,2),[1]Futures!$A$2:$B$12,2),1)))</f>
        <v>17152.5</v>
      </c>
      <c r="R1107" s="12">
        <f>IFERROR(Q1107/P1107/IF(E1107="FUTURE",VLOOKUP(MID(I1107,2,2),[1]Futures!$A$2:$B$12,2),1),"")</f>
        <v>34.305</v>
      </c>
      <c r="S1107" s="13" t="str">
        <f>IF(AND(H1107="TO CLOSE",P1107=0),-G1107*(M1107-R1106)*IF(E1107="FUTURE",VLOOKUP(MID(I1107,2,2),[1]Futures!$A$2:$B$12,2),1),"")</f>
        <v/>
      </c>
    </row>
    <row r="1108" spans="1:19" x14ac:dyDescent="0.2">
      <c r="A1108">
        <f t="shared" si="53"/>
        <v>341</v>
      </c>
      <c r="B1108" s="3">
        <v>43971</v>
      </c>
      <c r="C1108" s="3" t="str">
        <f t="shared" si="52"/>
        <v>Wednesday</v>
      </c>
      <c r="D1108" s="2">
        <v>0.4136111111111111</v>
      </c>
      <c r="E1108" t="s">
        <v>22</v>
      </c>
      <c r="F1108" t="s">
        <v>15</v>
      </c>
      <c r="G1108">
        <v>-200</v>
      </c>
      <c r="H1108" t="s">
        <v>16</v>
      </c>
      <c r="I1108" t="s">
        <v>23</v>
      </c>
      <c r="L1108" t="s">
        <v>22</v>
      </c>
      <c r="M1108">
        <v>34.36</v>
      </c>
      <c r="N1108">
        <v>34.36</v>
      </c>
      <c r="O1108" t="s">
        <v>21</v>
      </c>
      <c r="P1108">
        <f t="shared" si="54"/>
        <v>300</v>
      </c>
      <c r="Q1108" s="11">
        <f>IF(P1108=0,0,IFERROR(Q1107+G1108*M1108*IF(E1108="FUTURE",VLOOKUP(MID(I1108,2,2),[1]Futures!$A$2:$B$12,2),1),G1108*M1108*IF(E1108="FUTURE",VLOOKUP(MID(I1108,2,2),[1]Futures!$A$2:$B$12,2),1)))</f>
        <v>10280.5</v>
      </c>
      <c r="R1108" s="12">
        <f>IFERROR(Q1108/P1108/IF(E1108="FUTURE",VLOOKUP(MID(I1108,2,2),[1]Futures!$A$2:$B$12,2),1),"")</f>
        <v>34.268333333333331</v>
      </c>
      <c r="S1108" s="13" t="str">
        <f>IF(AND(H1108="TO CLOSE",P1108=0),-G1108*(M1108-R1107)*IF(E1108="FUTURE",VLOOKUP(MID(I1108,2,2),[1]Futures!$A$2:$B$12,2),1),"")</f>
        <v/>
      </c>
    </row>
    <row r="1109" spans="1:19" x14ac:dyDescent="0.2">
      <c r="A1109">
        <f t="shared" si="53"/>
        <v>341</v>
      </c>
      <c r="B1109" s="3">
        <v>43971</v>
      </c>
      <c r="C1109" s="3" t="str">
        <f t="shared" si="52"/>
        <v>Wednesday</v>
      </c>
      <c r="D1109" s="2">
        <v>0.42090277777777779</v>
      </c>
      <c r="E1109" t="s">
        <v>22</v>
      </c>
      <c r="F1109" t="s">
        <v>19</v>
      </c>
      <c r="G1109">
        <v>100</v>
      </c>
      <c r="H1109" t="s">
        <v>20</v>
      </c>
      <c r="I1109" t="s">
        <v>23</v>
      </c>
      <c r="L1109" t="s">
        <v>22</v>
      </c>
      <c r="M1109">
        <v>34.299900000000001</v>
      </c>
      <c r="N1109">
        <v>34.299900000000001</v>
      </c>
      <c r="O1109" t="s">
        <v>24</v>
      </c>
      <c r="P1109">
        <f t="shared" si="54"/>
        <v>400</v>
      </c>
      <c r="Q1109" s="11">
        <f>IF(P1109=0,0,IFERROR(Q1108+G1109*M1109*IF(E1109="FUTURE",VLOOKUP(MID(I1109,2,2),[1]Futures!$A$2:$B$12,2),1),G1109*M1109*IF(E1109="FUTURE",VLOOKUP(MID(I1109,2,2),[1]Futures!$A$2:$B$12,2),1)))</f>
        <v>13710.49</v>
      </c>
      <c r="R1109" s="12">
        <f>IFERROR(Q1109/P1109/IF(E1109="FUTURE",VLOOKUP(MID(I1109,2,2),[1]Futures!$A$2:$B$12,2),1),"")</f>
        <v>34.276224999999997</v>
      </c>
      <c r="S1109" s="13" t="str">
        <f>IF(AND(H1109="TO CLOSE",P1109=0),-G1109*(M1109-R1108)*IF(E1109="FUTURE",VLOOKUP(MID(I1109,2,2),[1]Futures!$A$2:$B$12,2),1),"")</f>
        <v/>
      </c>
    </row>
    <row r="1110" spans="1:19" x14ac:dyDescent="0.2">
      <c r="A1110">
        <f t="shared" si="53"/>
        <v>341</v>
      </c>
      <c r="B1110" s="3">
        <v>43971</v>
      </c>
      <c r="C1110" s="3" t="str">
        <f t="shared" si="52"/>
        <v>Wednesday</v>
      </c>
      <c r="D1110" s="2">
        <v>0.46032407407407411</v>
      </c>
      <c r="E1110" t="s">
        <v>22</v>
      </c>
      <c r="F1110" t="s">
        <v>15</v>
      </c>
      <c r="G1110">
        <v>-400</v>
      </c>
      <c r="H1110" t="s">
        <v>16</v>
      </c>
      <c r="I1110" t="s">
        <v>23</v>
      </c>
      <c r="L1110" t="s">
        <v>22</v>
      </c>
      <c r="M1110">
        <v>34.162399999999998</v>
      </c>
      <c r="N1110">
        <v>34.162399999999998</v>
      </c>
      <c r="O1110" t="s">
        <v>21</v>
      </c>
      <c r="P1110">
        <f t="shared" si="54"/>
        <v>0</v>
      </c>
      <c r="Q1110" s="11">
        <f>IF(P1110=0,0,IFERROR(Q1109+G1110*M1110*IF(E1110="FUTURE",VLOOKUP(MID(I1110,2,2),[1]Futures!$A$2:$B$12,2),1),G1110*M1110*IF(E1110="FUTURE",VLOOKUP(MID(I1110,2,2),[1]Futures!$A$2:$B$12,2),1)))</f>
        <v>0</v>
      </c>
      <c r="R1110" s="12" t="str">
        <f>IFERROR(Q1110/P1110/IF(E1110="FUTURE",VLOOKUP(MID(I1110,2,2),[1]Futures!$A$2:$B$12,2),1),"")</f>
        <v/>
      </c>
      <c r="S1110" s="13">
        <f>IF(AND(H1110="TO CLOSE",P1110=0),-G1110*(M1110-R1109)*IF(E1110="FUTURE",VLOOKUP(MID(I1110,2,2),[1]Futures!$A$2:$B$12,2),1),"")</f>
        <v>-45.529999999999404</v>
      </c>
    </row>
    <row r="1111" spans="1:19" x14ac:dyDescent="0.2">
      <c r="A1111">
        <f t="shared" si="53"/>
        <v>342</v>
      </c>
      <c r="B1111" s="3">
        <v>43971</v>
      </c>
      <c r="C1111" s="3" t="str">
        <f t="shared" si="52"/>
        <v>Wednesday</v>
      </c>
      <c r="D1111" s="2">
        <v>0.47623842592592597</v>
      </c>
      <c r="E1111" t="s">
        <v>22</v>
      </c>
      <c r="F1111" t="s">
        <v>19</v>
      </c>
      <c r="G1111">
        <v>1</v>
      </c>
      <c r="H1111" t="s">
        <v>20</v>
      </c>
      <c r="I1111" t="s">
        <v>23</v>
      </c>
      <c r="L1111" t="s">
        <v>22</v>
      </c>
      <c r="M1111">
        <v>34.14</v>
      </c>
      <c r="N1111">
        <v>34.14</v>
      </c>
      <c r="O1111" t="s">
        <v>21</v>
      </c>
      <c r="P1111">
        <f t="shared" si="54"/>
        <v>1</v>
      </c>
      <c r="Q1111" s="11">
        <f>IF(P1111=0,0,IFERROR(Q1110+G1111*M1111*IF(E1111="FUTURE",VLOOKUP(MID(I1111,2,2),[1]Futures!$A$2:$B$12,2),1),G1111*M1111*IF(E1111="FUTURE",VLOOKUP(MID(I1111,2,2),[1]Futures!$A$2:$B$12,2),1)))</f>
        <v>34.14</v>
      </c>
      <c r="R1111" s="12">
        <f>IFERROR(Q1111/P1111/IF(E1111="FUTURE",VLOOKUP(MID(I1111,2,2),[1]Futures!$A$2:$B$12,2),1),"")</f>
        <v>34.14</v>
      </c>
      <c r="S1111" s="13" t="str">
        <f>IF(AND(H1111="TO CLOSE",P1111=0),-G1111*(M1111-R1110)*IF(E1111="FUTURE",VLOOKUP(MID(I1111,2,2),[1]Futures!$A$2:$B$12,2),1),"")</f>
        <v/>
      </c>
    </row>
    <row r="1112" spans="1:19" x14ac:dyDescent="0.2">
      <c r="A1112">
        <f t="shared" si="53"/>
        <v>342</v>
      </c>
      <c r="B1112" s="3">
        <v>43971</v>
      </c>
      <c r="C1112" s="3" t="str">
        <f t="shared" si="52"/>
        <v>Wednesday</v>
      </c>
      <c r="D1112" s="2">
        <v>0.47623842592592597</v>
      </c>
      <c r="E1112" t="s">
        <v>22</v>
      </c>
      <c r="F1112" t="s">
        <v>19</v>
      </c>
      <c r="G1112">
        <v>200</v>
      </c>
      <c r="H1112" t="s">
        <v>20</v>
      </c>
      <c r="I1112" t="s">
        <v>23</v>
      </c>
      <c r="L1112" t="s">
        <v>22</v>
      </c>
      <c r="M1112">
        <v>34.14</v>
      </c>
      <c r="N1112">
        <v>34.14</v>
      </c>
      <c r="O1112" t="s">
        <v>21</v>
      </c>
      <c r="P1112">
        <f t="shared" si="54"/>
        <v>201</v>
      </c>
      <c r="Q1112" s="11">
        <f>IF(P1112=0,0,IFERROR(Q1111+G1112*M1112*IF(E1112="FUTURE",VLOOKUP(MID(I1112,2,2),[1]Futures!$A$2:$B$12,2),1),G1112*M1112*IF(E1112="FUTURE",VLOOKUP(MID(I1112,2,2),[1]Futures!$A$2:$B$12,2),1)))</f>
        <v>6862.14</v>
      </c>
      <c r="R1112" s="12">
        <f>IFERROR(Q1112/P1112/IF(E1112="FUTURE",VLOOKUP(MID(I1112,2,2),[1]Futures!$A$2:$B$12,2),1),"")</f>
        <v>34.14</v>
      </c>
      <c r="S1112" s="13" t="str">
        <f>IF(AND(H1112="TO CLOSE",P1112=0),-G1112*(M1112-R1111)*IF(E1112="FUTURE",VLOOKUP(MID(I1112,2,2),[1]Futures!$A$2:$B$12,2),1),"")</f>
        <v/>
      </c>
    </row>
    <row r="1113" spans="1:19" x14ac:dyDescent="0.2">
      <c r="A1113">
        <f t="shared" si="53"/>
        <v>342</v>
      </c>
      <c r="B1113" s="3">
        <v>43971</v>
      </c>
      <c r="C1113" s="3" t="str">
        <f t="shared" si="52"/>
        <v>Wednesday</v>
      </c>
      <c r="D1113" s="2">
        <v>0.47623842592592597</v>
      </c>
      <c r="E1113" t="s">
        <v>22</v>
      </c>
      <c r="F1113" t="s">
        <v>19</v>
      </c>
      <c r="G1113">
        <v>199</v>
      </c>
      <c r="H1113" t="s">
        <v>20</v>
      </c>
      <c r="I1113" t="s">
        <v>23</v>
      </c>
      <c r="L1113" t="s">
        <v>22</v>
      </c>
      <c r="M1113">
        <v>34.14</v>
      </c>
      <c r="N1113">
        <v>34.14</v>
      </c>
      <c r="O1113" t="s">
        <v>21</v>
      </c>
      <c r="P1113">
        <f t="shared" si="54"/>
        <v>400</v>
      </c>
      <c r="Q1113" s="11">
        <f>IF(P1113=0,0,IFERROR(Q1112+G1113*M1113*IF(E1113="FUTURE",VLOOKUP(MID(I1113,2,2),[1]Futures!$A$2:$B$12,2),1),G1113*M1113*IF(E1113="FUTURE",VLOOKUP(MID(I1113,2,2),[1]Futures!$A$2:$B$12,2),1)))</f>
        <v>13656</v>
      </c>
      <c r="R1113" s="12">
        <f>IFERROR(Q1113/P1113/IF(E1113="FUTURE",VLOOKUP(MID(I1113,2,2),[1]Futures!$A$2:$B$12,2),1),"")</f>
        <v>34.14</v>
      </c>
      <c r="S1113" s="13" t="str">
        <f>IF(AND(H1113="TO CLOSE",P1113=0),-G1113*(M1113-R1112)*IF(E1113="FUTURE",VLOOKUP(MID(I1113,2,2),[1]Futures!$A$2:$B$12,2),1),"")</f>
        <v/>
      </c>
    </row>
    <row r="1114" spans="1:19" x14ac:dyDescent="0.2">
      <c r="A1114">
        <f t="shared" si="53"/>
        <v>342</v>
      </c>
      <c r="B1114" s="3">
        <v>43971</v>
      </c>
      <c r="C1114" s="3" t="str">
        <f t="shared" si="52"/>
        <v>Wednesday</v>
      </c>
      <c r="D1114" s="2">
        <v>0.47949074074074072</v>
      </c>
      <c r="E1114" t="s">
        <v>22</v>
      </c>
      <c r="F1114" t="s">
        <v>19</v>
      </c>
      <c r="G1114">
        <v>100</v>
      </c>
      <c r="H1114" t="s">
        <v>20</v>
      </c>
      <c r="I1114" t="s">
        <v>23</v>
      </c>
      <c r="L1114" t="s">
        <v>22</v>
      </c>
      <c r="M1114">
        <v>33.97</v>
      </c>
      <c r="N1114">
        <v>33.97</v>
      </c>
      <c r="O1114" t="s">
        <v>21</v>
      </c>
      <c r="P1114">
        <f t="shared" si="54"/>
        <v>500</v>
      </c>
      <c r="Q1114" s="11">
        <f>IF(P1114=0,0,IFERROR(Q1113+G1114*M1114*IF(E1114="FUTURE",VLOOKUP(MID(I1114,2,2),[1]Futures!$A$2:$B$12,2),1),G1114*M1114*IF(E1114="FUTURE",VLOOKUP(MID(I1114,2,2),[1]Futures!$A$2:$B$12,2),1)))</f>
        <v>17053</v>
      </c>
      <c r="R1114" s="12">
        <f>IFERROR(Q1114/P1114/IF(E1114="FUTURE",VLOOKUP(MID(I1114,2,2),[1]Futures!$A$2:$B$12,2),1),"")</f>
        <v>34.106000000000002</v>
      </c>
      <c r="S1114" s="13" t="str">
        <f>IF(AND(H1114="TO CLOSE",P1114=0),-G1114*(M1114-R1113)*IF(E1114="FUTURE",VLOOKUP(MID(I1114,2,2),[1]Futures!$A$2:$B$12,2),1),"")</f>
        <v/>
      </c>
    </row>
    <row r="1115" spans="1:19" x14ac:dyDescent="0.2">
      <c r="A1115">
        <f t="shared" si="53"/>
        <v>342</v>
      </c>
      <c r="B1115" s="3">
        <v>43971</v>
      </c>
      <c r="C1115" s="3" t="str">
        <f t="shared" si="52"/>
        <v>Wednesday</v>
      </c>
      <c r="D1115" s="2">
        <v>0.50032407407407409</v>
      </c>
      <c r="E1115" t="s">
        <v>22</v>
      </c>
      <c r="F1115" t="s">
        <v>15</v>
      </c>
      <c r="G1115">
        <v>-1</v>
      </c>
      <c r="H1115" t="s">
        <v>16</v>
      </c>
      <c r="I1115" t="s">
        <v>23</v>
      </c>
      <c r="L1115" t="s">
        <v>22</v>
      </c>
      <c r="M1115">
        <v>34.11</v>
      </c>
      <c r="N1115">
        <v>34.11</v>
      </c>
      <c r="O1115" t="s">
        <v>21</v>
      </c>
      <c r="P1115">
        <f t="shared" si="54"/>
        <v>499</v>
      </c>
      <c r="Q1115" s="11">
        <f>IF(P1115=0,0,IFERROR(Q1114+G1115*M1115*IF(E1115="FUTURE",VLOOKUP(MID(I1115,2,2),[1]Futures!$A$2:$B$12,2),1),G1115*M1115*IF(E1115="FUTURE",VLOOKUP(MID(I1115,2,2),[1]Futures!$A$2:$B$12,2),1)))</f>
        <v>17018.89</v>
      </c>
      <c r="R1115" s="12">
        <f>IFERROR(Q1115/P1115/IF(E1115="FUTURE",VLOOKUP(MID(I1115,2,2),[1]Futures!$A$2:$B$12,2),1),"")</f>
        <v>34.105991983967932</v>
      </c>
      <c r="S1115" s="13" t="str">
        <f>IF(AND(H1115="TO CLOSE",P1115=0),-G1115*(M1115-R1114)*IF(E1115="FUTURE",VLOOKUP(MID(I1115,2,2),[1]Futures!$A$2:$B$12,2),1),"")</f>
        <v/>
      </c>
    </row>
    <row r="1116" spans="1:19" x14ac:dyDescent="0.2">
      <c r="A1116">
        <f t="shared" si="53"/>
        <v>342</v>
      </c>
      <c r="B1116" s="3">
        <v>43971</v>
      </c>
      <c r="C1116" s="3" t="str">
        <f t="shared" si="52"/>
        <v>Wednesday</v>
      </c>
      <c r="D1116" s="2">
        <v>0.50033564814814813</v>
      </c>
      <c r="E1116" t="s">
        <v>22</v>
      </c>
      <c r="F1116" t="s">
        <v>15</v>
      </c>
      <c r="G1116">
        <v>-93</v>
      </c>
      <c r="H1116" t="s">
        <v>16</v>
      </c>
      <c r="I1116" t="s">
        <v>23</v>
      </c>
      <c r="L1116" t="s">
        <v>22</v>
      </c>
      <c r="M1116">
        <v>34.11</v>
      </c>
      <c r="N1116">
        <v>34.11</v>
      </c>
      <c r="O1116" t="s">
        <v>21</v>
      </c>
      <c r="P1116">
        <f t="shared" si="54"/>
        <v>406</v>
      </c>
      <c r="Q1116" s="11">
        <f>IF(P1116=0,0,IFERROR(Q1115+G1116*M1116*IF(E1116="FUTURE",VLOOKUP(MID(I1116,2,2),[1]Futures!$A$2:$B$12,2),1),G1116*M1116*IF(E1116="FUTURE",VLOOKUP(MID(I1116,2,2),[1]Futures!$A$2:$B$12,2),1)))</f>
        <v>13846.66</v>
      </c>
      <c r="R1116" s="12">
        <f>IFERROR(Q1116/P1116/IF(E1116="FUTURE",VLOOKUP(MID(I1116,2,2),[1]Futures!$A$2:$B$12,2),1),"")</f>
        <v>34.105073891625615</v>
      </c>
      <c r="S1116" s="13" t="str">
        <f>IF(AND(H1116="TO CLOSE",P1116=0),-G1116*(M1116-R1115)*IF(E1116="FUTURE",VLOOKUP(MID(I1116,2,2),[1]Futures!$A$2:$B$12,2),1),"")</f>
        <v/>
      </c>
    </row>
    <row r="1117" spans="1:19" x14ac:dyDescent="0.2">
      <c r="A1117">
        <f t="shared" si="53"/>
        <v>342</v>
      </c>
      <c r="B1117" s="3">
        <v>43971</v>
      </c>
      <c r="C1117" s="3" t="str">
        <f t="shared" si="52"/>
        <v>Wednesday</v>
      </c>
      <c r="D1117" s="2">
        <v>0.50033564814814813</v>
      </c>
      <c r="E1117" t="s">
        <v>22</v>
      </c>
      <c r="F1117" t="s">
        <v>15</v>
      </c>
      <c r="G1117">
        <v>-100</v>
      </c>
      <c r="H1117" t="s">
        <v>16</v>
      </c>
      <c r="I1117" t="s">
        <v>23</v>
      </c>
      <c r="L1117" t="s">
        <v>22</v>
      </c>
      <c r="M1117">
        <v>34.11</v>
      </c>
      <c r="N1117">
        <v>34.11</v>
      </c>
      <c r="O1117" t="s">
        <v>21</v>
      </c>
      <c r="P1117">
        <f t="shared" si="54"/>
        <v>306</v>
      </c>
      <c r="Q1117" s="11">
        <f>IF(P1117=0,0,IFERROR(Q1116+G1117*M1117*IF(E1117="FUTURE",VLOOKUP(MID(I1117,2,2),[1]Futures!$A$2:$B$12,2),1),G1117*M1117*IF(E1117="FUTURE",VLOOKUP(MID(I1117,2,2),[1]Futures!$A$2:$B$12,2),1)))</f>
        <v>10435.66</v>
      </c>
      <c r="R1117" s="12">
        <f>IFERROR(Q1117/P1117/IF(E1117="FUTURE",VLOOKUP(MID(I1117,2,2),[1]Futures!$A$2:$B$12,2),1),"")</f>
        <v>34.103464052287585</v>
      </c>
      <c r="S1117" s="13" t="str">
        <f>IF(AND(H1117="TO CLOSE",P1117=0),-G1117*(M1117-R1116)*IF(E1117="FUTURE",VLOOKUP(MID(I1117,2,2),[1]Futures!$A$2:$B$12,2),1),"")</f>
        <v/>
      </c>
    </row>
    <row r="1118" spans="1:19" x14ac:dyDescent="0.2">
      <c r="A1118">
        <f t="shared" si="53"/>
        <v>342</v>
      </c>
      <c r="B1118" s="3">
        <v>43971</v>
      </c>
      <c r="C1118" s="3" t="str">
        <f t="shared" si="52"/>
        <v>Wednesday</v>
      </c>
      <c r="D1118" s="2">
        <v>0.50033564814814813</v>
      </c>
      <c r="E1118" t="s">
        <v>22</v>
      </c>
      <c r="F1118" t="s">
        <v>15</v>
      </c>
      <c r="G1118">
        <v>-100</v>
      </c>
      <c r="H1118" t="s">
        <v>16</v>
      </c>
      <c r="I1118" t="s">
        <v>23</v>
      </c>
      <c r="L1118" t="s">
        <v>22</v>
      </c>
      <c r="M1118">
        <v>34.11</v>
      </c>
      <c r="N1118">
        <v>34.11</v>
      </c>
      <c r="O1118" t="s">
        <v>21</v>
      </c>
      <c r="P1118">
        <f t="shared" si="54"/>
        <v>206</v>
      </c>
      <c r="Q1118" s="11">
        <f>IF(P1118=0,0,IFERROR(Q1117+G1118*M1118*IF(E1118="FUTURE",VLOOKUP(MID(I1118,2,2),[1]Futures!$A$2:$B$12,2),1),G1118*M1118*IF(E1118="FUTURE",VLOOKUP(MID(I1118,2,2),[1]Futures!$A$2:$B$12,2),1)))</f>
        <v>7024.66</v>
      </c>
      <c r="R1118" s="12">
        <f>IFERROR(Q1118/P1118/IF(E1118="FUTURE",VLOOKUP(MID(I1118,2,2),[1]Futures!$A$2:$B$12,2),1),"")</f>
        <v>34.100291262135919</v>
      </c>
      <c r="S1118" s="13" t="str">
        <f>IF(AND(H1118="TO CLOSE",P1118=0),-G1118*(M1118-R1117)*IF(E1118="FUTURE",VLOOKUP(MID(I1118,2,2),[1]Futures!$A$2:$B$12,2),1),"")</f>
        <v/>
      </c>
    </row>
    <row r="1119" spans="1:19" x14ac:dyDescent="0.2">
      <c r="A1119">
        <f t="shared" si="53"/>
        <v>342</v>
      </c>
      <c r="B1119" s="3">
        <v>43971</v>
      </c>
      <c r="C1119" s="3" t="str">
        <f t="shared" si="52"/>
        <v>Wednesday</v>
      </c>
      <c r="D1119" s="2">
        <v>0.50033564814814813</v>
      </c>
      <c r="E1119" t="s">
        <v>22</v>
      </c>
      <c r="F1119" t="s">
        <v>15</v>
      </c>
      <c r="G1119">
        <v>-106</v>
      </c>
      <c r="H1119" t="s">
        <v>16</v>
      </c>
      <c r="I1119" t="s">
        <v>23</v>
      </c>
      <c r="L1119" t="s">
        <v>22</v>
      </c>
      <c r="M1119">
        <v>34.11</v>
      </c>
      <c r="N1119">
        <v>34.11</v>
      </c>
      <c r="O1119" t="s">
        <v>21</v>
      </c>
      <c r="P1119">
        <f t="shared" si="54"/>
        <v>100</v>
      </c>
      <c r="Q1119" s="11">
        <f>IF(P1119=0,0,IFERROR(Q1118+G1119*M1119*IF(E1119="FUTURE",VLOOKUP(MID(I1119,2,2),[1]Futures!$A$2:$B$12,2),1),G1119*M1119*IF(E1119="FUTURE",VLOOKUP(MID(I1119,2,2),[1]Futures!$A$2:$B$12,2),1)))</f>
        <v>3409</v>
      </c>
      <c r="R1119" s="12">
        <f>IFERROR(Q1119/P1119/IF(E1119="FUTURE",VLOOKUP(MID(I1119,2,2),[1]Futures!$A$2:$B$12,2),1),"")</f>
        <v>34.090000000000003</v>
      </c>
      <c r="S1119" s="13" t="str">
        <f>IF(AND(H1119="TO CLOSE",P1119=0),-G1119*(M1119-R1118)*IF(E1119="FUTURE",VLOOKUP(MID(I1119,2,2),[1]Futures!$A$2:$B$12,2),1),"")</f>
        <v/>
      </c>
    </row>
    <row r="1120" spans="1:19" x14ac:dyDescent="0.2">
      <c r="A1120">
        <f t="shared" si="53"/>
        <v>342</v>
      </c>
      <c r="B1120" s="3">
        <v>43971</v>
      </c>
      <c r="C1120" s="3" t="str">
        <f t="shared" si="52"/>
        <v>Wednesday</v>
      </c>
      <c r="D1120" s="2">
        <v>0.50033564814814813</v>
      </c>
      <c r="E1120" t="s">
        <v>22</v>
      </c>
      <c r="F1120" t="s">
        <v>15</v>
      </c>
      <c r="G1120">
        <v>-100</v>
      </c>
      <c r="H1120" t="s">
        <v>16</v>
      </c>
      <c r="I1120" t="s">
        <v>23</v>
      </c>
      <c r="L1120" t="s">
        <v>22</v>
      </c>
      <c r="M1120">
        <v>34.11</v>
      </c>
      <c r="N1120">
        <v>34.11</v>
      </c>
      <c r="O1120" t="s">
        <v>21</v>
      </c>
      <c r="P1120">
        <f t="shared" si="54"/>
        <v>0</v>
      </c>
      <c r="Q1120" s="11">
        <f>IF(P1120=0,0,IFERROR(Q1119+G1120*M1120*IF(E1120="FUTURE",VLOOKUP(MID(I1120,2,2),[1]Futures!$A$2:$B$12,2),1),G1120*M1120*IF(E1120="FUTURE",VLOOKUP(MID(I1120,2,2),[1]Futures!$A$2:$B$12,2),1)))</f>
        <v>0</v>
      </c>
      <c r="R1120" s="12" t="str">
        <f>IFERROR(Q1120/P1120/IF(E1120="FUTURE",VLOOKUP(MID(I1120,2,2),[1]Futures!$A$2:$B$12,2),1),"")</f>
        <v/>
      </c>
      <c r="S1120" s="13">
        <f>IF(AND(H1120="TO CLOSE",P1120=0),-G1120*(M1120-R1119)*IF(E1120="FUTURE",VLOOKUP(MID(I1120,2,2),[1]Futures!$A$2:$B$12,2),1),"")</f>
        <v>1.9999999999996021</v>
      </c>
    </row>
    <row r="1121" spans="1:19" x14ac:dyDescent="0.2">
      <c r="A1121">
        <f t="shared" si="53"/>
        <v>343</v>
      </c>
      <c r="B1121" s="3">
        <v>43971</v>
      </c>
      <c r="C1121" s="3" t="str">
        <f t="shared" si="52"/>
        <v>Wednesday</v>
      </c>
      <c r="D1121" s="2">
        <v>0.51408564814814817</v>
      </c>
      <c r="E1121" t="s">
        <v>22</v>
      </c>
      <c r="F1121" t="s">
        <v>15</v>
      </c>
      <c r="G1121">
        <v>-300</v>
      </c>
      <c r="H1121" t="s">
        <v>20</v>
      </c>
      <c r="I1121" t="s">
        <v>23</v>
      </c>
      <c r="L1121" t="s">
        <v>22</v>
      </c>
      <c r="M1121">
        <v>34.615000000000002</v>
      </c>
      <c r="N1121">
        <v>34.615000000000002</v>
      </c>
      <c r="O1121" t="s">
        <v>24</v>
      </c>
      <c r="P1121">
        <f t="shared" si="54"/>
        <v>-300</v>
      </c>
      <c r="Q1121" s="11">
        <f>IF(P1121=0,0,IFERROR(Q1120+G1121*M1121*IF(E1121="FUTURE",VLOOKUP(MID(I1121,2,2),[1]Futures!$A$2:$B$12,2),1),G1121*M1121*IF(E1121="FUTURE",VLOOKUP(MID(I1121,2,2),[1]Futures!$A$2:$B$12,2),1)))</f>
        <v>-10384.5</v>
      </c>
      <c r="R1121" s="12">
        <f>IFERROR(Q1121/P1121/IF(E1121="FUTURE",VLOOKUP(MID(I1121,2,2),[1]Futures!$A$2:$B$12,2),1),"")</f>
        <v>34.615000000000002</v>
      </c>
      <c r="S1121" s="13" t="str">
        <f>IF(AND(H1121="TO CLOSE",P1121=0),-G1121*(M1121-R1120)*IF(E1121="FUTURE",VLOOKUP(MID(I1121,2,2),[1]Futures!$A$2:$B$12,2),1),"")</f>
        <v/>
      </c>
    </row>
    <row r="1122" spans="1:19" x14ac:dyDescent="0.2">
      <c r="A1122">
        <f t="shared" si="53"/>
        <v>343</v>
      </c>
      <c r="B1122" s="3">
        <v>43971</v>
      </c>
      <c r="C1122" s="3" t="str">
        <f t="shared" si="52"/>
        <v>Wednesday</v>
      </c>
      <c r="D1122" s="2">
        <v>0.51670138888888884</v>
      </c>
      <c r="E1122" t="s">
        <v>22</v>
      </c>
      <c r="F1122" t="s">
        <v>15</v>
      </c>
      <c r="G1122">
        <v>-100</v>
      </c>
      <c r="H1122" t="s">
        <v>20</v>
      </c>
      <c r="I1122" t="s">
        <v>23</v>
      </c>
      <c r="L1122" t="s">
        <v>22</v>
      </c>
      <c r="M1122">
        <v>34.741</v>
      </c>
      <c r="N1122">
        <v>34.741</v>
      </c>
      <c r="O1122" t="s">
        <v>24</v>
      </c>
      <c r="P1122">
        <f t="shared" si="54"/>
        <v>-400</v>
      </c>
      <c r="Q1122" s="11">
        <f>IF(P1122=0,0,IFERROR(Q1121+G1122*M1122*IF(E1122="FUTURE",VLOOKUP(MID(I1122,2,2),[1]Futures!$A$2:$B$12,2),1),G1122*M1122*IF(E1122="FUTURE",VLOOKUP(MID(I1122,2,2),[1]Futures!$A$2:$B$12,2),1)))</f>
        <v>-13858.6</v>
      </c>
      <c r="R1122" s="12">
        <f>IFERROR(Q1122/P1122/IF(E1122="FUTURE",VLOOKUP(MID(I1122,2,2),[1]Futures!$A$2:$B$12,2),1),"")</f>
        <v>34.646500000000003</v>
      </c>
      <c r="S1122" s="13" t="str">
        <f>IF(AND(H1122="TO CLOSE",P1122=0),-G1122*(M1122-R1121)*IF(E1122="FUTURE",VLOOKUP(MID(I1122,2,2),[1]Futures!$A$2:$B$12,2),1),"")</f>
        <v/>
      </c>
    </row>
    <row r="1123" spans="1:19" x14ac:dyDescent="0.2">
      <c r="A1123">
        <f t="shared" si="53"/>
        <v>343</v>
      </c>
      <c r="B1123" s="3">
        <v>43971</v>
      </c>
      <c r="C1123" s="3" t="str">
        <f t="shared" si="52"/>
        <v>Wednesday</v>
      </c>
      <c r="D1123" s="2">
        <v>0.51981481481481484</v>
      </c>
      <c r="E1123" t="s">
        <v>22</v>
      </c>
      <c r="F1123" t="s">
        <v>19</v>
      </c>
      <c r="G1123">
        <v>400</v>
      </c>
      <c r="H1123" t="s">
        <v>16</v>
      </c>
      <c r="I1123" t="s">
        <v>23</v>
      </c>
      <c r="L1123" t="s">
        <v>22</v>
      </c>
      <c r="M1123">
        <v>34.619999999999997</v>
      </c>
      <c r="N1123">
        <v>34.619999999999997</v>
      </c>
      <c r="O1123" t="s">
        <v>21</v>
      </c>
      <c r="P1123">
        <f t="shared" si="54"/>
        <v>0</v>
      </c>
      <c r="Q1123" s="11">
        <f>IF(P1123=0,0,IFERROR(Q1122+G1123*M1123*IF(E1123="FUTURE",VLOOKUP(MID(I1123,2,2),[1]Futures!$A$2:$B$12,2),1),G1123*M1123*IF(E1123="FUTURE",VLOOKUP(MID(I1123,2,2),[1]Futures!$A$2:$B$12,2),1)))</f>
        <v>0</v>
      </c>
      <c r="R1123" s="12" t="str">
        <f>IFERROR(Q1123/P1123/IF(E1123="FUTURE",VLOOKUP(MID(I1123,2,2),[1]Futures!$A$2:$B$12,2),1),"")</f>
        <v/>
      </c>
      <c r="S1123" s="13">
        <f>IF(AND(H1123="TO CLOSE",P1123=0),-G1123*(M1123-R1122)*IF(E1123="FUTURE",VLOOKUP(MID(I1123,2,2),[1]Futures!$A$2:$B$12,2),1),"")</f>
        <v>10.600000000002296</v>
      </c>
    </row>
    <row r="1124" spans="1:19" x14ac:dyDescent="0.2">
      <c r="A1124">
        <f t="shared" si="53"/>
        <v>344</v>
      </c>
      <c r="B1124" s="3">
        <v>43971</v>
      </c>
      <c r="C1124" s="3" t="str">
        <f t="shared" si="52"/>
        <v>Wednesday</v>
      </c>
      <c r="D1124" s="2">
        <v>0.53060185185185182</v>
      </c>
      <c r="E1124" t="s">
        <v>22</v>
      </c>
      <c r="F1124" t="s">
        <v>19</v>
      </c>
      <c r="G1124">
        <v>200</v>
      </c>
      <c r="H1124" t="s">
        <v>20</v>
      </c>
      <c r="I1124" t="s">
        <v>23</v>
      </c>
      <c r="L1124" t="s">
        <v>22</v>
      </c>
      <c r="M1124">
        <v>34.8491</v>
      </c>
      <c r="N1124">
        <v>34.8491</v>
      </c>
      <c r="O1124" t="s">
        <v>24</v>
      </c>
      <c r="P1124">
        <f t="shared" si="54"/>
        <v>200</v>
      </c>
      <c r="Q1124" s="11">
        <f>IF(P1124=0,0,IFERROR(Q1123+G1124*M1124*IF(E1124="FUTURE",VLOOKUP(MID(I1124,2,2),[1]Futures!$A$2:$B$12,2),1),G1124*M1124*IF(E1124="FUTURE",VLOOKUP(MID(I1124,2,2),[1]Futures!$A$2:$B$12,2),1)))</f>
        <v>6969.82</v>
      </c>
      <c r="R1124" s="12">
        <f>IFERROR(Q1124/P1124/IF(E1124="FUTURE",VLOOKUP(MID(I1124,2,2),[1]Futures!$A$2:$B$12,2),1),"")</f>
        <v>34.8491</v>
      </c>
      <c r="S1124" s="13" t="str">
        <f>IF(AND(H1124="TO CLOSE",P1124=0),-G1124*(M1124-R1123)*IF(E1124="FUTURE",VLOOKUP(MID(I1124,2,2),[1]Futures!$A$2:$B$12,2),1),"")</f>
        <v/>
      </c>
    </row>
    <row r="1125" spans="1:19" x14ac:dyDescent="0.2">
      <c r="A1125">
        <f t="shared" si="53"/>
        <v>344</v>
      </c>
      <c r="B1125" s="3">
        <v>43971</v>
      </c>
      <c r="C1125" s="3" t="str">
        <f t="shared" si="52"/>
        <v>Wednesday</v>
      </c>
      <c r="D1125" s="2">
        <v>0.54078703703703701</v>
      </c>
      <c r="E1125" t="s">
        <v>22</v>
      </c>
      <c r="F1125" t="s">
        <v>15</v>
      </c>
      <c r="G1125">
        <v>-100</v>
      </c>
      <c r="H1125" t="s">
        <v>16</v>
      </c>
      <c r="I1125" t="s">
        <v>23</v>
      </c>
      <c r="L1125" t="s">
        <v>22</v>
      </c>
      <c r="M1125">
        <v>34.555</v>
      </c>
      <c r="N1125">
        <v>34.555</v>
      </c>
      <c r="O1125" t="s">
        <v>24</v>
      </c>
      <c r="P1125">
        <f t="shared" si="54"/>
        <v>100</v>
      </c>
      <c r="Q1125" s="11">
        <f>IF(P1125=0,0,IFERROR(Q1124+G1125*M1125*IF(E1125="FUTURE",VLOOKUP(MID(I1125,2,2),[1]Futures!$A$2:$B$12,2),1),G1125*M1125*IF(E1125="FUTURE",VLOOKUP(MID(I1125,2,2),[1]Futures!$A$2:$B$12,2),1)))</f>
        <v>3514.3199999999997</v>
      </c>
      <c r="R1125" s="12">
        <f>IFERROR(Q1125/P1125/IF(E1125="FUTURE",VLOOKUP(MID(I1125,2,2),[1]Futures!$A$2:$B$12,2),1),"")</f>
        <v>35.1432</v>
      </c>
      <c r="S1125" s="13" t="str">
        <f>IF(AND(H1125="TO CLOSE",P1125=0),-G1125*(M1125-R1124)*IF(E1125="FUTURE",VLOOKUP(MID(I1125,2,2),[1]Futures!$A$2:$B$12,2),1),"")</f>
        <v/>
      </c>
    </row>
    <row r="1126" spans="1:19" x14ac:dyDescent="0.2">
      <c r="A1126">
        <f t="shared" si="53"/>
        <v>344</v>
      </c>
      <c r="B1126" s="3">
        <v>43971</v>
      </c>
      <c r="C1126" s="3" t="str">
        <f t="shared" si="52"/>
        <v>Wednesday</v>
      </c>
      <c r="D1126" s="2">
        <v>0.54078703703703701</v>
      </c>
      <c r="E1126" t="s">
        <v>22</v>
      </c>
      <c r="F1126" t="s">
        <v>15</v>
      </c>
      <c r="G1126">
        <v>-100</v>
      </c>
      <c r="H1126" t="s">
        <v>16</v>
      </c>
      <c r="I1126" t="s">
        <v>23</v>
      </c>
      <c r="L1126" t="s">
        <v>22</v>
      </c>
      <c r="M1126">
        <v>34.555</v>
      </c>
      <c r="N1126">
        <v>34.555</v>
      </c>
      <c r="O1126" t="s">
        <v>24</v>
      </c>
      <c r="P1126">
        <f t="shared" si="54"/>
        <v>0</v>
      </c>
      <c r="Q1126" s="11">
        <f>IF(P1126=0,0,IFERROR(Q1125+G1126*M1126*IF(E1126="FUTURE",VLOOKUP(MID(I1126,2,2),[1]Futures!$A$2:$B$12,2),1),G1126*M1126*IF(E1126="FUTURE",VLOOKUP(MID(I1126,2,2),[1]Futures!$A$2:$B$12,2),1)))</f>
        <v>0</v>
      </c>
      <c r="R1126" s="12" t="str">
        <f>IFERROR(Q1126/P1126/IF(E1126="FUTURE",VLOOKUP(MID(I1126,2,2),[1]Futures!$A$2:$B$12,2),1),"")</f>
        <v/>
      </c>
      <c r="S1126" s="13">
        <f>IF(AND(H1126="TO CLOSE",P1126=0),-G1126*(M1126-R1125)*IF(E1126="FUTURE",VLOOKUP(MID(I1126,2,2),[1]Futures!$A$2:$B$12,2),1),"")</f>
        <v>-58.82000000000005</v>
      </c>
    </row>
    <row r="1127" spans="1:19" x14ac:dyDescent="0.2">
      <c r="A1127">
        <f t="shared" si="53"/>
        <v>345</v>
      </c>
      <c r="B1127" s="3">
        <v>43972</v>
      </c>
      <c r="C1127" s="3" t="str">
        <f t="shared" si="52"/>
        <v>Thursday</v>
      </c>
      <c r="D1127" s="2">
        <v>0.43678240740740737</v>
      </c>
      <c r="E1127" t="s">
        <v>14</v>
      </c>
      <c r="F1127" t="s">
        <v>15</v>
      </c>
      <c r="G1127">
        <v>-1</v>
      </c>
      <c r="H1127" t="s">
        <v>20</v>
      </c>
      <c r="I1127" t="s">
        <v>77</v>
      </c>
      <c r="J1127" s="1">
        <v>44063</v>
      </c>
      <c r="L1127" t="s">
        <v>14</v>
      </c>
      <c r="M1127">
        <v>34.75</v>
      </c>
      <c r="N1127">
        <v>34.75</v>
      </c>
      <c r="O1127" t="s">
        <v>21</v>
      </c>
      <c r="P1127">
        <f t="shared" si="54"/>
        <v>-1</v>
      </c>
      <c r="Q1127" s="11">
        <f>IF(P1127=0,0,IFERROR(Q1126+G1127*M1127*IF(E1127="FUTURE",VLOOKUP(MID(I1127,2,2),[1]Futures!$A$2:$B$12,2),1),G1127*M1127*IF(E1127="FUTURE",VLOOKUP(MID(I1127,2,2),[1]Futures!$A$2:$B$12,2),1)))</f>
        <v>-34750</v>
      </c>
      <c r="R1127" s="12">
        <f>IFERROR(Q1127/P1127/IF(E1127="FUTURE",VLOOKUP(MID(I1127,2,2),[1]Futures!$A$2:$B$12,2),1),"")</f>
        <v>34.75</v>
      </c>
      <c r="S1127" s="13" t="str">
        <f>IF(AND(H1127="TO CLOSE",P1127=0),-G1127*(M1127-R1126)*IF(E1127="FUTURE",VLOOKUP(MID(I1127,2,2),[1]Futures!$A$2:$B$12,2),1),"")</f>
        <v/>
      </c>
    </row>
    <row r="1128" spans="1:19" x14ac:dyDescent="0.2">
      <c r="A1128">
        <f t="shared" si="53"/>
        <v>345</v>
      </c>
      <c r="B1128" s="3">
        <v>43972</v>
      </c>
      <c r="C1128" s="3" t="str">
        <f t="shared" si="52"/>
        <v>Thursday</v>
      </c>
      <c r="D1128" s="2">
        <v>0.44209490740740742</v>
      </c>
      <c r="E1128" t="s">
        <v>14</v>
      </c>
      <c r="F1128" t="s">
        <v>19</v>
      </c>
      <c r="G1128">
        <v>1</v>
      </c>
      <c r="H1128" t="s">
        <v>16</v>
      </c>
      <c r="I1128" t="s">
        <v>77</v>
      </c>
      <c r="J1128" s="1">
        <v>44063</v>
      </c>
      <c r="L1128" t="s">
        <v>14</v>
      </c>
      <c r="M1128">
        <v>34.700000000000003</v>
      </c>
      <c r="N1128">
        <v>34.700000000000003</v>
      </c>
      <c r="O1128" t="s">
        <v>21</v>
      </c>
      <c r="P1128">
        <f t="shared" si="54"/>
        <v>0</v>
      </c>
      <c r="Q1128" s="11">
        <f>IF(P1128=0,0,IFERROR(Q1127+G1128*M1128*IF(E1128="FUTURE",VLOOKUP(MID(I1128,2,2),[1]Futures!$A$2:$B$12,2),1),G1128*M1128*IF(E1128="FUTURE",VLOOKUP(MID(I1128,2,2),[1]Futures!$A$2:$B$12,2),1)))</f>
        <v>0</v>
      </c>
      <c r="R1128" s="12" t="str">
        <f>IFERROR(Q1128/P1128/IF(E1128="FUTURE",VLOOKUP(MID(I1128,2,2),[1]Futures!$A$2:$B$12,2),1),"")</f>
        <v/>
      </c>
      <c r="S1128" s="13">
        <f>IF(AND(H1128="TO CLOSE",P1128=0),-G1128*(M1128-R1127)*IF(E1128="FUTURE",VLOOKUP(MID(I1128,2,2),[1]Futures!$A$2:$B$12,2),1),"")</f>
        <v>49.999999999997158</v>
      </c>
    </row>
    <row r="1129" spans="1:19" x14ac:dyDescent="0.2">
      <c r="A1129">
        <f t="shared" si="53"/>
        <v>346</v>
      </c>
      <c r="B1129" s="3">
        <v>43972</v>
      </c>
      <c r="C1129" s="3" t="str">
        <f t="shared" si="52"/>
        <v>Thursday</v>
      </c>
      <c r="D1129" s="2">
        <v>0.44723379629629628</v>
      </c>
      <c r="E1129" t="s">
        <v>14</v>
      </c>
      <c r="F1129" t="s">
        <v>15</v>
      </c>
      <c r="G1129">
        <v>-1</v>
      </c>
      <c r="H1129" t="s">
        <v>20</v>
      </c>
      <c r="I1129" t="s">
        <v>77</v>
      </c>
      <c r="J1129" s="1">
        <v>44063</v>
      </c>
      <c r="L1129" t="s">
        <v>14</v>
      </c>
      <c r="M1129">
        <v>34.46</v>
      </c>
      <c r="N1129">
        <v>34.46</v>
      </c>
      <c r="O1129" t="s">
        <v>21</v>
      </c>
      <c r="P1129">
        <f t="shared" si="54"/>
        <v>-1</v>
      </c>
      <c r="Q1129" s="11">
        <f>IF(P1129=0,0,IFERROR(Q1128+G1129*M1129*IF(E1129="FUTURE",VLOOKUP(MID(I1129,2,2),[1]Futures!$A$2:$B$12,2),1),G1129*M1129*IF(E1129="FUTURE",VLOOKUP(MID(I1129,2,2),[1]Futures!$A$2:$B$12,2),1)))</f>
        <v>-34460</v>
      </c>
      <c r="R1129" s="12">
        <f>IFERROR(Q1129/P1129/IF(E1129="FUTURE",VLOOKUP(MID(I1129,2,2),[1]Futures!$A$2:$B$12,2),1),"")</f>
        <v>34.46</v>
      </c>
      <c r="S1129" s="13" t="str">
        <f>IF(AND(H1129="TO CLOSE",P1129=0),-G1129*(M1129-R1128)*IF(E1129="FUTURE",VLOOKUP(MID(I1129,2,2),[1]Futures!$A$2:$B$12,2),1),"")</f>
        <v/>
      </c>
    </row>
    <row r="1130" spans="1:19" x14ac:dyDescent="0.2">
      <c r="A1130">
        <f t="shared" si="53"/>
        <v>346</v>
      </c>
      <c r="B1130" s="3">
        <v>43972</v>
      </c>
      <c r="C1130" s="3" t="str">
        <f t="shared" si="52"/>
        <v>Thursday</v>
      </c>
      <c r="D1130" s="2">
        <v>0.4475925925925926</v>
      </c>
      <c r="E1130" t="s">
        <v>14</v>
      </c>
      <c r="F1130" t="s">
        <v>19</v>
      </c>
      <c r="G1130">
        <v>1</v>
      </c>
      <c r="H1130" t="s">
        <v>16</v>
      </c>
      <c r="I1130" t="s">
        <v>77</v>
      </c>
      <c r="J1130" s="1">
        <v>44063</v>
      </c>
      <c r="L1130" t="s">
        <v>14</v>
      </c>
      <c r="M1130">
        <v>34.450000000000003</v>
      </c>
      <c r="N1130">
        <v>34.450000000000003</v>
      </c>
      <c r="O1130" t="s">
        <v>18</v>
      </c>
      <c r="P1130">
        <f t="shared" si="54"/>
        <v>0</v>
      </c>
      <c r="Q1130" s="11">
        <f>IF(P1130=0,0,IFERROR(Q1129+G1130*M1130*IF(E1130="FUTURE",VLOOKUP(MID(I1130,2,2),[1]Futures!$A$2:$B$12,2),1),G1130*M1130*IF(E1130="FUTURE",VLOOKUP(MID(I1130,2,2),[1]Futures!$A$2:$B$12,2),1)))</f>
        <v>0</v>
      </c>
      <c r="R1130" s="12" t="str">
        <f>IFERROR(Q1130/P1130/IF(E1130="FUTURE",VLOOKUP(MID(I1130,2,2),[1]Futures!$A$2:$B$12,2),1),"")</f>
        <v/>
      </c>
      <c r="S1130" s="13">
        <f>IF(AND(H1130="TO CLOSE",P1130=0),-G1130*(M1130-R1129)*IF(E1130="FUTURE",VLOOKUP(MID(I1130,2,2),[1]Futures!$A$2:$B$12,2),1),"")</f>
        <v>9.9999999999980105</v>
      </c>
    </row>
    <row r="1131" spans="1:19" x14ac:dyDescent="0.2">
      <c r="A1131">
        <f t="shared" si="53"/>
        <v>347</v>
      </c>
      <c r="B1131" s="3">
        <v>43972</v>
      </c>
      <c r="C1131" s="3" t="str">
        <f t="shared" si="52"/>
        <v>Thursday</v>
      </c>
      <c r="D1131" s="2">
        <v>0.54893518518518525</v>
      </c>
      <c r="E1131" t="s">
        <v>14</v>
      </c>
      <c r="F1131" t="s">
        <v>19</v>
      </c>
      <c r="G1131">
        <v>1</v>
      </c>
      <c r="H1131" t="s">
        <v>20</v>
      </c>
      <c r="I1131" t="s">
        <v>77</v>
      </c>
      <c r="J1131" s="1">
        <v>44063</v>
      </c>
      <c r="L1131" t="s">
        <v>14</v>
      </c>
      <c r="M1131">
        <v>34.200000000000003</v>
      </c>
      <c r="N1131">
        <v>34.200000000000003</v>
      </c>
      <c r="O1131" t="s">
        <v>24</v>
      </c>
      <c r="P1131">
        <f t="shared" si="54"/>
        <v>1</v>
      </c>
      <c r="Q1131" s="11">
        <f>IF(P1131=0,0,IFERROR(Q1130+G1131*M1131*IF(E1131="FUTURE",VLOOKUP(MID(I1131,2,2),[1]Futures!$A$2:$B$12,2),1),G1131*M1131*IF(E1131="FUTURE",VLOOKUP(MID(I1131,2,2),[1]Futures!$A$2:$B$12,2),1)))</f>
        <v>34200</v>
      </c>
      <c r="R1131" s="12">
        <f>IFERROR(Q1131/P1131/IF(E1131="FUTURE",VLOOKUP(MID(I1131,2,2),[1]Futures!$A$2:$B$12,2),1),"")</f>
        <v>34.200000000000003</v>
      </c>
      <c r="S1131" s="13" t="str">
        <f>IF(AND(H1131="TO CLOSE",P1131=0),-G1131*(M1131-R1130)*IF(E1131="FUTURE",VLOOKUP(MID(I1131,2,2),[1]Futures!$A$2:$B$12,2),1),"")</f>
        <v/>
      </c>
    </row>
    <row r="1132" spans="1:19" x14ac:dyDescent="0.2">
      <c r="A1132">
        <f t="shared" si="53"/>
        <v>347</v>
      </c>
      <c r="B1132" s="3">
        <v>43972</v>
      </c>
      <c r="C1132" s="3" t="str">
        <f t="shared" si="52"/>
        <v>Thursday</v>
      </c>
      <c r="D1132" s="2">
        <v>0.55765046296296295</v>
      </c>
      <c r="E1132" t="s">
        <v>14</v>
      </c>
      <c r="F1132" t="s">
        <v>19</v>
      </c>
      <c r="G1132">
        <v>1</v>
      </c>
      <c r="H1132" t="s">
        <v>20</v>
      </c>
      <c r="I1132" t="s">
        <v>77</v>
      </c>
      <c r="J1132" s="1">
        <v>44063</v>
      </c>
      <c r="L1132" t="s">
        <v>14</v>
      </c>
      <c r="M1132">
        <v>33.93</v>
      </c>
      <c r="N1132">
        <v>33.93</v>
      </c>
      <c r="O1132" t="s">
        <v>21</v>
      </c>
      <c r="P1132">
        <f t="shared" si="54"/>
        <v>2</v>
      </c>
      <c r="Q1132" s="11">
        <f>IF(P1132=0,0,IFERROR(Q1131+G1132*M1132*IF(E1132="FUTURE",VLOOKUP(MID(I1132,2,2),[1]Futures!$A$2:$B$12,2),1),G1132*M1132*IF(E1132="FUTURE",VLOOKUP(MID(I1132,2,2),[1]Futures!$A$2:$B$12,2),1)))</f>
        <v>68130</v>
      </c>
      <c r="R1132" s="12">
        <f>IFERROR(Q1132/P1132/IF(E1132="FUTURE",VLOOKUP(MID(I1132,2,2),[1]Futures!$A$2:$B$12,2),1),"")</f>
        <v>34.064999999999998</v>
      </c>
      <c r="S1132" s="13" t="str">
        <f>IF(AND(H1132="TO CLOSE",P1132=0),-G1132*(M1132-R1131)*IF(E1132="FUTURE",VLOOKUP(MID(I1132,2,2),[1]Futures!$A$2:$B$12,2),1),"")</f>
        <v/>
      </c>
    </row>
    <row r="1133" spans="1:19" x14ac:dyDescent="0.2">
      <c r="A1133">
        <f t="shared" si="53"/>
        <v>347</v>
      </c>
      <c r="B1133" s="3">
        <v>43972</v>
      </c>
      <c r="C1133" s="3" t="str">
        <f t="shared" si="52"/>
        <v>Thursday</v>
      </c>
      <c r="D1133" s="2">
        <v>0.55803240740740734</v>
      </c>
      <c r="E1133" t="s">
        <v>14</v>
      </c>
      <c r="F1133" t="s">
        <v>15</v>
      </c>
      <c r="G1133">
        <v>-1</v>
      </c>
      <c r="H1133" t="s">
        <v>16</v>
      </c>
      <c r="I1133" t="s">
        <v>77</v>
      </c>
      <c r="J1133" s="1">
        <v>44063</v>
      </c>
      <c r="L1133" t="s">
        <v>14</v>
      </c>
      <c r="M1133">
        <v>33.99</v>
      </c>
      <c r="N1133">
        <v>33.99</v>
      </c>
      <c r="O1133" t="s">
        <v>21</v>
      </c>
      <c r="P1133">
        <f t="shared" si="54"/>
        <v>1</v>
      </c>
      <c r="Q1133" s="11">
        <f>IF(P1133=0,0,IFERROR(Q1132+G1133*M1133*IF(E1133="FUTURE",VLOOKUP(MID(I1133,2,2),[1]Futures!$A$2:$B$12,2),1),G1133*M1133*IF(E1133="FUTURE",VLOOKUP(MID(I1133,2,2),[1]Futures!$A$2:$B$12,2),1)))</f>
        <v>34140</v>
      </c>
      <c r="R1133" s="12">
        <f>IFERROR(Q1133/P1133/IF(E1133="FUTURE",VLOOKUP(MID(I1133,2,2),[1]Futures!$A$2:$B$12,2),1),"")</f>
        <v>34.14</v>
      </c>
      <c r="S1133" s="13" t="str">
        <f>IF(AND(H1133="TO CLOSE",P1133=0),-G1133*(M1133-R1132)*IF(E1133="FUTURE",VLOOKUP(MID(I1133,2,2),[1]Futures!$A$2:$B$12,2),1),"")</f>
        <v/>
      </c>
    </row>
    <row r="1134" spans="1:19" x14ac:dyDescent="0.2">
      <c r="A1134">
        <f t="shared" si="53"/>
        <v>347</v>
      </c>
      <c r="B1134" s="3">
        <v>43972</v>
      </c>
      <c r="C1134" s="3" t="str">
        <f t="shared" si="52"/>
        <v>Thursday</v>
      </c>
      <c r="D1134" s="2">
        <v>0.56631944444444449</v>
      </c>
      <c r="E1134" t="s">
        <v>14</v>
      </c>
      <c r="F1134" t="s">
        <v>15</v>
      </c>
      <c r="G1134">
        <v>-1</v>
      </c>
      <c r="H1134" t="s">
        <v>16</v>
      </c>
      <c r="I1134" t="s">
        <v>77</v>
      </c>
      <c r="J1134" s="1">
        <v>44063</v>
      </c>
      <c r="L1134" t="s">
        <v>14</v>
      </c>
      <c r="M1134">
        <v>34.22</v>
      </c>
      <c r="N1134">
        <v>34.22</v>
      </c>
      <c r="O1134" t="s">
        <v>24</v>
      </c>
      <c r="P1134">
        <f t="shared" si="54"/>
        <v>0</v>
      </c>
      <c r="Q1134" s="11">
        <f>IF(P1134=0,0,IFERROR(Q1133+G1134*M1134*IF(E1134="FUTURE",VLOOKUP(MID(I1134,2,2),[1]Futures!$A$2:$B$12,2),1),G1134*M1134*IF(E1134="FUTURE",VLOOKUP(MID(I1134,2,2),[1]Futures!$A$2:$B$12,2),1)))</f>
        <v>0</v>
      </c>
      <c r="R1134" s="12" t="str">
        <f>IFERROR(Q1134/P1134/IF(E1134="FUTURE",VLOOKUP(MID(I1134,2,2),[1]Futures!$A$2:$B$12,2),1),"")</f>
        <v/>
      </c>
      <c r="S1134" s="13">
        <f>IF(AND(H1134="TO CLOSE",P1134=0),-G1134*(M1134-R1133)*IF(E1134="FUTURE",VLOOKUP(MID(I1134,2,2),[1]Futures!$A$2:$B$12,2),1),"")</f>
        <v>79.999999999998295</v>
      </c>
    </row>
    <row r="1135" spans="1:19" x14ac:dyDescent="0.2">
      <c r="A1135">
        <f t="shared" si="53"/>
        <v>348</v>
      </c>
      <c r="B1135" s="3">
        <v>43972</v>
      </c>
      <c r="C1135" s="3" t="str">
        <f t="shared" si="52"/>
        <v>Thursday</v>
      </c>
      <c r="D1135" s="2">
        <v>0.44812500000000005</v>
      </c>
      <c r="E1135" t="s">
        <v>14</v>
      </c>
      <c r="F1135" t="s">
        <v>15</v>
      </c>
      <c r="G1135">
        <v>-1</v>
      </c>
      <c r="H1135" t="s">
        <v>20</v>
      </c>
      <c r="I1135" t="s">
        <v>17</v>
      </c>
      <c r="J1135" s="1">
        <v>44002</v>
      </c>
      <c r="L1135" t="s">
        <v>14</v>
      </c>
      <c r="M1135">
        <v>2955.5</v>
      </c>
      <c r="N1135">
        <v>2955.5</v>
      </c>
      <c r="O1135" t="s">
        <v>21</v>
      </c>
      <c r="P1135">
        <f t="shared" si="54"/>
        <v>-1</v>
      </c>
      <c r="Q1135" s="11">
        <f>IF(P1135=0,0,IFERROR(Q1134+G1135*M1135*IF(E1135="FUTURE",VLOOKUP(MID(I1135,2,2),[1]Futures!$A$2:$B$12,2),1),G1135*M1135*IF(E1135="FUTURE",VLOOKUP(MID(I1135,2,2),[1]Futures!$A$2:$B$12,2),1)))</f>
        <v>-147775</v>
      </c>
      <c r="R1135" s="12">
        <f>IFERROR(Q1135/P1135/IF(E1135="FUTURE",VLOOKUP(MID(I1135,2,2),[1]Futures!$A$2:$B$12,2),1),"")</f>
        <v>2955.5</v>
      </c>
      <c r="S1135" s="13" t="str">
        <f>IF(AND(H1135="TO CLOSE",P1135=0),-G1135*(M1135-R1134)*IF(E1135="FUTURE",VLOOKUP(MID(I1135,2,2),[1]Futures!$A$2:$B$12,2),1),"")</f>
        <v/>
      </c>
    </row>
    <row r="1136" spans="1:19" x14ac:dyDescent="0.2">
      <c r="A1136">
        <f t="shared" si="53"/>
        <v>348</v>
      </c>
      <c r="B1136" s="3">
        <v>43972</v>
      </c>
      <c r="C1136" s="3" t="str">
        <f t="shared" si="52"/>
        <v>Thursday</v>
      </c>
      <c r="D1136" s="2">
        <v>0.44912037037037034</v>
      </c>
      <c r="E1136" t="s">
        <v>14</v>
      </c>
      <c r="F1136" t="s">
        <v>19</v>
      </c>
      <c r="G1136">
        <v>1</v>
      </c>
      <c r="H1136" t="s">
        <v>16</v>
      </c>
      <c r="I1136" t="s">
        <v>17</v>
      </c>
      <c r="J1136" s="1">
        <v>44002</v>
      </c>
      <c r="L1136" t="s">
        <v>14</v>
      </c>
      <c r="M1136">
        <v>2954.5</v>
      </c>
      <c r="N1136">
        <v>2954.5</v>
      </c>
      <c r="O1136" t="s">
        <v>21</v>
      </c>
      <c r="P1136">
        <f t="shared" si="54"/>
        <v>0</v>
      </c>
      <c r="Q1136" s="11">
        <f>IF(P1136=0,0,IFERROR(Q1135+G1136*M1136*IF(E1136="FUTURE",VLOOKUP(MID(I1136,2,2),[1]Futures!$A$2:$B$12,2),1),G1136*M1136*IF(E1136="FUTURE",VLOOKUP(MID(I1136,2,2),[1]Futures!$A$2:$B$12,2),1)))</f>
        <v>0</v>
      </c>
      <c r="R1136" s="12" t="str">
        <f>IFERROR(Q1136/P1136/IF(E1136="FUTURE",VLOOKUP(MID(I1136,2,2),[1]Futures!$A$2:$B$12,2),1),"")</f>
        <v/>
      </c>
      <c r="S1136" s="13">
        <f>IF(AND(H1136="TO CLOSE",P1136=0),-G1136*(M1136-R1135)*IF(E1136="FUTURE",VLOOKUP(MID(I1136,2,2),[1]Futures!$A$2:$B$12,2),1),"")</f>
        <v>50</v>
      </c>
    </row>
    <row r="1137" spans="1:19" x14ac:dyDescent="0.2">
      <c r="A1137">
        <f t="shared" si="53"/>
        <v>349</v>
      </c>
      <c r="B1137" s="3">
        <v>43972</v>
      </c>
      <c r="C1137" s="3" t="str">
        <f t="shared" si="52"/>
        <v>Thursday</v>
      </c>
      <c r="D1137" s="2">
        <v>0.48096064814814815</v>
      </c>
      <c r="E1137" t="s">
        <v>14</v>
      </c>
      <c r="F1137" t="s">
        <v>15</v>
      </c>
      <c r="G1137">
        <v>-1</v>
      </c>
      <c r="H1137" t="s">
        <v>20</v>
      </c>
      <c r="I1137" t="s">
        <v>17</v>
      </c>
      <c r="J1137" s="1">
        <v>44002</v>
      </c>
      <c r="L1137" t="s">
        <v>14</v>
      </c>
      <c r="M1137">
        <v>2941.75</v>
      </c>
      <c r="N1137">
        <v>2941.75</v>
      </c>
      <c r="O1137" t="s">
        <v>21</v>
      </c>
      <c r="P1137">
        <f t="shared" si="54"/>
        <v>-1</v>
      </c>
      <c r="Q1137" s="11">
        <f>IF(P1137=0,0,IFERROR(Q1136+G1137*M1137*IF(E1137="FUTURE",VLOOKUP(MID(I1137,2,2),[1]Futures!$A$2:$B$12,2),1),G1137*M1137*IF(E1137="FUTURE",VLOOKUP(MID(I1137,2,2),[1]Futures!$A$2:$B$12,2),1)))</f>
        <v>-147087.5</v>
      </c>
      <c r="R1137" s="12">
        <f>IFERROR(Q1137/P1137/IF(E1137="FUTURE",VLOOKUP(MID(I1137,2,2),[1]Futures!$A$2:$B$12,2),1),"")</f>
        <v>2941.75</v>
      </c>
      <c r="S1137" s="13" t="str">
        <f>IF(AND(H1137="TO CLOSE",P1137=0),-G1137*(M1137-R1136)*IF(E1137="FUTURE",VLOOKUP(MID(I1137,2,2),[1]Futures!$A$2:$B$12,2),1),"")</f>
        <v/>
      </c>
    </row>
    <row r="1138" spans="1:19" x14ac:dyDescent="0.2">
      <c r="A1138">
        <f t="shared" si="53"/>
        <v>349</v>
      </c>
      <c r="B1138" s="3">
        <v>43972</v>
      </c>
      <c r="C1138" s="3" t="str">
        <f t="shared" si="52"/>
        <v>Thursday</v>
      </c>
      <c r="D1138" s="2">
        <v>0.5003009259259259</v>
      </c>
      <c r="E1138" t="s">
        <v>14</v>
      </c>
      <c r="F1138" t="s">
        <v>19</v>
      </c>
      <c r="G1138">
        <v>2</v>
      </c>
      <c r="H1138" t="s">
        <v>16</v>
      </c>
      <c r="I1138" t="s">
        <v>17</v>
      </c>
      <c r="J1138" s="1">
        <v>44002</v>
      </c>
      <c r="L1138" t="s">
        <v>14</v>
      </c>
      <c r="M1138">
        <v>2947.25</v>
      </c>
      <c r="N1138">
        <v>2947.25</v>
      </c>
      <c r="O1138" t="s">
        <v>24</v>
      </c>
      <c r="P1138">
        <f t="shared" si="54"/>
        <v>1</v>
      </c>
      <c r="Q1138" s="11">
        <f>IF(P1138=0,0,IFERROR(Q1137+G1138*M1138*IF(E1138="FUTURE",VLOOKUP(MID(I1138,2,2),[1]Futures!$A$2:$B$12,2),1),G1138*M1138*IF(E1138="FUTURE",VLOOKUP(MID(I1138,2,2),[1]Futures!$A$2:$B$12,2),1)))</f>
        <v>147637.5</v>
      </c>
      <c r="R1138" s="12">
        <f>IFERROR(Q1138/P1138/IF(E1138="FUTURE",VLOOKUP(MID(I1138,2,2),[1]Futures!$A$2:$B$12,2),1),"")</f>
        <v>2952.75</v>
      </c>
      <c r="S1138" s="13" t="str">
        <f>IF(AND(H1138="TO CLOSE",P1138=0),-G1138*(M1138-R1137)*IF(E1138="FUTURE",VLOOKUP(MID(I1138,2,2),[1]Futures!$A$2:$B$12,2),1),"")</f>
        <v/>
      </c>
    </row>
    <row r="1139" spans="1:19" x14ac:dyDescent="0.2">
      <c r="A1139">
        <f t="shared" si="53"/>
        <v>349</v>
      </c>
      <c r="B1139" s="3">
        <v>43972</v>
      </c>
      <c r="C1139" s="3" t="str">
        <f t="shared" si="52"/>
        <v>Thursday</v>
      </c>
      <c r="D1139" s="2">
        <v>0.5015856481481481</v>
      </c>
      <c r="E1139" t="s">
        <v>14</v>
      </c>
      <c r="F1139" t="s">
        <v>15</v>
      </c>
      <c r="G1139">
        <v>-1</v>
      </c>
      <c r="H1139" t="s">
        <v>16</v>
      </c>
      <c r="I1139" t="s">
        <v>17</v>
      </c>
      <c r="J1139" s="1">
        <v>44002</v>
      </c>
      <c r="L1139" t="s">
        <v>14</v>
      </c>
      <c r="M1139">
        <v>2952.5</v>
      </c>
      <c r="N1139">
        <v>2952.5</v>
      </c>
      <c r="O1139" t="s">
        <v>21</v>
      </c>
      <c r="P1139">
        <f t="shared" si="54"/>
        <v>0</v>
      </c>
      <c r="Q1139" s="11">
        <f>IF(P1139=0,0,IFERROR(Q1138+G1139*M1139*IF(E1139="FUTURE",VLOOKUP(MID(I1139,2,2),[1]Futures!$A$2:$B$12,2),1),G1139*M1139*IF(E1139="FUTURE",VLOOKUP(MID(I1139,2,2),[1]Futures!$A$2:$B$12,2),1)))</f>
        <v>0</v>
      </c>
      <c r="R1139" s="12" t="str">
        <f>IFERROR(Q1139/P1139/IF(E1139="FUTURE",VLOOKUP(MID(I1139,2,2),[1]Futures!$A$2:$B$12,2),1),"")</f>
        <v/>
      </c>
      <c r="S1139" s="13">
        <f>IF(AND(H1139="TO CLOSE",P1139=0),-G1139*(M1139-R1138)*IF(E1139="FUTURE",VLOOKUP(MID(I1139,2,2),[1]Futures!$A$2:$B$12,2),1),"")</f>
        <v>-12.5</v>
      </c>
    </row>
    <row r="1140" spans="1:19" x14ac:dyDescent="0.2">
      <c r="A1140">
        <f t="shared" si="53"/>
        <v>350</v>
      </c>
      <c r="B1140" s="3">
        <v>43972</v>
      </c>
      <c r="C1140" s="3" t="str">
        <f t="shared" si="52"/>
        <v>Thursday</v>
      </c>
      <c r="D1140" s="2">
        <v>0.52605324074074067</v>
      </c>
      <c r="E1140" t="s">
        <v>14</v>
      </c>
      <c r="F1140" t="s">
        <v>15</v>
      </c>
      <c r="G1140">
        <v>-1</v>
      </c>
      <c r="H1140" t="s">
        <v>20</v>
      </c>
      <c r="I1140" t="s">
        <v>17</v>
      </c>
      <c r="J1140" s="1">
        <v>44002</v>
      </c>
      <c r="L1140" t="s">
        <v>14</v>
      </c>
      <c r="M1140">
        <v>2947.5</v>
      </c>
      <c r="N1140">
        <v>2947.5</v>
      </c>
      <c r="O1140" t="s">
        <v>21</v>
      </c>
      <c r="P1140">
        <f t="shared" si="54"/>
        <v>-1</v>
      </c>
      <c r="Q1140" s="11">
        <f>IF(P1140=0,0,IFERROR(Q1139+G1140*M1140*IF(E1140="FUTURE",VLOOKUP(MID(I1140,2,2),[1]Futures!$A$2:$B$12,2),1),G1140*M1140*IF(E1140="FUTURE",VLOOKUP(MID(I1140,2,2),[1]Futures!$A$2:$B$12,2),1)))</f>
        <v>-147375</v>
      </c>
      <c r="R1140" s="12">
        <f>IFERROR(Q1140/P1140/IF(E1140="FUTURE",VLOOKUP(MID(I1140,2,2),[1]Futures!$A$2:$B$12,2),1),"")</f>
        <v>2947.5</v>
      </c>
      <c r="S1140" s="13" t="str">
        <f>IF(AND(H1140="TO CLOSE",P1140=0),-G1140*(M1140-R1139)*IF(E1140="FUTURE",VLOOKUP(MID(I1140,2,2),[1]Futures!$A$2:$B$12,2),1),"")</f>
        <v/>
      </c>
    </row>
    <row r="1141" spans="1:19" x14ac:dyDescent="0.2">
      <c r="A1141">
        <f t="shared" si="53"/>
        <v>350</v>
      </c>
      <c r="B1141" s="3">
        <v>43972</v>
      </c>
      <c r="C1141" s="3" t="str">
        <f t="shared" si="52"/>
        <v>Thursday</v>
      </c>
      <c r="D1141" s="2">
        <v>0.5267708333333333</v>
      </c>
      <c r="E1141" t="s">
        <v>14</v>
      </c>
      <c r="F1141" t="s">
        <v>19</v>
      </c>
      <c r="G1141">
        <v>1</v>
      </c>
      <c r="H1141" t="s">
        <v>16</v>
      </c>
      <c r="I1141" t="s">
        <v>17</v>
      </c>
      <c r="J1141" s="1">
        <v>44002</v>
      </c>
      <c r="L1141" t="s">
        <v>14</v>
      </c>
      <c r="M1141">
        <v>2947</v>
      </c>
      <c r="N1141">
        <v>2947</v>
      </c>
      <c r="O1141" t="s">
        <v>21</v>
      </c>
      <c r="P1141">
        <f t="shared" si="54"/>
        <v>0</v>
      </c>
      <c r="Q1141" s="11">
        <f>IF(P1141=0,0,IFERROR(Q1140+G1141*M1141*IF(E1141="FUTURE",VLOOKUP(MID(I1141,2,2),[1]Futures!$A$2:$B$12,2),1),G1141*M1141*IF(E1141="FUTURE",VLOOKUP(MID(I1141,2,2),[1]Futures!$A$2:$B$12,2),1)))</f>
        <v>0</v>
      </c>
      <c r="R1141" s="12" t="str">
        <f>IFERROR(Q1141/P1141/IF(E1141="FUTURE",VLOOKUP(MID(I1141,2,2),[1]Futures!$A$2:$B$12,2),1),"")</f>
        <v/>
      </c>
      <c r="S1141" s="13">
        <f>IF(AND(H1141="TO CLOSE",P1141=0),-G1141*(M1141-R1140)*IF(E1141="FUTURE",VLOOKUP(MID(I1141,2,2),[1]Futures!$A$2:$B$12,2),1),"")</f>
        <v>25</v>
      </c>
    </row>
    <row r="1142" spans="1:19" x14ac:dyDescent="0.2">
      <c r="A1142">
        <f t="shared" si="53"/>
        <v>351</v>
      </c>
      <c r="B1142" s="3">
        <v>43972</v>
      </c>
      <c r="C1142" s="3" t="str">
        <f t="shared" si="52"/>
        <v>Thursday</v>
      </c>
      <c r="D1142" s="2">
        <v>0.54393518518518513</v>
      </c>
      <c r="E1142" t="s">
        <v>14</v>
      </c>
      <c r="F1142" t="s">
        <v>19</v>
      </c>
      <c r="G1142">
        <v>1</v>
      </c>
      <c r="H1142" t="s">
        <v>20</v>
      </c>
      <c r="I1142" t="s">
        <v>17</v>
      </c>
      <c r="J1142" s="1">
        <v>44002</v>
      </c>
      <c r="L1142" t="s">
        <v>14</v>
      </c>
      <c r="M1142">
        <v>2952.25</v>
      </c>
      <c r="N1142">
        <v>2952.25</v>
      </c>
      <c r="O1142" t="s">
        <v>24</v>
      </c>
      <c r="P1142">
        <f t="shared" si="54"/>
        <v>1</v>
      </c>
      <c r="Q1142" s="11">
        <f>IF(P1142=0,0,IFERROR(Q1141+G1142*M1142*IF(E1142="FUTURE",VLOOKUP(MID(I1142,2,2),[1]Futures!$A$2:$B$12,2),1),G1142*M1142*IF(E1142="FUTURE",VLOOKUP(MID(I1142,2,2),[1]Futures!$A$2:$B$12,2),1)))</f>
        <v>147612.5</v>
      </c>
      <c r="R1142" s="12">
        <f>IFERROR(Q1142/P1142/IF(E1142="FUTURE",VLOOKUP(MID(I1142,2,2),[1]Futures!$A$2:$B$12,2),1),"")</f>
        <v>2952.25</v>
      </c>
      <c r="S1142" s="13" t="str">
        <f>IF(AND(H1142="TO CLOSE",P1142=0),-G1142*(M1142-R1141)*IF(E1142="FUTURE",VLOOKUP(MID(I1142,2,2),[1]Futures!$A$2:$B$12,2),1),"")</f>
        <v/>
      </c>
    </row>
    <row r="1143" spans="1:19" x14ac:dyDescent="0.2">
      <c r="A1143">
        <f t="shared" si="53"/>
        <v>351</v>
      </c>
      <c r="B1143" s="3">
        <v>43972</v>
      </c>
      <c r="C1143" s="3" t="str">
        <f t="shared" si="52"/>
        <v>Thursday</v>
      </c>
      <c r="D1143" s="2">
        <v>0.54402777777777778</v>
      </c>
      <c r="E1143" t="s">
        <v>14</v>
      </c>
      <c r="F1143" t="s">
        <v>15</v>
      </c>
      <c r="G1143">
        <v>-1</v>
      </c>
      <c r="H1143" t="s">
        <v>16</v>
      </c>
      <c r="I1143" t="s">
        <v>17</v>
      </c>
      <c r="J1143" s="1">
        <v>44002</v>
      </c>
      <c r="L1143" t="s">
        <v>14</v>
      </c>
      <c r="M1143">
        <v>2952.5</v>
      </c>
      <c r="N1143">
        <v>2952.5</v>
      </c>
      <c r="O1143" t="s">
        <v>18</v>
      </c>
      <c r="P1143">
        <f t="shared" si="54"/>
        <v>0</v>
      </c>
      <c r="Q1143" s="11">
        <f>IF(P1143=0,0,IFERROR(Q1142+G1143*M1143*IF(E1143="FUTURE",VLOOKUP(MID(I1143,2,2),[1]Futures!$A$2:$B$12,2),1),G1143*M1143*IF(E1143="FUTURE",VLOOKUP(MID(I1143,2,2),[1]Futures!$A$2:$B$12,2),1)))</f>
        <v>0</v>
      </c>
      <c r="R1143" s="12" t="str">
        <f>IFERROR(Q1143/P1143/IF(E1143="FUTURE",VLOOKUP(MID(I1143,2,2),[1]Futures!$A$2:$B$12,2),1),"")</f>
        <v/>
      </c>
      <c r="S1143" s="13">
        <f>IF(AND(H1143="TO CLOSE",P1143=0),-G1143*(M1143-R1142)*IF(E1143="FUTURE",VLOOKUP(MID(I1143,2,2),[1]Futures!$A$2:$B$12,2),1),"")</f>
        <v>12.5</v>
      </c>
    </row>
    <row r="1144" spans="1:19" x14ac:dyDescent="0.2">
      <c r="A1144">
        <f t="shared" si="53"/>
        <v>352</v>
      </c>
      <c r="B1144" s="3">
        <v>43972</v>
      </c>
      <c r="C1144" s="3" t="str">
        <f t="shared" si="52"/>
        <v>Thursday</v>
      </c>
      <c r="D1144" s="2">
        <v>0.54487268518518517</v>
      </c>
      <c r="E1144" t="s">
        <v>14</v>
      </c>
      <c r="F1144" t="s">
        <v>19</v>
      </c>
      <c r="G1144">
        <v>1</v>
      </c>
      <c r="H1144" t="s">
        <v>20</v>
      </c>
      <c r="I1144" t="s">
        <v>17</v>
      </c>
      <c r="J1144" s="1">
        <v>44002</v>
      </c>
      <c r="L1144" t="s">
        <v>14</v>
      </c>
      <c r="M1144">
        <v>2951.75</v>
      </c>
      <c r="N1144">
        <v>2951.75</v>
      </c>
      <c r="O1144" t="s">
        <v>24</v>
      </c>
      <c r="P1144">
        <f t="shared" si="54"/>
        <v>1</v>
      </c>
      <c r="Q1144" s="11">
        <f>IF(P1144=0,0,IFERROR(Q1143+G1144*M1144*IF(E1144="FUTURE",VLOOKUP(MID(I1144,2,2),[1]Futures!$A$2:$B$12,2),1),G1144*M1144*IF(E1144="FUTURE",VLOOKUP(MID(I1144,2,2),[1]Futures!$A$2:$B$12,2),1)))</f>
        <v>147587.5</v>
      </c>
      <c r="R1144" s="12">
        <f>IFERROR(Q1144/P1144/IF(E1144="FUTURE",VLOOKUP(MID(I1144,2,2),[1]Futures!$A$2:$B$12,2),1),"")</f>
        <v>2951.75</v>
      </c>
      <c r="S1144" s="13" t="str">
        <f>IF(AND(H1144="TO CLOSE",P1144=0),-G1144*(M1144-R1143)*IF(E1144="FUTURE",VLOOKUP(MID(I1144,2,2),[1]Futures!$A$2:$B$12,2),1),"")</f>
        <v/>
      </c>
    </row>
    <row r="1145" spans="1:19" x14ac:dyDescent="0.2">
      <c r="A1145">
        <f t="shared" si="53"/>
        <v>352</v>
      </c>
      <c r="B1145" s="3">
        <v>43972</v>
      </c>
      <c r="C1145" s="3" t="str">
        <f t="shared" si="52"/>
        <v>Thursday</v>
      </c>
      <c r="D1145" s="2">
        <v>0.54509259259259257</v>
      </c>
      <c r="E1145" t="s">
        <v>14</v>
      </c>
      <c r="F1145" t="s">
        <v>15</v>
      </c>
      <c r="G1145">
        <v>-1</v>
      </c>
      <c r="H1145" t="s">
        <v>16</v>
      </c>
      <c r="I1145" t="s">
        <v>17</v>
      </c>
      <c r="J1145" s="1">
        <v>44002</v>
      </c>
      <c r="L1145" t="s">
        <v>14</v>
      </c>
      <c r="M1145">
        <v>2952.25</v>
      </c>
      <c r="N1145">
        <v>2952.25</v>
      </c>
      <c r="O1145" t="s">
        <v>21</v>
      </c>
      <c r="P1145">
        <f t="shared" si="54"/>
        <v>0</v>
      </c>
      <c r="Q1145" s="11">
        <f>IF(P1145=0,0,IFERROR(Q1144+G1145*M1145*IF(E1145="FUTURE",VLOOKUP(MID(I1145,2,2),[1]Futures!$A$2:$B$12,2),1),G1145*M1145*IF(E1145="FUTURE",VLOOKUP(MID(I1145,2,2),[1]Futures!$A$2:$B$12,2),1)))</f>
        <v>0</v>
      </c>
      <c r="R1145" s="12" t="str">
        <f>IFERROR(Q1145/P1145/IF(E1145="FUTURE",VLOOKUP(MID(I1145,2,2),[1]Futures!$A$2:$B$12,2),1),"")</f>
        <v/>
      </c>
      <c r="S1145" s="13">
        <f>IF(AND(H1145="TO CLOSE",P1145=0),-G1145*(M1145-R1144)*IF(E1145="FUTURE",VLOOKUP(MID(I1145,2,2),[1]Futures!$A$2:$B$12,2),1),"")</f>
        <v>25</v>
      </c>
    </row>
    <row r="1146" spans="1:19" x14ac:dyDescent="0.2">
      <c r="A1146">
        <f t="shared" si="53"/>
        <v>353</v>
      </c>
      <c r="B1146" s="3">
        <v>43972</v>
      </c>
      <c r="C1146" s="3" t="str">
        <f t="shared" si="52"/>
        <v>Thursday</v>
      </c>
      <c r="D1146" s="2">
        <v>0.45280092592592597</v>
      </c>
      <c r="E1146" t="s">
        <v>14</v>
      </c>
      <c r="F1146" t="s">
        <v>15</v>
      </c>
      <c r="G1146">
        <v>-5</v>
      </c>
      <c r="H1146" t="s">
        <v>20</v>
      </c>
      <c r="I1146" t="s">
        <v>73</v>
      </c>
      <c r="J1146" s="1">
        <v>44002</v>
      </c>
      <c r="L1146" t="s">
        <v>14</v>
      </c>
      <c r="M1146">
        <v>2955.5</v>
      </c>
      <c r="N1146">
        <v>2955.5</v>
      </c>
      <c r="O1146" t="s">
        <v>21</v>
      </c>
      <c r="P1146">
        <f t="shared" si="54"/>
        <v>-5</v>
      </c>
      <c r="Q1146" s="11">
        <f>IF(P1146=0,0,IFERROR(Q1145+G1146*M1146*IF(E1146="FUTURE",VLOOKUP(MID(I1146,2,2),[1]Futures!$A$2:$B$12,2),1),G1146*M1146*IF(E1146="FUTURE",VLOOKUP(MID(I1146,2,2),[1]Futures!$A$2:$B$12,2),1)))</f>
        <v>-73887.5</v>
      </c>
      <c r="R1146" s="12">
        <f>IFERROR(Q1146/P1146/IF(E1146="FUTURE",VLOOKUP(MID(I1146,2,2),[1]Futures!$A$2:$B$12,2),1),"")</f>
        <v>2955.5</v>
      </c>
      <c r="S1146" s="13" t="str">
        <f>IF(AND(H1146="TO CLOSE",P1146=0),-G1146*(M1146-R1145)*IF(E1146="FUTURE",VLOOKUP(MID(I1146,2,2),[1]Futures!$A$2:$B$12,2),1),"")</f>
        <v/>
      </c>
    </row>
    <row r="1147" spans="1:19" x14ac:dyDescent="0.2">
      <c r="A1147">
        <f t="shared" si="53"/>
        <v>353</v>
      </c>
      <c r="B1147" s="3">
        <v>43972</v>
      </c>
      <c r="C1147" s="3" t="str">
        <f t="shared" si="52"/>
        <v>Thursday</v>
      </c>
      <c r="D1147" s="2">
        <v>0.46166666666666667</v>
      </c>
      <c r="E1147" t="s">
        <v>14</v>
      </c>
      <c r="F1147" t="s">
        <v>19</v>
      </c>
      <c r="G1147">
        <v>5</v>
      </c>
      <c r="H1147" t="s">
        <v>16</v>
      </c>
      <c r="I1147" t="s">
        <v>73</v>
      </c>
      <c r="J1147" s="1">
        <v>44002</v>
      </c>
      <c r="L1147" t="s">
        <v>14</v>
      </c>
      <c r="M1147">
        <v>2946.5</v>
      </c>
      <c r="N1147">
        <v>2946.5</v>
      </c>
      <c r="O1147" t="s">
        <v>24</v>
      </c>
      <c r="P1147">
        <f t="shared" si="54"/>
        <v>0</v>
      </c>
      <c r="Q1147" s="11">
        <f>IF(P1147=0,0,IFERROR(Q1146+G1147*M1147*IF(E1147="FUTURE",VLOOKUP(MID(I1147,2,2),[1]Futures!$A$2:$B$12,2),1),G1147*M1147*IF(E1147="FUTURE",VLOOKUP(MID(I1147,2,2),[1]Futures!$A$2:$B$12,2),1)))</f>
        <v>0</v>
      </c>
      <c r="R1147" s="12" t="str">
        <f>IFERROR(Q1147/P1147/IF(E1147="FUTURE",VLOOKUP(MID(I1147,2,2),[1]Futures!$A$2:$B$12,2),1),"")</f>
        <v/>
      </c>
      <c r="S1147" s="13">
        <f>IF(AND(H1147="TO CLOSE",P1147=0),-G1147*(M1147-R1146)*IF(E1147="FUTURE",VLOOKUP(MID(I1147,2,2),[1]Futures!$A$2:$B$12,2),1),"")</f>
        <v>225</v>
      </c>
    </row>
    <row r="1148" spans="1:19" x14ac:dyDescent="0.2">
      <c r="A1148">
        <f t="shared" si="53"/>
        <v>354</v>
      </c>
      <c r="B1148" s="3">
        <v>43972</v>
      </c>
      <c r="C1148" s="3" t="str">
        <f t="shared" si="52"/>
        <v>Thursday</v>
      </c>
      <c r="D1148" s="2">
        <v>0.43783564814814818</v>
      </c>
      <c r="E1148" t="s">
        <v>22</v>
      </c>
      <c r="F1148" t="s">
        <v>19</v>
      </c>
      <c r="G1148">
        <v>400</v>
      </c>
      <c r="H1148" t="s">
        <v>20</v>
      </c>
      <c r="I1148" t="s">
        <v>23</v>
      </c>
      <c r="L1148" t="s">
        <v>22</v>
      </c>
      <c r="M1148">
        <v>34.164999999999999</v>
      </c>
      <c r="N1148">
        <v>34.164999999999999</v>
      </c>
      <c r="O1148" t="s">
        <v>24</v>
      </c>
      <c r="P1148">
        <f t="shared" si="54"/>
        <v>400</v>
      </c>
      <c r="Q1148" s="11">
        <f>IF(P1148=0,0,IFERROR(Q1147+G1148*M1148*IF(E1148="FUTURE",VLOOKUP(MID(I1148,2,2),[1]Futures!$A$2:$B$12,2),1),G1148*M1148*IF(E1148="FUTURE",VLOOKUP(MID(I1148,2,2),[1]Futures!$A$2:$B$12,2),1)))</f>
        <v>13666</v>
      </c>
      <c r="R1148" s="12">
        <f>IFERROR(Q1148/P1148/IF(E1148="FUTURE",VLOOKUP(MID(I1148,2,2),[1]Futures!$A$2:$B$12,2),1),"")</f>
        <v>34.164999999999999</v>
      </c>
      <c r="S1148" s="13" t="str">
        <f>IF(AND(H1148="TO CLOSE",P1148=0),-G1148*(M1148-R1147)*IF(E1148="FUTURE",VLOOKUP(MID(I1148,2,2),[1]Futures!$A$2:$B$12,2),1),"")</f>
        <v/>
      </c>
    </row>
    <row r="1149" spans="1:19" x14ac:dyDescent="0.2">
      <c r="A1149">
        <f t="shared" si="53"/>
        <v>354</v>
      </c>
      <c r="B1149" s="3">
        <v>43972</v>
      </c>
      <c r="C1149" s="3" t="str">
        <f t="shared" si="52"/>
        <v>Thursday</v>
      </c>
      <c r="D1149" s="2">
        <v>0.44418981481481484</v>
      </c>
      <c r="E1149" t="s">
        <v>22</v>
      </c>
      <c r="F1149" t="s">
        <v>15</v>
      </c>
      <c r="G1149">
        <v>-400</v>
      </c>
      <c r="H1149" t="s">
        <v>16</v>
      </c>
      <c r="I1149" t="s">
        <v>23</v>
      </c>
      <c r="L1149" t="s">
        <v>22</v>
      </c>
      <c r="M1149">
        <v>34.684800000000003</v>
      </c>
      <c r="N1149">
        <v>34.684800000000003</v>
      </c>
      <c r="O1149" t="s">
        <v>24</v>
      </c>
      <c r="P1149">
        <f t="shared" si="54"/>
        <v>0</v>
      </c>
      <c r="Q1149" s="11">
        <f>IF(P1149=0,0,IFERROR(Q1148+G1149*M1149*IF(E1149="FUTURE",VLOOKUP(MID(I1149,2,2),[1]Futures!$A$2:$B$12,2),1),G1149*M1149*IF(E1149="FUTURE",VLOOKUP(MID(I1149,2,2),[1]Futures!$A$2:$B$12,2),1)))</f>
        <v>0</v>
      </c>
      <c r="R1149" s="12" t="str">
        <f>IFERROR(Q1149/P1149/IF(E1149="FUTURE",VLOOKUP(MID(I1149,2,2),[1]Futures!$A$2:$B$12,2),1),"")</f>
        <v/>
      </c>
      <c r="S1149" s="13">
        <f>IF(AND(H1149="TO CLOSE",P1149=0),-G1149*(M1149-R1148)*IF(E1149="FUTURE",VLOOKUP(MID(I1149,2,2),[1]Futures!$A$2:$B$12,2),1),"")</f>
        <v>207.92000000000144</v>
      </c>
    </row>
    <row r="1150" spans="1:19" x14ac:dyDescent="0.2">
      <c r="A1150">
        <f t="shared" si="53"/>
        <v>355</v>
      </c>
      <c r="B1150" s="3">
        <v>43972</v>
      </c>
      <c r="C1150" s="3" t="str">
        <f t="shared" ref="C1150:C1213" si="55">IF(WEEKDAY(B1150,2)=1,"Monday",IF(WEEKDAY(B1150,2)=2,"Tuesday",IF(WEEKDAY(B1150,2)=3,"Wednesday",IF(WEEKDAY(B1150,2)=4,"Thursday",IF(WEEKDAY(B1150,2)=5,"Friday","Sunday")))))</f>
        <v>Thursday</v>
      </c>
      <c r="D1150" s="2">
        <v>0.45734953703703707</v>
      </c>
      <c r="E1150" t="s">
        <v>22</v>
      </c>
      <c r="F1150" t="s">
        <v>19</v>
      </c>
      <c r="G1150">
        <v>100</v>
      </c>
      <c r="H1150" t="s">
        <v>20</v>
      </c>
      <c r="I1150" t="s">
        <v>23</v>
      </c>
      <c r="L1150" t="s">
        <v>22</v>
      </c>
      <c r="M1150">
        <v>34.335000000000001</v>
      </c>
      <c r="N1150">
        <v>34.335000000000001</v>
      </c>
      <c r="O1150" t="s">
        <v>24</v>
      </c>
      <c r="P1150">
        <f t="shared" si="54"/>
        <v>100</v>
      </c>
      <c r="Q1150" s="11">
        <f>IF(P1150=0,0,IFERROR(Q1149+G1150*M1150*IF(E1150="FUTURE",VLOOKUP(MID(I1150,2,2),[1]Futures!$A$2:$B$12,2),1),G1150*M1150*IF(E1150="FUTURE",VLOOKUP(MID(I1150,2,2),[1]Futures!$A$2:$B$12,2),1)))</f>
        <v>3433.5</v>
      </c>
      <c r="R1150" s="12">
        <f>IFERROR(Q1150/P1150/IF(E1150="FUTURE",VLOOKUP(MID(I1150,2,2),[1]Futures!$A$2:$B$12,2),1),"")</f>
        <v>34.335000000000001</v>
      </c>
      <c r="S1150" s="13" t="str">
        <f>IF(AND(H1150="TO CLOSE",P1150=0),-G1150*(M1150-R1149)*IF(E1150="FUTURE",VLOOKUP(MID(I1150,2,2),[1]Futures!$A$2:$B$12,2),1),"")</f>
        <v/>
      </c>
    </row>
    <row r="1151" spans="1:19" x14ac:dyDescent="0.2">
      <c r="A1151">
        <f t="shared" si="53"/>
        <v>355</v>
      </c>
      <c r="B1151" s="3">
        <v>43972</v>
      </c>
      <c r="C1151" s="3" t="str">
        <f t="shared" si="55"/>
        <v>Thursday</v>
      </c>
      <c r="D1151" s="2">
        <v>0.45734953703703707</v>
      </c>
      <c r="E1151" t="s">
        <v>22</v>
      </c>
      <c r="F1151" t="s">
        <v>19</v>
      </c>
      <c r="G1151">
        <v>100</v>
      </c>
      <c r="H1151" t="s">
        <v>20</v>
      </c>
      <c r="I1151" t="s">
        <v>23</v>
      </c>
      <c r="L1151" t="s">
        <v>22</v>
      </c>
      <c r="M1151">
        <v>34.335000000000001</v>
      </c>
      <c r="N1151">
        <v>34.335000000000001</v>
      </c>
      <c r="O1151" t="s">
        <v>24</v>
      </c>
      <c r="P1151">
        <f t="shared" si="54"/>
        <v>200</v>
      </c>
      <c r="Q1151" s="11">
        <f>IF(P1151=0,0,IFERROR(Q1150+G1151*M1151*IF(E1151="FUTURE",VLOOKUP(MID(I1151,2,2),[1]Futures!$A$2:$B$12,2),1),G1151*M1151*IF(E1151="FUTURE",VLOOKUP(MID(I1151,2,2),[1]Futures!$A$2:$B$12,2),1)))</f>
        <v>6867</v>
      </c>
      <c r="R1151" s="12">
        <f>IFERROR(Q1151/P1151/IF(E1151="FUTURE",VLOOKUP(MID(I1151,2,2),[1]Futures!$A$2:$B$12,2),1),"")</f>
        <v>34.335000000000001</v>
      </c>
      <c r="S1151" s="13" t="str">
        <f>IF(AND(H1151="TO CLOSE",P1151=0),-G1151*(M1151-R1150)*IF(E1151="FUTURE",VLOOKUP(MID(I1151,2,2),[1]Futures!$A$2:$B$12,2),1),"")</f>
        <v/>
      </c>
    </row>
    <row r="1152" spans="1:19" x14ac:dyDescent="0.2">
      <c r="A1152">
        <f t="shared" si="53"/>
        <v>355</v>
      </c>
      <c r="B1152" s="3">
        <v>43972</v>
      </c>
      <c r="C1152" s="3" t="str">
        <f t="shared" si="55"/>
        <v>Thursday</v>
      </c>
      <c r="D1152" s="2">
        <v>0.4586574074074074</v>
      </c>
      <c r="E1152" t="s">
        <v>22</v>
      </c>
      <c r="F1152" t="s">
        <v>15</v>
      </c>
      <c r="G1152">
        <v>-200</v>
      </c>
      <c r="H1152" t="s">
        <v>16</v>
      </c>
      <c r="I1152" t="s">
        <v>23</v>
      </c>
      <c r="L1152" t="s">
        <v>22</v>
      </c>
      <c r="M1152">
        <v>34.650100000000002</v>
      </c>
      <c r="N1152">
        <v>34.650100000000002</v>
      </c>
      <c r="O1152" t="s">
        <v>24</v>
      </c>
      <c r="P1152">
        <f t="shared" si="54"/>
        <v>0</v>
      </c>
      <c r="Q1152" s="11">
        <f>IF(P1152=0,0,IFERROR(Q1151+G1152*M1152*IF(E1152="FUTURE",VLOOKUP(MID(I1152,2,2),[1]Futures!$A$2:$B$12,2),1),G1152*M1152*IF(E1152="FUTURE",VLOOKUP(MID(I1152,2,2),[1]Futures!$A$2:$B$12,2),1)))</f>
        <v>0</v>
      </c>
      <c r="R1152" s="12" t="str">
        <f>IFERROR(Q1152/P1152/IF(E1152="FUTURE",VLOOKUP(MID(I1152,2,2),[1]Futures!$A$2:$B$12,2),1),"")</f>
        <v/>
      </c>
      <c r="S1152" s="13">
        <f>IF(AND(H1152="TO CLOSE",P1152=0),-G1152*(M1152-R1151)*IF(E1152="FUTURE",VLOOKUP(MID(I1152,2,2),[1]Futures!$A$2:$B$12,2),1),"")</f>
        <v>63.020000000000209</v>
      </c>
    </row>
    <row r="1153" spans="1:19" x14ac:dyDescent="0.2">
      <c r="A1153">
        <f t="shared" si="53"/>
        <v>356</v>
      </c>
      <c r="B1153" s="3">
        <v>43972</v>
      </c>
      <c r="C1153" s="3" t="str">
        <f t="shared" si="55"/>
        <v>Thursday</v>
      </c>
      <c r="D1153" s="2">
        <v>0.48686342592592591</v>
      </c>
      <c r="E1153" t="s">
        <v>22</v>
      </c>
      <c r="F1153" t="s">
        <v>19</v>
      </c>
      <c r="G1153">
        <v>400</v>
      </c>
      <c r="H1153" t="s">
        <v>20</v>
      </c>
      <c r="I1153" t="s">
        <v>23</v>
      </c>
      <c r="L1153" t="s">
        <v>22</v>
      </c>
      <c r="M1153">
        <v>34.489899999999999</v>
      </c>
      <c r="N1153">
        <v>34.489899999999999</v>
      </c>
      <c r="O1153" t="s">
        <v>24</v>
      </c>
      <c r="P1153">
        <f t="shared" si="54"/>
        <v>400</v>
      </c>
      <c r="Q1153" s="11">
        <f>IF(P1153=0,0,IFERROR(Q1152+G1153*M1153*IF(E1153="FUTURE",VLOOKUP(MID(I1153,2,2),[1]Futures!$A$2:$B$12,2),1),G1153*M1153*IF(E1153="FUTURE",VLOOKUP(MID(I1153,2,2),[1]Futures!$A$2:$B$12,2),1)))</f>
        <v>13795.96</v>
      </c>
      <c r="R1153" s="12">
        <f>IFERROR(Q1153/P1153/IF(E1153="FUTURE",VLOOKUP(MID(I1153,2,2),[1]Futures!$A$2:$B$12,2),1),"")</f>
        <v>34.489899999999999</v>
      </c>
      <c r="S1153" s="13" t="str">
        <f>IF(AND(H1153="TO CLOSE",P1153=0),-G1153*(M1153-R1152)*IF(E1153="FUTURE",VLOOKUP(MID(I1153,2,2),[1]Futures!$A$2:$B$12,2),1),"")</f>
        <v/>
      </c>
    </row>
    <row r="1154" spans="1:19" x14ac:dyDescent="0.2">
      <c r="A1154">
        <f t="shared" ref="A1154:A1217" si="56">IF(AND(P1153=0,H1153="TO CLOSE"),IFERROR(A1153+1,1),IFERROR(A1153/1,1))</f>
        <v>356</v>
      </c>
      <c r="B1154" s="3">
        <v>43972</v>
      </c>
      <c r="C1154" s="3" t="str">
        <f t="shared" si="55"/>
        <v>Thursday</v>
      </c>
      <c r="D1154" s="2">
        <v>0.49237268518518523</v>
      </c>
      <c r="E1154" t="s">
        <v>22</v>
      </c>
      <c r="F1154" t="s">
        <v>15</v>
      </c>
      <c r="G1154">
        <v>-200</v>
      </c>
      <c r="H1154" t="s">
        <v>16</v>
      </c>
      <c r="I1154" t="s">
        <v>23</v>
      </c>
      <c r="L1154" t="s">
        <v>22</v>
      </c>
      <c r="M1154">
        <v>34.53</v>
      </c>
      <c r="N1154">
        <v>34.53</v>
      </c>
      <c r="O1154" t="s">
        <v>21</v>
      </c>
      <c r="P1154">
        <f t="shared" si="54"/>
        <v>200</v>
      </c>
      <c r="Q1154" s="11">
        <f>IF(P1154=0,0,IFERROR(Q1153+G1154*M1154*IF(E1154="FUTURE",VLOOKUP(MID(I1154,2,2),[1]Futures!$A$2:$B$12,2),1),G1154*M1154*IF(E1154="FUTURE",VLOOKUP(MID(I1154,2,2),[1]Futures!$A$2:$B$12,2),1)))</f>
        <v>6889.9599999999991</v>
      </c>
      <c r="R1154" s="12">
        <f>IFERROR(Q1154/P1154/IF(E1154="FUTURE",VLOOKUP(MID(I1154,2,2),[1]Futures!$A$2:$B$12,2),1),"")</f>
        <v>34.449799999999996</v>
      </c>
      <c r="S1154" s="13" t="str">
        <f>IF(AND(H1154="TO CLOSE",P1154=0),-G1154*(M1154-R1153)*IF(E1154="FUTURE",VLOOKUP(MID(I1154,2,2),[1]Futures!$A$2:$B$12,2),1),"")</f>
        <v/>
      </c>
    </row>
    <row r="1155" spans="1:19" x14ac:dyDescent="0.2">
      <c r="A1155">
        <f t="shared" si="56"/>
        <v>356</v>
      </c>
      <c r="B1155" s="3">
        <v>43972</v>
      </c>
      <c r="C1155" s="3" t="str">
        <f t="shared" si="55"/>
        <v>Thursday</v>
      </c>
      <c r="D1155" s="2">
        <v>0.49303240740740745</v>
      </c>
      <c r="E1155" t="s">
        <v>22</v>
      </c>
      <c r="F1155" t="s">
        <v>15</v>
      </c>
      <c r="G1155">
        <v>-200</v>
      </c>
      <c r="H1155" t="s">
        <v>16</v>
      </c>
      <c r="I1155" t="s">
        <v>23</v>
      </c>
      <c r="L1155" t="s">
        <v>22</v>
      </c>
      <c r="M1155">
        <v>34.564999999999998</v>
      </c>
      <c r="N1155">
        <v>34.564999999999998</v>
      </c>
      <c r="O1155" t="s">
        <v>24</v>
      </c>
      <c r="P1155">
        <f t="shared" ref="P1155:P1218" si="57">IF(H1155="TO OPEN",IFERROR(P1154+G1155,0+G1155),IFERROR(P1154+G1155,0+G1155))</f>
        <v>0</v>
      </c>
      <c r="Q1155" s="11">
        <f>IF(P1155=0,0,IFERROR(Q1154+G1155*M1155*IF(E1155="FUTURE",VLOOKUP(MID(I1155,2,2),[1]Futures!$A$2:$B$12,2),1),G1155*M1155*IF(E1155="FUTURE",VLOOKUP(MID(I1155,2,2),[1]Futures!$A$2:$B$12,2),1)))</f>
        <v>0</v>
      </c>
      <c r="R1155" s="12" t="str">
        <f>IFERROR(Q1155/P1155/IF(E1155="FUTURE",VLOOKUP(MID(I1155,2,2),[1]Futures!$A$2:$B$12,2),1),"")</f>
        <v/>
      </c>
      <c r="S1155" s="13">
        <f>IF(AND(H1155="TO CLOSE",P1155=0),-G1155*(M1155-R1154)*IF(E1155="FUTURE",VLOOKUP(MID(I1155,2,2),[1]Futures!$A$2:$B$12,2),1),"")</f>
        <v>23.040000000000305</v>
      </c>
    </row>
    <row r="1156" spans="1:19" x14ac:dyDescent="0.2">
      <c r="A1156">
        <f t="shared" si="56"/>
        <v>357</v>
      </c>
      <c r="B1156" s="3">
        <v>43972</v>
      </c>
      <c r="C1156" s="3" t="str">
        <f t="shared" si="55"/>
        <v>Thursday</v>
      </c>
      <c r="D1156" s="2">
        <v>0.52759259259259261</v>
      </c>
      <c r="E1156" t="s">
        <v>22</v>
      </c>
      <c r="F1156" t="s">
        <v>19</v>
      </c>
      <c r="G1156">
        <v>400</v>
      </c>
      <c r="H1156" t="s">
        <v>20</v>
      </c>
      <c r="I1156" t="s">
        <v>23</v>
      </c>
      <c r="L1156" t="s">
        <v>22</v>
      </c>
      <c r="M1156">
        <v>34.829900000000002</v>
      </c>
      <c r="N1156">
        <v>34.829900000000002</v>
      </c>
      <c r="O1156" t="s">
        <v>24</v>
      </c>
      <c r="P1156">
        <f t="shared" si="57"/>
        <v>400</v>
      </c>
      <c r="Q1156" s="11">
        <f>IF(P1156=0,0,IFERROR(Q1155+G1156*M1156*IF(E1156="FUTURE",VLOOKUP(MID(I1156,2,2),[1]Futures!$A$2:$B$12,2),1),G1156*M1156*IF(E1156="FUTURE",VLOOKUP(MID(I1156,2,2),[1]Futures!$A$2:$B$12,2),1)))</f>
        <v>13931.960000000001</v>
      </c>
      <c r="R1156" s="12">
        <f>IFERROR(Q1156/P1156/IF(E1156="FUTURE",VLOOKUP(MID(I1156,2,2),[1]Futures!$A$2:$B$12,2),1),"")</f>
        <v>34.829900000000002</v>
      </c>
      <c r="S1156" s="13" t="str">
        <f>IF(AND(H1156="TO CLOSE",P1156=0),-G1156*(M1156-R1155)*IF(E1156="FUTURE",VLOOKUP(MID(I1156,2,2),[1]Futures!$A$2:$B$12,2),1),"")</f>
        <v/>
      </c>
    </row>
    <row r="1157" spans="1:19" x14ac:dyDescent="0.2">
      <c r="A1157">
        <f t="shared" si="56"/>
        <v>357</v>
      </c>
      <c r="B1157" s="3">
        <v>43972</v>
      </c>
      <c r="C1157" s="3" t="str">
        <f t="shared" si="55"/>
        <v>Thursday</v>
      </c>
      <c r="D1157" s="2">
        <v>0.54167824074074067</v>
      </c>
      <c r="E1157" t="s">
        <v>22</v>
      </c>
      <c r="F1157" t="s">
        <v>15</v>
      </c>
      <c r="G1157">
        <v>-400</v>
      </c>
      <c r="H1157" t="s">
        <v>16</v>
      </c>
      <c r="I1157" t="s">
        <v>23</v>
      </c>
      <c r="L1157" t="s">
        <v>22</v>
      </c>
      <c r="M1157">
        <v>34.6905</v>
      </c>
      <c r="N1157">
        <v>34.6905</v>
      </c>
      <c r="O1157" t="s">
        <v>18</v>
      </c>
      <c r="P1157">
        <f t="shared" si="57"/>
        <v>0</v>
      </c>
      <c r="Q1157" s="11">
        <f>IF(P1157=0,0,IFERROR(Q1156+G1157*M1157*IF(E1157="FUTURE",VLOOKUP(MID(I1157,2,2),[1]Futures!$A$2:$B$12,2),1),G1157*M1157*IF(E1157="FUTURE",VLOOKUP(MID(I1157,2,2),[1]Futures!$A$2:$B$12,2),1)))</f>
        <v>0</v>
      </c>
      <c r="R1157" s="12" t="str">
        <f>IFERROR(Q1157/P1157/IF(E1157="FUTURE",VLOOKUP(MID(I1157,2,2),[1]Futures!$A$2:$B$12,2),1),"")</f>
        <v/>
      </c>
      <c r="S1157" s="13">
        <f>IF(AND(H1157="TO CLOSE",P1157=0),-G1157*(M1157-R1156)*IF(E1157="FUTURE",VLOOKUP(MID(I1157,2,2),[1]Futures!$A$2:$B$12,2),1),"")</f>
        <v>-55.760000000000787</v>
      </c>
    </row>
    <row r="1158" spans="1:19" x14ac:dyDescent="0.2">
      <c r="A1158">
        <f t="shared" si="56"/>
        <v>358</v>
      </c>
      <c r="B1158" s="3">
        <v>43973</v>
      </c>
      <c r="C1158" s="3" t="str">
        <f t="shared" si="55"/>
        <v>Friday</v>
      </c>
      <c r="D1158" s="2">
        <v>0.37888888888888889</v>
      </c>
      <c r="E1158" t="s">
        <v>14</v>
      </c>
      <c r="F1158" t="s">
        <v>19</v>
      </c>
      <c r="G1158">
        <v>1</v>
      </c>
      <c r="H1158" t="s">
        <v>20</v>
      </c>
      <c r="I1158" t="s">
        <v>77</v>
      </c>
      <c r="J1158" s="1">
        <v>44063</v>
      </c>
      <c r="L1158" t="s">
        <v>14</v>
      </c>
      <c r="M1158">
        <v>33.31</v>
      </c>
      <c r="N1158">
        <v>33.31</v>
      </c>
      <c r="O1158" t="s">
        <v>24</v>
      </c>
      <c r="P1158">
        <f t="shared" si="57"/>
        <v>1</v>
      </c>
      <c r="Q1158" s="11">
        <f>IF(P1158=0,0,IFERROR(Q1157+G1158*M1158*IF(E1158="FUTURE",VLOOKUP(MID(I1158,2,2),[1]Futures!$A$2:$B$12,2),1),G1158*M1158*IF(E1158="FUTURE",VLOOKUP(MID(I1158,2,2),[1]Futures!$A$2:$B$12,2),1)))</f>
        <v>33310</v>
      </c>
      <c r="R1158" s="12">
        <f>IFERROR(Q1158/P1158/IF(E1158="FUTURE",VLOOKUP(MID(I1158,2,2),[1]Futures!$A$2:$B$12,2),1),"")</f>
        <v>33.31</v>
      </c>
      <c r="S1158" s="13" t="str">
        <f>IF(AND(H1158="TO CLOSE",P1158=0),-G1158*(M1158-R1157)*IF(E1158="FUTURE",VLOOKUP(MID(I1158,2,2),[1]Futures!$A$2:$B$12,2),1),"")</f>
        <v/>
      </c>
    </row>
    <row r="1159" spans="1:19" x14ac:dyDescent="0.2">
      <c r="A1159">
        <f t="shared" si="56"/>
        <v>358</v>
      </c>
      <c r="B1159" s="3">
        <v>43973</v>
      </c>
      <c r="C1159" s="3" t="str">
        <f t="shared" si="55"/>
        <v>Friday</v>
      </c>
      <c r="D1159" s="2">
        <v>0.38179398148148147</v>
      </c>
      <c r="E1159" t="s">
        <v>14</v>
      </c>
      <c r="F1159" t="s">
        <v>15</v>
      </c>
      <c r="G1159">
        <v>-1</v>
      </c>
      <c r="H1159" t="s">
        <v>16</v>
      </c>
      <c r="I1159" t="s">
        <v>77</v>
      </c>
      <c r="J1159" s="1">
        <v>44063</v>
      </c>
      <c r="L1159" t="s">
        <v>14</v>
      </c>
      <c r="M1159">
        <v>33.49</v>
      </c>
      <c r="N1159">
        <v>33.49</v>
      </c>
      <c r="O1159" t="s">
        <v>21</v>
      </c>
      <c r="P1159">
        <f t="shared" si="57"/>
        <v>0</v>
      </c>
      <c r="Q1159" s="11">
        <f>IF(P1159=0,0,IFERROR(Q1158+G1159*M1159*IF(E1159="FUTURE",VLOOKUP(MID(I1159,2,2),[1]Futures!$A$2:$B$12,2),1),G1159*M1159*IF(E1159="FUTURE",VLOOKUP(MID(I1159,2,2),[1]Futures!$A$2:$B$12,2),1)))</f>
        <v>0</v>
      </c>
      <c r="R1159" s="12" t="str">
        <f>IFERROR(Q1159/P1159/IF(E1159="FUTURE",VLOOKUP(MID(I1159,2,2),[1]Futures!$A$2:$B$12,2),1),"")</f>
        <v/>
      </c>
      <c r="S1159" s="13">
        <f>IF(AND(H1159="TO CLOSE",P1159=0),-G1159*(M1159-R1158)*IF(E1159="FUTURE",VLOOKUP(MID(I1159,2,2),[1]Futures!$A$2:$B$12,2),1),"")</f>
        <v>179.99999999999972</v>
      </c>
    </row>
    <row r="1160" spans="1:19" x14ac:dyDescent="0.2">
      <c r="A1160">
        <f t="shared" si="56"/>
        <v>359</v>
      </c>
      <c r="B1160" s="3">
        <v>43973</v>
      </c>
      <c r="C1160" s="3" t="str">
        <f t="shared" si="55"/>
        <v>Friday</v>
      </c>
      <c r="D1160" s="2">
        <v>0.40166666666666667</v>
      </c>
      <c r="E1160" t="s">
        <v>14</v>
      </c>
      <c r="F1160" t="s">
        <v>15</v>
      </c>
      <c r="G1160">
        <v>-1</v>
      </c>
      <c r="H1160" t="s">
        <v>20</v>
      </c>
      <c r="I1160" t="s">
        <v>77</v>
      </c>
      <c r="J1160" s="1">
        <v>44063</v>
      </c>
      <c r="L1160" t="s">
        <v>14</v>
      </c>
      <c r="M1160">
        <v>33.229999999999997</v>
      </c>
      <c r="N1160">
        <v>33.229999999999997</v>
      </c>
      <c r="O1160" t="s">
        <v>21</v>
      </c>
      <c r="P1160">
        <f t="shared" si="57"/>
        <v>-1</v>
      </c>
      <c r="Q1160" s="11">
        <f>IF(P1160=0,0,IFERROR(Q1159+G1160*M1160*IF(E1160="FUTURE",VLOOKUP(MID(I1160,2,2),[1]Futures!$A$2:$B$12,2),1),G1160*M1160*IF(E1160="FUTURE",VLOOKUP(MID(I1160,2,2),[1]Futures!$A$2:$B$12,2),1)))</f>
        <v>-33230</v>
      </c>
      <c r="R1160" s="12">
        <f>IFERROR(Q1160/P1160/IF(E1160="FUTURE",VLOOKUP(MID(I1160,2,2),[1]Futures!$A$2:$B$12,2),1),"")</f>
        <v>33.229999999999997</v>
      </c>
      <c r="S1160" s="13" t="str">
        <f>IF(AND(H1160="TO CLOSE",P1160=0),-G1160*(M1160-R1159)*IF(E1160="FUTURE",VLOOKUP(MID(I1160,2,2),[1]Futures!$A$2:$B$12,2),1),"")</f>
        <v/>
      </c>
    </row>
    <row r="1161" spans="1:19" x14ac:dyDescent="0.2">
      <c r="A1161">
        <f t="shared" si="56"/>
        <v>359</v>
      </c>
      <c r="B1161" s="3">
        <v>43973</v>
      </c>
      <c r="C1161" s="3" t="str">
        <f t="shared" si="55"/>
        <v>Friday</v>
      </c>
      <c r="D1161" s="2">
        <v>0.40465277777777775</v>
      </c>
      <c r="E1161" t="s">
        <v>14</v>
      </c>
      <c r="F1161" t="s">
        <v>19</v>
      </c>
      <c r="G1161">
        <v>1</v>
      </c>
      <c r="H1161" t="s">
        <v>16</v>
      </c>
      <c r="I1161" t="s">
        <v>77</v>
      </c>
      <c r="J1161" s="1">
        <v>44063</v>
      </c>
      <c r="L1161" t="s">
        <v>14</v>
      </c>
      <c r="M1161">
        <v>32.96</v>
      </c>
      <c r="N1161">
        <v>32.96</v>
      </c>
      <c r="O1161" t="s">
        <v>21</v>
      </c>
      <c r="P1161">
        <f t="shared" si="57"/>
        <v>0</v>
      </c>
      <c r="Q1161" s="11">
        <f>IF(P1161=0,0,IFERROR(Q1160+G1161*M1161*IF(E1161="FUTURE",VLOOKUP(MID(I1161,2,2),[1]Futures!$A$2:$B$12,2),1),G1161*M1161*IF(E1161="FUTURE",VLOOKUP(MID(I1161,2,2),[1]Futures!$A$2:$B$12,2),1)))</f>
        <v>0</v>
      </c>
      <c r="R1161" s="12" t="str">
        <f>IFERROR(Q1161/P1161/IF(E1161="FUTURE",VLOOKUP(MID(I1161,2,2),[1]Futures!$A$2:$B$12,2),1),"")</f>
        <v/>
      </c>
      <c r="S1161" s="13">
        <f>IF(AND(H1161="TO CLOSE",P1161=0),-G1161*(M1161-R1160)*IF(E1161="FUTURE",VLOOKUP(MID(I1161,2,2),[1]Futures!$A$2:$B$12,2),1),"")</f>
        <v>269.99999999999602</v>
      </c>
    </row>
    <row r="1162" spans="1:19" x14ac:dyDescent="0.2">
      <c r="A1162">
        <f t="shared" si="56"/>
        <v>360</v>
      </c>
      <c r="B1162" s="3">
        <v>43973</v>
      </c>
      <c r="C1162" s="3" t="str">
        <f t="shared" si="55"/>
        <v>Friday</v>
      </c>
      <c r="D1162" s="2">
        <v>0.45003472222222224</v>
      </c>
      <c r="E1162" t="s">
        <v>14</v>
      </c>
      <c r="F1162" t="s">
        <v>19</v>
      </c>
      <c r="G1162">
        <v>1</v>
      </c>
      <c r="H1162" t="s">
        <v>20</v>
      </c>
      <c r="I1162" t="s">
        <v>77</v>
      </c>
      <c r="J1162" s="1">
        <v>44063</v>
      </c>
      <c r="L1162" t="s">
        <v>14</v>
      </c>
      <c r="M1162">
        <v>32.9</v>
      </c>
      <c r="N1162">
        <v>32.9</v>
      </c>
      <c r="O1162" t="s">
        <v>21</v>
      </c>
      <c r="P1162">
        <f t="shared" si="57"/>
        <v>1</v>
      </c>
      <c r="Q1162" s="11">
        <f>IF(P1162=0,0,IFERROR(Q1161+G1162*M1162*IF(E1162="FUTURE",VLOOKUP(MID(I1162,2,2),[1]Futures!$A$2:$B$12,2),1),G1162*M1162*IF(E1162="FUTURE",VLOOKUP(MID(I1162,2,2),[1]Futures!$A$2:$B$12,2),1)))</f>
        <v>32900</v>
      </c>
      <c r="R1162" s="12">
        <f>IFERROR(Q1162/P1162/IF(E1162="FUTURE",VLOOKUP(MID(I1162,2,2),[1]Futures!$A$2:$B$12,2),1),"")</f>
        <v>32.9</v>
      </c>
      <c r="S1162" s="13" t="str">
        <f>IF(AND(H1162="TO CLOSE",P1162=0),-G1162*(M1162-R1161)*IF(E1162="FUTURE",VLOOKUP(MID(I1162,2,2),[1]Futures!$A$2:$B$12,2),1),"")</f>
        <v/>
      </c>
    </row>
    <row r="1163" spans="1:19" x14ac:dyDescent="0.2">
      <c r="A1163">
        <f t="shared" si="56"/>
        <v>360</v>
      </c>
      <c r="B1163" s="3">
        <v>43973</v>
      </c>
      <c r="C1163" s="3" t="str">
        <f t="shared" si="55"/>
        <v>Friday</v>
      </c>
      <c r="D1163" s="2">
        <v>0.45098379629629631</v>
      </c>
      <c r="E1163" t="s">
        <v>14</v>
      </c>
      <c r="F1163" t="s">
        <v>15</v>
      </c>
      <c r="G1163">
        <v>-1</v>
      </c>
      <c r="H1163" t="s">
        <v>16</v>
      </c>
      <c r="I1163" t="s">
        <v>77</v>
      </c>
      <c r="J1163" s="1">
        <v>44063</v>
      </c>
      <c r="L1163" t="s">
        <v>14</v>
      </c>
      <c r="M1163">
        <v>33.01</v>
      </c>
      <c r="N1163">
        <v>33.01</v>
      </c>
      <c r="O1163" t="s">
        <v>21</v>
      </c>
      <c r="P1163">
        <f t="shared" si="57"/>
        <v>0</v>
      </c>
      <c r="Q1163" s="11">
        <f>IF(P1163=0,0,IFERROR(Q1162+G1163*M1163*IF(E1163="FUTURE",VLOOKUP(MID(I1163,2,2),[1]Futures!$A$2:$B$12,2),1),G1163*M1163*IF(E1163="FUTURE",VLOOKUP(MID(I1163,2,2),[1]Futures!$A$2:$B$12,2),1)))</f>
        <v>0</v>
      </c>
      <c r="R1163" s="12" t="str">
        <f>IFERROR(Q1163/P1163/IF(E1163="FUTURE",VLOOKUP(MID(I1163,2,2),[1]Futures!$A$2:$B$12,2),1),"")</f>
        <v/>
      </c>
      <c r="S1163" s="13">
        <f>IF(AND(H1163="TO CLOSE",P1163=0),-G1163*(M1163-R1162)*IF(E1163="FUTURE",VLOOKUP(MID(I1163,2,2),[1]Futures!$A$2:$B$12,2),1),"")</f>
        <v>109.99999999999943</v>
      </c>
    </row>
    <row r="1164" spans="1:19" x14ac:dyDescent="0.2">
      <c r="A1164">
        <f t="shared" si="56"/>
        <v>361</v>
      </c>
      <c r="B1164" s="3">
        <v>43973</v>
      </c>
      <c r="C1164" s="3" t="str">
        <f t="shared" si="55"/>
        <v>Friday</v>
      </c>
      <c r="D1164" s="2">
        <v>0.5733449074074074</v>
      </c>
      <c r="E1164" t="s">
        <v>14</v>
      </c>
      <c r="F1164" t="s">
        <v>15</v>
      </c>
      <c r="G1164">
        <v>-1</v>
      </c>
      <c r="H1164" t="s">
        <v>20</v>
      </c>
      <c r="I1164" t="s">
        <v>77</v>
      </c>
      <c r="J1164" s="1">
        <v>44063</v>
      </c>
      <c r="L1164" t="s">
        <v>14</v>
      </c>
      <c r="M1164">
        <v>33.549999999999997</v>
      </c>
      <c r="N1164">
        <v>33.549999999999997</v>
      </c>
      <c r="O1164" t="s">
        <v>21</v>
      </c>
      <c r="P1164">
        <f t="shared" si="57"/>
        <v>-1</v>
      </c>
      <c r="Q1164" s="11">
        <f>IF(P1164=0,0,IFERROR(Q1163+G1164*M1164*IF(E1164="FUTURE",VLOOKUP(MID(I1164,2,2),[1]Futures!$A$2:$B$12,2),1),G1164*M1164*IF(E1164="FUTURE",VLOOKUP(MID(I1164,2,2),[1]Futures!$A$2:$B$12,2),1)))</f>
        <v>-33550</v>
      </c>
      <c r="R1164" s="12">
        <f>IFERROR(Q1164/P1164/IF(E1164="FUTURE",VLOOKUP(MID(I1164,2,2),[1]Futures!$A$2:$B$12,2),1),"")</f>
        <v>33.549999999999997</v>
      </c>
      <c r="S1164" s="13" t="str">
        <f>IF(AND(H1164="TO CLOSE",P1164=0),-G1164*(M1164-R1163)*IF(E1164="FUTURE",VLOOKUP(MID(I1164,2,2),[1]Futures!$A$2:$B$12,2),1),"")</f>
        <v/>
      </c>
    </row>
    <row r="1165" spans="1:19" x14ac:dyDescent="0.2">
      <c r="A1165">
        <f t="shared" si="56"/>
        <v>361</v>
      </c>
      <c r="B1165" s="3">
        <v>43973</v>
      </c>
      <c r="C1165" s="3" t="str">
        <f t="shared" si="55"/>
        <v>Friday</v>
      </c>
      <c r="D1165" s="2">
        <v>0.57513888888888887</v>
      </c>
      <c r="E1165" t="s">
        <v>14</v>
      </c>
      <c r="F1165" t="s">
        <v>19</v>
      </c>
      <c r="G1165">
        <v>1</v>
      </c>
      <c r="H1165" t="s">
        <v>16</v>
      </c>
      <c r="I1165" t="s">
        <v>77</v>
      </c>
      <c r="J1165" s="1">
        <v>44063</v>
      </c>
      <c r="L1165" t="s">
        <v>14</v>
      </c>
      <c r="M1165">
        <v>33.54</v>
      </c>
      <c r="N1165">
        <v>33.54</v>
      </c>
      <c r="O1165" t="s">
        <v>21</v>
      </c>
      <c r="P1165">
        <f t="shared" si="57"/>
        <v>0</v>
      </c>
      <c r="Q1165" s="11">
        <f>IF(P1165=0,0,IFERROR(Q1164+G1165*M1165*IF(E1165="FUTURE",VLOOKUP(MID(I1165,2,2),[1]Futures!$A$2:$B$12,2),1),G1165*M1165*IF(E1165="FUTURE",VLOOKUP(MID(I1165,2,2),[1]Futures!$A$2:$B$12,2),1)))</f>
        <v>0</v>
      </c>
      <c r="R1165" s="12" t="str">
        <f>IFERROR(Q1165/P1165/IF(E1165="FUTURE",VLOOKUP(MID(I1165,2,2),[1]Futures!$A$2:$B$12,2),1),"")</f>
        <v/>
      </c>
      <c r="S1165" s="13">
        <f>IF(AND(H1165="TO CLOSE",P1165=0),-G1165*(M1165-R1164)*IF(E1165="FUTURE",VLOOKUP(MID(I1165,2,2),[1]Futures!$A$2:$B$12,2),1),"")</f>
        <v>9.9999999999980105</v>
      </c>
    </row>
    <row r="1166" spans="1:19" x14ac:dyDescent="0.2">
      <c r="A1166">
        <f t="shared" si="56"/>
        <v>362</v>
      </c>
      <c r="B1166" s="3">
        <v>43973</v>
      </c>
      <c r="C1166" s="3" t="str">
        <f t="shared" si="55"/>
        <v>Friday</v>
      </c>
      <c r="D1166" s="2">
        <v>0.3925925925925926</v>
      </c>
      <c r="E1166" t="s">
        <v>14</v>
      </c>
      <c r="F1166" t="s">
        <v>19</v>
      </c>
      <c r="G1166">
        <v>1</v>
      </c>
      <c r="H1166" t="s">
        <v>20</v>
      </c>
      <c r="I1166" t="s">
        <v>17</v>
      </c>
      <c r="J1166" s="1">
        <v>44002</v>
      </c>
      <c r="L1166" t="s">
        <v>14</v>
      </c>
      <c r="M1166">
        <v>2942.5</v>
      </c>
      <c r="N1166">
        <v>2942.5</v>
      </c>
      <c r="O1166" t="s">
        <v>21</v>
      </c>
      <c r="P1166">
        <f t="shared" si="57"/>
        <v>1</v>
      </c>
      <c r="Q1166" s="11">
        <f>IF(P1166=0,0,IFERROR(Q1165+G1166*M1166*IF(E1166="FUTURE",VLOOKUP(MID(I1166,2,2),[1]Futures!$A$2:$B$12,2),1),G1166*M1166*IF(E1166="FUTURE",VLOOKUP(MID(I1166,2,2),[1]Futures!$A$2:$B$12,2),1)))</f>
        <v>147125</v>
      </c>
      <c r="R1166" s="12">
        <f>IFERROR(Q1166/P1166/IF(E1166="FUTURE",VLOOKUP(MID(I1166,2,2),[1]Futures!$A$2:$B$12,2),1),"")</f>
        <v>2942.5</v>
      </c>
      <c r="S1166" s="13" t="str">
        <f>IF(AND(H1166="TO CLOSE",P1166=0),-G1166*(M1166-R1165)*IF(E1166="FUTURE",VLOOKUP(MID(I1166,2,2),[1]Futures!$A$2:$B$12,2),1),"")</f>
        <v/>
      </c>
    </row>
    <row r="1167" spans="1:19" x14ac:dyDescent="0.2">
      <c r="A1167">
        <f t="shared" si="56"/>
        <v>362</v>
      </c>
      <c r="B1167" s="3">
        <v>43973</v>
      </c>
      <c r="C1167" s="3" t="str">
        <f t="shared" si="55"/>
        <v>Friday</v>
      </c>
      <c r="D1167" s="2">
        <v>0.42717592592592596</v>
      </c>
      <c r="E1167" t="s">
        <v>14</v>
      </c>
      <c r="F1167" t="s">
        <v>15</v>
      </c>
      <c r="G1167">
        <v>-1</v>
      </c>
      <c r="H1167" t="s">
        <v>16</v>
      </c>
      <c r="I1167" t="s">
        <v>17</v>
      </c>
      <c r="J1167" s="1">
        <v>44002</v>
      </c>
      <c r="L1167" t="s">
        <v>14</v>
      </c>
      <c r="M1167">
        <v>2928.5</v>
      </c>
      <c r="N1167">
        <v>2928.5</v>
      </c>
      <c r="O1167" t="s">
        <v>18</v>
      </c>
      <c r="P1167">
        <f t="shared" si="57"/>
        <v>0</v>
      </c>
      <c r="Q1167" s="11">
        <f>IF(P1167=0,0,IFERROR(Q1166+G1167*M1167*IF(E1167="FUTURE",VLOOKUP(MID(I1167,2,2),[1]Futures!$A$2:$B$12,2),1),G1167*M1167*IF(E1167="FUTURE",VLOOKUP(MID(I1167,2,2),[1]Futures!$A$2:$B$12,2),1)))</f>
        <v>0</v>
      </c>
      <c r="R1167" s="12" t="str">
        <f>IFERROR(Q1167/P1167/IF(E1167="FUTURE",VLOOKUP(MID(I1167,2,2),[1]Futures!$A$2:$B$12,2),1),"")</f>
        <v/>
      </c>
      <c r="S1167" s="13">
        <f>IF(AND(H1167="TO CLOSE",P1167=0),-G1167*(M1167-R1166)*IF(E1167="FUTURE",VLOOKUP(MID(I1167,2,2),[1]Futures!$A$2:$B$12,2),1),"")</f>
        <v>-700</v>
      </c>
    </row>
    <row r="1168" spans="1:19" x14ac:dyDescent="0.2">
      <c r="A1168">
        <f t="shared" si="56"/>
        <v>363</v>
      </c>
      <c r="B1168" s="3">
        <v>43973</v>
      </c>
      <c r="C1168" s="3" t="str">
        <f t="shared" si="55"/>
        <v>Friday</v>
      </c>
      <c r="D1168" s="2">
        <v>0.42745370370370367</v>
      </c>
      <c r="E1168" t="s">
        <v>14</v>
      </c>
      <c r="F1168" t="s">
        <v>15</v>
      </c>
      <c r="G1168">
        <v>-1</v>
      </c>
      <c r="H1168" t="s">
        <v>20</v>
      </c>
      <c r="I1168" t="s">
        <v>17</v>
      </c>
      <c r="J1168" s="1">
        <v>44002</v>
      </c>
      <c r="L1168" t="s">
        <v>14</v>
      </c>
      <c r="M1168">
        <v>2929.75</v>
      </c>
      <c r="N1168">
        <v>2929.75</v>
      </c>
      <c r="O1168" t="s">
        <v>21</v>
      </c>
      <c r="P1168">
        <f t="shared" si="57"/>
        <v>-1</v>
      </c>
      <c r="Q1168" s="11">
        <f>IF(P1168=0,0,IFERROR(Q1167+G1168*M1168*IF(E1168="FUTURE",VLOOKUP(MID(I1168,2,2),[1]Futures!$A$2:$B$12,2),1),G1168*M1168*IF(E1168="FUTURE",VLOOKUP(MID(I1168,2,2),[1]Futures!$A$2:$B$12,2),1)))</f>
        <v>-146487.5</v>
      </c>
      <c r="R1168" s="12">
        <f>IFERROR(Q1168/P1168/IF(E1168="FUTURE",VLOOKUP(MID(I1168,2,2),[1]Futures!$A$2:$B$12,2),1),"")</f>
        <v>2929.75</v>
      </c>
      <c r="S1168" s="13" t="str">
        <f>IF(AND(H1168="TO CLOSE",P1168=0),-G1168*(M1168-R1167)*IF(E1168="FUTURE",VLOOKUP(MID(I1168,2,2),[1]Futures!$A$2:$B$12,2),1),"")</f>
        <v/>
      </c>
    </row>
    <row r="1169" spans="1:19" x14ac:dyDescent="0.2">
      <c r="A1169">
        <f t="shared" si="56"/>
        <v>363</v>
      </c>
      <c r="B1169" s="3">
        <v>43973</v>
      </c>
      <c r="C1169" s="3" t="str">
        <f t="shared" si="55"/>
        <v>Friday</v>
      </c>
      <c r="D1169" s="2">
        <v>0.42859953703703701</v>
      </c>
      <c r="E1169" t="s">
        <v>14</v>
      </c>
      <c r="F1169" t="s">
        <v>19</v>
      </c>
      <c r="G1169">
        <v>2</v>
      </c>
      <c r="H1169" t="s">
        <v>16</v>
      </c>
      <c r="I1169" t="s">
        <v>17</v>
      </c>
      <c r="J1169" s="1">
        <v>44002</v>
      </c>
      <c r="L1169" t="s">
        <v>14</v>
      </c>
      <c r="M1169">
        <v>2933.75</v>
      </c>
      <c r="N1169">
        <v>2933.75</v>
      </c>
      <c r="O1169" t="s">
        <v>18</v>
      </c>
      <c r="P1169">
        <f t="shared" si="57"/>
        <v>1</v>
      </c>
      <c r="Q1169" s="11">
        <f>IF(P1169=0,0,IFERROR(Q1168+G1169*M1169*IF(E1169="FUTURE",VLOOKUP(MID(I1169,2,2),[1]Futures!$A$2:$B$12,2),1),G1169*M1169*IF(E1169="FUTURE",VLOOKUP(MID(I1169,2,2),[1]Futures!$A$2:$B$12,2),1)))</f>
        <v>146887.5</v>
      </c>
      <c r="R1169" s="12">
        <f>IFERROR(Q1169/P1169/IF(E1169="FUTURE",VLOOKUP(MID(I1169,2,2),[1]Futures!$A$2:$B$12,2),1),"")</f>
        <v>2937.75</v>
      </c>
      <c r="S1169" s="13" t="str">
        <f>IF(AND(H1169="TO CLOSE",P1169=0),-G1169*(M1169-R1168)*IF(E1169="FUTURE",VLOOKUP(MID(I1169,2,2),[1]Futures!$A$2:$B$12,2),1),"")</f>
        <v/>
      </c>
    </row>
    <row r="1170" spans="1:19" x14ac:dyDescent="0.2">
      <c r="A1170">
        <f t="shared" si="56"/>
        <v>363</v>
      </c>
      <c r="B1170" s="3">
        <v>43973</v>
      </c>
      <c r="C1170" s="3" t="str">
        <f t="shared" si="55"/>
        <v>Friday</v>
      </c>
      <c r="D1170" s="2">
        <v>0.43501157407407409</v>
      </c>
      <c r="E1170" t="s">
        <v>14</v>
      </c>
      <c r="F1170" t="s">
        <v>19</v>
      </c>
      <c r="G1170">
        <v>1</v>
      </c>
      <c r="H1170" t="s">
        <v>20</v>
      </c>
      <c r="I1170" t="s">
        <v>17</v>
      </c>
      <c r="J1170" s="1">
        <v>44002</v>
      </c>
      <c r="L1170" t="s">
        <v>14</v>
      </c>
      <c r="M1170">
        <v>2937.25</v>
      </c>
      <c r="N1170">
        <v>2937.25</v>
      </c>
      <c r="O1170" t="s">
        <v>24</v>
      </c>
      <c r="P1170">
        <f t="shared" si="57"/>
        <v>2</v>
      </c>
      <c r="Q1170" s="11">
        <f>IF(P1170=0,0,IFERROR(Q1169+G1170*M1170*IF(E1170="FUTURE",VLOOKUP(MID(I1170,2,2),[1]Futures!$A$2:$B$12,2),1),G1170*M1170*IF(E1170="FUTURE",VLOOKUP(MID(I1170,2,2),[1]Futures!$A$2:$B$12,2),1)))</f>
        <v>293750</v>
      </c>
      <c r="R1170" s="12">
        <f>IFERROR(Q1170/P1170/IF(E1170="FUTURE",VLOOKUP(MID(I1170,2,2),[1]Futures!$A$2:$B$12,2),1),"")</f>
        <v>2937.5</v>
      </c>
      <c r="S1170" s="13" t="str">
        <f>IF(AND(H1170="TO CLOSE",P1170=0),-G1170*(M1170-R1169)*IF(E1170="FUTURE",VLOOKUP(MID(I1170,2,2),[1]Futures!$A$2:$B$12,2),1),"")</f>
        <v/>
      </c>
    </row>
    <row r="1171" spans="1:19" x14ac:dyDescent="0.2">
      <c r="A1171">
        <f t="shared" si="56"/>
        <v>363</v>
      </c>
      <c r="B1171" s="3">
        <v>43973</v>
      </c>
      <c r="C1171" s="3" t="str">
        <f t="shared" si="55"/>
        <v>Friday</v>
      </c>
      <c r="D1171" s="2">
        <v>0.44966435185185188</v>
      </c>
      <c r="E1171" t="s">
        <v>14</v>
      </c>
      <c r="F1171" t="s">
        <v>15</v>
      </c>
      <c r="G1171">
        <v>-1</v>
      </c>
      <c r="H1171" t="s">
        <v>16</v>
      </c>
      <c r="I1171" t="s">
        <v>17</v>
      </c>
      <c r="J1171" s="1">
        <v>44002</v>
      </c>
      <c r="L1171" t="s">
        <v>14</v>
      </c>
      <c r="M1171">
        <v>2939.25</v>
      </c>
      <c r="N1171">
        <v>2939.25</v>
      </c>
      <c r="O1171" t="s">
        <v>21</v>
      </c>
      <c r="P1171">
        <f t="shared" si="57"/>
        <v>1</v>
      </c>
      <c r="Q1171" s="11">
        <f>IF(P1171=0,0,IFERROR(Q1170+G1171*M1171*IF(E1171="FUTURE",VLOOKUP(MID(I1171,2,2),[1]Futures!$A$2:$B$12,2),1),G1171*M1171*IF(E1171="FUTURE",VLOOKUP(MID(I1171,2,2),[1]Futures!$A$2:$B$12,2),1)))</f>
        <v>146787.5</v>
      </c>
      <c r="R1171" s="12">
        <f>IFERROR(Q1171/P1171/IF(E1171="FUTURE",VLOOKUP(MID(I1171,2,2),[1]Futures!$A$2:$B$12,2),1),"")</f>
        <v>2935.75</v>
      </c>
      <c r="S1171" s="13" t="str">
        <f>IF(AND(H1171="TO CLOSE",P1171=0),-G1171*(M1171-R1170)*IF(E1171="FUTURE",VLOOKUP(MID(I1171,2,2),[1]Futures!$A$2:$B$12,2),1),"")</f>
        <v/>
      </c>
    </row>
    <row r="1172" spans="1:19" x14ac:dyDescent="0.2">
      <c r="A1172">
        <f t="shared" si="56"/>
        <v>363</v>
      </c>
      <c r="B1172" s="3">
        <v>43973</v>
      </c>
      <c r="C1172" s="3" t="str">
        <f t="shared" si="55"/>
        <v>Friday</v>
      </c>
      <c r="D1172" s="2">
        <v>0.46160879629629631</v>
      </c>
      <c r="E1172" t="s">
        <v>14</v>
      </c>
      <c r="F1172" t="s">
        <v>19</v>
      </c>
      <c r="G1172">
        <v>1</v>
      </c>
      <c r="H1172" t="s">
        <v>20</v>
      </c>
      <c r="I1172" t="s">
        <v>17</v>
      </c>
      <c r="J1172" s="1">
        <v>44002</v>
      </c>
      <c r="L1172" t="s">
        <v>14</v>
      </c>
      <c r="M1172">
        <v>2932.75</v>
      </c>
      <c r="N1172">
        <v>2932.75</v>
      </c>
      <c r="O1172" t="s">
        <v>24</v>
      </c>
      <c r="P1172">
        <f t="shared" si="57"/>
        <v>2</v>
      </c>
      <c r="Q1172" s="11">
        <f>IF(P1172=0,0,IFERROR(Q1171+G1172*M1172*IF(E1172="FUTURE",VLOOKUP(MID(I1172,2,2),[1]Futures!$A$2:$B$12,2),1),G1172*M1172*IF(E1172="FUTURE",VLOOKUP(MID(I1172,2,2),[1]Futures!$A$2:$B$12,2),1)))</f>
        <v>293425</v>
      </c>
      <c r="R1172" s="12">
        <f>IFERROR(Q1172/P1172/IF(E1172="FUTURE",VLOOKUP(MID(I1172,2,2),[1]Futures!$A$2:$B$12,2),1),"")</f>
        <v>2934.25</v>
      </c>
      <c r="S1172" s="13" t="str">
        <f>IF(AND(H1172="TO CLOSE",P1172=0),-G1172*(M1172-R1171)*IF(E1172="FUTURE",VLOOKUP(MID(I1172,2,2),[1]Futures!$A$2:$B$12,2),1),"")</f>
        <v/>
      </c>
    </row>
    <row r="1173" spans="1:19" x14ac:dyDescent="0.2">
      <c r="A1173">
        <f t="shared" si="56"/>
        <v>363</v>
      </c>
      <c r="B1173" s="3">
        <v>43973</v>
      </c>
      <c r="C1173" s="3" t="str">
        <f t="shared" si="55"/>
        <v>Friday</v>
      </c>
      <c r="D1173" s="2">
        <v>0.46740740740740744</v>
      </c>
      <c r="E1173" t="s">
        <v>14</v>
      </c>
      <c r="F1173" t="s">
        <v>15</v>
      </c>
      <c r="G1173">
        <v>-1</v>
      </c>
      <c r="H1173" t="s">
        <v>16</v>
      </c>
      <c r="I1173" t="s">
        <v>17</v>
      </c>
      <c r="J1173" s="1">
        <v>44002</v>
      </c>
      <c r="L1173" t="s">
        <v>14</v>
      </c>
      <c r="M1173">
        <v>2933.25</v>
      </c>
      <c r="N1173">
        <v>2933.25</v>
      </c>
      <c r="O1173" t="s">
        <v>21</v>
      </c>
      <c r="P1173">
        <f t="shared" si="57"/>
        <v>1</v>
      </c>
      <c r="Q1173" s="11">
        <f>IF(P1173=0,0,IFERROR(Q1172+G1173*M1173*IF(E1173="FUTURE",VLOOKUP(MID(I1173,2,2),[1]Futures!$A$2:$B$12,2),1),G1173*M1173*IF(E1173="FUTURE",VLOOKUP(MID(I1173,2,2),[1]Futures!$A$2:$B$12,2),1)))</f>
        <v>146762.5</v>
      </c>
      <c r="R1173" s="12">
        <f>IFERROR(Q1173/P1173/IF(E1173="FUTURE",VLOOKUP(MID(I1173,2,2),[1]Futures!$A$2:$B$12,2),1),"")</f>
        <v>2935.25</v>
      </c>
      <c r="S1173" s="13" t="str">
        <f>IF(AND(H1173="TO CLOSE",P1173=0),-G1173*(M1173-R1172)*IF(E1173="FUTURE",VLOOKUP(MID(I1173,2,2),[1]Futures!$A$2:$B$12,2),1),"")</f>
        <v/>
      </c>
    </row>
    <row r="1174" spans="1:19" x14ac:dyDescent="0.2">
      <c r="A1174">
        <f t="shared" si="56"/>
        <v>363</v>
      </c>
      <c r="B1174" s="3">
        <v>43973</v>
      </c>
      <c r="C1174" s="3" t="str">
        <f t="shared" si="55"/>
        <v>Friday</v>
      </c>
      <c r="D1174" s="2">
        <v>0.57253472222222224</v>
      </c>
      <c r="E1174" t="s">
        <v>14</v>
      </c>
      <c r="F1174" t="s">
        <v>15</v>
      </c>
      <c r="G1174">
        <v>-1</v>
      </c>
      <c r="H1174" t="s">
        <v>16</v>
      </c>
      <c r="I1174" t="s">
        <v>17</v>
      </c>
      <c r="J1174" s="1">
        <v>44002</v>
      </c>
      <c r="L1174" t="s">
        <v>14</v>
      </c>
      <c r="M1174">
        <v>2942.25</v>
      </c>
      <c r="N1174">
        <v>2942.25</v>
      </c>
      <c r="O1174" t="s">
        <v>21</v>
      </c>
      <c r="P1174">
        <f t="shared" si="57"/>
        <v>0</v>
      </c>
      <c r="Q1174" s="11">
        <f>IF(P1174=0,0,IFERROR(Q1173+G1174*M1174*IF(E1174="FUTURE",VLOOKUP(MID(I1174,2,2),[1]Futures!$A$2:$B$12,2),1),G1174*M1174*IF(E1174="FUTURE",VLOOKUP(MID(I1174,2,2),[1]Futures!$A$2:$B$12,2),1)))</f>
        <v>0</v>
      </c>
      <c r="R1174" s="12" t="str">
        <f>IFERROR(Q1174/P1174/IF(E1174="FUTURE",VLOOKUP(MID(I1174,2,2),[1]Futures!$A$2:$B$12,2),1),"")</f>
        <v/>
      </c>
      <c r="S1174" s="13">
        <f>IF(AND(H1174="TO CLOSE",P1174=0),-G1174*(M1174-R1173)*IF(E1174="FUTURE",VLOOKUP(MID(I1174,2,2),[1]Futures!$A$2:$B$12,2),1),"")</f>
        <v>350</v>
      </c>
    </row>
    <row r="1175" spans="1:19" x14ac:dyDescent="0.2">
      <c r="A1175">
        <f t="shared" si="56"/>
        <v>364</v>
      </c>
      <c r="B1175" s="3">
        <v>43973</v>
      </c>
      <c r="C1175" s="3" t="str">
        <f t="shared" si="55"/>
        <v>Friday</v>
      </c>
      <c r="D1175" s="2">
        <v>0.45951388888888894</v>
      </c>
      <c r="E1175" t="s">
        <v>22</v>
      </c>
      <c r="F1175" t="s">
        <v>15</v>
      </c>
      <c r="G1175">
        <v>-300</v>
      </c>
      <c r="H1175" t="s">
        <v>20</v>
      </c>
      <c r="I1175" t="s">
        <v>23</v>
      </c>
      <c r="L1175" t="s">
        <v>22</v>
      </c>
      <c r="M1175">
        <v>35.18</v>
      </c>
      <c r="N1175">
        <v>35.18</v>
      </c>
      <c r="O1175" t="s">
        <v>21</v>
      </c>
      <c r="P1175">
        <f t="shared" si="57"/>
        <v>-300</v>
      </c>
      <c r="Q1175" s="11">
        <f>IF(P1175=0,0,IFERROR(Q1174+G1175*M1175*IF(E1175="FUTURE",VLOOKUP(MID(I1175,2,2),[1]Futures!$A$2:$B$12,2),1),G1175*M1175*IF(E1175="FUTURE",VLOOKUP(MID(I1175,2,2),[1]Futures!$A$2:$B$12,2),1)))</f>
        <v>-10554</v>
      </c>
      <c r="R1175" s="12">
        <f>IFERROR(Q1175/P1175/IF(E1175="FUTURE",VLOOKUP(MID(I1175,2,2),[1]Futures!$A$2:$B$12,2),1),"")</f>
        <v>35.18</v>
      </c>
      <c r="S1175" s="13" t="str">
        <f>IF(AND(H1175="TO CLOSE",P1175=0),-G1175*(M1175-R1174)*IF(E1175="FUTURE",VLOOKUP(MID(I1175,2,2),[1]Futures!$A$2:$B$12,2),1),"")</f>
        <v/>
      </c>
    </row>
    <row r="1176" spans="1:19" x14ac:dyDescent="0.2">
      <c r="A1176">
        <f t="shared" si="56"/>
        <v>364</v>
      </c>
      <c r="B1176" s="3">
        <v>43973</v>
      </c>
      <c r="C1176" s="3" t="str">
        <f t="shared" si="55"/>
        <v>Friday</v>
      </c>
      <c r="D1176" s="2">
        <v>0.46047453703703706</v>
      </c>
      <c r="E1176" t="s">
        <v>22</v>
      </c>
      <c r="F1176" t="s">
        <v>19</v>
      </c>
      <c r="G1176">
        <v>100</v>
      </c>
      <c r="H1176" t="s">
        <v>16</v>
      </c>
      <c r="I1176" t="s">
        <v>23</v>
      </c>
      <c r="L1176" t="s">
        <v>22</v>
      </c>
      <c r="M1176">
        <v>35.147599999999997</v>
      </c>
      <c r="N1176">
        <v>35.147599999999997</v>
      </c>
      <c r="O1176" t="s">
        <v>21</v>
      </c>
      <c r="P1176">
        <f t="shared" si="57"/>
        <v>-200</v>
      </c>
      <c r="Q1176" s="11">
        <f>IF(P1176=0,0,IFERROR(Q1175+G1176*M1176*IF(E1176="FUTURE",VLOOKUP(MID(I1176,2,2),[1]Futures!$A$2:$B$12,2),1),G1176*M1176*IF(E1176="FUTURE",VLOOKUP(MID(I1176,2,2),[1]Futures!$A$2:$B$12,2),1)))</f>
        <v>-7039.24</v>
      </c>
      <c r="R1176" s="12">
        <f>IFERROR(Q1176/P1176/IF(E1176="FUTURE",VLOOKUP(MID(I1176,2,2),[1]Futures!$A$2:$B$12,2),1),"")</f>
        <v>35.196199999999997</v>
      </c>
      <c r="S1176" s="13" t="str">
        <f>IF(AND(H1176="TO CLOSE",P1176=0),-G1176*(M1176-R1175)*IF(E1176="FUTURE",VLOOKUP(MID(I1176,2,2),[1]Futures!$A$2:$B$12,2),1),"")</f>
        <v/>
      </c>
    </row>
    <row r="1177" spans="1:19" x14ac:dyDescent="0.2">
      <c r="A1177">
        <f t="shared" si="56"/>
        <v>364</v>
      </c>
      <c r="B1177" s="3">
        <v>43973</v>
      </c>
      <c r="C1177" s="3" t="str">
        <f t="shared" si="55"/>
        <v>Friday</v>
      </c>
      <c r="D1177" s="2">
        <v>0.46068287037037042</v>
      </c>
      <c r="E1177" t="s">
        <v>22</v>
      </c>
      <c r="F1177" t="s">
        <v>19</v>
      </c>
      <c r="G1177">
        <v>10</v>
      </c>
      <c r="H1177" t="s">
        <v>16</v>
      </c>
      <c r="I1177" t="s">
        <v>23</v>
      </c>
      <c r="L1177" t="s">
        <v>22</v>
      </c>
      <c r="M1177">
        <v>35.145000000000003</v>
      </c>
      <c r="N1177">
        <v>35.145000000000003</v>
      </c>
      <c r="O1177" t="s">
        <v>24</v>
      </c>
      <c r="P1177">
        <f t="shared" si="57"/>
        <v>-190</v>
      </c>
      <c r="Q1177" s="11">
        <f>IF(P1177=0,0,IFERROR(Q1176+G1177*M1177*IF(E1177="FUTURE",VLOOKUP(MID(I1177,2,2),[1]Futures!$A$2:$B$12,2),1),G1177*M1177*IF(E1177="FUTURE",VLOOKUP(MID(I1177,2,2),[1]Futures!$A$2:$B$12,2),1)))</f>
        <v>-6687.79</v>
      </c>
      <c r="R1177" s="12">
        <f>IFERROR(Q1177/P1177/IF(E1177="FUTURE",VLOOKUP(MID(I1177,2,2),[1]Futures!$A$2:$B$12,2),1),"")</f>
        <v>35.198894736842107</v>
      </c>
      <c r="S1177" s="13" t="str">
        <f>IF(AND(H1177="TO CLOSE",P1177=0),-G1177*(M1177-R1176)*IF(E1177="FUTURE",VLOOKUP(MID(I1177,2,2),[1]Futures!$A$2:$B$12,2),1),"")</f>
        <v/>
      </c>
    </row>
    <row r="1178" spans="1:19" x14ac:dyDescent="0.2">
      <c r="A1178">
        <f t="shared" si="56"/>
        <v>364</v>
      </c>
      <c r="B1178" s="3">
        <v>43973</v>
      </c>
      <c r="C1178" s="3" t="str">
        <f t="shared" si="55"/>
        <v>Friday</v>
      </c>
      <c r="D1178" s="2">
        <v>0.47560185185185189</v>
      </c>
      <c r="E1178" t="s">
        <v>22</v>
      </c>
      <c r="F1178" t="s">
        <v>19</v>
      </c>
      <c r="G1178">
        <v>190</v>
      </c>
      <c r="H1178" t="s">
        <v>16</v>
      </c>
      <c r="I1178" t="s">
        <v>23</v>
      </c>
      <c r="L1178" t="s">
        <v>22</v>
      </c>
      <c r="M1178">
        <v>35.157600000000002</v>
      </c>
      <c r="N1178">
        <v>35.157580000000003</v>
      </c>
      <c r="O1178" t="s">
        <v>21</v>
      </c>
      <c r="P1178">
        <f t="shared" si="57"/>
        <v>0</v>
      </c>
      <c r="Q1178" s="11">
        <f>IF(P1178=0,0,IFERROR(Q1177+G1178*M1178*IF(E1178="FUTURE",VLOOKUP(MID(I1178,2,2),[1]Futures!$A$2:$B$12,2),1),G1178*M1178*IF(E1178="FUTURE",VLOOKUP(MID(I1178,2,2),[1]Futures!$A$2:$B$12,2),1)))</f>
        <v>0</v>
      </c>
      <c r="R1178" s="12" t="str">
        <f>IFERROR(Q1178/P1178/IF(E1178="FUTURE",VLOOKUP(MID(I1178,2,2),[1]Futures!$A$2:$B$12,2),1),"")</f>
        <v/>
      </c>
      <c r="S1178" s="13">
        <f>IF(AND(H1178="TO CLOSE",P1178=0),-G1178*(M1178-R1177)*IF(E1178="FUTURE",VLOOKUP(MID(I1178,2,2),[1]Futures!$A$2:$B$12,2),1),"")</f>
        <v>7.8459999999998331</v>
      </c>
    </row>
    <row r="1179" spans="1:19" x14ac:dyDescent="0.2">
      <c r="A1179">
        <f t="shared" si="56"/>
        <v>365</v>
      </c>
      <c r="B1179" s="3">
        <v>43973</v>
      </c>
      <c r="C1179" s="3" t="str">
        <f t="shared" si="55"/>
        <v>Friday</v>
      </c>
      <c r="D1179" s="2">
        <v>0.48431712962962964</v>
      </c>
      <c r="E1179" t="s">
        <v>22</v>
      </c>
      <c r="F1179" t="s">
        <v>15</v>
      </c>
      <c r="G1179">
        <v>-91</v>
      </c>
      <c r="H1179" t="s">
        <v>20</v>
      </c>
      <c r="I1179" t="s">
        <v>23</v>
      </c>
      <c r="L1179" t="s">
        <v>22</v>
      </c>
      <c r="M1179">
        <v>34.979999999999997</v>
      </c>
      <c r="N1179">
        <v>34.979999999999997</v>
      </c>
      <c r="O1179" t="s">
        <v>21</v>
      </c>
      <c r="P1179">
        <f t="shared" si="57"/>
        <v>-91</v>
      </c>
      <c r="Q1179" s="11">
        <f>IF(P1179=0,0,IFERROR(Q1178+G1179*M1179*IF(E1179="FUTURE",VLOOKUP(MID(I1179,2,2),[1]Futures!$A$2:$B$12,2),1),G1179*M1179*IF(E1179="FUTURE",VLOOKUP(MID(I1179,2,2),[1]Futures!$A$2:$B$12,2),1)))</f>
        <v>-3183.18</v>
      </c>
      <c r="R1179" s="12">
        <f>IFERROR(Q1179/P1179/IF(E1179="FUTURE",VLOOKUP(MID(I1179,2,2),[1]Futures!$A$2:$B$12,2),1),"")</f>
        <v>34.979999999999997</v>
      </c>
      <c r="S1179" s="13" t="str">
        <f>IF(AND(H1179="TO CLOSE",P1179=0),-G1179*(M1179-R1178)*IF(E1179="FUTURE",VLOOKUP(MID(I1179,2,2),[1]Futures!$A$2:$B$12,2),1),"")</f>
        <v/>
      </c>
    </row>
    <row r="1180" spans="1:19" x14ac:dyDescent="0.2">
      <c r="A1180">
        <f t="shared" si="56"/>
        <v>365</v>
      </c>
      <c r="B1180" s="3">
        <v>43973</v>
      </c>
      <c r="C1180" s="3" t="str">
        <f t="shared" si="55"/>
        <v>Friday</v>
      </c>
      <c r="D1180" s="2">
        <v>0.48431712962962964</v>
      </c>
      <c r="E1180" t="s">
        <v>22</v>
      </c>
      <c r="F1180" t="s">
        <v>15</v>
      </c>
      <c r="G1180">
        <v>-100</v>
      </c>
      <c r="H1180" t="s">
        <v>20</v>
      </c>
      <c r="I1180" t="s">
        <v>23</v>
      </c>
      <c r="L1180" t="s">
        <v>22</v>
      </c>
      <c r="M1180">
        <v>34.979999999999997</v>
      </c>
      <c r="N1180">
        <v>34.979999999999997</v>
      </c>
      <c r="O1180" t="s">
        <v>21</v>
      </c>
      <c r="P1180">
        <f t="shared" si="57"/>
        <v>-191</v>
      </c>
      <c r="Q1180" s="11">
        <f>IF(P1180=0,0,IFERROR(Q1179+G1180*M1180*IF(E1180="FUTURE",VLOOKUP(MID(I1180,2,2),[1]Futures!$A$2:$B$12,2),1),G1180*M1180*IF(E1180="FUTURE",VLOOKUP(MID(I1180,2,2),[1]Futures!$A$2:$B$12,2),1)))</f>
        <v>-6681.1799999999994</v>
      </c>
      <c r="R1180" s="12">
        <f>IFERROR(Q1180/P1180/IF(E1180="FUTURE",VLOOKUP(MID(I1180,2,2),[1]Futures!$A$2:$B$12,2),1),"")</f>
        <v>34.979999999999997</v>
      </c>
      <c r="S1180" s="13" t="str">
        <f>IF(AND(H1180="TO CLOSE",P1180=0),-G1180*(M1180-R1179)*IF(E1180="FUTURE",VLOOKUP(MID(I1180,2,2),[1]Futures!$A$2:$B$12,2),1),"")</f>
        <v/>
      </c>
    </row>
    <row r="1181" spans="1:19" x14ac:dyDescent="0.2">
      <c r="A1181">
        <f t="shared" si="56"/>
        <v>365</v>
      </c>
      <c r="B1181" s="3">
        <v>43973</v>
      </c>
      <c r="C1181" s="3" t="str">
        <f t="shared" si="55"/>
        <v>Friday</v>
      </c>
      <c r="D1181" s="2">
        <v>0.48431712962962964</v>
      </c>
      <c r="E1181" t="s">
        <v>22</v>
      </c>
      <c r="F1181" t="s">
        <v>15</v>
      </c>
      <c r="G1181">
        <v>-100</v>
      </c>
      <c r="H1181" t="s">
        <v>20</v>
      </c>
      <c r="I1181" t="s">
        <v>23</v>
      </c>
      <c r="L1181" t="s">
        <v>22</v>
      </c>
      <c r="M1181">
        <v>34.979999999999997</v>
      </c>
      <c r="N1181">
        <v>34.979999999999997</v>
      </c>
      <c r="O1181" t="s">
        <v>21</v>
      </c>
      <c r="P1181">
        <f t="shared" si="57"/>
        <v>-291</v>
      </c>
      <c r="Q1181" s="11">
        <f>IF(P1181=0,0,IFERROR(Q1180+G1181*M1181*IF(E1181="FUTURE",VLOOKUP(MID(I1181,2,2),[1]Futures!$A$2:$B$12,2),1),G1181*M1181*IF(E1181="FUTURE",VLOOKUP(MID(I1181,2,2),[1]Futures!$A$2:$B$12,2),1)))</f>
        <v>-10179.179999999998</v>
      </c>
      <c r="R1181" s="12">
        <f>IFERROR(Q1181/P1181/IF(E1181="FUTURE",VLOOKUP(MID(I1181,2,2),[1]Futures!$A$2:$B$12,2),1),"")</f>
        <v>34.979999999999997</v>
      </c>
      <c r="S1181" s="13" t="str">
        <f>IF(AND(H1181="TO CLOSE",P1181=0),-G1181*(M1181-R1180)*IF(E1181="FUTURE",VLOOKUP(MID(I1181,2,2),[1]Futures!$A$2:$B$12,2),1),"")</f>
        <v/>
      </c>
    </row>
    <row r="1182" spans="1:19" x14ac:dyDescent="0.2">
      <c r="A1182">
        <f t="shared" si="56"/>
        <v>365</v>
      </c>
      <c r="B1182" s="3">
        <v>43973</v>
      </c>
      <c r="C1182" s="3" t="str">
        <f t="shared" si="55"/>
        <v>Friday</v>
      </c>
      <c r="D1182" s="2">
        <v>0.48431712962962964</v>
      </c>
      <c r="E1182" t="s">
        <v>22</v>
      </c>
      <c r="F1182" t="s">
        <v>15</v>
      </c>
      <c r="G1182">
        <v>-100</v>
      </c>
      <c r="H1182" t="s">
        <v>20</v>
      </c>
      <c r="I1182" t="s">
        <v>23</v>
      </c>
      <c r="L1182" t="s">
        <v>22</v>
      </c>
      <c r="M1182">
        <v>34.979999999999997</v>
      </c>
      <c r="N1182">
        <v>34.979999999999997</v>
      </c>
      <c r="O1182" t="s">
        <v>21</v>
      </c>
      <c r="P1182">
        <f t="shared" si="57"/>
        <v>-391</v>
      </c>
      <c r="Q1182" s="11">
        <f>IF(P1182=0,0,IFERROR(Q1181+G1182*M1182*IF(E1182="FUTURE",VLOOKUP(MID(I1182,2,2),[1]Futures!$A$2:$B$12,2),1),G1182*M1182*IF(E1182="FUTURE",VLOOKUP(MID(I1182,2,2),[1]Futures!$A$2:$B$12,2),1)))</f>
        <v>-13677.179999999998</v>
      </c>
      <c r="R1182" s="12">
        <f>IFERROR(Q1182/P1182/IF(E1182="FUTURE",VLOOKUP(MID(I1182,2,2),[1]Futures!$A$2:$B$12,2),1),"")</f>
        <v>34.979999999999997</v>
      </c>
      <c r="S1182" s="13" t="str">
        <f>IF(AND(H1182="TO CLOSE",P1182=0),-G1182*(M1182-R1181)*IF(E1182="FUTURE",VLOOKUP(MID(I1182,2,2),[1]Futures!$A$2:$B$12,2),1),"")</f>
        <v/>
      </c>
    </row>
    <row r="1183" spans="1:19" x14ac:dyDescent="0.2">
      <c r="A1183">
        <f t="shared" si="56"/>
        <v>365</v>
      </c>
      <c r="B1183" s="3">
        <v>43973</v>
      </c>
      <c r="C1183" s="3" t="str">
        <f t="shared" si="55"/>
        <v>Friday</v>
      </c>
      <c r="D1183" s="2">
        <v>0.48431712962962964</v>
      </c>
      <c r="E1183" t="s">
        <v>22</v>
      </c>
      <c r="F1183" t="s">
        <v>15</v>
      </c>
      <c r="G1183">
        <v>-9</v>
      </c>
      <c r="H1183" t="s">
        <v>20</v>
      </c>
      <c r="I1183" t="s">
        <v>23</v>
      </c>
      <c r="L1183" t="s">
        <v>22</v>
      </c>
      <c r="M1183">
        <v>34.979999999999997</v>
      </c>
      <c r="N1183">
        <v>34.979999999999997</v>
      </c>
      <c r="O1183" t="s">
        <v>21</v>
      </c>
      <c r="P1183">
        <f t="shared" si="57"/>
        <v>-400</v>
      </c>
      <c r="Q1183" s="11">
        <f>IF(P1183=0,0,IFERROR(Q1182+G1183*M1183*IF(E1183="FUTURE",VLOOKUP(MID(I1183,2,2),[1]Futures!$A$2:$B$12,2),1),G1183*M1183*IF(E1183="FUTURE",VLOOKUP(MID(I1183,2,2),[1]Futures!$A$2:$B$12,2),1)))</f>
        <v>-13991.999999999998</v>
      </c>
      <c r="R1183" s="12">
        <f>IFERROR(Q1183/P1183/IF(E1183="FUTURE",VLOOKUP(MID(I1183,2,2),[1]Futures!$A$2:$B$12,2),1),"")</f>
        <v>34.979999999999997</v>
      </c>
      <c r="S1183" s="13" t="str">
        <f>IF(AND(H1183="TO CLOSE",P1183=0),-G1183*(M1183-R1182)*IF(E1183="FUTURE",VLOOKUP(MID(I1183,2,2),[1]Futures!$A$2:$B$12,2),1),"")</f>
        <v/>
      </c>
    </row>
    <row r="1184" spans="1:19" x14ac:dyDescent="0.2">
      <c r="A1184">
        <f t="shared" si="56"/>
        <v>365</v>
      </c>
      <c r="B1184" s="3">
        <v>43973</v>
      </c>
      <c r="C1184" s="3" t="str">
        <f t="shared" si="55"/>
        <v>Friday</v>
      </c>
      <c r="D1184" s="2">
        <v>0.55943287037037037</v>
      </c>
      <c r="E1184" t="s">
        <v>22</v>
      </c>
      <c r="F1184" t="s">
        <v>19</v>
      </c>
      <c r="G1184">
        <v>200</v>
      </c>
      <c r="H1184" t="s">
        <v>16</v>
      </c>
      <c r="I1184" t="s">
        <v>23</v>
      </c>
      <c r="L1184" t="s">
        <v>22</v>
      </c>
      <c r="M1184">
        <v>34.457099999999997</v>
      </c>
      <c r="N1184">
        <v>34.457099999999997</v>
      </c>
      <c r="O1184" t="s">
        <v>24</v>
      </c>
      <c r="P1184">
        <f t="shared" si="57"/>
        <v>-200</v>
      </c>
      <c r="Q1184" s="11">
        <f>IF(P1184=0,0,IFERROR(Q1183+G1184*M1184*IF(E1184="FUTURE",VLOOKUP(MID(I1184,2,2),[1]Futures!$A$2:$B$12,2),1),G1184*M1184*IF(E1184="FUTURE",VLOOKUP(MID(I1184,2,2),[1]Futures!$A$2:$B$12,2),1)))</f>
        <v>-7100.579999999999</v>
      </c>
      <c r="R1184" s="12">
        <f>IFERROR(Q1184/P1184/IF(E1184="FUTURE",VLOOKUP(MID(I1184,2,2),[1]Futures!$A$2:$B$12,2),1),"")</f>
        <v>35.502899999999997</v>
      </c>
      <c r="S1184" s="13" t="str">
        <f>IF(AND(H1184="TO CLOSE",P1184=0),-G1184*(M1184-R1183)*IF(E1184="FUTURE",VLOOKUP(MID(I1184,2,2),[1]Futures!$A$2:$B$12,2),1),"")</f>
        <v/>
      </c>
    </row>
    <row r="1185" spans="1:19" x14ac:dyDescent="0.2">
      <c r="A1185">
        <f t="shared" si="56"/>
        <v>365</v>
      </c>
      <c r="B1185" s="3">
        <v>43973</v>
      </c>
      <c r="C1185" s="3" t="str">
        <f t="shared" si="55"/>
        <v>Friday</v>
      </c>
      <c r="D1185" s="2">
        <v>0.57666666666666666</v>
      </c>
      <c r="E1185" t="s">
        <v>22</v>
      </c>
      <c r="F1185" t="s">
        <v>19</v>
      </c>
      <c r="G1185">
        <v>100</v>
      </c>
      <c r="H1185" t="s">
        <v>16</v>
      </c>
      <c r="I1185" t="s">
        <v>23</v>
      </c>
      <c r="L1185" t="s">
        <v>22</v>
      </c>
      <c r="M1185">
        <v>34.524999999999999</v>
      </c>
      <c r="N1185">
        <v>34.524999999999999</v>
      </c>
      <c r="O1185" t="s">
        <v>21</v>
      </c>
      <c r="P1185">
        <f t="shared" si="57"/>
        <v>-100</v>
      </c>
      <c r="Q1185" s="11">
        <f>IF(P1185=0,0,IFERROR(Q1184+G1185*M1185*IF(E1185="FUTURE",VLOOKUP(MID(I1185,2,2),[1]Futures!$A$2:$B$12,2),1),G1185*M1185*IF(E1185="FUTURE",VLOOKUP(MID(I1185,2,2),[1]Futures!$A$2:$B$12,2),1)))</f>
        <v>-3648.079999999999</v>
      </c>
      <c r="R1185" s="12">
        <f>IFERROR(Q1185/P1185/IF(E1185="FUTURE",VLOOKUP(MID(I1185,2,2),[1]Futures!$A$2:$B$12,2),1),"")</f>
        <v>36.480799999999988</v>
      </c>
      <c r="S1185" s="13" t="str">
        <f>IF(AND(H1185="TO CLOSE",P1185=0),-G1185*(M1185-R1184)*IF(E1185="FUTURE",VLOOKUP(MID(I1185,2,2),[1]Futures!$A$2:$B$12,2),1),"")</f>
        <v/>
      </c>
    </row>
    <row r="1186" spans="1:19" x14ac:dyDescent="0.2">
      <c r="A1186">
        <f t="shared" si="56"/>
        <v>365</v>
      </c>
      <c r="B1186" s="3">
        <v>43973</v>
      </c>
      <c r="C1186" s="3" t="str">
        <f t="shared" si="55"/>
        <v>Friday</v>
      </c>
      <c r="D1186" s="2">
        <v>0.57666666666666666</v>
      </c>
      <c r="E1186" t="s">
        <v>22</v>
      </c>
      <c r="F1186" t="s">
        <v>19</v>
      </c>
      <c r="G1186">
        <v>100</v>
      </c>
      <c r="H1186" t="s">
        <v>16</v>
      </c>
      <c r="I1186" t="s">
        <v>23</v>
      </c>
      <c r="L1186" t="s">
        <v>22</v>
      </c>
      <c r="M1186">
        <v>34.524999999999999</v>
      </c>
      <c r="N1186">
        <v>34.524999999999999</v>
      </c>
      <c r="O1186" t="s">
        <v>21</v>
      </c>
      <c r="P1186">
        <f t="shared" si="57"/>
        <v>0</v>
      </c>
      <c r="Q1186" s="11">
        <f>IF(P1186=0,0,IFERROR(Q1185+G1186*M1186*IF(E1186="FUTURE",VLOOKUP(MID(I1186,2,2),[1]Futures!$A$2:$B$12,2),1),G1186*M1186*IF(E1186="FUTURE",VLOOKUP(MID(I1186,2,2),[1]Futures!$A$2:$B$12,2),1)))</f>
        <v>0</v>
      </c>
      <c r="R1186" s="12" t="str">
        <f>IFERROR(Q1186/P1186/IF(E1186="FUTURE",VLOOKUP(MID(I1186,2,2),[1]Futures!$A$2:$B$12,2),1),"")</f>
        <v/>
      </c>
      <c r="S1186" s="13">
        <f>IF(AND(H1186="TO CLOSE",P1186=0),-G1186*(M1186-R1185)*IF(E1186="FUTURE",VLOOKUP(MID(I1186,2,2),[1]Futures!$A$2:$B$12,2),1),"")</f>
        <v>195.57999999999893</v>
      </c>
    </row>
    <row r="1187" spans="1:19" x14ac:dyDescent="0.2">
      <c r="A1187">
        <f t="shared" si="56"/>
        <v>366</v>
      </c>
      <c r="B1187" s="3">
        <v>43977</v>
      </c>
      <c r="C1187" s="3" t="str">
        <f t="shared" si="55"/>
        <v>Tuesday</v>
      </c>
      <c r="D1187" s="2">
        <v>0.39568287037037037</v>
      </c>
      <c r="E1187" t="s">
        <v>14</v>
      </c>
      <c r="F1187" t="s">
        <v>15</v>
      </c>
      <c r="G1187">
        <v>-1</v>
      </c>
      <c r="H1187" t="s">
        <v>20</v>
      </c>
      <c r="I1187" t="s">
        <v>77</v>
      </c>
      <c r="J1187" s="1">
        <v>44063</v>
      </c>
      <c r="L1187" t="s">
        <v>14</v>
      </c>
      <c r="M1187">
        <v>34.619999999999997</v>
      </c>
      <c r="N1187">
        <v>34.619999999999997</v>
      </c>
      <c r="O1187" t="s">
        <v>21</v>
      </c>
      <c r="P1187">
        <f t="shared" si="57"/>
        <v>-1</v>
      </c>
      <c r="Q1187" s="11">
        <f>IF(P1187=0,0,IFERROR(Q1186+G1187*M1187*IF(E1187="FUTURE",VLOOKUP(MID(I1187,2,2),[1]Futures!$A$2:$B$12,2),1),G1187*M1187*IF(E1187="FUTURE",VLOOKUP(MID(I1187,2,2),[1]Futures!$A$2:$B$12,2),1)))</f>
        <v>-34620</v>
      </c>
      <c r="R1187" s="12">
        <f>IFERROR(Q1187/P1187/IF(E1187="FUTURE",VLOOKUP(MID(I1187,2,2),[1]Futures!$A$2:$B$12,2),1),"")</f>
        <v>34.619999999999997</v>
      </c>
      <c r="S1187" s="13" t="str">
        <f>IF(AND(H1187="TO CLOSE",P1187=0),-G1187*(M1187-R1186)*IF(E1187="FUTURE",VLOOKUP(MID(I1187,2,2),[1]Futures!$A$2:$B$12,2),1),"")</f>
        <v/>
      </c>
    </row>
    <row r="1188" spans="1:19" x14ac:dyDescent="0.2">
      <c r="A1188">
        <f t="shared" si="56"/>
        <v>366</v>
      </c>
      <c r="B1188" s="3">
        <v>43977</v>
      </c>
      <c r="C1188" s="3" t="str">
        <f t="shared" si="55"/>
        <v>Tuesday</v>
      </c>
      <c r="D1188" s="2">
        <v>0.40349537037037037</v>
      </c>
      <c r="E1188" t="s">
        <v>14</v>
      </c>
      <c r="F1188" t="s">
        <v>15</v>
      </c>
      <c r="G1188">
        <v>-1</v>
      </c>
      <c r="H1188" t="s">
        <v>20</v>
      </c>
      <c r="I1188" t="s">
        <v>77</v>
      </c>
      <c r="J1188" s="1">
        <v>44063</v>
      </c>
      <c r="L1188" t="s">
        <v>14</v>
      </c>
      <c r="M1188">
        <v>34.82</v>
      </c>
      <c r="N1188">
        <v>34.82</v>
      </c>
      <c r="O1188" t="s">
        <v>21</v>
      </c>
      <c r="P1188">
        <f t="shared" si="57"/>
        <v>-2</v>
      </c>
      <c r="Q1188" s="11">
        <f>IF(P1188=0,0,IFERROR(Q1187+G1188*M1188*IF(E1188="FUTURE",VLOOKUP(MID(I1188,2,2),[1]Futures!$A$2:$B$12,2),1),G1188*M1188*IF(E1188="FUTURE",VLOOKUP(MID(I1188,2,2),[1]Futures!$A$2:$B$12,2),1)))</f>
        <v>-69440</v>
      </c>
      <c r="R1188" s="12">
        <f>IFERROR(Q1188/P1188/IF(E1188="FUTURE",VLOOKUP(MID(I1188,2,2),[1]Futures!$A$2:$B$12,2),1),"")</f>
        <v>34.72</v>
      </c>
      <c r="S1188" s="13" t="str">
        <f>IF(AND(H1188="TO CLOSE",P1188=0),-G1188*(M1188-R1187)*IF(E1188="FUTURE",VLOOKUP(MID(I1188,2,2),[1]Futures!$A$2:$B$12,2),1),"")</f>
        <v/>
      </c>
    </row>
    <row r="1189" spans="1:19" x14ac:dyDescent="0.2">
      <c r="A1189">
        <f t="shared" si="56"/>
        <v>366</v>
      </c>
      <c r="B1189" s="3">
        <v>43977</v>
      </c>
      <c r="C1189" s="3" t="str">
        <f t="shared" si="55"/>
        <v>Tuesday</v>
      </c>
      <c r="D1189" s="2">
        <v>0.41208333333333336</v>
      </c>
      <c r="E1189" t="s">
        <v>14</v>
      </c>
      <c r="F1189" t="s">
        <v>19</v>
      </c>
      <c r="G1189">
        <v>1</v>
      </c>
      <c r="H1189" t="s">
        <v>16</v>
      </c>
      <c r="I1189" t="s">
        <v>77</v>
      </c>
      <c r="J1189" s="1">
        <v>44063</v>
      </c>
      <c r="L1189" t="s">
        <v>14</v>
      </c>
      <c r="M1189">
        <v>34.67</v>
      </c>
      <c r="N1189">
        <v>34.67</v>
      </c>
      <c r="O1189" t="s">
        <v>21</v>
      </c>
      <c r="P1189">
        <f t="shared" si="57"/>
        <v>-1</v>
      </c>
      <c r="Q1189" s="11">
        <f>IF(P1189=0,0,IFERROR(Q1188+G1189*M1189*IF(E1189="FUTURE",VLOOKUP(MID(I1189,2,2),[1]Futures!$A$2:$B$12,2),1),G1189*M1189*IF(E1189="FUTURE",VLOOKUP(MID(I1189,2,2),[1]Futures!$A$2:$B$12,2),1)))</f>
        <v>-34770</v>
      </c>
      <c r="R1189" s="12">
        <f>IFERROR(Q1189/P1189/IF(E1189="FUTURE",VLOOKUP(MID(I1189,2,2),[1]Futures!$A$2:$B$12,2),1),"")</f>
        <v>34.770000000000003</v>
      </c>
      <c r="S1189" s="13" t="str">
        <f>IF(AND(H1189="TO CLOSE",P1189=0),-G1189*(M1189-R1188)*IF(E1189="FUTURE",VLOOKUP(MID(I1189,2,2),[1]Futures!$A$2:$B$12,2),1),"")</f>
        <v/>
      </c>
    </row>
    <row r="1190" spans="1:19" x14ac:dyDescent="0.2">
      <c r="A1190">
        <f t="shared" si="56"/>
        <v>366</v>
      </c>
      <c r="B1190" s="3">
        <v>43977</v>
      </c>
      <c r="C1190" s="3" t="str">
        <f t="shared" si="55"/>
        <v>Tuesday</v>
      </c>
      <c r="D1190" s="2">
        <v>0.42018518518518522</v>
      </c>
      <c r="E1190" t="s">
        <v>14</v>
      </c>
      <c r="F1190" t="s">
        <v>19</v>
      </c>
      <c r="G1190">
        <v>1</v>
      </c>
      <c r="H1190" t="s">
        <v>16</v>
      </c>
      <c r="I1190" t="s">
        <v>77</v>
      </c>
      <c r="J1190" s="1">
        <v>44063</v>
      </c>
      <c r="L1190" t="s">
        <v>14</v>
      </c>
      <c r="M1190">
        <v>34.21</v>
      </c>
      <c r="N1190">
        <v>34.21</v>
      </c>
      <c r="O1190" t="s">
        <v>21</v>
      </c>
      <c r="P1190">
        <f t="shared" si="57"/>
        <v>0</v>
      </c>
      <c r="Q1190" s="11">
        <f>IF(P1190=0,0,IFERROR(Q1189+G1190*M1190*IF(E1190="FUTURE",VLOOKUP(MID(I1190,2,2),[1]Futures!$A$2:$B$12,2),1),G1190*M1190*IF(E1190="FUTURE",VLOOKUP(MID(I1190,2,2),[1]Futures!$A$2:$B$12,2),1)))</f>
        <v>0</v>
      </c>
      <c r="R1190" s="12" t="str">
        <f>IFERROR(Q1190/P1190/IF(E1190="FUTURE",VLOOKUP(MID(I1190,2,2),[1]Futures!$A$2:$B$12,2),1),"")</f>
        <v/>
      </c>
      <c r="S1190" s="13">
        <f>IF(AND(H1190="TO CLOSE",P1190=0),-G1190*(M1190-R1189)*IF(E1190="FUTURE",VLOOKUP(MID(I1190,2,2),[1]Futures!$A$2:$B$12,2),1),"")</f>
        <v>560.00000000000227</v>
      </c>
    </row>
    <row r="1191" spans="1:19" x14ac:dyDescent="0.2">
      <c r="A1191">
        <f t="shared" si="56"/>
        <v>367</v>
      </c>
      <c r="B1191" s="3">
        <v>43977</v>
      </c>
      <c r="C1191" s="3" t="str">
        <f t="shared" si="55"/>
        <v>Tuesday</v>
      </c>
      <c r="D1191" s="2">
        <v>0.39631944444444445</v>
      </c>
      <c r="E1191" t="s">
        <v>14</v>
      </c>
      <c r="F1191" t="s">
        <v>15</v>
      </c>
      <c r="G1191">
        <v>-1</v>
      </c>
      <c r="H1191" t="s">
        <v>20</v>
      </c>
      <c r="I1191" t="s">
        <v>17</v>
      </c>
      <c r="J1191" s="1">
        <v>44002</v>
      </c>
      <c r="L1191" t="s">
        <v>14</v>
      </c>
      <c r="M1191">
        <v>3016</v>
      </c>
      <c r="N1191">
        <v>3016</v>
      </c>
      <c r="O1191" t="s">
        <v>21</v>
      </c>
      <c r="P1191">
        <f t="shared" si="57"/>
        <v>-1</v>
      </c>
      <c r="Q1191" s="11">
        <f>IF(P1191=0,0,IFERROR(Q1190+G1191*M1191*IF(E1191="FUTURE",VLOOKUP(MID(I1191,2,2),[1]Futures!$A$2:$B$12,2),1),G1191*M1191*IF(E1191="FUTURE",VLOOKUP(MID(I1191,2,2),[1]Futures!$A$2:$B$12,2),1)))</f>
        <v>-150800</v>
      </c>
      <c r="R1191" s="12">
        <f>IFERROR(Q1191/P1191/IF(E1191="FUTURE",VLOOKUP(MID(I1191,2,2),[1]Futures!$A$2:$B$12,2),1),"")</f>
        <v>3016</v>
      </c>
      <c r="S1191" s="13" t="str">
        <f>IF(AND(H1191="TO CLOSE",P1191=0),-G1191*(M1191-R1190)*IF(E1191="FUTURE",VLOOKUP(MID(I1191,2,2),[1]Futures!$A$2:$B$12,2),1),"")</f>
        <v/>
      </c>
    </row>
    <row r="1192" spans="1:19" x14ac:dyDescent="0.2">
      <c r="A1192">
        <f t="shared" si="56"/>
        <v>367</v>
      </c>
      <c r="B1192" s="3">
        <v>43977</v>
      </c>
      <c r="C1192" s="3" t="str">
        <f t="shared" si="55"/>
        <v>Tuesday</v>
      </c>
      <c r="D1192" s="2">
        <v>0.39731481481481484</v>
      </c>
      <c r="E1192" t="s">
        <v>14</v>
      </c>
      <c r="F1192" t="s">
        <v>19</v>
      </c>
      <c r="G1192">
        <v>1</v>
      </c>
      <c r="H1192" t="s">
        <v>16</v>
      </c>
      <c r="I1192" t="s">
        <v>17</v>
      </c>
      <c r="J1192" s="1">
        <v>44002</v>
      </c>
      <c r="L1192" t="s">
        <v>14</v>
      </c>
      <c r="M1192">
        <v>3013</v>
      </c>
      <c r="N1192">
        <v>3013</v>
      </c>
      <c r="O1192" t="s">
        <v>21</v>
      </c>
      <c r="P1192">
        <f t="shared" si="57"/>
        <v>0</v>
      </c>
      <c r="Q1192" s="11">
        <f>IF(P1192=0,0,IFERROR(Q1191+G1192*M1192*IF(E1192="FUTURE",VLOOKUP(MID(I1192,2,2),[1]Futures!$A$2:$B$12,2),1),G1192*M1192*IF(E1192="FUTURE",VLOOKUP(MID(I1192,2,2),[1]Futures!$A$2:$B$12,2),1)))</f>
        <v>0</v>
      </c>
      <c r="R1192" s="12" t="str">
        <f>IFERROR(Q1192/P1192/IF(E1192="FUTURE",VLOOKUP(MID(I1192,2,2),[1]Futures!$A$2:$B$12,2),1),"")</f>
        <v/>
      </c>
      <c r="S1192" s="13">
        <f>IF(AND(H1192="TO CLOSE",P1192=0),-G1192*(M1192-R1191)*IF(E1192="FUTURE",VLOOKUP(MID(I1192,2,2),[1]Futures!$A$2:$B$12,2),1),"")</f>
        <v>150</v>
      </c>
    </row>
    <row r="1193" spans="1:19" x14ac:dyDescent="0.2">
      <c r="A1193">
        <f t="shared" si="56"/>
        <v>368</v>
      </c>
      <c r="B1193" s="3">
        <v>43977</v>
      </c>
      <c r="C1193" s="3" t="str">
        <f t="shared" si="55"/>
        <v>Tuesday</v>
      </c>
      <c r="D1193" s="2">
        <v>0.42787037037037035</v>
      </c>
      <c r="E1193" t="s">
        <v>14</v>
      </c>
      <c r="F1193" t="s">
        <v>19</v>
      </c>
      <c r="G1193">
        <v>1</v>
      </c>
      <c r="H1193" t="s">
        <v>20</v>
      </c>
      <c r="I1193" t="s">
        <v>17</v>
      </c>
      <c r="J1193" s="1">
        <v>44002</v>
      </c>
      <c r="L1193" t="s">
        <v>14</v>
      </c>
      <c r="M1193">
        <v>3004.5</v>
      </c>
      <c r="N1193">
        <v>3004.5</v>
      </c>
      <c r="O1193" t="s">
        <v>24</v>
      </c>
      <c r="P1193">
        <f t="shared" si="57"/>
        <v>1</v>
      </c>
      <c r="Q1193" s="11">
        <f>IF(P1193=0,0,IFERROR(Q1192+G1193*M1193*IF(E1193="FUTURE",VLOOKUP(MID(I1193,2,2),[1]Futures!$A$2:$B$12,2),1),G1193*M1193*IF(E1193="FUTURE",VLOOKUP(MID(I1193,2,2),[1]Futures!$A$2:$B$12,2),1)))</f>
        <v>150225</v>
      </c>
      <c r="R1193" s="12">
        <f>IFERROR(Q1193/P1193/IF(E1193="FUTURE",VLOOKUP(MID(I1193,2,2),[1]Futures!$A$2:$B$12,2),1),"")</f>
        <v>3004.5</v>
      </c>
      <c r="S1193" s="13" t="str">
        <f>IF(AND(H1193="TO CLOSE",P1193=0),-G1193*(M1193-R1192)*IF(E1193="FUTURE",VLOOKUP(MID(I1193,2,2),[1]Futures!$A$2:$B$12,2),1),"")</f>
        <v/>
      </c>
    </row>
    <row r="1194" spans="1:19" x14ac:dyDescent="0.2">
      <c r="A1194">
        <f t="shared" si="56"/>
        <v>368</v>
      </c>
      <c r="B1194" s="3">
        <v>43977</v>
      </c>
      <c r="C1194" s="3" t="str">
        <f t="shared" si="55"/>
        <v>Tuesday</v>
      </c>
      <c r="D1194" s="2">
        <v>0.43748842592592596</v>
      </c>
      <c r="E1194" t="s">
        <v>14</v>
      </c>
      <c r="F1194" t="s">
        <v>15</v>
      </c>
      <c r="G1194">
        <v>-1</v>
      </c>
      <c r="H1194" t="s">
        <v>16</v>
      </c>
      <c r="I1194" t="s">
        <v>17</v>
      </c>
      <c r="J1194" s="1">
        <v>44002</v>
      </c>
      <c r="L1194" t="s">
        <v>14</v>
      </c>
      <c r="M1194">
        <v>3011</v>
      </c>
      <c r="N1194">
        <v>3011</v>
      </c>
      <c r="O1194" t="s">
        <v>21</v>
      </c>
      <c r="P1194">
        <f t="shared" si="57"/>
        <v>0</v>
      </c>
      <c r="Q1194" s="11">
        <f>IF(P1194=0,0,IFERROR(Q1193+G1194*M1194*IF(E1194="FUTURE",VLOOKUP(MID(I1194,2,2),[1]Futures!$A$2:$B$12,2),1),G1194*M1194*IF(E1194="FUTURE",VLOOKUP(MID(I1194,2,2),[1]Futures!$A$2:$B$12,2),1)))</f>
        <v>0</v>
      </c>
      <c r="R1194" s="12" t="str">
        <f>IFERROR(Q1194/P1194/IF(E1194="FUTURE",VLOOKUP(MID(I1194,2,2),[1]Futures!$A$2:$B$12,2),1),"")</f>
        <v/>
      </c>
      <c r="S1194" s="13">
        <f>IF(AND(H1194="TO CLOSE",P1194=0),-G1194*(M1194-R1193)*IF(E1194="FUTURE",VLOOKUP(MID(I1194,2,2),[1]Futures!$A$2:$B$12,2),1),"")</f>
        <v>325</v>
      </c>
    </row>
    <row r="1195" spans="1:19" x14ac:dyDescent="0.2">
      <c r="A1195">
        <f t="shared" si="56"/>
        <v>369</v>
      </c>
      <c r="B1195" s="3">
        <v>43977</v>
      </c>
      <c r="C1195" s="3" t="str">
        <f t="shared" si="55"/>
        <v>Tuesday</v>
      </c>
      <c r="D1195" s="2">
        <v>0.40707175925925926</v>
      </c>
      <c r="E1195" t="s">
        <v>14</v>
      </c>
      <c r="F1195" t="s">
        <v>15</v>
      </c>
      <c r="G1195">
        <v>-4</v>
      </c>
      <c r="H1195" t="s">
        <v>20</v>
      </c>
      <c r="I1195" t="s">
        <v>73</v>
      </c>
      <c r="J1195" s="1">
        <v>44002</v>
      </c>
      <c r="L1195" t="s">
        <v>14</v>
      </c>
      <c r="M1195">
        <v>3012</v>
      </c>
      <c r="N1195">
        <v>3012</v>
      </c>
      <c r="O1195" t="s">
        <v>24</v>
      </c>
      <c r="P1195">
        <f t="shared" si="57"/>
        <v>-4</v>
      </c>
      <c r="Q1195" s="11">
        <f>IF(P1195=0,0,IFERROR(Q1194+G1195*M1195*IF(E1195="FUTURE",VLOOKUP(MID(I1195,2,2),[1]Futures!$A$2:$B$12,2),1),G1195*M1195*IF(E1195="FUTURE",VLOOKUP(MID(I1195,2,2),[1]Futures!$A$2:$B$12,2),1)))</f>
        <v>-60240</v>
      </c>
      <c r="R1195" s="12">
        <f>IFERROR(Q1195/P1195/IF(E1195="FUTURE",VLOOKUP(MID(I1195,2,2),[1]Futures!$A$2:$B$12,2),1),"")</f>
        <v>3012</v>
      </c>
      <c r="S1195" s="13" t="str">
        <f>IF(AND(H1195="TO CLOSE",P1195=0),-G1195*(M1195-R1194)*IF(E1195="FUTURE",VLOOKUP(MID(I1195,2,2),[1]Futures!$A$2:$B$12,2),1),"")</f>
        <v/>
      </c>
    </row>
    <row r="1196" spans="1:19" x14ac:dyDescent="0.2">
      <c r="A1196">
        <f t="shared" si="56"/>
        <v>369</v>
      </c>
      <c r="B1196" s="3">
        <v>43977</v>
      </c>
      <c r="C1196" s="3" t="str">
        <f t="shared" si="55"/>
        <v>Tuesday</v>
      </c>
      <c r="D1196" s="2">
        <v>0.41953703703703704</v>
      </c>
      <c r="E1196" t="s">
        <v>14</v>
      </c>
      <c r="F1196" t="s">
        <v>19</v>
      </c>
      <c r="G1196">
        <v>4</v>
      </c>
      <c r="H1196" t="s">
        <v>16</v>
      </c>
      <c r="I1196" t="s">
        <v>73</v>
      </c>
      <c r="J1196" s="1">
        <v>44002</v>
      </c>
      <c r="L1196" t="s">
        <v>14</v>
      </c>
      <c r="M1196">
        <v>3007.25</v>
      </c>
      <c r="N1196">
        <v>3007.25</v>
      </c>
      <c r="O1196" t="s">
        <v>24</v>
      </c>
      <c r="P1196">
        <f t="shared" si="57"/>
        <v>0</v>
      </c>
      <c r="Q1196" s="11">
        <f>IF(P1196=0,0,IFERROR(Q1195+G1196*M1196*IF(E1196="FUTURE",VLOOKUP(MID(I1196,2,2),[1]Futures!$A$2:$B$12,2),1),G1196*M1196*IF(E1196="FUTURE",VLOOKUP(MID(I1196,2,2),[1]Futures!$A$2:$B$12,2),1)))</f>
        <v>0</v>
      </c>
      <c r="R1196" s="12" t="str">
        <f>IFERROR(Q1196/P1196/IF(E1196="FUTURE",VLOOKUP(MID(I1196,2,2),[1]Futures!$A$2:$B$12,2),1),"")</f>
        <v/>
      </c>
      <c r="S1196" s="13">
        <f>IF(AND(H1196="TO CLOSE",P1196=0),-G1196*(M1196-R1195)*IF(E1196="FUTURE",VLOOKUP(MID(I1196,2,2),[1]Futures!$A$2:$B$12,2),1),"")</f>
        <v>95</v>
      </c>
    </row>
    <row r="1197" spans="1:19" x14ac:dyDescent="0.2">
      <c r="A1197">
        <f t="shared" si="56"/>
        <v>370</v>
      </c>
      <c r="B1197" s="3">
        <v>43978</v>
      </c>
      <c r="C1197" s="3" t="str">
        <f t="shared" si="55"/>
        <v>Wednesday</v>
      </c>
      <c r="D1197" s="2">
        <v>0.41533564814814811</v>
      </c>
      <c r="E1197" t="s">
        <v>14</v>
      </c>
      <c r="F1197" t="s">
        <v>15</v>
      </c>
      <c r="G1197">
        <v>-1</v>
      </c>
      <c r="H1197" t="s">
        <v>20</v>
      </c>
      <c r="I1197" t="s">
        <v>77</v>
      </c>
      <c r="J1197" s="1">
        <v>44063</v>
      </c>
      <c r="L1197" t="s">
        <v>14</v>
      </c>
      <c r="M1197">
        <v>33.9</v>
      </c>
      <c r="N1197">
        <v>33.9</v>
      </c>
      <c r="O1197" t="s">
        <v>21</v>
      </c>
      <c r="P1197">
        <f t="shared" si="57"/>
        <v>-1</v>
      </c>
      <c r="Q1197" s="11">
        <f>IF(P1197=0,0,IFERROR(Q1196+G1197*M1197*IF(E1197="FUTURE",VLOOKUP(MID(I1197,2,2),[1]Futures!$A$2:$B$12,2),1),G1197*M1197*IF(E1197="FUTURE",VLOOKUP(MID(I1197,2,2),[1]Futures!$A$2:$B$12,2),1)))</f>
        <v>-33900</v>
      </c>
      <c r="R1197" s="12">
        <f>IFERROR(Q1197/P1197/IF(E1197="FUTURE",VLOOKUP(MID(I1197,2,2),[1]Futures!$A$2:$B$12,2),1),"")</f>
        <v>33.9</v>
      </c>
      <c r="S1197" s="13" t="str">
        <f>IF(AND(H1197="TO CLOSE",P1197=0),-G1197*(M1197-R1196)*IF(E1197="FUTURE",VLOOKUP(MID(I1197,2,2),[1]Futures!$A$2:$B$12,2),1),"")</f>
        <v/>
      </c>
    </row>
    <row r="1198" spans="1:19" x14ac:dyDescent="0.2">
      <c r="A1198">
        <f t="shared" si="56"/>
        <v>370</v>
      </c>
      <c r="B1198" s="3">
        <v>43978</v>
      </c>
      <c r="C1198" s="3" t="str">
        <f t="shared" si="55"/>
        <v>Wednesday</v>
      </c>
      <c r="D1198" s="2">
        <v>0.41704861111111113</v>
      </c>
      <c r="E1198" t="s">
        <v>14</v>
      </c>
      <c r="F1198" t="s">
        <v>19</v>
      </c>
      <c r="G1198">
        <v>1</v>
      </c>
      <c r="H1198" t="s">
        <v>16</v>
      </c>
      <c r="I1198" t="s">
        <v>77</v>
      </c>
      <c r="J1198" s="1">
        <v>44063</v>
      </c>
      <c r="L1198" t="s">
        <v>14</v>
      </c>
      <c r="M1198">
        <v>33.659999999999997</v>
      </c>
      <c r="N1198">
        <v>33.659999999999997</v>
      </c>
      <c r="O1198" t="s">
        <v>21</v>
      </c>
      <c r="P1198">
        <f t="shared" si="57"/>
        <v>0</v>
      </c>
      <c r="Q1198" s="11">
        <f>IF(P1198=0,0,IFERROR(Q1197+G1198*M1198*IF(E1198="FUTURE",VLOOKUP(MID(I1198,2,2),[1]Futures!$A$2:$B$12,2),1),G1198*M1198*IF(E1198="FUTURE",VLOOKUP(MID(I1198,2,2),[1]Futures!$A$2:$B$12,2),1)))</f>
        <v>0</v>
      </c>
      <c r="R1198" s="12" t="str">
        <f>IFERROR(Q1198/P1198/IF(E1198="FUTURE",VLOOKUP(MID(I1198,2,2),[1]Futures!$A$2:$B$12,2),1),"")</f>
        <v/>
      </c>
      <c r="S1198" s="13">
        <f>IF(AND(H1198="TO CLOSE",P1198=0),-G1198*(M1198-R1197)*IF(E1198="FUTURE",VLOOKUP(MID(I1198,2,2),[1]Futures!$A$2:$B$12,2),1),"")</f>
        <v>240.00000000000199</v>
      </c>
    </row>
    <row r="1199" spans="1:19" x14ac:dyDescent="0.2">
      <c r="A1199">
        <f t="shared" si="56"/>
        <v>371</v>
      </c>
      <c r="B1199" s="3">
        <v>43978</v>
      </c>
      <c r="C1199" s="3" t="str">
        <f t="shared" si="55"/>
        <v>Wednesday</v>
      </c>
      <c r="D1199" s="2">
        <v>0.43944444444444447</v>
      </c>
      <c r="E1199" t="s">
        <v>14</v>
      </c>
      <c r="F1199" t="s">
        <v>19</v>
      </c>
      <c r="G1199">
        <v>1</v>
      </c>
      <c r="H1199" t="s">
        <v>20</v>
      </c>
      <c r="I1199" t="s">
        <v>77</v>
      </c>
      <c r="J1199" s="1">
        <v>44063</v>
      </c>
      <c r="L1199" t="s">
        <v>14</v>
      </c>
      <c r="M1199">
        <v>33.36</v>
      </c>
      <c r="N1199">
        <v>33.36</v>
      </c>
      <c r="O1199" t="s">
        <v>24</v>
      </c>
      <c r="P1199">
        <f t="shared" si="57"/>
        <v>1</v>
      </c>
      <c r="Q1199" s="11">
        <f>IF(P1199=0,0,IFERROR(Q1198+G1199*M1199*IF(E1199="FUTURE",VLOOKUP(MID(I1199,2,2),[1]Futures!$A$2:$B$12,2),1),G1199*M1199*IF(E1199="FUTURE",VLOOKUP(MID(I1199,2,2),[1]Futures!$A$2:$B$12,2),1)))</f>
        <v>33360</v>
      </c>
      <c r="R1199" s="12">
        <f>IFERROR(Q1199/P1199/IF(E1199="FUTURE",VLOOKUP(MID(I1199,2,2),[1]Futures!$A$2:$B$12,2),1),"")</f>
        <v>33.36</v>
      </c>
      <c r="S1199" s="13" t="str">
        <f>IF(AND(H1199="TO CLOSE",P1199=0),-G1199*(M1199-R1198)*IF(E1199="FUTURE",VLOOKUP(MID(I1199,2,2),[1]Futures!$A$2:$B$12,2),1),"")</f>
        <v/>
      </c>
    </row>
    <row r="1200" spans="1:19" x14ac:dyDescent="0.2">
      <c r="A1200">
        <f t="shared" si="56"/>
        <v>371</v>
      </c>
      <c r="B1200" s="3">
        <v>43978</v>
      </c>
      <c r="C1200" s="3" t="str">
        <f t="shared" si="55"/>
        <v>Wednesday</v>
      </c>
      <c r="D1200" s="2">
        <v>0.44359953703703708</v>
      </c>
      <c r="E1200" t="s">
        <v>14</v>
      </c>
      <c r="F1200" t="s">
        <v>15</v>
      </c>
      <c r="G1200">
        <v>-1</v>
      </c>
      <c r="H1200" t="s">
        <v>16</v>
      </c>
      <c r="I1200" t="s">
        <v>77</v>
      </c>
      <c r="J1200" s="1">
        <v>44063</v>
      </c>
      <c r="L1200" t="s">
        <v>14</v>
      </c>
      <c r="M1200">
        <v>33.4</v>
      </c>
      <c r="N1200">
        <v>33.4</v>
      </c>
      <c r="O1200" t="s">
        <v>21</v>
      </c>
      <c r="P1200">
        <f t="shared" si="57"/>
        <v>0</v>
      </c>
      <c r="Q1200" s="11">
        <f>IF(P1200=0,0,IFERROR(Q1199+G1200*M1200*IF(E1200="FUTURE",VLOOKUP(MID(I1200,2,2),[1]Futures!$A$2:$B$12,2),1),G1200*M1200*IF(E1200="FUTURE",VLOOKUP(MID(I1200,2,2),[1]Futures!$A$2:$B$12,2),1)))</f>
        <v>0</v>
      </c>
      <c r="R1200" s="12" t="str">
        <f>IFERROR(Q1200/P1200/IF(E1200="FUTURE",VLOOKUP(MID(I1200,2,2),[1]Futures!$A$2:$B$12,2),1),"")</f>
        <v/>
      </c>
      <c r="S1200" s="13">
        <f>IF(AND(H1200="TO CLOSE",P1200=0),-G1200*(M1200-R1199)*IF(E1200="FUTURE",VLOOKUP(MID(I1200,2,2),[1]Futures!$A$2:$B$12,2),1),"")</f>
        <v>39.999999999999147</v>
      </c>
    </row>
    <row r="1201" spans="1:19" x14ac:dyDescent="0.2">
      <c r="A1201">
        <f t="shared" si="56"/>
        <v>372</v>
      </c>
      <c r="B1201" s="3">
        <v>43978</v>
      </c>
      <c r="C1201" s="3" t="str">
        <f t="shared" si="55"/>
        <v>Wednesday</v>
      </c>
      <c r="D1201" s="2">
        <v>0.46438657407407408</v>
      </c>
      <c r="E1201" t="s">
        <v>14</v>
      </c>
      <c r="F1201" t="s">
        <v>19</v>
      </c>
      <c r="G1201">
        <v>1</v>
      </c>
      <c r="H1201" t="s">
        <v>20</v>
      </c>
      <c r="I1201" t="s">
        <v>77</v>
      </c>
      <c r="J1201" s="1">
        <v>44063</v>
      </c>
      <c r="L1201" t="s">
        <v>14</v>
      </c>
      <c r="M1201">
        <v>33.01</v>
      </c>
      <c r="N1201">
        <v>33.01</v>
      </c>
      <c r="O1201" t="s">
        <v>21</v>
      </c>
      <c r="P1201">
        <f t="shared" si="57"/>
        <v>1</v>
      </c>
      <c r="Q1201" s="11">
        <f>IF(P1201=0,0,IFERROR(Q1200+G1201*M1201*IF(E1201="FUTURE",VLOOKUP(MID(I1201,2,2),[1]Futures!$A$2:$B$12,2),1),G1201*M1201*IF(E1201="FUTURE",VLOOKUP(MID(I1201,2,2),[1]Futures!$A$2:$B$12,2),1)))</f>
        <v>33010</v>
      </c>
      <c r="R1201" s="12">
        <f>IFERROR(Q1201/P1201/IF(E1201="FUTURE",VLOOKUP(MID(I1201,2,2),[1]Futures!$A$2:$B$12,2),1),"")</f>
        <v>33.01</v>
      </c>
      <c r="S1201" s="13" t="str">
        <f>IF(AND(H1201="TO CLOSE",P1201=0),-G1201*(M1201-R1200)*IF(E1201="FUTURE",VLOOKUP(MID(I1201,2,2),[1]Futures!$A$2:$B$12,2),1),"")</f>
        <v/>
      </c>
    </row>
    <row r="1202" spans="1:19" x14ac:dyDescent="0.2">
      <c r="A1202">
        <f t="shared" si="56"/>
        <v>372</v>
      </c>
      <c r="B1202" s="3">
        <v>43978</v>
      </c>
      <c r="C1202" s="3" t="str">
        <f t="shared" si="55"/>
        <v>Wednesday</v>
      </c>
      <c r="D1202" s="2">
        <v>0.48293981481481479</v>
      </c>
      <c r="E1202" t="s">
        <v>14</v>
      </c>
      <c r="F1202" t="s">
        <v>15</v>
      </c>
      <c r="G1202">
        <v>-1</v>
      </c>
      <c r="H1202" t="s">
        <v>16</v>
      </c>
      <c r="I1202" t="s">
        <v>77</v>
      </c>
      <c r="J1202" s="1">
        <v>44063</v>
      </c>
      <c r="L1202" t="s">
        <v>14</v>
      </c>
      <c r="M1202">
        <v>33.200000000000003</v>
      </c>
      <c r="N1202">
        <v>33.200000000000003</v>
      </c>
      <c r="O1202" t="s">
        <v>21</v>
      </c>
      <c r="P1202">
        <f t="shared" si="57"/>
        <v>0</v>
      </c>
      <c r="Q1202" s="11">
        <f>IF(P1202=0,0,IFERROR(Q1201+G1202*M1202*IF(E1202="FUTURE",VLOOKUP(MID(I1202,2,2),[1]Futures!$A$2:$B$12,2),1),G1202*M1202*IF(E1202="FUTURE",VLOOKUP(MID(I1202,2,2),[1]Futures!$A$2:$B$12,2),1)))</f>
        <v>0</v>
      </c>
      <c r="R1202" s="12" t="str">
        <f>IFERROR(Q1202/P1202/IF(E1202="FUTURE",VLOOKUP(MID(I1202,2,2),[1]Futures!$A$2:$B$12,2),1),"")</f>
        <v/>
      </c>
      <c r="S1202" s="13">
        <f>IF(AND(H1202="TO CLOSE",P1202=0),-G1202*(M1202-R1201)*IF(E1202="FUTURE",VLOOKUP(MID(I1202,2,2),[1]Futures!$A$2:$B$12,2),1),"")</f>
        <v>190.00000000000483</v>
      </c>
    </row>
    <row r="1203" spans="1:19" x14ac:dyDescent="0.2">
      <c r="A1203">
        <f t="shared" si="56"/>
        <v>373</v>
      </c>
      <c r="B1203" s="3">
        <v>43978</v>
      </c>
      <c r="C1203" s="3" t="str">
        <f t="shared" si="55"/>
        <v>Wednesday</v>
      </c>
      <c r="D1203" s="2">
        <v>0.48678240740740741</v>
      </c>
      <c r="E1203" t="s">
        <v>14</v>
      </c>
      <c r="F1203" t="s">
        <v>19</v>
      </c>
      <c r="G1203">
        <v>1</v>
      </c>
      <c r="H1203" t="s">
        <v>20</v>
      </c>
      <c r="I1203" t="s">
        <v>77</v>
      </c>
      <c r="J1203" s="1">
        <v>44063</v>
      </c>
      <c r="L1203" t="s">
        <v>14</v>
      </c>
      <c r="M1203">
        <v>33.17</v>
      </c>
      <c r="N1203">
        <v>33.17</v>
      </c>
      <c r="O1203" t="s">
        <v>24</v>
      </c>
      <c r="P1203">
        <f t="shared" si="57"/>
        <v>1</v>
      </c>
      <c r="Q1203" s="11">
        <f>IF(P1203=0,0,IFERROR(Q1202+G1203*M1203*IF(E1203="FUTURE",VLOOKUP(MID(I1203,2,2),[1]Futures!$A$2:$B$12,2),1),G1203*M1203*IF(E1203="FUTURE",VLOOKUP(MID(I1203,2,2),[1]Futures!$A$2:$B$12,2),1)))</f>
        <v>33170</v>
      </c>
      <c r="R1203" s="12">
        <f>IFERROR(Q1203/P1203/IF(E1203="FUTURE",VLOOKUP(MID(I1203,2,2),[1]Futures!$A$2:$B$12,2),1),"")</f>
        <v>33.17</v>
      </c>
      <c r="S1203" s="13" t="str">
        <f>IF(AND(H1203="TO CLOSE",P1203=0),-G1203*(M1203-R1202)*IF(E1203="FUTURE",VLOOKUP(MID(I1203,2,2),[1]Futures!$A$2:$B$12,2),1),"")</f>
        <v/>
      </c>
    </row>
    <row r="1204" spans="1:19" x14ac:dyDescent="0.2">
      <c r="A1204">
        <f t="shared" si="56"/>
        <v>373</v>
      </c>
      <c r="B1204" s="3">
        <v>43978</v>
      </c>
      <c r="C1204" s="3" t="str">
        <f t="shared" si="55"/>
        <v>Wednesday</v>
      </c>
      <c r="D1204" s="2">
        <v>0.49748842592592596</v>
      </c>
      <c r="E1204" t="s">
        <v>14</v>
      </c>
      <c r="F1204" t="s">
        <v>15</v>
      </c>
      <c r="G1204">
        <v>-1</v>
      </c>
      <c r="H1204" t="s">
        <v>16</v>
      </c>
      <c r="I1204" t="s">
        <v>77</v>
      </c>
      <c r="J1204" s="1">
        <v>44063</v>
      </c>
      <c r="L1204" t="s">
        <v>14</v>
      </c>
      <c r="M1204">
        <v>33.479999999999997</v>
      </c>
      <c r="N1204">
        <v>33.479999999999997</v>
      </c>
      <c r="O1204" t="s">
        <v>21</v>
      </c>
      <c r="P1204">
        <f t="shared" si="57"/>
        <v>0</v>
      </c>
      <c r="Q1204" s="11">
        <f>IF(P1204=0,0,IFERROR(Q1203+G1204*M1204*IF(E1204="FUTURE",VLOOKUP(MID(I1204,2,2),[1]Futures!$A$2:$B$12,2),1),G1204*M1204*IF(E1204="FUTURE",VLOOKUP(MID(I1204,2,2),[1]Futures!$A$2:$B$12,2),1)))</f>
        <v>0</v>
      </c>
      <c r="R1204" s="12" t="str">
        <f>IFERROR(Q1204/P1204/IF(E1204="FUTURE",VLOOKUP(MID(I1204,2,2),[1]Futures!$A$2:$B$12,2),1),"")</f>
        <v/>
      </c>
      <c r="S1204" s="13">
        <f>IF(AND(H1204="TO CLOSE",P1204=0),-G1204*(M1204-R1203)*IF(E1204="FUTURE",VLOOKUP(MID(I1204,2,2),[1]Futures!$A$2:$B$12,2),1),"")</f>
        <v>309.99999999999517</v>
      </c>
    </row>
    <row r="1205" spans="1:19" x14ac:dyDescent="0.2">
      <c r="A1205">
        <f t="shared" si="56"/>
        <v>374</v>
      </c>
      <c r="B1205" s="3">
        <v>43978</v>
      </c>
      <c r="C1205" s="3" t="str">
        <f t="shared" si="55"/>
        <v>Wednesday</v>
      </c>
      <c r="D1205" s="2">
        <v>0.4100462962962963</v>
      </c>
      <c r="E1205" t="s">
        <v>14</v>
      </c>
      <c r="F1205" t="s">
        <v>19</v>
      </c>
      <c r="G1205">
        <v>1</v>
      </c>
      <c r="H1205" t="s">
        <v>20</v>
      </c>
      <c r="I1205" t="s">
        <v>17</v>
      </c>
      <c r="J1205" s="1">
        <v>44002</v>
      </c>
      <c r="L1205" t="s">
        <v>14</v>
      </c>
      <c r="M1205">
        <v>3003.25</v>
      </c>
      <c r="N1205">
        <v>3003.25</v>
      </c>
      <c r="O1205" t="s">
        <v>24</v>
      </c>
      <c r="P1205">
        <f t="shared" si="57"/>
        <v>1</v>
      </c>
      <c r="Q1205" s="11">
        <f>IF(P1205=0,0,IFERROR(Q1204+G1205*M1205*IF(E1205="FUTURE",VLOOKUP(MID(I1205,2,2),[1]Futures!$A$2:$B$12,2),1),G1205*M1205*IF(E1205="FUTURE",VLOOKUP(MID(I1205,2,2),[1]Futures!$A$2:$B$12,2),1)))</f>
        <v>150162.5</v>
      </c>
      <c r="R1205" s="12">
        <f>IFERROR(Q1205/P1205/IF(E1205="FUTURE",VLOOKUP(MID(I1205,2,2),[1]Futures!$A$2:$B$12,2),1),"")</f>
        <v>3003.25</v>
      </c>
      <c r="S1205" s="13" t="str">
        <f>IF(AND(H1205="TO CLOSE",P1205=0),-G1205*(M1205-R1204)*IF(E1205="FUTURE",VLOOKUP(MID(I1205,2,2),[1]Futures!$A$2:$B$12,2),1),"")</f>
        <v/>
      </c>
    </row>
    <row r="1206" spans="1:19" x14ac:dyDescent="0.2">
      <c r="A1206">
        <f t="shared" si="56"/>
        <v>374</v>
      </c>
      <c r="B1206" s="3">
        <v>43978</v>
      </c>
      <c r="C1206" s="3" t="str">
        <f t="shared" si="55"/>
        <v>Wednesday</v>
      </c>
      <c r="D1206" s="2">
        <v>0.41887731481481483</v>
      </c>
      <c r="E1206" t="s">
        <v>14</v>
      </c>
      <c r="F1206" t="s">
        <v>19</v>
      </c>
      <c r="G1206">
        <v>1</v>
      </c>
      <c r="H1206" t="s">
        <v>20</v>
      </c>
      <c r="I1206" t="s">
        <v>17</v>
      </c>
      <c r="J1206" s="1">
        <v>44002</v>
      </c>
      <c r="L1206" t="s">
        <v>14</v>
      </c>
      <c r="M1206">
        <v>2993.25</v>
      </c>
      <c r="N1206">
        <v>2993.25</v>
      </c>
      <c r="O1206" t="s">
        <v>21</v>
      </c>
      <c r="P1206">
        <f t="shared" si="57"/>
        <v>2</v>
      </c>
      <c r="Q1206" s="11">
        <f>IF(P1206=0,0,IFERROR(Q1205+G1206*M1206*IF(E1206="FUTURE",VLOOKUP(MID(I1206,2,2),[1]Futures!$A$2:$B$12,2),1),G1206*M1206*IF(E1206="FUTURE",VLOOKUP(MID(I1206,2,2),[1]Futures!$A$2:$B$12,2),1)))</f>
        <v>299825</v>
      </c>
      <c r="R1206" s="12">
        <f>IFERROR(Q1206/P1206/IF(E1206="FUTURE",VLOOKUP(MID(I1206,2,2),[1]Futures!$A$2:$B$12,2),1),"")</f>
        <v>2998.25</v>
      </c>
      <c r="S1206" s="13" t="str">
        <f>IF(AND(H1206="TO CLOSE",P1206=0),-G1206*(M1206-R1205)*IF(E1206="FUTURE",VLOOKUP(MID(I1206,2,2),[1]Futures!$A$2:$B$12,2),1),"")</f>
        <v/>
      </c>
    </row>
    <row r="1207" spans="1:19" x14ac:dyDescent="0.2">
      <c r="A1207">
        <f t="shared" si="56"/>
        <v>374</v>
      </c>
      <c r="B1207" s="3">
        <v>43978</v>
      </c>
      <c r="C1207" s="3" t="str">
        <f t="shared" si="55"/>
        <v>Wednesday</v>
      </c>
      <c r="D1207" s="2">
        <v>0.42084490740740743</v>
      </c>
      <c r="E1207" t="s">
        <v>14</v>
      </c>
      <c r="F1207" t="s">
        <v>15</v>
      </c>
      <c r="G1207">
        <v>-1</v>
      </c>
      <c r="H1207" t="s">
        <v>16</v>
      </c>
      <c r="I1207" t="s">
        <v>17</v>
      </c>
      <c r="J1207" s="1">
        <v>44002</v>
      </c>
      <c r="L1207" t="s">
        <v>14</v>
      </c>
      <c r="M1207">
        <v>2997.25</v>
      </c>
      <c r="N1207">
        <v>2997.25</v>
      </c>
      <c r="O1207" t="s">
        <v>21</v>
      </c>
      <c r="P1207">
        <f t="shared" si="57"/>
        <v>1</v>
      </c>
      <c r="Q1207" s="11">
        <f>IF(P1207=0,0,IFERROR(Q1206+G1207*M1207*IF(E1207="FUTURE",VLOOKUP(MID(I1207,2,2),[1]Futures!$A$2:$B$12,2),1),G1207*M1207*IF(E1207="FUTURE",VLOOKUP(MID(I1207,2,2),[1]Futures!$A$2:$B$12,2),1)))</f>
        <v>149962.5</v>
      </c>
      <c r="R1207" s="12">
        <f>IFERROR(Q1207/P1207/IF(E1207="FUTURE",VLOOKUP(MID(I1207,2,2),[1]Futures!$A$2:$B$12,2),1),"")</f>
        <v>2999.25</v>
      </c>
      <c r="S1207" s="13" t="str">
        <f>IF(AND(H1207="TO CLOSE",P1207=0),-G1207*(M1207-R1206)*IF(E1207="FUTURE",VLOOKUP(MID(I1207,2,2),[1]Futures!$A$2:$B$12,2),1),"")</f>
        <v/>
      </c>
    </row>
    <row r="1208" spans="1:19" x14ac:dyDescent="0.2">
      <c r="A1208">
        <f t="shared" si="56"/>
        <v>374</v>
      </c>
      <c r="B1208" s="3">
        <v>43978</v>
      </c>
      <c r="C1208" s="3" t="str">
        <f t="shared" si="55"/>
        <v>Wednesday</v>
      </c>
      <c r="D1208" s="2">
        <v>0.42766203703703703</v>
      </c>
      <c r="E1208" t="s">
        <v>14</v>
      </c>
      <c r="F1208" t="s">
        <v>15</v>
      </c>
      <c r="G1208">
        <v>-1</v>
      </c>
      <c r="H1208" t="s">
        <v>16</v>
      </c>
      <c r="I1208" t="s">
        <v>17</v>
      </c>
      <c r="J1208" s="1">
        <v>44002</v>
      </c>
      <c r="L1208" t="s">
        <v>14</v>
      </c>
      <c r="M1208">
        <v>3002.25</v>
      </c>
      <c r="N1208">
        <v>3002.25</v>
      </c>
      <c r="O1208" t="s">
        <v>21</v>
      </c>
      <c r="P1208">
        <f t="shared" si="57"/>
        <v>0</v>
      </c>
      <c r="Q1208" s="11">
        <f>IF(P1208=0,0,IFERROR(Q1207+G1208*M1208*IF(E1208="FUTURE",VLOOKUP(MID(I1208,2,2),[1]Futures!$A$2:$B$12,2),1),G1208*M1208*IF(E1208="FUTURE",VLOOKUP(MID(I1208,2,2),[1]Futures!$A$2:$B$12,2),1)))</f>
        <v>0</v>
      </c>
      <c r="R1208" s="12" t="str">
        <f>IFERROR(Q1208/P1208/IF(E1208="FUTURE",VLOOKUP(MID(I1208,2,2),[1]Futures!$A$2:$B$12,2),1),"")</f>
        <v/>
      </c>
      <c r="S1208" s="13">
        <f>IF(AND(H1208="TO CLOSE",P1208=0),-G1208*(M1208-R1207)*IF(E1208="FUTURE",VLOOKUP(MID(I1208,2,2),[1]Futures!$A$2:$B$12,2),1),"")</f>
        <v>150</v>
      </c>
    </row>
    <row r="1209" spans="1:19" x14ac:dyDescent="0.2">
      <c r="A1209">
        <f t="shared" si="56"/>
        <v>375</v>
      </c>
      <c r="B1209" s="3">
        <v>43978</v>
      </c>
      <c r="C1209" s="3" t="str">
        <f t="shared" si="55"/>
        <v>Wednesday</v>
      </c>
      <c r="D1209" s="2">
        <v>0.43657407407407406</v>
      </c>
      <c r="E1209" t="s">
        <v>14</v>
      </c>
      <c r="F1209" t="s">
        <v>19</v>
      </c>
      <c r="G1209">
        <v>1</v>
      </c>
      <c r="H1209" t="s">
        <v>20</v>
      </c>
      <c r="I1209" t="s">
        <v>17</v>
      </c>
      <c r="J1209" s="1">
        <v>44002</v>
      </c>
      <c r="L1209" t="s">
        <v>14</v>
      </c>
      <c r="M1209">
        <v>2996</v>
      </c>
      <c r="N1209">
        <v>2996</v>
      </c>
      <c r="O1209" t="s">
        <v>24</v>
      </c>
      <c r="P1209">
        <f t="shared" si="57"/>
        <v>1</v>
      </c>
      <c r="Q1209" s="11">
        <f>IF(P1209=0,0,IFERROR(Q1208+G1209*M1209*IF(E1209="FUTURE",VLOOKUP(MID(I1209,2,2),[1]Futures!$A$2:$B$12,2),1),G1209*M1209*IF(E1209="FUTURE",VLOOKUP(MID(I1209,2,2),[1]Futures!$A$2:$B$12,2),1)))</f>
        <v>149800</v>
      </c>
      <c r="R1209" s="12">
        <f>IFERROR(Q1209/P1209/IF(E1209="FUTURE",VLOOKUP(MID(I1209,2,2),[1]Futures!$A$2:$B$12,2),1),"")</f>
        <v>2996</v>
      </c>
      <c r="S1209" s="13" t="str">
        <f>IF(AND(H1209="TO CLOSE",P1209=0),-G1209*(M1209-R1208)*IF(E1209="FUTURE",VLOOKUP(MID(I1209,2,2),[1]Futures!$A$2:$B$12,2),1),"")</f>
        <v/>
      </c>
    </row>
    <row r="1210" spans="1:19" x14ac:dyDescent="0.2">
      <c r="A1210">
        <f t="shared" si="56"/>
        <v>375</v>
      </c>
      <c r="B1210" s="3">
        <v>43978</v>
      </c>
      <c r="C1210" s="3" t="str">
        <f t="shared" si="55"/>
        <v>Wednesday</v>
      </c>
      <c r="D1210" s="2">
        <v>0.51269675925925928</v>
      </c>
      <c r="E1210" t="s">
        <v>14</v>
      </c>
      <c r="F1210" t="s">
        <v>15</v>
      </c>
      <c r="G1210">
        <v>-1</v>
      </c>
      <c r="H1210" t="s">
        <v>16</v>
      </c>
      <c r="I1210" t="s">
        <v>17</v>
      </c>
      <c r="J1210" s="1">
        <v>44002</v>
      </c>
      <c r="L1210" t="s">
        <v>14</v>
      </c>
      <c r="M1210">
        <v>2997</v>
      </c>
      <c r="N1210">
        <v>2997</v>
      </c>
      <c r="O1210" t="s">
        <v>21</v>
      </c>
      <c r="P1210">
        <f t="shared" si="57"/>
        <v>0</v>
      </c>
      <c r="Q1210" s="11">
        <f>IF(P1210=0,0,IFERROR(Q1209+G1210*M1210*IF(E1210="FUTURE",VLOOKUP(MID(I1210,2,2),[1]Futures!$A$2:$B$12,2),1),G1210*M1210*IF(E1210="FUTURE",VLOOKUP(MID(I1210,2,2),[1]Futures!$A$2:$B$12,2),1)))</f>
        <v>0</v>
      </c>
      <c r="R1210" s="12" t="str">
        <f>IFERROR(Q1210/P1210/IF(E1210="FUTURE",VLOOKUP(MID(I1210,2,2),[1]Futures!$A$2:$B$12,2),1),"")</f>
        <v/>
      </c>
      <c r="S1210" s="13">
        <f>IF(AND(H1210="TO CLOSE",P1210=0),-G1210*(M1210-R1209)*IF(E1210="FUTURE",VLOOKUP(MID(I1210,2,2),[1]Futures!$A$2:$B$12,2),1),"")</f>
        <v>50</v>
      </c>
    </row>
    <row r="1211" spans="1:19" x14ac:dyDescent="0.2">
      <c r="A1211">
        <f t="shared" si="56"/>
        <v>376</v>
      </c>
      <c r="B1211" s="3">
        <v>43978</v>
      </c>
      <c r="C1211" s="3" t="str">
        <f t="shared" si="55"/>
        <v>Wednesday</v>
      </c>
      <c r="D1211" s="2">
        <v>0.44200231481481483</v>
      </c>
      <c r="E1211" t="s">
        <v>22</v>
      </c>
      <c r="F1211" t="s">
        <v>15</v>
      </c>
      <c r="G1211">
        <v>-200</v>
      </c>
      <c r="H1211" t="s">
        <v>20</v>
      </c>
      <c r="I1211" t="s">
        <v>23</v>
      </c>
      <c r="L1211" t="s">
        <v>22</v>
      </c>
      <c r="M1211">
        <v>34.22</v>
      </c>
      <c r="N1211">
        <v>34.22</v>
      </c>
      <c r="O1211" t="s">
        <v>21</v>
      </c>
      <c r="P1211">
        <f t="shared" si="57"/>
        <v>-200</v>
      </c>
      <c r="Q1211" s="11">
        <f>IF(P1211=0,0,IFERROR(Q1210+G1211*M1211*IF(E1211="FUTURE",VLOOKUP(MID(I1211,2,2),[1]Futures!$A$2:$B$12,2),1),G1211*M1211*IF(E1211="FUTURE",VLOOKUP(MID(I1211,2,2),[1]Futures!$A$2:$B$12,2),1)))</f>
        <v>-6844</v>
      </c>
      <c r="R1211" s="12">
        <f>IFERROR(Q1211/P1211/IF(E1211="FUTURE",VLOOKUP(MID(I1211,2,2),[1]Futures!$A$2:$B$12,2),1),"")</f>
        <v>34.22</v>
      </c>
      <c r="S1211" s="13" t="str">
        <f>IF(AND(H1211="TO CLOSE",P1211=0),-G1211*(M1211-R1210)*IF(E1211="FUTURE",VLOOKUP(MID(I1211,2,2),[1]Futures!$A$2:$B$12,2),1),"")</f>
        <v/>
      </c>
    </row>
    <row r="1212" spans="1:19" x14ac:dyDescent="0.2">
      <c r="A1212">
        <f t="shared" si="56"/>
        <v>376</v>
      </c>
      <c r="B1212" s="3">
        <v>43978</v>
      </c>
      <c r="C1212" s="3" t="str">
        <f t="shared" si="55"/>
        <v>Wednesday</v>
      </c>
      <c r="D1212" s="2">
        <v>0.44422453703703701</v>
      </c>
      <c r="E1212" t="s">
        <v>22</v>
      </c>
      <c r="F1212" t="s">
        <v>15</v>
      </c>
      <c r="G1212">
        <v>-100</v>
      </c>
      <c r="H1212" t="s">
        <v>20</v>
      </c>
      <c r="I1212" t="s">
        <v>23</v>
      </c>
      <c r="L1212" t="s">
        <v>22</v>
      </c>
      <c r="M1212">
        <v>34.42</v>
      </c>
      <c r="N1212">
        <v>34.42</v>
      </c>
      <c r="O1212" t="s">
        <v>21</v>
      </c>
      <c r="P1212">
        <f t="shared" si="57"/>
        <v>-300</v>
      </c>
      <c r="Q1212" s="11">
        <f>IF(P1212=0,0,IFERROR(Q1211+G1212*M1212*IF(E1212="FUTURE",VLOOKUP(MID(I1212,2,2),[1]Futures!$A$2:$B$12,2),1),G1212*M1212*IF(E1212="FUTURE",VLOOKUP(MID(I1212,2,2),[1]Futures!$A$2:$B$12,2),1)))</f>
        <v>-10286</v>
      </c>
      <c r="R1212" s="12">
        <f>IFERROR(Q1212/P1212/IF(E1212="FUTURE",VLOOKUP(MID(I1212,2,2),[1]Futures!$A$2:$B$12,2),1),"")</f>
        <v>34.286666666666669</v>
      </c>
      <c r="S1212" s="13" t="str">
        <f>IF(AND(H1212="TO CLOSE",P1212=0),-G1212*(M1212-R1211)*IF(E1212="FUTURE",VLOOKUP(MID(I1212,2,2),[1]Futures!$A$2:$B$12,2),1),"")</f>
        <v/>
      </c>
    </row>
    <row r="1213" spans="1:19" x14ac:dyDescent="0.2">
      <c r="A1213">
        <f t="shared" si="56"/>
        <v>376</v>
      </c>
      <c r="B1213" s="3">
        <v>43978</v>
      </c>
      <c r="C1213" s="3" t="str">
        <f t="shared" si="55"/>
        <v>Wednesday</v>
      </c>
      <c r="D1213" s="2">
        <v>0.44538194444444446</v>
      </c>
      <c r="E1213" t="s">
        <v>22</v>
      </c>
      <c r="F1213" t="s">
        <v>15</v>
      </c>
      <c r="G1213">
        <v>-100</v>
      </c>
      <c r="H1213" t="s">
        <v>20</v>
      </c>
      <c r="I1213" t="s">
        <v>23</v>
      </c>
      <c r="L1213" t="s">
        <v>22</v>
      </c>
      <c r="M1213">
        <v>34.620100000000001</v>
      </c>
      <c r="N1213">
        <v>34.620100000000001</v>
      </c>
      <c r="O1213" t="s">
        <v>18</v>
      </c>
      <c r="P1213">
        <f t="shared" si="57"/>
        <v>-400</v>
      </c>
      <c r="Q1213" s="11">
        <f>IF(P1213=0,0,IFERROR(Q1212+G1213*M1213*IF(E1213="FUTURE",VLOOKUP(MID(I1213,2,2),[1]Futures!$A$2:$B$12,2),1),G1213*M1213*IF(E1213="FUTURE",VLOOKUP(MID(I1213,2,2),[1]Futures!$A$2:$B$12,2),1)))</f>
        <v>-13748.01</v>
      </c>
      <c r="R1213" s="12">
        <f>IFERROR(Q1213/P1213/IF(E1213="FUTURE",VLOOKUP(MID(I1213,2,2),[1]Futures!$A$2:$B$12,2),1),"")</f>
        <v>34.370024999999998</v>
      </c>
      <c r="S1213" s="13" t="str">
        <f>IF(AND(H1213="TO CLOSE",P1213=0),-G1213*(M1213-R1212)*IF(E1213="FUTURE",VLOOKUP(MID(I1213,2,2),[1]Futures!$A$2:$B$12,2),1),"")</f>
        <v/>
      </c>
    </row>
    <row r="1214" spans="1:19" x14ac:dyDescent="0.2">
      <c r="A1214">
        <f t="shared" si="56"/>
        <v>376</v>
      </c>
      <c r="B1214" s="3">
        <v>43978</v>
      </c>
      <c r="C1214" s="3" t="str">
        <f t="shared" ref="C1214:C1277" si="58">IF(WEEKDAY(B1214,2)=1,"Monday",IF(WEEKDAY(B1214,2)=2,"Tuesday",IF(WEEKDAY(B1214,2)=3,"Wednesday",IF(WEEKDAY(B1214,2)=4,"Thursday",IF(WEEKDAY(B1214,2)=5,"Friday","Sunday")))))</f>
        <v>Wednesday</v>
      </c>
      <c r="D1214" s="2">
        <v>0.45050925925925928</v>
      </c>
      <c r="E1214" t="s">
        <v>22</v>
      </c>
      <c r="F1214" t="s">
        <v>15</v>
      </c>
      <c r="G1214">
        <v>-100</v>
      </c>
      <c r="H1214" t="s">
        <v>20</v>
      </c>
      <c r="I1214" t="s">
        <v>23</v>
      </c>
      <c r="L1214" t="s">
        <v>22</v>
      </c>
      <c r="M1214">
        <v>34.979999999999997</v>
      </c>
      <c r="N1214">
        <v>34.979999999999997</v>
      </c>
      <c r="O1214" t="s">
        <v>21</v>
      </c>
      <c r="P1214">
        <f t="shared" si="57"/>
        <v>-500</v>
      </c>
      <c r="Q1214" s="11">
        <f>IF(P1214=0,0,IFERROR(Q1213+G1214*M1214*IF(E1214="FUTURE",VLOOKUP(MID(I1214,2,2),[1]Futures!$A$2:$B$12,2),1),G1214*M1214*IF(E1214="FUTURE",VLOOKUP(MID(I1214,2,2),[1]Futures!$A$2:$B$12,2),1)))</f>
        <v>-17246.009999999998</v>
      </c>
      <c r="R1214" s="12">
        <f>IFERROR(Q1214/P1214/IF(E1214="FUTURE",VLOOKUP(MID(I1214,2,2),[1]Futures!$A$2:$B$12,2),1),"")</f>
        <v>34.492019999999997</v>
      </c>
      <c r="S1214" s="13" t="str">
        <f>IF(AND(H1214="TO CLOSE",P1214=0),-G1214*(M1214-R1213)*IF(E1214="FUTURE",VLOOKUP(MID(I1214,2,2),[1]Futures!$A$2:$B$12,2),1),"")</f>
        <v/>
      </c>
    </row>
    <row r="1215" spans="1:19" x14ac:dyDescent="0.2">
      <c r="A1215">
        <f t="shared" si="56"/>
        <v>376</v>
      </c>
      <c r="B1215" s="3">
        <v>43978</v>
      </c>
      <c r="C1215" s="3" t="str">
        <f t="shared" si="58"/>
        <v>Wednesday</v>
      </c>
      <c r="D1215" s="2">
        <v>0.45233796296296297</v>
      </c>
      <c r="E1215" t="s">
        <v>22</v>
      </c>
      <c r="F1215" t="s">
        <v>15</v>
      </c>
      <c r="G1215">
        <v>-100</v>
      </c>
      <c r="H1215" t="s">
        <v>20</v>
      </c>
      <c r="I1215" t="s">
        <v>23</v>
      </c>
      <c r="L1215" t="s">
        <v>22</v>
      </c>
      <c r="M1215">
        <v>35.15</v>
      </c>
      <c r="N1215">
        <v>35.15</v>
      </c>
      <c r="O1215" t="s">
        <v>21</v>
      </c>
      <c r="P1215">
        <f t="shared" si="57"/>
        <v>-600</v>
      </c>
      <c r="Q1215" s="11">
        <f>IF(P1215=0,0,IFERROR(Q1214+G1215*M1215*IF(E1215="FUTURE",VLOOKUP(MID(I1215,2,2),[1]Futures!$A$2:$B$12,2),1),G1215*M1215*IF(E1215="FUTURE",VLOOKUP(MID(I1215,2,2),[1]Futures!$A$2:$B$12,2),1)))</f>
        <v>-20761.009999999998</v>
      </c>
      <c r="R1215" s="12">
        <f>IFERROR(Q1215/P1215/IF(E1215="FUTURE",VLOOKUP(MID(I1215,2,2),[1]Futures!$A$2:$B$12,2),1),"")</f>
        <v>34.601683333333334</v>
      </c>
      <c r="S1215" s="13" t="str">
        <f>IF(AND(H1215="TO CLOSE",P1215=0),-G1215*(M1215-R1214)*IF(E1215="FUTURE",VLOOKUP(MID(I1215,2,2),[1]Futures!$A$2:$B$12,2),1),"")</f>
        <v/>
      </c>
    </row>
    <row r="1216" spans="1:19" x14ac:dyDescent="0.2">
      <c r="A1216">
        <f t="shared" si="56"/>
        <v>376</v>
      </c>
      <c r="B1216" s="3">
        <v>43978</v>
      </c>
      <c r="C1216" s="3" t="str">
        <f t="shared" si="58"/>
        <v>Wednesday</v>
      </c>
      <c r="D1216" s="2">
        <v>0.45443287037037039</v>
      </c>
      <c r="E1216" t="s">
        <v>22</v>
      </c>
      <c r="F1216" t="s">
        <v>19</v>
      </c>
      <c r="G1216">
        <v>200</v>
      </c>
      <c r="H1216" t="s">
        <v>16</v>
      </c>
      <c r="I1216" t="s">
        <v>23</v>
      </c>
      <c r="L1216" t="s">
        <v>22</v>
      </c>
      <c r="M1216">
        <v>34.880000000000003</v>
      </c>
      <c r="N1216">
        <v>34.880000000000003</v>
      </c>
      <c r="O1216" t="s">
        <v>21</v>
      </c>
      <c r="P1216">
        <f t="shared" si="57"/>
        <v>-400</v>
      </c>
      <c r="Q1216" s="11">
        <f>IF(P1216=0,0,IFERROR(Q1215+G1216*M1216*IF(E1216="FUTURE",VLOOKUP(MID(I1216,2,2),[1]Futures!$A$2:$B$12,2),1),G1216*M1216*IF(E1216="FUTURE",VLOOKUP(MID(I1216,2,2),[1]Futures!$A$2:$B$12,2),1)))</f>
        <v>-13785.009999999998</v>
      </c>
      <c r="R1216" s="12">
        <f>IFERROR(Q1216/P1216/IF(E1216="FUTURE",VLOOKUP(MID(I1216,2,2),[1]Futures!$A$2:$B$12,2),1),"")</f>
        <v>34.462524999999999</v>
      </c>
      <c r="S1216" s="13" t="str">
        <f>IF(AND(H1216="TO CLOSE",P1216=0),-G1216*(M1216-R1215)*IF(E1216="FUTURE",VLOOKUP(MID(I1216,2,2),[1]Futures!$A$2:$B$12,2),1),"")</f>
        <v/>
      </c>
    </row>
    <row r="1217" spans="1:19" x14ac:dyDescent="0.2">
      <c r="A1217">
        <f t="shared" si="56"/>
        <v>376</v>
      </c>
      <c r="B1217" s="3">
        <v>43978</v>
      </c>
      <c r="C1217" s="3" t="str">
        <f t="shared" si="58"/>
        <v>Wednesday</v>
      </c>
      <c r="D1217" s="2">
        <v>0.4629050925925926</v>
      </c>
      <c r="E1217" t="s">
        <v>22</v>
      </c>
      <c r="F1217" t="s">
        <v>19</v>
      </c>
      <c r="G1217">
        <v>100</v>
      </c>
      <c r="H1217" t="s">
        <v>16</v>
      </c>
      <c r="I1217" t="s">
        <v>23</v>
      </c>
      <c r="L1217" t="s">
        <v>22</v>
      </c>
      <c r="M1217">
        <v>34.53</v>
      </c>
      <c r="N1217">
        <v>34.53</v>
      </c>
      <c r="O1217" t="s">
        <v>21</v>
      </c>
      <c r="P1217">
        <f t="shared" si="57"/>
        <v>-300</v>
      </c>
      <c r="Q1217" s="11">
        <f>IF(P1217=0,0,IFERROR(Q1216+G1217*M1217*IF(E1217="FUTURE",VLOOKUP(MID(I1217,2,2),[1]Futures!$A$2:$B$12,2),1),G1217*M1217*IF(E1217="FUTURE",VLOOKUP(MID(I1217,2,2),[1]Futures!$A$2:$B$12,2),1)))</f>
        <v>-10332.009999999998</v>
      </c>
      <c r="R1217" s="12">
        <f>IFERROR(Q1217/P1217/IF(E1217="FUTURE",VLOOKUP(MID(I1217,2,2),[1]Futures!$A$2:$B$12,2),1),"")</f>
        <v>34.440033333333325</v>
      </c>
      <c r="S1217" s="13" t="str">
        <f>IF(AND(H1217="TO CLOSE",P1217=0),-G1217*(M1217-R1216)*IF(E1217="FUTURE",VLOOKUP(MID(I1217,2,2),[1]Futures!$A$2:$B$12,2),1),"")</f>
        <v/>
      </c>
    </row>
    <row r="1218" spans="1:19" x14ac:dyDescent="0.2">
      <c r="A1218">
        <f t="shared" ref="A1218:A1281" si="59">IF(AND(P1217=0,H1217="TO CLOSE"),IFERROR(A1217+1,1),IFERROR(A1217/1,1))</f>
        <v>376</v>
      </c>
      <c r="B1218" s="3">
        <v>43978</v>
      </c>
      <c r="C1218" s="3" t="str">
        <f t="shared" si="58"/>
        <v>Wednesday</v>
      </c>
      <c r="D1218" s="2">
        <v>0.46349537037037036</v>
      </c>
      <c r="E1218" t="s">
        <v>22</v>
      </c>
      <c r="F1218" t="s">
        <v>19</v>
      </c>
      <c r="G1218">
        <v>10</v>
      </c>
      <c r="H1218" t="s">
        <v>16</v>
      </c>
      <c r="I1218" t="s">
        <v>23</v>
      </c>
      <c r="L1218" t="s">
        <v>22</v>
      </c>
      <c r="M1218">
        <v>34.505000000000003</v>
      </c>
      <c r="N1218">
        <v>34.505000000000003</v>
      </c>
      <c r="O1218" t="s">
        <v>24</v>
      </c>
      <c r="P1218">
        <f t="shared" si="57"/>
        <v>-290</v>
      </c>
      <c r="Q1218" s="11">
        <f>IF(P1218=0,0,IFERROR(Q1217+G1218*M1218*IF(E1218="FUTURE",VLOOKUP(MID(I1218,2,2),[1]Futures!$A$2:$B$12,2),1),G1218*M1218*IF(E1218="FUTURE",VLOOKUP(MID(I1218,2,2),[1]Futures!$A$2:$B$12,2),1)))</f>
        <v>-9986.9599999999991</v>
      </c>
      <c r="R1218" s="12">
        <f>IFERROR(Q1218/P1218/IF(E1218="FUTURE",VLOOKUP(MID(I1218,2,2),[1]Futures!$A$2:$B$12,2),1),"")</f>
        <v>34.437793103448271</v>
      </c>
      <c r="S1218" s="13" t="str">
        <f>IF(AND(H1218="TO CLOSE",P1218=0),-G1218*(M1218-R1217)*IF(E1218="FUTURE",VLOOKUP(MID(I1218,2,2),[1]Futures!$A$2:$B$12,2),1),"")</f>
        <v/>
      </c>
    </row>
    <row r="1219" spans="1:19" x14ac:dyDescent="0.2">
      <c r="A1219">
        <f t="shared" si="59"/>
        <v>376</v>
      </c>
      <c r="B1219" s="3">
        <v>43978</v>
      </c>
      <c r="C1219" s="3" t="str">
        <f t="shared" si="58"/>
        <v>Wednesday</v>
      </c>
      <c r="D1219" s="2">
        <v>0.46408564814814812</v>
      </c>
      <c r="E1219" t="s">
        <v>22</v>
      </c>
      <c r="F1219" t="s">
        <v>19</v>
      </c>
      <c r="G1219">
        <v>10</v>
      </c>
      <c r="H1219" t="s">
        <v>16</v>
      </c>
      <c r="I1219" t="s">
        <v>23</v>
      </c>
      <c r="L1219" t="s">
        <v>22</v>
      </c>
      <c r="M1219">
        <v>34.5199</v>
      </c>
      <c r="N1219">
        <v>34.520000000000003</v>
      </c>
      <c r="O1219" t="s">
        <v>24</v>
      </c>
      <c r="P1219">
        <f t="shared" ref="P1219:P1282" si="60">IF(H1219="TO OPEN",IFERROR(P1218+G1219,0+G1219),IFERROR(P1218+G1219,0+G1219))</f>
        <v>-280</v>
      </c>
      <c r="Q1219" s="11">
        <f>IF(P1219=0,0,IFERROR(Q1218+G1219*M1219*IF(E1219="FUTURE",VLOOKUP(MID(I1219,2,2),[1]Futures!$A$2:$B$12,2),1),G1219*M1219*IF(E1219="FUTURE",VLOOKUP(MID(I1219,2,2),[1]Futures!$A$2:$B$12,2),1)))</f>
        <v>-9641.7609999999986</v>
      </c>
      <c r="R1219" s="12">
        <f>IFERROR(Q1219/P1219/IF(E1219="FUTURE",VLOOKUP(MID(I1219,2,2),[1]Futures!$A$2:$B$12,2),1),"")</f>
        <v>34.434860714285712</v>
      </c>
      <c r="S1219" s="13" t="str">
        <f>IF(AND(H1219="TO CLOSE",P1219=0),-G1219*(M1219-R1218)*IF(E1219="FUTURE",VLOOKUP(MID(I1219,2,2),[1]Futures!$A$2:$B$12,2),1),"")</f>
        <v/>
      </c>
    </row>
    <row r="1220" spans="1:19" x14ac:dyDescent="0.2">
      <c r="A1220">
        <f t="shared" si="59"/>
        <v>376</v>
      </c>
      <c r="B1220" s="3">
        <v>43978</v>
      </c>
      <c r="C1220" s="3" t="str">
        <f t="shared" si="58"/>
        <v>Wednesday</v>
      </c>
      <c r="D1220" s="2">
        <v>0.481412037037037</v>
      </c>
      <c r="E1220" t="s">
        <v>22</v>
      </c>
      <c r="F1220" t="s">
        <v>19</v>
      </c>
      <c r="G1220">
        <v>80</v>
      </c>
      <c r="H1220" t="s">
        <v>16</v>
      </c>
      <c r="I1220" t="s">
        <v>23</v>
      </c>
      <c r="L1220" t="s">
        <v>22</v>
      </c>
      <c r="M1220">
        <v>34.117100000000001</v>
      </c>
      <c r="N1220">
        <v>34.117130000000003</v>
      </c>
      <c r="O1220" t="s">
        <v>21</v>
      </c>
      <c r="P1220">
        <f t="shared" si="60"/>
        <v>-200</v>
      </c>
      <c r="Q1220" s="11">
        <f>IF(P1220=0,0,IFERROR(Q1219+G1220*M1220*IF(E1220="FUTURE",VLOOKUP(MID(I1220,2,2),[1]Futures!$A$2:$B$12,2),1),G1220*M1220*IF(E1220="FUTURE",VLOOKUP(MID(I1220,2,2),[1]Futures!$A$2:$B$12,2),1)))</f>
        <v>-6912.3929999999982</v>
      </c>
      <c r="R1220" s="12">
        <f>IFERROR(Q1220/P1220/IF(E1220="FUTURE",VLOOKUP(MID(I1220,2,2),[1]Futures!$A$2:$B$12,2),1),"")</f>
        <v>34.561964999999994</v>
      </c>
      <c r="S1220" s="13" t="str">
        <f>IF(AND(H1220="TO CLOSE",P1220=0),-G1220*(M1220-R1219)*IF(E1220="FUTURE",VLOOKUP(MID(I1220,2,2),[1]Futures!$A$2:$B$12,2),1),"")</f>
        <v/>
      </c>
    </row>
    <row r="1221" spans="1:19" x14ac:dyDescent="0.2">
      <c r="A1221">
        <f t="shared" si="59"/>
        <v>376</v>
      </c>
      <c r="B1221" s="3">
        <v>43978</v>
      </c>
      <c r="C1221" s="3" t="str">
        <f t="shared" si="58"/>
        <v>Wednesday</v>
      </c>
      <c r="D1221" s="2">
        <v>0.51538194444444441</v>
      </c>
      <c r="E1221" t="s">
        <v>22</v>
      </c>
      <c r="F1221" t="s">
        <v>19</v>
      </c>
      <c r="G1221">
        <v>200</v>
      </c>
      <c r="H1221" t="s">
        <v>16</v>
      </c>
      <c r="I1221" t="s">
        <v>23</v>
      </c>
      <c r="L1221" t="s">
        <v>22</v>
      </c>
      <c r="M1221">
        <v>33.905000000000001</v>
      </c>
      <c r="N1221">
        <v>33.905000000000001</v>
      </c>
      <c r="O1221" t="s">
        <v>24</v>
      </c>
      <c r="P1221">
        <f t="shared" si="60"/>
        <v>0</v>
      </c>
      <c r="Q1221" s="11">
        <f>IF(P1221=0,0,IFERROR(Q1220+G1221*M1221*IF(E1221="FUTURE",VLOOKUP(MID(I1221,2,2),[1]Futures!$A$2:$B$12,2),1),G1221*M1221*IF(E1221="FUTURE",VLOOKUP(MID(I1221,2,2),[1]Futures!$A$2:$B$12,2),1)))</f>
        <v>0</v>
      </c>
      <c r="R1221" s="12" t="str">
        <f>IFERROR(Q1221/P1221/IF(E1221="FUTURE",VLOOKUP(MID(I1221,2,2),[1]Futures!$A$2:$B$12,2),1),"")</f>
        <v/>
      </c>
      <c r="S1221" s="13">
        <f>IF(AND(H1221="TO CLOSE",P1221=0),-G1221*(M1221-R1220)*IF(E1221="FUTURE",VLOOKUP(MID(I1221,2,2),[1]Futures!$A$2:$B$12,2),1),"")</f>
        <v>131.39299999999849</v>
      </c>
    </row>
    <row r="1222" spans="1:19" x14ac:dyDescent="0.2">
      <c r="A1222">
        <f t="shared" si="59"/>
        <v>377</v>
      </c>
      <c r="B1222" s="3">
        <v>43979</v>
      </c>
      <c r="C1222" s="3" t="str">
        <f t="shared" si="58"/>
        <v>Thursday</v>
      </c>
      <c r="D1222" s="2">
        <v>0.40284722222222219</v>
      </c>
      <c r="E1222" t="s">
        <v>14</v>
      </c>
      <c r="F1222" t="s">
        <v>15</v>
      </c>
      <c r="G1222">
        <v>-1</v>
      </c>
      <c r="H1222" t="s">
        <v>20</v>
      </c>
      <c r="I1222" t="s">
        <v>77</v>
      </c>
      <c r="J1222" s="1">
        <v>44063</v>
      </c>
      <c r="L1222" t="s">
        <v>14</v>
      </c>
      <c r="M1222">
        <v>32.97</v>
      </c>
      <c r="N1222">
        <v>32.97</v>
      </c>
      <c r="O1222" t="s">
        <v>21</v>
      </c>
      <c r="P1222">
        <f t="shared" si="60"/>
        <v>-1</v>
      </c>
      <c r="Q1222" s="11">
        <f>IF(P1222=0,0,IFERROR(Q1221+G1222*M1222*IF(E1222="FUTURE",VLOOKUP(MID(I1222,2,2),[1]Futures!$A$2:$B$12,2),1),G1222*M1222*IF(E1222="FUTURE",VLOOKUP(MID(I1222,2,2),[1]Futures!$A$2:$B$12,2),1)))</f>
        <v>-32970</v>
      </c>
      <c r="R1222" s="12">
        <f>IFERROR(Q1222/P1222/IF(E1222="FUTURE",VLOOKUP(MID(I1222,2,2),[1]Futures!$A$2:$B$12,2),1),"")</f>
        <v>32.97</v>
      </c>
      <c r="S1222" s="13" t="str">
        <f>IF(AND(H1222="TO CLOSE",P1222=0),-G1222*(M1222-R1221)*IF(E1222="FUTURE",VLOOKUP(MID(I1222,2,2),[1]Futures!$A$2:$B$12,2),1),"")</f>
        <v/>
      </c>
    </row>
    <row r="1223" spans="1:19" x14ac:dyDescent="0.2">
      <c r="A1223">
        <f t="shared" si="59"/>
        <v>377</v>
      </c>
      <c r="B1223" s="3">
        <v>43979</v>
      </c>
      <c r="C1223" s="3" t="str">
        <f t="shared" si="58"/>
        <v>Thursday</v>
      </c>
      <c r="D1223" s="2">
        <v>0.44021990740740741</v>
      </c>
      <c r="E1223" t="s">
        <v>14</v>
      </c>
      <c r="F1223" t="s">
        <v>19</v>
      </c>
      <c r="G1223">
        <v>1</v>
      </c>
      <c r="H1223" t="s">
        <v>16</v>
      </c>
      <c r="I1223" t="s">
        <v>77</v>
      </c>
      <c r="J1223" s="1">
        <v>44063</v>
      </c>
      <c r="L1223" t="s">
        <v>14</v>
      </c>
      <c r="M1223">
        <v>33.1</v>
      </c>
      <c r="N1223">
        <v>33.1</v>
      </c>
      <c r="O1223" t="s">
        <v>18</v>
      </c>
      <c r="P1223">
        <f t="shared" si="60"/>
        <v>0</v>
      </c>
      <c r="Q1223" s="11">
        <f>IF(P1223=0,0,IFERROR(Q1222+G1223*M1223*IF(E1223="FUTURE",VLOOKUP(MID(I1223,2,2),[1]Futures!$A$2:$B$12,2),1),G1223*M1223*IF(E1223="FUTURE",VLOOKUP(MID(I1223,2,2),[1]Futures!$A$2:$B$12,2),1)))</f>
        <v>0</v>
      </c>
      <c r="R1223" s="12" t="str">
        <f>IFERROR(Q1223/P1223/IF(E1223="FUTURE",VLOOKUP(MID(I1223,2,2),[1]Futures!$A$2:$B$12,2),1),"")</f>
        <v/>
      </c>
      <c r="S1223" s="13">
        <f>IF(AND(H1223="TO CLOSE",P1223=0),-G1223*(M1223-R1222)*IF(E1223="FUTURE",VLOOKUP(MID(I1223,2,2),[1]Futures!$A$2:$B$12,2),1),"")</f>
        <v>-130.00000000000256</v>
      </c>
    </row>
    <row r="1224" spans="1:19" x14ac:dyDescent="0.2">
      <c r="A1224">
        <f t="shared" si="59"/>
        <v>378</v>
      </c>
      <c r="B1224" s="3">
        <v>43979</v>
      </c>
      <c r="C1224" s="3" t="str">
        <f t="shared" si="58"/>
        <v>Thursday</v>
      </c>
      <c r="D1224" s="2">
        <v>0.45793981481481483</v>
      </c>
      <c r="E1224" t="s">
        <v>14</v>
      </c>
      <c r="F1224" t="s">
        <v>15</v>
      </c>
      <c r="G1224">
        <v>-1</v>
      </c>
      <c r="H1224" t="s">
        <v>20</v>
      </c>
      <c r="I1224" t="s">
        <v>77</v>
      </c>
      <c r="J1224" s="1">
        <v>44063</v>
      </c>
      <c r="L1224" t="s">
        <v>14</v>
      </c>
      <c r="M1224">
        <v>33.14</v>
      </c>
      <c r="N1224">
        <v>33.14</v>
      </c>
      <c r="O1224" t="s">
        <v>21</v>
      </c>
      <c r="P1224">
        <f t="shared" si="60"/>
        <v>-1</v>
      </c>
      <c r="Q1224" s="11">
        <f>IF(P1224=0,0,IFERROR(Q1223+G1224*M1224*IF(E1224="FUTURE",VLOOKUP(MID(I1224,2,2),[1]Futures!$A$2:$B$12,2),1),G1224*M1224*IF(E1224="FUTURE",VLOOKUP(MID(I1224,2,2),[1]Futures!$A$2:$B$12,2),1)))</f>
        <v>-33140</v>
      </c>
      <c r="R1224" s="12">
        <f>IFERROR(Q1224/P1224/IF(E1224="FUTURE",VLOOKUP(MID(I1224,2,2),[1]Futures!$A$2:$B$12,2),1),"")</f>
        <v>33.14</v>
      </c>
      <c r="S1224" s="13" t="str">
        <f>IF(AND(H1224="TO CLOSE",P1224=0),-G1224*(M1224-R1223)*IF(E1224="FUTURE",VLOOKUP(MID(I1224,2,2),[1]Futures!$A$2:$B$12,2),1),"")</f>
        <v/>
      </c>
    </row>
    <row r="1225" spans="1:19" x14ac:dyDescent="0.2">
      <c r="A1225">
        <f t="shared" si="59"/>
        <v>378</v>
      </c>
      <c r="B1225" s="3">
        <v>43979</v>
      </c>
      <c r="C1225" s="3" t="str">
        <f t="shared" si="58"/>
        <v>Thursday</v>
      </c>
      <c r="D1225" s="2">
        <v>0.46127314814814818</v>
      </c>
      <c r="E1225" t="s">
        <v>14</v>
      </c>
      <c r="F1225" t="s">
        <v>19</v>
      </c>
      <c r="G1225">
        <v>1</v>
      </c>
      <c r="H1225" t="s">
        <v>16</v>
      </c>
      <c r="I1225" t="s">
        <v>77</v>
      </c>
      <c r="J1225" s="1">
        <v>44063</v>
      </c>
      <c r="L1225" t="s">
        <v>14</v>
      </c>
      <c r="M1225">
        <v>33.119999999999997</v>
      </c>
      <c r="N1225">
        <v>33.119999999999997</v>
      </c>
      <c r="O1225" t="s">
        <v>18</v>
      </c>
      <c r="P1225">
        <f t="shared" si="60"/>
        <v>0</v>
      </c>
      <c r="Q1225" s="11">
        <f>IF(P1225=0,0,IFERROR(Q1224+G1225*M1225*IF(E1225="FUTURE",VLOOKUP(MID(I1225,2,2),[1]Futures!$A$2:$B$12,2),1),G1225*M1225*IF(E1225="FUTURE",VLOOKUP(MID(I1225,2,2),[1]Futures!$A$2:$B$12,2),1)))</f>
        <v>0</v>
      </c>
      <c r="R1225" s="12" t="str">
        <f>IFERROR(Q1225/P1225/IF(E1225="FUTURE",VLOOKUP(MID(I1225,2,2),[1]Futures!$A$2:$B$12,2),1),"")</f>
        <v/>
      </c>
      <c r="S1225" s="13">
        <f>IF(AND(H1225="TO CLOSE",P1225=0),-G1225*(M1225-R1224)*IF(E1225="FUTURE",VLOOKUP(MID(I1225,2,2),[1]Futures!$A$2:$B$12,2),1),"")</f>
        <v>20.000000000003126</v>
      </c>
    </row>
    <row r="1226" spans="1:19" x14ac:dyDescent="0.2">
      <c r="A1226">
        <f t="shared" si="59"/>
        <v>379</v>
      </c>
      <c r="B1226" s="3">
        <v>43979</v>
      </c>
      <c r="C1226" s="3" t="str">
        <f t="shared" si="58"/>
        <v>Thursday</v>
      </c>
      <c r="D1226" s="2">
        <v>0.46702546296296293</v>
      </c>
      <c r="E1226" t="s">
        <v>14</v>
      </c>
      <c r="F1226" t="s">
        <v>15</v>
      </c>
      <c r="G1226">
        <v>-1</v>
      </c>
      <c r="H1226" t="s">
        <v>20</v>
      </c>
      <c r="I1226" t="s">
        <v>77</v>
      </c>
      <c r="J1226" s="1">
        <v>44063</v>
      </c>
      <c r="L1226" t="s">
        <v>14</v>
      </c>
      <c r="M1226">
        <v>33.020000000000003</v>
      </c>
      <c r="N1226">
        <v>33.020000000000003</v>
      </c>
      <c r="O1226" t="s">
        <v>24</v>
      </c>
      <c r="P1226">
        <f t="shared" si="60"/>
        <v>-1</v>
      </c>
      <c r="Q1226" s="11">
        <f>IF(P1226=0,0,IFERROR(Q1225+G1226*M1226*IF(E1226="FUTURE",VLOOKUP(MID(I1226,2,2),[1]Futures!$A$2:$B$12,2),1),G1226*M1226*IF(E1226="FUTURE",VLOOKUP(MID(I1226,2,2),[1]Futures!$A$2:$B$12,2),1)))</f>
        <v>-33020</v>
      </c>
      <c r="R1226" s="12">
        <f>IFERROR(Q1226/P1226/IF(E1226="FUTURE",VLOOKUP(MID(I1226,2,2),[1]Futures!$A$2:$B$12,2),1),"")</f>
        <v>33.020000000000003</v>
      </c>
      <c r="S1226" s="13" t="str">
        <f>IF(AND(H1226="TO CLOSE",P1226=0),-G1226*(M1226-R1225)*IF(E1226="FUTURE",VLOOKUP(MID(I1226,2,2),[1]Futures!$A$2:$B$12,2),1),"")</f>
        <v/>
      </c>
    </row>
    <row r="1227" spans="1:19" x14ac:dyDescent="0.2">
      <c r="A1227">
        <f t="shared" si="59"/>
        <v>379</v>
      </c>
      <c r="B1227" s="3">
        <v>43979</v>
      </c>
      <c r="C1227" s="3" t="str">
        <f t="shared" si="58"/>
        <v>Thursday</v>
      </c>
      <c r="D1227" s="2">
        <v>0.47533564814814816</v>
      </c>
      <c r="E1227" t="s">
        <v>14</v>
      </c>
      <c r="F1227" t="s">
        <v>19</v>
      </c>
      <c r="G1227">
        <v>1</v>
      </c>
      <c r="H1227" t="s">
        <v>16</v>
      </c>
      <c r="I1227" t="s">
        <v>77</v>
      </c>
      <c r="J1227" s="1">
        <v>44063</v>
      </c>
      <c r="L1227" t="s">
        <v>14</v>
      </c>
      <c r="M1227">
        <v>33.020000000000003</v>
      </c>
      <c r="N1227">
        <v>33.020000000000003</v>
      </c>
      <c r="O1227" t="s">
        <v>21</v>
      </c>
      <c r="P1227">
        <f t="shared" si="60"/>
        <v>0</v>
      </c>
      <c r="Q1227" s="11">
        <f>IF(P1227=0,0,IFERROR(Q1226+G1227*M1227*IF(E1227="FUTURE",VLOOKUP(MID(I1227,2,2),[1]Futures!$A$2:$B$12,2),1),G1227*M1227*IF(E1227="FUTURE",VLOOKUP(MID(I1227,2,2),[1]Futures!$A$2:$B$12,2),1)))</f>
        <v>0</v>
      </c>
      <c r="R1227" s="12" t="str">
        <f>IFERROR(Q1227/P1227/IF(E1227="FUTURE",VLOOKUP(MID(I1227,2,2),[1]Futures!$A$2:$B$12,2),1),"")</f>
        <v/>
      </c>
      <c r="S1227" s="13">
        <f>IF(AND(H1227="TO CLOSE",P1227=0),-G1227*(M1227-R1226)*IF(E1227="FUTURE",VLOOKUP(MID(I1227,2,2),[1]Futures!$A$2:$B$12,2),1),"")</f>
        <v>0</v>
      </c>
    </row>
    <row r="1228" spans="1:19" x14ac:dyDescent="0.2">
      <c r="A1228">
        <f t="shared" si="59"/>
        <v>380</v>
      </c>
      <c r="B1228" s="3">
        <v>43979</v>
      </c>
      <c r="C1228" s="3" t="str">
        <f t="shared" si="58"/>
        <v>Thursday</v>
      </c>
      <c r="D1228" s="2">
        <v>0.4793055555555556</v>
      </c>
      <c r="E1228" t="s">
        <v>14</v>
      </c>
      <c r="F1228" t="s">
        <v>19</v>
      </c>
      <c r="G1228">
        <v>1</v>
      </c>
      <c r="H1228" t="s">
        <v>20</v>
      </c>
      <c r="I1228" t="s">
        <v>77</v>
      </c>
      <c r="J1228" s="1">
        <v>44063</v>
      </c>
      <c r="L1228" t="s">
        <v>14</v>
      </c>
      <c r="M1228">
        <v>33.22</v>
      </c>
      <c r="N1228">
        <v>33.22</v>
      </c>
      <c r="O1228" t="s">
        <v>24</v>
      </c>
      <c r="P1228">
        <f t="shared" si="60"/>
        <v>1</v>
      </c>
      <c r="Q1228" s="11">
        <f>IF(P1228=0,0,IFERROR(Q1227+G1228*M1228*IF(E1228="FUTURE",VLOOKUP(MID(I1228,2,2),[1]Futures!$A$2:$B$12,2),1),G1228*M1228*IF(E1228="FUTURE",VLOOKUP(MID(I1228,2,2),[1]Futures!$A$2:$B$12,2),1)))</f>
        <v>33220</v>
      </c>
      <c r="R1228" s="12">
        <f>IFERROR(Q1228/P1228/IF(E1228="FUTURE",VLOOKUP(MID(I1228,2,2),[1]Futures!$A$2:$B$12,2),1),"")</f>
        <v>33.22</v>
      </c>
      <c r="S1228" s="13" t="str">
        <f>IF(AND(H1228="TO CLOSE",P1228=0),-G1228*(M1228-R1227)*IF(E1228="FUTURE",VLOOKUP(MID(I1228,2,2),[1]Futures!$A$2:$B$12,2),1),"")</f>
        <v/>
      </c>
    </row>
    <row r="1229" spans="1:19" x14ac:dyDescent="0.2">
      <c r="A1229">
        <f t="shared" si="59"/>
        <v>380</v>
      </c>
      <c r="B1229" s="3">
        <v>43979</v>
      </c>
      <c r="C1229" s="3" t="str">
        <f t="shared" si="58"/>
        <v>Thursday</v>
      </c>
      <c r="D1229" s="2">
        <v>0.48168981481481482</v>
      </c>
      <c r="E1229" t="s">
        <v>14</v>
      </c>
      <c r="F1229" t="s">
        <v>15</v>
      </c>
      <c r="G1229">
        <v>-1</v>
      </c>
      <c r="H1229" t="s">
        <v>16</v>
      </c>
      <c r="I1229" t="s">
        <v>77</v>
      </c>
      <c r="J1229" s="1">
        <v>44063</v>
      </c>
      <c r="L1229" t="s">
        <v>14</v>
      </c>
      <c r="M1229">
        <v>33.15</v>
      </c>
      <c r="N1229">
        <v>33.15</v>
      </c>
      <c r="O1229" t="s">
        <v>21</v>
      </c>
      <c r="P1229">
        <f t="shared" si="60"/>
        <v>0</v>
      </c>
      <c r="Q1229" s="11">
        <f>IF(P1229=0,0,IFERROR(Q1228+G1229*M1229*IF(E1229="FUTURE",VLOOKUP(MID(I1229,2,2),[1]Futures!$A$2:$B$12,2),1),G1229*M1229*IF(E1229="FUTURE",VLOOKUP(MID(I1229,2,2),[1]Futures!$A$2:$B$12,2),1)))</f>
        <v>0</v>
      </c>
      <c r="R1229" s="12" t="str">
        <f>IFERROR(Q1229/P1229/IF(E1229="FUTURE",VLOOKUP(MID(I1229,2,2),[1]Futures!$A$2:$B$12,2),1),"")</f>
        <v/>
      </c>
      <c r="S1229" s="13">
        <f>IF(AND(H1229="TO CLOSE",P1229=0),-G1229*(M1229-R1228)*IF(E1229="FUTURE",VLOOKUP(MID(I1229,2,2),[1]Futures!$A$2:$B$12,2),1),"")</f>
        <v>-70.000000000000284</v>
      </c>
    </row>
    <row r="1230" spans="1:19" x14ac:dyDescent="0.2">
      <c r="A1230">
        <f t="shared" si="59"/>
        <v>381</v>
      </c>
      <c r="B1230" s="3">
        <v>43979</v>
      </c>
      <c r="C1230" s="3" t="str">
        <f t="shared" si="58"/>
        <v>Thursday</v>
      </c>
      <c r="D1230" s="2">
        <v>0.48703703703703699</v>
      </c>
      <c r="E1230" t="s">
        <v>14</v>
      </c>
      <c r="F1230" t="s">
        <v>15</v>
      </c>
      <c r="G1230">
        <v>-1</v>
      </c>
      <c r="H1230" t="s">
        <v>20</v>
      </c>
      <c r="I1230" t="s">
        <v>77</v>
      </c>
      <c r="J1230" s="1">
        <v>44063</v>
      </c>
      <c r="L1230" t="s">
        <v>14</v>
      </c>
      <c r="M1230">
        <v>33.17</v>
      </c>
      <c r="N1230">
        <v>33.17</v>
      </c>
      <c r="O1230" t="s">
        <v>21</v>
      </c>
      <c r="P1230">
        <f t="shared" si="60"/>
        <v>-1</v>
      </c>
      <c r="Q1230" s="11">
        <f>IF(P1230=0,0,IFERROR(Q1229+G1230*M1230*IF(E1230="FUTURE",VLOOKUP(MID(I1230,2,2),[1]Futures!$A$2:$B$12,2),1),G1230*M1230*IF(E1230="FUTURE",VLOOKUP(MID(I1230,2,2),[1]Futures!$A$2:$B$12,2),1)))</f>
        <v>-33170</v>
      </c>
      <c r="R1230" s="12">
        <f>IFERROR(Q1230/P1230/IF(E1230="FUTURE",VLOOKUP(MID(I1230,2,2),[1]Futures!$A$2:$B$12,2),1),"")</f>
        <v>33.17</v>
      </c>
      <c r="S1230" s="13" t="str">
        <f>IF(AND(H1230="TO CLOSE",P1230=0),-G1230*(M1230-R1229)*IF(E1230="FUTURE",VLOOKUP(MID(I1230,2,2),[1]Futures!$A$2:$B$12,2),1),"")</f>
        <v/>
      </c>
    </row>
    <row r="1231" spans="1:19" x14ac:dyDescent="0.2">
      <c r="A1231">
        <f t="shared" si="59"/>
        <v>381</v>
      </c>
      <c r="B1231" s="3">
        <v>43979</v>
      </c>
      <c r="C1231" s="3" t="str">
        <f t="shared" si="58"/>
        <v>Thursday</v>
      </c>
      <c r="D1231" s="2">
        <v>0.49121527777777779</v>
      </c>
      <c r="E1231" t="s">
        <v>14</v>
      </c>
      <c r="F1231" t="s">
        <v>19</v>
      </c>
      <c r="G1231">
        <v>1</v>
      </c>
      <c r="H1231" t="s">
        <v>16</v>
      </c>
      <c r="I1231" t="s">
        <v>77</v>
      </c>
      <c r="J1231" s="1">
        <v>44063</v>
      </c>
      <c r="L1231" t="s">
        <v>14</v>
      </c>
      <c r="M1231">
        <v>33.340000000000003</v>
      </c>
      <c r="N1231">
        <v>33.340000000000003</v>
      </c>
      <c r="O1231" t="s">
        <v>18</v>
      </c>
      <c r="P1231">
        <f t="shared" si="60"/>
        <v>0</v>
      </c>
      <c r="Q1231" s="11">
        <f>IF(P1231=0,0,IFERROR(Q1230+G1231*M1231*IF(E1231="FUTURE",VLOOKUP(MID(I1231,2,2),[1]Futures!$A$2:$B$12,2),1),G1231*M1231*IF(E1231="FUTURE",VLOOKUP(MID(I1231,2,2),[1]Futures!$A$2:$B$12,2),1)))</f>
        <v>0</v>
      </c>
      <c r="R1231" s="12" t="str">
        <f>IFERROR(Q1231/P1231/IF(E1231="FUTURE",VLOOKUP(MID(I1231,2,2),[1]Futures!$A$2:$B$12,2),1),"")</f>
        <v/>
      </c>
      <c r="S1231" s="13">
        <f>IF(AND(H1231="TO CLOSE",P1231=0),-G1231*(M1231-R1230)*IF(E1231="FUTURE",VLOOKUP(MID(I1231,2,2),[1]Futures!$A$2:$B$12,2),1),"")</f>
        <v>-170.00000000000171</v>
      </c>
    </row>
    <row r="1232" spans="1:19" x14ac:dyDescent="0.2">
      <c r="A1232">
        <f t="shared" si="59"/>
        <v>382</v>
      </c>
      <c r="B1232" s="3">
        <v>43979</v>
      </c>
      <c r="C1232" s="3" t="str">
        <f t="shared" si="58"/>
        <v>Thursday</v>
      </c>
      <c r="D1232" s="2">
        <v>0.50217592592592586</v>
      </c>
      <c r="E1232" t="s">
        <v>14</v>
      </c>
      <c r="F1232" t="s">
        <v>19</v>
      </c>
      <c r="G1232">
        <v>2</v>
      </c>
      <c r="H1232" t="s">
        <v>20</v>
      </c>
      <c r="I1232" t="s">
        <v>77</v>
      </c>
      <c r="J1232" s="1">
        <v>44063</v>
      </c>
      <c r="L1232" t="s">
        <v>14</v>
      </c>
      <c r="M1232">
        <v>33.69</v>
      </c>
      <c r="N1232">
        <v>33.69</v>
      </c>
      <c r="O1232" t="s">
        <v>24</v>
      </c>
      <c r="P1232">
        <f t="shared" si="60"/>
        <v>2</v>
      </c>
      <c r="Q1232" s="11">
        <f>IF(P1232=0,0,IFERROR(Q1231+G1232*M1232*IF(E1232="FUTURE",VLOOKUP(MID(I1232,2,2),[1]Futures!$A$2:$B$12,2),1),G1232*M1232*IF(E1232="FUTURE",VLOOKUP(MID(I1232,2,2),[1]Futures!$A$2:$B$12,2),1)))</f>
        <v>67380</v>
      </c>
      <c r="R1232" s="12">
        <f>IFERROR(Q1232/P1232/IF(E1232="FUTURE",VLOOKUP(MID(I1232,2,2),[1]Futures!$A$2:$B$12,2),1),"")</f>
        <v>33.69</v>
      </c>
      <c r="S1232" s="13" t="str">
        <f>IF(AND(H1232="TO CLOSE",P1232=0),-G1232*(M1232-R1231)*IF(E1232="FUTURE",VLOOKUP(MID(I1232,2,2),[1]Futures!$A$2:$B$12,2),1),"")</f>
        <v/>
      </c>
    </row>
    <row r="1233" spans="1:19" x14ac:dyDescent="0.2">
      <c r="A1233">
        <f t="shared" si="59"/>
        <v>382</v>
      </c>
      <c r="B1233" s="3">
        <v>43979</v>
      </c>
      <c r="C1233" s="3" t="str">
        <f t="shared" si="58"/>
        <v>Thursday</v>
      </c>
      <c r="D1233" s="2">
        <v>0.50314814814814812</v>
      </c>
      <c r="E1233" t="s">
        <v>14</v>
      </c>
      <c r="F1233" t="s">
        <v>15</v>
      </c>
      <c r="G1233">
        <v>-1</v>
      </c>
      <c r="H1233" t="s">
        <v>16</v>
      </c>
      <c r="I1233" t="s">
        <v>77</v>
      </c>
      <c r="J1233" s="1">
        <v>44063</v>
      </c>
      <c r="L1233" t="s">
        <v>14</v>
      </c>
      <c r="M1233">
        <v>33.74</v>
      </c>
      <c r="N1233">
        <v>33.74</v>
      </c>
      <c r="O1233" t="s">
        <v>21</v>
      </c>
      <c r="P1233">
        <f t="shared" si="60"/>
        <v>1</v>
      </c>
      <c r="Q1233" s="11">
        <f>IF(P1233=0,0,IFERROR(Q1232+G1233*M1233*IF(E1233="FUTURE",VLOOKUP(MID(I1233,2,2),[1]Futures!$A$2:$B$12,2),1),G1233*M1233*IF(E1233="FUTURE",VLOOKUP(MID(I1233,2,2),[1]Futures!$A$2:$B$12,2),1)))</f>
        <v>33640</v>
      </c>
      <c r="R1233" s="12">
        <f>IFERROR(Q1233/P1233/IF(E1233="FUTURE",VLOOKUP(MID(I1233,2,2),[1]Futures!$A$2:$B$12,2),1),"")</f>
        <v>33.64</v>
      </c>
      <c r="S1233" s="13" t="str">
        <f>IF(AND(H1233="TO CLOSE",P1233=0),-G1233*(M1233-R1232)*IF(E1233="FUTURE",VLOOKUP(MID(I1233,2,2),[1]Futures!$A$2:$B$12,2),1),"")</f>
        <v/>
      </c>
    </row>
    <row r="1234" spans="1:19" x14ac:dyDescent="0.2">
      <c r="A1234">
        <f t="shared" si="59"/>
        <v>382</v>
      </c>
      <c r="B1234" s="3">
        <v>43979</v>
      </c>
      <c r="C1234" s="3" t="str">
        <f t="shared" si="58"/>
        <v>Thursday</v>
      </c>
      <c r="D1234" s="2">
        <v>0.50383101851851853</v>
      </c>
      <c r="E1234" t="s">
        <v>14</v>
      </c>
      <c r="F1234" t="s">
        <v>15</v>
      </c>
      <c r="G1234">
        <v>-1</v>
      </c>
      <c r="H1234" t="s">
        <v>16</v>
      </c>
      <c r="I1234" t="s">
        <v>77</v>
      </c>
      <c r="J1234" s="1">
        <v>44063</v>
      </c>
      <c r="L1234" t="s">
        <v>14</v>
      </c>
      <c r="M1234">
        <v>33.799999999999997</v>
      </c>
      <c r="N1234">
        <v>33.799999999999997</v>
      </c>
      <c r="O1234" t="s">
        <v>24</v>
      </c>
      <c r="P1234">
        <f t="shared" si="60"/>
        <v>0</v>
      </c>
      <c r="Q1234" s="11">
        <f>IF(P1234=0,0,IFERROR(Q1233+G1234*M1234*IF(E1234="FUTURE",VLOOKUP(MID(I1234,2,2),[1]Futures!$A$2:$B$12,2),1),G1234*M1234*IF(E1234="FUTURE",VLOOKUP(MID(I1234,2,2),[1]Futures!$A$2:$B$12,2),1)))</f>
        <v>0</v>
      </c>
      <c r="R1234" s="12" t="str">
        <f>IFERROR(Q1234/P1234/IF(E1234="FUTURE",VLOOKUP(MID(I1234,2,2),[1]Futures!$A$2:$B$12,2),1),"")</f>
        <v/>
      </c>
      <c r="S1234" s="13">
        <f>IF(AND(H1234="TO CLOSE",P1234=0),-G1234*(M1234-R1233)*IF(E1234="FUTURE",VLOOKUP(MID(I1234,2,2),[1]Futures!$A$2:$B$12,2),1),"")</f>
        <v>159.99999999999659</v>
      </c>
    </row>
    <row r="1235" spans="1:19" x14ac:dyDescent="0.2">
      <c r="A1235">
        <f t="shared" si="59"/>
        <v>383</v>
      </c>
      <c r="B1235" s="3">
        <v>43979</v>
      </c>
      <c r="C1235" s="3" t="str">
        <f t="shared" si="58"/>
        <v>Thursday</v>
      </c>
      <c r="D1235" s="2">
        <v>0.51645833333333335</v>
      </c>
      <c r="E1235" t="s">
        <v>14</v>
      </c>
      <c r="F1235" t="s">
        <v>15</v>
      </c>
      <c r="G1235">
        <v>-1</v>
      </c>
      <c r="H1235" t="s">
        <v>20</v>
      </c>
      <c r="I1235" t="s">
        <v>77</v>
      </c>
      <c r="J1235" s="1">
        <v>44063</v>
      </c>
      <c r="L1235" t="s">
        <v>14</v>
      </c>
      <c r="M1235">
        <v>34.03</v>
      </c>
      <c r="N1235">
        <v>34.03</v>
      </c>
      <c r="O1235" t="s">
        <v>21</v>
      </c>
      <c r="P1235">
        <f t="shared" si="60"/>
        <v>-1</v>
      </c>
      <c r="Q1235" s="11">
        <f>IF(P1235=0,0,IFERROR(Q1234+G1235*M1235*IF(E1235="FUTURE",VLOOKUP(MID(I1235,2,2),[1]Futures!$A$2:$B$12,2),1),G1235*M1235*IF(E1235="FUTURE",VLOOKUP(MID(I1235,2,2),[1]Futures!$A$2:$B$12,2),1)))</f>
        <v>-34030</v>
      </c>
      <c r="R1235" s="12">
        <f>IFERROR(Q1235/P1235/IF(E1235="FUTURE",VLOOKUP(MID(I1235,2,2),[1]Futures!$A$2:$B$12,2),1),"")</f>
        <v>34.03</v>
      </c>
      <c r="S1235" s="13" t="str">
        <f>IF(AND(H1235="TO CLOSE",P1235=0),-G1235*(M1235-R1234)*IF(E1235="FUTURE",VLOOKUP(MID(I1235,2,2),[1]Futures!$A$2:$B$12,2),1),"")</f>
        <v/>
      </c>
    </row>
    <row r="1236" spans="1:19" x14ac:dyDescent="0.2">
      <c r="A1236">
        <f t="shared" si="59"/>
        <v>383</v>
      </c>
      <c r="B1236" s="3">
        <v>43979</v>
      </c>
      <c r="C1236" s="3" t="str">
        <f t="shared" si="58"/>
        <v>Thursday</v>
      </c>
      <c r="D1236" s="2">
        <v>0.51953703703703702</v>
      </c>
      <c r="E1236" t="s">
        <v>14</v>
      </c>
      <c r="F1236" t="s">
        <v>19</v>
      </c>
      <c r="G1236">
        <v>1</v>
      </c>
      <c r="H1236" t="s">
        <v>16</v>
      </c>
      <c r="I1236" t="s">
        <v>77</v>
      </c>
      <c r="J1236" s="1">
        <v>44063</v>
      </c>
      <c r="L1236" t="s">
        <v>14</v>
      </c>
      <c r="M1236">
        <v>33.909999999999997</v>
      </c>
      <c r="N1236">
        <v>33.909999999999997</v>
      </c>
      <c r="O1236" t="s">
        <v>21</v>
      </c>
      <c r="P1236">
        <f t="shared" si="60"/>
        <v>0</v>
      </c>
      <c r="Q1236" s="11">
        <f>IF(P1236=0,0,IFERROR(Q1235+G1236*M1236*IF(E1236="FUTURE",VLOOKUP(MID(I1236,2,2),[1]Futures!$A$2:$B$12,2),1),G1236*M1236*IF(E1236="FUTURE",VLOOKUP(MID(I1236,2,2),[1]Futures!$A$2:$B$12,2),1)))</f>
        <v>0</v>
      </c>
      <c r="R1236" s="12" t="str">
        <f>IFERROR(Q1236/P1236/IF(E1236="FUTURE",VLOOKUP(MID(I1236,2,2),[1]Futures!$A$2:$B$12,2),1),"")</f>
        <v/>
      </c>
      <c r="S1236" s="13">
        <f>IF(AND(H1236="TO CLOSE",P1236=0),-G1236*(M1236-R1235)*IF(E1236="FUTURE",VLOOKUP(MID(I1236,2,2),[1]Futures!$A$2:$B$12,2),1),"")</f>
        <v>120.00000000000455</v>
      </c>
    </row>
    <row r="1237" spans="1:19" x14ac:dyDescent="0.2">
      <c r="A1237">
        <f t="shared" si="59"/>
        <v>384</v>
      </c>
      <c r="B1237" s="3">
        <v>43979</v>
      </c>
      <c r="C1237" s="3" t="str">
        <f t="shared" si="58"/>
        <v>Thursday</v>
      </c>
      <c r="D1237" s="2">
        <v>0.52986111111111112</v>
      </c>
      <c r="E1237" t="s">
        <v>14</v>
      </c>
      <c r="F1237" t="s">
        <v>15</v>
      </c>
      <c r="G1237">
        <v>-1</v>
      </c>
      <c r="H1237" t="s">
        <v>20</v>
      </c>
      <c r="I1237" t="s">
        <v>77</v>
      </c>
      <c r="J1237" s="1">
        <v>44063</v>
      </c>
      <c r="L1237" t="s">
        <v>14</v>
      </c>
      <c r="M1237">
        <v>34.11</v>
      </c>
      <c r="N1237">
        <v>34.11</v>
      </c>
      <c r="O1237" t="s">
        <v>21</v>
      </c>
      <c r="P1237">
        <f t="shared" si="60"/>
        <v>-1</v>
      </c>
      <c r="Q1237" s="11">
        <f>IF(P1237=0,0,IFERROR(Q1236+G1237*M1237*IF(E1237="FUTURE",VLOOKUP(MID(I1237,2,2),[1]Futures!$A$2:$B$12,2),1),G1237*M1237*IF(E1237="FUTURE",VLOOKUP(MID(I1237,2,2),[1]Futures!$A$2:$B$12,2),1)))</f>
        <v>-34110</v>
      </c>
      <c r="R1237" s="12">
        <f>IFERROR(Q1237/P1237/IF(E1237="FUTURE",VLOOKUP(MID(I1237,2,2),[1]Futures!$A$2:$B$12,2),1),"")</f>
        <v>34.11</v>
      </c>
      <c r="S1237" s="13" t="str">
        <f>IF(AND(H1237="TO CLOSE",P1237=0),-G1237*(M1237-R1236)*IF(E1237="FUTURE",VLOOKUP(MID(I1237,2,2),[1]Futures!$A$2:$B$12,2),1),"")</f>
        <v/>
      </c>
    </row>
    <row r="1238" spans="1:19" x14ac:dyDescent="0.2">
      <c r="A1238">
        <f t="shared" si="59"/>
        <v>384</v>
      </c>
      <c r="B1238" s="3">
        <v>43979</v>
      </c>
      <c r="C1238" s="3" t="str">
        <f t="shared" si="58"/>
        <v>Thursday</v>
      </c>
      <c r="D1238" s="2">
        <v>0.53820601851851857</v>
      </c>
      <c r="E1238" t="s">
        <v>14</v>
      </c>
      <c r="F1238" t="s">
        <v>15</v>
      </c>
      <c r="G1238">
        <v>-1</v>
      </c>
      <c r="H1238" t="s">
        <v>20</v>
      </c>
      <c r="I1238" t="s">
        <v>77</v>
      </c>
      <c r="J1238" s="1">
        <v>44063</v>
      </c>
      <c r="L1238" t="s">
        <v>14</v>
      </c>
      <c r="M1238">
        <v>34.31</v>
      </c>
      <c r="N1238">
        <v>34.31</v>
      </c>
      <c r="O1238" t="s">
        <v>21</v>
      </c>
      <c r="P1238">
        <f t="shared" si="60"/>
        <v>-2</v>
      </c>
      <c r="Q1238" s="11">
        <f>IF(P1238=0,0,IFERROR(Q1237+G1238*M1238*IF(E1238="FUTURE",VLOOKUP(MID(I1238,2,2),[1]Futures!$A$2:$B$12,2),1),G1238*M1238*IF(E1238="FUTURE",VLOOKUP(MID(I1238,2,2),[1]Futures!$A$2:$B$12,2),1)))</f>
        <v>-68420</v>
      </c>
      <c r="R1238" s="12">
        <f>IFERROR(Q1238/P1238/IF(E1238="FUTURE",VLOOKUP(MID(I1238,2,2),[1]Futures!$A$2:$B$12,2),1),"")</f>
        <v>34.21</v>
      </c>
      <c r="S1238" s="13" t="str">
        <f>IF(AND(H1238="TO CLOSE",P1238=0),-G1238*(M1238-R1237)*IF(E1238="FUTURE",VLOOKUP(MID(I1238,2,2),[1]Futures!$A$2:$B$12,2),1),"")</f>
        <v/>
      </c>
    </row>
    <row r="1239" spans="1:19" x14ac:dyDescent="0.2">
      <c r="A1239">
        <f t="shared" si="59"/>
        <v>384</v>
      </c>
      <c r="B1239" s="3">
        <v>43979</v>
      </c>
      <c r="C1239" s="3" t="str">
        <f t="shared" si="58"/>
        <v>Thursday</v>
      </c>
      <c r="D1239" s="2">
        <v>0.54168981481481482</v>
      </c>
      <c r="E1239" t="s">
        <v>14</v>
      </c>
      <c r="F1239" t="s">
        <v>19</v>
      </c>
      <c r="G1239">
        <v>1</v>
      </c>
      <c r="H1239" t="s">
        <v>16</v>
      </c>
      <c r="I1239" t="s">
        <v>77</v>
      </c>
      <c r="J1239" s="1">
        <v>44063</v>
      </c>
      <c r="L1239" t="s">
        <v>14</v>
      </c>
      <c r="M1239">
        <v>34.25</v>
      </c>
      <c r="N1239">
        <v>34.25</v>
      </c>
      <c r="O1239" t="s">
        <v>21</v>
      </c>
      <c r="P1239">
        <f t="shared" si="60"/>
        <v>-1</v>
      </c>
      <c r="Q1239" s="11">
        <f>IF(P1239=0,0,IFERROR(Q1238+G1239*M1239*IF(E1239="FUTURE",VLOOKUP(MID(I1239,2,2),[1]Futures!$A$2:$B$12,2),1),G1239*M1239*IF(E1239="FUTURE",VLOOKUP(MID(I1239,2,2),[1]Futures!$A$2:$B$12,2),1)))</f>
        <v>-34170</v>
      </c>
      <c r="R1239" s="12">
        <f>IFERROR(Q1239/P1239/IF(E1239="FUTURE",VLOOKUP(MID(I1239,2,2),[1]Futures!$A$2:$B$12,2),1),"")</f>
        <v>34.17</v>
      </c>
      <c r="S1239" s="13" t="str">
        <f>IF(AND(H1239="TO CLOSE",P1239=0),-G1239*(M1239-R1238)*IF(E1239="FUTURE",VLOOKUP(MID(I1239,2,2),[1]Futures!$A$2:$B$12,2),1),"")</f>
        <v/>
      </c>
    </row>
    <row r="1240" spans="1:19" x14ac:dyDescent="0.2">
      <c r="A1240">
        <f t="shared" si="59"/>
        <v>384</v>
      </c>
      <c r="B1240" s="3">
        <v>43979</v>
      </c>
      <c r="C1240" s="3" t="str">
        <f t="shared" si="58"/>
        <v>Thursday</v>
      </c>
      <c r="D1240" s="2">
        <v>0.54284722222222226</v>
      </c>
      <c r="E1240" t="s">
        <v>14</v>
      </c>
      <c r="F1240" t="s">
        <v>15</v>
      </c>
      <c r="G1240">
        <v>-1</v>
      </c>
      <c r="H1240" t="s">
        <v>20</v>
      </c>
      <c r="I1240" t="s">
        <v>77</v>
      </c>
      <c r="J1240" s="1">
        <v>44063</v>
      </c>
      <c r="L1240" t="s">
        <v>14</v>
      </c>
      <c r="M1240">
        <v>34.35</v>
      </c>
      <c r="N1240">
        <v>34.35</v>
      </c>
      <c r="O1240" t="s">
        <v>21</v>
      </c>
      <c r="P1240">
        <f t="shared" si="60"/>
        <v>-2</v>
      </c>
      <c r="Q1240" s="11">
        <f>IF(P1240=0,0,IFERROR(Q1239+G1240*M1240*IF(E1240="FUTURE",VLOOKUP(MID(I1240,2,2),[1]Futures!$A$2:$B$12,2),1),G1240*M1240*IF(E1240="FUTURE",VLOOKUP(MID(I1240,2,2),[1]Futures!$A$2:$B$12,2),1)))</f>
        <v>-68520</v>
      </c>
      <c r="R1240" s="12">
        <f>IFERROR(Q1240/P1240/IF(E1240="FUTURE",VLOOKUP(MID(I1240,2,2),[1]Futures!$A$2:$B$12,2),1),"")</f>
        <v>34.26</v>
      </c>
      <c r="S1240" s="13" t="str">
        <f>IF(AND(H1240="TO CLOSE",P1240=0),-G1240*(M1240-R1239)*IF(E1240="FUTURE",VLOOKUP(MID(I1240,2,2),[1]Futures!$A$2:$B$12,2),1),"")</f>
        <v/>
      </c>
    </row>
    <row r="1241" spans="1:19" x14ac:dyDescent="0.2">
      <c r="A1241">
        <f t="shared" si="59"/>
        <v>384</v>
      </c>
      <c r="B1241" s="3">
        <v>43979</v>
      </c>
      <c r="C1241" s="3" t="str">
        <f t="shared" si="58"/>
        <v>Thursday</v>
      </c>
      <c r="D1241" s="2">
        <v>0.56025462962962969</v>
      </c>
      <c r="E1241" t="s">
        <v>14</v>
      </c>
      <c r="F1241" t="s">
        <v>19</v>
      </c>
      <c r="G1241">
        <v>1</v>
      </c>
      <c r="H1241" t="s">
        <v>16</v>
      </c>
      <c r="I1241" t="s">
        <v>77</v>
      </c>
      <c r="J1241" s="1">
        <v>44063</v>
      </c>
      <c r="L1241" t="s">
        <v>14</v>
      </c>
      <c r="M1241">
        <v>34.26</v>
      </c>
      <c r="N1241">
        <v>34.26</v>
      </c>
      <c r="O1241" t="s">
        <v>21</v>
      </c>
      <c r="P1241">
        <f t="shared" si="60"/>
        <v>-1</v>
      </c>
      <c r="Q1241" s="11">
        <f>IF(P1241=0,0,IFERROR(Q1240+G1241*M1241*IF(E1241="FUTURE",VLOOKUP(MID(I1241,2,2),[1]Futures!$A$2:$B$12,2),1),G1241*M1241*IF(E1241="FUTURE",VLOOKUP(MID(I1241,2,2),[1]Futures!$A$2:$B$12,2),1)))</f>
        <v>-34260</v>
      </c>
      <c r="R1241" s="12">
        <f>IFERROR(Q1241/P1241/IF(E1241="FUTURE",VLOOKUP(MID(I1241,2,2),[1]Futures!$A$2:$B$12,2),1),"")</f>
        <v>34.26</v>
      </c>
      <c r="S1241" s="13" t="str">
        <f>IF(AND(H1241="TO CLOSE",P1241=0),-G1241*(M1241-R1240)*IF(E1241="FUTURE",VLOOKUP(MID(I1241,2,2),[1]Futures!$A$2:$B$12,2),1),"")</f>
        <v/>
      </c>
    </row>
    <row r="1242" spans="1:19" x14ac:dyDescent="0.2">
      <c r="A1242">
        <f t="shared" si="59"/>
        <v>384</v>
      </c>
      <c r="B1242" s="3">
        <v>43979</v>
      </c>
      <c r="C1242" s="3" t="str">
        <f t="shared" si="58"/>
        <v>Thursday</v>
      </c>
      <c r="D1242" s="2">
        <v>0.60070601851851857</v>
      </c>
      <c r="E1242" t="s">
        <v>14</v>
      </c>
      <c r="F1242" t="s">
        <v>19</v>
      </c>
      <c r="G1242">
        <v>1</v>
      </c>
      <c r="H1242" t="s">
        <v>16</v>
      </c>
      <c r="I1242" t="s">
        <v>77</v>
      </c>
      <c r="J1242" s="1">
        <v>44063</v>
      </c>
      <c r="L1242" t="s">
        <v>14</v>
      </c>
      <c r="M1242">
        <v>34.22</v>
      </c>
      <c r="N1242">
        <v>34.22</v>
      </c>
      <c r="O1242" t="s">
        <v>21</v>
      </c>
      <c r="P1242">
        <f t="shared" si="60"/>
        <v>0</v>
      </c>
      <c r="Q1242" s="11">
        <f>IF(P1242=0,0,IFERROR(Q1241+G1242*M1242*IF(E1242="FUTURE",VLOOKUP(MID(I1242,2,2),[1]Futures!$A$2:$B$12,2),1),G1242*M1242*IF(E1242="FUTURE",VLOOKUP(MID(I1242,2,2),[1]Futures!$A$2:$B$12,2),1)))</f>
        <v>0</v>
      </c>
      <c r="R1242" s="12" t="str">
        <f>IFERROR(Q1242/P1242/IF(E1242="FUTURE",VLOOKUP(MID(I1242,2,2),[1]Futures!$A$2:$B$12,2),1),"")</f>
        <v/>
      </c>
      <c r="S1242" s="13">
        <f>IF(AND(H1242="TO CLOSE",P1242=0),-G1242*(M1242-R1241)*IF(E1242="FUTURE",VLOOKUP(MID(I1242,2,2),[1]Futures!$A$2:$B$12,2),1),"")</f>
        <v>39.999999999999147</v>
      </c>
    </row>
    <row r="1243" spans="1:19" x14ac:dyDescent="0.2">
      <c r="A1243">
        <f t="shared" si="59"/>
        <v>385</v>
      </c>
      <c r="B1243" s="3">
        <v>43979</v>
      </c>
      <c r="C1243" s="3" t="str">
        <f t="shared" si="58"/>
        <v>Thursday</v>
      </c>
      <c r="D1243" s="2">
        <v>0.51068287037037041</v>
      </c>
      <c r="E1243" t="s">
        <v>14</v>
      </c>
      <c r="F1243" t="s">
        <v>15</v>
      </c>
      <c r="G1243">
        <v>-1</v>
      </c>
      <c r="H1243" t="s">
        <v>20</v>
      </c>
      <c r="I1243" t="s">
        <v>17</v>
      </c>
      <c r="J1243" s="1">
        <v>44002</v>
      </c>
      <c r="L1243" t="s">
        <v>14</v>
      </c>
      <c r="M1243">
        <v>3053</v>
      </c>
      <c r="N1243">
        <v>3053</v>
      </c>
      <c r="O1243" t="s">
        <v>21</v>
      </c>
      <c r="P1243">
        <f t="shared" si="60"/>
        <v>-1</v>
      </c>
      <c r="Q1243" s="11">
        <f>IF(P1243=0,0,IFERROR(Q1242+G1243*M1243*IF(E1243="FUTURE",VLOOKUP(MID(I1243,2,2),[1]Futures!$A$2:$B$12,2),1),G1243*M1243*IF(E1243="FUTURE",VLOOKUP(MID(I1243,2,2),[1]Futures!$A$2:$B$12,2),1)))</f>
        <v>-152650</v>
      </c>
      <c r="R1243" s="12">
        <f>IFERROR(Q1243/P1243/IF(E1243="FUTURE",VLOOKUP(MID(I1243,2,2),[1]Futures!$A$2:$B$12,2),1),"")</f>
        <v>3053</v>
      </c>
      <c r="S1243" s="13" t="str">
        <f>IF(AND(H1243="TO CLOSE",P1243=0),-G1243*(M1243-R1242)*IF(E1243="FUTURE",VLOOKUP(MID(I1243,2,2),[1]Futures!$A$2:$B$12,2),1),"")</f>
        <v/>
      </c>
    </row>
    <row r="1244" spans="1:19" x14ac:dyDescent="0.2">
      <c r="A1244">
        <f t="shared" si="59"/>
        <v>385</v>
      </c>
      <c r="B1244" s="3">
        <v>43979</v>
      </c>
      <c r="C1244" s="3" t="str">
        <f t="shared" si="58"/>
        <v>Thursday</v>
      </c>
      <c r="D1244" s="2">
        <v>0.5152430555555555</v>
      </c>
      <c r="E1244" t="s">
        <v>14</v>
      </c>
      <c r="F1244" t="s">
        <v>19</v>
      </c>
      <c r="G1244">
        <v>1</v>
      </c>
      <c r="H1244" t="s">
        <v>16</v>
      </c>
      <c r="I1244" t="s">
        <v>17</v>
      </c>
      <c r="J1244" s="1">
        <v>44002</v>
      </c>
      <c r="L1244" t="s">
        <v>14</v>
      </c>
      <c r="M1244">
        <v>3052.5</v>
      </c>
      <c r="N1244">
        <v>3052.5</v>
      </c>
      <c r="O1244" t="s">
        <v>21</v>
      </c>
      <c r="P1244">
        <f t="shared" si="60"/>
        <v>0</v>
      </c>
      <c r="Q1244" s="11">
        <f>IF(P1244=0,0,IFERROR(Q1243+G1244*M1244*IF(E1244="FUTURE",VLOOKUP(MID(I1244,2,2),[1]Futures!$A$2:$B$12,2),1),G1244*M1244*IF(E1244="FUTURE",VLOOKUP(MID(I1244,2,2),[1]Futures!$A$2:$B$12,2),1)))</f>
        <v>0</v>
      </c>
      <c r="R1244" s="12" t="str">
        <f>IFERROR(Q1244/P1244/IF(E1244="FUTURE",VLOOKUP(MID(I1244,2,2),[1]Futures!$A$2:$B$12,2),1),"")</f>
        <v/>
      </c>
      <c r="S1244" s="13">
        <f>IF(AND(H1244="TO CLOSE",P1244=0),-G1244*(M1244-R1243)*IF(E1244="FUTURE",VLOOKUP(MID(I1244,2,2),[1]Futures!$A$2:$B$12,2),1),"")</f>
        <v>25</v>
      </c>
    </row>
    <row r="1245" spans="1:19" x14ac:dyDescent="0.2">
      <c r="A1245">
        <f t="shared" si="59"/>
        <v>386</v>
      </c>
      <c r="B1245" s="3">
        <v>43979</v>
      </c>
      <c r="C1245" s="3" t="str">
        <f t="shared" si="58"/>
        <v>Thursday</v>
      </c>
      <c r="D1245" s="2">
        <v>0.52101851851851855</v>
      </c>
      <c r="E1245" t="s">
        <v>14</v>
      </c>
      <c r="F1245" t="s">
        <v>15</v>
      </c>
      <c r="G1245">
        <v>-1</v>
      </c>
      <c r="H1245" t="s">
        <v>20</v>
      </c>
      <c r="I1245" t="s">
        <v>17</v>
      </c>
      <c r="J1245" s="1">
        <v>44002</v>
      </c>
      <c r="L1245" t="s">
        <v>14</v>
      </c>
      <c r="M1245">
        <v>3051</v>
      </c>
      <c r="N1245">
        <v>3051</v>
      </c>
      <c r="O1245" t="s">
        <v>21</v>
      </c>
      <c r="P1245">
        <f t="shared" si="60"/>
        <v>-1</v>
      </c>
      <c r="Q1245" s="11">
        <f>IF(P1245=0,0,IFERROR(Q1244+G1245*M1245*IF(E1245="FUTURE",VLOOKUP(MID(I1245,2,2),[1]Futures!$A$2:$B$12,2),1),G1245*M1245*IF(E1245="FUTURE",VLOOKUP(MID(I1245,2,2),[1]Futures!$A$2:$B$12,2),1)))</f>
        <v>-152550</v>
      </c>
      <c r="R1245" s="12">
        <f>IFERROR(Q1245/P1245/IF(E1245="FUTURE",VLOOKUP(MID(I1245,2,2),[1]Futures!$A$2:$B$12,2),1),"")</f>
        <v>3051</v>
      </c>
      <c r="S1245" s="13" t="str">
        <f>IF(AND(H1245="TO CLOSE",P1245=0),-G1245*(M1245-R1244)*IF(E1245="FUTURE",VLOOKUP(MID(I1245,2,2),[1]Futures!$A$2:$B$12,2),1),"")</f>
        <v/>
      </c>
    </row>
    <row r="1246" spans="1:19" x14ac:dyDescent="0.2">
      <c r="A1246">
        <f t="shared" si="59"/>
        <v>386</v>
      </c>
      <c r="B1246" s="3">
        <v>43979</v>
      </c>
      <c r="C1246" s="3" t="str">
        <f t="shared" si="58"/>
        <v>Thursday</v>
      </c>
      <c r="D1246" s="2">
        <v>0.52247685185185189</v>
      </c>
      <c r="E1246" t="s">
        <v>14</v>
      </c>
      <c r="F1246" t="s">
        <v>19</v>
      </c>
      <c r="G1246">
        <v>1</v>
      </c>
      <c r="H1246" t="s">
        <v>16</v>
      </c>
      <c r="I1246" t="s">
        <v>17</v>
      </c>
      <c r="J1246" s="1">
        <v>44002</v>
      </c>
      <c r="L1246" t="s">
        <v>14</v>
      </c>
      <c r="M1246">
        <v>3050.5</v>
      </c>
      <c r="N1246">
        <v>3050.5</v>
      </c>
      <c r="O1246" t="s">
        <v>21</v>
      </c>
      <c r="P1246">
        <f t="shared" si="60"/>
        <v>0</v>
      </c>
      <c r="Q1246" s="11">
        <f>IF(P1246=0,0,IFERROR(Q1245+G1246*M1246*IF(E1246="FUTURE",VLOOKUP(MID(I1246,2,2),[1]Futures!$A$2:$B$12,2),1),G1246*M1246*IF(E1246="FUTURE",VLOOKUP(MID(I1246,2,2),[1]Futures!$A$2:$B$12,2),1)))</f>
        <v>0</v>
      </c>
      <c r="R1246" s="12" t="str">
        <f>IFERROR(Q1246/P1246/IF(E1246="FUTURE",VLOOKUP(MID(I1246,2,2),[1]Futures!$A$2:$B$12,2),1),"")</f>
        <v/>
      </c>
      <c r="S1246" s="13">
        <f>IF(AND(H1246="TO CLOSE",P1246=0),-G1246*(M1246-R1245)*IF(E1246="FUTURE",VLOOKUP(MID(I1246,2,2),[1]Futures!$A$2:$B$12,2),1),"")</f>
        <v>25</v>
      </c>
    </row>
    <row r="1247" spans="1:19" x14ac:dyDescent="0.2">
      <c r="A1247">
        <f t="shared" si="59"/>
        <v>387</v>
      </c>
      <c r="B1247" s="3">
        <v>43979</v>
      </c>
      <c r="C1247" s="3" t="str">
        <f t="shared" si="58"/>
        <v>Thursday</v>
      </c>
      <c r="D1247" s="2">
        <v>0.40671296296296294</v>
      </c>
      <c r="E1247" t="s">
        <v>14</v>
      </c>
      <c r="F1247" t="s">
        <v>15</v>
      </c>
      <c r="G1247">
        <v>-6</v>
      </c>
      <c r="H1247" t="s">
        <v>20</v>
      </c>
      <c r="I1247" t="s">
        <v>73</v>
      </c>
      <c r="J1247" s="1">
        <v>44002</v>
      </c>
      <c r="L1247" t="s">
        <v>14</v>
      </c>
      <c r="M1247">
        <v>3037.75</v>
      </c>
      <c r="N1247">
        <v>3037.75</v>
      </c>
      <c r="O1247" t="s">
        <v>21</v>
      </c>
      <c r="P1247">
        <f t="shared" si="60"/>
        <v>-6</v>
      </c>
      <c r="Q1247" s="11">
        <f>IF(P1247=0,0,IFERROR(Q1246+G1247*M1247*IF(E1247="FUTURE",VLOOKUP(MID(I1247,2,2),[1]Futures!$A$2:$B$12,2),1),G1247*M1247*IF(E1247="FUTURE",VLOOKUP(MID(I1247,2,2),[1]Futures!$A$2:$B$12,2),1)))</f>
        <v>-91132.5</v>
      </c>
      <c r="R1247" s="12">
        <f>IFERROR(Q1247/P1247/IF(E1247="FUTURE",VLOOKUP(MID(I1247,2,2),[1]Futures!$A$2:$B$12,2),1),"")</f>
        <v>3037.75</v>
      </c>
      <c r="S1247" s="13" t="str">
        <f>IF(AND(H1247="TO CLOSE",P1247=0),-G1247*(M1247-R1246)*IF(E1247="FUTURE",VLOOKUP(MID(I1247,2,2),[1]Futures!$A$2:$B$12,2),1),"")</f>
        <v/>
      </c>
    </row>
    <row r="1248" spans="1:19" x14ac:dyDescent="0.2">
      <c r="A1248">
        <f t="shared" si="59"/>
        <v>387</v>
      </c>
      <c r="B1248" s="3">
        <v>43979</v>
      </c>
      <c r="C1248" s="3" t="str">
        <f t="shared" si="58"/>
        <v>Thursday</v>
      </c>
      <c r="D1248" s="2">
        <v>0.43483796296296301</v>
      </c>
      <c r="E1248" t="s">
        <v>14</v>
      </c>
      <c r="F1248" t="s">
        <v>19</v>
      </c>
      <c r="G1248">
        <v>6</v>
      </c>
      <c r="H1248" t="s">
        <v>16</v>
      </c>
      <c r="I1248" t="s">
        <v>73</v>
      </c>
      <c r="J1248" s="1">
        <v>44002</v>
      </c>
      <c r="L1248" t="s">
        <v>14</v>
      </c>
      <c r="M1248">
        <v>3041.25</v>
      </c>
      <c r="N1248">
        <v>3041.25</v>
      </c>
      <c r="O1248" t="s">
        <v>24</v>
      </c>
      <c r="P1248">
        <f t="shared" si="60"/>
        <v>0</v>
      </c>
      <c r="Q1248" s="11">
        <f>IF(P1248=0,0,IFERROR(Q1247+G1248*M1248*IF(E1248="FUTURE",VLOOKUP(MID(I1248,2,2),[1]Futures!$A$2:$B$12,2),1),G1248*M1248*IF(E1248="FUTURE",VLOOKUP(MID(I1248,2,2),[1]Futures!$A$2:$B$12,2),1)))</f>
        <v>0</v>
      </c>
      <c r="R1248" s="12" t="str">
        <f>IFERROR(Q1248/P1248/IF(E1248="FUTURE",VLOOKUP(MID(I1248,2,2),[1]Futures!$A$2:$B$12,2),1),"")</f>
        <v/>
      </c>
      <c r="S1248" s="13">
        <f>IF(AND(H1248="TO CLOSE",P1248=0),-G1248*(M1248-R1247)*IF(E1248="FUTURE",VLOOKUP(MID(I1248,2,2),[1]Futures!$A$2:$B$12,2),1),"")</f>
        <v>-105</v>
      </c>
    </row>
    <row r="1249" spans="1:19" x14ac:dyDescent="0.2">
      <c r="A1249">
        <f t="shared" si="59"/>
        <v>388</v>
      </c>
      <c r="B1249" s="3">
        <v>43979</v>
      </c>
      <c r="C1249" s="3" t="str">
        <f t="shared" si="58"/>
        <v>Thursday</v>
      </c>
      <c r="D1249" s="2">
        <v>0.45298611111111109</v>
      </c>
      <c r="E1249" t="s">
        <v>14</v>
      </c>
      <c r="F1249" t="s">
        <v>15</v>
      </c>
      <c r="G1249">
        <v>-1</v>
      </c>
      <c r="H1249" t="s">
        <v>20</v>
      </c>
      <c r="I1249" t="s">
        <v>73</v>
      </c>
      <c r="J1249" s="1">
        <v>44002</v>
      </c>
      <c r="L1249" t="s">
        <v>14</v>
      </c>
      <c r="M1249">
        <v>3045.75</v>
      </c>
      <c r="N1249">
        <v>3045.75</v>
      </c>
      <c r="O1249" t="s">
        <v>21</v>
      </c>
      <c r="P1249">
        <f t="shared" si="60"/>
        <v>-1</v>
      </c>
      <c r="Q1249" s="11">
        <f>IF(P1249=0,0,IFERROR(Q1248+G1249*M1249*IF(E1249="FUTURE",VLOOKUP(MID(I1249,2,2),[1]Futures!$A$2:$B$12,2),1),G1249*M1249*IF(E1249="FUTURE",VLOOKUP(MID(I1249,2,2),[1]Futures!$A$2:$B$12,2),1)))</f>
        <v>-15228.75</v>
      </c>
      <c r="R1249" s="12">
        <f>IFERROR(Q1249/P1249/IF(E1249="FUTURE",VLOOKUP(MID(I1249,2,2),[1]Futures!$A$2:$B$12,2),1),"")</f>
        <v>3045.75</v>
      </c>
      <c r="S1249" s="13" t="str">
        <f>IF(AND(H1249="TO CLOSE",P1249=0),-G1249*(M1249-R1248)*IF(E1249="FUTURE",VLOOKUP(MID(I1249,2,2),[1]Futures!$A$2:$B$12,2),1),"")</f>
        <v/>
      </c>
    </row>
    <row r="1250" spans="1:19" x14ac:dyDescent="0.2">
      <c r="A1250">
        <f t="shared" si="59"/>
        <v>388</v>
      </c>
      <c r="B1250" s="3">
        <v>43979</v>
      </c>
      <c r="C1250" s="3" t="str">
        <f t="shared" si="58"/>
        <v>Thursday</v>
      </c>
      <c r="D1250" s="2">
        <v>0.45298611111111109</v>
      </c>
      <c r="E1250" t="s">
        <v>14</v>
      </c>
      <c r="F1250" t="s">
        <v>15</v>
      </c>
      <c r="G1250">
        <v>-1</v>
      </c>
      <c r="H1250" t="s">
        <v>20</v>
      </c>
      <c r="I1250" t="s">
        <v>73</v>
      </c>
      <c r="J1250" s="1">
        <v>44002</v>
      </c>
      <c r="L1250" t="s">
        <v>14</v>
      </c>
      <c r="M1250">
        <v>3045.75</v>
      </c>
      <c r="N1250">
        <v>3045.75</v>
      </c>
      <c r="O1250" t="s">
        <v>21</v>
      </c>
      <c r="P1250">
        <f t="shared" si="60"/>
        <v>-2</v>
      </c>
      <c r="Q1250" s="11">
        <f>IF(P1250=0,0,IFERROR(Q1249+G1250*M1250*IF(E1250="FUTURE",VLOOKUP(MID(I1250,2,2),[1]Futures!$A$2:$B$12,2),1),G1250*M1250*IF(E1250="FUTURE",VLOOKUP(MID(I1250,2,2),[1]Futures!$A$2:$B$12,2),1)))</f>
        <v>-30457.5</v>
      </c>
      <c r="R1250" s="12">
        <f>IFERROR(Q1250/P1250/IF(E1250="FUTURE",VLOOKUP(MID(I1250,2,2),[1]Futures!$A$2:$B$12,2),1),"")</f>
        <v>3045.75</v>
      </c>
      <c r="S1250" s="13" t="str">
        <f>IF(AND(H1250="TO CLOSE",P1250=0),-G1250*(M1250-R1249)*IF(E1250="FUTURE",VLOOKUP(MID(I1250,2,2),[1]Futures!$A$2:$B$12,2),1),"")</f>
        <v/>
      </c>
    </row>
    <row r="1251" spans="1:19" x14ac:dyDescent="0.2">
      <c r="A1251">
        <f t="shared" si="59"/>
        <v>388</v>
      </c>
      <c r="B1251" s="3">
        <v>43979</v>
      </c>
      <c r="C1251" s="3" t="str">
        <f t="shared" si="58"/>
        <v>Thursday</v>
      </c>
      <c r="D1251" s="2">
        <v>0.45298611111111109</v>
      </c>
      <c r="E1251" t="s">
        <v>14</v>
      </c>
      <c r="F1251" t="s">
        <v>15</v>
      </c>
      <c r="G1251">
        <v>-3</v>
      </c>
      <c r="H1251" t="s">
        <v>20</v>
      </c>
      <c r="I1251" t="s">
        <v>73</v>
      </c>
      <c r="J1251" s="1">
        <v>44002</v>
      </c>
      <c r="L1251" t="s">
        <v>14</v>
      </c>
      <c r="M1251">
        <v>3045.75</v>
      </c>
      <c r="N1251">
        <v>3045.75</v>
      </c>
      <c r="O1251" t="s">
        <v>21</v>
      </c>
      <c r="P1251">
        <f t="shared" si="60"/>
        <v>-5</v>
      </c>
      <c r="Q1251" s="11">
        <f>IF(P1251=0,0,IFERROR(Q1250+G1251*M1251*IF(E1251="FUTURE",VLOOKUP(MID(I1251,2,2),[1]Futures!$A$2:$B$12,2),1),G1251*M1251*IF(E1251="FUTURE",VLOOKUP(MID(I1251,2,2),[1]Futures!$A$2:$B$12,2),1)))</f>
        <v>-76143.75</v>
      </c>
      <c r="R1251" s="12">
        <f>IFERROR(Q1251/P1251/IF(E1251="FUTURE",VLOOKUP(MID(I1251,2,2),[1]Futures!$A$2:$B$12,2),1),"")</f>
        <v>3045.75</v>
      </c>
      <c r="S1251" s="13" t="str">
        <f>IF(AND(H1251="TO CLOSE",P1251=0),-G1251*(M1251-R1250)*IF(E1251="FUTURE",VLOOKUP(MID(I1251,2,2),[1]Futures!$A$2:$B$12,2),1),"")</f>
        <v/>
      </c>
    </row>
    <row r="1252" spans="1:19" x14ac:dyDescent="0.2">
      <c r="A1252">
        <f t="shared" si="59"/>
        <v>388</v>
      </c>
      <c r="B1252" s="3">
        <v>43979</v>
      </c>
      <c r="C1252" s="3" t="str">
        <f t="shared" si="58"/>
        <v>Thursday</v>
      </c>
      <c r="D1252" s="2">
        <v>0.45298611111111109</v>
      </c>
      <c r="E1252" t="s">
        <v>14</v>
      </c>
      <c r="F1252" t="s">
        <v>15</v>
      </c>
      <c r="G1252">
        <v>-1</v>
      </c>
      <c r="H1252" t="s">
        <v>20</v>
      </c>
      <c r="I1252" t="s">
        <v>73</v>
      </c>
      <c r="J1252" s="1">
        <v>44002</v>
      </c>
      <c r="L1252" t="s">
        <v>14</v>
      </c>
      <c r="M1252">
        <v>3045.75</v>
      </c>
      <c r="N1252">
        <v>3045.75</v>
      </c>
      <c r="O1252" t="s">
        <v>21</v>
      </c>
      <c r="P1252">
        <f t="shared" si="60"/>
        <v>-6</v>
      </c>
      <c r="Q1252" s="11">
        <f>IF(P1252=0,0,IFERROR(Q1251+G1252*M1252*IF(E1252="FUTURE",VLOOKUP(MID(I1252,2,2),[1]Futures!$A$2:$B$12,2),1),G1252*M1252*IF(E1252="FUTURE",VLOOKUP(MID(I1252,2,2),[1]Futures!$A$2:$B$12,2),1)))</f>
        <v>-91372.5</v>
      </c>
      <c r="R1252" s="12">
        <f>IFERROR(Q1252/P1252/IF(E1252="FUTURE",VLOOKUP(MID(I1252,2,2),[1]Futures!$A$2:$B$12,2),1),"")</f>
        <v>3045.75</v>
      </c>
      <c r="S1252" s="13" t="str">
        <f>IF(AND(H1252="TO CLOSE",P1252=0),-G1252*(M1252-R1251)*IF(E1252="FUTURE",VLOOKUP(MID(I1252,2,2),[1]Futures!$A$2:$B$12,2),1),"")</f>
        <v/>
      </c>
    </row>
    <row r="1253" spans="1:19" x14ac:dyDescent="0.2">
      <c r="A1253">
        <f t="shared" si="59"/>
        <v>388</v>
      </c>
      <c r="B1253" s="3">
        <v>43979</v>
      </c>
      <c r="C1253" s="3" t="str">
        <f t="shared" si="58"/>
        <v>Thursday</v>
      </c>
      <c r="D1253" s="2">
        <v>0.49876157407407407</v>
      </c>
      <c r="E1253" t="s">
        <v>14</v>
      </c>
      <c r="F1253" t="s">
        <v>19</v>
      </c>
      <c r="G1253">
        <v>6</v>
      </c>
      <c r="H1253" t="s">
        <v>16</v>
      </c>
      <c r="I1253" t="s">
        <v>73</v>
      </c>
      <c r="J1253" s="1">
        <v>44002</v>
      </c>
      <c r="L1253" t="s">
        <v>14</v>
      </c>
      <c r="M1253">
        <v>3051.25</v>
      </c>
      <c r="N1253">
        <v>3051.25</v>
      </c>
      <c r="O1253" t="s">
        <v>18</v>
      </c>
      <c r="P1253">
        <f t="shared" si="60"/>
        <v>0</v>
      </c>
      <c r="Q1253" s="11">
        <f>IF(P1253=0,0,IFERROR(Q1252+G1253*M1253*IF(E1253="FUTURE",VLOOKUP(MID(I1253,2,2),[1]Futures!$A$2:$B$12,2),1),G1253*M1253*IF(E1253="FUTURE",VLOOKUP(MID(I1253,2,2),[1]Futures!$A$2:$B$12,2),1)))</f>
        <v>0</v>
      </c>
      <c r="R1253" s="12" t="str">
        <f>IFERROR(Q1253/P1253/IF(E1253="FUTURE",VLOOKUP(MID(I1253,2,2),[1]Futures!$A$2:$B$12,2),1),"")</f>
        <v/>
      </c>
      <c r="S1253" s="13">
        <f>IF(AND(H1253="TO CLOSE",P1253=0),-G1253*(M1253-R1252)*IF(E1253="FUTURE",VLOOKUP(MID(I1253,2,2),[1]Futures!$A$2:$B$12,2),1),"")</f>
        <v>-165</v>
      </c>
    </row>
    <row r="1254" spans="1:19" x14ac:dyDescent="0.2">
      <c r="A1254">
        <f t="shared" si="59"/>
        <v>389</v>
      </c>
      <c r="B1254" s="3">
        <v>43979</v>
      </c>
      <c r="C1254" s="3" t="str">
        <f t="shared" si="58"/>
        <v>Thursday</v>
      </c>
      <c r="D1254" s="2">
        <v>0.52581018518518519</v>
      </c>
      <c r="E1254" t="s">
        <v>14</v>
      </c>
      <c r="F1254" t="s">
        <v>15</v>
      </c>
      <c r="G1254">
        <v>-5</v>
      </c>
      <c r="H1254" t="s">
        <v>20</v>
      </c>
      <c r="I1254" t="s">
        <v>73</v>
      </c>
      <c r="J1254" s="1">
        <v>44002</v>
      </c>
      <c r="L1254" t="s">
        <v>14</v>
      </c>
      <c r="M1254">
        <v>3053.75</v>
      </c>
      <c r="N1254">
        <v>3053.75</v>
      </c>
      <c r="O1254" t="s">
        <v>21</v>
      </c>
      <c r="P1254">
        <f t="shared" si="60"/>
        <v>-5</v>
      </c>
      <c r="Q1254" s="11">
        <f>IF(P1254=0,0,IFERROR(Q1253+G1254*M1254*IF(E1254="FUTURE",VLOOKUP(MID(I1254,2,2),[1]Futures!$A$2:$B$12,2),1),G1254*M1254*IF(E1254="FUTURE",VLOOKUP(MID(I1254,2,2),[1]Futures!$A$2:$B$12,2),1)))</f>
        <v>-76343.75</v>
      </c>
      <c r="R1254" s="12">
        <f>IFERROR(Q1254/P1254/IF(E1254="FUTURE",VLOOKUP(MID(I1254,2,2),[1]Futures!$A$2:$B$12,2),1),"")</f>
        <v>3053.75</v>
      </c>
      <c r="S1254" s="13" t="str">
        <f>IF(AND(H1254="TO CLOSE",P1254=0),-G1254*(M1254-R1253)*IF(E1254="FUTURE",VLOOKUP(MID(I1254,2,2),[1]Futures!$A$2:$B$12,2),1),"")</f>
        <v/>
      </c>
    </row>
    <row r="1255" spans="1:19" x14ac:dyDescent="0.2">
      <c r="A1255">
        <f t="shared" si="59"/>
        <v>389</v>
      </c>
      <c r="B1255" s="3">
        <v>43979</v>
      </c>
      <c r="C1255" s="3" t="str">
        <f t="shared" si="58"/>
        <v>Thursday</v>
      </c>
      <c r="D1255" s="2">
        <v>0.56217592592592591</v>
      </c>
      <c r="E1255" t="s">
        <v>14</v>
      </c>
      <c r="F1255" t="s">
        <v>15</v>
      </c>
      <c r="G1255">
        <v>-3</v>
      </c>
      <c r="H1255" t="s">
        <v>20</v>
      </c>
      <c r="I1255" t="s">
        <v>73</v>
      </c>
      <c r="J1255" s="1">
        <v>44002</v>
      </c>
      <c r="L1255" t="s">
        <v>14</v>
      </c>
      <c r="M1255">
        <v>3063.75</v>
      </c>
      <c r="N1255">
        <v>3063.75</v>
      </c>
      <c r="O1255" t="s">
        <v>21</v>
      </c>
      <c r="P1255">
        <f t="shared" si="60"/>
        <v>-8</v>
      </c>
      <c r="Q1255" s="11">
        <f>IF(P1255=0,0,IFERROR(Q1254+G1255*M1255*IF(E1255="FUTURE",VLOOKUP(MID(I1255,2,2),[1]Futures!$A$2:$B$12,2),1),G1255*M1255*IF(E1255="FUTURE",VLOOKUP(MID(I1255,2,2),[1]Futures!$A$2:$B$12,2),1)))</f>
        <v>-122300</v>
      </c>
      <c r="R1255" s="12">
        <f>IFERROR(Q1255/P1255/IF(E1255="FUTURE",VLOOKUP(MID(I1255,2,2),[1]Futures!$A$2:$B$12,2),1),"")</f>
        <v>3057.5</v>
      </c>
      <c r="S1255" s="13" t="str">
        <f>IF(AND(H1255="TO CLOSE",P1255=0),-G1255*(M1255-R1254)*IF(E1255="FUTURE",VLOOKUP(MID(I1255,2,2),[1]Futures!$A$2:$B$12,2),1),"")</f>
        <v/>
      </c>
    </row>
    <row r="1256" spans="1:19" x14ac:dyDescent="0.2">
      <c r="A1256">
        <f t="shared" si="59"/>
        <v>389</v>
      </c>
      <c r="B1256" s="3">
        <v>43979</v>
      </c>
      <c r="C1256" s="3" t="str">
        <f t="shared" si="58"/>
        <v>Thursday</v>
      </c>
      <c r="D1256" s="2">
        <v>0.59053240740740742</v>
      </c>
      <c r="E1256" t="s">
        <v>14</v>
      </c>
      <c r="F1256" t="s">
        <v>19</v>
      </c>
      <c r="G1256">
        <v>1</v>
      </c>
      <c r="H1256" t="s">
        <v>16</v>
      </c>
      <c r="I1256" t="s">
        <v>73</v>
      </c>
      <c r="J1256" s="1">
        <v>44002</v>
      </c>
      <c r="L1256" t="s">
        <v>14</v>
      </c>
      <c r="M1256">
        <v>3057.5</v>
      </c>
      <c r="N1256">
        <v>3057.5</v>
      </c>
      <c r="O1256" t="s">
        <v>21</v>
      </c>
      <c r="P1256">
        <f t="shared" si="60"/>
        <v>-7</v>
      </c>
      <c r="Q1256" s="11">
        <f>IF(P1256=0,0,IFERROR(Q1255+G1256*M1256*IF(E1256="FUTURE",VLOOKUP(MID(I1256,2,2),[1]Futures!$A$2:$B$12,2),1),G1256*M1256*IF(E1256="FUTURE",VLOOKUP(MID(I1256,2,2),[1]Futures!$A$2:$B$12,2),1)))</f>
        <v>-107012.5</v>
      </c>
      <c r="R1256" s="12">
        <f>IFERROR(Q1256/P1256/IF(E1256="FUTURE",VLOOKUP(MID(I1256,2,2),[1]Futures!$A$2:$B$12,2),1),"")</f>
        <v>3057.5</v>
      </c>
      <c r="S1256" s="13" t="str">
        <f>IF(AND(H1256="TO CLOSE",P1256=0),-G1256*(M1256-R1255)*IF(E1256="FUTURE",VLOOKUP(MID(I1256,2,2),[1]Futures!$A$2:$B$12,2),1),"")</f>
        <v/>
      </c>
    </row>
    <row r="1257" spans="1:19" x14ac:dyDescent="0.2">
      <c r="A1257">
        <f t="shared" si="59"/>
        <v>389</v>
      </c>
      <c r="B1257" s="3">
        <v>43979</v>
      </c>
      <c r="C1257" s="3" t="str">
        <f t="shared" si="58"/>
        <v>Thursday</v>
      </c>
      <c r="D1257" s="2">
        <v>0.59053240740740742</v>
      </c>
      <c r="E1257" t="s">
        <v>14</v>
      </c>
      <c r="F1257" t="s">
        <v>19</v>
      </c>
      <c r="G1257">
        <v>1</v>
      </c>
      <c r="H1257" t="s">
        <v>16</v>
      </c>
      <c r="I1257" t="s">
        <v>73</v>
      </c>
      <c r="J1257" s="1">
        <v>44002</v>
      </c>
      <c r="L1257" t="s">
        <v>14</v>
      </c>
      <c r="M1257">
        <v>3057.5</v>
      </c>
      <c r="N1257">
        <v>3057.5</v>
      </c>
      <c r="O1257" t="s">
        <v>21</v>
      </c>
      <c r="P1257">
        <f t="shared" si="60"/>
        <v>-6</v>
      </c>
      <c r="Q1257" s="11">
        <f>IF(P1257=0,0,IFERROR(Q1256+G1257*M1257*IF(E1257="FUTURE",VLOOKUP(MID(I1257,2,2),[1]Futures!$A$2:$B$12,2),1),G1257*M1257*IF(E1257="FUTURE",VLOOKUP(MID(I1257,2,2),[1]Futures!$A$2:$B$12,2),1)))</f>
        <v>-91725</v>
      </c>
      <c r="R1257" s="12">
        <f>IFERROR(Q1257/P1257/IF(E1257="FUTURE",VLOOKUP(MID(I1257,2,2),[1]Futures!$A$2:$B$12,2),1),"")</f>
        <v>3057.5</v>
      </c>
      <c r="S1257" s="13" t="str">
        <f>IF(AND(H1257="TO CLOSE",P1257=0),-G1257*(M1257-R1256)*IF(E1257="FUTURE",VLOOKUP(MID(I1257,2,2),[1]Futures!$A$2:$B$12,2),1),"")</f>
        <v/>
      </c>
    </row>
    <row r="1258" spans="1:19" x14ac:dyDescent="0.2">
      <c r="A1258">
        <f t="shared" si="59"/>
        <v>389</v>
      </c>
      <c r="B1258" s="3">
        <v>43979</v>
      </c>
      <c r="C1258" s="3" t="str">
        <f t="shared" si="58"/>
        <v>Thursday</v>
      </c>
      <c r="D1258" s="2">
        <v>0.61106481481481478</v>
      </c>
      <c r="E1258" t="s">
        <v>14</v>
      </c>
      <c r="F1258" t="s">
        <v>19</v>
      </c>
      <c r="G1258">
        <v>2</v>
      </c>
      <c r="H1258" t="s">
        <v>16</v>
      </c>
      <c r="I1258" t="s">
        <v>73</v>
      </c>
      <c r="J1258" s="1">
        <v>44002</v>
      </c>
      <c r="L1258" t="s">
        <v>14</v>
      </c>
      <c r="M1258">
        <v>3056.5</v>
      </c>
      <c r="N1258">
        <v>3056.5</v>
      </c>
      <c r="O1258" t="s">
        <v>21</v>
      </c>
      <c r="P1258">
        <f t="shared" si="60"/>
        <v>-4</v>
      </c>
      <c r="Q1258" s="11">
        <f>IF(P1258=0,0,IFERROR(Q1257+G1258*M1258*IF(E1258="FUTURE",VLOOKUP(MID(I1258,2,2),[1]Futures!$A$2:$B$12,2),1),G1258*M1258*IF(E1258="FUTURE",VLOOKUP(MID(I1258,2,2),[1]Futures!$A$2:$B$12,2),1)))</f>
        <v>-61160</v>
      </c>
      <c r="R1258" s="12">
        <f>IFERROR(Q1258/P1258/IF(E1258="FUTURE",VLOOKUP(MID(I1258,2,2),[1]Futures!$A$2:$B$12,2),1),"")</f>
        <v>3058</v>
      </c>
      <c r="S1258" s="13" t="str">
        <f>IF(AND(H1258="TO CLOSE",P1258=0),-G1258*(M1258-R1257)*IF(E1258="FUTURE",VLOOKUP(MID(I1258,2,2),[1]Futures!$A$2:$B$12,2),1),"")</f>
        <v/>
      </c>
    </row>
    <row r="1259" spans="1:19" x14ac:dyDescent="0.2">
      <c r="A1259">
        <f t="shared" si="59"/>
        <v>389</v>
      </c>
      <c r="B1259" s="3">
        <v>43979</v>
      </c>
      <c r="C1259" s="3" t="str">
        <f t="shared" si="58"/>
        <v>Thursday</v>
      </c>
      <c r="D1259" s="2">
        <v>0.61256944444444439</v>
      </c>
      <c r="E1259" t="s">
        <v>14</v>
      </c>
      <c r="F1259" t="s">
        <v>19</v>
      </c>
      <c r="G1259">
        <v>1</v>
      </c>
      <c r="H1259" t="s">
        <v>16</v>
      </c>
      <c r="I1259" t="s">
        <v>73</v>
      </c>
      <c r="J1259" s="1">
        <v>44002</v>
      </c>
      <c r="L1259" t="s">
        <v>14</v>
      </c>
      <c r="M1259">
        <v>3055.5</v>
      </c>
      <c r="N1259">
        <v>3055.5</v>
      </c>
      <c r="O1259" t="s">
        <v>21</v>
      </c>
      <c r="P1259">
        <f t="shared" si="60"/>
        <v>-3</v>
      </c>
      <c r="Q1259" s="11">
        <f>IF(P1259=0,0,IFERROR(Q1258+G1259*M1259*IF(E1259="FUTURE",VLOOKUP(MID(I1259,2,2),[1]Futures!$A$2:$B$12,2),1),G1259*M1259*IF(E1259="FUTURE",VLOOKUP(MID(I1259,2,2),[1]Futures!$A$2:$B$12,2),1)))</f>
        <v>-45882.5</v>
      </c>
      <c r="R1259" s="12">
        <f>IFERROR(Q1259/P1259/IF(E1259="FUTURE",VLOOKUP(MID(I1259,2,2),[1]Futures!$A$2:$B$12,2),1),"")</f>
        <v>3058.833333333333</v>
      </c>
      <c r="S1259" s="13" t="str">
        <f>IF(AND(H1259="TO CLOSE",P1259=0),-G1259*(M1259-R1258)*IF(E1259="FUTURE",VLOOKUP(MID(I1259,2,2),[1]Futures!$A$2:$B$12,2),1),"")</f>
        <v/>
      </c>
    </row>
    <row r="1260" spans="1:19" x14ac:dyDescent="0.2">
      <c r="A1260">
        <f t="shared" si="59"/>
        <v>389</v>
      </c>
      <c r="B1260" s="3">
        <v>43979</v>
      </c>
      <c r="C1260" s="3" t="str">
        <f t="shared" si="58"/>
        <v>Thursday</v>
      </c>
      <c r="D1260" s="2">
        <v>0.61331018518518521</v>
      </c>
      <c r="E1260" t="s">
        <v>14</v>
      </c>
      <c r="F1260" t="s">
        <v>19</v>
      </c>
      <c r="G1260">
        <v>1</v>
      </c>
      <c r="H1260" t="s">
        <v>16</v>
      </c>
      <c r="I1260" t="s">
        <v>73</v>
      </c>
      <c r="J1260" s="1">
        <v>44002</v>
      </c>
      <c r="L1260" t="s">
        <v>14</v>
      </c>
      <c r="M1260">
        <v>3054.5</v>
      </c>
      <c r="N1260">
        <v>3054.5</v>
      </c>
      <c r="O1260" t="s">
        <v>21</v>
      </c>
      <c r="P1260">
        <f t="shared" si="60"/>
        <v>-2</v>
      </c>
      <c r="Q1260" s="11">
        <f>IF(P1260=0,0,IFERROR(Q1259+G1260*M1260*IF(E1260="FUTURE",VLOOKUP(MID(I1260,2,2),[1]Futures!$A$2:$B$12,2),1),G1260*M1260*IF(E1260="FUTURE",VLOOKUP(MID(I1260,2,2),[1]Futures!$A$2:$B$12,2),1)))</f>
        <v>-30610</v>
      </c>
      <c r="R1260" s="12">
        <f>IFERROR(Q1260/P1260/IF(E1260="FUTURE",VLOOKUP(MID(I1260,2,2),[1]Futures!$A$2:$B$12,2),1),"")</f>
        <v>3061</v>
      </c>
      <c r="S1260" s="13" t="str">
        <f>IF(AND(H1260="TO CLOSE",P1260=0),-G1260*(M1260-R1259)*IF(E1260="FUTURE",VLOOKUP(MID(I1260,2,2),[1]Futures!$A$2:$B$12,2),1),"")</f>
        <v/>
      </c>
    </row>
    <row r="1261" spans="1:19" x14ac:dyDescent="0.2">
      <c r="A1261">
        <f t="shared" si="59"/>
        <v>389</v>
      </c>
      <c r="B1261" s="3">
        <v>43979</v>
      </c>
      <c r="C1261" s="3" t="str">
        <f t="shared" si="58"/>
        <v>Thursday</v>
      </c>
      <c r="D1261" s="2">
        <v>0.61373842592592587</v>
      </c>
      <c r="E1261" t="s">
        <v>14</v>
      </c>
      <c r="F1261" t="s">
        <v>19</v>
      </c>
      <c r="G1261">
        <v>1</v>
      </c>
      <c r="H1261" t="s">
        <v>16</v>
      </c>
      <c r="I1261" t="s">
        <v>73</v>
      </c>
      <c r="J1261" s="1">
        <v>44002</v>
      </c>
      <c r="L1261" t="s">
        <v>14</v>
      </c>
      <c r="M1261">
        <v>3053.5</v>
      </c>
      <c r="N1261">
        <v>3053.5</v>
      </c>
      <c r="O1261" t="s">
        <v>21</v>
      </c>
      <c r="P1261">
        <f t="shared" si="60"/>
        <v>-1</v>
      </c>
      <c r="Q1261" s="11">
        <f>IF(P1261=0,0,IFERROR(Q1260+G1261*M1261*IF(E1261="FUTURE",VLOOKUP(MID(I1261,2,2),[1]Futures!$A$2:$B$12,2),1),G1261*M1261*IF(E1261="FUTURE",VLOOKUP(MID(I1261,2,2),[1]Futures!$A$2:$B$12,2),1)))</f>
        <v>-15342.5</v>
      </c>
      <c r="R1261" s="12">
        <f>IFERROR(Q1261/P1261/IF(E1261="FUTURE",VLOOKUP(MID(I1261,2,2),[1]Futures!$A$2:$B$12,2),1),"")</f>
        <v>3068.5</v>
      </c>
      <c r="S1261" s="13" t="str">
        <f>IF(AND(H1261="TO CLOSE",P1261=0),-G1261*(M1261-R1260)*IF(E1261="FUTURE",VLOOKUP(MID(I1261,2,2),[1]Futures!$A$2:$B$12,2),1),"")</f>
        <v/>
      </c>
    </row>
    <row r="1262" spans="1:19" x14ac:dyDescent="0.2">
      <c r="A1262">
        <f t="shared" si="59"/>
        <v>389</v>
      </c>
      <c r="B1262" s="3">
        <v>43979</v>
      </c>
      <c r="C1262" s="3" t="str">
        <f t="shared" si="58"/>
        <v>Thursday</v>
      </c>
      <c r="D1262" s="2">
        <v>0.61487268518518523</v>
      </c>
      <c r="E1262" t="s">
        <v>14</v>
      </c>
      <c r="F1262" t="s">
        <v>19</v>
      </c>
      <c r="G1262">
        <v>1</v>
      </c>
      <c r="H1262" t="s">
        <v>16</v>
      </c>
      <c r="I1262" t="s">
        <v>73</v>
      </c>
      <c r="J1262" s="1">
        <v>44002</v>
      </c>
      <c r="L1262" t="s">
        <v>14</v>
      </c>
      <c r="M1262">
        <v>3053</v>
      </c>
      <c r="N1262">
        <v>3053</v>
      </c>
      <c r="O1262" t="s">
        <v>21</v>
      </c>
      <c r="P1262">
        <f t="shared" si="60"/>
        <v>0</v>
      </c>
      <c r="Q1262" s="11">
        <f>IF(P1262=0,0,IFERROR(Q1261+G1262*M1262*IF(E1262="FUTURE",VLOOKUP(MID(I1262,2,2),[1]Futures!$A$2:$B$12,2),1),G1262*M1262*IF(E1262="FUTURE",VLOOKUP(MID(I1262,2,2),[1]Futures!$A$2:$B$12,2),1)))</f>
        <v>0</v>
      </c>
      <c r="R1262" s="12" t="str">
        <f>IFERROR(Q1262/P1262/IF(E1262="FUTURE",VLOOKUP(MID(I1262,2,2),[1]Futures!$A$2:$B$12,2),1),"")</f>
        <v/>
      </c>
      <c r="S1262" s="13">
        <f>IF(AND(H1262="TO CLOSE",P1262=0),-G1262*(M1262-R1261)*IF(E1262="FUTURE",VLOOKUP(MID(I1262,2,2),[1]Futures!$A$2:$B$12,2),1),"")</f>
        <v>77.5</v>
      </c>
    </row>
    <row r="1263" spans="1:19" x14ac:dyDescent="0.2">
      <c r="A1263">
        <f t="shared" si="59"/>
        <v>390</v>
      </c>
      <c r="B1263" s="3">
        <v>43979</v>
      </c>
      <c r="C1263" s="3" t="str">
        <f t="shared" si="58"/>
        <v>Thursday</v>
      </c>
      <c r="D1263" s="2">
        <v>0.40212962962962967</v>
      </c>
      <c r="E1263" t="s">
        <v>22</v>
      </c>
      <c r="F1263" t="s">
        <v>19</v>
      </c>
      <c r="G1263">
        <v>200</v>
      </c>
      <c r="H1263" t="s">
        <v>20</v>
      </c>
      <c r="I1263" t="s">
        <v>23</v>
      </c>
      <c r="L1263" t="s">
        <v>22</v>
      </c>
      <c r="M1263">
        <v>33.81</v>
      </c>
      <c r="N1263">
        <v>33.81</v>
      </c>
      <c r="O1263" t="s">
        <v>21</v>
      </c>
      <c r="P1263">
        <f t="shared" si="60"/>
        <v>200</v>
      </c>
      <c r="Q1263" s="11">
        <f>IF(P1263=0,0,IFERROR(Q1262+G1263*M1263*IF(E1263="FUTURE",VLOOKUP(MID(I1263,2,2),[1]Futures!$A$2:$B$12,2),1),G1263*M1263*IF(E1263="FUTURE",VLOOKUP(MID(I1263,2,2),[1]Futures!$A$2:$B$12,2),1)))</f>
        <v>6762</v>
      </c>
      <c r="R1263" s="12">
        <f>IFERROR(Q1263/P1263/IF(E1263="FUTURE",VLOOKUP(MID(I1263,2,2),[1]Futures!$A$2:$B$12,2),1),"")</f>
        <v>33.81</v>
      </c>
      <c r="S1263" s="13" t="str">
        <f>IF(AND(H1263="TO CLOSE",P1263=0),-G1263*(M1263-R1262)*IF(E1263="FUTURE",VLOOKUP(MID(I1263,2,2),[1]Futures!$A$2:$B$12,2),1),"")</f>
        <v/>
      </c>
    </row>
    <row r="1264" spans="1:19" x14ac:dyDescent="0.2">
      <c r="A1264">
        <f t="shared" si="59"/>
        <v>390</v>
      </c>
      <c r="B1264" s="3">
        <v>43979</v>
      </c>
      <c r="C1264" s="3" t="str">
        <f t="shared" si="58"/>
        <v>Thursday</v>
      </c>
      <c r="D1264" s="2">
        <v>0.41210648148148149</v>
      </c>
      <c r="E1264" t="s">
        <v>22</v>
      </c>
      <c r="F1264" t="s">
        <v>19</v>
      </c>
      <c r="G1264">
        <v>100</v>
      </c>
      <c r="H1264" t="s">
        <v>20</v>
      </c>
      <c r="I1264" t="s">
        <v>23</v>
      </c>
      <c r="L1264" t="s">
        <v>22</v>
      </c>
      <c r="M1264">
        <v>33.51</v>
      </c>
      <c r="N1264">
        <v>33.51</v>
      </c>
      <c r="O1264" t="s">
        <v>21</v>
      </c>
      <c r="P1264">
        <f t="shared" si="60"/>
        <v>300</v>
      </c>
      <c r="Q1264" s="11">
        <f>IF(P1264=0,0,IFERROR(Q1263+G1264*M1264*IF(E1264="FUTURE",VLOOKUP(MID(I1264,2,2),[1]Futures!$A$2:$B$12,2),1),G1264*M1264*IF(E1264="FUTURE",VLOOKUP(MID(I1264,2,2),[1]Futures!$A$2:$B$12,2),1)))</f>
        <v>10113</v>
      </c>
      <c r="R1264" s="12">
        <f>IFERROR(Q1264/P1264/IF(E1264="FUTURE",VLOOKUP(MID(I1264,2,2),[1]Futures!$A$2:$B$12,2),1),"")</f>
        <v>33.71</v>
      </c>
      <c r="S1264" s="13" t="str">
        <f>IF(AND(H1264="TO CLOSE",P1264=0),-G1264*(M1264-R1263)*IF(E1264="FUTURE",VLOOKUP(MID(I1264,2,2),[1]Futures!$A$2:$B$12,2),1),"")</f>
        <v/>
      </c>
    </row>
    <row r="1265" spans="1:19" x14ac:dyDescent="0.2">
      <c r="A1265">
        <f t="shared" si="59"/>
        <v>390</v>
      </c>
      <c r="B1265" s="3">
        <v>43979</v>
      </c>
      <c r="C1265" s="3" t="str">
        <f t="shared" si="58"/>
        <v>Thursday</v>
      </c>
      <c r="D1265" s="2">
        <v>0.43759259259259259</v>
      </c>
      <c r="E1265" t="s">
        <v>22</v>
      </c>
      <c r="F1265" t="s">
        <v>15</v>
      </c>
      <c r="G1265">
        <v>-142</v>
      </c>
      <c r="H1265" t="s">
        <v>16</v>
      </c>
      <c r="I1265" t="s">
        <v>23</v>
      </c>
      <c r="L1265" t="s">
        <v>22</v>
      </c>
      <c r="M1265">
        <v>33.545000000000002</v>
      </c>
      <c r="N1265">
        <v>33.545000000000002</v>
      </c>
      <c r="O1265" t="s">
        <v>24</v>
      </c>
      <c r="P1265">
        <f t="shared" si="60"/>
        <v>158</v>
      </c>
      <c r="Q1265" s="11">
        <f>IF(P1265=0,0,IFERROR(Q1264+G1265*M1265*IF(E1265="FUTURE",VLOOKUP(MID(I1265,2,2),[1]Futures!$A$2:$B$12,2),1),G1265*M1265*IF(E1265="FUTURE",VLOOKUP(MID(I1265,2,2),[1]Futures!$A$2:$B$12,2),1)))</f>
        <v>5349.61</v>
      </c>
      <c r="R1265" s="12">
        <f>IFERROR(Q1265/P1265/IF(E1265="FUTURE",VLOOKUP(MID(I1265,2,2),[1]Futures!$A$2:$B$12,2),1),"")</f>
        <v>33.858291139240507</v>
      </c>
      <c r="S1265" s="13" t="str">
        <f>IF(AND(H1265="TO CLOSE",P1265=0),-G1265*(M1265-R1264)*IF(E1265="FUTURE",VLOOKUP(MID(I1265,2,2),[1]Futures!$A$2:$B$12,2),1),"")</f>
        <v/>
      </c>
    </row>
    <row r="1266" spans="1:19" x14ac:dyDescent="0.2">
      <c r="A1266">
        <f t="shared" si="59"/>
        <v>390</v>
      </c>
      <c r="B1266" s="3">
        <v>43979</v>
      </c>
      <c r="C1266" s="3" t="str">
        <f t="shared" si="58"/>
        <v>Thursday</v>
      </c>
      <c r="D1266" s="2">
        <v>0.43759259259259259</v>
      </c>
      <c r="E1266" t="s">
        <v>22</v>
      </c>
      <c r="F1266" t="s">
        <v>15</v>
      </c>
      <c r="G1266">
        <v>-100</v>
      </c>
      <c r="H1266" t="s">
        <v>16</v>
      </c>
      <c r="I1266" t="s">
        <v>23</v>
      </c>
      <c r="L1266" t="s">
        <v>22</v>
      </c>
      <c r="M1266">
        <v>33.545000000000002</v>
      </c>
      <c r="N1266">
        <v>33.545000000000002</v>
      </c>
      <c r="O1266" t="s">
        <v>24</v>
      </c>
      <c r="P1266">
        <f t="shared" si="60"/>
        <v>58</v>
      </c>
      <c r="Q1266" s="11">
        <f>IF(P1266=0,0,IFERROR(Q1265+G1266*M1266*IF(E1266="FUTURE",VLOOKUP(MID(I1266,2,2),[1]Futures!$A$2:$B$12,2),1),G1266*M1266*IF(E1266="FUTURE",VLOOKUP(MID(I1266,2,2),[1]Futures!$A$2:$B$12,2),1)))</f>
        <v>1995.1099999999997</v>
      </c>
      <c r="R1266" s="12">
        <f>IFERROR(Q1266/P1266/IF(E1266="FUTURE",VLOOKUP(MID(I1266,2,2),[1]Futures!$A$2:$B$12,2),1),"")</f>
        <v>34.398448275862066</v>
      </c>
      <c r="S1266" s="13" t="str">
        <f>IF(AND(H1266="TO CLOSE",P1266=0),-G1266*(M1266-R1265)*IF(E1266="FUTURE",VLOOKUP(MID(I1266,2,2),[1]Futures!$A$2:$B$12,2),1),"")</f>
        <v/>
      </c>
    </row>
    <row r="1267" spans="1:19" x14ac:dyDescent="0.2">
      <c r="A1267">
        <f t="shared" si="59"/>
        <v>390</v>
      </c>
      <c r="B1267" s="3">
        <v>43979</v>
      </c>
      <c r="C1267" s="3" t="str">
        <f t="shared" si="58"/>
        <v>Thursday</v>
      </c>
      <c r="D1267" s="2">
        <v>0.43759259259259259</v>
      </c>
      <c r="E1267" t="s">
        <v>22</v>
      </c>
      <c r="F1267" t="s">
        <v>15</v>
      </c>
      <c r="G1267">
        <v>-58</v>
      </c>
      <c r="H1267" t="s">
        <v>16</v>
      </c>
      <c r="I1267" t="s">
        <v>23</v>
      </c>
      <c r="L1267" t="s">
        <v>22</v>
      </c>
      <c r="M1267">
        <v>33.540100000000002</v>
      </c>
      <c r="N1267">
        <v>33.540170000000003</v>
      </c>
      <c r="O1267" t="s">
        <v>24</v>
      </c>
      <c r="P1267">
        <f t="shared" si="60"/>
        <v>0</v>
      </c>
      <c r="Q1267" s="11">
        <f>IF(P1267=0,0,IFERROR(Q1266+G1267*M1267*IF(E1267="FUTURE",VLOOKUP(MID(I1267,2,2),[1]Futures!$A$2:$B$12,2),1),G1267*M1267*IF(E1267="FUTURE",VLOOKUP(MID(I1267,2,2),[1]Futures!$A$2:$B$12,2),1)))</f>
        <v>0</v>
      </c>
      <c r="R1267" s="12" t="str">
        <f>IFERROR(Q1267/P1267/IF(E1267="FUTURE",VLOOKUP(MID(I1267,2,2),[1]Futures!$A$2:$B$12,2),1),"")</f>
        <v/>
      </c>
      <c r="S1267" s="13">
        <f>IF(AND(H1267="TO CLOSE",P1267=0),-G1267*(M1267-R1266)*IF(E1267="FUTURE",VLOOKUP(MID(I1267,2,2),[1]Futures!$A$2:$B$12,2),1),"")</f>
        <v>-49.784199999999672</v>
      </c>
    </row>
    <row r="1268" spans="1:19" x14ac:dyDescent="0.2">
      <c r="A1268">
        <f t="shared" si="59"/>
        <v>391</v>
      </c>
      <c r="B1268" s="3">
        <v>43979</v>
      </c>
      <c r="C1268" s="3" t="str">
        <f t="shared" si="58"/>
        <v>Thursday</v>
      </c>
      <c r="D1268" s="2">
        <v>0.44111111111111106</v>
      </c>
      <c r="E1268" t="s">
        <v>22</v>
      </c>
      <c r="F1268" t="s">
        <v>15</v>
      </c>
      <c r="G1268">
        <v>-400</v>
      </c>
      <c r="H1268" t="s">
        <v>20</v>
      </c>
      <c r="I1268" t="s">
        <v>23</v>
      </c>
      <c r="L1268" t="s">
        <v>22</v>
      </c>
      <c r="M1268">
        <v>33.560099999999998</v>
      </c>
      <c r="N1268">
        <v>33.560099999999998</v>
      </c>
      <c r="O1268" t="s">
        <v>24</v>
      </c>
      <c r="P1268">
        <f t="shared" si="60"/>
        <v>-400</v>
      </c>
      <c r="Q1268" s="11">
        <f>IF(P1268=0,0,IFERROR(Q1267+G1268*M1268*IF(E1268="FUTURE",VLOOKUP(MID(I1268,2,2),[1]Futures!$A$2:$B$12,2),1),G1268*M1268*IF(E1268="FUTURE",VLOOKUP(MID(I1268,2,2),[1]Futures!$A$2:$B$12,2),1)))</f>
        <v>-13424.039999999999</v>
      </c>
      <c r="R1268" s="12">
        <f>IFERROR(Q1268/P1268/IF(E1268="FUTURE",VLOOKUP(MID(I1268,2,2),[1]Futures!$A$2:$B$12,2),1),"")</f>
        <v>33.560099999999998</v>
      </c>
      <c r="S1268" s="13" t="str">
        <f>IF(AND(H1268="TO CLOSE",P1268=0),-G1268*(M1268-R1267)*IF(E1268="FUTURE",VLOOKUP(MID(I1268,2,2),[1]Futures!$A$2:$B$12,2),1),"")</f>
        <v/>
      </c>
    </row>
    <row r="1269" spans="1:19" x14ac:dyDescent="0.2">
      <c r="A1269">
        <f t="shared" si="59"/>
        <v>391</v>
      </c>
      <c r="B1269" s="3">
        <v>43979</v>
      </c>
      <c r="C1269" s="3" t="str">
        <f t="shared" si="58"/>
        <v>Thursday</v>
      </c>
      <c r="D1269" s="2">
        <v>0.4455324074074074</v>
      </c>
      <c r="E1269" t="s">
        <v>22</v>
      </c>
      <c r="F1269" t="s">
        <v>19</v>
      </c>
      <c r="G1269">
        <v>400</v>
      </c>
      <c r="H1269" t="s">
        <v>16</v>
      </c>
      <c r="I1269" t="s">
        <v>23</v>
      </c>
      <c r="L1269" t="s">
        <v>22</v>
      </c>
      <c r="M1269">
        <v>33.51</v>
      </c>
      <c r="N1269">
        <v>33.51</v>
      </c>
      <c r="O1269" t="s">
        <v>21</v>
      </c>
      <c r="P1269">
        <f t="shared" si="60"/>
        <v>0</v>
      </c>
      <c r="Q1269" s="11">
        <f>IF(P1269=0,0,IFERROR(Q1268+G1269*M1269*IF(E1269="FUTURE",VLOOKUP(MID(I1269,2,2),[1]Futures!$A$2:$B$12,2),1),G1269*M1269*IF(E1269="FUTURE",VLOOKUP(MID(I1269,2,2),[1]Futures!$A$2:$B$12,2),1)))</f>
        <v>0</v>
      </c>
      <c r="R1269" s="12" t="str">
        <f>IFERROR(Q1269/P1269/IF(E1269="FUTURE",VLOOKUP(MID(I1269,2,2),[1]Futures!$A$2:$B$12,2),1),"")</f>
        <v/>
      </c>
      <c r="S1269" s="13">
        <f>IF(AND(H1269="TO CLOSE",P1269=0),-G1269*(M1269-R1268)*IF(E1269="FUTURE",VLOOKUP(MID(I1269,2,2),[1]Futures!$A$2:$B$12,2),1),"")</f>
        <v>20.040000000000191</v>
      </c>
    </row>
    <row r="1270" spans="1:19" x14ac:dyDescent="0.2">
      <c r="A1270">
        <f t="shared" si="59"/>
        <v>392</v>
      </c>
      <c r="B1270" s="3">
        <v>43979</v>
      </c>
      <c r="C1270" s="3" t="str">
        <f t="shared" si="58"/>
        <v>Thursday</v>
      </c>
      <c r="D1270" s="2">
        <v>0.47570601851851851</v>
      </c>
      <c r="E1270" t="s">
        <v>22</v>
      </c>
      <c r="F1270" t="s">
        <v>19</v>
      </c>
      <c r="G1270">
        <v>200</v>
      </c>
      <c r="H1270" t="s">
        <v>20</v>
      </c>
      <c r="I1270" t="s">
        <v>23</v>
      </c>
      <c r="L1270" t="s">
        <v>22</v>
      </c>
      <c r="M1270">
        <v>33.689900000000002</v>
      </c>
      <c r="N1270">
        <v>33.689900000000002</v>
      </c>
      <c r="O1270" t="s">
        <v>24</v>
      </c>
      <c r="P1270">
        <f t="shared" si="60"/>
        <v>200</v>
      </c>
      <c r="Q1270" s="11">
        <f>IF(P1270=0,0,IFERROR(Q1269+G1270*M1270*IF(E1270="FUTURE",VLOOKUP(MID(I1270,2,2),[1]Futures!$A$2:$B$12,2),1),G1270*M1270*IF(E1270="FUTURE",VLOOKUP(MID(I1270,2,2),[1]Futures!$A$2:$B$12,2),1)))</f>
        <v>6737.9800000000005</v>
      </c>
      <c r="R1270" s="12">
        <f>IFERROR(Q1270/P1270/IF(E1270="FUTURE",VLOOKUP(MID(I1270,2,2),[1]Futures!$A$2:$B$12,2),1),"")</f>
        <v>33.689900000000002</v>
      </c>
      <c r="S1270" s="13" t="str">
        <f>IF(AND(H1270="TO CLOSE",P1270=0),-G1270*(M1270-R1269)*IF(E1270="FUTURE",VLOOKUP(MID(I1270,2,2),[1]Futures!$A$2:$B$12,2),1),"")</f>
        <v/>
      </c>
    </row>
    <row r="1271" spans="1:19" x14ac:dyDescent="0.2">
      <c r="A1271">
        <f t="shared" si="59"/>
        <v>392</v>
      </c>
      <c r="B1271" s="3">
        <v>43979</v>
      </c>
      <c r="C1271" s="3" t="str">
        <f t="shared" si="58"/>
        <v>Thursday</v>
      </c>
      <c r="D1271" s="2">
        <v>0.48628472222222219</v>
      </c>
      <c r="E1271" t="s">
        <v>22</v>
      </c>
      <c r="F1271" t="s">
        <v>19</v>
      </c>
      <c r="G1271">
        <v>33</v>
      </c>
      <c r="H1271" t="s">
        <v>20</v>
      </c>
      <c r="I1271" t="s">
        <v>23</v>
      </c>
      <c r="L1271" t="s">
        <v>22</v>
      </c>
      <c r="M1271">
        <v>33.92</v>
      </c>
      <c r="N1271">
        <v>33.92</v>
      </c>
      <c r="O1271" t="s">
        <v>18</v>
      </c>
      <c r="P1271">
        <f t="shared" si="60"/>
        <v>233</v>
      </c>
      <c r="Q1271" s="11">
        <f>IF(P1271=0,0,IFERROR(Q1270+G1271*M1271*IF(E1271="FUTURE",VLOOKUP(MID(I1271,2,2),[1]Futures!$A$2:$B$12,2),1),G1271*M1271*IF(E1271="FUTURE",VLOOKUP(MID(I1271,2,2),[1]Futures!$A$2:$B$12,2),1)))</f>
        <v>7857.34</v>
      </c>
      <c r="R1271" s="12">
        <f>IFERROR(Q1271/P1271/IF(E1271="FUTURE",VLOOKUP(MID(I1271,2,2),[1]Futures!$A$2:$B$12,2),1),"")</f>
        <v>33.722489270386269</v>
      </c>
      <c r="S1271" s="13" t="str">
        <f>IF(AND(H1271="TO CLOSE",P1271=0),-G1271*(M1271-R1270)*IF(E1271="FUTURE",VLOOKUP(MID(I1271,2,2),[1]Futures!$A$2:$B$12,2),1),"")</f>
        <v/>
      </c>
    </row>
    <row r="1272" spans="1:19" x14ac:dyDescent="0.2">
      <c r="A1272">
        <f t="shared" si="59"/>
        <v>392</v>
      </c>
      <c r="B1272" s="3">
        <v>43979</v>
      </c>
      <c r="C1272" s="3" t="str">
        <f t="shared" si="58"/>
        <v>Thursday</v>
      </c>
      <c r="D1272" s="2">
        <v>0.48628472222222219</v>
      </c>
      <c r="E1272" t="s">
        <v>22</v>
      </c>
      <c r="F1272" t="s">
        <v>19</v>
      </c>
      <c r="G1272">
        <v>40</v>
      </c>
      <c r="H1272" t="s">
        <v>20</v>
      </c>
      <c r="I1272" t="s">
        <v>23</v>
      </c>
      <c r="L1272" t="s">
        <v>22</v>
      </c>
      <c r="M1272">
        <v>33.92</v>
      </c>
      <c r="N1272">
        <v>33.92</v>
      </c>
      <c r="O1272" t="s">
        <v>18</v>
      </c>
      <c r="P1272">
        <f t="shared" si="60"/>
        <v>273</v>
      </c>
      <c r="Q1272" s="11">
        <f>IF(P1272=0,0,IFERROR(Q1271+G1272*M1272*IF(E1272="FUTURE",VLOOKUP(MID(I1272,2,2),[1]Futures!$A$2:$B$12,2),1),G1272*M1272*IF(E1272="FUTURE",VLOOKUP(MID(I1272,2,2),[1]Futures!$A$2:$B$12,2),1)))</f>
        <v>9214.14</v>
      </c>
      <c r="R1272" s="12">
        <f>IFERROR(Q1272/P1272/IF(E1272="FUTURE",VLOOKUP(MID(I1272,2,2),[1]Futures!$A$2:$B$12,2),1),"")</f>
        <v>33.751428571428569</v>
      </c>
      <c r="S1272" s="13" t="str">
        <f>IF(AND(H1272="TO CLOSE",P1272=0),-G1272*(M1272-R1271)*IF(E1272="FUTURE",VLOOKUP(MID(I1272,2,2),[1]Futures!$A$2:$B$12,2),1),"")</f>
        <v/>
      </c>
    </row>
    <row r="1273" spans="1:19" x14ac:dyDescent="0.2">
      <c r="A1273">
        <f t="shared" si="59"/>
        <v>392</v>
      </c>
      <c r="B1273" s="3">
        <v>43979</v>
      </c>
      <c r="C1273" s="3" t="str">
        <f t="shared" si="58"/>
        <v>Thursday</v>
      </c>
      <c r="D1273" s="2">
        <v>0.48628472222222219</v>
      </c>
      <c r="E1273" t="s">
        <v>22</v>
      </c>
      <c r="F1273" t="s">
        <v>19</v>
      </c>
      <c r="G1273">
        <v>27</v>
      </c>
      <c r="H1273" t="s">
        <v>20</v>
      </c>
      <c r="I1273" t="s">
        <v>23</v>
      </c>
      <c r="L1273" t="s">
        <v>22</v>
      </c>
      <c r="M1273">
        <v>33.92</v>
      </c>
      <c r="N1273">
        <v>33.92</v>
      </c>
      <c r="O1273" t="s">
        <v>18</v>
      </c>
      <c r="P1273">
        <f t="shared" si="60"/>
        <v>300</v>
      </c>
      <c r="Q1273" s="11">
        <f>IF(P1273=0,0,IFERROR(Q1272+G1273*M1273*IF(E1273="FUTURE",VLOOKUP(MID(I1273,2,2),[1]Futures!$A$2:$B$12,2),1),G1273*M1273*IF(E1273="FUTURE",VLOOKUP(MID(I1273,2,2),[1]Futures!$A$2:$B$12,2),1)))</f>
        <v>10129.98</v>
      </c>
      <c r="R1273" s="12">
        <f>IFERROR(Q1273/P1273/IF(E1273="FUTURE",VLOOKUP(MID(I1273,2,2),[1]Futures!$A$2:$B$12,2),1),"")</f>
        <v>33.766599999999997</v>
      </c>
      <c r="S1273" s="13" t="str">
        <f>IF(AND(H1273="TO CLOSE",P1273=0),-G1273*(M1273-R1272)*IF(E1273="FUTURE",VLOOKUP(MID(I1273,2,2),[1]Futures!$A$2:$B$12,2),1),"")</f>
        <v/>
      </c>
    </row>
    <row r="1274" spans="1:19" x14ac:dyDescent="0.2">
      <c r="A1274">
        <f t="shared" si="59"/>
        <v>392</v>
      </c>
      <c r="B1274" s="3">
        <v>43979</v>
      </c>
      <c r="C1274" s="3" t="str">
        <f t="shared" si="58"/>
        <v>Thursday</v>
      </c>
      <c r="D1274" s="2">
        <v>0.48628472222222219</v>
      </c>
      <c r="E1274" t="s">
        <v>22</v>
      </c>
      <c r="F1274" t="s">
        <v>19</v>
      </c>
      <c r="G1274">
        <v>100</v>
      </c>
      <c r="H1274" t="s">
        <v>20</v>
      </c>
      <c r="I1274" t="s">
        <v>23</v>
      </c>
      <c r="L1274" t="s">
        <v>22</v>
      </c>
      <c r="M1274">
        <v>33.92</v>
      </c>
      <c r="N1274">
        <v>33.92</v>
      </c>
      <c r="O1274" t="s">
        <v>18</v>
      </c>
      <c r="P1274">
        <f t="shared" si="60"/>
        <v>400</v>
      </c>
      <c r="Q1274" s="11">
        <f>IF(P1274=0,0,IFERROR(Q1273+G1274*M1274*IF(E1274="FUTURE",VLOOKUP(MID(I1274,2,2),[1]Futures!$A$2:$B$12,2),1),G1274*M1274*IF(E1274="FUTURE",VLOOKUP(MID(I1274,2,2),[1]Futures!$A$2:$B$12,2),1)))</f>
        <v>13521.98</v>
      </c>
      <c r="R1274" s="12">
        <f>IFERROR(Q1274/P1274/IF(E1274="FUTURE",VLOOKUP(MID(I1274,2,2),[1]Futures!$A$2:$B$12,2),1),"")</f>
        <v>33.804949999999998</v>
      </c>
      <c r="S1274" s="13" t="str">
        <f>IF(AND(H1274="TO CLOSE",P1274=0),-G1274*(M1274-R1273)*IF(E1274="FUTURE",VLOOKUP(MID(I1274,2,2),[1]Futures!$A$2:$B$12,2),1),"")</f>
        <v/>
      </c>
    </row>
    <row r="1275" spans="1:19" x14ac:dyDescent="0.2">
      <c r="A1275">
        <f t="shared" si="59"/>
        <v>392</v>
      </c>
      <c r="B1275" s="3">
        <v>43979</v>
      </c>
      <c r="C1275" s="3" t="str">
        <f t="shared" si="58"/>
        <v>Thursday</v>
      </c>
      <c r="D1275" s="2">
        <v>0.49662037037037038</v>
      </c>
      <c r="E1275" t="s">
        <v>22</v>
      </c>
      <c r="F1275" t="s">
        <v>15</v>
      </c>
      <c r="G1275">
        <v>-400</v>
      </c>
      <c r="H1275" t="s">
        <v>16</v>
      </c>
      <c r="I1275" t="s">
        <v>23</v>
      </c>
      <c r="L1275" t="s">
        <v>22</v>
      </c>
      <c r="M1275">
        <v>33.564999999999998</v>
      </c>
      <c r="N1275">
        <v>33.564999999999998</v>
      </c>
      <c r="O1275" t="s">
        <v>24</v>
      </c>
      <c r="P1275">
        <f t="shared" si="60"/>
        <v>0</v>
      </c>
      <c r="Q1275" s="11">
        <f>IF(P1275=0,0,IFERROR(Q1274+G1275*M1275*IF(E1275="FUTURE",VLOOKUP(MID(I1275,2,2),[1]Futures!$A$2:$B$12,2),1),G1275*M1275*IF(E1275="FUTURE",VLOOKUP(MID(I1275,2,2),[1]Futures!$A$2:$B$12,2),1)))</f>
        <v>0</v>
      </c>
      <c r="R1275" s="12" t="str">
        <f>IFERROR(Q1275/P1275/IF(E1275="FUTURE",VLOOKUP(MID(I1275,2,2),[1]Futures!$A$2:$B$12,2),1),"")</f>
        <v/>
      </c>
      <c r="S1275" s="13">
        <f>IF(AND(H1275="TO CLOSE",P1275=0),-G1275*(M1275-R1274)*IF(E1275="FUTURE",VLOOKUP(MID(I1275,2,2),[1]Futures!$A$2:$B$12,2),1),"")</f>
        <v>-95.980000000000132</v>
      </c>
    </row>
    <row r="1276" spans="1:19" x14ac:dyDescent="0.2">
      <c r="A1276">
        <f t="shared" si="59"/>
        <v>393</v>
      </c>
      <c r="B1276" s="3">
        <v>43979</v>
      </c>
      <c r="C1276" s="3" t="str">
        <f t="shared" si="58"/>
        <v>Thursday</v>
      </c>
      <c r="D1276" s="2">
        <v>0.5119907407407408</v>
      </c>
      <c r="E1276" t="s">
        <v>22</v>
      </c>
      <c r="F1276" t="s">
        <v>19</v>
      </c>
      <c r="G1276">
        <v>400</v>
      </c>
      <c r="H1276" t="s">
        <v>20</v>
      </c>
      <c r="I1276" t="s">
        <v>23</v>
      </c>
      <c r="L1276" t="s">
        <v>22</v>
      </c>
      <c r="M1276">
        <v>33.549999999999997</v>
      </c>
      <c r="N1276">
        <v>33.549999999999997</v>
      </c>
      <c r="O1276" t="s">
        <v>21</v>
      </c>
      <c r="P1276">
        <f t="shared" si="60"/>
        <v>400</v>
      </c>
      <c r="Q1276" s="11">
        <f>IF(P1276=0,0,IFERROR(Q1275+G1276*M1276*IF(E1276="FUTURE",VLOOKUP(MID(I1276,2,2),[1]Futures!$A$2:$B$12,2),1),G1276*M1276*IF(E1276="FUTURE",VLOOKUP(MID(I1276,2,2),[1]Futures!$A$2:$B$12,2),1)))</f>
        <v>13419.999999999998</v>
      </c>
      <c r="R1276" s="12">
        <f>IFERROR(Q1276/P1276/IF(E1276="FUTURE",VLOOKUP(MID(I1276,2,2),[1]Futures!$A$2:$B$12,2),1),"")</f>
        <v>33.549999999999997</v>
      </c>
      <c r="S1276" s="13" t="str">
        <f>IF(AND(H1276="TO CLOSE",P1276=0),-G1276*(M1276-R1275)*IF(E1276="FUTURE",VLOOKUP(MID(I1276,2,2),[1]Futures!$A$2:$B$12,2),1),"")</f>
        <v/>
      </c>
    </row>
    <row r="1277" spans="1:19" x14ac:dyDescent="0.2">
      <c r="A1277">
        <f t="shared" si="59"/>
        <v>393</v>
      </c>
      <c r="B1277" s="3">
        <v>43979</v>
      </c>
      <c r="C1277" s="3" t="str">
        <f t="shared" si="58"/>
        <v>Thursday</v>
      </c>
      <c r="D1277" s="2">
        <v>0.5230555555555555</v>
      </c>
      <c r="E1277" t="s">
        <v>22</v>
      </c>
      <c r="F1277" t="s">
        <v>15</v>
      </c>
      <c r="G1277">
        <v>-400</v>
      </c>
      <c r="H1277" t="s">
        <v>16</v>
      </c>
      <c r="I1277" t="s">
        <v>23</v>
      </c>
      <c r="L1277" t="s">
        <v>22</v>
      </c>
      <c r="M1277">
        <v>33.57</v>
      </c>
      <c r="N1277">
        <v>33.57</v>
      </c>
      <c r="O1277" t="s">
        <v>21</v>
      </c>
      <c r="P1277">
        <f t="shared" si="60"/>
        <v>0</v>
      </c>
      <c r="Q1277" s="11">
        <f>IF(P1277=0,0,IFERROR(Q1276+G1277*M1277*IF(E1277="FUTURE",VLOOKUP(MID(I1277,2,2),[1]Futures!$A$2:$B$12,2),1),G1277*M1277*IF(E1277="FUTURE",VLOOKUP(MID(I1277,2,2),[1]Futures!$A$2:$B$12,2),1)))</f>
        <v>0</v>
      </c>
      <c r="R1277" s="12" t="str">
        <f>IFERROR(Q1277/P1277/IF(E1277="FUTURE",VLOOKUP(MID(I1277,2,2),[1]Futures!$A$2:$B$12,2),1),"")</f>
        <v/>
      </c>
      <c r="S1277" s="13">
        <f>IF(AND(H1277="TO CLOSE",P1277=0),-G1277*(M1277-R1276)*IF(E1277="FUTURE",VLOOKUP(MID(I1277,2,2),[1]Futures!$A$2:$B$12,2),1),"")</f>
        <v>8.0000000000012506</v>
      </c>
    </row>
    <row r="1278" spans="1:19" x14ac:dyDescent="0.2">
      <c r="A1278">
        <f t="shared" si="59"/>
        <v>394</v>
      </c>
      <c r="B1278" s="3">
        <v>43980</v>
      </c>
      <c r="C1278" s="3" t="str">
        <f t="shared" ref="C1278:C1341" si="61">IF(WEEKDAY(B1278,2)=1,"Monday",IF(WEEKDAY(B1278,2)=2,"Tuesday",IF(WEEKDAY(B1278,2)=3,"Wednesday",IF(WEEKDAY(B1278,2)=4,"Thursday",IF(WEEKDAY(B1278,2)=5,"Friday","Sunday")))))</f>
        <v>Friday</v>
      </c>
      <c r="D1278" s="2">
        <v>0.4079861111111111</v>
      </c>
      <c r="E1278" t="s">
        <v>14</v>
      </c>
      <c r="F1278" t="s">
        <v>19</v>
      </c>
      <c r="G1278">
        <v>1</v>
      </c>
      <c r="H1278" t="s">
        <v>20</v>
      </c>
      <c r="I1278" t="s">
        <v>77</v>
      </c>
      <c r="J1278" s="1">
        <v>44063</v>
      </c>
      <c r="L1278" t="s">
        <v>14</v>
      </c>
      <c r="M1278">
        <v>33.57</v>
      </c>
      <c r="N1278">
        <v>33.57</v>
      </c>
      <c r="O1278" t="s">
        <v>24</v>
      </c>
      <c r="P1278">
        <f t="shared" si="60"/>
        <v>1</v>
      </c>
      <c r="Q1278" s="11">
        <f>IF(P1278=0,0,IFERROR(Q1277+G1278*M1278*IF(E1278="FUTURE",VLOOKUP(MID(I1278,2,2),[1]Futures!$A$2:$B$12,2),1),G1278*M1278*IF(E1278="FUTURE",VLOOKUP(MID(I1278,2,2),[1]Futures!$A$2:$B$12,2),1)))</f>
        <v>33570</v>
      </c>
      <c r="R1278" s="12">
        <f>IFERROR(Q1278/P1278/IF(E1278="FUTURE",VLOOKUP(MID(I1278,2,2),[1]Futures!$A$2:$B$12,2),1),"")</f>
        <v>33.57</v>
      </c>
      <c r="S1278" s="13" t="str">
        <f>IF(AND(H1278="TO CLOSE",P1278=0),-G1278*(M1278-R1277)*IF(E1278="FUTURE",VLOOKUP(MID(I1278,2,2),[1]Futures!$A$2:$B$12,2),1),"")</f>
        <v/>
      </c>
    </row>
    <row r="1279" spans="1:19" x14ac:dyDescent="0.2">
      <c r="A1279">
        <f t="shared" si="59"/>
        <v>394</v>
      </c>
      <c r="B1279" s="3">
        <v>43980</v>
      </c>
      <c r="C1279" s="3" t="str">
        <f t="shared" si="61"/>
        <v>Friday</v>
      </c>
      <c r="D1279" s="2">
        <v>0.44547453703703704</v>
      </c>
      <c r="E1279" t="s">
        <v>14</v>
      </c>
      <c r="F1279" t="s">
        <v>15</v>
      </c>
      <c r="G1279">
        <v>-1</v>
      </c>
      <c r="H1279" t="s">
        <v>16</v>
      </c>
      <c r="I1279" t="s">
        <v>77</v>
      </c>
      <c r="J1279" s="1">
        <v>44063</v>
      </c>
      <c r="L1279" t="s">
        <v>14</v>
      </c>
      <c r="M1279">
        <v>33.82</v>
      </c>
      <c r="N1279">
        <v>33.82</v>
      </c>
      <c r="O1279" t="s">
        <v>21</v>
      </c>
      <c r="P1279">
        <f t="shared" si="60"/>
        <v>0</v>
      </c>
      <c r="Q1279" s="11">
        <f>IF(P1279=0,0,IFERROR(Q1278+G1279*M1279*IF(E1279="FUTURE",VLOOKUP(MID(I1279,2,2),[1]Futures!$A$2:$B$12,2),1),G1279*M1279*IF(E1279="FUTURE",VLOOKUP(MID(I1279,2,2),[1]Futures!$A$2:$B$12,2),1)))</f>
        <v>0</v>
      </c>
      <c r="R1279" s="12" t="str">
        <f>IFERROR(Q1279/P1279/IF(E1279="FUTURE",VLOOKUP(MID(I1279,2,2),[1]Futures!$A$2:$B$12,2),1),"")</f>
        <v/>
      </c>
      <c r="S1279" s="13">
        <f>IF(AND(H1279="TO CLOSE",P1279=0),-G1279*(M1279-R1278)*IF(E1279="FUTURE",VLOOKUP(MID(I1279,2,2),[1]Futures!$A$2:$B$12,2),1),"")</f>
        <v>250</v>
      </c>
    </row>
    <row r="1280" spans="1:19" x14ac:dyDescent="0.2">
      <c r="A1280">
        <f t="shared" si="59"/>
        <v>395</v>
      </c>
      <c r="B1280" s="3">
        <v>43980</v>
      </c>
      <c r="C1280" s="3" t="str">
        <f t="shared" si="61"/>
        <v>Friday</v>
      </c>
      <c r="D1280" s="2">
        <v>0.45079861111111108</v>
      </c>
      <c r="E1280" t="s">
        <v>14</v>
      </c>
      <c r="F1280" t="s">
        <v>15</v>
      </c>
      <c r="G1280">
        <v>-1</v>
      </c>
      <c r="H1280" t="s">
        <v>20</v>
      </c>
      <c r="I1280" t="s">
        <v>77</v>
      </c>
      <c r="J1280" s="1">
        <v>44063</v>
      </c>
      <c r="L1280" t="s">
        <v>14</v>
      </c>
      <c r="M1280">
        <v>33.69</v>
      </c>
      <c r="N1280">
        <v>33.69</v>
      </c>
      <c r="O1280" t="s">
        <v>24</v>
      </c>
      <c r="P1280">
        <f t="shared" si="60"/>
        <v>-1</v>
      </c>
      <c r="Q1280" s="11">
        <f>IF(P1280=0,0,IFERROR(Q1279+G1280*M1280*IF(E1280="FUTURE",VLOOKUP(MID(I1280,2,2),[1]Futures!$A$2:$B$12,2),1),G1280*M1280*IF(E1280="FUTURE",VLOOKUP(MID(I1280,2,2),[1]Futures!$A$2:$B$12,2),1)))</f>
        <v>-33690</v>
      </c>
      <c r="R1280" s="12">
        <f>IFERROR(Q1280/P1280/IF(E1280="FUTURE",VLOOKUP(MID(I1280,2,2),[1]Futures!$A$2:$B$12,2),1),"")</f>
        <v>33.69</v>
      </c>
      <c r="S1280" s="13" t="str">
        <f>IF(AND(H1280="TO CLOSE",P1280=0),-G1280*(M1280-R1279)*IF(E1280="FUTURE",VLOOKUP(MID(I1280,2,2),[1]Futures!$A$2:$B$12,2),1),"")</f>
        <v/>
      </c>
    </row>
    <row r="1281" spans="1:19" x14ac:dyDescent="0.2">
      <c r="A1281">
        <f t="shared" si="59"/>
        <v>395</v>
      </c>
      <c r="B1281" s="3">
        <v>43980</v>
      </c>
      <c r="C1281" s="3" t="str">
        <f t="shared" si="61"/>
        <v>Friday</v>
      </c>
      <c r="D1281" s="2">
        <v>0.45863425925925921</v>
      </c>
      <c r="E1281" t="s">
        <v>14</v>
      </c>
      <c r="F1281" t="s">
        <v>19</v>
      </c>
      <c r="G1281">
        <v>2</v>
      </c>
      <c r="H1281" t="s">
        <v>16</v>
      </c>
      <c r="I1281" t="s">
        <v>77</v>
      </c>
      <c r="J1281" s="1">
        <v>44063</v>
      </c>
      <c r="L1281" t="s">
        <v>14</v>
      </c>
      <c r="M1281">
        <v>33.880000000000003</v>
      </c>
      <c r="N1281">
        <v>33.880000000000003</v>
      </c>
      <c r="O1281" t="s">
        <v>24</v>
      </c>
      <c r="P1281">
        <f t="shared" si="60"/>
        <v>1</v>
      </c>
      <c r="Q1281" s="11">
        <f>IF(P1281=0,0,IFERROR(Q1280+G1281*M1281*IF(E1281="FUTURE",VLOOKUP(MID(I1281,2,2),[1]Futures!$A$2:$B$12,2),1),G1281*M1281*IF(E1281="FUTURE",VLOOKUP(MID(I1281,2,2),[1]Futures!$A$2:$B$12,2),1)))</f>
        <v>34070</v>
      </c>
      <c r="R1281" s="12">
        <f>IFERROR(Q1281/P1281/IF(E1281="FUTURE",VLOOKUP(MID(I1281,2,2),[1]Futures!$A$2:$B$12,2),1),"")</f>
        <v>34.07</v>
      </c>
      <c r="S1281" s="13" t="str">
        <f>IF(AND(H1281="TO CLOSE",P1281=0),-G1281*(M1281-R1280)*IF(E1281="FUTURE",VLOOKUP(MID(I1281,2,2),[1]Futures!$A$2:$B$12,2),1),"")</f>
        <v/>
      </c>
    </row>
    <row r="1282" spans="1:19" x14ac:dyDescent="0.2">
      <c r="A1282">
        <f t="shared" ref="A1282:A1345" si="62">IF(AND(P1281=0,H1281="TO CLOSE"),IFERROR(A1281+1,1),IFERROR(A1281/1,1))</f>
        <v>395</v>
      </c>
      <c r="B1282" s="3">
        <v>43980</v>
      </c>
      <c r="C1282" s="3" t="str">
        <f t="shared" si="61"/>
        <v>Friday</v>
      </c>
      <c r="D1282" s="2">
        <v>0.52127314814814818</v>
      </c>
      <c r="E1282" t="s">
        <v>14</v>
      </c>
      <c r="F1282" t="s">
        <v>19</v>
      </c>
      <c r="G1282">
        <v>1</v>
      </c>
      <c r="H1282" t="s">
        <v>20</v>
      </c>
      <c r="I1282" t="s">
        <v>77</v>
      </c>
      <c r="J1282" s="1">
        <v>44063</v>
      </c>
      <c r="L1282" t="s">
        <v>14</v>
      </c>
      <c r="M1282">
        <v>33.61</v>
      </c>
      <c r="N1282">
        <v>33.61</v>
      </c>
      <c r="O1282" t="s">
        <v>21</v>
      </c>
      <c r="P1282">
        <f t="shared" si="60"/>
        <v>2</v>
      </c>
      <c r="Q1282" s="11">
        <f>IF(P1282=0,0,IFERROR(Q1281+G1282*M1282*IF(E1282="FUTURE",VLOOKUP(MID(I1282,2,2),[1]Futures!$A$2:$B$12,2),1),G1282*M1282*IF(E1282="FUTURE",VLOOKUP(MID(I1282,2,2),[1]Futures!$A$2:$B$12,2),1)))</f>
        <v>67680</v>
      </c>
      <c r="R1282" s="12">
        <f>IFERROR(Q1282/P1282/IF(E1282="FUTURE",VLOOKUP(MID(I1282,2,2),[1]Futures!$A$2:$B$12,2),1),"")</f>
        <v>33.840000000000003</v>
      </c>
      <c r="S1282" s="13" t="str">
        <f>IF(AND(H1282="TO CLOSE",P1282=0),-G1282*(M1282-R1281)*IF(E1282="FUTURE",VLOOKUP(MID(I1282,2,2),[1]Futures!$A$2:$B$12,2),1),"")</f>
        <v/>
      </c>
    </row>
    <row r="1283" spans="1:19" x14ac:dyDescent="0.2">
      <c r="A1283">
        <f t="shared" si="62"/>
        <v>395</v>
      </c>
      <c r="B1283" s="3">
        <v>43980</v>
      </c>
      <c r="C1283" s="3" t="str">
        <f t="shared" si="61"/>
        <v>Friday</v>
      </c>
      <c r="D1283" s="2">
        <v>0.54508101851851853</v>
      </c>
      <c r="E1283" t="s">
        <v>14</v>
      </c>
      <c r="F1283" t="s">
        <v>15</v>
      </c>
      <c r="G1283">
        <v>-1</v>
      </c>
      <c r="H1283" t="s">
        <v>16</v>
      </c>
      <c r="I1283" t="s">
        <v>77</v>
      </c>
      <c r="J1283" s="1">
        <v>44063</v>
      </c>
      <c r="L1283" t="s">
        <v>14</v>
      </c>
      <c r="M1283">
        <v>33.770000000000003</v>
      </c>
      <c r="N1283">
        <v>33.770000000000003</v>
      </c>
      <c r="O1283" t="s">
        <v>21</v>
      </c>
      <c r="P1283">
        <f t="shared" ref="P1283:P1346" si="63">IF(H1283="TO OPEN",IFERROR(P1282+G1283,0+G1283),IFERROR(P1282+G1283,0+G1283))</f>
        <v>1</v>
      </c>
      <c r="Q1283" s="11">
        <f>IF(P1283=0,0,IFERROR(Q1282+G1283*M1283*IF(E1283="FUTURE",VLOOKUP(MID(I1283,2,2),[1]Futures!$A$2:$B$12,2),1),G1283*M1283*IF(E1283="FUTURE",VLOOKUP(MID(I1283,2,2),[1]Futures!$A$2:$B$12,2),1)))</f>
        <v>33910</v>
      </c>
      <c r="R1283" s="12">
        <f>IFERROR(Q1283/P1283/IF(E1283="FUTURE",VLOOKUP(MID(I1283,2,2),[1]Futures!$A$2:$B$12,2),1),"")</f>
        <v>33.909999999999997</v>
      </c>
      <c r="S1283" s="13" t="str">
        <f>IF(AND(H1283="TO CLOSE",P1283=0),-G1283*(M1283-R1282)*IF(E1283="FUTURE",VLOOKUP(MID(I1283,2,2),[1]Futures!$A$2:$B$12,2),1),"")</f>
        <v/>
      </c>
    </row>
    <row r="1284" spans="1:19" x14ac:dyDescent="0.2">
      <c r="A1284">
        <f t="shared" si="62"/>
        <v>395</v>
      </c>
      <c r="B1284" s="3">
        <v>43980</v>
      </c>
      <c r="C1284" s="3" t="str">
        <f t="shared" si="61"/>
        <v>Friday</v>
      </c>
      <c r="D1284" s="2">
        <v>0.55694444444444446</v>
      </c>
      <c r="E1284" t="s">
        <v>14</v>
      </c>
      <c r="F1284" t="s">
        <v>15</v>
      </c>
      <c r="G1284">
        <v>-1</v>
      </c>
      <c r="H1284" t="s">
        <v>16</v>
      </c>
      <c r="I1284" t="s">
        <v>77</v>
      </c>
      <c r="J1284" s="1">
        <v>44063</v>
      </c>
      <c r="L1284" t="s">
        <v>14</v>
      </c>
      <c r="M1284">
        <v>34.049999999999997</v>
      </c>
      <c r="N1284">
        <v>34.049999999999997</v>
      </c>
      <c r="O1284" t="s">
        <v>21</v>
      </c>
      <c r="P1284">
        <f t="shared" si="63"/>
        <v>0</v>
      </c>
      <c r="Q1284" s="11">
        <f>IF(P1284=0,0,IFERROR(Q1283+G1284*M1284*IF(E1284="FUTURE",VLOOKUP(MID(I1284,2,2),[1]Futures!$A$2:$B$12,2),1),G1284*M1284*IF(E1284="FUTURE",VLOOKUP(MID(I1284,2,2),[1]Futures!$A$2:$B$12,2),1)))</f>
        <v>0</v>
      </c>
      <c r="R1284" s="12" t="str">
        <f>IFERROR(Q1284/P1284/IF(E1284="FUTURE",VLOOKUP(MID(I1284,2,2),[1]Futures!$A$2:$B$12,2),1),"")</f>
        <v/>
      </c>
      <c r="S1284" s="13">
        <f>IF(AND(H1284="TO CLOSE",P1284=0),-G1284*(M1284-R1283)*IF(E1284="FUTURE",VLOOKUP(MID(I1284,2,2),[1]Futures!$A$2:$B$12,2),1),"")</f>
        <v>140.00000000000057</v>
      </c>
    </row>
    <row r="1285" spans="1:19" x14ac:dyDescent="0.2">
      <c r="A1285">
        <f t="shared" si="62"/>
        <v>396</v>
      </c>
      <c r="B1285" s="3">
        <v>43980</v>
      </c>
      <c r="C1285" s="3" t="str">
        <f t="shared" si="61"/>
        <v>Friday</v>
      </c>
      <c r="D1285" s="2">
        <v>0.57019675925925928</v>
      </c>
      <c r="E1285" t="s">
        <v>14</v>
      </c>
      <c r="F1285" t="s">
        <v>15</v>
      </c>
      <c r="G1285">
        <v>-1</v>
      </c>
      <c r="H1285" t="s">
        <v>20</v>
      </c>
      <c r="I1285" t="s">
        <v>77</v>
      </c>
      <c r="J1285" s="1">
        <v>44063</v>
      </c>
      <c r="L1285" t="s">
        <v>14</v>
      </c>
      <c r="M1285">
        <v>34.07</v>
      </c>
      <c r="N1285">
        <v>34.07</v>
      </c>
      <c r="O1285" t="s">
        <v>24</v>
      </c>
      <c r="P1285">
        <f t="shared" si="63"/>
        <v>-1</v>
      </c>
      <c r="Q1285" s="11">
        <f>IF(P1285=0,0,IFERROR(Q1284+G1285*M1285*IF(E1285="FUTURE",VLOOKUP(MID(I1285,2,2),[1]Futures!$A$2:$B$12,2),1),G1285*M1285*IF(E1285="FUTURE",VLOOKUP(MID(I1285,2,2),[1]Futures!$A$2:$B$12,2),1)))</f>
        <v>-34070</v>
      </c>
      <c r="R1285" s="12">
        <f>IFERROR(Q1285/P1285/IF(E1285="FUTURE",VLOOKUP(MID(I1285,2,2),[1]Futures!$A$2:$B$12,2),1),"")</f>
        <v>34.07</v>
      </c>
      <c r="S1285" s="13" t="str">
        <f>IF(AND(H1285="TO CLOSE",P1285=0),-G1285*(M1285-R1284)*IF(E1285="FUTURE",VLOOKUP(MID(I1285,2,2),[1]Futures!$A$2:$B$12,2),1),"")</f>
        <v/>
      </c>
    </row>
    <row r="1286" spans="1:19" x14ac:dyDescent="0.2">
      <c r="A1286">
        <f t="shared" si="62"/>
        <v>396</v>
      </c>
      <c r="B1286" s="3">
        <v>43980</v>
      </c>
      <c r="C1286" s="3" t="str">
        <f t="shared" si="61"/>
        <v>Friday</v>
      </c>
      <c r="D1286" s="2">
        <v>0.57646990740740744</v>
      </c>
      <c r="E1286" t="s">
        <v>14</v>
      </c>
      <c r="F1286" t="s">
        <v>19</v>
      </c>
      <c r="G1286">
        <v>1</v>
      </c>
      <c r="H1286" t="s">
        <v>16</v>
      </c>
      <c r="I1286" t="s">
        <v>77</v>
      </c>
      <c r="J1286" s="1">
        <v>44063</v>
      </c>
      <c r="L1286" t="s">
        <v>14</v>
      </c>
      <c r="M1286">
        <v>34.22</v>
      </c>
      <c r="N1286">
        <v>34.22</v>
      </c>
      <c r="O1286" t="s">
        <v>18</v>
      </c>
      <c r="P1286">
        <f t="shared" si="63"/>
        <v>0</v>
      </c>
      <c r="Q1286" s="11">
        <f>IF(P1286=0,0,IFERROR(Q1285+G1286*M1286*IF(E1286="FUTURE",VLOOKUP(MID(I1286,2,2),[1]Futures!$A$2:$B$12,2),1),G1286*M1286*IF(E1286="FUTURE",VLOOKUP(MID(I1286,2,2),[1]Futures!$A$2:$B$12,2),1)))</f>
        <v>0</v>
      </c>
      <c r="R1286" s="12" t="str">
        <f>IFERROR(Q1286/P1286/IF(E1286="FUTURE",VLOOKUP(MID(I1286,2,2),[1]Futures!$A$2:$B$12,2),1),"")</f>
        <v/>
      </c>
      <c r="S1286" s="13">
        <f>IF(AND(H1286="TO CLOSE",P1286=0),-G1286*(M1286-R1285)*IF(E1286="FUTURE",VLOOKUP(MID(I1286,2,2),[1]Futures!$A$2:$B$12,2),1),"")</f>
        <v>-149.99999999999858</v>
      </c>
    </row>
    <row r="1287" spans="1:19" x14ac:dyDescent="0.2">
      <c r="A1287">
        <f t="shared" si="62"/>
        <v>397</v>
      </c>
      <c r="B1287" s="3">
        <v>43980</v>
      </c>
      <c r="C1287" s="3" t="str">
        <f t="shared" si="61"/>
        <v>Friday</v>
      </c>
      <c r="D1287" s="2">
        <v>0.60288194444444443</v>
      </c>
      <c r="E1287" t="s">
        <v>14</v>
      </c>
      <c r="F1287" t="s">
        <v>15</v>
      </c>
      <c r="G1287">
        <v>-1</v>
      </c>
      <c r="H1287" t="s">
        <v>20</v>
      </c>
      <c r="I1287" t="s">
        <v>77</v>
      </c>
      <c r="J1287" s="1">
        <v>44063</v>
      </c>
      <c r="L1287" t="s">
        <v>14</v>
      </c>
      <c r="M1287">
        <v>35.729999999999997</v>
      </c>
      <c r="N1287">
        <v>35.729999999999997</v>
      </c>
      <c r="O1287" t="s">
        <v>21</v>
      </c>
      <c r="P1287">
        <f t="shared" si="63"/>
        <v>-1</v>
      </c>
      <c r="Q1287" s="11">
        <f>IF(P1287=0,0,IFERROR(Q1286+G1287*M1287*IF(E1287="FUTURE",VLOOKUP(MID(I1287,2,2),[1]Futures!$A$2:$B$12,2),1),G1287*M1287*IF(E1287="FUTURE",VLOOKUP(MID(I1287,2,2),[1]Futures!$A$2:$B$12,2),1)))</f>
        <v>-35730</v>
      </c>
      <c r="R1287" s="12">
        <f>IFERROR(Q1287/P1287/IF(E1287="FUTURE",VLOOKUP(MID(I1287,2,2),[1]Futures!$A$2:$B$12,2),1),"")</f>
        <v>35.729999999999997</v>
      </c>
      <c r="S1287" s="13" t="str">
        <f>IF(AND(H1287="TO CLOSE",P1287=0),-G1287*(M1287-R1286)*IF(E1287="FUTURE",VLOOKUP(MID(I1287,2,2),[1]Futures!$A$2:$B$12,2),1),"")</f>
        <v/>
      </c>
    </row>
    <row r="1288" spans="1:19" x14ac:dyDescent="0.2">
      <c r="A1288">
        <f t="shared" si="62"/>
        <v>397</v>
      </c>
      <c r="B1288" s="3">
        <v>43980</v>
      </c>
      <c r="C1288" s="3" t="str">
        <f t="shared" si="61"/>
        <v>Friday</v>
      </c>
      <c r="D1288" s="2">
        <v>0.60348379629629634</v>
      </c>
      <c r="E1288" t="s">
        <v>14</v>
      </c>
      <c r="F1288" t="s">
        <v>15</v>
      </c>
      <c r="G1288">
        <v>-1</v>
      </c>
      <c r="H1288" t="s">
        <v>20</v>
      </c>
      <c r="I1288" t="s">
        <v>77</v>
      </c>
      <c r="J1288" s="1">
        <v>44063</v>
      </c>
      <c r="L1288" t="s">
        <v>14</v>
      </c>
      <c r="M1288">
        <v>35.89</v>
      </c>
      <c r="N1288">
        <v>35.89</v>
      </c>
      <c r="O1288" t="s">
        <v>18</v>
      </c>
      <c r="P1288">
        <f t="shared" si="63"/>
        <v>-2</v>
      </c>
      <c r="Q1288" s="11">
        <f>IF(P1288=0,0,IFERROR(Q1287+G1288*M1288*IF(E1288="FUTURE",VLOOKUP(MID(I1288,2,2),[1]Futures!$A$2:$B$12,2),1),G1288*M1288*IF(E1288="FUTURE",VLOOKUP(MID(I1288,2,2),[1]Futures!$A$2:$B$12,2),1)))</f>
        <v>-71620</v>
      </c>
      <c r="R1288" s="12">
        <f>IFERROR(Q1288/P1288/IF(E1288="FUTURE",VLOOKUP(MID(I1288,2,2),[1]Futures!$A$2:$B$12,2),1),"")</f>
        <v>35.81</v>
      </c>
      <c r="S1288" s="13" t="str">
        <f>IF(AND(H1288="TO CLOSE",P1288=0),-G1288*(M1288-R1287)*IF(E1288="FUTURE",VLOOKUP(MID(I1288,2,2),[1]Futures!$A$2:$B$12,2),1),"")</f>
        <v/>
      </c>
    </row>
    <row r="1289" spans="1:19" x14ac:dyDescent="0.2">
      <c r="A1289">
        <f t="shared" si="62"/>
        <v>397</v>
      </c>
      <c r="B1289" s="3">
        <v>43980</v>
      </c>
      <c r="C1289" s="3" t="str">
        <f t="shared" si="61"/>
        <v>Friday</v>
      </c>
      <c r="D1289" s="2">
        <v>0.60358796296296291</v>
      </c>
      <c r="E1289" t="s">
        <v>14</v>
      </c>
      <c r="F1289" t="s">
        <v>19</v>
      </c>
      <c r="G1289">
        <v>1</v>
      </c>
      <c r="H1289" t="s">
        <v>16</v>
      </c>
      <c r="I1289" t="s">
        <v>77</v>
      </c>
      <c r="J1289" s="1">
        <v>44063</v>
      </c>
      <c r="L1289" t="s">
        <v>14</v>
      </c>
      <c r="M1289">
        <v>35.81</v>
      </c>
      <c r="N1289">
        <v>35.81</v>
      </c>
      <c r="O1289" t="s">
        <v>21</v>
      </c>
      <c r="P1289">
        <f t="shared" si="63"/>
        <v>-1</v>
      </c>
      <c r="Q1289" s="11">
        <f>IF(P1289=0,0,IFERROR(Q1288+G1289*M1289*IF(E1289="FUTURE",VLOOKUP(MID(I1289,2,2),[1]Futures!$A$2:$B$12,2),1),G1289*M1289*IF(E1289="FUTURE",VLOOKUP(MID(I1289,2,2),[1]Futures!$A$2:$B$12,2),1)))</f>
        <v>-35810</v>
      </c>
      <c r="R1289" s="12">
        <f>IFERROR(Q1289/P1289/IF(E1289="FUTURE",VLOOKUP(MID(I1289,2,2),[1]Futures!$A$2:$B$12,2),1),"")</f>
        <v>35.81</v>
      </c>
      <c r="S1289" s="13" t="str">
        <f>IF(AND(H1289="TO CLOSE",P1289=0),-G1289*(M1289-R1288)*IF(E1289="FUTURE",VLOOKUP(MID(I1289,2,2),[1]Futures!$A$2:$B$12,2),1),"")</f>
        <v/>
      </c>
    </row>
    <row r="1290" spans="1:19" x14ac:dyDescent="0.2">
      <c r="A1290">
        <f t="shared" si="62"/>
        <v>397</v>
      </c>
      <c r="B1290" s="3">
        <v>43980</v>
      </c>
      <c r="C1290" s="3" t="str">
        <f t="shared" si="61"/>
        <v>Friday</v>
      </c>
      <c r="D1290" s="2">
        <v>0.60387731481481477</v>
      </c>
      <c r="E1290" t="s">
        <v>14</v>
      </c>
      <c r="F1290" t="s">
        <v>19</v>
      </c>
      <c r="G1290">
        <v>1</v>
      </c>
      <c r="H1290" t="s">
        <v>16</v>
      </c>
      <c r="I1290" t="s">
        <v>77</v>
      </c>
      <c r="J1290" s="1">
        <v>44063</v>
      </c>
      <c r="L1290" t="s">
        <v>14</v>
      </c>
      <c r="M1290">
        <v>35.72</v>
      </c>
      <c r="N1290">
        <v>35.72</v>
      </c>
      <c r="O1290" t="s">
        <v>21</v>
      </c>
      <c r="P1290">
        <f t="shared" si="63"/>
        <v>0</v>
      </c>
      <c r="Q1290" s="11">
        <f>IF(P1290=0,0,IFERROR(Q1289+G1290*M1290*IF(E1290="FUTURE",VLOOKUP(MID(I1290,2,2),[1]Futures!$A$2:$B$12,2),1),G1290*M1290*IF(E1290="FUTURE",VLOOKUP(MID(I1290,2,2),[1]Futures!$A$2:$B$12,2),1)))</f>
        <v>0</v>
      </c>
      <c r="R1290" s="12" t="str">
        <f>IFERROR(Q1290/P1290/IF(E1290="FUTURE",VLOOKUP(MID(I1290,2,2),[1]Futures!$A$2:$B$12,2),1),"")</f>
        <v/>
      </c>
      <c r="S1290" s="13">
        <f>IF(AND(H1290="TO CLOSE",P1290=0),-G1290*(M1290-R1289)*IF(E1290="FUTURE",VLOOKUP(MID(I1290,2,2),[1]Futures!$A$2:$B$12,2),1),"")</f>
        <v>90.000000000003411</v>
      </c>
    </row>
    <row r="1291" spans="1:19" x14ac:dyDescent="0.2">
      <c r="A1291">
        <f t="shared" si="62"/>
        <v>398</v>
      </c>
      <c r="B1291" s="3">
        <v>43980</v>
      </c>
      <c r="C1291" s="3" t="str">
        <f t="shared" si="61"/>
        <v>Friday</v>
      </c>
      <c r="D1291" s="2">
        <v>0.40861111111111109</v>
      </c>
      <c r="E1291" t="s">
        <v>14</v>
      </c>
      <c r="F1291" t="s">
        <v>19</v>
      </c>
      <c r="G1291">
        <v>1</v>
      </c>
      <c r="H1291" t="s">
        <v>20</v>
      </c>
      <c r="I1291" t="s">
        <v>17</v>
      </c>
      <c r="J1291" s="1">
        <v>44002</v>
      </c>
      <c r="L1291" t="s">
        <v>14</v>
      </c>
      <c r="M1291">
        <v>3027.5</v>
      </c>
      <c r="N1291">
        <v>3027.5</v>
      </c>
      <c r="O1291" t="s">
        <v>24</v>
      </c>
      <c r="P1291">
        <f t="shared" si="63"/>
        <v>1</v>
      </c>
      <c r="Q1291" s="11">
        <f>IF(P1291=0,0,IFERROR(Q1290+G1291*M1291*IF(E1291="FUTURE",VLOOKUP(MID(I1291,2,2),[1]Futures!$A$2:$B$12,2),1),G1291*M1291*IF(E1291="FUTURE",VLOOKUP(MID(I1291,2,2),[1]Futures!$A$2:$B$12,2),1)))</f>
        <v>151375</v>
      </c>
      <c r="R1291" s="12">
        <f>IFERROR(Q1291/P1291/IF(E1291="FUTURE",VLOOKUP(MID(I1291,2,2),[1]Futures!$A$2:$B$12,2),1),"")</f>
        <v>3027.5</v>
      </c>
      <c r="S1291" s="13" t="str">
        <f>IF(AND(H1291="TO CLOSE",P1291=0),-G1291*(M1291-R1290)*IF(E1291="FUTURE",VLOOKUP(MID(I1291,2,2),[1]Futures!$A$2:$B$12,2),1),"")</f>
        <v/>
      </c>
    </row>
    <row r="1292" spans="1:19" x14ac:dyDescent="0.2">
      <c r="A1292">
        <f t="shared" si="62"/>
        <v>398</v>
      </c>
      <c r="B1292" s="3">
        <v>43980</v>
      </c>
      <c r="C1292" s="3" t="str">
        <f t="shared" si="61"/>
        <v>Friday</v>
      </c>
      <c r="D1292" s="2">
        <v>0.41546296296296298</v>
      </c>
      <c r="E1292" t="s">
        <v>14</v>
      </c>
      <c r="F1292" t="s">
        <v>15</v>
      </c>
      <c r="G1292">
        <v>-1</v>
      </c>
      <c r="H1292" t="s">
        <v>16</v>
      </c>
      <c r="I1292" t="s">
        <v>17</v>
      </c>
      <c r="J1292" s="1">
        <v>44002</v>
      </c>
      <c r="L1292" t="s">
        <v>14</v>
      </c>
      <c r="M1292">
        <v>3018</v>
      </c>
      <c r="N1292">
        <v>3018</v>
      </c>
      <c r="O1292" t="s">
        <v>18</v>
      </c>
      <c r="P1292">
        <f t="shared" si="63"/>
        <v>0</v>
      </c>
      <c r="Q1292" s="11">
        <f>IF(P1292=0,0,IFERROR(Q1291+G1292*M1292*IF(E1292="FUTURE",VLOOKUP(MID(I1292,2,2),[1]Futures!$A$2:$B$12,2),1),G1292*M1292*IF(E1292="FUTURE",VLOOKUP(MID(I1292,2,2),[1]Futures!$A$2:$B$12,2),1)))</f>
        <v>0</v>
      </c>
      <c r="R1292" s="12" t="str">
        <f>IFERROR(Q1292/P1292/IF(E1292="FUTURE",VLOOKUP(MID(I1292,2,2),[1]Futures!$A$2:$B$12,2),1),"")</f>
        <v/>
      </c>
      <c r="S1292" s="13">
        <f>IF(AND(H1292="TO CLOSE",P1292=0),-G1292*(M1292-R1291)*IF(E1292="FUTURE",VLOOKUP(MID(I1292,2,2),[1]Futures!$A$2:$B$12,2),1),"")</f>
        <v>-475</v>
      </c>
    </row>
    <row r="1293" spans="1:19" x14ac:dyDescent="0.2">
      <c r="A1293">
        <f t="shared" si="62"/>
        <v>399</v>
      </c>
      <c r="B1293" s="3">
        <v>43980</v>
      </c>
      <c r="C1293" s="3" t="str">
        <f t="shared" si="61"/>
        <v>Friday</v>
      </c>
      <c r="D1293" s="2">
        <v>0.41601851851851851</v>
      </c>
      <c r="E1293" t="s">
        <v>14</v>
      </c>
      <c r="F1293" t="s">
        <v>19</v>
      </c>
      <c r="G1293">
        <v>1</v>
      </c>
      <c r="H1293" t="s">
        <v>20</v>
      </c>
      <c r="I1293" t="s">
        <v>17</v>
      </c>
      <c r="J1293" s="1">
        <v>44002</v>
      </c>
      <c r="L1293" t="s">
        <v>14</v>
      </c>
      <c r="M1293">
        <v>3018.25</v>
      </c>
      <c r="N1293">
        <v>3018.25</v>
      </c>
      <c r="O1293" t="s">
        <v>24</v>
      </c>
      <c r="P1293">
        <f t="shared" si="63"/>
        <v>1</v>
      </c>
      <c r="Q1293" s="11">
        <f>IF(P1293=0,0,IFERROR(Q1292+G1293*M1293*IF(E1293="FUTURE",VLOOKUP(MID(I1293,2,2),[1]Futures!$A$2:$B$12,2),1),G1293*M1293*IF(E1293="FUTURE",VLOOKUP(MID(I1293,2,2),[1]Futures!$A$2:$B$12,2),1)))</f>
        <v>150912.5</v>
      </c>
      <c r="R1293" s="12">
        <f>IFERROR(Q1293/P1293/IF(E1293="FUTURE",VLOOKUP(MID(I1293,2,2),[1]Futures!$A$2:$B$12,2),1),"")</f>
        <v>3018.25</v>
      </c>
      <c r="S1293" s="13" t="str">
        <f>IF(AND(H1293="TO CLOSE",P1293=0),-G1293*(M1293-R1292)*IF(E1293="FUTURE",VLOOKUP(MID(I1293,2,2),[1]Futures!$A$2:$B$12,2),1),"")</f>
        <v/>
      </c>
    </row>
    <row r="1294" spans="1:19" x14ac:dyDescent="0.2">
      <c r="A1294">
        <f t="shared" si="62"/>
        <v>399</v>
      </c>
      <c r="B1294" s="3">
        <v>43980</v>
      </c>
      <c r="C1294" s="3" t="str">
        <f t="shared" si="61"/>
        <v>Friday</v>
      </c>
      <c r="D1294" s="2">
        <v>0.44678240740740738</v>
      </c>
      <c r="E1294" t="s">
        <v>14</v>
      </c>
      <c r="F1294" t="s">
        <v>15</v>
      </c>
      <c r="G1294">
        <v>-1</v>
      </c>
      <c r="H1294" t="s">
        <v>16</v>
      </c>
      <c r="I1294" t="s">
        <v>17</v>
      </c>
      <c r="J1294" s="1">
        <v>44002</v>
      </c>
      <c r="L1294" t="s">
        <v>14</v>
      </c>
      <c r="M1294">
        <v>3008.5</v>
      </c>
      <c r="N1294">
        <v>3008.5</v>
      </c>
      <c r="O1294" t="s">
        <v>18</v>
      </c>
      <c r="P1294">
        <f t="shared" si="63"/>
        <v>0</v>
      </c>
      <c r="Q1294" s="11">
        <f>IF(P1294=0,0,IFERROR(Q1293+G1294*M1294*IF(E1294="FUTURE",VLOOKUP(MID(I1294,2,2),[1]Futures!$A$2:$B$12,2),1),G1294*M1294*IF(E1294="FUTURE",VLOOKUP(MID(I1294,2,2),[1]Futures!$A$2:$B$12,2),1)))</f>
        <v>0</v>
      </c>
      <c r="R1294" s="12" t="str">
        <f>IFERROR(Q1294/P1294/IF(E1294="FUTURE",VLOOKUP(MID(I1294,2,2),[1]Futures!$A$2:$B$12,2),1),"")</f>
        <v/>
      </c>
      <c r="S1294" s="13">
        <f>IF(AND(H1294="TO CLOSE",P1294=0),-G1294*(M1294-R1293)*IF(E1294="FUTURE",VLOOKUP(MID(I1294,2,2),[1]Futures!$A$2:$B$12,2),1),"")</f>
        <v>-487.5</v>
      </c>
    </row>
    <row r="1295" spans="1:19" x14ac:dyDescent="0.2">
      <c r="A1295">
        <f t="shared" si="62"/>
        <v>400</v>
      </c>
      <c r="B1295" s="3">
        <v>43980</v>
      </c>
      <c r="C1295" s="3" t="str">
        <f t="shared" si="61"/>
        <v>Friday</v>
      </c>
      <c r="D1295" s="2">
        <v>0.45780092592592592</v>
      </c>
      <c r="E1295" t="s">
        <v>14</v>
      </c>
      <c r="F1295" t="s">
        <v>19</v>
      </c>
      <c r="G1295">
        <v>1</v>
      </c>
      <c r="H1295" t="s">
        <v>20</v>
      </c>
      <c r="I1295" t="s">
        <v>17</v>
      </c>
      <c r="J1295" s="1">
        <v>44002</v>
      </c>
      <c r="L1295" t="s">
        <v>14</v>
      </c>
      <c r="M1295">
        <v>3007.75</v>
      </c>
      <c r="N1295">
        <v>3007.75</v>
      </c>
      <c r="O1295" t="s">
        <v>21</v>
      </c>
      <c r="P1295">
        <f t="shared" si="63"/>
        <v>1</v>
      </c>
      <c r="Q1295" s="11">
        <f>IF(P1295=0,0,IFERROR(Q1294+G1295*M1295*IF(E1295="FUTURE",VLOOKUP(MID(I1295,2,2),[1]Futures!$A$2:$B$12,2),1),G1295*M1295*IF(E1295="FUTURE",VLOOKUP(MID(I1295,2,2),[1]Futures!$A$2:$B$12,2),1)))</f>
        <v>150387.5</v>
      </c>
      <c r="R1295" s="12">
        <f>IFERROR(Q1295/P1295/IF(E1295="FUTURE",VLOOKUP(MID(I1295,2,2),[1]Futures!$A$2:$B$12,2),1),"")</f>
        <v>3007.75</v>
      </c>
      <c r="S1295" s="13" t="str">
        <f>IF(AND(H1295="TO CLOSE",P1295=0),-G1295*(M1295-R1294)*IF(E1295="FUTURE",VLOOKUP(MID(I1295,2,2),[1]Futures!$A$2:$B$12,2),1),"")</f>
        <v/>
      </c>
    </row>
    <row r="1296" spans="1:19" x14ac:dyDescent="0.2">
      <c r="A1296">
        <f t="shared" si="62"/>
        <v>400</v>
      </c>
      <c r="B1296" s="3">
        <v>43980</v>
      </c>
      <c r="C1296" s="3" t="str">
        <f t="shared" si="61"/>
        <v>Friday</v>
      </c>
      <c r="D1296" s="2">
        <v>0.47716435185185185</v>
      </c>
      <c r="E1296" t="s">
        <v>14</v>
      </c>
      <c r="F1296" t="s">
        <v>15</v>
      </c>
      <c r="G1296">
        <v>-1</v>
      </c>
      <c r="H1296" t="s">
        <v>16</v>
      </c>
      <c r="I1296" t="s">
        <v>17</v>
      </c>
      <c r="J1296" s="1">
        <v>44002</v>
      </c>
      <c r="L1296" t="s">
        <v>14</v>
      </c>
      <c r="M1296">
        <v>3010.75</v>
      </c>
      <c r="N1296">
        <v>3010.75</v>
      </c>
      <c r="O1296" t="s">
        <v>21</v>
      </c>
      <c r="P1296">
        <f t="shared" si="63"/>
        <v>0</v>
      </c>
      <c r="Q1296" s="11">
        <f>IF(P1296=0,0,IFERROR(Q1295+G1296*M1296*IF(E1296="FUTURE",VLOOKUP(MID(I1296,2,2),[1]Futures!$A$2:$B$12,2),1),G1296*M1296*IF(E1296="FUTURE",VLOOKUP(MID(I1296,2,2),[1]Futures!$A$2:$B$12,2),1)))</f>
        <v>0</v>
      </c>
      <c r="R1296" s="12" t="str">
        <f>IFERROR(Q1296/P1296/IF(E1296="FUTURE",VLOOKUP(MID(I1296,2,2),[1]Futures!$A$2:$B$12,2),1),"")</f>
        <v/>
      </c>
      <c r="S1296" s="13">
        <f>IF(AND(H1296="TO CLOSE",P1296=0),-G1296*(M1296-R1295)*IF(E1296="FUTURE",VLOOKUP(MID(I1296,2,2),[1]Futures!$A$2:$B$12,2),1),"")</f>
        <v>150</v>
      </c>
    </row>
    <row r="1297" spans="1:19" x14ac:dyDescent="0.2">
      <c r="A1297">
        <f t="shared" si="62"/>
        <v>401</v>
      </c>
      <c r="B1297" s="3">
        <v>43980</v>
      </c>
      <c r="C1297" s="3" t="str">
        <f t="shared" si="61"/>
        <v>Friday</v>
      </c>
      <c r="D1297" s="2">
        <v>0.48247685185185185</v>
      </c>
      <c r="E1297" t="s">
        <v>14</v>
      </c>
      <c r="F1297" t="s">
        <v>19</v>
      </c>
      <c r="G1297">
        <v>1</v>
      </c>
      <c r="H1297" t="s">
        <v>20</v>
      </c>
      <c r="I1297" t="s">
        <v>17</v>
      </c>
      <c r="J1297" s="1">
        <v>44002</v>
      </c>
      <c r="L1297" t="s">
        <v>14</v>
      </c>
      <c r="M1297">
        <v>3009.75</v>
      </c>
      <c r="N1297">
        <v>3009.75</v>
      </c>
      <c r="O1297" t="s">
        <v>21</v>
      </c>
      <c r="P1297">
        <f t="shared" si="63"/>
        <v>1</v>
      </c>
      <c r="Q1297" s="11">
        <f>IF(P1297=0,0,IFERROR(Q1296+G1297*M1297*IF(E1297="FUTURE",VLOOKUP(MID(I1297,2,2),[1]Futures!$A$2:$B$12,2),1),G1297*M1297*IF(E1297="FUTURE",VLOOKUP(MID(I1297,2,2),[1]Futures!$A$2:$B$12,2),1)))</f>
        <v>150487.5</v>
      </c>
      <c r="R1297" s="12">
        <f>IFERROR(Q1297/P1297/IF(E1297="FUTURE",VLOOKUP(MID(I1297,2,2),[1]Futures!$A$2:$B$12,2),1),"")</f>
        <v>3009.75</v>
      </c>
      <c r="S1297" s="13" t="str">
        <f>IF(AND(H1297="TO CLOSE",P1297=0),-G1297*(M1297-R1296)*IF(E1297="FUTURE",VLOOKUP(MID(I1297,2,2),[1]Futures!$A$2:$B$12,2),1),"")</f>
        <v/>
      </c>
    </row>
    <row r="1298" spans="1:19" x14ac:dyDescent="0.2">
      <c r="A1298">
        <f t="shared" si="62"/>
        <v>401</v>
      </c>
      <c r="B1298" s="3">
        <v>43980</v>
      </c>
      <c r="C1298" s="3" t="str">
        <f t="shared" si="61"/>
        <v>Friday</v>
      </c>
      <c r="D1298" s="2">
        <v>0.50156250000000002</v>
      </c>
      <c r="E1298" t="s">
        <v>14</v>
      </c>
      <c r="F1298" t="s">
        <v>15</v>
      </c>
      <c r="G1298">
        <v>-1</v>
      </c>
      <c r="H1298" t="s">
        <v>16</v>
      </c>
      <c r="I1298" t="s">
        <v>17</v>
      </c>
      <c r="J1298" s="1">
        <v>44002</v>
      </c>
      <c r="L1298" t="s">
        <v>14</v>
      </c>
      <c r="M1298">
        <v>3014.75</v>
      </c>
      <c r="N1298">
        <v>3014.75</v>
      </c>
      <c r="O1298" t="s">
        <v>21</v>
      </c>
      <c r="P1298">
        <f t="shared" si="63"/>
        <v>0</v>
      </c>
      <c r="Q1298" s="11">
        <f>IF(P1298=0,0,IFERROR(Q1297+G1298*M1298*IF(E1298="FUTURE",VLOOKUP(MID(I1298,2,2),[1]Futures!$A$2:$B$12,2),1),G1298*M1298*IF(E1298="FUTURE",VLOOKUP(MID(I1298,2,2),[1]Futures!$A$2:$B$12,2),1)))</f>
        <v>0</v>
      </c>
      <c r="R1298" s="12" t="str">
        <f>IFERROR(Q1298/P1298/IF(E1298="FUTURE",VLOOKUP(MID(I1298,2,2),[1]Futures!$A$2:$B$12,2),1),"")</f>
        <v/>
      </c>
      <c r="S1298" s="13">
        <f>IF(AND(H1298="TO CLOSE",P1298=0),-G1298*(M1298-R1297)*IF(E1298="FUTURE",VLOOKUP(MID(I1298,2,2),[1]Futures!$A$2:$B$12,2),1),"")</f>
        <v>250</v>
      </c>
    </row>
    <row r="1299" spans="1:19" x14ac:dyDescent="0.2">
      <c r="A1299">
        <f t="shared" si="62"/>
        <v>402</v>
      </c>
      <c r="B1299" s="3">
        <v>43980</v>
      </c>
      <c r="C1299" s="3" t="str">
        <f t="shared" si="61"/>
        <v>Friday</v>
      </c>
      <c r="D1299" s="2">
        <v>0.51534722222222229</v>
      </c>
      <c r="E1299" t="s">
        <v>14</v>
      </c>
      <c r="F1299" t="s">
        <v>19</v>
      </c>
      <c r="G1299">
        <v>1</v>
      </c>
      <c r="H1299" t="s">
        <v>20</v>
      </c>
      <c r="I1299" t="s">
        <v>17</v>
      </c>
      <c r="J1299" s="1">
        <v>44002</v>
      </c>
      <c r="L1299" t="s">
        <v>14</v>
      </c>
      <c r="M1299">
        <v>3005.5</v>
      </c>
      <c r="N1299">
        <v>3005.5</v>
      </c>
      <c r="O1299" t="s">
        <v>21</v>
      </c>
      <c r="P1299">
        <f t="shared" si="63"/>
        <v>1</v>
      </c>
      <c r="Q1299" s="11">
        <f>IF(P1299=0,0,IFERROR(Q1298+G1299*M1299*IF(E1299="FUTURE",VLOOKUP(MID(I1299,2,2),[1]Futures!$A$2:$B$12,2),1),G1299*M1299*IF(E1299="FUTURE",VLOOKUP(MID(I1299,2,2),[1]Futures!$A$2:$B$12,2),1)))</f>
        <v>150275</v>
      </c>
      <c r="R1299" s="12">
        <f>IFERROR(Q1299/P1299/IF(E1299="FUTURE",VLOOKUP(MID(I1299,2,2),[1]Futures!$A$2:$B$12,2),1),"")</f>
        <v>3005.5</v>
      </c>
      <c r="S1299" s="13" t="str">
        <f>IF(AND(H1299="TO CLOSE",P1299=0),-G1299*(M1299-R1298)*IF(E1299="FUTURE",VLOOKUP(MID(I1299,2,2),[1]Futures!$A$2:$B$12,2),1),"")</f>
        <v/>
      </c>
    </row>
    <row r="1300" spans="1:19" x14ac:dyDescent="0.2">
      <c r="A1300">
        <f t="shared" si="62"/>
        <v>402</v>
      </c>
      <c r="B1300" s="3">
        <v>43980</v>
      </c>
      <c r="C1300" s="3" t="str">
        <f t="shared" si="61"/>
        <v>Friday</v>
      </c>
      <c r="D1300" s="2">
        <v>0.51649305555555558</v>
      </c>
      <c r="E1300" t="s">
        <v>14</v>
      </c>
      <c r="F1300" t="s">
        <v>15</v>
      </c>
      <c r="G1300">
        <v>-1</v>
      </c>
      <c r="H1300" t="s">
        <v>16</v>
      </c>
      <c r="I1300" t="s">
        <v>17</v>
      </c>
      <c r="J1300" s="1">
        <v>44002</v>
      </c>
      <c r="L1300" t="s">
        <v>14</v>
      </c>
      <c r="M1300">
        <v>3006.5</v>
      </c>
      <c r="N1300">
        <v>3006.5</v>
      </c>
      <c r="O1300" t="s">
        <v>21</v>
      </c>
      <c r="P1300">
        <f t="shared" si="63"/>
        <v>0</v>
      </c>
      <c r="Q1300" s="11">
        <f>IF(P1300=0,0,IFERROR(Q1299+G1300*M1300*IF(E1300="FUTURE",VLOOKUP(MID(I1300,2,2),[1]Futures!$A$2:$B$12,2),1),G1300*M1300*IF(E1300="FUTURE",VLOOKUP(MID(I1300,2,2),[1]Futures!$A$2:$B$12,2),1)))</f>
        <v>0</v>
      </c>
      <c r="R1300" s="12" t="str">
        <f>IFERROR(Q1300/P1300/IF(E1300="FUTURE",VLOOKUP(MID(I1300,2,2),[1]Futures!$A$2:$B$12,2),1),"")</f>
        <v/>
      </c>
      <c r="S1300" s="13">
        <f>IF(AND(H1300="TO CLOSE",P1300=0),-G1300*(M1300-R1299)*IF(E1300="FUTURE",VLOOKUP(MID(I1300,2,2),[1]Futures!$A$2:$B$12,2),1),"")</f>
        <v>50</v>
      </c>
    </row>
    <row r="1301" spans="1:19" x14ac:dyDescent="0.2">
      <c r="A1301">
        <f t="shared" si="62"/>
        <v>403</v>
      </c>
      <c r="B1301" s="3">
        <v>43980</v>
      </c>
      <c r="C1301" s="3" t="str">
        <f t="shared" si="61"/>
        <v>Friday</v>
      </c>
      <c r="D1301" s="2">
        <v>0.57491898148148146</v>
      </c>
      <c r="E1301" t="s">
        <v>14</v>
      </c>
      <c r="F1301" t="s">
        <v>19</v>
      </c>
      <c r="G1301">
        <v>1</v>
      </c>
      <c r="H1301" t="s">
        <v>20</v>
      </c>
      <c r="I1301" t="s">
        <v>17</v>
      </c>
      <c r="J1301" s="1">
        <v>44002</v>
      </c>
      <c r="L1301" t="s">
        <v>14</v>
      </c>
      <c r="M1301">
        <v>3007.75</v>
      </c>
      <c r="N1301">
        <v>3007.75</v>
      </c>
      <c r="O1301" t="s">
        <v>24</v>
      </c>
      <c r="P1301">
        <f t="shared" si="63"/>
        <v>1</v>
      </c>
      <c r="Q1301" s="11">
        <f>IF(P1301=0,0,IFERROR(Q1300+G1301*M1301*IF(E1301="FUTURE",VLOOKUP(MID(I1301,2,2),[1]Futures!$A$2:$B$12,2),1),G1301*M1301*IF(E1301="FUTURE",VLOOKUP(MID(I1301,2,2),[1]Futures!$A$2:$B$12,2),1)))</f>
        <v>150387.5</v>
      </c>
      <c r="R1301" s="12">
        <f>IFERROR(Q1301/P1301/IF(E1301="FUTURE",VLOOKUP(MID(I1301,2,2),[1]Futures!$A$2:$B$12,2),1),"")</f>
        <v>3007.75</v>
      </c>
      <c r="S1301" s="13" t="str">
        <f>IF(AND(H1301="TO CLOSE",P1301=0),-G1301*(M1301-R1300)*IF(E1301="FUTURE",VLOOKUP(MID(I1301,2,2),[1]Futures!$A$2:$B$12,2),1),"")</f>
        <v/>
      </c>
    </row>
    <row r="1302" spans="1:19" x14ac:dyDescent="0.2">
      <c r="A1302">
        <f t="shared" si="62"/>
        <v>403</v>
      </c>
      <c r="B1302" s="3">
        <v>43980</v>
      </c>
      <c r="C1302" s="3" t="str">
        <f t="shared" si="61"/>
        <v>Friday</v>
      </c>
      <c r="D1302" s="2">
        <v>0.58453703703703697</v>
      </c>
      <c r="E1302" t="s">
        <v>14</v>
      </c>
      <c r="F1302" t="s">
        <v>15</v>
      </c>
      <c r="G1302">
        <v>-1</v>
      </c>
      <c r="H1302" t="s">
        <v>16</v>
      </c>
      <c r="I1302" t="s">
        <v>17</v>
      </c>
      <c r="J1302" s="1">
        <v>44002</v>
      </c>
      <c r="L1302" t="s">
        <v>14</v>
      </c>
      <c r="M1302">
        <v>3011.5</v>
      </c>
      <c r="N1302">
        <v>3011.5</v>
      </c>
      <c r="O1302" t="s">
        <v>21</v>
      </c>
      <c r="P1302">
        <f t="shared" si="63"/>
        <v>0</v>
      </c>
      <c r="Q1302" s="11">
        <f>IF(P1302=0,0,IFERROR(Q1301+G1302*M1302*IF(E1302="FUTURE",VLOOKUP(MID(I1302,2,2),[1]Futures!$A$2:$B$12,2),1),G1302*M1302*IF(E1302="FUTURE",VLOOKUP(MID(I1302,2,2),[1]Futures!$A$2:$B$12,2),1)))</f>
        <v>0</v>
      </c>
      <c r="R1302" s="12" t="str">
        <f>IFERROR(Q1302/P1302/IF(E1302="FUTURE",VLOOKUP(MID(I1302,2,2),[1]Futures!$A$2:$B$12,2),1),"")</f>
        <v/>
      </c>
      <c r="S1302" s="13">
        <f>IF(AND(H1302="TO CLOSE",P1302=0),-G1302*(M1302-R1301)*IF(E1302="FUTURE",VLOOKUP(MID(I1302,2,2),[1]Futures!$A$2:$B$12,2),1),"")</f>
        <v>187.5</v>
      </c>
    </row>
    <row r="1303" spans="1:19" x14ac:dyDescent="0.2">
      <c r="A1303">
        <f t="shared" si="62"/>
        <v>404</v>
      </c>
      <c r="B1303" s="3">
        <v>43980</v>
      </c>
      <c r="C1303" s="3" t="str">
        <f t="shared" si="61"/>
        <v>Friday</v>
      </c>
      <c r="D1303" s="2">
        <v>0.58921296296296299</v>
      </c>
      <c r="E1303" t="s">
        <v>14</v>
      </c>
      <c r="F1303" t="s">
        <v>19</v>
      </c>
      <c r="G1303">
        <v>1</v>
      </c>
      <c r="H1303" t="s">
        <v>20</v>
      </c>
      <c r="I1303" t="s">
        <v>17</v>
      </c>
      <c r="J1303" s="1">
        <v>44002</v>
      </c>
      <c r="L1303" t="s">
        <v>14</v>
      </c>
      <c r="M1303">
        <v>3017.25</v>
      </c>
      <c r="N1303">
        <v>3017.25</v>
      </c>
      <c r="O1303" t="s">
        <v>24</v>
      </c>
      <c r="P1303">
        <f t="shared" si="63"/>
        <v>1</v>
      </c>
      <c r="Q1303" s="11">
        <f>IF(P1303=0,0,IFERROR(Q1302+G1303*M1303*IF(E1303="FUTURE",VLOOKUP(MID(I1303,2,2),[1]Futures!$A$2:$B$12,2),1),G1303*M1303*IF(E1303="FUTURE",VLOOKUP(MID(I1303,2,2),[1]Futures!$A$2:$B$12,2),1)))</f>
        <v>150862.5</v>
      </c>
      <c r="R1303" s="12">
        <f>IFERROR(Q1303/P1303/IF(E1303="FUTURE",VLOOKUP(MID(I1303,2,2),[1]Futures!$A$2:$B$12,2),1),"")</f>
        <v>3017.25</v>
      </c>
      <c r="S1303" s="13" t="str">
        <f>IF(AND(H1303="TO CLOSE",P1303=0),-G1303*(M1303-R1302)*IF(E1303="FUTURE",VLOOKUP(MID(I1303,2,2),[1]Futures!$A$2:$B$12,2),1),"")</f>
        <v/>
      </c>
    </row>
    <row r="1304" spans="1:19" x14ac:dyDescent="0.2">
      <c r="A1304">
        <f t="shared" si="62"/>
        <v>404</v>
      </c>
      <c r="B1304" s="3">
        <v>43980</v>
      </c>
      <c r="C1304" s="3" t="str">
        <f t="shared" si="61"/>
        <v>Friday</v>
      </c>
      <c r="D1304" s="2">
        <v>0.58958333333333335</v>
      </c>
      <c r="E1304" t="s">
        <v>14</v>
      </c>
      <c r="F1304" t="s">
        <v>15</v>
      </c>
      <c r="G1304">
        <v>-1</v>
      </c>
      <c r="H1304" t="s">
        <v>16</v>
      </c>
      <c r="I1304" t="s">
        <v>17</v>
      </c>
      <c r="J1304" s="1">
        <v>44002</v>
      </c>
      <c r="L1304" t="s">
        <v>14</v>
      </c>
      <c r="M1304">
        <v>3017.75</v>
      </c>
      <c r="N1304">
        <v>3017.75</v>
      </c>
      <c r="O1304" t="s">
        <v>21</v>
      </c>
      <c r="P1304">
        <f t="shared" si="63"/>
        <v>0</v>
      </c>
      <c r="Q1304" s="11">
        <f>IF(P1304=0,0,IFERROR(Q1303+G1304*M1304*IF(E1304="FUTURE",VLOOKUP(MID(I1304,2,2),[1]Futures!$A$2:$B$12,2),1),G1304*M1304*IF(E1304="FUTURE",VLOOKUP(MID(I1304,2,2),[1]Futures!$A$2:$B$12,2),1)))</f>
        <v>0</v>
      </c>
      <c r="R1304" s="12" t="str">
        <f>IFERROR(Q1304/P1304/IF(E1304="FUTURE",VLOOKUP(MID(I1304,2,2),[1]Futures!$A$2:$B$12,2),1),"")</f>
        <v/>
      </c>
      <c r="S1304" s="13">
        <f>IF(AND(H1304="TO CLOSE",P1304=0),-G1304*(M1304-R1303)*IF(E1304="FUTURE",VLOOKUP(MID(I1304,2,2),[1]Futures!$A$2:$B$12,2),1),"")</f>
        <v>25</v>
      </c>
    </row>
    <row r="1305" spans="1:19" x14ac:dyDescent="0.2">
      <c r="A1305">
        <f t="shared" si="62"/>
        <v>405</v>
      </c>
      <c r="B1305" s="3">
        <v>43980</v>
      </c>
      <c r="C1305" s="3" t="str">
        <f t="shared" si="61"/>
        <v>Friday</v>
      </c>
      <c r="D1305" s="2">
        <v>0.51814814814814814</v>
      </c>
      <c r="E1305" t="s">
        <v>14</v>
      </c>
      <c r="F1305" t="s">
        <v>19</v>
      </c>
      <c r="G1305">
        <v>5</v>
      </c>
      <c r="H1305" t="s">
        <v>20</v>
      </c>
      <c r="I1305" t="s">
        <v>73</v>
      </c>
      <c r="J1305" s="1">
        <v>44002</v>
      </c>
      <c r="L1305" t="s">
        <v>14</v>
      </c>
      <c r="M1305">
        <v>3006.75</v>
      </c>
      <c r="N1305">
        <v>3006.75</v>
      </c>
      <c r="O1305" t="s">
        <v>24</v>
      </c>
      <c r="P1305">
        <f t="shared" si="63"/>
        <v>5</v>
      </c>
      <c r="Q1305" s="11">
        <f>IF(P1305=0,0,IFERROR(Q1304+G1305*M1305*IF(E1305="FUTURE",VLOOKUP(MID(I1305,2,2),[1]Futures!$A$2:$B$12,2),1),G1305*M1305*IF(E1305="FUTURE",VLOOKUP(MID(I1305,2,2),[1]Futures!$A$2:$B$12,2),1)))</f>
        <v>75168.75</v>
      </c>
      <c r="R1305" s="12">
        <f>IFERROR(Q1305/P1305/IF(E1305="FUTURE",VLOOKUP(MID(I1305,2,2),[1]Futures!$A$2:$B$12,2),1),"")</f>
        <v>3006.75</v>
      </c>
      <c r="S1305" s="13" t="str">
        <f>IF(AND(H1305="TO CLOSE",P1305=0),-G1305*(M1305-R1304)*IF(E1305="FUTURE",VLOOKUP(MID(I1305,2,2),[1]Futures!$A$2:$B$12,2),1),"")</f>
        <v/>
      </c>
    </row>
    <row r="1306" spans="1:19" x14ac:dyDescent="0.2">
      <c r="A1306">
        <f t="shared" si="62"/>
        <v>405</v>
      </c>
      <c r="B1306" s="3">
        <v>43980</v>
      </c>
      <c r="C1306" s="3" t="str">
        <f t="shared" si="61"/>
        <v>Friday</v>
      </c>
      <c r="D1306" s="2">
        <v>0.55883101851851846</v>
      </c>
      <c r="E1306" t="s">
        <v>14</v>
      </c>
      <c r="F1306" t="s">
        <v>15</v>
      </c>
      <c r="G1306">
        <v>-5</v>
      </c>
      <c r="H1306" t="s">
        <v>16</v>
      </c>
      <c r="I1306" t="s">
        <v>73</v>
      </c>
      <c r="J1306" s="1">
        <v>44002</v>
      </c>
      <c r="L1306" t="s">
        <v>14</v>
      </c>
      <c r="M1306">
        <v>3011.75</v>
      </c>
      <c r="N1306">
        <v>3011.75</v>
      </c>
      <c r="O1306" t="s">
        <v>21</v>
      </c>
      <c r="P1306">
        <f t="shared" si="63"/>
        <v>0</v>
      </c>
      <c r="Q1306" s="11">
        <f>IF(P1306=0,0,IFERROR(Q1305+G1306*M1306*IF(E1306="FUTURE",VLOOKUP(MID(I1306,2,2),[1]Futures!$A$2:$B$12,2),1),G1306*M1306*IF(E1306="FUTURE",VLOOKUP(MID(I1306,2,2),[1]Futures!$A$2:$B$12,2),1)))</f>
        <v>0</v>
      </c>
      <c r="R1306" s="12" t="str">
        <f>IFERROR(Q1306/P1306/IF(E1306="FUTURE",VLOOKUP(MID(I1306,2,2),[1]Futures!$A$2:$B$12,2),1),"")</f>
        <v/>
      </c>
      <c r="S1306" s="13">
        <f>IF(AND(H1306="TO CLOSE",P1306=0),-G1306*(M1306-R1305)*IF(E1306="FUTURE",VLOOKUP(MID(I1306,2,2),[1]Futures!$A$2:$B$12,2),1),"")</f>
        <v>125</v>
      </c>
    </row>
    <row r="1307" spans="1:19" x14ac:dyDescent="0.2">
      <c r="A1307">
        <f t="shared" si="62"/>
        <v>406</v>
      </c>
      <c r="B1307" s="3">
        <v>43980</v>
      </c>
      <c r="C1307" s="3" t="str">
        <f t="shared" si="61"/>
        <v>Friday</v>
      </c>
      <c r="D1307" s="2">
        <v>0.46347222222222223</v>
      </c>
      <c r="E1307" t="s">
        <v>22</v>
      </c>
      <c r="F1307" t="s">
        <v>15</v>
      </c>
      <c r="G1307">
        <v>-200</v>
      </c>
      <c r="H1307" t="s">
        <v>20</v>
      </c>
      <c r="I1307" t="s">
        <v>23</v>
      </c>
      <c r="L1307" t="s">
        <v>22</v>
      </c>
      <c r="M1307">
        <v>34.93</v>
      </c>
      <c r="N1307">
        <v>34.93</v>
      </c>
      <c r="O1307" t="s">
        <v>21</v>
      </c>
      <c r="P1307">
        <f t="shared" si="63"/>
        <v>-200</v>
      </c>
      <c r="Q1307" s="11">
        <f>IF(P1307=0,0,IFERROR(Q1306+G1307*M1307*IF(E1307="FUTURE",VLOOKUP(MID(I1307,2,2),[1]Futures!$A$2:$B$12,2),1),G1307*M1307*IF(E1307="FUTURE",VLOOKUP(MID(I1307,2,2),[1]Futures!$A$2:$B$12,2),1)))</f>
        <v>-6986</v>
      </c>
      <c r="R1307" s="12">
        <f>IFERROR(Q1307/P1307/IF(E1307="FUTURE",VLOOKUP(MID(I1307,2,2),[1]Futures!$A$2:$B$12,2),1),"")</f>
        <v>34.93</v>
      </c>
      <c r="S1307" s="13" t="str">
        <f>IF(AND(H1307="TO CLOSE",P1307=0),-G1307*(M1307-R1306)*IF(E1307="FUTURE",VLOOKUP(MID(I1307,2,2),[1]Futures!$A$2:$B$12,2),1),"")</f>
        <v/>
      </c>
    </row>
    <row r="1308" spans="1:19" x14ac:dyDescent="0.2">
      <c r="A1308">
        <f t="shared" si="62"/>
        <v>406</v>
      </c>
      <c r="B1308" s="3">
        <v>43980</v>
      </c>
      <c r="C1308" s="3" t="str">
        <f t="shared" si="61"/>
        <v>Friday</v>
      </c>
      <c r="D1308" s="2">
        <v>0.49836805555555558</v>
      </c>
      <c r="E1308" t="s">
        <v>22</v>
      </c>
      <c r="F1308" t="s">
        <v>19</v>
      </c>
      <c r="G1308">
        <v>200</v>
      </c>
      <c r="H1308" t="s">
        <v>16</v>
      </c>
      <c r="I1308" t="s">
        <v>23</v>
      </c>
      <c r="L1308" t="s">
        <v>22</v>
      </c>
      <c r="M1308">
        <v>34.39</v>
      </c>
      <c r="N1308">
        <v>34.39</v>
      </c>
      <c r="O1308" t="s">
        <v>21</v>
      </c>
      <c r="P1308">
        <f t="shared" si="63"/>
        <v>0</v>
      </c>
      <c r="Q1308" s="11">
        <f>IF(P1308=0,0,IFERROR(Q1307+G1308*M1308*IF(E1308="FUTURE",VLOOKUP(MID(I1308,2,2),[1]Futures!$A$2:$B$12,2),1),G1308*M1308*IF(E1308="FUTURE",VLOOKUP(MID(I1308,2,2),[1]Futures!$A$2:$B$12,2),1)))</f>
        <v>0</v>
      </c>
      <c r="R1308" s="12" t="str">
        <f>IFERROR(Q1308/P1308/IF(E1308="FUTURE",VLOOKUP(MID(I1308,2,2),[1]Futures!$A$2:$B$12,2),1),"")</f>
        <v/>
      </c>
      <c r="S1308" s="13">
        <f>IF(AND(H1308="TO CLOSE",P1308=0),-G1308*(M1308-R1307)*IF(E1308="FUTURE",VLOOKUP(MID(I1308,2,2),[1]Futures!$A$2:$B$12,2),1),"")</f>
        <v>107.99999999999983</v>
      </c>
    </row>
    <row r="1309" spans="1:19" x14ac:dyDescent="0.2">
      <c r="A1309">
        <f t="shared" si="62"/>
        <v>407</v>
      </c>
      <c r="B1309" s="3">
        <v>43983</v>
      </c>
      <c r="C1309" s="3" t="str">
        <f t="shared" si="61"/>
        <v>Monday</v>
      </c>
      <c r="D1309" s="2">
        <v>0.41355324074074074</v>
      </c>
      <c r="E1309" t="s">
        <v>14</v>
      </c>
      <c r="F1309" t="s">
        <v>19</v>
      </c>
      <c r="G1309">
        <v>1</v>
      </c>
      <c r="H1309" t="s">
        <v>20</v>
      </c>
      <c r="I1309" t="s">
        <v>77</v>
      </c>
      <c r="J1309" s="1">
        <v>44063</v>
      </c>
      <c r="L1309" t="s">
        <v>14</v>
      </c>
      <c r="M1309">
        <v>35.08</v>
      </c>
      <c r="N1309">
        <v>35.08</v>
      </c>
      <c r="O1309" t="s">
        <v>21</v>
      </c>
      <c r="P1309">
        <f t="shared" si="63"/>
        <v>1</v>
      </c>
      <c r="Q1309" s="11">
        <f>IF(P1309=0,0,IFERROR(Q1308+G1309*M1309*IF(E1309="FUTURE",VLOOKUP(MID(I1309,2,2),[1]Futures!$A$2:$B$12,2),1),G1309*M1309*IF(E1309="FUTURE",VLOOKUP(MID(I1309,2,2),[1]Futures!$A$2:$B$12,2),1)))</f>
        <v>35080</v>
      </c>
      <c r="R1309" s="12">
        <f>IFERROR(Q1309/P1309/IF(E1309="FUTURE",VLOOKUP(MID(I1309,2,2),[1]Futures!$A$2:$B$12,2),1),"")</f>
        <v>35.08</v>
      </c>
      <c r="S1309" s="13" t="str">
        <f>IF(AND(H1309="TO CLOSE",P1309=0),-G1309*(M1309-R1308)*IF(E1309="FUTURE",VLOOKUP(MID(I1309,2,2),[1]Futures!$A$2:$B$12,2),1),"")</f>
        <v/>
      </c>
    </row>
    <row r="1310" spans="1:19" x14ac:dyDescent="0.2">
      <c r="A1310">
        <f t="shared" si="62"/>
        <v>407</v>
      </c>
      <c r="B1310" s="3">
        <v>43983</v>
      </c>
      <c r="C1310" s="3" t="str">
        <f t="shared" si="61"/>
        <v>Monday</v>
      </c>
      <c r="D1310" s="2">
        <v>0.4379513888888889</v>
      </c>
      <c r="E1310" t="s">
        <v>14</v>
      </c>
      <c r="F1310" t="s">
        <v>15</v>
      </c>
      <c r="G1310">
        <v>-1</v>
      </c>
      <c r="H1310" t="s">
        <v>16</v>
      </c>
      <c r="I1310" t="s">
        <v>77</v>
      </c>
      <c r="J1310" s="1">
        <v>44063</v>
      </c>
      <c r="L1310" t="s">
        <v>14</v>
      </c>
      <c r="M1310">
        <v>35.369999999999997</v>
      </c>
      <c r="N1310">
        <v>35.369999999999997</v>
      </c>
      <c r="O1310" t="s">
        <v>21</v>
      </c>
      <c r="P1310">
        <f t="shared" si="63"/>
        <v>0</v>
      </c>
      <c r="Q1310" s="11">
        <f>IF(P1310=0,0,IFERROR(Q1309+G1310*M1310*IF(E1310="FUTURE",VLOOKUP(MID(I1310,2,2),[1]Futures!$A$2:$B$12,2),1),G1310*M1310*IF(E1310="FUTURE",VLOOKUP(MID(I1310,2,2),[1]Futures!$A$2:$B$12,2),1)))</f>
        <v>0</v>
      </c>
      <c r="R1310" s="12" t="str">
        <f>IFERROR(Q1310/P1310/IF(E1310="FUTURE",VLOOKUP(MID(I1310,2,2),[1]Futures!$A$2:$B$12,2),1),"")</f>
        <v/>
      </c>
      <c r="S1310" s="13">
        <f>IF(AND(H1310="TO CLOSE",P1310=0),-G1310*(M1310-R1309)*IF(E1310="FUTURE",VLOOKUP(MID(I1310,2,2),[1]Futures!$A$2:$B$12,2),1),"")</f>
        <v>289.99999999999915</v>
      </c>
    </row>
    <row r="1311" spans="1:19" x14ac:dyDescent="0.2">
      <c r="A1311">
        <f t="shared" si="62"/>
        <v>408</v>
      </c>
      <c r="B1311" s="3">
        <v>43983</v>
      </c>
      <c r="C1311" s="3" t="str">
        <f t="shared" si="61"/>
        <v>Monday</v>
      </c>
      <c r="D1311" s="2">
        <v>0.44906249999999998</v>
      </c>
      <c r="E1311" t="s">
        <v>14</v>
      </c>
      <c r="F1311" t="s">
        <v>15</v>
      </c>
      <c r="G1311">
        <v>-1</v>
      </c>
      <c r="H1311" t="s">
        <v>20</v>
      </c>
      <c r="I1311" t="s">
        <v>77</v>
      </c>
      <c r="J1311" s="1">
        <v>44063</v>
      </c>
      <c r="L1311" t="s">
        <v>14</v>
      </c>
      <c r="M1311">
        <v>35.130000000000003</v>
      </c>
      <c r="N1311">
        <v>35.130000000000003</v>
      </c>
      <c r="O1311" t="s">
        <v>21</v>
      </c>
      <c r="P1311">
        <f t="shared" si="63"/>
        <v>-1</v>
      </c>
      <c r="Q1311" s="11">
        <f>IF(P1311=0,0,IFERROR(Q1310+G1311*M1311*IF(E1311="FUTURE",VLOOKUP(MID(I1311,2,2),[1]Futures!$A$2:$B$12,2),1),G1311*M1311*IF(E1311="FUTURE",VLOOKUP(MID(I1311,2,2),[1]Futures!$A$2:$B$12,2),1)))</f>
        <v>-35130</v>
      </c>
      <c r="R1311" s="12">
        <f>IFERROR(Q1311/P1311/IF(E1311="FUTURE",VLOOKUP(MID(I1311,2,2),[1]Futures!$A$2:$B$12,2),1),"")</f>
        <v>35.130000000000003</v>
      </c>
      <c r="S1311" s="13" t="str">
        <f>IF(AND(H1311="TO CLOSE",P1311=0),-G1311*(M1311-R1310)*IF(E1311="FUTURE",VLOOKUP(MID(I1311,2,2),[1]Futures!$A$2:$B$12,2),1),"")</f>
        <v/>
      </c>
    </row>
    <row r="1312" spans="1:19" x14ac:dyDescent="0.2">
      <c r="A1312">
        <f t="shared" si="62"/>
        <v>408</v>
      </c>
      <c r="B1312" s="3">
        <v>43983</v>
      </c>
      <c r="C1312" s="3" t="str">
        <f t="shared" si="61"/>
        <v>Monday</v>
      </c>
      <c r="D1312" s="2">
        <v>0.45406250000000004</v>
      </c>
      <c r="E1312" t="s">
        <v>14</v>
      </c>
      <c r="F1312" t="s">
        <v>19</v>
      </c>
      <c r="G1312">
        <v>1</v>
      </c>
      <c r="H1312" t="s">
        <v>16</v>
      </c>
      <c r="I1312" t="s">
        <v>77</v>
      </c>
      <c r="J1312" s="1">
        <v>44063</v>
      </c>
      <c r="L1312" t="s">
        <v>14</v>
      </c>
      <c r="M1312">
        <v>35.1</v>
      </c>
      <c r="N1312">
        <v>35.1</v>
      </c>
      <c r="O1312" t="s">
        <v>24</v>
      </c>
      <c r="P1312">
        <f t="shared" si="63"/>
        <v>0</v>
      </c>
      <c r="Q1312" s="11">
        <f>IF(P1312=0,0,IFERROR(Q1311+G1312*M1312*IF(E1312="FUTURE",VLOOKUP(MID(I1312,2,2),[1]Futures!$A$2:$B$12,2),1),G1312*M1312*IF(E1312="FUTURE",VLOOKUP(MID(I1312,2,2),[1]Futures!$A$2:$B$12,2),1)))</f>
        <v>0</v>
      </c>
      <c r="R1312" s="12" t="str">
        <f>IFERROR(Q1312/P1312/IF(E1312="FUTURE",VLOOKUP(MID(I1312,2,2),[1]Futures!$A$2:$B$12,2),1),"")</f>
        <v/>
      </c>
      <c r="S1312" s="13">
        <f>IF(AND(H1312="TO CLOSE",P1312=0),-G1312*(M1312-R1311)*IF(E1312="FUTURE",VLOOKUP(MID(I1312,2,2),[1]Futures!$A$2:$B$12,2),1),"")</f>
        <v>30.000000000001137</v>
      </c>
    </row>
    <row r="1313" spans="1:19" x14ac:dyDescent="0.2">
      <c r="A1313">
        <f t="shared" si="62"/>
        <v>409</v>
      </c>
      <c r="B1313" s="3">
        <v>43983</v>
      </c>
      <c r="C1313" s="3" t="str">
        <f t="shared" si="61"/>
        <v>Monday</v>
      </c>
      <c r="D1313" s="2">
        <v>0.4642013888888889</v>
      </c>
      <c r="E1313" t="s">
        <v>14</v>
      </c>
      <c r="F1313" t="s">
        <v>19</v>
      </c>
      <c r="G1313">
        <v>1</v>
      </c>
      <c r="H1313" t="s">
        <v>20</v>
      </c>
      <c r="I1313" t="s">
        <v>77</v>
      </c>
      <c r="J1313" s="1">
        <v>44063</v>
      </c>
      <c r="L1313" t="s">
        <v>14</v>
      </c>
      <c r="M1313">
        <v>35.03</v>
      </c>
      <c r="N1313">
        <v>35.03</v>
      </c>
      <c r="O1313" t="s">
        <v>21</v>
      </c>
      <c r="P1313">
        <f t="shared" si="63"/>
        <v>1</v>
      </c>
      <c r="Q1313" s="11">
        <f>IF(P1313=0,0,IFERROR(Q1312+G1313*M1313*IF(E1313="FUTURE",VLOOKUP(MID(I1313,2,2),[1]Futures!$A$2:$B$12,2),1),G1313*M1313*IF(E1313="FUTURE",VLOOKUP(MID(I1313,2,2),[1]Futures!$A$2:$B$12,2),1)))</f>
        <v>35030</v>
      </c>
      <c r="R1313" s="12">
        <f>IFERROR(Q1313/P1313/IF(E1313="FUTURE",VLOOKUP(MID(I1313,2,2),[1]Futures!$A$2:$B$12,2),1),"")</f>
        <v>35.03</v>
      </c>
      <c r="S1313" s="13" t="str">
        <f>IF(AND(H1313="TO CLOSE",P1313=0),-G1313*(M1313-R1312)*IF(E1313="FUTURE",VLOOKUP(MID(I1313,2,2),[1]Futures!$A$2:$B$12,2),1),"")</f>
        <v/>
      </c>
    </row>
    <row r="1314" spans="1:19" x14ac:dyDescent="0.2">
      <c r="A1314">
        <f t="shared" si="62"/>
        <v>409</v>
      </c>
      <c r="B1314" s="3">
        <v>43983</v>
      </c>
      <c r="C1314" s="3" t="str">
        <f t="shared" si="61"/>
        <v>Monday</v>
      </c>
      <c r="D1314" s="2">
        <v>0.47090277777777773</v>
      </c>
      <c r="E1314" t="s">
        <v>14</v>
      </c>
      <c r="F1314" t="s">
        <v>15</v>
      </c>
      <c r="G1314">
        <v>-1</v>
      </c>
      <c r="H1314" t="s">
        <v>16</v>
      </c>
      <c r="I1314" t="s">
        <v>77</v>
      </c>
      <c r="J1314" s="1">
        <v>44063</v>
      </c>
      <c r="L1314" t="s">
        <v>14</v>
      </c>
      <c r="M1314">
        <v>35.28</v>
      </c>
      <c r="N1314">
        <v>35.28</v>
      </c>
      <c r="O1314" t="s">
        <v>21</v>
      </c>
      <c r="P1314">
        <f t="shared" si="63"/>
        <v>0</v>
      </c>
      <c r="Q1314" s="11">
        <f>IF(P1314=0,0,IFERROR(Q1313+G1314*M1314*IF(E1314="FUTURE",VLOOKUP(MID(I1314,2,2),[1]Futures!$A$2:$B$12,2),1),G1314*M1314*IF(E1314="FUTURE",VLOOKUP(MID(I1314,2,2),[1]Futures!$A$2:$B$12,2),1)))</f>
        <v>0</v>
      </c>
      <c r="R1314" s="12" t="str">
        <f>IFERROR(Q1314/P1314/IF(E1314="FUTURE",VLOOKUP(MID(I1314,2,2),[1]Futures!$A$2:$B$12,2),1),"")</f>
        <v/>
      </c>
      <c r="S1314" s="13">
        <f>IF(AND(H1314="TO CLOSE",P1314=0),-G1314*(M1314-R1313)*IF(E1314="FUTURE",VLOOKUP(MID(I1314,2,2),[1]Futures!$A$2:$B$12,2),1),"")</f>
        <v>250</v>
      </c>
    </row>
    <row r="1315" spans="1:19" x14ac:dyDescent="0.2">
      <c r="A1315">
        <f t="shared" si="62"/>
        <v>410</v>
      </c>
      <c r="B1315" s="3">
        <v>43983</v>
      </c>
      <c r="C1315" s="3" t="str">
        <f t="shared" si="61"/>
        <v>Monday</v>
      </c>
      <c r="D1315" s="2">
        <v>0.48873842592592592</v>
      </c>
      <c r="E1315" t="s">
        <v>14</v>
      </c>
      <c r="F1315" t="s">
        <v>19</v>
      </c>
      <c r="G1315">
        <v>1</v>
      </c>
      <c r="H1315" t="s">
        <v>20</v>
      </c>
      <c r="I1315" t="s">
        <v>77</v>
      </c>
      <c r="J1315" s="1">
        <v>44063</v>
      </c>
      <c r="L1315" t="s">
        <v>14</v>
      </c>
      <c r="M1315">
        <v>35.19</v>
      </c>
      <c r="N1315">
        <v>35.19</v>
      </c>
      <c r="O1315" t="s">
        <v>24</v>
      </c>
      <c r="P1315">
        <f t="shared" si="63"/>
        <v>1</v>
      </c>
      <c r="Q1315" s="11">
        <f>IF(P1315=0,0,IFERROR(Q1314+G1315*M1315*IF(E1315="FUTURE",VLOOKUP(MID(I1315,2,2),[1]Futures!$A$2:$B$12,2),1),G1315*M1315*IF(E1315="FUTURE",VLOOKUP(MID(I1315,2,2),[1]Futures!$A$2:$B$12,2),1)))</f>
        <v>35190</v>
      </c>
      <c r="R1315" s="12">
        <f>IFERROR(Q1315/P1315/IF(E1315="FUTURE",VLOOKUP(MID(I1315,2,2),[1]Futures!$A$2:$B$12,2),1),"")</f>
        <v>35.19</v>
      </c>
      <c r="S1315" s="13" t="str">
        <f>IF(AND(H1315="TO CLOSE",P1315=0),-G1315*(M1315-R1314)*IF(E1315="FUTURE",VLOOKUP(MID(I1315,2,2),[1]Futures!$A$2:$B$12,2),1),"")</f>
        <v/>
      </c>
    </row>
    <row r="1316" spans="1:19" x14ac:dyDescent="0.2">
      <c r="A1316">
        <f t="shared" si="62"/>
        <v>410</v>
      </c>
      <c r="B1316" s="3">
        <v>43983</v>
      </c>
      <c r="C1316" s="3" t="str">
        <f t="shared" si="61"/>
        <v>Monday</v>
      </c>
      <c r="D1316" s="2">
        <v>0.49033564814814817</v>
      </c>
      <c r="E1316" t="s">
        <v>14</v>
      </c>
      <c r="F1316" t="s">
        <v>19</v>
      </c>
      <c r="G1316">
        <v>1</v>
      </c>
      <c r="H1316" t="s">
        <v>20</v>
      </c>
      <c r="I1316" t="s">
        <v>77</v>
      </c>
      <c r="J1316" s="1">
        <v>44063</v>
      </c>
      <c r="L1316" t="s">
        <v>14</v>
      </c>
      <c r="M1316">
        <v>35.07</v>
      </c>
      <c r="N1316">
        <v>35.07</v>
      </c>
      <c r="O1316" t="s">
        <v>21</v>
      </c>
      <c r="P1316">
        <f t="shared" si="63"/>
        <v>2</v>
      </c>
      <c r="Q1316" s="11">
        <f>IF(P1316=0,0,IFERROR(Q1315+G1316*M1316*IF(E1316="FUTURE",VLOOKUP(MID(I1316,2,2),[1]Futures!$A$2:$B$12,2),1),G1316*M1316*IF(E1316="FUTURE",VLOOKUP(MID(I1316,2,2),[1]Futures!$A$2:$B$12,2),1)))</f>
        <v>70260</v>
      </c>
      <c r="R1316" s="12">
        <f>IFERROR(Q1316/P1316/IF(E1316="FUTURE",VLOOKUP(MID(I1316,2,2),[1]Futures!$A$2:$B$12,2),1),"")</f>
        <v>35.130000000000003</v>
      </c>
      <c r="S1316" s="13" t="str">
        <f>IF(AND(H1316="TO CLOSE",P1316=0),-G1316*(M1316-R1315)*IF(E1316="FUTURE",VLOOKUP(MID(I1316,2,2),[1]Futures!$A$2:$B$12,2),1),"")</f>
        <v/>
      </c>
    </row>
    <row r="1317" spans="1:19" x14ac:dyDescent="0.2">
      <c r="A1317">
        <f t="shared" si="62"/>
        <v>410</v>
      </c>
      <c r="B1317" s="3">
        <v>43983</v>
      </c>
      <c r="C1317" s="3" t="str">
        <f t="shared" si="61"/>
        <v>Monday</v>
      </c>
      <c r="D1317" s="2">
        <v>0.49226851851851849</v>
      </c>
      <c r="E1317" t="s">
        <v>14</v>
      </c>
      <c r="F1317" t="s">
        <v>15</v>
      </c>
      <c r="G1317">
        <v>-1</v>
      </c>
      <c r="H1317" t="s">
        <v>16</v>
      </c>
      <c r="I1317" t="s">
        <v>77</v>
      </c>
      <c r="J1317" s="1">
        <v>44063</v>
      </c>
      <c r="L1317" t="s">
        <v>14</v>
      </c>
      <c r="M1317">
        <v>35.11</v>
      </c>
      <c r="N1317">
        <v>35.11</v>
      </c>
      <c r="O1317" t="s">
        <v>21</v>
      </c>
      <c r="P1317">
        <f t="shared" si="63"/>
        <v>1</v>
      </c>
      <c r="Q1317" s="11">
        <f>IF(P1317=0,0,IFERROR(Q1316+G1317*M1317*IF(E1317="FUTURE",VLOOKUP(MID(I1317,2,2),[1]Futures!$A$2:$B$12,2),1),G1317*M1317*IF(E1317="FUTURE",VLOOKUP(MID(I1317,2,2),[1]Futures!$A$2:$B$12,2),1)))</f>
        <v>35150</v>
      </c>
      <c r="R1317" s="12">
        <f>IFERROR(Q1317/P1317/IF(E1317="FUTURE",VLOOKUP(MID(I1317,2,2),[1]Futures!$A$2:$B$12,2),1),"")</f>
        <v>35.15</v>
      </c>
      <c r="S1317" s="13" t="str">
        <f>IF(AND(H1317="TO CLOSE",P1317=0),-G1317*(M1317-R1316)*IF(E1317="FUTURE",VLOOKUP(MID(I1317,2,2),[1]Futures!$A$2:$B$12,2),1),"")</f>
        <v/>
      </c>
    </row>
    <row r="1318" spans="1:19" x14ac:dyDescent="0.2">
      <c r="A1318">
        <f t="shared" si="62"/>
        <v>410</v>
      </c>
      <c r="B1318" s="3">
        <v>43983</v>
      </c>
      <c r="C1318" s="3" t="str">
        <f t="shared" si="61"/>
        <v>Monday</v>
      </c>
      <c r="D1318" s="2">
        <v>0.52224537037037033</v>
      </c>
      <c r="E1318" t="s">
        <v>14</v>
      </c>
      <c r="F1318" t="s">
        <v>15</v>
      </c>
      <c r="G1318">
        <v>-1</v>
      </c>
      <c r="H1318" t="s">
        <v>16</v>
      </c>
      <c r="I1318" t="s">
        <v>77</v>
      </c>
      <c r="J1318" s="1">
        <v>44063</v>
      </c>
      <c r="L1318" t="s">
        <v>14</v>
      </c>
      <c r="M1318">
        <v>35.15</v>
      </c>
      <c r="N1318">
        <v>35.15</v>
      </c>
      <c r="O1318" t="s">
        <v>21</v>
      </c>
      <c r="P1318">
        <f t="shared" si="63"/>
        <v>0</v>
      </c>
      <c r="Q1318" s="11">
        <f>IF(P1318=0,0,IFERROR(Q1317+G1318*M1318*IF(E1318="FUTURE",VLOOKUP(MID(I1318,2,2),[1]Futures!$A$2:$B$12,2),1),G1318*M1318*IF(E1318="FUTURE",VLOOKUP(MID(I1318,2,2),[1]Futures!$A$2:$B$12,2),1)))</f>
        <v>0</v>
      </c>
      <c r="R1318" s="12" t="str">
        <f>IFERROR(Q1318/P1318/IF(E1318="FUTURE",VLOOKUP(MID(I1318,2,2),[1]Futures!$A$2:$B$12,2),1),"")</f>
        <v/>
      </c>
      <c r="S1318" s="13">
        <f>IF(AND(H1318="TO CLOSE",P1318=0),-G1318*(M1318-R1317)*IF(E1318="FUTURE",VLOOKUP(MID(I1318,2,2),[1]Futures!$A$2:$B$12,2),1),"")</f>
        <v>0</v>
      </c>
    </row>
    <row r="1319" spans="1:19" x14ac:dyDescent="0.2">
      <c r="A1319">
        <f t="shared" si="62"/>
        <v>411</v>
      </c>
      <c r="B1319" s="3">
        <v>43983</v>
      </c>
      <c r="C1319" s="3" t="str">
        <f t="shared" si="61"/>
        <v>Monday</v>
      </c>
      <c r="D1319" s="2">
        <v>0.40965277777777781</v>
      </c>
      <c r="E1319" t="s">
        <v>14</v>
      </c>
      <c r="F1319" t="s">
        <v>19</v>
      </c>
      <c r="G1319">
        <v>4</v>
      </c>
      <c r="H1319" t="s">
        <v>20</v>
      </c>
      <c r="I1319" t="s">
        <v>73</v>
      </c>
      <c r="J1319" s="1">
        <v>44002</v>
      </c>
      <c r="L1319" t="s">
        <v>14</v>
      </c>
      <c r="M1319">
        <v>3041.75</v>
      </c>
      <c r="N1319">
        <v>3041.75</v>
      </c>
      <c r="O1319" t="s">
        <v>21</v>
      </c>
      <c r="P1319">
        <f t="shared" si="63"/>
        <v>4</v>
      </c>
      <c r="Q1319" s="11">
        <f>IF(P1319=0,0,IFERROR(Q1318+G1319*M1319*IF(E1319="FUTURE",VLOOKUP(MID(I1319,2,2),[1]Futures!$A$2:$B$12,2),1),G1319*M1319*IF(E1319="FUTURE",VLOOKUP(MID(I1319,2,2),[1]Futures!$A$2:$B$12,2),1)))</f>
        <v>60835</v>
      </c>
      <c r="R1319" s="12">
        <f>IFERROR(Q1319/P1319/IF(E1319="FUTURE",VLOOKUP(MID(I1319,2,2),[1]Futures!$A$2:$B$12,2),1),"")</f>
        <v>3041.75</v>
      </c>
      <c r="S1319" s="13" t="str">
        <f>IF(AND(H1319="TO CLOSE",P1319=0),-G1319*(M1319-R1318)*IF(E1319="FUTURE",VLOOKUP(MID(I1319,2,2),[1]Futures!$A$2:$B$12,2),1),"")</f>
        <v/>
      </c>
    </row>
    <row r="1320" spans="1:19" x14ac:dyDescent="0.2">
      <c r="A1320">
        <f t="shared" si="62"/>
        <v>411</v>
      </c>
      <c r="B1320" s="3">
        <v>43983</v>
      </c>
      <c r="C1320" s="3" t="str">
        <f t="shared" si="61"/>
        <v>Monday</v>
      </c>
      <c r="D1320" s="2">
        <v>0.40965277777777781</v>
      </c>
      <c r="E1320" t="s">
        <v>14</v>
      </c>
      <c r="F1320" t="s">
        <v>19</v>
      </c>
      <c r="G1320">
        <v>2</v>
      </c>
      <c r="H1320" t="s">
        <v>20</v>
      </c>
      <c r="I1320" t="s">
        <v>73</v>
      </c>
      <c r="J1320" s="1">
        <v>44002</v>
      </c>
      <c r="L1320" t="s">
        <v>14</v>
      </c>
      <c r="M1320">
        <v>3041.75</v>
      </c>
      <c r="N1320">
        <v>3041.75</v>
      </c>
      <c r="O1320" t="s">
        <v>21</v>
      </c>
      <c r="P1320">
        <f t="shared" si="63"/>
        <v>6</v>
      </c>
      <c r="Q1320" s="11">
        <f>IF(P1320=0,0,IFERROR(Q1319+G1320*M1320*IF(E1320="FUTURE",VLOOKUP(MID(I1320,2,2),[1]Futures!$A$2:$B$12,2),1),G1320*M1320*IF(E1320="FUTURE",VLOOKUP(MID(I1320,2,2),[1]Futures!$A$2:$B$12,2),1)))</f>
        <v>91252.5</v>
      </c>
      <c r="R1320" s="12">
        <f>IFERROR(Q1320/P1320/IF(E1320="FUTURE",VLOOKUP(MID(I1320,2,2),[1]Futures!$A$2:$B$12,2),1),"")</f>
        <v>3041.75</v>
      </c>
      <c r="S1320" s="13" t="str">
        <f>IF(AND(H1320="TO CLOSE",P1320=0),-G1320*(M1320-R1319)*IF(E1320="FUTURE",VLOOKUP(MID(I1320,2,2),[1]Futures!$A$2:$B$12,2),1),"")</f>
        <v/>
      </c>
    </row>
    <row r="1321" spans="1:19" x14ac:dyDescent="0.2">
      <c r="A1321">
        <f t="shared" si="62"/>
        <v>411</v>
      </c>
      <c r="B1321" s="3">
        <v>43983</v>
      </c>
      <c r="C1321" s="3" t="str">
        <f t="shared" si="61"/>
        <v>Monday</v>
      </c>
      <c r="D1321" s="2">
        <v>0.4324884259259259</v>
      </c>
      <c r="E1321" t="s">
        <v>14</v>
      </c>
      <c r="F1321" t="s">
        <v>15</v>
      </c>
      <c r="G1321">
        <v>-1</v>
      </c>
      <c r="H1321" t="s">
        <v>16</v>
      </c>
      <c r="I1321" t="s">
        <v>73</v>
      </c>
      <c r="J1321" s="1">
        <v>44002</v>
      </c>
      <c r="L1321" t="s">
        <v>14</v>
      </c>
      <c r="M1321">
        <v>3045.75</v>
      </c>
      <c r="N1321">
        <v>3045.75</v>
      </c>
      <c r="O1321" t="s">
        <v>21</v>
      </c>
      <c r="P1321">
        <f t="shared" si="63"/>
        <v>5</v>
      </c>
      <c r="Q1321" s="11">
        <f>IF(P1321=0,0,IFERROR(Q1320+G1321*M1321*IF(E1321="FUTURE",VLOOKUP(MID(I1321,2,2),[1]Futures!$A$2:$B$12,2),1),G1321*M1321*IF(E1321="FUTURE",VLOOKUP(MID(I1321,2,2),[1]Futures!$A$2:$B$12,2),1)))</f>
        <v>76023.75</v>
      </c>
      <c r="R1321" s="12">
        <f>IFERROR(Q1321/P1321/IF(E1321="FUTURE",VLOOKUP(MID(I1321,2,2),[1]Futures!$A$2:$B$12,2),1),"")</f>
        <v>3040.95</v>
      </c>
      <c r="S1321" s="13" t="str">
        <f>IF(AND(H1321="TO CLOSE",P1321=0),-G1321*(M1321-R1320)*IF(E1321="FUTURE",VLOOKUP(MID(I1321,2,2),[1]Futures!$A$2:$B$12,2),1),"")</f>
        <v/>
      </c>
    </row>
    <row r="1322" spans="1:19" x14ac:dyDescent="0.2">
      <c r="A1322">
        <f t="shared" si="62"/>
        <v>411</v>
      </c>
      <c r="B1322" s="3">
        <v>43983</v>
      </c>
      <c r="C1322" s="3" t="str">
        <f t="shared" si="61"/>
        <v>Monday</v>
      </c>
      <c r="D1322" s="2">
        <v>0.4324884259259259</v>
      </c>
      <c r="E1322" t="s">
        <v>14</v>
      </c>
      <c r="F1322" t="s">
        <v>15</v>
      </c>
      <c r="G1322">
        <v>-1</v>
      </c>
      <c r="H1322" t="s">
        <v>16</v>
      </c>
      <c r="I1322" t="s">
        <v>73</v>
      </c>
      <c r="J1322" s="1">
        <v>44002</v>
      </c>
      <c r="L1322" t="s">
        <v>14</v>
      </c>
      <c r="M1322">
        <v>3045.75</v>
      </c>
      <c r="N1322">
        <v>3045.75</v>
      </c>
      <c r="O1322" t="s">
        <v>21</v>
      </c>
      <c r="P1322">
        <f t="shared" si="63"/>
        <v>4</v>
      </c>
      <c r="Q1322" s="11">
        <f>IF(P1322=0,0,IFERROR(Q1321+G1322*M1322*IF(E1322="FUTURE",VLOOKUP(MID(I1322,2,2),[1]Futures!$A$2:$B$12,2),1),G1322*M1322*IF(E1322="FUTURE",VLOOKUP(MID(I1322,2,2),[1]Futures!$A$2:$B$12,2),1)))</f>
        <v>60795</v>
      </c>
      <c r="R1322" s="12">
        <f>IFERROR(Q1322/P1322/IF(E1322="FUTURE",VLOOKUP(MID(I1322,2,2),[1]Futures!$A$2:$B$12,2),1),"")</f>
        <v>3039.75</v>
      </c>
      <c r="S1322" s="13" t="str">
        <f>IF(AND(H1322="TO CLOSE",P1322=0),-G1322*(M1322-R1321)*IF(E1322="FUTURE",VLOOKUP(MID(I1322,2,2),[1]Futures!$A$2:$B$12,2),1),"")</f>
        <v/>
      </c>
    </row>
    <row r="1323" spans="1:19" x14ac:dyDescent="0.2">
      <c r="A1323">
        <f t="shared" si="62"/>
        <v>411</v>
      </c>
      <c r="B1323" s="3">
        <v>43983</v>
      </c>
      <c r="C1323" s="3" t="str">
        <f t="shared" si="61"/>
        <v>Monday</v>
      </c>
      <c r="D1323" s="2">
        <v>0.43729166666666663</v>
      </c>
      <c r="E1323" t="s">
        <v>14</v>
      </c>
      <c r="F1323" t="s">
        <v>15</v>
      </c>
      <c r="G1323">
        <v>-2</v>
      </c>
      <c r="H1323" t="s">
        <v>16</v>
      </c>
      <c r="I1323" t="s">
        <v>73</v>
      </c>
      <c r="J1323" s="1">
        <v>44002</v>
      </c>
      <c r="L1323" t="s">
        <v>14</v>
      </c>
      <c r="M1323">
        <v>3046.75</v>
      </c>
      <c r="N1323">
        <v>3046.75</v>
      </c>
      <c r="O1323" t="s">
        <v>21</v>
      </c>
      <c r="P1323">
        <f t="shared" si="63"/>
        <v>2</v>
      </c>
      <c r="Q1323" s="11">
        <f>IF(P1323=0,0,IFERROR(Q1322+G1323*M1323*IF(E1323="FUTURE",VLOOKUP(MID(I1323,2,2),[1]Futures!$A$2:$B$12,2),1),G1323*M1323*IF(E1323="FUTURE",VLOOKUP(MID(I1323,2,2),[1]Futures!$A$2:$B$12,2),1)))</f>
        <v>30327.5</v>
      </c>
      <c r="R1323" s="12">
        <f>IFERROR(Q1323/P1323/IF(E1323="FUTURE",VLOOKUP(MID(I1323,2,2),[1]Futures!$A$2:$B$12,2),1),"")</f>
        <v>3032.75</v>
      </c>
      <c r="S1323" s="13" t="str">
        <f>IF(AND(H1323="TO CLOSE",P1323=0),-G1323*(M1323-R1322)*IF(E1323="FUTURE",VLOOKUP(MID(I1323,2,2),[1]Futures!$A$2:$B$12,2),1),"")</f>
        <v/>
      </c>
    </row>
    <row r="1324" spans="1:19" x14ac:dyDescent="0.2">
      <c r="A1324">
        <f t="shared" si="62"/>
        <v>411</v>
      </c>
      <c r="B1324" s="3">
        <v>43983</v>
      </c>
      <c r="C1324" s="3" t="str">
        <f t="shared" si="61"/>
        <v>Monday</v>
      </c>
      <c r="D1324" s="2">
        <v>0.45039351851851855</v>
      </c>
      <c r="E1324" t="s">
        <v>14</v>
      </c>
      <c r="F1324" t="s">
        <v>15</v>
      </c>
      <c r="G1324">
        <v>-2</v>
      </c>
      <c r="H1324" t="s">
        <v>16</v>
      </c>
      <c r="I1324" t="s">
        <v>73</v>
      </c>
      <c r="J1324" s="1">
        <v>44002</v>
      </c>
      <c r="L1324" t="s">
        <v>14</v>
      </c>
      <c r="M1324">
        <v>3046.75</v>
      </c>
      <c r="N1324">
        <v>3046.75</v>
      </c>
      <c r="O1324" t="s">
        <v>21</v>
      </c>
      <c r="P1324">
        <f t="shared" si="63"/>
        <v>0</v>
      </c>
      <c r="Q1324" s="11">
        <f>IF(P1324=0,0,IFERROR(Q1323+G1324*M1324*IF(E1324="FUTURE",VLOOKUP(MID(I1324,2,2),[1]Futures!$A$2:$B$12,2),1),G1324*M1324*IF(E1324="FUTURE",VLOOKUP(MID(I1324,2,2),[1]Futures!$A$2:$B$12,2),1)))</f>
        <v>0</v>
      </c>
      <c r="R1324" s="12" t="str">
        <f>IFERROR(Q1324/P1324/IF(E1324="FUTURE",VLOOKUP(MID(I1324,2,2),[1]Futures!$A$2:$B$12,2),1),"")</f>
        <v/>
      </c>
      <c r="S1324" s="13">
        <f>IF(AND(H1324="TO CLOSE",P1324=0),-G1324*(M1324-R1323)*IF(E1324="FUTURE",VLOOKUP(MID(I1324,2,2),[1]Futures!$A$2:$B$12,2),1),"")</f>
        <v>140</v>
      </c>
    </row>
    <row r="1325" spans="1:19" x14ac:dyDescent="0.2">
      <c r="A1325">
        <f t="shared" si="62"/>
        <v>412</v>
      </c>
      <c r="B1325" s="3">
        <v>43983</v>
      </c>
      <c r="C1325" s="3" t="str">
        <f t="shared" si="61"/>
        <v>Monday</v>
      </c>
      <c r="D1325" s="2">
        <v>0.46619212962962964</v>
      </c>
      <c r="E1325" t="s">
        <v>14</v>
      </c>
      <c r="F1325" t="s">
        <v>19</v>
      </c>
      <c r="G1325">
        <v>5</v>
      </c>
      <c r="H1325" t="s">
        <v>20</v>
      </c>
      <c r="I1325" t="s">
        <v>73</v>
      </c>
      <c r="J1325" s="1">
        <v>44002</v>
      </c>
      <c r="L1325" t="s">
        <v>14</v>
      </c>
      <c r="M1325">
        <v>3041.5</v>
      </c>
      <c r="N1325">
        <v>3041.5</v>
      </c>
      <c r="O1325" t="s">
        <v>21</v>
      </c>
      <c r="P1325">
        <f t="shared" si="63"/>
        <v>5</v>
      </c>
      <c r="Q1325" s="11">
        <f>IF(P1325=0,0,IFERROR(Q1324+G1325*M1325*IF(E1325="FUTURE",VLOOKUP(MID(I1325,2,2),[1]Futures!$A$2:$B$12,2),1),G1325*M1325*IF(E1325="FUTURE",VLOOKUP(MID(I1325,2,2),[1]Futures!$A$2:$B$12,2),1)))</f>
        <v>76037.5</v>
      </c>
      <c r="R1325" s="12">
        <f>IFERROR(Q1325/P1325/IF(E1325="FUTURE",VLOOKUP(MID(I1325,2,2),[1]Futures!$A$2:$B$12,2),1),"")</f>
        <v>3041.5</v>
      </c>
      <c r="S1325" s="13" t="str">
        <f>IF(AND(H1325="TO CLOSE",P1325=0),-G1325*(M1325-R1324)*IF(E1325="FUTURE",VLOOKUP(MID(I1325,2,2),[1]Futures!$A$2:$B$12,2),1),"")</f>
        <v/>
      </c>
    </row>
    <row r="1326" spans="1:19" x14ac:dyDescent="0.2">
      <c r="A1326">
        <f t="shared" si="62"/>
        <v>412</v>
      </c>
      <c r="B1326" s="3">
        <v>43983</v>
      </c>
      <c r="C1326" s="3" t="str">
        <f t="shared" si="61"/>
        <v>Monday</v>
      </c>
      <c r="D1326" s="2">
        <v>0.46895833333333337</v>
      </c>
      <c r="E1326" t="s">
        <v>14</v>
      </c>
      <c r="F1326" t="s">
        <v>15</v>
      </c>
      <c r="G1326">
        <v>-2</v>
      </c>
      <c r="H1326" t="s">
        <v>16</v>
      </c>
      <c r="I1326" t="s">
        <v>73</v>
      </c>
      <c r="J1326" s="1">
        <v>44002</v>
      </c>
      <c r="L1326" t="s">
        <v>14</v>
      </c>
      <c r="M1326">
        <v>3043.5</v>
      </c>
      <c r="N1326">
        <v>3043.5</v>
      </c>
      <c r="O1326" t="s">
        <v>21</v>
      </c>
      <c r="P1326">
        <f t="shared" si="63"/>
        <v>3</v>
      </c>
      <c r="Q1326" s="11">
        <f>IF(P1326=0,0,IFERROR(Q1325+G1326*M1326*IF(E1326="FUTURE",VLOOKUP(MID(I1326,2,2),[1]Futures!$A$2:$B$12,2),1),G1326*M1326*IF(E1326="FUTURE",VLOOKUP(MID(I1326,2,2),[1]Futures!$A$2:$B$12,2),1)))</f>
        <v>45602.5</v>
      </c>
      <c r="R1326" s="12">
        <f>IFERROR(Q1326/P1326/IF(E1326="FUTURE",VLOOKUP(MID(I1326,2,2),[1]Futures!$A$2:$B$12,2),1),"")</f>
        <v>3040.166666666667</v>
      </c>
      <c r="S1326" s="13" t="str">
        <f>IF(AND(H1326="TO CLOSE",P1326=0),-G1326*(M1326-R1325)*IF(E1326="FUTURE",VLOOKUP(MID(I1326,2,2),[1]Futures!$A$2:$B$12,2),1),"")</f>
        <v/>
      </c>
    </row>
    <row r="1327" spans="1:19" x14ac:dyDescent="0.2">
      <c r="A1327">
        <f t="shared" si="62"/>
        <v>412</v>
      </c>
      <c r="B1327" s="3">
        <v>43983</v>
      </c>
      <c r="C1327" s="3" t="str">
        <f t="shared" si="61"/>
        <v>Monday</v>
      </c>
      <c r="D1327" s="2">
        <v>0.47186342592592595</v>
      </c>
      <c r="E1327" t="s">
        <v>14</v>
      </c>
      <c r="F1327" t="s">
        <v>15</v>
      </c>
      <c r="G1327">
        <v>-3</v>
      </c>
      <c r="H1327" t="s">
        <v>16</v>
      </c>
      <c r="I1327" t="s">
        <v>73</v>
      </c>
      <c r="J1327" s="1">
        <v>44002</v>
      </c>
      <c r="L1327" t="s">
        <v>14</v>
      </c>
      <c r="M1327">
        <v>3043</v>
      </c>
      <c r="N1327">
        <v>3043</v>
      </c>
      <c r="O1327" t="s">
        <v>21</v>
      </c>
      <c r="P1327">
        <f t="shared" si="63"/>
        <v>0</v>
      </c>
      <c r="Q1327" s="11">
        <f>IF(P1327=0,0,IFERROR(Q1326+G1327*M1327*IF(E1327="FUTURE",VLOOKUP(MID(I1327,2,2),[1]Futures!$A$2:$B$12,2),1),G1327*M1327*IF(E1327="FUTURE",VLOOKUP(MID(I1327,2,2),[1]Futures!$A$2:$B$12,2),1)))</f>
        <v>0</v>
      </c>
      <c r="R1327" s="12" t="str">
        <f>IFERROR(Q1327/P1327/IF(E1327="FUTURE",VLOOKUP(MID(I1327,2,2),[1]Futures!$A$2:$B$12,2),1),"")</f>
        <v/>
      </c>
      <c r="S1327" s="13">
        <f>IF(AND(H1327="TO CLOSE",P1327=0),-G1327*(M1327-R1326)*IF(E1327="FUTURE",VLOOKUP(MID(I1327,2,2),[1]Futures!$A$2:$B$12,2),1),"")</f>
        <v>42.499999999995453</v>
      </c>
    </row>
    <row r="1328" spans="1:19" x14ac:dyDescent="0.2">
      <c r="A1328">
        <f t="shared" si="62"/>
        <v>413</v>
      </c>
      <c r="B1328" s="3">
        <v>43983</v>
      </c>
      <c r="C1328" s="3" t="str">
        <f t="shared" si="61"/>
        <v>Monday</v>
      </c>
      <c r="D1328" s="2">
        <v>0.48861111111111111</v>
      </c>
      <c r="E1328" t="s">
        <v>14</v>
      </c>
      <c r="F1328" t="s">
        <v>19</v>
      </c>
      <c r="G1328">
        <v>5</v>
      </c>
      <c r="H1328" t="s">
        <v>20</v>
      </c>
      <c r="I1328" t="s">
        <v>73</v>
      </c>
      <c r="J1328" s="1">
        <v>44002</v>
      </c>
      <c r="L1328" t="s">
        <v>14</v>
      </c>
      <c r="M1328">
        <v>3047.25</v>
      </c>
      <c r="N1328">
        <v>3047.25</v>
      </c>
      <c r="O1328" t="s">
        <v>24</v>
      </c>
      <c r="P1328">
        <f t="shared" si="63"/>
        <v>5</v>
      </c>
      <c r="Q1328" s="11">
        <f>IF(P1328=0,0,IFERROR(Q1327+G1328*M1328*IF(E1328="FUTURE",VLOOKUP(MID(I1328,2,2),[1]Futures!$A$2:$B$12,2),1),G1328*M1328*IF(E1328="FUTURE",VLOOKUP(MID(I1328,2,2),[1]Futures!$A$2:$B$12,2),1)))</f>
        <v>76181.25</v>
      </c>
      <c r="R1328" s="12">
        <f>IFERROR(Q1328/P1328/IF(E1328="FUTURE",VLOOKUP(MID(I1328,2,2),[1]Futures!$A$2:$B$12,2),1),"")</f>
        <v>3047.25</v>
      </c>
      <c r="S1328" s="13" t="str">
        <f>IF(AND(H1328="TO CLOSE",P1328=0),-G1328*(M1328-R1327)*IF(E1328="FUTURE",VLOOKUP(MID(I1328,2,2),[1]Futures!$A$2:$B$12,2),1),"")</f>
        <v/>
      </c>
    </row>
    <row r="1329" spans="1:19" x14ac:dyDescent="0.2">
      <c r="A1329">
        <f t="shared" si="62"/>
        <v>413</v>
      </c>
      <c r="B1329" s="3">
        <v>43983</v>
      </c>
      <c r="C1329" s="3" t="str">
        <f t="shared" si="61"/>
        <v>Monday</v>
      </c>
      <c r="D1329" s="2">
        <v>0.50660879629629629</v>
      </c>
      <c r="E1329" t="s">
        <v>14</v>
      </c>
      <c r="F1329" t="s">
        <v>15</v>
      </c>
      <c r="G1329">
        <v>-2</v>
      </c>
      <c r="H1329" t="s">
        <v>16</v>
      </c>
      <c r="I1329" t="s">
        <v>73</v>
      </c>
      <c r="J1329" s="1">
        <v>44002</v>
      </c>
      <c r="L1329" t="s">
        <v>14</v>
      </c>
      <c r="M1329">
        <v>3048.25</v>
      </c>
      <c r="N1329">
        <v>3048.25</v>
      </c>
      <c r="O1329" t="s">
        <v>21</v>
      </c>
      <c r="P1329">
        <f t="shared" si="63"/>
        <v>3</v>
      </c>
      <c r="Q1329" s="11">
        <f>IF(P1329=0,0,IFERROR(Q1328+G1329*M1329*IF(E1329="FUTURE",VLOOKUP(MID(I1329,2,2),[1]Futures!$A$2:$B$12,2),1),G1329*M1329*IF(E1329="FUTURE",VLOOKUP(MID(I1329,2,2),[1]Futures!$A$2:$B$12,2),1)))</f>
        <v>45698.75</v>
      </c>
      <c r="R1329" s="12">
        <f>IFERROR(Q1329/P1329/IF(E1329="FUTURE",VLOOKUP(MID(I1329,2,2),[1]Futures!$A$2:$B$12,2),1),"")</f>
        <v>3046.583333333333</v>
      </c>
      <c r="S1329" s="13" t="str">
        <f>IF(AND(H1329="TO CLOSE",P1329=0),-G1329*(M1329-R1328)*IF(E1329="FUTURE",VLOOKUP(MID(I1329,2,2),[1]Futures!$A$2:$B$12,2),1),"")</f>
        <v/>
      </c>
    </row>
    <row r="1330" spans="1:19" x14ac:dyDescent="0.2">
      <c r="A1330">
        <f t="shared" si="62"/>
        <v>413</v>
      </c>
      <c r="B1330" s="3">
        <v>43983</v>
      </c>
      <c r="C1330" s="3" t="str">
        <f t="shared" si="61"/>
        <v>Monday</v>
      </c>
      <c r="D1330" s="2">
        <v>0.51537037037037037</v>
      </c>
      <c r="E1330" t="s">
        <v>14</v>
      </c>
      <c r="F1330" t="s">
        <v>15</v>
      </c>
      <c r="G1330">
        <v>-3</v>
      </c>
      <c r="H1330" t="s">
        <v>16</v>
      </c>
      <c r="I1330" t="s">
        <v>73</v>
      </c>
      <c r="J1330" s="1">
        <v>44002</v>
      </c>
      <c r="L1330" t="s">
        <v>14</v>
      </c>
      <c r="M1330">
        <v>3049.75</v>
      </c>
      <c r="N1330">
        <v>3049.75</v>
      </c>
      <c r="O1330" t="s">
        <v>21</v>
      </c>
      <c r="P1330">
        <f t="shared" si="63"/>
        <v>0</v>
      </c>
      <c r="Q1330" s="11">
        <f>IF(P1330=0,0,IFERROR(Q1329+G1330*M1330*IF(E1330="FUTURE",VLOOKUP(MID(I1330,2,2),[1]Futures!$A$2:$B$12,2),1),G1330*M1330*IF(E1330="FUTURE",VLOOKUP(MID(I1330,2,2),[1]Futures!$A$2:$B$12,2),1)))</f>
        <v>0</v>
      </c>
      <c r="R1330" s="12" t="str">
        <f>IFERROR(Q1330/P1330/IF(E1330="FUTURE",VLOOKUP(MID(I1330,2,2),[1]Futures!$A$2:$B$12,2),1),"")</f>
        <v/>
      </c>
      <c r="S1330" s="13">
        <f>IF(AND(H1330="TO CLOSE",P1330=0),-G1330*(M1330-R1329)*IF(E1330="FUTURE",VLOOKUP(MID(I1330,2,2),[1]Futures!$A$2:$B$12,2),1),"")</f>
        <v>47.500000000004547</v>
      </c>
    </row>
    <row r="1331" spans="1:19" x14ac:dyDescent="0.2">
      <c r="A1331">
        <f t="shared" si="62"/>
        <v>414</v>
      </c>
      <c r="B1331" s="3">
        <v>43984</v>
      </c>
      <c r="C1331" s="3" t="str">
        <f t="shared" si="61"/>
        <v>Tuesday</v>
      </c>
      <c r="D1331" s="2">
        <v>0.40717592592592594</v>
      </c>
      <c r="E1331" t="s">
        <v>14</v>
      </c>
      <c r="F1331" t="s">
        <v>19</v>
      </c>
      <c r="G1331">
        <v>1</v>
      </c>
      <c r="H1331" t="s">
        <v>20</v>
      </c>
      <c r="I1331" t="s">
        <v>77</v>
      </c>
      <c r="J1331" s="1">
        <v>44063</v>
      </c>
      <c r="L1331" t="s">
        <v>14</v>
      </c>
      <c r="M1331">
        <v>36.200000000000003</v>
      </c>
      <c r="N1331">
        <v>36.200000000000003</v>
      </c>
      <c r="O1331" t="s">
        <v>21</v>
      </c>
      <c r="P1331">
        <f t="shared" si="63"/>
        <v>1</v>
      </c>
      <c r="Q1331" s="11">
        <f>IF(P1331=0,0,IFERROR(Q1330+G1331*M1331*IF(E1331="FUTURE",VLOOKUP(MID(I1331,2,2),[1]Futures!$A$2:$B$12,2),1),G1331*M1331*IF(E1331="FUTURE",VLOOKUP(MID(I1331,2,2),[1]Futures!$A$2:$B$12,2),1)))</f>
        <v>36200</v>
      </c>
      <c r="R1331" s="12">
        <f>IFERROR(Q1331/P1331/IF(E1331="FUTURE",VLOOKUP(MID(I1331,2,2),[1]Futures!$A$2:$B$12,2),1),"")</f>
        <v>36.200000000000003</v>
      </c>
      <c r="S1331" s="13" t="str">
        <f>IF(AND(H1331="TO CLOSE",P1331=0),-G1331*(M1331-R1330)*IF(E1331="FUTURE",VLOOKUP(MID(I1331,2,2),[1]Futures!$A$2:$B$12,2),1),"")</f>
        <v/>
      </c>
    </row>
    <row r="1332" spans="1:19" x14ac:dyDescent="0.2">
      <c r="A1332">
        <f t="shared" si="62"/>
        <v>414</v>
      </c>
      <c r="B1332" s="3">
        <v>43984</v>
      </c>
      <c r="C1332" s="3" t="str">
        <f t="shared" si="61"/>
        <v>Tuesday</v>
      </c>
      <c r="D1332" s="2">
        <v>0.4163425925925926</v>
      </c>
      <c r="E1332" t="s">
        <v>14</v>
      </c>
      <c r="F1332" t="s">
        <v>15</v>
      </c>
      <c r="G1332">
        <v>-1</v>
      </c>
      <c r="H1332" t="s">
        <v>16</v>
      </c>
      <c r="I1332" t="s">
        <v>77</v>
      </c>
      <c r="J1332" s="1">
        <v>44063</v>
      </c>
      <c r="L1332" t="s">
        <v>14</v>
      </c>
      <c r="M1332">
        <v>36.28</v>
      </c>
      <c r="N1332">
        <v>36.28</v>
      </c>
      <c r="O1332" t="s">
        <v>21</v>
      </c>
      <c r="P1332">
        <f t="shared" si="63"/>
        <v>0</v>
      </c>
      <c r="Q1332" s="11">
        <f>IF(P1332=0,0,IFERROR(Q1331+G1332*M1332*IF(E1332="FUTURE",VLOOKUP(MID(I1332,2,2),[1]Futures!$A$2:$B$12,2),1),G1332*M1332*IF(E1332="FUTURE",VLOOKUP(MID(I1332,2,2),[1]Futures!$A$2:$B$12,2),1)))</f>
        <v>0</v>
      </c>
      <c r="R1332" s="12" t="str">
        <f>IFERROR(Q1332/P1332/IF(E1332="FUTURE",VLOOKUP(MID(I1332,2,2),[1]Futures!$A$2:$B$12,2),1),"")</f>
        <v/>
      </c>
      <c r="S1332" s="13">
        <f>IF(AND(H1332="TO CLOSE",P1332=0),-G1332*(M1332-R1331)*IF(E1332="FUTURE",VLOOKUP(MID(I1332,2,2),[1]Futures!$A$2:$B$12,2),1),"")</f>
        <v>79.999999999998295</v>
      </c>
    </row>
    <row r="1333" spans="1:19" x14ac:dyDescent="0.2">
      <c r="A1333">
        <f t="shared" si="62"/>
        <v>415</v>
      </c>
      <c r="B1333" s="3">
        <v>43984</v>
      </c>
      <c r="C1333" s="3" t="str">
        <f t="shared" si="61"/>
        <v>Tuesday</v>
      </c>
      <c r="D1333" s="2">
        <v>0.41981481481481481</v>
      </c>
      <c r="E1333" t="s">
        <v>14</v>
      </c>
      <c r="F1333" t="s">
        <v>15</v>
      </c>
      <c r="G1333">
        <v>-1</v>
      </c>
      <c r="H1333" t="s">
        <v>20</v>
      </c>
      <c r="I1333" t="s">
        <v>77</v>
      </c>
      <c r="J1333" s="1">
        <v>44063</v>
      </c>
      <c r="L1333" t="s">
        <v>14</v>
      </c>
      <c r="M1333">
        <v>36.200000000000003</v>
      </c>
      <c r="N1333">
        <v>36.200000000000003</v>
      </c>
      <c r="O1333" t="s">
        <v>24</v>
      </c>
      <c r="P1333">
        <f t="shared" si="63"/>
        <v>-1</v>
      </c>
      <c r="Q1333" s="11">
        <f>IF(P1333=0,0,IFERROR(Q1332+G1333*M1333*IF(E1333="FUTURE",VLOOKUP(MID(I1333,2,2),[1]Futures!$A$2:$B$12,2),1),G1333*M1333*IF(E1333="FUTURE",VLOOKUP(MID(I1333,2,2),[1]Futures!$A$2:$B$12,2),1)))</f>
        <v>-36200</v>
      </c>
      <c r="R1333" s="12">
        <f>IFERROR(Q1333/P1333/IF(E1333="FUTURE",VLOOKUP(MID(I1333,2,2),[1]Futures!$A$2:$B$12,2),1),"")</f>
        <v>36.200000000000003</v>
      </c>
      <c r="S1333" s="13" t="str">
        <f>IF(AND(H1333="TO CLOSE",P1333=0),-G1333*(M1333-R1332)*IF(E1333="FUTURE",VLOOKUP(MID(I1333,2,2),[1]Futures!$A$2:$B$12,2),1),"")</f>
        <v/>
      </c>
    </row>
    <row r="1334" spans="1:19" x14ac:dyDescent="0.2">
      <c r="A1334">
        <f t="shared" si="62"/>
        <v>415</v>
      </c>
      <c r="B1334" s="3">
        <v>43984</v>
      </c>
      <c r="C1334" s="3" t="str">
        <f t="shared" si="61"/>
        <v>Tuesday</v>
      </c>
      <c r="D1334" s="2">
        <v>0.45521990740740742</v>
      </c>
      <c r="E1334" t="s">
        <v>14</v>
      </c>
      <c r="F1334" t="s">
        <v>15</v>
      </c>
      <c r="G1334">
        <v>-1</v>
      </c>
      <c r="H1334" t="s">
        <v>20</v>
      </c>
      <c r="I1334" t="s">
        <v>77</v>
      </c>
      <c r="J1334" s="1">
        <v>44063</v>
      </c>
      <c r="L1334" t="s">
        <v>14</v>
      </c>
      <c r="M1334">
        <v>36.28</v>
      </c>
      <c r="N1334">
        <v>36.28</v>
      </c>
      <c r="O1334" t="s">
        <v>21</v>
      </c>
      <c r="P1334">
        <f t="shared" si="63"/>
        <v>-2</v>
      </c>
      <c r="Q1334" s="11">
        <f>IF(P1334=0,0,IFERROR(Q1333+G1334*M1334*IF(E1334="FUTURE",VLOOKUP(MID(I1334,2,2),[1]Futures!$A$2:$B$12,2),1),G1334*M1334*IF(E1334="FUTURE",VLOOKUP(MID(I1334,2,2),[1]Futures!$A$2:$B$12,2),1)))</f>
        <v>-72480</v>
      </c>
      <c r="R1334" s="12">
        <f>IFERROR(Q1334/P1334/IF(E1334="FUTURE",VLOOKUP(MID(I1334,2,2),[1]Futures!$A$2:$B$12,2),1),"")</f>
        <v>36.24</v>
      </c>
      <c r="S1334" s="13" t="str">
        <f>IF(AND(H1334="TO CLOSE",P1334=0),-G1334*(M1334-R1333)*IF(E1334="FUTURE",VLOOKUP(MID(I1334,2,2),[1]Futures!$A$2:$B$12,2),1),"")</f>
        <v/>
      </c>
    </row>
    <row r="1335" spans="1:19" x14ac:dyDescent="0.2">
      <c r="A1335">
        <f t="shared" si="62"/>
        <v>415</v>
      </c>
      <c r="B1335" s="3">
        <v>43984</v>
      </c>
      <c r="C1335" s="3" t="str">
        <f t="shared" si="61"/>
        <v>Tuesday</v>
      </c>
      <c r="D1335" s="2">
        <v>0.45597222222222222</v>
      </c>
      <c r="E1335" t="s">
        <v>14</v>
      </c>
      <c r="F1335" t="s">
        <v>19</v>
      </c>
      <c r="G1335">
        <v>1</v>
      </c>
      <c r="H1335" t="s">
        <v>16</v>
      </c>
      <c r="I1335" t="s">
        <v>77</v>
      </c>
      <c r="J1335" s="1">
        <v>44063</v>
      </c>
      <c r="L1335" t="s">
        <v>14</v>
      </c>
      <c r="M1335">
        <v>36.24</v>
      </c>
      <c r="N1335">
        <v>36.24</v>
      </c>
      <c r="O1335" t="s">
        <v>21</v>
      </c>
      <c r="P1335">
        <f t="shared" si="63"/>
        <v>-1</v>
      </c>
      <c r="Q1335" s="11">
        <f>IF(P1335=0,0,IFERROR(Q1334+G1335*M1335*IF(E1335="FUTURE",VLOOKUP(MID(I1335,2,2),[1]Futures!$A$2:$B$12,2),1),G1335*M1335*IF(E1335="FUTURE",VLOOKUP(MID(I1335,2,2),[1]Futures!$A$2:$B$12,2),1)))</f>
        <v>-36240</v>
      </c>
      <c r="R1335" s="12">
        <f>IFERROR(Q1335/P1335/IF(E1335="FUTURE",VLOOKUP(MID(I1335,2,2),[1]Futures!$A$2:$B$12,2),1),"")</f>
        <v>36.24</v>
      </c>
      <c r="S1335" s="13" t="str">
        <f>IF(AND(H1335="TO CLOSE",P1335=0),-G1335*(M1335-R1334)*IF(E1335="FUTURE",VLOOKUP(MID(I1335,2,2),[1]Futures!$A$2:$B$12,2),1),"")</f>
        <v/>
      </c>
    </row>
    <row r="1336" spans="1:19" x14ac:dyDescent="0.2">
      <c r="A1336">
        <f t="shared" si="62"/>
        <v>415</v>
      </c>
      <c r="B1336" s="3">
        <v>43984</v>
      </c>
      <c r="C1336" s="3" t="str">
        <f t="shared" si="61"/>
        <v>Tuesday</v>
      </c>
      <c r="D1336" s="2">
        <v>0.46030092592592592</v>
      </c>
      <c r="E1336" t="s">
        <v>14</v>
      </c>
      <c r="F1336" t="s">
        <v>15</v>
      </c>
      <c r="G1336">
        <v>-1</v>
      </c>
      <c r="H1336" t="s">
        <v>20</v>
      </c>
      <c r="I1336" t="s">
        <v>77</v>
      </c>
      <c r="J1336" s="1">
        <v>44063</v>
      </c>
      <c r="L1336" t="s">
        <v>14</v>
      </c>
      <c r="M1336">
        <v>36.44</v>
      </c>
      <c r="N1336">
        <v>36.44</v>
      </c>
      <c r="O1336" t="s">
        <v>21</v>
      </c>
      <c r="P1336">
        <f t="shared" si="63"/>
        <v>-2</v>
      </c>
      <c r="Q1336" s="11">
        <f>IF(P1336=0,0,IFERROR(Q1335+G1336*M1336*IF(E1336="FUTURE",VLOOKUP(MID(I1336,2,2),[1]Futures!$A$2:$B$12,2),1),G1336*M1336*IF(E1336="FUTURE",VLOOKUP(MID(I1336,2,2),[1]Futures!$A$2:$B$12,2),1)))</f>
        <v>-72680</v>
      </c>
      <c r="R1336" s="12">
        <f>IFERROR(Q1336/P1336/IF(E1336="FUTURE",VLOOKUP(MID(I1336,2,2),[1]Futures!$A$2:$B$12,2),1),"")</f>
        <v>36.340000000000003</v>
      </c>
      <c r="S1336" s="13" t="str">
        <f>IF(AND(H1336="TO CLOSE",P1336=0),-G1336*(M1336-R1335)*IF(E1336="FUTURE",VLOOKUP(MID(I1336,2,2),[1]Futures!$A$2:$B$12,2),1),"")</f>
        <v/>
      </c>
    </row>
    <row r="1337" spans="1:19" x14ac:dyDescent="0.2">
      <c r="A1337">
        <f t="shared" si="62"/>
        <v>415</v>
      </c>
      <c r="B1337" s="3">
        <v>43984</v>
      </c>
      <c r="C1337" s="3" t="str">
        <f t="shared" si="61"/>
        <v>Tuesday</v>
      </c>
      <c r="D1337" s="2">
        <v>0.46113425925925927</v>
      </c>
      <c r="E1337" t="s">
        <v>14</v>
      </c>
      <c r="F1337" t="s">
        <v>19</v>
      </c>
      <c r="G1337">
        <v>1</v>
      </c>
      <c r="H1337" t="s">
        <v>16</v>
      </c>
      <c r="I1337" t="s">
        <v>77</v>
      </c>
      <c r="J1337" s="1">
        <v>44063</v>
      </c>
      <c r="L1337" t="s">
        <v>14</v>
      </c>
      <c r="M1337">
        <v>36.32</v>
      </c>
      <c r="N1337">
        <v>36.32</v>
      </c>
      <c r="O1337" t="s">
        <v>21</v>
      </c>
      <c r="P1337">
        <f t="shared" si="63"/>
        <v>-1</v>
      </c>
      <c r="Q1337" s="11">
        <f>IF(P1337=0,0,IFERROR(Q1336+G1337*M1337*IF(E1337="FUTURE",VLOOKUP(MID(I1337,2,2),[1]Futures!$A$2:$B$12,2),1),G1337*M1337*IF(E1337="FUTURE",VLOOKUP(MID(I1337,2,2),[1]Futures!$A$2:$B$12,2),1)))</f>
        <v>-36360</v>
      </c>
      <c r="R1337" s="12">
        <f>IFERROR(Q1337/P1337/IF(E1337="FUTURE",VLOOKUP(MID(I1337,2,2),[1]Futures!$A$2:$B$12,2),1),"")</f>
        <v>36.36</v>
      </c>
      <c r="S1337" s="13" t="str">
        <f>IF(AND(H1337="TO CLOSE",P1337=0),-G1337*(M1337-R1336)*IF(E1337="FUTURE",VLOOKUP(MID(I1337,2,2),[1]Futures!$A$2:$B$12,2),1),"")</f>
        <v/>
      </c>
    </row>
    <row r="1338" spans="1:19" x14ac:dyDescent="0.2">
      <c r="A1338">
        <f t="shared" si="62"/>
        <v>415</v>
      </c>
      <c r="B1338" s="3">
        <v>43984</v>
      </c>
      <c r="C1338" s="3" t="str">
        <f t="shared" si="61"/>
        <v>Tuesday</v>
      </c>
      <c r="D1338" s="2">
        <v>0.46662037037037035</v>
      </c>
      <c r="E1338" t="s">
        <v>14</v>
      </c>
      <c r="F1338" t="s">
        <v>19</v>
      </c>
      <c r="G1338">
        <v>1</v>
      </c>
      <c r="H1338" t="s">
        <v>16</v>
      </c>
      <c r="I1338" t="s">
        <v>77</v>
      </c>
      <c r="J1338" s="1">
        <v>44063</v>
      </c>
      <c r="L1338" t="s">
        <v>14</v>
      </c>
      <c r="M1338">
        <v>36.340000000000003</v>
      </c>
      <c r="N1338">
        <v>36.340000000000003</v>
      </c>
      <c r="O1338" t="s">
        <v>21</v>
      </c>
      <c r="P1338">
        <f t="shared" si="63"/>
        <v>0</v>
      </c>
      <c r="Q1338" s="11">
        <f>IF(P1338=0,0,IFERROR(Q1337+G1338*M1338*IF(E1338="FUTURE",VLOOKUP(MID(I1338,2,2),[1]Futures!$A$2:$B$12,2),1),G1338*M1338*IF(E1338="FUTURE",VLOOKUP(MID(I1338,2,2),[1]Futures!$A$2:$B$12,2),1)))</f>
        <v>0</v>
      </c>
      <c r="R1338" s="12" t="str">
        <f>IFERROR(Q1338/P1338/IF(E1338="FUTURE",VLOOKUP(MID(I1338,2,2),[1]Futures!$A$2:$B$12,2),1),"")</f>
        <v/>
      </c>
      <c r="S1338" s="13">
        <f>IF(AND(H1338="TO CLOSE",P1338=0),-G1338*(M1338-R1337)*IF(E1338="FUTURE",VLOOKUP(MID(I1338,2,2),[1]Futures!$A$2:$B$12,2),1),"")</f>
        <v>19.999999999996021</v>
      </c>
    </row>
    <row r="1339" spans="1:19" x14ac:dyDescent="0.2">
      <c r="A1339">
        <f t="shared" si="62"/>
        <v>416</v>
      </c>
      <c r="B1339" s="3">
        <v>43984</v>
      </c>
      <c r="C1339" s="3" t="str">
        <f t="shared" si="61"/>
        <v>Tuesday</v>
      </c>
      <c r="D1339" s="2">
        <v>0.49215277777777783</v>
      </c>
      <c r="E1339" t="s">
        <v>14</v>
      </c>
      <c r="F1339" t="s">
        <v>15</v>
      </c>
      <c r="G1339">
        <v>-1</v>
      </c>
      <c r="H1339" t="s">
        <v>20</v>
      </c>
      <c r="I1339" t="s">
        <v>77</v>
      </c>
      <c r="J1339" s="1">
        <v>44063</v>
      </c>
      <c r="L1339" t="s">
        <v>14</v>
      </c>
      <c r="M1339">
        <v>36.5</v>
      </c>
      <c r="N1339">
        <v>36.5</v>
      </c>
      <c r="O1339" t="s">
        <v>21</v>
      </c>
      <c r="P1339">
        <f t="shared" si="63"/>
        <v>-1</v>
      </c>
      <c r="Q1339" s="11">
        <f>IF(P1339=0,0,IFERROR(Q1338+G1339*M1339*IF(E1339="FUTURE",VLOOKUP(MID(I1339,2,2),[1]Futures!$A$2:$B$12,2),1),G1339*M1339*IF(E1339="FUTURE",VLOOKUP(MID(I1339,2,2),[1]Futures!$A$2:$B$12,2),1)))</f>
        <v>-36500</v>
      </c>
      <c r="R1339" s="12">
        <f>IFERROR(Q1339/P1339/IF(E1339="FUTURE",VLOOKUP(MID(I1339,2,2),[1]Futures!$A$2:$B$12,2),1),"")</f>
        <v>36.5</v>
      </c>
      <c r="S1339" s="13" t="str">
        <f>IF(AND(H1339="TO CLOSE",P1339=0),-G1339*(M1339-R1338)*IF(E1339="FUTURE",VLOOKUP(MID(I1339,2,2),[1]Futures!$A$2:$B$12,2),1),"")</f>
        <v/>
      </c>
    </row>
    <row r="1340" spans="1:19" x14ac:dyDescent="0.2">
      <c r="A1340">
        <f t="shared" si="62"/>
        <v>416</v>
      </c>
      <c r="B1340" s="3">
        <v>43984</v>
      </c>
      <c r="C1340" s="3" t="str">
        <f t="shared" si="61"/>
        <v>Tuesday</v>
      </c>
      <c r="D1340" s="2">
        <v>0.51761574074074079</v>
      </c>
      <c r="E1340" t="s">
        <v>14</v>
      </c>
      <c r="F1340" t="s">
        <v>15</v>
      </c>
      <c r="G1340">
        <v>-1</v>
      </c>
      <c r="H1340" t="s">
        <v>20</v>
      </c>
      <c r="I1340" t="s">
        <v>77</v>
      </c>
      <c r="J1340" s="1">
        <v>44063</v>
      </c>
      <c r="L1340" t="s">
        <v>14</v>
      </c>
      <c r="M1340">
        <v>36.68</v>
      </c>
      <c r="N1340">
        <v>36.68</v>
      </c>
      <c r="O1340" t="s">
        <v>21</v>
      </c>
      <c r="P1340">
        <f t="shared" si="63"/>
        <v>-2</v>
      </c>
      <c r="Q1340" s="11">
        <f>IF(P1340=0,0,IFERROR(Q1339+G1340*M1340*IF(E1340="FUTURE",VLOOKUP(MID(I1340,2,2),[1]Futures!$A$2:$B$12,2),1),G1340*M1340*IF(E1340="FUTURE",VLOOKUP(MID(I1340,2,2),[1]Futures!$A$2:$B$12,2),1)))</f>
        <v>-73180</v>
      </c>
      <c r="R1340" s="12">
        <f>IFERROR(Q1340/P1340/IF(E1340="FUTURE",VLOOKUP(MID(I1340,2,2),[1]Futures!$A$2:$B$12,2),1),"")</f>
        <v>36.590000000000003</v>
      </c>
      <c r="S1340" s="13" t="str">
        <f>IF(AND(H1340="TO CLOSE",P1340=0),-G1340*(M1340-R1339)*IF(E1340="FUTURE",VLOOKUP(MID(I1340,2,2),[1]Futures!$A$2:$B$12,2),1),"")</f>
        <v/>
      </c>
    </row>
    <row r="1341" spans="1:19" x14ac:dyDescent="0.2">
      <c r="A1341">
        <f t="shared" si="62"/>
        <v>416</v>
      </c>
      <c r="B1341" s="3">
        <v>43984</v>
      </c>
      <c r="C1341" s="3" t="str">
        <f t="shared" si="61"/>
        <v>Tuesday</v>
      </c>
      <c r="D1341" s="2">
        <v>0.52239583333333328</v>
      </c>
      <c r="E1341" t="s">
        <v>14</v>
      </c>
      <c r="F1341" t="s">
        <v>19</v>
      </c>
      <c r="G1341">
        <v>1</v>
      </c>
      <c r="H1341" t="s">
        <v>16</v>
      </c>
      <c r="I1341" t="s">
        <v>77</v>
      </c>
      <c r="J1341" s="1">
        <v>44063</v>
      </c>
      <c r="L1341" t="s">
        <v>14</v>
      </c>
      <c r="M1341">
        <v>36.770000000000003</v>
      </c>
      <c r="N1341">
        <v>36.770000000000003</v>
      </c>
      <c r="O1341" t="s">
        <v>21</v>
      </c>
      <c r="P1341">
        <f t="shared" si="63"/>
        <v>-1</v>
      </c>
      <c r="Q1341" s="11">
        <f>IF(P1341=0,0,IFERROR(Q1340+G1341*M1341*IF(E1341="FUTURE",VLOOKUP(MID(I1341,2,2),[1]Futures!$A$2:$B$12,2),1),G1341*M1341*IF(E1341="FUTURE",VLOOKUP(MID(I1341,2,2),[1]Futures!$A$2:$B$12,2),1)))</f>
        <v>-36410</v>
      </c>
      <c r="R1341" s="12">
        <f>IFERROR(Q1341/P1341/IF(E1341="FUTURE",VLOOKUP(MID(I1341,2,2),[1]Futures!$A$2:$B$12,2),1),"")</f>
        <v>36.409999999999997</v>
      </c>
      <c r="S1341" s="13" t="str">
        <f>IF(AND(H1341="TO CLOSE",P1341=0),-G1341*(M1341-R1340)*IF(E1341="FUTURE",VLOOKUP(MID(I1341,2,2),[1]Futures!$A$2:$B$12,2),1),"")</f>
        <v/>
      </c>
    </row>
    <row r="1342" spans="1:19" x14ac:dyDescent="0.2">
      <c r="A1342">
        <f t="shared" si="62"/>
        <v>416</v>
      </c>
      <c r="B1342" s="3">
        <v>43984</v>
      </c>
      <c r="C1342" s="3" t="str">
        <f t="shared" ref="C1342:C1405" si="64">IF(WEEKDAY(B1342,2)=1,"Monday",IF(WEEKDAY(B1342,2)=2,"Tuesday",IF(WEEKDAY(B1342,2)=3,"Wednesday",IF(WEEKDAY(B1342,2)=4,"Thursday",IF(WEEKDAY(B1342,2)=5,"Friday","Sunday")))))</f>
        <v>Tuesday</v>
      </c>
      <c r="D1342" s="2">
        <v>0.52483796296296303</v>
      </c>
      <c r="E1342" t="s">
        <v>14</v>
      </c>
      <c r="F1342" t="s">
        <v>19</v>
      </c>
      <c r="G1342">
        <v>1</v>
      </c>
      <c r="H1342" t="s">
        <v>16</v>
      </c>
      <c r="I1342" t="s">
        <v>77</v>
      </c>
      <c r="J1342" s="1">
        <v>44063</v>
      </c>
      <c r="L1342" t="s">
        <v>14</v>
      </c>
      <c r="M1342">
        <v>36.85</v>
      </c>
      <c r="N1342">
        <v>36.85</v>
      </c>
      <c r="O1342" t="s">
        <v>18</v>
      </c>
      <c r="P1342">
        <f t="shared" si="63"/>
        <v>0</v>
      </c>
      <c r="Q1342" s="11">
        <f>IF(P1342=0,0,IFERROR(Q1341+G1342*M1342*IF(E1342="FUTURE",VLOOKUP(MID(I1342,2,2),[1]Futures!$A$2:$B$12,2),1),G1342*M1342*IF(E1342="FUTURE",VLOOKUP(MID(I1342,2,2),[1]Futures!$A$2:$B$12,2),1)))</f>
        <v>0</v>
      </c>
      <c r="R1342" s="12" t="str">
        <f>IFERROR(Q1342/P1342/IF(E1342="FUTURE",VLOOKUP(MID(I1342,2,2),[1]Futures!$A$2:$B$12,2),1),"")</f>
        <v/>
      </c>
      <c r="S1342" s="13">
        <f>IF(AND(H1342="TO CLOSE",P1342=0),-G1342*(M1342-R1341)*IF(E1342="FUTURE",VLOOKUP(MID(I1342,2,2),[1]Futures!$A$2:$B$12,2),1),"")</f>
        <v>-440.00000000000483</v>
      </c>
    </row>
    <row r="1343" spans="1:19" x14ac:dyDescent="0.2">
      <c r="A1343">
        <f t="shared" si="62"/>
        <v>417</v>
      </c>
      <c r="B1343" s="3">
        <v>43984</v>
      </c>
      <c r="C1343" s="3" t="str">
        <f t="shared" si="64"/>
        <v>Tuesday</v>
      </c>
      <c r="D1343" s="2">
        <v>0.53237268518518521</v>
      </c>
      <c r="E1343" t="s">
        <v>14</v>
      </c>
      <c r="F1343" t="s">
        <v>15</v>
      </c>
      <c r="G1343">
        <v>-1</v>
      </c>
      <c r="H1343" t="s">
        <v>20</v>
      </c>
      <c r="I1343" t="s">
        <v>77</v>
      </c>
      <c r="J1343" s="1">
        <v>44063</v>
      </c>
      <c r="L1343" t="s">
        <v>14</v>
      </c>
      <c r="M1343">
        <v>36.81</v>
      </c>
      <c r="N1343">
        <v>36.81</v>
      </c>
      <c r="O1343" t="s">
        <v>21</v>
      </c>
      <c r="P1343">
        <f t="shared" si="63"/>
        <v>-1</v>
      </c>
      <c r="Q1343" s="11">
        <f>IF(P1343=0,0,IFERROR(Q1342+G1343*M1343*IF(E1343="FUTURE",VLOOKUP(MID(I1343,2,2),[1]Futures!$A$2:$B$12,2),1),G1343*M1343*IF(E1343="FUTURE",VLOOKUP(MID(I1343,2,2),[1]Futures!$A$2:$B$12,2),1)))</f>
        <v>-36810</v>
      </c>
      <c r="R1343" s="12">
        <f>IFERROR(Q1343/P1343/IF(E1343="FUTURE",VLOOKUP(MID(I1343,2,2),[1]Futures!$A$2:$B$12,2),1),"")</f>
        <v>36.81</v>
      </c>
      <c r="S1343" s="13" t="str">
        <f>IF(AND(H1343="TO CLOSE",P1343=0),-G1343*(M1343-R1342)*IF(E1343="FUTURE",VLOOKUP(MID(I1343,2,2),[1]Futures!$A$2:$B$12,2),1),"")</f>
        <v/>
      </c>
    </row>
    <row r="1344" spans="1:19" x14ac:dyDescent="0.2">
      <c r="A1344">
        <f t="shared" si="62"/>
        <v>417</v>
      </c>
      <c r="B1344" s="3">
        <v>43984</v>
      </c>
      <c r="C1344" s="3" t="str">
        <f t="shared" si="64"/>
        <v>Tuesday</v>
      </c>
      <c r="D1344" s="2">
        <v>0.53872685185185187</v>
      </c>
      <c r="E1344" t="s">
        <v>14</v>
      </c>
      <c r="F1344" t="s">
        <v>15</v>
      </c>
      <c r="G1344">
        <v>-1</v>
      </c>
      <c r="H1344" t="s">
        <v>20</v>
      </c>
      <c r="I1344" t="s">
        <v>77</v>
      </c>
      <c r="J1344" s="1">
        <v>44063</v>
      </c>
      <c r="L1344" t="s">
        <v>14</v>
      </c>
      <c r="M1344">
        <v>36.71</v>
      </c>
      <c r="N1344">
        <v>36.71</v>
      </c>
      <c r="O1344" t="s">
        <v>21</v>
      </c>
      <c r="P1344">
        <f t="shared" si="63"/>
        <v>-2</v>
      </c>
      <c r="Q1344" s="11">
        <f>IF(P1344=0,0,IFERROR(Q1343+G1344*M1344*IF(E1344="FUTURE",VLOOKUP(MID(I1344,2,2),[1]Futures!$A$2:$B$12,2),1),G1344*M1344*IF(E1344="FUTURE",VLOOKUP(MID(I1344,2,2),[1]Futures!$A$2:$B$12,2),1)))</f>
        <v>-73520</v>
      </c>
      <c r="R1344" s="12">
        <f>IFERROR(Q1344/P1344/IF(E1344="FUTURE",VLOOKUP(MID(I1344,2,2),[1]Futures!$A$2:$B$12,2),1),"")</f>
        <v>36.76</v>
      </c>
      <c r="S1344" s="13" t="str">
        <f>IF(AND(H1344="TO CLOSE",P1344=0),-G1344*(M1344-R1343)*IF(E1344="FUTURE",VLOOKUP(MID(I1344,2,2),[1]Futures!$A$2:$B$12,2),1),"")</f>
        <v/>
      </c>
    </row>
    <row r="1345" spans="1:19" x14ac:dyDescent="0.2">
      <c r="A1345">
        <f t="shared" si="62"/>
        <v>417</v>
      </c>
      <c r="B1345" s="3">
        <v>43984</v>
      </c>
      <c r="C1345" s="3" t="str">
        <f t="shared" si="64"/>
        <v>Tuesday</v>
      </c>
      <c r="D1345" s="2">
        <v>0.53959490740740745</v>
      </c>
      <c r="E1345" t="s">
        <v>14</v>
      </c>
      <c r="F1345" t="s">
        <v>19</v>
      </c>
      <c r="G1345">
        <v>1</v>
      </c>
      <c r="H1345" t="s">
        <v>16</v>
      </c>
      <c r="I1345" t="s">
        <v>77</v>
      </c>
      <c r="J1345" s="1">
        <v>44063</v>
      </c>
      <c r="L1345" t="s">
        <v>14</v>
      </c>
      <c r="M1345">
        <v>36.700000000000003</v>
      </c>
      <c r="N1345">
        <v>36.700000000000003</v>
      </c>
      <c r="O1345" t="s">
        <v>21</v>
      </c>
      <c r="P1345">
        <f t="shared" si="63"/>
        <v>-1</v>
      </c>
      <c r="Q1345" s="11">
        <f>IF(P1345=0,0,IFERROR(Q1344+G1345*M1345*IF(E1345="FUTURE",VLOOKUP(MID(I1345,2,2),[1]Futures!$A$2:$B$12,2),1),G1345*M1345*IF(E1345="FUTURE",VLOOKUP(MID(I1345,2,2),[1]Futures!$A$2:$B$12,2),1)))</f>
        <v>-36820</v>
      </c>
      <c r="R1345" s="12">
        <f>IFERROR(Q1345/P1345/IF(E1345="FUTURE",VLOOKUP(MID(I1345,2,2),[1]Futures!$A$2:$B$12,2),1),"")</f>
        <v>36.82</v>
      </c>
      <c r="S1345" s="13" t="str">
        <f>IF(AND(H1345="TO CLOSE",P1345=0),-G1345*(M1345-R1344)*IF(E1345="FUTURE",VLOOKUP(MID(I1345,2,2),[1]Futures!$A$2:$B$12,2),1),"")</f>
        <v/>
      </c>
    </row>
    <row r="1346" spans="1:19" x14ac:dyDescent="0.2">
      <c r="A1346">
        <f t="shared" ref="A1346:A1409" si="65">IF(AND(P1345=0,H1345="TO CLOSE"),IFERROR(A1345+1,1),IFERROR(A1345/1,1))</f>
        <v>417</v>
      </c>
      <c r="B1346" s="3">
        <v>43984</v>
      </c>
      <c r="C1346" s="3" t="str">
        <f t="shared" si="64"/>
        <v>Tuesday</v>
      </c>
      <c r="D1346" s="2">
        <v>0.57513888888888887</v>
      </c>
      <c r="E1346" t="s">
        <v>14</v>
      </c>
      <c r="F1346" t="s">
        <v>19</v>
      </c>
      <c r="G1346">
        <v>1</v>
      </c>
      <c r="H1346" t="s">
        <v>16</v>
      </c>
      <c r="I1346" t="s">
        <v>77</v>
      </c>
      <c r="J1346" s="1">
        <v>44063</v>
      </c>
      <c r="L1346" t="s">
        <v>14</v>
      </c>
      <c r="M1346">
        <v>36.71</v>
      </c>
      <c r="N1346">
        <v>36.71</v>
      </c>
      <c r="O1346" t="s">
        <v>21</v>
      </c>
      <c r="P1346">
        <f t="shared" si="63"/>
        <v>0</v>
      </c>
      <c r="Q1346" s="11">
        <f>IF(P1346=0,0,IFERROR(Q1345+G1346*M1346*IF(E1346="FUTURE",VLOOKUP(MID(I1346,2,2),[1]Futures!$A$2:$B$12,2),1),G1346*M1346*IF(E1346="FUTURE",VLOOKUP(MID(I1346,2,2),[1]Futures!$A$2:$B$12,2),1)))</f>
        <v>0</v>
      </c>
      <c r="R1346" s="12" t="str">
        <f>IFERROR(Q1346/P1346/IF(E1346="FUTURE",VLOOKUP(MID(I1346,2,2),[1]Futures!$A$2:$B$12,2),1),"")</f>
        <v/>
      </c>
      <c r="S1346" s="13">
        <f>IF(AND(H1346="TO CLOSE",P1346=0),-G1346*(M1346-R1345)*IF(E1346="FUTURE",VLOOKUP(MID(I1346,2,2),[1]Futures!$A$2:$B$12,2),1),"")</f>
        <v>109.99999999999943</v>
      </c>
    </row>
    <row r="1347" spans="1:19" x14ac:dyDescent="0.2">
      <c r="A1347">
        <f t="shared" si="65"/>
        <v>418</v>
      </c>
      <c r="B1347" s="3">
        <v>43984</v>
      </c>
      <c r="C1347" s="3" t="str">
        <f t="shared" si="64"/>
        <v>Tuesday</v>
      </c>
      <c r="D1347" s="2">
        <v>0.42760416666666662</v>
      </c>
      <c r="E1347" t="s">
        <v>14</v>
      </c>
      <c r="F1347" t="s">
        <v>15</v>
      </c>
      <c r="G1347">
        <v>-1</v>
      </c>
      <c r="H1347" t="s">
        <v>20</v>
      </c>
      <c r="I1347" t="s">
        <v>17</v>
      </c>
      <c r="J1347" s="1">
        <v>44002</v>
      </c>
      <c r="L1347" t="s">
        <v>14</v>
      </c>
      <c r="M1347">
        <v>3059.75</v>
      </c>
      <c r="N1347">
        <v>3059.75</v>
      </c>
      <c r="O1347" t="s">
        <v>24</v>
      </c>
      <c r="P1347">
        <f t="shared" ref="P1347:P1410" si="66">IF(H1347="TO OPEN",IFERROR(P1346+G1347,0+G1347),IFERROR(P1346+G1347,0+G1347))</f>
        <v>-1</v>
      </c>
      <c r="Q1347" s="11">
        <f>IF(P1347=0,0,IFERROR(Q1346+G1347*M1347*IF(E1347="FUTURE",VLOOKUP(MID(I1347,2,2),[1]Futures!$A$2:$B$12,2),1),G1347*M1347*IF(E1347="FUTURE",VLOOKUP(MID(I1347,2,2),[1]Futures!$A$2:$B$12,2),1)))</f>
        <v>-152987.5</v>
      </c>
      <c r="R1347" s="12">
        <f>IFERROR(Q1347/P1347/IF(E1347="FUTURE",VLOOKUP(MID(I1347,2,2),[1]Futures!$A$2:$B$12,2),1),"")</f>
        <v>3059.75</v>
      </c>
      <c r="S1347" s="13" t="str">
        <f>IF(AND(H1347="TO CLOSE",P1347=0),-G1347*(M1347-R1346)*IF(E1347="FUTURE",VLOOKUP(MID(I1347,2,2),[1]Futures!$A$2:$B$12,2),1),"")</f>
        <v/>
      </c>
    </row>
    <row r="1348" spans="1:19" x14ac:dyDescent="0.2">
      <c r="A1348">
        <f t="shared" si="65"/>
        <v>418</v>
      </c>
      <c r="B1348" s="3">
        <v>43984</v>
      </c>
      <c r="C1348" s="3" t="str">
        <f t="shared" si="64"/>
        <v>Tuesday</v>
      </c>
      <c r="D1348" s="2">
        <v>0.45369212962962963</v>
      </c>
      <c r="E1348" t="s">
        <v>14</v>
      </c>
      <c r="F1348" t="s">
        <v>19</v>
      </c>
      <c r="G1348">
        <v>1</v>
      </c>
      <c r="H1348" t="s">
        <v>16</v>
      </c>
      <c r="I1348" t="s">
        <v>17</v>
      </c>
      <c r="J1348" s="1">
        <v>44002</v>
      </c>
      <c r="L1348" t="s">
        <v>14</v>
      </c>
      <c r="M1348">
        <v>3058</v>
      </c>
      <c r="N1348">
        <v>3058</v>
      </c>
      <c r="O1348" t="s">
        <v>24</v>
      </c>
      <c r="P1348">
        <f t="shared" si="66"/>
        <v>0</v>
      </c>
      <c r="Q1348" s="11">
        <f>IF(P1348=0,0,IFERROR(Q1347+G1348*M1348*IF(E1348="FUTURE",VLOOKUP(MID(I1348,2,2),[1]Futures!$A$2:$B$12,2),1),G1348*M1348*IF(E1348="FUTURE",VLOOKUP(MID(I1348,2,2),[1]Futures!$A$2:$B$12,2),1)))</f>
        <v>0</v>
      </c>
      <c r="R1348" s="12" t="str">
        <f>IFERROR(Q1348/P1348/IF(E1348="FUTURE",VLOOKUP(MID(I1348,2,2),[1]Futures!$A$2:$B$12,2),1),"")</f>
        <v/>
      </c>
      <c r="S1348" s="13">
        <f>IF(AND(H1348="TO CLOSE",P1348=0),-G1348*(M1348-R1347)*IF(E1348="FUTURE",VLOOKUP(MID(I1348,2,2),[1]Futures!$A$2:$B$12,2),1),"")</f>
        <v>87.5</v>
      </c>
    </row>
    <row r="1349" spans="1:19" x14ac:dyDescent="0.2">
      <c r="A1349">
        <f t="shared" si="65"/>
        <v>419</v>
      </c>
      <c r="B1349" s="3">
        <v>43984</v>
      </c>
      <c r="C1349" s="3" t="str">
        <f t="shared" si="64"/>
        <v>Tuesday</v>
      </c>
      <c r="D1349" s="2">
        <v>0.4909722222222222</v>
      </c>
      <c r="E1349" t="s">
        <v>14</v>
      </c>
      <c r="F1349" t="s">
        <v>15</v>
      </c>
      <c r="G1349">
        <v>-1</v>
      </c>
      <c r="H1349" t="s">
        <v>20</v>
      </c>
      <c r="I1349" t="s">
        <v>17</v>
      </c>
      <c r="J1349" s="1">
        <v>44002</v>
      </c>
      <c r="L1349" t="s">
        <v>14</v>
      </c>
      <c r="M1349">
        <v>3058</v>
      </c>
      <c r="N1349">
        <v>3058</v>
      </c>
      <c r="O1349" t="s">
        <v>21</v>
      </c>
      <c r="P1349">
        <f t="shared" si="66"/>
        <v>-1</v>
      </c>
      <c r="Q1349" s="11">
        <f>IF(P1349=0,0,IFERROR(Q1348+G1349*M1349*IF(E1349="FUTURE",VLOOKUP(MID(I1349,2,2),[1]Futures!$A$2:$B$12,2),1),G1349*M1349*IF(E1349="FUTURE",VLOOKUP(MID(I1349,2,2),[1]Futures!$A$2:$B$12,2),1)))</f>
        <v>-152900</v>
      </c>
      <c r="R1349" s="12">
        <f>IFERROR(Q1349/P1349/IF(E1349="FUTURE",VLOOKUP(MID(I1349,2,2),[1]Futures!$A$2:$B$12,2),1),"")</f>
        <v>3058</v>
      </c>
      <c r="S1349" s="13" t="str">
        <f>IF(AND(H1349="TO CLOSE",P1349=0),-G1349*(M1349-R1348)*IF(E1349="FUTURE",VLOOKUP(MID(I1349,2,2),[1]Futures!$A$2:$B$12,2),1),"")</f>
        <v/>
      </c>
    </row>
    <row r="1350" spans="1:19" x14ac:dyDescent="0.2">
      <c r="A1350">
        <f t="shared" si="65"/>
        <v>419</v>
      </c>
      <c r="B1350" s="3">
        <v>43984</v>
      </c>
      <c r="C1350" s="3" t="str">
        <f t="shared" si="64"/>
        <v>Tuesday</v>
      </c>
      <c r="D1350" s="2">
        <v>0.49434027777777773</v>
      </c>
      <c r="E1350" t="s">
        <v>14</v>
      </c>
      <c r="F1350" t="s">
        <v>19</v>
      </c>
      <c r="G1350">
        <v>1</v>
      </c>
      <c r="H1350" t="s">
        <v>16</v>
      </c>
      <c r="I1350" t="s">
        <v>17</v>
      </c>
      <c r="J1350" s="1">
        <v>44002</v>
      </c>
      <c r="L1350" t="s">
        <v>14</v>
      </c>
      <c r="M1350">
        <v>3055</v>
      </c>
      <c r="N1350">
        <v>3055</v>
      </c>
      <c r="O1350" t="s">
        <v>21</v>
      </c>
      <c r="P1350">
        <f t="shared" si="66"/>
        <v>0</v>
      </c>
      <c r="Q1350" s="11">
        <f>IF(P1350=0,0,IFERROR(Q1349+G1350*M1350*IF(E1350="FUTURE",VLOOKUP(MID(I1350,2,2),[1]Futures!$A$2:$B$12,2),1),G1350*M1350*IF(E1350="FUTURE",VLOOKUP(MID(I1350,2,2),[1]Futures!$A$2:$B$12,2),1)))</f>
        <v>0</v>
      </c>
      <c r="R1350" s="12" t="str">
        <f>IFERROR(Q1350/P1350/IF(E1350="FUTURE",VLOOKUP(MID(I1350,2,2),[1]Futures!$A$2:$B$12,2),1),"")</f>
        <v/>
      </c>
      <c r="S1350" s="13">
        <f>IF(AND(H1350="TO CLOSE",P1350=0),-G1350*(M1350-R1349)*IF(E1350="FUTURE",VLOOKUP(MID(I1350,2,2),[1]Futures!$A$2:$B$12,2),1),"")</f>
        <v>150</v>
      </c>
    </row>
    <row r="1351" spans="1:19" x14ac:dyDescent="0.2">
      <c r="A1351">
        <f t="shared" si="65"/>
        <v>420</v>
      </c>
      <c r="B1351" s="3">
        <v>43984</v>
      </c>
      <c r="C1351" s="3" t="str">
        <f t="shared" si="64"/>
        <v>Tuesday</v>
      </c>
      <c r="D1351" s="2">
        <v>0.50465277777777773</v>
      </c>
      <c r="E1351" t="s">
        <v>14</v>
      </c>
      <c r="F1351" t="s">
        <v>19</v>
      </c>
      <c r="G1351">
        <v>1</v>
      </c>
      <c r="H1351" t="s">
        <v>20</v>
      </c>
      <c r="I1351" t="s">
        <v>17</v>
      </c>
      <c r="J1351" s="1">
        <v>44002</v>
      </c>
      <c r="L1351" t="s">
        <v>14</v>
      </c>
      <c r="M1351">
        <v>3057.75</v>
      </c>
      <c r="N1351">
        <v>3057.75</v>
      </c>
      <c r="O1351" t="s">
        <v>24</v>
      </c>
      <c r="P1351">
        <f t="shared" si="66"/>
        <v>1</v>
      </c>
      <c r="Q1351" s="11">
        <f>IF(P1351=0,0,IFERROR(Q1350+G1351*M1351*IF(E1351="FUTURE",VLOOKUP(MID(I1351,2,2),[1]Futures!$A$2:$B$12,2),1),G1351*M1351*IF(E1351="FUTURE",VLOOKUP(MID(I1351,2,2),[1]Futures!$A$2:$B$12,2),1)))</f>
        <v>152887.5</v>
      </c>
      <c r="R1351" s="12">
        <f>IFERROR(Q1351/P1351/IF(E1351="FUTURE",VLOOKUP(MID(I1351,2,2),[1]Futures!$A$2:$B$12,2),1),"")</f>
        <v>3057.75</v>
      </c>
      <c r="S1351" s="13" t="str">
        <f>IF(AND(H1351="TO CLOSE",P1351=0),-G1351*(M1351-R1350)*IF(E1351="FUTURE",VLOOKUP(MID(I1351,2,2),[1]Futures!$A$2:$B$12,2),1),"")</f>
        <v/>
      </c>
    </row>
    <row r="1352" spans="1:19" x14ac:dyDescent="0.2">
      <c r="A1352">
        <f t="shared" si="65"/>
        <v>420</v>
      </c>
      <c r="B1352" s="3">
        <v>43984</v>
      </c>
      <c r="C1352" s="3" t="str">
        <f t="shared" si="64"/>
        <v>Tuesday</v>
      </c>
      <c r="D1352" s="2">
        <v>0.50553240740740735</v>
      </c>
      <c r="E1352" t="s">
        <v>14</v>
      </c>
      <c r="F1352" t="s">
        <v>15</v>
      </c>
      <c r="G1352">
        <v>-1</v>
      </c>
      <c r="H1352" t="s">
        <v>16</v>
      </c>
      <c r="I1352" t="s">
        <v>17</v>
      </c>
      <c r="J1352" s="1">
        <v>44002</v>
      </c>
      <c r="L1352" t="s">
        <v>14</v>
      </c>
      <c r="M1352">
        <v>3058</v>
      </c>
      <c r="N1352">
        <v>3058</v>
      </c>
      <c r="O1352" t="s">
        <v>21</v>
      </c>
      <c r="P1352">
        <f t="shared" si="66"/>
        <v>0</v>
      </c>
      <c r="Q1352" s="11">
        <f>IF(P1352=0,0,IFERROR(Q1351+G1352*M1352*IF(E1352="FUTURE",VLOOKUP(MID(I1352,2,2),[1]Futures!$A$2:$B$12,2),1),G1352*M1352*IF(E1352="FUTURE",VLOOKUP(MID(I1352,2,2),[1]Futures!$A$2:$B$12,2),1)))</f>
        <v>0</v>
      </c>
      <c r="R1352" s="12" t="str">
        <f>IFERROR(Q1352/P1352/IF(E1352="FUTURE",VLOOKUP(MID(I1352,2,2),[1]Futures!$A$2:$B$12,2),1),"")</f>
        <v/>
      </c>
      <c r="S1352" s="13">
        <f>IF(AND(H1352="TO CLOSE",P1352=0),-G1352*(M1352-R1351)*IF(E1352="FUTURE",VLOOKUP(MID(I1352,2,2),[1]Futures!$A$2:$B$12,2),1),"")</f>
        <v>12.5</v>
      </c>
    </row>
    <row r="1353" spans="1:19" x14ac:dyDescent="0.2">
      <c r="A1353">
        <f t="shared" si="65"/>
        <v>421</v>
      </c>
      <c r="B1353" s="3">
        <v>43984</v>
      </c>
      <c r="C1353" s="3" t="str">
        <f t="shared" si="64"/>
        <v>Tuesday</v>
      </c>
      <c r="D1353" s="2">
        <v>0.54208333333333336</v>
      </c>
      <c r="E1353" t="s">
        <v>14</v>
      </c>
      <c r="F1353" t="s">
        <v>15</v>
      </c>
      <c r="G1353">
        <v>-1</v>
      </c>
      <c r="H1353" t="s">
        <v>20</v>
      </c>
      <c r="I1353" t="s">
        <v>17</v>
      </c>
      <c r="J1353" s="1">
        <v>44002</v>
      </c>
      <c r="L1353" t="s">
        <v>14</v>
      </c>
      <c r="M1353">
        <v>3060.75</v>
      </c>
      <c r="N1353">
        <v>3060.75</v>
      </c>
      <c r="O1353" t="s">
        <v>21</v>
      </c>
      <c r="P1353">
        <f t="shared" si="66"/>
        <v>-1</v>
      </c>
      <c r="Q1353" s="11">
        <f>IF(P1353=0,0,IFERROR(Q1352+G1353*M1353*IF(E1353="FUTURE",VLOOKUP(MID(I1353,2,2),[1]Futures!$A$2:$B$12,2),1),G1353*M1353*IF(E1353="FUTURE",VLOOKUP(MID(I1353,2,2),[1]Futures!$A$2:$B$12,2),1)))</f>
        <v>-153037.5</v>
      </c>
      <c r="R1353" s="12">
        <f>IFERROR(Q1353/P1353/IF(E1353="FUTURE",VLOOKUP(MID(I1353,2,2),[1]Futures!$A$2:$B$12,2),1),"")</f>
        <v>3060.75</v>
      </c>
      <c r="S1353" s="13" t="str">
        <f>IF(AND(H1353="TO CLOSE",P1353=0),-G1353*(M1353-R1352)*IF(E1353="FUTURE",VLOOKUP(MID(I1353,2,2),[1]Futures!$A$2:$B$12,2),1),"")</f>
        <v/>
      </c>
    </row>
    <row r="1354" spans="1:19" x14ac:dyDescent="0.2">
      <c r="A1354">
        <f t="shared" si="65"/>
        <v>421</v>
      </c>
      <c r="B1354" s="3">
        <v>43984</v>
      </c>
      <c r="C1354" s="3" t="str">
        <f t="shared" si="64"/>
        <v>Tuesday</v>
      </c>
      <c r="D1354" s="2">
        <v>0.57072916666666662</v>
      </c>
      <c r="E1354" t="s">
        <v>14</v>
      </c>
      <c r="F1354" t="s">
        <v>19</v>
      </c>
      <c r="G1354">
        <v>2</v>
      </c>
      <c r="H1354" t="s">
        <v>16</v>
      </c>
      <c r="I1354" t="s">
        <v>17</v>
      </c>
      <c r="J1354" s="1">
        <v>44002</v>
      </c>
      <c r="L1354" t="s">
        <v>14</v>
      </c>
      <c r="M1354">
        <v>3066.75</v>
      </c>
      <c r="N1354">
        <v>3066.75</v>
      </c>
      <c r="O1354" t="s">
        <v>24</v>
      </c>
      <c r="P1354">
        <f t="shared" si="66"/>
        <v>1</v>
      </c>
      <c r="Q1354" s="11">
        <f>IF(P1354=0,0,IFERROR(Q1353+G1354*M1354*IF(E1354="FUTURE",VLOOKUP(MID(I1354,2,2),[1]Futures!$A$2:$B$12,2),1),G1354*M1354*IF(E1354="FUTURE",VLOOKUP(MID(I1354,2,2),[1]Futures!$A$2:$B$12,2),1)))</f>
        <v>153637.5</v>
      </c>
      <c r="R1354" s="12">
        <f>IFERROR(Q1354/P1354/IF(E1354="FUTURE",VLOOKUP(MID(I1354,2,2),[1]Futures!$A$2:$B$12,2),1),"")</f>
        <v>3072.75</v>
      </c>
      <c r="S1354" s="13" t="str">
        <f>IF(AND(H1354="TO CLOSE",P1354=0),-G1354*(M1354-R1353)*IF(E1354="FUTURE",VLOOKUP(MID(I1354,2,2),[1]Futures!$A$2:$B$12,2),1),"")</f>
        <v/>
      </c>
    </row>
    <row r="1355" spans="1:19" x14ac:dyDescent="0.2">
      <c r="A1355">
        <f t="shared" si="65"/>
        <v>421</v>
      </c>
      <c r="B1355" s="3">
        <v>43984</v>
      </c>
      <c r="C1355" s="3" t="str">
        <f t="shared" si="64"/>
        <v>Tuesday</v>
      </c>
      <c r="D1355" s="2">
        <v>0.57246527777777778</v>
      </c>
      <c r="E1355" t="s">
        <v>14</v>
      </c>
      <c r="F1355" t="s">
        <v>15</v>
      </c>
      <c r="G1355">
        <v>-1</v>
      </c>
      <c r="H1355" t="s">
        <v>16</v>
      </c>
      <c r="I1355" t="s">
        <v>17</v>
      </c>
      <c r="J1355" s="1">
        <v>44002</v>
      </c>
      <c r="L1355" t="s">
        <v>14</v>
      </c>
      <c r="M1355">
        <v>3067.75</v>
      </c>
      <c r="N1355">
        <v>3067.75</v>
      </c>
      <c r="O1355" t="s">
        <v>21</v>
      </c>
      <c r="P1355">
        <f t="shared" si="66"/>
        <v>0</v>
      </c>
      <c r="Q1355" s="11">
        <f>IF(P1355=0,0,IFERROR(Q1354+G1355*M1355*IF(E1355="FUTURE",VLOOKUP(MID(I1355,2,2),[1]Futures!$A$2:$B$12,2),1),G1355*M1355*IF(E1355="FUTURE",VLOOKUP(MID(I1355,2,2),[1]Futures!$A$2:$B$12,2),1)))</f>
        <v>0</v>
      </c>
      <c r="R1355" s="12" t="str">
        <f>IFERROR(Q1355/P1355/IF(E1355="FUTURE",VLOOKUP(MID(I1355,2,2),[1]Futures!$A$2:$B$12,2),1),"")</f>
        <v/>
      </c>
      <c r="S1355" s="13">
        <f>IF(AND(H1355="TO CLOSE",P1355=0),-G1355*(M1355-R1354)*IF(E1355="FUTURE",VLOOKUP(MID(I1355,2,2),[1]Futures!$A$2:$B$12,2),1),"")</f>
        <v>-250</v>
      </c>
    </row>
    <row r="1356" spans="1:19" x14ac:dyDescent="0.2">
      <c r="A1356">
        <f t="shared" si="65"/>
        <v>422</v>
      </c>
      <c r="B1356" s="3">
        <v>43984</v>
      </c>
      <c r="C1356" s="3" t="str">
        <f t="shared" si="64"/>
        <v>Tuesday</v>
      </c>
      <c r="D1356" s="2">
        <v>0.59973379629629631</v>
      </c>
      <c r="E1356" t="s">
        <v>14</v>
      </c>
      <c r="F1356" t="s">
        <v>15</v>
      </c>
      <c r="G1356">
        <v>-1</v>
      </c>
      <c r="H1356" t="s">
        <v>20</v>
      </c>
      <c r="I1356" t="s">
        <v>17</v>
      </c>
      <c r="J1356" s="1">
        <v>44002</v>
      </c>
      <c r="L1356" t="s">
        <v>14</v>
      </c>
      <c r="M1356">
        <v>3066.75</v>
      </c>
      <c r="N1356">
        <v>3066.75</v>
      </c>
      <c r="O1356" t="s">
        <v>21</v>
      </c>
      <c r="P1356">
        <f t="shared" si="66"/>
        <v>-1</v>
      </c>
      <c r="Q1356" s="11">
        <f>IF(P1356=0,0,IFERROR(Q1355+G1356*M1356*IF(E1356="FUTURE",VLOOKUP(MID(I1356,2,2),[1]Futures!$A$2:$B$12,2),1),G1356*M1356*IF(E1356="FUTURE",VLOOKUP(MID(I1356,2,2),[1]Futures!$A$2:$B$12,2),1)))</f>
        <v>-153337.5</v>
      </c>
      <c r="R1356" s="12">
        <f>IFERROR(Q1356/P1356/IF(E1356="FUTURE",VLOOKUP(MID(I1356,2,2),[1]Futures!$A$2:$B$12,2),1),"")</f>
        <v>3066.75</v>
      </c>
      <c r="S1356" s="13" t="str">
        <f>IF(AND(H1356="TO CLOSE",P1356=0),-G1356*(M1356-R1355)*IF(E1356="FUTURE",VLOOKUP(MID(I1356,2,2),[1]Futures!$A$2:$B$12,2),1),"")</f>
        <v/>
      </c>
    </row>
    <row r="1357" spans="1:19" x14ac:dyDescent="0.2">
      <c r="A1357">
        <f t="shared" si="65"/>
        <v>422</v>
      </c>
      <c r="B1357" s="3">
        <v>43984</v>
      </c>
      <c r="C1357" s="3" t="str">
        <f t="shared" si="64"/>
        <v>Tuesday</v>
      </c>
      <c r="D1357" s="2">
        <v>0.60305555555555557</v>
      </c>
      <c r="E1357" t="s">
        <v>14</v>
      </c>
      <c r="F1357" t="s">
        <v>19</v>
      </c>
      <c r="G1357">
        <v>1</v>
      </c>
      <c r="H1357" t="s">
        <v>16</v>
      </c>
      <c r="I1357" t="s">
        <v>17</v>
      </c>
      <c r="J1357" s="1">
        <v>44002</v>
      </c>
      <c r="L1357" t="s">
        <v>14</v>
      </c>
      <c r="M1357">
        <v>3064.25</v>
      </c>
      <c r="N1357">
        <v>3064.25</v>
      </c>
      <c r="O1357" t="s">
        <v>21</v>
      </c>
      <c r="P1357">
        <f t="shared" si="66"/>
        <v>0</v>
      </c>
      <c r="Q1357" s="11">
        <f>IF(P1357=0,0,IFERROR(Q1356+G1357*M1357*IF(E1357="FUTURE",VLOOKUP(MID(I1357,2,2),[1]Futures!$A$2:$B$12,2),1),G1357*M1357*IF(E1357="FUTURE",VLOOKUP(MID(I1357,2,2),[1]Futures!$A$2:$B$12,2),1)))</f>
        <v>0</v>
      </c>
      <c r="R1357" s="12" t="str">
        <f>IFERROR(Q1357/P1357/IF(E1357="FUTURE",VLOOKUP(MID(I1357,2,2),[1]Futures!$A$2:$B$12,2),1),"")</f>
        <v/>
      </c>
      <c r="S1357" s="13">
        <f>IF(AND(H1357="TO CLOSE",P1357=0),-G1357*(M1357-R1356)*IF(E1357="FUTURE",VLOOKUP(MID(I1357,2,2),[1]Futures!$A$2:$B$12,2),1),"")</f>
        <v>125</v>
      </c>
    </row>
    <row r="1358" spans="1:19" x14ac:dyDescent="0.2">
      <c r="A1358">
        <f t="shared" si="65"/>
        <v>423</v>
      </c>
      <c r="B1358" s="3">
        <v>43984</v>
      </c>
      <c r="C1358" s="3" t="str">
        <f t="shared" si="64"/>
        <v>Tuesday</v>
      </c>
      <c r="D1358" s="2">
        <v>0.49967592592592597</v>
      </c>
      <c r="E1358" t="s">
        <v>22</v>
      </c>
      <c r="F1358" t="s">
        <v>19</v>
      </c>
      <c r="G1358">
        <v>400</v>
      </c>
      <c r="H1358" t="s">
        <v>20</v>
      </c>
      <c r="I1358" t="s">
        <v>23</v>
      </c>
      <c r="L1358" t="s">
        <v>22</v>
      </c>
      <c r="M1358">
        <v>33.228400000000001</v>
      </c>
      <c r="N1358">
        <v>33.228400000000001</v>
      </c>
      <c r="O1358" t="s">
        <v>24</v>
      </c>
      <c r="P1358">
        <f t="shared" si="66"/>
        <v>400</v>
      </c>
      <c r="Q1358" s="11">
        <f>IF(P1358=0,0,IFERROR(Q1357+G1358*M1358*IF(E1358="FUTURE",VLOOKUP(MID(I1358,2,2),[1]Futures!$A$2:$B$12,2),1),G1358*M1358*IF(E1358="FUTURE",VLOOKUP(MID(I1358,2,2),[1]Futures!$A$2:$B$12,2),1)))</f>
        <v>13291.36</v>
      </c>
      <c r="R1358" s="12">
        <f>IFERROR(Q1358/P1358/IF(E1358="FUTURE",VLOOKUP(MID(I1358,2,2),[1]Futures!$A$2:$B$12,2),1),"")</f>
        <v>33.228400000000001</v>
      </c>
      <c r="S1358" s="13" t="str">
        <f>IF(AND(H1358="TO CLOSE",P1358=0),-G1358*(M1358-R1357)*IF(E1358="FUTURE",VLOOKUP(MID(I1358,2,2),[1]Futures!$A$2:$B$12,2),1),"")</f>
        <v/>
      </c>
    </row>
    <row r="1359" spans="1:19" x14ac:dyDescent="0.2">
      <c r="A1359">
        <f t="shared" si="65"/>
        <v>423</v>
      </c>
      <c r="B1359" s="3">
        <v>43984</v>
      </c>
      <c r="C1359" s="3" t="str">
        <f t="shared" si="64"/>
        <v>Tuesday</v>
      </c>
      <c r="D1359" s="2">
        <v>0.50293981481481487</v>
      </c>
      <c r="E1359" t="s">
        <v>22</v>
      </c>
      <c r="F1359" t="s">
        <v>15</v>
      </c>
      <c r="G1359">
        <v>-200</v>
      </c>
      <c r="H1359" t="s">
        <v>16</v>
      </c>
      <c r="I1359" t="s">
        <v>23</v>
      </c>
      <c r="L1359" t="s">
        <v>22</v>
      </c>
      <c r="M1359">
        <v>33.229999999999997</v>
      </c>
      <c r="N1359">
        <v>33.229999999999997</v>
      </c>
      <c r="O1359" t="s">
        <v>21</v>
      </c>
      <c r="P1359">
        <f t="shared" si="66"/>
        <v>200</v>
      </c>
      <c r="Q1359" s="11">
        <f>IF(P1359=0,0,IFERROR(Q1358+G1359*M1359*IF(E1359="FUTURE",VLOOKUP(MID(I1359,2,2),[1]Futures!$A$2:$B$12,2),1),G1359*M1359*IF(E1359="FUTURE",VLOOKUP(MID(I1359,2,2),[1]Futures!$A$2:$B$12,2),1)))</f>
        <v>6645.3600000000015</v>
      </c>
      <c r="R1359" s="12">
        <f>IFERROR(Q1359/P1359/IF(E1359="FUTURE",VLOOKUP(MID(I1359,2,2),[1]Futures!$A$2:$B$12,2),1),"")</f>
        <v>33.226800000000004</v>
      </c>
      <c r="S1359" s="13" t="str">
        <f>IF(AND(H1359="TO CLOSE",P1359=0),-G1359*(M1359-R1358)*IF(E1359="FUTURE",VLOOKUP(MID(I1359,2,2),[1]Futures!$A$2:$B$12,2),1),"")</f>
        <v/>
      </c>
    </row>
    <row r="1360" spans="1:19" x14ac:dyDescent="0.2">
      <c r="A1360">
        <f t="shared" si="65"/>
        <v>423</v>
      </c>
      <c r="B1360" s="3">
        <v>43984</v>
      </c>
      <c r="C1360" s="3" t="str">
        <f t="shared" si="64"/>
        <v>Tuesday</v>
      </c>
      <c r="D1360" s="2">
        <v>0.50293981481481487</v>
      </c>
      <c r="E1360" t="s">
        <v>22</v>
      </c>
      <c r="F1360" t="s">
        <v>15</v>
      </c>
      <c r="G1360">
        <v>-200</v>
      </c>
      <c r="H1360" t="s">
        <v>16</v>
      </c>
      <c r="I1360" t="s">
        <v>23</v>
      </c>
      <c r="L1360" t="s">
        <v>22</v>
      </c>
      <c r="M1360">
        <v>33.229999999999997</v>
      </c>
      <c r="N1360">
        <v>33.229999999999997</v>
      </c>
      <c r="O1360" t="s">
        <v>21</v>
      </c>
      <c r="P1360">
        <f t="shared" si="66"/>
        <v>0</v>
      </c>
      <c r="Q1360" s="11">
        <f>IF(P1360=0,0,IFERROR(Q1359+G1360*M1360*IF(E1360="FUTURE",VLOOKUP(MID(I1360,2,2),[1]Futures!$A$2:$B$12,2),1),G1360*M1360*IF(E1360="FUTURE",VLOOKUP(MID(I1360,2,2),[1]Futures!$A$2:$B$12,2),1)))</f>
        <v>0</v>
      </c>
      <c r="R1360" s="12" t="str">
        <f>IFERROR(Q1360/P1360/IF(E1360="FUTURE",VLOOKUP(MID(I1360,2,2),[1]Futures!$A$2:$B$12,2),1),"")</f>
        <v/>
      </c>
      <c r="S1360" s="13">
        <f>IF(AND(H1360="TO CLOSE",P1360=0),-G1360*(M1360-R1359)*IF(E1360="FUTURE",VLOOKUP(MID(I1360,2,2),[1]Futures!$A$2:$B$12,2),1),"")</f>
        <v>0.63999999999850843</v>
      </c>
    </row>
    <row r="1361" spans="1:19" x14ac:dyDescent="0.2">
      <c r="A1361">
        <f t="shared" si="65"/>
        <v>424</v>
      </c>
      <c r="B1361" s="3">
        <v>43984</v>
      </c>
      <c r="C1361" s="3" t="str">
        <f t="shared" si="64"/>
        <v>Tuesday</v>
      </c>
      <c r="D1361" s="2">
        <v>0.60469907407407408</v>
      </c>
      <c r="E1361" t="s">
        <v>22</v>
      </c>
      <c r="F1361" t="s">
        <v>19</v>
      </c>
      <c r="G1361">
        <v>400</v>
      </c>
      <c r="H1361" t="s">
        <v>20</v>
      </c>
      <c r="I1361" t="s">
        <v>23</v>
      </c>
      <c r="L1361" t="s">
        <v>22</v>
      </c>
      <c r="M1361">
        <v>32.849899999999998</v>
      </c>
      <c r="N1361">
        <v>32.849899999999998</v>
      </c>
      <c r="O1361" t="s">
        <v>24</v>
      </c>
      <c r="P1361">
        <f t="shared" si="66"/>
        <v>400</v>
      </c>
      <c r="Q1361" s="11">
        <f>IF(P1361=0,0,IFERROR(Q1360+G1361*M1361*IF(E1361="FUTURE",VLOOKUP(MID(I1361,2,2),[1]Futures!$A$2:$B$12,2),1),G1361*M1361*IF(E1361="FUTURE",VLOOKUP(MID(I1361,2,2),[1]Futures!$A$2:$B$12,2),1)))</f>
        <v>13139.96</v>
      </c>
      <c r="R1361" s="12">
        <f>IFERROR(Q1361/P1361/IF(E1361="FUTURE",VLOOKUP(MID(I1361,2,2),[1]Futures!$A$2:$B$12,2),1),"")</f>
        <v>32.849899999999998</v>
      </c>
      <c r="S1361" s="13" t="str">
        <f>IF(AND(H1361="TO CLOSE",P1361=0),-G1361*(M1361-R1360)*IF(E1361="FUTURE",VLOOKUP(MID(I1361,2,2),[1]Futures!$A$2:$B$12,2),1),"")</f>
        <v/>
      </c>
    </row>
    <row r="1362" spans="1:19" x14ac:dyDescent="0.2">
      <c r="A1362">
        <f t="shared" si="65"/>
        <v>424</v>
      </c>
      <c r="B1362" s="3">
        <v>43984</v>
      </c>
      <c r="C1362" s="3" t="str">
        <f t="shared" si="64"/>
        <v>Tuesday</v>
      </c>
      <c r="D1362" s="2">
        <v>0.60571759259259261</v>
      </c>
      <c r="E1362" t="s">
        <v>22</v>
      </c>
      <c r="F1362" t="s">
        <v>15</v>
      </c>
      <c r="G1362">
        <v>-400</v>
      </c>
      <c r="H1362" t="s">
        <v>16</v>
      </c>
      <c r="I1362" t="s">
        <v>23</v>
      </c>
      <c r="L1362" t="s">
        <v>22</v>
      </c>
      <c r="M1362">
        <v>32.85</v>
      </c>
      <c r="N1362">
        <v>32.85</v>
      </c>
      <c r="O1362" t="s">
        <v>21</v>
      </c>
      <c r="P1362">
        <f t="shared" si="66"/>
        <v>0</v>
      </c>
      <c r="Q1362" s="11">
        <f>IF(P1362=0,0,IFERROR(Q1361+G1362*M1362*IF(E1362="FUTURE",VLOOKUP(MID(I1362,2,2),[1]Futures!$A$2:$B$12,2),1),G1362*M1362*IF(E1362="FUTURE",VLOOKUP(MID(I1362,2,2),[1]Futures!$A$2:$B$12,2),1)))</f>
        <v>0</v>
      </c>
      <c r="R1362" s="12" t="str">
        <f>IFERROR(Q1362/P1362/IF(E1362="FUTURE",VLOOKUP(MID(I1362,2,2),[1]Futures!$A$2:$B$12,2),1),"")</f>
        <v/>
      </c>
      <c r="S1362" s="13">
        <f>IF(AND(H1362="TO CLOSE",P1362=0),-G1362*(M1362-R1361)*IF(E1362="FUTURE",VLOOKUP(MID(I1362,2,2),[1]Futures!$A$2:$B$12,2),1),"")</f>
        <v>4.0000000001327862E-2</v>
      </c>
    </row>
    <row r="1363" spans="1:19" x14ac:dyDescent="0.2">
      <c r="A1363">
        <f t="shared" si="65"/>
        <v>425</v>
      </c>
      <c r="B1363" s="3">
        <v>43985</v>
      </c>
      <c r="C1363" s="3" t="str">
        <f t="shared" si="64"/>
        <v>Wednesday</v>
      </c>
      <c r="D1363" s="2">
        <v>0.41038194444444448</v>
      </c>
      <c r="E1363" t="s">
        <v>14</v>
      </c>
      <c r="F1363" t="s">
        <v>15</v>
      </c>
      <c r="G1363">
        <v>-1</v>
      </c>
      <c r="H1363" t="s">
        <v>20</v>
      </c>
      <c r="I1363" t="s">
        <v>77</v>
      </c>
      <c r="J1363" s="1">
        <v>44063</v>
      </c>
      <c r="L1363" t="s">
        <v>14</v>
      </c>
      <c r="M1363">
        <v>37.119999999999997</v>
      </c>
      <c r="N1363">
        <v>37.119999999999997</v>
      </c>
      <c r="O1363" t="s">
        <v>21</v>
      </c>
      <c r="P1363">
        <f t="shared" si="66"/>
        <v>-1</v>
      </c>
      <c r="Q1363" s="11">
        <f>IF(P1363=0,0,IFERROR(Q1362+G1363*M1363*IF(E1363="FUTURE",VLOOKUP(MID(I1363,2,2),[1]Futures!$A$2:$B$12,2),1),G1363*M1363*IF(E1363="FUTURE",VLOOKUP(MID(I1363,2,2),[1]Futures!$A$2:$B$12,2),1)))</f>
        <v>-37120</v>
      </c>
      <c r="R1363" s="12">
        <f>IFERROR(Q1363/P1363/IF(E1363="FUTURE",VLOOKUP(MID(I1363,2,2),[1]Futures!$A$2:$B$12,2),1),"")</f>
        <v>37.119999999999997</v>
      </c>
      <c r="S1363" s="13" t="str">
        <f>IF(AND(H1363="TO CLOSE",P1363=0),-G1363*(M1363-R1362)*IF(E1363="FUTURE",VLOOKUP(MID(I1363,2,2),[1]Futures!$A$2:$B$12,2),1),"")</f>
        <v/>
      </c>
    </row>
    <row r="1364" spans="1:19" x14ac:dyDescent="0.2">
      <c r="A1364">
        <f t="shared" si="65"/>
        <v>425</v>
      </c>
      <c r="B1364" s="3">
        <v>43985</v>
      </c>
      <c r="C1364" s="3" t="str">
        <f t="shared" si="64"/>
        <v>Wednesday</v>
      </c>
      <c r="D1364" s="2">
        <v>0.41289351851851852</v>
      </c>
      <c r="E1364" t="s">
        <v>14</v>
      </c>
      <c r="F1364" t="s">
        <v>19</v>
      </c>
      <c r="G1364">
        <v>1</v>
      </c>
      <c r="H1364" t="s">
        <v>16</v>
      </c>
      <c r="I1364" t="s">
        <v>77</v>
      </c>
      <c r="J1364" s="1">
        <v>44063</v>
      </c>
      <c r="L1364" t="s">
        <v>14</v>
      </c>
      <c r="M1364">
        <v>36.9</v>
      </c>
      <c r="N1364">
        <v>36.9</v>
      </c>
      <c r="O1364" t="s">
        <v>21</v>
      </c>
      <c r="P1364">
        <f t="shared" si="66"/>
        <v>0</v>
      </c>
      <c r="Q1364" s="11">
        <f>IF(P1364=0,0,IFERROR(Q1363+G1364*M1364*IF(E1364="FUTURE",VLOOKUP(MID(I1364,2,2),[1]Futures!$A$2:$B$12,2),1),G1364*M1364*IF(E1364="FUTURE",VLOOKUP(MID(I1364,2,2),[1]Futures!$A$2:$B$12,2),1)))</f>
        <v>0</v>
      </c>
      <c r="R1364" s="12" t="str">
        <f>IFERROR(Q1364/P1364/IF(E1364="FUTURE",VLOOKUP(MID(I1364,2,2),[1]Futures!$A$2:$B$12,2),1),"")</f>
        <v/>
      </c>
      <c r="S1364" s="13">
        <f>IF(AND(H1364="TO CLOSE",P1364=0),-G1364*(M1364-R1363)*IF(E1364="FUTURE",VLOOKUP(MID(I1364,2,2),[1]Futures!$A$2:$B$12,2),1),"")</f>
        <v>219.99999999999886</v>
      </c>
    </row>
    <row r="1365" spans="1:19" x14ac:dyDescent="0.2">
      <c r="A1365">
        <f t="shared" si="65"/>
        <v>426</v>
      </c>
      <c r="B1365" s="3">
        <v>43985</v>
      </c>
      <c r="C1365" s="3" t="str">
        <f t="shared" si="64"/>
        <v>Wednesday</v>
      </c>
      <c r="D1365" s="2">
        <v>0.43800925925925926</v>
      </c>
      <c r="E1365" t="s">
        <v>14</v>
      </c>
      <c r="F1365" t="s">
        <v>15</v>
      </c>
      <c r="G1365">
        <v>-1</v>
      </c>
      <c r="H1365" t="s">
        <v>20</v>
      </c>
      <c r="I1365" t="s">
        <v>77</v>
      </c>
      <c r="J1365" s="1">
        <v>44063</v>
      </c>
      <c r="L1365" t="s">
        <v>14</v>
      </c>
      <c r="M1365">
        <v>36.99</v>
      </c>
      <c r="N1365">
        <v>36.99</v>
      </c>
      <c r="O1365" t="s">
        <v>21</v>
      </c>
      <c r="P1365">
        <f t="shared" si="66"/>
        <v>-1</v>
      </c>
      <c r="Q1365" s="11">
        <f>IF(P1365=0,0,IFERROR(Q1364+G1365*M1365*IF(E1365="FUTURE",VLOOKUP(MID(I1365,2,2),[1]Futures!$A$2:$B$12,2),1),G1365*M1365*IF(E1365="FUTURE",VLOOKUP(MID(I1365,2,2),[1]Futures!$A$2:$B$12,2),1)))</f>
        <v>-36990</v>
      </c>
      <c r="R1365" s="12">
        <f>IFERROR(Q1365/P1365/IF(E1365="FUTURE",VLOOKUP(MID(I1365,2,2),[1]Futures!$A$2:$B$12,2),1),"")</f>
        <v>36.99</v>
      </c>
      <c r="S1365" s="13" t="str">
        <f>IF(AND(H1365="TO CLOSE",P1365=0),-G1365*(M1365-R1364)*IF(E1365="FUTURE",VLOOKUP(MID(I1365,2,2),[1]Futures!$A$2:$B$12,2),1),"")</f>
        <v/>
      </c>
    </row>
    <row r="1366" spans="1:19" x14ac:dyDescent="0.2">
      <c r="A1366">
        <f t="shared" si="65"/>
        <v>426</v>
      </c>
      <c r="B1366" s="3">
        <v>43985</v>
      </c>
      <c r="C1366" s="3" t="str">
        <f t="shared" si="64"/>
        <v>Wednesday</v>
      </c>
      <c r="D1366" s="2">
        <v>0.43847222222222221</v>
      </c>
      <c r="E1366" t="s">
        <v>14</v>
      </c>
      <c r="F1366" t="s">
        <v>19</v>
      </c>
      <c r="G1366">
        <v>1</v>
      </c>
      <c r="H1366" t="s">
        <v>16</v>
      </c>
      <c r="I1366" t="s">
        <v>77</v>
      </c>
      <c r="J1366" s="1">
        <v>44063</v>
      </c>
      <c r="L1366" t="s">
        <v>14</v>
      </c>
      <c r="M1366">
        <v>36.83</v>
      </c>
      <c r="N1366">
        <v>36.83</v>
      </c>
      <c r="O1366" t="s">
        <v>24</v>
      </c>
      <c r="P1366">
        <f t="shared" si="66"/>
        <v>0</v>
      </c>
      <c r="Q1366" s="11">
        <f>IF(P1366=0,0,IFERROR(Q1365+G1366*M1366*IF(E1366="FUTURE",VLOOKUP(MID(I1366,2,2),[1]Futures!$A$2:$B$12,2),1),G1366*M1366*IF(E1366="FUTURE",VLOOKUP(MID(I1366,2,2),[1]Futures!$A$2:$B$12,2),1)))</f>
        <v>0</v>
      </c>
      <c r="R1366" s="12" t="str">
        <f>IFERROR(Q1366/P1366/IF(E1366="FUTURE",VLOOKUP(MID(I1366,2,2),[1]Futures!$A$2:$B$12,2),1),"")</f>
        <v/>
      </c>
      <c r="S1366" s="13">
        <f>IF(AND(H1366="TO CLOSE",P1366=0),-G1366*(M1366-R1365)*IF(E1366="FUTURE",VLOOKUP(MID(I1366,2,2),[1]Futures!$A$2:$B$12,2),1),"")</f>
        <v>160.00000000000369</v>
      </c>
    </row>
    <row r="1367" spans="1:19" x14ac:dyDescent="0.2">
      <c r="A1367">
        <f t="shared" si="65"/>
        <v>427</v>
      </c>
      <c r="B1367" s="3">
        <v>43985</v>
      </c>
      <c r="C1367" s="3" t="str">
        <f t="shared" si="64"/>
        <v>Wednesday</v>
      </c>
      <c r="D1367" s="2">
        <v>0.4447916666666667</v>
      </c>
      <c r="E1367" t="s">
        <v>14</v>
      </c>
      <c r="F1367" t="s">
        <v>15</v>
      </c>
      <c r="G1367">
        <v>-1</v>
      </c>
      <c r="H1367" t="s">
        <v>20</v>
      </c>
      <c r="I1367" t="s">
        <v>77</v>
      </c>
      <c r="J1367" s="1">
        <v>44063</v>
      </c>
      <c r="L1367" t="s">
        <v>14</v>
      </c>
      <c r="M1367">
        <v>36.659999999999997</v>
      </c>
      <c r="N1367">
        <v>36.659999999999997</v>
      </c>
      <c r="O1367" t="s">
        <v>21</v>
      </c>
      <c r="P1367">
        <f t="shared" si="66"/>
        <v>-1</v>
      </c>
      <c r="Q1367" s="11">
        <f>IF(P1367=0,0,IFERROR(Q1366+G1367*M1367*IF(E1367="FUTURE",VLOOKUP(MID(I1367,2,2),[1]Futures!$A$2:$B$12,2),1),G1367*M1367*IF(E1367="FUTURE",VLOOKUP(MID(I1367,2,2),[1]Futures!$A$2:$B$12,2),1)))</f>
        <v>-36660</v>
      </c>
      <c r="R1367" s="12">
        <f>IFERROR(Q1367/P1367/IF(E1367="FUTURE",VLOOKUP(MID(I1367,2,2),[1]Futures!$A$2:$B$12,2),1),"")</f>
        <v>36.659999999999997</v>
      </c>
      <c r="S1367" s="13" t="str">
        <f>IF(AND(H1367="TO CLOSE",P1367=0),-G1367*(M1367-R1366)*IF(E1367="FUTURE",VLOOKUP(MID(I1367,2,2),[1]Futures!$A$2:$B$12,2),1),"")</f>
        <v/>
      </c>
    </row>
    <row r="1368" spans="1:19" x14ac:dyDescent="0.2">
      <c r="A1368">
        <f t="shared" si="65"/>
        <v>427</v>
      </c>
      <c r="B1368" s="3">
        <v>43985</v>
      </c>
      <c r="C1368" s="3" t="str">
        <f t="shared" si="64"/>
        <v>Wednesday</v>
      </c>
      <c r="D1368" s="2">
        <v>0.44637731481481485</v>
      </c>
      <c r="E1368" t="s">
        <v>14</v>
      </c>
      <c r="F1368" t="s">
        <v>19</v>
      </c>
      <c r="G1368">
        <v>1</v>
      </c>
      <c r="H1368" t="s">
        <v>16</v>
      </c>
      <c r="I1368" t="s">
        <v>77</v>
      </c>
      <c r="J1368" s="1">
        <v>44063</v>
      </c>
      <c r="L1368" t="s">
        <v>14</v>
      </c>
      <c r="M1368">
        <v>36.64</v>
      </c>
      <c r="N1368">
        <v>36.64</v>
      </c>
      <c r="O1368" t="s">
        <v>21</v>
      </c>
      <c r="P1368">
        <f t="shared" si="66"/>
        <v>0</v>
      </c>
      <c r="Q1368" s="11">
        <f>IF(P1368=0,0,IFERROR(Q1367+G1368*M1368*IF(E1368="FUTURE",VLOOKUP(MID(I1368,2,2),[1]Futures!$A$2:$B$12,2),1),G1368*M1368*IF(E1368="FUTURE",VLOOKUP(MID(I1368,2,2),[1]Futures!$A$2:$B$12,2),1)))</f>
        <v>0</v>
      </c>
      <c r="R1368" s="12" t="str">
        <f>IFERROR(Q1368/P1368/IF(E1368="FUTURE",VLOOKUP(MID(I1368,2,2),[1]Futures!$A$2:$B$12,2),1),"")</f>
        <v/>
      </c>
      <c r="S1368" s="13">
        <f>IF(AND(H1368="TO CLOSE",P1368=0),-G1368*(M1368-R1367)*IF(E1368="FUTURE",VLOOKUP(MID(I1368,2,2),[1]Futures!$A$2:$B$12,2),1),"")</f>
        <v>19.999999999996021</v>
      </c>
    </row>
    <row r="1369" spans="1:19" x14ac:dyDescent="0.2">
      <c r="A1369">
        <f t="shared" si="65"/>
        <v>428</v>
      </c>
      <c r="B1369" s="3">
        <v>43985</v>
      </c>
      <c r="C1369" s="3" t="str">
        <f t="shared" si="64"/>
        <v>Wednesday</v>
      </c>
      <c r="D1369" s="2">
        <v>0.60177083333333337</v>
      </c>
      <c r="E1369" t="s">
        <v>14</v>
      </c>
      <c r="F1369" t="s">
        <v>15</v>
      </c>
      <c r="G1369">
        <v>-1</v>
      </c>
      <c r="H1369" t="s">
        <v>20</v>
      </c>
      <c r="I1369" t="s">
        <v>77</v>
      </c>
      <c r="J1369" s="1">
        <v>44063</v>
      </c>
      <c r="L1369" t="s">
        <v>14</v>
      </c>
      <c r="M1369">
        <v>37.22</v>
      </c>
      <c r="N1369">
        <v>37.22</v>
      </c>
      <c r="O1369" t="s">
        <v>21</v>
      </c>
      <c r="P1369">
        <f t="shared" si="66"/>
        <v>-1</v>
      </c>
      <c r="Q1369" s="11">
        <f>IF(P1369=0,0,IFERROR(Q1368+G1369*M1369*IF(E1369="FUTURE",VLOOKUP(MID(I1369,2,2),[1]Futures!$A$2:$B$12,2),1),G1369*M1369*IF(E1369="FUTURE",VLOOKUP(MID(I1369,2,2),[1]Futures!$A$2:$B$12,2),1)))</f>
        <v>-37220</v>
      </c>
      <c r="R1369" s="12">
        <f>IFERROR(Q1369/P1369/IF(E1369="FUTURE",VLOOKUP(MID(I1369,2,2),[1]Futures!$A$2:$B$12,2),1),"")</f>
        <v>37.22</v>
      </c>
      <c r="S1369" s="13" t="str">
        <f>IF(AND(H1369="TO CLOSE",P1369=0),-G1369*(M1369-R1368)*IF(E1369="FUTURE",VLOOKUP(MID(I1369,2,2),[1]Futures!$A$2:$B$12,2),1),"")</f>
        <v/>
      </c>
    </row>
    <row r="1370" spans="1:19" x14ac:dyDescent="0.2">
      <c r="A1370">
        <f t="shared" si="65"/>
        <v>428</v>
      </c>
      <c r="B1370" s="3">
        <v>43985</v>
      </c>
      <c r="C1370" s="3" t="str">
        <f t="shared" si="64"/>
        <v>Wednesday</v>
      </c>
      <c r="D1370" s="2">
        <v>0.6026273148148148</v>
      </c>
      <c r="E1370" t="s">
        <v>14</v>
      </c>
      <c r="F1370" t="s">
        <v>15</v>
      </c>
      <c r="G1370">
        <v>-1</v>
      </c>
      <c r="H1370" t="s">
        <v>20</v>
      </c>
      <c r="I1370" t="s">
        <v>77</v>
      </c>
      <c r="J1370" s="1">
        <v>44063</v>
      </c>
      <c r="L1370" t="s">
        <v>14</v>
      </c>
      <c r="M1370">
        <v>37.42</v>
      </c>
      <c r="N1370">
        <v>37.42</v>
      </c>
      <c r="O1370" t="s">
        <v>21</v>
      </c>
      <c r="P1370">
        <f t="shared" si="66"/>
        <v>-2</v>
      </c>
      <c r="Q1370" s="11">
        <f>IF(P1370=0,0,IFERROR(Q1369+G1370*M1370*IF(E1370="FUTURE",VLOOKUP(MID(I1370,2,2),[1]Futures!$A$2:$B$12,2),1),G1370*M1370*IF(E1370="FUTURE",VLOOKUP(MID(I1370,2,2),[1]Futures!$A$2:$B$12,2),1)))</f>
        <v>-74640</v>
      </c>
      <c r="R1370" s="12">
        <f>IFERROR(Q1370/P1370/IF(E1370="FUTURE",VLOOKUP(MID(I1370,2,2),[1]Futures!$A$2:$B$12,2),1),"")</f>
        <v>37.32</v>
      </c>
      <c r="S1370" s="13" t="str">
        <f>IF(AND(H1370="TO CLOSE",P1370=0),-G1370*(M1370-R1369)*IF(E1370="FUTURE",VLOOKUP(MID(I1370,2,2),[1]Futures!$A$2:$B$12,2),1),"")</f>
        <v/>
      </c>
    </row>
    <row r="1371" spans="1:19" x14ac:dyDescent="0.2">
      <c r="A1371">
        <f t="shared" si="65"/>
        <v>428</v>
      </c>
      <c r="B1371" s="3">
        <v>43985</v>
      </c>
      <c r="C1371" s="3" t="str">
        <f t="shared" si="64"/>
        <v>Wednesday</v>
      </c>
      <c r="D1371" s="2">
        <v>0.63283564814814819</v>
      </c>
      <c r="E1371" t="s">
        <v>14</v>
      </c>
      <c r="F1371" t="s">
        <v>19</v>
      </c>
      <c r="G1371">
        <v>1</v>
      </c>
      <c r="H1371" t="s">
        <v>16</v>
      </c>
      <c r="I1371" t="s">
        <v>77</v>
      </c>
      <c r="J1371" s="1">
        <v>44063</v>
      </c>
      <c r="L1371" t="s">
        <v>14</v>
      </c>
      <c r="M1371">
        <v>37.4</v>
      </c>
      <c r="N1371">
        <v>37.4</v>
      </c>
      <c r="O1371" t="s">
        <v>21</v>
      </c>
      <c r="P1371">
        <f t="shared" si="66"/>
        <v>-1</v>
      </c>
      <c r="Q1371" s="11">
        <f>IF(P1371=0,0,IFERROR(Q1370+G1371*M1371*IF(E1371="FUTURE",VLOOKUP(MID(I1371,2,2),[1]Futures!$A$2:$B$12,2),1),G1371*M1371*IF(E1371="FUTURE",VLOOKUP(MID(I1371,2,2),[1]Futures!$A$2:$B$12,2),1)))</f>
        <v>-37240</v>
      </c>
      <c r="R1371" s="12">
        <f>IFERROR(Q1371/P1371/IF(E1371="FUTURE",VLOOKUP(MID(I1371,2,2),[1]Futures!$A$2:$B$12,2),1),"")</f>
        <v>37.24</v>
      </c>
      <c r="S1371" s="13" t="str">
        <f>IF(AND(H1371="TO CLOSE",P1371=0),-G1371*(M1371-R1370)*IF(E1371="FUTURE",VLOOKUP(MID(I1371,2,2),[1]Futures!$A$2:$B$12,2),1),"")</f>
        <v/>
      </c>
    </row>
    <row r="1372" spans="1:19" x14ac:dyDescent="0.2">
      <c r="A1372">
        <f t="shared" si="65"/>
        <v>428</v>
      </c>
      <c r="B1372" s="3">
        <v>43985</v>
      </c>
      <c r="C1372" s="3" t="str">
        <f t="shared" si="64"/>
        <v>Wednesday</v>
      </c>
      <c r="D1372" s="2">
        <v>0.6352430555555556</v>
      </c>
      <c r="E1372" t="s">
        <v>14</v>
      </c>
      <c r="F1372" t="s">
        <v>19</v>
      </c>
      <c r="G1372">
        <v>1</v>
      </c>
      <c r="H1372" t="s">
        <v>16</v>
      </c>
      <c r="I1372" t="s">
        <v>77</v>
      </c>
      <c r="J1372" s="1">
        <v>44063</v>
      </c>
      <c r="L1372" t="s">
        <v>14</v>
      </c>
      <c r="M1372">
        <v>37.31</v>
      </c>
      <c r="N1372">
        <v>37.31</v>
      </c>
      <c r="O1372" t="s">
        <v>21</v>
      </c>
      <c r="P1372">
        <f t="shared" si="66"/>
        <v>0</v>
      </c>
      <c r="Q1372" s="11">
        <f>IF(P1372=0,0,IFERROR(Q1371+G1372*M1372*IF(E1372="FUTURE",VLOOKUP(MID(I1372,2,2),[1]Futures!$A$2:$B$12,2),1),G1372*M1372*IF(E1372="FUTURE",VLOOKUP(MID(I1372,2,2),[1]Futures!$A$2:$B$12,2),1)))</f>
        <v>0</v>
      </c>
      <c r="R1372" s="12" t="str">
        <f>IFERROR(Q1372/P1372/IF(E1372="FUTURE",VLOOKUP(MID(I1372,2,2),[1]Futures!$A$2:$B$12,2),1),"")</f>
        <v/>
      </c>
      <c r="S1372" s="13">
        <f>IF(AND(H1372="TO CLOSE",P1372=0),-G1372*(M1372-R1371)*IF(E1372="FUTURE",VLOOKUP(MID(I1372,2,2),[1]Futures!$A$2:$B$12,2),1),"")</f>
        <v>-70.000000000000284</v>
      </c>
    </row>
    <row r="1373" spans="1:19" x14ac:dyDescent="0.2">
      <c r="A1373">
        <f t="shared" si="65"/>
        <v>429</v>
      </c>
      <c r="B1373" s="3">
        <v>43985</v>
      </c>
      <c r="C1373" s="3" t="str">
        <f t="shared" si="64"/>
        <v>Wednesday</v>
      </c>
      <c r="D1373" s="2">
        <v>0.40752314814814811</v>
      </c>
      <c r="E1373" t="s">
        <v>14</v>
      </c>
      <c r="F1373" t="s">
        <v>15</v>
      </c>
      <c r="G1373">
        <v>-1</v>
      </c>
      <c r="H1373" t="s">
        <v>20</v>
      </c>
      <c r="I1373" t="s">
        <v>17</v>
      </c>
      <c r="J1373" s="1">
        <v>44002</v>
      </c>
      <c r="L1373" t="s">
        <v>14</v>
      </c>
      <c r="M1373">
        <v>3101.75</v>
      </c>
      <c r="N1373">
        <v>3101.75</v>
      </c>
      <c r="O1373" t="s">
        <v>21</v>
      </c>
      <c r="P1373">
        <f t="shared" si="66"/>
        <v>-1</v>
      </c>
      <c r="Q1373" s="11">
        <f>IF(P1373=0,0,IFERROR(Q1372+G1373*M1373*IF(E1373="FUTURE",VLOOKUP(MID(I1373,2,2),[1]Futures!$A$2:$B$12,2),1),G1373*M1373*IF(E1373="FUTURE",VLOOKUP(MID(I1373,2,2),[1]Futures!$A$2:$B$12,2),1)))</f>
        <v>-155087.5</v>
      </c>
      <c r="R1373" s="12">
        <f>IFERROR(Q1373/P1373/IF(E1373="FUTURE",VLOOKUP(MID(I1373,2,2),[1]Futures!$A$2:$B$12,2),1),"")</f>
        <v>3101.75</v>
      </c>
      <c r="S1373" s="13" t="str">
        <f>IF(AND(H1373="TO CLOSE",P1373=0),-G1373*(M1373-R1372)*IF(E1373="FUTURE",VLOOKUP(MID(I1373,2,2),[1]Futures!$A$2:$B$12,2),1),"")</f>
        <v/>
      </c>
    </row>
    <row r="1374" spans="1:19" x14ac:dyDescent="0.2">
      <c r="A1374">
        <f t="shared" si="65"/>
        <v>429</v>
      </c>
      <c r="B1374" s="3">
        <v>43985</v>
      </c>
      <c r="C1374" s="3" t="str">
        <f t="shared" si="64"/>
        <v>Wednesday</v>
      </c>
      <c r="D1374" s="2">
        <v>0.55126157407407406</v>
      </c>
      <c r="E1374" t="s">
        <v>14</v>
      </c>
      <c r="F1374" t="s">
        <v>19</v>
      </c>
      <c r="G1374">
        <v>2</v>
      </c>
      <c r="H1374" t="s">
        <v>16</v>
      </c>
      <c r="I1374" t="s">
        <v>17</v>
      </c>
      <c r="J1374" s="1">
        <v>44002</v>
      </c>
      <c r="L1374" t="s">
        <v>14</v>
      </c>
      <c r="M1374">
        <v>3111</v>
      </c>
      <c r="N1374">
        <v>3111</v>
      </c>
      <c r="O1374" t="s">
        <v>24</v>
      </c>
      <c r="P1374">
        <f t="shared" si="66"/>
        <v>1</v>
      </c>
      <c r="Q1374" s="11">
        <f>IF(P1374=0,0,IFERROR(Q1373+G1374*M1374*IF(E1374="FUTURE",VLOOKUP(MID(I1374,2,2),[1]Futures!$A$2:$B$12,2),1),G1374*M1374*IF(E1374="FUTURE",VLOOKUP(MID(I1374,2,2),[1]Futures!$A$2:$B$12,2),1)))</f>
        <v>156012.5</v>
      </c>
      <c r="R1374" s="12">
        <f>IFERROR(Q1374/P1374/IF(E1374="FUTURE",VLOOKUP(MID(I1374,2,2),[1]Futures!$A$2:$B$12,2),1),"")</f>
        <v>3120.25</v>
      </c>
      <c r="S1374" s="13" t="str">
        <f>IF(AND(H1374="TO CLOSE",P1374=0),-G1374*(M1374-R1373)*IF(E1374="FUTURE",VLOOKUP(MID(I1374,2,2),[1]Futures!$A$2:$B$12,2),1),"")</f>
        <v/>
      </c>
    </row>
    <row r="1375" spans="1:19" x14ac:dyDescent="0.2">
      <c r="A1375">
        <f t="shared" si="65"/>
        <v>429</v>
      </c>
      <c r="B1375" s="3">
        <v>43985</v>
      </c>
      <c r="C1375" s="3" t="str">
        <f t="shared" si="64"/>
        <v>Wednesday</v>
      </c>
      <c r="D1375" s="2">
        <v>0.56285879629629632</v>
      </c>
      <c r="E1375" t="s">
        <v>14</v>
      </c>
      <c r="F1375" t="s">
        <v>15</v>
      </c>
      <c r="G1375">
        <v>-2</v>
      </c>
      <c r="H1375" t="s">
        <v>16</v>
      </c>
      <c r="I1375" t="s">
        <v>17</v>
      </c>
      <c r="J1375" s="1">
        <v>44002</v>
      </c>
      <c r="L1375" t="s">
        <v>14</v>
      </c>
      <c r="M1375">
        <v>3112</v>
      </c>
      <c r="N1375">
        <v>3112</v>
      </c>
      <c r="O1375" t="s">
        <v>21</v>
      </c>
      <c r="P1375">
        <f t="shared" si="66"/>
        <v>-1</v>
      </c>
      <c r="Q1375" s="11">
        <f>IF(P1375=0,0,IFERROR(Q1374+G1375*M1375*IF(E1375="FUTURE",VLOOKUP(MID(I1375,2,2),[1]Futures!$A$2:$B$12,2),1),G1375*M1375*IF(E1375="FUTURE",VLOOKUP(MID(I1375,2,2),[1]Futures!$A$2:$B$12,2),1)))</f>
        <v>-155187.5</v>
      </c>
      <c r="R1375" s="12">
        <f>IFERROR(Q1375/P1375/IF(E1375="FUTURE",VLOOKUP(MID(I1375,2,2),[1]Futures!$A$2:$B$12,2),1),"")</f>
        <v>3103.75</v>
      </c>
      <c r="S1375" s="13" t="str">
        <f>IF(AND(H1375="TO CLOSE",P1375=0),-G1375*(M1375-R1374)*IF(E1375="FUTURE",VLOOKUP(MID(I1375,2,2),[1]Futures!$A$2:$B$12,2),1),"")</f>
        <v/>
      </c>
    </row>
    <row r="1376" spans="1:19" x14ac:dyDescent="0.2">
      <c r="A1376">
        <f t="shared" si="65"/>
        <v>429</v>
      </c>
      <c r="B1376" s="3">
        <v>43985</v>
      </c>
      <c r="C1376" s="3" t="str">
        <f t="shared" si="64"/>
        <v>Wednesday</v>
      </c>
      <c r="D1376" s="2">
        <v>0.57454861111111111</v>
      </c>
      <c r="E1376" t="s">
        <v>14</v>
      </c>
      <c r="F1376" t="s">
        <v>19</v>
      </c>
      <c r="G1376">
        <v>1</v>
      </c>
      <c r="H1376" t="s">
        <v>16</v>
      </c>
      <c r="I1376" t="s">
        <v>17</v>
      </c>
      <c r="J1376" s="1">
        <v>44002</v>
      </c>
      <c r="L1376" t="s">
        <v>14</v>
      </c>
      <c r="M1376">
        <v>3111.75</v>
      </c>
      <c r="N1376">
        <v>3111.75</v>
      </c>
      <c r="O1376" t="s">
        <v>21</v>
      </c>
      <c r="P1376">
        <f t="shared" si="66"/>
        <v>0</v>
      </c>
      <c r="Q1376" s="11">
        <f>IF(P1376=0,0,IFERROR(Q1375+G1376*M1376*IF(E1376="FUTURE",VLOOKUP(MID(I1376,2,2),[1]Futures!$A$2:$B$12,2),1),G1376*M1376*IF(E1376="FUTURE",VLOOKUP(MID(I1376,2,2),[1]Futures!$A$2:$B$12,2),1)))</f>
        <v>0</v>
      </c>
      <c r="R1376" s="12" t="str">
        <f>IFERROR(Q1376/P1376/IF(E1376="FUTURE",VLOOKUP(MID(I1376,2,2),[1]Futures!$A$2:$B$12,2),1),"")</f>
        <v/>
      </c>
      <c r="S1376" s="13">
        <f>IF(AND(H1376="TO CLOSE",P1376=0),-G1376*(M1376-R1375)*IF(E1376="FUTURE",VLOOKUP(MID(I1376,2,2),[1]Futures!$A$2:$B$12,2),1),"")</f>
        <v>-400</v>
      </c>
    </row>
    <row r="1377" spans="1:19" x14ac:dyDescent="0.2">
      <c r="A1377">
        <f t="shared" si="65"/>
        <v>430</v>
      </c>
      <c r="B1377" s="3">
        <v>43985</v>
      </c>
      <c r="C1377" s="3" t="str">
        <f t="shared" si="64"/>
        <v>Wednesday</v>
      </c>
      <c r="D1377" s="2">
        <v>0.57974537037037044</v>
      </c>
      <c r="E1377" t="s">
        <v>14</v>
      </c>
      <c r="F1377" t="s">
        <v>19</v>
      </c>
      <c r="G1377">
        <v>1</v>
      </c>
      <c r="H1377" t="s">
        <v>20</v>
      </c>
      <c r="I1377" t="s">
        <v>17</v>
      </c>
      <c r="J1377" s="1">
        <v>44002</v>
      </c>
      <c r="L1377" t="s">
        <v>14</v>
      </c>
      <c r="M1377">
        <v>3110.25</v>
      </c>
      <c r="N1377">
        <v>3110.25</v>
      </c>
      <c r="O1377" t="s">
        <v>21</v>
      </c>
      <c r="P1377">
        <f t="shared" si="66"/>
        <v>1</v>
      </c>
      <c r="Q1377" s="11">
        <f>IF(P1377=0,0,IFERROR(Q1376+G1377*M1377*IF(E1377="FUTURE",VLOOKUP(MID(I1377,2,2),[1]Futures!$A$2:$B$12,2),1),G1377*M1377*IF(E1377="FUTURE",VLOOKUP(MID(I1377,2,2),[1]Futures!$A$2:$B$12,2),1)))</f>
        <v>155512.5</v>
      </c>
      <c r="R1377" s="12">
        <f>IFERROR(Q1377/P1377/IF(E1377="FUTURE",VLOOKUP(MID(I1377,2,2),[1]Futures!$A$2:$B$12,2),1),"")</f>
        <v>3110.25</v>
      </c>
      <c r="S1377" s="13" t="str">
        <f>IF(AND(H1377="TO CLOSE",P1377=0),-G1377*(M1377-R1376)*IF(E1377="FUTURE",VLOOKUP(MID(I1377,2,2),[1]Futures!$A$2:$B$12,2),1),"")</f>
        <v/>
      </c>
    </row>
    <row r="1378" spans="1:19" x14ac:dyDescent="0.2">
      <c r="A1378">
        <f t="shared" si="65"/>
        <v>430</v>
      </c>
      <c r="B1378" s="3">
        <v>43985</v>
      </c>
      <c r="C1378" s="3" t="str">
        <f t="shared" si="64"/>
        <v>Wednesday</v>
      </c>
      <c r="D1378" s="2">
        <v>0.58527777777777779</v>
      </c>
      <c r="E1378" t="s">
        <v>14</v>
      </c>
      <c r="F1378" t="s">
        <v>15</v>
      </c>
      <c r="G1378">
        <v>-1</v>
      </c>
      <c r="H1378" t="s">
        <v>16</v>
      </c>
      <c r="I1378" t="s">
        <v>17</v>
      </c>
      <c r="J1378" s="1">
        <v>44002</v>
      </c>
      <c r="L1378" t="s">
        <v>14</v>
      </c>
      <c r="M1378">
        <v>3115.75</v>
      </c>
      <c r="N1378">
        <v>3115.75</v>
      </c>
      <c r="O1378" t="s">
        <v>21</v>
      </c>
      <c r="P1378">
        <f t="shared" si="66"/>
        <v>0</v>
      </c>
      <c r="Q1378" s="11">
        <f>IF(P1378=0,0,IFERROR(Q1377+G1378*M1378*IF(E1378="FUTURE",VLOOKUP(MID(I1378,2,2),[1]Futures!$A$2:$B$12,2),1),G1378*M1378*IF(E1378="FUTURE",VLOOKUP(MID(I1378,2,2),[1]Futures!$A$2:$B$12,2),1)))</f>
        <v>0</v>
      </c>
      <c r="R1378" s="12" t="str">
        <f>IFERROR(Q1378/P1378/IF(E1378="FUTURE",VLOOKUP(MID(I1378,2,2),[1]Futures!$A$2:$B$12,2),1),"")</f>
        <v/>
      </c>
      <c r="S1378" s="13">
        <f>IF(AND(H1378="TO CLOSE",P1378=0),-G1378*(M1378-R1377)*IF(E1378="FUTURE",VLOOKUP(MID(I1378,2,2),[1]Futures!$A$2:$B$12,2),1),"")</f>
        <v>275</v>
      </c>
    </row>
    <row r="1379" spans="1:19" x14ac:dyDescent="0.2">
      <c r="A1379">
        <f t="shared" si="65"/>
        <v>431</v>
      </c>
      <c r="B1379" s="3">
        <v>43985</v>
      </c>
      <c r="C1379" s="3" t="str">
        <f t="shared" si="64"/>
        <v>Wednesday</v>
      </c>
      <c r="D1379" s="2">
        <v>0.64925925925925931</v>
      </c>
      <c r="E1379" t="s">
        <v>14</v>
      </c>
      <c r="F1379" t="s">
        <v>15</v>
      </c>
      <c r="G1379">
        <v>-1</v>
      </c>
      <c r="H1379" t="s">
        <v>20</v>
      </c>
      <c r="I1379" t="s">
        <v>17</v>
      </c>
      <c r="J1379" s="1">
        <v>44002</v>
      </c>
      <c r="L1379" t="s">
        <v>14</v>
      </c>
      <c r="M1379">
        <v>3122.5</v>
      </c>
      <c r="N1379">
        <v>3122.5</v>
      </c>
      <c r="O1379" t="s">
        <v>21</v>
      </c>
      <c r="P1379">
        <f t="shared" si="66"/>
        <v>-1</v>
      </c>
      <c r="Q1379" s="11">
        <f>IF(P1379=0,0,IFERROR(Q1378+G1379*M1379*IF(E1379="FUTURE",VLOOKUP(MID(I1379,2,2),[1]Futures!$A$2:$B$12,2),1),G1379*M1379*IF(E1379="FUTURE",VLOOKUP(MID(I1379,2,2),[1]Futures!$A$2:$B$12,2),1)))</f>
        <v>-156125</v>
      </c>
      <c r="R1379" s="12">
        <f>IFERROR(Q1379/P1379/IF(E1379="FUTURE",VLOOKUP(MID(I1379,2,2),[1]Futures!$A$2:$B$12,2),1),"")</f>
        <v>3122.5</v>
      </c>
      <c r="S1379" s="13" t="str">
        <f>IF(AND(H1379="TO CLOSE",P1379=0),-G1379*(M1379-R1378)*IF(E1379="FUTURE",VLOOKUP(MID(I1379,2,2),[1]Futures!$A$2:$B$12,2),1),"")</f>
        <v/>
      </c>
    </row>
    <row r="1380" spans="1:19" x14ac:dyDescent="0.2">
      <c r="A1380">
        <f t="shared" si="65"/>
        <v>431</v>
      </c>
      <c r="B1380" s="3">
        <v>43985</v>
      </c>
      <c r="C1380" s="3" t="str">
        <f t="shared" si="64"/>
        <v>Wednesday</v>
      </c>
      <c r="D1380" s="2">
        <v>0.6632986111111111</v>
      </c>
      <c r="E1380" t="s">
        <v>14</v>
      </c>
      <c r="F1380" t="s">
        <v>19</v>
      </c>
      <c r="G1380">
        <v>1</v>
      </c>
      <c r="H1380" t="s">
        <v>16</v>
      </c>
      <c r="I1380" t="s">
        <v>17</v>
      </c>
      <c r="J1380" s="1">
        <v>44002</v>
      </c>
      <c r="L1380" t="s">
        <v>14</v>
      </c>
      <c r="M1380">
        <v>3122.25</v>
      </c>
      <c r="N1380">
        <v>3122.25</v>
      </c>
      <c r="O1380" t="s">
        <v>21</v>
      </c>
      <c r="P1380">
        <f t="shared" si="66"/>
        <v>0</v>
      </c>
      <c r="Q1380" s="11">
        <f>IF(P1380=0,0,IFERROR(Q1379+G1380*M1380*IF(E1380="FUTURE",VLOOKUP(MID(I1380,2,2),[1]Futures!$A$2:$B$12,2),1),G1380*M1380*IF(E1380="FUTURE",VLOOKUP(MID(I1380,2,2),[1]Futures!$A$2:$B$12,2),1)))</f>
        <v>0</v>
      </c>
      <c r="R1380" s="12" t="str">
        <f>IFERROR(Q1380/P1380/IF(E1380="FUTURE",VLOOKUP(MID(I1380,2,2),[1]Futures!$A$2:$B$12,2),1),"")</f>
        <v/>
      </c>
      <c r="S1380" s="13">
        <f>IF(AND(H1380="TO CLOSE",P1380=0),-G1380*(M1380-R1379)*IF(E1380="FUTURE",VLOOKUP(MID(I1380,2,2),[1]Futures!$A$2:$B$12,2),1),"")</f>
        <v>12.5</v>
      </c>
    </row>
    <row r="1381" spans="1:19" x14ac:dyDescent="0.2">
      <c r="A1381">
        <f t="shared" si="65"/>
        <v>432</v>
      </c>
      <c r="B1381" s="3">
        <v>43985</v>
      </c>
      <c r="C1381" s="3" t="str">
        <f t="shared" si="64"/>
        <v>Wednesday</v>
      </c>
      <c r="D1381" s="2">
        <v>0.43283564814814812</v>
      </c>
      <c r="E1381" t="s">
        <v>14</v>
      </c>
      <c r="F1381" t="s">
        <v>15</v>
      </c>
      <c r="G1381">
        <v>-3</v>
      </c>
      <c r="H1381" t="s">
        <v>20</v>
      </c>
      <c r="I1381" t="s">
        <v>73</v>
      </c>
      <c r="J1381" s="1">
        <v>44002</v>
      </c>
      <c r="L1381" t="s">
        <v>14</v>
      </c>
      <c r="M1381">
        <v>3103.25</v>
      </c>
      <c r="N1381">
        <v>3103.25</v>
      </c>
      <c r="O1381" t="s">
        <v>21</v>
      </c>
      <c r="P1381">
        <f t="shared" si="66"/>
        <v>-3</v>
      </c>
      <c r="Q1381" s="11">
        <f>IF(P1381=0,0,IFERROR(Q1380+G1381*M1381*IF(E1381="FUTURE",VLOOKUP(MID(I1381,2,2),[1]Futures!$A$2:$B$12,2),1),G1381*M1381*IF(E1381="FUTURE",VLOOKUP(MID(I1381,2,2),[1]Futures!$A$2:$B$12,2),1)))</f>
        <v>-46548.75</v>
      </c>
      <c r="R1381" s="12">
        <f>IFERROR(Q1381/P1381/IF(E1381="FUTURE",VLOOKUP(MID(I1381,2,2),[1]Futures!$A$2:$B$12,2),1),"")</f>
        <v>3103.25</v>
      </c>
      <c r="S1381" s="13" t="str">
        <f>IF(AND(H1381="TO CLOSE",P1381=0),-G1381*(M1381-R1380)*IF(E1381="FUTURE",VLOOKUP(MID(I1381,2,2),[1]Futures!$A$2:$B$12,2),1),"")</f>
        <v/>
      </c>
    </row>
    <row r="1382" spans="1:19" x14ac:dyDescent="0.2">
      <c r="A1382">
        <f t="shared" si="65"/>
        <v>432</v>
      </c>
      <c r="B1382" s="3">
        <v>43985</v>
      </c>
      <c r="C1382" s="3" t="str">
        <f t="shared" si="64"/>
        <v>Wednesday</v>
      </c>
      <c r="D1382" s="2">
        <v>0.43283564814814812</v>
      </c>
      <c r="E1382" t="s">
        <v>14</v>
      </c>
      <c r="F1382" t="s">
        <v>15</v>
      </c>
      <c r="G1382">
        <v>-1</v>
      </c>
      <c r="H1382" t="s">
        <v>20</v>
      </c>
      <c r="I1382" t="s">
        <v>73</v>
      </c>
      <c r="J1382" s="1">
        <v>44002</v>
      </c>
      <c r="L1382" t="s">
        <v>14</v>
      </c>
      <c r="M1382">
        <v>3103.25</v>
      </c>
      <c r="N1382">
        <v>3103.25</v>
      </c>
      <c r="O1382" t="s">
        <v>21</v>
      </c>
      <c r="P1382">
        <f t="shared" si="66"/>
        <v>-4</v>
      </c>
      <c r="Q1382" s="11">
        <f>IF(P1382=0,0,IFERROR(Q1381+G1382*M1382*IF(E1382="FUTURE",VLOOKUP(MID(I1382,2,2),[1]Futures!$A$2:$B$12,2),1),G1382*M1382*IF(E1382="FUTURE",VLOOKUP(MID(I1382,2,2),[1]Futures!$A$2:$B$12,2),1)))</f>
        <v>-62065</v>
      </c>
      <c r="R1382" s="12">
        <f>IFERROR(Q1382/P1382/IF(E1382="FUTURE",VLOOKUP(MID(I1382,2,2),[1]Futures!$A$2:$B$12,2),1),"")</f>
        <v>3103.25</v>
      </c>
      <c r="S1382" s="13" t="str">
        <f>IF(AND(H1382="TO CLOSE",P1382=0),-G1382*(M1382-R1381)*IF(E1382="FUTURE",VLOOKUP(MID(I1382,2,2),[1]Futures!$A$2:$B$12,2),1),"")</f>
        <v/>
      </c>
    </row>
    <row r="1383" spans="1:19" x14ac:dyDescent="0.2">
      <c r="A1383">
        <f t="shared" si="65"/>
        <v>432</v>
      </c>
      <c r="B1383" s="3">
        <v>43985</v>
      </c>
      <c r="C1383" s="3" t="str">
        <f t="shared" si="64"/>
        <v>Wednesday</v>
      </c>
      <c r="D1383" s="2">
        <v>0.43440972222222224</v>
      </c>
      <c r="E1383" t="s">
        <v>14</v>
      </c>
      <c r="F1383" t="s">
        <v>15</v>
      </c>
      <c r="G1383">
        <v>-1</v>
      </c>
      <c r="H1383" t="s">
        <v>20</v>
      </c>
      <c r="I1383" t="s">
        <v>73</v>
      </c>
      <c r="J1383" s="1">
        <v>44002</v>
      </c>
      <c r="L1383" t="s">
        <v>14</v>
      </c>
      <c r="M1383">
        <v>3104.5</v>
      </c>
      <c r="N1383">
        <v>3104.5</v>
      </c>
      <c r="O1383" t="s">
        <v>21</v>
      </c>
      <c r="P1383">
        <f t="shared" si="66"/>
        <v>-5</v>
      </c>
      <c r="Q1383" s="11">
        <f>IF(P1383=0,0,IFERROR(Q1382+G1383*M1383*IF(E1383="FUTURE",VLOOKUP(MID(I1383,2,2),[1]Futures!$A$2:$B$12,2),1),G1383*M1383*IF(E1383="FUTURE",VLOOKUP(MID(I1383,2,2),[1]Futures!$A$2:$B$12,2),1)))</f>
        <v>-77587.5</v>
      </c>
      <c r="R1383" s="12">
        <f>IFERROR(Q1383/P1383/IF(E1383="FUTURE",VLOOKUP(MID(I1383,2,2),[1]Futures!$A$2:$B$12,2),1),"")</f>
        <v>3103.5</v>
      </c>
      <c r="S1383" s="13" t="str">
        <f>IF(AND(H1383="TO CLOSE",P1383=0),-G1383*(M1383-R1382)*IF(E1383="FUTURE",VLOOKUP(MID(I1383,2,2),[1]Futures!$A$2:$B$12,2),1),"")</f>
        <v/>
      </c>
    </row>
    <row r="1384" spans="1:19" x14ac:dyDescent="0.2">
      <c r="A1384">
        <f t="shared" si="65"/>
        <v>432</v>
      </c>
      <c r="B1384" s="3">
        <v>43985</v>
      </c>
      <c r="C1384" s="3" t="str">
        <f t="shared" si="64"/>
        <v>Wednesday</v>
      </c>
      <c r="D1384" s="2">
        <v>0.43890046296296298</v>
      </c>
      <c r="E1384" t="s">
        <v>14</v>
      </c>
      <c r="F1384" t="s">
        <v>15</v>
      </c>
      <c r="G1384">
        <v>-1</v>
      </c>
      <c r="H1384" t="s">
        <v>20</v>
      </c>
      <c r="I1384" t="s">
        <v>73</v>
      </c>
      <c r="J1384" s="1">
        <v>44002</v>
      </c>
      <c r="L1384" t="s">
        <v>14</v>
      </c>
      <c r="M1384">
        <v>3106.5</v>
      </c>
      <c r="N1384">
        <v>3106.5</v>
      </c>
      <c r="O1384" t="s">
        <v>21</v>
      </c>
      <c r="P1384">
        <f t="shared" si="66"/>
        <v>-6</v>
      </c>
      <c r="Q1384" s="11">
        <f>IF(P1384=0,0,IFERROR(Q1383+G1384*M1384*IF(E1384="FUTURE",VLOOKUP(MID(I1384,2,2),[1]Futures!$A$2:$B$12,2),1),G1384*M1384*IF(E1384="FUTURE",VLOOKUP(MID(I1384,2,2),[1]Futures!$A$2:$B$12,2),1)))</f>
        <v>-93120</v>
      </c>
      <c r="R1384" s="12">
        <f>IFERROR(Q1384/P1384/IF(E1384="FUTURE",VLOOKUP(MID(I1384,2,2),[1]Futures!$A$2:$B$12,2),1),"")</f>
        <v>3104</v>
      </c>
      <c r="S1384" s="13" t="str">
        <f>IF(AND(H1384="TO CLOSE",P1384=0),-G1384*(M1384-R1383)*IF(E1384="FUTURE",VLOOKUP(MID(I1384,2,2),[1]Futures!$A$2:$B$12,2),1),"")</f>
        <v/>
      </c>
    </row>
    <row r="1385" spans="1:19" x14ac:dyDescent="0.2">
      <c r="A1385">
        <f t="shared" si="65"/>
        <v>432</v>
      </c>
      <c r="B1385" s="3">
        <v>43985</v>
      </c>
      <c r="C1385" s="3" t="str">
        <f t="shared" si="64"/>
        <v>Wednesday</v>
      </c>
      <c r="D1385" s="2">
        <v>0.45956018518518515</v>
      </c>
      <c r="E1385" t="s">
        <v>14</v>
      </c>
      <c r="F1385" t="s">
        <v>15</v>
      </c>
      <c r="G1385">
        <v>-2</v>
      </c>
      <c r="H1385" t="s">
        <v>20</v>
      </c>
      <c r="I1385" t="s">
        <v>73</v>
      </c>
      <c r="J1385" s="1">
        <v>44002</v>
      </c>
      <c r="L1385" t="s">
        <v>14</v>
      </c>
      <c r="M1385">
        <v>3110</v>
      </c>
      <c r="N1385">
        <v>3110</v>
      </c>
      <c r="O1385" t="s">
        <v>21</v>
      </c>
      <c r="P1385">
        <f t="shared" si="66"/>
        <v>-8</v>
      </c>
      <c r="Q1385" s="11">
        <f>IF(P1385=0,0,IFERROR(Q1384+G1385*M1385*IF(E1385="FUTURE",VLOOKUP(MID(I1385,2,2),[1]Futures!$A$2:$B$12,2),1),G1385*M1385*IF(E1385="FUTURE",VLOOKUP(MID(I1385,2,2),[1]Futures!$A$2:$B$12,2),1)))</f>
        <v>-124220</v>
      </c>
      <c r="R1385" s="12">
        <f>IFERROR(Q1385/P1385/IF(E1385="FUTURE",VLOOKUP(MID(I1385,2,2),[1]Futures!$A$2:$B$12,2),1),"")</f>
        <v>3105.5</v>
      </c>
      <c r="S1385" s="13" t="str">
        <f>IF(AND(H1385="TO CLOSE",P1385=0),-G1385*(M1385-R1384)*IF(E1385="FUTURE",VLOOKUP(MID(I1385,2,2),[1]Futures!$A$2:$B$12,2),1),"")</f>
        <v/>
      </c>
    </row>
    <row r="1386" spans="1:19" x14ac:dyDescent="0.2">
      <c r="A1386">
        <f t="shared" si="65"/>
        <v>432</v>
      </c>
      <c r="B1386" s="3">
        <v>43985</v>
      </c>
      <c r="C1386" s="3" t="str">
        <f t="shared" si="64"/>
        <v>Wednesday</v>
      </c>
      <c r="D1386" s="2">
        <v>0.55193287037037042</v>
      </c>
      <c r="E1386" t="s">
        <v>14</v>
      </c>
      <c r="F1386" t="s">
        <v>19</v>
      </c>
      <c r="G1386">
        <v>8</v>
      </c>
      <c r="H1386" t="s">
        <v>16</v>
      </c>
      <c r="I1386" t="s">
        <v>73</v>
      </c>
      <c r="J1386" s="1">
        <v>44002</v>
      </c>
      <c r="L1386" t="s">
        <v>14</v>
      </c>
      <c r="M1386">
        <v>3111.25</v>
      </c>
      <c r="N1386">
        <v>3111.25</v>
      </c>
      <c r="O1386" t="s">
        <v>21</v>
      </c>
      <c r="P1386">
        <f t="shared" si="66"/>
        <v>0</v>
      </c>
      <c r="Q1386" s="11">
        <f>IF(P1386=0,0,IFERROR(Q1385+G1386*M1386*IF(E1386="FUTURE",VLOOKUP(MID(I1386,2,2),[1]Futures!$A$2:$B$12,2),1),G1386*M1386*IF(E1386="FUTURE",VLOOKUP(MID(I1386,2,2),[1]Futures!$A$2:$B$12,2),1)))</f>
        <v>0</v>
      </c>
      <c r="R1386" s="12" t="str">
        <f>IFERROR(Q1386/P1386/IF(E1386="FUTURE",VLOOKUP(MID(I1386,2,2),[1]Futures!$A$2:$B$12,2),1),"")</f>
        <v/>
      </c>
      <c r="S1386" s="13">
        <f>IF(AND(H1386="TO CLOSE",P1386=0),-G1386*(M1386-R1385)*IF(E1386="FUTURE",VLOOKUP(MID(I1386,2,2),[1]Futures!$A$2:$B$12,2),1),"")</f>
        <v>-230</v>
      </c>
    </row>
    <row r="1387" spans="1:19" x14ac:dyDescent="0.2">
      <c r="A1387">
        <f t="shared" si="65"/>
        <v>433</v>
      </c>
      <c r="B1387" s="3">
        <v>43985</v>
      </c>
      <c r="C1387" s="3" t="str">
        <f t="shared" si="64"/>
        <v>Wednesday</v>
      </c>
      <c r="D1387" s="2">
        <v>0.60578703703703707</v>
      </c>
      <c r="E1387" t="s">
        <v>14</v>
      </c>
      <c r="F1387" t="s">
        <v>15</v>
      </c>
      <c r="G1387">
        <v>-1</v>
      </c>
      <c r="H1387" t="s">
        <v>20</v>
      </c>
      <c r="I1387" t="s">
        <v>73</v>
      </c>
      <c r="J1387" s="1">
        <v>44002</v>
      </c>
      <c r="L1387" t="s">
        <v>14</v>
      </c>
      <c r="M1387">
        <v>3115.5</v>
      </c>
      <c r="N1387">
        <v>3115.5</v>
      </c>
      <c r="O1387" t="s">
        <v>21</v>
      </c>
      <c r="P1387">
        <f t="shared" si="66"/>
        <v>-1</v>
      </c>
      <c r="Q1387" s="11">
        <f>IF(P1387=0,0,IFERROR(Q1386+G1387*M1387*IF(E1387="FUTURE",VLOOKUP(MID(I1387,2,2),[1]Futures!$A$2:$B$12,2),1),G1387*M1387*IF(E1387="FUTURE",VLOOKUP(MID(I1387,2,2),[1]Futures!$A$2:$B$12,2),1)))</f>
        <v>-15577.5</v>
      </c>
      <c r="R1387" s="12">
        <f>IFERROR(Q1387/P1387/IF(E1387="FUTURE",VLOOKUP(MID(I1387,2,2),[1]Futures!$A$2:$B$12,2),1),"")</f>
        <v>3115.5</v>
      </c>
      <c r="S1387" s="13" t="str">
        <f>IF(AND(H1387="TO CLOSE",P1387=0),-G1387*(M1387-R1386)*IF(E1387="FUTURE",VLOOKUP(MID(I1387,2,2),[1]Futures!$A$2:$B$12,2),1),"")</f>
        <v/>
      </c>
    </row>
    <row r="1388" spans="1:19" x14ac:dyDescent="0.2">
      <c r="A1388">
        <f t="shared" si="65"/>
        <v>433</v>
      </c>
      <c r="B1388" s="3">
        <v>43985</v>
      </c>
      <c r="C1388" s="3" t="str">
        <f t="shared" si="64"/>
        <v>Wednesday</v>
      </c>
      <c r="D1388" s="2">
        <v>0.60578703703703707</v>
      </c>
      <c r="E1388" t="s">
        <v>14</v>
      </c>
      <c r="F1388" t="s">
        <v>15</v>
      </c>
      <c r="G1388">
        <v>-5</v>
      </c>
      <c r="H1388" t="s">
        <v>20</v>
      </c>
      <c r="I1388" t="s">
        <v>73</v>
      </c>
      <c r="J1388" s="1">
        <v>44002</v>
      </c>
      <c r="L1388" t="s">
        <v>14</v>
      </c>
      <c r="M1388">
        <v>3115.5</v>
      </c>
      <c r="N1388">
        <v>3115.5</v>
      </c>
      <c r="O1388" t="s">
        <v>21</v>
      </c>
      <c r="P1388">
        <f t="shared" si="66"/>
        <v>-6</v>
      </c>
      <c r="Q1388" s="11">
        <f>IF(P1388=0,0,IFERROR(Q1387+G1388*M1388*IF(E1388="FUTURE",VLOOKUP(MID(I1388,2,2),[1]Futures!$A$2:$B$12,2),1),G1388*M1388*IF(E1388="FUTURE",VLOOKUP(MID(I1388,2,2),[1]Futures!$A$2:$B$12,2),1)))</f>
        <v>-93465</v>
      </c>
      <c r="R1388" s="12">
        <f>IFERROR(Q1388/P1388/IF(E1388="FUTURE",VLOOKUP(MID(I1388,2,2),[1]Futures!$A$2:$B$12,2),1),"")</f>
        <v>3115.5</v>
      </c>
      <c r="S1388" s="13" t="str">
        <f>IF(AND(H1388="TO CLOSE",P1388=0),-G1388*(M1388-R1387)*IF(E1388="FUTURE",VLOOKUP(MID(I1388,2,2),[1]Futures!$A$2:$B$12,2),1),"")</f>
        <v/>
      </c>
    </row>
    <row r="1389" spans="1:19" x14ac:dyDescent="0.2">
      <c r="A1389">
        <f t="shared" si="65"/>
        <v>433</v>
      </c>
      <c r="B1389" s="3">
        <v>43985</v>
      </c>
      <c r="C1389" s="3" t="str">
        <f t="shared" si="64"/>
        <v>Wednesday</v>
      </c>
      <c r="D1389" s="2">
        <v>0.63564814814814818</v>
      </c>
      <c r="E1389" t="s">
        <v>14</v>
      </c>
      <c r="F1389" t="s">
        <v>15</v>
      </c>
      <c r="G1389">
        <v>-2</v>
      </c>
      <c r="H1389" t="s">
        <v>20</v>
      </c>
      <c r="I1389" t="s">
        <v>73</v>
      </c>
      <c r="J1389" s="1">
        <v>44002</v>
      </c>
      <c r="L1389" t="s">
        <v>14</v>
      </c>
      <c r="M1389">
        <v>3119.5</v>
      </c>
      <c r="N1389">
        <v>3119.5</v>
      </c>
      <c r="O1389" t="s">
        <v>21</v>
      </c>
      <c r="P1389">
        <f t="shared" si="66"/>
        <v>-8</v>
      </c>
      <c r="Q1389" s="11">
        <f>IF(P1389=0,0,IFERROR(Q1388+G1389*M1389*IF(E1389="FUTURE",VLOOKUP(MID(I1389,2,2),[1]Futures!$A$2:$B$12,2),1),G1389*M1389*IF(E1389="FUTURE",VLOOKUP(MID(I1389,2,2),[1]Futures!$A$2:$B$12,2),1)))</f>
        <v>-124660</v>
      </c>
      <c r="R1389" s="12">
        <f>IFERROR(Q1389/P1389/IF(E1389="FUTURE",VLOOKUP(MID(I1389,2,2),[1]Futures!$A$2:$B$12,2),1),"")</f>
        <v>3116.5</v>
      </c>
      <c r="S1389" s="13" t="str">
        <f>IF(AND(H1389="TO CLOSE",P1389=0),-G1389*(M1389-R1388)*IF(E1389="FUTURE",VLOOKUP(MID(I1389,2,2),[1]Futures!$A$2:$B$12,2),1),"")</f>
        <v/>
      </c>
    </row>
    <row r="1390" spans="1:19" x14ac:dyDescent="0.2">
      <c r="A1390">
        <f t="shared" si="65"/>
        <v>433</v>
      </c>
      <c r="B1390" s="3">
        <v>43985</v>
      </c>
      <c r="C1390" s="3" t="str">
        <f t="shared" si="64"/>
        <v>Wednesday</v>
      </c>
      <c r="D1390" s="2">
        <v>0.66498842592592589</v>
      </c>
      <c r="E1390" t="s">
        <v>14</v>
      </c>
      <c r="F1390" t="s">
        <v>19</v>
      </c>
      <c r="G1390">
        <v>1</v>
      </c>
      <c r="H1390" t="s">
        <v>16</v>
      </c>
      <c r="I1390" t="s">
        <v>73</v>
      </c>
      <c r="J1390" s="1">
        <v>44002</v>
      </c>
      <c r="L1390" t="s">
        <v>14</v>
      </c>
      <c r="M1390">
        <v>3118.5</v>
      </c>
      <c r="N1390">
        <v>3118.5</v>
      </c>
      <c r="O1390" t="s">
        <v>21</v>
      </c>
      <c r="P1390">
        <f t="shared" si="66"/>
        <v>-7</v>
      </c>
      <c r="Q1390" s="11">
        <f>IF(P1390=0,0,IFERROR(Q1389+G1390*M1390*IF(E1390="FUTURE",VLOOKUP(MID(I1390,2,2),[1]Futures!$A$2:$B$12,2),1),G1390*M1390*IF(E1390="FUTURE",VLOOKUP(MID(I1390,2,2),[1]Futures!$A$2:$B$12,2),1)))</f>
        <v>-109067.5</v>
      </c>
      <c r="R1390" s="12">
        <f>IFERROR(Q1390/P1390/IF(E1390="FUTURE",VLOOKUP(MID(I1390,2,2),[1]Futures!$A$2:$B$12,2),1),"")</f>
        <v>3116.2142857142858</v>
      </c>
      <c r="S1390" s="13" t="str">
        <f>IF(AND(H1390="TO CLOSE",P1390=0),-G1390*(M1390-R1389)*IF(E1390="FUTURE",VLOOKUP(MID(I1390,2,2),[1]Futures!$A$2:$B$12,2),1),"")</f>
        <v/>
      </c>
    </row>
    <row r="1391" spans="1:19" x14ac:dyDescent="0.2">
      <c r="A1391">
        <f t="shared" si="65"/>
        <v>433</v>
      </c>
      <c r="B1391" s="3">
        <v>43985</v>
      </c>
      <c r="C1391" s="3" t="str">
        <f t="shared" si="64"/>
        <v>Wednesday</v>
      </c>
      <c r="D1391" s="2">
        <v>0.66500000000000004</v>
      </c>
      <c r="E1391" t="s">
        <v>14</v>
      </c>
      <c r="F1391" t="s">
        <v>19</v>
      </c>
      <c r="G1391">
        <v>1</v>
      </c>
      <c r="H1391" t="s">
        <v>16</v>
      </c>
      <c r="I1391" t="s">
        <v>73</v>
      </c>
      <c r="J1391" s="1">
        <v>44002</v>
      </c>
      <c r="L1391" t="s">
        <v>14</v>
      </c>
      <c r="M1391">
        <v>3118.5</v>
      </c>
      <c r="N1391">
        <v>3118.5</v>
      </c>
      <c r="O1391" t="s">
        <v>21</v>
      </c>
      <c r="P1391">
        <f t="shared" si="66"/>
        <v>-6</v>
      </c>
      <c r="Q1391" s="11">
        <f>IF(P1391=0,0,IFERROR(Q1390+G1391*M1391*IF(E1391="FUTURE",VLOOKUP(MID(I1391,2,2),[1]Futures!$A$2:$B$12,2),1),G1391*M1391*IF(E1391="FUTURE",VLOOKUP(MID(I1391,2,2),[1]Futures!$A$2:$B$12,2),1)))</f>
        <v>-93475</v>
      </c>
      <c r="R1391" s="12">
        <f>IFERROR(Q1391/P1391/IF(E1391="FUTURE",VLOOKUP(MID(I1391,2,2),[1]Futures!$A$2:$B$12,2),1),"")</f>
        <v>3115.833333333333</v>
      </c>
      <c r="S1391" s="13" t="str">
        <f>IF(AND(H1391="TO CLOSE",P1391=0),-G1391*(M1391-R1390)*IF(E1391="FUTURE",VLOOKUP(MID(I1391,2,2),[1]Futures!$A$2:$B$12,2),1),"")</f>
        <v/>
      </c>
    </row>
    <row r="1392" spans="1:19" x14ac:dyDescent="0.2">
      <c r="A1392">
        <f t="shared" si="65"/>
        <v>433</v>
      </c>
      <c r="B1392" s="3">
        <v>43985</v>
      </c>
      <c r="C1392" s="3" t="str">
        <f t="shared" si="64"/>
        <v>Wednesday</v>
      </c>
      <c r="D1392" s="2">
        <v>0.66500000000000004</v>
      </c>
      <c r="E1392" t="s">
        <v>14</v>
      </c>
      <c r="F1392" t="s">
        <v>19</v>
      </c>
      <c r="G1392">
        <v>1</v>
      </c>
      <c r="H1392" t="s">
        <v>16</v>
      </c>
      <c r="I1392" t="s">
        <v>73</v>
      </c>
      <c r="J1392" s="1">
        <v>44002</v>
      </c>
      <c r="L1392" t="s">
        <v>14</v>
      </c>
      <c r="M1392">
        <v>3118.5</v>
      </c>
      <c r="N1392">
        <v>3118.5</v>
      </c>
      <c r="O1392" t="s">
        <v>21</v>
      </c>
      <c r="P1392">
        <f t="shared" si="66"/>
        <v>-5</v>
      </c>
      <c r="Q1392" s="11">
        <f>IF(P1392=0,0,IFERROR(Q1391+G1392*M1392*IF(E1392="FUTURE",VLOOKUP(MID(I1392,2,2),[1]Futures!$A$2:$B$12,2),1),G1392*M1392*IF(E1392="FUTURE",VLOOKUP(MID(I1392,2,2),[1]Futures!$A$2:$B$12,2),1)))</f>
        <v>-77882.5</v>
      </c>
      <c r="R1392" s="12">
        <f>IFERROR(Q1392/P1392/IF(E1392="FUTURE",VLOOKUP(MID(I1392,2,2),[1]Futures!$A$2:$B$12,2),1),"")</f>
        <v>3115.3</v>
      </c>
      <c r="S1392" s="13" t="str">
        <f>IF(AND(H1392="TO CLOSE",P1392=0),-G1392*(M1392-R1391)*IF(E1392="FUTURE",VLOOKUP(MID(I1392,2,2),[1]Futures!$A$2:$B$12,2),1),"")</f>
        <v/>
      </c>
    </row>
    <row r="1393" spans="1:19" x14ac:dyDescent="0.2">
      <c r="A1393">
        <f t="shared" si="65"/>
        <v>433</v>
      </c>
      <c r="B1393" s="3">
        <v>43985</v>
      </c>
      <c r="C1393" s="3" t="str">
        <f t="shared" si="64"/>
        <v>Wednesday</v>
      </c>
      <c r="D1393" s="2">
        <v>0.66500000000000004</v>
      </c>
      <c r="E1393" t="s">
        <v>14</v>
      </c>
      <c r="F1393" t="s">
        <v>19</v>
      </c>
      <c r="G1393">
        <v>1</v>
      </c>
      <c r="H1393" t="s">
        <v>16</v>
      </c>
      <c r="I1393" t="s">
        <v>73</v>
      </c>
      <c r="J1393" s="1">
        <v>44002</v>
      </c>
      <c r="L1393" t="s">
        <v>14</v>
      </c>
      <c r="M1393">
        <v>3118.5</v>
      </c>
      <c r="N1393">
        <v>3118.5</v>
      </c>
      <c r="O1393" t="s">
        <v>21</v>
      </c>
      <c r="P1393">
        <f t="shared" si="66"/>
        <v>-4</v>
      </c>
      <c r="Q1393" s="11">
        <f>IF(P1393=0,0,IFERROR(Q1392+G1393*M1393*IF(E1393="FUTURE",VLOOKUP(MID(I1393,2,2),[1]Futures!$A$2:$B$12,2),1),G1393*M1393*IF(E1393="FUTURE",VLOOKUP(MID(I1393,2,2),[1]Futures!$A$2:$B$12,2),1)))</f>
        <v>-62290</v>
      </c>
      <c r="R1393" s="12">
        <f>IFERROR(Q1393/P1393/IF(E1393="FUTURE",VLOOKUP(MID(I1393,2,2),[1]Futures!$A$2:$B$12,2),1),"")</f>
        <v>3114.5</v>
      </c>
      <c r="S1393" s="13" t="str">
        <f>IF(AND(H1393="TO CLOSE",P1393=0),-G1393*(M1393-R1392)*IF(E1393="FUTURE",VLOOKUP(MID(I1393,2,2),[1]Futures!$A$2:$B$12,2),1),"")</f>
        <v/>
      </c>
    </row>
    <row r="1394" spans="1:19" x14ac:dyDescent="0.2">
      <c r="A1394">
        <f t="shared" si="65"/>
        <v>433</v>
      </c>
      <c r="B1394" s="3">
        <v>43985</v>
      </c>
      <c r="C1394" s="3" t="str">
        <f t="shared" si="64"/>
        <v>Wednesday</v>
      </c>
      <c r="D1394" s="2">
        <v>0.66555555555555557</v>
      </c>
      <c r="E1394" t="s">
        <v>14</v>
      </c>
      <c r="F1394" t="s">
        <v>19</v>
      </c>
      <c r="G1394">
        <v>4</v>
      </c>
      <c r="H1394" t="s">
        <v>16</v>
      </c>
      <c r="I1394" t="s">
        <v>73</v>
      </c>
      <c r="J1394" s="1">
        <v>44002</v>
      </c>
      <c r="L1394" t="s">
        <v>14</v>
      </c>
      <c r="M1394">
        <v>3117.5</v>
      </c>
      <c r="N1394">
        <v>3117.5</v>
      </c>
      <c r="O1394" t="s">
        <v>21</v>
      </c>
      <c r="P1394">
        <f t="shared" si="66"/>
        <v>0</v>
      </c>
      <c r="Q1394" s="11">
        <f>IF(P1394=0,0,IFERROR(Q1393+G1394*M1394*IF(E1394="FUTURE",VLOOKUP(MID(I1394,2,2),[1]Futures!$A$2:$B$12,2),1),G1394*M1394*IF(E1394="FUTURE",VLOOKUP(MID(I1394,2,2),[1]Futures!$A$2:$B$12,2),1)))</f>
        <v>0</v>
      </c>
      <c r="R1394" s="12" t="str">
        <f>IFERROR(Q1394/P1394/IF(E1394="FUTURE",VLOOKUP(MID(I1394,2,2),[1]Futures!$A$2:$B$12,2),1),"")</f>
        <v/>
      </c>
      <c r="S1394" s="13">
        <f>IF(AND(H1394="TO CLOSE",P1394=0),-G1394*(M1394-R1393)*IF(E1394="FUTURE",VLOOKUP(MID(I1394,2,2),[1]Futures!$A$2:$B$12,2),1),"")</f>
        <v>-60</v>
      </c>
    </row>
    <row r="1395" spans="1:19" x14ac:dyDescent="0.2">
      <c r="A1395">
        <f t="shared" si="65"/>
        <v>434</v>
      </c>
      <c r="B1395" s="3">
        <v>43985</v>
      </c>
      <c r="C1395" s="3" t="str">
        <f t="shared" si="64"/>
        <v>Wednesday</v>
      </c>
      <c r="D1395" s="2">
        <v>0.48120370370370374</v>
      </c>
      <c r="E1395" t="s">
        <v>22</v>
      </c>
      <c r="F1395" t="s">
        <v>19</v>
      </c>
      <c r="G1395">
        <v>109</v>
      </c>
      <c r="H1395" t="s">
        <v>20</v>
      </c>
      <c r="I1395" t="s">
        <v>23</v>
      </c>
      <c r="L1395" t="s">
        <v>22</v>
      </c>
      <c r="M1395">
        <v>31.6</v>
      </c>
      <c r="N1395">
        <v>31.6</v>
      </c>
      <c r="O1395" t="s">
        <v>21</v>
      </c>
      <c r="P1395">
        <f t="shared" si="66"/>
        <v>109</v>
      </c>
      <c r="Q1395" s="11">
        <f>IF(P1395=0,0,IFERROR(Q1394+G1395*M1395*IF(E1395="FUTURE",VLOOKUP(MID(I1395,2,2),[1]Futures!$A$2:$B$12,2),1),G1395*M1395*IF(E1395="FUTURE",VLOOKUP(MID(I1395,2,2),[1]Futures!$A$2:$B$12,2),1)))</f>
        <v>3444.4</v>
      </c>
      <c r="R1395" s="12">
        <f>IFERROR(Q1395/P1395/IF(E1395="FUTURE",VLOOKUP(MID(I1395,2,2),[1]Futures!$A$2:$B$12,2),1),"")</f>
        <v>31.6</v>
      </c>
      <c r="S1395" s="13" t="str">
        <f>IF(AND(H1395="TO CLOSE",P1395=0),-G1395*(M1395-R1394)*IF(E1395="FUTURE",VLOOKUP(MID(I1395,2,2),[1]Futures!$A$2:$B$12,2),1),"")</f>
        <v/>
      </c>
    </row>
    <row r="1396" spans="1:19" x14ac:dyDescent="0.2">
      <c r="A1396">
        <f t="shared" si="65"/>
        <v>434</v>
      </c>
      <c r="B1396" s="3">
        <v>43985</v>
      </c>
      <c r="C1396" s="3" t="str">
        <f t="shared" si="64"/>
        <v>Wednesday</v>
      </c>
      <c r="D1396" s="2">
        <v>0.48120370370370374</v>
      </c>
      <c r="E1396" t="s">
        <v>22</v>
      </c>
      <c r="F1396" t="s">
        <v>19</v>
      </c>
      <c r="G1396">
        <v>291</v>
      </c>
      <c r="H1396" t="s">
        <v>20</v>
      </c>
      <c r="I1396" t="s">
        <v>23</v>
      </c>
      <c r="L1396" t="s">
        <v>22</v>
      </c>
      <c r="M1396">
        <v>31.6</v>
      </c>
      <c r="N1396">
        <v>31.6</v>
      </c>
      <c r="O1396" t="s">
        <v>21</v>
      </c>
      <c r="P1396">
        <f t="shared" si="66"/>
        <v>400</v>
      </c>
      <c r="Q1396" s="11">
        <f>IF(P1396=0,0,IFERROR(Q1395+G1396*M1396*IF(E1396="FUTURE",VLOOKUP(MID(I1396,2,2),[1]Futures!$A$2:$B$12,2),1),G1396*M1396*IF(E1396="FUTURE",VLOOKUP(MID(I1396,2,2),[1]Futures!$A$2:$B$12,2),1)))</f>
        <v>12640</v>
      </c>
      <c r="R1396" s="12">
        <f>IFERROR(Q1396/P1396/IF(E1396="FUTURE",VLOOKUP(MID(I1396,2,2),[1]Futures!$A$2:$B$12,2),1),"")</f>
        <v>31.6</v>
      </c>
      <c r="S1396" s="13" t="str">
        <f>IF(AND(H1396="TO CLOSE",P1396=0),-G1396*(M1396-R1395)*IF(E1396="FUTURE",VLOOKUP(MID(I1396,2,2),[1]Futures!$A$2:$B$12,2),1),"")</f>
        <v/>
      </c>
    </row>
    <row r="1397" spans="1:19" x14ac:dyDescent="0.2">
      <c r="A1397">
        <f t="shared" si="65"/>
        <v>434</v>
      </c>
      <c r="B1397" s="3">
        <v>43985</v>
      </c>
      <c r="C1397" s="3" t="str">
        <f t="shared" si="64"/>
        <v>Wednesday</v>
      </c>
      <c r="D1397" s="2">
        <v>0.48530092592592594</v>
      </c>
      <c r="E1397" t="s">
        <v>22</v>
      </c>
      <c r="F1397" t="s">
        <v>15</v>
      </c>
      <c r="G1397">
        <v>-200</v>
      </c>
      <c r="H1397" t="s">
        <v>16</v>
      </c>
      <c r="I1397" t="s">
        <v>23</v>
      </c>
      <c r="L1397" t="s">
        <v>22</v>
      </c>
      <c r="M1397">
        <v>31.715</v>
      </c>
      <c r="N1397">
        <v>31.715</v>
      </c>
      <c r="O1397" t="s">
        <v>21</v>
      </c>
      <c r="P1397">
        <f t="shared" si="66"/>
        <v>200</v>
      </c>
      <c r="Q1397" s="11">
        <f>IF(P1397=0,0,IFERROR(Q1396+G1397*M1397*IF(E1397="FUTURE",VLOOKUP(MID(I1397,2,2),[1]Futures!$A$2:$B$12,2),1),G1397*M1397*IF(E1397="FUTURE",VLOOKUP(MID(I1397,2,2),[1]Futures!$A$2:$B$12,2),1)))</f>
        <v>6297</v>
      </c>
      <c r="R1397" s="12">
        <f>IFERROR(Q1397/P1397/IF(E1397="FUTURE",VLOOKUP(MID(I1397,2,2),[1]Futures!$A$2:$B$12,2),1),"")</f>
        <v>31.484999999999999</v>
      </c>
      <c r="S1397" s="13" t="str">
        <f>IF(AND(H1397="TO CLOSE",P1397=0),-G1397*(M1397-R1396)*IF(E1397="FUTURE",VLOOKUP(MID(I1397,2,2),[1]Futures!$A$2:$B$12,2),1),"")</f>
        <v/>
      </c>
    </row>
    <row r="1398" spans="1:19" x14ac:dyDescent="0.2">
      <c r="A1398">
        <f t="shared" si="65"/>
        <v>434</v>
      </c>
      <c r="B1398" s="3">
        <v>43985</v>
      </c>
      <c r="C1398" s="3" t="str">
        <f t="shared" si="64"/>
        <v>Wednesday</v>
      </c>
      <c r="D1398" s="2">
        <v>0.48909722222222224</v>
      </c>
      <c r="E1398" t="s">
        <v>22</v>
      </c>
      <c r="F1398" t="s">
        <v>15</v>
      </c>
      <c r="G1398">
        <v>-200</v>
      </c>
      <c r="H1398" t="s">
        <v>16</v>
      </c>
      <c r="I1398" t="s">
        <v>23</v>
      </c>
      <c r="L1398" t="s">
        <v>22</v>
      </c>
      <c r="M1398">
        <v>31.722899999999999</v>
      </c>
      <c r="N1398">
        <v>31.722899999999999</v>
      </c>
      <c r="O1398" t="s">
        <v>21</v>
      </c>
      <c r="P1398">
        <f t="shared" si="66"/>
        <v>0</v>
      </c>
      <c r="Q1398" s="11">
        <f>IF(P1398=0,0,IFERROR(Q1397+G1398*M1398*IF(E1398="FUTURE",VLOOKUP(MID(I1398,2,2),[1]Futures!$A$2:$B$12,2),1),G1398*M1398*IF(E1398="FUTURE",VLOOKUP(MID(I1398,2,2),[1]Futures!$A$2:$B$12,2),1)))</f>
        <v>0</v>
      </c>
      <c r="R1398" s="12" t="str">
        <f>IFERROR(Q1398/P1398/IF(E1398="FUTURE",VLOOKUP(MID(I1398,2,2),[1]Futures!$A$2:$B$12,2),1),"")</f>
        <v/>
      </c>
      <c r="S1398" s="13">
        <f>IF(AND(H1398="TO CLOSE",P1398=0),-G1398*(M1398-R1397)*IF(E1398="FUTURE",VLOOKUP(MID(I1398,2,2),[1]Futures!$A$2:$B$12,2),1),"")</f>
        <v>47.579999999999956</v>
      </c>
    </row>
    <row r="1399" spans="1:19" x14ac:dyDescent="0.2">
      <c r="A1399">
        <f t="shared" si="65"/>
        <v>435</v>
      </c>
      <c r="B1399" s="3">
        <v>43986</v>
      </c>
      <c r="C1399" s="3" t="str">
        <f t="shared" si="64"/>
        <v>Thursday</v>
      </c>
      <c r="D1399" s="2">
        <v>0.40805555555555556</v>
      </c>
      <c r="E1399" t="s">
        <v>14</v>
      </c>
      <c r="F1399" t="s">
        <v>15</v>
      </c>
      <c r="G1399">
        <v>-1</v>
      </c>
      <c r="H1399" t="s">
        <v>20</v>
      </c>
      <c r="I1399" t="s">
        <v>77</v>
      </c>
      <c r="J1399" s="1">
        <v>44063</v>
      </c>
      <c r="L1399" t="s">
        <v>14</v>
      </c>
      <c r="M1399">
        <v>36.9</v>
      </c>
      <c r="N1399">
        <v>36.9</v>
      </c>
      <c r="O1399" t="s">
        <v>21</v>
      </c>
      <c r="P1399">
        <f t="shared" si="66"/>
        <v>-1</v>
      </c>
      <c r="Q1399" s="11">
        <f>IF(P1399=0,0,IFERROR(Q1398+G1399*M1399*IF(E1399="FUTURE",VLOOKUP(MID(I1399,2,2),[1]Futures!$A$2:$B$12,2),1),G1399*M1399*IF(E1399="FUTURE",VLOOKUP(MID(I1399,2,2),[1]Futures!$A$2:$B$12,2),1)))</f>
        <v>-36900</v>
      </c>
      <c r="R1399" s="12">
        <f>IFERROR(Q1399/P1399/IF(E1399="FUTURE",VLOOKUP(MID(I1399,2,2),[1]Futures!$A$2:$B$12,2),1),"")</f>
        <v>36.9</v>
      </c>
      <c r="S1399" s="13" t="str">
        <f>IF(AND(H1399="TO CLOSE",P1399=0),-G1399*(M1399-R1398)*IF(E1399="FUTURE",VLOOKUP(MID(I1399,2,2),[1]Futures!$A$2:$B$12,2),1),"")</f>
        <v/>
      </c>
    </row>
    <row r="1400" spans="1:19" x14ac:dyDescent="0.2">
      <c r="A1400">
        <f t="shared" si="65"/>
        <v>435</v>
      </c>
      <c r="B1400" s="3">
        <v>43986</v>
      </c>
      <c r="C1400" s="3" t="str">
        <f t="shared" si="64"/>
        <v>Thursday</v>
      </c>
      <c r="D1400" s="2">
        <v>0.41731481481481486</v>
      </c>
      <c r="E1400" t="s">
        <v>14</v>
      </c>
      <c r="F1400" t="s">
        <v>19</v>
      </c>
      <c r="G1400">
        <v>1</v>
      </c>
      <c r="H1400" t="s">
        <v>16</v>
      </c>
      <c r="I1400" t="s">
        <v>77</v>
      </c>
      <c r="J1400" s="1">
        <v>44063</v>
      </c>
      <c r="L1400" t="s">
        <v>14</v>
      </c>
      <c r="M1400">
        <v>37.1</v>
      </c>
      <c r="N1400">
        <v>37.1</v>
      </c>
      <c r="O1400" t="s">
        <v>18</v>
      </c>
      <c r="P1400">
        <f t="shared" si="66"/>
        <v>0</v>
      </c>
      <c r="Q1400" s="11">
        <f>IF(P1400=0,0,IFERROR(Q1399+G1400*M1400*IF(E1400="FUTURE",VLOOKUP(MID(I1400,2,2),[1]Futures!$A$2:$B$12,2),1),G1400*M1400*IF(E1400="FUTURE",VLOOKUP(MID(I1400,2,2),[1]Futures!$A$2:$B$12,2),1)))</f>
        <v>0</v>
      </c>
      <c r="R1400" s="12" t="str">
        <f>IFERROR(Q1400/P1400/IF(E1400="FUTURE",VLOOKUP(MID(I1400,2,2),[1]Futures!$A$2:$B$12,2),1),"")</f>
        <v/>
      </c>
      <c r="S1400" s="13">
        <f>IF(AND(H1400="TO CLOSE",P1400=0),-G1400*(M1400-R1399)*IF(E1400="FUTURE",VLOOKUP(MID(I1400,2,2),[1]Futures!$A$2:$B$12,2),1),"")</f>
        <v>-200.00000000000284</v>
      </c>
    </row>
    <row r="1401" spans="1:19" x14ac:dyDescent="0.2">
      <c r="A1401">
        <f t="shared" si="65"/>
        <v>436</v>
      </c>
      <c r="B1401" s="3">
        <v>43986</v>
      </c>
      <c r="C1401" s="3" t="str">
        <f t="shared" si="64"/>
        <v>Thursday</v>
      </c>
      <c r="D1401" s="2">
        <v>0.41752314814814812</v>
      </c>
      <c r="E1401" t="s">
        <v>14</v>
      </c>
      <c r="F1401" t="s">
        <v>19</v>
      </c>
      <c r="G1401">
        <v>2</v>
      </c>
      <c r="H1401" t="s">
        <v>20</v>
      </c>
      <c r="I1401" t="s">
        <v>77</v>
      </c>
      <c r="J1401" s="1">
        <v>44063</v>
      </c>
      <c r="L1401" t="s">
        <v>14</v>
      </c>
      <c r="M1401">
        <v>37.119999999999997</v>
      </c>
      <c r="N1401">
        <v>37.119999999999997</v>
      </c>
      <c r="O1401" t="s">
        <v>24</v>
      </c>
      <c r="P1401">
        <f t="shared" si="66"/>
        <v>2</v>
      </c>
      <c r="Q1401" s="11">
        <f>IF(P1401=0,0,IFERROR(Q1400+G1401*M1401*IF(E1401="FUTURE",VLOOKUP(MID(I1401,2,2),[1]Futures!$A$2:$B$12,2),1),G1401*M1401*IF(E1401="FUTURE",VLOOKUP(MID(I1401,2,2),[1]Futures!$A$2:$B$12,2),1)))</f>
        <v>74240</v>
      </c>
      <c r="R1401" s="12">
        <f>IFERROR(Q1401/P1401/IF(E1401="FUTURE",VLOOKUP(MID(I1401,2,2),[1]Futures!$A$2:$B$12,2),1),"")</f>
        <v>37.119999999999997</v>
      </c>
      <c r="S1401" s="13" t="str">
        <f>IF(AND(H1401="TO CLOSE",P1401=0),-G1401*(M1401-R1400)*IF(E1401="FUTURE",VLOOKUP(MID(I1401,2,2),[1]Futures!$A$2:$B$12,2),1),"")</f>
        <v/>
      </c>
    </row>
    <row r="1402" spans="1:19" x14ac:dyDescent="0.2">
      <c r="A1402">
        <f t="shared" si="65"/>
        <v>436</v>
      </c>
      <c r="B1402" s="3">
        <v>43986</v>
      </c>
      <c r="C1402" s="3" t="str">
        <f t="shared" si="64"/>
        <v>Thursday</v>
      </c>
      <c r="D1402" s="2">
        <v>0.42744212962962963</v>
      </c>
      <c r="E1402" t="s">
        <v>14</v>
      </c>
      <c r="F1402" t="s">
        <v>15</v>
      </c>
      <c r="G1402">
        <v>-1</v>
      </c>
      <c r="H1402" t="s">
        <v>16</v>
      </c>
      <c r="I1402" t="s">
        <v>77</v>
      </c>
      <c r="J1402" s="1">
        <v>44063</v>
      </c>
      <c r="L1402" t="s">
        <v>14</v>
      </c>
      <c r="M1402">
        <v>37.22</v>
      </c>
      <c r="N1402">
        <v>37.22</v>
      </c>
      <c r="O1402" t="s">
        <v>21</v>
      </c>
      <c r="P1402">
        <f t="shared" si="66"/>
        <v>1</v>
      </c>
      <c r="Q1402" s="11">
        <f>IF(P1402=0,0,IFERROR(Q1401+G1402*M1402*IF(E1402="FUTURE",VLOOKUP(MID(I1402,2,2),[1]Futures!$A$2:$B$12,2),1),G1402*M1402*IF(E1402="FUTURE",VLOOKUP(MID(I1402,2,2),[1]Futures!$A$2:$B$12,2),1)))</f>
        <v>37020</v>
      </c>
      <c r="R1402" s="12">
        <f>IFERROR(Q1402/P1402/IF(E1402="FUTURE",VLOOKUP(MID(I1402,2,2),[1]Futures!$A$2:$B$12,2),1),"")</f>
        <v>37.020000000000003</v>
      </c>
      <c r="S1402" s="13" t="str">
        <f>IF(AND(H1402="TO CLOSE",P1402=0),-G1402*(M1402-R1401)*IF(E1402="FUTURE",VLOOKUP(MID(I1402,2,2),[1]Futures!$A$2:$B$12,2),1),"")</f>
        <v/>
      </c>
    </row>
    <row r="1403" spans="1:19" x14ac:dyDescent="0.2">
      <c r="A1403">
        <f t="shared" si="65"/>
        <v>436</v>
      </c>
      <c r="B1403" s="3">
        <v>43986</v>
      </c>
      <c r="C1403" s="3" t="str">
        <f t="shared" si="64"/>
        <v>Thursday</v>
      </c>
      <c r="D1403" s="2">
        <v>0.4331828703703704</v>
      </c>
      <c r="E1403" t="s">
        <v>14</v>
      </c>
      <c r="F1403" t="s">
        <v>15</v>
      </c>
      <c r="G1403">
        <v>-1</v>
      </c>
      <c r="H1403" t="s">
        <v>16</v>
      </c>
      <c r="I1403" t="s">
        <v>77</v>
      </c>
      <c r="J1403" s="1">
        <v>44063</v>
      </c>
      <c r="L1403" t="s">
        <v>14</v>
      </c>
      <c r="M1403">
        <v>37.020000000000003</v>
      </c>
      <c r="N1403">
        <v>37.020000000000003</v>
      </c>
      <c r="O1403" t="s">
        <v>24</v>
      </c>
      <c r="P1403">
        <f t="shared" si="66"/>
        <v>0</v>
      </c>
      <c r="Q1403" s="11">
        <f>IF(P1403=0,0,IFERROR(Q1402+G1403*M1403*IF(E1403="FUTURE",VLOOKUP(MID(I1403,2,2),[1]Futures!$A$2:$B$12,2),1),G1403*M1403*IF(E1403="FUTURE",VLOOKUP(MID(I1403,2,2),[1]Futures!$A$2:$B$12,2),1)))</f>
        <v>0</v>
      </c>
      <c r="R1403" s="12" t="str">
        <f>IFERROR(Q1403/P1403/IF(E1403="FUTURE",VLOOKUP(MID(I1403,2,2),[1]Futures!$A$2:$B$12,2),1),"")</f>
        <v/>
      </c>
      <c r="S1403" s="13">
        <f>IF(AND(H1403="TO CLOSE",P1403=0),-G1403*(M1403-R1402)*IF(E1403="FUTURE",VLOOKUP(MID(I1403,2,2),[1]Futures!$A$2:$B$12,2),1),"")</f>
        <v>0</v>
      </c>
    </row>
    <row r="1404" spans="1:19" x14ac:dyDescent="0.2">
      <c r="A1404">
        <f t="shared" si="65"/>
        <v>437</v>
      </c>
      <c r="B1404" s="3">
        <v>43986</v>
      </c>
      <c r="C1404" s="3" t="str">
        <f t="shared" si="64"/>
        <v>Thursday</v>
      </c>
      <c r="D1404" s="2">
        <v>0.4331828703703704</v>
      </c>
      <c r="E1404" t="s">
        <v>14</v>
      </c>
      <c r="F1404" t="s">
        <v>15</v>
      </c>
      <c r="G1404">
        <v>-1</v>
      </c>
      <c r="H1404" t="s">
        <v>16</v>
      </c>
      <c r="I1404" t="s">
        <v>77</v>
      </c>
      <c r="J1404" s="1">
        <v>44063</v>
      </c>
      <c r="L1404" t="s">
        <v>14</v>
      </c>
      <c r="M1404">
        <v>37.020000000000003</v>
      </c>
      <c r="N1404">
        <v>37.020000000000003</v>
      </c>
      <c r="O1404" t="s">
        <v>24</v>
      </c>
      <c r="P1404">
        <f t="shared" si="66"/>
        <v>-1</v>
      </c>
      <c r="Q1404" s="11">
        <f>IF(P1404=0,0,IFERROR(Q1403+G1404*M1404*IF(E1404="FUTURE",VLOOKUP(MID(I1404,2,2),[1]Futures!$A$2:$B$12,2),1),G1404*M1404*IF(E1404="FUTURE",VLOOKUP(MID(I1404,2,2),[1]Futures!$A$2:$B$12,2),1)))</f>
        <v>-37020</v>
      </c>
      <c r="R1404" s="12">
        <f>IFERROR(Q1404/P1404/IF(E1404="FUTURE",VLOOKUP(MID(I1404,2,2),[1]Futures!$A$2:$B$12,2),1),"")</f>
        <v>37.020000000000003</v>
      </c>
      <c r="S1404" s="13" t="str">
        <f>IF(AND(H1404="TO CLOSE",P1404=0),-G1404*(M1404-R1403)*IF(E1404="FUTURE",VLOOKUP(MID(I1404,2,2),[1]Futures!$A$2:$B$12,2),1),"")</f>
        <v/>
      </c>
    </row>
    <row r="1405" spans="1:19" x14ac:dyDescent="0.2">
      <c r="A1405">
        <f t="shared" si="65"/>
        <v>437</v>
      </c>
      <c r="B1405" s="3">
        <v>43986</v>
      </c>
      <c r="C1405" s="3" t="str">
        <f t="shared" si="64"/>
        <v>Thursday</v>
      </c>
      <c r="D1405" s="2">
        <v>0.4331828703703704</v>
      </c>
      <c r="E1405" t="s">
        <v>14</v>
      </c>
      <c r="F1405" t="s">
        <v>15</v>
      </c>
      <c r="G1405">
        <v>-1</v>
      </c>
      <c r="H1405" t="s">
        <v>16</v>
      </c>
      <c r="I1405" t="s">
        <v>77</v>
      </c>
      <c r="J1405" s="1">
        <v>44063</v>
      </c>
      <c r="L1405" t="s">
        <v>14</v>
      </c>
      <c r="M1405">
        <v>37.03</v>
      </c>
      <c r="N1405">
        <v>37.03</v>
      </c>
      <c r="O1405" t="s">
        <v>24</v>
      </c>
      <c r="P1405">
        <f t="shared" si="66"/>
        <v>-2</v>
      </c>
      <c r="Q1405" s="11">
        <f>IF(P1405=0,0,IFERROR(Q1404+G1405*M1405*IF(E1405="FUTURE",VLOOKUP(MID(I1405,2,2),[1]Futures!$A$2:$B$12,2),1),G1405*M1405*IF(E1405="FUTURE",VLOOKUP(MID(I1405,2,2),[1]Futures!$A$2:$B$12,2),1)))</f>
        <v>-74050</v>
      </c>
      <c r="R1405" s="12">
        <f>IFERROR(Q1405/P1405/IF(E1405="FUTURE",VLOOKUP(MID(I1405,2,2),[1]Futures!$A$2:$B$12,2),1),"")</f>
        <v>37.024999999999999</v>
      </c>
      <c r="S1405" s="13" t="str">
        <f>IF(AND(H1405="TO CLOSE",P1405=0),-G1405*(M1405-R1404)*IF(E1405="FUTURE",VLOOKUP(MID(I1405,2,2),[1]Futures!$A$2:$B$12,2),1),"")</f>
        <v/>
      </c>
    </row>
    <row r="1406" spans="1:19" x14ac:dyDescent="0.2">
      <c r="A1406">
        <f t="shared" si="65"/>
        <v>437</v>
      </c>
      <c r="B1406" s="3">
        <v>43986</v>
      </c>
      <c r="C1406" s="3" t="str">
        <f t="shared" ref="C1406:C1469" si="67">IF(WEEKDAY(B1406,2)=1,"Monday",IF(WEEKDAY(B1406,2)=2,"Tuesday",IF(WEEKDAY(B1406,2)=3,"Wednesday",IF(WEEKDAY(B1406,2)=4,"Thursday",IF(WEEKDAY(B1406,2)=5,"Friday","Sunday")))))</f>
        <v>Thursday</v>
      </c>
      <c r="D1406" s="2">
        <v>0.44526620370370368</v>
      </c>
      <c r="E1406" t="s">
        <v>14</v>
      </c>
      <c r="F1406" t="s">
        <v>19</v>
      </c>
      <c r="G1406">
        <v>2</v>
      </c>
      <c r="H1406" t="s">
        <v>16</v>
      </c>
      <c r="I1406" t="s">
        <v>77</v>
      </c>
      <c r="J1406" s="1">
        <v>44063</v>
      </c>
      <c r="L1406" t="s">
        <v>14</v>
      </c>
      <c r="M1406">
        <v>37.15</v>
      </c>
      <c r="N1406">
        <v>37.15</v>
      </c>
      <c r="O1406" t="s">
        <v>18</v>
      </c>
      <c r="P1406">
        <f t="shared" si="66"/>
        <v>0</v>
      </c>
      <c r="Q1406" s="11">
        <f>IF(P1406=0,0,IFERROR(Q1405+G1406*M1406*IF(E1406="FUTURE",VLOOKUP(MID(I1406,2,2),[1]Futures!$A$2:$B$12,2),1),G1406*M1406*IF(E1406="FUTURE",VLOOKUP(MID(I1406,2,2),[1]Futures!$A$2:$B$12,2),1)))</f>
        <v>0</v>
      </c>
      <c r="R1406" s="12" t="str">
        <f>IFERROR(Q1406/P1406/IF(E1406="FUTURE",VLOOKUP(MID(I1406,2,2),[1]Futures!$A$2:$B$12,2),1),"")</f>
        <v/>
      </c>
      <c r="S1406" s="13">
        <f>IF(AND(H1406="TO CLOSE",P1406=0),-G1406*(M1406-R1405)*IF(E1406="FUTURE",VLOOKUP(MID(I1406,2,2),[1]Futures!$A$2:$B$12,2),1),"")</f>
        <v>-250</v>
      </c>
    </row>
    <row r="1407" spans="1:19" x14ac:dyDescent="0.2">
      <c r="A1407">
        <f t="shared" si="65"/>
        <v>438</v>
      </c>
      <c r="B1407" s="3">
        <v>43986</v>
      </c>
      <c r="C1407" s="3" t="str">
        <f t="shared" si="67"/>
        <v>Thursday</v>
      </c>
      <c r="D1407" s="2">
        <v>0.44690972222222225</v>
      </c>
      <c r="E1407" t="s">
        <v>14</v>
      </c>
      <c r="F1407" t="s">
        <v>15</v>
      </c>
      <c r="G1407">
        <v>-1</v>
      </c>
      <c r="H1407" t="s">
        <v>20</v>
      </c>
      <c r="I1407" t="s">
        <v>77</v>
      </c>
      <c r="J1407" s="1">
        <v>44063</v>
      </c>
      <c r="L1407" t="s">
        <v>14</v>
      </c>
      <c r="M1407">
        <v>37.07</v>
      </c>
      <c r="N1407">
        <v>37.07</v>
      </c>
      <c r="O1407" t="s">
        <v>21</v>
      </c>
      <c r="P1407">
        <f t="shared" si="66"/>
        <v>-1</v>
      </c>
      <c r="Q1407" s="11">
        <f>IF(P1407=0,0,IFERROR(Q1406+G1407*M1407*IF(E1407="FUTURE",VLOOKUP(MID(I1407,2,2),[1]Futures!$A$2:$B$12,2),1),G1407*M1407*IF(E1407="FUTURE",VLOOKUP(MID(I1407,2,2),[1]Futures!$A$2:$B$12,2),1)))</f>
        <v>-37070</v>
      </c>
      <c r="R1407" s="12">
        <f>IFERROR(Q1407/P1407/IF(E1407="FUTURE",VLOOKUP(MID(I1407,2,2),[1]Futures!$A$2:$B$12,2),1),"")</f>
        <v>37.07</v>
      </c>
      <c r="S1407" s="13" t="str">
        <f>IF(AND(H1407="TO CLOSE",P1407=0),-G1407*(M1407-R1406)*IF(E1407="FUTURE",VLOOKUP(MID(I1407,2,2),[1]Futures!$A$2:$B$12,2),1),"")</f>
        <v/>
      </c>
    </row>
    <row r="1408" spans="1:19" x14ac:dyDescent="0.2">
      <c r="A1408">
        <f t="shared" si="65"/>
        <v>438</v>
      </c>
      <c r="B1408" s="3">
        <v>43986</v>
      </c>
      <c r="C1408" s="3" t="str">
        <f t="shared" si="67"/>
        <v>Thursday</v>
      </c>
      <c r="D1408" s="2">
        <v>0.46030092592592592</v>
      </c>
      <c r="E1408" t="s">
        <v>14</v>
      </c>
      <c r="F1408" t="s">
        <v>19</v>
      </c>
      <c r="G1408">
        <v>1</v>
      </c>
      <c r="H1408" t="s">
        <v>16</v>
      </c>
      <c r="I1408" t="s">
        <v>77</v>
      </c>
      <c r="J1408" s="1">
        <v>44063</v>
      </c>
      <c r="L1408" t="s">
        <v>14</v>
      </c>
      <c r="M1408">
        <v>36.979999999999997</v>
      </c>
      <c r="N1408">
        <v>36.979999999999997</v>
      </c>
      <c r="O1408" t="s">
        <v>21</v>
      </c>
      <c r="P1408">
        <f t="shared" si="66"/>
        <v>0</v>
      </c>
      <c r="Q1408" s="11">
        <f>IF(P1408=0,0,IFERROR(Q1407+G1408*M1408*IF(E1408="FUTURE",VLOOKUP(MID(I1408,2,2),[1]Futures!$A$2:$B$12,2),1),G1408*M1408*IF(E1408="FUTURE",VLOOKUP(MID(I1408,2,2),[1]Futures!$A$2:$B$12,2),1)))</f>
        <v>0</v>
      </c>
      <c r="R1408" s="12" t="str">
        <f>IFERROR(Q1408/P1408/IF(E1408="FUTURE",VLOOKUP(MID(I1408,2,2),[1]Futures!$A$2:$B$12,2),1),"")</f>
        <v/>
      </c>
      <c r="S1408" s="13">
        <f>IF(AND(H1408="TO CLOSE",P1408=0),-G1408*(M1408-R1407)*IF(E1408="FUTURE",VLOOKUP(MID(I1408,2,2),[1]Futures!$A$2:$B$12,2),1),"")</f>
        <v>90.000000000003411</v>
      </c>
    </row>
    <row r="1409" spans="1:19" x14ac:dyDescent="0.2">
      <c r="A1409">
        <f t="shared" si="65"/>
        <v>439</v>
      </c>
      <c r="B1409" s="3">
        <v>43986</v>
      </c>
      <c r="C1409" s="3" t="str">
        <f t="shared" si="67"/>
        <v>Thursday</v>
      </c>
      <c r="D1409" s="2">
        <v>0.4682175925925926</v>
      </c>
      <c r="E1409" t="s">
        <v>14</v>
      </c>
      <c r="F1409" t="s">
        <v>15</v>
      </c>
      <c r="G1409">
        <v>-1</v>
      </c>
      <c r="H1409" t="s">
        <v>20</v>
      </c>
      <c r="I1409" t="s">
        <v>77</v>
      </c>
      <c r="J1409" s="1">
        <v>44063</v>
      </c>
      <c r="L1409" t="s">
        <v>14</v>
      </c>
      <c r="M1409">
        <v>36.78</v>
      </c>
      <c r="N1409">
        <v>36.78</v>
      </c>
      <c r="O1409" t="s">
        <v>24</v>
      </c>
      <c r="P1409">
        <f t="shared" si="66"/>
        <v>-1</v>
      </c>
      <c r="Q1409" s="11">
        <f>IF(P1409=0,0,IFERROR(Q1408+G1409*M1409*IF(E1409="FUTURE",VLOOKUP(MID(I1409,2,2),[1]Futures!$A$2:$B$12,2),1),G1409*M1409*IF(E1409="FUTURE",VLOOKUP(MID(I1409,2,2),[1]Futures!$A$2:$B$12,2),1)))</f>
        <v>-36780</v>
      </c>
      <c r="R1409" s="12">
        <f>IFERROR(Q1409/P1409/IF(E1409="FUTURE",VLOOKUP(MID(I1409,2,2),[1]Futures!$A$2:$B$12,2),1),"")</f>
        <v>36.78</v>
      </c>
      <c r="S1409" s="13" t="str">
        <f>IF(AND(H1409="TO CLOSE",P1409=0),-G1409*(M1409-R1408)*IF(E1409="FUTURE",VLOOKUP(MID(I1409,2,2),[1]Futures!$A$2:$B$12,2),1),"")</f>
        <v/>
      </c>
    </row>
    <row r="1410" spans="1:19" x14ac:dyDescent="0.2">
      <c r="A1410">
        <f t="shared" ref="A1410:A1473" si="68">IF(AND(P1409=0,H1409="TO CLOSE"),IFERROR(A1409+1,1),IFERROR(A1409/1,1))</f>
        <v>439</v>
      </c>
      <c r="B1410" s="3">
        <v>43986</v>
      </c>
      <c r="C1410" s="3" t="str">
        <f t="shared" si="67"/>
        <v>Thursday</v>
      </c>
      <c r="D1410" s="2">
        <v>0.48045138888888889</v>
      </c>
      <c r="E1410" t="s">
        <v>14</v>
      </c>
      <c r="F1410" t="s">
        <v>19</v>
      </c>
      <c r="G1410">
        <v>2</v>
      </c>
      <c r="H1410" t="s">
        <v>16</v>
      </c>
      <c r="I1410" t="s">
        <v>77</v>
      </c>
      <c r="J1410" s="1">
        <v>44063</v>
      </c>
      <c r="L1410" t="s">
        <v>14</v>
      </c>
      <c r="M1410">
        <v>36.93</v>
      </c>
      <c r="N1410">
        <v>36.93</v>
      </c>
      <c r="O1410" t="s">
        <v>24</v>
      </c>
      <c r="P1410">
        <f t="shared" si="66"/>
        <v>1</v>
      </c>
      <c r="Q1410" s="11">
        <f>IF(P1410=0,0,IFERROR(Q1409+G1410*M1410*IF(E1410="FUTURE",VLOOKUP(MID(I1410,2,2),[1]Futures!$A$2:$B$12,2),1),G1410*M1410*IF(E1410="FUTURE",VLOOKUP(MID(I1410,2,2),[1]Futures!$A$2:$B$12,2),1)))</f>
        <v>37080</v>
      </c>
      <c r="R1410" s="12">
        <f>IFERROR(Q1410/P1410/IF(E1410="FUTURE",VLOOKUP(MID(I1410,2,2),[1]Futures!$A$2:$B$12,2),1),"")</f>
        <v>37.08</v>
      </c>
      <c r="S1410" s="13" t="str">
        <f>IF(AND(H1410="TO CLOSE",P1410=0),-G1410*(M1410-R1409)*IF(E1410="FUTURE",VLOOKUP(MID(I1410,2,2),[1]Futures!$A$2:$B$12,2),1),"")</f>
        <v/>
      </c>
    </row>
    <row r="1411" spans="1:19" x14ac:dyDescent="0.2">
      <c r="A1411">
        <f t="shared" si="68"/>
        <v>439</v>
      </c>
      <c r="B1411" s="3">
        <v>43986</v>
      </c>
      <c r="C1411" s="3" t="str">
        <f t="shared" si="67"/>
        <v>Thursday</v>
      </c>
      <c r="D1411" s="2">
        <v>0.48781249999999998</v>
      </c>
      <c r="E1411" t="s">
        <v>14</v>
      </c>
      <c r="F1411" t="s">
        <v>15</v>
      </c>
      <c r="G1411">
        <v>-1</v>
      </c>
      <c r="H1411" t="s">
        <v>16</v>
      </c>
      <c r="I1411" t="s">
        <v>77</v>
      </c>
      <c r="J1411" s="1">
        <v>44063</v>
      </c>
      <c r="L1411" t="s">
        <v>14</v>
      </c>
      <c r="M1411">
        <v>37.08</v>
      </c>
      <c r="N1411">
        <v>37.08</v>
      </c>
      <c r="O1411" t="s">
        <v>21</v>
      </c>
      <c r="P1411">
        <f t="shared" ref="P1411:P1474" si="69">IF(H1411="TO OPEN",IFERROR(P1410+G1411,0+G1411),IFERROR(P1410+G1411,0+G1411))</f>
        <v>0</v>
      </c>
      <c r="Q1411" s="11">
        <f>IF(P1411=0,0,IFERROR(Q1410+G1411*M1411*IF(E1411="FUTURE",VLOOKUP(MID(I1411,2,2),[1]Futures!$A$2:$B$12,2),1),G1411*M1411*IF(E1411="FUTURE",VLOOKUP(MID(I1411,2,2),[1]Futures!$A$2:$B$12,2),1)))</f>
        <v>0</v>
      </c>
      <c r="R1411" s="12" t="str">
        <f>IFERROR(Q1411/P1411/IF(E1411="FUTURE",VLOOKUP(MID(I1411,2,2),[1]Futures!$A$2:$B$12,2),1),"")</f>
        <v/>
      </c>
      <c r="S1411" s="13">
        <f>IF(AND(H1411="TO CLOSE",P1411=0),-G1411*(M1411-R1410)*IF(E1411="FUTURE",VLOOKUP(MID(I1411,2,2),[1]Futures!$A$2:$B$12,2),1),"")</f>
        <v>0</v>
      </c>
    </row>
    <row r="1412" spans="1:19" x14ac:dyDescent="0.2">
      <c r="A1412">
        <f t="shared" si="68"/>
        <v>440</v>
      </c>
      <c r="B1412" s="3">
        <v>43986</v>
      </c>
      <c r="C1412" s="3" t="str">
        <f t="shared" si="67"/>
        <v>Thursday</v>
      </c>
      <c r="D1412" s="2">
        <v>0.44655092592592593</v>
      </c>
      <c r="E1412" t="s">
        <v>14</v>
      </c>
      <c r="F1412" t="s">
        <v>15</v>
      </c>
      <c r="G1412">
        <v>-1</v>
      </c>
      <c r="H1412" t="s">
        <v>20</v>
      </c>
      <c r="I1412" t="s">
        <v>17</v>
      </c>
      <c r="J1412" s="1">
        <v>44002</v>
      </c>
      <c r="L1412" t="s">
        <v>14</v>
      </c>
      <c r="M1412">
        <v>3123.5</v>
      </c>
      <c r="N1412">
        <v>3123.5</v>
      </c>
      <c r="O1412" t="s">
        <v>21</v>
      </c>
      <c r="P1412">
        <f t="shared" si="69"/>
        <v>-1</v>
      </c>
      <c r="Q1412" s="11">
        <f>IF(P1412=0,0,IFERROR(Q1411+G1412*M1412*IF(E1412="FUTURE",VLOOKUP(MID(I1412,2,2),[1]Futures!$A$2:$B$12,2),1),G1412*M1412*IF(E1412="FUTURE",VLOOKUP(MID(I1412,2,2),[1]Futures!$A$2:$B$12,2),1)))</f>
        <v>-156175</v>
      </c>
      <c r="R1412" s="12">
        <f>IFERROR(Q1412/P1412/IF(E1412="FUTURE",VLOOKUP(MID(I1412,2,2),[1]Futures!$A$2:$B$12,2),1),"")</f>
        <v>3123.5</v>
      </c>
      <c r="S1412" s="13" t="str">
        <f>IF(AND(H1412="TO CLOSE",P1412=0),-G1412*(M1412-R1411)*IF(E1412="FUTURE",VLOOKUP(MID(I1412,2,2),[1]Futures!$A$2:$B$12,2),1),"")</f>
        <v/>
      </c>
    </row>
    <row r="1413" spans="1:19" x14ac:dyDescent="0.2">
      <c r="A1413">
        <f t="shared" si="68"/>
        <v>440</v>
      </c>
      <c r="B1413" s="3">
        <v>43986</v>
      </c>
      <c r="C1413" s="3" t="str">
        <f t="shared" si="67"/>
        <v>Thursday</v>
      </c>
      <c r="D1413" s="2">
        <v>0.4636805555555556</v>
      </c>
      <c r="E1413" t="s">
        <v>14</v>
      </c>
      <c r="F1413" t="s">
        <v>19</v>
      </c>
      <c r="G1413">
        <v>1</v>
      </c>
      <c r="H1413" t="s">
        <v>16</v>
      </c>
      <c r="I1413" t="s">
        <v>17</v>
      </c>
      <c r="J1413" s="1">
        <v>44002</v>
      </c>
      <c r="L1413" t="s">
        <v>14</v>
      </c>
      <c r="M1413">
        <v>3120.25</v>
      </c>
      <c r="N1413">
        <v>3120.25</v>
      </c>
      <c r="O1413" t="s">
        <v>21</v>
      </c>
      <c r="P1413">
        <f t="shared" si="69"/>
        <v>0</v>
      </c>
      <c r="Q1413" s="11">
        <f>IF(P1413=0,0,IFERROR(Q1412+G1413*M1413*IF(E1413="FUTURE",VLOOKUP(MID(I1413,2,2),[1]Futures!$A$2:$B$12,2),1),G1413*M1413*IF(E1413="FUTURE",VLOOKUP(MID(I1413,2,2),[1]Futures!$A$2:$B$12,2),1)))</f>
        <v>0</v>
      </c>
      <c r="R1413" s="12" t="str">
        <f>IFERROR(Q1413/P1413/IF(E1413="FUTURE",VLOOKUP(MID(I1413,2,2),[1]Futures!$A$2:$B$12,2),1),"")</f>
        <v/>
      </c>
      <c r="S1413" s="13">
        <f>IF(AND(H1413="TO CLOSE",P1413=0),-G1413*(M1413-R1412)*IF(E1413="FUTURE",VLOOKUP(MID(I1413,2,2),[1]Futures!$A$2:$B$12,2),1),"")</f>
        <v>162.5</v>
      </c>
    </row>
    <row r="1414" spans="1:19" x14ac:dyDescent="0.2">
      <c r="A1414">
        <f t="shared" si="68"/>
        <v>441</v>
      </c>
      <c r="B1414" s="3">
        <v>43986</v>
      </c>
      <c r="C1414" s="3" t="str">
        <f t="shared" si="67"/>
        <v>Thursday</v>
      </c>
      <c r="D1414" s="2">
        <v>0.47902777777777777</v>
      </c>
      <c r="E1414" t="s">
        <v>14</v>
      </c>
      <c r="F1414" t="s">
        <v>19</v>
      </c>
      <c r="G1414">
        <v>1</v>
      </c>
      <c r="H1414" t="s">
        <v>20</v>
      </c>
      <c r="I1414" t="s">
        <v>17</v>
      </c>
      <c r="J1414" s="1">
        <v>44002</v>
      </c>
      <c r="L1414" t="s">
        <v>14</v>
      </c>
      <c r="M1414">
        <v>3111.5</v>
      </c>
      <c r="N1414">
        <v>3111.5</v>
      </c>
      <c r="O1414" t="s">
        <v>24</v>
      </c>
      <c r="P1414">
        <f t="shared" si="69"/>
        <v>1</v>
      </c>
      <c r="Q1414" s="11">
        <f>IF(P1414=0,0,IFERROR(Q1413+G1414*M1414*IF(E1414="FUTURE",VLOOKUP(MID(I1414,2,2),[1]Futures!$A$2:$B$12,2),1),G1414*M1414*IF(E1414="FUTURE",VLOOKUP(MID(I1414,2,2),[1]Futures!$A$2:$B$12,2),1)))</f>
        <v>155575</v>
      </c>
      <c r="R1414" s="12">
        <f>IFERROR(Q1414/P1414/IF(E1414="FUTURE",VLOOKUP(MID(I1414,2,2),[1]Futures!$A$2:$B$12,2),1),"")</f>
        <v>3111.5</v>
      </c>
      <c r="S1414" s="13" t="str">
        <f>IF(AND(H1414="TO CLOSE",P1414=0),-G1414*(M1414-R1413)*IF(E1414="FUTURE",VLOOKUP(MID(I1414,2,2),[1]Futures!$A$2:$B$12,2),1),"")</f>
        <v/>
      </c>
    </row>
    <row r="1415" spans="1:19" x14ac:dyDescent="0.2">
      <c r="A1415">
        <f t="shared" si="68"/>
        <v>441</v>
      </c>
      <c r="B1415" s="3">
        <v>43986</v>
      </c>
      <c r="C1415" s="3" t="str">
        <f t="shared" si="67"/>
        <v>Thursday</v>
      </c>
      <c r="D1415" s="2">
        <v>0.48543981481481485</v>
      </c>
      <c r="E1415" t="s">
        <v>14</v>
      </c>
      <c r="F1415" t="s">
        <v>15</v>
      </c>
      <c r="G1415">
        <v>-1</v>
      </c>
      <c r="H1415" t="s">
        <v>16</v>
      </c>
      <c r="I1415" t="s">
        <v>17</v>
      </c>
      <c r="J1415" s="1">
        <v>44002</v>
      </c>
      <c r="L1415" t="s">
        <v>14</v>
      </c>
      <c r="M1415">
        <v>3112.5</v>
      </c>
      <c r="N1415">
        <v>3112.5</v>
      </c>
      <c r="O1415" t="s">
        <v>21</v>
      </c>
      <c r="P1415">
        <f t="shared" si="69"/>
        <v>0</v>
      </c>
      <c r="Q1415" s="11">
        <f>IF(P1415=0,0,IFERROR(Q1414+G1415*M1415*IF(E1415="FUTURE",VLOOKUP(MID(I1415,2,2),[1]Futures!$A$2:$B$12,2),1),G1415*M1415*IF(E1415="FUTURE",VLOOKUP(MID(I1415,2,2),[1]Futures!$A$2:$B$12,2),1)))</f>
        <v>0</v>
      </c>
      <c r="R1415" s="12" t="str">
        <f>IFERROR(Q1415/P1415/IF(E1415="FUTURE",VLOOKUP(MID(I1415,2,2),[1]Futures!$A$2:$B$12,2),1),"")</f>
        <v/>
      </c>
      <c r="S1415" s="13">
        <f>IF(AND(H1415="TO CLOSE",P1415=0),-G1415*(M1415-R1414)*IF(E1415="FUTURE",VLOOKUP(MID(I1415,2,2),[1]Futures!$A$2:$B$12,2),1),"")</f>
        <v>50</v>
      </c>
    </row>
    <row r="1416" spans="1:19" x14ac:dyDescent="0.2">
      <c r="A1416">
        <f t="shared" si="68"/>
        <v>442</v>
      </c>
      <c r="B1416" s="3">
        <v>43986</v>
      </c>
      <c r="C1416" s="3" t="str">
        <f t="shared" si="67"/>
        <v>Thursday</v>
      </c>
      <c r="D1416" s="2">
        <v>0.48863425925925924</v>
      </c>
      <c r="E1416" t="s">
        <v>14</v>
      </c>
      <c r="F1416" t="s">
        <v>15</v>
      </c>
      <c r="G1416">
        <v>-1</v>
      </c>
      <c r="H1416" t="s">
        <v>20</v>
      </c>
      <c r="I1416" t="s">
        <v>17</v>
      </c>
      <c r="J1416" s="1">
        <v>44002</v>
      </c>
      <c r="L1416" t="s">
        <v>14</v>
      </c>
      <c r="M1416">
        <v>3111.5</v>
      </c>
      <c r="N1416">
        <v>3111.5</v>
      </c>
      <c r="O1416" t="s">
        <v>24</v>
      </c>
      <c r="P1416">
        <f t="shared" si="69"/>
        <v>-1</v>
      </c>
      <c r="Q1416" s="11">
        <f>IF(P1416=0,0,IFERROR(Q1415+G1416*M1416*IF(E1416="FUTURE",VLOOKUP(MID(I1416,2,2),[1]Futures!$A$2:$B$12,2),1),G1416*M1416*IF(E1416="FUTURE",VLOOKUP(MID(I1416,2,2),[1]Futures!$A$2:$B$12,2),1)))</f>
        <v>-155575</v>
      </c>
      <c r="R1416" s="12">
        <f>IFERROR(Q1416/P1416/IF(E1416="FUTURE",VLOOKUP(MID(I1416,2,2),[1]Futures!$A$2:$B$12,2),1),"")</f>
        <v>3111.5</v>
      </c>
      <c r="S1416" s="13" t="str">
        <f>IF(AND(H1416="TO CLOSE",P1416=0),-G1416*(M1416-R1415)*IF(E1416="FUTURE",VLOOKUP(MID(I1416,2,2),[1]Futures!$A$2:$B$12,2),1),"")</f>
        <v/>
      </c>
    </row>
    <row r="1417" spans="1:19" x14ac:dyDescent="0.2">
      <c r="A1417">
        <f t="shared" si="68"/>
        <v>442</v>
      </c>
      <c r="B1417" s="3">
        <v>43986</v>
      </c>
      <c r="C1417" s="3" t="str">
        <f t="shared" si="67"/>
        <v>Thursday</v>
      </c>
      <c r="D1417" s="2">
        <v>0.4893055555555556</v>
      </c>
      <c r="E1417" t="s">
        <v>14</v>
      </c>
      <c r="F1417" t="s">
        <v>19</v>
      </c>
      <c r="G1417">
        <v>1</v>
      </c>
      <c r="H1417" t="s">
        <v>16</v>
      </c>
      <c r="I1417" t="s">
        <v>17</v>
      </c>
      <c r="J1417" s="1">
        <v>44002</v>
      </c>
      <c r="L1417" t="s">
        <v>14</v>
      </c>
      <c r="M1417">
        <v>3111.25</v>
      </c>
      <c r="N1417">
        <v>3111.25</v>
      </c>
      <c r="O1417" t="s">
        <v>21</v>
      </c>
      <c r="P1417">
        <f t="shared" si="69"/>
        <v>0</v>
      </c>
      <c r="Q1417" s="11">
        <f>IF(P1417=0,0,IFERROR(Q1416+G1417*M1417*IF(E1417="FUTURE",VLOOKUP(MID(I1417,2,2),[1]Futures!$A$2:$B$12,2),1),G1417*M1417*IF(E1417="FUTURE",VLOOKUP(MID(I1417,2,2),[1]Futures!$A$2:$B$12,2),1)))</f>
        <v>0</v>
      </c>
      <c r="R1417" s="12" t="str">
        <f>IFERROR(Q1417/P1417/IF(E1417="FUTURE",VLOOKUP(MID(I1417,2,2),[1]Futures!$A$2:$B$12,2),1),"")</f>
        <v/>
      </c>
      <c r="S1417" s="13">
        <f>IF(AND(H1417="TO CLOSE",P1417=0),-G1417*(M1417-R1416)*IF(E1417="FUTURE",VLOOKUP(MID(I1417,2,2),[1]Futures!$A$2:$B$12,2),1),"")</f>
        <v>12.5</v>
      </c>
    </row>
    <row r="1418" spans="1:19" x14ac:dyDescent="0.2">
      <c r="A1418">
        <f t="shared" si="68"/>
        <v>443</v>
      </c>
      <c r="B1418" s="3">
        <v>43986</v>
      </c>
      <c r="C1418" s="3" t="str">
        <f t="shared" si="67"/>
        <v>Thursday</v>
      </c>
      <c r="D1418" s="2">
        <v>0.49028935185185185</v>
      </c>
      <c r="E1418" t="s">
        <v>14</v>
      </c>
      <c r="F1418" t="s">
        <v>19</v>
      </c>
      <c r="G1418">
        <v>1</v>
      </c>
      <c r="H1418" t="s">
        <v>20</v>
      </c>
      <c r="I1418" t="s">
        <v>17</v>
      </c>
      <c r="J1418" s="1">
        <v>44002</v>
      </c>
      <c r="L1418" t="s">
        <v>14</v>
      </c>
      <c r="M1418">
        <v>3112.75</v>
      </c>
      <c r="N1418">
        <v>3112.75</v>
      </c>
      <c r="O1418" t="s">
        <v>24</v>
      </c>
      <c r="P1418">
        <f t="shared" si="69"/>
        <v>1</v>
      </c>
      <c r="Q1418" s="11">
        <f>IF(P1418=0,0,IFERROR(Q1417+G1418*M1418*IF(E1418="FUTURE",VLOOKUP(MID(I1418,2,2),[1]Futures!$A$2:$B$12,2),1),G1418*M1418*IF(E1418="FUTURE",VLOOKUP(MID(I1418,2,2),[1]Futures!$A$2:$B$12,2),1)))</f>
        <v>155637.5</v>
      </c>
      <c r="R1418" s="12">
        <f>IFERROR(Q1418/P1418/IF(E1418="FUTURE",VLOOKUP(MID(I1418,2,2),[1]Futures!$A$2:$B$12,2),1),"")</f>
        <v>3112.75</v>
      </c>
      <c r="S1418" s="13" t="str">
        <f>IF(AND(H1418="TO CLOSE",P1418=0),-G1418*(M1418-R1417)*IF(E1418="FUTURE",VLOOKUP(MID(I1418,2,2),[1]Futures!$A$2:$B$12,2),1),"")</f>
        <v/>
      </c>
    </row>
    <row r="1419" spans="1:19" x14ac:dyDescent="0.2">
      <c r="A1419">
        <f t="shared" si="68"/>
        <v>443</v>
      </c>
      <c r="B1419" s="3">
        <v>43986</v>
      </c>
      <c r="C1419" s="3" t="str">
        <f t="shared" si="67"/>
        <v>Thursday</v>
      </c>
      <c r="D1419" s="2">
        <v>0.51697916666666666</v>
      </c>
      <c r="E1419" t="s">
        <v>14</v>
      </c>
      <c r="F1419" t="s">
        <v>15</v>
      </c>
      <c r="G1419">
        <v>-1</v>
      </c>
      <c r="H1419" t="s">
        <v>16</v>
      </c>
      <c r="I1419" t="s">
        <v>17</v>
      </c>
      <c r="J1419" s="1">
        <v>44002</v>
      </c>
      <c r="L1419" t="s">
        <v>14</v>
      </c>
      <c r="M1419">
        <v>3113.75</v>
      </c>
      <c r="N1419">
        <v>3113.75</v>
      </c>
      <c r="O1419" t="s">
        <v>21</v>
      </c>
      <c r="P1419">
        <f t="shared" si="69"/>
        <v>0</v>
      </c>
      <c r="Q1419" s="11">
        <f>IF(P1419=0,0,IFERROR(Q1418+G1419*M1419*IF(E1419="FUTURE",VLOOKUP(MID(I1419,2,2),[1]Futures!$A$2:$B$12,2),1),G1419*M1419*IF(E1419="FUTURE",VLOOKUP(MID(I1419,2,2),[1]Futures!$A$2:$B$12,2),1)))</f>
        <v>0</v>
      </c>
      <c r="R1419" s="12" t="str">
        <f>IFERROR(Q1419/P1419/IF(E1419="FUTURE",VLOOKUP(MID(I1419,2,2),[1]Futures!$A$2:$B$12,2),1),"")</f>
        <v/>
      </c>
      <c r="S1419" s="13">
        <f>IF(AND(H1419="TO CLOSE",P1419=0),-G1419*(M1419-R1418)*IF(E1419="FUTURE",VLOOKUP(MID(I1419,2,2),[1]Futures!$A$2:$B$12,2),1),"")</f>
        <v>50</v>
      </c>
    </row>
    <row r="1420" spans="1:19" x14ac:dyDescent="0.2">
      <c r="A1420">
        <f t="shared" si="68"/>
        <v>444</v>
      </c>
      <c r="B1420" s="3">
        <v>43986</v>
      </c>
      <c r="C1420" s="3" t="str">
        <f t="shared" si="67"/>
        <v>Thursday</v>
      </c>
      <c r="D1420" s="2">
        <v>0.55480324074074072</v>
      </c>
      <c r="E1420" t="s">
        <v>14</v>
      </c>
      <c r="F1420" t="s">
        <v>19</v>
      </c>
      <c r="G1420">
        <v>1</v>
      </c>
      <c r="H1420" t="s">
        <v>20</v>
      </c>
      <c r="I1420" t="s">
        <v>17</v>
      </c>
      <c r="J1420" s="1">
        <v>44002</v>
      </c>
      <c r="L1420" t="s">
        <v>14</v>
      </c>
      <c r="M1420">
        <v>3105</v>
      </c>
      <c r="N1420">
        <v>3105</v>
      </c>
      <c r="O1420" t="s">
        <v>21</v>
      </c>
      <c r="P1420">
        <f t="shared" si="69"/>
        <v>1</v>
      </c>
      <c r="Q1420" s="11">
        <f>IF(P1420=0,0,IFERROR(Q1419+G1420*M1420*IF(E1420="FUTURE",VLOOKUP(MID(I1420,2,2),[1]Futures!$A$2:$B$12,2),1),G1420*M1420*IF(E1420="FUTURE",VLOOKUP(MID(I1420,2,2),[1]Futures!$A$2:$B$12,2),1)))</f>
        <v>155250</v>
      </c>
      <c r="R1420" s="12">
        <f>IFERROR(Q1420/P1420/IF(E1420="FUTURE",VLOOKUP(MID(I1420,2,2),[1]Futures!$A$2:$B$12,2),1),"")</f>
        <v>3105</v>
      </c>
      <c r="S1420" s="13" t="str">
        <f>IF(AND(H1420="TO CLOSE",P1420=0),-G1420*(M1420-R1419)*IF(E1420="FUTURE",VLOOKUP(MID(I1420,2,2),[1]Futures!$A$2:$B$12,2),1),"")</f>
        <v/>
      </c>
    </row>
    <row r="1421" spans="1:19" x14ac:dyDescent="0.2">
      <c r="A1421">
        <f t="shared" si="68"/>
        <v>444</v>
      </c>
      <c r="B1421" s="3">
        <v>43986</v>
      </c>
      <c r="C1421" s="3" t="str">
        <f t="shared" si="67"/>
        <v>Thursday</v>
      </c>
      <c r="D1421" s="2">
        <v>0.56943287037037038</v>
      </c>
      <c r="E1421" t="s">
        <v>14</v>
      </c>
      <c r="F1421" t="s">
        <v>15</v>
      </c>
      <c r="G1421">
        <v>-1</v>
      </c>
      <c r="H1421" t="s">
        <v>16</v>
      </c>
      <c r="I1421" t="s">
        <v>17</v>
      </c>
      <c r="J1421" s="1">
        <v>44002</v>
      </c>
      <c r="L1421" t="s">
        <v>14</v>
      </c>
      <c r="M1421">
        <v>3107.5</v>
      </c>
      <c r="N1421">
        <v>3107.5</v>
      </c>
      <c r="O1421" t="s">
        <v>21</v>
      </c>
      <c r="P1421">
        <f t="shared" si="69"/>
        <v>0</v>
      </c>
      <c r="Q1421" s="11">
        <f>IF(P1421=0,0,IFERROR(Q1420+G1421*M1421*IF(E1421="FUTURE",VLOOKUP(MID(I1421,2,2),[1]Futures!$A$2:$B$12,2),1),G1421*M1421*IF(E1421="FUTURE",VLOOKUP(MID(I1421,2,2),[1]Futures!$A$2:$B$12,2),1)))</f>
        <v>0</v>
      </c>
      <c r="R1421" s="12" t="str">
        <f>IFERROR(Q1421/P1421/IF(E1421="FUTURE",VLOOKUP(MID(I1421,2,2),[1]Futures!$A$2:$B$12,2),1),"")</f>
        <v/>
      </c>
      <c r="S1421" s="13">
        <f>IF(AND(H1421="TO CLOSE",P1421=0),-G1421*(M1421-R1420)*IF(E1421="FUTURE",VLOOKUP(MID(I1421,2,2),[1]Futures!$A$2:$B$12,2),1),"")</f>
        <v>125</v>
      </c>
    </row>
    <row r="1422" spans="1:19" x14ac:dyDescent="0.2">
      <c r="A1422">
        <f t="shared" si="68"/>
        <v>445</v>
      </c>
      <c r="B1422" s="3">
        <v>43986</v>
      </c>
      <c r="C1422" s="3" t="str">
        <f t="shared" si="67"/>
        <v>Thursday</v>
      </c>
      <c r="D1422" s="2">
        <v>0.40763888888888888</v>
      </c>
      <c r="E1422" t="s">
        <v>14</v>
      </c>
      <c r="F1422" t="s">
        <v>19</v>
      </c>
      <c r="G1422">
        <v>8</v>
      </c>
      <c r="H1422" t="s">
        <v>20</v>
      </c>
      <c r="I1422" t="s">
        <v>73</v>
      </c>
      <c r="J1422" s="1">
        <v>44002</v>
      </c>
      <c r="L1422" t="s">
        <v>14</v>
      </c>
      <c r="M1422">
        <v>3109.5</v>
      </c>
      <c r="N1422">
        <v>3109.5</v>
      </c>
      <c r="O1422" t="s">
        <v>21</v>
      </c>
      <c r="P1422">
        <f t="shared" si="69"/>
        <v>8</v>
      </c>
      <c r="Q1422" s="11">
        <f>IF(P1422=0,0,IFERROR(Q1421+G1422*M1422*IF(E1422="FUTURE",VLOOKUP(MID(I1422,2,2),[1]Futures!$A$2:$B$12,2),1),G1422*M1422*IF(E1422="FUTURE",VLOOKUP(MID(I1422,2,2),[1]Futures!$A$2:$B$12,2),1)))</f>
        <v>124380</v>
      </c>
      <c r="R1422" s="12">
        <f>IFERROR(Q1422/P1422/IF(E1422="FUTURE",VLOOKUP(MID(I1422,2,2),[1]Futures!$A$2:$B$12,2),1),"")</f>
        <v>3109.5</v>
      </c>
      <c r="S1422" s="13" t="str">
        <f>IF(AND(H1422="TO CLOSE",P1422=0),-G1422*(M1422-R1421)*IF(E1422="FUTURE",VLOOKUP(MID(I1422,2,2),[1]Futures!$A$2:$B$12,2),1),"")</f>
        <v/>
      </c>
    </row>
    <row r="1423" spans="1:19" x14ac:dyDescent="0.2">
      <c r="A1423">
        <f t="shared" si="68"/>
        <v>445</v>
      </c>
      <c r="B1423" s="3">
        <v>43986</v>
      </c>
      <c r="C1423" s="3" t="str">
        <f t="shared" si="67"/>
        <v>Thursday</v>
      </c>
      <c r="D1423" s="2">
        <v>0.41017361111111111</v>
      </c>
      <c r="E1423" t="s">
        <v>14</v>
      </c>
      <c r="F1423" t="s">
        <v>15</v>
      </c>
      <c r="G1423">
        <v>-1</v>
      </c>
      <c r="H1423" t="s">
        <v>16</v>
      </c>
      <c r="I1423" t="s">
        <v>73</v>
      </c>
      <c r="J1423" s="1">
        <v>44002</v>
      </c>
      <c r="L1423" t="s">
        <v>14</v>
      </c>
      <c r="M1423">
        <v>3113.5</v>
      </c>
      <c r="N1423">
        <v>3113.5</v>
      </c>
      <c r="O1423" t="s">
        <v>21</v>
      </c>
      <c r="P1423">
        <f t="shared" si="69"/>
        <v>7</v>
      </c>
      <c r="Q1423" s="11">
        <f>IF(P1423=0,0,IFERROR(Q1422+G1423*M1423*IF(E1423="FUTURE",VLOOKUP(MID(I1423,2,2),[1]Futures!$A$2:$B$12,2),1),G1423*M1423*IF(E1423="FUTURE",VLOOKUP(MID(I1423,2,2),[1]Futures!$A$2:$B$12,2),1)))</f>
        <v>108812.5</v>
      </c>
      <c r="R1423" s="12">
        <f>IFERROR(Q1423/P1423/IF(E1423="FUTURE",VLOOKUP(MID(I1423,2,2),[1]Futures!$A$2:$B$12,2),1),"")</f>
        <v>3108.9285714285716</v>
      </c>
      <c r="S1423" s="13" t="str">
        <f>IF(AND(H1423="TO CLOSE",P1423=0),-G1423*(M1423-R1422)*IF(E1423="FUTURE",VLOOKUP(MID(I1423,2,2),[1]Futures!$A$2:$B$12,2),1),"")</f>
        <v/>
      </c>
    </row>
    <row r="1424" spans="1:19" x14ac:dyDescent="0.2">
      <c r="A1424">
        <f t="shared" si="68"/>
        <v>445</v>
      </c>
      <c r="B1424" s="3">
        <v>43986</v>
      </c>
      <c r="C1424" s="3" t="str">
        <f t="shared" si="67"/>
        <v>Thursday</v>
      </c>
      <c r="D1424" s="2">
        <v>0.41017361111111111</v>
      </c>
      <c r="E1424" t="s">
        <v>14</v>
      </c>
      <c r="F1424" t="s">
        <v>15</v>
      </c>
      <c r="G1424">
        <v>-1</v>
      </c>
      <c r="H1424" t="s">
        <v>16</v>
      </c>
      <c r="I1424" t="s">
        <v>73</v>
      </c>
      <c r="J1424" s="1">
        <v>44002</v>
      </c>
      <c r="L1424" t="s">
        <v>14</v>
      </c>
      <c r="M1424">
        <v>3113.5</v>
      </c>
      <c r="N1424">
        <v>3113.5</v>
      </c>
      <c r="O1424" t="s">
        <v>21</v>
      </c>
      <c r="P1424">
        <f t="shared" si="69"/>
        <v>6</v>
      </c>
      <c r="Q1424" s="11">
        <f>IF(P1424=0,0,IFERROR(Q1423+G1424*M1424*IF(E1424="FUTURE",VLOOKUP(MID(I1424,2,2),[1]Futures!$A$2:$B$12,2),1),G1424*M1424*IF(E1424="FUTURE",VLOOKUP(MID(I1424,2,2),[1]Futures!$A$2:$B$12,2),1)))</f>
        <v>93245</v>
      </c>
      <c r="R1424" s="12">
        <f>IFERROR(Q1424/P1424/IF(E1424="FUTURE",VLOOKUP(MID(I1424,2,2),[1]Futures!$A$2:$B$12,2),1),"")</f>
        <v>3108.166666666667</v>
      </c>
      <c r="S1424" s="13" t="str">
        <f>IF(AND(H1424="TO CLOSE",P1424=0),-G1424*(M1424-R1423)*IF(E1424="FUTURE",VLOOKUP(MID(I1424,2,2),[1]Futures!$A$2:$B$12,2),1),"")</f>
        <v/>
      </c>
    </row>
    <row r="1425" spans="1:19" x14ac:dyDescent="0.2">
      <c r="A1425">
        <f t="shared" si="68"/>
        <v>445</v>
      </c>
      <c r="B1425" s="3">
        <v>43986</v>
      </c>
      <c r="C1425" s="3" t="str">
        <f t="shared" si="67"/>
        <v>Thursday</v>
      </c>
      <c r="D1425" s="2">
        <v>0.41017361111111111</v>
      </c>
      <c r="E1425" t="s">
        <v>14</v>
      </c>
      <c r="F1425" t="s">
        <v>15</v>
      </c>
      <c r="G1425">
        <v>-2</v>
      </c>
      <c r="H1425" t="s">
        <v>16</v>
      </c>
      <c r="I1425" t="s">
        <v>73</v>
      </c>
      <c r="J1425" s="1">
        <v>44002</v>
      </c>
      <c r="L1425" t="s">
        <v>14</v>
      </c>
      <c r="M1425">
        <v>3113.5</v>
      </c>
      <c r="N1425">
        <v>3113.5</v>
      </c>
      <c r="O1425" t="s">
        <v>21</v>
      </c>
      <c r="P1425">
        <f t="shared" si="69"/>
        <v>4</v>
      </c>
      <c r="Q1425" s="11">
        <f>IF(P1425=0,0,IFERROR(Q1424+G1425*M1425*IF(E1425="FUTURE",VLOOKUP(MID(I1425,2,2),[1]Futures!$A$2:$B$12,2),1),G1425*M1425*IF(E1425="FUTURE",VLOOKUP(MID(I1425,2,2),[1]Futures!$A$2:$B$12,2),1)))</f>
        <v>62110</v>
      </c>
      <c r="R1425" s="12">
        <f>IFERROR(Q1425/P1425/IF(E1425="FUTURE",VLOOKUP(MID(I1425,2,2),[1]Futures!$A$2:$B$12,2),1),"")</f>
        <v>3105.5</v>
      </c>
      <c r="S1425" s="13" t="str">
        <f>IF(AND(H1425="TO CLOSE",P1425=0),-G1425*(M1425-R1424)*IF(E1425="FUTURE",VLOOKUP(MID(I1425,2,2),[1]Futures!$A$2:$B$12,2),1),"")</f>
        <v/>
      </c>
    </row>
    <row r="1426" spans="1:19" x14ac:dyDescent="0.2">
      <c r="A1426">
        <f t="shared" si="68"/>
        <v>445</v>
      </c>
      <c r="B1426" s="3">
        <v>43986</v>
      </c>
      <c r="C1426" s="3" t="str">
        <f t="shared" si="67"/>
        <v>Thursday</v>
      </c>
      <c r="D1426" s="2">
        <v>0.41649305555555555</v>
      </c>
      <c r="E1426" t="s">
        <v>14</v>
      </c>
      <c r="F1426" t="s">
        <v>15</v>
      </c>
      <c r="G1426">
        <v>-2</v>
      </c>
      <c r="H1426" t="s">
        <v>16</v>
      </c>
      <c r="I1426" t="s">
        <v>73</v>
      </c>
      <c r="J1426" s="1">
        <v>44002</v>
      </c>
      <c r="L1426" t="s">
        <v>14</v>
      </c>
      <c r="M1426">
        <v>3118</v>
      </c>
      <c r="N1426">
        <v>3118</v>
      </c>
      <c r="O1426" t="s">
        <v>21</v>
      </c>
      <c r="P1426">
        <f t="shared" si="69"/>
        <v>2</v>
      </c>
      <c r="Q1426" s="11">
        <f>IF(P1426=0,0,IFERROR(Q1425+G1426*M1426*IF(E1426="FUTURE",VLOOKUP(MID(I1426,2,2),[1]Futures!$A$2:$B$12,2),1),G1426*M1426*IF(E1426="FUTURE",VLOOKUP(MID(I1426,2,2),[1]Futures!$A$2:$B$12,2),1)))</f>
        <v>30930</v>
      </c>
      <c r="R1426" s="12">
        <f>IFERROR(Q1426/P1426/IF(E1426="FUTURE",VLOOKUP(MID(I1426,2,2),[1]Futures!$A$2:$B$12,2),1),"")</f>
        <v>3093</v>
      </c>
      <c r="S1426" s="13" t="str">
        <f>IF(AND(H1426="TO CLOSE",P1426=0),-G1426*(M1426-R1425)*IF(E1426="FUTURE",VLOOKUP(MID(I1426,2,2),[1]Futures!$A$2:$B$12,2),1),"")</f>
        <v/>
      </c>
    </row>
    <row r="1427" spans="1:19" x14ac:dyDescent="0.2">
      <c r="A1427">
        <f t="shared" si="68"/>
        <v>445</v>
      </c>
      <c r="B1427" s="3">
        <v>43986</v>
      </c>
      <c r="C1427" s="3" t="str">
        <f t="shared" si="67"/>
        <v>Thursday</v>
      </c>
      <c r="D1427" s="2">
        <v>0.42983796296296295</v>
      </c>
      <c r="E1427" t="s">
        <v>14</v>
      </c>
      <c r="F1427" t="s">
        <v>15</v>
      </c>
      <c r="G1427">
        <v>-2</v>
      </c>
      <c r="H1427" t="s">
        <v>16</v>
      </c>
      <c r="I1427" t="s">
        <v>73</v>
      </c>
      <c r="J1427" s="1">
        <v>44002</v>
      </c>
      <c r="L1427" t="s">
        <v>14</v>
      </c>
      <c r="M1427">
        <v>3122.25</v>
      </c>
      <c r="N1427">
        <v>3122.25</v>
      </c>
      <c r="O1427" t="s">
        <v>21</v>
      </c>
      <c r="P1427">
        <f t="shared" si="69"/>
        <v>0</v>
      </c>
      <c r="Q1427" s="11">
        <f>IF(P1427=0,0,IFERROR(Q1426+G1427*M1427*IF(E1427="FUTURE",VLOOKUP(MID(I1427,2,2),[1]Futures!$A$2:$B$12,2),1),G1427*M1427*IF(E1427="FUTURE",VLOOKUP(MID(I1427,2,2),[1]Futures!$A$2:$B$12,2),1)))</f>
        <v>0</v>
      </c>
      <c r="R1427" s="12" t="str">
        <f>IFERROR(Q1427/P1427/IF(E1427="FUTURE",VLOOKUP(MID(I1427,2,2),[1]Futures!$A$2:$B$12,2),1),"")</f>
        <v/>
      </c>
      <c r="S1427" s="13">
        <f>IF(AND(H1427="TO CLOSE",P1427=0),-G1427*(M1427-R1426)*IF(E1427="FUTURE",VLOOKUP(MID(I1427,2,2),[1]Futures!$A$2:$B$12,2),1),"")</f>
        <v>292.5</v>
      </c>
    </row>
    <row r="1428" spans="1:19" x14ac:dyDescent="0.2">
      <c r="A1428">
        <f t="shared" si="68"/>
        <v>446</v>
      </c>
      <c r="B1428" s="3">
        <v>43986</v>
      </c>
      <c r="C1428" s="3" t="str">
        <f t="shared" si="67"/>
        <v>Thursday</v>
      </c>
      <c r="D1428" s="2">
        <v>0.47267361111111111</v>
      </c>
      <c r="E1428" t="s">
        <v>14</v>
      </c>
      <c r="F1428" t="s">
        <v>19</v>
      </c>
      <c r="G1428">
        <v>1</v>
      </c>
      <c r="H1428" t="s">
        <v>20</v>
      </c>
      <c r="I1428" t="s">
        <v>73</v>
      </c>
      <c r="J1428" s="1">
        <v>44002</v>
      </c>
      <c r="L1428" t="s">
        <v>14</v>
      </c>
      <c r="M1428">
        <v>3110.75</v>
      </c>
      <c r="N1428">
        <v>3110.75</v>
      </c>
      <c r="O1428" t="s">
        <v>18</v>
      </c>
      <c r="P1428">
        <f t="shared" si="69"/>
        <v>1</v>
      </c>
      <c r="Q1428" s="11">
        <f>IF(P1428=0,0,IFERROR(Q1427+G1428*M1428*IF(E1428="FUTURE",VLOOKUP(MID(I1428,2,2),[1]Futures!$A$2:$B$12,2),1),G1428*M1428*IF(E1428="FUTURE",VLOOKUP(MID(I1428,2,2),[1]Futures!$A$2:$B$12,2),1)))</f>
        <v>15553.75</v>
      </c>
      <c r="R1428" s="12">
        <f>IFERROR(Q1428/P1428/IF(E1428="FUTURE",VLOOKUP(MID(I1428,2,2),[1]Futures!$A$2:$B$12,2),1),"")</f>
        <v>3110.75</v>
      </c>
      <c r="S1428" s="13" t="str">
        <f>IF(AND(H1428="TO CLOSE",P1428=0),-G1428*(M1428-R1427)*IF(E1428="FUTURE",VLOOKUP(MID(I1428,2,2),[1]Futures!$A$2:$B$12,2),1),"")</f>
        <v/>
      </c>
    </row>
    <row r="1429" spans="1:19" x14ac:dyDescent="0.2">
      <c r="A1429">
        <f t="shared" si="68"/>
        <v>446</v>
      </c>
      <c r="B1429" s="3">
        <v>43986</v>
      </c>
      <c r="C1429" s="3" t="str">
        <f t="shared" si="67"/>
        <v>Thursday</v>
      </c>
      <c r="D1429" s="2">
        <v>0.47444444444444445</v>
      </c>
      <c r="E1429" t="s">
        <v>14</v>
      </c>
      <c r="F1429" t="s">
        <v>15</v>
      </c>
      <c r="G1429">
        <v>-1</v>
      </c>
      <c r="H1429" t="s">
        <v>16</v>
      </c>
      <c r="I1429" t="s">
        <v>73</v>
      </c>
      <c r="J1429" s="1">
        <v>44002</v>
      </c>
      <c r="L1429" t="s">
        <v>14</v>
      </c>
      <c r="M1429">
        <v>3113.25</v>
      </c>
      <c r="N1429">
        <v>3113.25</v>
      </c>
      <c r="O1429" t="s">
        <v>21</v>
      </c>
      <c r="P1429">
        <f t="shared" si="69"/>
        <v>0</v>
      </c>
      <c r="Q1429" s="11">
        <f>IF(P1429=0,0,IFERROR(Q1428+G1429*M1429*IF(E1429="FUTURE",VLOOKUP(MID(I1429,2,2),[1]Futures!$A$2:$B$12,2),1),G1429*M1429*IF(E1429="FUTURE",VLOOKUP(MID(I1429,2,2),[1]Futures!$A$2:$B$12,2),1)))</f>
        <v>0</v>
      </c>
      <c r="R1429" s="12" t="str">
        <f>IFERROR(Q1429/P1429/IF(E1429="FUTURE",VLOOKUP(MID(I1429,2,2),[1]Futures!$A$2:$B$12,2),1),"")</f>
        <v/>
      </c>
      <c r="S1429" s="13">
        <f>IF(AND(H1429="TO CLOSE",P1429=0),-G1429*(M1429-R1428)*IF(E1429="FUTURE",VLOOKUP(MID(I1429,2,2),[1]Futures!$A$2:$B$12,2),1),"")</f>
        <v>12.5</v>
      </c>
    </row>
    <row r="1430" spans="1:19" x14ac:dyDescent="0.2">
      <c r="A1430">
        <f t="shared" si="68"/>
        <v>447</v>
      </c>
      <c r="B1430" s="3">
        <v>43987</v>
      </c>
      <c r="C1430" s="3" t="str">
        <f t="shared" si="67"/>
        <v>Friday</v>
      </c>
      <c r="D1430" s="2">
        <v>0.39113425925925926</v>
      </c>
      <c r="E1430" t="s">
        <v>14</v>
      </c>
      <c r="F1430" t="s">
        <v>15</v>
      </c>
      <c r="G1430">
        <v>-1</v>
      </c>
      <c r="H1430" t="s">
        <v>20</v>
      </c>
      <c r="I1430" t="s">
        <v>77</v>
      </c>
      <c r="J1430" s="1">
        <v>44063</v>
      </c>
      <c r="L1430" t="s">
        <v>14</v>
      </c>
      <c r="M1430">
        <v>39.24</v>
      </c>
      <c r="N1430">
        <v>39.24</v>
      </c>
      <c r="O1430" t="s">
        <v>24</v>
      </c>
      <c r="P1430">
        <f t="shared" si="69"/>
        <v>-1</v>
      </c>
      <c r="Q1430" s="11">
        <f>IF(P1430=0,0,IFERROR(Q1429+G1430*M1430*IF(E1430="FUTURE",VLOOKUP(MID(I1430,2,2),[1]Futures!$A$2:$B$12,2),1),G1430*M1430*IF(E1430="FUTURE",VLOOKUP(MID(I1430,2,2),[1]Futures!$A$2:$B$12,2),1)))</f>
        <v>-39240</v>
      </c>
      <c r="R1430" s="12">
        <f>IFERROR(Q1430/P1430/IF(E1430="FUTURE",VLOOKUP(MID(I1430,2,2),[1]Futures!$A$2:$B$12,2),1),"")</f>
        <v>39.24</v>
      </c>
      <c r="S1430" s="13" t="str">
        <f>IF(AND(H1430="TO CLOSE",P1430=0),-G1430*(M1430-R1429)*IF(E1430="FUTURE",VLOOKUP(MID(I1430,2,2),[1]Futures!$A$2:$B$12,2),1),"")</f>
        <v/>
      </c>
    </row>
    <row r="1431" spans="1:19" x14ac:dyDescent="0.2">
      <c r="A1431">
        <f t="shared" si="68"/>
        <v>447</v>
      </c>
      <c r="B1431" s="3">
        <v>43987</v>
      </c>
      <c r="C1431" s="3" t="str">
        <f t="shared" si="67"/>
        <v>Friday</v>
      </c>
      <c r="D1431" s="2">
        <v>0.39604166666666668</v>
      </c>
      <c r="E1431" t="s">
        <v>14</v>
      </c>
      <c r="F1431" t="s">
        <v>19</v>
      </c>
      <c r="G1431">
        <v>1</v>
      </c>
      <c r="H1431" t="s">
        <v>16</v>
      </c>
      <c r="I1431" t="s">
        <v>77</v>
      </c>
      <c r="J1431" s="1">
        <v>44063</v>
      </c>
      <c r="L1431" t="s">
        <v>14</v>
      </c>
      <c r="M1431">
        <v>39.18</v>
      </c>
      <c r="N1431">
        <v>39.18</v>
      </c>
      <c r="O1431" t="s">
        <v>21</v>
      </c>
      <c r="P1431">
        <f t="shared" si="69"/>
        <v>0</v>
      </c>
      <c r="Q1431" s="11">
        <f>IF(P1431=0,0,IFERROR(Q1430+G1431*M1431*IF(E1431="FUTURE",VLOOKUP(MID(I1431,2,2),[1]Futures!$A$2:$B$12,2),1),G1431*M1431*IF(E1431="FUTURE",VLOOKUP(MID(I1431,2,2),[1]Futures!$A$2:$B$12,2),1)))</f>
        <v>0</v>
      </c>
      <c r="R1431" s="12" t="str">
        <f>IFERROR(Q1431/P1431/IF(E1431="FUTURE",VLOOKUP(MID(I1431,2,2),[1]Futures!$A$2:$B$12,2),1),"")</f>
        <v/>
      </c>
      <c r="S1431" s="13">
        <f>IF(AND(H1431="TO CLOSE",P1431=0),-G1431*(M1431-R1430)*IF(E1431="FUTURE",VLOOKUP(MID(I1431,2,2),[1]Futures!$A$2:$B$12,2),1),"")</f>
        <v>60.000000000002274</v>
      </c>
    </row>
    <row r="1432" spans="1:19" x14ac:dyDescent="0.2">
      <c r="A1432">
        <f t="shared" si="68"/>
        <v>448</v>
      </c>
      <c r="B1432" s="3">
        <v>43987</v>
      </c>
      <c r="C1432" s="3" t="str">
        <f t="shared" si="67"/>
        <v>Friday</v>
      </c>
      <c r="D1432" s="2">
        <v>0.40332175925925928</v>
      </c>
      <c r="E1432" t="s">
        <v>14</v>
      </c>
      <c r="F1432" t="s">
        <v>19</v>
      </c>
      <c r="G1432">
        <v>1</v>
      </c>
      <c r="H1432" t="s">
        <v>20</v>
      </c>
      <c r="I1432" t="s">
        <v>77</v>
      </c>
      <c r="J1432" s="1">
        <v>44063</v>
      </c>
      <c r="L1432" t="s">
        <v>14</v>
      </c>
      <c r="M1432">
        <v>39.19</v>
      </c>
      <c r="N1432">
        <v>39.19</v>
      </c>
      <c r="O1432" t="s">
        <v>21</v>
      </c>
      <c r="P1432">
        <f t="shared" si="69"/>
        <v>1</v>
      </c>
      <c r="Q1432" s="11">
        <f>IF(P1432=0,0,IFERROR(Q1431+G1432*M1432*IF(E1432="FUTURE",VLOOKUP(MID(I1432,2,2),[1]Futures!$A$2:$B$12,2),1),G1432*M1432*IF(E1432="FUTURE",VLOOKUP(MID(I1432,2,2),[1]Futures!$A$2:$B$12,2),1)))</f>
        <v>39190</v>
      </c>
      <c r="R1432" s="12">
        <f>IFERROR(Q1432/P1432/IF(E1432="FUTURE",VLOOKUP(MID(I1432,2,2),[1]Futures!$A$2:$B$12,2),1),"")</f>
        <v>39.19</v>
      </c>
      <c r="S1432" s="13" t="str">
        <f>IF(AND(H1432="TO CLOSE",P1432=0),-G1432*(M1432-R1431)*IF(E1432="FUTURE",VLOOKUP(MID(I1432,2,2),[1]Futures!$A$2:$B$12,2),1),"")</f>
        <v/>
      </c>
    </row>
    <row r="1433" spans="1:19" x14ac:dyDescent="0.2">
      <c r="A1433">
        <f t="shared" si="68"/>
        <v>448</v>
      </c>
      <c r="B1433" s="3">
        <v>43987</v>
      </c>
      <c r="C1433" s="3" t="str">
        <f t="shared" si="67"/>
        <v>Friday</v>
      </c>
      <c r="D1433" s="2">
        <v>0.40510416666666665</v>
      </c>
      <c r="E1433" t="s">
        <v>14</v>
      </c>
      <c r="F1433" t="s">
        <v>15</v>
      </c>
      <c r="G1433">
        <v>-1</v>
      </c>
      <c r="H1433" t="s">
        <v>16</v>
      </c>
      <c r="I1433" t="s">
        <v>77</v>
      </c>
      <c r="J1433" s="1">
        <v>44063</v>
      </c>
      <c r="L1433" t="s">
        <v>14</v>
      </c>
      <c r="M1433">
        <v>39.19</v>
      </c>
      <c r="N1433">
        <v>39.19</v>
      </c>
      <c r="O1433" t="s">
        <v>21</v>
      </c>
      <c r="P1433">
        <f t="shared" si="69"/>
        <v>0</v>
      </c>
      <c r="Q1433" s="11">
        <f>IF(P1433=0,0,IFERROR(Q1432+G1433*M1433*IF(E1433="FUTURE",VLOOKUP(MID(I1433,2,2),[1]Futures!$A$2:$B$12,2),1),G1433*M1433*IF(E1433="FUTURE",VLOOKUP(MID(I1433,2,2),[1]Futures!$A$2:$B$12,2),1)))</f>
        <v>0</v>
      </c>
      <c r="R1433" s="12" t="str">
        <f>IFERROR(Q1433/P1433/IF(E1433="FUTURE",VLOOKUP(MID(I1433,2,2),[1]Futures!$A$2:$B$12,2),1),"")</f>
        <v/>
      </c>
      <c r="S1433" s="13">
        <f>IF(AND(H1433="TO CLOSE",P1433=0),-G1433*(M1433-R1432)*IF(E1433="FUTURE",VLOOKUP(MID(I1433,2,2),[1]Futures!$A$2:$B$12,2),1),"")</f>
        <v>0</v>
      </c>
    </row>
    <row r="1434" spans="1:19" x14ac:dyDescent="0.2">
      <c r="A1434">
        <f t="shared" si="68"/>
        <v>449</v>
      </c>
      <c r="B1434" s="3">
        <v>43987</v>
      </c>
      <c r="C1434" s="3" t="str">
        <f t="shared" si="67"/>
        <v>Friday</v>
      </c>
      <c r="D1434" s="2">
        <v>0.40886574074074072</v>
      </c>
      <c r="E1434" t="s">
        <v>14</v>
      </c>
      <c r="F1434" t="s">
        <v>19</v>
      </c>
      <c r="G1434">
        <v>1</v>
      </c>
      <c r="H1434" t="s">
        <v>20</v>
      </c>
      <c r="I1434" t="s">
        <v>77</v>
      </c>
      <c r="J1434" s="1">
        <v>44063</v>
      </c>
      <c r="L1434" t="s">
        <v>14</v>
      </c>
      <c r="M1434">
        <v>39.33</v>
      </c>
      <c r="N1434">
        <v>39.33</v>
      </c>
      <c r="O1434" t="s">
        <v>24</v>
      </c>
      <c r="P1434">
        <f t="shared" si="69"/>
        <v>1</v>
      </c>
      <c r="Q1434" s="11">
        <f>IF(P1434=0,0,IFERROR(Q1433+G1434*M1434*IF(E1434="FUTURE",VLOOKUP(MID(I1434,2,2),[1]Futures!$A$2:$B$12,2),1),G1434*M1434*IF(E1434="FUTURE",VLOOKUP(MID(I1434,2,2),[1]Futures!$A$2:$B$12,2),1)))</f>
        <v>39330</v>
      </c>
      <c r="R1434" s="12">
        <f>IFERROR(Q1434/P1434/IF(E1434="FUTURE",VLOOKUP(MID(I1434,2,2),[1]Futures!$A$2:$B$12,2),1),"")</f>
        <v>39.33</v>
      </c>
      <c r="S1434" s="13" t="str">
        <f>IF(AND(H1434="TO CLOSE",P1434=0),-G1434*(M1434-R1433)*IF(E1434="FUTURE",VLOOKUP(MID(I1434,2,2),[1]Futures!$A$2:$B$12,2),1),"")</f>
        <v/>
      </c>
    </row>
    <row r="1435" spans="1:19" x14ac:dyDescent="0.2">
      <c r="A1435">
        <f t="shared" si="68"/>
        <v>449</v>
      </c>
      <c r="B1435" s="3">
        <v>43987</v>
      </c>
      <c r="C1435" s="3" t="str">
        <f t="shared" si="67"/>
        <v>Friday</v>
      </c>
      <c r="D1435" s="2">
        <v>0.41347222222222224</v>
      </c>
      <c r="E1435" t="s">
        <v>14</v>
      </c>
      <c r="F1435" t="s">
        <v>15</v>
      </c>
      <c r="G1435">
        <v>-1</v>
      </c>
      <c r="H1435" t="s">
        <v>16</v>
      </c>
      <c r="I1435" t="s">
        <v>77</v>
      </c>
      <c r="J1435" s="1">
        <v>44063</v>
      </c>
      <c r="L1435" t="s">
        <v>14</v>
      </c>
      <c r="M1435">
        <v>39.409999999999997</v>
      </c>
      <c r="N1435">
        <v>39.409999999999997</v>
      </c>
      <c r="O1435" t="s">
        <v>21</v>
      </c>
      <c r="P1435">
        <f t="shared" si="69"/>
        <v>0</v>
      </c>
      <c r="Q1435" s="11">
        <f>IF(P1435=0,0,IFERROR(Q1434+G1435*M1435*IF(E1435="FUTURE",VLOOKUP(MID(I1435,2,2),[1]Futures!$A$2:$B$12,2),1),G1435*M1435*IF(E1435="FUTURE",VLOOKUP(MID(I1435,2,2),[1]Futures!$A$2:$B$12,2),1)))</f>
        <v>0</v>
      </c>
      <c r="R1435" s="12" t="str">
        <f>IFERROR(Q1435/P1435/IF(E1435="FUTURE",VLOOKUP(MID(I1435,2,2),[1]Futures!$A$2:$B$12,2),1),"")</f>
        <v/>
      </c>
      <c r="S1435" s="13">
        <f>IF(AND(H1435="TO CLOSE",P1435=0),-G1435*(M1435-R1434)*IF(E1435="FUTURE",VLOOKUP(MID(I1435,2,2),[1]Futures!$A$2:$B$12,2),1),"")</f>
        <v>79.999999999998295</v>
      </c>
    </row>
    <row r="1436" spans="1:19" x14ac:dyDescent="0.2">
      <c r="A1436">
        <f t="shared" si="68"/>
        <v>450</v>
      </c>
      <c r="B1436" s="3">
        <v>43987</v>
      </c>
      <c r="C1436" s="3" t="str">
        <f t="shared" si="67"/>
        <v>Friday</v>
      </c>
      <c r="D1436" s="2">
        <v>0.41710648148148149</v>
      </c>
      <c r="E1436" t="s">
        <v>14</v>
      </c>
      <c r="F1436" t="s">
        <v>15</v>
      </c>
      <c r="G1436">
        <v>-1</v>
      </c>
      <c r="H1436" t="s">
        <v>20</v>
      </c>
      <c r="I1436" t="s">
        <v>77</v>
      </c>
      <c r="J1436" s="1">
        <v>44063</v>
      </c>
      <c r="L1436" t="s">
        <v>14</v>
      </c>
      <c r="M1436">
        <v>39.22</v>
      </c>
      <c r="N1436">
        <v>39.22</v>
      </c>
      <c r="O1436" t="s">
        <v>21</v>
      </c>
      <c r="P1436">
        <f t="shared" si="69"/>
        <v>-1</v>
      </c>
      <c r="Q1436" s="11">
        <f>IF(P1436=0,0,IFERROR(Q1435+G1436*M1436*IF(E1436="FUTURE",VLOOKUP(MID(I1436,2,2),[1]Futures!$A$2:$B$12,2),1),G1436*M1436*IF(E1436="FUTURE",VLOOKUP(MID(I1436,2,2),[1]Futures!$A$2:$B$12,2),1)))</f>
        <v>-39220</v>
      </c>
      <c r="R1436" s="12">
        <f>IFERROR(Q1436/P1436/IF(E1436="FUTURE",VLOOKUP(MID(I1436,2,2),[1]Futures!$A$2:$B$12,2),1),"")</f>
        <v>39.22</v>
      </c>
      <c r="S1436" s="13" t="str">
        <f>IF(AND(H1436="TO CLOSE",P1436=0),-G1436*(M1436-R1435)*IF(E1436="FUTURE",VLOOKUP(MID(I1436,2,2),[1]Futures!$A$2:$B$12,2),1),"")</f>
        <v/>
      </c>
    </row>
    <row r="1437" spans="1:19" x14ac:dyDescent="0.2">
      <c r="A1437">
        <f t="shared" si="68"/>
        <v>450</v>
      </c>
      <c r="B1437" s="3">
        <v>43987</v>
      </c>
      <c r="C1437" s="3" t="str">
        <f t="shared" si="67"/>
        <v>Friday</v>
      </c>
      <c r="D1437" s="2">
        <v>0.47744212962962962</v>
      </c>
      <c r="E1437" t="s">
        <v>14</v>
      </c>
      <c r="F1437" t="s">
        <v>19</v>
      </c>
      <c r="G1437">
        <v>2</v>
      </c>
      <c r="H1437" t="s">
        <v>16</v>
      </c>
      <c r="I1437" t="s">
        <v>77</v>
      </c>
      <c r="J1437" s="1">
        <v>44063</v>
      </c>
      <c r="L1437" t="s">
        <v>14</v>
      </c>
      <c r="M1437">
        <v>39.54</v>
      </c>
      <c r="N1437">
        <v>39.54</v>
      </c>
      <c r="O1437" t="s">
        <v>24</v>
      </c>
      <c r="P1437">
        <f t="shared" si="69"/>
        <v>1</v>
      </c>
      <c r="Q1437" s="11">
        <f>IF(P1437=0,0,IFERROR(Q1436+G1437*M1437*IF(E1437="FUTURE",VLOOKUP(MID(I1437,2,2),[1]Futures!$A$2:$B$12,2),1),G1437*M1437*IF(E1437="FUTURE",VLOOKUP(MID(I1437,2,2),[1]Futures!$A$2:$B$12,2),1)))</f>
        <v>39860</v>
      </c>
      <c r="R1437" s="12">
        <f>IFERROR(Q1437/P1437/IF(E1437="FUTURE",VLOOKUP(MID(I1437,2,2),[1]Futures!$A$2:$B$12,2),1),"")</f>
        <v>39.86</v>
      </c>
      <c r="S1437" s="13" t="str">
        <f>IF(AND(H1437="TO CLOSE",P1437=0),-G1437*(M1437-R1436)*IF(E1437="FUTURE",VLOOKUP(MID(I1437,2,2),[1]Futures!$A$2:$B$12,2),1),"")</f>
        <v/>
      </c>
    </row>
    <row r="1438" spans="1:19" x14ac:dyDescent="0.2">
      <c r="A1438">
        <f t="shared" si="68"/>
        <v>450</v>
      </c>
      <c r="B1438" s="3">
        <v>43987</v>
      </c>
      <c r="C1438" s="3" t="str">
        <f t="shared" si="67"/>
        <v>Friday</v>
      </c>
      <c r="D1438" s="2">
        <v>0.47802083333333334</v>
      </c>
      <c r="E1438" t="s">
        <v>14</v>
      </c>
      <c r="F1438" t="s">
        <v>15</v>
      </c>
      <c r="G1438">
        <v>-1</v>
      </c>
      <c r="H1438" t="s">
        <v>16</v>
      </c>
      <c r="I1438" t="s">
        <v>77</v>
      </c>
      <c r="J1438" s="1">
        <v>44063</v>
      </c>
      <c r="L1438" t="s">
        <v>14</v>
      </c>
      <c r="M1438">
        <v>39.380000000000003</v>
      </c>
      <c r="N1438">
        <v>39.380000000000003</v>
      </c>
      <c r="O1438" t="s">
        <v>24</v>
      </c>
      <c r="P1438">
        <f t="shared" si="69"/>
        <v>0</v>
      </c>
      <c r="Q1438" s="11">
        <f>IF(P1438=0,0,IFERROR(Q1437+G1438*M1438*IF(E1438="FUTURE",VLOOKUP(MID(I1438,2,2),[1]Futures!$A$2:$B$12,2),1),G1438*M1438*IF(E1438="FUTURE",VLOOKUP(MID(I1438,2,2),[1]Futures!$A$2:$B$12,2),1)))</f>
        <v>0</v>
      </c>
      <c r="R1438" s="12" t="str">
        <f>IFERROR(Q1438/P1438/IF(E1438="FUTURE",VLOOKUP(MID(I1438,2,2),[1]Futures!$A$2:$B$12,2),1),"")</f>
        <v/>
      </c>
      <c r="S1438" s="13">
        <f>IF(AND(H1438="TO CLOSE",P1438=0),-G1438*(M1438-R1437)*IF(E1438="FUTURE",VLOOKUP(MID(I1438,2,2),[1]Futures!$A$2:$B$12,2),1),"")</f>
        <v>-479.99999999999687</v>
      </c>
    </row>
    <row r="1439" spans="1:19" x14ac:dyDescent="0.2">
      <c r="A1439">
        <f t="shared" si="68"/>
        <v>451</v>
      </c>
      <c r="B1439" s="3">
        <v>43987</v>
      </c>
      <c r="C1439" s="3" t="str">
        <f t="shared" si="67"/>
        <v>Friday</v>
      </c>
      <c r="D1439" s="2">
        <v>0.48732638888888885</v>
      </c>
      <c r="E1439" t="s">
        <v>14</v>
      </c>
      <c r="F1439" t="s">
        <v>15</v>
      </c>
      <c r="G1439">
        <v>-1</v>
      </c>
      <c r="H1439" t="s">
        <v>20</v>
      </c>
      <c r="I1439" t="s">
        <v>77</v>
      </c>
      <c r="J1439" s="1">
        <v>44063</v>
      </c>
      <c r="L1439" t="s">
        <v>14</v>
      </c>
      <c r="M1439">
        <v>39.479999999999997</v>
      </c>
      <c r="N1439">
        <v>39.479999999999997</v>
      </c>
      <c r="O1439" t="s">
        <v>21</v>
      </c>
      <c r="P1439">
        <f t="shared" si="69"/>
        <v>-1</v>
      </c>
      <c r="Q1439" s="11">
        <f>IF(P1439=0,0,IFERROR(Q1438+G1439*M1439*IF(E1439="FUTURE",VLOOKUP(MID(I1439,2,2),[1]Futures!$A$2:$B$12,2),1),G1439*M1439*IF(E1439="FUTURE",VLOOKUP(MID(I1439,2,2),[1]Futures!$A$2:$B$12,2),1)))</f>
        <v>-39480</v>
      </c>
      <c r="R1439" s="12">
        <f>IFERROR(Q1439/P1439/IF(E1439="FUTURE",VLOOKUP(MID(I1439,2,2),[1]Futures!$A$2:$B$12,2),1),"")</f>
        <v>39.479999999999997</v>
      </c>
      <c r="S1439" s="13" t="str">
        <f>IF(AND(H1439="TO CLOSE",P1439=0),-G1439*(M1439-R1438)*IF(E1439="FUTURE",VLOOKUP(MID(I1439,2,2),[1]Futures!$A$2:$B$12,2),1),"")</f>
        <v/>
      </c>
    </row>
    <row r="1440" spans="1:19" x14ac:dyDescent="0.2">
      <c r="A1440">
        <f t="shared" si="68"/>
        <v>451</v>
      </c>
      <c r="B1440" s="3">
        <v>43987</v>
      </c>
      <c r="C1440" s="3" t="str">
        <f t="shared" si="67"/>
        <v>Friday</v>
      </c>
      <c r="D1440" s="2">
        <v>0.49041666666666667</v>
      </c>
      <c r="E1440" t="s">
        <v>14</v>
      </c>
      <c r="F1440" t="s">
        <v>19</v>
      </c>
      <c r="G1440">
        <v>1</v>
      </c>
      <c r="H1440" t="s">
        <v>16</v>
      </c>
      <c r="I1440" t="s">
        <v>77</v>
      </c>
      <c r="J1440" s="1">
        <v>44063</v>
      </c>
      <c r="L1440" t="s">
        <v>14</v>
      </c>
      <c r="M1440">
        <v>39.479999999999997</v>
      </c>
      <c r="N1440">
        <v>39.479999999999997</v>
      </c>
      <c r="O1440" t="s">
        <v>21</v>
      </c>
      <c r="P1440">
        <f t="shared" si="69"/>
        <v>0</v>
      </c>
      <c r="Q1440" s="11">
        <f>IF(P1440=0,0,IFERROR(Q1439+G1440*M1440*IF(E1440="FUTURE",VLOOKUP(MID(I1440,2,2),[1]Futures!$A$2:$B$12,2),1),G1440*M1440*IF(E1440="FUTURE",VLOOKUP(MID(I1440,2,2),[1]Futures!$A$2:$B$12,2),1)))</f>
        <v>0</v>
      </c>
      <c r="R1440" s="12" t="str">
        <f>IFERROR(Q1440/P1440/IF(E1440="FUTURE",VLOOKUP(MID(I1440,2,2),[1]Futures!$A$2:$B$12,2),1),"")</f>
        <v/>
      </c>
      <c r="S1440" s="13">
        <f>IF(AND(H1440="TO CLOSE",P1440=0),-G1440*(M1440-R1439)*IF(E1440="FUTURE",VLOOKUP(MID(I1440,2,2),[1]Futures!$A$2:$B$12,2),1),"")</f>
        <v>0</v>
      </c>
    </row>
    <row r="1441" spans="1:19" x14ac:dyDescent="0.2">
      <c r="A1441">
        <f t="shared" si="68"/>
        <v>452</v>
      </c>
      <c r="B1441" s="3">
        <v>43987</v>
      </c>
      <c r="C1441" s="3" t="str">
        <f t="shared" si="67"/>
        <v>Friday</v>
      </c>
      <c r="D1441" s="2">
        <v>0.49496527777777777</v>
      </c>
      <c r="E1441" t="s">
        <v>14</v>
      </c>
      <c r="F1441" t="s">
        <v>15</v>
      </c>
      <c r="G1441">
        <v>-1</v>
      </c>
      <c r="H1441" t="s">
        <v>20</v>
      </c>
      <c r="I1441" t="s">
        <v>77</v>
      </c>
      <c r="J1441" s="1">
        <v>44063</v>
      </c>
      <c r="L1441" t="s">
        <v>14</v>
      </c>
      <c r="M1441">
        <v>39.450000000000003</v>
      </c>
      <c r="N1441">
        <v>39.450000000000003</v>
      </c>
      <c r="O1441" t="s">
        <v>21</v>
      </c>
      <c r="P1441">
        <f t="shared" si="69"/>
        <v>-1</v>
      </c>
      <c r="Q1441" s="11">
        <f>IF(P1441=0,0,IFERROR(Q1440+G1441*M1441*IF(E1441="FUTURE",VLOOKUP(MID(I1441,2,2),[1]Futures!$A$2:$B$12,2),1),G1441*M1441*IF(E1441="FUTURE",VLOOKUP(MID(I1441,2,2),[1]Futures!$A$2:$B$12,2),1)))</f>
        <v>-39450</v>
      </c>
      <c r="R1441" s="12">
        <f>IFERROR(Q1441/P1441/IF(E1441="FUTURE",VLOOKUP(MID(I1441,2,2),[1]Futures!$A$2:$B$12,2),1),"")</f>
        <v>39.450000000000003</v>
      </c>
      <c r="S1441" s="13" t="str">
        <f>IF(AND(H1441="TO CLOSE",P1441=0),-G1441*(M1441-R1440)*IF(E1441="FUTURE",VLOOKUP(MID(I1441,2,2),[1]Futures!$A$2:$B$12,2),1),"")</f>
        <v/>
      </c>
    </row>
    <row r="1442" spans="1:19" x14ac:dyDescent="0.2">
      <c r="A1442">
        <f t="shared" si="68"/>
        <v>452</v>
      </c>
      <c r="B1442" s="3">
        <v>43987</v>
      </c>
      <c r="C1442" s="3" t="str">
        <f t="shared" si="67"/>
        <v>Friday</v>
      </c>
      <c r="D1442" s="2">
        <v>0.49788194444444445</v>
      </c>
      <c r="E1442" t="s">
        <v>14</v>
      </c>
      <c r="F1442" t="s">
        <v>19</v>
      </c>
      <c r="G1442">
        <v>1</v>
      </c>
      <c r="H1442" t="s">
        <v>16</v>
      </c>
      <c r="I1442" t="s">
        <v>77</v>
      </c>
      <c r="J1442" s="1">
        <v>44063</v>
      </c>
      <c r="L1442" t="s">
        <v>14</v>
      </c>
      <c r="M1442">
        <v>39.29</v>
      </c>
      <c r="N1442">
        <v>39.29</v>
      </c>
      <c r="O1442" t="s">
        <v>21</v>
      </c>
      <c r="P1442">
        <f t="shared" si="69"/>
        <v>0</v>
      </c>
      <c r="Q1442" s="11">
        <f>IF(P1442=0,0,IFERROR(Q1441+G1442*M1442*IF(E1442="FUTURE",VLOOKUP(MID(I1442,2,2),[1]Futures!$A$2:$B$12,2),1),G1442*M1442*IF(E1442="FUTURE",VLOOKUP(MID(I1442,2,2),[1]Futures!$A$2:$B$12,2),1)))</f>
        <v>0</v>
      </c>
      <c r="R1442" s="12" t="str">
        <f>IFERROR(Q1442/P1442/IF(E1442="FUTURE",VLOOKUP(MID(I1442,2,2),[1]Futures!$A$2:$B$12,2),1),"")</f>
        <v/>
      </c>
      <c r="S1442" s="13">
        <f>IF(AND(H1442="TO CLOSE",P1442=0),-G1442*(M1442-R1441)*IF(E1442="FUTURE",VLOOKUP(MID(I1442,2,2),[1]Futures!$A$2:$B$12,2),1),"")</f>
        <v>160.00000000000369</v>
      </c>
    </row>
    <row r="1443" spans="1:19" x14ac:dyDescent="0.2">
      <c r="A1443">
        <f t="shared" si="68"/>
        <v>453</v>
      </c>
      <c r="B1443" s="3">
        <v>43987</v>
      </c>
      <c r="C1443" s="3" t="str">
        <f t="shared" si="67"/>
        <v>Friday</v>
      </c>
      <c r="D1443" s="2">
        <v>0.51877314814814812</v>
      </c>
      <c r="E1443" t="s">
        <v>14</v>
      </c>
      <c r="F1443" t="s">
        <v>15</v>
      </c>
      <c r="G1443">
        <v>-1</v>
      </c>
      <c r="H1443" t="s">
        <v>20</v>
      </c>
      <c r="I1443" t="s">
        <v>77</v>
      </c>
      <c r="J1443" s="1">
        <v>44063</v>
      </c>
      <c r="L1443" t="s">
        <v>14</v>
      </c>
      <c r="M1443">
        <v>39.340000000000003</v>
      </c>
      <c r="N1443">
        <v>39.340000000000003</v>
      </c>
      <c r="O1443" t="s">
        <v>21</v>
      </c>
      <c r="P1443">
        <f t="shared" si="69"/>
        <v>-1</v>
      </c>
      <c r="Q1443" s="11">
        <f>IF(P1443=0,0,IFERROR(Q1442+G1443*M1443*IF(E1443="FUTURE",VLOOKUP(MID(I1443,2,2),[1]Futures!$A$2:$B$12,2),1),G1443*M1443*IF(E1443="FUTURE",VLOOKUP(MID(I1443,2,2),[1]Futures!$A$2:$B$12,2),1)))</f>
        <v>-39340</v>
      </c>
      <c r="R1443" s="12">
        <f>IFERROR(Q1443/P1443/IF(E1443="FUTURE",VLOOKUP(MID(I1443,2,2),[1]Futures!$A$2:$B$12,2),1),"")</f>
        <v>39.340000000000003</v>
      </c>
      <c r="S1443" s="13" t="str">
        <f>IF(AND(H1443="TO CLOSE",P1443=0),-G1443*(M1443-R1442)*IF(E1443="FUTURE",VLOOKUP(MID(I1443,2,2),[1]Futures!$A$2:$B$12,2),1),"")</f>
        <v/>
      </c>
    </row>
    <row r="1444" spans="1:19" x14ac:dyDescent="0.2">
      <c r="A1444">
        <f t="shared" si="68"/>
        <v>453</v>
      </c>
      <c r="B1444" s="3">
        <v>43987</v>
      </c>
      <c r="C1444" s="3" t="str">
        <f t="shared" si="67"/>
        <v>Friday</v>
      </c>
      <c r="D1444" s="2">
        <v>0.52179398148148148</v>
      </c>
      <c r="E1444" t="s">
        <v>14</v>
      </c>
      <c r="F1444" t="s">
        <v>19</v>
      </c>
      <c r="G1444">
        <v>1</v>
      </c>
      <c r="H1444" t="s">
        <v>16</v>
      </c>
      <c r="I1444" t="s">
        <v>77</v>
      </c>
      <c r="J1444" s="1">
        <v>44063</v>
      </c>
      <c r="L1444" t="s">
        <v>14</v>
      </c>
      <c r="M1444">
        <v>39.43</v>
      </c>
      <c r="N1444">
        <v>39.43</v>
      </c>
      <c r="O1444" t="s">
        <v>24</v>
      </c>
      <c r="P1444">
        <f t="shared" si="69"/>
        <v>0</v>
      </c>
      <c r="Q1444" s="11">
        <f>IF(P1444=0,0,IFERROR(Q1443+G1444*M1444*IF(E1444="FUTURE",VLOOKUP(MID(I1444,2,2),[1]Futures!$A$2:$B$12,2),1),G1444*M1444*IF(E1444="FUTURE",VLOOKUP(MID(I1444,2,2),[1]Futures!$A$2:$B$12,2),1)))</f>
        <v>0</v>
      </c>
      <c r="R1444" s="12" t="str">
        <f>IFERROR(Q1444/P1444/IF(E1444="FUTURE",VLOOKUP(MID(I1444,2,2),[1]Futures!$A$2:$B$12,2),1),"")</f>
        <v/>
      </c>
      <c r="S1444" s="13">
        <f>IF(AND(H1444="TO CLOSE",P1444=0),-G1444*(M1444-R1443)*IF(E1444="FUTURE",VLOOKUP(MID(I1444,2,2),[1]Futures!$A$2:$B$12,2),1),"")</f>
        <v>-89.999999999996305</v>
      </c>
    </row>
    <row r="1445" spans="1:19" x14ac:dyDescent="0.2">
      <c r="A1445">
        <f t="shared" si="68"/>
        <v>454</v>
      </c>
      <c r="B1445" s="3">
        <v>43987</v>
      </c>
      <c r="C1445" s="3" t="str">
        <f t="shared" si="67"/>
        <v>Friday</v>
      </c>
      <c r="D1445" s="2">
        <v>0.52826388888888887</v>
      </c>
      <c r="E1445" t="s">
        <v>14</v>
      </c>
      <c r="F1445" t="s">
        <v>19</v>
      </c>
      <c r="G1445">
        <v>1</v>
      </c>
      <c r="H1445" t="s">
        <v>20</v>
      </c>
      <c r="I1445" t="s">
        <v>77</v>
      </c>
      <c r="J1445" s="1">
        <v>44063</v>
      </c>
      <c r="L1445" t="s">
        <v>14</v>
      </c>
      <c r="M1445">
        <v>39.44</v>
      </c>
      <c r="N1445">
        <v>39.44</v>
      </c>
      <c r="O1445" t="s">
        <v>24</v>
      </c>
      <c r="P1445">
        <f t="shared" si="69"/>
        <v>1</v>
      </c>
      <c r="Q1445" s="11">
        <f>IF(P1445=0,0,IFERROR(Q1444+G1445*M1445*IF(E1445="FUTURE",VLOOKUP(MID(I1445,2,2),[1]Futures!$A$2:$B$12,2),1),G1445*M1445*IF(E1445="FUTURE",VLOOKUP(MID(I1445,2,2),[1]Futures!$A$2:$B$12,2),1)))</f>
        <v>39440</v>
      </c>
      <c r="R1445" s="12">
        <f>IFERROR(Q1445/P1445/IF(E1445="FUTURE",VLOOKUP(MID(I1445,2,2),[1]Futures!$A$2:$B$12,2),1),"")</f>
        <v>39.44</v>
      </c>
      <c r="S1445" s="13" t="str">
        <f>IF(AND(H1445="TO CLOSE",P1445=0),-G1445*(M1445-R1444)*IF(E1445="FUTURE",VLOOKUP(MID(I1445,2,2),[1]Futures!$A$2:$B$12,2),1),"")</f>
        <v/>
      </c>
    </row>
    <row r="1446" spans="1:19" x14ac:dyDescent="0.2">
      <c r="A1446">
        <f t="shared" si="68"/>
        <v>454</v>
      </c>
      <c r="B1446" s="3">
        <v>43987</v>
      </c>
      <c r="C1446" s="3" t="str">
        <f t="shared" si="67"/>
        <v>Friday</v>
      </c>
      <c r="D1446" s="2">
        <v>0.54707175925925922</v>
      </c>
      <c r="E1446" t="s">
        <v>14</v>
      </c>
      <c r="F1446" t="s">
        <v>15</v>
      </c>
      <c r="G1446">
        <v>-1</v>
      </c>
      <c r="H1446" t="s">
        <v>16</v>
      </c>
      <c r="I1446" t="s">
        <v>77</v>
      </c>
      <c r="J1446" s="1">
        <v>44063</v>
      </c>
      <c r="L1446" t="s">
        <v>14</v>
      </c>
      <c r="M1446">
        <v>39.61</v>
      </c>
      <c r="N1446">
        <v>39.61</v>
      </c>
      <c r="O1446" t="s">
        <v>21</v>
      </c>
      <c r="P1446">
        <f t="shared" si="69"/>
        <v>0</v>
      </c>
      <c r="Q1446" s="11">
        <f>IF(P1446=0,0,IFERROR(Q1445+G1446*M1446*IF(E1446="FUTURE",VLOOKUP(MID(I1446,2,2),[1]Futures!$A$2:$B$12,2),1),G1446*M1446*IF(E1446="FUTURE",VLOOKUP(MID(I1446,2,2),[1]Futures!$A$2:$B$12,2),1)))</f>
        <v>0</v>
      </c>
      <c r="R1446" s="12" t="str">
        <f>IFERROR(Q1446/P1446/IF(E1446="FUTURE",VLOOKUP(MID(I1446,2,2),[1]Futures!$A$2:$B$12,2),1),"")</f>
        <v/>
      </c>
      <c r="S1446" s="13">
        <f>IF(AND(H1446="TO CLOSE",P1446=0),-G1446*(M1446-R1445)*IF(E1446="FUTURE",VLOOKUP(MID(I1446,2,2),[1]Futures!$A$2:$B$12,2),1),"")</f>
        <v>170.00000000000171</v>
      </c>
    </row>
    <row r="1447" spans="1:19" x14ac:dyDescent="0.2">
      <c r="A1447">
        <f t="shared" si="68"/>
        <v>455</v>
      </c>
      <c r="B1447" s="3">
        <v>43987</v>
      </c>
      <c r="C1447" s="3" t="str">
        <f t="shared" si="67"/>
        <v>Friday</v>
      </c>
      <c r="D1447" s="2">
        <v>0.39622685185185186</v>
      </c>
      <c r="E1447" t="s">
        <v>14</v>
      </c>
      <c r="F1447" t="s">
        <v>15</v>
      </c>
      <c r="G1447">
        <v>-1</v>
      </c>
      <c r="H1447" t="s">
        <v>20</v>
      </c>
      <c r="I1447" t="s">
        <v>17</v>
      </c>
      <c r="J1447" s="1">
        <v>44002</v>
      </c>
      <c r="L1447" t="s">
        <v>14</v>
      </c>
      <c r="M1447">
        <v>3170.75</v>
      </c>
      <c r="N1447">
        <v>3170.75</v>
      </c>
      <c r="O1447" t="s">
        <v>21</v>
      </c>
      <c r="P1447">
        <f t="shared" si="69"/>
        <v>-1</v>
      </c>
      <c r="Q1447" s="11">
        <f>IF(P1447=0,0,IFERROR(Q1446+G1447*M1447*IF(E1447="FUTURE",VLOOKUP(MID(I1447,2,2),[1]Futures!$A$2:$B$12,2),1),G1447*M1447*IF(E1447="FUTURE",VLOOKUP(MID(I1447,2,2),[1]Futures!$A$2:$B$12,2),1)))</f>
        <v>-158537.5</v>
      </c>
      <c r="R1447" s="12">
        <f>IFERROR(Q1447/P1447/IF(E1447="FUTURE",VLOOKUP(MID(I1447,2,2),[1]Futures!$A$2:$B$12,2),1),"")</f>
        <v>3170.75</v>
      </c>
      <c r="S1447" s="13" t="str">
        <f>IF(AND(H1447="TO CLOSE",P1447=0),-G1447*(M1447-R1446)*IF(E1447="FUTURE",VLOOKUP(MID(I1447,2,2),[1]Futures!$A$2:$B$12,2),1),"")</f>
        <v/>
      </c>
    </row>
    <row r="1448" spans="1:19" x14ac:dyDescent="0.2">
      <c r="A1448">
        <f t="shared" si="68"/>
        <v>455</v>
      </c>
      <c r="B1448" s="3">
        <v>43987</v>
      </c>
      <c r="C1448" s="3" t="str">
        <f t="shared" si="67"/>
        <v>Friday</v>
      </c>
      <c r="D1448" s="2">
        <v>0.39700231481481479</v>
      </c>
      <c r="E1448" t="s">
        <v>14</v>
      </c>
      <c r="F1448" t="s">
        <v>19</v>
      </c>
      <c r="G1448">
        <v>1</v>
      </c>
      <c r="H1448" t="s">
        <v>16</v>
      </c>
      <c r="I1448" t="s">
        <v>17</v>
      </c>
      <c r="J1448" s="1">
        <v>44002</v>
      </c>
      <c r="L1448" t="s">
        <v>14</v>
      </c>
      <c r="M1448">
        <v>3169.75</v>
      </c>
      <c r="N1448">
        <v>3169.75</v>
      </c>
      <c r="O1448" t="s">
        <v>21</v>
      </c>
      <c r="P1448">
        <f t="shared" si="69"/>
        <v>0</v>
      </c>
      <c r="Q1448" s="11">
        <f>IF(P1448=0,0,IFERROR(Q1447+G1448*M1448*IF(E1448="FUTURE",VLOOKUP(MID(I1448,2,2),[1]Futures!$A$2:$B$12,2),1),G1448*M1448*IF(E1448="FUTURE",VLOOKUP(MID(I1448,2,2),[1]Futures!$A$2:$B$12,2),1)))</f>
        <v>0</v>
      </c>
      <c r="R1448" s="12" t="str">
        <f>IFERROR(Q1448/P1448/IF(E1448="FUTURE",VLOOKUP(MID(I1448,2,2),[1]Futures!$A$2:$B$12,2),1),"")</f>
        <v/>
      </c>
      <c r="S1448" s="13">
        <f>IF(AND(H1448="TO CLOSE",P1448=0),-G1448*(M1448-R1447)*IF(E1448="FUTURE",VLOOKUP(MID(I1448,2,2),[1]Futures!$A$2:$B$12,2),1),"")</f>
        <v>50</v>
      </c>
    </row>
    <row r="1449" spans="1:19" x14ac:dyDescent="0.2">
      <c r="A1449">
        <f t="shared" si="68"/>
        <v>456</v>
      </c>
      <c r="B1449" s="3">
        <v>43987</v>
      </c>
      <c r="C1449" s="3" t="str">
        <f t="shared" si="67"/>
        <v>Friday</v>
      </c>
      <c r="D1449" s="2">
        <v>0.40023148148148152</v>
      </c>
      <c r="E1449" t="s">
        <v>14</v>
      </c>
      <c r="F1449" t="s">
        <v>15</v>
      </c>
      <c r="G1449">
        <v>-1</v>
      </c>
      <c r="H1449" t="s">
        <v>20</v>
      </c>
      <c r="I1449" t="s">
        <v>17</v>
      </c>
      <c r="J1449" s="1">
        <v>44002</v>
      </c>
      <c r="L1449" t="s">
        <v>14</v>
      </c>
      <c r="M1449">
        <v>3173.25</v>
      </c>
      <c r="N1449">
        <v>3173.25</v>
      </c>
      <c r="O1449" t="s">
        <v>21</v>
      </c>
      <c r="P1449">
        <f t="shared" si="69"/>
        <v>-1</v>
      </c>
      <c r="Q1449" s="11">
        <f>IF(P1449=0,0,IFERROR(Q1448+G1449*M1449*IF(E1449="FUTURE",VLOOKUP(MID(I1449,2,2),[1]Futures!$A$2:$B$12,2),1),G1449*M1449*IF(E1449="FUTURE",VLOOKUP(MID(I1449,2,2),[1]Futures!$A$2:$B$12,2),1)))</f>
        <v>-158662.5</v>
      </c>
      <c r="R1449" s="12">
        <f>IFERROR(Q1449/P1449/IF(E1449="FUTURE",VLOOKUP(MID(I1449,2,2),[1]Futures!$A$2:$B$12,2),1),"")</f>
        <v>3173.25</v>
      </c>
      <c r="S1449" s="13" t="str">
        <f>IF(AND(H1449="TO CLOSE",P1449=0),-G1449*(M1449-R1448)*IF(E1449="FUTURE",VLOOKUP(MID(I1449,2,2),[1]Futures!$A$2:$B$12,2),1),"")</f>
        <v/>
      </c>
    </row>
    <row r="1450" spans="1:19" x14ac:dyDescent="0.2">
      <c r="A1450">
        <f t="shared" si="68"/>
        <v>456</v>
      </c>
      <c r="B1450" s="3">
        <v>43987</v>
      </c>
      <c r="C1450" s="3" t="str">
        <f t="shared" si="67"/>
        <v>Friday</v>
      </c>
      <c r="D1450" s="2">
        <v>0.46081018518518518</v>
      </c>
      <c r="E1450" t="s">
        <v>14</v>
      </c>
      <c r="F1450" t="s">
        <v>19</v>
      </c>
      <c r="G1450">
        <v>2</v>
      </c>
      <c r="H1450" t="s">
        <v>16</v>
      </c>
      <c r="I1450" t="s">
        <v>17</v>
      </c>
      <c r="J1450" s="1">
        <v>44002</v>
      </c>
      <c r="L1450" t="s">
        <v>14</v>
      </c>
      <c r="M1450">
        <v>3192</v>
      </c>
      <c r="N1450">
        <v>3192</v>
      </c>
      <c r="O1450" t="s">
        <v>24</v>
      </c>
      <c r="P1450">
        <f t="shared" si="69"/>
        <v>1</v>
      </c>
      <c r="Q1450" s="11">
        <f>IF(P1450=0,0,IFERROR(Q1449+G1450*M1450*IF(E1450="FUTURE",VLOOKUP(MID(I1450,2,2),[1]Futures!$A$2:$B$12,2),1),G1450*M1450*IF(E1450="FUTURE",VLOOKUP(MID(I1450,2,2),[1]Futures!$A$2:$B$12,2),1)))</f>
        <v>160537.5</v>
      </c>
      <c r="R1450" s="12">
        <f>IFERROR(Q1450/P1450/IF(E1450="FUTURE",VLOOKUP(MID(I1450,2,2),[1]Futures!$A$2:$B$12,2),1),"")</f>
        <v>3210.75</v>
      </c>
      <c r="S1450" s="13" t="str">
        <f>IF(AND(H1450="TO CLOSE",P1450=0),-G1450*(M1450-R1449)*IF(E1450="FUTURE",VLOOKUP(MID(I1450,2,2),[1]Futures!$A$2:$B$12,2),1),"")</f>
        <v/>
      </c>
    </row>
    <row r="1451" spans="1:19" x14ac:dyDescent="0.2">
      <c r="A1451">
        <f t="shared" si="68"/>
        <v>456</v>
      </c>
      <c r="B1451" s="3">
        <v>43987</v>
      </c>
      <c r="C1451" s="3" t="str">
        <f t="shared" si="67"/>
        <v>Friday</v>
      </c>
      <c r="D1451" s="2">
        <v>0.46430555555555553</v>
      </c>
      <c r="E1451" t="s">
        <v>14</v>
      </c>
      <c r="F1451" t="s">
        <v>15</v>
      </c>
      <c r="G1451">
        <v>-2</v>
      </c>
      <c r="H1451" t="s">
        <v>16</v>
      </c>
      <c r="I1451" t="s">
        <v>17</v>
      </c>
      <c r="J1451" s="1">
        <v>44002</v>
      </c>
      <c r="L1451" t="s">
        <v>14</v>
      </c>
      <c r="M1451">
        <v>3193</v>
      </c>
      <c r="N1451">
        <v>3193</v>
      </c>
      <c r="O1451" t="s">
        <v>21</v>
      </c>
      <c r="P1451">
        <f t="shared" si="69"/>
        <v>-1</v>
      </c>
      <c r="Q1451" s="11">
        <f>IF(P1451=0,0,IFERROR(Q1450+G1451*M1451*IF(E1451="FUTURE",VLOOKUP(MID(I1451,2,2),[1]Futures!$A$2:$B$12,2),1),G1451*M1451*IF(E1451="FUTURE",VLOOKUP(MID(I1451,2,2),[1]Futures!$A$2:$B$12,2),1)))</f>
        <v>-158762.5</v>
      </c>
      <c r="R1451" s="12">
        <f>IFERROR(Q1451/P1451/IF(E1451="FUTURE",VLOOKUP(MID(I1451,2,2),[1]Futures!$A$2:$B$12,2),1),"")</f>
        <v>3175.25</v>
      </c>
      <c r="S1451" s="13" t="str">
        <f>IF(AND(H1451="TO CLOSE",P1451=0),-G1451*(M1451-R1450)*IF(E1451="FUTURE",VLOOKUP(MID(I1451,2,2),[1]Futures!$A$2:$B$12,2),1),"")</f>
        <v/>
      </c>
    </row>
    <row r="1452" spans="1:19" x14ac:dyDescent="0.2">
      <c r="A1452">
        <f t="shared" si="68"/>
        <v>456</v>
      </c>
      <c r="B1452" s="3">
        <v>43987</v>
      </c>
      <c r="C1452" s="3" t="str">
        <f t="shared" si="67"/>
        <v>Friday</v>
      </c>
      <c r="D1452" s="2">
        <v>0.47855324074074074</v>
      </c>
      <c r="E1452" t="s">
        <v>14</v>
      </c>
      <c r="F1452" t="s">
        <v>19</v>
      </c>
      <c r="G1452">
        <v>1</v>
      </c>
      <c r="H1452" t="s">
        <v>16</v>
      </c>
      <c r="I1452" t="s">
        <v>17</v>
      </c>
      <c r="J1452" s="1">
        <v>44002</v>
      </c>
      <c r="L1452" t="s">
        <v>14</v>
      </c>
      <c r="M1452">
        <v>3203</v>
      </c>
      <c r="N1452">
        <v>3203</v>
      </c>
      <c r="O1452" t="s">
        <v>24</v>
      </c>
      <c r="P1452">
        <f t="shared" si="69"/>
        <v>0</v>
      </c>
      <c r="Q1452" s="11">
        <f>IF(P1452=0,0,IFERROR(Q1451+G1452*M1452*IF(E1452="FUTURE",VLOOKUP(MID(I1452,2,2),[1]Futures!$A$2:$B$12,2),1),G1452*M1452*IF(E1452="FUTURE",VLOOKUP(MID(I1452,2,2),[1]Futures!$A$2:$B$12,2),1)))</f>
        <v>0</v>
      </c>
      <c r="R1452" s="12" t="str">
        <f>IFERROR(Q1452/P1452/IF(E1452="FUTURE",VLOOKUP(MID(I1452,2,2),[1]Futures!$A$2:$B$12,2),1),"")</f>
        <v/>
      </c>
      <c r="S1452" s="13">
        <f>IF(AND(H1452="TO CLOSE",P1452=0),-G1452*(M1452-R1451)*IF(E1452="FUTURE",VLOOKUP(MID(I1452,2,2),[1]Futures!$A$2:$B$12,2),1),"")</f>
        <v>-1387.5</v>
      </c>
    </row>
    <row r="1453" spans="1:19" x14ac:dyDescent="0.2">
      <c r="A1453">
        <f t="shared" si="68"/>
        <v>457</v>
      </c>
      <c r="B1453" s="3">
        <v>43987</v>
      </c>
      <c r="C1453" s="3" t="str">
        <f t="shared" si="67"/>
        <v>Friday</v>
      </c>
      <c r="D1453" s="2">
        <v>0.48569444444444443</v>
      </c>
      <c r="E1453" t="s">
        <v>14</v>
      </c>
      <c r="F1453" t="s">
        <v>19</v>
      </c>
      <c r="G1453">
        <v>1</v>
      </c>
      <c r="H1453" t="s">
        <v>20</v>
      </c>
      <c r="I1453" t="s">
        <v>17</v>
      </c>
      <c r="J1453" s="1">
        <v>44002</v>
      </c>
      <c r="L1453" t="s">
        <v>14</v>
      </c>
      <c r="M1453">
        <v>3201.25</v>
      </c>
      <c r="N1453">
        <v>3201.25</v>
      </c>
      <c r="O1453" t="s">
        <v>24</v>
      </c>
      <c r="P1453">
        <f t="shared" si="69"/>
        <v>1</v>
      </c>
      <c r="Q1453" s="11">
        <f>IF(P1453=0,0,IFERROR(Q1452+G1453*M1453*IF(E1453="FUTURE",VLOOKUP(MID(I1453,2,2),[1]Futures!$A$2:$B$12,2),1),G1453*M1453*IF(E1453="FUTURE",VLOOKUP(MID(I1453,2,2),[1]Futures!$A$2:$B$12,2),1)))</f>
        <v>160062.5</v>
      </c>
      <c r="R1453" s="12">
        <f>IFERROR(Q1453/P1453/IF(E1453="FUTURE",VLOOKUP(MID(I1453,2,2),[1]Futures!$A$2:$B$12,2),1),"")</f>
        <v>3201.25</v>
      </c>
      <c r="S1453" s="13" t="str">
        <f>IF(AND(H1453="TO CLOSE",P1453=0),-G1453*(M1453-R1452)*IF(E1453="FUTURE",VLOOKUP(MID(I1453,2,2),[1]Futures!$A$2:$B$12,2),1),"")</f>
        <v/>
      </c>
    </row>
    <row r="1454" spans="1:19" x14ac:dyDescent="0.2">
      <c r="A1454">
        <f t="shared" si="68"/>
        <v>457</v>
      </c>
      <c r="B1454" s="3">
        <v>43987</v>
      </c>
      <c r="C1454" s="3" t="str">
        <f t="shared" si="67"/>
        <v>Friday</v>
      </c>
      <c r="D1454" s="2">
        <v>0.49430555555555555</v>
      </c>
      <c r="E1454" t="s">
        <v>14</v>
      </c>
      <c r="F1454" t="s">
        <v>15</v>
      </c>
      <c r="G1454">
        <v>-1</v>
      </c>
      <c r="H1454" t="s">
        <v>16</v>
      </c>
      <c r="I1454" t="s">
        <v>17</v>
      </c>
      <c r="J1454" s="1">
        <v>44002</v>
      </c>
      <c r="L1454" t="s">
        <v>14</v>
      </c>
      <c r="M1454">
        <v>3204</v>
      </c>
      <c r="N1454">
        <v>3204</v>
      </c>
      <c r="O1454" t="s">
        <v>21</v>
      </c>
      <c r="P1454">
        <f t="shared" si="69"/>
        <v>0</v>
      </c>
      <c r="Q1454" s="11">
        <f>IF(P1454=0,0,IFERROR(Q1453+G1454*M1454*IF(E1454="FUTURE",VLOOKUP(MID(I1454,2,2),[1]Futures!$A$2:$B$12,2),1),G1454*M1454*IF(E1454="FUTURE",VLOOKUP(MID(I1454,2,2),[1]Futures!$A$2:$B$12,2),1)))</f>
        <v>0</v>
      </c>
      <c r="R1454" s="12" t="str">
        <f>IFERROR(Q1454/P1454/IF(E1454="FUTURE",VLOOKUP(MID(I1454,2,2),[1]Futures!$A$2:$B$12,2),1),"")</f>
        <v/>
      </c>
      <c r="S1454" s="13">
        <f>IF(AND(H1454="TO CLOSE",P1454=0),-G1454*(M1454-R1453)*IF(E1454="FUTURE",VLOOKUP(MID(I1454,2,2),[1]Futures!$A$2:$B$12,2),1),"")</f>
        <v>137.5</v>
      </c>
    </row>
    <row r="1455" spans="1:19" x14ac:dyDescent="0.2">
      <c r="A1455">
        <f t="shared" si="68"/>
        <v>458</v>
      </c>
      <c r="B1455" s="3">
        <v>43987</v>
      </c>
      <c r="C1455" s="3" t="str">
        <f t="shared" si="67"/>
        <v>Friday</v>
      </c>
      <c r="D1455" s="2">
        <v>0.4952893518518518</v>
      </c>
      <c r="E1455" t="s">
        <v>14</v>
      </c>
      <c r="F1455" t="s">
        <v>15</v>
      </c>
      <c r="G1455">
        <v>-1</v>
      </c>
      <c r="H1455" t="s">
        <v>20</v>
      </c>
      <c r="I1455" t="s">
        <v>17</v>
      </c>
      <c r="J1455" s="1">
        <v>44002</v>
      </c>
      <c r="L1455" t="s">
        <v>14</v>
      </c>
      <c r="M1455">
        <v>3204</v>
      </c>
      <c r="N1455">
        <v>3204</v>
      </c>
      <c r="O1455" t="s">
        <v>21</v>
      </c>
      <c r="P1455">
        <f t="shared" si="69"/>
        <v>-1</v>
      </c>
      <c r="Q1455" s="11">
        <f>IF(P1455=0,0,IFERROR(Q1454+G1455*M1455*IF(E1455="FUTURE",VLOOKUP(MID(I1455,2,2),[1]Futures!$A$2:$B$12,2),1),G1455*M1455*IF(E1455="FUTURE",VLOOKUP(MID(I1455,2,2),[1]Futures!$A$2:$B$12,2),1)))</f>
        <v>-160200</v>
      </c>
      <c r="R1455" s="12">
        <f>IFERROR(Q1455/P1455/IF(E1455="FUTURE",VLOOKUP(MID(I1455,2,2),[1]Futures!$A$2:$B$12,2),1),"")</f>
        <v>3204</v>
      </c>
      <c r="S1455" s="13" t="str">
        <f>IF(AND(H1455="TO CLOSE",P1455=0),-G1455*(M1455-R1454)*IF(E1455="FUTURE",VLOOKUP(MID(I1455,2,2),[1]Futures!$A$2:$B$12,2),1),"")</f>
        <v/>
      </c>
    </row>
    <row r="1456" spans="1:19" x14ac:dyDescent="0.2">
      <c r="A1456">
        <f t="shared" si="68"/>
        <v>458</v>
      </c>
      <c r="B1456" s="3">
        <v>43987</v>
      </c>
      <c r="C1456" s="3" t="str">
        <f t="shared" si="67"/>
        <v>Friday</v>
      </c>
      <c r="D1456" s="2">
        <v>0.49912037037037038</v>
      </c>
      <c r="E1456" t="s">
        <v>14</v>
      </c>
      <c r="F1456" t="s">
        <v>19</v>
      </c>
      <c r="G1456">
        <v>1</v>
      </c>
      <c r="H1456" t="s">
        <v>16</v>
      </c>
      <c r="I1456" t="s">
        <v>17</v>
      </c>
      <c r="J1456" s="1">
        <v>44002</v>
      </c>
      <c r="L1456" t="s">
        <v>14</v>
      </c>
      <c r="M1456">
        <v>3201</v>
      </c>
      <c r="N1456">
        <v>3201</v>
      </c>
      <c r="O1456" t="s">
        <v>21</v>
      </c>
      <c r="P1456">
        <f t="shared" si="69"/>
        <v>0</v>
      </c>
      <c r="Q1456" s="11">
        <f>IF(P1456=0,0,IFERROR(Q1455+G1456*M1456*IF(E1456="FUTURE",VLOOKUP(MID(I1456,2,2),[1]Futures!$A$2:$B$12,2),1),G1456*M1456*IF(E1456="FUTURE",VLOOKUP(MID(I1456,2,2),[1]Futures!$A$2:$B$12,2),1)))</f>
        <v>0</v>
      </c>
      <c r="R1456" s="12" t="str">
        <f>IFERROR(Q1456/P1456/IF(E1456="FUTURE",VLOOKUP(MID(I1456,2,2),[1]Futures!$A$2:$B$12,2),1),"")</f>
        <v/>
      </c>
      <c r="S1456" s="13">
        <f>IF(AND(H1456="TO CLOSE",P1456=0),-G1456*(M1456-R1455)*IF(E1456="FUTURE",VLOOKUP(MID(I1456,2,2),[1]Futures!$A$2:$B$12,2),1),"")</f>
        <v>150</v>
      </c>
    </row>
    <row r="1457" spans="1:19" x14ac:dyDescent="0.2">
      <c r="A1457">
        <f t="shared" si="68"/>
        <v>459</v>
      </c>
      <c r="B1457" s="3">
        <v>43987</v>
      </c>
      <c r="C1457" s="3" t="str">
        <f t="shared" si="67"/>
        <v>Friday</v>
      </c>
      <c r="D1457" s="2">
        <v>0.50165509259259256</v>
      </c>
      <c r="E1457" t="s">
        <v>14</v>
      </c>
      <c r="F1457" t="s">
        <v>19</v>
      </c>
      <c r="G1457">
        <v>1</v>
      </c>
      <c r="H1457" t="s">
        <v>20</v>
      </c>
      <c r="I1457" t="s">
        <v>17</v>
      </c>
      <c r="J1457" s="1">
        <v>44002</v>
      </c>
      <c r="L1457" t="s">
        <v>14</v>
      </c>
      <c r="M1457">
        <v>3200.5</v>
      </c>
      <c r="N1457">
        <v>3200.5</v>
      </c>
      <c r="O1457" t="s">
        <v>24</v>
      </c>
      <c r="P1457">
        <f t="shared" si="69"/>
        <v>1</v>
      </c>
      <c r="Q1457" s="11">
        <f>IF(P1457=0,0,IFERROR(Q1456+G1457*M1457*IF(E1457="FUTURE",VLOOKUP(MID(I1457,2,2),[1]Futures!$A$2:$B$12,2),1),G1457*M1457*IF(E1457="FUTURE",VLOOKUP(MID(I1457,2,2),[1]Futures!$A$2:$B$12,2),1)))</f>
        <v>160025</v>
      </c>
      <c r="R1457" s="12">
        <f>IFERROR(Q1457/P1457/IF(E1457="FUTURE",VLOOKUP(MID(I1457,2,2),[1]Futures!$A$2:$B$12,2),1),"")</f>
        <v>3200.5</v>
      </c>
      <c r="S1457" s="13" t="str">
        <f>IF(AND(H1457="TO CLOSE",P1457=0),-G1457*(M1457-R1456)*IF(E1457="FUTURE",VLOOKUP(MID(I1457,2,2),[1]Futures!$A$2:$B$12,2),1),"")</f>
        <v/>
      </c>
    </row>
    <row r="1458" spans="1:19" x14ac:dyDescent="0.2">
      <c r="A1458">
        <f t="shared" si="68"/>
        <v>459</v>
      </c>
      <c r="B1458" s="3">
        <v>43987</v>
      </c>
      <c r="C1458" s="3" t="str">
        <f t="shared" si="67"/>
        <v>Friday</v>
      </c>
      <c r="D1458" s="2">
        <v>0.50428240740740737</v>
      </c>
      <c r="E1458" t="s">
        <v>14</v>
      </c>
      <c r="F1458" t="s">
        <v>15</v>
      </c>
      <c r="G1458">
        <v>-1</v>
      </c>
      <c r="H1458" t="s">
        <v>16</v>
      </c>
      <c r="I1458" t="s">
        <v>17</v>
      </c>
      <c r="J1458" s="1">
        <v>44002</v>
      </c>
      <c r="L1458" t="s">
        <v>14</v>
      </c>
      <c r="M1458">
        <v>3201.5</v>
      </c>
      <c r="N1458">
        <v>3201.5</v>
      </c>
      <c r="O1458" t="s">
        <v>21</v>
      </c>
      <c r="P1458">
        <f t="shared" si="69"/>
        <v>0</v>
      </c>
      <c r="Q1458" s="11">
        <f>IF(P1458=0,0,IFERROR(Q1457+G1458*M1458*IF(E1458="FUTURE",VLOOKUP(MID(I1458,2,2),[1]Futures!$A$2:$B$12,2),1),G1458*M1458*IF(E1458="FUTURE",VLOOKUP(MID(I1458,2,2),[1]Futures!$A$2:$B$12,2),1)))</f>
        <v>0</v>
      </c>
      <c r="R1458" s="12" t="str">
        <f>IFERROR(Q1458/P1458/IF(E1458="FUTURE",VLOOKUP(MID(I1458,2,2),[1]Futures!$A$2:$B$12,2),1),"")</f>
        <v/>
      </c>
      <c r="S1458" s="13">
        <f>IF(AND(H1458="TO CLOSE",P1458=0),-G1458*(M1458-R1457)*IF(E1458="FUTURE",VLOOKUP(MID(I1458,2,2),[1]Futures!$A$2:$B$12,2),1),"")</f>
        <v>50</v>
      </c>
    </row>
    <row r="1459" spans="1:19" x14ac:dyDescent="0.2">
      <c r="A1459">
        <f t="shared" si="68"/>
        <v>460</v>
      </c>
      <c r="B1459" s="3">
        <v>43987</v>
      </c>
      <c r="C1459" s="3" t="str">
        <f t="shared" si="67"/>
        <v>Friday</v>
      </c>
      <c r="D1459" s="2">
        <v>0.50621527777777775</v>
      </c>
      <c r="E1459" t="s">
        <v>14</v>
      </c>
      <c r="F1459" t="s">
        <v>15</v>
      </c>
      <c r="G1459">
        <v>-1</v>
      </c>
      <c r="H1459" t="s">
        <v>20</v>
      </c>
      <c r="I1459" t="s">
        <v>17</v>
      </c>
      <c r="J1459" s="1">
        <v>44002</v>
      </c>
      <c r="L1459" t="s">
        <v>14</v>
      </c>
      <c r="M1459">
        <v>3200</v>
      </c>
      <c r="N1459">
        <v>3200</v>
      </c>
      <c r="O1459" t="s">
        <v>21</v>
      </c>
      <c r="P1459">
        <f t="shared" si="69"/>
        <v>-1</v>
      </c>
      <c r="Q1459" s="11">
        <f>IF(P1459=0,0,IFERROR(Q1458+G1459*M1459*IF(E1459="FUTURE",VLOOKUP(MID(I1459,2,2),[1]Futures!$A$2:$B$12,2),1),G1459*M1459*IF(E1459="FUTURE",VLOOKUP(MID(I1459,2,2),[1]Futures!$A$2:$B$12,2),1)))</f>
        <v>-160000</v>
      </c>
      <c r="R1459" s="12">
        <f>IFERROR(Q1459/P1459/IF(E1459="FUTURE",VLOOKUP(MID(I1459,2,2),[1]Futures!$A$2:$B$12,2),1),"")</f>
        <v>3200</v>
      </c>
      <c r="S1459" s="13" t="str">
        <f>IF(AND(H1459="TO CLOSE",P1459=0),-G1459*(M1459-R1458)*IF(E1459="FUTURE",VLOOKUP(MID(I1459,2,2),[1]Futures!$A$2:$B$12,2),1),"")</f>
        <v/>
      </c>
    </row>
    <row r="1460" spans="1:19" x14ac:dyDescent="0.2">
      <c r="A1460">
        <f t="shared" si="68"/>
        <v>460</v>
      </c>
      <c r="B1460" s="3">
        <v>43987</v>
      </c>
      <c r="C1460" s="3" t="str">
        <f t="shared" si="67"/>
        <v>Friday</v>
      </c>
      <c r="D1460" s="2">
        <v>0.50953703703703701</v>
      </c>
      <c r="E1460" t="s">
        <v>14</v>
      </c>
      <c r="F1460" t="s">
        <v>19</v>
      </c>
      <c r="G1460">
        <v>1</v>
      </c>
      <c r="H1460" t="s">
        <v>16</v>
      </c>
      <c r="I1460" t="s">
        <v>17</v>
      </c>
      <c r="J1460" s="1">
        <v>44002</v>
      </c>
      <c r="L1460" t="s">
        <v>14</v>
      </c>
      <c r="M1460">
        <v>3199</v>
      </c>
      <c r="N1460">
        <v>3199</v>
      </c>
      <c r="O1460" t="s">
        <v>21</v>
      </c>
      <c r="P1460">
        <f t="shared" si="69"/>
        <v>0</v>
      </c>
      <c r="Q1460" s="11">
        <f>IF(P1460=0,0,IFERROR(Q1459+G1460*M1460*IF(E1460="FUTURE",VLOOKUP(MID(I1460,2,2),[1]Futures!$A$2:$B$12,2),1),G1460*M1460*IF(E1460="FUTURE",VLOOKUP(MID(I1460,2,2),[1]Futures!$A$2:$B$12,2),1)))</f>
        <v>0</v>
      </c>
      <c r="R1460" s="12" t="str">
        <f>IFERROR(Q1460/P1460/IF(E1460="FUTURE",VLOOKUP(MID(I1460,2,2),[1]Futures!$A$2:$B$12,2),1),"")</f>
        <v/>
      </c>
      <c r="S1460" s="13">
        <f>IF(AND(H1460="TO CLOSE",P1460=0),-G1460*(M1460-R1459)*IF(E1460="FUTURE",VLOOKUP(MID(I1460,2,2),[1]Futures!$A$2:$B$12,2),1),"")</f>
        <v>50</v>
      </c>
    </row>
    <row r="1461" spans="1:19" x14ac:dyDescent="0.2">
      <c r="A1461">
        <f t="shared" si="68"/>
        <v>461</v>
      </c>
      <c r="B1461" s="3">
        <v>43987</v>
      </c>
      <c r="C1461" s="3" t="str">
        <f t="shared" si="67"/>
        <v>Friday</v>
      </c>
      <c r="D1461" s="2">
        <v>0.51428240740740738</v>
      </c>
      <c r="E1461" t="s">
        <v>14</v>
      </c>
      <c r="F1461" t="s">
        <v>19</v>
      </c>
      <c r="G1461">
        <v>1</v>
      </c>
      <c r="H1461" t="s">
        <v>20</v>
      </c>
      <c r="I1461" t="s">
        <v>17</v>
      </c>
      <c r="J1461" s="1">
        <v>44002</v>
      </c>
      <c r="L1461" t="s">
        <v>14</v>
      </c>
      <c r="M1461">
        <v>3193.25</v>
      </c>
      <c r="N1461">
        <v>3193.25</v>
      </c>
      <c r="O1461" t="s">
        <v>24</v>
      </c>
      <c r="P1461">
        <f t="shared" si="69"/>
        <v>1</v>
      </c>
      <c r="Q1461" s="11">
        <f>IF(P1461=0,0,IFERROR(Q1460+G1461*M1461*IF(E1461="FUTURE",VLOOKUP(MID(I1461,2,2),[1]Futures!$A$2:$B$12,2),1),G1461*M1461*IF(E1461="FUTURE",VLOOKUP(MID(I1461,2,2),[1]Futures!$A$2:$B$12,2),1)))</f>
        <v>159662.5</v>
      </c>
      <c r="R1461" s="12">
        <f>IFERROR(Q1461/P1461/IF(E1461="FUTURE",VLOOKUP(MID(I1461,2,2),[1]Futures!$A$2:$B$12,2),1),"")</f>
        <v>3193.25</v>
      </c>
      <c r="S1461" s="13" t="str">
        <f>IF(AND(H1461="TO CLOSE",P1461=0),-G1461*(M1461-R1460)*IF(E1461="FUTURE",VLOOKUP(MID(I1461,2,2),[1]Futures!$A$2:$B$12,2),1),"")</f>
        <v/>
      </c>
    </row>
    <row r="1462" spans="1:19" x14ac:dyDescent="0.2">
      <c r="A1462">
        <f t="shared" si="68"/>
        <v>461</v>
      </c>
      <c r="B1462" s="3">
        <v>43987</v>
      </c>
      <c r="C1462" s="3" t="str">
        <f t="shared" si="67"/>
        <v>Friday</v>
      </c>
      <c r="D1462" s="2">
        <v>0.51462962962962966</v>
      </c>
      <c r="E1462" t="s">
        <v>14</v>
      </c>
      <c r="F1462" t="s">
        <v>15</v>
      </c>
      <c r="G1462">
        <v>-1</v>
      </c>
      <c r="H1462" t="s">
        <v>16</v>
      </c>
      <c r="I1462" t="s">
        <v>17</v>
      </c>
      <c r="J1462" s="1">
        <v>44002</v>
      </c>
      <c r="L1462" t="s">
        <v>14</v>
      </c>
      <c r="M1462">
        <v>3195.25</v>
      </c>
      <c r="N1462">
        <v>3195.25</v>
      </c>
      <c r="O1462" t="s">
        <v>21</v>
      </c>
      <c r="P1462">
        <f t="shared" si="69"/>
        <v>0</v>
      </c>
      <c r="Q1462" s="11">
        <f>IF(P1462=0,0,IFERROR(Q1461+G1462*M1462*IF(E1462="FUTURE",VLOOKUP(MID(I1462,2,2),[1]Futures!$A$2:$B$12,2),1),G1462*M1462*IF(E1462="FUTURE",VLOOKUP(MID(I1462,2,2),[1]Futures!$A$2:$B$12,2),1)))</f>
        <v>0</v>
      </c>
      <c r="R1462" s="12" t="str">
        <f>IFERROR(Q1462/P1462/IF(E1462="FUTURE",VLOOKUP(MID(I1462,2,2),[1]Futures!$A$2:$B$12,2),1),"")</f>
        <v/>
      </c>
      <c r="S1462" s="13">
        <f>IF(AND(H1462="TO CLOSE",P1462=0),-G1462*(M1462-R1461)*IF(E1462="FUTURE",VLOOKUP(MID(I1462,2,2),[1]Futures!$A$2:$B$12,2),1),"")</f>
        <v>100</v>
      </c>
    </row>
    <row r="1463" spans="1:19" x14ac:dyDescent="0.2">
      <c r="A1463">
        <f t="shared" si="68"/>
        <v>462</v>
      </c>
      <c r="B1463" s="3">
        <v>43987</v>
      </c>
      <c r="C1463" s="3" t="str">
        <f t="shared" si="67"/>
        <v>Friday</v>
      </c>
      <c r="D1463" s="2">
        <v>0.52219907407407407</v>
      </c>
      <c r="E1463" t="s">
        <v>14</v>
      </c>
      <c r="F1463" t="s">
        <v>19</v>
      </c>
      <c r="G1463">
        <v>1</v>
      </c>
      <c r="H1463" t="s">
        <v>20</v>
      </c>
      <c r="I1463" t="s">
        <v>17</v>
      </c>
      <c r="J1463" s="1">
        <v>44002</v>
      </c>
      <c r="L1463" t="s">
        <v>14</v>
      </c>
      <c r="M1463">
        <v>3199.25</v>
      </c>
      <c r="N1463">
        <v>3199.25</v>
      </c>
      <c r="O1463" t="s">
        <v>24</v>
      </c>
      <c r="P1463">
        <f t="shared" si="69"/>
        <v>1</v>
      </c>
      <c r="Q1463" s="11">
        <f>IF(P1463=0,0,IFERROR(Q1462+G1463*M1463*IF(E1463="FUTURE",VLOOKUP(MID(I1463,2,2),[1]Futures!$A$2:$B$12,2),1),G1463*M1463*IF(E1463="FUTURE",VLOOKUP(MID(I1463,2,2),[1]Futures!$A$2:$B$12,2),1)))</f>
        <v>159962.5</v>
      </c>
      <c r="R1463" s="12">
        <f>IFERROR(Q1463/P1463/IF(E1463="FUTURE",VLOOKUP(MID(I1463,2,2),[1]Futures!$A$2:$B$12,2),1),"")</f>
        <v>3199.25</v>
      </c>
      <c r="S1463" s="13" t="str">
        <f>IF(AND(H1463="TO CLOSE",P1463=0),-G1463*(M1463-R1462)*IF(E1463="FUTURE",VLOOKUP(MID(I1463,2,2),[1]Futures!$A$2:$B$12,2),1),"")</f>
        <v/>
      </c>
    </row>
    <row r="1464" spans="1:19" x14ac:dyDescent="0.2">
      <c r="A1464">
        <f t="shared" si="68"/>
        <v>462</v>
      </c>
      <c r="B1464" s="3">
        <v>43987</v>
      </c>
      <c r="C1464" s="3" t="str">
        <f t="shared" si="67"/>
        <v>Friday</v>
      </c>
      <c r="D1464" s="2">
        <v>0.5486805555555555</v>
      </c>
      <c r="E1464" t="s">
        <v>14</v>
      </c>
      <c r="F1464" t="s">
        <v>15</v>
      </c>
      <c r="G1464">
        <v>-1</v>
      </c>
      <c r="H1464" t="s">
        <v>16</v>
      </c>
      <c r="I1464" t="s">
        <v>17</v>
      </c>
      <c r="J1464" s="1">
        <v>44002</v>
      </c>
      <c r="L1464" t="s">
        <v>14</v>
      </c>
      <c r="M1464">
        <v>3198</v>
      </c>
      <c r="N1464">
        <v>3198</v>
      </c>
      <c r="O1464" t="s">
        <v>21</v>
      </c>
      <c r="P1464">
        <f t="shared" si="69"/>
        <v>0</v>
      </c>
      <c r="Q1464" s="11">
        <f>IF(P1464=0,0,IFERROR(Q1463+G1464*M1464*IF(E1464="FUTURE",VLOOKUP(MID(I1464,2,2),[1]Futures!$A$2:$B$12,2),1),G1464*M1464*IF(E1464="FUTURE",VLOOKUP(MID(I1464,2,2),[1]Futures!$A$2:$B$12,2),1)))</f>
        <v>0</v>
      </c>
      <c r="R1464" s="12" t="str">
        <f>IFERROR(Q1464/P1464/IF(E1464="FUTURE",VLOOKUP(MID(I1464,2,2),[1]Futures!$A$2:$B$12,2),1),"")</f>
        <v/>
      </c>
      <c r="S1464" s="13">
        <f>IF(AND(H1464="TO CLOSE",P1464=0),-G1464*(M1464-R1463)*IF(E1464="FUTURE",VLOOKUP(MID(I1464,2,2),[1]Futures!$A$2:$B$12,2),1),"")</f>
        <v>-62.5</v>
      </c>
    </row>
    <row r="1465" spans="1:19" x14ac:dyDescent="0.2">
      <c r="A1465">
        <f t="shared" si="68"/>
        <v>463</v>
      </c>
      <c r="B1465" s="3">
        <v>43987</v>
      </c>
      <c r="C1465" s="3" t="str">
        <f t="shared" si="67"/>
        <v>Friday</v>
      </c>
      <c r="D1465" s="2">
        <v>0.55467592592592596</v>
      </c>
      <c r="E1465" t="s">
        <v>14</v>
      </c>
      <c r="F1465" t="s">
        <v>19</v>
      </c>
      <c r="G1465">
        <v>1</v>
      </c>
      <c r="H1465" t="s">
        <v>20</v>
      </c>
      <c r="I1465" t="s">
        <v>17</v>
      </c>
      <c r="J1465" s="1">
        <v>44002</v>
      </c>
      <c r="L1465" t="s">
        <v>14</v>
      </c>
      <c r="M1465">
        <v>3199.75</v>
      </c>
      <c r="N1465">
        <v>3199.75</v>
      </c>
      <c r="O1465" t="s">
        <v>24</v>
      </c>
      <c r="P1465">
        <f t="shared" si="69"/>
        <v>1</v>
      </c>
      <c r="Q1465" s="11">
        <f>IF(P1465=0,0,IFERROR(Q1464+G1465*M1465*IF(E1465="FUTURE",VLOOKUP(MID(I1465,2,2),[1]Futures!$A$2:$B$12,2),1),G1465*M1465*IF(E1465="FUTURE",VLOOKUP(MID(I1465,2,2),[1]Futures!$A$2:$B$12,2),1)))</f>
        <v>159987.5</v>
      </c>
      <c r="R1465" s="12">
        <f>IFERROR(Q1465/P1465/IF(E1465="FUTURE",VLOOKUP(MID(I1465,2,2),[1]Futures!$A$2:$B$12,2),1),"")</f>
        <v>3199.75</v>
      </c>
      <c r="S1465" s="13" t="str">
        <f>IF(AND(H1465="TO CLOSE",P1465=0),-G1465*(M1465-R1464)*IF(E1465="FUTURE",VLOOKUP(MID(I1465,2,2),[1]Futures!$A$2:$B$12,2),1),"")</f>
        <v/>
      </c>
    </row>
    <row r="1466" spans="1:19" x14ac:dyDescent="0.2">
      <c r="A1466">
        <f t="shared" si="68"/>
        <v>463</v>
      </c>
      <c r="B1466" s="3">
        <v>43987</v>
      </c>
      <c r="C1466" s="3" t="str">
        <f t="shared" si="67"/>
        <v>Friday</v>
      </c>
      <c r="D1466" s="2">
        <v>0.55674768518518525</v>
      </c>
      <c r="E1466" t="s">
        <v>14</v>
      </c>
      <c r="F1466" t="s">
        <v>15</v>
      </c>
      <c r="G1466">
        <v>-1</v>
      </c>
      <c r="H1466" t="s">
        <v>16</v>
      </c>
      <c r="I1466" t="s">
        <v>17</v>
      </c>
      <c r="J1466" s="1">
        <v>44002</v>
      </c>
      <c r="L1466" t="s">
        <v>14</v>
      </c>
      <c r="M1466">
        <v>3200.5</v>
      </c>
      <c r="N1466">
        <v>3200.5</v>
      </c>
      <c r="O1466" t="s">
        <v>21</v>
      </c>
      <c r="P1466">
        <f t="shared" si="69"/>
        <v>0</v>
      </c>
      <c r="Q1466" s="11">
        <f>IF(P1466=0,0,IFERROR(Q1465+G1466*M1466*IF(E1466="FUTURE",VLOOKUP(MID(I1466,2,2),[1]Futures!$A$2:$B$12,2),1),G1466*M1466*IF(E1466="FUTURE",VLOOKUP(MID(I1466,2,2),[1]Futures!$A$2:$B$12,2),1)))</f>
        <v>0</v>
      </c>
      <c r="R1466" s="12" t="str">
        <f>IFERROR(Q1466/P1466/IF(E1466="FUTURE",VLOOKUP(MID(I1466,2,2),[1]Futures!$A$2:$B$12,2),1),"")</f>
        <v/>
      </c>
      <c r="S1466" s="13">
        <f>IF(AND(H1466="TO CLOSE",P1466=0),-G1466*(M1466-R1465)*IF(E1466="FUTURE",VLOOKUP(MID(I1466,2,2),[1]Futures!$A$2:$B$12,2),1),"")</f>
        <v>37.5</v>
      </c>
    </row>
    <row r="1467" spans="1:19" x14ac:dyDescent="0.2">
      <c r="A1467">
        <f t="shared" si="68"/>
        <v>464</v>
      </c>
      <c r="B1467" s="3">
        <v>43987</v>
      </c>
      <c r="C1467" s="3" t="str">
        <f t="shared" si="67"/>
        <v>Friday</v>
      </c>
      <c r="D1467" s="2">
        <v>0.41484953703703703</v>
      </c>
      <c r="E1467" t="s">
        <v>22</v>
      </c>
      <c r="F1467" t="s">
        <v>19</v>
      </c>
      <c r="G1467">
        <v>300</v>
      </c>
      <c r="H1467" t="s">
        <v>20</v>
      </c>
      <c r="I1467" t="s">
        <v>23</v>
      </c>
      <c r="L1467" t="s">
        <v>22</v>
      </c>
      <c r="M1467">
        <v>29.239799999999999</v>
      </c>
      <c r="N1467">
        <v>29.239799999999999</v>
      </c>
      <c r="O1467" t="s">
        <v>24</v>
      </c>
      <c r="P1467">
        <f t="shared" si="69"/>
        <v>300</v>
      </c>
      <c r="Q1467" s="11">
        <f>IF(P1467=0,0,IFERROR(Q1466+G1467*M1467*IF(E1467="FUTURE",VLOOKUP(MID(I1467,2,2),[1]Futures!$A$2:$B$12,2),1),G1467*M1467*IF(E1467="FUTURE",VLOOKUP(MID(I1467,2,2),[1]Futures!$A$2:$B$12,2),1)))</f>
        <v>8771.94</v>
      </c>
      <c r="R1467" s="12">
        <f>IFERROR(Q1467/P1467/IF(E1467="FUTURE",VLOOKUP(MID(I1467,2,2),[1]Futures!$A$2:$B$12,2),1),"")</f>
        <v>29.239800000000002</v>
      </c>
      <c r="S1467" s="13" t="str">
        <f>IF(AND(H1467="TO CLOSE",P1467=0),-G1467*(M1467-R1466)*IF(E1467="FUTURE",VLOOKUP(MID(I1467,2,2),[1]Futures!$A$2:$B$12,2),1),"")</f>
        <v/>
      </c>
    </row>
    <row r="1468" spans="1:19" x14ac:dyDescent="0.2">
      <c r="A1468">
        <f t="shared" si="68"/>
        <v>464</v>
      </c>
      <c r="B1468" s="3">
        <v>43987</v>
      </c>
      <c r="C1468" s="3" t="str">
        <f t="shared" si="67"/>
        <v>Friday</v>
      </c>
      <c r="D1468" s="2">
        <v>0.48495370370370372</v>
      </c>
      <c r="E1468" t="s">
        <v>22</v>
      </c>
      <c r="F1468" t="s">
        <v>15</v>
      </c>
      <c r="G1468">
        <v>-300</v>
      </c>
      <c r="H1468" t="s">
        <v>16</v>
      </c>
      <c r="I1468" t="s">
        <v>23</v>
      </c>
      <c r="L1468" t="s">
        <v>22</v>
      </c>
      <c r="M1468">
        <v>29.375</v>
      </c>
      <c r="N1468">
        <v>29.375</v>
      </c>
      <c r="O1468" t="s">
        <v>21</v>
      </c>
      <c r="P1468">
        <f t="shared" si="69"/>
        <v>0</v>
      </c>
      <c r="Q1468" s="11">
        <f>IF(P1468=0,0,IFERROR(Q1467+G1468*M1468*IF(E1468="FUTURE",VLOOKUP(MID(I1468,2,2),[1]Futures!$A$2:$B$12,2),1),G1468*M1468*IF(E1468="FUTURE",VLOOKUP(MID(I1468,2,2),[1]Futures!$A$2:$B$12,2),1)))</f>
        <v>0</v>
      </c>
      <c r="R1468" s="12" t="str">
        <f>IFERROR(Q1468/P1468/IF(E1468="FUTURE",VLOOKUP(MID(I1468,2,2),[1]Futures!$A$2:$B$12,2),1),"")</f>
        <v/>
      </c>
      <c r="S1468" s="13">
        <f>IF(AND(H1468="TO CLOSE",P1468=0),-G1468*(M1468-R1467)*IF(E1468="FUTURE",VLOOKUP(MID(I1468,2,2),[1]Futures!$A$2:$B$12,2),1),"")</f>
        <v>40.559999999999263</v>
      </c>
    </row>
    <row r="1469" spans="1:19" x14ac:dyDescent="0.2">
      <c r="A1469">
        <f t="shared" si="68"/>
        <v>465</v>
      </c>
      <c r="B1469" s="3">
        <v>43990</v>
      </c>
      <c r="C1469" s="3" t="str">
        <f t="shared" si="67"/>
        <v>Monday</v>
      </c>
      <c r="D1469" s="2">
        <v>0.37959490740740742</v>
      </c>
      <c r="E1469" t="s">
        <v>14</v>
      </c>
      <c r="F1469" t="s">
        <v>19</v>
      </c>
      <c r="G1469">
        <v>1</v>
      </c>
      <c r="H1469" t="s">
        <v>20</v>
      </c>
      <c r="I1469" t="s">
        <v>77</v>
      </c>
      <c r="J1469" s="1">
        <v>44063</v>
      </c>
      <c r="L1469" t="s">
        <v>14</v>
      </c>
      <c r="M1469">
        <v>39.15</v>
      </c>
      <c r="N1469">
        <v>39.15</v>
      </c>
      <c r="O1469" t="s">
        <v>21</v>
      </c>
      <c r="P1469">
        <f t="shared" si="69"/>
        <v>1</v>
      </c>
      <c r="Q1469" s="11">
        <f>IF(P1469=0,0,IFERROR(Q1468+G1469*M1469*IF(E1469="FUTURE",VLOOKUP(MID(I1469,2,2),[1]Futures!$A$2:$B$12,2),1),G1469*M1469*IF(E1469="FUTURE",VLOOKUP(MID(I1469,2,2),[1]Futures!$A$2:$B$12,2),1)))</f>
        <v>39150</v>
      </c>
      <c r="R1469" s="12">
        <f>IFERROR(Q1469/P1469/IF(E1469="FUTURE",VLOOKUP(MID(I1469,2,2),[1]Futures!$A$2:$B$12,2),1),"")</f>
        <v>39.15</v>
      </c>
      <c r="S1469" s="13" t="str">
        <f>IF(AND(H1469="TO CLOSE",P1469=0),-G1469*(M1469-R1468)*IF(E1469="FUTURE",VLOOKUP(MID(I1469,2,2),[1]Futures!$A$2:$B$12,2),1),"")</f>
        <v/>
      </c>
    </row>
    <row r="1470" spans="1:19" x14ac:dyDescent="0.2">
      <c r="A1470">
        <f t="shared" si="68"/>
        <v>465</v>
      </c>
      <c r="B1470" s="3">
        <v>43990</v>
      </c>
      <c r="C1470" s="3" t="str">
        <f t="shared" ref="C1470:C1533" si="70">IF(WEEKDAY(B1470,2)=1,"Monday",IF(WEEKDAY(B1470,2)=2,"Tuesday",IF(WEEKDAY(B1470,2)=3,"Wednesday",IF(WEEKDAY(B1470,2)=4,"Thursday",IF(WEEKDAY(B1470,2)=5,"Friday","Sunday")))))</f>
        <v>Monday</v>
      </c>
      <c r="D1470" s="2">
        <v>0.38346064814814818</v>
      </c>
      <c r="E1470" t="s">
        <v>14</v>
      </c>
      <c r="F1470" t="s">
        <v>15</v>
      </c>
      <c r="G1470">
        <v>-1</v>
      </c>
      <c r="H1470" t="s">
        <v>16</v>
      </c>
      <c r="I1470" t="s">
        <v>77</v>
      </c>
      <c r="J1470" s="1">
        <v>44063</v>
      </c>
      <c r="L1470" t="s">
        <v>14</v>
      </c>
      <c r="M1470">
        <v>39.29</v>
      </c>
      <c r="N1470">
        <v>39.29</v>
      </c>
      <c r="O1470" t="s">
        <v>21</v>
      </c>
      <c r="P1470">
        <f t="shared" si="69"/>
        <v>0</v>
      </c>
      <c r="Q1470" s="11">
        <f>IF(P1470=0,0,IFERROR(Q1469+G1470*M1470*IF(E1470="FUTURE",VLOOKUP(MID(I1470,2,2),[1]Futures!$A$2:$B$12,2),1),G1470*M1470*IF(E1470="FUTURE",VLOOKUP(MID(I1470,2,2),[1]Futures!$A$2:$B$12,2),1)))</f>
        <v>0</v>
      </c>
      <c r="R1470" s="12" t="str">
        <f>IFERROR(Q1470/P1470/IF(E1470="FUTURE",VLOOKUP(MID(I1470,2,2),[1]Futures!$A$2:$B$12,2),1),"")</f>
        <v/>
      </c>
      <c r="S1470" s="13">
        <f>IF(AND(H1470="TO CLOSE",P1470=0),-G1470*(M1470-R1469)*IF(E1470="FUTURE",VLOOKUP(MID(I1470,2,2),[1]Futures!$A$2:$B$12,2),1),"")</f>
        <v>140.00000000000057</v>
      </c>
    </row>
    <row r="1471" spans="1:19" x14ac:dyDescent="0.2">
      <c r="A1471">
        <f t="shared" si="68"/>
        <v>466</v>
      </c>
      <c r="B1471" s="3">
        <v>43990</v>
      </c>
      <c r="C1471" s="3" t="str">
        <f t="shared" si="70"/>
        <v>Monday</v>
      </c>
      <c r="D1471" s="2">
        <v>0.39627314814814812</v>
      </c>
      <c r="E1471" t="s">
        <v>14</v>
      </c>
      <c r="F1471" t="s">
        <v>19</v>
      </c>
      <c r="G1471">
        <v>1</v>
      </c>
      <c r="H1471" t="s">
        <v>20</v>
      </c>
      <c r="I1471" t="s">
        <v>77</v>
      </c>
      <c r="J1471" s="1">
        <v>44063</v>
      </c>
      <c r="L1471" t="s">
        <v>14</v>
      </c>
      <c r="M1471">
        <v>39.119999999999997</v>
      </c>
      <c r="N1471">
        <v>39.119999999999997</v>
      </c>
      <c r="O1471" t="s">
        <v>24</v>
      </c>
      <c r="P1471">
        <f t="shared" si="69"/>
        <v>1</v>
      </c>
      <c r="Q1471" s="11">
        <f>IF(P1471=0,0,IFERROR(Q1470+G1471*M1471*IF(E1471="FUTURE",VLOOKUP(MID(I1471,2,2),[1]Futures!$A$2:$B$12,2),1),G1471*M1471*IF(E1471="FUTURE",VLOOKUP(MID(I1471,2,2),[1]Futures!$A$2:$B$12,2),1)))</f>
        <v>39120</v>
      </c>
      <c r="R1471" s="12">
        <f>IFERROR(Q1471/P1471/IF(E1471="FUTURE",VLOOKUP(MID(I1471,2,2),[1]Futures!$A$2:$B$12,2),1),"")</f>
        <v>39.119999999999997</v>
      </c>
      <c r="S1471" s="13" t="str">
        <f>IF(AND(H1471="TO CLOSE",P1471=0),-G1471*(M1471-R1470)*IF(E1471="FUTURE",VLOOKUP(MID(I1471,2,2),[1]Futures!$A$2:$B$12,2),1),"")</f>
        <v/>
      </c>
    </row>
    <row r="1472" spans="1:19" x14ac:dyDescent="0.2">
      <c r="A1472">
        <f t="shared" si="68"/>
        <v>466</v>
      </c>
      <c r="B1472" s="3">
        <v>43990</v>
      </c>
      <c r="C1472" s="3" t="str">
        <f t="shared" si="70"/>
        <v>Monday</v>
      </c>
      <c r="D1472" s="2">
        <v>0.41207175925925926</v>
      </c>
      <c r="E1472" t="s">
        <v>14</v>
      </c>
      <c r="F1472" t="s">
        <v>15</v>
      </c>
      <c r="G1472">
        <v>-1</v>
      </c>
      <c r="H1472" t="s">
        <v>16</v>
      </c>
      <c r="I1472" t="s">
        <v>77</v>
      </c>
      <c r="J1472" s="1">
        <v>44063</v>
      </c>
      <c r="L1472" t="s">
        <v>14</v>
      </c>
      <c r="M1472">
        <v>39.119999999999997</v>
      </c>
      <c r="N1472">
        <v>39.119999999999997</v>
      </c>
      <c r="O1472" t="s">
        <v>21</v>
      </c>
      <c r="P1472">
        <f t="shared" si="69"/>
        <v>0</v>
      </c>
      <c r="Q1472" s="11">
        <f>IF(P1472=0,0,IFERROR(Q1471+G1472*M1472*IF(E1472="FUTURE",VLOOKUP(MID(I1472,2,2),[1]Futures!$A$2:$B$12,2),1),G1472*M1472*IF(E1472="FUTURE",VLOOKUP(MID(I1472,2,2),[1]Futures!$A$2:$B$12,2),1)))</f>
        <v>0</v>
      </c>
      <c r="R1472" s="12" t="str">
        <f>IFERROR(Q1472/P1472/IF(E1472="FUTURE",VLOOKUP(MID(I1472,2,2),[1]Futures!$A$2:$B$12,2),1),"")</f>
        <v/>
      </c>
      <c r="S1472" s="13">
        <f>IF(AND(H1472="TO CLOSE",P1472=0),-G1472*(M1472-R1471)*IF(E1472="FUTURE",VLOOKUP(MID(I1472,2,2),[1]Futures!$A$2:$B$12,2),1),"")</f>
        <v>0</v>
      </c>
    </row>
    <row r="1473" spans="1:19" x14ac:dyDescent="0.2">
      <c r="A1473">
        <f t="shared" si="68"/>
        <v>467</v>
      </c>
      <c r="B1473" s="3">
        <v>43990</v>
      </c>
      <c r="C1473" s="3" t="str">
        <f t="shared" si="70"/>
        <v>Monday</v>
      </c>
      <c r="D1473" s="2">
        <v>0.41534722222222226</v>
      </c>
      <c r="E1473" t="s">
        <v>14</v>
      </c>
      <c r="F1473" t="s">
        <v>19</v>
      </c>
      <c r="G1473">
        <v>1</v>
      </c>
      <c r="H1473" t="s">
        <v>20</v>
      </c>
      <c r="I1473" t="s">
        <v>77</v>
      </c>
      <c r="J1473" s="1">
        <v>44063</v>
      </c>
      <c r="L1473" t="s">
        <v>14</v>
      </c>
      <c r="M1473">
        <v>39.07</v>
      </c>
      <c r="N1473">
        <v>39.07</v>
      </c>
      <c r="O1473" t="s">
        <v>21</v>
      </c>
      <c r="P1473">
        <f t="shared" si="69"/>
        <v>1</v>
      </c>
      <c r="Q1473" s="11">
        <f>IF(P1473=0,0,IFERROR(Q1472+G1473*M1473*IF(E1473="FUTURE",VLOOKUP(MID(I1473,2,2),[1]Futures!$A$2:$B$12,2),1),G1473*M1473*IF(E1473="FUTURE",VLOOKUP(MID(I1473,2,2),[1]Futures!$A$2:$B$12,2),1)))</f>
        <v>39070</v>
      </c>
      <c r="R1473" s="12">
        <f>IFERROR(Q1473/P1473/IF(E1473="FUTURE",VLOOKUP(MID(I1473,2,2),[1]Futures!$A$2:$B$12,2),1),"")</f>
        <v>39.07</v>
      </c>
      <c r="S1473" s="13" t="str">
        <f>IF(AND(H1473="TO CLOSE",P1473=0),-G1473*(M1473-R1472)*IF(E1473="FUTURE",VLOOKUP(MID(I1473,2,2),[1]Futures!$A$2:$B$12,2),1),"")</f>
        <v/>
      </c>
    </row>
    <row r="1474" spans="1:19" x14ac:dyDescent="0.2">
      <c r="A1474">
        <f t="shared" ref="A1474:A1537" si="71">IF(AND(P1473=0,H1473="TO CLOSE"),IFERROR(A1473+1,1),IFERROR(A1473/1,1))</f>
        <v>467</v>
      </c>
      <c r="B1474" s="3">
        <v>43990</v>
      </c>
      <c r="C1474" s="3" t="str">
        <f t="shared" si="70"/>
        <v>Monday</v>
      </c>
      <c r="D1474" s="2">
        <v>0.41761574074074076</v>
      </c>
      <c r="E1474" t="s">
        <v>14</v>
      </c>
      <c r="F1474" t="s">
        <v>15</v>
      </c>
      <c r="G1474">
        <v>-1</v>
      </c>
      <c r="H1474" t="s">
        <v>16</v>
      </c>
      <c r="I1474" t="s">
        <v>77</v>
      </c>
      <c r="J1474" s="1">
        <v>44063</v>
      </c>
      <c r="L1474" t="s">
        <v>14</v>
      </c>
      <c r="M1474">
        <v>39.090000000000003</v>
      </c>
      <c r="N1474">
        <v>39.090000000000003</v>
      </c>
      <c r="O1474" t="s">
        <v>21</v>
      </c>
      <c r="P1474">
        <f t="shared" si="69"/>
        <v>0</v>
      </c>
      <c r="Q1474" s="11">
        <f>IF(P1474=0,0,IFERROR(Q1473+G1474*M1474*IF(E1474="FUTURE",VLOOKUP(MID(I1474,2,2),[1]Futures!$A$2:$B$12,2),1),G1474*M1474*IF(E1474="FUTURE",VLOOKUP(MID(I1474,2,2),[1]Futures!$A$2:$B$12,2),1)))</f>
        <v>0</v>
      </c>
      <c r="R1474" s="12" t="str">
        <f>IFERROR(Q1474/P1474/IF(E1474="FUTURE",VLOOKUP(MID(I1474,2,2),[1]Futures!$A$2:$B$12,2),1),"")</f>
        <v/>
      </c>
      <c r="S1474" s="13">
        <f>IF(AND(H1474="TO CLOSE",P1474=0),-G1474*(M1474-R1473)*IF(E1474="FUTURE",VLOOKUP(MID(I1474,2,2),[1]Futures!$A$2:$B$12,2),1),"")</f>
        <v>20.000000000003126</v>
      </c>
    </row>
    <row r="1475" spans="1:19" x14ac:dyDescent="0.2">
      <c r="A1475">
        <f t="shared" si="71"/>
        <v>468</v>
      </c>
      <c r="B1475" s="3">
        <v>43990</v>
      </c>
      <c r="C1475" s="3" t="str">
        <f t="shared" si="70"/>
        <v>Monday</v>
      </c>
      <c r="D1475" s="2">
        <v>0.44615740740740745</v>
      </c>
      <c r="E1475" t="s">
        <v>14</v>
      </c>
      <c r="F1475" t="s">
        <v>19</v>
      </c>
      <c r="G1475">
        <v>1</v>
      </c>
      <c r="H1475" t="s">
        <v>20</v>
      </c>
      <c r="I1475" t="s">
        <v>77</v>
      </c>
      <c r="J1475" s="1">
        <v>44063</v>
      </c>
      <c r="L1475" t="s">
        <v>14</v>
      </c>
      <c r="M1475">
        <v>38.520000000000003</v>
      </c>
      <c r="N1475">
        <v>38.520000000000003</v>
      </c>
      <c r="O1475" t="s">
        <v>21</v>
      </c>
      <c r="P1475">
        <f t="shared" ref="P1475:P1538" si="72">IF(H1475="TO OPEN",IFERROR(P1474+G1475,0+G1475),IFERROR(P1474+G1475,0+G1475))</f>
        <v>1</v>
      </c>
      <c r="Q1475" s="11">
        <f>IF(P1475=0,0,IFERROR(Q1474+G1475*M1475*IF(E1475="FUTURE",VLOOKUP(MID(I1475,2,2),[1]Futures!$A$2:$B$12,2),1),G1475*M1475*IF(E1475="FUTURE",VLOOKUP(MID(I1475,2,2),[1]Futures!$A$2:$B$12,2),1)))</f>
        <v>38520</v>
      </c>
      <c r="R1475" s="12">
        <f>IFERROR(Q1475/P1475/IF(E1475="FUTURE",VLOOKUP(MID(I1475,2,2),[1]Futures!$A$2:$B$12,2),1),"")</f>
        <v>38.520000000000003</v>
      </c>
      <c r="S1475" s="13" t="str">
        <f>IF(AND(H1475="TO CLOSE",P1475=0),-G1475*(M1475-R1474)*IF(E1475="FUTURE",VLOOKUP(MID(I1475,2,2),[1]Futures!$A$2:$B$12,2),1),"")</f>
        <v/>
      </c>
    </row>
    <row r="1476" spans="1:19" x14ac:dyDescent="0.2">
      <c r="A1476">
        <f t="shared" si="71"/>
        <v>468</v>
      </c>
      <c r="B1476" s="3">
        <v>43990</v>
      </c>
      <c r="C1476" s="3" t="str">
        <f t="shared" si="70"/>
        <v>Monday</v>
      </c>
      <c r="D1476" s="2">
        <v>0.45193287037037039</v>
      </c>
      <c r="E1476" t="s">
        <v>14</v>
      </c>
      <c r="F1476" t="s">
        <v>15</v>
      </c>
      <c r="G1476">
        <v>-1</v>
      </c>
      <c r="H1476" t="s">
        <v>16</v>
      </c>
      <c r="I1476" t="s">
        <v>77</v>
      </c>
      <c r="J1476" s="1">
        <v>44063</v>
      </c>
      <c r="L1476" t="s">
        <v>14</v>
      </c>
      <c r="M1476">
        <v>38.72</v>
      </c>
      <c r="N1476">
        <v>38.72</v>
      </c>
      <c r="O1476" t="s">
        <v>21</v>
      </c>
      <c r="P1476">
        <f t="shared" si="72"/>
        <v>0</v>
      </c>
      <c r="Q1476" s="11">
        <f>IF(P1476=0,0,IFERROR(Q1475+G1476*M1476*IF(E1476="FUTURE",VLOOKUP(MID(I1476,2,2),[1]Futures!$A$2:$B$12,2),1),G1476*M1476*IF(E1476="FUTURE",VLOOKUP(MID(I1476,2,2),[1]Futures!$A$2:$B$12,2),1)))</f>
        <v>0</v>
      </c>
      <c r="R1476" s="12" t="str">
        <f>IFERROR(Q1476/P1476/IF(E1476="FUTURE",VLOOKUP(MID(I1476,2,2),[1]Futures!$A$2:$B$12,2),1),"")</f>
        <v/>
      </c>
      <c r="S1476" s="13">
        <f>IF(AND(H1476="TO CLOSE",P1476=0),-G1476*(M1476-R1475)*IF(E1476="FUTURE",VLOOKUP(MID(I1476,2,2),[1]Futures!$A$2:$B$12,2),1),"")</f>
        <v>199.99999999999574</v>
      </c>
    </row>
    <row r="1477" spans="1:19" x14ac:dyDescent="0.2">
      <c r="A1477">
        <f t="shared" si="71"/>
        <v>469</v>
      </c>
      <c r="B1477" s="3">
        <v>43990</v>
      </c>
      <c r="C1477" s="3" t="str">
        <f t="shared" si="70"/>
        <v>Monday</v>
      </c>
      <c r="D1477" s="2">
        <v>0.47917824074074072</v>
      </c>
      <c r="E1477" t="s">
        <v>14</v>
      </c>
      <c r="F1477" t="s">
        <v>19</v>
      </c>
      <c r="G1477">
        <v>1</v>
      </c>
      <c r="H1477" t="s">
        <v>20</v>
      </c>
      <c r="I1477" t="s">
        <v>77</v>
      </c>
      <c r="J1477" s="1">
        <v>44063</v>
      </c>
      <c r="L1477" t="s">
        <v>14</v>
      </c>
      <c r="M1477">
        <v>38.65</v>
      </c>
      <c r="N1477">
        <v>38.65</v>
      </c>
      <c r="O1477" t="s">
        <v>21</v>
      </c>
      <c r="P1477">
        <f t="shared" si="72"/>
        <v>1</v>
      </c>
      <c r="Q1477" s="11">
        <f>IF(P1477=0,0,IFERROR(Q1476+G1477*M1477*IF(E1477="FUTURE",VLOOKUP(MID(I1477,2,2),[1]Futures!$A$2:$B$12,2),1),G1477*M1477*IF(E1477="FUTURE",VLOOKUP(MID(I1477,2,2),[1]Futures!$A$2:$B$12,2),1)))</f>
        <v>38650</v>
      </c>
      <c r="R1477" s="12">
        <f>IFERROR(Q1477/P1477/IF(E1477="FUTURE",VLOOKUP(MID(I1477,2,2),[1]Futures!$A$2:$B$12,2),1),"")</f>
        <v>38.65</v>
      </c>
      <c r="S1477" s="13" t="str">
        <f>IF(AND(H1477="TO CLOSE",P1477=0),-G1477*(M1477-R1476)*IF(E1477="FUTURE",VLOOKUP(MID(I1477,2,2),[1]Futures!$A$2:$B$12,2),1),"")</f>
        <v/>
      </c>
    </row>
    <row r="1478" spans="1:19" x14ac:dyDescent="0.2">
      <c r="A1478">
        <f t="shared" si="71"/>
        <v>469</v>
      </c>
      <c r="B1478" s="3">
        <v>43990</v>
      </c>
      <c r="C1478" s="3" t="str">
        <f t="shared" si="70"/>
        <v>Monday</v>
      </c>
      <c r="D1478" s="2">
        <v>0.50624999999999998</v>
      </c>
      <c r="E1478" t="s">
        <v>14</v>
      </c>
      <c r="F1478" t="s">
        <v>19</v>
      </c>
      <c r="G1478">
        <v>1</v>
      </c>
      <c r="H1478" t="s">
        <v>20</v>
      </c>
      <c r="I1478" t="s">
        <v>77</v>
      </c>
      <c r="J1478" s="1">
        <v>44063</v>
      </c>
      <c r="L1478" t="s">
        <v>14</v>
      </c>
      <c r="M1478">
        <v>38.450000000000003</v>
      </c>
      <c r="N1478">
        <v>38.450000000000003</v>
      </c>
      <c r="O1478" t="s">
        <v>21</v>
      </c>
      <c r="P1478">
        <f t="shared" si="72"/>
        <v>2</v>
      </c>
      <c r="Q1478" s="11">
        <f>IF(P1478=0,0,IFERROR(Q1477+G1478*M1478*IF(E1478="FUTURE",VLOOKUP(MID(I1478,2,2),[1]Futures!$A$2:$B$12,2),1),G1478*M1478*IF(E1478="FUTURE",VLOOKUP(MID(I1478,2,2),[1]Futures!$A$2:$B$12,2),1)))</f>
        <v>77100</v>
      </c>
      <c r="R1478" s="12">
        <f>IFERROR(Q1478/P1478/IF(E1478="FUTURE",VLOOKUP(MID(I1478,2,2),[1]Futures!$A$2:$B$12,2),1),"")</f>
        <v>38.549999999999997</v>
      </c>
      <c r="S1478" s="13" t="str">
        <f>IF(AND(H1478="TO CLOSE",P1478=0),-G1478*(M1478-R1477)*IF(E1478="FUTURE",VLOOKUP(MID(I1478,2,2),[1]Futures!$A$2:$B$12,2),1),"")</f>
        <v/>
      </c>
    </row>
    <row r="1479" spans="1:19" x14ac:dyDescent="0.2">
      <c r="A1479">
        <f t="shared" si="71"/>
        <v>469</v>
      </c>
      <c r="B1479" s="3">
        <v>43990</v>
      </c>
      <c r="C1479" s="3" t="str">
        <f t="shared" si="70"/>
        <v>Monday</v>
      </c>
      <c r="D1479" s="2">
        <v>0.50649305555555557</v>
      </c>
      <c r="E1479" t="s">
        <v>14</v>
      </c>
      <c r="F1479" t="s">
        <v>15</v>
      </c>
      <c r="G1479">
        <v>-1</v>
      </c>
      <c r="H1479" t="s">
        <v>16</v>
      </c>
      <c r="I1479" t="s">
        <v>77</v>
      </c>
      <c r="J1479" s="1">
        <v>44063</v>
      </c>
      <c r="L1479" t="s">
        <v>14</v>
      </c>
      <c r="M1479">
        <v>38.520000000000003</v>
      </c>
      <c r="N1479">
        <v>38.520000000000003</v>
      </c>
      <c r="O1479" t="s">
        <v>21</v>
      </c>
      <c r="P1479">
        <f t="shared" si="72"/>
        <v>1</v>
      </c>
      <c r="Q1479" s="11">
        <f>IF(P1479=0,0,IFERROR(Q1478+G1479*M1479*IF(E1479="FUTURE",VLOOKUP(MID(I1479,2,2),[1]Futures!$A$2:$B$12,2),1),G1479*M1479*IF(E1479="FUTURE",VLOOKUP(MID(I1479,2,2),[1]Futures!$A$2:$B$12,2),1)))</f>
        <v>38580</v>
      </c>
      <c r="R1479" s="12">
        <f>IFERROR(Q1479/P1479/IF(E1479="FUTURE",VLOOKUP(MID(I1479,2,2),[1]Futures!$A$2:$B$12,2),1),"")</f>
        <v>38.58</v>
      </c>
      <c r="S1479" s="13" t="str">
        <f>IF(AND(H1479="TO CLOSE",P1479=0),-G1479*(M1479-R1478)*IF(E1479="FUTURE",VLOOKUP(MID(I1479,2,2),[1]Futures!$A$2:$B$12,2),1),"")</f>
        <v/>
      </c>
    </row>
    <row r="1480" spans="1:19" x14ac:dyDescent="0.2">
      <c r="A1480">
        <f t="shared" si="71"/>
        <v>469</v>
      </c>
      <c r="B1480" s="3">
        <v>43990</v>
      </c>
      <c r="C1480" s="3" t="str">
        <f t="shared" si="70"/>
        <v>Monday</v>
      </c>
      <c r="D1480" s="2">
        <v>0.5323148148148148</v>
      </c>
      <c r="E1480" t="s">
        <v>14</v>
      </c>
      <c r="F1480" t="s">
        <v>15</v>
      </c>
      <c r="G1480">
        <v>-1</v>
      </c>
      <c r="H1480" t="s">
        <v>16</v>
      </c>
      <c r="I1480" t="s">
        <v>77</v>
      </c>
      <c r="J1480" s="1">
        <v>44063</v>
      </c>
      <c r="L1480" t="s">
        <v>14</v>
      </c>
      <c r="M1480">
        <v>38.61</v>
      </c>
      <c r="N1480">
        <v>38.61</v>
      </c>
      <c r="O1480" t="s">
        <v>21</v>
      </c>
      <c r="P1480">
        <f t="shared" si="72"/>
        <v>0</v>
      </c>
      <c r="Q1480" s="11">
        <f>IF(P1480=0,0,IFERROR(Q1479+G1480*M1480*IF(E1480="FUTURE",VLOOKUP(MID(I1480,2,2),[1]Futures!$A$2:$B$12,2),1),G1480*M1480*IF(E1480="FUTURE",VLOOKUP(MID(I1480,2,2),[1]Futures!$A$2:$B$12,2),1)))</f>
        <v>0</v>
      </c>
      <c r="R1480" s="12" t="str">
        <f>IFERROR(Q1480/P1480/IF(E1480="FUTURE",VLOOKUP(MID(I1480,2,2),[1]Futures!$A$2:$B$12,2),1),"")</f>
        <v/>
      </c>
      <c r="S1480" s="13">
        <f>IF(AND(H1480="TO CLOSE",P1480=0),-G1480*(M1480-R1479)*IF(E1480="FUTURE",VLOOKUP(MID(I1480,2,2),[1]Futures!$A$2:$B$12,2),1),"")</f>
        <v>30.000000000001137</v>
      </c>
    </row>
    <row r="1481" spans="1:19" x14ac:dyDescent="0.2">
      <c r="A1481">
        <f t="shared" si="71"/>
        <v>470</v>
      </c>
      <c r="B1481" s="3">
        <v>43990</v>
      </c>
      <c r="C1481" s="3" t="str">
        <f t="shared" si="70"/>
        <v>Monday</v>
      </c>
      <c r="D1481" s="2">
        <v>0.41219907407407402</v>
      </c>
      <c r="E1481" t="s">
        <v>14</v>
      </c>
      <c r="F1481" t="s">
        <v>19</v>
      </c>
      <c r="G1481">
        <v>1</v>
      </c>
      <c r="H1481" t="s">
        <v>20</v>
      </c>
      <c r="I1481" t="s">
        <v>17</v>
      </c>
      <c r="J1481" s="1">
        <v>44002</v>
      </c>
      <c r="L1481" t="s">
        <v>14</v>
      </c>
      <c r="M1481">
        <v>3203.75</v>
      </c>
      <c r="N1481">
        <v>3203.75</v>
      </c>
      <c r="O1481" t="s">
        <v>21</v>
      </c>
      <c r="P1481">
        <f t="shared" si="72"/>
        <v>1</v>
      </c>
      <c r="Q1481" s="11">
        <f>IF(P1481=0,0,IFERROR(Q1480+G1481*M1481*IF(E1481="FUTURE",VLOOKUP(MID(I1481,2,2),[1]Futures!$A$2:$B$12,2),1),G1481*M1481*IF(E1481="FUTURE",VLOOKUP(MID(I1481,2,2),[1]Futures!$A$2:$B$12,2),1)))</f>
        <v>160187.5</v>
      </c>
      <c r="R1481" s="12">
        <f>IFERROR(Q1481/P1481/IF(E1481="FUTURE",VLOOKUP(MID(I1481,2,2),[1]Futures!$A$2:$B$12,2),1),"")</f>
        <v>3203.75</v>
      </c>
      <c r="S1481" s="13" t="str">
        <f>IF(AND(H1481="TO CLOSE",P1481=0),-G1481*(M1481-R1480)*IF(E1481="FUTURE",VLOOKUP(MID(I1481,2,2),[1]Futures!$A$2:$B$12,2),1),"")</f>
        <v/>
      </c>
    </row>
    <row r="1482" spans="1:19" x14ac:dyDescent="0.2">
      <c r="A1482">
        <f t="shared" si="71"/>
        <v>470</v>
      </c>
      <c r="B1482" s="3">
        <v>43990</v>
      </c>
      <c r="C1482" s="3" t="str">
        <f t="shared" si="70"/>
        <v>Monday</v>
      </c>
      <c r="D1482" s="2">
        <v>0.4138425925925926</v>
      </c>
      <c r="E1482" t="s">
        <v>14</v>
      </c>
      <c r="F1482" t="s">
        <v>15</v>
      </c>
      <c r="G1482">
        <v>-1</v>
      </c>
      <c r="H1482" t="s">
        <v>16</v>
      </c>
      <c r="I1482" t="s">
        <v>17</v>
      </c>
      <c r="J1482" s="1">
        <v>44002</v>
      </c>
      <c r="L1482" t="s">
        <v>14</v>
      </c>
      <c r="M1482">
        <v>3206</v>
      </c>
      <c r="N1482">
        <v>3206</v>
      </c>
      <c r="O1482" t="s">
        <v>21</v>
      </c>
      <c r="P1482">
        <f t="shared" si="72"/>
        <v>0</v>
      </c>
      <c r="Q1482" s="11">
        <f>IF(P1482=0,0,IFERROR(Q1481+G1482*M1482*IF(E1482="FUTURE",VLOOKUP(MID(I1482,2,2),[1]Futures!$A$2:$B$12,2),1),G1482*M1482*IF(E1482="FUTURE",VLOOKUP(MID(I1482,2,2),[1]Futures!$A$2:$B$12,2),1)))</f>
        <v>0</v>
      </c>
      <c r="R1482" s="12" t="str">
        <f>IFERROR(Q1482/P1482/IF(E1482="FUTURE",VLOOKUP(MID(I1482,2,2),[1]Futures!$A$2:$B$12,2),1),"")</f>
        <v/>
      </c>
      <c r="S1482" s="13">
        <f>IF(AND(H1482="TO CLOSE",P1482=0),-G1482*(M1482-R1481)*IF(E1482="FUTURE",VLOOKUP(MID(I1482,2,2),[1]Futures!$A$2:$B$12,2),1),"")</f>
        <v>112.5</v>
      </c>
    </row>
    <row r="1483" spans="1:19" x14ac:dyDescent="0.2">
      <c r="A1483">
        <f t="shared" si="71"/>
        <v>471</v>
      </c>
      <c r="B1483" s="3">
        <v>43990</v>
      </c>
      <c r="C1483" s="3" t="str">
        <f t="shared" si="70"/>
        <v>Monday</v>
      </c>
      <c r="D1483" s="2">
        <v>0.50123842592592593</v>
      </c>
      <c r="E1483" t="s">
        <v>14</v>
      </c>
      <c r="F1483" t="s">
        <v>15</v>
      </c>
      <c r="G1483">
        <v>-1</v>
      </c>
      <c r="H1483" t="s">
        <v>20</v>
      </c>
      <c r="I1483" t="s">
        <v>17</v>
      </c>
      <c r="J1483" s="1">
        <v>44002</v>
      </c>
      <c r="L1483" t="s">
        <v>14</v>
      </c>
      <c r="M1483">
        <v>3205.75</v>
      </c>
      <c r="N1483">
        <v>3205.75</v>
      </c>
      <c r="O1483" t="s">
        <v>21</v>
      </c>
      <c r="P1483">
        <f t="shared" si="72"/>
        <v>-1</v>
      </c>
      <c r="Q1483" s="11">
        <f>IF(P1483=0,0,IFERROR(Q1482+G1483*M1483*IF(E1483="FUTURE",VLOOKUP(MID(I1483,2,2),[1]Futures!$A$2:$B$12,2),1),G1483*M1483*IF(E1483="FUTURE",VLOOKUP(MID(I1483,2,2),[1]Futures!$A$2:$B$12,2),1)))</f>
        <v>-160287.5</v>
      </c>
      <c r="R1483" s="12">
        <f>IFERROR(Q1483/P1483/IF(E1483="FUTURE",VLOOKUP(MID(I1483,2,2),[1]Futures!$A$2:$B$12,2),1),"")</f>
        <v>3205.75</v>
      </c>
      <c r="S1483" s="13" t="str">
        <f>IF(AND(H1483="TO CLOSE",P1483=0),-G1483*(M1483-R1482)*IF(E1483="FUTURE",VLOOKUP(MID(I1483,2,2),[1]Futures!$A$2:$B$12,2),1),"")</f>
        <v/>
      </c>
    </row>
    <row r="1484" spans="1:19" x14ac:dyDescent="0.2">
      <c r="A1484">
        <f t="shared" si="71"/>
        <v>471</v>
      </c>
      <c r="B1484" s="3">
        <v>43990</v>
      </c>
      <c r="C1484" s="3" t="str">
        <f t="shared" si="70"/>
        <v>Monday</v>
      </c>
      <c r="D1484" s="2">
        <v>0.50346064814814817</v>
      </c>
      <c r="E1484" t="s">
        <v>14</v>
      </c>
      <c r="F1484" t="s">
        <v>19</v>
      </c>
      <c r="G1484">
        <v>1</v>
      </c>
      <c r="H1484" t="s">
        <v>16</v>
      </c>
      <c r="I1484" t="s">
        <v>17</v>
      </c>
      <c r="J1484" s="1">
        <v>44002</v>
      </c>
      <c r="L1484" t="s">
        <v>14</v>
      </c>
      <c r="M1484">
        <v>3205.25</v>
      </c>
      <c r="N1484">
        <v>3205.25</v>
      </c>
      <c r="O1484" t="s">
        <v>21</v>
      </c>
      <c r="P1484">
        <f t="shared" si="72"/>
        <v>0</v>
      </c>
      <c r="Q1484" s="11">
        <f>IF(P1484=0,0,IFERROR(Q1483+G1484*M1484*IF(E1484="FUTURE",VLOOKUP(MID(I1484,2,2),[1]Futures!$A$2:$B$12,2),1),G1484*M1484*IF(E1484="FUTURE",VLOOKUP(MID(I1484,2,2),[1]Futures!$A$2:$B$12,2),1)))</f>
        <v>0</v>
      </c>
      <c r="R1484" s="12" t="str">
        <f>IFERROR(Q1484/P1484/IF(E1484="FUTURE",VLOOKUP(MID(I1484,2,2),[1]Futures!$A$2:$B$12,2),1),"")</f>
        <v/>
      </c>
      <c r="S1484" s="13">
        <f>IF(AND(H1484="TO CLOSE",P1484=0),-G1484*(M1484-R1483)*IF(E1484="FUTURE",VLOOKUP(MID(I1484,2,2),[1]Futures!$A$2:$B$12,2),1),"")</f>
        <v>25</v>
      </c>
    </row>
    <row r="1485" spans="1:19" x14ac:dyDescent="0.2">
      <c r="A1485">
        <f t="shared" si="71"/>
        <v>472</v>
      </c>
      <c r="B1485" s="3">
        <v>43990</v>
      </c>
      <c r="C1485" s="3" t="str">
        <f t="shared" si="70"/>
        <v>Monday</v>
      </c>
      <c r="D1485" s="2">
        <v>0.51162037037037034</v>
      </c>
      <c r="E1485" t="s">
        <v>14</v>
      </c>
      <c r="F1485" t="s">
        <v>15</v>
      </c>
      <c r="G1485">
        <v>-1</v>
      </c>
      <c r="H1485" t="s">
        <v>20</v>
      </c>
      <c r="I1485" t="s">
        <v>17</v>
      </c>
      <c r="J1485" s="1">
        <v>44002</v>
      </c>
      <c r="L1485" t="s">
        <v>14</v>
      </c>
      <c r="M1485">
        <v>3204</v>
      </c>
      <c r="N1485">
        <v>3204</v>
      </c>
      <c r="O1485" t="s">
        <v>21</v>
      </c>
      <c r="P1485">
        <f t="shared" si="72"/>
        <v>-1</v>
      </c>
      <c r="Q1485" s="11">
        <f>IF(P1485=0,0,IFERROR(Q1484+G1485*M1485*IF(E1485="FUTURE",VLOOKUP(MID(I1485,2,2),[1]Futures!$A$2:$B$12,2),1),G1485*M1485*IF(E1485="FUTURE",VLOOKUP(MID(I1485,2,2),[1]Futures!$A$2:$B$12,2),1)))</f>
        <v>-160200</v>
      </c>
      <c r="R1485" s="12">
        <f>IFERROR(Q1485/P1485/IF(E1485="FUTURE",VLOOKUP(MID(I1485,2,2),[1]Futures!$A$2:$B$12,2),1),"")</f>
        <v>3204</v>
      </c>
      <c r="S1485" s="13" t="str">
        <f>IF(AND(H1485="TO CLOSE",P1485=0),-G1485*(M1485-R1484)*IF(E1485="FUTURE",VLOOKUP(MID(I1485,2,2),[1]Futures!$A$2:$B$12,2),1),"")</f>
        <v/>
      </c>
    </row>
    <row r="1486" spans="1:19" x14ac:dyDescent="0.2">
      <c r="A1486">
        <f t="shared" si="71"/>
        <v>472</v>
      </c>
      <c r="B1486" s="3">
        <v>43990</v>
      </c>
      <c r="C1486" s="3" t="str">
        <f t="shared" si="70"/>
        <v>Monday</v>
      </c>
      <c r="D1486" s="2">
        <v>0.51511574074074074</v>
      </c>
      <c r="E1486" t="s">
        <v>14</v>
      </c>
      <c r="F1486" t="s">
        <v>19</v>
      </c>
      <c r="G1486">
        <v>1</v>
      </c>
      <c r="H1486" t="s">
        <v>16</v>
      </c>
      <c r="I1486" t="s">
        <v>17</v>
      </c>
      <c r="J1486" s="1">
        <v>44002</v>
      </c>
      <c r="L1486" t="s">
        <v>14</v>
      </c>
      <c r="M1486">
        <v>3205.5</v>
      </c>
      <c r="N1486">
        <v>3205.5</v>
      </c>
      <c r="O1486" t="s">
        <v>18</v>
      </c>
      <c r="P1486">
        <f t="shared" si="72"/>
        <v>0</v>
      </c>
      <c r="Q1486" s="11">
        <f>IF(P1486=0,0,IFERROR(Q1485+G1486*M1486*IF(E1486="FUTURE",VLOOKUP(MID(I1486,2,2),[1]Futures!$A$2:$B$12,2),1),G1486*M1486*IF(E1486="FUTURE",VLOOKUP(MID(I1486,2,2),[1]Futures!$A$2:$B$12,2),1)))</f>
        <v>0</v>
      </c>
      <c r="R1486" s="12" t="str">
        <f>IFERROR(Q1486/P1486/IF(E1486="FUTURE",VLOOKUP(MID(I1486,2,2),[1]Futures!$A$2:$B$12,2),1),"")</f>
        <v/>
      </c>
      <c r="S1486" s="13">
        <f>IF(AND(H1486="TO CLOSE",P1486=0),-G1486*(M1486-R1485)*IF(E1486="FUTURE",VLOOKUP(MID(I1486,2,2),[1]Futures!$A$2:$B$12,2),1),"")</f>
        <v>-75</v>
      </c>
    </row>
    <row r="1487" spans="1:19" x14ac:dyDescent="0.2">
      <c r="A1487">
        <f t="shared" si="71"/>
        <v>473</v>
      </c>
      <c r="B1487" s="3">
        <v>43990</v>
      </c>
      <c r="C1487" s="3" t="str">
        <f t="shared" si="70"/>
        <v>Monday</v>
      </c>
      <c r="D1487" s="2">
        <v>0.51525462962962965</v>
      </c>
      <c r="E1487" t="s">
        <v>14</v>
      </c>
      <c r="F1487" t="s">
        <v>19</v>
      </c>
      <c r="G1487">
        <v>1</v>
      </c>
      <c r="H1487" t="s">
        <v>20</v>
      </c>
      <c r="I1487" t="s">
        <v>17</v>
      </c>
      <c r="J1487" s="1">
        <v>44002</v>
      </c>
      <c r="L1487" t="s">
        <v>14</v>
      </c>
      <c r="M1487">
        <v>3205.25</v>
      </c>
      <c r="N1487">
        <v>3205.25</v>
      </c>
      <c r="O1487" t="s">
        <v>24</v>
      </c>
      <c r="P1487">
        <f t="shared" si="72"/>
        <v>1</v>
      </c>
      <c r="Q1487" s="11">
        <f>IF(P1487=0,0,IFERROR(Q1486+G1487*M1487*IF(E1487="FUTURE",VLOOKUP(MID(I1487,2,2),[1]Futures!$A$2:$B$12,2),1),G1487*M1487*IF(E1487="FUTURE",VLOOKUP(MID(I1487,2,2),[1]Futures!$A$2:$B$12,2),1)))</f>
        <v>160262.5</v>
      </c>
      <c r="R1487" s="12">
        <f>IFERROR(Q1487/P1487/IF(E1487="FUTURE",VLOOKUP(MID(I1487,2,2),[1]Futures!$A$2:$B$12,2),1),"")</f>
        <v>3205.25</v>
      </c>
      <c r="S1487" s="13" t="str">
        <f>IF(AND(H1487="TO CLOSE",P1487=0),-G1487*(M1487-R1486)*IF(E1487="FUTURE",VLOOKUP(MID(I1487,2,2),[1]Futures!$A$2:$B$12,2),1),"")</f>
        <v/>
      </c>
    </row>
    <row r="1488" spans="1:19" x14ac:dyDescent="0.2">
      <c r="A1488">
        <f t="shared" si="71"/>
        <v>473</v>
      </c>
      <c r="B1488" s="3">
        <v>43990</v>
      </c>
      <c r="C1488" s="3" t="str">
        <f t="shared" si="70"/>
        <v>Monday</v>
      </c>
      <c r="D1488" s="2">
        <v>0.5272916666666666</v>
      </c>
      <c r="E1488" t="s">
        <v>14</v>
      </c>
      <c r="F1488" t="s">
        <v>15</v>
      </c>
      <c r="G1488">
        <v>-1</v>
      </c>
      <c r="H1488" t="s">
        <v>16</v>
      </c>
      <c r="I1488" t="s">
        <v>17</v>
      </c>
      <c r="J1488" s="1">
        <v>44002</v>
      </c>
      <c r="L1488" t="s">
        <v>14</v>
      </c>
      <c r="M1488">
        <v>3205.5</v>
      </c>
      <c r="N1488">
        <v>3205.5</v>
      </c>
      <c r="O1488" t="s">
        <v>21</v>
      </c>
      <c r="P1488">
        <f t="shared" si="72"/>
        <v>0</v>
      </c>
      <c r="Q1488" s="11">
        <f>IF(P1488=0,0,IFERROR(Q1487+G1488*M1488*IF(E1488="FUTURE",VLOOKUP(MID(I1488,2,2),[1]Futures!$A$2:$B$12,2),1),G1488*M1488*IF(E1488="FUTURE",VLOOKUP(MID(I1488,2,2),[1]Futures!$A$2:$B$12,2),1)))</f>
        <v>0</v>
      </c>
      <c r="R1488" s="12" t="str">
        <f>IFERROR(Q1488/P1488/IF(E1488="FUTURE",VLOOKUP(MID(I1488,2,2),[1]Futures!$A$2:$B$12,2),1),"")</f>
        <v/>
      </c>
      <c r="S1488" s="13">
        <f>IF(AND(H1488="TO CLOSE",P1488=0),-G1488*(M1488-R1487)*IF(E1488="FUTURE",VLOOKUP(MID(I1488,2,2),[1]Futures!$A$2:$B$12,2),1),"")</f>
        <v>12.5</v>
      </c>
    </row>
    <row r="1489" spans="1:19" x14ac:dyDescent="0.2">
      <c r="A1489">
        <f t="shared" si="71"/>
        <v>474</v>
      </c>
      <c r="B1489" s="3">
        <v>43990</v>
      </c>
      <c r="C1489" s="3" t="str">
        <f t="shared" si="70"/>
        <v>Monday</v>
      </c>
      <c r="D1489" s="2">
        <v>0.53084490740740742</v>
      </c>
      <c r="E1489" t="s">
        <v>14</v>
      </c>
      <c r="F1489" t="s">
        <v>19</v>
      </c>
      <c r="G1489">
        <v>1</v>
      </c>
      <c r="H1489" t="s">
        <v>20</v>
      </c>
      <c r="I1489" t="s">
        <v>17</v>
      </c>
      <c r="J1489" s="1">
        <v>44002</v>
      </c>
      <c r="L1489" t="s">
        <v>14</v>
      </c>
      <c r="M1489">
        <v>3206</v>
      </c>
      <c r="N1489">
        <v>3206</v>
      </c>
      <c r="O1489" t="s">
        <v>24</v>
      </c>
      <c r="P1489">
        <f t="shared" si="72"/>
        <v>1</v>
      </c>
      <c r="Q1489" s="11">
        <f>IF(P1489=0,0,IFERROR(Q1488+G1489*M1489*IF(E1489="FUTURE",VLOOKUP(MID(I1489,2,2),[1]Futures!$A$2:$B$12,2),1),G1489*M1489*IF(E1489="FUTURE",VLOOKUP(MID(I1489,2,2),[1]Futures!$A$2:$B$12,2),1)))</f>
        <v>160300</v>
      </c>
      <c r="R1489" s="12">
        <f>IFERROR(Q1489/P1489/IF(E1489="FUTURE",VLOOKUP(MID(I1489,2,2),[1]Futures!$A$2:$B$12,2),1),"")</f>
        <v>3206</v>
      </c>
      <c r="S1489" s="13" t="str">
        <f>IF(AND(H1489="TO CLOSE",P1489=0),-G1489*(M1489-R1488)*IF(E1489="FUTURE",VLOOKUP(MID(I1489,2,2),[1]Futures!$A$2:$B$12,2),1),"")</f>
        <v/>
      </c>
    </row>
    <row r="1490" spans="1:19" x14ac:dyDescent="0.2">
      <c r="A1490">
        <f t="shared" si="71"/>
        <v>474</v>
      </c>
      <c r="B1490" s="3">
        <v>43990</v>
      </c>
      <c r="C1490" s="3" t="str">
        <f t="shared" si="70"/>
        <v>Monday</v>
      </c>
      <c r="D1490" s="2">
        <v>0.53295138888888893</v>
      </c>
      <c r="E1490" t="s">
        <v>14</v>
      </c>
      <c r="F1490" t="s">
        <v>15</v>
      </c>
      <c r="G1490">
        <v>-1</v>
      </c>
      <c r="H1490" t="s">
        <v>16</v>
      </c>
      <c r="I1490" t="s">
        <v>17</v>
      </c>
      <c r="J1490" s="1">
        <v>44002</v>
      </c>
      <c r="L1490" t="s">
        <v>14</v>
      </c>
      <c r="M1490">
        <v>3206.25</v>
      </c>
      <c r="N1490">
        <v>3206.25</v>
      </c>
      <c r="O1490" t="s">
        <v>21</v>
      </c>
      <c r="P1490">
        <f t="shared" si="72"/>
        <v>0</v>
      </c>
      <c r="Q1490" s="11">
        <f>IF(P1490=0,0,IFERROR(Q1489+G1490*M1490*IF(E1490="FUTURE",VLOOKUP(MID(I1490,2,2),[1]Futures!$A$2:$B$12,2),1),G1490*M1490*IF(E1490="FUTURE",VLOOKUP(MID(I1490,2,2),[1]Futures!$A$2:$B$12,2),1)))</f>
        <v>0</v>
      </c>
      <c r="R1490" s="12" t="str">
        <f>IFERROR(Q1490/P1490/IF(E1490="FUTURE",VLOOKUP(MID(I1490,2,2),[1]Futures!$A$2:$B$12,2),1),"")</f>
        <v/>
      </c>
      <c r="S1490" s="13">
        <f>IF(AND(H1490="TO CLOSE",P1490=0),-G1490*(M1490-R1489)*IF(E1490="FUTURE",VLOOKUP(MID(I1490,2,2),[1]Futures!$A$2:$B$12,2),1),"")</f>
        <v>12.5</v>
      </c>
    </row>
    <row r="1491" spans="1:19" x14ac:dyDescent="0.2">
      <c r="A1491">
        <f t="shared" si="71"/>
        <v>475</v>
      </c>
      <c r="B1491" s="3">
        <v>43990</v>
      </c>
      <c r="C1491" s="3" t="str">
        <f t="shared" si="70"/>
        <v>Monday</v>
      </c>
      <c r="D1491" s="2">
        <v>0.37314814814814817</v>
      </c>
      <c r="E1491" t="s">
        <v>14</v>
      </c>
      <c r="F1491" t="s">
        <v>19</v>
      </c>
      <c r="G1491">
        <v>1</v>
      </c>
      <c r="H1491" t="s">
        <v>20</v>
      </c>
      <c r="I1491" t="s">
        <v>73</v>
      </c>
      <c r="J1491" s="1">
        <v>44002</v>
      </c>
      <c r="L1491" t="s">
        <v>14</v>
      </c>
      <c r="M1491">
        <v>3206</v>
      </c>
      <c r="N1491">
        <v>3206</v>
      </c>
      <c r="O1491" t="s">
        <v>21</v>
      </c>
      <c r="P1491">
        <f t="shared" si="72"/>
        <v>1</v>
      </c>
      <c r="Q1491" s="11">
        <f>IF(P1491=0,0,IFERROR(Q1490+G1491*M1491*IF(E1491="FUTURE",VLOOKUP(MID(I1491,2,2),[1]Futures!$A$2:$B$12,2),1),G1491*M1491*IF(E1491="FUTURE",VLOOKUP(MID(I1491,2,2),[1]Futures!$A$2:$B$12,2),1)))</f>
        <v>16030</v>
      </c>
      <c r="R1491" s="12">
        <f>IFERROR(Q1491/P1491/IF(E1491="FUTURE",VLOOKUP(MID(I1491,2,2),[1]Futures!$A$2:$B$12,2),1),"")</f>
        <v>3206</v>
      </c>
      <c r="S1491" s="13" t="str">
        <f>IF(AND(H1491="TO CLOSE",P1491=0),-G1491*(M1491-R1490)*IF(E1491="FUTURE",VLOOKUP(MID(I1491,2,2),[1]Futures!$A$2:$B$12,2),1),"")</f>
        <v/>
      </c>
    </row>
    <row r="1492" spans="1:19" x14ac:dyDescent="0.2">
      <c r="A1492">
        <f t="shared" si="71"/>
        <v>475</v>
      </c>
      <c r="B1492" s="3">
        <v>43990</v>
      </c>
      <c r="C1492" s="3" t="str">
        <f t="shared" si="70"/>
        <v>Monday</v>
      </c>
      <c r="D1492" s="2">
        <v>0.37314814814814817</v>
      </c>
      <c r="E1492" t="s">
        <v>14</v>
      </c>
      <c r="F1492" t="s">
        <v>19</v>
      </c>
      <c r="G1492">
        <v>1</v>
      </c>
      <c r="H1492" t="s">
        <v>20</v>
      </c>
      <c r="I1492" t="s">
        <v>73</v>
      </c>
      <c r="J1492" s="1">
        <v>44002</v>
      </c>
      <c r="L1492" t="s">
        <v>14</v>
      </c>
      <c r="M1492">
        <v>3206</v>
      </c>
      <c r="N1492">
        <v>3206</v>
      </c>
      <c r="O1492" t="s">
        <v>21</v>
      </c>
      <c r="P1492">
        <f t="shared" si="72"/>
        <v>2</v>
      </c>
      <c r="Q1492" s="11">
        <f>IF(P1492=0,0,IFERROR(Q1491+G1492*M1492*IF(E1492="FUTURE",VLOOKUP(MID(I1492,2,2),[1]Futures!$A$2:$B$12,2),1),G1492*M1492*IF(E1492="FUTURE",VLOOKUP(MID(I1492,2,2),[1]Futures!$A$2:$B$12,2),1)))</f>
        <v>32060</v>
      </c>
      <c r="R1492" s="12">
        <f>IFERROR(Q1492/P1492/IF(E1492="FUTURE",VLOOKUP(MID(I1492,2,2),[1]Futures!$A$2:$B$12,2),1),"")</f>
        <v>3206</v>
      </c>
      <c r="S1492" s="13" t="str">
        <f>IF(AND(H1492="TO CLOSE",P1492=0),-G1492*(M1492-R1491)*IF(E1492="FUTURE",VLOOKUP(MID(I1492,2,2),[1]Futures!$A$2:$B$12,2),1),"")</f>
        <v/>
      </c>
    </row>
    <row r="1493" spans="1:19" x14ac:dyDescent="0.2">
      <c r="A1493">
        <f t="shared" si="71"/>
        <v>475</v>
      </c>
      <c r="B1493" s="3">
        <v>43990</v>
      </c>
      <c r="C1493" s="3" t="str">
        <f t="shared" si="70"/>
        <v>Monday</v>
      </c>
      <c r="D1493" s="2">
        <v>0.39601851851851855</v>
      </c>
      <c r="E1493" t="s">
        <v>14</v>
      </c>
      <c r="F1493" t="s">
        <v>19</v>
      </c>
      <c r="G1493">
        <v>1</v>
      </c>
      <c r="H1493" t="s">
        <v>20</v>
      </c>
      <c r="I1493" t="s">
        <v>73</v>
      </c>
      <c r="J1493" s="1">
        <v>44002</v>
      </c>
      <c r="L1493" t="s">
        <v>14</v>
      </c>
      <c r="M1493">
        <v>3200</v>
      </c>
      <c r="N1493">
        <v>3200</v>
      </c>
      <c r="O1493" t="s">
        <v>21</v>
      </c>
      <c r="P1493">
        <f t="shared" si="72"/>
        <v>3</v>
      </c>
      <c r="Q1493" s="11">
        <f>IF(P1493=0,0,IFERROR(Q1492+G1493*M1493*IF(E1493="FUTURE",VLOOKUP(MID(I1493,2,2),[1]Futures!$A$2:$B$12,2),1),G1493*M1493*IF(E1493="FUTURE",VLOOKUP(MID(I1493,2,2),[1]Futures!$A$2:$B$12,2),1)))</f>
        <v>48060</v>
      </c>
      <c r="R1493" s="12">
        <f>IFERROR(Q1493/P1493/IF(E1493="FUTURE",VLOOKUP(MID(I1493,2,2),[1]Futures!$A$2:$B$12,2),1),"")</f>
        <v>3204</v>
      </c>
      <c r="S1493" s="13" t="str">
        <f>IF(AND(H1493="TO CLOSE",P1493=0),-G1493*(M1493-R1492)*IF(E1493="FUTURE",VLOOKUP(MID(I1493,2,2),[1]Futures!$A$2:$B$12,2),1),"")</f>
        <v/>
      </c>
    </row>
    <row r="1494" spans="1:19" x14ac:dyDescent="0.2">
      <c r="A1494">
        <f t="shared" si="71"/>
        <v>475</v>
      </c>
      <c r="B1494" s="3">
        <v>43990</v>
      </c>
      <c r="C1494" s="3" t="str">
        <f t="shared" si="70"/>
        <v>Monday</v>
      </c>
      <c r="D1494" s="2">
        <v>0.40532407407407406</v>
      </c>
      <c r="E1494" t="s">
        <v>14</v>
      </c>
      <c r="F1494" t="s">
        <v>19</v>
      </c>
      <c r="G1494">
        <v>1</v>
      </c>
      <c r="H1494" t="s">
        <v>20</v>
      </c>
      <c r="I1494" t="s">
        <v>73</v>
      </c>
      <c r="J1494" s="1">
        <v>44002</v>
      </c>
      <c r="L1494" t="s">
        <v>14</v>
      </c>
      <c r="M1494">
        <v>3208</v>
      </c>
      <c r="N1494">
        <v>3208</v>
      </c>
      <c r="O1494" t="s">
        <v>18</v>
      </c>
      <c r="P1494">
        <f t="shared" si="72"/>
        <v>4</v>
      </c>
      <c r="Q1494" s="11">
        <f>IF(P1494=0,0,IFERROR(Q1493+G1494*M1494*IF(E1494="FUTURE",VLOOKUP(MID(I1494,2,2),[1]Futures!$A$2:$B$12,2),1),G1494*M1494*IF(E1494="FUTURE",VLOOKUP(MID(I1494,2,2),[1]Futures!$A$2:$B$12,2),1)))</f>
        <v>64100</v>
      </c>
      <c r="R1494" s="12">
        <f>IFERROR(Q1494/P1494/IF(E1494="FUTURE",VLOOKUP(MID(I1494,2,2),[1]Futures!$A$2:$B$12,2),1),"")</f>
        <v>3205</v>
      </c>
      <c r="S1494" s="13" t="str">
        <f>IF(AND(H1494="TO CLOSE",P1494=0),-G1494*(M1494-R1493)*IF(E1494="FUTURE",VLOOKUP(MID(I1494,2,2),[1]Futures!$A$2:$B$12,2),1),"")</f>
        <v/>
      </c>
    </row>
    <row r="1495" spans="1:19" x14ac:dyDescent="0.2">
      <c r="A1495">
        <f t="shared" si="71"/>
        <v>475</v>
      </c>
      <c r="B1495" s="3">
        <v>43990</v>
      </c>
      <c r="C1495" s="3" t="str">
        <f t="shared" si="70"/>
        <v>Monday</v>
      </c>
      <c r="D1495" s="2">
        <v>0.42944444444444446</v>
      </c>
      <c r="E1495" t="s">
        <v>14</v>
      </c>
      <c r="F1495" t="s">
        <v>19</v>
      </c>
      <c r="G1495">
        <v>1</v>
      </c>
      <c r="H1495" t="s">
        <v>20</v>
      </c>
      <c r="I1495" t="s">
        <v>73</v>
      </c>
      <c r="J1495" s="1">
        <v>44002</v>
      </c>
      <c r="L1495" t="s">
        <v>14</v>
      </c>
      <c r="M1495">
        <v>3200</v>
      </c>
      <c r="N1495">
        <v>3200</v>
      </c>
      <c r="O1495" t="s">
        <v>21</v>
      </c>
      <c r="P1495">
        <f t="shared" si="72"/>
        <v>5</v>
      </c>
      <c r="Q1495" s="11">
        <f>IF(P1495=0,0,IFERROR(Q1494+G1495*M1495*IF(E1495="FUTURE",VLOOKUP(MID(I1495,2,2),[1]Futures!$A$2:$B$12,2),1),G1495*M1495*IF(E1495="FUTURE",VLOOKUP(MID(I1495,2,2),[1]Futures!$A$2:$B$12,2),1)))</f>
        <v>80100</v>
      </c>
      <c r="R1495" s="12">
        <f>IFERROR(Q1495/P1495/IF(E1495="FUTURE",VLOOKUP(MID(I1495,2,2),[1]Futures!$A$2:$B$12,2),1),"")</f>
        <v>3204</v>
      </c>
      <c r="S1495" s="13" t="str">
        <f>IF(AND(H1495="TO CLOSE",P1495=0),-G1495*(M1495-R1494)*IF(E1495="FUTURE",VLOOKUP(MID(I1495,2,2),[1]Futures!$A$2:$B$12,2),1),"")</f>
        <v/>
      </c>
    </row>
    <row r="1496" spans="1:19" x14ac:dyDescent="0.2">
      <c r="A1496">
        <f t="shared" si="71"/>
        <v>475</v>
      </c>
      <c r="B1496" s="3">
        <v>43990</v>
      </c>
      <c r="C1496" s="3" t="str">
        <f t="shared" si="70"/>
        <v>Monday</v>
      </c>
      <c r="D1496" s="2">
        <v>0.47074074074074074</v>
      </c>
      <c r="E1496" t="s">
        <v>14</v>
      </c>
      <c r="F1496" t="s">
        <v>15</v>
      </c>
      <c r="G1496">
        <v>-1</v>
      </c>
      <c r="H1496" t="s">
        <v>16</v>
      </c>
      <c r="I1496" t="s">
        <v>73</v>
      </c>
      <c r="J1496" s="1">
        <v>44002</v>
      </c>
      <c r="L1496" t="s">
        <v>14</v>
      </c>
      <c r="M1496">
        <v>3209.5</v>
      </c>
      <c r="N1496">
        <v>3209.5</v>
      </c>
      <c r="O1496" t="s">
        <v>24</v>
      </c>
      <c r="P1496">
        <f t="shared" si="72"/>
        <v>4</v>
      </c>
      <c r="Q1496" s="11">
        <f>IF(P1496=0,0,IFERROR(Q1495+G1496*M1496*IF(E1496="FUTURE",VLOOKUP(MID(I1496,2,2),[1]Futures!$A$2:$B$12,2),1),G1496*M1496*IF(E1496="FUTURE",VLOOKUP(MID(I1496,2,2),[1]Futures!$A$2:$B$12,2),1)))</f>
        <v>64052.5</v>
      </c>
      <c r="R1496" s="12">
        <f>IFERROR(Q1496/P1496/IF(E1496="FUTURE",VLOOKUP(MID(I1496,2,2),[1]Futures!$A$2:$B$12,2),1),"")</f>
        <v>3202.625</v>
      </c>
      <c r="S1496" s="13" t="str">
        <f>IF(AND(H1496="TO CLOSE",P1496=0),-G1496*(M1496-R1495)*IF(E1496="FUTURE",VLOOKUP(MID(I1496,2,2),[1]Futures!$A$2:$B$12,2),1),"")</f>
        <v/>
      </c>
    </row>
    <row r="1497" spans="1:19" x14ac:dyDescent="0.2">
      <c r="A1497">
        <f t="shared" si="71"/>
        <v>475</v>
      </c>
      <c r="B1497" s="3">
        <v>43990</v>
      </c>
      <c r="C1497" s="3" t="str">
        <f t="shared" si="70"/>
        <v>Monday</v>
      </c>
      <c r="D1497" s="2">
        <v>0.47877314814814814</v>
      </c>
      <c r="E1497" t="s">
        <v>14</v>
      </c>
      <c r="F1497" t="s">
        <v>15</v>
      </c>
      <c r="G1497">
        <v>-1</v>
      </c>
      <c r="H1497" t="s">
        <v>16</v>
      </c>
      <c r="I1497" t="s">
        <v>73</v>
      </c>
      <c r="J1497" s="1">
        <v>44002</v>
      </c>
      <c r="L1497" t="s">
        <v>14</v>
      </c>
      <c r="M1497">
        <v>3209.5</v>
      </c>
      <c r="N1497">
        <v>3209.5</v>
      </c>
      <c r="O1497" t="s">
        <v>21</v>
      </c>
      <c r="P1497">
        <f t="shared" si="72"/>
        <v>3</v>
      </c>
      <c r="Q1497" s="11">
        <f>IF(P1497=0,0,IFERROR(Q1496+G1497*M1497*IF(E1497="FUTURE",VLOOKUP(MID(I1497,2,2),[1]Futures!$A$2:$B$12,2),1),G1497*M1497*IF(E1497="FUTURE",VLOOKUP(MID(I1497,2,2),[1]Futures!$A$2:$B$12,2),1)))</f>
        <v>48005</v>
      </c>
      <c r="R1497" s="12">
        <f>IFERROR(Q1497/P1497/IF(E1497="FUTURE",VLOOKUP(MID(I1497,2,2),[1]Futures!$A$2:$B$12,2),1),"")</f>
        <v>3200.333333333333</v>
      </c>
      <c r="S1497" s="13" t="str">
        <f>IF(AND(H1497="TO CLOSE",P1497=0),-G1497*(M1497-R1496)*IF(E1497="FUTURE",VLOOKUP(MID(I1497,2,2),[1]Futures!$A$2:$B$12,2),1),"")</f>
        <v/>
      </c>
    </row>
    <row r="1498" spans="1:19" x14ac:dyDescent="0.2">
      <c r="A1498">
        <f t="shared" si="71"/>
        <v>475</v>
      </c>
      <c r="B1498" s="3">
        <v>43990</v>
      </c>
      <c r="C1498" s="3" t="str">
        <f t="shared" si="70"/>
        <v>Monday</v>
      </c>
      <c r="D1498" s="2">
        <v>0.4817939814814815</v>
      </c>
      <c r="E1498" t="s">
        <v>14</v>
      </c>
      <c r="F1498" t="s">
        <v>15</v>
      </c>
      <c r="G1498">
        <v>-1</v>
      </c>
      <c r="H1498" t="s">
        <v>16</v>
      </c>
      <c r="I1498" t="s">
        <v>73</v>
      </c>
      <c r="J1498" s="1">
        <v>44002</v>
      </c>
      <c r="L1498" t="s">
        <v>14</v>
      </c>
      <c r="M1498">
        <v>3209.25</v>
      </c>
      <c r="N1498">
        <v>3209.25</v>
      </c>
      <c r="O1498" t="s">
        <v>24</v>
      </c>
      <c r="P1498">
        <f t="shared" si="72"/>
        <v>2</v>
      </c>
      <c r="Q1498" s="11">
        <f>IF(P1498=0,0,IFERROR(Q1497+G1498*M1498*IF(E1498="FUTURE",VLOOKUP(MID(I1498,2,2),[1]Futures!$A$2:$B$12,2),1),G1498*M1498*IF(E1498="FUTURE",VLOOKUP(MID(I1498,2,2),[1]Futures!$A$2:$B$12,2),1)))</f>
        <v>31958.75</v>
      </c>
      <c r="R1498" s="12">
        <f>IFERROR(Q1498/P1498/IF(E1498="FUTURE",VLOOKUP(MID(I1498,2,2),[1]Futures!$A$2:$B$12,2),1),"")</f>
        <v>3195.875</v>
      </c>
      <c r="S1498" s="13" t="str">
        <f>IF(AND(H1498="TO CLOSE",P1498=0),-G1498*(M1498-R1497)*IF(E1498="FUTURE",VLOOKUP(MID(I1498,2,2),[1]Futures!$A$2:$B$12,2),1),"")</f>
        <v/>
      </c>
    </row>
    <row r="1499" spans="1:19" x14ac:dyDescent="0.2">
      <c r="A1499">
        <f t="shared" si="71"/>
        <v>475</v>
      </c>
      <c r="B1499" s="3">
        <v>43990</v>
      </c>
      <c r="C1499" s="3" t="str">
        <f t="shared" si="70"/>
        <v>Monday</v>
      </c>
      <c r="D1499" s="2">
        <v>0.49341435185185184</v>
      </c>
      <c r="E1499" t="s">
        <v>14</v>
      </c>
      <c r="F1499" t="s">
        <v>15</v>
      </c>
      <c r="G1499">
        <v>-1</v>
      </c>
      <c r="H1499" t="s">
        <v>16</v>
      </c>
      <c r="I1499" t="s">
        <v>73</v>
      </c>
      <c r="J1499" s="1">
        <v>44002</v>
      </c>
      <c r="L1499" t="s">
        <v>14</v>
      </c>
      <c r="M1499">
        <v>3208.25</v>
      </c>
      <c r="N1499">
        <v>3208.25</v>
      </c>
      <c r="O1499" t="s">
        <v>21</v>
      </c>
      <c r="P1499">
        <f t="shared" si="72"/>
        <v>1</v>
      </c>
      <c r="Q1499" s="11">
        <f>IF(P1499=0,0,IFERROR(Q1498+G1499*M1499*IF(E1499="FUTURE",VLOOKUP(MID(I1499,2,2),[1]Futures!$A$2:$B$12,2),1),G1499*M1499*IF(E1499="FUTURE",VLOOKUP(MID(I1499,2,2),[1]Futures!$A$2:$B$12,2),1)))</f>
        <v>15917.5</v>
      </c>
      <c r="R1499" s="12">
        <f>IFERROR(Q1499/P1499/IF(E1499="FUTURE",VLOOKUP(MID(I1499,2,2),[1]Futures!$A$2:$B$12,2),1),"")</f>
        <v>3183.5</v>
      </c>
      <c r="S1499" s="13" t="str">
        <f>IF(AND(H1499="TO CLOSE",P1499=0),-G1499*(M1499-R1498)*IF(E1499="FUTURE",VLOOKUP(MID(I1499,2,2),[1]Futures!$A$2:$B$12,2),1),"")</f>
        <v/>
      </c>
    </row>
    <row r="1500" spans="1:19" x14ac:dyDescent="0.2">
      <c r="A1500">
        <f t="shared" si="71"/>
        <v>475</v>
      </c>
      <c r="B1500" s="3">
        <v>43990</v>
      </c>
      <c r="C1500" s="3" t="str">
        <f t="shared" si="70"/>
        <v>Monday</v>
      </c>
      <c r="D1500" s="2">
        <v>0.50144675925925919</v>
      </c>
      <c r="E1500" t="s">
        <v>14</v>
      </c>
      <c r="F1500" t="s">
        <v>15</v>
      </c>
      <c r="G1500">
        <v>-1</v>
      </c>
      <c r="H1500" t="s">
        <v>16</v>
      </c>
      <c r="I1500" t="s">
        <v>73</v>
      </c>
      <c r="J1500" s="1">
        <v>44002</v>
      </c>
      <c r="L1500" t="s">
        <v>14</v>
      </c>
      <c r="M1500">
        <v>3206.25</v>
      </c>
      <c r="N1500">
        <v>3206.25</v>
      </c>
      <c r="O1500" t="s">
        <v>21</v>
      </c>
      <c r="P1500">
        <f t="shared" si="72"/>
        <v>0</v>
      </c>
      <c r="Q1500" s="11">
        <f>IF(P1500=0,0,IFERROR(Q1499+G1500*M1500*IF(E1500="FUTURE",VLOOKUP(MID(I1500,2,2),[1]Futures!$A$2:$B$12,2),1),G1500*M1500*IF(E1500="FUTURE",VLOOKUP(MID(I1500,2,2),[1]Futures!$A$2:$B$12,2),1)))</f>
        <v>0</v>
      </c>
      <c r="R1500" s="12" t="str">
        <f>IFERROR(Q1500/P1500/IF(E1500="FUTURE",VLOOKUP(MID(I1500,2,2),[1]Futures!$A$2:$B$12,2),1),"")</f>
        <v/>
      </c>
      <c r="S1500" s="13">
        <f>IF(AND(H1500="TO CLOSE",P1500=0),-G1500*(M1500-R1499)*IF(E1500="FUTURE",VLOOKUP(MID(I1500,2,2),[1]Futures!$A$2:$B$12,2),1),"")</f>
        <v>113.75</v>
      </c>
    </row>
    <row r="1501" spans="1:19" x14ac:dyDescent="0.2">
      <c r="A1501">
        <f t="shared" si="71"/>
        <v>476</v>
      </c>
      <c r="B1501" s="3">
        <v>43990</v>
      </c>
      <c r="C1501" s="3" t="str">
        <f t="shared" si="70"/>
        <v>Monday</v>
      </c>
      <c r="D1501" s="2">
        <v>0.4299884259259259</v>
      </c>
      <c r="E1501" t="s">
        <v>22</v>
      </c>
      <c r="F1501" t="s">
        <v>15</v>
      </c>
      <c r="G1501">
        <v>-300</v>
      </c>
      <c r="H1501" t="s">
        <v>20</v>
      </c>
      <c r="I1501" t="s">
        <v>23</v>
      </c>
      <c r="L1501" t="s">
        <v>22</v>
      </c>
      <c r="M1501">
        <v>29.68</v>
      </c>
      <c r="N1501">
        <v>29.68</v>
      </c>
      <c r="O1501" t="s">
        <v>21</v>
      </c>
      <c r="P1501">
        <f t="shared" si="72"/>
        <v>-300</v>
      </c>
      <c r="Q1501" s="11">
        <f>IF(P1501=0,0,IFERROR(Q1500+G1501*M1501*IF(E1501="FUTURE",VLOOKUP(MID(I1501,2,2),[1]Futures!$A$2:$B$12,2),1),G1501*M1501*IF(E1501="FUTURE",VLOOKUP(MID(I1501,2,2),[1]Futures!$A$2:$B$12,2),1)))</f>
        <v>-8904</v>
      </c>
      <c r="R1501" s="12">
        <f>IFERROR(Q1501/P1501/IF(E1501="FUTURE",VLOOKUP(MID(I1501,2,2),[1]Futures!$A$2:$B$12,2),1),"")</f>
        <v>29.68</v>
      </c>
      <c r="S1501" s="13" t="str">
        <f>IF(AND(H1501="TO CLOSE",P1501=0),-G1501*(M1501-R1500)*IF(E1501="FUTURE",VLOOKUP(MID(I1501,2,2),[1]Futures!$A$2:$B$12,2),1),"")</f>
        <v/>
      </c>
    </row>
    <row r="1502" spans="1:19" x14ac:dyDescent="0.2">
      <c r="A1502">
        <f t="shared" si="71"/>
        <v>476</v>
      </c>
      <c r="B1502" s="3">
        <v>43990</v>
      </c>
      <c r="C1502" s="3" t="str">
        <f t="shared" si="70"/>
        <v>Monday</v>
      </c>
      <c r="D1502" s="2">
        <v>0.45045138888888886</v>
      </c>
      <c r="E1502" t="s">
        <v>22</v>
      </c>
      <c r="F1502" t="s">
        <v>19</v>
      </c>
      <c r="G1502">
        <v>100</v>
      </c>
      <c r="H1502" t="s">
        <v>16</v>
      </c>
      <c r="I1502" t="s">
        <v>23</v>
      </c>
      <c r="L1502" t="s">
        <v>22</v>
      </c>
      <c r="M1502">
        <v>29.38</v>
      </c>
      <c r="N1502">
        <v>29.38</v>
      </c>
      <c r="O1502" t="s">
        <v>21</v>
      </c>
      <c r="P1502">
        <f t="shared" si="72"/>
        <v>-200</v>
      </c>
      <c r="Q1502" s="11">
        <f>IF(P1502=0,0,IFERROR(Q1501+G1502*M1502*IF(E1502="FUTURE",VLOOKUP(MID(I1502,2,2),[1]Futures!$A$2:$B$12,2),1),G1502*M1502*IF(E1502="FUTURE",VLOOKUP(MID(I1502,2,2),[1]Futures!$A$2:$B$12,2),1)))</f>
        <v>-5966</v>
      </c>
      <c r="R1502" s="12">
        <f>IFERROR(Q1502/P1502/IF(E1502="FUTURE",VLOOKUP(MID(I1502,2,2),[1]Futures!$A$2:$B$12,2),1),"")</f>
        <v>29.83</v>
      </c>
      <c r="S1502" s="13" t="str">
        <f>IF(AND(H1502="TO CLOSE",P1502=0),-G1502*(M1502-R1501)*IF(E1502="FUTURE",VLOOKUP(MID(I1502,2,2),[1]Futures!$A$2:$B$12,2),1),"")</f>
        <v/>
      </c>
    </row>
    <row r="1503" spans="1:19" x14ac:dyDescent="0.2">
      <c r="A1503">
        <f t="shared" si="71"/>
        <v>476</v>
      </c>
      <c r="B1503" s="3">
        <v>43990</v>
      </c>
      <c r="C1503" s="3" t="str">
        <f t="shared" si="70"/>
        <v>Monday</v>
      </c>
      <c r="D1503" s="2">
        <v>0.45349537037037035</v>
      </c>
      <c r="E1503" t="s">
        <v>22</v>
      </c>
      <c r="F1503" t="s">
        <v>19</v>
      </c>
      <c r="G1503">
        <v>100</v>
      </c>
      <c r="H1503" t="s">
        <v>16</v>
      </c>
      <c r="I1503" t="s">
        <v>23</v>
      </c>
      <c r="L1503" t="s">
        <v>22</v>
      </c>
      <c r="M1503">
        <v>29.33</v>
      </c>
      <c r="N1503">
        <v>29.33</v>
      </c>
      <c r="O1503" t="s">
        <v>21</v>
      </c>
      <c r="P1503">
        <f t="shared" si="72"/>
        <v>-100</v>
      </c>
      <c r="Q1503" s="11">
        <f>IF(P1503=0,0,IFERROR(Q1502+G1503*M1503*IF(E1503="FUTURE",VLOOKUP(MID(I1503,2,2),[1]Futures!$A$2:$B$12,2),1),G1503*M1503*IF(E1503="FUTURE",VLOOKUP(MID(I1503,2,2),[1]Futures!$A$2:$B$12,2),1)))</f>
        <v>-3033</v>
      </c>
      <c r="R1503" s="12">
        <f>IFERROR(Q1503/P1503/IF(E1503="FUTURE",VLOOKUP(MID(I1503,2,2),[1]Futures!$A$2:$B$12,2),1),"")</f>
        <v>30.33</v>
      </c>
      <c r="S1503" s="13" t="str">
        <f>IF(AND(H1503="TO CLOSE",P1503=0),-G1503*(M1503-R1502)*IF(E1503="FUTURE",VLOOKUP(MID(I1503,2,2),[1]Futures!$A$2:$B$12,2),1),"")</f>
        <v/>
      </c>
    </row>
    <row r="1504" spans="1:19" x14ac:dyDescent="0.2">
      <c r="A1504">
        <f t="shared" si="71"/>
        <v>476</v>
      </c>
      <c r="B1504" s="3">
        <v>43990</v>
      </c>
      <c r="C1504" s="3" t="str">
        <f t="shared" si="70"/>
        <v>Monday</v>
      </c>
      <c r="D1504" s="2">
        <v>0.53332175925925929</v>
      </c>
      <c r="E1504" t="s">
        <v>22</v>
      </c>
      <c r="F1504" t="s">
        <v>19</v>
      </c>
      <c r="G1504">
        <v>100</v>
      </c>
      <c r="H1504" t="s">
        <v>16</v>
      </c>
      <c r="I1504" t="s">
        <v>23</v>
      </c>
      <c r="L1504" t="s">
        <v>22</v>
      </c>
      <c r="M1504">
        <v>29.535</v>
      </c>
      <c r="N1504">
        <v>29.535</v>
      </c>
      <c r="O1504" t="s">
        <v>24</v>
      </c>
      <c r="P1504">
        <f t="shared" si="72"/>
        <v>0</v>
      </c>
      <c r="Q1504" s="11">
        <f>IF(P1504=0,0,IFERROR(Q1503+G1504*M1504*IF(E1504="FUTURE",VLOOKUP(MID(I1504,2,2),[1]Futures!$A$2:$B$12,2),1),G1504*M1504*IF(E1504="FUTURE",VLOOKUP(MID(I1504,2,2),[1]Futures!$A$2:$B$12,2),1)))</f>
        <v>0</v>
      </c>
      <c r="R1504" s="12" t="str">
        <f>IFERROR(Q1504/P1504/IF(E1504="FUTURE",VLOOKUP(MID(I1504,2,2),[1]Futures!$A$2:$B$12,2),1),"")</f>
        <v/>
      </c>
      <c r="S1504" s="13">
        <f>IF(AND(H1504="TO CLOSE",P1504=0),-G1504*(M1504-R1503)*IF(E1504="FUTURE",VLOOKUP(MID(I1504,2,2),[1]Futures!$A$2:$B$12,2),1),"")</f>
        <v>79.499999999999815</v>
      </c>
    </row>
    <row r="1505" spans="1:19" x14ac:dyDescent="0.2">
      <c r="A1505">
        <f t="shared" si="71"/>
        <v>477</v>
      </c>
      <c r="B1505" s="3">
        <v>43991</v>
      </c>
      <c r="C1505" s="3" t="str">
        <f t="shared" si="70"/>
        <v>Tuesday</v>
      </c>
      <c r="D1505" s="2">
        <v>0.39628472222222227</v>
      </c>
      <c r="E1505" t="s">
        <v>14</v>
      </c>
      <c r="F1505" t="s">
        <v>15</v>
      </c>
      <c r="G1505">
        <v>-1</v>
      </c>
      <c r="H1505" t="s">
        <v>20</v>
      </c>
      <c r="I1505" t="s">
        <v>77</v>
      </c>
      <c r="J1505" s="1">
        <v>44063</v>
      </c>
      <c r="L1505" t="s">
        <v>14</v>
      </c>
      <c r="M1505">
        <v>38.159999999999997</v>
      </c>
      <c r="N1505">
        <v>38.159999999999997</v>
      </c>
      <c r="O1505" t="s">
        <v>21</v>
      </c>
      <c r="P1505">
        <f t="shared" si="72"/>
        <v>-1</v>
      </c>
      <c r="Q1505" s="11">
        <f>IF(P1505=0,0,IFERROR(Q1504+G1505*M1505*IF(E1505="FUTURE",VLOOKUP(MID(I1505,2,2),[1]Futures!$A$2:$B$12,2),1),G1505*M1505*IF(E1505="FUTURE",VLOOKUP(MID(I1505,2,2),[1]Futures!$A$2:$B$12,2),1)))</f>
        <v>-38160</v>
      </c>
      <c r="R1505" s="12">
        <f>IFERROR(Q1505/P1505/IF(E1505="FUTURE",VLOOKUP(MID(I1505,2,2),[1]Futures!$A$2:$B$12,2),1),"")</f>
        <v>38.159999999999997</v>
      </c>
      <c r="S1505" s="13" t="str">
        <f>IF(AND(H1505="TO CLOSE",P1505=0),-G1505*(M1505-R1504)*IF(E1505="FUTURE",VLOOKUP(MID(I1505,2,2),[1]Futures!$A$2:$B$12,2),1),"")</f>
        <v/>
      </c>
    </row>
    <row r="1506" spans="1:19" x14ac:dyDescent="0.2">
      <c r="A1506">
        <f t="shared" si="71"/>
        <v>477</v>
      </c>
      <c r="B1506" s="3">
        <v>43991</v>
      </c>
      <c r="C1506" s="3" t="str">
        <f t="shared" si="70"/>
        <v>Tuesday</v>
      </c>
      <c r="D1506" s="2">
        <v>0.3991898148148148</v>
      </c>
      <c r="E1506" t="s">
        <v>14</v>
      </c>
      <c r="F1506" t="s">
        <v>19</v>
      </c>
      <c r="G1506">
        <v>2</v>
      </c>
      <c r="H1506" t="s">
        <v>16</v>
      </c>
      <c r="I1506" t="s">
        <v>77</v>
      </c>
      <c r="J1506" s="1">
        <v>44063</v>
      </c>
      <c r="L1506" t="s">
        <v>14</v>
      </c>
      <c r="M1506">
        <v>38.22</v>
      </c>
      <c r="N1506">
        <v>38.22</v>
      </c>
      <c r="O1506" t="s">
        <v>24</v>
      </c>
      <c r="P1506">
        <f t="shared" si="72"/>
        <v>1</v>
      </c>
      <c r="Q1506" s="11">
        <f>IF(P1506=0,0,IFERROR(Q1505+G1506*M1506*IF(E1506="FUTURE",VLOOKUP(MID(I1506,2,2),[1]Futures!$A$2:$B$12,2),1),G1506*M1506*IF(E1506="FUTURE",VLOOKUP(MID(I1506,2,2),[1]Futures!$A$2:$B$12,2),1)))</f>
        <v>38280</v>
      </c>
      <c r="R1506" s="12">
        <f>IFERROR(Q1506/P1506/IF(E1506="FUTURE",VLOOKUP(MID(I1506,2,2),[1]Futures!$A$2:$B$12,2),1),"")</f>
        <v>38.28</v>
      </c>
      <c r="S1506" s="13" t="str">
        <f>IF(AND(H1506="TO CLOSE",P1506=0),-G1506*(M1506-R1505)*IF(E1506="FUTURE",VLOOKUP(MID(I1506,2,2),[1]Futures!$A$2:$B$12,2),1),"")</f>
        <v/>
      </c>
    </row>
    <row r="1507" spans="1:19" x14ac:dyDescent="0.2">
      <c r="A1507">
        <f t="shared" si="71"/>
        <v>477</v>
      </c>
      <c r="B1507" s="3">
        <v>43991</v>
      </c>
      <c r="C1507" s="3" t="str">
        <f t="shared" si="70"/>
        <v>Tuesday</v>
      </c>
      <c r="D1507" s="2">
        <v>0.39954861111111112</v>
      </c>
      <c r="E1507" t="s">
        <v>14</v>
      </c>
      <c r="F1507" t="s">
        <v>19</v>
      </c>
      <c r="G1507">
        <v>1</v>
      </c>
      <c r="H1507" t="s">
        <v>20</v>
      </c>
      <c r="I1507" t="s">
        <v>77</v>
      </c>
      <c r="J1507" s="1">
        <v>44063</v>
      </c>
      <c r="L1507" t="s">
        <v>14</v>
      </c>
      <c r="M1507">
        <v>38.22</v>
      </c>
      <c r="N1507">
        <v>38.22</v>
      </c>
      <c r="O1507" t="s">
        <v>24</v>
      </c>
      <c r="P1507">
        <f t="shared" si="72"/>
        <v>2</v>
      </c>
      <c r="Q1507" s="11">
        <f>IF(P1507=0,0,IFERROR(Q1506+G1507*M1507*IF(E1507="FUTURE",VLOOKUP(MID(I1507,2,2),[1]Futures!$A$2:$B$12,2),1),G1507*M1507*IF(E1507="FUTURE",VLOOKUP(MID(I1507,2,2),[1]Futures!$A$2:$B$12,2),1)))</f>
        <v>76500</v>
      </c>
      <c r="R1507" s="12">
        <f>IFERROR(Q1507/P1507/IF(E1507="FUTURE",VLOOKUP(MID(I1507,2,2),[1]Futures!$A$2:$B$12,2),1),"")</f>
        <v>38.25</v>
      </c>
      <c r="S1507" s="13" t="str">
        <f>IF(AND(H1507="TO CLOSE",P1507=0),-G1507*(M1507-R1506)*IF(E1507="FUTURE",VLOOKUP(MID(I1507,2,2),[1]Futures!$A$2:$B$12,2),1),"")</f>
        <v/>
      </c>
    </row>
    <row r="1508" spans="1:19" x14ac:dyDescent="0.2">
      <c r="A1508">
        <f t="shared" si="71"/>
        <v>477</v>
      </c>
      <c r="B1508" s="3">
        <v>43991</v>
      </c>
      <c r="C1508" s="3" t="str">
        <f t="shared" si="70"/>
        <v>Tuesday</v>
      </c>
      <c r="D1508" s="2">
        <v>0.4001851851851852</v>
      </c>
      <c r="E1508" t="s">
        <v>14</v>
      </c>
      <c r="F1508" t="s">
        <v>15</v>
      </c>
      <c r="G1508">
        <v>-1</v>
      </c>
      <c r="H1508" t="s">
        <v>16</v>
      </c>
      <c r="I1508" t="s">
        <v>77</v>
      </c>
      <c r="J1508" s="1">
        <v>44063</v>
      </c>
      <c r="L1508" t="s">
        <v>14</v>
      </c>
      <c r="M1508">
        <v>38.28</v>
      </c>
      <c r="N1508">
        <v>38.28</v>
      </c>
      <c r="O1508" t="s">
        <v>21</v>
      </c>
      <c r="P1508">
        <f t="shared" si="72"/>
        <v>1</v>
      </c>
      <c r="Q1508" s="11">
        <f>IF(P1508=0,0,IFERROR(Q1507+G1508*M1508*IF(E1508="FUTURE",VLOOKUP(MID(I1508,2,2),[1]Futures!$A$2:$B$12,2),1),G1508*M1508*IF(E1508="FUTURE",VLOOKUP(MID(I1508,2,2),[1]Futures!$A$2:$B$12,2),1)))</f>
        <v>38220</v>
      </c>
      <c r="R1508" s="12">
        <f>IFERROR(Q1508/P1508/IF(E1508="FUTURE",VLOOKUP(MID(I1508,2,2),[1]Futures!$A$2:$B$12,2),1),"")</f>
        <v>38.22</v>
      </c>
      <c r="S1508" s="13" t="str">
        <f>IF(AND(H1508="TO CLOSE",P1508=0),-G1508*(M1508-R1507)*IF(E1508="FUTURE",VLOOKUP(MID(I1508,2,2),[1]Futures!$A$2:$B$12,2),1),"")</f>
        <v/>
      </c>
    </row>
    <row r="1509" spans="1:19" x14ac:dyDescent="0.2">
      <c r="A1509">
        <f t="shared" si="71"/>
        <v>477</v>
      </c>
      <c r="B1509" s="3">
        <v>43991</v>
      </c>
      <c r="C1509" s="3" t="str">
        <f t="shared" si="70"/>
        <v>Tuesday</v>
      </c>
      <c r="D1509" s="2">
        <v>0.40711805555555558</v>
      </c>
      <c r="E1509" t="s">
        <v>14</v>
      </c>
      <c r="F1509" t="s">
        <v>15</v>
      </c>
      <c r="G1509">
        <v>-1</v>
      </c>
      <c r="H1509" t="s">
        <v>16</v>
      </c>
      <c r="I1509" t="s">
        <v>77</v>
      </c>
      <c r="J1509" s="1">
        <v>44063</v>
      </c>
      <c r="L1509" t="s">
        <v>14</v>
      </c>
      <c r="M1509">
        <v>38.33</v>
      </c>
      <c r="N1509">
        <v>38.33</v>
      </c>
      <c r="O1509" t="s">
        <v>21</v>
      </c>
      <c r="P1509">
        <f t="shared" si="72"/>
        <v>0</v>
      </c>
      <c r="Q1509" s="11">
        <f>IF(P1509=0,0,IFERROR(Q1508+G1509*M1509*IF(E1509="FUTURE",VLOOKUP(MID(I1509,2,2),[1]Futures!$A$2:$B$12,2),1),G1509*M1509*IF(E1509="FUTURE",VLOOKUP(MID(I1509,2,2),[1]Futures!$A$2:$B$12,2),1)))</f>
        <v>0</v>
      </c>
      <c r="R1509" s="12" t="str">
        <f>IFERROR(Q1509/P1509/IF(E1509="FUTURE",VLOOKUP(MID(I1509,2,2),[1]Futures!$A$2:$B$12,2),1),"")</f>
        <v/>
      </c>
      <c r="S1509" s="13">
        <f>IF(AND(H1509="TO CLOSE",P1509=0),-G1509*(M1509-R1508)*IF(E1509="FUTURE",VLOOKUP(MID(I1509,2,2),[1]Futures!$A$2:$B$12,2),1),"")</f>
        <v>109.99999999999943</v>
      </c>
    </row>
    <row r="1510" spans="1:19" x14ac:dyDescent="0.2">
      <c r="A1510">
        <f t="shared" si="71"/>
        <v>478</v>
      </c>
      <c r="B1510" s="3">
        <v>43991</v>
      </c>
      <c r="C1510" s="3" t="str">
        <f t="shared" si="70"/>
        <v>Tuesday</v>
      </c>
      <c r="D1510" s="2">
        <v>0.41719907407407408</v>
      </c>
      <c r="E1510" t="s">
        <v>14</v>
      </c>
      <c r="F1510" t="s">
        <v>15</v>
      </c>
      <c r="G1510">
        <v>-1</v>
      </c>
      <c r="H1510" t="s">
        <v>20</v>
      </c>
      <c r="I1510" t="s">
        <v>77</v>
      </c>
      <c r="J1510" s="1">
        <v>44063</v>
      </c>
      <c r="L1510" t="s">
        <v>14</v>
      </c>
      <c r="M1510">
        <v>38.159999999999997</v>
      </c>
      <c r="N1510">
        <v>38.159999999999997</v>
      </c>
      <c r="O1510" t="s">
        <v>21</v>
      </c>
      <c r="P1510">
        <f t="shared" si="72"/>
        <v>-1</v>
      </c>
      <c r="Q1510" s="11">
        <f>IF(P1510=0,0,IFERROR(Q1509+G1510*M1510*IF(E1510="FUTURE",VLOOKUP(MID(I1510,2,2),[1]Futures!$A$2:$B$12,2),1),G1510*M1510*IF(E1510="FUTURE",VLOOKUP(MID(I1510,2,2),[1]Futures!$A$2:$B$12,2),1)))</f>
        <v>-38160</v>
      </c>
      <c r="R1510" s="12">
        <f>IFERROR(Q1510/P1510/IF(E1510="FUTURE",VLOOKUP(MID(I1510,2,2),[1]Futures!$A$2:$B$12,2),1),"")</f>
        <v>38.159999999999997</v>
      </c>
      <c r="S1510" s="13" t="str">
        <f>IF(AND(H1510="TO CLOSE",P1510=0),-G1510*(M1510-R1509)*IF(E1510="FUTURE",VLOOKUP(MID(I1510,2,2),[1]Futures!$A$2:$B$12,2),1),"")</f>
        <v/>
      </c>
    </row>
    <row r="1511" spans="1:19" x14ac:dyDescent="0.2">
      <c r="A1511">
        <f t="shared" si="71"/>
        <v>478</v>
      </c>
      <c r="B1511" s="3">
        <v>43991</v>
      </c>
      <c r="C1511" s="3" t="str">
        <f t="shared" si="70"/>
        <v>Tuesday</v>
      </c>
      <c r="D1511" s="2">
        <v>0.41961805555555554</v>
      </c>
      <c r="E1511" t="s">
        <v>14</v>
      </c>
      <c r="F1511" t="s">
        <v>19</v>
      </c>
      <c r="G1511">
        <v>1</v>
      </c>
      <c r="H1511" t="s">
        <v>16</v>
      </c>
      <c r="I1511" t="s">
        <v>77</v>
      </c>
      <c r="J1511" s="1">
        <v>44063</v>
      </c>
      <c r="L1511" t="s">
        <v>14</v>
      </c>
      <c r="M1511">
        <v>38.11</v>
      </c>
      <c r="N1511">
        <v>38.11</v>
      </c>
      <c r="O1511" t="s">
        <v>21</v>
      </c>
      <c r="P1511">
        <f t="shared" si="72"/>
        <v>0</v>
      </c>
      <c r="Q1511" s="11">
        <f>IF(P1511=0,0,IFERROR(Q1510+G1511*M1511*IF(E1511="FUTURE",VLOOKUP(MID(I1511,2,2),[1]Futures!$A$2:$B$12,2),1),G1511*M1511*IF(E1511="FUTURE",VLOOKUP(MID(I1511,2,2),[1]Futures!$A$2:$B$12,2),1)))</f>
        <v>0</v>
      </c>
      <c r="R1511" s="12" t="str">
        <f>IFERROR(Q1511/P1511/IF(E1511="FUTURE",VLOOKUP(MID(I1511,2,2),[1]Futures!$A$2:$B$12,2),1),"")</f>
        <v/>
      </c>
      <c r="S1511" s="13">
        <f>IF(AND(H1511="TO CLOSE",P1511=0),-G1511*(M1511-R1510)*IF(E1511="FUTURE",VLOOKUP(MID(I1511,2,2),[1]Futures!$A$2:$B$12,2),1),"")</f>
        <v>49.999999999997158</v>
      </c>
    </row>
    <row r="1512" spans="1:19" x14ac:dyDescent="0.2">
      <c r="A1512">
        <f t="shared" si="71"/>
        <v>479</v>
      </c>
      <c r="B1512" s="3">
        <v>43991</v>
      </c>
      <c r="C1512" s="3" t="str">
        <f t="shared" si="70"/>
        <v>Tuesday</v>
      </c>
      <c r="D1512" s="2">
        <v>0.42866898148148147</v>
      </c>
      <c r="E1512" t="s">
        <v>14</v>
      </c>
      <c r="F1512" t="s">
        <v>19</v>
      </c>
      <c r="G1512">
        <v>1</v>
      </c>
      <c r="H1512" t="s">
        <v>20</v>
      </c>
      <c r="I1512" t="s">
        <v>77</v>
      </c>
      <c r="J1512" s="1">
        <v>44063</v>
      </c>
      <c r="L1512" t="s">
        <v>14</v>
      </c>
      <c r="M1512">
        <v>38.03</v>
      </c>
      <c r="N1512">
        <v>38.03</v>
      </c>
      <c r="O1512" t="s">
        <v>21</v>
      </c>
      <c r="P1512">
        <f t="shared" si="72"/>
        <v>1</v>
      </c>
      <c r="Q1512" s="11">
        <f>IF(P1512=0,0,IFERROR(Q1511+G1512*M1512*IF(E1512="FUTURE",VLOOKUP(MID(I1512,2,2),[1]Futures!$A$2:$B$12,2),1),G1512*M1512*IF(E1512="FUTURE",VLOOKUP(MID(I1512,2,2),[1]Futures!$A$2:$B$12,2),1)))</f>
        <v>38030</v>
      </c>
      <c r="R1512" s="12">
        <f>IFERROR(Q1512/P1512/IF(E1512="FUTURE",VLOOKUP(MID(I1512,2,2),[1]Futures!$A$2:$B$12,2),1),"")</f>
        <v>38.03</v>
      </c>
      <c r="S1512" s="13" t="str">
        <f>IF(AND(H1512="TO CLOSE",P1512=0),-G1512*(M1512-R1511)*IF(E1512="FUTURE",VLOOKUP(MID(I1512,2,2),[1]Futures!$A$2:$B$12,2),1),"")</f>
        <v/>
      </c>
    </row>
    <row r="1513" spans="1:19" x14ac:dyDescent="0.2">
      <c r="A1513">
        <f t="shared" si="71"/>
        <v>479</v>
      </c>
      <c r="B1513" s="3">
        <v>43991</v>
      </c>
      <c r="C1513" s="3" t="str">
        <f t="shared" si="70"/>
        <v>Tuesday</v>
      </c>
      <c r="D1513" s="2">
        <v>0.43474537037037037</v>
      </c>
      <c r="E1513" t="s">
        <v>14</v>
      </c>
      <c r="F1513" t="s">
        <v>15</v>
      </c>
      <c r="G1513">
        <v>-1</v>
      </c>
      <c r="H1513" t="s">
        <v>16</v>
      </c>
      <c r="I1513" t="s">
        <v>77</v>
      </c>
      <c r="J1513" s="1">
        <v>44063</v>
      </c>
      <c r="L1513" t="s">
        <v>14</v>
      </c>
      <c r="M1513">
        <v>38.200000000000003</v>
      </c>
      <c r="N1513">
        <v>38.200000000000003</v>
      </c>
      <c r="O1513" t="s">
        <v>21</v>
      </c>
      <c r="P1513">
        <f t="shared" si="72"/>
        <v>0</v>
      </c>
      <c r="Q1513" s="11">
        <f>IF(P1513=0,0,IFERROR(Q1512+G1513*M1513*IF(E1513="FUTURE",VLOOKUP(MID(I1513,2,2),[1]Futures!$A$2:$B$12,2),1),G1513*M1513*IF(E1513="FUTURE",VLOOKUP(MID(I1513,2,2),[1]Futures!$A$2:$B$12,2),1)))</f>
        <v>0</v>
      </c>
      <c r="R1513" s="12" t="str">
        <f>IFERROR(Q1513/P1513/IF(E1513="FUTURE",VLOOKUP(MID(I1513,2,2),[1]Futures!$A$2:$B$12,2),1),"")</f>
        <v/>
      </c>
      <c r="S1513" s="13">
        <f>IF(AND(H1513="TO CLOSE",P1513=0),-G1513*(M1513-R1512)*IF(E1513="FUTURE",VLOOKUP(MID(I1513,2,2),[1]Futures!$A$2:$B$12,2),1),"")</f>
        <v>170.00000000000171</v>
      </c>
    </row>
    <row r="1514" spans="1:19" x14ac:dyDescent="0.2">
      <c r="A1514">
        <f t="shared" si="71"/>
        <v>480</v>
      </c>
      <c r="B1514" s="3">
        <v>43991</v>
      </c>
      <c r="C1514" s="3" t="str">
        <f t="shared" si="70"/>
        <v>Tuesday</v>
      </c>
      <c r="D1514" s="2">
        <v>0.39802083333333332</v>
      </c>
      <c r="E1514" t="s">
        <v>14</v>
      </c>
      <c r="F1514" t="s">
        <v>19</v>
      </c>
      <c r="G1514">
        <v>1</v>
      </c>
      <c r="H1514" t="s">
        <v>20</v>
      </c>
      <c r="I1514" t="s">
        <v>17</v>
      </c>
      <c r="J1514" s="1">
        <v>44002</v>
      </c>
      <c r="L1514" t="s">
        <v>14</v>
      </c>
      <c r="M1514">
        <v>3195.75</v>
      </c>
      <c r="N1514">
        <v>3195.75</v>
      </c>
      <c r="O1514" t="s">
        <v>21</v>
      </c>
      <c r="P1514">
        <f t="shared" si="72"/>
        <v>1</v>
      </c>
      <c r="Q1514" s="11">
        <f>IF(P1514=0,0,IFERROR(Q1513+G1514*M1514*IF(E1514="FUTURE",VLOOKUP(MID(I1514,2,2),[1]Futures!$A$2:$B$12,2),1),G1514*M1514*IF(E1514="FUTURE",VLOOKUP(MID(I1514,2,2),[1]Futures!$A$2:$B$12,2),1)))</f>
        <v>159787.5</v>
      </c>
      <c r="R1514" s="12">
        <f>IFERROR(Q1514/P1514/IF(E1514="FUTURE",VLOOKUP(MID(I1514,2,2),[1]Futures!$A$2:$B$12,2),1),"")</f>
        <v>3195.75</v>
      </c>
      <c r="S1514" s="13" t="str">
        <f>IF(AND(H1514="TO CLOSE",P1514=0),-G1514*(M1514-R1513)*IF(E1514="FUTURE",VLOOKUP(MID(I1514,2,2),[1]Futures!$A$2:$B$12,2),1),"")</f>
        <v/>
      </c>
    </row>
    <row r="1515" spans="1:19" x14ac:dyDescent="0.2">
      <c r="A1515">
        <f t="shared" si="71"/>
        <v>480</v>
      </c>
      <c r="B1515" s="3">
        <v>43991</v>
      </c>
      <c r="C1515" s="3" t="str">
        <f t="shared" si="70"/>
        <v>Tuesday</v>
      </c>
      <c r="D1515" s="2">
        <v>0.39847222222222217</v>
      </c>
      <c r="E1515" t="s">
        <v>14</v>
      </c>
      <c r="F1515" t="s">
        <v>15</v>
      </c>
      <c r="G1515">
        <v>-1</v>
      </c>
      <c r="H1515" t="s">
        <v>16</v>
      </c>
      <c r="I1515" t="s">
        <v>17</v>
      </c>
      <c r="J1515" s="1">
        <v>44002</v>
      </c>
      <c r="L1515" t="s">
        <v>14</v>
      </c>
      <c r="M1515">
        <v>3198</v>
      </c>
      <c r="N1515">
        <v>3198</v>
      </c>
      <c r="O1515" t="s">
        <v>21</v>
      </c>
      <c r="P1515">
        <f t="shared" si="72"/>
        <v>0</v>
      </c>
      <c r="Q1515" s="11">
        <f>IF(P1515=0,0,IFERROR(Q1514+G1515*M1515*IF(E1515="FUTURE",VLOOKUP(MID(I1515,2,2),[1]Futures!$A$2:$B$12,2),1),G1515*M1515*IF(E1515="FUTURE",VLOOKUP(MID(I1515,2,2),[1]Futures!$A$2:$B$12,2),1)))</f>
        <v>0</v>
      </c>
      <c r="R1515" s="12" t="str">
        <f>IFERROR(Q1515/P1515/IF(E1515="FUTURE",VLOOKUP(MID(I1515,2,2),[1]Futures!$A$2:$B$12,2),1),"")</f>
        <v/>
      </c>
      <c r="S1515" s="13">
        <f>IF(AND(H1515="TO CLOSE",P1515=0),-G1515*(M1515-R1514)*IF(E1515="FUTURE",VLOOKUP(MID(I1515,2,2),[1]Futures!$A$2:$B$12,2),1),"")</f>
        <v>112.5</v>
      </c>
    </row>
    <row r="1516" spans="1:19" x14ac:dyDescent="0.2">
      <c r="A1516">
        <f t="shared" si="71"/>
        <v>481</v>
      </c>
      <c r="B1516" s="3">
        <v>43991</v>
      </c>
      <c r="C1516" s="3" t="str">
        <f t="shared" si="70"/>
        <v>Tuesday</v>
      </c>
      <c r="D1516" s="2">
        <v>0.42140046296296302</v>
      </c>
      <c r="E1516" t="s">
        <v>14</v>
      </c>
      <c r="F1516" t="s">
        <v>19</v>
      </c>
      <c r="G1516">
        <v>1</v>
      </c>
      <c r="H1516" t="s">
        <v>20</v>
      </c>
      <c r="I1516" t="s">
        <v>17</v>
      </c>
      <c r="J1516" s="1">
        <v>44002</v>
      </c>
      <c r="L1516" t="s">
        <v>14</v>
      </c>
      <c r="M1516">
        <v>3193.5</v>
      </c>
      <c r="N1516">
        <v>3193.5</v>
      </c>
      <c r="O1516" t="s">
        <v>21</v>
      </c>
      <c r="P1516">
        <f t="shared" si="72"/>
        <v>1</v>
      </c>
      <c r="Q1516" s="11">
        <f>IF(P1516=0,0,IFERROR(Q1515+G1516*M1516*IF(E1516="FUTURE",VLOOKUP(MID(I1516,2,2),[1]Futures!$A$2:$B$12,2),1),G1516*M1516*IF(E1516="FUTURE",VLOOKUP(MID(I1516,2,2),[1]Futures!$A$2:$B$12,2),1)))</f>
        <v>159675</v>
      </c>
      <c r="R1516" s="12">
        <f>IFERROR(Q1516/P1516/IF(E1516="FUTURE",VLOOKUP(MID(I1516,2,2),[1]Futures!$A$2:$B$12,2),1),"")</f>
        <v>3193.5</v>
      </c>
      <c r="S1516" s="13" t="str">
        <f>IF(AND(H1516="TO CLOSE",P1516=0),-G1516*(M1516-R1515)*IF(E1516="FUTURE",VLOOKUP(MID(I1516,2,2),[1]Futures!$A$2:$B$12,2),1),"")</f>
        <v/>
      </c>
    </row>
    <row r="1517" spans="1:19" x14ac:dyDescent="0.2">
      <c r="A1517">
        <f t="shared" si="71"/>
        <v>481</v>
      </c>
      <c r="B1517" s="3">
        <v>43991</v>
      </c>
      <c r="C1517" s="3" t="str">
        <f t="shared" si="70"/>
        <v>Tuesday</v>
      </c>
      <c r="D1517" s="2">
        <v>0.42166666666666663</v>
      </c>
      <c r="E1517" t="s">
        <v>14</v>
      </c>
      <c r="F1517" t="s">
        <v>15</v>
      </c>
      <c r="G1517">
        <v>-1</v>
      </c>
      <c r="H1517" t="s">
        <v>16</v>
      </c>
      <c r="I1517" t="s">
        <v>17</v>
      </c>
      <c r="J1517" s="1">
        <v>44002</v>
      </c>
      <c r="L1517" t="s">
        <v>14</v>
      </c>
      <c r="M1517">
        <v>3194.5</v>
      </c>
      <c r="N1517">
        <v>3194.5</v>
      </c>
      <c r="O1517" t="s">
        <v>21</v>
      </c>
      <c r="P1517">
        <f t="shared" si="72"/>
        <v>0</v>
      </c>
      <c r="Q1517" s="11">
        <f>IF(P1517=0,0,IFERROR(Q1516+G1517*M1517*IF(E1517="FUTURE",VLOOKUP(MID(I1517,2,2),[1]Futures!$A$2:$B$12,2),1),G1517*M1517*IF(E1517="FUTURE",VLOOKUP(MID(I1517,2,2),[1]Futures!$A$2:$B$12,2),1)))</f>
        <v>0</v>
      </c>
      <c r="R1517" s="12" t="str">
        <f>IFERROR(Q1517/P1517/IF(E1517="FUTURE",VLOOKUP(MID(I1517,2,2),[1]Futures!$A$2:$B$12,2),1),"")</f>
        <v/>
      </c>
      <c r="S1517" s="13">
        <f>IF(AND(H1517="TO CLOSE",P1517=0),-G1517*(M1517-R1516)*IF(E1517="FUTURE",VLOOKUP(MID(I1517,2,2),[1]Futures!$A$2:$B$12,2),1),"")</f>
        <v>50</v>
      </c>
    </row>
    <row r="1518" spans="1:19" x14ac:dyDescent="0.2">
      <c r="A1518">
        <f t="shared" si="71"/>
        <v>482</v>
      </c>
      <c r="B1518" s="3">
        <v>43991</v>
      </c>
      <c r="C1518" s="3" t="str">
        <f t="shared" si="70"/>
        <v>Tuesday</v>
      </c>
      <c r="D1518" s="2">
        <v>0.4238425925925926</v>
      </c>
      <c r="E1518" t="s">
        <v>14</v>
      </c>
      <c r="F1518" t="s">
        <v>19</v>
      </c>
      <c r="G1518">
        <v>1</v>
      </c>
      <c r="H1518" t="s">
        <v>20</v>
      </c>
      <c r="I1518" t="s">
        <v>17</v>
      </c>
      <c r="J1518" s="1">
        <v>44002</v>
      </c>
      <c r="L1518" t="s">
        <v>14</v>
      </c>
      <c r="M1518">
        <v>3194</v>
      </c>
      <c r="N1518">
        <v>3194</v>
      </c>
      <c r="O1518" t="s">
        <v>21</v>
      </c>
      <c r="P1518">
        <f t="shared" si="72"/>
        <v>1</v>
      </c>
      <c r="Q1518" s="11">
        <f>IF(P1518=0,0,IFERROR(Q1517+G1518*M1518*IF(E1518="FUTURE",VLOOKUP(MID(I1518,2,2),[1]Futures!$A$2:$B$12,2),1),G1518*M1518*IF(E1518="FUTURE",VLOOKUP(MID(I1518,2,2),[1]Futures!$A$2:$B$12,2),1)))</f>
        <v>159700</v>
      </c>
      <c r="R1518" s="12">
        <f>IFERROR(Q1518/P1518/IF(E1518="FUTURE",VLOOKUP(MID(I1518,2,2),[1]Futures!$A$2:$B$12,2),1),"")</f>
        <v>3194</v>
      </c>
      <c r="S1518" s="13" t="str">
        <f>IF(AND(H1518="TO CLOSE",P1518=0),-G1518*(M1518-R1517)*IF(E1518="FUTURE",VLOOKUP(MID(I1518,2,2),[1]Futures!$A$2:$B$12,2),1),"")</f>
        <v/>
      </c>
    </row>
    <row r="1519" spans="1:19" x14ac:dyDescent="0.2">
      <c r="A1519">
        <f t="shared" si="71"/>
        <v>482</v>
      </c>
      <c r="B1519" s="3">
        <v>43991</v>
      </c>
      <c r="C1519" s="3" t="str">
        <f t="shared" si="70"/>
        <v>Tuesday</v>
      </c>
      <c r="D1519" s="2">
        <v>0.43004629629629632</v>
      </c>
      <c r="E1519" t="s">
        <v>14</v>
      </c>
      <c r="F1519" t="s">
        <v>15</v>
      </c>
      <c r="G1519">
        <v>-1</v>
      </c>
      <c r="H1519" t="s">
        <v>16</v>
      </c>
      <c r="I1519" t="s">
        <v>17</v>
      </c>
      <c r="J1519" s="1">
        <v>44002</v>
      </c>
      <c r="L1519" t="s">
        <v>14</v>
      </c>
      <c r="M1519">
        <v>3197.25</v>
      </c>
      <c r="N1519">
        <v>3197.25</v>
      </c>
      <c r="O1519" t="s">
        <v>21</v>
      </c>
      <c r="P1519">
        <f t="shared" si="72"/>
        <v>0</v>
      </c>
      <c r="Q1519" s="11">
        <f>IF(P1519=0,0,IFERROR(Q1518+G1519*M1519*IF(E1519="FUTURE",VLOOKUP(MID(I1519,2,2),[1]Futures!$A$2:$B$12,2),1),G1519*M1519*IF(E1519="FUTURE",VLOOKUP(MID(I1519,2,2),[1]Futures!$A$2:$B$12,2),1)))</f>
        <v>0</v>
      </c>
      <c r="R1519" s="12" t="str">
        <f>IFERROR(Q1519/P1519/IF(E1519="FUTURE",VLOOKUP(MID(I1519,2,2),[1]Futures!$A$2:$B$12,2),1),"")</f>
        <v/>
      </c>
      <c r="S1519" s="13">
        <f>IF(AND(H1519="TO CLOSE",P1519=0),-G1519*(M1519-R1518)*IF(E1519="FUTURE",VLOOKUP(MID(I1519,2,2),[1]Futures!$A$2:$B$12,2),1),"")</f>
        <v>162.5</v>
      </c>
    </row>
    <row r="1520" spans="1:19" x14ac:dyDescent="0.2">
      <c r="A1520">
        <f t="shared" si="71"/>
        <v>483</v>
      </c>
      <c r="B1520" s="3">
        <v>43991</v>
      </c>
      <c r="C1520" s="3" t="str">
        <f t="shared" si="70"/>
        <v>Tuesday</v>
      </c>
      <c r="D1520" s="2">
        <v>0.40653935185185186</v>
      </c>
      <c r="E1520" t="s">
        <v>22</v>
      </c>
      <c r="F1520" t="s">
        <v>15</v>
      </c>
      <c r="G1520">
        <v>-272</v>
      </c>
      <c r="H1520" t="s">
        <v>20</v>
      </c>
      <c r="I1520" t="s">
        <v>23</v>
      </c>
      <c r="L1520" t="s">
        <v>22</v>
      </c>
      <c r="M1520">
        <v>30.61</v>
      </c>
      <c r="N1520">
        <v>30.61</v>
      </c>
      <c r="O1520" t="s">
        <v>21</v>
      </c>
      <c r="P1520">
        <f t="shared" si="72"/>
        <v>-272</v>
      </c>
      <c r="Q1520" s="11">
        <f>IF(P1520=0,0,IFERROR(Q1519+G1520*M1520*IF(E1520="FUTURE",VLOOKUP(MID(I1520,2,2),[1]Futures!$A$2:$B$12,2),1),G1520*M1520*IF(E1520="FUTURE",VLOOKUP(MID(I1520,2,2),[1]Futures!$A$2:$B$12,2),1)))</f>
        <v>-8325.92</v>
      </c>
      <c r="R1520" s="12">
        <f>IFERROR(Q1520/P1520/IF(E1520="FUTURE",VLOOKUP(MID(I1520,2,2),[1]Futures!$A$2:$B$12,2),1),"")</f>
        <v>30.61</v>
      </c>
      <c r="S1520" s="13" t="str">
        <f>IF(AND(H1520="TO CLOSE",P1520=0),-G1520*(M1520-R1519)*IF(E1520="FUTURE",VLOOKUP(MID(I1520,2,2),[1]Futures!$A$2:$B$12,2),1),"")</f>
        <v/>
      </c>
    </row>
    <row r="1521" spans="1:19" x14ac:dyDescent="0.2">
      <c r="A1521">
        <f t="shared" si="71"/>
        <v>483</v>
      </c>
      <c r="B1521" s="3">
        <v>43991</v>
      </c>
      <c r="C1521" s="3" t="str">
        <f t="shared" si="70"/>
        <v>Tuesday</v>
      </c>
      <c r="D1521" s="2">
        <v>0.40653935185185186</v>
      </c>
      <c r="E1521" t="s">
        <v>22</v>
      </c>
      <c r="F1521" t="s">
        <v>15</v>
      </c>
      <c r="G1521">
        <v>-28</v>
      </c>
      <c r="H1521" t="s">
        <v>20</v>
      </c>
      <c r="I1521" t="s">
        <v>23</v>
      </c>
      <c r="L1521" t="s">
        <v>22</v>
      </c>
      <c r="M1521">
        <v>30.61</v>
      </c>
      <c r="N1521">
        <v>30.61</v>
      </c>
      <c r="O1521" t="s">
        <v>21</v>
      </c>
      <c r="P1521">
        <f t="shared" si="72"/>
        <v>-300</v>
      </c>
      <c r="Q1521" s="11">
        <f>IF(P1521=0,0,IFERROR(Q1520+G1521*M1521*IF(E1521="FUTURE",VLOOKUP(MID(I1521,2,2),[1]Futures!$A$2:$B$12,2),1),G1521*M1521*IF(E1521="FUTURE",VLOOKUP(MID(I1521,2,2),[1]Futures!$A$2:$B$12,2),1)))</f>
        <v>-9183</v>
      </c>
      <c r="R1521" s="12">
        <f>IFERROR(Q1521/P1521/IF(E1521="FUTURE",VLOOKUP(MID(I1521,2,2),[1]Futures!$A$2:$B$12,2),1),"")</f>
        <v>30.61</v>
      </c>
      <c r="S1521" s="13" t="str">
        <f>IF(AND(H1521="TO CLOSE",P1521=0),-G1521*(M1521-R1520)*IF(E1521="FUTURE",VLOOKUP(MID(I1521,2,2),[1]Futures!$A$2:$B$12,2),1),"")</f>
        <v/>
      </c>
    </row>
    <row r="1522" spans="1:19" x14ac:dyDescent="0.2">
      <c r="A1522">
        <f t="shared" si="71"/>
        <v>483</v>
      </c>
      <c r="B1522" s="3">
        <v>43991</v>
      </c>
      <c r="C1522" s="3" t="str">
        <f t="shared" si="70"/>
        <v>Tuesday</v>
      </c>
      <c r="D1522" s="2">
        <v>0.40770833333333334</v>
      </c>
      <c r="E1522" t="s">
        <v>22</v>
      </c>
      <c r="F1522" t="s">
        <v>19</v>
      </c>
      <c r="G1522">
        <v>300</v>
      </c>
      <c r="H1522" t="s">
        <v>16</v>
      </c>
      <c r="I1522" t="s">
        <v>23</v>
      </c>
      <c r="L1522" t="s">
        <v>22</v>
      </c>
      <c r="M1522">
        <v>30.6099</v>
      </c>
      <c r="N1522">
        <v>30.6099</v>
      </c>
      <c r="O1522" t="s">
        <v>21</v>
      </c>
      <c r="P1522">
        <f t="shared" si="72"/>
        <v>0</v>
      </c>
      <c r="Q1522" s="11">
        <f>IF(P1522=0,0,IFERROR(Q1521+G1522*M1522*IF(E1522="FUTURE",VLOOKUP(MID(I1522,2,2),[1]Futures!$A$2:$B$12,2),1),G1522*M1522*IF(E1522="FUTURE",VLOOKUP(MID(I1522,2,2),[1]Futures!$A$2:$B$12,2),1)))</f>
        <v>0</v>
      </c>
      <c r="R1522" s="12" t="str">
        <f>IFERROR(Q1522/P1522/IF(E1522="FUTURE",VLOOKUP(MID(I1522,2,2),[1]Futures!$A$2:$B$12,2),1),"")</f>
        <v/>
      </c>
      <c r="S1522" s="13">
        <f>IF(AND(H1522="TO CLOSE",P1522=0),-G1522*(M1522-R1521)*IF(E1522="FUTURE",VLOOKUP(MID(I1522,2,2),[1]Futures!$A$2:$B$12,2),1),"")</f>
        <v>2.9999999999930083E-2</v>
      </c>
    </row>
    <row r="1523" spans="1:19" x14ac:dyDescent="0.2">
      <c r="A1523">
        <f t="shared" si="71"/>
        <v>484</v>
      </c>
      <c r="B1523" s="3">
        <v>43992</v>
      </c>
      <c r="C1523" s="3" t="str">
        <f t="shared" si="70"/>
        <v>Wednesday</v>
      </c>
      <c r="D1523" s="2">
        <v>0.4289930555555555</v>
      </c>
      <c r="E1523" t="s">
        <v>14</v>
      </c>
      <c r="F1523" t="s">
        <v>15</v>
      </c>
      <c r="G1523">
        <v>-1</v>
      </c>
      <c r="H1523" t="s">
        <v>20</v>
      </c>
      <c r="I1523" t="s">
        <v>77</v>
      </c>
      <c r="J1523" s="1">
        <v>44063</v>
      </c>
      <c r="L1523" t="s">
        <v>14</v>
      </c>
      <c r="M1523">
        <v>38.29</v>
      </c>
      <c r="N1523">
        <v>38.29</v>
      </c>
      <c r="O1523" t="s">
        <v>21</v>
      </c>
      <c r="P1523">
        <f t="shared" si="72"/>
        <v>-1</v>
      </c>
      <c r="Q1523" s="11">
        <f>IF(P1523=0,0,IFERROR(Q1522+G1523*M1523*IF(E1523="FUTURE",VLOOKUP(MID(I1523,2,2),[1]Futures!$A$2:$B$12,2),1),G1523*M1523*IF(E1523="FUTURE",VLOOKUP(MID(I1523,2,2),[1]Futures!$A$2:$B$12,2),1)))</f>
        <v>-38290</v>
      </c>
      <c r="R1523" s="12">
        <f>IFERROR(Q1523/P1523/IF(E1523="FUTURE",VLOOKUP(MID(I1523,2,2),[1]Futures!$A$2:$B$12,2),1),"")</f>
        <v>38.29</v>
      </c>
      <c r="S1523" s="13" t="str">
        <f>IF(AND(H1523="TO CLOSE",P1523=0),-G1523*(M1523-R1522)*IF(E1523="FUTURE",VLOOKUP(MID(I1523,2,2),[1]Futures!$A$2:$B$12,2),1),"")</f>
        <v/>
      </c>
    </row>
    <row r="1524" spans="1:19" x14ac:dyDescent="0.2">
      <c r="A1524">
        <f t="shared" si="71"/>
        <v>484</v>
      </c>
      <c r="B1524" s="3">
        <v>43992</v>
      </c>
      <c r="C1524" s="3" t="str">
        <f t="shared" si="70"/>
        <v>Wednesday</v>
      </c>
      <c r="D1524" s="2">
        <v>0.43236111111111114</v>
      </c>
      <c r="E1524" t="s">
        <v>14</v>
      </c>
      <c r="F1524" t="s">
        <v>19</v>
      </c>
      <c r="G1524">
        <v>1</v>
      </c>
      <c r="H1524" t="s">
        <v>16</v>
      </c>
      <c r="I1524" t="s">
        <v>77</v>
      </c>
      <c r="J1524" s="1">
        <v>44063</v>
      </c>
      <c r="L1524" t="s">
        <v>14</v>
      </c>
      <c r="M1524">
        <v>38.24</v>
      </c>
      <c r="N1524">
        <v>38.24</v>
      </c>
      <c r="O1524" t="s">
        <v>21</v>
      </c>
      <c r="P1524">
        <f t="shared" si="72"/>
        <v>0</v>
      </c>
      <c r="Q1524" s="11">
        <f>IF(P1524=0,0,IFERROR(Q1523+G1524*M1524*IF(E1524="FUTURE",VLOOKUP(MID(I1524,2,2),[1]Futures!$A$2:$B$12,2),1),G1524*M1524*IF(E1524="FUTURE",VLOOKUP(MID(I1524,2,2),[1]Futures!$A$2:$B$12,2),1)))</f>
        <v>0</v>
      </c>
      <c r="R1524" s="12" t="str">
        <f>IFERROR(Q1524/P1524/IF(E1524="FUTURE",VLOOKUP(MID(I1524,2,2),[1]Futures!$A$2:$B$12,2),1),"")</f>
        <v/>
      </c>
      <c r="S1524" s="13">
        <f>IF(AND(H1524="TO CLOSE",P1524=0),-G1524*(M1524-R1523)*IF(E1524="FUTURE",VLOOKUP(MID(I1524,2,2),[1]Futures!$A$2:$B$12,2),1),"")</f>
        <v>49.999999999997158</v>
      </c>
    </row>
    <row r="1525" spans="1:19" x14ac:dyDescent="0.2">
      <c r="A1525">
        <f t="shared" si="71"/>
        <v>485</v>
      </c>
      <c r="B1525" s="3">
        <v>43992</v>
      </c>
      <c r="C1525" s="3" t="str">
        <f t="shared" si="70"/>
        <v>Wednesday</v>
      </c>
      <c r="D1525" s="2">
        <v>0.43796296296296294</v>
      </c>
      <c r="E1525" t="s">
        <v>14</v>
      </c>
      <c r="F1525" t="s">
        <v>19</v>
      </c>
      <c r="G1525">
        <v>1</v>
      </c>
      <c r="H1525" t="s">
        <v>20</v>
      </c>
      <c r="I1525" t="s">
        <v>77</v>
      </c>
      <c r="J1525" s="1">
        <v>44063</v>
      </c>
      <c r="L1525" t="s">
        <v>14</v>
      </c>
      <c r="M1525">
        <v>38.299999999999997</v>
      </c>
      <c r="N1525">
        <v>38.299999999999997</v>
      </c>
      <c r="O1525" t="s">
        <v>24</v>
      </c>
      <c r="P1525">
        <f t="shared" si="72"/>
        <v>1</v>
      </c>
      <c r="Q1525" s="11">
        <f>IF(P1525=0,0,IFERROR(Q1524+G1525*M1525*IF(E1525="FUTURE",VLOOKUP(MID(I1525,2,2),[1]Futures!$A$2:$B$12,2),1),G1525*M1525*IF(E1525="FUTURE",VLOOKUP(MID(I1525,2,2),[1]Futures!$A$2:$B$12,2),1)))</f>
        <v>38300</v>
      </c>
      <c r="R1525" s="12">
        <f>IFERROR(Q1525/P1525/IF(E1525="FUTURE",VLOOKUP(MID(I1525,2,2),[1]Futures!$A$2:$B$12,2),1),"")</f>
        <v>38.299999999999997</v>
      </c>
      <c r="S1525" s="13" t="str">
        <f>IF(AND(H1525="TO CLOSE",P1525=0),-G1525*(M1525-R1524)*IF(E1525="FUTURE",VLOOKUP(MID(I1525,2,2),[1]Futures!$A$2:$B$12,2),1),"")</f>
        <v/>
      </c>
    </row>
    <row r="1526" spans="1:19" x14ac:dyDescent="0.2">
      <c r="A1526">
        <f t="shared" si="71"/>
        <v>485</v>
      </c>
      <c r="B1526" s="3">
        <v>43992</v>
      </c>
      <c r="C1526" s="3" t="str">
        <f t="shared" si="70"/>
        <v>Wednesday</v>
      </c>
      <c r="D1526" s="2">
        <v>0.45005787037037037</v>
      </c>
      <c r="E1526" t="s">
        <v>14</v>
      </c>
      <c r="F1526" t="s">
        <v>15</v>
      </c>
      <c r="G1526">
        <v>-1</v>
      </c>
      <c r="H1526" t="s">
        <v>16</v>
      </c>
      <c r="I1526" t="s">
        <v>77</v>
      </c>
      <c r="J1526" s="1">
        <v>44063</v>
      </c>
      <c r="L1526" t="s">
        <v>14</v>
      </c>
      <c r="M1526">
        <v>38.36</v>
      </c>
      <c r="N1526">
        <v>38.36</v>
      </c>
      <c r="O1526" t="s">
        <v>21</v>
      </c>
      <c r="P1526">
        <f t="shared" si="72"/>
        <v>0</v>
      </c>
      <c r="Q1526" s="11">
        <f>IF(P1526=0,0,IFERROR(Q1525+G1526*M1526*IF(E1526="FUTURE",VLOOKUP(MID(I1526,2,2),[1]Futures!$A$2:$B$12,2),1),G1526*M1526*IF(E1526="FUTURE",VLOOKUP(MID(I1526,2,2),[1]Futures!$A$2:$B$12,2),1)))</f>
        <v>0</v>
      </c>
      <c r="R1526" s="12" t="str">
        <f>IFERROR(Q1526/P1526/IF(E1526="FUTURE",VLOOKUP(MID(I1526,2,2),[1]Futures!$A$2:$B$12,2),1),"")</f>
        <v/>
      </c>
      <c r="S1526" s="13">
        <f>IF(AND(H1526="TO CLOSE",P1526=0),-G1526*(M1526-R1525)*IF(E1526="FUTURE",VLOOKUP(MID(I1526,2,2),[1]Futures!$A$2:$B$12,2),1),"")</f>
        <v>60.000000000002274</v>
      </c>
    </row>
    <row r="1527" spans="1:19" x14ac:dyDescent="0.2">
      <c r="A1527">
        <f t="shared" si="71"/>
        <v>486</v>
      </c>
      <c r="B1527" s="3">
        <v>43992</v>
      </c>
      <c r="C1527" s="3" t="str">
        <f t="shared" si="70"/>
        <v>Wednesday</v>
      </c>
      <c r="D1527" s="2">
        <v>0.45126157407407402</v>
      </c>
      <c r="E1527" t="s">
        <v>14</v>
      </c>
      <c r="F1527" t="s">
        <v>19</v>
      </c>
      <c r="G1527">
        <v>2</v>
      </c>
      <c r="H1527" t="s">
        <v>20</v>
      </c>
      <c r="I1527" t="s">
        <v>77</v>
      </c>
      <c r="J1527" s="1">
        <v>44063</v>
      </c>
      <c r="L1527" t="s">
        <v>14</v>
      </c>
      <c r="M1527">
        <v>38.450000000000003</v>
      </c>
      <c r="N1527">
        <v>38.450000000000003</v>
      </c>
      <c r="O1527" t="s">
        <v>24</v>
      </c>
      <c r="P1527">
        <f t="shared" si="72"/>
        <v>2</v>
      </c>
      <c r="Q1527" s="11">
        <f>IF(P1527=0,0,IFERROR(Q1526+G1527*M1527*IF(E1527="FUTURE",VLOOKUP(MID(I1527,2,2),[1]Futures!$A$2:$B$12,2),1),G1527*M1527*IF(E1527="FUTURE",VLOOKUP(MID(I1527,2,2),[1]Futures!$A$2:$B$12,2),1)))</f>
        <v>76900</v>
      </c>
      <c r="R1527" s="12">
        <f>IFERROR(Q1527/P1527/IF(E1527="FUTURE",VLOOKUP(MID(I1527,2,2),[1]Futures!$A$2:$B$12,2),1),"")</f>
        <v>38.450000000000003</v>
      </c>
      <c r="S1527" s="13" t="str">
        <f>IF(AND(H1527="TO CLOSE",P1527=0),-G1527*(M1527-R1526)*IF(E1527="FUTURE",VLOOKUP(MID(I1527,2,2),[1]Futures!$A$2:$B$12,2),1),"")</f>
        <v/>
      </c>
    </row>
    <row r="1528" spans="1:19" x14ac:dyDescent="0.2">
      <c r="A1528">
        <f t="shared" si="71"/>
        <v>486</v>
      </c>
      <c r="B1528" s="3">
        <v>43992</v>
      </c>
      <c r="C1528" s="3" t="str">
        <f t="shared" si="70"/>
        <v>Wednesday</v>
      </c>
      <c r="D1528" s="2">
        <v>0.45319444444444446</v>
      </c>
      <c r="E1528" t="s">
        <v>14</v>
      </c>
      <c r="F1528" t="s">
        <v>15</v>
      </c>
      <c r="G1528">
        <v>-1</v>
      </c>
      <c r="H1528" t="s">
        <v>16</v>
      </c>
      <c r="I1528" t="s">
        <v>77</v>
      </c>
      <c r="J1528" s="1">
        <v>44063</v>
      </c>
      <c r="L1528" t="s">
        <v>14</v>
      </c>
      <c r="M1528">
        <v>38.21</v>
      </c>
      <c r="N1528">
        <v>38.21</v>
      </c>
      <c r="O1528" t="s">
        <v>21</v>
      </c>
      <c r="P1528">
        <f t="shared" si="72"/>
        <v>1</v>
      </c>
      <c r="Q1528" s="11">
        <f>IF(P1528=0,0,IFERROR(Q1527+G1528*M1528*IF(E1528="FUTURE",VLOOKUP(MID(I1528,2,2),[1]Futures!$A$2:$B$12,2),1),G1528*M1528*IF(E1528="FUTURE",VLOOKUP(MID(I1528,2,2),[1]Futures!$A$2:$B$12,2),1)))</f>
        <v>38690</v>
      </c>
      <c r="R1528" s="12">
        <f>IFERROR(Q1528/P1528/IF(E1528="FUTURE",VLOOKUP(MID(I1528,2,2),[1]Futures!$A$2:$B$12,2),1),"")</f>
        <v>38.69</v>
      </c>
      <c r="S1528" s="13" t="str">
        <f>IF(AND(H1528="TO CLOSE",P1528=0),-G1528*(M1528-R1527)*IF(E1528="FUTURE",VLOOKUP(MID(I1528,2,2),[1]Futures!$A$2:$B$12,2),1),"")</f>
        <v/>
      </c>
    </row>
    <row r="1529" spans="1:19" x14ac:dyDescent="0.2">
      <c r="A1529">
        <f t="shared" si="71"/>
        <v>486</v>
      </c>
      <c r="B1529" s="3">
        <v>43992</v>
      </c>
      <c r="C1529" s="3" t="str">
        <f t="shared" si="70"/>
        <v>Wednesday</v>
      </c>
      <c r="D1529" s="2">
        <v>0.45319444444444446</v>
      </c>
      <c r="E1529" t="s">
        <v>14</v>
      </c>
      <c r="F1529" t="s">
        <v>15</v>
      </c>
      <c r="G1529">
        <v>-1</v>
      </c>
      <c r="H1529" t="s">
        <v>16</v>
      </c>
      <c r="I1529" t="s">
        <v>77</v>
      </c>
      <c r="J1529" s="1">
        <v>44063</v>
      </c>
      <c r="L1529" t="s">
        <v>14</v>
      </c>
      <c r="M1529">
        <v>38.21</v>
      </c>
      <c r="N1529">
        <v>38.21</v>
      </c>
      <c r="O1529" t="s">
        <v>21</v>
      </c>
      <c r="P1529">
        <f t="shared" si="72"/>
        <v>0</v>
      </c>
      <c r="Q1529" s="11">
        <f>IF(P1529=0,0,IFERROR(Q1528+G1529*M1529*IF(E1529="FUTURE",VLOOKUP(MID(I1529,2,2),[1]Futures!$A$2:$B$12,2),1),G1529*M1529*IF(E1529="FUTURE",VLOOKUP(MID(I1529,2,2),[1]Futures!$A$2:$B$12,2),1)))</f>
        <v>0</v>
      </c>
      <c r="R1529" s="12" t="str">
        <f>IFERROR(Q1529/P1529/IF(E1529="FUTURE",VLOOKUP(MID(I1529,2,2),[1]Futures!$A$2:$B$12,2),1),"")</f>
        <v/>
      </c>
      <c r="S1529" s="13">
        <f>IF(AND(H1529="TO CLOSE",P1529=0),-G1529*(M1529-R1528)*IF(E1529="FUTURE",VLOOKUP(MID(I1529,2,2),[1]Futures!$A$2:$B$12,2),1),"")</f>
        <v>-479.99999999999687</v>
      </c>
    </row>
    <row r="1530" spans="1:19" x14ac:dyDescent="0.2">
      <c r="A1530">
        <f t="shared" si="71"/>
        <v>487</v>
      </c>
      <c r="B1530" s="3">
        <v>43992</v>
      </c>
      <c r="C1530" s="3" t="str">
        <f t="shared" si="70"/>
        <v>Wednesday</v>
      </c>
      <c r="D1530" s="2">
        <v>0.45488425925925924</v>
      </c>
      <c r="E1530" t="s">
        <v>14</v>
      </c>
      <c r="F1530" t="s">
        <v>15</v>
      </c>
      <c r="G1530">
        <v>-2</v>
      </c>
      <c r="H1530" t="s">
        <v>20</v>
      </c>
      <c r="I1530" t="s">
        <v>77</v>
      </c>
      <c r="J1530" s="1">
        <v>44063</v>
      </c>
      <c r="L1530" t="s">
        <v>14</v>
      </c>
      <c r="M1530">
        <v>38.200000000000003</v>
      </c>
      <c r="N1530">
        <v>38.200000000000003</v>
      </c>
      <c r="O1530" t="s">
        <v>24</v>
      </c>
      <c r="P1530">
        <f t="shared" si="72"/>
        <v>-2</v>
      </c>
      <c r="Q1530" s="11">
        <f>IF(P1530=0,0,IFERROR(Q1529+G1530*M1530*IF(E1530="FUTURE",VLOOKUP(MID(I1530,2,2),[1]Futures!$A$2:$B$12,2),1),G1530*M1530*IF(E1530="FUTURE",VLOOKUP(MID(I1530,2,2),[1]Futures!$A$2:$B$12,2),1)))</f>
        <v>-76400</v>
      </c>
      <c r="R1530" s="12">
        <f>IFERROR(Q1530/P1530/IF(E1530="FUTURE",VLOOKUP(MID(I1530,2,2),[1]Futures!$A$2:$B$12,2),1),"")</f>
        <v>38.200000000000003</v>
      </c>
      <c r="S1530" s="13" t="str">
        <f>IF(AND(H1530="TO CLOSE",P1530=0),-G1530*(M1530-R1529)*IF(E1530="FUTURE",VLOOKUP(MID(I1530,2,2),[1]Futures!$A$2:$B$12,2),1),"")</f>
        <v/>
      </c>
    </row>
    <row r="1531" spans="1:19" x14ac:dyDescent="0.2">
      <c r="A1531">
        <f t="shared" si="71"/>
        <v>487</v>
      </c>
      <c r="B1531" s="3">
        <v>43992</v>
      </c>
      <c r="C1531" s="3" t="str">
        <f t="shared" si="70"/>
        <v>Wednesday</v>
      </c>
      <c r="D1531" s="2">
        <v>0.45935185185185184</v>
      </c>
      <c r="E1531" t="s">
        <v>14</v>
      </c>
      <c r="F1531" t="s">
        <v>19</v>
      </c>
      <c r="G1531">
        <v>1</v>
      </c>
      <c r="H1531" t="s">
        <v>16</v>
      </c>
      <c r="I1531" t="s">
        <v>77</v>
      </c>
      <c r="J1531" s="1">
        <v>44063</v>
      </c>
      <c r="L1531" t="s">
        <v>14</v>
      </c>
      <c r="M1531">
        <v>38.299999999999997</v>
      </c>
      <c r="N1531">
        <v>38.299999999999997</v>
      </c>
      <c r="O1531" t="s">
        <v>18</v>
      </c>
      <c r="P1531">
        <f t="shared" si="72"/>
        <v>-1</v>
      </c>
      <c r="Q1531" s="11">
        <f>IF(P1531=0,0,IFERROR(Q1530+G1531*M1531*IF(E1531="FUTURE",VLOOKUP(MID(I1531,2,2),[1]Futures!$A$2:$B$12,2),1),G1531*M1531*IF(E1531="FUTURE",VLOOKUP(MID(I1531,2,2),[1]Futures!$A$2:$B$12,2),1)))</f>
        <v>-38100</v>
      </c>
      <c r="R1531" s="12">
        <f>IFERROR(Q1531/P1531/IF(E1531="FUTURE",VLOOKUP(MID(I1531,2,2),[1]Futures!$A$2:$B$12,2),1),"")</f>
        <v>38.1</v>
      </c>
      <c r="S1531" s="13" t="str">
        <f>IF(AND(H1531="TO CLOSE",P1531=0),-G1531*(M1531-R1530)*IF(E1531="FUTURE",VLOOKUP(MID(I1531,2,2),[1]Futures!$A$2:$B$12,2),1),"")</f>
        <v/>
      </c>
    </row>
    <row r="1532" spans="1:19" x14ac:dyDescent="0.2">
      <c r="A1532">
        <f t="shared" si="71"/>
        <v>487</v>
      </c>
      <c r="B1532" s="3">
        <v>43992</v>
      </c>
      <c r="C1532" s="3" t="str">
        <f t="shared" si="70"/>
        <v>Wednesday</v>
      </c>
      <c r="D1532" s="2">
        <v>0.45935185185185184</v>
      </c>
      <c r="E1532" t="s">
        <v>14</v>
      </c>
      <c r="F1532" t="s">
        <v>19</v>
      </c>
      <c r="G1532">
        <v>1</v>
      </c>
      <c r="H1532" t="s">
        <v>16</v>
      </c>
      <c r="I1532" t="s">
        <v>77</v>
      </c>
      <c r="J1532" s="1">
        <v>44063</v>
      </c>
      <c r="L1532" t="s">
        <v>14</v>
      </c>
      <c r="M1532">
        <v>38.299999999999997</v>
      </c>
      <c r="N1532">
        <v>38.299999999999997</v>
      </c>
      <c r="O1532" t="s">
        <v>18</v>
      </c>
      <c r="P1532">
        <f t="shared" si="72"/>
        <v>0</v>
      </c>
      <c r="Q1532" s="11">
        <f>IF(P1532=0,0,IFERROR(Q1531+G1532*M1532*IF(E1532="FUTURE",VLOOKUP(MID(I1532,2,2),[1]Futures!$A$2:$B$12,2),1),G1532*M1532*IF(E1532="FUTURE",VLOOKUP(MID(I1532,2,2),[1]Futures!$A$2:$B$12,2),1)))</f>
        <v>0</v>
      </c>
      <c r="R1532" s="12" t="str">
        <f>IFERROR(Q1532/P1532/IF(E1532="FUTURE",VLOOKUP(MID(I1532,2,2),[1]Futures!$A$2:$B$12,2),1),"")</f>
        <v/>
      </c>
      <c r="S1532" s="13">
        <f>IF(AND(H1532="TO CLOSE",P1532=0),-G1532*(M1532-R1531)*IF(E1532="FUTURE",VLOOKUP(MID(I1532,2,2),[1]Futures!$A$2:$B$12,2),1),"")</f>
        <v>-199.99999999999574</v>
      </c>
    </row>
    <row r="1533" spans="1:19" x14ac:dyDescent="0.2">
      <c r="A1533">
        <f t="shared" si="71"/>
        <v>488</v>
      </c>
      <c r="B1533" s="3">
        <v>43992</v>
      </c>
      <c r="C1533" s="3" t="str">
        <f t="shared" si="70"/>
        <v>Wednesday</v>
      </c>
      <c r="D1533" s="2">
        <v>0.46165509259259258</v>
      </c>
      <c r="E1533" t="s">
        <v>14</v>
      </c>
      <c r="F1533" t="s">
        <v>19</v>
      </c>
      <c r="G1533">
        <v>1</v>
      </c>
      <c r="H1533" t="s">
        <v>20</v>
      </c>
      <c r="I1533" t="s">
        <v>77</v>
      </c>
      <c r="J1533" s="1">
        <v>44063</v>
      </c>
      <c r="L1533" t="s">
        <v>14</v>
      </c>
      <c r="M1533">
        <v>38.39</v>
      </c>
      <c r="N1533">
        <v>38.39</v>
      </c>
      <c r="O1533" t="s">
        <v>24</v>
      </c>
      <c r="P1533">
        <f t="shared" si="72"/>
        <v>1</v>
      </c>
      <c r="Q1533" s="11">
        <f>IF(P1533=0,0,IFERROR(Q1532+G1533*M1533*IF(E1533="FUTURE",VLOOKUP(MID(I1533,2,2),[1]Futures!$A$2:$B$12,2),1),G1533*M1533*IF(E1533="FUTURE",VLOOKUP(MID(I1533,2,2),[1]Futures!$A$2:$B$12,2),1)))</f>
        <v>38390</v>
      </c>
      <c r="R1533" s="12">
        <f>IFERROR(Q1533/P1533/IF(E1533="FUTURE",VLOOKUP(MID(I1533,2,2),[1]Futures!$A$2:$B$12,2),1),"")</f>
        <v>38.39</v>
      </c>
      <c r="S1533" s="13" t="str">
        <f>IF(AND(H1533="TO CLOSE",P1533=0),-G1533*(M1533-R1532)*IF(E1533="FUTURE",VLOOKUP(MID(I1533,2,2),[1]Futures!$A$2:$B$12,2),1),"")</f>
        <v/>
      </c>
    </row>
    <row r="1534" spans="1:19" x14ac:dyDescent="0.2">
      <c r="A1534">
        <f t="shared" si="71"/>
        <v>488</v>
      </c>
      <c r="B1534" s="3">
        <v>43992</v>
      </c>
      <c r="C1534" s="3" t="str">
        <f t="shared" ref="C1534:C1597" si="73">IF(WEEKDAY(B1534,2)=1,"Monday",IF(WEEKDAY(B1534,2)=2,"Tuesday",IF(WEEKDAY(B1534,2)=3,"Wednesday",IF(WEEKDAY(B1534,2)=4,"Thursday",IF(WEEKDAY(B1534,2)=5,"Friday","Sunday")))))</f>
        <v>Wednesday</v>
      </c>
      <c r="D1534" s="2">
        <v>0.47166666666666668</v>
      </c>
      <c r="E1534" t="s">
        <v>14</v>
      </c>
      <c r="F1534" t="s">
        <v>15</v>
      </c>
      <c r="G1534">
        <v>-1</v>
      </c>
      <c r="H1534" t="s">
        <v>16</v>
      </c>
      <c r="I1534" t="s">
        <v>77</v>
      </c>
      <c r="J1534" s="1">
        <v>44063</v>
      </c>
      <c r="L1534" t="s">
        <v>14</v>
      </c>
      <c r="M1534">
        <v>38.51</v>
      </c>
      <c r="N1534">
        <v>38.51</v>
      </c>
      <c r="O1534" t="s">
        <v>21</v>
      </c>
      <c r="P1534">
        <f t="shared" si="72"/>
        <v>0</v>
      </c>
      <c r="Q1534" s="11">
        <f>IF(P1534=0,0,IFERROR(Q1533+G1534*M1534*IF(E1534="FUTURE",VLOOKUP(MID(I1534,2,2),[1]Futures!$A$2:$B$12,2),1),G1534*M1534*IF(E1534="FUTURE",VLOOKUP(MID(I1534,2,2),[1]Futures!$A$2:$B$12,2),1)))</f>
        <v>0</v>
      </c>
      <c r="R1534" s="12" t="str">
        <f>IFERROR(Q1534/P1534/IF(E1534="FUTURE",VLOOKUP(MID(I1534,2,2),[1]Futures!$A$2:$B$12,2),1),"")</f>
        <v/>
      </c>
      <c r="S1534" s="13">
        <f>IF(AND(H1534="TO CLOSE",P1534=0),-G1534*(M1534-R1533)*IF(E1534="FUTURE",VLOOKUP(MID(I1534,2,2),[1]Futures!$A$2:$B$12,2),1),"")</f>
        <v>119.99999999999744</v>
      </c>
    </row>
    <row r="1535" spans="1:19" x14ac:dyDescent="0.2">
      <c r="A1535">
        <f t="shared" si="71"/>
        <v>489</v>
      </c>
      <c r="B1535" s="3">
        <v>43992</v>
      </c>
      <c r="C1535" s="3" t="str">
        <f t="shared" si="73"/>
        <v>Wednesday</v>
      </c>
      <c r="D1535" s="2">
        <v>0.47444444444444445</v>
      </c>
      <c r="E1535" t="s">
        <v>14</v>
      </c>
      <c r="F1535" t="s">
        <v>19</v>
      </c>
      <c r="G1535">
        <v>2</v>
      </c>
      <c r="H1535" t="s">
        <v>20</v>
      </c>
      <c r="I1535" t="s">
        <v>77</v>
      </c>
      <c r="J1535" s="1">
        <v>44063</v>
      </c>
      <c r="L1535" t="s">
        <v>14</v>
      </c>
      <c r="M1535">
        <v>38.68</v>
      </c>
      <c r="N1535">
        <v>38.68</v>
      </c>
      <c r="O1535" t="s">
        <v>24</v>
      </c>
      <c r="P1535">
        <f t="shared" si="72"/>
        <v>2</v>
      </c>
      <c r="Q1535" s="11">
        <f>IF(P1535=0,0,IFERROR(Q1534+G1535*M1535*IF(E1535="FUTURE",VLOOKUP(MID(I1535,2,2),[1]Futures!$A$2:$B$12,2),1),G1535*M1535*IF(E1535="FUTURE",VLOOKUP(MID(I1535,2,2),[1]Futures!$A$2:$B$12,2),1)))</f>
        <v>77360</v>
      </c>
      <c r="R1535" s="12">
        <f>IFERROR(Q1535/P1535/IF(E1535="FUTURE",VLOOKUP(MID(I1535,2,2),[1]Futures!$A$2:$B$12,2),1),"")</f>
        <v>38.68</v>
      </c>
      <c r="S1535" s="13" t="str">
        <f>IF(AND(H1535="TO CLOSE",P1535=0),-G1535*(M1535-R1534)*IF(E1535="FUTURE",VLOOKUP(MID(I1535,2,2),[1]Futures!$A$2:$B$12,2),1),"")</f>
        <v/>
      </c>
    </row>
    <row r="1536" spans="1:19" x14ac:dyDescent="0.2">
      <c r="A1536">
        <f t="shared" si="71"/>
        <v>489</v>
      </c>
      <c r="B1536" s="3">
        <v>43992</v>
      </c>
      <c r="C1536" s="3" t="str">
        <f t="shared" si="73"/>
        <v>Wednesday</v>
      </c>
      <c r="D1536" s="2">
        <v>0.47460648148148149</v>
      </c>
      <c r="E1536" t="s">
        <v>14</v>
      </c>
      <c r="F1536" t="s">
        <v>15</v>
      </c>
      <c r="G1536">
        <v>-1</v>
      </c>
      <c r="H1536" t="s">
        <v>16</v>
      </c>
      <c r="I1536" t="s">
        <v>77</v>
      </c>
      <c r="J1536" s="1">
        <v>44063</v>
      </c>
      <c r="L1536" t="s">
        <v>14</v>
      </c>
      <c r="M1536">
        <v>38.79</v>
      </c>
      <c r="N1536">
        <v>38.79</v>
      </c>
      <c r="O1536" t="s">
        <v>21</v>
      </c>
      <c r="P1536">
        <f t="shared" si="72"/>
        <v>1</v>
      </c>
      <c r="Q1536" s="11">
        <f>IF(P1536=0,0,IFERROR(Q1535+G1536*M1536*IF(E1536="FUTURE",VLOOKUP(MID(I1536,2,2),[1]Futures!$A$2:$B$12,2),1),G1536*M1536*IF(E1536="FUTURE",VLOOKUP(MID(I1536,2,2),[1]Futures!$A$2:$B$12,2),1)))</f>
        <v>38570</v>
      </c>
      <c r="R1536" s="12">
        <f>IFERROR(Q1536/P1536/IF(E1536="FUTURE",VLOOKUP(MID(I1536,2,2),[1]Futures!$A$2:$B$12,2),1),"")</f>
        <v>38.57</v>
      </c>
      <c r="S1536" s="13" t="str">
        <f>IF(AND(H1536="TO CLOSE",P1536=0),-G1536*(M1536-R1535)*IF(E1536="FUTURE",VLOOKUP(MID(I1536,2,2),[1]Futures!$A$2:$B$12,2),1),"")</f>
        <v/>
      </c>
    </row>
    <row r="1537" spans="1:19" x14ac:dyDescent="0.2">
      <c r="A1537">
        <f t="shared" si="71"/>
        <v>489</v>
      </c>
      <c r="B1537" s="3">
        <v>43992</v>
      </c>
      <c r="C1537" s="3" t="str">
        <f t="shared" si="73"/>
        <v>Wednesday</v>
      </c>
      <c r="D1537" s="2">
        <v>0.47479166666666667</v>
      </c>
      <c r="E1537" t="s">
        <v>14</v>
      </c>
      <c r="F1537" t="s">
        <v>15</v>
      </c>
      <c r="G1537">
        <v>-1</v>
      </c>
      <c r="H1537" t="s">
        <v>16</v>
      </c>
      <c r="I1537" t="s">
        <v>77</v>
      </c>
      <c r="J1537" s="1">
        <v>44063</v>
      </c>
      <c r="L1537" t="s">
        <v>14</v>
      </c>
      <c r="M1537">
        <v>38.89</v>
      </c>
      <c r="N1537">
        <v>38.89</v>
      </c>
      <c r="O1537" t="s">
        <v>24</v>
      </c>
      <c r="P1537">
        <f t="shared" si="72"/>
        <v>0</v>
      </c>
      <c r="Q1537" s="11">
        <f>IF(P1537=0,0,IFERROR(Q1536+G1537*M1537*IF(E1537="FUTURE",VLOOKUP(MID(I1537,2,2),[1]Futures!$A$2:$B$12,2),1),G1537*M1537*IF(E1537="FUTURE",VLOOKUP(MID(I1537,2,2),[1]Futures!$A$2:$B$12,2),1)))</f>
        <v>0</v>
      </c>
      <c r="R1537" s="12" t="str">
        <f>IFERROR(Q1537/P1537/IF(E1537="FUTURE",VLOOKUP(MID(I1537,2,2),[1]Futures!$A$2:$B$12,2),1),"")</f>
        <v/>
      </c>
      <c r="S1537" s="13">
        <f>IF(AND(H1537="TO CLOSE",P1537=0),-G1537*(M1537-R1536)*IF(E1537="FUTURE",VLOOKUP(MID(I1537,2,2),[1]Futures!$A$2:$B$12,2),1),"")</f>
        <v>320.00000000000028</v>
      </c>
    </row>
    <row r="1538" spans="1:19" x14ac:dyDescent="0.2">
      <c r="A1538">
        <f t="shared" ref="A1538:A1601" si="74">IF(AND(P1537=0,H1537="TO CLOSE"),IFERROR(A1537+1,1),IFERROR(A1537/1,1))</f>
        <v>490</v>
      </c>
      <c r="B1538" s="3">
        <v>43992</v>
      </c>
      <c r="C1538" s="3" t="str">
        <f t="shared" si="73"/>
        <v>Wednesday</v>
      </c>
      <c r="D1538" s="2">
        <v>0.50050925925925926</v>
      </c>
      <c r="E1538" t="s">
        <v>14</v>
      </c>
      <c r="F1538" t="s">
        <v>15</v>
      </c>
      <c r="G1538">
        <v>-1</v>
      </c>
      <c r="H1538" t="s">
        <v>20</v>
      </c>
      <c r="I1538" t="s">
        <v>77</v>
      </c>
      <c r="J1538" s="1">
        <v>44063</v>
      </c>
      <c r="L1538" t="s">
        <v>14</v>
      </c>
      <c r="M1538">
        <v>38.89</v>
      </c>
      <c r="N1538">
        <v>38.89</v>
      </c>
      <c r="O1538" t="s">
        <v>21</v>
      </c>
      <c r="P1538">
        <f t="shared" si="72"/>
        <v>-1</v>
      </c>
      <c r="Q1538" s="11">
        <f>IF(P1538=0,0,IFERROR(Q1537+G1538*M1538*IF(E1538="FUTURE",VLOOKUP(MID(I1538,2,2),[1]Futures!$A$2:$B$12,2),1),G1538*M1538*IF(E1538="FUTURE",VLOOKUP(MID(I1538,2,2),[1]Futures!$A$2:$B$12,2),1)))</f>
        <v>-38890</v>
      </c>
      <c r="R1538" s="12">
        <f>IFERROR(Q1538/P1538/IF(E1538="FUTURE",VLOOKUP(MID(I1538,2,2),[1]Futures!$A$2:$B$12,2),1),"")</f>
        <v>38.89</v>
      </c>
      <c r="S1538" s="13" t="str">
        <f>IF(AND(H1538="TO CLOSE",P1538=0),-G1538*(M1538-R1537)*IF(E1538="FUTURE",VLOOKUP(MID(I1538,2,2),[1]Futures!$A$2:$B$12,2),1),"")</f>
        <v/>
      </c>
    </row>
    <row r="1539" spans="1:19" x14ac:dyDescent="0.2">
      <c r="A1539">
        <f t="shared" si="74"/>
        <v>490</v>
      </c>
      <c r="B1539" s="3">
        <v>43992</v>
      </c>
      <c r="C1539" s="3" t="str">
        <f t="shared" si="73"/>
        <v>Wednesday</v>
      </c>
      <c r="D1539" s="2">
        <v>0.51667824074074076</v>
      </c>
      <c r="E1539" t="s">
        <v>14</v>
      </c>
      <c r="F1539" t="s">
        <v>15</v>
      </c>
      <c r="G1539">
        <v>-1</v>
      </c>
      <c r="H1539" t="s">
        <v>20</v>
      </c>
      <c r="I1539" t="s">
        <v>77</v>
      </c>
      <c r="J1539" s="1">
        <v>44063</v>
      </c>
      <c r="L1539" t="s">
        <v>14</v>
      </c>
      <c r="M1539">
        <v>39.19</v>
      </c>
      <c r="N1539">
        <v>39.19</v>
      </c>
      <c r="O1539" t="s">
        <v>21</v>
      </c>
      <c r="P1539">
        <f t="shared" ref="P1539:P1602" si="75">IF(H1539="TO OPEN",IFERROR(P1538+G1539,0+G1539),IFERROR(P1538+G1539,0+G1539))</f>
        <v>-2</v>
      </c>
      <c r="Q1539" s="11">
        <f>IF(P1539=0,0,IFERROR(Q1538+G1539*M1539*IF(E1539="FUTURE",VLOOKUP(MID(I1539,2,2),[1]Futures!$A$2:$B$12,2),1),G1539*M1539*IF(E1539="FUTURE",VLOOKUP(MID(I1539,2,2),[1]Futures!$A$2:$B$12,2),1)))</f>
        <v>-78080</v>
      </c>
      <c r="R1539" s="12">
        <f>IFERROR(Q1539/P1539/IF(E1539="FUTURE",VLOOKUP(MID(I1539,2,2),[1]Futures!$A$2:$B$12,2),1),"")</f>
        <v>39.04</v>
      </c>
      <c r="S1539" s="13" t="str">
        <f>IF(AND(H1539="TO CLOSE",P1539=0),-G1539*(M1539-R1538)*IF(E1539="FUTURE",VLOOKUP(MID(I1539,2,2),[1]Futures!$A$2:$B$12,2),1),"")</f>
        <v/>
      </c>
    </row>
    <row r="1540" spans="1:19" x14ac:dyDescent="0.2">
      <c r="A1540">
        <f t="shared" si="74"/>
        <v>490</v>
      </c>
      <c r="B1540" s="3">
        <v>43992</v>
      </c>
      <c r="C1540" s="3" t="str">
        <f t="shared" si="73"/>
        <v>Wednesday</v>
      </c>
      <c r="D1540" s="2">
        <v>0.52028935185185188</v>
      </c>
      <c r="E1540" t="s">
        <v>14</v>
      </c>
      <c r="F1540" t="s">
        <v>19</v>
      </c>
      <c r="G1540">
        <v>1</v>
      </c>
      <c r="H1540" t="s">
        <v>16</v>
      </c>
      <c r="I1540" t="s">
        <v>77</v>
      </c>
      <c r="J1540" s="1">
        <v>44063</v>
      </c>
      <c r="L1540" t="s">
        <v>14</v>
      </c>
      <c r="M1540">
        <v>39.119999999999997</v>
      </c>
      <c r="N1540">
        <v>39.119999999999997</v>
      </c>
      <c r="O1540" t="s">
        <v>21</v>
      </c>
      <c r="P1540">
        <f t="shared" si="75"/>
        <v>-1</v>
      </c>
      <c r="Q1540" s="11">
        <f>IF(P1540=0,0,IFERROR(Q1539+G1540*M1540*IF(E1540="FUTURE",VLOOKUP(MID(I1540,2,2),[1]Futures!$A$2:$B$12,2),1),G1540*M1540*IF(E1540="FUTURE",VLOOKUP(MID(I1540,2,2),[1]Futures!$A$2:$B$12,2),1)))</f>
        <v>-38960</v>
      </c>
      <c r="R1540" s="12">
        <f>IFERROR(Q1540/P1540/IF(E1540="FUTURE",VLOOKUP(MID(I1540,2,2),[1]Futures!$A$2:$B$12,2),1),"")</f>
        <v>38.96</v>
      </c>
      <c r="S1540" s="13" t="str">
        <f>IF(AND(H1540="TO CLOSE",P1540=0),-G1540*(M1540-R1539)*IF(E1540="FUTURE",VLOOKUP(MID(I1540,2,2),[1]Futures!$A$2:$B$12,2),1),"")</f>
        <v/>
      </c>
    </row>
    <row r="1541" spans="1:19" x14ac:dyDescent="0.2">
      <c r="A1541">
        <f t="shared" si="74"/>
        <v>490</v>
      </c>
      <c r="B1541" s="3">
        <v>43992</v>
      </c>
      <c r="C1541" s="3" t="str">
        <f t="shared" si="73"/>
        <v>Wednesday</v>
      </c>
      <c r="D1541" s="2">
        <v>0.52740740740740744</v>
      </c>
      <c r="E1541" t="s">
        <v>14</v>
      </c>
      <c r="F1541" t="s">
        <v>19</v>
      </c>
      <c r="G1541">
        <v>1</v>
      </c>
      <c r="H1541" t="s">
        <v>16</v>
      </c>
      <c r="I1541" t="s">
        <v>77</v>
      </c>
      <c r="J1541" s="1">
        <v>44063</v>
      </c>
      <c r="L1541" t="s">
        <v>14</v>
      </c>
      <c r="M1541">
        <v>38.99</v>
      </c>
      <c r="N1541">
        <v>38.99</v>
      </c>
      <c r="O1541" t="s">
        <v>21</v>
      </c>
      <c r="P1541">
        <f t="shared" si="75"/>
        <v>0</v>
      </c>
      <c r="Q1541" s="11">
        <f>IF(P1541=0,0,IFERROR(Q1540+G1541*M1541*IF(E1541="FUTURE",VLOOKUP(MID(I1541,2,2),[1]Futures!$A$2:$B$12,2),1),G1541*M1541*IF(E1541="FUTURE",VLOOKUP(MID(I1541,2,2),[1]Futures!$A$2:$B$12,2),1)))</f>
        <v>0</v>
      </c>
      <c r="R1541" s="12" t="str">
        <f>IFERROR(Q1541/P1541/IF(E1541="FUTURE",VLOOKUP(MID(I1541,2,2),[1]Futures!$A$2:$B$12,2),1),"")</f>
        <v/>
      </c>
      <c r="S1541" s="13">
        <f>IF(AND(H1541="TO CLOSE",P1541=0),-G1541*(M1541-R1540)*IF(E1541="FUTURE",VLOOKUP(MID(I1541,2,2),[1]Futures!$A$2:$B$12,2),1),"")</f>
        <v>-30.000000000001137</v>
      </c>
    </row>
    <row r="1542" spans="1:19" x14ac:dyDescent="0.2">
      <c r="A1542">
        <f t="shared" si="74"/>
        <v>491</v>
      </c>
      <c r="B1542" s="3">
        <v>43992</v>
      </c>
      <c r="C1542" s="3" t="str">
        <f t="shared" si="73"/>
        <v>Wednesday</v>
      </c>
      <c r="D1542" s="2">
        <v>0.42353009259259261</v>
      </c>
      <c r="E1542" t="s">
        <v>14</v>
      </c>
      <c r="F1542" t="s">
        <v>19</v>
      </c>
      <c r="G1542">
        <v>1</v>
      </c>
      <c r="H1542" t="s">
        <v>20</v>
      </c>
      <c r="I1542" t="s">
        <v>17</v>
      </c>
      <c r="J1542" s="1">
        <v>44002</v>
      </c>
      <c r="L1542" t="s">
        <v>14</v>
      </c>
      <c r="M1542">
        <v>3202.25</v>
      </c>
      <c r="N1542">
        <v>3202.25</v>
      </c>
      <c r="O1542" t="s">
        <v>21</v>
      </c>
      <c r="P1542">
        <f t="shared" si="75"/>
        <v>1</v>
      </c>
      <c r="Q1542" s="11">
        <f>IF(P1542=0,0,IFERROR(Q1541+G1542*M1542*IF(E1542="FUTURE",VLOOKUP(MID(I1542,2,2),[1]Futures!$A$2:$B$12,2),1),G1542*M1542*IF(E1542="FUTURE",VLOOKUP(MID(I1542,2,2),[1]Futures!$A$2:$B$12,2),1)))</f>
        <v>160112.5</v>
      </c>
      <c r="R1542" s="12">
        <f>IFERROR(Q1542/P1542/IF(E1542="FUTURE",VLOOKUP(MID(I1542,2,2),[1]Futures!$A$2:$B$12,2),1),"")</f>
        <v>3202.25</v>
      </c>
      <c r="S1542" s="13" t="str">
        <f>IF(AND(H1542="TO CLOSE",P1542=0),-G1542*(M1542-R1541)*IF(E1542="FUTURE",VLOOKUP(MID(I1542,2,2),[1]Futures!$A$2:$B$12,2),1),"")</f>
        <v/>
      </c>
    </row>
    <row r="1543" spans="1:19" x14ac:dyDescent="0.2">
      <c r="A1543">
        <f t="shared" si="74"/>
        <v>491</v>
      </c>
      <c r="B1543" s="3">
        <v>43992</v>
      </c>
      <c r="C1543" s="3" t="str">
        <f t="shared" si="73"/>
        <v>Wednesday</v>
      </c>
      <c r="D1543" s="2">
        <v>0.42657407407407405</v>
      </c>
      <c r="E1543" t="s">
        <v>14</v>
      </c>
      <c r="F1543" t="s">
        <v>15</v>
      </c>
      <c r="G1543">
        <v>-1</v>
      </c>
      <c r="H1543" t="s">
        <v>16</v>
      </c>
      <c r="I1543" t="s">
        <v>17</v>
      </c>
      <c r="J1543" s="1">
        <v>44002</v>
      </c>
      <c r="L1543" t="s">
        <v>14</v>
      </c>
      <c r="M1543">
        <v>3192.5</v>
      </c>
      <c r="N1543">
        <v>3192.5</v>
      </c>
      <c r="O1543" t="s">
        <v>18</v>
      </c>
      <c r="P1543">
        <f t="shared" si="75"/>
        <v>0</v>
      </c>
      <c r="Q1543" s="11">
        <f>IF(P1543=0,0,IFERROR(Q1542+G1543*M1543*IF(E1543="FUTURE",VLOOKUP(MID(I1543,2,2),[1]Futures!$A$2:$B$12,2),1),G1543*M1543*IF(E1543="FUTURE",VLOOKUP(MID(I1543,2,2),[1]Futures!$A$2:$B$12,2),1)))</f>
        <v>0</v>
      </c>
      <c r="R1543" s="12" t="str">
        <f>IFERROR(Q1543/P1543/IF(E1543="FUTURE",VLOOKUP(MID(I1543,2,2),[1]Futures!$A$2:$B$12,2),1),"")</f>
        <v/>
      </c>
      <c r="S1543" s="13">
        <f>IF(AND(H1543="TO CLOSE",P1543=0),-G1543*(M1543-R1542)*IF(E1543="FUTURE",VLOOKUP(MID(I1543,2,2),[1]Futures!$A$2:$B$12,2),1),"")</f>
        <v>-487.5</v>
      </c>
    </row>
    <row r="1544" spans="1:19" x14ac:dyDescent="0.2">
      <c r="A1544">
        <f t="shared" si="74"/>
        <v>492</v>
      </c>
      <c r="B1544" s="3">
        <v>43992</v>
      </c>
      <c r="C1544" s="3" t="str">
        <f t="shared" si="73"/>
        <v>Wednesday</v>
      </c>
      <c r="D1544" s="2">
        <v>0.43829861111111112</v>
      </c>
      <c r="E1544" t="s">
        <v>14</v>
      </c>
      <c r="F1544" t="s">
        <v>19</v>
      </c>
      <c r="G1544">
        <v>1</v>
      </c>
      <c r="H1544" t="s">
        <v>20</v>
      </c>
      <c r="I1544" t="s">
        <v>17</v>
      </c>
      <c r="J1544" s="1">
        <v>44002</v>
      </c>
      <c r="L1544" t="s">
        <v>14</v>
      </c>
      <c r="M1544">
        <v>3188.75</v>
      </c>
      <c r="N1544">
        <v>3188.75</v>
      </c>
      <c r="O1544" t="s">
        <v>24</v>
      </c>
      <c r="P1544">
        <f t="shared" si="75"/>
        <v>1</v>
      </c>
      <c r="Q1544" s="11">
        <f>IF(P1544=0,0,IFERROR(Q1543+G1544*M1544*IF(E1544="FUTURE",VLOOKUP(MID(I1544,2,2),[1]Futures!$A$2:$B$12,2),1),G1544*M1544*IF(E1544="FUTURE",VLOOKUP(MID(I1544,2,2),[1]Futures!$A$2:$B$12,2),1)))</f>
        <v>159437.5</v>
      </c>
      <c r="R1544" s="12">
        <f>IFERROR(Q1544/P1544/IF(E1544="FUTURE",VLOOKUP(MID(I1544,2,2),[1]Futures!$A$2:$B$12,2),1),"")</f>
        <v>3188.75</v>
      </c>
      <c r="S1544" s="13" t="str">
        <f>IF(AND(H1544="TO CLOSE",P1544=0),-G1544*(M1544-R1543)*IF(E1544="FUTURE",VLOOKUP(MID(I1544,2,2),[1]Futures!$A$2:$B$12,2),1),"")</f>
        <v/>
      </c>
    </row>
    <row r="1545" spans="1:19" x14ac:dyDescent="0.2">
      <c r="A1545">
        <f t="shared" si="74"/>
        <v>492</v>
      </c>
      <c r="B1545" s="3">
        <v>43992</v>
      </c>
      <c r="C1545" s="3" t="str">
        <f t="shared" si="73"/>
        <v>Wednesday</v>
      </c>
      <c r="D1545" s="2">
        <v>0.4494097222222222</v>
      </c>
      <c r="E1545" t="s">
        <v>14</v>
      </c>
      <c r="F1545" t="s">
        <v>15</v>
      </c>
      <c r="G1545">
        <v>-1</v>
      </c>
      <c r="H1545" t="s">
        <v>16</v>
      </c>
      <c r="I1545" t="s">
        <v>17</v>
      </c>
      <c r="J1545" s="1">
        <v>44002</v>
      </c>
      <c r="L1545" t="s">
        <v>14</v>
      </c>
      <c r="M1545">
        <v>3194.5</v>
      </c>
      <c r="N1545">
        <v>3194.5</v>
      </c>
      <c r="O1545" t="s">
        <v>21</v>
      </c>
      <c r="P1545">
        <f t="shared" si="75"/>
        <v>0</v>
      </c>
      <c r="Q1545" s="11">
        <f>IF(P1545=0,0,IFERROR(Q1544+G1545*M1545*IF(E1545="FUTURE",VLOOKUP(MID(I1545,2,2),[1]Futures!$A$2:$B$12,2),1),G1545*M1545*IF(E1545="FUTURE",VLOOKUP(MID(I1545,2,2),[1]Futures!$A$2:$B$12,2),1)))</f>
        <v>0</v>
      </c>
      <c r="R1545" s="12" t="str">
        <f>IFERROR(Q1545/P1545/IF(E1545="FUTURE",VLOOKUP(MID(I1545,2,2),[1]Futures!$A$2:$B$12,2),1),"")</f>
        <v/>
      </c>
      <c r="S1545" s="13">
        <f>IF(AND(H1545="TO CLOSE",P1545=0),-G1545*(M1545-R1544)*IF(E1545="FUTURE",VLOOKUP(MID(I1545,2,2),[1]Futures!$A$2:$B$12,2),1),"")</f>
        <v>287.5</v>
      </c>
    </row>
    <row r="1546" spans="1:19" x14ac:dyDescent="0.2">
      <c r="A1546">
        <f t="shared" si="74"/>
        <v>493</v>
      </c>
      <c r="B1546" s="3">
        <v>43992</v>
      </c>
      <c r="C1546" s="3" t="str">
        <f t="shared" si="73"/>
        <v>Wednesday</v>
      </c>
      <c r="D1546" s="2">
        <v>0.45940972222222221</v>
      </c>
      <c r="E1546" t="s">
        <v>14</v>
      </c>
      <c r="F1546" t="s">
        <v>19</v>
      </c>
      <c r="G1546">
        <v>2</v>
      </c>
      <c r="H1546" t="s">
        <v>20</v>
      </c>
      <c r="I1546" t="s">
        <v>17</v>
      </c>
      <c r="J1546" s="1">
        <v>44002</v>
      </c>
      <c r="L1546" t="s">
        <v>14</v>
      </c>
      <c r="M1546">
        <v>3186.5</v>
      </c>
      <c r="N1546">
        <v>3186.5</v>
      </c>
      <c r="O1546" t="s">
        <v>24</v>
      </c>
      <c r="P1546">
        <f t="shared" si="75"/>
        <v>2</v>
      </c>
      <c r="Q1546" s="11">
        <f>IF(P1546=0,0,IFERROR(Q1545+G1546*M1546*IF(E1546="FUTURE",VLOOKUP(MID(I1546,2,2),[1]Futures!$A$2:$B$12,2),1),G1546*M1546*IF(E1546="FUTURE",VLOOKUP(MID(I1546,2,2),[1]Futures!$A$2:$B$12,2),1)))</f>
        <v>318650</v>
      </c>
      <c r="R1546" s="12">
        <f>IFERROR(Q1546/P1546/IF(E1546="FUTURE",VLOOKUP(MID(I1546,2,2),[1]Futures!$A$2:$B$12,2),1),"")</f>
        <v>3186.5</v>
      </c>
      <c r="S1546" s="13" t="str">
        <f>IF(AND(H1546="TO CLOSE",P1546=0),-G1546*(M1546-R1545)*IF(E1546="FUTURE",VLOOKUP(MID(I1546,2,2),[1]Futures!$A$2:$B$12,2),1),"")</f>
        <v/>
      </c>
    </row>
    <row r="1547" spans="1:19" x14ac:dyDescent="0.2">
      <c r="A1547">
        <f t="shared" si="74"/>
        <v>493</v>
      </c>
      <c r="B1547" s="3">
        <v>43992</v>
      </c>
      <c r="C1547" s="3" t="str">
        <f t="shared" si="73"/>
        <v>Wednesday</v>
      </c>
      <c r="D1547" s="2">
        <v>0.46156250000000004</v>
      </c>
      <c r="E1547" t="s">
        <v>14</v>
      </c>
      <c r="F1547" t="s">
        <v>15</v>
      </c>
      <c r="G1547">
        <v>-1</v>
      </c>
      <c r="H1547" t="s">
        <v>16</v>
      </c>
      <c r="I1547" t="s">
        <v>17</v>
      </c>
      <c r="J1547" s="1">
        <v>44002</v>
      </c>
      <c r="L1547" t="s">
        <v>14</v>
      </c>
      <c r="M1547">
        <v>3189</v>
      </c>
      <c r="N1547">
        <v>3189</v>
      </c>
      <c r="O1547" t="s">
        <v>21</v>
      </c>
      <c r="P1547">
        <f t="shared" si="75"/>
        <v>1</v>
      </c>
      <c r="Q1547" s="11">
        <f>IF(P1547=0,0,IFERROR(Q1546+G1547*M1547*IF(E1547="FUTURE",VLOOKUP(MID(I1547,2,2),[1]Futures!$A$2:$B$12,2),1),G1547*M1547*IF(E1547="FUTURE",VLOOKUP(MID(I1547,2,2),[1]Futures!$A$2:$B$12,2),1)))</f>
        <v>159200</v>
      </c>
      <c r="R1547" s="12">
        <f>IFERROR(Q1547/P1547/IF(E1547="FUTURE",VLOOKUP(MID(I1547,2,2),[1]Futures!$A$2:$B$12,2),1),"")</f>
        <v>3184</v>
      </c>
      <c r="S1547" s="13" t="str">
        <f>IF(AND(H1547="TO CLOSE",P1547=0),-G1547*(M1547-R1546)*IF(E1547="FUTURE",VLOOKUP(MID(I1547,2,2),[1]Futures!$A$2:$B$12,2),1),"")</f>
        <v/>
      </c>
    </row>
    <row r="1548" spans="1:19" x14ac:dyDescent="0.2">
      <c r="A1548">
        <f t="shared" si="74"/>
        <v>493</v>
      </c>
      <c r="B1548" s="3">
        <v>43992</v>
      </c>
      <c r="C1548" s="3" t="str">
        <f t="shared" si="73"/>
        <v>Wednesday</v>
      </c>
      <c r="D1548" s="2">
        <v>0.47143518518518518</v>
      </c>
      <c r="E1548" t="s">
        <v>14</v>
      </c>
      <c r="F1548" t="s">
        <v>15</v>
      </c>
      <c r="G1548">
        <v>-1</v>
      </c>
      <c r="H1548" t="s">
        <v>16</v>
      </c>
      <c r="I1548" t="s">
        <v>17</v>
      </c>
      <c r="J1548" s="1">
        <v>44002</v>
      </c>
      <c r="L1548" t="s">
        <v>14</v>
      </c>
      <c r="M1548">
        <v>3194.75</v>
      </c>
      <c r="N1548">
        <v>3194.75</v>
      </c>
      <c r="O1548" t="s">
        <v>21</v>
      </c>
      <c r="P1548">
        <f t="shared" si="75"/>
        <v>0</v>
      </c>
      <c r="Q1548" s="11">
        <f>IF(P1548=0,0,IFERROR(Q1547+G1548*M1548*IF(E1548="FUTURE",VLOOKUP(MID(I1548,2,2),[1]Futures!$A$2:$B$12,2),1),G1548*M1548*IF(E1548="FUTURE",VLOOKUP(MID(I1548,2,2),[1]Futures!$A$2:$B$12,2),1)))</f>
        <v>0</v>
      </c>
      <c r="R1548" s="12" t="str">
        <f>IFERROR(Q1548/P1548/IF(E1548="FUTURE",VLOOKUP(MID(I1548,2,2),[1]Futures!$A$2:$B$12,2),1),"")</f>
        <v/>
      </c>
      <c r="S1548" s="13">
        <f>IF(AND(H1548="TO CLOSE",P1548=0),-G1548*(M1548-R1547)*IF(E1548="FUTURE",VLOOKUP(MID(I1548,2,2),[1]Futures!$A$2:$B$12,2),1),"")</f>
        <v>537.5</v>
      </c>
    </row>
    <row r="1549" spans="1:19" x14ac:dyDescent="0.2">
      <c r="A1549">
        <f t="shared" si="74"/>
        <v>494</v>
      </c>
      <c r="B1549" s="3">
        <v>43992</v>
      </c>
      <c r="C1549" s="3" t="str">
        <f t="shared" si="73"/>
        <v>Wednesday</v>
      </c>
      <c r="D1549" s="2">
        <v>0.49644675925925924</v>
      </c>
      <c r="E1549" t="s">
        <v>14</v>
      </c>
      <c r="F1549" t="s">
        <v>19</v>
      </c>
      <c r="G1549">
        <v>1</v>
      </c>
      <c r="H1549" t="s">
        <v>20</v>
      </c>
      <c r="I1549" t="s">
        <v>17</v>
      </c>
      <c r="J1549" s="1">
        <v>44002</v>
      </c>
      <c r="L1549" t="s">
        <v>14</v>
      </c>
      <c r="M1549">
        <v>3197.5</v>
      </c>
      <c r="N1549">
        <v>3197.5</v>
      </c>
      <c r="O1549" t="s">
        <v>24</v>
      </c>
      <c r="P1549">
        <f t="shared" si="75"/>
        <v>1</v>
      </c>
      <c r="Q1549" s="11">
        <f>IF(P1549=0,0,IFERROR(Q1548+G1549*M1549*IF(E1549="FUTURE",VLOOKUP(MID(I1549,2,2),[1]Futures!$A$2:$B$12,2),1),G1549*M1549*IF(E1549="FUTURE",VLOOKUP(MID(I1549,2,2),[1]Futures!$A$2:$B$12,2),1)))</f>
        <v>159875</v>
      </c>
      <c r="R1549" s="12">
        <f>IFERROR(Q1549/P1549/IF(E1549="FUTURE",VLOOKUP(MID(I1549,2,2),[1]Futures!$A$2:$B$12,2),1),"")</f>
        <v>3197.5</v>
      </c>
      <c r="S1549" s="13" t="str">
        <f>IF(AND(H1549="TO CLOSE",P1549=0),-G1549*(M1549-R1548)*IF(E1549="FUTURE",VLOOKUP(MID(I1549,2,2),[1]Futures!$A$2:$B$12,2),1),"")</f>
        <v/>
      </c>
    </row>
    <row r="1550" spans="1:19" x14ac:dyDescent="0.2">
      <c r="A1550">
        <f t="shared" si="74"/>
        <v>494</v>
      </c>
      <c r="B1550" s="3">
        <v>43992</v>
      </c>
      <c r="C1550" s="3" t="str">
        <f t="shared" si="73"/>
        <v>Wednesday</v>
      </c>
      <c r="D1550" s="2">
        <v>0.49807870370370372</v>
      </c>
      <c r="E1550" t="s">
        <v>14</v>
      </c>
      <c r="F1550" t="s">
        <v>19</v>
      </c>
      <c r="G1550">
        <v>1</v>
      </c>
      <c r="H1550" t="s">
        <v>20</v>
      </c>
      <c r="I1550" t="s">
        <v>17</v>
      </c>
      <c r="J1550" s="1">
        <v>44002</v>
      </c>
      <c r="L1550" t="s">
        <v>14</v>
      </c>
      <c r="M1550">
        <v>3194.5</v>
      </c>
      <c r="N1550">
        <v>3194.5</v>
      </c>
      <c r="O1550" t="s">
        <v>21</v>
      </c>
      <c r="P1550">
        <f t="shared" si="75"/>
        <v>2</v>
      </c>
      <c r="Q1550" s="11">
        <f>IF(P1550=0,0,IFERROR(Q1549+G1550*M1550*IF(E1550="FUTURE",VLOOKUP(MID(I1550,2,2),[1]Futures!$A$2:$B$12,2),1),G1550*M1550*IF(E1550="FUTURE",VLOOKUP(MID(I1550,2,2),[1]Futures!$A$2:$B$12,2),1)))</f>
        <v>319600</v>
      </c>
      <c r="R1550" s="12">
        <f>IFERROR(Q1550/P1550/IF(E1550="FUTURE",VLOOKUP(MID(I1550,2,2),[1]Futures!$A$2:$B$12,2),1),"")</f>
        <v>3196</v>
      </c>
      <c r="S1550" s="13" t="str">
        <f>IF(AND(H1550="TO CLOSE",P1550=0),-G1550*(M1550-R1549)*IF(E1550="FUTURE",VLOOKUP(MID(I1550,2,2),[1]Futures!$A$2:$B$12,2),1),"")</f>
        <v/>
      </c>
    </row>
    <row r="1551" spans="1:19" x14ac:dyDescent="0.2">
      <c r="A1551">
        <f t="shared" si="74"/>
        <v>494</v>
      </c>
      <c r="B1551" s="3">
        <v>43992</v>
      </c>
      <c r="C1551" s="3" t="str">
        <f t="shared" si="73"/>
        <v>Wednesday</v>
      </c>
      <c r="D1551" s="2">
        <v>0.49934027777777779</v>
      </c>
      <c r="E1551" t="s">
        <v>14</v>
      </c>
      <c r="F1551" t="s">
        <v>15</v>
      </c>
      <c r="G1551">
        <v>-1</v>
      </c>
      <c r="H1551" t="s">
        <v>16</v>
      </c>
      <c r="I1551" t="s">
        <v>17</v>
      </c>
      <c r="J1551" s="1">
        <v>44002</v>
      </c>
      <c r="L1551" t="s">
        <v>14</v>
      </c>
      <c r="M1551">
        <v>3195.5</v>
      </c>
      <c r="N1551">
        <v>3195.5</v>
      </c>
      <c r="O1551" t="s">
        <v>21</v>
      </c>
      <c r="P1551">
        <f t="shared" si="75"/>
        <v>1</v>
      </c>
      <c r="Q1551" s="11">
        <f>IF(P1551=0,0,IFERROR(Q1550+G1551*M1551*IF(E1551="FUTURE",VLOOKUP(MID(I1551,2,2),[1]Futures!$A$2:$B$12,2),1),G1551*M1551*IF(E1551="FUTURE",VLOOKUP(MID(I1551,2,2),[1]Futures!$A$2:$B$12,2),1)))</f>
        <v>159825</v>
      </c>
      <c r="R1551" s="12">
        <f>IFERROR(Q1551/P1551/IF(E1551="FUTURE",VLOOKUP(MID(I1551,2,2),[1]Futures!$A$2:$B$12,2),1),"")</f>
        <v>3196.5</v>
      </c>
      <c r="S1551" s="13" t="str">
        <f>IF(AND(H1551="TO CLOSE",P1551=0),-G1551*(M1551-R1550)*IF(E1551="FUTURE",VLOOKUP(MID(I1551,2,2),[1]Futures!$A$2:$B$12,2),1),"")</f>
        <v/>
      </c>
    </row>
    <row r="1552" spans="1:19" x14ac:dyDescent="0.2">
      <c r="A1552">
        <f t="shared" si="74"/>
        <v>494</v>
      </c>
      <c r="B1552" s="3">
        <v>43992</v>
      </c>
      <c r="C1552" s="3" t="str">
        <f t="shared" si="73"/>
        <v>Wednesday</v>
      </c>
      <c r="D1552" s="2">
        <v>0.51637731481481486</v>
      </c>
      <c r="E1552" t="s">
        <v>14</v>
      </c>
      <c r="F1552" t="s">
        <v>15</v>
      </c>
      <c r="G1552">
        <v>-1</v>
      </c>
      <c r="H1552" t="s">
        <v>16</v>
      </c>
      <c r="I1552" t="s">
        <v>17</v>
      </c>
      <c r="J1552" s="1">
        <v>44002</v>
      </c>
      <c r="L1552" t="s">
        <v>14</v>
      </c>
      <c r="M1552">
        <v>3200.5</v>
      </c>
      <c r="N1552">
        <v>3200.5</v>
      </c>
      <c r="O1552" t="s">
        <v>21</v>
      </c>
      <c r="P1552">
        <f t="shared" si="75"/>
        <v>0</v>
      </c>
      <c r="Q1552" s="11">
        <f>IF(P1552=0,0,IFERROR(Q1551+G1552*M1552*IF(E1552="FUTURE",VLOOKUP(MID(I1552,2,2),[1]Futures!$A$2:$B$12,2),1),G1552*M1552*IF(E1552="FUTURE",VLOOKUP(MID(I1552,2,2),[1]Futures!$A$2:$B$12,2),1)))</f>
        <v>0</v>
      </c>
      <c r="R1552" s="12" t="str">
        <f>IFERROR(Q1552/P1552/IF(E1552="FUTURE",VLOOKUP(MID(I1552,2,2),[1]Futures!$A$2:$B$12,2),1),"")</f>
        <v/>
      </c>
      <c r="S1552" s="13">
        <f>IF(AND(H1552="TO CLOSE",P1552=0),-G1552*(M1552-R1551)*IF(E1552="FUTURE",VLOOKUP(MID(I1552,2,2),[1]Futures!$A$2:$B$12,2),1),"")</f>
        <v>200</v>
      </c>
    </row>
    <row r="1553" spans="1:19" x14ac:dyDescent="0.2">
      <c r="A1553">
        <f t="shared" si="74"/>
        <v>495</v>
      </c>
      <c r="B1553" s="3">
        <v>43992</v>
      </c>
      <c r="C1553" s="3" t="str">
        <f t="shared" si="73"/>
        <v>Wednesday</v>
      </c>
      <c r="D1553" s="2">
        <v>0.43635416666666665</v>
      </c>
      <c r="E1553" t="s">
        <v>22</v>
      </c>
      <c r="F1553" t="s">
        <v>15</v>
      </c>
      <c r="G1553">
        <v>-300</v>
      </c>
      <c r="H1553" t="s">
        <v>20</v>
      </c>
      <c r="I1553" t="s">
        <v>23</v>
      </c>
      <c r="L1553" t="s">
        <v>22</v>
      </c>
      <c r="M1553">
        <v>31.962399999999999</v>
      </c>
      <c r="N1553">
        <v>31.962399999999999</v>
      </c>
      <c r="O1553" t="s">
        <v>21</v>
      </c>
      <c r="P1553">
        <f t="shared" si="75"/>
        <v>-300</v>
      </c>
      <c r="Q1553" s="11">
        <f>IF(P1553=0,0,IFERROR(Q1552+G1553*M1553*IF(E1553="FUTURE",VLOOKUP(MID(I1553,2,2),[1]Futures!$A$2:$B$12,2),1),G1553*M1553*IF(E1553="FUTURE",VLOOKUP(MID(I1553,2,2),[1]Futures!$A$2:$B$12,2),1)))</f>
        <v>-9588.7199999999993</v>
      </c>
      <c r="R1553" s="12">
        <f>IFERROR(Q1553/P1553/IF(E1553="FUTURE",VLOOKUP(MID(I1553,2,2),[1]Futures!$A$2:$B$12,2),1),"")</f>
        <v>31.962399999999999</v>
      </c>
      <c r="S1553" s="13" t="str">
        <f>IF(AND(H1553="TO CLOSE",P1553=0),-G1553*(M1553-R1552)*IF(E1553="FUTURE",VLOOKUP(MID(I1553,2,2),[1]Futures!$A$2:$B$12,2),1),"")</f>
        <v/>
      </c>
    </row>
    <row r="1554" spans="1:19" x14ac:dyDescent="0.2">
      <c r="A1554">
        <f t="shared" si="74"/>
        <v>495</v>
      </c>
      <c r="B1554" s="3">
        <v>43992</v>
      </c>
      <c r="C1554" s="3" t="str">
        <f t="shared" si="73"/>
        <v>Wednesday</v>
      </c>
      <c r="D1554" s="2">
        <v>0.44302083333333336</v>
      </c>
      <c r="E1554" t="s">
        <v>22</v>
      </c>
      <c r="F1554" t="s">
        <v>19</v>
      </c>
      <c r="G1554">
        <v>100</v>
      </c>
      <c r="H1554" t="s">
        <v>16</v>
      </c>
      <c r="I1554" t="s">
        <v>23</v>
      </c>
      <c r="L1554" t="s">
        <v>22</v>
      </c>
      <c r="M1554">
        <v>31.68</v>
      </c>
      <c r="N1554">
        <v>31.68</v>
      </c>
      <c r="O1554" t="s">
        <v>21</v>
      </c>
      <c r="P1554">
        <f t="shared" si="75"/>
        <v>-200</v>
      </c>
      <c r="Q1554" s="11">
        <f>IF(P1554=0,0,IFERROR(Q1553+G1554*M1554*IF(E1554="FUTURE",VLOOKUP(MID(I1554,2,2),[1]Futures!$A$2:$B$12,2),1),G1554*M1554*IF(E1554="FUTURE",VLOOKUP(MID(I1554,2,2),[1]Futures!$A$2:$B$12,2),1)))</f>
        <v>-6420.7199999999993</v>
      </c>
      <c r="R1554" s="12">
        <f>IFERROR(Q1554/P1554/IF(E1554="FUTURE",VLOOKUP(MID(I1554,2,2),[1]Futures!$A$2:$B$12,2),1),"")</f>
        <v>32.1036</v>
      </c>
      <c r="S1554" s="13" t="str">
        <f>IF(AND(H1554="TO CLOSE",P1554=0),-G1554*(M1554-R1553)*IF(E1554="FUTURE",VLOOKUP(MID(I1554,2,2),[1]Futures!$A$2:$B$12,2),1),"")</f>
        <v/>
      </c>
    </row>
    <row r="1555" spans="1:19" x14ac:dyDescent="0.2">
      <c r="A1555">
        <f t="shared" si="74"/>
        <v>495</v>
      </c>
      <c r="B1555" s="3">
        <v>43992</v>
      </c>
      <c r="C1555" s="3" t="str">
        <f t="shared" si="73"/>
        <v>Wednesday</v>
      </c>
      <c r="D1555" s="2">
        <v>0.45082175925925921</v>
      </c>
      <c r="E1555" t="s">
        <v>22</v>
      </c>
      <c r="F1555" t="s">
        <v>19</v>
      </c>
      <c r="G1555">
        <v>100</v>
      </c>
      <c r="H1555" t="s">
        <v>16</v>
      </c>
      <c r="I1555" t="s">
        <v>23</v>
      </c>
      <c r="L1555" t="s">
        <v>22</v>
      </c>
      <c r="M1555">
        <v>31.629899999999999</v>
      </c>
      <c r="N1555">
        <v>31.629899999999999</v>
      </c>
      <c r="O1555" t="s">
        <v>24</v>
      </c>
      <c r="P1555">
        <f t="shared" si="75"/>
        <v>-100</v>
      </c>
      <c r="Q1555" s="11">
        <f>IF(P1555=0,0,IFERROR(Q1554+G1555*M1555*IF(E1555="FUTURE",VLOOKUP(MID(I1555,2,2),[1]Futures!$A$2:$B$12,2),1),G1555*M1555*IF(E1555="FUTURE",VLOOKUP(MID(I1555,2,2),[1]Futures!$A$2:$B$12,2),1)))</f>
        <v>-3257.7299999999996</v>
      </c>
      <c r="R1555" s="12">
        <f>IFERROR(Q1555/P1555/IF(E1555="FUTURE",VLOOKUP(MID(I1555,2,2),[1]Futures!$A$2:$B$12,2),1),"")</f>
        <v>32.577299999999994</v>
      </c>
      <c r="S1555" s="13" t="str">
        <f>IF(AND(H1555="TO CLOSE",P1555=0),-G1555*(M1555-R1554)*IF(E1555="FUTURE",VLOOKUP(MID(I1555,2,2),[1]Futures!$A$2:$B$12,2),1),"")</f>
        <v/>
      </c>
    </row>
    <row r="1556" spans="1:19" x14ac:dyDescent="0.2">
      <c r="A1556">
        <f t="shared" si="74"/>
        <v>495</v>
      </c>
      <c r="B1556" s="3">
        <v>43992</v>
      </c>
      <c r="C1556" s="3" t="str">
        <f t="shared" si="73"/>
        <v>Wednesday</v>
      </c>
      <c r="D1556" s="2">
        <v>0.46517361111111111</v>
      </c>
      <c r="E1556" t="s">
        <v>22</v>
      </c>
      <c r="F1556" t="s">
        <v>15</v>
      </c>
      <c r="G1556">
        <v>-100</v>
      </c>
      <c r="H1556" t="s">
        <v>20</v>
      </c>
      <c r="I1556" t="s">
        <v>23</v>
      </c>
      <c r="L1556" t="s">
        <v>22</v>
      </c>
      <c r="M1556">
        <v>31.4023</v>
      </c>
      <c r="N1556">
        <v>31.4023</v>
      </c>
      <c r="O1556" t="s">
        <v>21</v>
      </c>
      <c r="P1556">
        <f t="shared" si="75"/>
        <v>-200</v>
      </c>
      <c r="Q1556" s="11">
        <f>IF(P1556=0,0,IFERROR(Q1555+G1556*M1556*IF(E1556="FUTURE",VLOOKUP(MID(I1556,2,2),[1]Futures!$A$2:$B$12,2),1),G1556*M1556*IF(E1556="FUTURE",VLOOKUP(MID(I1556,2,2),[1]Futures!$A$2:$B$12,2),1)))</f>
        <v>-6397.9599999999991</v>
      </c>
      <c r="R1556" s="12">
        <f>IFERROR(Q1556/P1556/IF(E1556="FUTURE",VLOOKUP(MID(I1556,2,2),[1]Futures!$A$2:$B$12,2),1),"")</f>
        <v>31.989799999999995</v>
      </c>
      <c r="S1556" s="13" t="str">
        <f>IF(AND(H1556="TO CLOSE",P1556=0),-G1556*(M1556-R1555)*IF(E1556="FUTURE",VLOOKUP(MID(I1556,2,2),[1]Futures!$A$2:$B$12,2),1),"")</f>
        <v/>
      </c>
    </row>
    <row r="1557" spans="1:19" x14ac:dyDescent="0.2">
      <c r="A1557">
        <f t="shared" si="74"/>
        <v>495</v>
      </c>
      <c r="B1557" s="3">
        <v>43992</v>
      </c>
      <c r="C1557" s="3" t="str">
        <f t="shared" si="73"/>
        <v>Wednesday</v>
      </c>
      <c r="D1557" s="2">
        <v>0.47186342592592595</v>
      </c>
      <c r="E1557" t="s">
        <v>22</v>
      </c>
      <c r="F1557" t="s">
        <v>19</v>
      </c>
      <c r="G1557">
        <v>200</v>
      </c>
      <c r="H1557" t="s">
        <v>16</v>
      </c>
      <c r="I1557" t="s">
        <v>23</v>
      </c>
      <c r="L1557" t="s">
        <v>22</v>
      </c>
      <c r="M1557">
        <v>31.04</v>
      </c>
      <c r="N1557">
        <v>31.04</v>
      </c>
      <c r="O1557" t="s">
        <v>21</v>
      </c>
      <c r="P1557">
        <f t="shared" si="75"/>
        <v>0</v>
      </c>
      <c r="Q1557" s="11">
        <f>IF(P1557=0,0,IFERROR(Q1556+G1557*M1557*IF(E1557="FUTURE",VLOOKUP(MID(I1557,2,2),[1]Futures!$A$2:$B$12,2),1),G1557*M1557*IF(E1557="FUTURE",VLOOKUP(MID(I1557,2,2),[1]Futures!$A$2:$B$12,2),1)))</f>
        <v>0</v>
      </c>
      <c r="R1557" s="12" t="str">
        <f>IFERROR(Q1557/P1557/IF(E1557="FUTURE",VLOOKUP(MID(I1557,2,2),[1]Futures!$A$2:$B$12,2),1),"")</f>
        <v/>
      </c>
      <c r="S1557" s="13">
        <f>IF(AND(H1557="TO CLOSE",P1557=0),-G1557*(M1557-R1556)*IF(E1557="FUTURE",VLOOKUP(MID(I1557,2,2),[1]Futures!$A$2:$B$12,2),1),"")</f>
        <v>189.95999999999924</v>
      </c>
    </row>
    <row r="1558" spans="1:19" x14ac:dyDescent="0.2">
      <c r="A1558">
        <f t="shared" si="74"/>
        <v>496</v>
      </c>
      <c r="B1558" s="3">
        <v>43993</v>
      </c>
      <c r="C1558" s="3" t="str">
        <f t="shared" si="73"/>
        <v>Thursday</v>
      </c>
      <c r="D1558" s="2">
        <v>0.37504629629629632</v>
      </c>
      <c r="E1558" t="s">
        <v>14</v>
      </c>
      <c r="F1558" t="s">
        <v>19</v>
      </c>
      <c r="G1558">
        <v>1</v>
      </c>
      <c r="H1558" t="s">
        <v>20</v>
      </c>
      <c r="I1558" t="s">
        <v>77</v>
      </c>
      <c r="J1558" s="1">
        <v>44063</v>
      </c>
      <c r="L1558" t="s">
        <v>14</v>
      </c>
      <c r="M1558">
        <v>37.26</v>
      </c>
      <c r="N1558">
        <v>37.26</v>
      </c>
      <c r="O1558" t="s">
        <v>21</v>
      </c>
      <c r="P1558">
        <f t="shared" si="75"/>
        <v>1</v>
      </c>
      <c r="Q1558" s="11">
        <f>IF(P1558=0,0,IFERROR(Q1557+G1558*M1558*IF(E1558="FUTURE",VLOOKUP(MID(I1558,2,2),[1]Futures!$A$2:$B$12,2),1),G1558*M1558*IF(E1558="FUTURE",VLOOKUP(MID(I1558,2,2),[1]Futures!$A$2:$B$12,2),1)))</f>
        <v>37260</v>
      </c>
      <c r="R1558" s="12">
        <f>IFERROR(Q1558/P1558/IF(E1558="FUTURE",VLOOKUP(MID(I1558,2,2),[1]Futures!$A$2:$B$12,2),1),"")</f>
        <v>37.26</v>
      </c>
      <c r="S1558" s="13" t="str">
        <f>IF(AND(H1558="TO CLOSE",P1558=0),-G1558*(M1558-R1557)*IF(E1558="FUTURE",VLOOKUP(MID(I1558,2,2),[1]Futures!$A$2:$B$12,2),1),"")</f>
        <v/>
      </c>
    </row>
    <row r="1559" spans="1:19" x14ac:dyDescent="0.2">
      <c r="A1559">
        <f t="shared" si="74"/>
        <v>496</v>
      </c>
      <c r="B1559" s="3">
        <v>43993</v>
      </c>
      <c r="C1559" s="3" t="str">
        <f t="shared" si="73"/>
        <v>Thursday</v>
      </c>
      <c r="D1559" s="2">
        <v>0.39666666666666667</v>
      </c>
      <c r="E1559" t="s">
        <v>14</v>
      </c>
      <c r="F1559" t="s">
        <v>19</v>
      </c>
      <c r="G1559">
        <v>1</v>
      </c>
      <c r="H1559" t="s">
        <v>20</v>
      </c>
      <c r="I1559" t="s">
        <v>77</v>
      </c>
      <c r="J1559" s="1">
        <v>44063</v>
      </c>
      <c r="L1559" t="s">
        <v>14</v>
      </c>
      <c r="M1559">
        <v>36.9</v>
      </c>
      <c r="N1559">
        <v>36.9</v>
      </c>
      <c r="O1559" t="s">
        <v>21</v>
      </c>
      <c r="P1559">
        <f t="shared" si="75"/>
        <v>2</v>
      </c>
      <c r="Q1559" s="11">
        <f>IF(P1559=0,0,IFERROR(Q1558+G1559*M1559*IF(E1559="FUTURE",VLOOKUP(MID(I1559,2,2),[1]Futures!$A$2:$B$12,2),1),G1559*M1559*IF(E1559="FUTURE",VLOOKUP(MID(I1559,2,2),[1]Futures!$A$2:$B$12,2),1)))</f>
        <v>74160</v>
      </c>
      <c r="R1559" s="12">
        <f>IFERROR(Q1559/P1559/IF(E1559="FUTURE",VLOOKUP(MID(I1559,2,2),[1]Futures!$A$2:$B$12,2),1),"")</f>
        <v>37.08</v>
      </c>
      <c r="S1559" s="13" t="str">
        <f>IF(AND(H1559="TO CLOSE",P1559=0),-G1559*(M1559-R1558)*IF(E1559="FUTURE",VLOOKUP(MID(I1559,2,2),[1]Futures!$A$2:$B$12,2),1),"")</f>
        <v/>
      </c>
    </row>
    <row r="1560" spans="1:19" x14ac:dyDescent="0.2">
      <c r="A1560">
        <f t="shared" si="74"/>
        <v>496</v>
      </c>
      <c r="B1560" s="3">
        <v>43993</v>
      </c>
      <c r="C1560" s="3" t="str">
        <f t="shared" si="73"/>
        <v>Thursday</v>
      </c>
      <c r="D1560" s="2">
        <v>0.42357638888888888</v>
      </c>
      <c r="E1560" t="s">
        <v>14</v>
      </c>
      <c r="F1560" t="s">
        <v>15</v>
      </c>
      <c r="G1560">
        <v>-1</v>
      </c>
      <c r="H1560" t="s">
        <v>16</v>
      </c>
      <c r="I1560" t="s">
        <v>77</v>
      </c>
      <c r="J1560" s="1">
        <v>44063</v>
      </c>
      <c r="L1560" t="s">
        <v>14</v>
      </c>
      <c r="M1560">
        <v>37.21</v>
      </c>
      <c r="N1560">
        <v>37.21</v>
      </c>
      <c r="O1560" t="s">
        <v>21</v>
      </c>
      <c r="P1560">
        <f t="shared" si="75"/>
        <v>1</v>
      </c>
      <c r="Q1560" s="11">
        <f>IF(P1560=0,0,IFERROR(Q1559+G1560*M1560*IF(E1560="FUTURE",VLOOKUP(MID(I1560,2,2),[1]Futures!$A$2:$B$12,2),1),G1560*M1560*IF(E1560="FUTURE",VLOOKUP(MID(I1560,2,2),[1]Futures!$A$2:$B$12,2),1)))</f>
        <v>36950</v>
      </c>
      <c r="R1560" s="12">
        <f>IFERROR(Q1560/P1560/IF(E1560="FUTURE",VLOOKUP(MID(I1560,2,2),[1]Futures!$A$2:$B$12,2),1),"")</f>
        <v>36.950000000000003</v>
      </c>
      <c r="S1560" s="13" t="str">
        <f>IF(AND(H1560="TO CLOSE",P1560=0),-G1560*(M1560-R1559)*IF(E1560="FUTURE",VLOOKUP(MID(I1560,2,2),[1]Futures!$A$2:$B$12,2),1),"")</f>
        <v/>
      </c>
    </row>
    <row r="1561" spans="1:19" x14ac:dyDescent="0.2">
      <c r="A1561">
        <f t="shared" si="74"/>
        <v>496</v>
      </c>
      <c r="B1561" s="3">
        <v>43993</v>
      </c>
      <c r="C1561" s="3" t="str">
        <f t="shared" si="73"/>
        <v>Thursday</v>
      </c>
      <c r="D1561" s="2">
        <v>0.42527777777777781</v>
      </c>
      <c r="E1561" t="s">
        <v>14</v>
      </c>
      <c r="F1561" t="s">
        <v>15</v>
      </c>
      <c r="G1561">
        <v>-1</v>
      </c>
      <c r="H1561" t="s">
        <v>16</v>
      </c>
      <c r="I1561" t="s">
        <v>77</v>
      </c>
      <c r="J1561" s="1">
        <v>44063</v>
      </c>
      <c r="L1561" t="s">
        <v>14</v>
      </c>
      <c r="M1561">
        <v>37.270000000000003</v>
      </c>
      <c r="N1561">
        <v>37.270000000000003</v>
      </c>
      <c r="O1561" t="s">
        <v>24</v>
      </c>
      <c r="P1561">
        <f t="shared" si="75"/>
        <v>0</v>
      </c>
      <c r="Q1561" s="11">
        <f>IF(P1561=0,0,IFERROR(Q1560+G1561*M1561*IF(E1561="FUTURE",VLOOKUP(MID(I1561,2,2),[1]Futures!$A$2:$B$12,2),1),G1561*M1561*IF(E1561="FUTURE",VLOOKUP(MID(I1561,2,2),[1]Futures!$A$2:$B$12,2),1)))</f>
        <v>0</v>
      </c>
      <c r="R1561" s="12" t="str">
        <f>IFERROR(Q1561/P1561/IF(E1561="FUTURE",VLOOKUP(MID(I1561,2,2),[1]Futures!$A$2:$B$12,2),1),"")</f>
        <v/>
      </c>
      <c r="S1561" s="13">
        <f>IF(AND(H1561="TO CLOSE",P1561=0),-G1561*(M1561-R1560)*IF(E1561="FUTURE",VLOOKUP(MID(I1561,2,2),[1]Futures!$A$2:$B$12,2),1),"")</f>
        <v>320.00000000000028</v>
      </c>
    </row>
    <row r="1562" spans="1:19" x14ac:dyDescent="0.2">
      <c r="A1562">
        <f t="shared" si="74"/>
        <v>497</v>
      </c>
      <c r="B1562" s="3">
        <v>43993</v>
      </c>
      <c r="C1562" s="3" t="str">
        <f t="shared" si="73"/>
        <v>Thursday</v>
      </c>
      <c r="D1562" s="2">
        <v>0.37567129629629631</v>
      </c>
      <c r="E1562" t="s">
        <v>14</v>
      </c>
      <c r="F1562" t="s">
        <v>19</v>
      </c>
      <c r="G1562">
        <v>1</v>
      </c>
      <c r="H1562" t="s">
        <v>20</v>
      </c>
      <c r="I1562" t="s">
        <v>17</v>
      </c>
      <c r="J1562" s="1">
        <v>44002</v>
      </c>
      <c r="L1562" t="s">
        <v>14</v>
      </c>
      <c r="M1562">
        <v>3105</v>
      </c>
      <c r="N1562">
        <v>3105</v>
      </c>
      <c r="O1562" t="s">
        <v>24</v>
      </c>
      <c r="P1562">
        <f t="shared" si="75"/>
        <v>1</v>
      </c>
      <c r="Q1562" s="11">
        <f>IF(P1562=0,0,IFERROR(Q1561+G1562*M1562*IF(E1562="FUTURE",VLOOKUP(MID(I1562,2,2),[1]Futures!$A$2:$B$12,2),1),G1562*M1562*IF(E1562="FUTURE",VLOOKUP(MID(I1562,2,2),[1]Futures!$A$2:$B$12,2),1)))</f>
        <v>155250</v>
      </c>
      <c r="R1562" s="12">
        <f>IFERROR(Q1562/P1562/IF(E1562="FUTURE",VLOOKUP(MID(I1562,2,2),[1]Futures!$A$2:$B$12,2),1),"")</f>
        <v>3105</v>
      </c>
      <c r="S1562" s="13" t="str">
        <f>IF(AND(H1562="TO CLOSE",P1562=0),-G1562*(M1562-R1561)*IF(E1562="FUTURE",VLOOKUP(MID(I1562,2,2),[1]Futures!$A$2:$B$12,2),1),"")</f>
        <v/>
      </c>
    </row>
    <row r="1563" spans="1:19" x14ac:dyDescent="0.2">
      <c r="A1563">
        <f t="shared" si="74"/>
        <v>497</v>
      </c>
      <c r="B1563" s="3">
        <v>43993</v>
      </c>
      <c r="C1563" s="3" t="str">
        <f t="shared" si="73"/>
        <v>Thursday</v>
      </c>
      <c r="D1563" s="2">
        <v>0.38833333333333336</v>
      </c>
      <c r="E1563" t="s">
        <v>14</v>
      </c>
      <c r="F1563" t="s">
        <v>15</v>
      </c>
      <c r="G1563">
        <v>-1</v>
      </c>
      <c r="H1563" t="s">
        <v>16</v>
      </c>
      <c r="I1563" t="s">
        <v>17</v>
      </c>
      <c r="J1563" s="1">
        <v>44002</v>
      </c>
      <c r="L1563" t="s">
        <v>14</v>
      </c>
      <c r="M1563">
        <v>3109.5</v>
      </c>
      <c r="N1563">
        <v>3109.5</v>
      </c>
      <c r="O1563" t="s">
        <v>21</v>
      </c>
      <c r="P1563">
        <f t="shared" si="75"/>
        <v>0</v>
      </c>
      <c r="Q1563" s="11">
        <f>IF(P1563=0,0,IFERROR(Q1562+G1563*M1563*IF(E1563="FUTURE",VLOOKUP(MID(I1563,2,2),[1]Futures!$A$2:$B$12,2),1),G1563*M1563*IF(E1563="FUTURE",VLOOKUP(MID(I1563,2,2),[1]Futures!$A$2:$B$12,2),1)))</f>
        <v>0</v>
      </c>
      <c r="R1563" s="12" t="str">
        <f>IFERROR(Q1563/P1563/IF(E1563="FUTURE",VLOOKUP(MID(I1563,2,2),[1]Futures!$A$2:$B$12,2),1),"")</f>
        <v/>
      </c>
      <c r="S1563" s="13">
        <f>IF(AND(H1563="TO CLOSE",P1563=0),-G1563*(M1563-R1562)*IF(E1563="FUTURE",VLOOKUP(MID(I1563,2,2),[1]Futures!$A$2:$B$12,2),1),"")</f>
        <v>225</v>
      </c>
    </row>
    <row r="1564" spans="1:19" x14ac:dyDescent="0.2">
      <c r="A1564">
        <f t="shared" si="74"/>
        <v>498</v>
      </c>
      <c r="B1564" s="3">
        <v>43993</v>
      </c>
      <c r="C1564" s="3" t="str">
        <f t="shared" si="73"/>
        <v>Thursday</v>
      </c>
      <c r="D1564" s="2">
        <v>0.42633101851851851</v>
      </c>
      <c r="E1564" t="s">
        <v>14</v>
      </c>
      <c r="F1564" t="s">
        <v>19</v>
      </c>
      <c r="G1564">
        <v>1</v>
      </c>
      <c r="H1564" t="s">
        <v>20</v>
      </c>
      <c r="I1564" t="s">
        <v>17</v>
      </c>
      <c r="J1564" s="1">
        <v>44002</v>
      </c>
      <c r="L1564" t="s">
        <v>14</v>
      </c>
      <c r="M1564">
        <v>3113</v>
      </c>
      <c r="N1564">
        <v>3113</v>
      </c>
      <c r="O1564" t="s">
        <v>24</v>
      </c>
      <c r="P1564">
        <f t="shared" si="75"/>
        <v>1</v>
      </c>
      <c r="Q1564" s="11">
        <f>IF(P1564=0,0,IFERROR(Q1563+G1564*M1564*IF(E1564="FUTURE",VLOOKUP(MID(I1564,2,2),[1]Futures!$A$2:$B$12,2),1),G1564*M1564*IF(E1564="FUTURE",VLOOKUP(MID(I1564,2,2),[1]Futures!$A$2:$B$12,2),1)))</f>
        <v>155650</v>
      </c>
      <c r="R1564" s="12">
        <f>IFERROR(Q1564/P1564/IF(E1564="FUTURE",VLOOKUP(MID(I1564,2,2),[1]Futures!$A$2:$B$12,2),1),"")</f>
        <v>3113</v>
      </c>
      <c r="S1564" s="13" t="str">
        <f>IF(AND(H1564="TO CLOSE",P1564=0),-G1564*(M1564-R1563)*IF(E1564="FUTURE",VLOOKUP(MID(I1564,2,2),[1]Futures!$A$2:$B$12,2),1),"")</f>
        <v/>
      </c>
    </row>
    <row r="1565" spans="1:19" x14ac:dyDescent="0.2">
      <c r="A1565">
        <f t="shared" si="74"/>
        <v>498</v>
      </c>
      <c r="B1565" s="3">
        <v>43993</v>
      </c>
      <c r="C1565" s="3" t="str">
        <f t="shared" si="73"/>
        <v>Thursday</v>
      </c>
      <c r="D1565" s="2">
        <v>0.42655092592592592</v>
      </c>
      <c r="E1565" t="s">
        <v>14</v>
      </c>
      <c r="F1565" t="s">
        <v>15</v>
      </c>
      <c r="G1565">
        <v>-1</v>
      </c>
      <c r="H1565" t="s">
        <v>16</v>
      </c>
      <c r="I1565" t="s">
        <v>17</v>
      </c>
      <c r="J1565" s="1">
        <v>44002</v>
      </c>
      <c r="L1565" t="s">
        <v>14</v>
      </c>
      <c r="M1565">
        <v>3114</v>
      </c>
      <c r="N1565">
        <v>3114</v>
      </c>
      <c r="O1565" t="s">
        <v>21</v>
      </c>
      <c r="P1565">
        <f t="shared" si="75"/>
        <v>0</v>
      </c>
      <c r="Q1565" s="11">
        <f>IF(P1565=0,0,IFERROR(Q1564+G1565*M1565*IF(E1565="FUTURE",VLOOKUP(MID(I1565,2,2),[1]Futures!$A$2:$B$12,2),1),G1565*M1565*IF(E1565="FUTURE",VLOOKUP(MID(I1565,2,2),[1]Futures!$A$2:$B$12,2),1)))</f>
        <v>0</v>
      </c>
      <c r="R1565" s="12" t="str">
        <f>IFERROR(Q1565/P1565/IF(E1565="FUTURE",VLOOKUP(MID(I1565,2,2),[1]Futures!$A$2:$B$12,2),1),"")</f>
        <v/>
      </c>
      <c r="S1565" s="13">
        <f>IF(AND(H1565="TO CLOSE",P1565=0),-G1565*(M1565-R1564)*IF(E1565="FUTURE",VLOOKUP(MID(I1565,2,2),[1]Futures!$A$2:$B$12,2),1),"")</f>
        <v>50</v>
      </c>
    </row>
    <row r="1566" spans="1:19" x14ac:dyDescent="0.2">
      <c r="A1566">
        <f t="shared" si="74"/>
        <v>499</v>
      </c>
      <c r="B1566" s="3">
        <v>43993</v>
      </c>
      <c r="C1566" s="3" t="str">
        <f t="shared" si="73"/>
        <v>Thursday</v>
      </c>
      <c r="D1566" s="2">
        <v>0.40346064814814814</v>
      </c>
      <c r="E1566" t="s">
        <v>14</v>
      </c>
      <c r="F1566" t="s">
        <v>19</v>
      </c>
      <c r="G1566">
        <v>4</v>
      </c>
      <c r="H1566" t="s">
        <v>20</v>
      </c>
      <c r="I1566" t="s">
        <v>73</v>
      </c>
      <c r="J1566" s="1">
        <v>44002</v>
      </c>
      <c r="L1566" t="s">
        <v>14</v>
      </c>
      <c r="M1566">
        <v>3101</v>
      </c>
      <c r="N1566">
        <v>3101</v>
      </c>
      <c r="O1566" t="s">
        <v>24</v>
      </c>
      <c r="P1566">
        <f t="shared" si="75"/>
        <v>4</v>
      </c>
      <c r="Q1566" s="11">
        <f>IF(P1566=0,0,IFERROR(Q1565+G1566*M1566*IF(E1566="FUTURE",VLOOKUP(MID(I1566,2,2),[1]Futures!$A$2:$B$12,2),1),G1566*M1566*IF(E1566="FUTURE",VLOOKUP(MID(I1566,2,2),[1]Futures!$A$2:$B$12,2),1)))</f>
        <v>62020</v>
      </c>
      <c r="R1566" s="12">
        <f>IFERROR(Q1566/P1566/IF(E1566="FUTURE",VLOOKUP(MID(I1566,2,2),[1]Futures!$A$2:$B$12,2),1),"")</f>
        <v>3101</v>
      </c>
      <c r="S1566" s="13" t="str">
        <f>IF(AND(H1566="TO CLOSE",P1566=0),-G1566*(M1566-R1565)*IF(E1566="FUTURE",VLOOKUP(MID(I1566,2,2),[1]Futures!$A$2:$B$12,2),1),"")</f>
        <v/>
      </c>
    </row>
    <row r="1567" spans="1:19" x14ac:dyDescent="0.2">
      <c r="A1567">
        <f t="shared" si="74"/>
        <v>499</v>
      </c>
      <c r="B1567" s="3">
        <v>43993</v>
      </c>
      <c r="C1567" s="3" t="str">
        <f t="shared" si="73"/>
        <v>Thursday</v>
      </c>
      <c r="D1567" s="2">
        <v>0.4073032407407407</v>
      </c>
      <c r="E1567" t="s">
        <v>14</v>
      </c>
      <c r="F1567" t="s">
        <v>15</v>
      </c>
      <c r="G1567">
        <v>-2</v>
      </c>
      <c r="H1567" t="s">
        <v>16</v>
      </c>
      <c r="I1567" t="s">
        <v>73</v>
      </c>
      <c r="J1567" s="1">
        <v>44002</v>
      </c>
      <c r="L1567" t="s">
        <v>14</v>
      </c>
      <c r="M1567">
        <v>3110</v>
      </c>
      <c r="N1567">
        <v>3110</v>
      </c>
      <c r="O1567" t="s">
        <v>21</v>
      </c>
      <c r="P1567">
        <f t="shared" si="75"/>
        <v>2</v>
      </c>
      <c r="Q1567" s="11">
        <f>IF(P1567=0,0,IFERROR(Q1566+G1567*M1567*IF(E1567="FUTURE",VLOOKUP(MID(I1567,2,2),[1]Futures!$A$2:$B$12,2),1),G1567*M1567*IF(E1567="FUTURE",VLOOKUP(MID(I1567,2,2),[1]Futures!$A$2:$B$12,2),1)))</f>
        <v>30920</v>
      </c>
      <c r="R1567" s="12">
        <f>IFERROR(Q1567/P1567/IF(E1567="FUTURE",VLOOKUP(MID(I1567,2,2),[1]Futures!$A$2:$B$12,2),1),"")</f>
        <v>3092</v>
      </c>
      <c r="S1567" s="13" t="str">
        <f>IF(AND(H1567="TO CLOSE",P1567=0),-G1567*(M1567-R1566)*IF(E1567="FUTURE",VLOOKUP(MID(I1567,2,2),[1]Futures!$A$2:$B$12,2),1),"")</f>
        <v/>
      </c>
    </row>
    <row r="1568" spans="1:19" x14ac:dyDescent="0.2">
      <c r="A1568">
        <f t="shared" si="74"/>
        <v>499</v>
      </c>
      <c r="B1568" s="3">
        <v>43993</v>
      </c>
      <c r="C1568" s="3" t="str">
        <f t="shared" si="73"/>
        <v>Thursday</v>
      </c>
      <c r="D1568" s="2">
        <v>0.40811342592592598</v>
      </c>
      <c r="E1568" t="s">
        <v>14</v>
      </c>
      <c r="F1568" t="s">
        <v>15</v>
      </c>
      <c r="G1568">
        <v>-2</v>
      </c>
      <c r="H1568" t="s">
        <v>16</v>
      </c>
      <c r="I1568" t="s">
        <v>73</v>
      </c>
      <c r="J1568" s="1">
        <v>44002</v>
      </c>
      <c r="L1568" t="s">
        <v>14</v>
      </c>
      <c r="M1568">
        <v>3112.75</v>
      </c>
      <c r="N1568">
        <v>3112.75</v>
      </c>
      <c r="O1568" t="s">
        <v>21</v>
      </c>
      <c r="P1568">
        <f t="shared" si="75"/>
        <v>0</v>
      </c>
      <c r="Q1568" s="11">
        <f>IF(P1568=0,0,IFERROR(Q1567+G1568*M1568*IF(E1568="FUTURE",VLOOKUP(MID(I1568,2,2),[1]Futures!$A$2:$B$12,2),1),G1568*M1568*IF(E1568="FUTURE",VLOOKUP(MID(I1568,2,2),[1]Futures!$A$2:$B$12,2),1)))</f>
        <v>0</v>
      </c>
      <c r="R1568" s="12" t="str">
        <f>IFERROR(Q1568/P1568/IF(E1568="FUTURE",VLOOKUP(MID(I1568,2,2),[1]Futures!$A$2:$B$12,2),1),"")</f>
        <v/>
      </c>
      <c r="S1568" s="13">
        <f>IF(AND(H1568="TO CLOSE",P1568=0),-G1568*(M1568-R1567)*IF(E1568="FUTURE",VLOOKUP(MID(I1568,2,2),[1]Futures!$A$2:$B$12,2),1),"")</f>
        <v>207.5</v>
      </c>
    </row>
    <row r="1569" spans="1:19" x14ac:dyDescent="0.2">
      <c r="A1569">
        <f t="shared" si="74"/>
        <v>500</v>
      </c>
      <c r="B1569" s="3">
        <v>43993</v>
      </c>
      <c r="C1569" s="3" t="str">
        <f t="shared" si="73"/>
        <v>Thursday</v>
      </c>
      <c r="D1569" s="2">
        <v>0.4210416666666667</v>
      </c>
      <c r="E1569" t="s">
        <v>14</v>
      </c>
      <c r="F1569" t="s">
        <v>19</v>
      </c>
      <c r="G1569">
        <v>2</v>
      </c>
      <c r="H1569" t="s">
        <v>20</v>
      </c>
      <c r="I1569" t="s">
        <v>73</v>
      </c>
      <c r="J1569" s="1">
        <v>44002</v>
      </c>
      <c r="L1569" t="s">
        <v>14</v>
      </c>
      <c r="M1569">
        <v>3107</v>
      </c>
      <c r="N1569">
        <v>3107</v>
      </c>
      <c r="O1569" t="s">
        <v>24</v>
      </c>
      <c r="P1569">
        <f t="shared" si="75"/>
        <v>2</v>
      </c>
      <c r="Q1569" s="11">
        <f>IF(P1569=0,0,IFERROR(Q1568+G1569*M1569*IF(E1569="FUTURE",VLOOKUP(MID(I1569,2,2),[1]Futures!$A$2:$B$12,2),1),G1569*M1569*IF(E1569="FUTURE",VLOOKUP(MID(I1569,2,2),[1]Futures!$A$2:$B$12,2),1)))</f>
        <v>31070</v>
      </c>
      <c r="R1569" s="12">
        <f>IFERROR(Q1569/P1569/IF(E1569="FUTURE",VLOOKUP(MID(I1569,2,2),[1]Futures!$A$2:$B$12,2),1),"")</f>
        <v>3107</v>
      </c>
      <c r="S1569" s="13" t="str">
        <f>IF(AND(H1569="TO CLOSE",P1569=0),-G1569*(M1569-R1568)*IF(E1569="FUTURE",VLOOKUP(MID(I1569,2,2),[1]Futures!$A$2:$B$12,2),1),"")</f>
        <v/>
      </c>
    </row>
    <row r="1570" spans="1:19" x14ac:dyDescent="0.2">
      <c r="A1570">
        <f t="shared" si="74"/>
        <v>500</v>
      </c>
      <c r="B1570" s="3">
        <v>43993</v>
      </c>
      <c r="C1570" s="3" t="str">
        <f t="shared" si="73"/>
        <v>Thursday</v>
      </c>
      <c r="D1570" s="2">
        <v>0.42692129629629627</v>
      </c>
      <c r="E1570" t="s">
        <v>14</v>
      </c>
      <c r="F1570" t="s">
        <v>15</v>
      </c>
      <c r="G1570">
        <v>-2</v>
      </c>
      <c r="H1570" t="s">
        <v>16</v>
      </c>
      <c r="I1570" t="s">
        <v>73</v>
      </c>
      <c r="J1570" s="1">
        <v>44002</v>
      </c>
      <c r="L1570" t="s">
        <v>14</v>
      </c>
      <c r="M1570">
        <v>3111.5</v>
      </c>
      <c r="N1570">
        <v>3111.5</v>
      </c>
      <c r="O1570" t="s">
        <v>21</v>
      </c>
      <c r="P1570">
        <f t="shared" si="75"/>
        <v>0</v>
      </c>
      <c r="Q1570" s="11">
        <f>IF(P1570=0,0,IFERROR(Q1569+G1570*M1570*IF(E1570="FUTURE",VLOOKUP(MID(I1570,2,2),[1]Futures!$A$2:$B$12,2),1),G1570*M1570*IF(E1570="FUTURE",VLOOKUP(MID(I1570,2,2),[1]Futures!$A$2:$B$12,2),1)))</f>
        <v>0</v>
      </c>
      <c r="R1570" s="12" t="str">
        <f>IFERROR(Q1570/P1570/IF(E1570="FUTURE",VLOOKUP(MID(I1570,2,2),[1]Futures!$A$2:$B$12,2),1),"")</f>
        <v/>
      </c>
      <c r="S1570" s="13">
        <f>IF(AND(H1570="TO CLOSE",P1570=0),-G1570*(M1570-R1569)*IF(E1570="FUTURE",VLOOKUP(MID(I1570,2,2),[1]Futures!$A$2:$B$12,2),1),"")</f>
        <v>45</v>
      </c>
    </row>
    <row r="1571" spans="1:19" x14ac:dyDescent="0.2">
      <c r="A1571">
        <f t="shared" si="74"/>
        <v>501</v>
      </c>
      <c r="B1571" s="3">
        <v>43994</v>
      </c>
      <c r="C1571" s="3" t="str">
        <f t="shared" si="73"/>
        <v>Friday</v>
      </c>
      <c r="D1571" s="2">
        <v>0.53554398148148141</v>
      </c>
      <c r="E1571" t="s">
        <v>22</v>
      </c>
      <c r="F1571" t="s">
        <v>15</v>
      </c>
      <c r="G1571">
        <v>-115</v>
      </c>
      <c r="H1571" t="s">
        <v>20</v>
      </c>
      <c r="I1571" t="s">
        <v>23</v>
      </c>
      <c r="L1571" t="s">
        <v>22</v>
      </c>
      <c r="M1571">
        <v>42.41</v>
      </c>
      <c r="N1571">
        <v>42.41</v>
      </c>
      <c r="O1571" t="s">
        <v>21</v>
      </c>
      <c r="P1571">
        <f t="shared" si="75"/>
        <v>-115</v>
      </c>
      <c r="Q1571" s="11">
        <f>IF(P1571=0,0,IFERROR(Q1570+G1571*M1571*IF(E1571="FUTURE",VLOOKUP(MID(I1571,2,2),[1]Futures!$A$2:$B$12,2),1),G1571*M1571*IF(E1571="FUTURE",VLOOKUP(MID(I1571,2,2),[1]Futures!$A$2:$B$12,2),1)))</f>
        <v>-4877.1499999999996</v>
      </c>
      <c r="R1571" s="12">
        <f>IFERROR(Q1571/P1571/IF(E1571="FUTURE",VLOOKUP(MID(I1571,2,2),[1]Futures!$A$2:$B$12,2),1),"")</f>
        <v>42.41</v>
      </c>
      <c r="S1571" s="13" t="str">
        <f>IF(AND(H1571="TO CLOSE",P1571=0),-G1571*(M1571-R1570)*IF(E1571="FUTURE",VLOOKUP(MID(I1571,2,2),[1]Futures!$A$2:$B$12,2),1),"")</f>
        <v/>
      </c>
    </row>
    <row r="1572" spans="1:19" x14ac:dyDescent="0.2">
      <c r="A1572">
        <f t="shared" si="74"/>
        <v>501</v>
      </c>
      <c r="B1572" s="3">
        <v>43994</v>
      </c>
      <c r="C1572" s="3" t="str">
        <f t="shared" si="73"/>
        <v>Friday</v>
      </c>
      <c r="D1572" s="2">
        <v>0.53554398148148141</v>
      </c>
      <c r="E1572" t="s">
        <v>22</v>
      </c>
      <c r="F1572" t="s">
        <v>15</v>
      </c>
      <c r="G1572">
        <v>-170</v>
      </c>
      <c r="H1572" t="s">
        <v>20</v>
      </c>
      <c r="I1572" t="s">
        <v>23</v>
      </c>
      <c r="L1572" t="s">
        <v>22</v>
      </c>
      <c r="M1572">
        <v>42.41</v>
      </c>
      <c r="N1572">
        <v>42.41</v>
      </c>
      <c r="O1572" t="s">
        <v>21</v>
      </c>
      <c r="P1572">
        <f t="shared" si="75"/>
        <v>-285</v>
      </c>
      <c r="Q1572" s="11">
        <f>IF(P1572=0,0,IFERROR(Q1571+G1572*M1572*IF(E1572="FUTURE",VLOOKUP(MID(I1572,2,2),[1]Futures!$A$2:$B$12,2),1),G1572*M1572*IF(E1572="FUTURE",VLOOKUP(MID(I1572,2,2),[1]Futures!$A$2:$B$12,2),1)))</f>
        <v>-12086.849999999999</v>
      </c>
      <c r="R1572" s="12">
        <f>IFERROR(Q1572/P1572/IF(E1572="FUTURE",VLOOKUP(MID(I1572,2,2),[1]Futures!$A$2:$B$12,2),1),"")</f>
        <v>42.41</v>
      </c>
      <c r="S1572" s="13" t="str">
        <f>IF(AND(H1572="TO CLOSE",P1572=0),-G1572*(M1572-R1571)*IF(E1572="FUTURE",VLOOKUP(MID(I1572,2,2),[1]Futures!$A$2:$B$12,2),1),"")</f>
        <v/>
      </c>
    </row>
    <row r="1573" spans="1:19" x14ac:dyDescent="0.2">
      <c r="A1573">
        <f t="shared" si="74"/>
        <v>501</v>
      </c>
      <c r="B1573" s="3">
        <v>43994</v>
      </c>
      <c r="C1573" s="3" t="str">
        <f t="shared" si="73"/>
        <v>Friday</v>
      </c>
      <c r="D1573" s="2">
        <v>0.53554398148148141</v>
      </c>
      <c r="E1573" t="s">
        <v>22</v>
      </c>
      <c r="F1573" t="s">
        <v>15</v>
      </c>
      <c r="G1573">
        <v>-115</v>
      </c>
      <c r="H1573" t="s">
        <v>20</v>
      </c>
      <c r="I1573" t="s">
        <v>23</v>
      </c>
      <c r="L1573" t="s">
        <v>22</v>
      </c>
      <c r="M1573">
        <v>42.41</v>
      </c>
      <c r="N1573">
        <v>42.41</v>
      </c>
      <c r="O1573" t="s">
        <v>21</v>
      </c>
      <c r="P1573">
        <f t="shared" si="75"/>
        <v>-400</v>
      </c>
      <c r="Q1573" s="11">
        <f>IF(P1573=0,0,IFERROR(Q1572+G1573*M1573*IF(E1573="FUTURE",VLOOKUP(MID(I1573,2,2),[1]Futures!$A$2:$B$12,2),1),G1573*M1573*IF(E1573="FUTURE",VLOOKUP(MID(I1573,2,2),[1]Futures!$A$2:$B$12,2),1)))</f>
        <v>-16964</v>
      </c>
      <c r="R1573" s="12">
        <f>IFERROR(Q1573/P1573/IF(E1573="FUTURE",VLOOKUP(MID(I1573,2,2),[1]Futures!$A$2:$B$12,2),1),"")</f>
        <v>42.41</v>
      </c>
      <c r="S1573" s="13" t="str">
        <f>IF(AND(H1573="TO CLOSE",P1573=0),-G1573*(M1573-R1572)*IF(E1573="FUTURE",VLOOKUP(MID(I1573,2,2),[1]Futures!$A$2:$B$12,2),1),"")</f>
        <v/>
      </c>
    </row>
    <row r="1574" spans="1:19" x14ac:dyDescent="0.2">
      <c r="A1574">
        <f t="shared" si="74"/>
        <v>501</v>
      </c>
      <c r="B1574" s="3">
        <v>43994</v>
      </c>
      <c r="C1574" s="3" t="str">
        <f t="shared" si="73"/>
        <v>Friday</v>
      </c>
      <c r="D1574" s="2">
        <v>0.53587962962962965</v>
      </c>
      <c r="E1574" t="s">
        <v>22</v>
      </c>
      <c r="F1574" t="s">
        <v>19</v>
      </c>
      <c r="G1574">
        <v>100</v>
      </c>
      <c r="H1574" t="s">
        <v>16</v>
      </c>
      <c r="I1574" t="s">
        <v>23</v>
      </c>
      <c r="L1574" t="s">
        <v>22</v>
      </c>
      <c r="M1574">
        <v>41.990099999999998</v>
      </c>
      <c r="N1574">
        <v>41.990099999999998</v>
      </c>
      <c r="O1574" t="s">
        <v>21</v>
      </c>
      <c r="P1574">
        <f t="shared" si="75"/>
        <v>-300</v>
      </c>
      <c r="Q1574" s="11">
        <f>IF(P1574=0,0,IFERROR(Q1573+G1574*M1574*IF(E1574="FUTURE",VLOOKUP(MID(I1574,2,2),[1]Futures!$A$2:$B$12,2),1),G1574*M1574*IF(E1574="FUTURE",VLOOKUP(MID(I1574,2,2),[1]Futures!$A$2:$B$12,2),1)))</f>
        <v>-12764.99</v>
      </c>
      <c r="R1574" s="12">
        <f>IFERROR(Q1574/P1574/IF(E1574="FUTURE",VLOOKUP(MID(I1574,2,2),[1]Futures!$A$2:$B$12,2),1),"")</f>
        <v>42.549966666666663</v>
      </c>
      <c r="S1574" s="13" t="str">
        <f>IF(AND(H1574="TO CLOSE",P1574=0),-G1574*(M1574-R1573)*IF(E1574="FUTURE",VLOOKUP(MID(I1574,2,2),[1]Futures!$A$2:$B$12,2),1),"")</f>
        <v/>
      </c>
    </row>
    <row r="1575" spans="1:19" x14ac:dyDescent="0.2">
      <c r="A1575">
        <f t="shared" si="74"/>
        <v>501</v>
      </c>
      <c r="B1575" s="3">
        <v>43994</v>
      </c>
      <c r="C1575" s="3" t="str">
        <f t="shared" si="73"/>
        <v>Friday</v>
      </c>
      <c r="D1575" s="2">
        <v>0.53957175925925926</v>
      </c>
      <c r="E1575" t="s">
        <v>22</v>
      </c>
      <c r="F1575" t="s">
        <v>19</v>
      </c>
      <c r="G1575">
        <v>100</v>
      </c>
      <c r="H1575" t="s">
        <v>16</v>
      </c>
      <c r="I1575" t="s">
        <v>23</v>
      </c>
      <c r="L1575" t="s">
        <v>22</v>
      </c>
      <c r="M1575">
        <v>42.02</v>
      </c>
      <c r="N1575">
        <v>42.02</v>
      </c>
      <c r="O1575" t="s">
        <v>21</v>
      </c>
      <c r="P1575">
        <f t="shared" si="75"/>
        <v>-200</v>
      </c>
      <c r="Q1575" s="11">
        <f>IF(P1575=0,0,IFERROR(Q1574+G1575*M1575*IF(E1575="FUTURE",VLOOKUP(MID(I1575,2,2),[1]Futures!$A$2:$B$12,2),1),G1575*M1575*IF(E1575="FUTURE",VLOOKUP(MID(I1575,2,2),[1]Futures!$A$2:$B$12,2),1)))</f>
        <v>-8562.99</v>
      </c>
      <c r="R1575" s="12">
        <f>IFERROR(Q1575/P1575/IF(E1575="FUTURE",VLOOKUP(MID(I1575,2,2),[1]Futures!$A$2:$B$12,2),1),"")</f>
        <v>42.814949999999996</v>
      </c>
      <c r="S1575" s="13" t="str">
        <f>IF(AND(H1575="TO CLOSE",P1575=0),-G1575*(M1575-R1574)*IF(E1575="FUTURE",VLOOKUP(MID(I1575,2,2),[1]Futures!$A$2:$B$12,2),1),"")</f>
        <v/>
      </c>
    </row>
    <row r="1576" spans="1:19" x14ac:dyDescent="0.2">
      <c r="A1576">
        <f t="shared" si="74"/>
        <v>501</v>
      </c>
      <c r="B1576" s="3">
        <v>43994</v>
      </c>
      <c r="C1576" s="3" t="str">
        <f t="shared" si="73"/>
        <v>Friday</v>
      </c>
      <c r="D1576" s="2">
        <v>0.5404282407407407</v>
      </c>
      <c r="E1576" t="s">
        <v>22</v>
      </c>
      <c r="F1576" t="s">
        <v>19</v>
      </c>
      <c r="G1576">
        <v>100</v>
      </c>
      <c r="H1576" t="s">
        <v>16</v>
      </c>
      <c r="I1576" t="s">
        <v>23</v>
      </c>
      <c r="L1576" t="s">
        <v>22</v>
      </c>
      <c r="M1576">
        <v>41.78</v>
      </c>
      <c r="N1576">
        <v>41.78</v>
      </c>
      <c r="O1576" t="s">
        <v>21</v>
      </c>
      <c r="P1576">
        <f t="shared" si="75"/>
        <v>-100</v>
      </c>
      <c r="Q1576" s="11">
        <f>IF(P1576=0,0,IFERROR(Q1575+G1576*M1576*IF(E1576="FUTURE",VLOOKUP(MID(I1576,2,2),[1]Futures!$A$2:$B$12,2),1),G1576*M1576*IF(E1576="FUTURE",VLOOKUP(MID(I1576,2,2),[1]Futures!$A$2:$B$12,2),1)))</f>
        <v>-4384.99</v>
      </c>
      <c r="R1576" s="12">
        <f>IFERROR(Q1576/P1576/IF(E1576="FUTURE",VLOOKUP(MID(I1576,2,2),[1]Futures!$A$2:$B$12,2),1),"")</f>
        <v>43.849899999999998</v>
      </c>
      <c r="S1576" s="13" t="str">
        <f>IF(AND(H1576="TO CLOSE",P1576=0),-G1576*(M1576-R1575)*IF(E1576="FUTURE",VLOOKUP(MID(I1576,2,2),[1]Futures!$A$2:$B$12,2),1),"")</f>
        <v/>
      </c>
    </row>
    <row r="1577" spans="1:19" x14ac:dyDescent="0.2">
      <c r="A1577">
        <f t="shared" si="74"/>
        <v>501</v>
      </c>
      <c r="B1577" s="3">
        <v>43994</v>
      </c>
      <c r="C1577" s="3" t="str">
        <f t="shared" si="73"/>
        <v>Friday</v>
      </c>
      <c r="D1577" s="2">
        <v>0.54059027777777779</v>
      </c>
      <c r="E1577" t="s">
        <v>22</v>
      </c>
      <c r="F1577" t="s">
        <v>19</v>
      </c>
      <c r="G1577">
        <v>100</v>
      </c>
      <c r="H1577" t="s">
        <v>16</v>
      </c>
      <c r="I1577" t="s">
        <v>23</v>
      </c>
      <c r="L1577" t="s">
        <v>22</v>
      </c>
      <c r="M1577">
        <v>41.715000000000003</v>
      </c>
      <c r="N1577">
        <v>41.715000000000003</v>
      </c>
      <c r="O1577" t="s">
        <v>24</v>
      </c>
      <c r="P1577">
        <f t="shared" si="75"/>
        <v>0</v>
      </c>
      <c r="Q1577" s="11">
        <f>IF(P1577=0,0,IFERROR(Q1576+G1577*M1577*IF(E1577="FUTURE",VLOOKUP(MID(I1577,2,2),[1]Futures!$A$2:$B$12,2),1),G1577*M1577*IF(E1577="FUTURE",VLOOKUP(MID(I1577,2,2),[1]Futures!$A$2:$B$12,2),1)))</f>
        <v>0</v>
      </c>
      <c r="R1577" s="12" t="str">
        <f>IFERROR(Q1577/P1577/IF(E1577="FUTURE",VLOOKUP(MID(I1577,2,2),[1]Futures!$A$2:$B$12,2),1),"")</f>
        <v/>
      </c>
      <c r="S1577" s="13">
        <f>IF(AND(H1577="TO CLOSE",P1577=0),-G1577*(M1577-R1576)*IF(E1577="FUTURE",VLOOKUP(MID(I1577,2,2),[1]Futures!$A$2:$B$12,2),1),"")</f>
        <v>213.48999999999947</v>
      </c>
    </row>
    <row r="1578" spans="1:19" x14ac:dyDescent="0.2">
      <c r="A1578">
        <f t="shared" si="74"/>
        <v>502</v>
      </c>
      <c r="B1578" s="3">
        <v>43997</v>
      </c>
      <c r="C1578" s="3" t="str">
        <f t="shared" si="73"/>
        <v>Monday</v>
      </c>
      <c r="D1578" s="2">
        <v>0.40190972222222227</v>
      </c>
      <c r="E1578" t="s">
        <v>14</v>
      </c>
      <c r="F1578" t="s">
        <v>19</v>
      </c>
      <c r="G1578">
        <v>1</v>
      </c>
      <c r="H1578" t="s">
        <v>20</v>
      </c>
      <c r="I1578" t="s">
        <v>77</v>
      </c>
      <c r="J1578" s="1">
        <v>44063</v>
      </c>
      <c r="L1578" t="s">
        <v>14</v>
      </c>
      <c r="M1578">
        <v>35.020000000000003</v>
      </c>
      <c r="N1578">
        <v>35.020000000000003</v>
      </c>
      <c r="O1578" t="s">
        <v>21</v>
      </c>
      <c r="P1578">
        <f t="shared" si="75"/>
        <v>1</v>
      </c>
      <c r="Q1578" s="11">
        <f>IF(P1578=0,0,IFERROR(Q1577+G1578*M1578*IF(E1578="FUTURE",VLOOKUP(MID(I1578,2,2),[1]Futures!$A$2:$B$12,2),1),G1578*M1578*IF(E1578="FUTURE",VLOOKUP(MID(I1578,2,2),[1]Futures!$A$2:$B$12,2),1)))</f>
        <v>35020</v>
      </c>
      <c r="R1578" s="12">
        <f>IFERROR(Q1578/P1578/IF(E1578="FUTURE",VLOOKUP(MID(I1578,2,2),[1]Futures!$A$2:$B$12,2),1),"")</f>
        <v>35.020000000000003</v>
      </c>
      <c r="S1578" s="13" t="str">
        <f>IF(AND(H1578="TO CLOSE",P1578=0),-G1578*(M1578-R1577)*IF(E1578="FUTURE",VLOOKUP(MID(I1578,2,2),[1]Futures!$A$2:$B$12,2),1),"")</f>
        <v/>
      </c>
    </row>
    <row r="1579" spans="1:19" x14ac:dyDescent="0.2">
      <c r="A1579">
        <f t="shared" si="74"/>
        <v>502</v>
      </c>
      <c r="B1579" s="3">
        <v>43997</v>
      </c>
      <c r="C1579" s="3" t="str">
        <f t="shared" si="73"/>
        <v>Monday</v>
      </c>
      <c r="D1579" s="2">
        <v>0.41303240740740743</v>
      </c>
      <c r="E1579" t="s">
        <v>14</v>
      </c>
      <c r="F1579" t="s">
        <v>15</v>
      </c>
      <c r="G1579">
        <v>-1</v>
      </c>
      <c r="H1579" t="s">
        <v>16</v>
      </c>
      <c r="I1579" t="s">
        <v>77</v>
      </c>
      <c r="J1579" s="1">
        <v>44063</v>
      </c>
      <c r="L1579" t="s">
        <v>14</v>
      </c>
      <c r="M1579">
        <v>35.25</v>
      </c>
      <c r="N1579">
        <v>35.25</v>
      </c>
      <c r="O1579" t="s">
        <v>21</v>
      </c>
      <c r="P1579">
        <f t="shared" si="75"/>
        <v>0</v>
      </c>
      <c r="Q1579" s="11">
        <f>IF(P1579=0,0,IFERROR(Q1578+G1579*M1579*IF(E1579="FUTURE",VLOOKUP(MID(I1579,2,2),[1]Futures!$A$2:$B$12,2),1),G1579*M1579*IF(E1579="FUTURE",VLOOKUP(MID(I1579,2,2),[1]Futures!$A$2:$B$12,2),1)))</f>
        <v>0</v>
      </c>
      <c r="R1579" s="12" t="str">
        <f>IFERROR(Q1579/P1579/IF(E1579="FUTURE",VLOOKUP(MID(I1579,2,2),[1]Futures!$A$2:$B$12,2),1),"")</f>
        <v/>
      </c>
      <c r="S1579" s="13">
        <f>IF(AND(H1579="TO CLOSE",P1579=0),-G1579*(M1579-R1578)*IF(E1579="FUTURE",VLOOKUP(MID(I1579,2,2),[1]Futures!$A$2:$B$12,2),1),"")</f>
        <v>229.99999999999687</v>
      </c>
    </row>
    <row r="1580" spans="1:19" x14ac:dyDescent="0.2">
      <c r="A1580">
        <f t="shared" si="74"/>
        <v>503</v>
      </c>
      <c r="B1580" s="3">
        <v>43997</v>
      </c>
      <c r="C1580" s="3" t="str">
        <f t="shared" si="73"/>
        <v>Monday</v>
      </c>
      <c r="D1580" s="2">
        <v>0.40091435185185187</v>
      </c>
      <c r="E1580" t="s">
        <v>14</v>
      </c>
      <c r="F1580" t="s">
        <v>19</v>
      </c>
      <c r="G1580">
        <v>1</v>
      </c>
      <c r="H1580" t="s">
        <v>20</v>
      </c>
      <c r="I1580" t="s">
        <v>79</v>
      </c>
      <c r="J1580" s="1">
        <v>44094</v>
      </c>
      <c r="L1580" t="s">
        <v>14</v>
      </c>
      <c r="M1580">
        <v>2970</v>
      </c>
      <c r="N1580">
        <v>2970</v>
      </c>
      <c r="O1580" t="s">
        <v>24</v>
      </c>
      <c r="P1580">
        <f t="shared" si="75"/>
        <v>1</v>
      </c>
      <c r="Q1580" s="11">
        <f>IF(P1580=0,0,IFERROR(Q1579+G1580*M1580*IF(E1580="FUTURE",VLOOKUP(MID(I1580,2,2),[1]Futures!$A$2:$B$12,2),1),G1580*M1580*IF(E1580="FUTURE",VLOOKUP(MID(I1580,2,2),[1]Futures!$A$2:$B$12,2),1)))</f>
        <v>148500</v>
      </c>
      <c r="R1580" s="12">
        <f>IFERROR(Q1580/P1580/IF(E1580="FUTURE",VLOOKUP(MID(I1580,2,2),[1]Futures!$A$2:$B$12,2),1),"")</f>
        <v>2970</v>
      </c>
      <c r="S1580" s="13" t="str">
        <f>IF(AND(H1580="TO CLOSE",P1580=0),-G1580*(M1580-R1579)*IF(E1580="FUTURE",VLOOKUP(MID(I1580,2,2),[1]Futures!$A$2:$B$12,2),1),"")</f>
        <v/>
      </c>
    </row>
    <row r="1581" spans="1:19" x14ac:dyDescent="0.2">
      <c r="A1581">
        <f t="shared" si="74"/>
        <v>503</v>
      </c>
      <c r="B1581" s="3">
        <v>43997</v>
      </c>
      <c r="C1581" s="3" t="str">
        <f t="shared" si="73"/>
        <v>Monday</v>
      </c>
      <c r="D1581" s="2">
        <v>0.41267361111111112</v>
      </c>
      <c r="E1581" t="s">
        <v>14</v>
      </c>
      <c r="F1581" t="s">
        <v>15</v>
      </c>
      <c r="G1581">
        <v>-1</v>
      </c>
      <c r="H1581" t="s">
        <v>16</v>
      </c>
      <c r="I1581" t="s">
        <v>79</v>
      </c>
      <c r="J1581" s="1">
        <v>44094</v>
      </c>
      <c r="L1581" t="s">
        <v>14</v>
      </c>
      <c r="M1581">
        <v>2981.75</v>
      </c>
      <c r="N1581">
        <v>2981.75</v>
      </c>
      <c r="O1581" t="s">
        <v>21</v>
      </c>
      <c r="P1581">
        <f t="shared" si="75"/>
        <v>0</v>
      </c>
      <c r="Q1581" s="11">
        <f>IF(P1581=0,0,IFERROR(Q1580+G1581*M1581*IF(E1581="FUTURE",VLOOKUP(MID(I1581,2,2),[1]Futures!$A$2:$B$12,2),1),G1581*M1581*IF(E1581="FUTURE",VLOOKUP(MID(I1581,2,2),[1]Futures!$A$2:$B$12,2),1)))</f>
        <v>0</v>
      </c>
      <c r="R1581" s="12" t="str">
        <f>IFERROR(Q1581/P1581/IF(E1581="FUTURE",VLOOKUP(MID(I1581,2,2),[1]Futures!$A$2:$B$12,2),1),"")</f>
        <v/>
      </c>
      <c r="S1581" s="13">
        <f>IF(AND(H1581="TO CLOSE",P1581=0),-G1581*(M1581-R1580)*IF(E1581="FUTURE",VLOOKUP(MID(I1581,2,2),[1]Futures!$A$2:$B$12,2),1),"")</f>
        <v>587.5</v>
      </c>
    </row>
    <row r="1582" spans="1:19" x14ac:dyDescent="0.2">
      <c r="A1582">
        <f t="shared" si="74"/>
        <v>504</v>
      </c>
      <c r="B1582" s="3">
        <v>43998</v>
      </c>
      <c r="C1582" s="3" t="str">
        <f t="shared" si="73"/>
        <v>Tuesday</v>
      </c>
      <c r="D1582" s="2">
        <v>0.40414351851851849</v>
      </c>
      <c r="E1582" t="s">
        <v>14</v>
      </c>
      <c r="F1582" t="s">
        <v>19</v>
      </c>
      <c r="G1582">
        <v>1</v>
      </c>
      <c r="H1582" t="s">
        <v>20</v>
      </c>
      <c r="I1582" t="s">
        <v>77</v>
      </c>
      <c r="J1582" s="1">
        <v>44063</v>
      </c>
      <c r="L1582" t="s">
        <v>14</v>
      </c>
      <c r="M1582">
        <v>38.909999999999997</v>
      </c>
      <c r="N1582">
        <v>38.909999999999997</v>
      </c>
      <c r="O1582" t="s">
        <v>21</v>
      </c>
      <c r="P1582">
        <f t="shared" si="75"/>
        <v>1</v>
      </c>
      <c r="Q1582" s="11">
        <f>IF(P1582=0,0,IFERROR(Q1581+G1582*M1582*IF(E1582="FUTURE",VLOOKUP(MID(I1582,2,2),[1]Futures!$A$2:$B$12,2),1),G1582*M1582*IF(E1582="FUTURE",VLOOKUP(MID(I1582,2,2),[1]Futures!$A$2:$B$12,2),1)))</f>
        <v>38910</v>
      </c>
      <c r="R1582" s="12">
        <f>IFERROR(Q1582/P1582/IF(E1582="FUTURE",VLOOKUP(MID(I1582,2,2),[1]Futures!$A$2:$B$12,2),1),"")</f>
        <v>38.909999999999997</v>
      </c>
      <c r="S1582" s="13" t="str">
        <f>IF(AND(H1582="TO CLOSE",P1582=0),-G1582*(M1582-R1581)*IF(E1582="FUTURE",VLOOKUP(MID(I1582,2,2),[1]Futures!$A$2:$B$12,2),1),"")</f>
        <v/>
      </c>
    </row>
    <row r="1583" spans="1:19" x14ac:dyDescent="0.2">
      <c r="A1583">
        <f t="shared" si="74"/>
        <v>504</v>
      </c>
      <c r="B1583" s="3">
        <v>43998</v>
      </c>
      <c r="C1583" s="3" t="str">
        <f t="shared" si="73"/>
        <v>Tuesday</v>
      </c>
      <c r="D1583" s="2">
        <v>0.4143634259259259</v>
      </c>
      <c r="E1583" t="s">
        <v>14</v>
      </c>
      <c r="F1583" t="s">
        <v>15</v>
      </c>
      <c r="G1583">
        <v>-1</v>
      </c>
      <c r="H1583" t="s">
        <v>16</v>
      </c>
      <c r="I1583" t="s">
        <v>77</v>
      </c>
      <c r="J1583" s="1">
        <v>44063</v>
      </c>
      <c r="L1583" t="s">
        <v>14</v>
      </c>
      <c r="M1583">
        <v>39.119999999999997</v>
      </c>
      <c r="N1583">
        <v>39.119999999999997</v>
      </c>
      <c r="O1583" t="s">
        <v>21</v>
      </c>
      <c r="P1583">
        <f t="shared" si="75"/>
        <v>0</v>
      </c>
      <c r="Q1583" s="11">
        <f>IF(P1583=0,0,IFERROR(Q1582+G1583*M1583*IF(E1583="FUTURE",VLOOKUP(MID(I1583,2,2),[1]Futures!$A$2:$B$12,2),1),G1583*M1583*IF(E1583="FUTURE",VLOOKUP(MID(I1583,2,2),[1]Futures!$A$2:$B$12,2),1)))</f>
        <v>0</v>
      </c>
      <c r="R1583" s="12" t="str">
        <f>IFERROR(Q1583/P1583/IF(E1583="FUTURE",VLOOKUP(MID(I1583,2,2),[1]Futures!$A$2:$B$12,2),1),"")</f>
        <v/>
      </c>
      <c r="S1583" s="13">
        <f>IF(AND(H1583="TO CLOSE",P1583=0),-G1583*(M1583-R1582)*IF(E1583="FUTURE",VLOOKUP(MID(I1583,2,2),[1]Futures!$A$2:$B$12,2),1),"")</f>
        <v>210.00000000000085</v>
      </c>
    </row>
    <row r="1584" spans="1:19" x14ac:dyDescent="0.2">
      <c r="A1584">
        <f t="shared" si="74"/>
        <v>505</v>
      </c>
      <c r="B1584" s="3">
        <v>43998</v>
      </c>
      <c r="C1584" s="3" t="str">
        <f t="shared" si="73"/>
        <v>Tuesday</v>
      </c>
      <c r="D1584" s="2">
        <v>0.44148148148148153</v>
      </c>
      <c r="E1584" t="s">
        <v>14</v>
      </c>
      <c r="F1584" t="s">
        <v>15</v>
      </c>
      <c r="G1584">
        <v>-1</v>
      </c>
      <c r="H1584" t="s">
        <v>20</v>
      </c>
      <c r="I1584" t="s">
        <v>77</v>
      </c>
      <c r="J1584" s="1">
        <v>44063</v>
      </c>
      <c r="L1584" t="s">
        <v>14</v>
      </c>
      <c r="M1584">
        <v>39.22</v>
      </c>
      <c r="N1584">
        <v>39.22</v>
      </c>
      <c r="O1584" t="s">
        <v>21</v>
      </c>
      <c r="P1584">
        <f t="shared" si="75"/>
        <v>-1</v>
      </c>
      <c r="Q1584" s="11">
        <f>IF(P1584=0,0,IFERROR(Q1583+G1584*M1584*IF(E1584="FUTURE",VLOOKUP(MID(I1584,2,2),[1]Futures!$A$2:$B$12,2),1),G1584*M1584*IF(E1584="FUTURE",VLOOKUP(MID(I1584,2,2),[1]Futures!$A$2:$B$12,2),1)))</f>
        <v>-39220</v>
      </c>
      <c r="R1584" s="12">
        <f>IFERROR(Q1584/P1584/IF(E1584="FUTURE",VLOOKUP(MID(I1584,2,2),[1]Futures!$A$2:$B$12,2),1),"")</f>
        <v>39.22</v>
      </c>
      <c r="S1584" s="13" t="str">
        <f>IF(AND(H1584="TO CLOSE",P1584=0),-G1584*(M1584-R1583)*IF(E1584="FUTURE",VLOOKUP(MID(I1584,2,2),[1]Futures!$A$2:$B$12,2),1),"")</f>
        <v/>
      </c>
    </row>
    <row r="1585" spans="1:19" x14ac:dyDescent="0.2">
      <c r="A1585">
        <f t="shared" si="74"/>
        <v>505</v>
      </c>
      <c r="B1585" s="3">
        <v>43998</v>
      </c>
      <c r="C1585" s="3" t="str">
        <f t="shared" si="73"/>
        <v>Tuesday</v>
      </c>
      <c r="D1585" s="2">
        <v>0.44271990740740735</v>
      </c>
      <c r="E1585" t="s">
        <v>14</v>
      </c>
      <c r="F1585" t="s">
        <v>19</v>
      </c>
      <c r="G1585">
        <v>1</v>
      </c>
      <c r="H1585" t="s">
        <v>16</v>
      </c>
      <c r="I1585" t="s">
        <v>77</v>
      </c>
      <c r="J1585" s="1">
        <v>44063</v>
      </c>
      <c r="L1585" t="s">
        <v>14</v>
      </c>
      <c r="M1585">
        <v>39.17</v>
      </c>
      <c r="N1585">
        <v>39.17</v>
      </c>
      <c r="O1585" t="s">
        <v>21</v>
      </c>
      <c r="P1585">
        <f t="shared" si="75"/>
        <v>0</v>
      </c>
      <c r="Q1585" s="11">
        <f>IF(P1585=0,0,IFERROR(Q1584+G1585*M1585*IF(E1585="FUTURE",VLOOKUP(MID(I1585,2,2),[1]Futures!$A$2:$B$12,2),1),G1585*M1585*IF(E1585="FUTURE",VLOOKUP(MID(I1585,2,2),[1]Futures!$A$2:$B$12,2),1)))</f>
        <v>0</v>
      </c>
      <c r="R1585" s="12" t="str">
        <f>IFERROR(Q1585/P1585/IF(E1585="FUTURE",VLOOKUP(MID(I1585,2,2),[1]Futures!$A$2:$B$12,2),1),"")</f>
        <v/>
      </c>
      <c r="S1585" s="13">
        <f>IF(AND(H1585="TO CLOSE",P1585=0),-G1585*(M1585-R1584)*IF(E1585="FUTURE",VLOOKUP(MID(I1585,2,2),[1]Futures!$A$2:$B$12,2),1),"")</f>
        <v>49.999999999997158</v>
      </c>
    </row>
    <row r="1586" spans="1:19" x14ac:dyDescent="0.2">
      <c r="A1586">
        <f t="shared" si="74"/>
        <v>506</v>
      </c>
      <c r="B1586" s="3">
        <v>43998</v>
      </c>
      <c r="C1586" s="3" t="str">
        <f t="shared" si="73"/>
        <v>Tuesday</v>
      </c>
      <c r="D1586" s="2">
        <v>0.45318287037037036</v>
      </c>
      <c r="E1586" t="s">
        <v>14</v>
      </c>
      <c r="F1586" t="s">
        <v>19</v>
      </c>
      <c r="G1586">
        <v>1</v>
      </c>
      <c r="H1586" t="s">
        <v>20</v>
      </c>
      <c r="I1586" t="s">
        <v>77</v>
      </c>
      <c r="J1586" s="1">
        <v>44063</v>
      </c>
      <c r="L1586" t="s">
        <v>14</v>
      </c>
      <c r="M1586">
        <v>38.57</v>
      </c>
      <c r="N1586">
        <v>38.57</v>
      </c>
      <c r="O1586" t="s">
        <v>24</v>
      </c>
      <c r="P1586">
        <f t="shared" si="75"/>
        <v>1</v>
      </c>
      <c r="Q1586" s="11">
        <f>IF(P1586=0,0,IFERROR(Q1585+G1586*M1586*IF(E1586="FUTURE",VLOOKUP(MID(I1586,2,2),[1]Futures!$A$2:$B$12,2),1),G1586*M1586*IF(E1586="FUTURE",VLOOKUP(MID(I1586,2,2),[1]Futures!$A$2:$B$12,2),1)))</f>
        <v>38570</v>
      </c>
      <c r="R1586" s="12">
        <f>IFERROR(Q1586/P1586/IF(E1586="FUTURE",VLOOKUP(MID(I1586,2,2),[1]Futures!$A$2:$B$12,2),1),"")</f>
        <v>38.57</v>
      </c>
      <c r="S1586" s="13" t="str">
        <f>IF(AND(H1586="TO CLOSE",P1586=0),-G1586*(M1586-R1585)*IF(E1586="FUTURE",VLOOKUP(MID(I1586,2,2),[1]Futures!$A$2:$B$12,2),1),"")</f>
        <v/>
      </c>
    </row>
    <row r="1587" spans="1:19" x14ac:dyDescent="0.2">
      <c r="A1587">
        <f t="shared" si="74"/>
        <v>506</v>
      </c>
      <c r="B1587" s="3">
        <v>43998</v>
      </c>
      <c r="C1587" s="3" t="str">
        <f t="shared" si="73"/>
        <v>Tuesday</v>
      </c>
      <c r="D1587" s="2">
        <v>0.48194444444444445</v>
      </c>
      <c r="E1587" t="s">
        <v>14</v>
      </c>
      <c r="F1587" t="s">
        <v>19</v>
      </c>
      <c r="G1587">
        <v>1</v>
      </c>
      <c r="H1587" t="s">
        <v>20</v>
      </c>
      <c r="I1587" t="s">
        <v>77</v>
      </c>
      <c r="J1587" s="1">
        <v>44063</v>
      </c>
      <c r="L1587" t="s">
        <v>14</v>
      </c>
      <c r="M1587">
        <v>37.76</v>
      </c>
      <c r="N1587">
        <v>37.76</v>
      </c>
      <c r="O1587" t="s">
        <v>24</v>
      </c>
      <c r="P1587">
        <f t="shared" si="75"/>
        <v>2</v>
      </c>
      <c r="Q1587" s="11">
        <f>IF(P1587=0,0,IFERROR(Q1586+G1587*M1587*IF(E1587="FUTURE",VLOOKUP(MID(I1587,2,2),[1]Futures!$A$2:$B$12,2),1),G1587*M1587*IF(E1587="FUTURE",VLOOKUP(MID(I1587,2,2),[1]Futures!$A$2:$B$12,2),1)))</f>
        <v>76330</v>
      </c>
      <c r="R1587" s="12">
        <f>IFERROR(Q1587/P1587/IF(E1587="FUTURE",VLOOKUP(MID(I1587,2,2),[1]Futures!$A$2:$B$12,2),1),"")</f>
        <v>38.164999999999999</v>
      </c>
      <c r="S1587" s="13" t="str">
        <f>IF(AND(H1587="TO CLOSE",P1587=0),-G1587*(M1587-R1586)*IF(E1587="FUTURE",VLOOKUP(MID(I1587,2,2),[1]Futures!$A$2:$B$12,2),1),"")</f>
        <v/>
      </c>
    </row>
    <row r="1588" spans="1:19" x14ac:dyDescent="0.2">
      <c r="A1588">
        <f t="shared" si="74"/>
        <v>506</v>
      </c>
      <c r="B1588" s="3">
        <v>43998</v>
      </c>
      <c r="C1588" s="3" t="str">
        <f t="shared" si="73"/>
        <v>Tuesday</v>
      </c>
      <c r="D1588" s="2">
        <v>0.52876157407407409</v>
      </c>
      <c r="E1588" t="s">
        <v>14</v>
      </c>
      <c r="F1588" t="s">
        <v>15</v>
      </c>
      <c r="G1588">
        <v>-1</v>
      </c>
      <c r="H1588" t="s">
        <v>16</v>
      </c>
      <c r="I1588" t="s">
        <v>77</v>
      </c>
      <c r="J1588" s="1">
        <v>44063</v>
      </c>
      <c r="L1588" t="s">
        <v>14</v>
      </c>
      <c r="M1588">
        <v>38.17</v>
      </c>
      <c r="N1588">
        <v>38.17</v>
      </c>
      <c r="O1588" t="s">
        <v>21</v>
      </c>
      <c r="P1588">
        <f t="shared" si="75"/>
        <v>1</v>
      </c>
      <c r="Q1588" s="11">
        <f>IF(P1588=0,0,IFERROR(Q1587+G1588*M1588*IF(E1588="FUTURE",VLOOKUP(MID(I1588,2,2),[1]Futures!$A$2:$B$12,2),1),G1588*M1588*IF(E1588="FUTURE",VLOOKUP(MID(I1588,2,2),[1]Futures!$A$2:$B$12,2),1)))</f>
        <v>38160</v>
      </c>
      <c r="R1588" s="12">
        <f>IFERROR(Q1588/P1588/IF(E1588="FUTURE",VLOOKUP(MID(I1588,2,2),[1]Futures!$A$2:$B$12,2),1),"")</f>
        <v>38.159999999999997</v>
      </c>
      <c r="S1588" s="13" t="str">
        <f>IF(AND(H1588="TO CLOSE",P1588=0),-G1588*(M1588-R1587)*IF(E1588="FUTURE",VLOOKUP(MID(I1588,2,2),[1]Futures!$A$2:$B$12,2),1),"")</f>
        <v/>
      </c>
    </row>
    <row r="1589" spans="1:19" x14ac:dyDescent="0.2">
      <c r="A1589">
        <f t="shared" si="74"/>
        <v>506</v>
      </c>
      <c r="B1589" s="3">
        <v>43998</v>
      </c>
      <c r="C1589" s="3" t="str">
        <f t="shared" si="73"/>
        <v>Tuesday</v>
      </c>
      <c r="D1589" s="2">
        <v>0.53032407407407411</v>
      </c>
      <c r="E1589" t="s">
        <v>14</v>
      </c>
      <c r="F1589" t="s">
        <v>15</v>
      </c>
      <c r="G1589">
        <v>-1</v>
      </c>
      <c r="H1589" t="s">
        <v>16</v>
      </c>
      <c r="I1589" t="s">
        <v>77</v>
      </c>
      <c r="J1589" s="1">
        <v>44063</v>
      </c>
      <c r="L1589" t="s">
        <v>14</v>
      </c>
      <c r="M1589">
        <v>38.26</v>
      </c>
      <c r="N1589">
        <v>38.26</v>
      </c>
      <c r="O1589" t="s">
        <v>21</v>
      </c>
      <c r="P1589">
        <f t="shared" si="75"/>
        <v>0</v>
      </c>
      <c r="Q1589" s="11">
        <f>IF(P1589=0,0,IFERROR(Q1588+G1589*M1589*IF(E1589="FUTURE",VLOOKUP(MID(I1589,2,2),[1]Futures!$A$2:$B$12,2),1),G1589*M1589*IF(E1589="FUTURE",VLOOKUP(MID(I1589,2,2),[1]Futures!$A$2:$B$12,2),1)))</f>
        <v>0</v>
      </c>
      <c r="R1589" s="12" t="str">
        <f>IFERROR(Q1589/P1589/IF(E1589="FUTURE",VLOOKUP(MID(I1589,2,2),[1]Futures!$A$2:$B$12,2),1),"")</f>
        <v/>
      </c>
      <c r="S1589" s="13">
        <f>IF(AND(H1589="TO CLOSE",P1589=0),-G1589*(M1589-R1588)*IF(E1589="FUTURE",VLOOKUP(MID(I1589,2,2),[1]Futures!$A$2:$B$12,2),1),"")</f>
        <v>100.00000000000142</v>
      </c>
    </row>
    <row r="1590" spans="1:19" x14ac:dyDescent="0.2">
      <c r="A1590">
        <f t="shared" si="74"/>
        <v>507</v>
      </c>
      <c r="B1590" s="3">
        <v>43998</v>
      </c>
      <c r="C1590" s="3" t="str">
        <f t="shared" si="73"/>
        <v>Tuesday</v>
      </c>
      <c r="D1590" s="2">
        <v>0.53357638888888892</v>
      </c>
      <c r="E1590" t="s">
        <v>14</v>
      </c>
      <c r="F1590" t="s">
        <v>19</v>
      </c>
      <c r="G1590">
        <v>1</v>
      </c>
      <c r="H1590" t="s">
        <v>20</v>
      </c>
      <c r="I1590" t="s">
        <v>77</v>
      </c>
      <c r="J1590" s="1">
        <v>44063</v>
      </c>
      <c r="L1590" t="s">
        <v>14</v>
      </c>
      <c r="M1590">
        <v>38.19</v>
      </c>
      <c r="N1590">
        <v>38.19</v>
      </c>
      <c r="O1590" t="s">
        <v>24</v>
      </c>
      <c r="P1590">
        <f t="shared" si="75"/>
        <v>1</v>
      </c>
      <c r="Q1590" s="11">
        <f>IF(P1590=0,0,IFERROR(Q1589+G1590*M1590*IF(E1590="FUTURE",VLOOKUP(MID(I1590,2,2),[1]Futures!$A$2:$B$12,2),1),G1590*M1590*IF(E1590="FUTURE",VLOOKUP(MID(I1590,2,2),[1]Futures!$A$2:$B$12,2),1)))</f>
        <v>38190</v>
      </c>
      <c r="R1590" s="12">
        <f>IFERROR(Q1590/P1590/IF(E1590="FUTURE",VLOOKUP(MID(I1590,2,2),[1]Futures!$A$2:$B$12,2),1),"")</f>
        <v>38.19</v>
      </c>
      <c r="S1590" s="13" t="str">
        <f>IF(AND(H1590="TO CLOSE",P1590=0),-G1590*(M1590-R1589)*IF(E1590="FUTURE",VLOOKUP(MID(I1590,2,2),[1]Futures!$A$2:$B$12,2),1),"")</f>
        <v/>
      </c>
    </row>
    <row r="1591" spans="1:19" x14ac:dyDescent="0.2">
      <c r="A1591">
        <f t="shared" si="74"/>
        <v>507</v>
      </c>
      <c r="B1591" s="3">
        <v>43998</v>
      </c>
      <c r="C1591" s="3" t="str">
        <f t="shared" si="73"/>
        <v>Tuesday</v>
      </c>
      <c r="D1591" s="2">
        <v>0.53666666666666674</v>
      </c>
      <c r="E1591" t="s">
        <v>14</v>
      </c>
      <c r="F1591" t="s">
        <v>15</v>
      </c>
      <c r="G1591">
        <v>-1</v>
      </c>
      <c r="H1591" t="s">
        <v>16</v>
      </c>
      <c r="I1591" t="s">
        <v>77</v>
      </c>
      <c r="J1591" s="1">
        <v>44063</v>
      </c>
      <c r="L1591" t="s">
        <v>14</v>
      </c>
      <c r="M1591">
        <v>38.22</v>
      </c>
      <c r="N1591">
        <v>38.22</v>
      </c>
      <c r="O1591" t="s">
        <v>21</v>
      </c>
      <c r="P1591">
        <f t="shared" si="75"/>
        <v>0</v>
      </c>
      <c r="Q1591" s="11">
        <f>IF(P1591=0,0,IFERROR(Q1590+G1591*M1591*IF(E1591="FUTURE",VLOOKUP(MID(I1591,2,2),[1]Futures!$A$2:$B$12,2),1),G1591*M1591*IF(E1591="FUTURE",VLOOKUP(MID(I1591,2,2),[1]Futures!$A$2:$B$12,2),1)))</f>
        <v>0</v>
      </c>
      <c r="R1591" s="12" t="str">
        <f>IFERROR(Q1591/P1591/IF(E1591="FUTURE",VLOOKUP(MID(I1591,2,2),[1]Futures!$A$2:$B$12,2),1),"")</f>
        <v/>
      </c>
      <c r="S1591" s="13">
        <f>IF(AND(H1591="TO CLOSE",P1591=0),-G1591*(M1591-R1590)*IF(E1591="FUTURE",VLOOKUP(MID(I1591,2,2),[1]Futures!$A$2:$B$12,2),1),"")</f>
        <v>30.000000000001137</v>
      </c>
    </row>
    <row r="1592" spans="1:19" x14ac:dyDescent="0.2">
      <c r="A1592">
        <f t="shared" si="74"/>
        <v>508</v>
      </c>
      <c r="B1592" s="3">
        <v>43998</v>
      </c>
      <c r="C1592" s="3" t="str">
        <f t="shared" si="73"/>
        <v>Tuesday</v>
      </c>
      <c r="D1592" s="2">
        <v>0.39422453703703703</v>
      </c>
      <c r="E1592" t="s">
        <v>14</v>
      </c>
      <c r="F1592" t="s">
        <v>19</v>
      </c>
      <c r="G1592">
        <v>1</v>
      </c>
      <c r="H1592" t="s">
        <v>20</v>
      </c>
      <c r="I1592" t="s">
        <v>79</v>
      </c>
      <c r="J1592" s="1">
        <v>44094</v>
      </c>
      <c r="L1592" t="s">
        <v>14</v>
      </c>
      <c r="M1592">
        <v>3140.5</v>
      </c>
      <c r="N1592">
        <v>3140.5</v>
      </c>
      <c r="O1592" t="s">
        <v>21</v>
      </c>
      <c r="P1592">
        <f t="shared" si="75"/>
        <v>1</v>
      </c>
      <c r="Q1592" s="11">
        <f>IF(P1592=0,0,IFERROR(Q1591+G1592*M1592*IF(E1592="FUTURE",VLOOKUP(MID(I1592,2,2),[1]Futures!$A$2:$B$12,2),1),G1592*M1592*IF(E1592="FUTURE",VLOOKUP(MID(I1592,2,2),[1]Futures!$A$2:$B$12,2),1)))</f>
        <v>157025</v>
      </c>
      <c r="R1592" s="12">
        <f>IFERROR(Q1592/P1592/IF(E1592="FUTURE",VLOOKUP(MID(I1592,2,2),[1]Futures!$A$2:$B$12,2),1),"")</f>
        <v>3140.5</v>
      </c>
      <c r="S1592" s="13" t="str">
        <f>IF(AND(H1592="TO CLOSE",P1592=0),-G1592*(M1592-R1591)*IF(E1592="FUTURE",VLOOKUP(MID(I1592,2,2),[1]Futures!$A$2:$B$12,2),1),"")</f>
        <v/>
      </c>
    </row>
    <row r="1593" spans="1:19" x14ac:dyDescent="0.2">
      <c r="A1593">
        <f t="shared" si="74"/>
        <v>508</v>
      </c>
      <c r="B1593" s="3">
        <v>43998</v>
      </c>
      <c r="C1593" s="3" t="str">
        <f t="shared" si="73"/>
        <v>Tuesday</v>
      </c>
      <c r="D1593" s="2">
        <v>0.39939814814814811</v>
      </c>
      <c r="E1593" t="s">
        <v>14</v>
      </c>
      <c r="F1593" t="s">
        <v>19</v>
      </c>
      <c r="G1593">
        <v>1</v>
      </c>
      <c r="H1593" t="s">
        <v>20</v>
      </c>
      <c r="I1593" t="s">
        <v>79</v>
      </c>
      <c r="J1593" s="1">
        <v>44094</v>
      </c>
      <c r="L1593" t="s">
        <v>14</v>
      </c>
      <c r="M1593">
        <v>3131.75</v>
      </c>
      <c r="N1593">
        <v>3131.75</v>
      </c>
      <c r="O1593" t="s">
        <v>24</v>
      </c>
      <c r="P1593">
        <f t="shared" si="75"/>
        <v>2</v>
      </c>
      <c r="Q1593" s="11">
        <f>IF(P1593=0,0,IFERROR(Q1592+G1593*M1593*IF(E1593="FUTURE",VLOOKUP(MID(I1593,2,2),[1]Futures!$A$2:$B$12,2),1),G1593*M1593*IF(E1593="FUTURE",VLOOKUP(MID(I1593,2,2),[1]Futures!$A$2:$B$12,2),1)))</f>
        <v>313612.5</v>
      </c>
      <c r="R1593" s="12">
        <f>IFERROR(Q1593/P1593/IF(E1593="FUTURE",VLOOKUP(MID(I1593,2,2),[1]Futures!$A$2:$B$12,2),1),"")</f>
        <v>3136.125</v>
      </c>
      <c r="S1593" s="13" t="str">
        <f>IF(AND(H1593="TO CLOSE",P1593=0),-G1593*(M1593-R1592)*IF(E1593="FUTURE",VLOOKUP(MID(I1593,2,2),[1]Futures!$A$2:$B$12,2),1),"")</f>
        <v/>
      </c>
    </row>
    <row r="1594" spans="1:19" x14ac:dyDescent="0.2">
      <c r="A1594">
        <f t="shared" si="74"/>
        <v>508</v>
      </c>
      <c r="B1594" s="3">
        <v>43998</v>
      </c>
      <c r="C1594" s="3" t="str">
        <f t="shared" si="73"/>
        <v>Tuesday</v>
      </c>
      <c r="D1594" s="2">
        <v>0.40146990740740746</v>
      </c>
      <c r="E1594" t="s">
        <v>14</v>
      </c>
      <c r="F1594" t="s">
        <v>15</v>
      </c>
      <c r="G1594">
        <v>-1</v>
      </c>
      <c r="H1594" t="s">
        <v>16</v>
      </c>
      <c r="I1594" t="s">
        <v>79</v>
      </c>
      <c r="J1594" s="1">
        <v>44094</v>
      </c>
      <c r="L1594" t="s">
        <v>14</v>
      </c>
      <c r="M1594">
        <v>3135.25</v>
      </c>
      <c r="N1594">
        <v>3135.25</v>
      </c>
      <c r="O1594" t="s">
        <v>21</v>
      </c>
      <c r="P1594">
        <f t="shared" si="75"/>
        <v>1</v>
      </c>
      <c r="Q1594" s="11">
        <f>IF(P1594=0,0,IFERROR(Q1593+G1594*M1594*IF(E1594="FUTURE",VLOOKUP(MID(I1594,2,2),[1]Futures!$A$2:$B$12,2),1),G1594*M1594*IF(E1594="FUTURE",VLOOKUP(MID(I1594,2,2),[1]Futures!$A$2:$B$12,2),1)))</f>
        <v>156850</v>
      </c>
      <c r="R1594" s="12">
        <f>IFERROR(Q1594/P1594/IF(E1594="FUTURE",VLOOKUP(MID(I1594,2,2),[1]Futures!$A$2:$B$12,2),1),"")</f>
        <v>3137</v>
      </c>
      <c r="S1594" s="13" t="str">
        <f>IF(AND(H1594="TO CLOSE",P1594=0),-G1594*(M1594-R1593)*IF(E1594="FUTURE",VLOOKUP(MID(I1594,2,2),[1]Futures!$A$2:$B$12,2),1),"")</f>
        <v/>
      </c>
    </row>
    <row r="1595" spans="1:19" x14ac:dyDescent="0.2">
      <c r="A1595">
        <f t="shared" si="74"/>
        <v>508</v>
      </c>
      <c r="B1595" s="3">
        <v>43998</v>
      </c>
      <c r="C1595" s="3" t="str">
        <f t="shared" si="73"/>
        <v>Tuesday</v>
      </c>
      <c r="D1595" s="2">
        <v>0.42827546296296298</v>
      </c>
      <c r="E1595" t="s">
        <v>14</v>
      </c>
      <c r="F1595" t="s">
        <v>15</v>
      </c>
      <c r="G1595">
        <v>-1</v>
      </c>
      <c r="H1595" t="s">
        <v>16</v>
      </c>
      <c r="I1595" t="s">
        <v>79</v>
      </c>
      <c r="J1595" s="1">
        <v>44094</v>
      </c>
      <c r="L1595" t="s">
        <v>14</v>
      </c>
      <c r="M1595">
        <v>3140.5</v>
      </c>
      <c r="N1595">
        <v>3140.5</v>
      </c>
      <c r="O1595" t="s">
        <v>21</v>
      </c>
      <c r="P1595">
        <f t="shared" si="75"/>
        <v>0</v>
      </c>
      <c r="Q1595" s="11">
        <f>IF(P1595=0,0,IFERROR(Q1594+G1595*M1595*IF(E1595="FUTURE",VLOOKUP(MID(I1595,2,2),[1]Futures!$A$2:$B$12,2),1),G1595*M1595*IF(E1595="FUTURE",VLOOKUP(MID(I1595,2,2),[1]Futures!$A$2:$B$12,2),1)))</f>
        <v>0</v>
      </c>
      <c r="R1595" s="12" t="str">
        <f>IFERROR(Q1595/P1595/IF(E1595="FUTURE",VLOOKUP(MID(I1595,2,2),[1]Futures!$A$2:$B$12,2),1),"")</f>
        <v/>
      </c>
      <c r="S1595" s="13">
        <f>IF(AND(H1595="TO CLOSE",P1595=0),-G1595*(M1595-R1594)*IF(E1595="FUTURE",VLOOKUP(MID(I1595,2,2),[1]Futures!$A$2:$B$12,2),1),"")</f>
        <v>175</v>
      </c>
    </row>
    <row r="1596" spans="1:19" x14ac:dyDescent="0.2">
      <c r="A1596">
        <f t="shared" si="74"/>
        <v>509</v>
      </c>
      <c r="B1596" s="3">
        <v>43998</v>
      </c>
      <c r="C1596" s="3" t="str">
        <f t="shared" si="73"/>
        <v>Tuesday</v>
      </c>
      <c r="D1596" s="2">
        <v>0.45206018518518515</v>
      </c>
      <c r="E1596" t="s">
        <v>14</v>
      </c>
      <c r="F1596" t="s">
        <v>19</v>
      </c>
      <c r="G1596">
        <v>1</v>
      </c>
      <c r="H1596" t="s">
        <v>20</v>
      </c>
      <c r="I1596" t="s">
        <v>79</v>
      </c>
      <c r="J1596" s="1">
        <v>44094</v>
      </c>
      <c r="L1596" t="s">
        <v>14</v>
      </c>
      <c r="M1596">
        <v>3116</v>
      </c>
      <c r="N1596">
        <v>3116</v>
      </c>
      <c r="O1596" t="s">
        <v>24</v>
      </c>
      <c r="P1596">
        <f t="shared" si="75"/>
        <v>1</v>
      </c>
      <c r="Q1596" s="11">
        <f>IF(P1596=0,0,IFERROR(Q1595+G1596*M1596*IF(E1596="FUTURE",VLOOKUP(MID(I1596,2,2),[1]Futures!$A$2:$B$12,2),1),G1596*M1596*IF(E1596="FUTURE",VLOOKUP(MID(I1596,2,2),[1]Futures!$A$2:$B$12,2),1)))</f>
        <v>155800</v>
      </c>
      <c r="R1596" s="12">
        <f>IFERROR(Q1596/P1596/IF(E1596="FUTURE",VLOOKUP(MID(I1596,2,2),[1]Futures!$A$2:$B$12,2),1),"")</f>
        <v>3116</v>
      </c>
      <c r="S1596" s="13" t="str">
        <f>IF(AND(H1596="TO CLOSE",P1596=0),-G1596*(M1596-R1595)*IF(E1596="FUTURE",VLOOKUP(MID(I1596,2,2),[1]Futures!$A$2:$B$12,2),1),"")</f>
        <v/>
      </c>
    </row>
    <row r="1597" spans="1:19" x14ac:dyDescent="0.2">
      <c r="A1597">
        <f t="shared" si="74"/>
        <v>509</v>
      </c>
      <c r="B1597" s="3">
        <v>43998</v>
      </c>
      <c r="C1597" s="3" t="str">
        <f t="shared" si="73"/>
        <v>Tuesday</v>
      </c>
      <c r="D1597" s="2">
        <v>0.48061342592592587</v>
      </c>
      <c r="E1597" t="s">
        <v>14</v>
      </c>
      <c r="F1597" t="s">
        <v>15</v>
      </c>
      <c r="G1597">
        <v>-1</v>
      </c>
      <c r="H1597" t="s">
        <v>16</v>
      </c>
      <c r="I1597" t="s">
        <v>79</v>
      </c>
      <c r="J1597" s="1">
        <v>44094</v>
      </c>
      <c r="L1597" t="s">
        <v>14</v>
      </c>
      <c r="M1597">
        <v>3117.25</v>
      </c>
      <c r="N1597">
        <v>3117.25</v>
      </c>
      <c r="O1597" t="s">
        <v>24</v>
      </c>
      <c r="P1597">
        <f t="shared" si="75"/>
        <v>0</v>
      </c>
      <c r="Q1597" s="11">
        <f>IF(P1597=0,0,IFERROR(Q1596+G1597*M1597*IF(E1597="FUTURE",VLOOKUP(MID(I1597,2,2),[1]Futures!$A$2:$B$12,2),1),G1597*M1597*IF(E1597="FUTURE",VLOOKUP(MID(I1597,2,2),[1]Futures!$A$2:$B$12,2),1)))</f>
        <v>0</v>
      </c>
      <c r="R1597" s="12" t="str">
        <f>IFERROR(Q1597/P1597/IF(E1597="FUTURE",VLOOKUP(MID(I1597,2,2),[1]Futures!$A$2:$B$12,2),1),"")</f>
        <v/>
      </c>
      <c r="S1597" s="13">
        <f>IF(AND(H1597="TO CLOSE",P1597=0),-G1597*(M1597-R1596)*IF(E1597="FUTURE",VLOOKUP(MID(I1597,2,2),[1]Futures!$A$2:$B$12,2),1),"")</f>
        <v>62.5</v>
      </c>
    </row>
    <row r="1598" spans="1:19" x14ac:dyDescent="0.2">
      <c r="A1598">
        <f t="shared" si="74"/>
        <v>510</v>
      </c>
      <c r="B1598" s="3">
        <v>43998</v>
      </c>
      <c r="C1598" s="3" t="str">
        <f t="shared" ref="C1598:C1661" si="76">IF(WEEKDAY(B1598,2)=1,"Monday",IF(WEEKDAY(B1598,2)=2,"Tuesday",IF(WEEKDAY(B1598,2)=3,"Wednesday",IF(WEEKDAY(B1598,2)=4,"Thursday",IF(WEEKDAY(B1598,2)=5,"Friday","Sunday")))))</f>
        <v>Tuesday</v>
      </c>
      <c r="D1598" s="2">
        <v>0.40343749999999995</v>
      </c>
      <c r="E1598" t="s">
        <v>22</v>
      </c>
      <c r="F1598" t="s">
        <v>15</v>
      </c>
      <c r="G1598">
        <v>-200</v>
      </c>
      <c r="H1598" t="s">
        <v>20</v>
      </c>
      <c r="I1598" t="s">
        <v>23</v>
      </c>
      <c r="L1598" t="s">
        <v>22</v>
      </c>
      <c r="M1598">
        <v>35.630000000000003</v>
      </c>
      <c r="N1598">
        <v>35.630000000000003</v>
      </c>
      <c r="O1598" t="s">
        <v>21</v>
      </c>
      <c r="P1598">
        <f t="shared" si="75"/>
        <v>-200</v>
      </c>
      <c r="Q1598" s="11">
        <f>IF(P1598=0,0,IFERROR(Q1597+G1598*M1598*IF(E1598="FUTURE",VLOOKUP(MID(I1598,2,2),[1]Futures!$A$2:$B$12,2),1),G1598*M1598*IF(E1598="FUTURE",VLOOKUP(MID(I1598,2,2),[1]Futures!$A$2:$B$12,2),1)))</f>
        <v>-7126.0000000000009</v>
      </c>
      <c r="R1598" s="12">
        <f>IFERROR(Q1598/P1598/IF(E1598="FUTURE",VLOOKUP(MID(I1598,2,2),[1]Futures!$A$2:$B$12,2),1),"")</f>
        <v>35.630000000000003</v>
      </c>
      <c r="S1598" s="13" t="str">
        <f>IF(AND(H1598="TO CLOSE",P1598=0),-G1598*(M1598-R1597)*IF(E1598="FUTURE",VLOOKUP(MID(I1598,2,2),[1]Futures!$A$2:$B$12,2),1),"")</f>
        <v/>
      </c>
    </row>
    <row r="1599" spans="1:19" x14ac:dyDescent="0.2">
      <c r="A1599">
        <f t="shared" si="74"/>
        <v>510</v>
      </c>
      <c r="B1599" s="3">
        <v>43998</v>
      </c>
      <c r="C1599" s="3" t="str">
        <f t="shared" si="76"/>
        <v>Tuesday</v>
      </c>
      <c r="D1599" s="2">
        <v>0.41122685185185182</v>
      </c>
      <c r="E1599" t="s">
        <v>22</v>
      </c>
      <c r="F1599" t="s">
        <v>15</v>
      </c>
      <c r="G1599">
        <v>-100</v>
      </c>
      <c r="H1599" t="s">
        <v>20</v>
      </c>
      <c r="I1599" t="s">
        <v>23</v>
      </c>
      <c r="L1599" t="s">
        <v>22</v>
      </c>
      <c r="M1599">
        <v>36.034999999999997</v>
      </c>
      <c r="N1599">
        <v>36.034999999999997</v>
      </c>
      <c r="O1599" t="s">
        <v>24</v>
      </c>
      <c r="P1599">
        <f t="shared" si="75"/>
        <v>-300</v>
      </c>
      <c r="Q1599" s="11">
        <f>IF(P1599=0,0,IFERROR(Q1598+G1599*M1599*IF(E1599="FUTURE",VLOOKUP(MID(I1599,2,2),[1]Futures!$A$2:$B$12,2),1),G1599*M1599*IF(E1599="FUTURE",VLOOKUP(MID(I1599,2,2),[1]Futures!$A$2:$B$12,2),1)))</f>
        <v>-10729.5</v>
      </c>
      <c r="R1599" s="12">
        <f>IFERROR(Q1599/P1599/IF(E1599="FUTURE",VLOOKUP(MID(I1599,2,2),[1]Futures!$A$2:$B$12,2),1),"")</f>
        <v>35.765000000000001</v>
      </c>
      <c r="S1599" s="13" t="str">
        <f>IF(AND(H1599="TO CLOSE",P1599=0),-G1599*(M1599-R1598)*IF(E1599="FUTURE",VLOOKUP(MID(I1599,2,2),[1]Futures!$A$2:$B$12,2),1),"")</f>
        <v/>
      </c>
    </row>
    <row r="1600" spans="1:19" x14ac:dyDescent="0.2">
      <c r="A1600">
        <f t="shared" si="74"/>
        <v>510</v>
      </c>
      <c r="B1600" s="3">
        <v>43998</v>
      </c>
      <c r="C1600" s="3" t="str">
        <f t="shared" si="76"/>
        <v>Tuesday</v>
      </c>
      <c r="D1600" s="2">
        <v>0.41375000000000001</v>
      </c>
      <c r="E1600" t="s">
        <v>22</v>
      </c>
      <c r="F1600" t="s">
        <v>19</v>
      </c>
      <c r="G1600">
        <v>100</v>
      </c>
      <c r="H1600" t="s">
        <v>16</v>
      </c>
      <c r="I1600" t="s">
        <v>23</v>
      </c>
      <c r="L1600" t="s">
        <v>22</v>
      </c>
      <c r="M1600">
        <v>35.19</v>
      </c>
      <c r="N1600">
        <v>35.19</v>
      </c>
      <c r="O1600" t="s">
        <v>21</v>
      </c>
      <c r="P1600">
        <f t="shared" si="75"/>
        <v>-200</v>
      </c>
      <c r="Q1600" s="11">
        <f>IF(P1600=0,0,IFERROR(Q1599+G1600*M1600*IF(E1600="FUTURE",VLOOKUP(MID(I1600,2,2),[1]Futures!$A$2:$B$12,2),1),G1600*M1600*IF(E1600="FUTURE",VLOOKUP(MID(I1600,2,2),[1]Futures!$A$2:$B$12,2),1)))</f>
        <v>-7210.5</v>
      </c>
      <c r="R1600" s="12">
        <f>IFERROR(Q1600/P1600/IF(E1600="FUTURE",VLOOKUP(MID(I1600,2,2),[1]Futures!$A$2:$B$12,2),1),"")</f>
        <v>36.052500000000002</v>
      </c>
      <c r="S1600" s="13" t="str">
        <f>IF(AND(H1600="TO CLOSE",P1600=0),-G1600*(M1600-R1599)*IF(E1600="FUTURE",VLOOKUP(MID(I1600,2,2),[1]Futures!$A$2:$B$12,2),1),"")</f>
        <v/>
      </c>
    </row>
    <row r="1601" spans="1:19" x14ac:dyDescent="0.2">
      <c r="A1601">
        <f t="shared" si="74"/>
        <v>510</v>
      </c>
      <c r="B1601" s="3">
        <v>43998</v>
      </c>
      <c r="C1601" s="3" t="str">
        <f t="shared" si="76"/>
        <v>Tuesday</v>
      </c>
      <c r="D1601" s="2">
        <v>0.41761574074074076</v>
      </c>
      <c r="E1601" t="s">
        <v>22</v>
      </c>
      <c r="F1601" t="s">
        <v>19</v>
      </c>
      <c r="G1601">
        <v>100</v>
      </c>
      <c r="H1601" t="s">
        <v>16</v>
      </c>
      <c r="I1601" t="s">
        <v>23</v>
      </c>
      <c r="L1601" t="s">
        <v>22</v>
      </c>
      <c r="M1601">
        <v>35.11</v>
      </c>
      <c r="N1601">
        <v>35.11</v>
      </c>
      <c r="O1601" t="s">
        <v>21</v>
      </c>
      <c r="P1601">
        <f t="shared" si="75"/>
        <v>-100</v>
      </c>
      <c r="Q1601" s="11">
        <f>IF(P1601=0,0,IFERROR(Q1600+G1601*M1601*IF(E1601="FUTURE",VLOOKUP(MID(I1601,2,2),[1]Futures!$A$2:$B$12,2),1),G1601*M1601*IF(E1601="FUTURE",VLOOKUP(MID(I1601,2,2),[1]Futures!$A$2:$B$12,2),1)))</f>
        <v>-3699.5</v>
      </c>
      <c r="R1601" s="12">
        <f>IFERROR(Q1601/P1601/IF(E1601="FUTURE",VLOOKUP(MID(I1601,2,2),[1]Futures!$A$2:$B$12,2),1),"")</f>
        <v>36.994999999999997</v>
      </c>
      <c r="S1601" s="13" t="str">
        <f>IF(AND(H1601="TO CLOSE",P1601=0),-G1601*(M1601-R1600)*IF(E1601="FUTURE",VLOOKUP(MID(I1601,2,2),[1]Futures!$A$2:$B$12,2),1),"")</f>
        <v/>
      </c>
    </row>
    <row r="1602" spans="1:19" x14ac:dyDescent="0.2">
      <c r="A1602">
        <f t="shared" ref="A1602:A1665" si="77">IF(AND(P1601=0,H1601="TO CLOSE"),IFERROR(A1601+1,1),IFERROR(A1601/1,1))</f>
        <v>510</v>
      </c>
      <c r="B1602" s="3">
        <v>43998</v>
      </c>
      <c r="C1602" s="3" t="str">
        <f t="shared" si="76"/>
        <v>Tuesday</v>
      </c>
      <c r="D1602" s="2">
        <v>0.42799768518518522</v>
      </c>
      <c r="E1602" t="s">
        <v>22</v>
      </c>
      <c r="F1602" t="s">
        <v>19</v>
      </c>
      <c r="G1602">
        <v>100</v>
      </c>
      <c r="H1602" t="s">
        <v>16</v>
      </c>
      <c r="I1602" t="s">
        <v>23</v>
      </c>
      <c r="L1602" t="s">
        <v>22</v>
      </c>
      <c r="M1602">
        <v>34.99</v>
      </c>
      <c r="N1602">
        <v>34.99</v>
      </c>
      <c r="O1602" t="s">
        <v>21</v>
      </c>
      <c r="P1602">
        <f t="shared" si="75"/>
        <v>0</v>
      </c>
      <c r="Q1602" s="11">
        <f>IF(P1602=0,0,IFERROR(Q1601+G1602*M1602*IF(E1602="FUTURE",VLOOKUP(MID(I1602,2,2),[1]Futures!$A$2:$B$12,2),1),G1602*M1602*IF(E1602="FUTURE",VLOOKUP(MID(I1602,2,2),[1]Futures!$A$2:$B$12,2),1)))</f>
        <v>0</v>
      </c>
      <c r="R1602" s="12" t="str">
        <f>IFERROR(Q1602/P1602/IF(E1602="FUTURE",VLOOKUP(MID(I1602,2,2),[1]Futures!$A$2:$B$12,2),1),"")</f>
        <v/>
      </c>
      <c r="S1602" s="13">
        <f>IF(AND(H1602="TO CLOSE",P1602=0),-G1602*(M1602-R1601)*IF(E1602="FUTURE",VLOOKUP(MID(I1602,2,2),[1]Futures!$A$2:$B$12,2),1),"")</f>
        <v>200.49999999999955</v>
      </c>
    </row>
    <row r="1603" spans="1:19" x14ac:dyDescent="0.2">
      <c r="A1603">
        <f t="shared" si="77"/>
        <v>511</v>
      </c>
      <c r="B1603" s="3">
        <v>43998</v>
      </c>
      <c r="C1603" s="3" t="str">
        <f t="shared" si="76"/>
        <v>Tuesday</v>
      </c>
      <c r="D1603" s="2">
        <v>0.50916666666666666</v>
      </c>
      <c r="E1603" t="s">
        <v>22</v>
      </c>
      <c r="F1603" t="s">
        <v>15</v>
      </c>
      <c r="G1603">
        <v>-22</v>
      </c>
      <c r="H1603" t="s">
        <v>20</v>
      </c>
      <c r="I1603" t="s">
        <v>23</v>
      </c>
      <c r="L1603" t="s">
        <v>22</v>
      </c>
      <c r="M1603">
        <v>37.46</v>
      </c>
      <c r="N1603">
        <v>37.46</v>
      </c>
      <c r="O1603" t="s">
        <v>21</v>
      </c>
      <c r="P1603">
        <f t="shared" ref="P1603:P1666" si="78">IF(H1603="TO OPEN",IFERROR(P1602+G1603,0+G1603),IFERROR(P1602+G1603,0+G1603))</f>
        <v>-22</v>
      </c>
      <c r="Q1603" s="11">
        <f>IF(P1603=0,0,IFERROR(Q1602+G1603*M1603*IF(E1603="FUTURE",VLOOKUP(MID(I1603,2,2),[1]Futures!$A$2:$B$12,2),1),G1603*M1603*IF(E1603="FUTURE",VLOOKUP(MID(I1603,2,2),[1]Futures!$A$2:$B$12,2),1)))</f>
        <v>-824.12</v>
      </c>
      <c r="R1603" s="12">
        <f>IFERROR(Q1603/P1603/IF(E1603="FUTURE",VLOOKUP(MID(I1603,2,2),[1]Futures!$A$2:$B$12,2),1),"")</f>
        <v>37.46</v>
      </c>
      <c r="S1603" s="13" t="str">
        <f>IF(AND(H1603="TO CLOSE",P1603=0),-G1603*(M1603-R1602)*IF(E1603="FUTURE",VLOOKUP(MID(I1603,2,2),[1]Futures!$A$2:$B$12,2),1),"")</f>
        <v/>
      </c>
    </row>
    <row r="1604" spans="1:19" x14ac:dyDescent="0.2">
      <c r="A1604">
        <f t="shared" si="77"/>
        <v>511</v>
      </c>
      <c r="B1604" s="3">
        <v>43998</v>
      </c>
      <c r="C1604" s="3" t="str">
        <f t="shared" si="76"/>
        <v>Tuesday</v>
      </c>
      <c r="D1604" s="2">
        <v>0.50916666666666666</v>
      </c>
      <c r="E1604" t="s">
        <v>22</v>
      </c>
      <c r="F1604" t="s">
        <v>15</v>
      </c>
      <c r="G1604">
        <v>-178</v>
      </c>
      <c r="H1604" t="s">
        <v>20</v>
      </c>
      <c r="I1604" t="s">
        <v>23</v>
      </c>
      <c r="L1604" t="s">
        <v>22</v>
      </c>
      <c r="M1604">
        <v>37.46</v>
      </c>
      <c r="N1604">
        <v>37.46</v>
      </c>
      <c r="O1604" t="s">
        <v>21</v>
      </c>
      <c r="P1604">
        <f t="shared" si="78"/>
        <v>-200</v>
      </c>
      <c r="Q1604" s="11">
        <f>IF(P1604=0,0,IFERROR(Q1603+G1604*M1604*IF(E1604="FUTURE",VLOOKUP(MID(I1604,2,2),[1]Futures!$A$2:$B$12,2),1),G1604*M1604*IF(E1604="FUTURE",VLOOKUP(MID(I1604,2,2),[1]Futures!$A$2:$B$12,2),1)))</f>
        <v>-7492</v>
      </c>
      <c r="R1604" s="12">
        <f>IFERROR(Q1604/P1604/IF(E1604="FUTURE",VLOOKUP(MID(I1604,2,2),[1]Futures!$A$2:$B$12,2),1),"")</f>
        <v>37.46</v>
      </c>
      <c r="S1604" s="13" t="str">
        <f>IF(AND(H1604="TO CLOSE",P1604=0),-G1604*(M1604-R1603)*IF(E1604="FUTURE",VLOOKUP(MID(I1604,2,2),[1]Futures!$A$2:$B$12,2),1),"")</f>
        <v/>
      </c>
    </row>
    <row r="1605" spans="1:19" x14ac:dyDescent="0.2">
      <c r="A1605">
        <f t="shared" si="77"/>
        <v>511</v>
      </c>
      <c r="B1605" s="3">
        <v>43998</v>
      </c>
      <c r="C1605" s="3" t="str">
        <f t="shared" si="76"/>
        <v>Tuesday</v>
      </c>
      <c r="D1605" s="2">
        <v>0.50916666666666666</v>
      </c>
      <c r="E1605" t="s">
        <v>22</v>
      </c>
      <c r="F1605" t="s">
        <v>15</v>
      </c>
      <c r="G1605">
        <v>-100</v>
      </c>
      <c r="H1605" t="s">
        <v>20</v>
      </c>
      <c r="I1605" t="s">
        <v>23</v>
      </c>
      <c r="L1605" t="s">
        <v>22</v>
      </c>
      <c r="M1605">
        <v>37.46</v>
      </c>
      <c r="N1605">
        <v>37.46</v>
      </c>
      <c r="O1605" t="s">
        <v>21</v>
      </c>
      <c r="P1605">
        <f t="shared" si="78"/>
        <v>-300</v>
      </c>
      <c r="Q1605" s="11">
        <f>IF(P1605=0,0,IFERROR(Q1604+G1605*M1605*IF(E1605="FUTURE",VLOOKUP(MID(I1605,2,2),[1]Futures!$A$2:$B$12,2),1),G1605*M1605*IF(E1605="FUTURE",VLOOKUP(MID(I1605,2,2),[1]Futures!$A$2:$B$12,2),1)))</f>
        <v>-11238</v>
      </c>
      <c r="R1605" s="12">
        <f>IFERROR(Q1605/P1605/IF(E1605="FUTURE",VLOOKUP(MID(I1605,2,2),[1]Futures!$A$2:$B$12,2),1),"")</f>
        <v>37.46</v>
      </c>
      <c r="S1605" s="13" t="str">
        <f>IF(AND(H1605="TO CLOSE",P1605=0),-G1605*(M1605-R1604)*IF(E1605="FUTURE",VLOOKUP(MID(I1605,2,2),[1]Futures!$A$2:$B$12,2),1),"")</f>
        <v/>
      </c>
    </row>
    <row r="1606" spans="1:19" x14ac:dyDescent="0.2">
      <c r="A1606">
        <f t="shared" si="77"/>
        <v>511</v>
      </c>
      <c r="B1606" s="3">
        <v>43998</v>
      </c>
      <c r="C1606" s="3" t="str">
        <f t="shared" si="76"/>
        <v>Tuesday</v>
      </c>
      <c r="D1606" s="2">
        <v>0.51071759259259253</v>
      </c>
      <c r="E1606" t="s">
        <v>22</v>
      </c>
      <c r="F1606" t="s">
        <v>19</v>
      </c>
      <c r="G1606">
        <v>100</v>
      </c>
      <c r="H1606" t="s">
        <v>16</v>
      </c>
      <c r="I1606" t="s">
        <v>23</v>
      </c>
      <c r="L1606" t="s">
        <v>22</v>
      </c>
      <c r="M1606">
        <v>37.279899999999998</v>
      </c>
      <c r="N1606">
        <v>37.279899999999998</v>
      </c>
      <c r="O1606" t="s">
        <v>21</v>
      </c>
      <c r="P1606">
        <f t="shared" si="78"/>
        <v>-200</v>
      </c>
      <c r="Q1606" s="11">
        <f>IF(P1606=0,0,IFERROR(Q1605+G1606*M1606*IF(E1606="FUTURE",VLOOKUP(MID(I1606,2,2),[1]Futures!$A$2:$B$12,2),1),G1606*M1606*IF(E1606="FUTURE",VLOOKUP(MID(I1606,2,2),[1]Futures!$A$2:$B$12,2),1)))</f>
        <v>-7510.01</v>
      </c>
      <c r="R1606" s="12">
        <f>IFERROR(Q1606/P1606/IF(E1606="FUTURE",VLOOKUP(MID(I1606,2,2),[1]Futures!$A$2:$B$12,2),1),"")</f>
        <v>37.550049999999999</v>
      </c>
      <c r="S1606" s="13" t="str">
        <f>IF(AND(H1606="TO CLOSE",P1606=0),-G1606*(M1606-R1605)*IF(E1606="FUTURE",VLOOKUP(MID(I1606,2,2),[1]Futures!$A$2:$B$12,2),1),"")</f>
        <v/>
      </c>
    </row>
    <row r="1607" spans="1:19" x14ac:dyDescent="0.2">
      <c r="A1607">
        <f t="shared" si="77"/>
        <v>511</v>
      </c>
      <c r="B1607" s="3">
        <v>43998</v>
      </c>
      <c r="C1607" s="3" t="str">
        <f t="shared" si="76"/>
        <v>Tuesday</v>
      </c>
      <c r="D1607" s="2">
        <v>0.51984953703703707</v>
      </c>
      <c r="E1607" t="s">
        <v>22</v>
      </c>
      <c r="F1607" t="s">
        <v>19</v>
      </c>
      <c r="G1607">
        <v>100</v>
      </c>
      <c r="H1607" t="s">
        <v>16</v>
      </c>
      <c r="I1607" t="s">
        <v>23</v>
      </c>
      <c r="L1607" t="s">
        <v>22</v>
      </c>
      <c r="M1607">
        <v>36.96</v>
      </c>
      <c r="N1607">
        <v>36.96</v>
      </c>
      <c r="O1607" t="s">
        <v>21</v>
      </c>
      <c r="P1607">
        <f t="shared" si="78"/>
        <v>-100</v>
      </c>
      <c r="Q1607" s="11">
        <f>IF(P1607=0,0,IFERROR(Q1606+G1607*M1607*IF(E1607="FUTURE",VLOOKUP(MID(I1607,2,2),[1]Futures!$A$2:$B$12,2),1),G1607*M1607*IF(E1607="FUTURE",VLOOKUP(MID(I1607,2,2),[1]Futures!$A$2:$B$12,2),1)))</f>
        <v>-3814.01</v>
      </c>
      <c r="R1607" s="12">
        <f>IFERROR(Q1607/P1607/IF(E1607="FUTURE",VLOOKUP(MID(I1607,2,2),[1]Futures!$A$2:$B$12,2),1),"")</f>
        <v>38.140100000000004</v>
      </c>
      <c r="S1607" s="13" t="str">
        <f>IF(AND(H1607="TO CLOSE",P1607=0),-G1607*(M1607-R1606)*IF(E1607="FUTURE",VLOOKUP(MID(I1607,2,2),[1]Futures!$A$2:$B$12,2),1),"")</f>
        <v/>
      </c>
    </row>
    <row r="1608" spans="1:19" x14ac:dyDescent="0.2">
      <c r="A1608">
        <f t="shared" si="77"/>
        <v>511</v>
      </c>
      <c r="B1608" s="3">
        <v>43998</v>
      </c>
      <c r="C1608" s="3" t="str">
        <f t="shared" si="76"/>
        <v>Tuesday</v>
      </c>
      <c r="D1608" s="2">
        <v>0.52031250000000007</v>
      </c>
      <c r="E1608" t="s">
        <v>22</v>
      </c>
      <c r="F1608" t="s">
        <v>19</v>
      </c>
      <c r="G1608">
        <v>100</v>
      </c>
      <c r="H1608" t="s">
        <v>16</v>
      </c>
      <c r="I1608" t="s">
        <v>23</v>
      </c>
      <c r="L1608" t="s">
        <v>22</v>
      </c>
      <c r="M1608">
        <v>36.969900000000003</v>
      </c>
      <c r="N1608">
        <v>36.969900000000003</v>
      </c>
      <c r="O1608" t="s">
        <v>24</v>
      </c>
      <c r="P1608">
        <f t="shared" si="78"/>
        <v>0</v>
      </c>
      <c r="Q1608" s="11">
        <f>IF(P1608=0,0,IFERROR(Q1607+G1608*M1608*IF(E1608="FUTURE",VLOOKUP(MID(I1608,2,2),[1]Futures!$A$2:$B$12,2),1),G1608*M1608*IF(E1608="FUTURE",VLOOKUP(MID(I1608,2,2),[1]Futures!$A$2:$B$12,2),1)))</f>
        <v>0</v>
      </c>
      <c r="R1608" s="12" t="str">
        <f>IFERROR(Q1608/P1608/IF(E1608="FUTURE",VLOOKUP(MID(I1608,2,2),[1]Futures!$A$2:$B$12,2),1),"")</f>
        <v/>
      </c>
      <c r="S1608" s="13">
        <f>IF(AND(H1608="TO CLOSE",P1608=0),-G1608*(M1608-R1607)*IF(E1608="FUTURE",VLOOKUP(MID(I1608,2,2),[1]Futures!$A$2:$B$12,2),1),"")</f>
        <v>117.02000000000012</v>
      </c>
    </row>
    <row r="1609" spans="1:19" x14ac:dyDescent="0.2">
      <c r="A1609">
        <f t="shared" si="77"/>
        <v>512</v>
      </c>
      <c r="B1609" s="3">
        <v>43999</v>
      </c>
      <c r="C1609" s="3" t="str">
        <f t="shared" si="76"/>
        <v>Wednesday</v>
      </c>
      <c r="D1609" s="2">
        <v>0.40568287037037037</v>
      </c>
      <c r="E1609" t="s">
        <v>14</v>
      </c>
      <c r="F1609" t="s">
        <v>19</v>
      </c>
      <c r="G1609">
        <v>1</v>
      </c>
      <c r="H1609" t="s">
        <v>20</v>
      </c>
      <c r="I1609" t="s">
        <v>77</v>
      </c>
      <c r="J1609" s="1">
        <v>44063</v>
      </c>
      <c r="L1609" t="s">
        <v>14</v>
      </c>
      <c r="M1609">
        <v>38.200000000000003</v>
      </c>
      <c r="N1609">
        <v>38.200000000000003</v>
      </c>
      <c r="O1609" t="s">
        <v>24</v>
      </c>
      <c r="P1609">
        <f t="shared" si="78"/>
        <v>1</v>
      </c>
      <c r="Q1609" s="11">
        <f>IF(P1609=0,0,IFERROR(Q1608+G1609*M1609*IF(E1609="FUTURE",VLOOKUP(MID(I1609,2,2),[1]Futures!$A$2:$B$12,2),1),G1609*M1609*IF(E1609="FUTURE",VLOOKUP(MID(I1609,2,2),[1]Futures!$A$2:$B$12,2),1)))</f>
        <v>38200</v>
      </c>
      <c r="R1609" s="12">
        <f>IFERROR(Q1609/P1609/IF(E1609="FUTURE",VLOOKUP(MID(I1609,2,2),[1]Futures!$A$2:$B$12,2),1),"")</f>
        <v>38.200000000000003</v>
      </c>
      <c r="S1609" s="13" t="str">
        <f>IF(AND(H1609="TO CLOSE",P1609=0),-G1609*(M1609-R1608)*IF(E1609="FUTURE",VLOOKUP(MID(I1609,2,2),[1]Futures!$A$2:$B$12,2),1),"")</f>
        <v/>
      </c>
    </row>
    <row r="1610" spans="1:19" x14ac:dyDescent="0.2">
      <c r="A1610">
        <f t="shared" si="77"/>
        <v>512</v>
      </c>
      <c r="B1610" s="3">
        <v>43999</v>
      </c>
      <c r="C1610" s="3" t="str">
        <f t="shared" si="76"/>
        <v>Wednesday</v>
      </c>
      <c r="D1610" s="2">
        <v>0.40741898148148148</v>
      </c>
      <c r="E1610" t="s">
        <v>14</v>
      </c>
      <c r="F1610" t="s">
        <v>19</v>
      </c>
      <c r="G1610">
        <v>1</v>
      </c>
      <c r="H1610" t="s">
        <v>20</v>
      </c>
      <c r="I1610" t="s">
        <v>77</v>
      </c>
      <c r="J1610" s="1">
        <v>44063</v>
      </c>
      <c r="L1610" t="s">
        <v>14</v>
      </c>
      <c r="M1610">
        <v>38.14</v>
      </c>
      <c r="N1610">
        <v>38.14</v>
      </c>
      <c r="O1610" t="s">
        <v>21</v>
      </c>
      <c r="P1610">
        <f t="shared" si="78"/>
        <v>2</v>
      </c>
      <c r="Q1610" s="11">
        <f>IF(P1610=0,0,IFERROR(Q1609+G1610*M1610*IF(E1610="FUTURE",VLOOKUP(MID(I1610,2,2),[1]Futures!$A$2:$B$12,2),1),G1610*M1610*IF(E1610="FUTURE",VLOOKUP(MID(I1610,2,2),[1]Futures!$A$2:$B$12,2),1)))</f>
        <v>76340</v>
      </c>
      <c r="R1610" s="12">
        <f>IFERROR(Q1610/P1610/IF(E1610="FUTURE",VLOOKUP(MID(I1610,2,2),[1]Futures!$A$2:$B$12,2),1),"")</f>
        <v>38.17</v>
      </c>
      <c r="S1610" s="13" t="str">
        <f>IF(AND(H1610="TO CLOSE",P1610=0),-G1610*(M1610-R1609)*IF(E1610="FUTURE",VLOOKUP(MID(I1610,2,2),[1]Futures!$A$2:$B$12,2),1),"")</f>
        <v/>
      </c>
    </row>
    <row r="1611" spans="1:19" x14ac:dyDescent="0.2">
      <c r="A1611">
        <f t="shared" si="77"/>
        <v>512</v>
      </c>
      <c r="B1611" s="3">
        <v>43999</v>
      </c>
      <c r="C1611" s="3" t="str">
        <f t="shared" si="76"/>
        <v>Wednesday</v>
      </c>
      <c r="D1611" s="2">
        <v>0.40876157407407404</v>
      </c>
      <c r="E1611" t="s">
        <v>14</v>
      </c>
      <c r="F1611" t="s">
        <v>15</v>
      </c>
      <c r="G1611">
        <v>-1</v>
      </c>
      <c r="H1611" t="s">
        <v>16</v>
      </c>
      <c r="I1611" t="s">
        <v>77</v>
      </c>
      <c r="J1611" s="1">
        <v>44063</v>
      </c>
      <c r="L1611" t="s">
        <v>14</v>
      </c>
      <c r="M1611">
        <v>38.24</v>
      </c>
      <c r="N1611">
        <v>38.24</v>
      </c>
      <c r="O1611" t="s">
        <v>21</v>
      </c>
      <c r="P1611">
        <f t="shared" si="78"/>
        <v>1</v>
      </c>
      <c r="Q1611" s="11">
        <f>IF(P1611=0,0,IFERROR(Q1610+G1611*M1611*IF(E1611="FUTURE",VLOOKUP(MID(I1611,2,2),[1]Futures!$A$2:$B$12,2),1),G1611*M1611*IF(E1611="FUTURE",VLOOKUP(MID(I1611,2,2),[1]Futures!$A$2:$B$12,2),1)))</f>
        <v>38100</v>
      </c>
      <c r="R1611" s="12">
        <f>IFERROR(Q1611/P1611/IF(E1611="FUTURE",VLOOKUP(MID(I1611,2,2),[1]Futures!$A$2:$B$12,2),1),"")</f>
        <v>38.1</v>
      </c>
      <c r="S1611" s="13" t="str">
        <f>IF(AND(H1611="TO CLOSE",P1611=0),-G1611*(M1611-R1610)*IF(E1611="FUTURE",VLOOKUP(MID(I1611,2,2),[1]Futures!$A$2:$B$12,2),1),"")</f>
        <v/>
      </c>
    </row>
    <row r="1612" spans="1:19" x14ac:dyDescent="0.2">
      <c r="A1612">
        <f t="shared" si="77"/>
        <v>512</v>
      </c>
      <c r="B1612" s="3">
        <v>43999</v>
      </c>
      <c r="C1612" s="3" t="str">
        <f t="shared" si="76"/>
        <v>Wednesday</v>
      </c>
      <c r="D1612" s="2">
        <v>0.41084490740740742</v>
      </c>
      <c r="E1612" t="s">
        <v>14</v>
      </c>
      <c r="F1612" t="s">
        <v>15</v>
      </c>
      <c r="G1612">
        <v>-1</v>
      </c>
      <c r="H1612" t="s">
        <v>16</v>
      </c>
      <c r="I1612" t="s">
        <v>77</v>
      </c>
      <c r="J1612" s="1">
        <v>44063</v>
      </c>
      <c r="L1612" t="s">
        <v>14</v>
      </c>
      <c r="M1612">
        <v>38.29</v>
      </c>
      <c r="N1612">
        <v>38.29</v>
      </c>
      <c r="O1612" t="s">
        <v>21</v>
      </c>
      <c r="P1612">
        <f t="shared" si="78"/>
        <v>0</v>
      </c>
      <c r="Q1612" s="11">
        <f>IF(P1612=0,0,IFERROR(Q1611+G1612*M1612*IF(E1612="FUTURE",VLOOKUP(MID(I1612,2,2),[1]Futures!$A$2:$B$12,2),1),G1612*M1612*IF(E1612="FUTURE",VLOOKUP(MID(I1612,2,2),[1]Futures!$A$2:$B$12,2),1)))</f>
        <v>0</v>
      </c>
      <c r="R1612" s="12" t="str">
        <f>IFERROR(Q1612/P1612/IF(E1612="FUTURE",VLOOKUP(MID(I1612,2,2),[1]Futures!$A$2:$B$12,2),1),"")</f>
        <v/>
      </c>
      <c r="S1612" s="13">
        <f>IF(AND(H1612="TO CLOSE",P1612=0),-G1612*(M1612-R1611)*IF(E1612="FUTURE",VLOOKUP(MID(I1612,2,2),[1]Futures!$A$2:$B$12,2),1),"")</f>
        <v>189.99999999999773</v>
      </c>
    </row>
    <row r="1613" spans="1:19" x14ac:dyDescent="0.2">
      <c r="A1613">
        <f t="shared" si="77"/>
        <v>513</v>
      </c>
      <c r="B1613" s="3">
        <v>43999</v>
      </c>
      <c r="C1613" s="3" t="str">
        <f t="shared" si="76"/>
        <v>Wednesday</v>
      </c>
      <c r="D1613" s="2">
        <v>0.44165509259259261</v>
      </c>
      <c r="E1613" t="s">
        <v>14</v>
      </c>
      <c r="F1613" t="s">
        <v>19</v>
      </c>
      <c r="G1613">
        <v>1</v>
      </c>
      <c r="H1613" t="s">
        <v>20</v>
      </c>
      <c r="I1613" t="s">
        <v>77</v>
      </c>
      <c r="J1613" s="1">
        <v>44063</v>
      </c>
      <c r="L1613" t="s">
        <v>14</v>
      </c>
      <c r="M1613">
        <v>38.47</v>
      </c>
      <c r="N1613">
        <v>38.47</v>
      </c>
      <c r="O1613" t="s">
        <v>24</v>
      </c>
      <c r="P1613">
        <f t="shared" si="78"/>
        <v>1</v>
      </c>
      <c r="Q1613" s="11">
        <f>IF(P1613=0,0,IFERROR(Q1612+G1613*M1613*IF(E1613="FUTURE",VLOOKUP(MID(I1613,2,2),[1]Futures!$A$2:$B$12,2),1),G1613*M1613*IF(E1613="FUTURE",VLOOKUP(MID(I1613,2,2),[1]Futures!$A$2:$B$12,2),1)))</f>
        <v>38470</v>
      </c>
      <c r="R1613" s="12">
        <f>IFERROR(Q1613/P1613/IF(E1613="FUTURE",VLOOKUP(MID(I1613,2,2),[1]Futures!$A$2:$B$12,2),1),"")</f>
        <v>38.47</v>
      </c>
      <c r="S1613" s="13" t="str">
        <f>IF(AND(H1613="TO CLOSE",P1613=0),-G1613*(M1613-R1612)*IF(E1613="FUTURE",VLOOKUP(MID(I1613,2,2),[1]Futures!$A$2:$B$12,2),1),"")</f>
        <v/>
      </c>
    </row>
    <row r="1614" spans="1:19" x14ac:dyDescent="0.2">
      <c r="A1614">
        <f t="shared" si="77"/>
        <v>513</v>
      </c>
      <c r="B1614" s="3">
        <v>43999</v>
      </c>
      <c r="C1614" s="3" t="str">
        <f t="shared" si="76"/>
        <v>Wednesday</v>
      </c>
      <c r="D1614" s="2">
        <v>0.44229166666666669</v>
      </c>
      <c r="E1614" t="s">
        <v>14</v>
      </c>
      <c r="F1614" t="s">
        <v>15</v>
      </c>
      <c r="G1614">
        <v>-1</v>
      </c>
      <c r="H1614" t="s">
        <v>16</v>
      </c>
      <c r="I1614" t="s">
        <v>77</v>
      </c>
      <c r="J1614" s="1">
        <v>44063</v>
      </c>
      <c r="L1614" t="s">
        <v>14</v>
      </c>
      <c r="M1614">
        <v>38.479999999999997</v>
      </c>
      <c r="N1614">
        <v>38.479999999999997</v>
      </c>
      <c r="O1614" t="s">
        <v>21</v>
      </c>
      <c r="P1614">
        <f t="shared" si="78"/>
        <v>0</v>
      </c>
      <c r="Q1614" s="11">
        <f>IF(P1614=0,0,IFERROR(Q1613+G1614*M1614*IF(E1614="FUTURE",VLOOKUP(MID(I1614,2,2),[1]Futures!$A$2:$B$12,2),1),G1614*M1614*IF(E1614="FUTURE",VLOOKUP(MID(I1614,2,2),[1]Futures!$A$2:$B$12,2),1)))</f>
        <v>0</v>
      </c>
      <c r="R1614" s="12" t="str">
        <f>IFERROR(Q1614/P1614/IF(E1614="FUTURE",VLOOKUP(MID(I1614,2,2),[1]Futures!$A$2:$B$12,2),1),"")</f>
        <v/>
      </c>
      <c r="S1614" s="13">
        <f>IF(AND(H1614="TO CLOSE",P1614=0),-G1614*(M1614-R1613)*IF(E1614="FUTURE",VLOOKUP(MID(I1614,2,2),[1]Futures!$A$2:$B$12,2),1),"")</f>
        <v>9.9999999999980105</v>
      </c>
    </row>
    <row r="1615" spans="1:19" x14ac:dyDescent="0.2">
      <c r="A1615">
        <f t="shared" si="77"/>
        <v>514</v>
      </c>
      <c r="B1615" s="3">
        <v>43999</v>
      </c>
      <c r="C1615" s="3" t="str">
        <f t="shared" si="76"/>
        <v>Wednesday</v>
      </c>
      <c r="D1615" s="2">
        <v>0.44721064814814815</v>
      </c>
      <c r="E1615" t="s">
        <v>14</v>
      </c>
      <c r="F1615" t="s">
        <v>19</v>
      </c>
      <c r="G1615">
        <v>1</v>
      </c>
      <c r="H1615" t="s">
        <v>20</v>
      </c>
      <c r="I1615" t="s">
        <v>77</v>
      </c>
      <c r="J1615" s="1">
        <v>44063</v>
      </c>
      <c r="L1615" t="s">
        <v>14</v>
      </c>
      <c r="M1615">
        <v>38.43</v>
      </c>
      <c r="N1615">
        <v>38.43</v>
      </c>
      <c r="O1615" t="s">
        <v>24</v>
      </c>
      <c r="P1615">
        <f t="shared" si="78"/>
        <v>1</v>
      </c>
      <c r="Q1615" s="11">
        <f>IF(P1615=0,0,IFERROR(Q1614+G1615*M1615*IF(E1615="FUTURE",VLOOKUP(MID(I1615,2,2),[1]Futures!$A$2:$B$12,2),1),G1615*M1615*IF(E1615="FUTURE",VLOOKUP(MID(I1615,2,2),[1]Futures!$A$2:$B$12,2),1)))</f>
        <v>38430</v>
      </c>
      <c r="R1615" s="12">
        <f>IFERROR(Q1615/P1615/IF(E1615="FUTURE",VLOOKUP(MID(I1615,2,2),[1]Futures!$A$2:$B$12,2),1),"")</f>
        <v>38.43</v>
      </c>
      <c r="S1615" s="13" t="str">
        <f>IF(AND(H1615="TO CLOSE",P1615=0),-G1615*(M1615-R1614)*IF(E1615="FUTURE",VLOOKUP(MID(I1615,2,2),[1]Futures!$A$2:$B$12,2),1),"")</f>
        <v/>
      </c>
    </row>
    <row r="1616" spans="1:19" x14ac:dyDescent="0.2">
      <c r="A1616">
        <f t="shared" si="77"/>
        <v>514</v>
      </c>
      <c r="B1616" s="3">
        <v>43999</v>
      </c>
      <c r="C1616" s="3" t="str">
        <f t="shared" si="76"/>
        <v>Wednesday</v>
      </c>
      <c r="D1616" s="2">
        <v>0.44771990740740741</v>
      </c>
      <c r="E1616" t="s">
        <v>14</v>
      </c>
      <c r="F1616" t="s">
        <v>15</v>
      </c>
      <c r="G1616">
        <v>-1</v>
      </c>
      <c r="H1616" t="s">
        <v>16</v>
      </c>
      <c r="I1616" t="s">
        <v>77</v>
      </c>
      <c r="J1616" s="1">
        <v>44063</v>
      </c>
      <c r="L1616" t="s">
        <v>14</v>
      </c>
      <c r="M1616">
        <v>38.44</v>
      </c>
      <c r="N1616">
        <v>38.44</v>
      </c>
      <c r="O1616" t="s">
        <v>21</v>
      </c>
      <c r="P1616">
        <f t="shared" si="78"/>
        <v>0</v>
      </c>
      <c r="Q1616" s="11">
        <f>IF(P1616=0,0,IFERROR(Q1615+G1616*M1616*IF(E1616="FUTURE",VLOOKUP(MID(I1616,2,2),[1]Futures!$A$2:$B$12,2),1),G1616*M1616*IF(E1616="FUTURE",VLOOKUP(MID(I1616,2,2),[1]Futures!$A$2:$B$12,2),1)))</f>
        <v>0</v>
      </c>
      <c r="R1616" s="12" t="str">
        <f>IFERROR(Q1616/P1616/IF(E1616="FUTURE",VLOOKUP(MID(I1616,2,2),[1]Futures!$A$2:$B$12,2),1),"")</f>
        <v/>
      </c>
      <c r="S1616" s="13">
        <f>IF(AND(H1616="TO CLOSE",P1616=0),-G1616*(M1616-R1615)*IF(E1616="FUTURE",VLOOKUP(MID(I1616,2,2),[1]Futures!$A$2:$B$12,2),1),"")</f>
        <v>9.9999999999980105</v>
      </c>
    </row>
    <row r="1617" spans="1:19" x14ac:dyDescent="0.2">
      <c r="A1617">
        <f t="shared" si="77"/>
        <v>515</v>
      </c>
      <c r="B1617" s="3">
        <v>43999</v>
      </c>
      <c r="C1617" s="3" t="str">
        <f t="shared" si="76"/>
        <v>Wednesday</v>
      </c>
      <c r="D1617" s="2">
        <v>0.41821759259259261</v>
      </c>
      <c r="E1617" t="s">
        <v>14</v>
      </c>
      <c r="F1617" t="s">
        <v>19</v>
      </c>
      <c r="G1617">
        <v>1</v>
      </c>
      <c r="H1617" t="s">
        <v>20</v>
      </c>
      <c r="I1617" t="s">
        <v>79</v>
      </c>
      <c r="J1617" s="1">
        <v>44094</v>
      </c>
      <c r="L1617" t="s">
        <v>14</v>
      </c>
      <c r="M1617">
        <v>3114.5</v>
      </c>
      <c r="N1617">
        <v>3114.5</v>
      </c>
      <c r="O1617" t="s">
        <v>21</v>
      </c>
      <c r="P1617">
        <f t="shared" si="78"/>
        <v>1</v>
      </c>
      <c r="Q1617" s="11">
        <f>IF(P1617=0,0,IFERROR(Q1616+G1617*M1617*IF(E1617="FUTURE",VLOOKUP(MID(I1617,2,2),[1]Futures!$A$2:$B$12,2),1),G1617*M1617*IF(E1617="FUTURE",VLOOKUP(MID(I1617,2,2),[1]Futures!$A$2:$B$12,2),1)))</f>
        <v>155725</v>
      </c>
      <c r="R1617" s="12">
        <f>IFERROR(Q1617/P1617/IF(E1617="FUTURE",VLOOKUP(MID(I1617,2,2),[1]Futures!$A$2:$B$12,2),1),"")</f>
        <v>3114.5</v>
      </c>
      <c r="S1617" s="13" t="str">
        <f>IF(AND(H1617="TO CLOSE",P1617=0),-G1617*(M1617-R1616)*IF(E1617="FUTURE",VLOOKUP(MID(I1617,2,2),[1]Futures!$A$2:$B$12,2),1),"")</f>
        <v/>
      </c>
    </row>
    <row r="1618" spans="1:19" x14ac:dyDescent="0.2">
      <c r="A1618">
        <f t="shared" si="77"/>
        <v>515</v>
      </c>
      <c r="B1618" s="3">
        <v>43999</v>
      </c>
      <c r="C1618" s="3" t="str">
        <f t="shared" si="76"/>
        <v>Wednesday</v>
      </c>
      <c r="D1618" s="2">
        <v>0.41848379629629634</v>
      </c>
      <c r="E1618" t="s">
        <v>14</v>
      </c>
      <c r="F1618" t="s">
        <v>15</v>
      </c>
      <c r="G1618">
        <v>-1</v>
      </c>
      <c r="H1618" t="s">
        <v>16</v>
      </c>
      <c r="I1618" t="s">
        <v>79</v>
      </c>
      <c r="J1618" s="1">
        <v>44094</v>
      </c>
      <c r="L1618" t="s">
        <v>14</v>
      </c>
      <c r="M1618">
        <v>3115.25</v>
      </c>
      <c r="N1618">
        <v>3115.25</v>
      </c>
      <c r="O1618" t="s">
        <v>21</v>
      </c>
      <c r="P1618">
        <f t="shared" si="78"/>
        <v>0</v>
      </c>
      <c r="Q1618" s="11">
        <f>IF(P1618=0,0,IFERROR(Q1617+G1618*M1618*IF(E1618="FUTURE",VLOOKUP(MID(I1618,2,2),[1]Futures!$A$2:$B$12,2),1),G1618*M1618*IF(E1618="FUTURE",VLOOKUP(MID(I1618,2,2),[1]Futures!$A$2:$B$12,2),1)))</f>
        <v>0</v>
      </c>
      <c r="R1618" s="12" t="str">
        <f>IFERROR(Q1618/P1618/IF(E1618="FUTURE",VLOOKUP(MID(I1618,2,2),[1]Futures!$A$2:$B$12,2),1),"")</f>
        <v/>
      </c>
      <c r="S1618" s="13">
        <f>IF(AND(H1618="TO CLOSE",P1618=0),-G1618*(M1618-R1617)*IF(E1618="FUTURE",VLOOKUP(MID(I1618,2,2),[1]Futures!$A$2:$B$12,2),1),"")</f>
        <v>37.5</v>
      </c>
    </row>
    <row r="1619" spans="1:19" x14ac:dyDescent="0.2">
      <c r="A1619">
        <f t="shared" si="77"/>
        <v>516</v>
      </c>
      <c r="B1619" s="3">
        <v>43999</v>
      </c>
      <c r="C1619" s="3" t="str">
        <f t="shared" si="76"/>
        <v>Wednesday</v>
      </c>
      <c r="D1619" s="2">
        <v>0.43853009259259257</v>
      </c>
      <c r="E1619" t="s">
        <v>14</v>
      </c>
      <c r="F1619" t="s">
        <v>19</v>
      </c>
      <c r="G1619">
        <v>1</v>
      </c>
      <c r="H1619" t="s">
        <v>20</v>
      </c>
      <c r="I1619" t="s">
        <v>79</v>
      </c>
      <c r="J1619" s="1">
        <v>44094</v>
      </c>
      <c r="L1619" t="s">
        <v>14</v>
      </c>
      <c r="M1619">
        <v>3102.75</v>
      </c>
      <c r="N1619">
        <v>3102.75</v>
      </c>
      <c r="O1619" t="s">
        <v>24</v>
      </c>
      <c r="P1619">
        <f t="shared" si="78"/>
        <v>1</v>
      </c>
      <c r="Q1619" s="11">
        <f>IF(P1619=0,0,IFERROR(Q1618+G1619*M1619*IF(E1619="FUTURE",VLOOKUP(MID(I1619,2,2),[1]Futures!$A$2:$B$12,2),1),G1619*M1619*IF(E1619="FUTURE",VLOOKUP(MID(I1619,2,2),[1]Futures!$A$2:$B$12,2),1)))</f>
        <v>155137.5</v>
      </c>
      <c r="R1619" s="12">
        <f>IFERROR(Q1619/P1619/IF(E1619="FUTURE",VLOOKUP(MID(I1619,2,2),[1]Futures!$A$2:$B$12,2),1),"")</f>
        <v>3102.75</v>
      </c>
      <c r="S1619" s="13" t="str">
        <f>IF(AND(H1619="TO CLOSE",P1619=0),-G1619*(M1619-R1618)*IF(E1619="FUTURE",VLOOKUP(MID(I1619,2,2),[1]Futures!$A$2:$B$12,2),1),"")</f>
        <v/>
      </c>
    </row>
    <row r="1620" spans="1:19" x14ac:dyDescent="0.2">
      <c r="A1620">
        <f t="shared" si="77"/>
        <v>516</v>
      </c>
      <c r="B1620" s="3">
        <v>43999</v>
      </c>
      <c r="C1620" s="3" t="str">
        <f t="shared" si="76"/>
        <v>Wednesday</v>
      </c>
      <c r="D1620" s="2">
        <v>0.43890046296296298</v>
      </c>
      <c r="E1620" t="s">
        <v>14</v>
      </c>
      <c r="F1620" t="s">
        <v>15</v>
      </c>
      <c r="G1620">
        <v>-1</v>
      </c>
      <c r="H1620" t="s">
        <v>16</v>
      </c>
      <c r="I1620" t="s">
        <v>79</v>
      </c>
      <c r="J1620" s="1">
        <v>44094</v>
      </c>
      <c r="L1620" t="s">
        <v>14</v>
      </c>
      <c r="M1620">
        <v>3107</v>
      </c>
      <c r="N1620">
        <v>3107</v>
      </c>
      <c r="O1620" t="s">
        <v>21</v>
      </c>
      <c r="P1620">
        <f t="shared" si="78"/>
        <v>0</v>
      </c>
      <c r="Q1620" s="11">
        <f>IF(P1620=0,0,IFERROR(Q1619+G1620*M1620*IF(E1620="FUTURE",VLOOKUP(MID(I1620,2,2),[1]Futures!$A$2:$B$12,2),1),G1620*M1620*IF(E1620="FUTURE",VLOOKUP(MID(I1620,2,2),[1]Futures!$A$2:$B$12,2),1)))</f>
        <v>0</v>
      </c>
      <c r="R1620" s="12" t="str">
        <f>IFERROR(Q1620/P1620/IF(E1620="FUTURE",VLOOKUP(MID(I1620,2,2),[1]Futures!$A$2:$B$12,2),1),"")</f>
        <v/>
      </c>
      <c r="S1620" s="13">
        <f>IF(AND(H1620="TO CLOSE",P1620=0),-G1620*(M1620-R1619)*IF(E1620="FUTURE",VLOOKUP(MID(I1620,2,2),[1]Futures!$A$2:$B$12,2),1),"")</f>
        <v>212.5</v>
      </c>
    </row>
    <row r="1621" spans="1:19" x14ac:dyDescent="0.2">
      <c r="A1621">
        <f t="shared" si="77"/>
        <v>517</v>
      </c>
      <c r="B1621" s="3">
        <v>43999</v>
      </c>
      <c r="C1621" s="3" t="str">
        <f t="shared" si="76"/>
        <v>Wednesday</v>
      </c>
      <c r="D1621" s="2">
        <v>0.44545138888888891</v>
      </c>
      <c r="E1621" t="s">
        <v>14</v>
      </c>
      <c r="F1621" t="s">
        <v>19</v>
      </c>
      <c r="G1621">
        <v>3</v>
      </c>
      <c r="H1621" t="s">
        <v>20</v>
      </c>
      <c r="I1621" t="s">
        <v>80</v>
      </c>
      <c r="J1621" s="1">
        <v>44094</v>
      </c>
      <c r="L1621" t="s">
        <v>14</v>
      </c>
      <c r="M1621">
        <v>3107.75</v>
      </c>
      <c r="N1621">
        <v>3107.75</v>
      </c>
      <c r="O1621" t="s">
        <v>24</v>
      </c>
      <c r="P1621">
        <f t="shared" si="78"/>
        <v>3</v>
      </c>
      <c r="Q1621" s="11">
        <f>IF(P1621=0,0,IFERROR(Q1620+G1621*M1621*IF(E1621="FUTURE",VLOOKUP(MID(I1621,2,2),[1]Futures!$A$2:$B$12,2),1),G1621*M1621*IF(E1621="FUTURE",VLOOKUP(MID(I1621,2,2),[1]Futures!$A$2:$B$12,2),1)))</f>
        <v>46616.25</v>
      </c>
      <c r="R1621" s="12">
        <f>IFERROR(Q1621/P1621/IF(E1621="FUTURE",VLOOKUP(MID(I1621,2,2),[1]Futures!$A$2:$B$12,2),1),"")</f>
        <v>3107.75</v>
      </c>
      <c r="S1621" s="13" t="str">
        <f>IF(AND(H1621="TO CLOSE",P1621=0),-G1621*(M1621-R1620)*IF(E1621="FUTURE",VLOOKUP(MID(I1621,2,2),[1]Futures!$A$2:$B$12,2),1),"")</f>
        <v/>
      </c>
    </row>
    <row r="1622" spans="1:19" x14ac:dyDescent="0.2">
      <c r="A1622">
        <f t="shared" si="77"/>
        <v>517</v>
      </c>
      <c r="B1622" s="3">
        <v>43999</v>
      </c>
      <c r="C1622" s="3" t="str">
        <f t="shared" si="76"/>
        <v>Wednesday</v>
      </c>
      <c r="D1622" s="2">
        <v>0.44878472222222227</v>
      </c>
      <c r="E1622" t="s">
        <v>14</v>
      </c>
      <c r="F1622" t="s">
        <v>15</v>
      </c>
      <c r="G1622">
        <v>-1</v>
      </c>
      <c r="H1622" t="s">
        <v>16</v>
      </c>
      <c r="I1622" t="s">
        <v>80</v>
      </c>
      <c r="J1622" s="1">
        <v>44094</v>
      </c>
      <c r="L1622" t="s">
        <v>14</v>
      </c>
      <c r="M1622">
        <v>3112.75</v>
      </c>
      <c r="N1622">
        <v>3112.75</v>
      </c>
      <c r="O1622" t="s">
        <v>21</v>
      </c>
      <c r="P1622">
        <f t="shared" si="78"/>
        <v>2</v>
      </c>
      <c r="Q1622" s="11">
        <f>IF(P1622=0,0,IFERROR(Q1621+G1622*M1622*IF(E1622="FUTURE",VLOOKUP(MID(I1622,2,2),[1]Futures!$A$2:$B$12,2),1),G1622*M1622*IF(E1622="FUTURE",VLOOKUP(MID(I1622,2,2),[1]Futures!$A$2:$B$12,2),1)))</f>
        <v>31052.5</v>
      </c>
      <c r="R1622" s="12">
        <f>IFERROR(Q1622/P1622/IF(E1622="FUTURE",VLOOKUP(MID(I1622,2,2),[1]Futures!$A$2:$B$12,2),1),"")</f>
        <v>3105.25</v>
      </c>
      <c r="S1622" s="13" t="str">
        <f>IF(AND(H1622="TO CLOSE",P1622=0),-G1622*(M1622-R1621)*IF(E1622="FUTURE",VLOOKUP(MID(I1622,2,2),[1]Futures!$A$2:$B$12,2),1),"")</f>
        <v/>
      </c>
    </row>
    <row r="1623" spans="1:19" x14ac:dyDescent="0.2">
      <c r="A1623">
        <f t="shared" si="77"/>
        <v>517</v>
      </c>
      <c r="B1623" s="3">
        <v>43999</v>
      </c>
      <c r="C1623" s="3" t="str">
        <f t="shared" si="76"/>
        <v>Wednesday</v>
      </c>
      <c r="D1623" s="2">
        <v>0.45246527777777779</v>
      </c>
      <c r="E1623" t="s">
        <v>14</v>
      </c>
      <c r="F1623" t="s">
        <v>15</v>
      </c>
      <c r="G1623">
        <v>-1</v>
      </c>
      <c r="H1623" t="s">
        <v>16</v>
      </c>
      <c r="I1623" t="s">
        <v>80</v>
      </c>
      <c r="J1623" s="1">
        <v>44094</v>
      </c>
      <c r="L1623" t="s">
        <v>14</v>
      </c>
      <c r="M1623">
        <v>3111.25</v>
      </c>
      <c r="N1623">
        <v>3111.25</v>
      </c>
      <c r="O1623" t="s">
        <v>24</v>
      </c>
      <c r="P1623">
        <f t="shared" si="78"/>
        <v>1</v>
      </c>
      <c r="Q1623" s="11">
        <f>IF(P1623=0,0,IFERROR(Q1622+G1623*M1623*IF(E1623="FUTURE",VLOOKUP(MID(I1623,2,2),[1]Futures!$A$2:$B$12,2),1),G1623*M1623*IF(E1623="FUTURE",VLOOKUP(MID(I1623,2,2),[1]Futures!$A$2:$B$12,2),1)))</f>
        <v>15496.25</v>
      </c>
      <c r="R1623" s="12">
        <f>IFERROR(Q1623/P1623/IF(E1623="FUTURE",VLOOKUP(MID(I1623,2,2),[1]Futures!$A$2:$B$12,2),1),"")</f>
        <v>3099.25</v>
      </c>
      <c r="S1623" s="13" t="str">
        <f>IF(AND(H1623="TO CLOSE",P1623=0),-G1623*(M1623-R1622)*IF(E1623="FUTURE",VLOOKUP(MID(I1623,2,2),[1]Futures!$A$2:$B$12,2),1),"")</f>
        <v/>
      </c>
    </row>
    <row r="1624" spans="1:19" x14ac:dyDescent="0.2">
      <c r="A1624">
        <f t="shared" si="77"/>
        <v>517</v>
      </c>
      <c r="B1624" s="3">
        <v>43999</v>
      </c>
      <c r="C1624" s="3" t="str">
        <f t="shared" si="76"/>
        <v>Wednesday</v>
      </c>
      <c r="D1624" s="2">
        <v>0.45385416666666667</v>
      </c>
      <c r="E1624" t="s">
        <v>14</v>
      </c>
      <c r="F1624" t="s">
        <v>15</v>
      </c>
      <c r="G1624">
        <v>-1</v>
      </c>
      <c r="H1624" t="s">
        <v>16</v>
      </c>
      <c r="I1624" t="s">
        <v>80</v>
      </c>
      <c r="J1624" s="1">
        <v>44094</v>
      </c>
      <c r="L1624" t="s">
        <v>14</v>
      </c>
      <c r="M1624">
        <v>3115.75</v>
      </c>
      <c r="N1624">
        <v>3115.75</v>
      </c>
      <c r="O1624" t="s">
        <v>21</v>
      </c>
      <c r="P1624">
        <f t="shared" si="78"/>
        <v>0</v>
      </c>
      <c r="Q1624" s="11">
        <f>IF(P1624=0,0,IFERROR(Q1623+G1624*M1624*IF(E1624="FUTURE",VLOOKUP(MID(I1624,2,2),[1]Futures!$A$2:$B$12,2),1),G1624*M1624*IF(E1624="FUTURE",VLOOKUP(MID(I1624,2,2),[1]Futures!$A$2:$B$12,2),1)))</f>
        <v>0</v>
      </c>
      <c r="R1624" s="12" t="str">
        <f>IFERROR(Q1624/P1624/IF(E1624="FUTURE",VLOOKUP(MID(I1624,2,2),[1]Futures!$A$2:$B$12,2),1),"")</f>
        <v/>
      </c>
      <c r="S1624" s="13">
        <f>IF(AND(H1624="TO CLOSE",P1624=0),-G1624*(M1624-R1623)*IF(E1624="FUTURE",VLOOKUP(MID(I1624,2,2),[1]Futures!$A$2:$B$12,2),1),"")</f>
        <v>82.5</v>
      </c>
    </row>
    <row r="1625" spans="1:19" x14ac:dyDescent="0.2">
      <c r="A1625">
        <f t="shared" si="77"/>
        <v>518</v>
      </c>
      <c r="B1625" s="3">
        <v>43999</v>
      </c>
      <c r="C1625" s="3" t="str">
        <f t="shared" si="76"/>
        <v>Wednesday</v>
      </c>
      <c r="D1625" s="2">
        <v>0.44405092592592593</v>
      </c>
      <c r="E1625" t="s">
        <v>22</v>
      </c>
      <c r="F1625" t="s">
        <v>15</v>
      </c>
      <c r="G1625">
        <v>-300</v>
      </c>
      <c r="H1625" t="s">
        <v>20</v>
      </c>
      <c r="I1625" t="s">
        <v>23</v>
      </c>
      <c r="L1625" t="s">
        <v>22</v>
      </c>
      <c r="M1625">
        <v>37.185000000000002</v>
      </c>
      <c r="N1625">
        <v>37.185000000000002</v>
      </c>
      <c r="O1625" t="s">
        <v>21</v>
      </c>
      <c r="P1625">
        <f t="shared" si="78"/>
        <v>-300</v>
      </c>
      <c r="Q1625" s="11">
        <f>IF(P1625=0,0,IFERROR(Q1624+G1625*M1625*IF(E1625="FUTURE",VLOOKUP(MID(I1625,2,2),[1]Futures!$A$2:$B$12,2),1),G1625*M1625*IF(E1625="FUTURE",VLOOKUP(MID(I1625,2,2),[1]Futures!$A$2:$B$12,2),1)))</f>
        <v>-11155.5</v>
      </c>
      <c r="R1625" s="12">
        <f>IFERROR(Q1625/P1625/IF(E1625="FUTURE",VLOOKUP(MID(I1625,2,2),[1]Futures!$A$2:$B$12,2),1),"")</f>
        <v>37.185000000000002</v>
      </c>
      <c r="S1625" s="13" t="str">
        <f>IF(AND(H1625="TO CLOSE",P1625=0),-G1625*(M1625-R1624)*IF(E1625="FUTURE",VLOOKUP(MID(I1625,2,2),[1]Futures!$A$2:$B$12,2),1),"")</f>
        <v/>
      </c>
    </row>
    <row r="1626" spans="1:19" x14ac:dyDescent="0.2">
      <c r="A1626">
        <f t="shared" si="77"/>
        <v>518</v>
      </c>
      <c r="B1626" s="3">
        <v>43999</v>
      </c>
      <c r="C1626" s="3" t="str">
        <f t="shared" si="76"/>
        <v>Wednesday</v>
      </c>
      <c r="D1626" s="2">
        <v>0.45119212962962968</v>
      </c>
      <c r="E1626" t="s">
        <v>22</v>
      </c>
      <c r="F1626" t="s">
        <v>19</v>
      </c>
      <c r="G1626">
        <v>100</v>
      </c>
      <c r="H1626" t="s">
        <v>16</v>
      </c>
      <c r="I1626" t="s">
        <v>23</v>
      </c>
      <c r="L1626" t="s">
        <v>22</v>
      </c>
      <c r="M1626">
        <v>37.14</v>
      </c>
      <c r="N1626">
        <v>37.14</v>
      </c>
      <c r="O1626" t="s">
        <v>21</v>
      </c>
      <c r="P1626">
        <f t="shared" si="78"/>
        <v>-200</v>
      </c>
      <c r="Q1626" s="11">
        <f>IF(P1626=0,0,IFERROR(Q1625+G1626*M1626*IF(E1626="FUTURE",VLOOKUP(MID(I1626,2,2),[1]Futures!$A$2:$B$12,2),1),G1626*M1626*IF(E1626="FUTURE",VLOOKUP(MID(I1626,2,2),[1]Futures!$A$2:$B$12,2),1)))</f>
        <v>-7441.5</v>
      </c>
      <c r="R1626" s="12">
        <f>IFERROR(Q1626/P1626/IF(E1626="FUTURE",VLOOKUP(MID(I1626,2,2),[1]Futures!$A$2:$B$12,2),1),"")</f>
        <v>37.207500000000003</v>
      </c>
      <c r="S1626" s="13" t="str">
        <f>IF(AND(H1626="TO CLOSE",P1626=0),-G1626*(M1626-R1625)*IF(E1626="FUTURE",VLOOKUP(MID(I1626,2,2),[1]Futures!$A$2:$B$12,2),1),"")</f>
        <v/>
      </c>
    </row>
    <row r="1627" spans="1:19" x14ac:dyDescent="0.2">
      <c r="A1627">
        <f t="shared" si="77"/>
        <v>518</v>
      </c>
      <c r="B1627" s="3">
        <v>43999</v>
      </c>
      <c r="C1627" s="3" t="str">
        <f t="shared" si="76"/>
        <v>Wednesday</v>
      </c>
      <c r="D1627" s="2">
        <v>0.45119212962962968</v>
      </c>
      <c r="E1627" t="s">
        <v>22</v>
      </c>
      <c r="F1627" t="s">
        <v>19</v>
      </c>
      <c r="G1627">
        <v>100</v>
      </c>
      <c r="H1627" t="s">
        <v>16</v>
      </c>
      <c r="I1627" t="s">
        <v>23</v>
      </c>
      <c r="L1627" t="s">
        <v>22</v>
      </c>
      <c r="M1627">
        <v>37.14</v>
      </c>
      <c r="N1627">
        <v>37.14</v>
      </c>
      <c r="O1627" t="s">
        <v>21</v>
      </c>
      <c r="P1627">
        <f t="shared" si="78"/>
        <v>-100</v>
      </c>
      <c r="Q1627" s="11">
        <f>IF(P1627=0,0,IFERROR(Q1626+G1627*M1627*IF(E1627="FUTURE",VLOOKUP(MID(I1627,2,2),[1]Futures!$A$2:$B$12,2),1),G1627*M1627*IF(E1627="FUTURE",VLOOKUP(MID(I1627,2,2),[1]Futures!$A$2:$B$12,2),1)))</f>
        <v>-3727.5</v>
      </c>
      <c r="R1627" s="12">
        <f>IFERROR(Q1627/P1627/IF(E1627="FUTURE",VLOOKUP(MID(I1627,2,2),[1]Futures!$A$2:$B$12,2),1),"")</f>
        <v>37.274999999999999</v>
      </c>
      <c r="S1627" s="13" t="str">
        <f>IF(AND(H1627="TO CLOSE",P1627=0),-G1627*(M1627-R1626)*IF(E1627="FUTURE",VLOOKUP(MID(I1627,2,2),[1]Futures!$A$2:$B$12,2),1),"")</f>
        <v/>
      </c>
    </row>
    <row r="1628" spans="1:19" x14ac:dyDescent="0.2">
      <c r="A1628">
        <f t="shared" si="77"/>
        <v>518</v>
      </c>
      <c r="B1628" s="3">
        <v>43999</v>
      </c>
      <c r="C1628" s="3" t="str">
        <f t="shared" si="76"/>
        <v>Wednesday</v>
      </c>
      <c r="D1628" s="2">
        <v>0.45119212962962968</v>
      </c>
      <c r="E1628" t="s">
        <v>22</v>
      </c>
      <c r="F1628" t="s">
        <v>19</v>
      </c>
      <c r="G1628">
        <v>100</v>
      </c>
      <c r="H1628" t="s">
        <v>16</v>
      </c>
      <c r="I1628" t="s">
        <v>23</v>
      </c>
      <c r="L1628" t="s">
        <v>22</v>
      </c>
      <c r="M1628">
        <v>37.14</v>
      </c>
      <c r="N1628">
        <v>37.14</v>
      </c>
      <c r="O1628" t="s">
        <v>21</v>
      </c>
      <c r="P1628">
        <f t="shared" si="78"/>
        <v>0</v>
      </c>
      <c r="Q1628" s="11">
        <f>IF(P1628=0,0,IFERROR(Q1627+G1628*M1628*IF(E1628="FUTURE",VLOOKUP(MID(I1628,2,2),[1]Futures!$A$2:$B$12,2),1),G1628*M1628*IF(E1628="FUTURE",VLOOKUP(MID(I1628,2,2),[1]Futures!$A$2:$B$12,2),1)))</f>
        <v>0</v>
      </c>
      <c r="R1628" s="12" t="str">
        <f>IFERROR(Q1628/P1628/IF(E1628="FUTURE",VLOOKUP(MID(I1628,2,2),[1]Futures!$A$2:$B$12,2),1),"")</f>
        <v/>
      </c>
      <c r="S1628" s="13">
        <f>IF(AND(H1628="TO CLOSE",P1628=0),-G1628*(M1628-R1627)*IF(E1628="FUTURE",VLOOKUP(MID(I1628,2,2),[1]Futures!$A$2:$B$12,2),1),"")</f>
        <v>13.499999999999801</v>
      </c>
    </row>
    <row r="1629" spans="1:19" x14ac:dyDescent="0.2">
      <c r="A1629">
        <f t="shared" si="77"/>
        <v>519</v>
      </c>
      <c r="B1629" s="3">
        <v>44000</v>
      </c>
      <c r="C1629" s="3" t="str">
        <f t="shared" si="76"/>
        <v>Thursday</v>
      </c>
      <c r="D1629" s="2">
        <v>0.40282407407407406</v>
      </c>
      <c r="E1629" t="s">
        <v>14</v>
      </c>
      <c r="F1629" t="s">
        <v>19</v>
      </c>
      <c r="G1629">
        <v>1</v>
      </c>
      <c r="H1629" t="s">
        <v>20</v>
      </c>
      <c r="I1629" t="s">
        <v>77</v>
      </c>
      <c r="J1629" s="1">
        <v>44063</v>
      </c>
      <c r="L1629" t="s">
        <v>14</v>
      </c>
      <c r="M1629">
        <v>38.11</v>
      </c>
      <c r="N1629">
        <v>38.11</v>
      </c>
      <c r="O1629" t="s">
        <v>24</v>
      </c>
      <c r="P1629">
        <f t="shared" si="78"/>
        <v>1</v>
      </c>
      <c r="Q1629" s="11">
        <f>IF(P1629=0,0,IFERROR(Q1628+G1629*M1629*IF(E1629="FUTURE",VLOOKUP(MID(I1629,2,2),[1]Futures!$A$2:$B$12,2),1),G1629*M1629*IF(E1629="FUTURE",VLOOKUP(MID(I1629,2,2),[1]Futures!$A$2:$B$12,2),1)))</f>
        <v>38110</v>
      </c>
      <c r="R1629" s="12">
        <f>IFERROR(Q1629/P1629/IF(E1629="FUTURE",VLOOKUP(MID(I1629,2,2),[1]Futures!$A$2:$B$12,2),1),"")</f>
        <v>38.11</v>
      </c>
      <c r="S1629" s="13" t="str">
        <f>IF(AND(H1629="TO CLOSE",P1629=0),-G1629*(M1629-R1628)*IF(E1629="FUTURE",VLOOKUP(MID(I1629,2,2),[1]Futures!$A$2:$B$12,2),1),"")</f>
        <v/>
      </c>
    </row>
    <row r="1630" spans="1:19" x14ac:dyDescent="0.2">
      <c r="A1630">
        <f t="shared" si="77"/>
        <v>519</v>
      </c>
      <c r="B1630" s="3">
        <v>44000</v>
      </c>
      <c r="C1630" s="3" t="str">
        <f t="shared" si="76"/>
        <v>Thursday</v>
      </c>
      <c r="D1630" s="2">
        <v>0.40848379629629633</v>
      </c>
      <c r="E1630" t="s">
        <v>14</v>
      </c>
      <c r="F1630" t="s">
        <v>15</v>
      </c>
      <c r="G1630">
        <v>-1</v>
      </c>
      <c r="H1630" t="s">
        <v>16</v>
      </c>
      <c r="I1630" t="s">
        <v>77</v>
      </c>
      <c r="J1630" s="1">
        <v>44063</v>
      </c>
      <c r="L1630" t="s">
        <v>14</v>
      </c>
      <c r="M1630">
        <v>38.270000000000003</v>
      </c>
      <c r="N1630">
        <v>38.270000000000003</v>
      </c>
      <c r="O1630" t="s">
        <v>21</v>
      </c>
      <c r="P1630">
        <f t="shared" si="78"/>
        <v>0</v>
      </c>
      <c r="Q1630" s="11">
        <f>IF(P1630=0,0,IFERROR(Q1629+G1630*M1630*IF(E1630="FUTURE",VLOOKUP(MID(I1630,2,2),[1]Futures!$A$2:$B$12,2),1),G1630*M1630*IF(E1630="FUTURE",VLOOKUP(MID(I1630,2,2),[1]Futures!$A$2:$B$12,2),1)))</f>
        <v>0</v>
      </c>
      <c r="R1630" s="12" t="str">
        <f>IFERROR(Q1630/P1630/IF(E1630="FUTURE",VLOOKUP(MID(I1630,2,2),[1]Futures!$A$2:$B$12,2),1),"")</f>
        <v/>
      </c>
      <c r="S1630" s="13">
        <f>IF(AND(H1630="TO CLOSE",P1630=0),-G1630*(M1630-R1629)*IF(E1630="FUTURE",VLOOKUP(MID(I1630,2,2),[1]Futures!$A$2:$B$12,2),1),"")</f>
        <v>160.00000000000369</v>
      </c>
    </row>
    <row r="1631" spans="1:19" x14ac:dyDescent="0.2">
      <c r="A1631">
        <f t="shared" si="77"/>
        <v>520</v>
      </c>
      <c r="B1631" s="3">
        <v>44000</v>
      </c>
      <c r="C1631" s="3" t="str">
        <f t="shared" si="76"/>
        <v>Thursday</v>
      </c>
      <c r="D1631" s="2">
        <v>0.42091435185185189</v>
      </c>
      <c r="E1631" t="s">
        <v>14</v>
      </c>
      <c r="F1631" t="s">
        <v>19</v>
      </c>
      <c r="G1631">
        <v>2</v>
      </c>
      <c r="H1631" t="s">
        <v>20</v>
      </c>
      <c r="I1631" t="s">
        <v>77</v>
      </c>
      <c r="J1631" s="1">
        <v>44063</v>
      </c>
      <c r="L1631" t="s">
        <v>14</v>
      </c>
      <c r="M1631">
        <v>38.32</v>
      </c>
      <c r="N1631">
        <v>38.32</v>
      </c>
      <c r="O1631" t="s">
        <v>24</v>
      </c>
      <c r="P1631">
        <f t="shared" si="78"/>
        <v>2</v>
      </c>
      <c r="Q1631" s="11">
        <f>IF(P1631=0,0,IFERROR(Q1630+G1631*M1631*IF(E1631="FUTURE",VLOOKUP(MID(I1631,2,2),[1]Futures!$A$2:$B$12,2),1),G1631*M1631*IF(E1631="FUTURE",VLOOKUP(MID(I1631,2,2),[1]Futures!$A$2:$B$12,2),1)))</f>
        <v>76640</v>
      </c>
      <c r="R1631" s="12">
        <f>IFERROR(Q1631/P1631/IF(E1631="FUTURE",VLOOKUP(MID(I1631,2,2),[1]Futures!$A$2:$B$12,2),1),"")</f>
        <v>38.32</v>
      </c>
      <c r="S1631" s="13" t="str">
        <f>IF(AND(H1631="TO CLOSE",P1631=0),-G1631*(M1631-R1630)*IF(E1631="FUTURE",VLOOKUP(MID(I1631,2,2),[1]Futures!$A$2:$B$12,2),1),"")</f>
        <v/>
      </c>
    </row>
    <row r="1632" spans="1:19" x14ac:dyDescent="0.2">
      <c r="A1632">
        <f t="shared" si="77"/>
        <v>520</v>
      </c>
      <c r="B1632" s="3">
        <v>44000</v>
      </c>
      <c r="C1632" s="3" t="str">
        <f t="shared" si="76"/>
        <v>Thursday</v>
      </c>
      <c r="D1632" s="2">
        <v>0.42155092592592597</v>
      </c>
      <c r="E1632" t="s">
        <v>14</v>
      </c>
      <c r="F1632" t="s">
        <v>15</v>
      </c>
      <c r="G1632">
        <v>-1</v>
      </c>
      <c r="H1632" t="s">
        <v>16</v>
      </c>
      <c r="I1632" t="s">
        <v>77</v>
      </c>
      <c r="J1632" s="1">
        <v>44063</v>
      </c>
      <c r="L1632" t="s">
        <v>14</v>
      </c>
      <c r="M1632">
        <v>38.36</v>
      </c>
      <c r="N1632">
        <v>38.36</v>
      </c>
      <c r="O1632" t="s">
        <v>21</v>
      </c>
      <c r="P1632">
        <f t="shared" si="78"/>
        <v>1</v>
      </c>
      <c r="Q1632" s="11">
        <f>IF(P1632=0,0,IFERROR(Q1631+G1632*M1632*IF(E1632="FUTURE",VLOOKUP(MID(I1632,2,2),[1]Futures!$A$2:$B$12,2),1),G1632*M1632*IF(E1632="FUTURE",VLOOKUP(MID(I1632,2,2),[1]Futures!$A$2:$B$12,2),1)))</f>
        <v>38280</v>
      </c>
      <c r="R1632" s="12">
        <f>IFERROR(Q1632/P1632/IF(E1632="FUTURE",VLOOKUP(MID(I1632,2,2),[1]Futures!$A$2:$B$12,2),1),"")</f>
        <v>38.28</v>
      </c>
      <c r="S1632" s="13" t="str">
        <f>IF(AND(H1632="TO CLOSE",P1632=0),-G1632*(M1632-R1631)*IF(E1632="FUTURE",VLOOKUP(MID(I1632,2,2),[1]Futures!$A$2:$B$12,2),1),"")</f>
        <v/>
      </c>
    </row>
    <row r="1633" spans="1:19" x14ac:dyDescent="0.2">
      <c r="A1633">
        <f t="shared" si="77"/>
        <v>520</v>
      </c>
      <c r="B1633" s="3">
        <v>44000</v>
      </c>
      <c r="C1633" s="3" t="str">
        <f t="shared" si="76"/>
        <v>Thursday</v>
      </c>
      <c r="D1633" s="2">
        <v>0.42585648148148153</v>
      </c>
      <c r="E1633" t="s">
        <v>14</v>
      </c>
      <c r="F1633" t="s">
        <v>15</v>
      </c>
      <c r="G1633">
        <v>-1</v>
      </c>
      <c r="H1633" t="s">
        <v>16</v>
      </c>
      <c r="I1633" t="s">
        <v>77</v>
      </c>
      <c r="J1633" s="1">
        <v>44063</v>
      </c>
      <c r="L1633" t="s">
        <v>14</v>
      </c>
      <c r="M1633">
        <v>38.450000000000003</v>
      </c>
      <c r="N1633">
        <v>38.450000000000003</v>
      </c>
      <c r="O1633" t="s">
        <v>21</v>
      </c>
      <c r="P1633">
        <f t="shared" si="78"/>
        <v>0</v>
      </c>
      <c r="Q1633" s="11">
        <f>IF(P1633=0,0,IFERROR(Q1632+G1633*M1633*IF(E1633="FUTURE",VLOOKUP(MID(I1633,2,2),[1]Futures!$A$2:$B$12,2),1),G1633*M1633*IF(E1633="FUTURE",VLOOKUP(MID(I1633,2,2),[1]Futures!$A$2:$B$12,2),1)))</f>
        <v>0</v>
      </c>
      <c r="R1633" s="12" t="str">
        <f>IFERROR(Q1633/P1633/IF(E1633="FUTURE",VLOOKUP(MID(I1633,2,2),[1]Futures!$A$2:$B$12,2),1),"")</f>
        <v/>
      </c>
      <c r="S1633" s="13">
        <f>IF(AND(H1633="TO CLOSE",P1633=0),-G1633*(M1633-R1632)*IF(E1633="FUTURE",VLOOKUP(MID(I1633,2,2),[1]Futures!$A$2:$B$12,2),1),"")</f>
        <v>170.00000000000171</v>
      </c>
    </row>
    <row r="1634" spans="1:19" x14ac:dyDescent="0.2">
      <c r="A1634">
        <f t="shared" si="77"/>
        <v>521</v>
      </c>
      <c r="B1634" s="3">
        <v>44000</v>
      </c>
      <c r="C1634" s="3" t="str">
        <f t="shared" si="76"/>
        <v>Thursday</v>
      </c>
      <c r="D1634" s="2">
        <v>0.40313657407407405</v>
      </c>
      <c r="E1634" t="s">
        <v>14</v>
      </c>
      <c r="F1634" t="s">
        <v>19</v>
      </c>
      <c r="G1634">
        <v>1</v>
      </c>
      <c r="H1634" t="s">
        <v>20</v>
      </c>
      <c r="I1634" t="s">
        <v>79</v>
      </c>
      <c r="J1634" s="1">
        <v>44094</v>
      </c>
      <c r="L1634" t="s">
        <v>14</v>
      </c>
      <c r="M1634">
        <v>3091.75</v>
      </c>
      <c r="N1634">
        <v>3091.75</v>
      </c>
      <c r="O1634" t="s">
        <v>21</v>
      </c>
      <c r="P1634">
        <f t="shared" si="78"/>
        <v>1</v>
      </c>
      <c r="Q1634" s="11">
        <f>IF(P1634=0,0,IFERROR(Q1633+G1634*M1634*IF(E1634="FUTURE",VLOOKUP(MID(I1634,2,2),[1]Futures!$A$2:$B$12,2),1),G1634*M1634*IF(E1634="FUTURE",VLOOKUP(MID(I1634,2,2),[1]Futures!$A$2:$B$12,2),1)))</f>
        <v>154587.5</v>
      </c>
      <c r="R1634" s="12">
        <f>IFERROR(Q1634/P1634/IF(E1634="FUTURE",VLOOKUP(MID(I1634,2,2),[1]Futures!$A$2:$B$12,2),1),"")</f>
        <v>3091.75</v>
      </c>
      <c r="S1634" s="13" t="str">
        <f>IF(AND(H1634="TO CLOSE",P1634=0),-G1634*(M1634-R1633)*IF(E1634="FUTURE",VLOOKUP(MID(I1634,2,2),[1]Futures!$A$2:$B$12,2),1),"")</f>
        <v/>
      </c>
    </row>
    <row r="1635" spans="1:19" x14ac:dyDescent="0.2">
      <c r="A1635">
        <f t="shared" si="77"/>
        <v>521</v>
      </c>
      <c r="B1635" s="3">
        <v>44000</v>
      </c>
      <c r="C1635" s="3" t="str">
        <f t="shared" si="76"/>
        <v>Thursday</v>
      </c>
      <c r="D1635" s="2">
        <v>0.40792824074074074</v>
      </c>
      <c r="E1635" t="s">
        <v>14</v>
      </c>
      <c r="F1635" t="s">
        <v>15</v>
      </c>
      <c r="G1635">
        <v>-1</v>
      </c>
      <c r="H1635" t="s">
        <v>16</v>
      </c>
      <c r="I1635" t="s">
        <v>79</v>
      </c>
      <c r="J1635" s="1">
        <v>44094</v>
      </c>
      <c r="L1635" t="s">
        <v>14</v>
      </c>
      <c r="M1635">
        <v>3097.25</v>
      </c>
      <c r="N1635">
        <v>3097.25</v>
      </c>
      <c r="O1635" t="s">
        <v>21</v>
      </c>
      <c r="P1635">
        <f t="shared" si="78"/>
        <v>0</v>
      </c>
      <c r="Q1635" s="11">
        <f>IF(P1635=0,0,IFERROR(Q1634+G1635*M1635*IF(E1635="FUTURE",VLOOKUP(MID(I1635,2,2),[1]Futures!$A$2:$B$12,2),1),G1635*M1635*IF(E1635="FUTURE",VLOOKUP(MID(I1635,2,2),[1]Futures!$A$2:$B$12,2),1)))</f>
        <v>0</v>
      </c>
      <c r="R1635" s="12" t="str">
        <f>IFERROR(Q1635/P1635/IF(E1635="FUTURE",VLOOKUP(MID(I1635,2,2),[1]Futures!$A$2:$B$12,2),1),"")</f>
        <v/>
      </c>
      <c r="S1635" s="13">
        <f>IF(AND(H1635="TO CLOSE",P1635=0),-G1635*(M1635-R1634)*IF(E1635="FUTURE",VLOOKUP(MID(I1635,2,2),[1]Futures!$A$2:$B$12,2),1),"")</f>
        <v>275</v>
      </c>
    </row>
    <row r="1636" spans="1:19" x14ac:dyDescent="0.2">
      <c r="A1636">
        <f t="shared" si="77"/>
        <v>522</v>
      </c>
      <c r="B1636" s="3">
        <v>44000</v>
      </c>
      <c r="C1636" s="3" t="str">
        <f t="shared" si="76"/>
        <v>Thursday</v>
      </c>
      <c r="D1636" s="2">
        <v>0.42342592592592593</v>
      </c>
      <c r="E1636" t="s">
        <v>14</v>
      </c>
      <c r="F1636" t="s">
        <v>19</v>
      </c>
      <c r="G1636">
        <v>4</v>
      </c>
      <c r="H1636" t="s">
        <v>20</v>
      </c>
      <c r="I1636" t="s">
        <v>80</v>
      </c>
      <c r="J1636" s="1">
        <v>44094</v>
      </c>
      <c r="L1636" t="s">
        <v>14</v>
      </c>
      <c r="M1636">
        <v>3103.5</v>
      </c>
      <c r="N1636">
        <v>3103.5</v>
      </c>
      <c r="O1636" t="s">
        <v>24</v>
      </c>
      <c r="P1636">
        <f t="shared" si="78"/>
        <v>4</v>
      </c>
      <c r="Q1636" s="11">
        <f>IF(P1636=0,0,IFERROR(Q1635+G1636*M1636*IF(E1636="FUTURE",VLOOKUP(MID(I1636,2,2),[1]Futures!$A$2:$B$12,2),1),G1636*M1636*IF(E1636="FUTURE",VLOOKUP(MID(I1636,2,2),[1]Futures!$A$2:$B$12,2),1)))</f>
        <v>62070</v>
      </c>
      <c r="R1636" s="12">
        <f>IFERROR(Q1636/P1636/IF(E1636="FUTURE",VLOOKUP(MID(I1636,2,2),[1]Futures!$A$2:$B$12,2),1),"")</f>
        <v>3103.5</v>
      </c>
      <c r="S1636" s="13" t="str">
        <f>IF(AND(H1636="TO CLOSE",P1636=0),-G1636*(M1636-R1635)*IF(E1636="FUTURE",VLOOKUP(MID(I1636,2,2),[1]Futures!$A$2:$B$12,2),1),"")</f>
        <v/>
      </c>
    </row>
    <row r="1637" spans="1:19" x14ac:dyDescent="0.2">
      <c r="A1637">
        <f t="shared" si="77"/>
        <v>522</v>
      </c>
      <c r="B1637" s="3">
        <v>44000</v>
      </c>
      <c r="C1637" s="3" t="str">
        <f t="shared" si="76"/>
        <v>Thursday</v>
      </c>
      <c r="D1637" s="2">
        <v>0.42910879629629628</v>
      </c>
      <c r="E1637" t="s">
        <v>14</v>
      </c>
      <c r="F1637" t="s">
        <v>19</v>
      </c>
      <c r="G1637">
        <v>1</v>
      </c>
      <c r="H1637" t="s">
        <v>20</v>
      </c>
      <c r="I1637" t="s">
        <v>80</v>
      </c>
      <c r="J1637" s="1">
        <v>44094</v>
      </c>
      <c r="L1637" t="s">
        <v>14</v>
      </c>
      <c r="M1637">
        <v>3100.5</v>
      </c>
      <c r="N1637">
        <v>3100.5</v>
      </c>
      <c r="O1637" t="s">
        <v>24</v>
      </c>
      <c r="P1637">
        <f t="shared" si="78"/>
        <v>5</v>
      </c>
      <c r="Q1637" s="11">
        <f>IF(P1637=0,0,IFERROR(Q1636+G1637*M1637*IF(E1637="FUTURE",VLOOKUP(MID(I1637,2,2),[1]Futures!$A$2:$B$12,2),1),G1637*M1637*IF(E1637="FUTURE",VLOOKUP(MID(I1637,2,2),[1]Futures!$A$2:$B$12,2),1)))</f>
        <v>77572.5</v>
      </c>
      <c r="R1637" s="12">
        <f>IFERROR(Q1637/P1637/IF(E1637="FUTURE",VLOOKUP(MID(I1637,2,2),[1]Futures!$A$2:$B$12,2),1),"")</f>
        <v>3102.9</v>
      </c>
      <c r="S1637" s="13" t="str">
        <f>IF(AND(H1637="TO CLOSE",P1637=0),-G1637*(M1637-R1636)*IF(E1637="FUTURE",VLOOKUP(MID(I1637,2,2),[1]Futures!$A$2:$B$12,2),1),"")</f>
        <v/>
      </c>
    </row>
    <row r="1638" spans="1:19" x14ac:dyDescent="0.2">
      <c r="A1638">
        <f t="shared" si="77"/>
        <v>522</v>
      </c>
      <c r="B1638" s="3">
        <v>44000</v>
      </c>
      <c r="C1638" s="3" t="str">
        <f t="shared" si="76"/>
        <v>Thursday</v>
      </c>
      <c r="D1638" s="2">
        <v>0.44120370370370371</v>
      </c>
      <c r="E1638" t="s">
        <v>14</v>
      </c>
      <c r="F1638" t="s">
        <v>15</v>
      </c>
      <c r="G1638">
        <v>-1</v>
      </c>
      <c r="H1638" t="s">
        <v>16</v>
      </c>
      <c r="I1638" t="s">
        <v>80</v>
      </c>
      <c r="J1638" s="1">
        <v>44094</v>
      </c>
      <c r="L1638" t="s">
        <v>14</v>
      </c>
      <c r="M1638">
        <v>3104.5</v>
      </c>
      <c r="N1638">
        <v>3104.5</v>
      </c>
      <c r="O1638" t="s">
        <v>24</v>
      </c>
      <c r="P1638">
        <f t="shared" si="78"/>
        <v>4</v>
      </c>
      <c r="Q1638" s="11">
        <f>IF(P1638=0,0,IFERROR(Q1637+G1638*M1638*IF(E1638="FUTURE",VLOOKUP(MID(I1638,2,2),[1]Futures!$A$2:$B$12,2),1),G1638*M1638*IF(E1638="FUTURE",VLOOKUP(MID(I1638,2,2),[1]Futures!$A$2:$B$12,2),1)))</f>
        <v>62050</v>
      </c>
      <c r="R1638" s="12">
        <f>IFERROR(Q1638/P1638/IF(E1638="FUTURE",VLOOKUP(MID(I1638,2,2),[1]Futures!$A$2:$B$12,2),1),"")</f>
        <v>3102.5</v>
      </c>
      <c r="S1638" s="13" t="str">
        <f>IF(AND(H1638="TO CLOSE",P1638=0),-G1638*(M1638-R1637)*IF(E1638="FUTURE",VLOOKUP(MID(I1638,2,2),[1]Futures!$A$2:$B$12,2),1),"")</f>
        <v/>
      </c>
    </row>
    <row r="1639" spans="1:19" x14ac:dyDescent="0.2">
      <c r="A1639">
        <f t="shared" si="77"/>
        <v>522</v>
      </c>
      <c r="B1639" s="3">
        <v>44000</v>
      </c>
      <c r="C1639" s="3" t="str">
        <f t="shared" si="76"/>
        <v>Thursday</v>
      </c>
      <c r="D1639" s="2">
        <v>0.45695601851851847</v>
      </c>
      <c r="E1639" t="s">
        <v>14</v>
      </c>
      <c r="F1639" t="s">
        <v>15</v>
      </c>
      <c r="G1639">
        <v>-2</v>
      </c>
      <c r="H1639" t="s">
        <v>16</v>
      </c>
      <c r="I1639" t="s">
        <v>80</v>
      </c>
      <c r="J1639" s="1">
        <v>44094</v>
      </c>
      <c r="L1639" t="s">
        <v>14</v>
      </c>
      <c r="M1639">
        <v>3105</v>
      </c>
      <c r="N1639">
        <v>3105</v>
      </c>
      <c r="O1639" t="s">
        <v>21</v>
      </c>
      <c r="P1639">
        <f t="shared" si="78"/>
        <v>2</v>
      </c>
      <c r="Q1639" s="11">
        <f>IF(P1639=0,0,IFERROR(Q1638+G1639*M1639*IF(E1639="FUTURE",VLOOKUP(MID(I1639,2,2),[1]Futures!$A$2:$B$12,2),1),G1639*M1639*IF(E1639="FUTURE",VLOOKUP(MID(I1639,2,2),[1]Futures!$A$2:$B$12,2),1)))</f>
        <v>31000</v>
      </c>
      <c r="R1639" s="12">
        <f>IFERROR(Q1639/P1639/IF(E1639="FUTURE",VLOOKUP(MID(I1639,2,2),[1]Futures!$A$2:$B$12,2),1),"")</f>
        <v>3100</v>
      </c>
      <c r="S1639" s="13" t="str">
        <f>IF(AND(H1639="TO CLOSE",P1639=0),-G1639*(M1639-R1638)*IF(E1639="FUTURE",VLOOKUP(MID(I1639,2,2),[1]Futures!$A$2:$B$12,2),1),"")</f>
        <v/>
      </c>
    </row>
    <row r="1640" spans="1:19" x14ac:dyDescent="0.2">
      <c r="A1640">
        <f t="shared" si="77"/>
        <v>522</v>
      </c>
      <c r="B1640" s="3">
        <v>44000</v>
      </c>
      <c r="C1640" s="3" t="str">
        <f t="shared" si="76"/>
        <v>Thursday</v>
      </c>
      <c r="D1640" s="2">
        <v>0.46354166666666669</v>
      </c>
      <c r="E1640" t="s">
        <v>14</v>
      </c>
      <c r="F1640" t="s">
        <v>15</v>
      </c>
      <c r="G1640">
        <v>-1</v>
      </c>
      <c r="H1640" t="s">
        <v>16</v>
      </c>
      <c r="I1640" t="s">
        <v>80</v>
      </c>
      <c r="J1640" s="1">
        <v>44094</v>
      </c>
      <c r="L1640" t="s">
        <v>14</v>
      </c>
      <c r="M1640">
        <v>3106.5</v>
      </c>
      <c r="N1640">
        <v>3106.5</v>
      </c>
      <c r="O1640" t="s">
        <v>24</v>
      </c>
      <c r="P1640">
        <f t="shared" si="78"/>
        <v>1</v>
      </c>
      <c r="Q1640" s="11">
        <f>IF(P1640=0,0,IFERROR(Q1639+G1640*M1640*IF(E1640="FUTURE",VLOOKUP(MID(I1640,2,2),[1]Futures!$A$2:$B$12,2),1),G1640*M1640*IF(E1640="FUTURE",VLOOKUP(MID(I1640,2,2),[1]Futures!$A$2:$B$12,2),1)))</f>
        <v>15467.5</v>
      </c>
      <c r="R1640" s="12">
        <f>IFERROR(Q1640/P1640/IF(E1640="FUTURE",VLOOKUP(MID(I1640,2,2),[1]Futures!$A$2:$B$12,2),1),"")</f>
        <v>3093.5</v>
      </c>
      <c r="S1640" s="13" t="str">
        <f>IF(AND(H1640="TO CLOSE",P1640=0),-G1640*(M1640-R1639)*IF(E1640="FUTURE",VLOOKUP(MID(I1640,2,2),[1]Futures!$A$2:$B$12,2),1),"")</f>
        <v/>
      </c>
    </row>
    <row r="1641" spans="1:19" x14ac:dyDescent="0.2">
      <c r="A1641">
        <f t="shared" si="77"/>
        <v>522</v>
      </c>
      <c r="B1641" s="3">
        <v>44000</v>
      </c>
      <c r="C1641" s="3" t="str">
        <f t="shared" si="76"/>
        <v>Thursday</v>
      </c>
      <c r="D1641" s="2">
        <v>0.47454861111111107</v>
      </c>
      <c r="E1641" t="s">
        <v>14</v>
      </c>
      <c r="F1641" t="s">
        <v>15</v>
      </c>
      <c r="G1641">
        <v>-1</v>
      </c>
      <c r="H1641" t="s">
        <v>16</v>
      </c>
      <c r="I1641" t="s">
        <v>80</v>
      </c>
      <c r="J1641" s="1">
        <v>44094</v>
      </c>
      <c r="L1641" t="s">
        <v>14</v>
      </c>
      <c r="M1641">
        <v>3103</v>
      </c>
      <c r="N1641">
        <v>3103</v>
      </c>
      <c r="O1641" t="s">
        <v>18</v>
      </c>
      <c r="P1641">
        <f t="shared" si="78"/>
        <v>0</v>
      </c>
      <c r="Q1641" s="11">
        <f>IF(P1641=0,0,IFERROR(Q1640+G1641*M1641*IF(E1641="FUTURE",VLOOKUP(MID(I1641,2,2),[1]Futures!$A$2:$B$12,2),1),G1641*M1641*IF(E1641="FUTURE",VLOOKUP(MID(I1641,2,2),[1]Futures!$A$2:$B$12,2),1)))</f>
        <v>0</v>
      </c>
      <c r="R1641" s="12" t="str">
        <f>IFERROR(Q1641/P1641/IF(E1641="FUTURE",VLOOKUP(MID(I1641,2,2),[1]Futures!$A$2:$B$12,2),1),"")</f>
        <v/>
      </c>
      <c r="S1641" s="13">
        <f>IF(AND(H1641="TO CLOSE",P1641=0),-G1641*(M1641-R1640)*IF(E1641="FUTURE",VLOOKUP(MID(I1641,2,2),[1]Futures!$A$2:$B$12,2),1),"")</f>
        <v>47.5</v>
      </c>
    </row>
    <row r="1642" spans="1:19" x14ac:dyDescent="0.2">
      <c r="A1642">
        <f t="shared" si="77"/>
        <v>523</v>
      </c>
      <c r="B1642" s="3">
        <v>44000</v>
      </c>
      <c r="C1642" s="3" t="str">
        <f t="shared" si="76"/>
        <v>Thursday</v>
      </c>
      <c r="D1642" s="2">
        <v>0.42670138888888887</v>
      </c>
      <c r="E1642" t="s">
        <v>22</v>
      </c>
      <c r="F1642" t="s">
        <v>15</v>
      </c>
      <c r="G1642">
        <v>-300</v>
      </c>
      <c r="H1642" t="s">
        <v>20</v>
      </c>
      <c r="I1642" t="s">
        <v>23</v>
      </c>
      <c r="L1642" t="s">
        <v>22</v>
      </c>
      <c r="M1642">
        <v>37.024999999999999</v>
      </c>
      <c r="N1642">
        <v>37.024999999999999</v>
      </c>
      <c r="O1642" t="s">
        <v>24</v>
      </c>
      <c r="P1642">
        <f t="shared" si="78"/>
        <v>-300</v>
      </c>
      <c r="Q1642" s="11">
        <f>IF(P1642=0,0,IFERROR(Q1641+G1642*M1642*IF(E1642="FUTURE",VLOOKUP(MID(I1642,2,2),[1]Futures!$A$2:$B$12,2),1),G1642*M1642*IF(E1642="FUTURE",VLOOKUP(MID(I1642,2,2),[1]Futures!$A$2:$B$12,2),1)))</f>
        <v>-11107.5</v>
      </c>
      <c r="R1642" s="12">
        <f>IFERROR(Q1642/P1642/IF(E1642="FUTURE",VLOOKUP(MID(I1642,2,2),[1]Futures!$A$2:$B$12,2),1),"")</f>
        <v>37.024999999999999</v>
      </c>
      <c r="S1642" s="13" t="str">
        <f>IF(AND(H1642="TO CLOSE",P1642=0),-G1642*(M1642-R1641)*IF(E1642="FUTURE",VLOOKUP(MID(I1642,2,2),[1]Futures!$A$2:$B$12,2),1),"")</f>
        <v/>
      </c>
    </row>
    <row r="1643" spans="1:19" x14ac:dyDescent="0.2">
      <c r="A1643">
        <f t="shared" si="77"/>
        <v>523</v>
      </c>
      <c r="B1643" s="3">
        <v>44000</v>
      </c>
      <c r="C1643" s="3" t="str">
        <f t="shared" si="76"/>
        <v>Thursday</v>
      </c>
      <c r="D1643" s="2">
        <v>0.43281249999999999</v>
      </c>
      <c r="E1643" t="s">
        <v>22</v>
      </c>
      <c r="F1643" t="s">
        <v>15</v>
      </c>
      <c r="G1643">
        <v>-100</v>
      </c>
      <c r="H1643" t="s">
        <v>20</v>
      </c>
      <c r="I1643" t="s">
        <v>23</v>
      </c>
      <c r="L1643" t="s">
        <v>22</v>
      </c>
      <c r="M1643">
        <v>37.22</v>
      </c>
      <c r="N1643">
        <v>37.22</v>
      </c>
      <c r="O1643" t="s">
        <v>21</v>
      </c>
      <c r="P1643">
        <f t="shared" si="78"/>
        <v>-400</v>
      </c>
      <c r="Q1643" s="11">
        <f>IF(P1643=0,0,IFERROR(Q1642+G1643*M1643*IF(E1643="FUTURE",VLOOKUP(MID(I1643,2,2),[1]Futures!$A$2:$B$12,2),1),G1643*M1643*IF(E1643="FUTURE",VLOOKUP(MID(I1643,2,2),[1]Futures!$A$2:$B$12,2),1)))</f>
        <v>-14829.5</v>
      </c>
      <c r="R1643" s="12">
        <f>IFERROR(Q1643/P1643/IF(E1643="FUTURE",VLOOKUP(MID(I1643,2,2),[1]Futures!$A$2:$B$12,2),1),"")</f>
        <v>37.073749999999997</v>
      </c>
      <c r="S1643" s="13" t="str">
        <f>IF(AND(H1643="TO CLOSE",P1643=0),-G1643*(M1643-R1642)*IF(E1643="FUTURE",VLOOKUP(MID(I1643,2,2),[1]Futures!$A$2:$B$12,2),1),"")</f>
        <v/>
      </c>
    </row>
    <row r="1644" spans="1:19" x14ac:dyDescent="0.2">
      <c r="A1644">
        <f t="shared" si="77"/>
        <v>523</v>
      </c>
      <c r="B1644" s="3">
        <v>44000</v>
      </c>
      <c r="C1644" s="3" t="str">
        <f t="shared" si="76"/>
        <v>Thursday</v>
      </c>
      <c r="D1644" s="2">
        <v>0.45612268518518517</v>
      </c>
      <c r="E1644" t="s">
        <v>22</v>
      </c>
      <c r="F1644" t="s">
        <v>19</v>
      </c>
      <c r="G1644">
        <v>100</v>
      </c>
      <c r="H1644" t="s">
        <v>16</v>
      </c>
      <c r="I1644" t="s">
        <v>23</v>
      </c>
      <c r="L1644" t="s">
        <v>22</v>
      </c>
      <c r="M1644">
        <v>37.07</v>
      </c>
      <c r="N1644">
        <v>37.07</v>
      </c>
      <c r="O1644" t="s">
        <v>21</v>
      </c>
      <c r="P1644">
        <f t="shared" si="78"/>
        <v>-300</v>
      </c>
      <c r="Q1644" s="11">
        <f>IF(P1644=0,0,IFERROR(Q1643+G1644*M1644*IF(E1644="FUTURE",VLOOKUP(MID(I1644,2,2),[1]Futures!$A$2:$B$12,2),1),G1644*M1644*IF(E1644="FUTURE",VLOOKUP(MID(I1644,2,2),[1]Futures!$A$2:$B$12,2),1)))</f>
        <v>-11122.5</v>
      </c>
      <c r="R1644" s="12">
        <f>IFERROR(Q1644/P1644/IF(E1644="FUTURE",VLOOKUP(MID(I1644,2,2),[1]Futures!$A$2:$B$12,2),1),"")</f>
        <v>37.075000000000003</v>
      </c>
      <c r="S1644" s="13" t="str">
        <f>IF(AND(H1644="TO CLOSE",P1644=0),-G1644*(M1644-R1643)*IF(E1644="FUTURE",VLOOKUP(MID(I1644,2,2),[1]Futures!$A$2:$B$12,2),1),"")</f>
        <v/>
      </c>
    </row>
    <row r="1645" spans="1:19" x14ac:dyDescent="0.2">
      <c r="A1645">
        <f t="shared" si="77"/>
        <v>523</v>
      </c>
      <c r="B1645" s="3">
        <v>44000</v>
      </c>
      <c r="C1645" s="3" t="str">
        <f t="shared" si="76"/>
        <v>Thursday</v>
      </c>
      <c r="D1645" s="2">
        <v>0.45809027777777778</v>
      </c>
      <c r="E1645" t="s">
        <v>22</v>
      </c>
      <c r="F1645" t="s">
        <v>19</v>
      </c>
      <c r="G1645">
        <v>100</v>
      </c>
      <c r="H1645" t="s">
        <v>16</v>
      </c>
      <c r="I1645" t="s">
        <v>23</v>
      </c>
      <c r="L1645" t="s">
        <v>22</v>
      </c>
      <c r="M1645">
        <v>36.835000000000001</v>
      </c>
      <c r="N1645">
        <v>36.835000000000001</v>
      </c>
      <c r="O1645" t="s">
        <v>24</v>
      </c>
      <c r="P1645">
        <f t="shared" si="78"/>
        <v>-200</v>
      </c>
      <c r="Q1645" s="11">
        <f>IF(P1645=0,0,IFERROR(Q1644+G1645*M1645*IF(E1645="FUTURE",VLOOKUP(MID(I1645,2,2),[1]Futures!$A$2:$B$12,2),1),G1645*M1645*IF(E1645="FUTURE",VLOOKUP(MID(I1645,2,2),[1]Futures!$A$2:$B$12,2),1)))</f>
        <v>-7439</v>
      </c>
      <c r="R1645" s="12">
        <f>IFERROR(Q1645/P1645/IF(E1645="FUTURE",VLOOKUP(MID(I1645,2,2),[1]Futures!$A$2:$B$12,2),1),"")</f>
        <v>37.195</v>
      </c>
      <c r="S1645" s="13" t="str">
        <f>IF(AND(H1645="TO CLOSE",P1645=0),-G1645*(M1645-R1644)*IF(E1645="FUTURE",VLOOKUP(MID(I1645,2,2),[1]Futures!$A$2:$B$12,2),1),"")</f>
        <v/>
      </c>
    </row>
    <row r="1646" spans="1:19" x14ac:dyDescent="0.2">
      <c r="A1646">
        <f t="shared" si="77"/>
        <v>523</v>
      </c>
      <c r="B1646" s="3">
        <v>44000</v>
      </c>
      <c r="C1646" s="3" t="str">
        <f t="shared" si="76"/>
        <v>Thursday</v>
      </c>
      <c r="D1646" s="2">
        <v>0.46359953703703699</v>
      </c>
      <c r="E1646" t="s">
        <v>22</v>
      </c>
      <c r="F1646" t="s">
        <v>19</v>
      </c>
      <c r="G1646">
        <v>100</v>
      </c>
      <c r="H1646" t="s">
        <v>16</v>
      </c>
      <c r="I1646" t="s">
        <v>23</v>
      </c>
      <c r="L1646" t="s">
        <v>22</v>
      </c>
      <c r="M1646">
        <v>36.807699999999997</v>
      </c>
      <c r="N1646">
        <v>36.807699999999997</v>
      </c>
      <c r="O1646" t="s">
        <v>24</v>
      </c>
      <c r="P1646">
        <f t="shared" si="78"/>
        <v>-100</v>
      </c>
      <c r="Q1646" s="11">
        <f>IF(P1646=0,0,IFERROR(Q1645+G1646*M1646*IF(E1646="FUTURE",VLOOKUP(MID(I1646,2,2),[1]Futures!$A$2:$B$12,2),1),G1646*M1646*IF(E1646="FUTURE",VLOOKUP(MID(I1646,2,2),[1]Futures!$A$2:$B$12,2),1)))</f>
        <v>-3758.2300000000005</v>
      </c>
      <c r="R1646" s="12">
        <f>IFERROR(Q1646/P1646/IF(E1646="FUTURE",VLOOKUP(MID(I1646,2,2),[1]Futures!$A$2:$B$12,2),1),"")</f>
        <v>37.582300000000004</v>
      </c>
      <c r="S1646" s="13" t="str">
        <f>IF(AND(H1646="TO CLOSE",P1646=0),-G1646*(M1646-R1645)*IF(E1646="FUTURE",VLOOKUP(MID(I1646,2,2),[1]Futures!$A$2:$B$12,2),1),"")</f>
        <v/>
      </c>
    </row>
    <row r="1647" spans="1:19" x14ac:dyDescent="0.2">
      <c r="A1647">
        <f t="shared" si="77"/>
        <v>523</v>
      </c>
      <c r="B1647" s="3">
        <v>44000</v>
      </c>
      <c r="C1647" s="3" t="str">
        <f t="shared" si="76"/>
        <v>Thursday</v>
      </c>
      <c r="D1647" s="2">
        <v>0.4700462962962963</v>
      </c>
      <c r="E1647" t="s">
        <v>22</v>
      </c>
      <c r="F1647" t="s">
        <v>19</v>
      </c>
      <c r="G1647">
        <v>100</v>
      </c>
      <c r="H1647" t="s">
        <v>16</v>
      </c>
      <c r="I1647" t="s">
        <v>23</v>
      </c>
      <c r="L1647" t="s">
        <v>22</v>
      </c>
      <c r="M1647">
        <v>36.814999999999998</v>
      </c>
      <c r="N1647">
        <v>36.814999999999998</v>
      </c>
      <c r="O1647" t="s">
        <v>24</v>
      </c>
      <c r="P1647">
        <f t="shared" si="78"/>
        <v>0</v>
      </c>
      <c r="Q1647" s="11">
        <f>IF(P1647=0,0,IFERROR(Q1646+G1647*M1647*IF(E1647="FUTURE",VLOOKUP(MID(I1647,2,2),[1]Futures!$A$2:$B$12,2),1),G1647*M1647*IF(E1647="FUTURE",VLOOKUP(MID(I1647,2,2),[1]Futures!$A$2:$B$12,2),1)))</f>
        <v>0</v>
      </c>
      <c r="R1647" s="12" t="str">
        <f>IFERROR(Q1647/P1647/IF(E1647="FUTURE",VLOOKUP(MID(I1647,2,2),[1]Futures!$A$2:$B$12,2),1),"")</f>
        <v/>
      </c>
      <c r="S1647" s="13">
        <f>IF(AND(H1647="TO CLOSE",P1647=0),-G1647*(M1647-R1646)*IF(E1647="FUTURE",VLOOKUP(MID(I1647,2,2),[1]Futures!$A$2:$B$12,2),1),"")</f>
        <v>76.730000000000587</v>
      </c>
    </row>
    <row r="1648" spans="1:19" x14ac:dyDescent="0.2">
      <c r="A1648">
        <f t="shared" si="77"/>
        <v>524</v>
      </c>
      <c r="B1648" s="3">
        <v>44001</v>
      </c>
      <c r="C1648" s="3" t="str">
        <f t="shared" si="76"/>
        <v>Friday</v>
      </c>
      <c r="D1648" s="2">
        <v>0.39525462962962959</v>
      </c>
      <c r="E1648" t="s">
        <v>14</v>
      </c>
      <c r="F1648" t="s">
        <v>19</v>
      </c>
      <c r="G1648">
        <v>1</v>
      </c>
      <c r="H1648" t="s">
        <v>20</v>
      </c>
      <c r="I1648" t="s">
        <v>77</v>
      </c>
      <c r="J1648" s="1">
        <v>44063</v>
      </c>
      <c r="L1648" t="s">
        <v>14</v>
      </c>
      <c r="M1648">
        <v>40.299999999999997</v>
      </c>
      <c r="N1648">
        <v>40.299999999999997</v>
      </c>
      <c r="O1648" t="s">
        <v>24</v>
      </c>
      <c r="P1648">
        <f t="shared" si="78"/>
        <v>1</v>
      </c>
      <c r="Q1648" s="11">
        <f>IF(P1648=0,0,IFERROR(Q1647+G1648*M1648*IF(E1648="FUTURE",VLOOKUP(MID(I1648,2,2),[1]Futures!$A$2:$B$12,2),1),G1648*M1648*IF(E1648="FUTURE",VLOOKUP(MID(I1648,2,2),[1]Futures!$A$2:$B$12,2),1)))</f>
        <v>40300</v>
      </c>
      <c r="R1648" s="12">
        <f>IFERROR(Q1648/P1648/IF(E1648="FUTURE",VLOOKUP(MID(I1648,2,2),[1]Futures!$A$2:$B$12,2),1),"")</f>
        <v>40.299999999999997</v>
      </c>
      <c r="S1648" s="13" t="str">
        <f>IF(AND(H1648="TO CLOSE",P1648=0),-G1648*(M1648-R1647)*IF(E1648="FUTURE",VLOOKUP(MID(I1648,2,2),[1]Futures!$A$2:$B$12,2),1),"")</f>
        <v/>
      </c>
    </row>
    <row r="1649" spans="1:19" x14ac:dyDescent="0.2">
      <c r="A1649">
        <f t="shared" si="77"/>
        <v>524</v>
      </c>
      <c r="B1649" s="3">
        <v>44001</v>
      </c>
      <c r="C1649" s="3" t="str">
        <f t="shared" si="76"/>
        <v>Friday</v>
      </c>
      <c r="D1649" s="2">
        <v>0.42864583333333334</v>
      </c>
      <c r="E1649" t="s">
        <v>14</v>
      </c>
      <c r="F1649" t="s">
        <v>15</v>
      </c>
      <c r="G1649">
        <v>-1</v>
      </c>
      <c r="H1649" t="s">
        <v>16</v>
      </c>
      <c r="I1649" t="s">
        <v>77</v>
      </c>
      <c r="J1649" s="1">
        <v>44063</v>
      </c>
      <c r="L1649" t="s">
        <v>14</v>
      </c>
      <c r="M1649">
        <v>40.47</v>
      </c>
      <c r="N1649">
        <v>40.47</v>
      </c>
      <c r="O1649" t="s">
        <v>21</v>
      </c>
      <c r="P1649">
        <f t="shared" si="78"/>
        <v>0</v>
      </c>
      <c r="Q1649" s="11">
        <f>IF(P1649=0,0,IFERROR(Q1648+G1649*M1649*IF(E1649="FUTURE",VLOOKUP(MID(I1649,2,2),[1]Futures!$A$2:$B$12,2),1),G1649*M1649*IF(E1649="FUTURE",VLOOKUP(MID(I1649,2,2),[1]Futures!$A$2:$B$12,2),1)))</f>
        <v>0</v>
      </c>
      <c r="R1649" s="12" t="str">
        <f>IFERROR(Q1649/P1649/IF(E1649="FUTURE",VLOOKUP(MID(I1649,2,2),[1]Futures!$A$2:$B$12,2),1),"")</f>
        <v/>
      </c>
      <c r="S1649" s="13">
        <f>IF(AND(H1649="TO CLOSE",P1649=0),-G1649*(M1649-R1648)*IF(E1649="FUTURE",VLOOKUP(MID(I1649,2,2),[1]Futures!$A$2:$B$12,2),1),"")</f>
        <v>170.00000000000171</v>
      </c>
    </row>
    <row r="1650" spans="1:19" x14ac:dyDescent="0.2">
      <c r="A1650">
        <f t="shared" si="77"/>
        <v>525</v>
      </c>
      <c r="B1650" s="3">
        <v>44001</v>
      </c>
      <c r="C1650" s="3" t="str">
        <f t="shared" si="76"/>
        <v>Friday</v>
      </c>
      <c r="D1650" s="2">
        <v>0.46913194444444445</v>
      </c>
      <c r="E1650" t="s">
        <v>14</v>
      </c>
      <c r="F1650" t="s">
        <v>19</v>
      </c>
      <c r="G1650">
        <v>1</v>
      </c>
      <c r="H1650" t="s">
        <v>20</v>
      </c>
      <c r="I1650" t="s">
        <v>77</v>
      </c>
      <c r="J1650" s="1">
        <v>44063</v>
      </c>
      <c r="L1650" t="s">
        <v>14</v>
      </c>
      <c r="M1650">
        <v>40.270000000000003</v>
      </c>
      <c r="N1650">
        <v>40.270000000000003</v>
      </c>
      <c r="O1650" t="s">
        <v>24</v>
      </c>
      <c r="P1650">
        <f t="shared" si="78"/>
        <v>1</v>
      </c>
      <c r="Q1650" s="11">
        <f>IF(P1650=0,0,IFERROR(Q1649+G1650*M1650*IF(E1650="FUTURE",VLOOKUP(MID(I1650,2,2),[1]Futures!$A$2:$B$12,2),1),G1650*M1650*IF(E1650="FUTURE",VLOOKUP(MID(I1650,2,2),[1]Futures!$A$2:$B$12,2),1)))</f>
        <v>40270</v>
      </c>
      <c r="R1650" s="12">
        <f>IFERROR(Q1650/P1650/IF(E1650="FUTURE",VLOOKUP(MID(I1650,2,2),[1]Futures!$A$2:$B$12,2),1),"")</f>
        <v>40.270000000000003</v>
      </c>
      <c r="S1650" s="13" t="str">
        <f>IF(AND(H1650="TO CLOSE",P1650=0),-G1650*(M1650-R1649)*IF(E1650="FUTURE",VLOOKUP(MID(I1650,2,2),[1]Futures!$A$2:$B$12,2),1),"")</f>
        <v/>
      </c>
    </row>
    <row r="1651" spans="1:19" x14ac:dyDescent="0.2">
      <c r="A1651">
        <f t="shared" si="77"/>
        <v>525</v>
      </c>
      <c r="B1651" s="3">
        <v>44001</v>
      </c>
      <c r="C1651" s="3" t="str">
        <f t="shared" si="76"/>
        <v>Friday</v>
      </c>
      <c r="D1651" s="2">
        <v>0.47130787037037036</v>
      </c>
      <c r="E1651" t="s">
        <v>14</v>
      </c>
      <c r="F1651" t="s">
        <v>15</v>
      </c>
      <c r="G1651">
        <v>-1</v>
      </c>
      <c r="H1651" t="s">
        <v>16</v>
      </c>
      <c r="I1651" t="s">
        <v>77</v>
      </c>
      <c r="J1651" s="1">
        <v>44063</v>
      </c>
      <c r="L1651" t="s">
        <v>14</v>
      </c>
      <c r="M1651">
        <v>40.299999999999997</v>
      </c>
      <c r="N1651">
        <v>40.299999999999997</v>
      </c>
      <c r="O1651" t="s">
        <v>21</v>
      </c>
      <c r="P1651">
        <f t="shared" si="78"/>
        <v>0</v>
      </c>
      <c r="Q1651" s="11">
        <f>IF(P1651=0,0,IFERROR(Q1650+G1651*M1651*IF(E1651="FUTURE",VLOOKUP(MID(I1651,2,2),[1]Futures!$A$2:$B$12,2),1),G1651*M1651*IF(E1651="FUTURE",VLOOKUP(MID(I1651,2,2),[1]Futures!$A$2:$B$12,2),1)))</f>
        <v>0</v>
      </c>
      <c r="R1651" s="12" t="str">
        <f>IFERROR(Q1651/P1651/IF(E1651="FUTURE",VLOOKUP(MID(I1651,2,2),[1]Futures!$A$2:$B$12,2),1),"")</f>
        <v/>
      </c>
      <c r="S1651" s="13">
        <f>IF(AND(H1651="TO CLOSE",P1651=0),-G1651*(M1651-R1650)*IF(E1651="FUTURE",VLOOKUP(MID(I1651,2,2),[1]Futures!$A$2:$B$12,2),1),"")</f>
        <v>29.999999999994031</v>
      </c>
    </row>
    <row r="1652" spans="1:19" x14ac:dyDescent="0.2">
      <c r="A1652">
        <f t="shared" si="77"/>
        <v>526</v>
      </c>
      <c r="B1652" s="3">
        <v>44001</v>
      </c>
      <c r="C1652" s="3" t="str">
        <f t="shared" si="76"/>
        <v>Friday</v>
      </c>
      <c r="D1652" s="2">
        <v>0.47552083333333334</v>
      </c>
      <c r="E1652" t="s">
        <v>14</v>
      </c>
      <c r="F1652" t="s">
        <v>19</v>
      </c>
      <c r="G1652">
        <v>1</v>
      </c>
      <c r="H1652" t="s">
        <v>20</v>
      </c>
      <c r="I1652" t="s">
        <v>77</v>
      </c>
      <c r="J1652" s="1">
        <v>44063</v>
      </c>
      <c r="L1652" t="s">
        <v>14</v>
      </c>
      <c r="M1652">
        <v>40.299999999999997</v>
      </c>
      <c r="N1652">
        <v>40.299999999999997</v>
      </c>
      <c r="O1652" t="s">
        <v>24</v>
      </c>
      <c r="P1652">
        <f t="shared" si="78"/>
        <v>1</v>
      </c>
      <c r="Q1652" s="11">
        <f>IF(P1652=0,0,IFERROR(Q1651+G1652*M1652*IF(E1652="FUTURE",VLOOKUP(MID(I1652,2,2),[1]Futures!$A$2:$B$12,2),1),G1652*M1652*IF(E1652="FUTURE",VLOOKUP(MID(I1652,2,2),[1]Futures!$A$2:$B$12,2),1)))</f>
        <v>40300</v>
      </c>
      <c r="R1652" s="12">
        <f>IFERROR(Q1652/P1652/IF(E1652="FUTURE",VLOOKUP(MID(I1652,2,2),[1]Futures!$A$2:$B$12,2),1),"")</f>
        <v>40.299999999999997</v>
      </c>
      <c r="S1652" s="13" t="str">
        <f>IF(AND(H1652="TO CLOSE",P1652=0),-G1652*(M1652-R1651)*IF(E1652="FUTURE",VLOOKUP(MID(I1652,2,2),[1]Futures!$A$2:$B$12,2),1),"")</f>
        <v/>
      </c>
    </row>
    <row r="1653" spans="1:19" x14ac:dyDescent="0.2">
      <c r="A1653">
        <f t="shared" si="77"/>
        <v>526</v>
      </c>
      <c r="B1653" s="3">
        <v>44001</v>
      </c>
      <c r="C1653" s="3" t="str">
        <f t="shared" si="76"/>
        <v>Friday</v>
      </c>
      <c r="D1653" s="2">
        <v>0.47938657407407409</v>
      </c>
      <c r="E1653" t="s">
        <v>14</v>
      </c>
      <c r="F1653" t="s">
        <v>15</v>
      </c>
      <c r="G1653">
        <v>-1</v>
      </c>
      <c r="H1653" t="s">
        <v>16</v>
      </c>
      <c r="I1653" t="s">
        <v>77</v>
      </c>
      <c r="J1653" s="1">
        <v>44063</v>
      </c>
      <c r="L1653" t="s">
        <v>14</v>
      </c>
      <c r="M1653">
        <v>40.32</v>
      </c>
      <c r="N1653">
        <v>40.32</v>
      </c>
      <c r="O1653" t="s">
        <v>21</v>
      </c>
      <c r="P1653">
        <f t="shared" si="78"/>
        <v>0</v>
      </c>
      <c r="Q1653" s="11">
        <f>IF(P1653=0,0,IFERROR(Q1652+G1653*M1653*IF(E1653="FUTURE",VLOOKUP(MID(I1653,2,2),[1]Futures!$A$2:$B$12,2),1),G1653*M1653*IF(E1653="FUTURE",VLOOKUP(MID(I1653,2,2),[1]Futures!$A$2:$B$12,2),1)))</f>
        <v>0</v>
      </c>
      <c r="R1653" s="12" t="str">
        <f>IFERROR(Q1653/P1653/IF(E1653="FUTURE",VLOOKUP(MID(I1653,2,2),[1]Futures!$A$2:$B$12,2),1),"")</f>
        <v/>
      </c>
      <c r="S1653" s="13">
        <f>IF(AND(H1653="TO CLOSE",P1653=0),-G1653*(M1653-R1652)*IF(E1653="FUTURE",VLOOKUP(MID(I1653,2,2),[1]Futures!$A$2:$B$12,2),1),"")</f>
        <v>20.000000000003126</v>
      </c>
    </row>
    <row r="1654" spans="1:19" x14ac:dyDescent="0.2">
      <c r="A1654">
        <f t="shared" si="77"/>
        <v>527</v>
      </c>
      <c r="B1654" s="3">
        <v>44001</v>
      </c>
      <c r="C1654" s="3" t="str">
        <f t="shared" si="76"/>
        <v>Friday</v>
      </c>
      <c r="D1654" s="2">
        <v>0.46059027777777778</v>
      </c>
      <c r="E1654" t="s">
        <v>14</v>
      </c>
      <c r="F1654" t="s">
        <v>19</v>
      </c>
      <c r="G1654">
        <v>1</v>
      </c>
      <c r="H1654" t="s">
        <v>20</v>
      </c>
      <c r="I1654" t="s">
        <v>79</v>
      </c>
      <c r="J1654" s="1">
        <v>44094</v>
      </c>
      <c r="L1654" t="s">
        <v>14</v>
      </c>
      <c r="M1654">
        <v>3123</v>
      </c>
      <c r="N1654">
        <v>3123</v>
      </c>
      <c r="O1654" t="s">
        <v>21</v>
      </c>
      <c r="P1654">
        <f t="shared" si="78"/>
        <v>1</v>
      </c>
      <c r="Q1654" s="11">
        <f>IF(P1654=0,0,IFERROR(Q1653+G1654*M1654*IF(E1654="FUTURE",VLOOKUP(MID(I1654,2,2),[1]Futures!$A$2:$B$12,2),1),G1654*M1654*IF(E1654="FUTURE",VLOOKUP(MID(I1654,2,2),[1]Futures!$A$2:$B$12,2),1)))</f>
        <v>156150</v>
      </c>
      <c r="R1654" s="12">
        <f>IFERROR(Q1654/P1654/IF(E1654="FUTURE",VLOOKUP(MID(I1654,2,2),[1]Futures!$A$2:$B$12,2),1),"")</f>
        <v>3123</v>
      </c>
      <c r="S1654" s="13" t="str">
        <f>IF(AND(H1654="TO CLOSE",P1654=0),-G1654*(M1654-R1653)*IF(E1654="FUTURE",VLOOKUP(MID(I1654,2,2),[1]Futures!$A$2:$B$12,2),1),"")</f>
        <v/>
      </c>
    </row>
    <row r="1655" spans="1:19" x14ac:dyDescent="0.2">
      <c r="A1655">
        <f t="shared" si="77"/>
        <v>527</v>
      </c>
      <c r="B1655" s="3">
        <v>44001</v>
      </c>
      <c r="C1655" s="3" t="str">
        <f t="shared" si="76"/>
        <v>Friday</v>
      </c>
      <c r="D1655" s="2">
        <v>0.46174768518518516</v>
      </c>
      <c r="E1655" t="s">
        <v>14</v>
      </c>
      <c r="F1655" t="s">
        <v>15</v>
      </c>
      <c r="G1655">
        <v>-1</v>
      </c>
      <c r="H1655" t="s">
        <v>16</v>
      </c>
      <c r="I1655" t="s">
        <v>79</v>
      </c>
      <c r="J1655" s="1">
        <v>44094</v>
      </c>
      <c r="L1655" t="s">
        <v>14</v>
      </c>
      <c r="M1655">
        <v>3126</v>
      </c>
      <c r="N1655">
        <v>3126</v>
      </c>
      <c r="O1655" t="s">
        <v>21</v>
      </c>
      <c r="P1655">
        <f t="shared" si="78"/>
        <v>0</v>
      </c>
      <c r="Q1655" s="11">
        <f>IF(P1655=0,0,IFERROR(Q1654+G1655*M1655*IF(E1655="FUTURE",VLOOKUP(MID(I1655,2,2),[1]Futures!$A$2:$B$12,2),1),G1655*M1655*IF(E1655="FUTURE",VLOOKUP(MID(I1655,2,2),[1]Futures!$A$2:$B$12,2),1)))</f>
        <v>0</v>
      </c>
      <c r="R1655" s="12" t="str">
        <f>IFERROR(Q1655/P1655/IF(E1655="FUTURE",VLOOKUP(MID(I1655,2,2),[1]Futures!$A$2:$B$12,2),1),"")</f>
        <v/>
      </c>
      <c r="S1655" s="13">
        <f>IF(AND(H1655="TO CLOSE",P1655=0),-G1655*(M1655-R1654)*IF(E1655="FUTURE",VLOOKUP(MID(I1655,2,2),[1]Futures!$A$2:$B$12,2),1),"")</f>
        <v>150</v>
      </c>
    </row>
    <row r="1656" spans="1:19" x14ac:dyDescent="0.2">
      <c r="A1656">
        <f t="shared" si="77"/>
        <v>528</v>
      </c>
      <c r="B1656" s="3">
        <v>44001</v>
      </c>
      <c r="C1656" s="3" t="str">
        <f t="shared" si="76"/>
        <v>Friday</v>
      </c>
      <c r="D1656" s="2">
        <v>0.51067129629629626</v>
      </c>
      <c r="E1656" t="s">
        <v>14</v>
      </c>
      <c r="F1656" t="s">
        <v>19</v>
      </c>
      <c r="G1656">
        <v>1</v>
      </c>
      <c r="H1656" t="s">
        <v>20</v>
      </c>
      <c r="I1656" t="s">
        <v>79</v>
      </c>
      <c r="J1656" s="1">
        <v>44094</v>
      </c>
      <c r="L1656" t="s">
        <v>14</v>
      </c>
      <c r="M1656">
        <v>3099.25</v>
      </c>
      <c r="N1656">
        <v>3099.25</v>
      </c>
      <c r="O1656" t="s">
        <v>24</v>
      </c>
      <c r="P1656">
        <f t="shared" si="78"/>
        <v>1</v>
      </c>
      <c r="Q1656" s="11">
        <f>IF(P1656=0,0,IFERROR(Q1655+G1656*M1656*IF(E1656="FUTURE",VLOOKUP(MID(I1656,2,2),[1]Futures!$A$2:$B$12,2),1),G1656*M1656*IF(E1656="FUTURE",VLOOKUP(MID(I1656,2,2),[1]Futures!$A$2:$B$12,2),1)))</f>
        <v>154962.5</v>
      </c>
      <c r="R1656" s="12">
        <f>IFERROR(Q1656/P1656/IF(E1656="FUTURE",VLOOKUP(MID(I1656,2,2),[1]Futures!$A$2:$B$12,2),1),"")</f>
        <v>3099.25</v>
      </c>
      <c r="S1656" s="13" t="str">
        <f>IF(AND(H1656="TO CLOSE",P1656=0),-G1656*(M1656-R1655)*IF(E1656="FUTURE",VLOOKUP(MID(I1656,2,2),[1]Futures!$A$2:$B$12,2),1),"")</f>
        <v/>
      </c>
    </row>
    <row r="1657" spans="1:19" x14ac:dyDescent="0.2">
      <c r="A1657">
        <f t="shared" si="77"/>
        <v>528</v>
      </c>
      <c r="B1657" s="3">
        <v>44001</v>
      </c>
      <c r="C1657" s="3" t="str">
        <f t="shared" si="76"/>
        <v>Friday</v>
      </c>
      <c r="D1657" s="2">
        <v>0.54131944444444446</v>
      </c>
      <c r="E1657" t="s">
        <v>14</v>
      </c>
      <c r="F1657" t="s">
        <v>15</v>
      </c>
      <c r="G1657">
        <v>-1</v>
      </c>
      <c r="H1657" t="s">
        <v>16</v>
      </c>
      <c r="I1657" t="s">
        <v>79</v>
      </c>
      <c r="J1657" s="1">
        <v>44094</v>
      </c>
      <c r="L1657" t="s">
        <v>14</v>
      </c>
      <c r="M1657">
        <v>3103.5</v>
      </c>
      <c r="N1657">
        <v>3103.5</v>
      </c>
      <c r="O1657" t="s">
        <v>21</v>
      </c>
      <c r="P1657">
        <f t="shared" si="78"/>
        <v>0</v>
      </c>
      <c r="Q1657" s="11">
        <f>IF(P1657=0,0,IFERROR(Q1656+G1657*M1657*IF(E1657="FUTURE",VLOOKUP(MID(I1657,2,2),[1]Futures!$A$2:$B$12,2),1),G1657*M1657*IF(E1657="FUTURE",VLOOKUP(MID(I1657,2,2),[1]Futures!$A$2:$B$12,2),1)))</f>
        <v>0</v>
      </c>
      <c r="R1657" s="12" t="str">
        <f>IFERROR(Q1657/P1657/IF(E1657="FUTURE",VLOOKUP(MID(I1657,2,2),[1]Futures!$A$2:$B$12,2),1),"")</f>
        <v/>
      </c>
      <c r="S1657" s="13">
        <f>IF(AND(H1657="TO CLOSE",P1657=0),-G1657*(M1657-R1656)*IF(E1657="FUTURE",VLOOKUP(MID(I1657,2,2),[1]Futures!$A$2:$B$12,2),1),"")</f>
        <v>212.5</v>
      </c>
    </row>
    <row r="1658" spans="1:19" x14ac:dyDescent="0.2">
      <c r="A1658">
        <f t="shared" si="77"/>
        <v>529</v>
      </c>
      <c r="B1658" s="3">
        <v>44001</v>
      </c>
      <c r="C1658" s="3" t="str">
        <f t="shared" si="76"/>
        <v>Friday</v>
      </c>
      <c r="D1658" s="2">
        <v>0.36731481481481482</v>
      </c>
      <c r="E1658" t="s">
        <v>14</v>
      </c>
      <c r="F1658" t="s">
        <v>19</v>
      </c>
      <c r="G1658">
        <v>2</v>
      </c>
      <c r="H1658" t="s">
        <v>20</v>
      </c>
      <c r="I1658" t="s">
        <v>80</v>
      </c>
      <c r="J1658" s="1">
        <v>44094</v>
      </c>
      <c r="L1658" t="s">
        <v>14</v>
      </c>
      <c r="M1658">
        <v>3134</v>
      </c>
      <c r="N1658">
        <v>3134</v>
      </c>
      <c r="O1658" t="s">
        <v>21</v>
      </c>
      <c r="P1658">
        <f t="shared" si="78"/>
        <v>2</v>
      </c>
      <c r="Q1658" s="11">
        <f>IF(P1658=0,0,IFERROR(Q1657+G1658*M1658*IF(E1658="FUTURE",VLOOKUP(MID(I1658,2,2),[1]Futures!$A$2:$B$12,2),1),G1658*M1658*IF(E1658="FUTURE",VLOOKUP(MID(I1658,2,2),[1]Futures!$A$2:$B$12,2),1)))</f>
        <v>31340</v>
      </c>
      <c r="R1658" s="12">
        <f>IFERROR(Q1658/P1658/IF(E1658="FUTURE",VLOOKUP(MID(I1658,2,2),[1]Futures!$A$2:$B$12,2),1),"")</f>
        <v>3134</v>
      </c>
      <c r="S1658" s="13" t="str">
        <f>IF(AND(H1658="TO CLOSE",P1658=0),-G1658*(M1658-R1657)*IF(E1658="FUTURE",VLOOKUP(MID(I1658,2,2),[1]Futures!$A$2:$B$12,2),1),"")</f>
        <v/>
      </c>
    </row>
    <row r="1659" spans="1:19" x14ac:dyDescent="0.2">
      <c r="A1659">
        <f t="shared" si="77"/>
        <v>529</v>
      </c>
      <c r="B1659" s="3">
        <v>44001</v>
      </c>
      <c r="C1659" s="3" t="str">
        <f t="shared" si="76"/>
        <v>Friday</v>
      </c>
      <c r="D1659" s="2">
        <v>0.39635416666666662</v>
      </c>
      <c r="E1659" t="s">
        <v>14</v>
      </c>
      <c r="F1659" t="s">
        <v>19</v>
      </c>
      <c r="G1659">
        <v>1</v>
      </c>
      <c r="H1659" t="s">
        <v>20</v>
      </c>
      <c r="I1659" t="s">
        <v>80</v>
      </c>
      <c r="J1659" s="1">
        <v>44094</v>
      </c>
      <c r="L1659" t="s">
        <v>14</v>
      </c>
      <c r="M1659">
        <v>3136.25</v>
      </c>
      <c r="N1659">
        <v>3136.25</v>
      </c>
      <c r="O1659" t="s">
        <v>24</v>
      </c>
      <c r="P1659">
        <f t="shared" si="78"/>
        <v>3</v>
      </c>
      <c r="Q1659" s="11">
        <f>IF(P1659=0,0,IFERROR(Q1658+G1659*M1659*IF(E1659="FUTURE",VLOOKUP(MID(I1659,2,2),[1]Futures!$A$2:$B$12,2),1),G1659*M1659*IF(E1659="FUTURE",VLOOKUP(MID(I1659,2,2),[1]Futures!$A$2:$B$12,2),1)))</f>
        <v>47021.25</v>
      </c>
      <c r="R1659" s="12">
        <f>IFERROR(Q1659/P1659/IF(E1659="FUTURE",VLOOKUP(MID(I1659,2,2),[1]Futures!$A$2:$B$12,2),1),"")</f>
        <v>3134.75</v>
      </c>
      <c r="S1659" s="13" t="str">
        <f>IF(AND(H1659="TO CLOSE",P1659=0),-G1659*(M1659-R1658)*IF(E1659="FUTURE",VLOOKUP(MID(I1659,2,2),[1]Futures!$A$2:$B$12,2),1),"")</f>
        <v/>
      </c>
    </row>
    <row r="1660" spans="1:19" x14ac:dyDescent="0.2">
      <c r="A1660">
        <f t="shared" si="77"/>
        <v>529</v>
      </c>
      <c r="B1660" s="3">
        <v>44001</v>
      </c>
      <c r="C1660" s="3" t="str">
        <f t="shared" si="76"/>
        <v>Friday</v>
      </c>
      <c r="D1660" s="2">
        <v>0.4074652777777778</v>
      </c>
      <c r="E1660" t="s">
        <v>14</v>
      </c>
      <c r="F1660" t="s">
        <v>19</v>
      </c>
      <c r="G1660">
        <v>1</v>
      </c>
      <c r="H1660" t="s">
        <v>20</v>
      </c>
      <c r="I1660" t="s">
        <v>80</v>
      </c>
      <c r="J1660" s="1">
        <v>44094</v>
      </c>
      <c r="L1660" t="s">
        <v>14</v>
      </c>
      <c r="M1660">
        <v>3131.75</v>
      </c>
      <c r="N1660">
        <v>3131.75</v>
      </c>
      <c r="O1660" t="s">
        <v>21</v>
      </c>
      <c r="P1660">
        <f t="shared" si="78"/>
        <v>4</v>
      </c>
      <c r="Q1660" s="11">
        <f>IF(P1660=0,0,IFERROR(Q1659+G1660*M1660*IF(E1660="FUTURE",VLOOKUP(MID(I1660,2,2),[1]Futures!$A$2:$B$12,2),1),G1660*M1660*IF(E1660="FUTURE",VLOOKUP(MID(I1660,2,2),[1]Futures!$A$2:$B$12,2),1)))</f>
        <v>62680</v>
      </c>
      <c r="R1660" s="12">
        <f>IFERROR(Q1660/P1660/IF(E1660="FUTURE",VLOOKUP(MID(I1660,2,2),[1]Futures!$A$2:$B$12,2),1),"")</f>
        <v>3134</v>
      </c>
      <c r="S1660" s="13" t="str">
        <f>IF(AND(H1660="TO CLOSE",P1660=0),-G1660*(M1660-R1659)*IF(E1660="FUTURE",VLOOKUP(MID(I1660,2,2),[1]Futures!$A$2:$B$12,2),1),"")</f>
        <v/>
      </c>
    </row>
    <row r="1661" spans="1:19" x14ac:dyDescent="0.2">
      <c r="A1661">
        <f t="shared" si="77"/>
        <v>529</v>
      </c>
      <c r="B1661" s="3">
        <v>44001</v>
      </c>
      <c r="C1661" s="3" t="str">
        <f t="shared" si="76"/>
        <v>Friday</v>
      </c>
      <c r="D1661" s="2">
        <v>0.40971064814814812</v>
      </c>
      <c r="E1661" t="s">
        <v>14</v>
      </c>
      <c r="F1661" t="s">
        <v>15</v>
      </c>
      <c r="G1661">
        <v>-1</v>
      </c>
      <c r="H1661" t="s">
        <v>16</v>
      </c>
      <c r="I1661" t="s">
        <v>80</v>
      </c>
      <c r="J1661" s="1">
        <v>44094</v>
      </c>
      <c r="L1661" t="s">
        <v>14</v>
      </c>
      <c r="M1661">
        <v>3136.5</v>
      </c>
      <c r="N1661">
        <v>3136.5</v>
      </c>
      <c r="O1661" t="s">
        <v>21</v>
      </c>
      <c r="P1661">
        <f t="shared" si="78"/>
        <v>3</v>
      </c>
      <c r="Q1661" s="11">
        <f>IF(P1661=0,0,IFERROR(Q1660+G1661*M1661*IF(E1661="FUTURE",VLOOKUP(MID(I1661,2,2),[1]Futures!$A$2:$B$12,2),1),G1661*M1661*IF(E1661="FUTURE",VLOOKUP(MID(I1661,2,2),[1]Futures!$A$2:$B$12,2),1)))</f>
        <v>46997.5</v>
      </c>
      <c r="R1661" s="12">
        <f>IFERROR(Q1661/P1661/IF(E1661="FUTURE",VLOOKUP(MID(I1661,2,2),[1]Futures!$A$2:$B$12,2),1),"")</f>
        <v>3133.166666666667</v>
      </c>
      <c r="S1661" s="13" t="str">
        <f>IF(AND(H1661="TO CLOSE",P1661=0),-G1661*(M1661-R1660)*IF(E1661="FUTURE",VLOOKUP(MID(I1661,2,2),[1]Futures!$A$2:$B$12,2),1),"")</f>
        <v/>
      </c>
    </row>
    <row r="1662" spans="1:19" x14ac:dyDescent="0.2">
      <c r="A1662">
        <f t="shared" si="77"/>
        <v>529</v>
      </c>
      <c r="B1662" s="3">
        <v>44001</v>
      </c>
      <c r="C1662" s="3" t="str">
        <f t="shared" ref="C1662:C1725" si="79">IF(WEEKDAY(B1662,2)=1,"Monday",IF(WEEKDAY(B1662,2)=2,"Tuesday",IF(WEEKDAY(B1662,2)=3,"Wednesday",IF(WEEKDAY(B1662,2)=4,"Thursday",IF(WEEKDAY(B1662,2)=5,"Friday","Sunday")))))</f>
        <v>Friday</v>
      </c>
      <c r="D1662" s="2">
        <v>0.4181597222222222</v>
      </c>
      <c r="E1662" t="s">
        <v>14</v>
      </c>
      <c r="F1662" t="s">
        <v>19</v>
      </c>
      <c r="G1662">
        <v>1</v>
      </c>
      <c r="H1662" t="s">
        <v>20</v>
      </c>
      <c r="I1662" t="s">
        <v>80</v>
      </c>
      <c r="J1662" s="1">
        <v>44094</v>
      </c>
      <c r="L1662" t="s">
        <v>14</v>
      </c>
      <c r="M1662">
        <v>3128.5</v>
      </c>
      <c r="N1662">
        <v>3128.5</v>
      </c>
      <c r="O1662" t="s">
        <v>24</v>
      </c>
      <c r="P1662">
        <f t="shared" si="78"/>
        <v>4</v>
      </c>
      <c r="Q1662" s="11">
        <f>IF(P1662=0,0,IFERROR(Q1661+G1662*M1662*IF(E1662="FUTURE",VLOOKUP(MID(I1662,2,2),[1]Futures!$A$2:$B$12,2),1),G1662*M1662*IF(E1662="FUTURE",VLOOKUP(MID(I1662,2,2),[1]Futures!$A$2:$B$12,2),1)))</f>
        <v>62640</v>
      </c>
      <c r="R1662" s="12">
        <f>IFERROR(Q1662/P1662/IF(E1662="FUTURE",VLOOKUP(MID(I1662,2,2),[1]Futures!$A$2:$B$12,2),1),"")</f>
        <v>3132</v>
      </c>
      <c r="S1662" s="13" t="str">
        <f>IF(AND(H1662="TO CLOSE",P1662=0),-G1662*(M1662-R1661)*IF(E1662="FUTURE",VLOOKUP(MID(I1662,2,2),[1]Futures!$A$2:$B$12,2),1),"")</f>
        <v/>
      </c>
    </row>
    <row r="1663" spans="1:19" x14ac:dyDescent="0.2">
      <c r="A1663">
        <f t="shared" si="77"/>
        <v>529</v>
      </c>
      <c r="B1663" s="3">
        <v>44001</v>
      </c>
      <c r="C1663" s="3" t="str">
        <f t="shared" si="79"/>
        <v>Friday</v>
      </c>
      <c r="D1663" s="2">
        <v>0.42283564814814811</v>
      </c>
      <c r="E1663" t="s">
        <v>14</v>
      </c>
      <c r="F1663" t="s">
        <v>15</v>
      </c>
      <c r="G1663">
        <v>-1</v>
      </c>
      <c r="H1663" t="s">
        <v>16</v>
      </c>
      <c r="I1663" t="s">
        <v>80</v>
      </c>
      <c r="J1663" s="1">
        <v>44094</v>
      </c>
      <c r="L1663" t="s">
        <v>14</v>
      </c>
      <c r="M1663">
        <v>3132.5</v>
      </c>
      <c r="N1663">
        <v>3132.5</v>
      </c>
      <c r="O1663" t="s">
        <v>21</v>
      </c>
      <c r="P1663">
        <f t="shared" si="78"/>
        <v>3</v>
      </c>
      <c r="Q1663" s="11">
        <f>IF(P1663=0,0,IFERROR(Q1662+G1663*M1663*IF(E1663="FUTURE",VLOOKUP(MID(I1663,2,2),[1]Futures!$A$2:$B$12,2),1),G1663*M1663*IF(E1663="FUTURE",VLOOKUP(MID(I1663,2,2),[1]Futures!$A$2:$B$12,2),1)))</f>
        <v>46977.5</v>
      </c>
      <c r="R1663" s="12">
        <f>IFERROR(Q1663/P1663/IF(E1663="FUTURE",VLOOKUP(MID(I1663,2,2),[1]Futures!$A$2:$B$12,2),1),"")</f>
        <v>3131.833333333333</v>
      </c>
      <c r="S1663" s="13" t="str">
        <f>IF(AND(H1663="TO CLOSE",P1663=0),-G1663*(M1663-R1662)*IF(E1663="FUTURE",VLOOKUP(MID(I1663,2,2),[1]Futures!$A$2:$B$12,2),1),"")</f>
        <v/>
      </c>
    </row>
    <row r="1664" spans="1:19" x14ac:dyDescent="0.2">
      <c r="A1664">
        <f t="shared" si="77"/>
        <v>529</v>
      </c>
      <c r="B1664" s="3">
        <v>44001</v>
      </c>
      <c r="C1664" s="3" t="str">
        <f t="shared" si="79"/>
        <v>Friday</v>
      </c>
      <c r="D1664" s="2">
        <v>0.44422453703703701</v>
      </c>
      <c r="E1664" t="s">
        <v>14</v>
      </c>
      <c r="F1664" t="s">
        <v>19</v>
      </c>
      <c r="G1664">
        <v>1</v>
      </c>
      <c r="H1664" t="s">
        <v>20</v>
      </c>
      <c r="I1664" t="s">
        <v>80</v>
      </c>
      <c r="J1664" s="1">
        <v>44094</v>
      </c>
      <c r="L1664" t="s">
        <v>14</v>
      </c>
      <c r="M1664">
        <v>3126.25</v>
      </c>
      <c r="N1664">
        <v>3126.25</v>
      </c>
      <c r="O1664" t="s">
        <v>21</v>
      </c>
      <c r="P1664">
        <f t="shared" si="78"/>
        <v>4</v>
      </c>
      <c r="Q1664" s="11">
        <f>IF(P1664=0,0,IFERROR(Q1663+G1664*M1664*IF(E1664="FUTURE",VLOOKUP(MID(I1664,2,2),[1]Futures!$A$2:$B$12,2),1),G1664*M1664*IF(E1664="FUTURE",VLOOKUP(MID(I1664,2,2),[1]Futures!$A$2:$B$12,2),1)))</f>
        <v>62608.75</v>
      </c>
      <c r="R1664" s="12">
        <f>IFERROR(Q1664/P1664/IF(E1664="FUTURE",VLOOKUP(MID(I1664,2,2),[1]Futures!$A$2:$B$12,2),1),"")</f>
        <v>3130.4375</v>
      </c>
      <c r="S1664" s="13" t="str">
        <f>IF(AND(H1664="TO CLOSE",P1664=0),-G1664*(M1664-R1663)*IF(E1664="FUTURE",VLOOKUP(MID(I1664,2,2),[1]Futures!$A$2:$B$12,2),1),"")</f>
        <v/>
      </c>
    </row>
    <row r="1665" spans="1:19" x14ac:dyDescent="0.2">
      <c r="A1665">
        <f t="shared" si="77"/>
        <v>529</v>
      </c>
      <c r="B1665" s="3">
        <v>44001</v>
      </c>
      <c r="C1665" s="3" t="str">
        <f t="shared" si="79"/>
        <v>Friday</v>
      </c>
      <c r="D1665" s="2">
        <v>0.44939814814814816</v>
      </c>
      <c r="E1665" t="s">
        <v>14</v>
      </c>
      <c r="F1665" t="s">
        <v>19</v>
      </c>
      <c r="G1665">
        <v>2</v>
      </c>
      <c r="H1665" t="s">
        <v>20</v>
      </c>
      <c r="I1665" t="s">
        <v>80</v>
      </c>
      <c r="J1665" s="1">
        <v>44094</v>
      </c>
      <c r="L1665" t="s">
        <v>14</v>
      </c>
      <c r="M1665">
        <v>3124</v>
      </c>
      <c r="N1665">
        <v>3124</v>
      </c>
      <c r="O1665" t="s">
        <v>24</v>
      </c>
      <c r="P1665">
        <f t="shared" si="78"/>
        <v>6</v>
      </c>
      <c r="Q1665" s="11">
        <f>IF(P1665=0,0,IFERROR(Q1664+G1665*M1665*IF(E1665="FUTURE",VLOOKUP(MID(I1665,2,2),[1]Futures!$A$2:$B$12,2),1),G1665*M1665*IF(E1665="FUTURE",VLOOKUP(MID(I1665,2,2),[1]Futures!$A$2:$B$12,2),1)))</f>
        <v>93848.75</v>
      </c>
      <c r="R1665" s="12">
        <f>IFERROR(Q1665/P1665/IF(E1665="FUTURE",VLOOKUP(MID(I1665,2,2),[1]Futures!$A$2:$B$12,2),1),"")</f>
        <v>3128.291666666667</v>
      </c>
      <c r="S1665" s="13" t="str">
        <f>IF(AND(H1665="TO CLOSE",P1665=0),-G1665*(M1665-R1664)*IF(E1665="FUTURE",VLOOKUP(MID(I1665,2,2),[1]Futures!$A$2:$B$12,2),1),"")</f>
        <v/>
      </c>
    </row>
    <row r="1666" spans="1:19" x14ac:dyDescent="0.2">
      <c r="A1666">
        <f t="shared" ref="A1666:A1729" si="80">IF(AND(P1665=0,H1665="TO CLOSE"),IFERROR(A1665+1,1),IFERROR(A1665/1,1))</f>
        <v>529</v>
      </c>
      <c r="B1666" s="3">
        <v>44001</v>
      </c>
      <c r="C1666" s="3" t="str">
        <f t="shared" si="79"/>
        <v>Friday</v>
      </c>
      <c r="D1666" s="2">
        <v>0.4991666666666667</v>
      </c>
      <c r="E1666" t="s">
        <v>14</v>
      </c>
      <c r="F1666" t="s">
        <v>19</v>
      </c>
      <c r="G1666">
        <v>2</v>
      </c>
      <c r="H1666" t="s">
        <v>20</v>
      </c>
      <c r="I1666" t="s">
        <v>80</v>
      </c>
      <c r="J1666" s="1">
        <v>44094</v>
      </c>
      <c r="L1666" t="s">
        <v>14</v>
      </c>
      <c r="M1666">
        <v>3116</v>
      </c>
      <c r="N1666">
        <v>3116</v>
      </c>
      <c r="O1666" t="s">
        <v>21</v>
      </c>
      <c r="P1666">
        <f t="shared" si="78"/>
        <v>8</v>
      </c>
      <c r="Q1666" s="11">
        <f>IF(P1666=0,0,IFERROR(Q1665+G1666*M1666*IF(E1666="FUTURE",VLOOKUP(MID(I1666,2,2),[1]Futures!$A$2:$B$12,2),1),G1666*M1666*IF(E1666="FUTURE",VLOOKUP(MID(I1666,2,2),[1]Futures!$A$2:$B$12,2),1)))</f>
        <v>125008.75</v>
      </c>
      <c r="R1666" s="12">
        <f>IFERROR(Q1666/P1666/IF(E1666="FUTURE",VLOOKUP(MID(I1666,2,2),[1]Futures!$A$2:$B$12,2),1),"")</f>
        <v>3125.21875</v>
      </c>
      <c r="S1666" s="13" t="str">
        <f>IF(AND(H1666="TO CLOSE",P1666=0),-G1666*(M1666-R1665)*IF(E1666="FUTURE",VLOOKUP(MID(I1666,2,2),[1]Futures!$A$2:$B$12,2),1),"")</f>
        <v/>
      </c>
    </row>
    <row r="1667" spans="1:19" x14ac:dyDescent="0.2">
      <c r="A1667">
        <f t="shared" si="80"/>
        <v>529</v>
      </c>
      <c r="B1667" s="3">
        <v>44001</v>
      </c>
      <c r="C1667" s="3" t="str">
        <f t="shared" si="79"/>
        <v>Friday</v>
      </c>
      <c r="D1667" s="2">
        <v>0.55974537037037042</v>
      </c>
      <c r="E1667" t="s">
        <v>14</v>
      </c>
      <c r="F1667" t="s">
        <v>19</v>
      </c>
      <c r="G1667">
        <v>2</v>
      </c>
      <c r="H1667" t="s">
        <v>20</v>
      </c>
      <c r="I1667" t="s">
        <v>80</v>
      </c>
      <c r="J1667" s="1">
        <v>44094</v>
      </c>
      <c r="L1667" t="s">
        <v>14</v>
      </c>
      <c r="M1667">
        <v>3088</v>
      </c>
      <c r="N1667">
        <v>3088</v>
      </c>
      <c r="O1667" t="s">
        <v>21</v>
      </c>
      <c r="P1667">
        <f t="shared" ref="P1667:P1730" si="81">IF(H1667="TO OPEN",IFERROR(P1666+G1667,0+G1667),IFERROR(P1666+G1667,0+G1667))</f>
        <v>10</v>
      </c>
      <c r="Q1667" s="11">
        <f>IF(P1667=0,0,IFERROR(Q1666+G1667*M1667*IF(E1667="FUTURE",VLOOKUP(MID(I1667,2,2),[1]Futures!$A$2:$B$12,2),1),G1667*M1667*IF(E1667="FUTURE",VLOOKUP(MID(I1667,2,2),[1]Futures!$A$2:$B$12,2),1)))</f>
        <v>155888.75</v>
      </c>
      <c r="R1667" s="12">
        <f>IFERROR(Q1667/P1667/IF(E1667="FUTURE",VLOOKUP(MID(I1667,2,2),[1]Futures!$A$2:$B$12,2),1),"")</f>
        <v>3117.7750000000001</v>
      </c>
      <c r="S1667" s="13" t="str">
        <f>IF(AND(H1667="TO CLOSE",P1667=0),-G1667*(M1667-R1666)*IF(E1667="FUTURE",VLOOKUP(MID(I1667,2,2),[1]Futures!$A$2:$B$12,2),1),"")</f>
        <v/>
      </c>
    </row>
    <row r="1668" spans="1:19" x14ac:dyDescent="0.2">
      <c r="A1668">
        <f t="shared" si="80"/>
        <v>529</v>
      </c>
      <c r="B1668" s="3">
        <v>44001</v>
      </c>
      <c r="C1668" s="3" t="str">
        <f t="shared" si="79"/>
        <v>Friday</v>
      </c>
      <c r="D1668" s="2">
        <v>0.63306712962962963</v>
      </c>
      <c r="E1668" t="s">
        <v>14</v>
      </c>
      <c r="F1668" t="s">
        <v>15</v>
      </c>
      <c r="G1668">
        <v>-2</v>
      </c>
      <c r="H1668" t="s">
        <v>16</v>
      </c>
      <c r="I1668" t="s">
        <v>80</v>
      </c>
      <c r="J1668" s="1">
        <v>44094</v>
      </c>
      <c r="L1668" t="s">
        <v>14</v>
      </c>
      <c r="M1668">
        <v>3089.5</v>
      </c>
      <c r="N1668">
        <v>3089.5</v>
      </c>
      <c r="O1668" t="s">
        <v>21</v>
      </c>
      <c r="P1668">
        <f t="shared" si="81"/>
        <v>8</v>
      </c>
      <c r="Q1668" s="11">
        <f>IF(P1668=0,0,IFERROR(Q1667+G1668*M1668*IF(E1668="FUTURE",VLOOKUP(MID(I1668,2,2),[1]Futures!$A$2:$B$12,2),1),G1668*M1668*IF(E1668="FUTURE",VLOOKUP(MID(I1668,2,2),[1]Futures!$A$2:$B$12,2),1)))</f>
        <v>124993.75</v>
      </c>
      <c r="R1668" s="12">
        <f>IFERROR(Q1668/P1668/IF(E1668="FUTURE",VLOOKUP(MID(I1668,2,2),[1]Futures!$A$2:$B$12,2),1),"")</f>
        <v>3124.84375</v>
      </c>
      <c r="S1668" s="13" t="str">
        <f>IF(AND(H1668="TO CLOSE",P1668=0),-G1668*(M1668-R1667)*IF(E1668="FUTURE",VLOOKUP(MID(I1668,2,2),[1]Futures!$A$2:$B$12,2),1),"")</f>
        <v/>
      </c>
    </row>
    <row r="1669" spans="1:19" x14ac:dyDescent="0.2">
      <c r="A1669">
        <f t="shared" si="80"/>
        <v>529</v>
      </c>
      <c r="B1669" s="3">
        <v>44001</v>
      </c>
      <c r="C1669" s="3" t="str">
        <f t="shared" si="79"/>
        <v>Friday</v>
      </c>
      <c r="D1669" s="2">
        <v>0.63564814814814818</v>
      </c>
      <c r="E1669" t="s">
        <v>14</v>
      </c>
      <c r="F1669" t="s">
        <v>15</v>
      </c>
      <c r="G1669">
        <v>-2</v>
      </c>
      <c r="H1669" t="s">
        <v>16</v>
      </c>
      <c r="I1669" t="s">
        <v>80</v>
      </c>
      <c r="J1669" s="1">
        <v>44094</v>
      </c>
      <c r="L1669" t="s">
        <v>14</v>
      </c>
      <c r="M1669">
        <v>3098.75</v>
      </c>
      <c r="N1669">
        <v>3098.75</v>
      </c>
      <c r="O1669" t="s">
        <v>21</v>
      </c>
      <c r="P1669">
        <f t="shared" si="81"/>
        <v>6</v>
      </c>
      <c r="Q1669" s="11">
        <f>IF(P1669=0,0,IFERROR(Q1668+G1669*M1669*IF(E1669="FUTURE",VLOOKUP(MID(I1669,2,2),[1]Futures!$A$2:$B$12,2),1),G1669*M1669*IF(E1669="FUTURE",VLOOKUP(MID(I1669,2,2),[1]Futures!$A$2:$B$12,2),1)))</f>
        <v>94006.25</v>
      </c>
      <c r="R1669" s="12">
        <f>IFERROR(Q1669/P1669/IF(E1669="FUTURE",VLOOKUP(MID(I1669,2,2),[1]Futures!$A$2:$B$12,2),1),"")</f>
        <v>3133.541666666667</v>
      </c>
      <c r="S1669" s="13" t="str">
        <f>IF(AND(H1669="TO CLOSE",P1669=0),-G1669*(M1669-R1668)*IF(E1669="FUTURE",VLOOKUP(MID(I1669,2,2),[1]Futures!$A$2:$B$12,2),1),"")</f>
        <v/>
      </c>
    </row>
    <row r="1670" spans="1:19" x14ac:dyDescent="0.2">
      <c r="A1670">
        <f t="shared" si="80"/>
        <v>529</v>
      </c>
      <c r="B1670" s="3">
        <v>44001</v>
      </c>
      <c r="C1670" s="3" t="str">
        <f t="shared" si="79"/>
        <v>Friday</v>
      </c>
      <c r="D1670" s="2">
        <v>0.63864583333333336</v>
      </c>
      <c r="E1670" t="s">
        <v>14</v>
      </c>
      <c r="F1670" t="s">
        <v>15</v>
      </c>
      <c r="G1670">
        <v>-2</v>
      </c>
      <c r="H1670" t="s">
        <v>16</v>
      </c>
      <c r="I1670" t="s">
        <v>80</v>
      </c>
      <c r="J1670" s="1">
        <v>44094</v>
      </c>
      <c r="L1670" t="s">
        <v>14</v>
      </c>
      <c r="M1670">
        <v>3102.5</v>
      </c>
      <c r="N1670">
        <v>3102.5</v>
      </c>
      <c r="O1670" t="s">
        <v>21</v>
      </c>
      <c r="P1670">
        <f t="shared" si="81"/>
        <v>4</v>
      </c>
      <c r="Q1670" s="11">
        <f>IF(P1670=0,0,IFERROR(Q1669+G1670*M1670*IF(E1670="FUTURE",VLOOKUP(MID(I1670,2,2),[1]Futures!$A$2:$B$12,2),1),G1670*M1670*IF(E1670="FUTURE",VLOOKUP(MID(I1670,2,2),[1]Futures!$A$2:$B$12,2),1)))</f>
        <v>62981.25</v>
      </c>
      <c r="R1670" s="12">
        <f>IFERROR(Q1670/P1670/IF(E1670="FUTURE",VLOOKUP(MID(I1670,2,2),[1]Futures!$A$2:$B$12,2),1),"")</f>
        <v>3149.0625</v>
      </c>
      <c r="S1670" s="13" t="str">
        <f>IF(AND(H1670="TO CLOSE",P1670=0),-G1670*(M1670-R1669)*IF(E1670="FUTURE",VLOOKUP(MID(I1670,2,2),[1]Futures!$A$2:$B$12,2),1),"")</f>
        <v/>
      </c>
    </row>
    <row r="1671" spans="1:19" x14ac:dyDescent="0.2">
      <c r="A1671">
        <f t="shared" si="80"/>
        <v>529</v>
      </c>
      <c r="B1671" s="3">
        <v>44001</v>
      </c>
      <c r="C1671" s="3" t="str">
        <f t="shared" si="79"/>
        <v>Friday</v>
      </c>
      <c r="D1671" s="2">
        <v>0.6413078703703704</v>
      </c>
      <c r="E1671" t="s">
        <v>14</v>
      </c>
      <c r="F1671" t="s">
        <v>15</v>
      </c>
      <c r="G1671">
        <v>-4</v>
      </c>
      <c r="H1671" t="s">
        <v>16</v>
      </c>
      <c r="I1671" t="s">
        <v>80</v>
      </c>
      <c r="J1671" s="1">
        <v>44094</v>
      </c>
      <c r="L1671" t="s">
        <v>14</v>
      </c>
      <c r="M1671">
        <v>3102.75</v>
      </c>
      <c r="N1671">
        <v>3102.75</v>
      </c>
      <c r="O1671" t="s">
        <v>24</v>
      </c>
      <c r="P1671">
        <f t="shared" si="81"/>
        <v>0</v>
      </c>
      <c r="Q1671" s="11">
        <f>IF(P1671=0,0,IFERROR(Q1670+G1671*M1671*IF(E1671="FUTURE",VLOOKUP(MID(I1671,2,2),[1]Futures!$A$2:$B$12,2),1),G1671*M1671*IF(E1671="FUTURE",VLOOKUP(MID(I1671,2,2),[1]Futures!$A$2:$B$12,2),1)))</f>
        <v>0</v>
      </c>
      <c r="R1671" s="12" t="str">
        <f>IFERROR(Q1671/P1671/IF(E1671="FUTURE",VLOOKUP(MID(I1671,2,2),[1]Futures!$A$2:$B$12,2),1),"")</f>
        <v/>
      </c>
      <c r="S1671" s="13">
        <f>IF(AND(H1671="TO CLOSE",P1671=0),-G1671*(M1671-R1670)*IF(E1671="FUTURE",VLOOKUP(MID(I1671,2,2),[1]Futures!$A$2:$B$12,2),1),"")</f>
        <v>-926.25</v>
      </c>
    </row>
    <row r="1672" spans="1:19" x14ac:dyDescent="0.2">
      <c r="A1672">
        <f t="shared" si="80"/>
        <v>530</v>
      </c>
      <c r="B1672" s="3">
        <v>44001</v>
      </c>
      <c r="C1672" s="3" t="str">
        <f t="shared" si="79"/>
        <v>Friday</v>
      </c>
      <c r="D1672" s="2">
        <v>0.42449074074074072</v>
      </c>
      <c r="E1672" t="s">
        <v>22</v>
      </c>
      <c r="F1672" t="s">
        <v>15</v>
      </c>
      <c r="G1672">
        <v>-59</v>
      </c>
      <c r="H1672" t="s">
        <v>20</v>
      </c>
      <c r="I1672" t="s">
        <v>23</v>
      </c>
      <c r="L1672" t="s">
        <v>22</v>
      </c>
      <c r="M1672">
        <v>35.4</v>
      </c>
      <c r="N1672">
        <v>35.4</v>
      </c>
      <c r="O1672" t="s">
        <v>24</v>
      </c>
      <c r="P1672">
        <f t="shared" si="81"/>
        <v>-59</v>
      </c>
      <c r="Q1672" s="11">
        <f>IF(P1672=0,0,IFERROR(Q1671+G1672*M1672*IF(E1672="FUTURE",VLOOKUP(MID(I1672,2,2),[1]Futures!$A$2:$B$12,2),1),G1672*M1672*IF(E1672="FUTURE",VLOOKUP(MID(I1672,2,2),[1]Futures!$A$2:$B$12,2),1)))</f>
        <v>-2088.6</v>
      </c>
      <c r="R1672" s="12">
        <f>IFERROR(Q1672/P1672/IF(E1672="FUTURE",VLOOKUP(MID(I1672,2,2),[1]Futures!$A$2:$B$12,2),1),"")</f>
        <v>35.4</v>
      </c>
      <c r="S1672" s="13" t="str">
        <f>IF(AND(H1672="TO CLOSE",P1672=0),-G1672*(M1672-R1671)*IF(E1672="FUTURE",VLOOKUP(MID(I1672,2,2),[1]Futures!$A$2:$B$12,2),1),"")</f>
        <v/>
      </c>
    </row>
    <row r="1673" spans="1:19" x14ac:dyDescent="0.2">
      <c r="A1673">
        <f t="shared" si="80"/>
        <v>530</v>
      </c>
      <c r="B1673" s="3">
        <v>44001</v>
      </c>
      <c r="C1673" s="3" t="str">
        <f t="shared" si="79"/>
        <v>Friday</v>
      </c>
      <c r="D1673" s="2">
        <v>0.42449074074074072</v>
      </c>
      <c r="E1673" t="s">
        <v>22</v>
      </c>
      <c r="F1673" t="s">
        <v>15</v>
      </c>
      <c r="G1673">
        <v>-41</v>
      </c>
      <c r="H1673" t="s">
        <v>20</v>
      </c>
      <c r="I1673" t="s">
        <v>23</v>
      </c>
      <c r="L1673" t="s">
        <v>22</v>
      </c>
      <c r="M1673">
        <v>35.4</v>
      </c>
      <c r="N1673">
        <v>35.4</v>
      </c>
      <c r="O1673" t="s">
        <v>24</v>
      </c>
      <c r="P1673">
        <f t="shared" si="81"/>
        <v>-100</v>
      </c>
      <c r="Q1673" s="11">
        <f>IF(P1673=0,0,IFERROR(Q1672+G1673*M1673*IF(E1673="FUTURE",VLOOKUP(MID(I1673,2,2),[1]Futures!$A$2:$B$12,2),1),G1673*M1673*IF(E1673="FUTURE",VLOOKUP(MID(I1673,2,2),[1]Futures!$A$2:$B$12,2),1)))</f>
        <v>-3540</v>
      </c>
      <c r="R1673" s="12">
        <f>IFERROR(Q1673/P1673/IF(E1673="FUTURE",VLOOKUP(MID(I1673,2,2),[1]Futures!$A$2:$B$12,2),1),"")</f>
        <v>35.4</v>
      </c>
      <c r="S1673" s="13" t="str">
        <f>IF(AND(H1673="TO CLOSE",P1673=0),-G1673*(M1673-R1672)*IF(E1673="FUTURE",VLOOKUP(MID(I1673,2,2),[1]Futures!$A$2:$B$12,2),1),"")</f>
        <v/>
      </c>
    </row>
    <row r="1674" spans="1:19" x14ac:dyDescent="0.2">
      <c r="A1674">
        <f t="shared" si="80"/>
        <v>530</v>
      </c>
      <c r="B1674" s="3">
        <v>44001</v>
      </c>
      <c r="C1674" s="3" t="str">
        <f t="shared" si="79"/>
        <v>Friday</v>
      </c>
      <c r="D1674" s="2">
        <v>0.42449074074074072</v>
      </c>
      <c r="E1674" t="s">
        <v>22</v>
      </c>
      <c r="F1674" t="s">
        <v>15</v>
      </c>
      <c r="G1674">
        <v>-100</v>
      </c>
      <c r="H1674" t="s">
        <v>20</v>
      </c>
      <c r="I1674" t="s">
        <v>23</v>
      </c>
      <c r="L1674" t="s">
        <v>22</v>
      </c>
      <c r="M1674">
        <v>35.4</v>
      </c>
      <c r="N1674">
        <v>35.4</v>
      </c>
      <c r="O1674" t="s">
        <v>24</v>
      </c>
      <c r="P1674">
        <f t="shared" si="81"/>
        <v>-200</v>
      </c>
      <c r="Q1674" s="11">
        <f>IF(P1674=0,0,IFERROR(Q1673+G1674*M1674*IF(E1674="FUTURE",VLOOKUP(MID(I1674,2,2),[1]Futures!$A$2:$B$12,2),1),G1674*M1674*IF(E1674="FUTURE",VLOOKUP(MID(I1674,2,2),[1]Futures!$A$2:$B$12,2),1)))</f>
        <v>-7080</v>
      </c>
      <c r="R1674" s="12">
        <f>IFERROR(Q1674/P1674/IF(E1674="FUTURE",VLOOKUP(MID(I1674,2,2),[1]Futures!$A$2:$B$12,2),1),"")</f>
        <v>35.4</v>
      </c>
      <c r="S1674" s="13" t="str">
        <f>IF(AND(H1674="TO CLOSE",P1674=0),-G1674*(M1674-R1673)*IF(E1674="FUTURE",VLOOKUP(MID(I1674,2,2),[1]Futures!$A$2:$B$12,2),1),"")</f>
        <v/>
      </c>
    </row>
    <row r="1675" spans="1:19" x14ac:dyDescent="0.2">
      <c r="A1675">
        <f t="shared" si="80"/>
        <v>530</v>
      </c>
      <c r="B1675" s="3">
        <v>44001</v>
      </c>
      <c r="C1675" s="3" t="str">
        <f t="shared" si="79"/>
        <v>Friday</v>
      </c>
      <c r="D1675" s="2">
        <v>0.43076388888888889</v>
      </c>
      <c r="E1675" t="s">
        <v>22</v>
      </c>
      <c r="F1675" t="s">
        <v>19</v>
      </c>
      <c r="G1675">
        <v>200</v>
      </c>
      <c r="H1675" t="s">
        <v>16</v>
      </c>
      <c r="I1675" t="s">
        <v>23</v>
      </c>
      <c r="L1675" t="s">
        <v>22</v>
      </c>
      <c r="M1675">
        <v>35.32</v>
      </c>
      <c r="N1675">
        <v>35.32</v>
      </c>
      <c r="O1675" t="s">
        <v>21</v>
      </c>
      <c r="P1675">
        <f t="shared" si="81"/>
        <v>0</v>
      </c>
      <c r="Q1675" s="11">
        <f>IF(P1675=0,0,IFERROR(Q1674+G1675*M1675*IF(E1675="FUTURE",VLOOKUP(MID(I1675,2,2),[1]Futures!$A$2:$B$12,2),1),G1675*M1675*IF(E1675="FUTURE",VLOOKUP(MID(I1675,2,2),[1]Futures!$A$2:$B$12,2),1)))</f>
        <v>0</v>
      </c>
      <c r="R1675" s="12" t="str">
        <f>IFERROR(Q1675/P1675/IF(E1675="FUTURE",VLOOKUP(MID(I1675,2,2),[1]Futures!$A$2:$B$12,2),1),"")</f>
        <v/>
      </c>
      <c r="S1675" s="13">
        <f>IF(AND(H1675="TO CLOSE",P1675=0),-G1675*(M1675-R1674)*IF(E1675="FUTURE",VLOOKUP(MID(I1675,2,2),[1]Futures!$A$2:$B$12,2),1),"")</f>
        <v>15.999999999999659</v>
      </c>
    </row>
    <row r="1676" spans="1:19" x14ac:dyDescent="0.2">
      <c r="A1676">
        <f t="shared" si="80"/>
        <v>531</v>
      </c>
      <c r="B1676" s="3">
        <v>44001</v>
      </c>
      <c r="C1676" s="3" t="str">
        <f t="shared" si="79"/>
        <v>Friday</v>
      </c>
      <c r="D1676" s="2">
        <v>0.44239583333333332</v>
      </c>
      <c r="E1676" t="s">
        <v>22</v>
      </c>
      <c r="F1676" t="s">
        <v>15</v>
      </c>
      <c r="G1676">
        <v>-200</v>
      </c>
      <c r="H1676" t="s">
        <v>20</v>
      </c>
      <c r="I1676" t="s">
        <v>23</v>
      </c>
      <c r="L1676" t="s">
        <v>22</v>
      </c>
      <c r="M1676">
        <v>35.549999999999997</v>
      </c>
      <c r="N1676">
        <v>35.549999999999997</v>
      </c>
      <c r="O1676" t="s">
        <v>21</v>
      </c>
      <c r="P1676">
        <f t="shared" si="81"/>
        <v>-200</v>
      </c>
      <c r="Q1676" s="11">
        <f>IF(P1676=0,0,IFERROR(Q1675+G1676*M1676*IF(E1676="FUTURE",VLOOKUP(MID(I1676,2,2),[1]Futures!$A$2:$B$12,2),1),G1676*M1676*IF(E1676="FUTURE",VLOOKUP(MID(I1676,2,2),[1]Futures!$A$2:$B$12,2),1)))</f>
        <v>-7109.9999999999991</v>
      </c>
      <c r="R1676" s="12">
        <f>IFERROR(Q1676/P1676/IF(E1676="FUTURE",VLOOKUP(MID(I1676,2,2),[1]Futures!$A$2:$B$12,2),1),"")</f>
        <v>35.549999999999997</v>
      </c>
      <c r="S1676" s="13" t="str">
        <f>IF(AND(H1676="TO CLOSE",P1676=0),-G1676*(M1676-R1675)*IF(E1676="FUTURE",VLOOKUP(MID(I1676,2,2),[1]Futures!$A$2:$B$12,2),1),"")</f>
        <v/>
      </c>
    </row>
    <row r="1677" spans="1:19" x14ac:dyDescent="0.2">
      <c r="A1677">
        <f t="shared" si="80"/>
        <v>531</v>
      </c>
      <c r="B1677" s="3">
        <v>44001</v>
      </c>
      <c r="C1677" s="3" t="str">
        <f t="shared" si="79"/>
        <v>Friday</v>
      </c>
      <c r="D1677" s="2">
        <v>0.44797453703703699</v>
      </c>
      <c r="E1677" t="s">
        <v>22</v>
      </c>
      <c r="F1677" t="s">
        <v>15</v>
      </c>
      <c r="G1677">
        <v>-100</v>
      </c>
      <c r="H1677" t="s">
        <v>20</v>
      </c>
      <c r="I1677" t="s">
        <v>23</v>
      </c>
      <c r="L1677" t="s">
        <v>22</v>
      </c>
      <c r="M1677">
        <v>35.76</v>
      </c>
      <c r="N1677">
        <v>35.76</v>
      </c>
      <c r="O1677" t="s">
        <v>21</v>
      </c>
      <c r="P1677">
        <f t="shared" si="81"/>
        <v>-300</v>
      </c>
      <c r="Q1677" s="11">
        <f>IF(P1677=0,0,IFERROR(Q1676+G1677*M1677*IF(E1677="FUTURE",VLOOKUP(MID(I1677,2,2),[1]Futures!$A$2:$B$12,2),1),G1677*M1677*IF(E1677="FUTURE",VLOOKUP(MID(I1677,2,2),[1]Futures!$A$2:$B$12,2),1)))</f>
        <v>-10686</v>
      </c>
      <c r="R1677" s="12">
        <f>IFERROR(Q1677/P1677/IF(E1677="FUTURE",VLOOKUP(MID(I1677,2,2),[1]Futures!$A$2:$B$12,2),1),"")</f>
        <v>35.619999999999997</v>
      </c>
      <c r="S1677" s="13" t="str">
        <f>IF(AND(H1677="TO CLOSE",P1677=0),-G1677*(M1677-R1676)*IF(E1677="FUTURE",VLOOKUP(MID(I1677,2,2),[1]Futures!$A$2:$B$12,2),1),"")</f>
        <v/>
      </c>
    </row>
    <row r="1678" spans="1:19" x14ac:dyDescent="0.2">
      <c r="A1678">
        <f t="shared" si="80"/>
        <v>531</v>
      </c>
      <c r="B1678" s="3">
        <v>44001</v>
      </c>
      <c r="C1678" s="3" t="str">
        <f t="shared" si="79"/>
        <v>Friday</v>
      </c>
      <c r="D1678" s="2">
        <v>0.46483796296296293</v>
      </c>
      <c r="E1678" t="s">
        <v>22</v>
      </c>
      <c r="F1678" t="s">
        <v>19</v>
      </c>
      <c r="G1678">
        <v>100</v>
      </c>
      <c r="H1678" t="s">
        <v>16</v>
      </c>
      <c r="I1678" t="s">
        <v>23</v>
      </c>
      <c r="L1678" t="s">
        <v>22</v>
      </c>
      <c r="M1678">
        <v>35.564999999999998</v>
      </c>
      <c r="N1678">
        <v>35.564999999999998</v>
      </c>
      <c r="O1678" t="s">
        <v>24</v>
      </c>
      <c r="P1678">
        <f t="shared" si="81"/>
        <v>-200</v>
      </c>
      <c r="Q1678" s="11">
        <f>IF(P1678=0,0,IFERROR(Q1677+G1678*M1678*IF(E1678="FUTURE",VLOOKUP(MID(I1678,2,2),[1]Futures!$A$2:$B$12,2),1),G1678*M1678*IF(E1678="FUTURE",VLOOKUP(MID(I1678,2,2),[1]Futures!$A$2:$B$12,2),1)))</f>
        <v>-7129.5</v>
      </c>
      <c r="R1678" s="12">
        <f>IFERROR(Q1678/P1678/IF(E1678="FUTURE",VLOOKUP(MID(I1678,2,2),[1]Futures!$A$2:$B$12,2),1),"")</f>
        <v>35.647500000000001</v>
      </c>
      <c r="S1678" s="13" t="str">
        <f>IF(AND(H1678="TO CLOSE",P1678=0),-G1678*(M1678-R1677)*IF(E1678="FUTURE",VLOOKUP(MID(I1678,2,2),[1]Futures!$A$2:$B$12,2),1),"")</f>
        <v/>
      </c>
    </row>
    <row r="1679" spans="1:19" x14ac:dyDescent="0.2">
      <c r="A1679">
        <f t="shared" si="80"/>
        <v>531</v>
      </c>
      <c r="B1679" s="3">
        <v>44001</v>
      </c>
      <c r="C1679" s="3" t="str">
        <f t="shared" si="79"/>
        <v>Friday</v>
      </c>
      <c r="D1679" s="2">
        <v>0.46758101851851852</v>
      </c>
      <c r="E1679" t="s">
        <v>22</v>
      </c>
      <c r="F1679" t="s">
        <v>19</v>
      </c>
      <c r="G1679">
        <v>200</v>
      </c>
      <c r="H1679" t="s">
        <v>16</v>
      </c>
      <c r="I1679" t="s">
        <v>23</v>
      </c>
      <c r="L1679" t="s">
        <v>22</v>
      </c>
      <c r="M1679">
        <v>35.465000000000003</v>
      </c>
      <c r="N1679">
        <v>35.465000000000003</v>
      </c>
      <c r="O1679" t="s">
        <v>24</v>
      </c>
      <c r="P1679">
        <f t="shared" si="81"/>
        <v>0</v>
      </c>
      <c r="Q1679" s="11">
        <f>IF(P1679=0,0,IFERROR(Q1678+G1679*M1679*IF(E1679="FUTURE",VLOOKUP(MID(I1679,2,2),[1]Futures!$A$2:$B$12,2),1),G1679*M1679*IF(E1679="FUTURE",VLOOKUP(MID(I1679,2,2),[1]Futures!$A$2:$B$12,2),1)))</f>
        <v>0</v>
      </c>
      <c r="R1679" s="12" t="str">
        <f>IFERROR(Q1679/P1679/IF(E1679="FUTURE",VLOOKUP(MID(I1679,2,2),[1]Futures!$A$2:$B$12,2),1),"")</f>
        <v/>
      </c>
      <c r="S1679" s="13">
        <f>IF(AND(H1679="TO CLOSE",P1679=0),-G1679*(M1679-R1678)*IF(E1679="FUTURE",VLOOKUP(MID(I1679,2,2),[1]Futures!$A$2:$B$12,2),1),"")</f>
        <v>36.499999999999488</v>
      </c>
    </row>
    <row r="1680" spans="1:19" x14ac:dyDescent="0.2">
      <c r="A1680">
        <f t="shared" si="80"/>
        <v>532</v>
      </c>
      <c r="B1680" s="3">
        <v>44001</v>
      </c>
      <c r="C1680" s="3" t="str">
        <f t="shared" si="79"/>
        <v>Friday</v>
      </c>
      <c r="D1680" s="2">
        <v>0.49541666666666667</v>
      </c>
      <c r="E1680" t="s">
        <v>22</v>
      </c>
      <c r="F1680" t="s">
        <v>15</v>
      </c>
      <c r="G1680">
        <v>-200</v>
      </c>
      <c r="H1680" t="s">
        <v>20</v>
      </c>
      <c r="I1680" t="s">
        <v>23</v>
      </c>
      <c r="L1680" t="s">
        <v>22</v>
      </c>
      <c r="M1680">
        <v>35.784999999999997</v>
      </c>
      <c r="N1680">
        <v>35.784999999999997</v>
      </c>
      <c r="O1680" t="s">
        <v>24</v>
      </c>
      <c r="P1680">
        <f t="shared" si="81"/>
        <v>-200</v>
      </c>
      <c r="Q1680" s="11">
        <f>IF(P1680=0,0,IFERROR(Q1679+G1680*M1680*IF(E1680="FUTURE",VLOOKUP(MID(I1680,2,2),[1]Futures!$A$2:$B$12,2),1),G1680*M1680*IF(E1680="FUTURE",VLOOKUP(MID(I1680,2,2),[1]Futures!$A$2:$B$12,2),1)))</f>
        <v>-7156.9999999999991</v>
      </c>
      <c r="R1680" s="12">
        <f>IFERROR(Q1680/P1680/IF(E1680="FUTURE",VLOOKUP(MID(I1680,2,2),[1]Futures!$A$2:$B$12,2),1),"")</f>
        <v>35.784999999999997</v>
      </c>
      <c r="S1680" s="13" t="str">
        <f>IF(AND(H1680="TO CLOSE",P1680=0),-G1680*(M1680-R1679)*IF(E1680="FUTURE",VLOOKUP(MID(I1680,2,2),[1]Futures!$A$2:$B$12,2),1),"")</f>
        <v/>
      </c>
    </row>
    <row r="1681" spans="1:19" x14ac:dyDescent="0.2">
      <c r="A1681">
        <f t="shared" si="80"/>
        <v>532</v>
      </c>
      <c r="B1681" s="3">
        <v>44001</v>
      </c>
      <c r="C1681" s="3" t="str">
        <f t="shared" si="79"/>
        <v>Friday</v>
      </c>
      <c r="D1681" s="2">
        <v>0.5009837962962963</v>
      </c>
      <c r="E1681" t="s">
        <v>22</v>
      </c>
      <c r="F1681" t="s">
        <v>15</v>
      </c>
      <c r="G1681">
        <v>-100</v>
      </c>
      <c r="H1681" t="s">
        <v>20</v>
      </c>
      <c r="I1681" t="s">
        <v>23</v>
      </c>
      <c r="L1681" t="s">
        <v>22</v>
      </c>
      <c r="M1681">
        <v>35.99</v>
      </c>
      <c r="N1681">
        <v>35.99</v>
      </c>
      <c r="O1681" t="s">
        <v>21</v>
      </c>
      <c r="P1681">
        <f t="shared" si="81"/>
        <v>-300</v>
      </c>
      <c r="Q1681" s="11">
        <f>IF(P1681=0,0,IFERROR(Q1680+G1681*M1681*IF(E1681="FUTURE",VLOOKUP(MID(I1681,2,2),[1]Futures!$A$2:$B$12,2),1),G1681*M1681*IF(E1681="FUTURE",VLOOKUP(MID(I1681,2,2),[1]Futures!$A$2:$B$12,2),1)))</f>
        <v>-10756</v>
      </c>
      <c r="R1681" s="12">
        <f>IFERROR(Q1681/P1681/IF(E1681="FUTURE",VLOOKUP(MID(I1681,2,2),[1]Futures!$A$2:$B$12,2),1),"")</f>
        <v>35.853333333333332</v>
      </c>
      <c r="S1681" s="13" t="str">
        <f>IF(AND(H1681="TO CLOSE",P1681=0),-G1681*(M1681-R1680)*IF(E1681="FUTURE",VLOOKUP(MID(I1681,2,2),[1]Futures!$A$2:$B$12,2),1),"")</f>
        <v/>
      </c>
    </row>
    <row r="1682" spans="1:19" x14ac:dyDescent="0.2">
      <c r="A1682">
        <f t="shared" si="80"/>
        <v>532</v>
      </c>
      <c r="B1682" s="3">
        <v>44001</v>
      </c>
      <c r="C1682" s="3" t="str">
        <f t="shared" si="79"/>
        <v>Friday</v>
      </c>
      <c r="D1682" s="2">
        <v>0.50951388888888893</v>
      </c>
      <c r="E1682" t="s">
        <v>22</v>
      </c>
      <c r="F1682" t="s">
        <v>15</v>
      </c>
      <c r="G1682">
        <v>-82</v>
      </c>
      <c r="H1682" t="s">
        <v>20</v>
      </c>
      <c r="I1682" t="s">
        <v>23</v>
      </c>
      <c r="L1682" t="s">
        <v>22</v>
      </c>
      <c r="M1682">
        <v>36.33</v>
      </c>
      <c r="N1682">
        <v>36.33</v>
      </c>
      <c r="O1682" t="s">
        <v>21</v>
      </c>
      <c r="P1682">
        <f t="shared" si="81"/>
        <v>-382</v>
      </c>
      <c r="Q1682" s="11">
        <f>IF(P1682=0,0,IFERROR(Q1681+G1682*M1682*IF(E1682="FUTURE",VLOOKUP(MID(I1682,2,2),[1]Futures!$A$2:$B$12,2),1),G1682*M1682*IF(E1682="FUTURE",VLOOKUP(MID(I1682,2,2),[1]Futures!$A$2:$B$12,2),1)))</f>
        <v>-13735.06</v>
      </c>
      <c r="R1682" s="12">
        <f>IFERROR(Q1682/P1682/IF(E1682="FUTURE",VLOOKUP(MID(I1682,2,2),[1]Futures!$A$2:$B$12,2),1),"")</f>
        <v>35.955654450261775</v>
      </c>
      <c r="S1682" s="13" t="str">
        <f>IF(AND(H1682="TO CLOSE",P1682=0),-G1682*(M1682-R1681)*IF(E1682="FUTURE",VLOOKUP(MID(I1682,2,2),[1]Futures!$A$2:$B$12,2),1),"")</f>
        <v/>
      </c>
    </row>
    <row r="1683" spans="1:19" x14ac:dyDescent="0.2">
      <c r="A1683">
        <f t="shared" si="80"/>
        <v>532</v>
      </c>
      <c r="B1683" s="3">
        <v>44001</v>
      </c>
      <c r="C1683" s="3" t="str">
        <f t="shared" si="79"/>
        <v>Friday</v>
      </c>
      <c r="D1683" s="2">
        <v>0.50952546296296297</v>
      </c>
      <c r="E1683" t="s">
        <v>22</v>
      </c>
      <c r="F1683" t="s">
        <v>15</v>
      </c>
      <c r="G1683">
        <v>-18</v>
      </c>
      <c r="H1683" t="s">
        <v>20</v>
      </c>
      <c r="I1683" t="s">
        <v>23</v>
      </c>
      <c r="L1683" t="s">
        <v>22</v>
      </c>
      <c r="M1683">
        <v>36.33</v>
      </c>
      <c r="N1683">
        <v>36.33</v>
      </c>
      <c r="O1683" t="s">
        <v>21</v>
      </c>
      <c r="P1683">
        <f t="shared" si="81"/>
        <v>-400</v>
      </c>
      <c r="Q1683" s="11">
        <f>IF(P1683=0,0,IFERROR(Q1682+G1683*M1683*IF(E1683="FUTURE",VLOOKUP(MID(I1683,2,2),[1]Futures!$A$2:$B$12,2),1),G1683*M1683*IF(E1683="FUTURE",VLOOKUP(MID(I1683,2,2),[1]Futures!$A$2:$B$12,2),1)))</f>
        <v>-14389</v>
      </c>
      <c r="R1683" s="12">
        <f>IFERROR(Q1683/P1683/IF(E1683="FUTURE",VLOOKUP(MID(I1683,2,2),[1]Futures!$A$2:$B$12,2),1),"")</f>
        <v>35.972499999999997</v>
      </c>
      <c r="S1683" s="13" t="str">
        <f>IF(AND(H1683="TO CLOSE",P1683=0),-G1683*(M1683-R1682)*IF(E1683="FUTURE",VLOOKUP(MID(I1683,2,2),[1]Futures!$A$2:$B$12,2),1),"")</f>
        <v/>
      </c>
    </row>
    <row r="1684" spans="1:19" x14ac:dyDescent="0.2">
      <c r="A1684">
        <f t="shared" si="80"/>
        <v>532</v>
      </c>
      <c r="B1684" s="3">
        <v>44001</v>
      </c>
      <c r="C1684" s="3" t="str">
        <f t="shared" si="79"/>
        <v>Friday</v>
      </c>
      <c r="D1684" s="2">
        <v>0.55508101851851854</v>
      </c>
      <c r="E1684" t="s">
        <v>22</v>
      </c>
      <c r="F1684" t="s">
        <v>15</v>
      </c>
      <c r="G1684">
        <v>-100</v>
      </c>
      <c r="H1684" t="s">
        <v>20</v>
      </c>
      <c r="I1684" t="s">
        <v>23</v>
      </c>
      <c r="L1684" t="s">
        <v>22</v>
      </c>
      <c r="M1684">
        <v>37.25</v>
      </c>
      <c r="N1684">
        <v>37.25</v>
      </c>
      <c r="O1684" t="s">
        <v>21</v>
      </c>
      <c r="P1684">
        <f t="shared" si="81"/>
        <v>-500</v>
      </c>
      <c r="Q1684" s="11">
        <f>IF(P1684=0,0,IFERROR(Q1683+G1684*M1684*IF(E1684="FUTURE",VLOOKUP(MID(I1684,2,2),[1]Futures!$A$2:$B$12,2),1),G1684*M1684*IF(E1684="FUTURE",VLOOKUP(MID(I1684,2,2),[1]Futures!$A$2:$B$12,2),1)))</f>
        <v>-18114</v>
      </c>
      <c r="R1684" s="12">
        <f>IFERROR(Q1684/P1684/IF(E1684="FUTURE",VLOOKUP(MID(I1684,2,2),[1]Futures!$A$2:$B$12,2),1),"")</f>
        <v>36.228000000000002</v>
      </c>
      <c r="S1684" s="13" t="str">
        <f>IF(AND(H1684="TO CLOSE",P1684=0),-G1684*(M1684-R1683)*IF(E1684="FUTURE",VLOOKUP(MID(I1684,2,2),[1]Futures!$A$2:$B$12,2),1),"")</f>
        <v/>
      </c>
    </row>
    <row r="1685" spans="1:19" x14ac:dyDescent="0.2">
      <c r="A1685">
        <f t="shared" si="80"/>
        <v>532</v>
      </c>
      <c r="B1685" s="3">
        <v>44001</v>
      </c>
      <c r="C1685" s="3" t="str">
        <f t="shared" si="79"/>
        <v>Friday</v>
      </c>
      <c r="D1685" s="2">
        <v>0.63628472222222221</v>
      </c>
      <c r="E1685" t="s">
        <v>22</v>
      </c>
      <c r="F1685" t="s">
        <v>19</v>
      </c>
      <c r="G1685">
        <v>200</v>
      </c>
      <c r="H1685" t="s">
        <v>16</v>
      </c>
      <c r="I1685" t="s">
        <v>23</v>
      </c>
      <c r="L1685" t="s">
        <v>22</v>
      </c>
      <c r="M1685">
        <v>36.814999999999998</v>
      </c>
      <c r="N1685">
        <v>36.814999999999998</v>
      </c>
      <c r="O1685" t="s">
        <v>21</v>
      </c>
      <c r="P1685">
        <f t="shared" si="81"/>
        <v>-300</v>
      </c>
      <c r="Q1685" s="11">
        <f>IF(P1685=0,0,IFERROR(Q1684+G1685*M1685*IF(E1685="FUTURE",VLOOKUP(MID(I1685,2,2),[1]Futures!$A$2:$B$12,2),1),G1685*M1685*IF(E1685="FUTURE",VLOOKUP(MID(I1685,2,2),[1]Futures!$A$2:$B$12,2),1)))</f>
        <v>-10751</v>
      </c>
      <c r="R1685" s="12">
        <f>IFERROR(Q1685/P1685/IF(E1685="FUTURE",VLOOKUP(MID(I1685,2,2),[1]Futures!$A$2:$B$12,2),1),"")</f>
        <v>35.836666666666666</v>
      </c>
      <c r="S1685" s="13" t="str">
        <f>IF(AND(H1685="TO CLOSE",P1685=0),-G1685*(M1685-R1684)*IF(E1685="FUTURE",VLOOKUP(MID(I1685,2,2),[1]Futures!$A$2:$B$12,2),1),"")</f>
        <v/>
      </c>
    </row>
    <row r="1686" spans="1:19" x14ac:dyDescent="0.2">
      <c r="A1686">
        <f t="shared" si="80"/>
        <v>532</v>
      </c>
      <c r="B1686" s="3">
        <v>44001</v>
      </c>
      <c r="C1686" s="3" t="str">
        <f t="shared" si="79"/>
        <v>Friday</v>
      </c>
      <c r="D1686" s="2">
        <v>0.64085648148148155</v>
      </c>
      <c r="E1686" t="s">
        <v>22</v>
      </c>
      <c r="F1686" t="s">
        <v>19</v>
      </c>
      <c r="G1686">
        <v>100</v>
      </c>
      <c r="H1686" t="s">
        <v>16</v>
      </c>
      <c r="I1686" t="s">
        <v>23</v>
      </c>
      <c r="L1686" t="s">
        <v>22</v>
      </c>
      <c r="M1686">
        <v>36.6999</v>
      </c>
      <c r="N1686">
        <v>36.6999</v>
      </c>
      <c r="O1686" t="s">
        <v>24</v>
      </c>
      <c r="P1686">
        <f t="shared" si="81"/>
        <v>-200</v>
      </c>
      <c r="Q1686" s="11">
        <f>IF(P1686=0,0,IFERROR(Q1685+G1686*M1686*IF(E1686="FUTURE",VLOOKUP(MID(I1686,2,2),[1]Futures!$A$2:$B$12,2),1),G1686*M1686*IF(E1686="FUTURE",VLOOKUP(MID(I1686,2,2),[1]Futures!$A$2:$B$12,2),1)))</f>
        <v>-7081.01</v>
      </c>
      <c r="R1686" s="12">
        <f>IFERROR(Q1686/P1686/IF(E1686="FUTURE",VLOOKUP(MID(I1686,2,2),[1]Futures!$A$2:$B$12,2),1),"")</f>
        <v>35.405050000000003</v>
      </c>
      <c r="S1686" s="13" t="str">
        <f>IF(AND(H1686="TO CLOSE",P1686=0),-G1686*(M1686-R1685)*IF(E1686="FUTURE",VLOOKUP(MID(I1686,2,2),[1]Futures!$A$2:$B$12,2),1),"")</f>
        <v/>
      </c>
    </row>
    <row r="1687" spans="1:19" x14ac:dyDescent="0.2">
      <c r="A1687">
        <f t="shared" si="80"/>
        <v>532</v>
      </c>
      <c r="B1687" s="3">
        <v>44001</v>
      </c>
      <c r="C1687" s="3" t="str">
        <f t="shared" si="79"/>
        <v>Friday</v>
      </c>
      <c r="D1687" s="2">
        <v>0.64240740740740743</v>
      </c>
      <c r="E1687" t="s">
        <v>22</v>
      </c>
      <c r="F1687" t="s">
        <v>19</v>
      </c>
      <c r="G1687">
        <v>200</v>
      </c>
      <c r="H1687" t="s">
        <v>16</v>
      </c>
      <c r="I1687" t="s">
        <v>23</v>
      </c>
      <c r="L1687" t="s">
        <v>22</v>
      </c>
      <c r="M1687">
        <v>36.755000000000003</v>
      </c>
      <c r="N1687">
        <v>36.755000000000003</v>
      </c>
      <c r="O1687" t="s">
        <v>24</v>
      </c>
      <c r="P1687">
        <f t="shared" si="81"/>
        <v>0</v>
      </c>
      <c r="Q1687" s="11">
        <f>IF(P1687=0,0,IFERROR(Q1686+G1687*M1687*IF(E1687="FUTURE",VLOOKUP(MID(I1687,2,2),[1]Futures!$A$2:$B$12,2),1),G1687*M1687*IF(E1687="FUTURE",VLOOKUP(MID(I1687,2,2),[1]Futures!$A$2:$B$12,2),1)))</f>
        <v>0</v>
      </c>
      <c r="R1687" s="12" t="str">
        <f>IFERROR(Q1687/P1687/IF(E1687="FUTURE",VLOOKUP(MID(I1687,2,2),[1]Futures!$A$2:$B$12,2),1),"")</f>
        <v/>
      </c>
      <c r="S1687" s="13">
        <f>IF(AND(H1687="TO CLOSE",P1687=0),-G1687*(M1687-R1686)*IF(E1687="FUTURE",VLOOKUP(MID(I1687,2,2),[1]Futures!$A$2:$B$12,2),1),"")</f>
        <v>-269.98999999999995</v>
      </c>
    </row>
    <row r="1688" spans="1:19" x14ac:dyDescent="0.2">
      <c r="A1688">
        <f t="shared" si="80"/>
        <v>533</v>
      </c>
      <c r="B1688" s="3">
        <v>44004</v>
      </c>
      <c r="C1688" s="3" t="str">
        <f t="shared" si="79"/>
        <v>Monday</v>
      </c>
      <c r="D1688" s="2">
        <v>0.43480324074074073</v>
      </c>
      <c r="E1688" t="s">
        <v>14</v>
      </c>
      <c r="F1688" t="s">
        <v>15</v>
      </c>
      <c r="G1688">
        <v>-1</v>
      </c>
      <c r="H1688" t="s">
        <v>20</v>
      </c>
      <c r="I1688" t="s">
        <v>77</v>
      </c>
      <c r="J1688" s="1">
        <v>44063</v>
      </c>
      <c r="L1688" t="s">
        <v>14</v>
      </c>
      <c r="M1688">
        <v>40.04</v>
      </c>
      <c r="N1688">
        <v>40.04</v>
      </c>
      <c r="O1688" t="s">
        <v>21</v>
      </c>
      <c r="P1688">
        <f t="shared" si="81"/>
        <v>-1</v>
      </c>
      <c r="Q1688" s="11">
        <f>IF(P1688=0,0,IFERROR(Q1687+G1688*M1688*IF(E1688="FUTURE",VLOOKUP(MID(I1688,2,2),[1]Futures!$A$2:$B$12,2),1),G1688*M1688*IF(E1688="FUTURE",VLOOKUP(MID(I1688,2,2),[1]Futures!$A$2:$B$12,2),1)))</f>
        <v>-40040</v>
      </c>
      <c r="R1688" s="12">
        <f>IFERROR(Q1688/P1688/IF(E1688="FUTURE",VLOOKUP(MID(I1688,2,2),[1]Futures!$A$2:$B$12,2),1),"")</f>
        <v>40.04</v>
      </c>
      <c r="S1688" s="13" t="str">
        <f>IF(AND(H1688="TO CLOSE",P1688=0),-G1688*(M1688-R1687)*IF(E1688="FUTURE",VLOOKUP(MID(I1688,2,2),[1]Futures!$A$2:$B$12,2),1),"")</f>
        <v/>
      </c>
    </row>
    <row r="1689" spans="1:19" x14ac:dyDescent="0.2">
      <c r="A1689">
        <f t="shared" si="80"/>
        <v>533</v>
      </c>
      <c r="B1689" s="3">
        <v>44004</v>
      </c>
      <c r="C1689" s="3" t="str">
        <f t="shared" si="79"/>
        <v>Monday</v>
      </c>
      <c r="D1689" s="2">
        <v>0.43883101851851852</v>
      </c>
      <c r="E1689" t="s">
        <v>14</v>
      </c>
      <c r="F1689" t="s">
        <v>19</v>
      </c>
      <c r="G1689">
        <v>1</v>
      </c>
      <c r="H1689" t="s">
        <v>16</v>
      </c>
      <c r="I1689" t="s">
        <v>77</v>
      </c>
      <c r="J1689" s="1">
        <v>44063</v>
      </c>
      <c r="L1689" t="s">
        <v>14</v>
      </c>
      <c r="M1689">
        <v>39.92</v>
      </c>
      <c r="N1689">
        <v>39.92</v>
      </c>
      <c r="O1689" t="s">
        <v>21</v>
      </c>
      <c r="P1689">
        <f t="shared" si="81"/>
        <v>0</v>
      </c>
      <c r="Q1689" s="11">
        <f>IF(P1689=0,0,IFERROR(Q1688+G1689*M1689*IF(E1689="FUTURE",VLOOKUP(MID(I1689,2,2),[1]Futures!$A$2:$B$12,2),1),G1689*M1689*IF(E1689="FUTURE",VLOOKUP(MID(I1689,2,2),[1]Futures!$A$2:$B$12,2),1)))</f>
        <v>0</v>
      </c>
      <c r="R1689" s="12" t="str">
        <f>IFERROR(Q1689/P1689/IF(E1689="FUTURE",VLOOKUP(MID(I1689,2,2),[1]Futures!$A$2:$B$12,2),1),"")</f>
        <v/>
      </c>
      <c r="S1689" s="13">
        <f>IF(AND(H1689="TO CLOSE",P1689=0),-G1689*(M1689-R1688)*IF(E1689="FUTURE",VLOOKUP(MID(I1689,2,2),[1]Futures!$A$2:$B$12,2),1),"")</f>
        <v>119.99999999999744</v>
      </c>
    </row>
    <row r="1690" spans="1:19" x14ac:dyDescent="0.2">
      <c r="A1690">
        <f t="shared" si="80"/>
        <v>534</v>
      </c>
      <c r="B1690" s="3">
        <v>44004</v>
      </c>
      <c r="C1690" s="3" t="str">
        <f t="shared" si="79"/>
        <v>Monday</v>
      </c>
      <c r="D1690" s="2">
        <v>0.41042824074074075</v>
      </c>
      <c r="E1690" t="s">
        <v>14</v>
      </c>
      <c r="F1690" t="s">
        <v>19</v>
      </c>
      <c r="G1690">
        <v>1</v>
      </c>
      <c r="H1690" t="s">
        <v>20</v>
      </c>
      <c r="I1690" t="s">
        <v>79</v>
      </c>
      <c r="J1690" s="1">
        <v>44094</v>
      </c>
      <c r="L1690" t="s">
        <v>14</v>
      </c>
      <c r="M1690">
        <v>3076.5</v>
      </c>
      <c r="N1690">
        <v>3076.5</v>
      </c>
      <c r="O1690" t="s">
        <v>24</v>
      </c>
      <c r="P1690">
        <f t="shared" si="81"/>
        <v>1</v>
      </c>
      <c r="Q1690" s="11">
        <f>IF(P1690=0,0,IFERROR(Q1689+G1690*M1690*IF(E1690="FUTURE",VLOOKUP(MID(I1690,2,2),[1]Futures!$A$2:$B$12,2),1),G1690*M1690*IF(E1690="FUTURE",VLOOKUP(MID(I1690,2,2),[1]Futures!$A$2:$B$12,2),1)))</f>
        <v>153825</v>
      </c>
      <c r="R1690" s="12">
        <f>IFERROR(Q1690/P1690/IF(E1690="FUTURE",VLOOKUP(MID(I1690,2,2),[1]Futures!$A$2:$B$12,2),1),"")</f>
        <v>3076.5</v>
      </c>
      <c r="S1690" s="13" t="str">
        <f>IF(AND(H1690="TO CLOSE",P1690=0),-G1690*(M1690-R1689)*IF(E1690="FUTURE",VLOOKUP(MID(I1690,2,2),[1]Futures!$A$2:$B$12,2),1),"")</f>
        <v/>
      </c>
    </row>
    <row r="1691" spans="1:19" x14ac:dyDescent="0.2">
      <c r="A1691">
        <f t="shared" si="80"/>
        <v>534</v>
      </c>
      <c r="B1691" s="3">
        <v>44004</v>
      </c>
      <c r="C1691" s="3" t="str">
        <f t="shared" si="79"/>
        <v>Monday</v>
      </c>
      <c r="D1691" s="2">
        <v>0.41401620370370368</v>
      </c>
      <c r="E1691" t="s">
        <v>14</v>
      </c>
      <c r="F1691" t="s">
        <v>15</v>
      </c>
      <c r="G1691">
        <v>-1</v>
      </c>
      <c r="H1691" t="s">
        <v>16</v>
      </c>
      <c r="I1691" t="s">
        <v>79</v>
      </c>
      <c r="J1691" s="1">
        <v>44094</v>
      </c>
      <c r="L1691" t="s">
        <v>14</v>
      </c>
      <c r="M1691">
        <v>3082.25</v>
      </c>
      <c r="N1691">
        <v>3082.25</v>
      </c>
      <c r="O1691" t="s">
        <v>21</v>
      </c>
      <c r="P1691">
        <f t="shared" si="81"/>
        <v>0</v>
      </c>
      <c r="Q1691" s="11">
        <f>IF(P1691=0,0,IFERROR(Q1690+G1691*M1691*IF(E1691="FUTURE",VLOOKUP(MID(I1691,2,2),[1]Futures!$A$2:$B$12,2),1),G1691*M1691*IF(E1691="FUTURE",VLOOKUP(MID(I1691,2,2),[1]Futures!$A$2:$B$12,2),1)))</f>
        <v>0</v>
      </c>
      <c r="R1691" s="12" t="str">
        <f>IFERROR(Q1691/P1691/IF(E1691="FUTURE",VLOOKUP(MID(I1691,2,2),[1]Futures!$A$2:$B$12,2),1),"")</f>
        <v/>
      </c>
      <c r="S1691" s="13">
        <f>IF(AND(H1691="TO CLOSE",P1691=0),-G1691*(M1691-R1690)*IF(E1691="FUTURE",VLOOKUP(MID(I1691,2,2),[1]Futures!$A$2:$B$12,2),1),"")</f>
        <v>287.5</v>
      </c>
    </row>
    <row r="1692" spans="1:19" x14ac:dyDescent="0.2">
      <c r="A1692">
        <f t="shared" si="80"/>
        <v>535</v>
      </c>
      <c r="B1692" s="3">
        <v>44004</v>
      </c>
      <c r="C1692" s="3" t="str">
        <f t="shared" si="79"/>
        <v>Monday</v>
      </c>
      <c r="D1692" s="2">
        <v>0.45459490740740738</v>
      </c>
      <c r="E1692" t="s">
        <v>14</v>
      </c>
      <c r="F1692" t="s">
        <v>19</v>
      </c>
      <c r="G1692">
        <v>1</v>
      </c>
      <c r="H1692" t="s">
        <v>20</v>
      </c>
      <c r="I1692" t="s">
        <v>79</v>
      </c>
      <c r="J1692" s="1">
        <v>44094</v>
      </c>
      <c r="L1692" t="s">
        <v>14</v>
      </c>
      <c r="M1692">
        <v>3085</v>
      </c>
      <c r="N1692">
        <v>3085</v>
      </c>
      <c r="O1692" t="s">
        <v>24</v>
      </c>
      <c r="P1692">
        <f t="shared" si="81"/>
        <v>1</v>
      </c>
      <c r="Q1692" s="11">
        <f>IF(P1692=0,0,IFERROR(Q1691+G1692*M1692*IF(E1692="FUTURE",VLOOKUP(MID(I1692,2,2),[1]Futures!$A$2:$B$12,2),1),G1692*M1692*IF(E1692="FUTURE",VLOOKUP(MID(I1692,2,2),[1]Futures!$A$2:$B$12,2),1)))</f>
        <v>154250</v>
      </c>
      <c r="R1692" s="12">
        <f>IFERROR(Q1692/P1692/IF(E1692="FUTURE",VLOOKUP(MID(I1692,2,2),[1]Futures!$A$2:$B$12,2),1),"")</f>
        <v>3085</v>
      </c>
      <c r="S1692" s="13" t="str">
        <f>IF(AND(H1692="TO CLOSE",P1692=0),-G1692*(M1692-R1691)*IF(E1692="FUTURE",VLOOKUP(MID(I1692,2,2),[1]Futures!$A$2:$B$12,2),1),"")</f>
        <v/>
      </c>
    </row>
    <row r="1693" spans="1:19" x14ac:dyDescent="0.2">
      <c r="A1693">
        <f t="shared" si="80"/>
        <v>535</v>
      </c>
      <c r="B1693" s="3">
        <v>44004</v>
      </c>
      <c r="C1693" s="3" t="str">
        <f t="shared" si="79"/>
        <v>Monday</v>
      </c>
      <c r="D1693" s="2">
        <v>0.46833333333333332</v>
      </c>
      <c r="E1693" t="s">
        <v>14</v>
      </c>
      <c r="F1693" t="s">
        <v>15</v>
      </c>
      <c r="G1693">
        <v>-1</v>
      </c>
      <c r="H1693" t="s">
        <v>16</v>
      </c>
      <c r="I1693" t="s">
        <v>79</v>
      </c>
      <c r="J1693" s="1">
        <v>44094</v>
      </c>
      <c r="L1693" t="s">
        <v>14</v>
      </c>
      <c r="M1693">
        <v>3085.5</v>
      </c>
      <c r="N1693">
        <v>3085.5</v>
      </c>
      <c r="O1693" t="s">
        <v>21</v>
      </c>
      <c r="P1693">
        <f t="shared" si="81"/>
        <v>0</v>
      </c>
      <c r="Q1693" s="11">
        <f>IF(P1693=0,0,IFERROR(Q1692+G1693*M1693*IF(E1693="FUTURE",VLOOKUP(MID(I1693,2,2),[1]Futures!$A$2:$B$12,2),1),G1693*M1693*IF(E1693="FUTURE",VLOOKUP(MID(I1693,2,2),[1]Futures!$A$2:$B$12,2),1)))</f>
        <v>0</v>
      </c>
      <c r="R1693" s="12" t="str">
        <f>IFERROR(Q1693/P1693/IF(E1693="FUTURE",VLOOKUP(MID(I1693,2,2),[1]Futures!$A$2:$B$12,2),1),"")</f>
        <v/>
      </c>
      <c r="S1693" s="13">
        <f>IF(AND(H1693="TO CLOSE",P1693=0),-G1693*(M1693-R1692)*IF(E1693="FUTURE",VLOOKUP(MID(I1693,2,2),[1]Futures!$A$2:$B$12,2),1),"")</f>
        <v>25</v>
      </c>
    </row>
    <row r="1694" spans="1:19" x14ac:dyDescent="0.2">
      <c r="A1694">
        <f t="shared" si="80"/>
        <v>536</v>
      </c>
      <c r="B1694" s="3">
        <v>44004</v>
      </c>
      <c r="C1694" s="3" t="str">
        <f t="shared" si="79"/>
        <v>Monday</v>
      </c>
      <c r="D1694" s="2">
        <v>0.48218749999999999</v>
      </c>
      <c r="E1694" t="s">
        <v>14</v>
      </c>
      <c r="F1694" t="s">
        <v>19</v>
      </c>
      <c r="G1694">
        <v>1</v>
      </c>
      <c r="H1694" t="s">
        <v>20</v>
      </c>
      <c r="I1694" t="s">
        <v>79</v>
      </c>
      <c r="J1694" s="1">
        <v>44094</v>
      </c>
      <c r="L1694" t="s">
        <v>14</v>
      </c>
      <c r="M1694">
        <v>3089</v>
      </c>
      <c r="N1694">
        <v>3089</v>
      </c>
      <c r="O1694" t="s">
        <v>24</v>
      </c>
      <c r="P1694">
        <f t="shared" si="81"/>
        <v>1</v>
      </c>
      <c r="Q1694" s="11">
        <f>IF(P1694=0,0,IFERROR(Q1693+G1694*M1694*IF(E1694="FUTURE",VLOOKUP(MID(I1694,2,2),[1]Futures!$A$2:$B$12,2),1),G1694*M1694*IF(E1694="FUTURE",VLOOKUP(MID(I1694,2,2),[1]Futures!$A$2:$B$12,2),1)))</f>
        <v>154450</v>
      </c>
      <c r="R1694" s="12">
        <f>IFERROR(Q1694/P1694/IF(E1694="FUTURE",VLOOKUP(MID(I1694,2,2),[1]Futures!$A$2:$B$12,2),1),"")</f>
        <v>3089</v>
      </c>
      <c r="S1694" s="13" t="str">
        <f>IF(AND(H1694="TO CLOSE",P1694=0),-G1694*(M1694-R1693)*IF(E1694="FUTURE",VLOOKUP(MID(I1694,2,2),[1]Futures!$A$2:$B$12,2),1),"")</f>
        <v/>
      </c>
    </row>
    <row r="1695" spans="1:19" x14ac:dyDescent="0.2">
      <c r="A1695">
        <f t="shared" si="80"/>
        <v>536</v>
      </c>
      <c r="B1695" s="3">
        <v>44004</v>
      </c>
      <c r="C1695" s="3" t="str">
        <f t="shared" si="79"/>
        <v>Monday</v>
      </c>
      <c r="D1695" s="2">
        <v>0.48254629629629631</v>
      </c>
      <c r="E1695" t="s">
        <v>14</v>
      </c>
      <c r="F1695" t="s">
        <v>15</v>
      </c>
      <c r="G1695">
        <v>-1</v>
      </c>
      <c r="H1695" t="s">
        <v>16</v>
      </c>
      <c r="I1695" t="s">
        <v>79</v>
      </c>
      <c r="J1695" s="1">
        <v>44094</v>
      </c>
      <c r="L1695" t="s">
        <v>14</v>
      </c>
      <c r="M1695">
        <v>3090</v>
      </c>
      <c r="N1695">
        <v>3090</v>
      </c>
      <c r="O1695" t="s">
        <v>21</v>
      </c>
      <c r="P1695">
        <f t="shared" si="81"/>
        <v>0</v>
      </c>
      <c r="Q1695" s="11">
        <f>IF(P1695=0,0,IFERROR(Q1694+G1695*M1695*IF(E1695="FUTURE",VLOOKUP(MID(I1695,2,2),[1]Futures!$A$2:$B$12,2),1),G1695*M1695*IF(E1695="FUTURE",VLOOKUP(MID(I1695,2,2),[1]Futures!$A$2:$B$12,2),1)))</f>
        <v>0</v>
      </c>
      <c r="R1695" s="12" t="str">
        <f>IFERROR(Q1695/P1695/IF(E1695="FUTURE",VLOOKUP(MID(I1695,2,2),[1]Futures!$A$2:$B$12,2),1),"")</f>
        <v/>
      </c>
      <c r="S1695" s="13">
        <f>IF(AND(H1695="TO CLOSE",P1695=0),-G1695*(M1695-R1694)*IF(E1695="FUTURE",VLOOKUP(MID(I1695,2,2),[1]Futures!$A$2:$B$12,2),1),"")</f>
        <v>50</v>
      </c>
    </row>
    <row r="1696" spans="1:19" x14ac:dyDescent="0.2">
      <c r="A1696">
        <f t="shared" si="80"/>
        <v>537</v>
      </c>
      <c r="B1696" s="3">
        <v>44004</v>
      </c>
      <c r="C1696" s="3" t="str">
        <f t="shared" si="79"/>
        <v>Monday</v>
      </c>
      <c r="D1696" s="2">
        <v>0.42471064814814818</v>
      </c>
      <c r="E1696" t="s">
        <v>14</v>
      </c>
      <c r="F1696" t="s">
        <v>19</v>
      </c>
      <c r="G1696">
        <v>4</v>
      </c>
      <c r="H1696" t="s">
        <v>20</v>
      </c>
      <c r="I1696" t="s">
        <v>80</v>
      </c>
      <c r="J1696" s="1">
        <v>44094</v>
      </c>
      <c r="L1696" t="s">
        <v>14</v>
      </c>
      <c r="M1696">
        <v>3091.5</v>
      </c>
      <c r="N1696">
        <v>3091.5</v>
      </c>
      <c r="O1696" t="s">
        <v>24</v>
      </c>
      <c r="P1696">
        <f t="shared" si="81"/>
        <v>4</v>
      </c>
      <c r="Q1696" s="11">
        <f>IF(P1696=0,0,IFERROR(Q1695+G1696*M1696*IF(E1696="FUTURE",VLOOKUP(MID(I1696,2,2),[1]Futures!$A$2:$B$12,2),1),G1696*M1696*IF(E1696="FUTURE",VLOOKUP(MID(I1696,2,2),[1]Futures!$A$2:$B$12,2),1)))</f>
        <v>61830</v>
      </c>
      <c r="R1696" s="12">
        <f>IFERROR(Q1696/P1696/IF(E1696="FUTURE",VLOOKUP(MID(I1696,2,2),[1]Futures!$A$2:$B$12,2),1),"")</f>
        <v>3091.5</v>
      </c>
      <c r="S1696" s="13" t="str">
        <f>IF(AND(H1696="TO CLOSE",P1696=0),-G1696*(M1696-R1695)*IF(E1696="FUTURE",VLOOKUP(MID(I1696,2,2),[1]Futures!$A$2:$B$12,2),1),"")</f>
        <v/>
      </c>
    </row>
    <row r="1697" spans="1:19" x14ac:dyDescent="0.2">
      <c r="A1697">
        <f t="shared" si="80"/>
        <v>537</v>
      </c>
      <c r="B1697" s="3">
        <v>44004</v>
      </c>
      <c r="C1697" s="3" t="str">
        <f t="shared" si="79"/>
        <v>Monday</v>
      </c>
      <c r="D1697" s="2">
        <v>0.42656250000000001</v>
      </c>
      <c r="E1697" t="s">
        <v>14</v>
      </c>
      <c r="F1697" t="s">
        <v>15</v>
      </c>
      <c r="G1697">
        <v>-4</v>
      </c>
      <c r="H1697" t="s">
        <v>16</v>
      </c>
      <c r="I1697" t="s">
        <v>80</v>
      </c>
      <c r="J1697" s="1">
        <v>44094</v>
      </c>
      <c r="L1697" t="s">
        <v>14</v>
      </c>
      <c r="M1697">
        <v>3094</v>
      </c>
      <c r="N1697">
        <v>3094</v>
      </c>
      <c r="O1697" t="s">
        <v>21</v>
      </c>
      <c r="P1697">
        <f t="shared" si="81"/>
        <v>0</v>
      </c>
      <c r="Q1697" s="11">
        <f>IF(P1697=0,0,IFERROR(Q1696+G1697*M1697*IF(E1697="FUTURE",VLOOKUP(MID(I1697,2,2),[1]Futures!$A$2:$B$12,2),1),G1697*M1697*IF(E1697="FUTURE",VLOOKUP(MID(I1697,2,2),[1]Futures!$A$2:$B$12,2),1)))</f>
        <v>0</v>
      </c>
      <c r="R1697" s="12" t="str">
        <f>IFERROR(Q1697/P1697/IF(E1697="FUTURE",VLOOKUP(MID(I1697,2,2),[1]Futures!$A$2:$B$12,2),1),"")</f>
        <v/>
      </c>
      <c r="S1697" s="13">
        <f>IF(AND(H1697="TO CLOSE",P1697=0),-G1697*(M1697-R1696)*IF(E1697="FUTURE",VLOOKUP(MID(I1697,2,2),[1]Futures!$A$2:$B$12,2),1),"")</f>
        <v>50</v>
      </c>
    </row>
    <row r="1698" spans="1:19" x14ac:dyDescent="0.2">
      <c r="A1698">
        <f t="shared" si="80"/>
        <v>538</v>
      </c>
      <c r="B1698" s="3">
        <v>44004</v>
      </c>
      <c r="C1698" s="3" t="str">
        <f t="shared" si="79"/>
        <v>Monday</v>
      </c>
      <c r="D1698" s="2">
        <v>0.41093750000000001</v>
      </c>
      <c r="E1698" t="s">
        <v>22</v>
      </c>
      <c r="F1698" t="s">
        <v>15</v>
      </c>
      <c r="G1698">
        <v>-400</v>
      </c>
      <c r="H1698" t="s">
        <v>20</v>
      </c>
      <c r="I1698" t="s">
        <v>23</v>
      </c>
      <c r="L1698" t="s">
        <v>22</v>
      </c>
      <c r="M1698">
        <v>37.08</v>
      </c>
      <c r="N1698">
        <v>37.08</v>
      </c>
      <c r="O1698" t="s">
        <v>21</v>
      </c>
      <c r="P1698">
        <f t="shared" si="81"/>
        <v>-400</v>
      </c>
      <c r="Q1698" s="11">
        <f>IF(P1698=0,0,IFERROR(Q1697+G1698*M1698*IF(E1698="FUTURE",VLOOKUP(MID(I1698,2,2),[1]Futures!$A$2:$B$12,2),1),G1698*M1698*IF(E1698="FUTURE",VLOOKUP(MID(I1698,2,2),[1]Futures!$A$2:$B$12,2),1)))</f>
        <v>-14832</v>
      </c>
      <c r="R1698" s="12">
        <f>IFERROR(Q1698/P1698/IF(E1698="FUTURE",VLOOKUP(MID(I1698,2,2),[1]Futures!$A$2:$B$12,2),1),"")</f>
        <v>37.08</v>
      </c>
      <c r="S1698" s="13" t="str">
        <f>IF(AND(H1698="TO CLOSE",P1698=0),-G1698*(M1698-R1697)*IF(E1698="FUTURE",VLOOKUP(MID(I1698,2,2),[1]Futures!$A$2:$B$12,2),1),"")</f>
        <v/>
      </c>
    </row>
    <row r="1699" spans="1:19" x14ac:dyDescent="0.2">
      <c r="A1699">
        <f t="shared" si="80"/>
        <v>538</v>
      </c>
      <c r="B1699" s="3">
        <v>44004</v>
      </c>
      <c r="C1699" s="3" t="str">
        <f t="shared" si="79"/>
        <v>Monday</v>
      </c>
      <c r="D1699" s="2">
        <v>0.41417824074074078</v>
      </c>
      <c r="E1699" t="s">
        <v>22</v>
      </c>
      <c r="F1699" t="s">
        <v>19</v>
      </c>
      <c r="G1699">
        <v>400</v>
      </c>
      <c r="H1699" t="s">
        <v>16</v>
      </c>
      <c r="I1699" t="s">
        <v>23</v>
      </c>
      <c r="L1699" t="s">
        <v>22</v>
      </c>
      <c r="M1699">
        <v>36.954999999999998</v>
      </c>
      <c r="N1699">
        <v>36.954999999999998</v>
      </c>
      <c r="O1699" t="s">
        <v>21</v>
      </c>
      <c r="P1699">
        <f t="shared" si="81"/>
        <v>0</v>
      </c>
      <c r="Q1699" s="11">
        <f>IF(P1699=0,0,IFERROR(Q1698+G1699*M1699*IF(E1699="FUTURE",VLOOKUP(MID(I1699,2,2),[1]Futures!$A$2:$B$12,2),1),G1699*M1699*IF(E1699="FUTURE",VLOOKUP(MID(I1699,2,2),[1]Futures!$A$2:$B$12,2),1)))</f>
        <v>0</v>
      </c>
      <c r="R1699" s="12" t="str">
        <f>IFERROR(Q1699/P1699/IF(E1699="FUTURE",VLOOKUP(MID(I1699,2,2),[1]Futures!$A$2:$B$12,2),1),"")</f>
        <v/>
      </c>
      <c r="S1699" s="13">
        <f>IF(AND(H1699="TO CLOSE",P1699=0),-G1699*(M1699-R1698)*IF(E1699="FUTURE",VLOOKUP(MID(I1699,2,2),[1]Futures!$A$2:$B$12,2),1),"")</f>
        <v>50</v>
      </c>
    </row>
    <row r="1700" spans="1:19" x14ac:dyDescent="0.2">
      <c r="A1700">
        <f t="shared" si="80"/>
        <v>539</v>
      </c>
      <c r="B1700" s="3">
        <v>44004</v>
      </c>
      <c r="C1700" s="3" t="str">
        <f t="shared" si="79"/>
        <v>Monday</v>
      </c>
      <c r="D1700" s="2">
        <v>0.42284722222222221</v>
      </c>
      <c r="E1700" t="s">
        <v>22</v>
      </c>
      <c r="F1700" t="s">
        <v>15</v>
      </c>
      <c r="G1700">
        <v>-200</v>
      </c>
      <c r="H1700" t="s">
        <v>20</v>
      </c>
      <c r="I1700" t="s">
        <v>23</v>
      </c>
      <c r="L1700" t="s">
        <v>22</v>
      </c>
      <c r="M1700">
        <v>36.83</v>
      </c>
      <c r="N1700">
        <v>36.83</v>
      </c>
      <c r="O1700" t="s">
        <v>21</v>
      </c>
      <c r="P1700">
        <f t="shared" si="81"/>
        <v>-200</v>
      </c>
      <c r="Q1700" s="11">
        <f>IF(P1700=0,0,IFERROR(Q1699+G1700*M1700*IF(E1700="FUTURE",VLOOKUP(MID(I1700,2,2),[1]Futures!$A$2:$B$12,2),1),G1700*M1700*IF(E1700="FUTURE",VLOOKUP(MID(I1700,2,2),[1]Futures!$A$2:$B$12,2),1)))</f>
        <v>-7366</v>
      </c>
      <c r="R1700" s="12">
        <f>IFERROR(Q1700/P1700/IF(E1700="FUTURE",VLOOKUP(MID(I1700,2,2),[1]Futures!$A$2:$B$12,2),1),"")</f>
        <v>36.83</v>
      </c>
      <c r="S1700" s="13" t="str">
        <f>IF(AND(H1700="TO CLOSE",P1700=0),-G1700*(M1700-R1699)*IF(E1700="FUTURE",VLOOKUP(MID(I1700,2,2),[1]Futures!$A$2:$B$12,2),1),"")</f>
        <v/>
      </c>
    </row>
    <row r="1701" spans="1:19" x14ac:dyDescent="0.2">
      <c r="A1701">
        <f t="shared" si="80"/>
        <v>539</v>
      </c>
      <c r="B1701" s="3">
        <v>44004</v>
      </c>
      <c r="C1701" s="3" t="str">
        <f t="shared" si="79"/>
        <v>Monday</v>
      </c>
      <c r="D1701" s="2">
        <v>0.43862268518518516</v>
      </c>
      <c r="E1701" t="s">
        <v>22</v>
      </c>
      <c r="F1701" t="s">
        <v>19</v>
      </c>
      <c r="G1701">
        <v>179</v>
      </c>
      <c r="H1701" t="s">
        <v>16</v>
      </c>
      <c r="I1701" t="s">
        <v>23</v>
      </c>
      <c r="L1701" t="s">
        <v>22</v>
      </c>
      <c r="M1701">
        <v>36.809800000000003</v>
      </c>
      <c r="N1701">
        <v>36.809780000000003</v>
      </c>
      <c r="O1701" t="s">
        <v>24</v>
      </c>
      <c r="P1701">
        <f t="shared" si="81"/>
        <v>-21</v>
      </c>
      <c r="Q1701" s="11">
        <f>IF(P1701=0,0,IFERROR(Q1700+G1701*M1701*IF(E1701="FUTURE",VLOOKUP(MID(I1701,2,2),[1]Futures!$A$2:$B$12,2),1),G1701*M1701*IF(E1701="FUTURE",VLOOKUP(MID(I1701,2,2),[1]Futures!$A$2:$B$12,2),1)))</f>
        <v>-777.04579999999987</v>
      </c>
      <c r="R1701" s="12">
        <f>IFERROR(Q1701/P1701/IF(E1701="FUTURE",VLOOKUP(MID(I1701,2,2),[1]Futures!$A$2:$B$12,2),1),"")</f>
        <v>37.002180952380947</v>
      </c>
      <c r="S1701" s="13" t="str">
        <f>IF(AND(H1701="TO CLOSE",P1701=0),-G1701*(M1701-R1700)*IF(E1701="FUTURE",VLOOKUP(MID(I1701,2,2),[1]Futures!$A$2:$B$12,2),1),"")</f>
        <v/>
      </c>
    </row>
    <row r="1702" spans="1:19" x14ac:dyDescent="0.2">
      <c r="A1702">
        <f t="shared" si="80"/>
        <v>539</v>
      </c>
      <c r="B1702" s="3">
        <v>44004</v>
      </c>
      <c r="C1702" s="3" t="str">
        <f t="shared" si="79"/>
        <v>Monday</v>
      </c>
      <c r="D1702" s="2">
        <v>0.43862268518518516</v>
      </c>
      <c r="E1702" t="s">
        <v>22</v>
      </c>
      <c r="F1702" t="s">
        <v>19</v>
      </c>
      <c r="G1702">
        <v>21</v>
      </c>
      <c r="H1702" t="s">
        <v>16</v>
      </c>
      <c r="I1702" t="s">
        <v>23</v>
      </c>
      <c r="L1702" t="s">
        <v>22</v>
      </c>
      <c r="M1702">
        <v>36.809800000000003</v>
      </c>
      <c r="N1702">
        <v>36.81</v>
      </c>
      <c r="O1702" t="s">
        <v>24</v>
      </c>
      <c r="P1702">
        <f t="shared" si="81"/>
        <v>0</v>
      </c>
      <c r="Q1702" s="11">
        <f>IF(P1702=0,0,IFERROR(Q1701+G1702*M1702*IF(E1702="FUTURE",VLOOKUP(MID(I1702,2,2),[1]Futures!$A$2:$B$12,2),1),G1702*M1702*IF(E1702="FUTURE",VLOOKUP(MID(I1702,2,2),[1]Futures!$A$2:$B$12,2),1)))</f>
        <v>0</v>
      </c>
      <c r="R1702" s="12" t="str">
        <f>IFERROR(Q1702/P1702/IF(E1702="FUTURE",VLOOKUP(MID(I1702,2,2),[1]Futures!$A$2:$B$12,2),1),"")</f>
        <v/>
      </c>
      <c r="S1702" s="13">
        <f>IF(AND(H1702="TO CLOSE",P1702=0),-G1702*(M1702-R1701)*IF(E1702="FUTURE",VLOOKUP(MID(I1702,2,2),[1]Futures!$A$2:$B$12,2),1),"")</f>
        <v>4.0399999999998215</v>
      </c>
    </row>
    <row r="1703" spans="1:19" x14ac:dyDescent="0.2">
      <c r="A1703">
        <f t="shared" si="80"/>
        <v>540</v>
      </c>
      <c r="B1703" s="3">
        <v>44004</v>
      </c>
      <c r="C1703" s="3" t="str">
        <f t="shared" si="79"/>
        <v>Monday</v>
      </c>
      <c r="D1703" s="2">
        <v>0.44976851851851851</v>
      </c>
      <c r="E1703" t="s">
        <v>22</v>
      </c>
      <c r="F1703" t="s">
        <v>15</v>
      </c>
      <c r="G1703">
        <v>-100</v>
      </c>
      <c r="H1703" t="s">
        <v>20</v>
      </c>
      <c r="I1703" t="s">
        <v>23</v>
      </c>
      <c r="L1703" t="s">
        <v>22</v>
      </c>
      <c r="M1703">
        <v>36.78</v>
      </c>
      <c r="N1703">
        <v>36.78</v>
      </c>
      <c r="O1703" t="s">
        <v>21</v>
      </c>
      <c r="P1703">
        <f t="shared" si="81"/>
        <v>-100</v>
      </c>
      <c r="Q1703" s="11">
        <f>IF(P1703=0,0,IFERROR(Q1702+G1703*M1703*IF(E1703="FUTURE",VLOOKUP(MID(I1703,2,2),[1]Futures!$A$2:$B$12,2),1),G1703*M1703*IF(E1703="FUTURE",VLOOKUP(MID(I1703,2,2),[1]Futures!$A$2:$B$12,2),1)))</f>
        <v>-3678</v>
      </c>
      <c r="R1703" s="12">
        <f>IFERROR(Q1703/P1703/IF(E1703="FUTURE",VLOOKUP(MID(I1703,2,2),[1]Futures!$A$2:$B$12,2),1),"")</f>
        <v>36.78</v>
      </c>
      <c r="S1703" s="13" t="str">
        <f>IF(AND(H1703="TO CLOSE",P1703=0),-G1703*(M1703-R1702)*IF(E1703="FUTURE",VLOOKUP(MID(I1703,2,2),[1]Futures!$A$2:$B$12,2),1),"")</f>
        <v/>
      </c>
    </row>
    <row r="1704" spans="1:19" x14ac:dyDescent="0.2">
      <c r="A1704">
        <f t="shared" si="80"/>
        <v>540</v>
      </c>
      <c r="B1704" s="3">
        <v>44004</v>
      </c>
      <c r="C1704" s="3" t="str">
        <f t="shared" si="79"/>
        <v>Monday</v>
      </c>
      <c r="D1704" s="2">
        <v>0.44976851851851851</v>
      </c>
      <c r="E1704" t="s">
        <v>22</v>
      </c>
      <c r="F1704" t="s">
        <v>15</v>
      </c>
      <c r="G1704">
        <v>-200</v>
      </c>
      <c r="H1704" t="s">
        <v>20</v>
      </c>
      <c r="I1704" t="s">
        <v>23</v>
      </c>
      <c r="L1704" t="s">
        <v>22</v>
      </c>
      <c r="M1704">
        <v>36.78</v>
      </c>
      <c r="N1704">
        <v>36.78</v>
      </c>
      <c r="O1704" t="s">
        <v>21</v>
      </c>
      <c r="P1704">
        <f t="shared" si="81"/>
        <v>-300</v>
      </c>
      <c r="Q1704" s="11">
        <f>IF(P1704=0,0,IFERROR(Q1703+G1704*M1704*IF(E1704="FUTURE",VLOOKUP(MID(I1704,2,2),[1]Futures!$A$2:$B$12,2),1),G1704*M1704*IF(E1704="FUTURE",VLOOKUP(MID(I1704,2,2),[1]Futures!$A$2:$B$12,2),1)))</f>
        <v>-11034</v>
      </c>
      <c r="R1704" s="12">
        <f>IFERROR(Q1704/P1704/IF(E1704="FUTURE",VLOOKUP(MID(I1704,2,2),[1]Futures!$A$2:$B$12,2),1),"")</f>
        <v>36.78</v>
      </c>
      <c r="S1704" s="13" t="str">
        <f>IF(AND(H1704="TO CLOSE",P1704=0),-G1704*(M1704-R1703)*IF(E1704="FUTURE",VLOOKUP(MID(I1704,2,2),[1]Futures!$A$2:$B$12,2),1),"")</f>
        <v/>
      </c>
    </row>
    <row r="1705" spans="1:19" x14ac:dyDescent="0.2">
      <c r="A1705">
        <f t="shared" si="80"/>
        <v>540</v>
      </c>
      <c r="B1705" s="3">
        <v>44004</v>
      </c>
      <c r="C1705" s="3" t="str">
        <f t="shared" si="79"/>
        <v>Monday</v>
      </c>
      <c r="D1705" s="2">
        <v>0.46011574074074074</v>
      </c>
      <c r="E1705" t="s">
        <v>22</v>
      </c>
      <c r="F1705" t="s">
        <v>15</v>
      </c>
      <c r="G1705">
        <v>-100</v>
      </c>
      <c r="H1705" t="s">
        <v>20</v>
      </c>
      <c r="I1705" t="s">
        <v>23</v>
      </c>
      <c r="L1705" t="s">
        <v>22</v>
      </c>
      <c r="M1705">
        <v>37.11</v>
      </c>
      <c r="N1705">
        <v>37.11</v>
      </c>
      <c r="O1705" t="s">
        <v>21</v>
      </c>
      <c r="P1705">
        <f t="shared" si="81"/>
        <v>-400</v>
      </c>
      <c r="Q1705" s="11">
        <f>IF(P1705=0,0,IFERROR(Q1704+G1705*M1705*IF(E1705="FUTURE",VLOOKUP(MID(I1705,2,2),[1]Futures!$A$2:$B$12,2),1),G1705*M1705*IF(E1705="FUTURE",VLOOKUP(MID(I1705,2,2),[1]Futures!$A$2:$B$12,2),1)))</f>
        <v>-14745</v>
      </c>
      <c r="R1705" s="12">
        <f>IFERROR(Q1705/P1705/IF(E1705="FUTURE",VLOOKUP(MID(I1705,2,2),[1]Futures!$A$2:$B$12,2),1),"")</f>
        <v>36.862499999999997</v>
      </c>
      <c r="S1705" s="13" t="str">
        <f>IF(AND(H1705="TO CLOSE",P1705=0),-G1705*(M1705-R1704)*IF(E1705="FUTURE",VLOOKUP(MID(I1705,2,2),[1]Futures!$A$2:$B$12,2),1),"")</f>
        <v/>
      </c>
    </row>
    <row r="1706" spans="1:19" x14ac:dyDescent="0.2">
      <c r="A1706">
        <f t="shared" si="80"/>
        <v>540</v>
      </c>
      <c r="B1706" s="3">
        <v>44004</v>
      </c>
      <c r="C1706" s="3" t="str">
        <f t="shared" si="79"/>
        <v>Monday</v>
      </c>
      <c r="D1706" s="2">
        <v>0.46129629629629632</v>
      </c>
      <c r="E1706" t="s">
        <v>22</v>
      </c>
      <c r="F1706" t="s">
        <v>19</v>
      </c>
      <c r="G1706">
        <v>100</v>
      </c>
      <c r="H1706" t="s">
        <v>16</v>
      </c>
      <c r="I1706" t="s">
        <v>23</v>
      </c>
      <c r="L1706" t="s">
        <v>22</v>
      </c>
      <c r="M1706">
        <v>36.86</v>
      </c>
      <c r="N1706">
        <v>36.86</v>
      </c>
      <c r="O1706" t="s">
        <v>21</v>
      </c>
      <c r="P1706">
        <f t="shared" si="81"/>
        <v>-300</v>
      </c>
      <c r="Q1706" s="11">
        <f>IF(P1706=0,0,IFERROR(Q1705+G1706*M1706*IF(E1706="FUTURE",VLOOKUP(MID(I1706,2,2),[1]Futures!$A$2:$B$12,2),1),G1706*M1706*IF(E1706="FUTURE",VLOOKUP(MID(I1706,2,2),[1]Futures!$A$2:$B$12,2),1)))</f>
        <v>-11059</v>
      </c>
      <c r="R1706" s="12">
        <f>IFERROR(Q1706/P1706/IF(E1706="FUTURE",VLOOKUP(MID(I1706,2,2),[1]Futures!$A$2:$B$12,2),1),"")</f>
        <v>36.863333333333337</v>
      </c>
      <c r="S1706" s="13" t="str">
        <f>IF(AND(H1706="TO CLOSE",P1706=0),-G1706*(M1706-R1705)*IF(E1706="FUTURE",VLOOKUP(MID(I1706,2,2),[1]Futures!$A$2:$B$12,2),1),"")</f>
        <v/>
      </c>
    </row>
    <row r="1707" spans="1:19" x14ac:dyDescent="0.2">
      <c r="A1707">
        <f t="shared" si="80"/>
        <v>540</v>
      </c>
      <c r="B1707" s="3">
        <v>44004</v>
      </c>
      <c r="C1707" s="3" t="str">
        <f t="shared" si="79"/>
        <v>Monday</v>
      </c>
      <c r="D1707" s="2">
        <v>0.47162037037037036</v>
      </c>
      <c r="E1707" t="s">
        <v>22</v>
      </c>
      <c r="F1707" t="s">
        <v>19</v>
      </c>
      <c r="G1707">
        <v>100</v>
      </c>
      <c r="H1707" t="s">
        <v>16</v>
      </c>
      <c r="I1707" t="s">
        <v>23</v>
      </c>
      <c r="L1707" t="s">
        <v>22</v>
      </c>
      <c r="M1707">
        <v>36.57</v>
      </c>
      <c r="N1707">
        <v>36.57</v>
      </c>
      <c r="O1707" t="s">
        <v>24</v>
      </c>
      <c r="P1707">
        <f t="shared" si="81"/>
        <v>-200</v>
      </c>
      <c r="Q1707" s="11">
        <f>IF(P1707=0,0,IFERROR(Q1706+G1707*M1707*IF(E1707="FUTURE",VLOOKUP(MID(I1707,2,2),[1]Futures!$A$2:$B$12,2),1),G1707*M1707*IF(E1707="FUTURE",VLOOKUP(MID(I1707,2,2),[1]Futures!$A$2:$B$12,2),1)))</f>
        <v>-7402</v>
      </c>
      <c r="R1707" s="12">
        <f>IFERROR(Q1707/P1707/IF(E1707="FUTURE",VLOOKUP(MID(I1707,2,2),[1]Futures!$A$2:$B$12,2),1),"")</f>
        <v>37.01</v>
      </c>
      <c r="S1707" s="13" t="str">
        <f>IF(AND(H1707="TO CLOSE",P1707=0),-G1707*(M1707-R1706)*IF(E1707="FUTURE",VLOOKUP(MID(I1707,2,2),[1]Futures!$A$2:$B$12,2),1),"")</f>
        <v/>
      </c>
    </row>
    <row r="1708" spans="1:19" x14ac:dyDescent="0.2">
      <c r="A1708">
        <f t="shared" si="80"/>
        <v>540</v>
      </c>
      <c r="B1708" s="3">
        <v>44004</v>
      </c>
      <c r="C1708" s="3" t="str">
        <f t="shared" si="79"/>
        <v>Monday</v>
      </c>
      <c r="D1708" s="2">
        <v>0.47815972222222225</v>
      </c>
      <c r="E1708" t="s">
        <v>22</v>
      </c>
      <c r="F1708" t="s">
        <v>19</v>
      </c>
      <c r="G1708">
        <v>50</v>
      </c>
      <c r="H1708" t="s">
        <v>16</v>
      </c>
      <c r="I1708" t="s">
        <v>23</v>
      </c>
      <c r="L1708" t="s">
        <v>22</v>
      </c>
      <c r="M1708">
        <v>36.417700000000004</v>
      </c>
      <c r="N1708">
        <v>36.4176</v>
      </c>
      <c r="O1708" t="s">
        <v>24</v>
      </c>
      <c r="P1708">
        <f t="shared" si="81"/>
        <v>-150</v>
      </c>
      <c r="Q1708" s="11">
        <f>IF(P1708=0,0,IFERROR(Q1707+G1708*M1708*IF(E1708="FUTURE",VLOOKUP(MID(I1708,2,2),[1]Futures!$A$2:$B$12,2),1),G1708*M1708*IF(E1708="FUTURE",VLOOKUP(MID(I1708,2,2),[1]Futures!$A$2:$B$12,2),1)))</f>
        <v>-5581.1149999999998</v>
      </c>
      <c r="R1708" s="12">
        <f>IFERROR(Q1708/P1708/IF(E1708="FUTURE",VLOOKUP(MID(I1708,2,2),[1]Futures!$A$2:$B$12,2),1),"")</f>
        <v>37.207433333333334</v>
      </c>
      <c r="S1708" s="13" t="str">
        <f>IF(AND(H1708="TO CLOSE",P1708=0),-G1708*(M1708-R1707)*IF(E1708="FUTURE",VLOOKUP(MID(I1708,2,2),[1]Futures!$A$2:$B$12,2),1),"")</f>
        <v/>
      </c>
    </row>
    <row r="1709" spans="1:19" x14ac:dyDescent="0.2">
      <c r="A1709">
        <f t="shared" si="80"/>
        <v>540</v>
      </c>
      <c r="B1709" s="3">
        <v>44004</v>
      </c>
      <c r="C1709" s="3" t="str">
        <f t="shared" si="79"/>
        <v>Monday</v>
      </c>
      <c r="D1709" s="2">
        <v>0.48281250000000003</v>
      </c>
      <c r="E1709" t="s">
        <v>22</v>
      </c>
      <c r="F1709" t="s">
        <v>19</v>
      </c>
      <c r="G1709">
        <v>50</v>
      </c>
      <c r="H1709" t="s">
        <v>16</v>
      </c>
      <c r="I1709" t="s">
        <v>23</v>
      </c>
      <c r="L1709" t="s">
        <v>22</v>
      </c>
      <c r="M1709">
        <v>36.305</v>
      </c>
      <c r="N1709">
        <v>36.305</v>
      </c>
      <c r="O1709" t="s">
        <v>21</v>
      </c>
      <c r="P1709">
        <f t="shared" si="81"/>
        <v>-100</v>
      </c>
      <c r="Q1709" s="11">
        <f>IF(P1709=0,0,IFERROR(Q1708+G1709*M1709*IF(E1709="FUTURE",VLOOKUP(MID(I1709,2,2),[1]Futures!$A$2:$B$12,2),1),G1709*M1709*IF(E1709="FUTURE",VLOOKUP(MID(I1709,2,2),[1]Futures!$A$2:$B$12,2),1)))</f>
        <v>-3765.8649999999998</v>
      </c>
      <c r="R1709" s="12">
        <f>IFERROR(Q1709/P1709/IF(E1709="FUTURE",VLOOKUP(MID(I1709,2,2),[1]Futures!$A$2:$B$12,2),1),"")</f>
        <v>37.658649999999994</v>
      </c>
      <c r="S1709" s="13" t="str">
        <f>IF(AND(H1709="TO CLOSE",P1709=0),-G1709*(M1709-R1708)*IF(E1709="FUTURE",VLOOKUP(MID(I1709,2,2),[1]Futures!$A$2:$B$12,2),1),"")</f>
        <v/>
      </c>
    </row>
    <row r="1710" spans="1:19" x14ac:dyDescent="0.2">
      <c r="A1710">
        <f t="shared" si="80"/>
        <v>540</v>
      </c>
      <c r="B1710" s="3">
        <v>44004</v>
      </c>
      <c r="C1710" s="3" t="str">
        <f t="shared" si="79"/>
        <v>Monday</v>
      </c>
      <c r="D1710" s="2">
        <v>0.48396990740740736</v>
      </c>
      <c r="E1710" t="s">
        <v>22</v>
      </c>
      <c r="F1710" t="s">
        <v>19</v>
      </c>
      <c r="G1710">
        <v>100</v>
      </c>
      <c r="H1710" t="s">
        <v>16</v>
      </c>
      <c r="I1710" t="s">
        <v>23</v>
      </c>
      <c r="L1710" t="s">
        <v>22</v>
      </c>
      <c r="M1710">
        <v>36.305</v>
      </c>
      <c r="N1710">
        <v>36.305</v>
      </c>
      <c r="O1710" t="s">
        <v>24</v>
      </c>
      <c r="P1710">
        <f t="shared" si="81"/>
        <v>0</v>
      </c>
      <c r="Q1710" s="11">
        <f>IF(P1710=0,0,IFERROR(Q1709+G1710*M1710*IF(E1710="FUTURE",VLOOKUP(MID(I1710,2,2),[1]Futures!$A$2:$B$12,2),1),G1710*M1710*IF(E1710="FUTURE",VLOOKUP(MID(I1710,2,2),[1]Futures!$A$2:$B$12,2),1)))</f>
        <v>0</v>
      </c>
      <c r="R1710" s="12" t="str">
        <f>IFERROR(Q1710/P1710/IF(E1710="FUTURE",VLOOKUP(MID(I1710,2,2),[1]Futures!$A$2:$B$12,2),1),"")</f>
        <v/>
      </c>
      <c r="S1710" s="13">
        <f>IF(AND(H1710="TO CLOSE",P1710=0),-G1710*(M1710-R1709)*IF(E1710="FUTURE",VLOOKUP(MID(I1710,2,2),[1]Futures!$A$2:$B$12,2),1),"")</f>
        <v>135.36499999999947</v>
      </c>
    </row>
    <row r="1711" spans="1:19" x14ac:dyDescent="0.2">
      <c r="A1711">
        <f t="shared" si="80"/>
        <v>541</v>
      </c>
      <c r="B1711" s="3">
        <v>44005</v>
      </c>
      <c r="C1711" s="3" t="str">
        <f t="shared" si="79"/>
        <v>Tuesday</v>
      </c>
      <c r="D1711" s="2">
        <v>0.40013888888888888</v>
      </c>
      <c r="E1711" t="s">
        <v>14</v>
      </c>
      <c r="F1711" t="s">
        <v>19</v>
      </c>
      <c r="G1711">
        <v>1</v>
      </c>
      <c r="H1711" t="s">
        <v>20</v>
      </c>
      <c r="I1711" t="s">
        <v>77</v>
      </c>
      <c r="J1711" s="1">
        <v>44063</v>
      </c>
      <c r="L1711" t="s">
        <v>14</v>
      </c>
      <c r="M1711">
        <v>41.1</v>
      </c>
      <c r="N1711">
        <v>41.1</v>
      </c>
      <c r="O1711" t="s">
        <v>24</v>
      </c>
      <c r="P1711">
        <f t="shared" si="81"/>
        <v>1</v>
      </c>
      <c r="Q1711" s="11">
        <f>IF(P1711=0,0,IFERROR(Q1710+G1711*M1711*IF(E1711="FUTURE",VLOOKUP(MID(I1711,2,2),[1]Futures!$A$2:$B$12,2),1),G1711*M1711*IF(E1711="FUTURE",VLOOKUP(MID(I1711,2,2),[1]Futures!$A$2:$B$12,2),1)))</f>
        <v>41100</v>
      </c>
      <c r="R1711" s="12">
        <f>IFERROR(Q1711/P1711/IF(E1711="FUTURE",VLOOKUP(MID(I1711,2,2),[1]Futures!$A$2:$B$12,2),1),"")</f>
        <v>41.1</v>
      </c>
      <c r="S1711" s="13" t="str">
        <f>IF(AND(H1711="TO CLOSE",P1711=0),-G1711*(M1711-R1710)*IF(E1711="FUTURE",VLOOKUP(MID(I1711,2,2),[1]Futures!$A$2:$B$12,2),1),"")</f>
        <v/>
      </c>
    </row>
    <row r="1712" spans="1:19" x14ac:dyDescent="0.2">
      <c r="A1712">
        <f t="shared" si="80"/>
        <v>541</v>
      </c>
      <c r="B1712" s="3">
        <v>44005</v>
      </c>
      <c r="C1712" s="3" t="str">
        <f t="shared" si="79"/>
        <v>Tuesday</v>
      </c>
      <c r="D1712" s="2">
        <v>0.47293981481481479</v>
      </c>
      <c r="E1712" t="s">
        <v>14</v>
      </c>
      <c r="F1712" t="s">
        <v>15</v>
      </c>
      <c r="G1712">
        <v>-1</v>
      </c>
      <c r="H1712" t="s">
        <v>16</v>
      </c>
      <c r="I1712" t="s">
        <v>77</v>
      </c>
      <c r="J1712" s="1">
        <v>44063</v>
      </c>
      <c r="L1712" t="s">
        <v>14</v>
      </c>
      <c r="M1712">
        <v>41.14</v>
      </c>
      <c r="N1712">
        <v>41.14</v>
      </c>
      <c r="O1712" t="s">
        <v>21</v>
      </c>
      <c r="P1712">
        <f t="shared" si="81"/>
        <v>0</v>
      </c>
      <c r="Q1712" s="11">
        <f>IF(P1712=0,0,IFERROR(Q1711+G1712*M1712*IF(E1712="FUTURE",VLOOKUP(MID(I1712,2,2),[1]Futures!$A$2:$B$12,2),1),G1712*M1712*IF(E1712="FUTURE",VLOOKUP(MID(I1712,2,2),[1]Futures!$A$2:$B$12,2),1)))</f>
        <v>0</v>
      </c>
      <c r="R1712" s="12" t="str">
        <f>IFERROR(Q1712/P1712/IF(E1712="FUTURE",VLOOKUP(MID(I1712,2,2),[1]Futures!$A$2:$B$12,2),1),"")</f>
        <v/>
      </c>
      <c r="S1712" s="13">
        <f>IF(AND(H1712="TO CLOSE",P1712=0),-G1712*(M1712-R1711)*IF(E1712="FUTURE",VLOOKUP(MID(I1712,2,2),[1]Futures!$A$2:$B$12,2),1),"")</f>
        <v>39.999999999999147</v>
      </c>
    </row>
    <row r="1713" spans="1:19" x14ac:dyDescent="0.2">
      <c r="A1713">
        <f t="shared" si="80"/>
        <v>542</v>
      </c>
      <c r="B1713" s="3">
        <v>44005</v>
      </c>
      <c r="C1713" s="3" t="str">
        <f t="shared" si="79"/>
        <v>Tuesday</v>
      </c>
      <c r="D1713" s="2">
        <v>0.40130787037037036</v>
      </c>
      <c r="E1713" t="s">
        <v>14</v>
      </c>
      <c r="F1713" t="s">
        <v>19</v>
      </c>
      <c r="G1713">
        <v>1</v>
      </c>
      <c r="H1713" t="s">
        <v>20</v>
      </c>
      <c r="I1713" t="s">
        <v>79</v>
      </c>
      <c r="J1713" s="1">
        <v>44094</v>
      </c>
      <c r="L1713" t="s">
        <v>14</v>
      </c>
      <c r="M1713">
        <v>3133</v>
      </c>
      <c r="N1713">
        <v>3133</v>
      </c>
      <c r="O1713" t="s">
        <v>24</v>
      </c>
      <c r="P1713">
        <f t="shared" si="81"/>
        <v>1</v>
      </c>
      <c r="Q1713" s="11">
        <f>IF(P1713=0,0,IFERROR(Q1712+G1713*M1713*IF(E1713="FUTURE",VLOOKUP(MID(I1713,2,2),[1]Futures!$A$2:$B$12,2),1),G1713*M1713*IF(E1713="FUTURE",VLOOKUP(MID(I1713,2,2),[1]Futures!$A$2:$B$12,2),1)))</f>
        <v>156650</v>
      </c>
      <c r="R1713" s="12">
        <f>IFERROR(Q1713/P1713/IF(E1713="FUTURE",VLOOKUP(MID(I1713,2,2),[1]Futures!$A$2:$B$12,2),1),"")</f>
        <v>3133</v>
      </c>
      <c r="S1713" s="13" t="str">
        <f>IF(AND(H1713="TO CLOSE",P1713=0),-G1713*(M1713-R1712)*IF(E1713="FUTURE",VLOOKUP(MID(I1713,2,2),[1]Futures!$A$2:$B$12,2),1),"")</f>
        <v/>
      </c>
    </row>
    <row r="1714" spans="1:19" x14ac:dyDescent="0.2">
      <c r="A1714">
        <f t="shared" si="80"/>
        <v>542</v>
      </c>
      <c r="B1714" s="3">
        <v>44005</v>
      </c>
      <c r="C1714" s="3" t="str">
        <f t="shared" si="79"/>
        <v>Tuesday</v>
      </c>
      <c r="D1714" s="2">
        <v>0.47474537037037035</v>
      </c>
      <c r="E1714" t="s">
        <v>14</v>
      </c>
      <c r="F1714" t="s">
        <v>15</v>
      </c>
      <c r="G1714">
        <v>-1</v>
      </c>
      <c r="H1714" t="s">
        <v>16</v>
      </c>
      <c r="I1714" t="s">
        <v>79</v>
      </c>
      <c r="J1714" s="1">
        <v>44094</v>
      </c>
      <c r="L1714" t="s">
        <v>14</v>
      </c>
      <c r="M1714">
        <v>3139</v>
      </c>
      <c r="N1714">
        <v>3139</v>
      </c>
      <c r="O1714" t="s">
        <v>21</v>
      </c>
      <c r="P1714">
        <f t="shared" si="81"/>
        <v>0</v>
      </c>
      <c r="Q1714" s="11">
        <f>IF(P1714=0,0,IFERROR(Q1713+G1714*M1714*IF(E1714="FUTURE",VLOOKUP(MID(I1714,2,2),[1]Futures!$A$2:$B$12,2),1),G1714*M1714*IF(E1714="FUTURE",VLOOKUP(MID(I1714,2,2),[1]Futures!$A$2:$B$12,2),1)))</f>
        <v>0</v>
      </c>
      <c r="R1714" s="12" t="str">
        <f>IFERROR(Q1714/P1714/IF(E1714="FUTURE",VLOOKUP(MID(I1714,2,2),[1]Futures!$A$2:$B$12,2),1),"")</f>
        <v/>
      </c>
      <c r="S1714" s="13">
        <f>IF(AND(H1714="TO CLOSE",P1714=0),-G1714*(M1714-R1713)*IF(E1714="FUTURE",VLOOKUP(MID(I1714,2,2),[1]Futures!$A$2:$B$12,2),1),"")</f>
        <v>300</v>
      </c>
    </row>
    <row r="1715" spans="1:19" x14ac:dyDescent="0.2">
      <c r="A1715">
        <f t="shared" si="80"/>
        <v>543</v>
      </c>
      <c r="B1715" s="3">
        <v>44005</v>
      </c>
      <c r="C1715" s="3" t="str">
        <f t="shared" si="79"/>
        <v>Tuesday</v>
      </c>
      <c r="D1715" s="2">
        <v>0.51363425925925921</v>
      </c>
      <c r="E1715" t="s">
        <v>14</v>
      </c>
      <c r="F1715" t="s">
        <v>15</v>
      </c>
      <c r="G1715">
        <v>-1</v>
      </c>
      <c r="H1715" t="s">
        <v>20</v>
      </c>
      <c r="I1715" t="s">
        <v>79</v>
      </c>
      <c r="J1715" s="1">
        <v>44094</v>
      </c>
      <c r="L1715" t="s">
        <v>14</v>
      </c>
      <c r="M1715">
        <v>3137</v>
      </c>
      <c r="N1715">
        <v>3137</v>
      </c>
      <c r="O1715" t="s">
        <v>21</v>
      </c>
      <c r="P1715">
        <f t="shared" si="81"/>
        <v>-1</v>
      </c>
      <c r="Q1715" s="11">
        <f>IF(P1715=0,0,IFERROR(Q1714+G1715*M1715*IF(E1715="FUTURE",VLOOKUP(MID(I1715,2,2),[1]Futures!$A$2:$B$12,2),1),G1715*M1715*IF(E1715="FUTURE",VLOOKUP(MID(I1715,2,2),[1]Futures!$A$2:$B$12,2),1)))</f>
        <v>-156850</v>
      </c>
      <c r="R1715" s="12">
        <f>IFERROR(Q1715/P1715/IF(E1715="FUTURE",VLOOKUP(MID(I1715,2,2),[1]Futures!$A$2:$B$12,2),1),"")</f>
        <v>3137</v>
      </c>
      <c r="S1715" s="13" t="str">
        <f>IF(AND(H1715="TO CLOSE",P1715=0),-G1715*(M1715-R1714)*IF(E1715="FUTURE",VLOOKUP(MID(I1715,2,2),[1]Futures!$A$2:$B$12,2),1),"")</f>
        <v/>
      </c>
    </row>
    <row r="1716" spans="1:19" x14ac:dyDescent="0.2">
      <c r="A1716">
        <f t="shared" si="80"/>
        <v>543</v>
      </c>
      <c r="B1716" s="3">
        <v>44005</v>
      </c>
      <c r="C1716" s="3" t="str">
        <f t="shared" si="79"/>
        <v>Tuesday</v>
      </c>
      <c r="D1716" s="2">
        <v>0.51412037037037039</v>
      </c>
      <c r="E1716" t="s">
        <v>14</v>
      </c>
      <c r="F1716" t="s">
        <v>19</v>
      </c>
      <c r="G1716">
        <v>1</v>
      </c>
      <c r="H1716" t="s">
        <v>16</v>
      </c>
      <c r="I1716" t="s">
        <v>79</v>
      </c>
      <c r="J1716" s="1">
        <v>44094</v>
      </c>
      <c r="L1716" t="s">
        <v>14</v>
      </c>
      <c r="M1716">
        <v>3136</v>
      </c>
      <c r="N1716">
        <v>3136</v>
      </c>
      <c r="O1716" t="s">
        <v>21</v>
      </c>
      <c r="P1716">
        <f t="shared" si="81"/>
        <v>0</v>
      </c>
      <c r="Q1716" s="11">
        <f>IF(P1716=0,0,IFERROR(Q1715+G1716*M1716*IF(E1716="FUTURE",VLOOKUP(MID(I1716,2,2),[1]Futures!$A$2:$B$12,2),1),G1716*M1716*IF(E1716="FUTURE",VLOOKUP(MID(I1716,2,2),[1]Futures!$A$2:$B$12,2),1)))</f>
        <v>0</v>
      </c>
      <c r="R1716" s="12" t="str">
        <f>IFERROR(Q1716/P1716/IF(E1716="FUTURE",VLOOKUP(MID(I1716,2,2),[1]Futures!$A$2:$B$12,2),1),"")</f>
        <v/>
      </c>
      <c r="S1716" s="13">
        <f>IF(AND(H1716="TO CLOSE",P1716=0),-G1716*(M1716-R1715)*IF(E1716="FUTURE",VLOOKUP(MID(I1716,2,2),[1]Futures!$A$2:$B$12,2),1),"")</f>
        <v>50</v>
      </c>
    </row>
    <row r="1717" spans="1:19" x14ac:dyDescent="0.2">
      <c r="A1717">
        <f t="shared" si="80"/>
        <v>544</v>
      </c>
      <c r="B1717" s="3">
        <v>44005</v>
      </c>
      <c r="C1717" s="3" t="str">
        <f t="shared" si="79"/>
        <v>Tuesday</v>
      </c>
      <c r="D1717" s="2">
        <v>0.52435185185185185</v>
      </c>
      <c r="E1717" t="s">
        <v>14</v>
      </c>
      <c r="F1717" t="s">
        <v>15</v>
      </c>
      <c r="G1717">
        <v>-2</v>
      </c>
      <c r="H1717" t="s">
        <v>20</v>
      </c>
      <c r="I1717" t="s">
        <v>80</v>
      </c>
      <c r="J1717" s="1">
        <v>44094</v>
      </c>
      <c r="L1717" t="s">
        <v>14</v>
      </c>
      <c r="M1717">
        <v>3136</v>
      </c>
      <c r="N1717">
        <v>3136</v>
      </c>
      <c r="O1717" t="s">
        <v>24</v>
      </c>
      <c r="P1717">
        <f t="shared" si="81"/>
        <v>-2</v>
      </c>
      <c r="Q1717" s="11">
        <f>IF(P1717=0,0,IFERROR(Q1716+G1717*M1717*IF(E1717="FUTURE",VLOOKUP(MID(I1717,2,2),[1]Futures!$A$2:$B$12,2),1),G1717*M1717*IF(E1717="FUTURE",VLOOKUP(MID(I1717,2,2),[1]Futures!$A$2:$B$12,2),1)))</f>
        <v>-31360</v>
      </c>
      <c r="R1717" s="12">
        <f>IFERROR(Q1717/P1717/IF(E1717="FUTURE",VLOOKUP(MID(I1717,2,2),[1]Futures!$A$2:$B$12,2),1),"")</f>
        <v>3136</v>
      </c>
      <c r="S1717" s="13" t="str">
        <f>IF(AND(H1717="TO CLOSE",P1717=0),-G1717*(M1717-R1716)*IF(E1717="FUTURE",VLOOKUP(MID(I1717,2,2),[1]Futures!$A$2:$B$12,2),1),"")</f>
        <v/>
      </c>
    </row>
    <row r="1718" spans="1:19" x14ac:dyDescent="0.2">
      <c r="A1718">
        <f t="shared" si="80"/>
        <v>544</v>
      </c>
      <c r="B1718" s="3">
        <v>44005</v>
      </c>
      <c r="C1718" s="3" t="str">
        <f t="shared" si="79"/>
        <v>Tuesday</v>
      </c>
      <c r="D1718" s="2">
        <v>0.53097222222222229</v>
      </c>
      <c r="E1718" t="s">
        <v>14</v>
      </c>
      <c r="F1718" t="s">
        <v>19</v>
      </c>
      <c r="G1718">
        <v>1</v>
      </c>
      <c r="H1718" t="s">
        <v>16</v>
      </c>
      <c r="I1718" t="s">
        <v>80</v>
      </c>
      <c r="J1718" s="1">
        <v>44094</v>
      </c>
      <c r="L1718" t="s">
        <v>14</v>
      </c>
      <c r="M1718">
        <v>3135</v>
      </c>
      <c r="N1718">
        <v>3135</v>
      </c>
      <c r="O1718" t="s">
        <v>21</v>
      </c>
      <c r="P1718">
        <f t="shared" si="81"/>
        <v>-1</v>
      </c>
      <c r="Q1718" s="11">
        <f>IF(P1718=0,0,IFERROR(Q1717+G1718*M1718*IF(E1718="FUTURE",VLOOKUP(MID(I1718,2,2),[1]Futures!$A$2:$B$12,2),1),G1718*M1718*IF(E1718="FUTURE",VLOOKUP(MID(I1718,2,2),[1]Futures!$A$2:$B$12,2),1)))</f>
        <v>-15685</v>
      </c>
      <c r="R1718" s="12">
        <f>IFERROR(Q1718/P1718/IF(E1718="FUTURE",VLOOKUP(MID(I1718,2,2),[1]Futures!$A$2:$B$12,2),1),"")</f>
        <v>3137</v>
      </c>
      <c r="S1718" s="13" t="str">
        <f>IF(AND(H1718="TO CLOSE",P1718=0),-G1718*(M1718-R1717)*IF(E1718="FUTURE",VLOOKUP(MID(I1718,2,2),[1]Futures!$A$2:$B$12,2),1),"")</f>
        <v/>
      </c>
    </row>
    <row r="1719" spans="1:19" x14ac:dyDescent="0.2">
      <c r="A1719">
        <f t="shared" si="80"/>
        <v>544</v>
      </c>
      <c r="B1719" s="3">
        <v>44005</v>
      </c>
      <c r="C1719" s="3" t="str">
        <f t="shared" si="79"/>
        <v>Tuesday</v>
      </c>
      <c r="D1719" s="2">
        <v>0.53128472222222223</v>
      </c>
      <c r="E1719" t="s">
        <v>14</v>
      </c>
      <c r="F1719" t="s">
        <v>19</v>
      </c>
      <c r="G1719">
        <v>1</v>
      </c>
      <c r="H1719" t="s">
        <v>16</v>
      </c>
      <c r="I1719" t="s">
        <v>80</v>
      </c>
      <c r="J1719" s="1">
        <v>44094</v>
      </c>
      <c r="L1719" t="s">
        <v>14</v>
      </c>
      <c r="M1719">
        <v>3134.75</v>
      </c>
      <c r="N1719">
        <v>3134.75</v>
      </c>
      <c r="O1719" t="s">
        <v>21</v>
      </c>
      <c r="P1719">
        <f t="shared" si="81"/>
        <v>0</v>
      </c>
      <c r="Q1719" s="11">
        <f>IF(P1719=0,0,IFERROR(Q1718+G1719*M1719*IF(E1719="FUTURE",VLOOKUP(MID(I1719,2,2),[1]Futures!$A$2:$B$12,2),1),G1719*M1719*IF(E1719="FUTURE",VLOOKUP(MID(I1719,2,2),[1]Futures!$A$2:$B$12,2),1)))</f>
        <v>0</v>
      </c>
      <c r="R1719" s="12" t="str">
        <f>IFERROR(Q1719/P1719/IF(E1719="FUTURE",VLOOKUP(MID(I1719,2,2),[1]Futures!$A$2:$B$12,2),1),"")</f>
        <v/>
      </c>
      <c r="S1719" s="13">
        <f>IF(AND(H1719="TO CLOSE",P1719=0),-G1719*(M1719-R1718)*IF(E1719="FUTURE",VLOOKUP(MID(I1719,2,2),[1]Futures!$A$2:$B$12,2),1),"")</f>
        <v>11.25</v>
      </c>
    </row>
    <row r="1720" spans="1:19" x14ac:dyDescent="0.2">
      <c r="A1720">
        <f t="shared" si="80"/>
        <v>545</v>
      </c>
      <c r="B1720" s="3">
        <v>44005</v>
      </c>
      <c r="C1720" s="3" t="str">
        <f t="shared" si="79"/>
        <v>Tuesday</v>
      </c>
      <c r="D1720" s="2">
        <v>0.40097222222222223</v>
      </c>
      <c r="E1720" t="s">
        <v>22</v>
      </c>
      <c r="F1720" t="s">
        <v>15</v>
      </c>
      <c r="G1720">
        <v>-200</v>
      </c>
      <c r="H1720" t="s">
        <v>20</v>
      </c>
      <c r="I1720" t="s">
        <v>23</v>
      </c>
      <c r="L1720" t="s">
        <v>22</v>
      </c>
      <c r="M1720">
        <v>33.67</v>
      </c>
      <c r="N1720">
        <v>33.67</v>
      </c>
      <c r="O1720" t="s">
        <v>21</v>
      </c>
      <c r="P1720">
        <f t="shared" si="81"/>
        <v>-200</v>
      </c>
      <c r="Q1720" s="11">
        <f>IF(P1720=0,0,IFERROR(Q1719+G1720*M1720*IF(E1720="FUTURE",VLOOKUP(MID(I1720,2,2),[1]Futures!$A$2:$B$12,2),1),G1720*M1720*IF(E1720="FUTURE",VLOOKUP(MID(I1720,2,2),[1]Futures!$A$2:$B$12,2),1)))</f>
        <v>-6734</v>
      </c>
      <c r="R1720" s="12">
        <f>IFERROR(Q1720/P1720/IF(E1720="FUTURE",VLOOKUP(MID(I1720,2,2),[1]Futures!$A$2:$B$12,2),1),"")</f>
        <v>33.67</v>
      </c>
      <c r="S1720" s="13" t="str">
        <f>IF(AND(H1720="TO CLOSE",P1720=0),-G1720*(M1720-R1719)*IF(E1720="FUTURE",VLOOKUP(MID(I1720,2,2),[1]Futures!$A$2:$B$12,2),1),"")</f>
        <v/>
      </c>
    </row>
    <row r="1721" spans="1:19" x14ac:dyDescent="0.2">
      <c r="A1721">
        <f t="shared" si="80"/>
        <v>545</v>
      </c>
      <c r="B1721" s="3">
        <v>44005</v>
      </c>
      <c r="C1721" s="3" t="str">
        <f t="shared" si="79"/>
        <v>Tuesday</v>
      </c>
      <c r="D1721" s="2">
        <v>0.40777777777777779</v>
      </c>
      <c r="E1721" t="s">
        <v>22</v>
      </c>
      <c r="F1721" t="s">
        <v>15</v>
      </c>
      <c r="G1721">
        <v>-100</v>
      </c>
      <c r="H1721" t="s">
        <v>20</v>
      </c>
      <c r="I1721" t="s">
        <v>23</v>
      </c>
      <c r="L1721" t="s">
        <v>22</v>
      </c>
      <c r="M1721">
        <v>33.880000000000003</v>
      </c>
      <c r="N1721">
        <v>33.880000000000003</v>
      </c>
      <c r="O1721" t="s">
        <v>21</v>
      </c>
      <c r="P1721">
        <f t="shared" si="81"/>
        <v>-300</v>
      </c>
      <c r="Q1721" s="11">
        <f>IF(P1721=0,0,IFERROR(Q1720+G1721*M1721*IF(E1721="FUTURE",VLOOKUP(MID(I1721,2,2),[1]Futures!$A$2:$B$12,2),1),G1721*M1721*IF(E1721="FUTURE",VLOOKUP(MID(I1721,2,2),[1]Futures!$A$2:$B$12,2),1)))</f>
        <v>-10122</v>
      </c>
      <c r="R1721" s="12">
        <f>IFERROR(Q1721/P1721/IF(E1721="FUTURE",VLOOKUP(MID(I1721,2,2),[1]Futures!$A$2:$B$12,2),1),"")</f>
        <v>33.74</v>
      </c>
      <c r="S1721" s="13" t="str">
        <f>IF(AND(H1721="TO CLOSE",P1721=0),-G1721*(M1721-R1720)*IF(E1721="FUTURE",VLOOKUP(MID(I1721,2,2),[1]Futures!$A$2:$B$12,2),1),"")</f>
        <v/>
      </c>
    </row>
    <row r="1722" spans="1:19" x14ac:dyDescent="0.2">
      <c r="A1722">
        <f t="shared" si="80"/>
        <v>545</v>
      </c>
      <c r="B1722" s="3">
        <v>44005</v>
      </c>
      <c r="C1722" s="3" t="str">
        <f t="shared" si="79"/>
        <v>Tuesday</v>
      </c>
      <c r="D1722" s="2">
        <v>0.41554398148148147</v>
      </c>
      <c r="E1722" t="s">
        <v>22</v>
      </c>
      <c r="F1722" t="s">
        <v>15</v>
      </c>
      <c r="G1722">
        <v>-100</v>
      </c>
      <c r="H1722" t="s">
        <v>20</v>
      </c>
      <c r="I1722" t="s">
        <v>23</v>
      </c>
      <c r="L1722" t="s">
        <v>22</v>
      </c>
      <c r="M1722">
        <v>34.042400000000001</v>
      </c>
      <c r="N1722">
        <v>34.042400000000001</v>
      </c>
      <c r="O1722" t="s">
        <v>24</v>
      </c>
      <c r="P1722">
        <f t="shared" si="81"/>
        <v>-400</v>
      </c>
      <c r="Q1722" s="11">
        <f>IF(P1722=0,0,IFERROR(Q1721+G1722*M1722*IF(E1722="FUTURE",VLOOKUP(MID(I1722,2,2),[1]Futures!$A$2:$B$12,2),1),G1722*M1722*IF(E1722="FUTURE",VLOOKUP(MID(I1722,2,2),[1]Futures!$A$2:$B$12,2),1)))</f>
        <v>-13526.24</v>
      </c>
      <c r="R1722" s="12">
        <f>IFERROR(Q1722/P1722/IF(E1722="FUTURE",VLOOKUP(MID(I1722,2,2),[1]Futures!$A$2:$B$12,2),1),"")</f>
        <v>33.815599999999996</v>
      </c>
      <c r="S1722" s="13" t="str">
        <f>IF(AND(H1722="TO CLOSE",P1722=0),-G1722*(M1722-R1721)*IF(E1722="FUTURE",VLOOKUP(MID(I1722,2,2),[1]Futures!$A$2:$B$12,2),1),"")</f>
        <v/>
      </c>
    </row>
    <row r="1723" spans="1:19" x14ac:dyDescent="0.2">
      <c r="A1723">
        <f t="shared" si="80"/>
        <v>545</v>
      </c>
      <c r="B1723" s="3">
        <v>44005</v>
      </c>
      <c r="C1723" s="3" t="str">
        <f t="shared" si="79"/>
        <v>Tuesday</v>
      </c>
      <c r="D1723" s="2">
        <v>0.47498842592592588</v>
      </c>
      <c r="E1723" t="s">
        <v>22</v>
      </c>
      <c r="F1723" t="s">
        <v>19</v>
      </c>
      <c r="G1723">
        <v>135</v>
      </c>
      <c r="H1723" t="s">
        <v>16</v>
      </c>
      <c r="I1723" t="s">
        <v>23</v>
      </c>
      <c r="L1723" t="s">
        <v>22</v>
      </c>
      <c r="M1723">
        <v>33.729999999999997</v>
      </c>
      <c r="N1723">
        <v>33.729999999999997</v>
      </c>
      <c r="O1723" t="s">
        <v>21</v>
      </c>
      <c r="P1723">
        <f t="shared" si="81"/>
        <v>-265</v>
      </c>
      <c r="Q1723" s="11">
        <f>IF(P1723=0,0,IFERROR(Q1722+G1723*M1723*IF(E1723="FUTURE",VLOOKUP(MID(I1723,2,2),[1]Futures!$A$2:$B$12,2),1),G1723*M1723*IF(E1723="FUTURE",VLOOKUP(MID(I1723,2,2),[1]Futures!$A$2:$B$12,2),1)))</f>
        <v>-8972.69</v>
      </c>
      <c r="R1723" s="12">
        <f>IFERROR(Q1723/P1723/IF(E1723="FUTURE",VLOOKUP(MID(I1723,2,2),[1]Futures!$A$2:$B$12,2),1),"")</f>
        <v>33.859207547169817</v>
      </c>
      <c r="S1723" s="13" t="str">
        <f>IF(AND(H1723="TO CLOSE",P1723=0),-G1723*(M1723-R1722)*IF(E1723="FUTURE",VLOOKUP(MID(I1723,2,2),[1]Futures!$A$2:$B$12,2),1),"")</f>
        <v/>
      </c>
    </row>
    <row r="1724" spans="1:19" x14ac:dyDescent="0.2">
      <c r="A1724">
        <f t="shared" si="80"/>
        <v>545</v>
      </c>
      <c r="B1724" s="3">
        <v>44005</v>
      </c>
      <c r="C1724" s="3" t="str">
        <f t="shared" si="79"/>
        <v>Tuesday</v>
      </c>
      <c r="D1724" s="2">
        <v>0.47498842592592588</v>
      </c>
      <c r="E1724" t="s">
        <v>22</v>
      </c>
      <c r="F1724" t="s">
        <v>19</v>
      </c>
      <c r="G1724">
        <v>50</v>
      </c>
      <c r="H1724" t="s">
        <v>16</v>
      </c>
      <c r="I1724" t="s">
        <v>23</v>
      </c>
      <c r="L1724" t="s">
        <v>22</v>
      </c>
      <c r="M1724">
        <v>33.729999999999997</v>
      </c>
      <c r="N1724">
        <v>33.729999999999997</v>
      </c>
      <c r="O1724" t="s">
        <v>21</v>
      </c>
      <c r="P1724">
        <f t="shared" si="81"/>
        <v>-215</v>
      </c>
      <c r="Q1724" s="11">
        <f>IF(P1724=0,0,IFERROR(Q1723+G1724*M1724*IF(E1724="FUTURE",VLOOKUP(MID(I1724,2,2),[1]Futures!$A$2:$B$12,2),1),G1724*M1724*IF(E1724="FUTURE",VLOOKUP(MID(I1724,2,2),[1]Futures!$A$2:$B$12,2),1)))</f>
        <v>-7286.1900000000005</v>
      </c>
      <c r="R1724" s="12">
        <f>IFERROR(Q1724/P1724/IF(E1724="FUTURE",VLOOKUP(MID(I1724,2,2),[1]Futures!$A$2:$B$12,2),1),"")</f>
        <v>33.88925581395349</v>
      </c>
      <c r="S1724" s="13" t="str">
        <f>IF(AND(H1724="TO CLOSE",P1724=0),-G1724*(M1724-R1723)*IF(E1724="FUTURE",VLOOKUP(MID(I1724,2,2),[1]Futures!$A$2:$B$12,2),1),"")</f>
        <v/>
      </c>
    </row>
    <row r="1725" spans="1:19" x14ac:dyDescent="0.2">
      <c r="A1725">
        <f t="shared" si="80"/>
        <v>545</v>
      </c>
      <c r="B1725" s="3">
        <v>44005</v>
      </c>
      <c r="C1725" s="3" t="str">
        <f t="shared" si="79"/>
        <v>Tuesday</v>
      </c>
      <c r="D1725" s="2">
        <v>0.47498842592592588</v>
      </c>
      <c r="E1725" t="s">
        <v>22</v>
      </c>
      <c r="F1725" t="s">
        <v>19</v>
      </c>
      <c r="G1725">
        <v>10</v>
      </c>
      <c r="H1725" t="s">
        <v>16</v>
      </c>
      <c r="I1725" t="s">
        <v>23</v>
      </c>
      <c r="L1725" t="s">
        <v>22</v>
      </c>
      <c r="M1725">
        <v>33.729999999999997</v>
      </c>
      <c r="N1725">
        <v>33.729999999999997</v>
      </c>
      <c r="O1725" t="s">
        <v>21</v>
      </c>
      <c r="P1725">
        <f t="shared" si="81"/>
        <v>-205</v>
      </c>
      <c r="Q1725" s="11">
        <f>IF(P1725=0,0,IFERROR(Q1724+G1725*M1725*IF(E1725="FUTURE",VLOOKUP(MID(I1725,2,2),[1]Futures!$A$2:$B$12,2),1),G1725*M1725*IF(E1725="FUTURE",VLOOKUP(MID(I1725,2,2),[1]Futures!$A$2:$B$12,2),1)))</f>
        <v>-6948.89</v>
      </c>
      <c r="R1725" s="12">
        <f>IFERROR(Q1725/P1725/IF(E1725="FUTURE",VLOOKUP(MID(I1725,2,2),[1]Futures!$A$2:$B$12,2),1),"")</f>
        <v>33.897024390243907</v>
      </c>
      <c r="S1725" s="13" t="str">
        <f>IF(AND(H1725="TO CLOSE",P1725=0),-G1725*(M1725-R1724)*IF(E1725="FUTURE",VLOOKUP(MID(I1725,2,2),[1]Futures!$A$2:$B$12,2),1),"")</f>
        <v/>
      </c>
    </row>
    <row r="1726" spans="1:19" x14ac:dyDescent="0.2">
      <c r="A1726">
        <f t="shared" si="80"/>
        <v>545</v>
      </c>
      <c r="B1726" s="3">
        <v>44005</v>
      </c>
      <c r="C1726" s="3" t="str">
        <f t="shared" ref="C1726:C1789" si="82">IF(WEEKDAY(B1726,2)=1,"Monday",IF(WEEKDAY(B1726,2)=2,"Tuesday",IF(WEEKDAY(B1726,2)=3,"Wednesday",IF(WEEKDAY(B1726,2)=4,"Thursday",IF(WEEKDAY(B1726,2)=5,"Friday","Sunday")))))</f>
        <v>Tuesday</v>
      </c>
      <c r="D1726" s="2">
        <v>0.47498842592592588</v>
      </c>
      <c r="E1726" t="s">
        <v>22</v>
      </c>
      <c r="F1726" t="s">
        <v>19</v>
      </c>
      <c r="G1726">
        <v>10</v>
      </c>
      <c r="H1726" t="s">
        <v>16</v>
      </c>
      <c r="I1726" t="s">
        <v>23</v>
      </c>
      <c r="L1726" t="s">
        <v>22</v>
      </c>
      <c r="M1726">
        <v>33.729999999999997</v>
      </c>
      <c r="N1726">
        <v>33.729999999999997</v>
      </c>
      <c r="O1726" t="s">
        <v>21</v>
      </c>
      <c r="P1726">
        <f t="shared" si="81"/>
        <v>-195</v>
      </c>
      <c r="Q1726" s="11">
        <f>IF(P1726=0,0,IFERROR(Q1725+G1726*M1726*IF(E1726="FUTURE",VLOOKUP(MID(I1726,2,2),[1]Futures!$A$2:$B$12,2),1),G1726*M1726*IF(E1726="FUTURE",VLOOKUP(MID(I1726,2,2),[1]Futures!$A$2:$B$12,2),1)))</f>
        <v>-6611.59</v>
      </c>
      <c r="R1726" s="12">
        <f>IFERROR(Q1726/P1726/IF(E1726="FUTURE",VLOOKUP(MID(I1726,2,2),[1]Futures!$A$2:$B$12,2),1),"")</f>
        <v>33.905589743589744</v>
      </c>
      <c r="S1726" s="13" t="str">
        <f>IF(AND(H1726="TO CLOSE",P1726=0),-G1726*(M1726-R1725)*IF(E1726="FUTURE",VLOOKUP(MID(I1726,2,2),[1]Futures!$A$2:$B$12,2),1),"")</f>
        <v/>
      </c>
    </row>
    <row r="1727" spans="1:19" x14ac:dyDescent="0.2">
      <c r="A1727">
        <f t="shared" si="80"/>
        <v>545</v>
      </c>
      <c r="B1727" s="3">
        <v>44005</v>
      </c>
      <c r="C1727" s="3" t="str">
        <f t="shared" si="82"/>
        <v>Tuesday</v>
      </c>
      <c r="D1727" s="2">
        <v>0.47498842592592588</v>
      </c>
      <c r="E1727" t="s">
        <v>22</v>
      </c>
      <c r="F1727" t="s">
        <v>19</v>
      </c>
      <c r="G1727">
        <v>11</v>
      </c>
      <c r="H1727" t="s">
        <v>16</v>
      </c>
      <c r="I1727" t="s">
        <v>23</v>
      </c>
      <c r="L1727" t="s">
        <v>22</v>
      </c>
      <c r="M1727">
        <v>33.729999999999997</v>
      </c>
      <c r="N1727">
        <v>33.729999999999997</v>
      </c>
      <c r="O1727" t="s">
        <v>21</v>
      </c>
      <c r="P1727">
        <f t="shared" si="81"/>
        <v>-184</v>
      </c>
      <c r="Q1727" s="11">
        <f>IF(P1727=0,0,IFERROR(Q1726+G1727*M1727*IF(E1727="FUTURE",VLOOKUP(MID(I1727,2,2),[1]Futures!$A$2:$B$12,2),1),G1727*M1727*IF(E1727="FUTURE",VLOOKUP(MID(I1727,2,2),[1]Futures!$A$2:$B$12,2),1)))</f>
        <v>-6240.56</v>
      </c>
      <c r="R1727" s="12">
        <f>IFERROR(Q1727/P1727/IF(E1727="FUTURE",VLOOKUP(MID(I1727,2,2),[1]Futures!$A$2:$B$12,2),1),"")</f>
        <v>33.916086956521738</v>
      </c>
      <c r="S1727" s="13" t="str">
        <f>IF(AND(H1727="TO CLOSE",P1727=0),-G1727*(M1727-R1726)*IF(E1727="FUTURE",VLOOKUP(MID(I1727,2,2),[1]Futures!$A$2:$B$12,2),1),"")</f>
        <v/>
      </c>
    </row>
    <row r="1728" spans="1:19" x14ac:dyDescent="0.2">
      <c r="A1728">
        <f t="shared" si="80"/>
        <v>545</v>
      </c>
      <c r="B1728" s="3">
        <v>44005</v>
      </c>
      <c r="C1728" s="3" t="str">
        <f t="shared" si="82"/>
        <v>Tuesday</v>
      </c>
      <c r="D1728" s="2">
        <v>0.47498842592592588</v>
      </c>
      <c r="E1728" t="s">
        <v>22</v>
      </c>
      <c r="F1728" t="s">
        <v>19</v>
      </c>
      <c r="G1728">
        <v>11</v>
      </c>
      <c r="H1728" t="s">
        <v>16</v>
      </c>
      <c r="I1728" t="s">
        <v>23</v>
      </c>
      <c r="L1728" t="s">
        <v>22</v>
      </c>
      <c r="M1728">
        <v>33.729999999999997</v>
      </c>
      <c r="N1728">
        <v>33.729999999999997</v>
      </c>
      <c r="O1728" t="s">
        <v>21</v>
      </c>
      <c r="P1728">
        <f t="shared" si="81"/>
        <v>-173</v>
      </c>
      <c r="Q1728" s="11">
        <f>IF(P1728=0,0,IFERROR(Q1727+G1728*M1728*IF(E1728="FUTURE",VLOOKUP(MID(I1728,2,2),[1]Futures!$A$2:$B$12,2),1),G1728*M1728*IF(E1728="FUTURE",VLOOKUP(MID(I1728,2,2),[1]Futures!$A$2:$B$12,2),1)))</f>
        <v>-5869.5300000000007</v>
      </c>
      <c r="R1728" s="12">
        <f>IFERROR(Q1728/P1728/IF(E1728="FUTURE",VLOOKUP(MID(I1728,2,2),[1]Futures!$A$2:$B$12,2),1),"")</f>
        <v>33.927919075144516</v>
      </c>
      <c r="S1728" s="13" t="str">
        <f>IF(AND(H1728="TO CLOSE",P1728=0),-G1728*(M1728-R1727)*IF(E1728="FUTURE",VLOOKUP(MID(I1728,2,2),[1]Futures!$A$2:$B$12,2),1),"")</f>
        <v/>
      </c>
    </row>
    <row r="1729" spans="1:19" x14ac:dyDescent="0.2">
      <c r="A1729">
        <f t="shared" si="80"/>
        <v>545</v>
      </c>
      <c r="B1729" s="3">
        <v>44005</v>
      </c>
      <c r="C1729" s="3" t="str">
        <f t="shared" si="82"/>
        <v>Tuesday</v>
      </c>
      <c r="D1729" s="2">
        <v>0.47498842592592588</v>
      </c>
      <c r="E1729" t="s">
        <v>22</v>
      </c>
      <c r="F1729" t="s">
        <v>19</v>
      </c>
      <c r="G1729">
        <v>11</v>
      </c>
      <c r="H1729" t="s">
        <v>16</v>
      </c>
      <c r="I1729" t="s">
        <v>23</v>
      </c>
      <c r="L1729" t="s">
        <v>22</v>
      </c>
      <c r="M1729">
        <v>33.729999999999997</v>
      </c>
      <c r="N1729">
        <v>33.729999999999997</v>
      </c>
      <c r="O1729" t="s">
        <v>21</v>
      </c>
      <c r="P1729">
        <f t="shared" si="81"/>
        <v>-162</v>
      </c>
      <c r="Q1729" s="11">
        <f>IF(P1729=0,0,IFERROR(Q1728+G1729*M1729*IF(E1729="FUTURE",VLOOKUP(MID(I1729,2,2),[1]Futures!$A$2:$B$12,2),1),G1729*M1729*IF(E1729="FUTURE",VLOOKUP(MID(I1729,2,2),[1]Futures!$A$2:$B$12,2),1)))</f>
        <v>-5498.5000000000009</v>
      </c>
      <c r="R1729" s="12">
        <f>IFERROR(Q1729/P1729/IF(E1729="FUTURE",VLOOKUP(MID(I1729,2,2),[1]Futures!$A$2:$B$12,2),1),"")</f>
        <v>33.941358024691361</v>
      </c>
      <c r="S1729" s="13" t="str">
        <f>IF(AND(H1729="TO CLOSE",P1729=0),-G1729*(M1729-R1728)*IF(E1729="FUTURE",VLOOKUP(MID(I1729,2,2),[1]Futures!$A$2:$B$12,2),1),"")</f>
        <v/>
      </c>
    </row>
    <row r="1730" spans="1:19" x14ac:dyDescent="0.2">
      <c r="A1730">
        <f t="shared" ref="A1730:A1793" si="83">IF(AND(P1729=0,H1729="TO CLOSE"),IFERROR(A1729+1,1),IFERROR(A1729/1,1))</f>
        <v>545</v>
      </c>
      <c r="B1730" s="3">
        <v>44005</v>
      </c>
      <c r="C1730" s="3" t="str">
        <f t="shared" si="82"/>
        <v>Tuesday</v>
      </c>
      <c r="D1730" s="2">
        <v>0.47498842592592588</v>
      </c>
      <c r="E1730" t="s">
        <v>22</v>
      </c>
      <c r="F1730" t="s">
        <v>19</v>
      </c>
      <c r="G1730">
        <v>49</v>
      </c>
      <c r="H1730" t="s">
        <v>16</v>
      </c>
      <c r="I1730" t="s">
        <v>23</v>
      </c>
      <c r="L1730" t="s">
        <v>22</v>
      </c>
      <c r="M1730">
        <v>33.729999999999997</v>
      </c>
      <c r="N1730">
        <v>33.729999999999997</v>
      </c>
      <c r="O1730" t="s">
        <v>21</v>
      </c>
      <c r="P1730">
        <f t="shared" si="81"/>
        <v>-113</v>
      </c>
      <c r="Q1730" s="11">
        <f>IF(P1730=0,0,IFERROR(Q1729+G1730*M1730*IF(E1730="FUTURE",VLOOKUP(MID(I1730,2,2),[1]Futures!$A$2:$B$12,2),1),G1730*M1730*IF(E1730="FUTURE",VLOOKUP(MID(I1730,2,2),[1]Futures!$A$2:$B$12,2),1)))</f>
        <v>-3845.7300000000014</v>
      </c>
      <c r="R1730" s="12">
        <f>IFERROR(Q1730/P1730/IF(E1730="FUTURE",VLOOKUP(MID(I1730,2,2),[1]Futures!$A$2:$B$12,2),1),"")</f>
        <v>34.033008849557532</v>
      </c>
      <c r="S1730" s="13" t="str">
        <f>IF(AND(H1730="TO CLOSE",P1730=0),-G1730*(M1730-R1729)*IF(E1730="FUTURE",VLOOKUP(MID(I1730,2,2),[1]Futures!$A$2:$B$12,2),1),"")</f>
        <v/>
      </c>
    </row>
    <row r="1731" spans="1:19" x14ac:dyDescent="0.2">
      <c r="A1731">
        <f t="shared" si="83"/>
        <v>545</v>
      </c>
      <c r="B1731" s="3">
        <v>44005</v>
      </c>
      <c r="C1731" s="3" t="str">
        <f t="shared" si="82"/>
        <v>Tuesday</v>
      </c>
      <c r="D1731" s="2">
        <v>0.47498842592592588</v>
      </c>
      <c r="E1731" t="s">
        <v>22</v>
      </c>
      <c r="F1731" t="s">
        <v>19</v>
      </c>
      <c r="G1731">
        <v>13</v>
      </c>
      <c r="H1731" t="s">
        <v>16</v>
      </c>
      <c r="I1731" t="s">
        <v>23</v>
      </c>
      <c r="L1731" t="s">
        <v>22</v>
      </c>
      <c r="M1731">
        <v>33.729999999999997</v>
      </c>
      <c r="N1731">
        <v>33.729999999999997</v>
      </c>
      <c r="O1731" t="s">
        <v>21</v>
      </c>
      <c r="P1731">
        <f t="shared" ref="P1731:P1794" si="84">IF(H1731="TO OPEN",IFERROR(P1730+G1731,0+G1731),IFERROR(P1730+G1731,0+G1731))</f>
        <v>-100</v>
      </c>
      <c r="Q1731" s="11">
        <f>IF(P1731=0,0,IFERROR(Q1730+G1731*M1731*IF(E1731="FUTURE",VLOOKUP(MID(I1731,2,2),[1]Futures!$A$2:$B$12,2),1),G1731*M1731*IF(E1731="FUTURE",VLOOKUP(MID(I1731,2,2),[1]Futures!$A$2:$B$12,2),1)))</f>
        <v>-3407.2400000000016</v>
      </c>
      <c r="R1731" s="12">
        <f>IFERROR(Q1731/P1731/IF(E1731="FUTURE",VLOOKUP(MID(I1731,2,2),[1]Futures!$A$2:$B$12,2),1),"")</f>
        <v>34.072400000000016</v>
      </c>
      <c r="S1731" s="13" t="str">
        <f>IF(AND(H1731="TO CLOSE",P1731=0),-G1731*(M1731-R1730)*IF(E1731="FUTURE",VLOOKUP(MID(I1731,2,2),[1]Futures!$A$2:$B$12,2),1),"")</f>
        <v/>
      </c>
    </row>
    <row r="1732" spans="1:19" x14ac:dyDescent="0.2">
      <c r="A1732">
        <f t="shared" si="83"/>
        <v>545</v>
      </c>
      <c r="B1732" s="3">
        <v>44005</v>
      </c>
      <c r="C1732" s="3" t="str">
        <f t="shared" si="82"/>
        <v>Tuesday</v>
      </c>
      <c r="D1732" s="2">
        <v>0.47498842592592588</v>
      </c>
      <c r="E1732" t="s">
        <v>22</v>
      </c>
      <c r="F1732" t="s">
        <v>19</v>
      </c>
      <c r="G1732">
        <v>100</v>
      </c>
      <c r="H1732" t="s">
        <v>16</v>
      </c>
      <c r="I1732" t="s">
        <v>23</v>
      </c>
      <c r="L1732" t="s">
        <v>22</v>
      </c>
      <c r="M1732">
        <v>33.729999999999997</v>
      </c>
      <c r="N1732">
        <v>33.729999999999997</v>
      </c>
      <c r="O1732" t="s">
        <v>21</v>
      </c>
      <c r="P1732">
        <f t="shared" si="84"/>
        <v>0</v>
      </c>
      <c r="Q1732" s="11">
        <f>IF(P1732=0,0,IFERROR(Q1731+G1732*M1732*IF(E1732="FUTURE",VLOOKUP(MID(I1732,2,2),[1]Futures!$A$2:$B$12,2),1),G1732*M1732*IF(E1732="FUTURE",VLOOKUP(MID(I1732,2,2),[1]Futures!$A$2:$B$12,2),1)))</f>
        <v>0</v>
      </c>
      <c r="R1732" s="12" t="str">
        <f>IFERROR(Q1732/P1732/IF(E1732="FUTURE",VLOOKUP(MID(I1732,2,2),[1]Futures!$A$2:$B$12,2),1),"")</f>
        <v/>
      </c>
      <c r="S1732" s="13">
        <f>IF(AND(H1732="TO CLOSE",P1732=0),-G1732*(M1732-R1731)*IF(E1732="FUTURE",VLOOKUP(MID(I1732,2,2),[1]Futures!$A$2:$B$12,2),1),"")</f>
        <v>34.240000000001913</v>
      </c>
    </row>
    <row r="1733" spans="1:19" x14ac:dyDescent="0.2">
      <c r="A1733">
        <f t="shared" si="83"/>
        <v>546</v>
      </c>
      <c r="B1733" s="3">
        <v>44005</v>
      </c>
      <c r="C1733" s="3" t="str">
        <f t="shared" si="82"/>
        <v>Tuesday</v>
      </c>
      <c r="D1733" s="2">
        <v>0.49920138888888888</v>
      </c>
      <c r="E1733" t="s">
        <v>22</v>
      </c>
      <c r="F1733" t="s">
        <v>15</v>
      </c>
      <c r="G1733">
        <v>-100</v>
      </c>
      <c r="H1733" t="s">
        <v>20</v>
      </c>
      <c r="I1733" t="s">
        <v>23</v>
      </c>
      <c r="L1733" t="s">
        <v>22</v>
      </c>
      <c r="M1733">
        <v>33.870100000000001</v>
      </c>
      <c r="N1733">
        <v>33.870100000000001</v>
      </c>
      <c r="O1733" t="s">
        <v>24</v>
      </c>
      <c r="P1733">
        <f t="shared" si="84"/>
        <v>-100</v>
      </c>
      <c r="Q1733" s="11">
        <f>IF(P1733=0,0,IFERROR(Q1732+G1733*M1733*IF(E1733="FUTURE",VLOOKUP(MID(I1733,2,2),[1]Futures!$A$2:$B$12,2),1),G1733*M1733*IF(E1733="FUTURE",VLOOKUP(MID(I1733,2,2),[1]Futures!$A$2:$B$12,2),1)))</f>
        <v>-3387.01</v>
      </c>
      <c r="R1733" s="12">
        <f>IFERROR(Q1733/P1733/IF(E1733="FUTURE",VLOOKUP(MID(I1733,2,2),[1]Futures!$A$2:$B$12,2),1),"")</f>
        <v>33.870100000000001</v>
      </c>
      <c r="S1733" s="13" t="str">
        <f>IF(AND(H1733="TO CLOSE",P1733=0),-G1733*(M1733-R1732)*IF(E1733="FUTURE",VLOOKUP(MID(I1733,2,2),[1]Futures!$A$2:$B$12,2),1),"")</f>
        <v/>
      </c>
    </row>
    <row r="1734" spans="1:19" x14ac:dyDescent="0.2">
      <c r="A1734">
        <f t="shared" si="83"/>
        <v>546</v>
      </c>
      <c r="B1734" s="3">
        <v>44005</v>
      </c>
      <c r="C1734" s="3" t="str">
        <f t="shared" si="82"/>
        <v>Tuesday</v>
      </c>
      <c r="D1734" s="2">
        <v>0.49920138888888888</v>
      </c>
      <c r="E1734" t="s">
        <v>22</v>
      </c>
      <c r="F1734" t="s">
        <v>15</v>
      </c>
      <c r="G1734">
        <v>-100</v>
      </c>
      <c r="H1734" t="s">
        <v>20</v>
      </c>
      <c r="I1734" t="s">
        <v>23</v>
      </c>
      <c r="L1734" t="s">
        <v>22</v>
      </c>
      <c r="M1734">
        <v>33.870100000000001</v>
      </c>
      <c r="N1734">
        <v>33.870100000000001</v>
      </c>
      <c r="O1734" t="s">
        <v>24</v>
      </c>
      <c r="P1734">
        <f t="shared" si="84"/>
        <v>-200</v>
      </c>
      <c r="Q1734" s="11">
        <f>IF(P1734=0,0,IFERROR(Q1733+G1734*M1734*IF(E1734="FUTURE",VLOOKUP(MID(I1734,2,2),[1]Futures!$A$2:$B$12,2),1),G1734*M1734*IF(E1734="FUTURE",VLOOKUP(MID(I1734,2,2),[1]Futures!$A$2:$B$12,2),1)))</f>
        <v>-6774.02</v>
      </c>
      <c r="R1734" s="12">
        <f>IFERROR(Q1734/P1734/IF(E1734="FUTURE",VLOOKUP(MID(I1734,2,2),[1]Futures!$A$2:$B$12,2),1),"")</f>
        <v>33.870100000000001</v>
      </c>
      <c r="S1734" s="13" t="str">
        <f>IF(AND(H1734="TO CLOSE",P1734=0),-G1734*(M1734-R1733)*IF(E1734="FUTURE",VLOOKUP(MID(I1734,2,2),[1]Futures!$A$2:$B$12,2),1),"")</f>
        <v/>
      </c>
    </row>
    <row r="1735" spans="1:19" x14ac:dyDescent="0.2">
      <c r="A1735">
        <f t="shared" si="83"/>
        <v>546</v>
      </c>
      <c r="B1735" s="3">
        <v>44005</v>
      </c>
      <c r="C1735" s="3" t="str">
        <f t="shared" si="82"/>
        <v>Tuesday</v>
      </c>
      <c r="D1735" s="2">
        <v>0.49920138888888888</v>
      </c>
      <c r="E1735" t="s">
        <v>22</v>
      </c>
      <c r="F1735" t="s">
        <v>15</v>
      </c>
      <c r="G1735">
        <v>-100</v>
      </c>
      <c r="H1735" t="s">
        <v>20</v>
      </c>
      <c r="I1735" t="s">
        <v>23</v>
      </c>
      <c r="L1735" t="s">
        <v>22</v>
      </c>
      <c r="M1735">
        <v>33.870100000000001</v>
      </c>
      <c r="N1735">
        <v>33.870100000000001</v>
      </c>
      <c r="O1735" t="s">
        <v>24</v>
      </c>
      <c r="P1735">
        <f t="shared" si="84"/>
        <v>-300</v>
      </c>
      <c r="Q1735" s="11">
        <f>IF(P1735=0,0,IFERROR(Q1734+G1735*M1735*IF(E1735="FUTURE",VLOOKUP(MID(I1735,2,2),[1]Futures!$A$2:$B$12,2),1),G1735*M1735*IF(E1735="FUTURE",VLOOKUP(MID(I1735,2,2),[1]Futures!$A$2:$B$12,2),1)))</f>
        <v>-10161.030000000001</v>
      </c>
      <c r="R1735" s="12">
        <f>IFERROR(Q1735/P1735/IF(E1735="FUTURE",VLOOKUP(MID(I1735,2,2),[1]Futures!$A$2:$B$12,2),1),"")</f>
        <v>33.870100000000001</v>
      </c>
      <c r="S1735" s="13" t="str">
        <f>IF(AND(H1735="TO CLOSE",P1735=0),-G1735*(M1735-R1734)*IF(E1735="FUTURE",VLOOKUP(MID(I1735,2,2),[1]Futures!$A$2:$B$12,2),1),"")</f>
        <v/>
      </c>
    </row>
    <row r="1736" spans="1:19" x14ac:dyDescent="0.2">
      <c r="A1736">
        <f t="shared" si="83"/>
        <v>546</v>
      </c>
      <c r="B1736" s="3">
        <v>44005</v>
      </c>
      <c r="C1736" s="3" t="str">
        <f t="shared" si="82"/>
        <v>Tuesday</v>
      </c>
      <c r="D1736" s="2">
        <v>0.49920138888888888</v>
      </c>
      <c r="E1736" t="s">
        <v>22</v>
      </c>
      <c r="F1736" t="s">
        <v>15</v>
      </c>
      <c r="G1736">
        <v>-100</v>
      </c>
      <c r="H1736" t="s">
        <v>20</v>
      </c>
      <c r="I1736" t="s">
        <v>23</v>
      </c>
      <c r="L1736" t="s">
        <v>22</v>
      </c>
      <c r="M1736">
        <v>33.870100000000001</v>
      </c>
      <c r="N1736">
        <v>33.870100000000001</v>
      </c>
      <c r="O1736" t="s">
        <v>24</v>
      </c>
      <c r="P1736">
        <f t="shared" si="84"/>
        <v>-400</v>
      </c>
      <c r="Q1736" s="11">
        <f>IF(P1736=0,0,IFERROR(Q1735+G1736*M1736*IF(E1736="FUTURE",VLOOKUP(MID(I1736,2,2),[1]Futures!$A$2:$B$12,2),1),G1736*M1736*IF(E1736="FUTURE",VLOOKUP(MID(I1736,2,2),[1]Futures!$A$2:$B$12,2),1)))</f>
        <v>-13548.04</v>
      </c>
      <c r="R1736" s="12">
        <f>IFERROR(Q1736/P1736/IF(E1736="FUTURE",VLOOKUP(MID(I1736,2,2),[1]Futures!$A$2:$B$12,2),1),"")</f>
        <v>33.870100000000001</v>
      </c>
      <c r="S1736" s="13" t="str">
        <f>IF(AND(H1736="TO CLOSE",P1736=0),-G1736*(M1736-R1735)*IF(E1736="FUTURE",VLOOKUP(MID(I1736,2,2),[1]Futures!$A$2:$B$12,2),1),"")</f>
        <v/>
      </c>
    </row>
    <row r="1737" spans="1:19" x14ac:dyDescent="0.2">
      <c r="A1737">
        <f t="shared" si="83"/>
        <v>546</v>
      </c>
      <c r="B1737" s="3">
        <v>44005</v>
      </c>
      <c r="C1737" s="3" t="str">
        <f t="shared" si="82"/>
        <v>Tuesday</v>
      </c>
      <c r="D1737" s="2">
        <v>0.50167824074074074</v>
      </c>
      <c r="E1737" t="s">
        <v>22</v>
      </c>
      <c r="F1737" t="s">
        <v>19</v>
      </c>
      <c r="G1737">
        <v>200</v>
      </c>
      <c r="H1737" t="s">
        <v>16</v>
      </c>
      <c r="I1737" t="s">
        <v>23</v>
      </c>
      <c r="L1737" t="s">
        <v>22</v>
      </c>
      <c r="M1737">
        <v>33.765000000000001</v>
      </c>
      <c r="N1737">
        <v>33.765000000000001</v>
      </c>
      <c r="O1737" t="s">
        <v>21</v>
      </c>
      <c r="P1737">
        <f t="shared" si="84"/>
        <v>-200</v>
      </c>
      <c r="Q1737" s="11">
        <f>IF(P1737=0,0,IFERROR(Q1736+G1737*M1737*IF(E1737="FUTURE",VLOOKUP(MID(I1737,2,2),[1]Futures!$A$2:$B$12,2),1),G1737*M1737*IF(E1737="FUTURE",VLOOKUP(MID(I1737,2,2),[1]Futures!$A$2:$B$12,2),1)))</f>
        <v>-6795.0400000000009</v>
      </c>
      <c r="R1737" s="12">
        <f>IFERROR(Q1737/P1737/IF(E1737="FUTURE",VLOOKUP(MID(I1737,2,2),[1]Futures!$A$2:$B$12,2),1),"")</f>
        <v>33.975200000000001</v>
      </c>
      <c r="S1737" s="13" t="str">
        <f>IF(AND(H1737="TO CLOSE",P1737=0),-G1737*(M1737-R1736)*IF(E1737="FUTURE",VLOOKUP(MID(I1737,2,2),[1]Futures!$A$2:$B$12,2),1),"")</f>
        <v/>
      </c>
    </row>
    <row r="1738" spans="1:19" x14ac:dyDescent="0.2">
      <c r="A1738">
        <f t="shared" si="83"/>
        <v>546</v>
      </c>
      <c r="B1738" s="3">
        <v>44005</v>
      </c>
      <c r="C1738" s="3" t="str">
        <f t="shared" si="82"/>
        <v>Tuesday</v>
      </c>
      <c r="D1738" s="2">
        <v>0.50342592592592594</v>
      </c>
      <c r="E1738" t="s">
        <v>22</v>
      </c>
      <c r="F1738" t="s">
        <v>19</v>
      </c>
      <c r="G1738">
        <v>200</v>
      </c>
      <c r="H1738" t="s">
        <v>16</v>
      </c>
      <c r="I1738" t="s">
        <v>23</v>
      </c>
      <c r="L1738" t="s">
        <v>22</v>
      </c>
      <c r="M1738">
        <v>33.759900000000002</v>
      </c>
      <c r="N1738">
        <v>33.759900000000002</v>
      </c>
      <c r="O1738" t="s">
        <v>21</v>
      </c>
      <c r="P1738">
        <f t="shared" si="84"/>
        <v>0</v>
      </c>
      <c r="Q1738" s="11">
        <f>IF(P1738=0,0,IFERROR(Q1737+G1738*M1738*IF(E1738="FUTURE",VLOOKUP(MID(I1738,2,2),[1]Futures!$A$2:$B$12,2),1),G1738*M1738*IF(E1738="FUTURE",VLOOKUP(MID(I1738,2,2),[1]Futures!$A$2:$B$12,2),1)))</f>
        <v>0</v>
      </c>
      <c r="R1738" s="12" t="str">
        <f>IFERROR(Q1738/P1738/IF(E1738="FUTURE",VLOOKUP(MID(I1738,2,2),[1]Futures!$A$2:$B$12,2),1),"")</f>
        <v/>
      </c>
      <c r="S1738" s="13">
        <f>IF(AND(H1738="TO CLOSE",P1738=0),-G1738*(M1738-R1737)*IF(E1738="FUTURE",VLOOKUP(MID(I1738,2,2),[1]Futures!$A$2:$B$12,2),1),"")</f>
        <v>43.059999999999832</v>
      </c>
    </row>
    <row r="1739" spans="1:19" x14ac:dyDescent="0.2">
      <c r="A1739">
        <f t="shared" si="83"/>
        <v>547</v>
      </c>
      <c r="B1739" s="3">
        <v>44006</v>
      </c>
      <c r="C1739" s="3" t="str">
        <f t="shared" si="82"/>
        <v>Wednesday</v>
      </c>
      <c r="D1739" s="2">
        <v>0.40211805555555552</v>
      </c>
      <c r="E1739" t="s">
        <v>14</v>
      </c>
      <c r="F1739" t="s">
        <v>19</v>
      </c>
      <c r="G1739">
        <v>1</v>
      </c>
      <c r="H1739" t="s">
        <v>20</v>
      </c>
      <c r="I1739" t="s">
        <v>77</v>
      </c>
      <c r="J1739" s="1">
        <v>44063</v>
      </c>
      <c r="L1739" t="s">
        <v>14</v>
      </c>
      <c r="M1739">
        <v>39.94</v>
      </c>
      <c r="N1739">
        <v>39.94</v>
      </c>
      <c r="O1739" t="s">
        <v>24</v>
      </c>
      <c r="P1739">
        <f t="shared" si="84"/>
        <v>1</v>
      </c>
      <c r="Q1739" s="11">
        <f>IF(P1739=0,0,IFERROR(Q1738+G1739*M1739*IF(E1739="FUTURE",VLOOKUP(MID(I1739,2,2),[1]Futures!$A$2:$B$12,2),1),G1739*M1739*IF(E1739="FUTURE",VLOOKUP(MID(I1739,2,2),[1]Futures!$A$2:$B$12,2),1)))</f>
        <v>39940</v>
      </c>
      <c r="R1739" s="12">
        <f>IFERROR(Q1739/P1739/IF(E1739="FUTURE",VLOOKUP(MID(I1739,2,2),[1]Futures!$A$2:$B$12,2),1),"")</f>
        <v>39.94</v>
      </c>
      <c r="S1739" s="13" t="str">
        <f>IF(AND(H1739="TO CLOSE",P1739=0),-G1739*(M1739-R1738)*IF(E1739="FUTURE",VLOOKUP(MID(I1739,2,2),[1]Futures!$A$2:$B$12,2),1),"")</f>
        <v/>
      </c>
    </row>
    <row r="1740" spans="1:19" x14ac:dyDescent="0.2">
      <c r="A1740">
        <f t="shared" si="83"/>
        <v>547</v>
      </c>
      <c r="B1740" s="3">
        <v>44006</v>
      </c>
      <c r="C1740" s="3" t="str">
        <f t="shared" si="82"/>
        <v>Wednesday</v>
      </c>
      <c r="D1740" s="2">
        <v>0.41062500000000002</v>
      </c>
      <c r="E1740" t="s">
        <v>14</v>
      </c>
      <c r="F1740" t="s">
        <v>15</v>
      </c>
      <c r="G1740">
        <v>-1</v>
      </c>
      <c r="H1740" t="s">
        <v>16</v>
      </c>
      <c r="I1740" t="s">
        <v>77</v>
      </c>
      <c r="J1740" s="1">
        <v>44063</v>
      </c>
      <c r="L1740" t="s">
        <v>14</v>
      </c>
      <c r="M1740">
        <v>39.71</v>
      </c>
      <c r="N1740">
        <v>39.71</v>
      </c>
      <c r="O1740" t="s">
        <v>24</v>
      </c>
      <c r="P1740">
        <f t="shared" si="84"/>
        <v>0</v>
      </c>
      <c r="Q1740" s="11">
        <f>IF(P1740=0,0,IFERROR(Q1739+G1740*M1740*IF(E1740="FUTURE",VLOOKUP(MID(I1740,2,2),[1]Futures!$A$2:$B$12,2),1),G1740*M1740*IF(E1740="FUTURE",VLOOKUP(MID(I1740,2,2),[1]Futures!$A$2:$B$12,2),1)))</f>
        <v>0</v>
      </c>
      <c r="R1740" s="12" t="str">
        <f>IFERROR(Q1740/P1740/IF(E1740="FUTURE",VLOOKUP(MID(I1740,2,2),[1]Futures!$A$2:$B$12,2),1),"")</f>
        <v/>
      </c>
      <c r="S1740" s="13">
        <f>IF(AND(H1740="TO CLOSE",P1740=0),-G1740*(M1740-R1739)*IF(E1740="FUTURE",VLOOKUP(MID(I1740,2,2),[1]Futures!$A$2:$B$12,2),1),"")</f>
        <v>-229.99999999999687</v>
      </c>
    </row>
    <row r="1741" spans="1:19" x14ac:dyDescent="0.2">
      <c r="A1741">
        <f t="shared" si="83"/>
        <v>548</v>
      </c>
      <c r="B1741" s="3">
        <v>44006</v>
      </c>
      <c r="C1741" s="3" t="str">
        <f t="shared" si="82"/>
        <v>Wednesday</v>
      </c>
      <c r="D1741" s="2">
        <v>0.4227083333333333</v>
      </c>
      <c r="E1741" t="s">
        <v>14</v>
      </c>
      <c r="F1741" t="s">
        <v>19</v>
      </c>
      <c r="G1741">
        <v>1</v>
      </c>
      <c r="H1741" t="s">
        <v>20</v>
      </c>
      <c r="I1741" t="s">
        <v>77</v>
      </c>
      <c r="J1741" s="1">
        <v>44063</v>
      </c>
      <c r="L1741" t="s">
        <v>14</v>
      </c>
      <c r="M1741">
        <v>39.479999999999997</v>
      </c>
      <c r="N1741">
        <v>39.479999999999997</v>
      </c>
      <c r="O1741" t="s">
        <v>24</v>
      </c>
      <c r="P1741">
        <f t="shared" si="84"/>
        <v>1</v>
      </c>
      <c r="Q1741" s="11">
        <f>IF(P1741=0,0,IFERROR(Q1740+G1741*M1741*IF(E1741="FUTURE",VLOOKUP(MID(I1741,2,2),[1]Futures!$A$2:$B$12,2),1),G1741*M1741*IF(E1741="FUTURE",VLOOKUP(MID(I1741,2,2),[1]Futures!$A$2:$B$12,2),1)))</f>
        <v>39480</v>
      </c>
      <c r="R1741" s="12">
        <f>IFERROR(Q1741/P1741/IF(E1741="FUTURE",VLOOKUP(MID(I1741,2,2),[1]Futures!$A$2:$B$12,2),1),"")</f>
        <v>39.479999999999997</v>
      </c>
      <c r="S1741" s="13" t="str">
        <f>IF(AND(H1741="TO CLOSE",P1741=0),-G1741*(M1741-R1740)*IF(E1741="FUTURE",VLOOKUP(MID(I1741,2,2),[1]Futures!$A$2:$B$12,2),1),"")</f>
        <v/>
      </c>
    </row>
    <row r="1742" spans="1:19" x14ac:dyDescent="0.2">
      <c r="A1742">
        <f t="shared" si="83"/>
        <v>548</v>
      </c>
      <c r="B1742" s="3">
        <v>44006</v>
      </c>
      <c r="C1742" s="3" t="str">
        <f t="shared" si="82"/>
        <v>Wednesday</v>
      </c>
      <c r="D1742" s="2">
        <v>0.43567129629629631</v>
      </c>
      <c r="E1742" t="s">
        <v>14</v>
      </c>
      <c r="F1742" t="s">
        <v>15</v>
      </c>
      <c r="G1742">
        <v>-1</v>
      </c>
      <c r="H1742" t="s">
        <v>16</v>
      </c>
      <c r="I1742" t="s">
        <v>77</v>
      </c>
      <c r="J1742" s="1">
        <v>44063</v>
      </c>
      <c r="L1742" t="s">
        <v>14</v>
      </c>
      <c r="M1742">
        <v>39.53</v>
      </c>
      <c r="N1742">
        <v>39.53</v>
      </c>
      <c r="O1742" t="s">
        <v>21</v>
      </c>
      <c r="P1742">
        <f t="shared" si="84"/>
        <v>0</v>
      </c>
      <c r="Q1742" s="11">
        <f>IF(P1742=0,0,IFERROR(Q1741+G1742*M1742*IF(E1742="FUTURE",VLOOKUP(MID(I1742,2,2),[1]Futures!$A$2:$B$12,2),1),G1742*M1742*IF(E1742="FUTURE",VLOOKUP(MID(I1742,2,2),[1]Futures!$A$2:$B$12,2),1)))</f>
        <v>0</v>
      </c>
      <c r="R1742" s="12" t="str">
        <f>IFERROR(Q1742/P1742/IF(E1742="FUTURE",VLOOKUP(MID(I1742,2,2),[1]Futures!$A$2:$B$12,2),1),"")</f>
        <v/>
      </c>
      <c r="S1742" s="13">
        <f>IF(AND(H1742="TO CLOSE",P1742=0),-G1742*(M1742-R1741)*IF(E1742="FUTURE",VLOOKUP(MID(I1742,2,2),[1]Futures!$A$2:$B$12,2),1),"")</f>
        <v>50.000000000004263</v>
      </c>
    </row>
    <row r="1743" spans="1:19" x14ac:dyDescent="0.2">
      <c r="A1743">
        <f t="shared" si="83"/>
        <v>549</v>
      </c>
      <c r="B1743" s="3">
        <v>44006</v>
      </c>
      <c r="C1743" s="3" t="str">
        <f t="shared" si="82"/>
        <v>Wednesday</v>
      </c>
      <c r="D1743" s="2">
        <v>0.43763888888888891</v>
      </c>
      <c r="E1743" t="s">
        <v>14</v>
      </c>
      <c r="F1743" t="s">
        <v>19</v>
      </c>
      <c r="G1743">
        <v>1</v>
      </c>
      <c r="H1743" t="s">
        <v>20</v>
      </c>
      <c r="I1743" t="s">
        <v>77</v>
      </c>
      <c r="J1743" s="1">
        <v>44063</v>
      </c>
      <c r="L1743" t="s">
        <v>14</v>
      </c>
      <c r="M1743">
        <v>39.5</v>
      </c>
      <c r="N1743">
        <v>39.5</v>
      </c>
      <c r="O1743" t="s">
        <v>24</v>
      </c>
      <c r="P1743">
        <f t="shared" si="84"/>
        <v>1</v>
      </c>
      <c r="Q1743" s="11">
        <f>IF(P1743=0,0,IFERROR(Q1742+G1743*M1743*IF(E1743="FUTURE",VLOOKUP(MID(I1743,2,2),[1]Futures!$A$2:$B$12,2),1),G1743*M1743*IF(E1743="FUTURE",VLOOKUP(MID(I1743,2,2),[1]Futures!$A$2:$B$12,2),1)))</f>
        <v>39500</v>
      </c>
      <c r="R1743" s="12">
        <f>IFERROR(Q1743/P1743/IF(E1743="FUTURE",VLOOKUP(MID(I1743,2,2),[1]Futures!$A$2:$B$12,2),1),"")</f>
        <v>39.5</v>
      </c>
      <c r="S1743" s="13" t="str">
        <f>IF(AND(H1743="TO CLOSE",P1743=0),-G1743*(M1743-R1742)*IF(E1743="FUTURE",VLOOKUP(MID(I1743,2,2),[1]Futures!$A$2:$B$12,2),1),"")</f>
        <v/>
      </c>
    </row>
    <row r="1744" spans="1:19" x14ac:dyDescent="0.2">
      <c r="A1744">
        <f t="shared" si="83"/>
        <v>549</v>
      </c>
      <c r="B1744" s="3">
        <v>44006</v>
      </c>
      <c r="C1744" s="3" t="str">
        <f t="shared" si="82"/>
        <v>Wednesday</v>
      </c>
      <c r="D1744" s="2">
        <v>0.4689814814814815</v>
      </c>
      <c r="E1744" t="s">
        <v>14</v>
      </c>
      <c r="F1744" t="s">
        <v>19</v>
      </c>
      <c r="G1744">
        <v>1</v>
      </c>
      <c r="H1744" t="s">
        <v>20</v>
      </c>
      <c r="I1744" t="s">
        <v>77</v>
      </c>
      <c r="J1744" s="1">
        <v>44063</v>
      </c>
      <c r="L1744" t="s">
        <v>14</v>
      </c>
      <c r="M1744">
        <v>38.15</v>
      </c>
      <c r="N1744">
        <v>38.15</v>
      </c>
      <c r="O1744" t="s">
        <v>24</v>
      </c>
      <c r="P1744">
        <f t="shared" si="84"/>
        <v>2</v>
      </c>
      <c r="Q1744" s="11">
        <f>IF(P1744=0,0,IFERROR(Q1743+G1744*M1744*IF(E1744="FUTURE",VLOOKUP(MID(I1744,2,2),[1]Futures!$A$2:$B$12,2),1),G1744*M1744*IF(E1744="FUTURE",VLOOKUP(MID(I1744,2,2),[1]Futures!$A$2:$B$12,2),1)))</f>
        <v>77650</v>
      </c>
      <c r="R1744" s="12">
        <f>IFERROR(Q1744/P1744/IF(E1744="FUTURE",VLOOKUP(MID(I1744,2,2),[1]Futures!$A$2:$B$12,2),1),"")</f>
        <v>38.825000000000003</v>
      </c>
      <c r="S1744" s="13" t="str">
        <f>IF(AND(H1744="TO CLOSE",P1744=0),-G1744*(M1744-R1743)*IF(E1744="FUTURE",VLOOKUP(MID(I1744,2,2),[1]Futures!$A$2:$B$12,2),1),"")</f>
        <v/>
      </c>
    </row>
    <row r="1745" spans="1:19" x14ac:dyDescent="0.2">
      <c r="A1745">
        <f t="shared" si="83"/>
        <v>549</v>
      </c>
      <c r="B1745" s="3">
        <v>44006</v>
      </c>
      <c r="C1745" s="3" t="str">
        <f t="shared" si="82"/>
        <v>Wednesday</v>
      </c>
      <c r="D1745" s="2">
        <v>0.46989583333333335</v>
      </c>
      <c r="E1745" t="s">
        <v>14</v>
      </c>
      <c r="F1745" t="s">
        <v>15</v>
      </c>
      <c r="G1745">
        <v>-2</v>
      </c>
      <c r="H1745" t="s">
        <v>16</v>
      </c>
      <c r="I1745" t="s">
        <v>77</v>
      </c>
      <c r="J1745" s="1">
        <v>44063</v>
      </c>
      <c r="L1745" t="s">
        <v>14</v>
      </c>
      <c r="M1745">
        <v>38.01</v>
      </c>
      <c r="N1745">
        <v>38.01</v>
      </c>
      <c r="O1745" t="s">
        <v>18</v>
      </c>
      <c r="P1745">
        <f t="shared" si="84"/>
        <v>0</v>
      </c>
      <c r="Q1745" s="11">
        <f>IF(P1745=0,0,IFERROR(Q1744+G1745*M1745*IF(E1745="FUTURE",VLOOKUP(MID(I1745,2,2),[1]Futures!$A$2:$B$12,2),1),G1745*M1745*IF(E1745="FUTURE",VLOOKUP(MID(I1745,2,2),[1]Futures!$A$2:$B$12,2),1)))</f>
        <v>0</v>
      </c>
      <c r="R1745" s="12" t="str">
        <f>IFERROR(Q1745/P1745/IF(E1745="FUTURE",VLOOKUP(MID(I1745,2,2),[1]Futures!$A$2:$B$12,2),1),"")</f>
        <v/>
      </c>
      <c r="S1745" s="13">
        <f>IF(AND(H1745="TO CLOSE",P1745=0),-G1745*(M1745-R1744)*IF(E1745="FUTURE",VLOOKUP(MID(I1745,2,2),[1]Futures!$A$2:$B$12,2),1),"")</f>
        <v>-1630.0000000000095</v>
      </c>
    </row>
    <row r="1746" spans="1:19" x14ac:dyDescent="0.2">
      <c r="A1746">
        <f t="shared" si="83"/>
        <v>550</v>
      </c>
      <c r="B1746" s="3">
        <v>44006</v>
      </c>
      <c r="C1746" s="3" t="str">
        <f t="shared" si="82"/>
        <v>Wednesday</v>
      </c>
      <c r="D1746" s="2">
        <v>0.47020833333333334</v>
      </c>
      <c r="E1746" t="s">
        <v>14</v>
      </c>
      <c r="F1746" t="s">
        <v>19</v>
      </c>
      <c r="G1746">
        <v>2</v>
      </c>
      <c r="H1746" t="s">
        <v>20</v>
      </c>
      <c r="I1746" t="s">
        <v>77</v>
      </c>
      <c r="J1746" s="1">
        <v>44063</v>
      </c>
      <c r="L1746" t="s">
        <v>14</v>
      </c>
      <c r="M1746">
        <v>38.119999999999997</v>
      </c>
      <c r="N1746">
        <v>38.119999999999997</v>
      </c>
      <c r="O1746" t="s">
        <v>24</v>
      </c>
      <c r="P1746">
        <f t="shared" si="84"/>
        <v>2</v>
      </c>
      <c r="Q1746" s="11">
        <f>IF(P1746=0,0,IFERROR(Q1745+G1746*M1746*IF(E1746="FUTURE",VLOOKUP(MID(I1746,2,2),[1]Futures!$A$2:$B$12,2),1),G1746*M1746*IF(E1746="FUTURE",VLOOKUP(MID(I1746,2,2),[1]Futures!$A$2:$B$12,2),1)))</f>
        <v>76240</v>
      </c>
      <c r="R1746" s="12">
        <f>IFERROR(Q1746/P1746/IF(E1746="FUTURE",VLOOKUP(MID(I1746,2,2),[1]Futures!$A$2:$B$12,2),1),"")</f>
        <v>38.119999999999997</v>
      </c>
      <c r="S1746" s="13" t="str">
        <f>IF(AND(H1746="TO CLOSE",P1746=0),-G1746*(M1746-R1745)*IF(E1746="FUTURE",VLOOKUP(MID(I1746,2,2),[1]Futures!$A$2:$B$12,2),1),"")</f>
        <v/>
      </c>
    </row>
    <row r="1747" spans="1:19" x14ac:dyDescent="0.2">
      <c r="A1747">
        <f t="shared" si="83"/>
        <v>550</v>
      </c>
      <c r="B1747" s="3">
        <v>44006</v>
      </c>
      <c r="C1747" s="3" t="str">
        <f t="shared" si="82"/>
        <v>Wednesday</v>
      </c>
      <c r="D1747" s="2">
        <v>0.47225694444444444</v>
      </c>
      <c r="E1747" t="s">
        <v>14</v>
      </c>
      <c r="F1747" t="s">
        <v>15</v>
      </c>
      <c r="G1747">
        <v>-1</v>
      </c>
      <c r="H1747" t="s">
        <v>16</v>
      </c>
      <c r="I1747" t="s">
        <v>77</v>
      </c>
      <c r="J1747" s="1">
        <v>44063</v>
      </c>
      <c r="L1747" t="s">
        <v>14</v>
      </c>
      <c r="M1747">
        <v>38.24</v>
      </c>
      <c r="N1747">
        <v>38.24</v>
      </c>
      <c r="O1747" t="s">
        <v>21</v>
      </c>
      <c r="P1747">
        <f t="shared" si="84"/>
        <v>1</v>
      </c>
      <c r="Q1747" s="11">
        <f>IF(P1747=0,0,IFERROR(Q1746+G1747*M1747*IF(E1747="FUTURE",VLOOKUP(MID(I1747,2,2),[1]Futures!$A$2:$B$12,2),1),G1747*M1747*IF(E1747="FUTURE",VLOOKUP(MID(I1747,2,2),[1]Futures!$A$2:$B$12,2),1)))</f>
        <v>38000</v>
      </c>
      <c r="R1747" s="12">
        <f>IFERROR(Q1747/P1747/IF(E1747="FUTURE",VLOOKUP(MID(I1747,2,2),[1]Futures!$A$2:$B$12,2),1),"")</f>
        <v>38</v>
      </c>
      <c r="S1747" s="13" t="str">
        <f>IF(AND(H1747="TO CLOSE",P1747=0),-G1747*(M1747-R1746)*IF(E1747="FUTURE",VLOOKUP(MID(I1747,2,2),[1]Futures!$A$2:$B$12,2),1),"")</f>
        <v/>
      </c>
    </row>
    <row r="1748" spans="1:19" x14ac:dyDescent="0.2">
      <c r="A1748">
        <f t="shared" si="83"/>
        <v>550</v>
      </c>
      <c r="B1748" s="3">
        <v>44006</v>
      </c>
      <c r="C1748" s="3" t="str">
        <f t="shared" si="82"/>
        <v>Wednesday</v>
      </c>
      <c r="D1748" s="2">
        <v>0.48184027777777777</v>
      </c>
      <c r="E1748" t="s">
        <v>14</v>
      </c>
      <c r="F1748" t="s">
        <v>15</v>
      </c>
      <c r="G1748">
        <v>-1</v>
      </c>
      <c r="H1748" t="s">
        <v>16</v>
      </c>
      <c r="I1748" t="s">
        <v>77</v>
      </c>
      <c r="J1748" s="1">
        <v>44063</v>
      </c>
      <c r="L1748" t="s">
        <v>14</v>
      </c>
      <c r="M1748">
        <v>38.14</v>
      </c>
      <c r="N1748">
        <v>38.14</v>
      </c>
      <c r="O1748" t="s">
        <v>21</v>
      </c>
      <c r="P1748">
        <f t="shared" si="84"/>
        <v>0</v>
      </c>
      <c r="Q1748" s="11">
        <f>IF(P1748=0,0,IFERROR(Q1747+G1748*M1748*IF(E1748="FUTURE",VLOOKUP(MID(I1748,2,2),[1]Futures!$A$2:$B$12,2),1),G1748*M1748*IF(E1748="FUTURE",VLOOKUP(MID(I1748,2,2),[1]Futures!$A$2:$B$12,2),1)))</f>
        <v>0</v>
      </c>
      <c r="R1748" s="12" t="str">
        <f>IFERROR(Q1748/P1748/IF(E1748="FUTURE",VLOOKUP(MID(I1748,2,2),[1]Futures!$A$2:$B$12,2),1),"")</f>
        <v/>
      </c>
      <c r="S1748" s="13">
        <f>IF(AND(H1748="TO CLOSE",P1748=0),-G1748*(M1748-R1747)*IF(E1748="FUTURE",VLOOKUP(MID(I1748,2,2),[1]Futures!$A$2:$B$12,2),1),"")</f>
        <v>140.00000000000057</v>
      </c>
    </row>
    <row r="1749" spans="1:19" x14ac:dyDescent="0.2">
      <c r="A1749">
        <f t="shared" si="83"/>
        <v>551</v>
      </c>
      <c r="B1749" s="3">
        <v>44006</v>
      </c>
      <c r="C1749" s="3" t="str">
        <f t="shared" si="82"/>
        <v>Wednesday</v>
      </c>
      <c r="D1749" s="2">
        <v>0.40280092592592592</v>
      </c>
      <c r="E1749" t="s">
        <v>14</v>
      </c>
      <c r="F1749" t="s">
        <v>19</v>
      </c>
      <c r="G1749">
        <v>1</v>
      </c>
      <c r="H1749" t="s">
        <v>20</v>
      </c>
      <c r="I1749" t="s">
        <v>79</v>
      </c>
      <c r="J1749" s="1">
        <v>44094</v>
      </c>
      <c r="L1749" t="s">
        <v>14</v>
      </c>
      <c r="M1749">
        <v>3101.5</v>
      </c>
      <c r="N1749">
        <v>3101.5</v>
      </c>
      <c r="O1749" t="s">
        <v>24</v>
      </c>
      <c r="P1749">
        <f t="shared" si="84"/>
        <v>1</v>
      </c>
      <c r="Q1749" s="11">
        <f>IF(P1749=0,0,IFERROR(Q1748+G1749*M1749*IF(E1749="FUTURE",VLOOKUP(MID(I1749,2,2),[1]Futures!$A$2:$B$12,2),1),G1749*M1749*IF(E1749="FUTURE",VLOOKUP(MID(I1749,2,2),[1]Futures!$A$2:$B$12,2),1)))</f>
        <v>155075</v>
      </c>
      <c r="R1749" s="12">
        <f>IFERROR(Q1749/P1749/IF(E1749="FUTURE",VLOOKUP(MID(I1749,2,2),[1]Futures!$A$2:$B$12,2),1),"")</f>
        <v>3101.5</v>
      </c>
      <c r="S1749" s="13" t="str">
        <f>IF(AND(H1749="TO CLOSE",P1749=0),-G1749*(M1749-R1748)*IF(E1749="FUTURE",VLOOKUP(MID(I1749,2,2),[1]Futures!$A$2:$B$12,2),1),"")</f>
        <v/>
      </c>
    </row>
    <row r="1750" spans="1:19" x14ac:dyDescent="0.2">
      <c r="A1750">
        <f t="shared" si="83"/>
        <v>551</v>
      </c>
      <c r="B1750" s="3">
        <v>44006</v>
      </c>
      <c r="C1750" s="3" t="str">
        <f t="shared" si="82"/>
        <v>Wednesday</v>
      </c>
      <c r="D1750" s="2">
        <v>0.40920138888888885</v>
      </c>
      <c r="E1750" t="s">
        <v>14</v>
      </c>
      <c r="F1750" t="s">
        <v>15</v>
      </c>
      <c r="G1750">
        <v>-1</v>
      </c>
      <c r="H1750" t="s">
        <v>16</v>
      </c>
      <c r="I1750" t="s">
        <v>79</v>
      </c>
      <c r="J1750" s="1">
        <v>44094</v>
      </c>
      <c r="L1750" t="s">
        <v>14</v>
      </c>
      <c r="M1750">
        <v>3092.5</v>
      </c>
      <c r="N1750">
        <v>3092.5</v>
      </c>
      <c r="O1750" t="s">
        <v>18</v>
      </c>
      <c r="P1750">
        <f t="shared" si="84"/>
        <v>0</v>
      </c>
      <c r="Q1750" s="11">
        <f>IF(P1750=0,0,IFERROR(Q1749+G1750*M1750*IF(E1750="FUTURE",VLOOKUP(MID(I1750,2,2),[1]Futures!$A$2:$B$12,2),1),G1750*M1750*IF(E1750="FUTURE",VLOOKUP(MID(I1750,2,2),[1]Futures!$A$2:$B$12,2),1)))</f>
        <v>0</v>
      </c>
      <c r="R1750" s="12" t="str">
        <f>IFERROR(Q1750/P1750/IF(E1750="FUTURE",VLOOKUP(MID(I1750,2,2),[1]Futures!$A$2:$B$12,2),1),"")</f>
        <v/>
      </c>
      <c r="S1750" s="13">
        <f>IF(AND(H1750="TO CLOSE",P1750=0),-G1750*(M1750-R1749)*IF(E1750="FUTURE",VLOOKUP(MID(I1750,2,2),[1]Futures!$A$2:$B$12,2),1),"")</f>
        <v>-450</v>
      </c>
    </row>
    <row r="1751" spans="1:19" x14ac:dyDescent="0.2">
      <c r="A1751">
        <f t="shared" si="83"/>
        <v>552</v>
      </c>
      <c r="B1751" s="3">
        <v>44006</v>
      </c>
      <c r="C1751" s="3" t="str">
        <f t="shared" si="82"/>
        <v>Wednesday</v>
      </c>
      <c r="D1751" s="2">
        <v>0.41846064814814815</v>
      </c>
      <c r="E1751" t="s">
        <v>14</v>
      </c>
      <c r="F1751" t="s">
        <v>19</v>
      </c>
      <c r="G1751">
        <v>1</v>
      </c>
      <c r="H1751" t="s">
        <v>20</v>
      </c>
      <c r="I1751" t="s">
        <v>79</v>
      </c>
      <c r="J1751" s="1">
        <v>44094</v>
      </c>
      <c r="L1751" t="s">
        <v>14</v>
      </c>
      <c r="M1751">
        <v>3076</v>
      </c>
      <c r="N1751">
        <v>3076</v>
      </c>
      <c r="O1751" t="s">
        <v>24</v>
      </c>
      <c r="P1751">
        <f t="shared" si="84"/>
        <v>1</v>
      </c>
      <c r="Q1751" s="11">
        <f>IF(P1751=0,0,IFERROR(Q1750+G1751*M1751*IF(E1751="FUTURE",VLOOKUP(MID(I1751,2,2),[1]Futures!$A$2:$B$12,2),1),G1751*M1751*IF(E1751="FUTURE",VLOOKUP(MID(I1751,2,2),[1]Futures!$A$2:$B$12,2),1)))</f>
        <v>153800</v>
      </c>
      <c r="R1751" s="12">
        <f>IFERROR(Q1751/P1751/IF(E1751="FUTURE",VLOOKUP(MID(I1751,2,2),[1]Futures!$A$2:$B$12,2),1),"")</f>
        <v>3076</v>
      </c>
      <c r="S1751" s="13" t="str">
        <f>IF(AND(H1751="TO CLOSE",P1751=0),-G1751*(M1751-R1750)*IF(E1751="FUTURE",VLOOKUP(MID(I1751,2,2),[1]Futures!$A$2:$B$12,2),1),"")</f>
        <v/>
      </c>
    </row>
    <row r="1752" spans="1:19" x14ac:dyDescent="0.2">
      <c r="A1752">
        <f t="shared" si="83"/>
        <v>552</v>
      </c>
      <c r="B1752" s="3">
        <v>44006</v>
      </c>
      <c r="C1752" s="3" t="str">
        <f t="shared" si="82"/>
        <v>Wednesday</v>
      </c>
      <c r="D1752" s="2">
        <v>0.43952546296296297</v>
      </c>
      <c r="E1752" t="s">
        <v>14</v>
      </c>
      <c r="F1752" t="s">
        <v>15</v>
      </c>
      <c r="G1752">
        <v>-1</v>
      </c>
      <c r="H1752" t="s">
        <v>16</v>
      </c>
      <c r="I1752" t="s">
        <v>79</v>
      </c>
      <c r="J1752" s="1">
        <v>44094</v>
      </c>
      <c r="L1752" t="s">
        <v>14</v>
      </c>
      <c r="M1752">
        <v>3076</v>
      </c>
      <c r="N1752">
        <v>3076</v>
      </c>
      <c r="O1752" t="s">
        <v>21</v>
      </c>
      <c r="P1752">
        <f t="shared" si="84"/>
        <v>0</v>
      </c>
      <c r="Q1752" s="11">
        <f>IF(P1752=0,0,IFERROR(Q1751+G1752*M1752*IF(E1752="FUTURE",VLOOKUP(MID(I1752,2,2),[1]Futures!$A$2:$B$12,2),1),G1752*M1752*IF(E1752="FUTURE",VLOOKUP(MID(I1752,2,2),[1]Futures!$A$2:$B$12,2),1)))</f>
        <v>0</v>
      </c>
      <c r="R1752" s="12" t="str">
        <f>IFERROR(Q1752/P1752/IF(E1752="FUTURE",VLOOKUP(MID(I1752,2,2),[1]Futures!$A$2:$B$12,2),1),"")</f>
        <v/>
      </c>
      <c r="S1752" s="13">
        <f>IF(AND(H1752="TO CLOSE",P1752=0),-G1752*(M1752-R1751)*IF(E1752="FUTURE",VLOOKUP(MID(I1752,2,2),[1]Futures!$A$2:$B$12,2),1),"")</f>
        <v>0</v>
      </c>
    </row>
    <row r="1753" spans="1:19" x14ac:dyDescent="0.2">
      <c r="A1753">
        <f t="shared" si="83"/>
        <v>553</v>
      </c>
      <c r="B1753" s="3">
        <v>44006</v>
      </c>
      <c r="C1753" s="3" t="str">
        <f t="shared" si="82"/>
        <v>Wednesday</v>
      </c>
      <c r="D1753" s="2">
        <v>0.44126157407407413</v>
      </c>
      <c r="E1753" t="s">
        <v>14</v>
      </c>
      <c r="F1753" t="s">
        <v>19</v>
      </c>
      <c r="G1753">
        <v>1</v>
      </c>
      <c r="H1753" t="s">
        <v>20</v>
      </c>
      <c r="I1753" t="s">
        <v>79</v>
      </c>
      <c r="J1753" s="1">
        <v>44094</v>
      </c>
      <c r="L1753" t="s">
        <v>14</v>
      </c>
      <c r="M1753">
        <v>3072.25</v>
      </c>
      <c r="N1753">
        <v>3072.25</v>
      </c>
      <c r="O1753" t="s">
        <v>24</v>
      </c>
      <c r="P1753">
        <f t="shared" si="84"/>
        <v>1</v>
      </c>
      <c r="Q1753" s="11">
        <f>IF(P1753=0,0,IFERROR(Q1752+G1753*M1753*IF(E1753="FUTURE",VLOOKUP(MID(I1753,2,2),[1]Futures!$A$2:$B$12,2),1),G1753*M1753*IF(E1753="FUTURE",VLOOKUP(MID(I1753,2,2),[1]Futures!$A$2:$B$12,2),1)))</f>
        <v>153612.5</v>
      </c>
      <c r="R1753" s="12">
        <f>IFERROR(Q1753/P1753/IF(E1753="FUTURE",VLOOKUP(MID(I1753,2,2),[1]Futures!$A$2:$B$12,2),1),"")</f>
        <v>3072.25</v>
      </c>
      <c r="S1753" s="13" t="str">
        <f>IF(AND(H1753="TO CLOSE",P1753=0),-G1753*(M1753-R1752)*IF(E1753="FUTURE",VLOOKUP(MID(I1753,2,2),[1]Futures!$A$2:$B$12,2),1),"")</f>
        <v/>
      </c>
    </row>
    <row r="1754" spans="1:19" x14ac:dyDescent="0.2">
      <c r="A1754">
        <f t="shared" si="83"/>
        <v>553</v>
      </c>
      <c r="B1754" s="3">
        <v>44006</v>
      </c>
      <c r="C1754" s="3" t="str">
        <f t="shared" si="82"/>
        <v>Wednesday</v>
      </c>
      <c r="D1754" s="2">
        <v>0.46641203703703704</v>
      </c>
      <c r="E1754" t="s">
        <v>14</v>
      </c>
      <c r="F1754" t="s">
        <v>15</v>
      </c>
      <c r="G1754">
        <v>-1</v>
      </c>
      <c r="H1754" t="s">
        <v>16</v>
      </c>
      <c r="I1754" t="s">
        <v>79</v>
      </c>
      <c r="J1754" s="1">
        <v>44094</v>
      </c>
      <c r="L1754" t="s">
        <v>14</v>
      </c>
      <c r="M1754">
        <v>3052.25</v>
      </c>
      <c r="N1754">
        <v>3052.25</v>
      </c>
      <c r="O1754" t="s">
        <v>18</v>
      </c>
      <c r="P1754">
        <f t="shared" si="84"/>
        <v>0</v>
      </c>
      <c r="Q1754" s="11">
        <f>IF(P1754=0,0,IFERROR(Q1753+G1754*M1754*IF(E1754="FUTURE",VLOOKUP(MID(I1754,2,2),[1]Futures!$A$2:$B$12,2),1),G1754*M1754*IF(E1754="FUTURE",VLOOKUP(MID(I1754,2,2),[1]Futures!$A$2:$B$12,2),1)))</f>
        <v>0</v>
      </c>
      <c r="R1754" s="12" t="str">
        <f>IFERROR(Q1754/P1754/IF(E1754="FUTURE",VLOOKUP(MID(I1754,2,2),[1]Futures!$A$2:$B$12,2),1),"")</f>
        <v/>
      </c>
      <c r="S1754" s="13">
        <f>IF(AND(H1754="TO CLOSE",P1754=0),-G1754*(M1754-R1753)*IF(E1754="FUTURE",VLOOKUP(MID(I1754,2,2),[1]Futures!$A$2:$B$12,2),1),"")</f>
        <v>-1000</v>
      </c>
    </row>
    <row r="1755" spans="1:19" x14ac:dyDescent="0.2">
      <c r="A1755">
        <f t="shared" si="83"/>
        <v>554</v>
      </c>
      <c r="B1755" s="3">
        <v>44006</v>
      </c>
      <c r="C1755" s="3" t="str">
        <f t="shared" si="82"/>
        <v>Wednesday</v>
      </c>
      <c r="D1755" s="2">
        <v>0.47312500000000002</v>
      </c>
      <c r="E1755" t="s">
        <v>14</v>
      </c>
      <c r="F1755" t="s">
        <v>19</v>
      </c>
      <c r="G1755">
        <v>1</v>
      </c>
      <c r="H1755" t="s">
        <v>20</v>
      </c>
      <c r="I1755" t="s">
        <v>79</v>
      </c>
      <c r="J1755" s="1">
        <v>44094</v>
      </c>
      <c r="L1755" t="s">
        <v>14</v>
      </c>
      <c r="M1755">
        <v>3046</v>
      </c>
      <c r="N1755">
        <v>3046</v>
      </c>
      <c r="O1755" t="s">
        <v>24</v>
      </c>
      <c r="P1755">
        <f t="shared" si="84"/>
        <v>1</v>
      </c>
      <c r="Q1755" s="11">
        <f>IF(P1755=0,0,IFERROR(Q1754+G1755*M1755*IF(E1755="FUTURE",VLOOKUP(MID(I1755,2,2),[1]Futures!$A$2:$B$12,2),1),G1755*M1755*IF(E1755="FUTURE",VLOOKUP(MID(I1755,2,2),[1]Futures!$A$2:$B$12,2),1)))</f>
        <v>152300</v>
      </c>
      <c r="R1755" s="12">
        <f>IFERROR(Q1755/P1755/IF(E1755="FUTURE",VLOOKUP(MID(I1755,2,2),[1]Futures!$A$2:$B$12,2),1),"")</f>
        <v>3046</v>
      </c>
      <c r="S1755" s="13" t="str">
        <f>IF(AND(H1755="TO CLOSE",P1755=0),-G1755*(M1755-R1754)*IF(E1755="FUTURE",VLOOKUP(MID(I1755,2,2),[1]Futures!$A$2:$B$12,2),1),"")</f>
        <v/>
      </c>
    </row>
    <row r="1756" spans="1:19" x14ac:dyDescent="0.2">
      <c r="A1756">
        <f t="shared" si="83"/>
        <v>554</v>
      </c>
      <c r="B1756" s="3">
        <v>44006</v>
      </c>
      <c r="C1756" s="3" t="str">
        <f t="shared" si="82"/>
        <v>Wednesday</v>
      </c>
      <c r="D1756" s="2">
        <v>0.48523148148148149</v>
      </c>
      <c r="E1756" t="s">
        <v>14</v>
      </c>
      <c r="F1756" t="s">
        <v>15</v>
      </c>
      <c r="G1756">
        <v>-1</v>
      </c>
      <c r="H1756" t="s">
        <v>16</v>
      </c>
      <c r="I1756" t="s">
        <v>79</v>
      </c>
      <c r="J1756" s="1">
        <v>44094</v>
      </c>
      <c r="L1756" t="s">
        <v>14</v>
      </c>
      <c r="M1756">
        <v>3036.75</v>
      </c>
      <c r="N1756">
        <v>3036.75</v>
      </c>
      <c r="O1756" t="s">
        <v>18</v>
      </c>
      <c r="P1756">
        <f t="shared" si="84"/>
        <v>0</v>
      </c>
      <c r="Q1756" s="11">
        <f>IF(P1756=0,0,IFERROR(Q1755+G1756*M1756*IF(E1756="FUTURE",VLOOKUP(MID(I1756,2,2),[1]Futures!$A$2:$B$12,2),1),G1756*M1756*IF(E1756="FUTURE",VLOOKUP(MID(I1756,2,2),[1]Futures!$A$2:$B$12,2),1)))</f>
        <v>0</v>
      </c>
      <c r="R1756" s="12" t="str">
        <f>IFERROR(Q1756/P1756/IF(E1756="FUTURE",VLOOKUP(MID(I1756,2,2),[1]Futures!$A$2:$B$12,2),1),"")</f>
        <v/>
      </c>
      <c r="S1756" s="13">
        <f>IF(AND(H1756="TO CLOSE",P1756=0),-G1756*(M1756-R1755)*IF(E1756="FUTURE",VLOOKUP(MID(I1756,2,2),[1]Futures!$A$2:$B$12,2),1),"")</f>
        <v>-462.5</v>
      </c>
    </row>
    <row r="1757" spans="1:19" x14ac:dyDescent="0.2">
      <c r="A1757">
        <f t="shared" si="83"/>
        <v>555</v>
      </c>
      <c r="B1757" s="3">
        <v>44006</v>
      </c>
      <c r="C1757" s="3" t="str">
        <f t="shared" si="82"/>
        <v>Wednesday</v>
      </c>
      <c r="D1757" s="2">
        <v>0.40392361111111108</v>
      </c>
      <c r="E1757" t="s">
        <v>22</v>
      </c>
      <c r="F1757" t="s">
        <v>15</v>
      </c>
      <c r="G1757">
        <v>-300</v>
      </c>
      <c r="H1757" t="s">
        <v>20</v>
      </c>
      <c r="I1757" t="s">
        <v>23</v>
      </c>
      <c r="L1757" t="s">
        <v>22</v>
      </c>
      <c r="M1757">
        <v>34.94</v>
      </c>
      <c r="N1757">
        <v>34.94</v>
      </c>
      <c r="O1757" t="s">
        <v>21</v>
      </c>
      <c r="P1757">
        <f t="shared" si="84"/>
        <v>-300</v>
      </c>
      <c r="Q1757" s="11">
        <f>IF(P1757=0,0,IFERROR(Q1756+G1757*M1757*IF(E1757="FUTURE",VLOOKUP(MID(I1757,2,2),[1]Futures!$A$2:$B$12,2),1),G1757*M1757*IF(E1757="FUTURE",VLOOKUP(MID(I1757,2,2),[1]Futures!$A$2:$B$12,2),1)))</f>
        <v>-10482</v>
      </c>
      <c r="R1757" s="12">
        <f>IFERROR(Q1757/P1757/IF(E1757="FUTURE",VLOOKUP(MID(I1757,2,2),[1]Futures!$A$2:$B$12,2),1),"")</f>
        <v>34.94</v>
      </c>
      <c r="S1757" s="13" t="str">
        <f>IF(AND(H1757="TO CLOSE",P1757=0),-G1757*(M1757-R1756)*IF(E1757="FUTURE",VLOOKUP(MID(I1757,2,2),[1]Futures!$A$2:$B$12,2),1),"")</f>
        <v/>
      </c>
    </row>
    <row r="1758" spans="1:19" x14ac:dyDescent="0.2">
      <c r="A1758">
        <f t="shared" si="83"/>
        <v>555</v>
      </c>
      <c r="B1758" s="3">
        <v>44006</v>
      </c>
      <c r="C1758" s="3" t="str">
        <f t="shared" si="82"/>
        <v>Wednesday</v>
      </c>
      <c r="D1758" s="2">
        <v>0.4113194444444444</v>
      </c>
      <c r="E1758" t="s">
        <v>22</v>
      </c>
      <c r="F1758" t="s">
        <v>19</v>
      </c>
      <c r="G1758">
        <v>300</v>
      </c>
      <c r="H1758" t="s">
        <v>16</v>
      </c>
      <c r="I1758" t="s">
        <v>23</v>
      </c>
      <c r="L1758" t="s">
        <v>22</v>
      </c>
      <c r="M1758">
        <v>35.838999999999999</v>
      </c>
      <c r="N1758">
        <v>35.838999999999999</v>
      </c>
      <c r="O1758" t="s">
        <v>18</v>
      </c>
      <c r="P1758">
        <f t="shared" si="84"/>
        <v>0</v>
      </c>
      <c r="Q1758" s="11">
        <f>IF(P1758=0,0,IFERROR(Q1757+G1758*M1758*IF(E1758="FUTURE",VLOOKUP(MID(I1758,2,2),[1]Futures!$A$2:$B$12,2),1),G1758*M1758*IF(E1758="FUTURE",VLOOKUP(MID(I1758,2,2),[1]Futures!$A$2:$B$12,2),1)))</f>
        <v>0</v>
      </c>
      <c r="R1758" s="12" t="str">
        <f>IFERROR(Q1758/P1758/IF(E1758="FUTURE",VLOOKUP(MID(I1758,2,2),[1]Futures!$A$2:$B$12,2),1),"")</f>
        <v/>
      </c>
      <c r="S1758" s="13">
        <f>IF(AND(H1758="TO CLOSE",P1758=0),-G1758*(M1758-R1757)*IF(E1758="FUTURE",VLOOKUP(MID(I1758,2,2),[1]Futures!$A$2:$B$12,2),1),"")</f>
        <v>-269.70000000000027</v>
      </c>
    </row>
    <row r="1759" spans="1:19" x14ac:dyDescent="0.2">
      <c r="A1759">
        <f t="shared" si="83"/>
        <v>556</v>
      </c>
      <c r="B1759" s="3">
        <v>44006</v>
      </c>
      <c r="C1759" s="3" t="str">
        <f t="shared" si="82"/>
        <v>Wednesday</v>
      </c>
      <c r="D1759" s="2">
        <v>0.41261574074074076</v>
      </c>
      <c r="E1759" t="s">
        <v>22</v>
      </c>
      <c r="F1759" t="s">
        <v>19</v>
      </c>
      <c r="G1759">
        <v>300</v>
      </c>
      <c r="H1759" t="s">
        <v>20</v>
      </c>
      <c r="I1759" t="s">
        <v>23</v>
      </c>
      <c r="L1759" t="s">
        <v>22</v>
      </c>
      <c r="M1759">
        <v>35.975000000000001</v>
      </c>
      <c r="N1759">
        <v>35.975000000000001</v>
      </c>
      <c r="O1759" t="s">
        <v>24</v>
      </c>
      <c r="P1759">
        <f t="shared" si="84"/>
        <v>300</v>
      </c>
      <c r="Q1759" s="11">
        <f>IF(P1759=0,0,IFERROR(Q1758+G1759*M1759*IF(E1759="FUTURE",VLOOKUP(MID(I1759,2,2),[1]Futures!$A$2:$B$12,2),1),G1759*M1759*IF(E1759="FUTURE",VLOOKUP(MID(I1759,2,2),[1]Futures!$A$2:$B$12,2),1)))</f>
        <v>10792.5</v>
      </c>
      <c r="R1759" s="12">
        <f>IFERROR(Q1759/P1759/IF(E1759="FUTURE",VLOOKUP(MID(I1759,2,2),[1]Futures!$A$2:$B$12,2),1),"")</f>
        <v>35.975000000000001</v>
      </c>
      <c r="S1759" s="13" t="str">
        <f>IF(AND(H1759="TO CLOSE",P1759=0),-G1759*(M1759-R1758)*IF(E1759="FUTURE",VLOOKUP(MID(I1759,2,2),[1]Futures!$A$2:$B$12,2),1),"")</f>
        <v/>
      </c>
    </row>
    <row r="1760" spans="1:19" x14ac:dyDescent="0.2">
      <c r="A1760">
        <f t="shared" si="83"/>
        <v>556</v>
      </c>
      <c r="B1760" s="3">
        <v>44006</v>
      </c>
      <c r="C1760" s="3" t="str">
        <f t="shared" si="82"/>
        <v>Wednesday</v>
      </c>
      <c r="D1760" s="2">
        <v>0.41613425925925923</v>
      </c>
      <c r="E1760" t="s">
        <v>22</v>
      </c>
      <c r="F1760" t="s">
        <v>15</v>
      </c>
      <c r="G1760">
        <v>-300</v>
      </c>
      <c r="H1760" t="s">
        <v>16</v>
      </c>
      <c r="I1760" t="s">
        <v>23</v>
      </c>
      <c r="L1760" t="s">
        <v>22</v>
      </c>
      <c r="M1760">
        <v>35.97</v>
      </c>
      <c r="N1760">
        <v>35.97</v>
      </c>
      <c r="O1760" t="s">
        <v>18</v>
      </c>
      <c r="P1760">
        <f t="shared" si="84"/>
        <v>0</v>
      </c>
      <c r="Q1760" s="11">
        <f>IF(P1760=0,0,IFERROR(Q1759+G1760*M1760*IF(E1760="FUTURE",VLOOKUP(MID(I1760,2,2),[1]Futures!$A$2:$B$12,2),1),G1760*M1760*IF(E1760="FUTURE",VLOOKUP(MID(I1760,2,2),[1]Futures!$A$2:$B$12,2),1)))</f>
        <v>0</v>
      </c>
      <c r="R1760" s="12" t="str">
        <f>IFERROR(Q1760/P1760/IF(E1760="FUTURE",VLOOKUP(MID(I1760,2,2),[1]Futures!$A$2:$B$12,2),1),"")</f>
        <v/>
      </c>
      <c r="S1760" s="13">
        <f>IF(AND(H1760="TO CLOSE",P1760=0),-G1760*(M1760-R1759)*IF(E1760="FUTURE",VLOOKUP(MID(I1760,2,2),[1]Futures!$A$2:$B$12,2),1),"")</f>
        <v>-1.5000000000007674</v>
      </c>
    </row>
    <row r="1761" spans="1:19" x14ac:dyDescent="0.2">
      <c r="A1761">
        <f t="shared" si="83"/>
        <v>557</v>
      </c>
      <c r="B1761" s="3">
        <v>44006</v>
      </c>
      <c r="C1761" s="3" t="str">
        <f t="shared" si="82"/>
        <v>Wednesday</v>
      </c>
      <c r="D1761" s="2">
        <v>0.42048611111111112</v>
      </c>
      <c r="E1761" t="s">
        <v>22</v>
      </c>
      <c r="F1761" t="s">
        <v>15</v>
      </c>
      <c r="G1761">
        <v>-200</v>
      </c>
      <c r="H1761" t="s">
        <v>20</v>
      </c>
      <c r="I1761" t="s">
        <v>23</v>
      </c>
      <c r="L1761" t="s">
        <v>22</v>
      </c>
      <c r="M1761">
        <v>36.325000000000003</v>
      </c>
      <c r="N1761">
        <v>36.325000000000003</v>
      </c>
      <c r="O1761" t="s">
        <v>24</v>
      </c>
      <c r="P1761">
        <f t="shared" si="84"/>
        <v>-200</v>
      </c>
      <c r="Q1761" s="11">
        <f>IF(P1761=0,0,IFERROR(Q1760+G1761*M1761*IF(E1761="FUTURE",VLOOKUP(MID(I1761,2,2),[1]Futures!$A$2:$B$12,2),1),G1761*M1761*IF(E1761="FUTURE",VLOOKUP(MID(I1761,2,2),[1]Futures!$A$2:$B$12,2),1)))</f>
        <v>-7265.0000000000009</v>
      </c>
      <c r="R1761" s="12">
        <f>IFERROR(Q1761/P1761/IF(E1761="FUTURE",VLOOKUP(MID(I1761,2,2),[1]Futures!$A$2:$B$12,2),1),"")</f>
        <v>36.325000000000003</v>
      </c>
      <c r="S1761" s="13" t="str">
        <f>IF(AND(H1761="TO CLOSE",P1761=0),-G1761*(M1761-R1760)*IF(E1761="FUTURE",VLOOKUP(MID(I1761,2,2),[1]Futures!$A$2:$B$12,2),1),"")</f>
        <v/>
      </c>
    </row>
    <row r="1762" spans="1:19" x14ac:dyDescent="0.2">
      <c r="A1762">
        <f t="shared" si="83"/>
        <v>557</v>
      </c>
      <c r="B1762" s="3">
        <v>44006</v>
      </c>
      <c r="C1762" s="3" t="str">
        <f t="shared" si="82"/>
        <v>Wednesday</v>
      </c>
      <c r="D1762" s="2">
        <v>0.42247685185185185</v>
      </c>
      <c r="E1762" t="s">
        <v>22</v>
      </c>
      <c r="F1762" t="s">
        <v>19</v>
      </c>
      <c r="G1762">
        <v>100</v>
      </c>
      <c r="H1762" t="s">
        <v>16</v>
      </c>
      <c r="I1762" t="s">
        <v>23</v>
      </c>
      <c r="L1762" t="s">
        <v>22</v>
      </c>
      <c r="M1762">
        <v>36.119999999999997</v>
      </c>
      <c r="N1762">
        <v>36.119999999999997</v>
      </c>
      <c r="O1762" t="s">
        <v>21</v>
      </c>
      <c r="P1762">
        <f t="shared" si="84"/>
        <v>-100</v>
      </c>
      <c r="Q1762" s="11">
        <f>IF(P1762=0,0,IFERROR(Q1761+G1762*M1762*IF(E1762="FUTURE",VLOOKUP(MID(I1762,2,2),[1]Futures!$A$2:$B$12,2),1),G1762*M1762*IF(E1762="FUTURE",VLOOKUP(MID(I1762,2,2),[1]Futures!$A$2:$B$12,2),1)))</f>
        <v>-3653.0000000000014</v>
      </c>
      <c r="R1762" s="12">
        <f>IFERROR(Q1762/P1762/IF(E1762="FUTURE",VLOOKUP(MID(I1762,2,2),[1]Futures!$A$2:$B$12,2),1),"")</f>
        <v>36.530000000000015</v>
      </c>
      <c r="S1762" s="13" t="str">
        <f>IF(AND(H1762="TO CLOSE",P1762=0),-G1762*(M1762-R1761)*IF(E1762="FUTURE",VLOOKUP(MID(I1762,2,2),[1]Futures!$A$2:$B$12,2),1),"")</f>
        <v/>
      </c>
    </row>
    <row r="1763" spans="1:19" x14ac:dyDescent="0.2">
      <c r="A1763">
        <f t="shared" si="83"/>
        <v>557</v>
      </c>
      <c r="B1763" s="3">
        <v>44006</v>
      </c>
      <c r="C1763" s="3" t="str">
        <f t="shared" si="82"/>
        <v>Wednesday</v>
      </c>
      <c r="D1763" s="2">
        <v>0.42247685185185185</v>
      </c>
      <c r="E1763" t="s">
        <v>22</v>
      </c>
      <c r="F1763" t="s">
        <v>19</v>
      </c>
      <c r="G1763">
        <v>100</v>
      </c>
      <c r="H1763" t="s">
        <v>16</v>
      </c>
      <c r="I1763" t="s">
        <v>23</v>
      </c>
      <c r="L1763" t="s">
        <v>22</v>
      </c>
      <c r="M1763">
        <v>36.119999999999997</v>
      </c>
      <c r="N1763">
        <v>36.119999999999997</v>
      </c>
      <c r="O1763" t="s">
        <v>21</v>
      </c>
      <c r="P1763">
        <f t="shared" si="84"/>
        <v>0</v>
      </c>
      <c r="Q1763" s="11">
        <f>IF(P1763=0,0,IFERROR(Q1762+G1763*M1763*IF(E1763="FUTURE",VLOOKUP(MID(I1763,2,2),[1]Futures!$A$2:$B$12,2),1),G1763*M1763*IF(E1763="FUTURE",VLOOKUP(MID(I1763,2,2),[1]Futures!$A$2:$B$12,2),1)))</f>
        <v>0</v>
      </c>
      <c r="R1763" s="12" t="str">
        <f>IFERROR(Q1763/P1763/IF(E1763="FUTURE",VLOOKUP(MID(I1763,2,2),[1]Futures!$A$2:$B$12,2),1),"")</f>
        <v/>
      </c>
      <c r="S1763" s="13">
        <f>IF(AND(H1763="TO CLOSE",P1763=0),-G1763*(M1763-R1762)*IF(E1763="FUTURE",VLOOKUP(MID(I1763,2,2),[1]Futures!$A$2:$B$12,2),1),"")</f>
        <v>41.000000000001791</v>
      </c>
    </row>
    <row r="1764" spans="1:19" x14ac:dyDescent="0.2">
      <c r="A1764">
        <f t="shared" si="83"/>
        <v>558</v>
      </c>
      <c r="B1764" s="3">
        <v>44006</v>
      </c>
      <c r="C1764" s="3" t="str">
        <f t="shared" si="82"/>
        <v>Wednesday</v>
      </c>
      <c r="D1764" s="2">
        <v>0.44715277777777779</v>
      </c>
      <c r="E1764" t="s">
        <v>22</v>
      </c>
      <c r="F1764" t="s">
        <v>15</v>
      </c>
      <c r="G1764">
        <v>-300</v>
      </c>
      <c r="H1764" t="s">
        <v>20</v>
      </c>
      <c r="I1764" t="s">
        <v>23</v>
      </c>
      <c r="L1764" t="s">
        <v>22</v>
      </c>
      <c r="M1764">
        <v>36.130000000000003</v>
      </c>
      <c r="N1764">
        <v>36.130000000000003</v>
      </c>
      <c r="O1764" t="s">
        <v>21</v>
      </c>
      <c r="P1764">
        <f t="shared" si="84"/>
        <v>-300</v>
      </c>
      <c r="Q1764" s="11">
        <f>IF(P1764=0,0,IFERROR(Q1763+G1764*M1764*IF(E1764="FUTURE",VLOOKUP(MID(I1764,2,2),[1]Futures!$A$2:$B$12,2),1),G1764*M1764*IF(E1764="FUTURE",VLOOKUP(MID(I1764,2,2),[1]Futures!$A$2:$B$12,2),1)))</f>
        <v>-10839</v>
      </c>
      <c r="R1764" s="12">
        <f>IFERROR(Q1764/P1764/IF(E1764="FUTURE",VLOOKUP(MID(I1764,2,2),[1]Futures!$A$2:$B$12,2),1),"")</f>
        <v>36.130000000000003</v>
      </c>
      <c r="S1764" s="13" t="str">
        <f>IF(AND(H1764="TO CLOSE",P1764=0),-G1764*(M1764-R1763)*IF(E1764="FUTURE",VLOOKUP(MID(I1764,2,2),[1]Futures!$A$2:$B$12,2),1),"")</f>
        <v/>
      </c>
    </row>
    <row r="1765" spans="1:19" x14ac:dyDescent="0.2">
      <c r="A1765">
        <f t="shared" si="83"/>
        <v>558</v>
      </c>
      <c r="B1765" s="3">
        <v>44006</v>
      </c>
      <c r="C1765" s="3" t="str">
        <f t="shared" si="82"/>
        <v>Wednesday</v>
      </c>
      <c r="D1765" s="2">
        <v>0.46866898148148151</v>
      </c>
      <c r="E1765" t="s">
        <v>22</v>
      </c>
      <c r="F1765" t="s">
        <v>19</v>
      </c>
      <c r="G1765">
        <v>97</v>
      </c>
      <c r="H1765" t="s">
        <v>16</v>
      </c>
      <c r="I1765" t="s">
        <v>23</v>
      </c>
      <c r="L1765" t="s">
        <v>22</v>
      </c>
      <c r="M1765">
        <v>36.78</v>
      </c>
      <c r="N1765">
        <v>36.78</v>
      </c>
      <c r="O1765" t="s">
        <v>18</v>
      </c>
      <c r="P1765">
        <f t="shared" si="84"/>
        <v>-203</v>
      </c>
      <c r="Q1765" s="11">
        <f>IF(P1765=0,0,IFERROR(Q1764+G1765*M1765*IF(E1765="FUTURE",VLOOKUP(MID(I1765,2,2),[1]Futures!$A$2:$B$12,2),1),G1765*M1765*IF(E1765="FUTURE",VLOOKUP(MID(I1765,2,2),[1]Futures!$A$2:$B$12,2),1)))</f>
        <v>-7271.34</v>
      </c>
      <c r="R1765" s="12">
        <f>IFERROR(Q1765/P1765/IF(E1765="FUTURE",VLOOKUP(MID(I1765,2,2),[1]Futures!$A$2:$B$12,2),1),"")</f>
        <v>35.819408866995076</v>
      </c>
      <c r="S1765" s="13" t="str">
        <f>IF(AND(H1765="TO CLOSE",P1765=0),-G1765*(M1765-R1764)*IF(E1765="FUTURE",VLOOKUP(MID(I1765,2,2),[1]Futures!$A$2:$B$12,2),1),"")</f>
        <v/>
      </c>
    </row>
    <row r="1766" spans="1:19" x14ac:dyDescent="0.2">
      <c r="A1766">
        <f t="shared" si="83"/>
        <v>558</v>
      </c>
      <c r="B1766" s="3">
        <v>44006</v>
      </c>
      <c r="C1766" s="3" t="str">
        <f t="shared" si="82"/>
        <v>Wednesday</v>
      </c>
      <c r="D1766" s="2">
        <v>0.46866898148148151</v>
      </c>
      <c r="E1766" t="s">
        <v>22</v>
      </c>
      <c r="F1766" t="s">
        <v>19</v>
      </c>
      <c r="G1766">
        <v>20</v>
      </c>
      <c r="H1766" t="s">
        <v>16</v>
      </c>
      <c r="I1766" t="s">
        <v>23</v>
      </c>
      <c r="L1766" t="s">
        <v>22</v>
      </c>
      <c r="M1766">
        <v>36.78</v>
      </c>
      <c r="N1766">
        <v>36.78</v>
      </c>
      <c r="O1766" t="s">
        <v>18</v>
      </c>
      <c r="P1766">
        <f t="shared" si="84"/>
        <v>-183</v>
      </c>
      <c r="Q1766" s="11">
        <f>IF(P1766=0,0,IFERROR(Q1765+G1766*M1766*IF(E1766="FUTURE",VLOOKUP(MID(I1766,2,2),[1]Futures!$A$2:$B$12,2),1),G1766*M1766*IF(E1766="FUTURE",VLOOKUP(MID(I1766,2,2),[1]Futures!$A$2:$B$12,2),1)))</f>
        <v>-6535.74</v>
      </c>
      <c r="R1766" s="12">
        <f>IFERROR(Q1766/P1766/IF(E1766="FUTURE",VLOOKUP(MID(I1766,2,2),[1]Futures!$A$2:$B$12,2),1),"")</f>
        <v>35.714426229508199</v>
      </c>
      <c r="S1766" s="13" t="str">
        <f>IF(AND(H1766="TO CLOSE",P1766=0),-G1766*(M1766-R1765)*IF(E1766="FUTURE",VLOOKUP(MID(I1766,2,2),[1]Futures!$A$2:$B$12,2),1),"")</f>
        <v/>
      </c>
    </row>
    <row r="1767" spans="1:19" x14ac:dyDescent="0.2">
      <c r="A1767">
        <f t="shared" si="83"/>
        <v>558</v>
      </c>
      <c r="B1767" s="3">
        <v>44006</v>
      </c>
      <c r="C1767" s="3" t="str">
        <f t="shared" si="82"/>
        <v>Wednesday</v>
      </c>
      <c r="D1767" s="2">
        <v>0.46866898148148151</v>
      </c>
      <c r="E1767" t="s">
        <v>22</v>
      </c>
      <c r="F1767" t="s">
        <v>19</v>
      </c>
      <c r="G1767">
        <v>16</v>
      </c>
      <c r="H1767" t="s">
        <v>16</v>
      </c>
      <c r="I1767" t="s">
        <v>23</v>
      </c>
      <c r="L1767" t="s">
        <v>22</v>
      </c>
      <c r="M1767">
        <v>36.78</v>
      </c>
      <c r="N1767">
        <v>36.78</v>
      </c>
      <c r="O1767" t="s">
        <v>18</v>
      </c>
      <c r="P1767">
        <f t="shared" si="84"/>
        <v>-167</v>
      </c>
      <c r="Q1767" s="11">
        <f>IF(P1767=0,0,IFERROR(Q1766+G1767*M1767*IF(E1767="FUTURE",VLOOKUP(MID(I1767,2,2),[1]Futures!$A$2:$B$12,2),1),G1767*M1767*IF(E1767="FUTURE",VLOOKUP(MID(I1767,2,2),[1]Futures!$A$2:$B$12,2),1)))</f>
        <v>-5947.26</v>
      </c>
      <c r="R1767" s="12">
        <f>IFERROR(Q1767/P1767/IF(E1767="FUTURE",VLOOKUP(MID(I1767,2,2),[1]Futures!$A$2:$B$12,2),1),"")</f>
        <v>35.61233532934132</v>
      </c>
      <c r="S1767" s="13" t="str">
        <f>IF(AND(H1767="TO CLOSE",P1767=0),-G1767*(M1767-R1766)*IF(E1767="FUTURE",VLOOKUP(MID(I1767,2,2),[1]Futures!$A$2:$B$12,2),1),"")</f>
        <v/>
      </c>
    </row>
    <row r="1768" spans="1:19" x14ac:dyDescent="0.2">
      <c r="A1768">
        <f t="shared" si="83"/>
        <v>558</v>
      </c>
      <c r="B1768" s="3">
        <v>44006</v>
      </c>
      <c r="C1768" s="3" t="str">
        <f t="shared" si="82"/>
        <v>Wednesday</v>
      </c>
      <c r="D1768" s="2">
        <v>0.46866898148148151</v>
      </c>
      <c r="E1768" t="s">
        <v>22</v>
      </c>
      <c r="F1768" t="s">
        <v>19</v>
      </c>
      <c r="G1768">
        <v>67</v>
      </c>
      <c r="H1768" t="s">
        <v>16</v>
      </c>
      <c r="I1768" t="s">
        <v>23</v>
      </c>
      <c r="L1768" t="s">
        <v>22</v>
      </c>
      <c r="M1768">
        <v>36.78</v>
      </c>
      <c r="N1768">
        <v>36.78</v>
      </c>
      <c r="O1768" t="s">
        <v>18</v>
      </c>
      <c r="P1768">
        <f t="shared" si="84"/>
        <v>-100</v>
      </c>
      <c r="Q1768" s="11">
        <f>IF(P1768=0,0,IFERROR(Q1767+G1768*M1768*IF(E1768="FUTURE",VLOOKUP(MID(I1768,2,2),[1]Futures!$A$2:$B$12,2),1),G1768*M1768*IF(E1768="FUTURE",VLOOKUP(MID(I1768,2,2),[1]Futures!$A$2:$B$12,2),1)))</f>
        <v>-3483</v>
      </c>
      <c r="R1768" s="12">
        <f>IFERROR(Q1768/P1768/IF(E1768="FUTURE",VLOOKUP(MID(I1768,2,2),[1]Futures!$A$2:$B$12,2),1),"")</f>
        <v>34.83</v>
      </c>
      <c r="S1768" s="13" t="str">
        <f>IF(AND(H1768="TO CLOSE",P1768=0),-G1768*(M1768-R1767)*IF(E1768="FUTURE",VLOOKUP(MID(I1768,2,2),[1]Futures!$A$2:$B$12,2),1),"")</f>
        <v/>
      </c>
    </row>
    <row r="1769" spans="1:19" x14ac:dyDescent="0.2">
      <c r="A1769">
        <f t="shared" si="83"/>
        <v>558</v>
      </c>
      <c r="B1769" s="3">
        <v>44006</v>
      </c>
      <c r="C1769" s="3" t="str">
        <f t="shared" si="82"/>
        <v>Wednesday</v>
      </c>
      <c r="D1769" s="2">
        <v>0.46866898148148151</v>
      </c>
      <c r="E1769" t="s">
        <v>22</v>
      </c>
      <c r="F1769" t="s">
        <v>19</v>
      </c>
      <c r="G1769">
        <v>100</v>
      </c>
      <c r="H1769" t="s">
        <v>16</v>
      </c>
      <c r="I1769" t="s">
        <v>23</v>
      </c>
      <c r="L1769" t="s">
        <v>22</v>
      </c>
      <c r="M1769">
        <v>36.770000000000003</v>
      </c>
      <c r="N1769">
        <v>36.770000000000003</v>
      </c>
      <c r="O1769" t="s">
        <v>18</v>
      </c>
      <c r="P1769">
        <f t="shared" si="84"/>
        <v>0</v>
      </c>
      <c r="Q1769" s="11">
        <f>IF(P1769=0,0,IFERROR(Q1768+G1769*M1769*IF(E1769="FUTURE",VLOOKUP(MID(I1769,2,2),[1]Futures!$A$2:$B$12,2),1),G1769*M1769*IF(E1769="FUTURE",VLOOKUP(MID(I1769,2,2),[1]Futures!$A$2:$B$12,2),1)))</f>
        <v>0</v>
      </c>
      <c r="R1769" s="12" t="str">
        <f>IFERROR(Q1769/P1769/IF(E1769="FUTURE",VLOOKUP(MID(I1769,2,2),[1]Futures!$A$2:$B$12,2),1),"")</f>
        <v/>
      </c>
      <c r="S1769" s="13">
        <f>IF(AND(H1769="TO CLOSE",P1769=0),-G1769*(M1769-R1768)*IF(E1769="FUTURE",VLOOKUP(MID(I1769,2,2),[1]Futures!$A$2:$B$12,2),1),"")</f>
        <v>-194.00000000000048</v>
      </c>
    </row>
    <row r="1770" spans="1:19" x14ac:dyDescent="0.2">
      <c r="A1770">
        <f t="shared" si="83"/>
        <v>559</v>
      </c>
      <c r="B1770" s="3">
        <v>44007</v>
      </c>
      <c r="C1770" s="3" t="str">
        <f t="shared" si="82"/>
        <v>Thursday</v>
      </c>
      <c r="D1770" s="2">
        <v>0.50925925925925919</v>
      </c>
      <c r="E1770" t="s">
        <v>14</v>
      </c>
      <c r="F1770" t="s">
        <v>19</v>
      </c>
      <c r="G1770">
        <v>1</v>
      </c>
      <c r="H1770" t="s">
        <v>20</v>
      </c>
      <c r="I1770" t="s">
        <v>77</v>
      </c>
      <c r="J1770" s="1">
        <v>44063</v>
      </c>
      <c r="L1770" t="s">
        <v>14</v>
      </c>
      <c r="M1770">
        <v>38.65</v>
      </c>
      <c r="N1770">
        <v>38.65</v>
      </c>
      <c r="O1770" t="s">
        <v>24</v>
      </c>
      <c r="P1770">
        <f t="shared" si="84"/>
        <v>1</v>
      </c>
      <c r="Q1770" s="11">
        <f>IF(P1770=0,0,IFERROR(Q1769+G1770*M1770*IF(E1770="FUTURE",VLOOKUP(MID(I1770,2,2),[1]Futures!$A$2:$B$12,2),1),G1770*M1770*IF(E1770="FUTURE",VLOOKUP(MID(I1770,2,2),[1]Futures!$A$2:$B$12,2),1)))</f>
        <v>38650</v>
      </c>
      <c r="R1770" s="12">
        <f>IFERROR(Q1770/P1770/IF(E1770="FUTURE",VLOOKUP(MID(I1770,2,2),[1]Futures!$A$2:$B$12,2),1),"")</f>
        <v>38.65</v>
      </c>
      <c r="S1770" s="13" t="str">
        <f>IF(AND(H1770="TO CLOSE",P1770=0),-G1770*(M1770-R1769)*IF(E1770="FUTURE",VLOOKUP(MID(I1770,2,2),[1]Futures!$A$2:$B$12,2),1),"")</f>
        <v/>
      </c>
    </row>
    <row r="1771" spans="1:19" x14ac:dyDescent="0.2">
      <c r="A1771">
        <f t="shared" si="83"/>
        <v>559</v>
      </c>
      <c r="B1771" s="3">
        <v>44007</v>
      </c>
      <c r="C1771" s="3" t="str">
        <f t="shared" si="82"/>
        <v>Thursday</v>
      </c>
      <c r="D1771" s="2">
        <v>0.51710648148148153</v>
      </c>
      <c r="E1771" t="s">
        <v>14</v>
      </c>
      <c r="F1771" t="s">
        <v>15</v>
      </c>
      <c r="G1771">
        <v>-1</v>
      </c>
      <c r="H1771" t="s">
        <v>16</v>
      </c>
      <c r="I1771" t="s">
        <v>77</v>
      </c>
      <c r="J1771" s="1">
        <v>44063</v>
      </c>
      <c r="L1771" t="s">
        <v>14</v>
      </c>
      <c r="M1771">
        <v>38.659999999999997</v>
      </c>
      <c r="N1771">
        <v>38.659999999999997</v>
      </c>
      <c r="O1771" t="s">
        <v>21</v>
      </c>
      <c r="P1771">
        <f t="shared" si="84"/>
        <v>0</v>
      </c>
      <c r="Q1771" s="11">
        <f>IF(P1771=0,0,IFERROR(Q1770+G1771*M1771*IF(E1771="FUTURE",VLOOKUP(MID(I1771,2,2),[1]Futures!$A$2:$B$12,2),1),G1771*M1771*IF(E1771="FUTURE",VLOOKUP(MID(I1771,2,2),[1]Futures!$A$2:$B$12,2),1)))</f>
        <v>0</v>
      </c>
      <c r="R1771" s="12" t="str">
        <f>IFERROR(Q1771/P1771/IF(E1771="FUTURE",VLOOKUP(MID(I1771,2,2),[1]Futures!$A$2:$B$12,2),1),"")</f>
        <v/>
      </c>
      <c r="S1771" s="13">
        <f>IF(AND(H1771="TO CLOSE",P1771=0),-G1771*(M1771-R1770)*IF(E1771="FUTURE",VLOOKUP(MID(I1771,2,2),[1]Futures!$A$2:$B$12,2),1),"")</f>
        <v>9.9999999999980105</v>
      </c>
    </row>
    <row r="1772" spans="1:19" x14ac:dyDescent="0.2">
      <c r="A1772">
        <f t="shared" si="83"/>
        <v>560</v>
      </c>
      <c r="B1772" s="3">
        <v>44007</v>
      </c>
      <c r="C1772" s="3" t="str">
        <f t="shared" si="82"/>
        <v>Thursday</v>
      </c>
      <c r="D1772" s="2">
        <v>0.58042824074074073</v>
      </c>
      <c r="E1772" t="s">
        <v>14</v>
      </c>
      <c r="F1772" t="s">
        <v>15</v>
      </c>
      <c r="G1772">
        <v>-1</v>
      </c>
      <c r="H1772" t="s">
        <v>20</v>
      </c>
      <c r="I1772" t="s">
        <v>79</v>
      </c>
      <c r="J1772" s="1">
        <v>44094</v>
      </c>
      <c r="L1772" t="s">
        <v>14</v>
      </c>
      <c r="M1772">
        <v>3045</v>
      </c>
      <c r="N1772">
        <v>3045</v>
      </c>
      <c r="O1772" t="s">
        <v>24</v>
      </c>
      <c r="P1772">
        <f t="shared" si="84"/>
        <v>-1</v>
      </c>
      <c r="Q1772" s="11">
        <f>IF(P1772=0,0,IFERROR(Q1771+G1772*M1772*IF(E1772="FUTURE",VLOOKUP(MID(I1772,2,2),[1]Futures!$A$2:$B$12,2),1),G1772*M1772*IF(E1772="FUTURE",VLOOKUP(MID(I1772,2,2),[1]Futures!$A$2:$B$12,2),1)))</f>
        <v>-152250</v>
      </c>
      <c r="R1772" s="12">
        <f>IFERROR(Q1772/P1772/IF(E1772="FUTURE",VLOOKUP(MID(I1772,2,2),[1]Futures!$A$2:$B$12,2),1),"")</f>
        <v>3045</v>
      </c>
      <c r="S1772" s="13" t="str">
        <f>IF(AND(H1772="TO CLOSE",P1772=0),-G1772*(M1772-R1771)*IF(E1772="FUTURE",VLOOKUP(MID(I1772,2,2),[1]Futures!$A$2:$B$12,2),1),"")</f>
        <v/>
      </c>
    </row>
    <row r="1773" spans="1:19" x14ac:dyDescent="0.2">
      <c r="A1773">
        <f t="shared" si="83"/>
        <v>560</v>
      </c>
      <c r="B1773" s="3">
        <v>44007</v>
      </c>
      <c r="C1773" s="3" t="str">
        <f t="shared" si="82"/>
        <v>Thursday</v>
      </c>
      <c r="D1773" s="2">
        <v>0.58288194444444441</v>
      </c>
      <c r="E1773" t="s">
        <v>14</v>
      </c>
      <c r="F1773" t="s">
        <v>19</v>
      </c>
      <c r="G1773">
        <v>1</v>
      </c>
      <c r="H1773" t="s">
        <v>16</v>
      </c>
      <c r="I1773" t="s">
        <v>79</v>
      </c>
      <c r="J1773" s="1">
        <v>44094</v>
      </c>
      <c r="L1773" t="s">
        <v>14</v>
      </c>
      <c r="M1773">
        <v>3044.5</v>
      </c>
      <c r="N1773">
        <v>3044.5</v>
      </c>
      <c r="O1773" t="s">
        <v>21</v>
      </c>
      <c r="P1773">
        <f t="shared" si="84"/>
        <v>0</v>
      </c>
      <c r="Q1773" s="11">
        <f>IF(P1773=0,0,IFERROR(Q1772+G1773*M1773*IF(E1773="FUTURE",VLOOKUP(MID(I1773,2,2),[1]Futures!$A$2:$B$12,2),1),G1773*M1773*IF(E1773="FUTURE",VLOOKUP(MID(I1773,2,2),[1]Futures!$A$2:$B$12,2),1)))</f>
        <v>0</v>
      </c>
      <c r="R1773" s="12" t="str">
        <f>IFERROR(Q1773/P1773/IF(E1773="FUTURE",VLOOKUP(MID(I1773,2,2),[1]Futures!$A$2:$B$12,2),1),"")</f>
        <v/>
      </c>
      <c r="S1773" s="13">
        <f>IF(AND(H1773="TO CLOSE",P1773=0),-G1773*(M1773-R1772)*IF(E1773="FUTURE",VLOOKUP(MID(I1773,2,2),[1]Futures!$A$2:$B$12,2),1),"")</f>
        <v>25</v>
      </c>
    </row>
    <row r="1774" spans="1:19" x14ac:dyDescent="0.2">
      <c r="A1774">
        <f t="shared" si="83"/>
        <v>561</v>
      </c>
      <c r="B1774" s="3">
        <v>44007</v>
      </c>
      <c r="C1774" s="3" t="str">
        <f t="shared" si="82"/>
        <v>Thursday</v>
      </c>
      <c r="D1774" s="2">
        <v>0.6103587962962963</v>
      </c>
      <c r="E1774" t="s">
        <v>14</v>
      </c>
      <c r="F1774" t="s">
        <v>19</v>
      </c>
      <c r="G1774">
        <v>2</v>
      </c>
      <c r="H1774" t="s">
        <v>20</v>
      </c>
      <c r="I1774" t="s">
        <v>80</v>
      </c>
      <c r="J1774" s="1">
        <v>44094</v>
      </c>
      <c r="L1774" t="s">
        <v>14</v>
      </c>
      <c r="M1774">
        <v>3037.25</v>
      </c>
      <c r="N1774">
        <v>3037.25</v>
      </c>
      <c r="O1774" t="s">
        <v>24</v>
      </c>
      <c r="P1774">
        <f t="shared" si="84"/>
        <v>2</v>
      </c>
      <c r="Q1774" s="11">
        <f>IF(P1774=0,0,IFERROR(Q1773+G1774*M1774*IF(E1774="FUTURE",VLOOKUP(MID(I1774,2,2),[1]Futures!$A$2:$B$12,2),1),G1774*M1774*IF(E1774="FUTURE",VLOOKUP(MID(I1774,2,2),[1]Futures!$A$2:$B$12,2),1)))</f>
        <v>30372.5</v>
      </c>
      <c r="R1774" s="12">
        <f>IFERROR(Q1774/P1774/IF(E1774="FUTURE",VLOOKUP(MID(I1774,2,2),[1]Futures!$A$2:$B$12,2),1),"")</f>
        <v>3037.25</v>
      </c>
      <c r="S1774" s="13" t="str">
        <f>IF(AND(H1774="TO CLOSE",P1774=0),-G1774*(M1774-R1773)*IF(E1774="FUTURE",VLOOKUP(MID(I1774,2,2),[1]Futures!$A$2:$B$12,2),1),"")</f>
        <v/>
      </c>
    </row>
    <row r="1775" spans="1:19" x14ac:dyDescent="0.2">
      <c r="A1775">
        <f t="shared" si="83"/>
        <v>561</v>
      </c>
      <c r="B1775" s="3">
        <v>44007</v>
      </c>
      <c r="C1775" s="3" t="str">
        <f t="shared" si="82"/>
        <v>Thursday</v>
      </c>
      <c r="D1775" s="2">
        <v>0.61241898148148144</v>
      </c>
      <c r="E1775" t="s">
        <v>14</v>
      </c>
      <c r="F1775" t="s">
        <v>15</v>
      </c>
      <c r="G1775">
        <v>-2</v>
      </c>
      <c r="H1775" t="s">
        <v>16</v>
      </c>
      <c r="I1775" t="s">
        <v>80</v>
      </c>
      <c r="J1775" s="1">
        <v>44094</v>
      </c>
      <c r="L1775" t="s">
        <v>14</v>
      </c>
      <c r="M1775">
        <v>3040.75</v>
      </c>
      <c r="N1775">
        <v>3040.75</v>
      </c>
      <c r="O1775" t="s">
        <v>21</v>
      </c>
      <c r="P1775">
        <f t="shared" si="84"/>
        <v>0</v>
      </c>
      <c r="Q1775" s="11">
        <f>IF(P1775=0,0,IFERROR(Q1774+G1775*M1775*IF(E1775="FUTURE",VLOOKUP(MID(I1775,2,2),[1]Futures!$A$2:$B$12,2),1),G1775*M1775*IF(E1775="FUTURE",VLOOKUP(MID(I1775,2,2),[1]Futures!$A$2:$B$12,2),1)))</f>
        <v>0</v>
      </c>
      <c r="R1775" s="12" t="str">
        <f>IFERROR(Q1775/P1775/IF(E1775="FUTURE",VLOOKUP(MID(I1775,2,2),[1]Futures!$A$2:$B$12,2),1),"")</f>
        <v/>
      </c>
      <c r="S1775" s="13">
        <f>IF(AND(H1775="TO CLOSE",P1775=0),-G1775*(M1775-R1774)*IF(E1775="FUTURE",VLOOKUP(MID(I1775,2,2),[1]Futures!$A$2:$B$12,2),1),"")</f>
        <v>35</v>
      </c>
    </row>
    <row r="1776" spans="1:19" x14ac:dyDescent="0.2">
      <c r="A1776">
        <f t="shared" si="83"/>
        <v>562</v>
      </c>
      <c r="B1776" s="3">
        <v>44007</v>
      </c>
      <c r="C1776" s="3" t="str">
        <f t="shared" si="82"/>
        <v>Thursday</v>
      </c>
      <c r="D1776" s="2">
        <v>0.61729166666666668</v>
      </c>
      <c r="E1776" t="s">
        <v>14</v>
      </c>
      <c r="F1776" t="s">
        <v>19</v>
      </c>
      <c r="G1776">
        <v>2</v>
      </c>
      <c r="H1776" t="s">
        <v>20</v>
      </c>
      <c r="I1776" t="s">
        <v>80</v>
      </c>
      <c r="J1776" s="1">
        <v>44094</v>
      </c>
      <c r="L1776" t="s">
        <v>14</v>
      </c>
      <c r="M1776">
        <v>3040.25</v>
      </c>
      <c r="N1776">
        <v>3040.25</v>
      </c>
      <c r="O1776" t="s">
        <v>24</v>
      </c>
      <c r="P1776">
        <f t="shared" si="84"/>
        <v>2</v>
      </c>
      <c r="Q1776" s="11">
        <f>IF(P1776=0,0,IFERROR(Q1775+G1776*M1776*IF(E1776="FUTURE",VLOOKUP(MID(I1776,2,2),[1]Futures!$A$2:$B$12,2),1),G1776*M1776*IF(E1776="FUTURE",VLOOKUP(MID(I1776,2,2),[1]Futures!$A$2:$B$12,2),1)))</f>
        <v>30402.5</v>
      </c>
      <c r="R1776" s="12">
        <f>IFERROR(Q1776/P1776/IF(E1776="FUTURE",VLOOKUP(MID(I1776,2,2),[1]Futures!$A$2:$B$12,2),1),"")</f>
        <v>3040.25</v>
      </c>
      <c r="S1776" s="13" t="str">
        <f>IF(AND(H1776="TO CLOSE",P1776=0),-G1776*(M1776-R1775)*IF(E1776="FUTURE",VLOOKUP(MID(I1776,2,2),[1]Futures!$A$2:$B$12,2),1),"")</f>
        <v/>
      </c>
    </row>
    <row r="1777" spans="1:19" x14ac:dyDescent="0.2">
      <c r="A1777">
        <f t="shared" si="83"/>
        <v>562</v>
      </c>
      <c r="B1777" s="3">
        <v>44007</v>
      </c>
      <c r="C1777" s="3" t="str">
        <f t="shared" si="82"/>
        <v>Thursday</v>
      </c>
      <c r="D1777" s="2">
        <v>0.61964120370370368</v>
      </c>
      <c r="E1777" t="s">
        <v>14</v>
      </c>
      <c r="F1777" t="s">
        <v>15</v>
      </c>
      <c r="G1777">
        <v>-2</v>
      </c>
      <c r="H1777" t="s">
        <v>16</v>
      </c>
      <c r="I1777" t="s">
        <v>80</v>
      </c>
      <c r="J1777" s="1">
        <v>44094</v>
      </c>
      <c r="L1777" t="s">
        <v>14</v>
      </c>
      <c r="M1777">
        <v>3042.25</v>
      </c>
      <c r="N1777">
        <v>3042.25</v>
      </c>
      <c r="O1777" t="s">
        <v>21</v>
      </c>
      <c r="P1777">
        <f t="shared" si="84"/>
        <v>0</v>
      </c>
      <c r="Q1777" s="11">
        <f>IF(P1777=0,0,IFERROR(Q1776+G1777*M1777*IF(E1777="FUTURE",VLOOKUP(MID(I1777,2,2),[1]Futures!$A$2:$B$12,2),1),G1777*M1777*IF(E1777="FUTURE",VLOOKUP(MID(I1777,2,2),[1]Futures!$A$2:$B$12,2),1)))</f>
        <v>0</v>
      </c>
      <c r="R1777" s="12" t="str">
        <f>IFERROR(Q1777/P1777/IF(E1777="FUTURE",VLOOKUP(MID(I1777,2,2),[1]Futures!$A$2:$B$12,2),1),"")</f>
        <v/>
      </c>
      <c r="S1777" s="13">
        <f>IF(AND(H1777="TO CLOSE",P1777=0),-G1777*(M1777-R1776)*IF(E1777="FUTURE",VLOOKUP(MID(I1777,2,2),[1]Futures!$A$2:$B$12,2),1),"")</f>
        <v>20</v>
      </c>
    </row>
    <row r="1778" spans="1:19" x14ac:dyDescent="0.2">
      <c r="A1778">
        <f t="shared" si="83"/>
        <v>563</v>
      </c>
      <c r="B1778" s="3">
        <v>44007</v>
      </c>
      <c r="C1778" s="3" t="str">
        <f t="shared" si="82"/>
        <v>Thursday</v>
      </c>
      <c r="D1778" s="2">
        <v>0.50577546296296294</v>
      </c>
      <c r="E1778" t="s">
        <v>22</v>
      </c>
      <c r="F1778" t="s">
        <v>15</v>
      </c>
      <c r="G1778">
        <v>-400</v>
      </c>
      <c r="H1778" t="s">
        <v>20</v>
      </c>
      <c r="I1778" t="s">
        <v>23</v>
      </c>
      <c r="L1778" t="s">
        <v>22</v>
      </c>
      <c r="M1778">
        <v>36.330100000000002</v>
      </c>
      <c r="N1778">
        <v>36.330100000000002</v>
      </c>
      <c r="O1778" t="s">
        <v>21</v>
      </c>
      <c r="P1778">
        <f t="shared" si="84"/>
        <v>-400</v>
      </c>
      <c r="Q1778" s="11">
        <f>IF(P1778=0,0,IFERROR(Q1777+G1778*M1778*IF(E1778="FUTURE",VLOOKUP(MID(I1778,2,2),[1]Futures!$A$2:$B$12,2),1),G1778*M1778*IF(E1778="FUTURE",VLOOKUP(MID(I1778,2,2),[1]Futures!$A$2:$B$12,2),1)))</f>
        <v>-14532.04</v>
      </c>
      <c r="R1778" s="12">
        <f>IFERROR(Q1778/P1778/IF(E1778="FUTURE",VLOOKUP(MID(I1778,2,2),[1]Futures!$A$2:$B$12,2),1),"")</f>
        <v>36.330100000000002</v>
      </c>
      <c r="S1778" s="13" t="str">
        <f>IF(AND(H1778="TO CLOSE",P1778=0),-G1778*(M1778-R1777)*IF(E1778="FUTURE",VLOOKUP(MID(I1778,2,2),[1]Futures!$A$2:$B$12,2),1),"")</f>
        <v/>
      </c>
    </row>
    <row r="1779" spans="1:19" x14ac:dyDescent="0.2">
      <c r="A1779">
        <f t="shared" si="83"/>
        <v>563</v>
      </c>
      <c r="B1779" s="3">
        <v>44007</v>
      </c>
      <c r="C1779" s="3" t="str">
        <f t="shared" si="82"/>
        <v>Thursday</v>
      </c>
      <c r="D1779" s="2">
        <v>0.51325231481481481</v>
      </c>
      <c r="E1779" t="s">
        <v>22</v>
      </c>
      <c r="F1779" t="s">
        <v>19</v>
      </c>
      <c r="G1779">
        <v>100</v>
      </c>
      <c r="H1779" t="s">
        <v>16</v>
      </c>
      <c r="I1779" t="s">
        <v>23</v>
      </c>
      <c r="L1779" t="s">
        <v>22</v>
      </c>
      <c r="M1779">
        <v>36.015000000000001</v>
      </c>
      <c r="N1779">
        <v>36.015000000000001</v>
      </c>
      <c r="O1779" t="s">
        <v>24</v>
      </c>
      <c r="P1779">
        <f t="shared" si="84"/>
        <v>-300</v>
      </c>
      <c r="Q1779" s="11">
        <f>IF(P1779=0,0,IFERROR(Q1778+G1779*M1779*IF(E1779="FUTURE",VLOOKUP(MID(I1779,2,2),[1]Futures!$A$2:$B$12,2),1),G1779*M1779*IF(E1779="FUTURE",VLOOKUP(MID(I1779,2,2),[1]Futures!$A$2:$B$12,2),1)))</f>
        <v>-10930.54</v>
      </c>
      <c r="R1779" s="12">
        <f>IFERROR(Q1779/P1779/IF(E1779="FUTURE",VLOOKUP(MID(I1779,2,2),[1]Futures!$A$2:$B$12,2),1),"")</f>
        <v>36.435133333333333</v>
      </c>
      <c r="S1779" s="13" t="str">
        <f>IF(AND(H1779="TO CLOSE",P1779=0),-G1779*(M1779-R1778)*IF(E1779="FUTURE",VLOOKUP(MID(I1779,2,2),[1]Futures!$A$2:$B$12,2),1),"")</f>
        <v/>
      </c>
    </row>
    <row r="1780" spans="1:19" x14ac:dyDescent="0.2">
      <c r="A1780">
        <f t="shared" si="83"/>
        <v>563</v>
      </c>
      <c r="B1780" s="3">
        <v>44007</v>
      </c>
      <c r="C1780" s="3" t="str">
        <f t="shared" si="82"/>
        <v>Thursday</v>
      </c>
      <c r="D1780" s="2">
        <v>0.51530092592592591</v>
      </c>
      <c r="E1780" t="s">
        <v>22</v>
      </c>
      <c r="F1780" t="s">
        <v>19</v>
      </c>
      <c r="G1780">
        <v>100</v>
      </c>
      <c r="H1780" t="s">
        <v>16</v>
      </c>
      <c r="I1780" t="s">
        <v>23</v>
      </c>
      <c r="L1780" t="s">
        <v>22</v>
      </c>
      <c r="M1780">
        <v>35.880000000000003</v>
      </c>
      <c r="N1780">
        <v>35.880000000000003</v>
      </c>
      <c r="O1780" t="s">
        <v>21</v>
      </c>
      <c r="P1780">
        <f t="shared" si="84"/>
        <v>-200</v>
      </c>
      <c r="Q1780" s="11">
        <f>IF(P1780=0,0,IFERROR(Q1779+G1780*M1780*IF(E1780="FUTURE",VLOOKUP(MID(I1780,2,2),[1]Futures!$A$2:$B$12,2),1),G1780*M1780*IF(E1780="FUTURE",VLOOKUP(MID(I1780,2,2),[1]Futures!$A$2:$B$12,2),1)))</f>
        <v>-7342.5400000000009</v>
      </c>
      <c r="R1780" s="12">
        <f>IFERROR(Q1780/P1780/IF(E1780="FUTURE",VLOOKUP(MID(I1780,2,2),[1]Futures!$A$2:$B$12,2),1),"")</f>
        <v>36.712700000000005</v>
      </c>
      <c r="S1780" s="13" t="str">
        <f>IF(AND(H1780="TO CLOSE",P1780=0),-G1780*(M1780-R1779)*IF(E1780="FUTURE",VLOOKUP(MID(I1780,2,2),[1]Futures!$A$2:$B$12,2),1),"")</f>
        <v/>
      </c>
    </row>
    <row r="1781" spans="1:19" x14ac:dyDescent="0.2">
      <c r="A1781">
        <f t="shared" si="83"/>
        <v>563</v>
      </c>
      <c r="B1781" s="3">
        <v>44007</v>
      </c>
      <c r="C1781" s="3" t="str">
        <f t="shared" si="82"/>
        <v>Thursday</v>
      </c>
      <c r="D1781" s="2">
        <v>0.51797453703703711</v>
      </c>
      <c r="E1781" t="s">
        <v>22</v>
      </c>
      <c r="F1781" t="s">
        <v>19</v>
      </c>
      <c r="G1781">
        <v>100</v>
      </c>
      <c r="H1781" t="s">
        <v>16</v>
      </c>
      <c r="I1781" t="s">
        <v>23</v>
      </c>
      <c r="L1781" t="s">
        <v>22</v>
      </c>
      <c r="M1781">
        <v>36.045000000000002</v>
      </c>
      <c r="N1781">
        <v>36.045000000000002</v>
      </c>
      <c r="O1781" t="s">
        <v>21</v>
      </c>
      <c r="P1781">
        <f t="shared" si="84"/>
        <v>-100</v>
      </c>
      <c r="Q1781" s="11">
        <f>IF(P1781=0,0,IFERROR(Q1780+G1781*M1781*IF(E1781="FUTURE",VLOOKUP(MID(I1781,2,2),[1]Futures!$A$2:$B$12,2),1),G1781*M1781*IF(E1781="FUTURE",VLOOKUP(MID(I1781,2,2),[1]Futures!$A$2:$B$12,2),1)))</f>
        <v>-3738.0400000000009</v>
      </c>
      <c r="R1781" s="12">
        <f>IFERROR(Q1781/P1781/IF(E1781="FUTURE",VLOOKUP(MID(I1781,2,2),[1]Futures!$A$2:$B$12,2),1),"")</f>
        <v>37.380400000000009</v>
      </c>
      <c r="S1781" s="13" t="str">
        <f>IF(AND(H1781="TO CLOSE",P1781=0),-G1781*(M1781-R1780)*IF(E1781="FUTURE",VLOOKUP(MID(I1781,2,2),[1]Futures!$A$2:$B$12,2),1),"")</f>
        <v/>
      </c>
    </row>
    <row r="1782" spans="1:19" x14ac:dyDescent="0.2">
      <c r="A1782">
        <f t="shared" si="83"/>
        <v>563</v>
      </c>
      <c r="B1782" s="3">
        <v>44007</v>
      </c>
      <c r="C1782" s="3" t="str">
        <f t="shared" si="82"/>
        <v>Thursday</v>
      </c>
      <c r="D1782" s="2">
        <v>0.52285879629629628</v>
      </c>
      <c r="E1782" t="s">
        <v>22</v>
      </c>
      <c r="F1782" t="s">
        <v>19</v>
      </c>
      <c r="G1782">
        <v>100</v>
      </c>
      <c r="H1782" t="s">
        <v>16</v>
      </c>
      <c r="I1782" t="s">
        <v>23</v>
      </c>
      <c r="L1782" t="s">
        <v>22</v>
      </c>
      <c r="M1782">
        <v>36.174999999999997</v>
      </c>
      <c r="N1782">
        <v>36.174999999999997</v>
      </c>
      <c r="O1782" t="s">
        <v>24</v>
      </c>
      <c r="P1782">
        <f t="shared" si="84"/>
        <v>0</v>
      </c>
      <c r="Q1782" s="11">
        <f>IF(P1782=0,0,IFERROR(Q1781+G1782*M1782*IF(E1782="FUTURE",VLOOKUP(MID(I1782,2,2),[1]Futures!$A$2:$B$12,2),1),G1782*M1782*IF(E1782="FUTURE",VLOOKUP(MID(I1782,2,2),[1]Futures!$A$2:$B$12,2),1)))</f>
        <v>0</v>
      </c>
      <c r="R1782" s="12" t="str">
        <f>IFERROR(Q1782/P1782/IF(E1782="FUTURE",VLOOKUP(MID(I1782,2,2),[1]Futures!$A$2:$B$12,2),1),"")</f>
        <v/>
      </c>
      <c r="S1782" s="13">
        <f>IF(AND(H1782="TO CLOSE",P1782=0),-G1782*(M1782-R1781)*IF(E1782="FUTURE",VLOOKUP(MID(I1782,2,2),[1]Futures!$A$2:$B$12,2),1),"")</f>
        <v>120.54000000000116</v>
      </c>
    </row>
    <row r="1783" spans="1:19" x14ac:dyDescent="0.2">
      <c r="A1783">
        <f t="shared" si="83"/>
        <v>564</v>
      </c>
      <c r="B1783" s="3">
        <v>44007</v>
      </c>
      <c r="C1783" s="3" t="str">
        <f t="shared" si="82"/>
        <v>Thursday</v>
      </c>
      <c r="D1783" s="2">
        <v>0.58777777777777784</v>
      </c>
      <c r="E1783" t="s">
        <v>22</v>
      </c>
      <c r="F1783" t="s">
        <v>15</v>
      </c>
      <c r="G1783">
        <v>-2</v>
      </c>
      <c r="H1783" t="s">
        <v>20</v>
      </c>
      <c r="I1783" t="s">
        <v>23</v>
      </c>
      <c r="L1783" t="s">
        <v>22</v>
      </c>
      <c r="M1783">
        <v>36.200000000000003</v>
      </c>
      <c r="N1783">
        <v>36.200000000000003</v>
      </c>
      <c r="O1783" t="s">
        <v>21</v>
      </c>
      <c r="P1783">
        <f t="shared" si="84"/>
        <v>-2</v>
      </c>
      <c r="Q1783" s="11">
        <f>IF(P1783=0,0,IFERROR(Q1782+G1783*M1783*IF(E1783="FUTURE",VLOOKUP(MID(I1783,2,2),[1]Futures!$A$2:$B$12,2),1),G1783*M1783*IF(E1783="FUTURE",VLOOKUP(MID(I1783,2,2),[1]Futures!$A$2:$B$12,2),1)))</f>
        <v>-72.400000000000006</v>
      </c>
      <c r="R1783" s="12">
        <f>IFERROR(Q1783/P1783/IF(E1783="FUTURE",VLOOKUP(MID(I1783,2,2),[1]Futures!$A$2:$B$12,2),1),"")</f>
        <v>36.200000000000003</v>
      </c>
      <c r="S1783" s="13" t="str">
        <f>IF(AND(H1783="TO CLOSE",P1783=0),-G1783*(M1783-R1782)*IF(E1783="FUTURE",VLOOKUP(MID(I1783,2,2),[1]Futures!$A$2:$B$12,2),1),"")</f>
        <v/>
      </c>
    </row>
    <row r="1784" spans="1:19" x14ac:dyDescent="0.2">
      <c r="A1784">
        <f t="shared" si="83"/>
        <v>564</v>
      </c>
      <c r="B1784" s="3">
        <v>44007</v>
      </c>
      <c r="C1784" s="3" t="str">
        <f t="shared" si="82"/>
        <v>Thursday</v>
      </c>
      <c r="D1784" s="2">
        <v>0.58777777777777784</v>
      </c>
      <c r="E1784" t="s">
        <v>22</v>
      </c>
      <c r="F1784" t="s">
        <v>15</v>
      </c>
      <c r="G1784">
        <v>-298</v>
      </c>
      <c r="H1784" t="s">
        <v>20</v>
      </c>
      <c r="I1784" t="s">
        <v>23</v>
      </c>
      <c r="L1784" t="s">
        <v>22</v>
      </c>
      <c r="M1784">
        <v>36.200000000000003</v>
      </c>
      <c r="N1784">
        <v>36.200000000000003</v>
      </c>
      <c r="O1784" t="s">
        <v>21</v>
      </c>
      <c r="P1784">
        <f t="shared" si="84"/>
        <v>-300</v>
      </c>
      <c r="Q1784" s="11">
        <f>IF(P1784=0,0,IFERROR(Q1783+G1784*M1784*IF(E1784="FUTURE",VLOOKUP(MID(I1784,2,2),[1]Futures!$A$2:$B$12,2),1),G1784*M1784*IF(E1784="FUTURE",VLOOKUP(MID(I1784,2,2),[1]Futures!$A$2:$B$12,2),1)))</f>
        <v>-10860</v>
      </c>
      <c r="R1784" s="12">
        <f>IFERROR(Q1784/P1784/IF(E1784="FUTURE",VLOOKUP(MID(I1784,2,2),[1]Futures!$A$2:$B$12,2),1),"")</f>
        <v>36.200000000000003</v>
      </c>
      <c r="S1784" s="13" t="str">
        <f>IF(AND(H1784="TO CLOSE",P1784=0),-G1784*(M1784-R1783)*IF(E1784="FUTURE",VLOOKUP(MID(I1784,2,2),[1]Futures!$A$2:$B$12,2),1),"")</f>
        <v/>
      </c>
    </row>
    <row r="1785" spans="1:19" x14ac:dyDescent="0.2">
      <c r="A1785">
        <f t="shared" si="83"/>
        <v>564</v>
      </c>
      <c r="B1785" s="3">
        <v>44007</v>
      </c>
      <c r="C1785" s="3" t="str">
        <f t="shared" si="82"/>
        <v>Thursday</v>
      </c>
      <c r="D1785" s="2">
        <v>0.59994212962962956</v>
      </c>
      <c r="E1785" t="s">
        <v>22</v>
      </c>
      <c r="F1785" t="s">
        <v>19</v>
      </c>
      <c r="G1785">
        <v>99</v>
      </c>
      <c r="H1785" t="s">
        <v>16</v>
      </c>
      <c r="I1785" t="s">
        <v>23</v>
      </c>
      <c r="L1785" t="s">
        <v>22</v>
      </c>
      <c r="M1785">
        <v>36.43</v>
      </c>
      <c r="N1785">
        <v>36.43</v>
      </c>
      <c r="O1785" t="s">
        <v>18</v>
      </c>
      <c r="P1785">
        <f t="shared" si="84"/>
        <v>-201</v>
      </c>
      <c r="Q1785" s="11">
        <f>IF(P1785=0,0,IFERROR(Q1784+G1785*M1785*IF(E1785="FUTURE",VLOOKUP(MID(I1785,2,2),[1]Futures!$A$2:$B$12,2),1),G1785*M1785*IF(E1785="FUTURE",VLOOKUP(MID(I1785,2,2),[1]Futures!$A$2:$B$12,2),1)))</f>
        <v>-7253.43</v>
      </c>
      <c r="R1785" s="12">
        <f>IFERROR(Q1785/P1785/IF(E1785="FUTURE",VLOOKUP(MID(I1785,2,2),[1]Futures!$A$2:$B$12,2),1),"")</f>
        <v>36.086716417910452</v>
      </c>
      <c r="S1785" s="13" t="str">
        <f>IF(AND(H1785="TO CLOSE",P1785=0),-G1785*(M1785-R1784)*IF(E1785="FUTURE",VLOOKUP(MID(I1785,2,2),[1]Futures!$A$2:$B$12,2),1),"")</f>
        <v/>
      </c>
    </row>
    <row r="1786" spans="1:19" x14ac:dyDescent="0.2">
      <c r="A1786">
        <f t="shared" si="83"/>
        <v>564</v>
      </c>
      <c r="B1786" s="3">
        <v>44007</v>
      </c>
      <c r="C1786" s="3" t="str">
        <f t="shared" si="82"/>
        <v>Thursday</v>
      </c>
      <c r="D1786" s="2">
        <v>0.59994212962962956</v>
      </c>
      <c r="E1786" t="s">
        <v>22</v>
      </c>
      <c r="F1786" t="s">
        <v>19</v>
      </c>
      <c r="G1786">
        <v>1</v>
      </c>
      <c r="H1786" t="s">
        <v>16</v>
      </c>
      <c r="I1786" t="s">
        <v>23</v>
      </c>
      <c r="L1786" t="s">
        <v>22</v>
      </c>
      <c r="M1786">
        <v>36.43</v>
      </c>
      <c r="N1786">
        <v>36.43</v>
      </c>
      <c r="O1786" t="s">
        <v>18</v>
      </c>
      <c r="P1786">
        <f t="shared" si="84"/>
        <v>-200</v>
      </c>
      <c r="Q1786" s="11">
        <f>IF(P1786=0,0,IFERROR(Q1785+G1786*M1786*IF(E1786="FUTURE",VLOOKUP(MID(I1786,2,2),[1]Futures!$A$2:$B$12,2),1),G1786*M1786*IF(E1786="FUTURE",VLOOKUP(MID(I1786,2,2),[1]Futures!$A$2:$B$12,2),1)))</f>
        <v>-7217</v>
      </c>
      <c r="R1786" s="12">
        <f>IFERROR(Q1786/P1786/IF(E1786="FUTURE",VLOOKUP(MID(I1786,2,2),[1]Futures!$A$2:$B$12,2),1),"")</f>
        <v>36.085000000000001</v>
      </c>
      <c r="S1786" s="13" t="str">
        <f>IF(AND(H1786="TO CLOSE",P1786=0),-G1786*(M1786-R1785)*IF(E1786="FUTURE",VLOOKUP(MID(I1786,2,2),[1]Futures!$A$2:$B$12,2),1),"")</f>
        <v/>
      </c>
    </row>
    <row r="1787" spans="1:19" x14ac:dyDescent="0.2">
      <c r="A1787">
        <f t="shared" si="83"/>
        <v>564</v>
      </c>
      <c r="B1787" s="3">
        <v>44007</v>
      </c>
      <c r="C1787" s="3" t="str">
        <f t="shared" si="82"/>
        <v>Thursday</v>
      </c>
      <c r="D1787" s="2">
        <v>0.59994212962962956</v>
      </c>
      <c r="E1787" t="s">
        <v>22</v>
      </c>
      <c r="F1787" t="s">
        <v>19</v>
      </c>
      <c r="G1787">
        <v>200</v>
      </c>
      <c r="H1787" t="s">
        <v>16</v>
      </c>
      <c r="I1787" t="s">
        <v>23</v>
      </c>
      <c r="L1787" t="s">
        <v>22</v>
      </c>
      <c r="M1787">
        <v>36.429000000000002</v>
      </c>
      <c r="N1787">
        <v>36.429000000000002</v>
      </c>
      <c r="O1787" t="s">
        <v>18</v>
      </c>
      <c r="P1787">
        <f t="shared" si="84"/>
        <v>0</v>
      </c>
      <c r="Q1787" s="11">
        <f>IF(P1787=0,0,IFERROR(Q1786+G1787*M1787*IF(E1787="FUTURE",VLOOKUP(MID(I1787,2,2),[1]Futures!$A$2:$B$12,2),1),G1787*M1787*IF(E1787="FUTURE",VLOOKUP(MID(I1787,2,2),[1]Futures!$A$2:$B$12,2),1)))</f>
        <v>0</v>
      </c>
      <c r="R1787" s="12" t="str">
        <f>IFERROR(Q1787/P1787/IF(E1787="FUTURE",VLOOKUP(MID(I1787,2,2),[1]Futures!$A$2:$B$12,2),1),"")</f>
        <v/>
      </c>
      <c r="S1787" s="13">
        <f>IF(AND(H1787="TO CLOSE",P1787=0),-G1787*(M1787-R1786)*IF(E1787="FUTURE",VLOOKUP(MID(I1787,2,2),[1]Futures!$A$2:$B$12,2),1),"")</f>
        <v>-68.800000000000239</v>
      </c>
    </row>
    <row r="1788" spans="1:19" x14ac:dyDescent="0.2">
      <c r="A1788">
        <f t="shared" si="83"/>
        <v>565</v>
      </c>
      <c r="B1788" s="3">
        <v>44007</v>
      </c>
      <c r="C1788" s="3" t="str">
        <f t="shared" si="82"/>
        <v>Thursday</v>
      </c>
      <c r="D1788" s="2">
        <v>0.60273148148148148</v>
      </c>
      <c r="E1788" t="s">
        <v>22</v>
      </c>
      <c r="F1788" t="s">
        <v>15</v>
      </c>
      <c r="G1788">
        <v>-300</v>
      </c>
      <c r="H1788" t="s">
        <v>20</v>
      </c>
      <c r="I1788" t="s">
        <v>23</v>
      </c>
      <c r="L1788" t="s">
        <v>22</v>
      </c>
      <c r="M1788">
        <v>36.43</v>
      </c>
      <c r="N1788">
        <v>36.43</v>
      </c>
      <c r="O1788" t="s">
        <v>21</v>
      </c>
      <c r="P1788">
        <f t="shared" si="84"/>
        <v>-300</v>
      </c>
      <c r="Q1788" s="11">
        <f>IF(P1788=0,0,IFERROR(Q1787+G1788*M1788*IF(E1788="FUTURE",VLOOKUP(MID(I1788,2,2),[1]Futures!$A$2:$B$12,2),1),G1788*M1788*IF(E1788="FUTURE",VLOOKUP(MID(I1788,2,2),[1]Futures!$A$2:$B$12,2),1)))</f>
        <v>-10929</v>
      </c>
      <c r="R1788" s="12">
        <f>IFERROR(Q1788/P1788/IF(E1788="FUTURE",VLOOKUP(MID(I1788,2,2),[1]Futures!$A$2:$B$12,2),1),"")</f>
        <v>36.43</v>
      </c>
      <c r="S1788" s="13" t="str">
        <f>IF(AND(H1788="TO CLOSE",P1788=0),-G1788*(M1788-R1787)*IF(E1788="FUTURE",VLOOKUP(MID(I1788,2,2),[1]Futures!$A$2:$B$12,2),1),"")</f>
        <v/>
      </c>
    </row>
    <row r="1789" spans="1:19" x14ac:dyDescent="0.2">
      <c r="A1789">
        <f t="shared" si="83"/>
        <v>565</v>
      </c>
      <c r="B1789" s="3">
        <v>44007</v>
      </c>
      <c r="C1789" s="3" t="str">
        <f t="shared" si="82"/>
        <v>Thursday</v>
      </c>
      <c r="D1789" s="2">
        <v>0.60462962962962963</v>
      </c>
      <c r="E1789" t="s">
        <v>22</v>
      </c>
      <c r="F1789" t="s">
        <v>19</v>
      </c>
      <c r="G1789">
        <v>300</v>
      </c>
      <c r="H1789" t="s">
        <v>16</v>
      </c>
      <c r="I1789" t="s">
        <v>23</v>
      </c>
      <c r="L1789" t="s">
        <v>22</v>
      </c>
      <c r="M1789">
        <v>36.579000000000001</v>
      </c>
      <c r="N1789">
        <v>36.579000000000001</v>
      </c>
      <c r="O1789" t="s">
        <v>18</v>
      </c>
      <c r="P1789">
        <f t="shared" si="84"/>
        <v>0</v>
      </c>
      <c r="Q1789" s="11">
        <f>IF(P1789=0,0,IFERROR(Q1788+G1789*M1789*IF(E1789="FUTURE",VLOOKUP(MID(I1789,2,2),[1]Futures!$A$2:$B$12,2),1),G1789*M1789*IF(E1789="FUTURE",VLOOKUP(MID(I1789,2,2),[1]Futures!$A$2:$B$12,2),1)))</f>
        <v>0</v>
      </c>
      <c r="R1789" s="12" t="str">
        <f>IFERROR(Q1789/P1789/IF(E1789="FUTURE",VLOOKUP(MID(I1789,2,2),[1]Futures!$A$2:$B$12,2),1),"")</f>
        <v/>
      </c>
      <c r="S1789" s="13">
        <f>IF(AND(H1789="TO CLOSE",P1789=0),-G1789*(M1789-R1788)*IF(E1789="FUTURE",VLOOKUP(MID(I1789,2,2),[1]Futures!$A$2:$B$12,2),1),"")</f>
        <v>-44.700000000000273</v>
      </c>
    </row>
    <row r="1790" spans="1:19" x14ac:dyDescent="0.2">
      <c r="A1790">
        <f t="shared" si="83"/>
        <v>566</v>
      </c>
      <c r="B1790" s="3">
        <v>44007</v>
      </c>
      <c r="C1790" s="3" t="str">
        <f t="shared" ref="C1790:C1853" si="85">IF(WEEKDAY(B1790,2)=1,"Monday",IF(WEEKDAY(B1790,2)=2,"Tuesday",IF(WEEKDAY(B1790,2)=3,"Wednesday",IF(WEEKDAY(B1790,2)=4,"Thursday",IF(WEEKDAY(B1790,2)=5,"Friday","Sunday")))))</f>
        <v>Thursday</v>
      </c>
      <c r="D1790" s="2">
        <v>0.61046296296296299</v>
      </c>
      <c r="E1790" t="s">
        <v>22</v>
      </c>
      <c r="F1790" t="s">
        <v>15</v>
      </c>
      <c r="G1790">
        <v>-400</v>
      </c>
      <c r="H1790" t="s">
        <v>20</v>
      </c>
      <c r="I1790" t="s">
        <v>23</v>
      </c>
      <c r="L1790" t="s">
        <v>22</v>
      </c>
      <c r="M1790">
        <v>36.4801</v>
      </c>
      <c r="N1790">
        <v>36.4801</v>
      </c>
      <c r="O1790" t="s">
        <v>24</v>
      </c>
      <c r="P1790">
        <f t="shared" si="84"/>
        <v>-400</v>
      </c>
      <c r="Q1790" s="11">
        <f>IF(P1790=0,0,IFERROR(Q1789+G1790*M1790*IF(E1790="FUTURE",VLOOKUP(MID(I1790,2,2),[1]Futures!$A$2:$B$12,2),1),G1790*M1790*IF(E1790="FUTURE",VLOOKUP(MID(I1790,2,2),[1]Futures!$A$2:$B$12,2),1)))</f>
        <v>-14592.04</v>
      </c>
      <c r="R1790" s="12">
        <f>IFERROR(Q1790/P1790/IF(E1790="FUTURE",VLOOKUP(MID(I1790,2,2),[1]Futures!$A$2:$B$12,2),1),"")</f>
        <v>36.4801</v>
      </c>
      <c r="S1790" s="13" t="str">
        <f>IF(AND(H1790="TO CLOSE",P1790=0),-G1790*(M1790-R1789)*IF(E1790="FUTURE",VLOOKUP(MID(I1790,2,2),[1]Futures!$A$2:$B$12,2),1),"")</f>
        <v/>
      </c>
    </row>
    <row r="1791" spans="1:19" x14ac:dyDescent="0.2">
      <c r="A1791">
        <f t="shared" si="83"/>
        <v>566</v>
      </c>
      <c r="B1791" s="3">
        <v>44007</v>
      </c>
      <c r="C1791" s="3" t="str">
        <f t="shared" si="85"/>
        <v>Thursday</v>
      </c>
      <c r="D1791" s="2">
        <v>0.61427083333333332</v>
      </c>
      <c r="E1791" t="s">
        <v>22</v>
      </c>
      <c r="F1791" t="s">
        <v>19</v>
      </c>
      <c r="G1791">
        <v>400</v>
      </c>
      <c r="H1791" t="s">
        <v>16</v>
      </c>
      <c r="I1791" t="s">
        <v>23</v>
      </c>
      <c r="L1791" t="s">
        <v>22</v>
      </c>
      <c r="M1791">
        <v>36.4</v>
      </c>
      <c r="N1791">
        <v>36.4</v>
      </c>
      <c r="O1791" t="s">
        <v>21</v>
      </c>
      <c r="P1791">
        <f t="shared" si="84"/>
        <v>0</v>
      </c>
      <c r="Q1791" s="11">
        <f>IF(P1791=0,0,IFERROR(Q1790+G1791*M1791*IF(E1791="FUTURE",VLOOKUP(MID(I1791,2,2),[1]Futures!$A$2:$B$12,2),1),G1791*M1791*IF(E1791="FUTURE",VLOOKUP(MID(I1791,2,2),[1]Futures!$A$2:$B$12,2),1)))</f>
        <v>0</v>
      </c>
      <c r="R1791" s="12" t="str">
        <f>IFERROR(Q1791/P1791/IF(E1791="FUTURE",VLOOKUP(MID(I1791,2,2),[1]Futures!$A$2:$B$12,2),1),"")</f>
        <v/>
      </c>
      <c r="S1791" s="13">
        <f>IF(AND(H1791="TO CLOSE",P1791=0),-G1791*(M1791-R1790)*IF(E1791="FUTURE",VLOOKUP(MID(I1791,2,2),[1]Futures!$A$2:$B$12,2),1),"")</f>
        <v>32.040000000000646</v>
      </c>
    </row>
    <row r="1792" spans="1:19" x14ac:dyDescent="0.2">
      <c r="A1792">
        <f t="shared" si="83"/>
        <v>567</v>
      </c>
      <c r="B1792" s="3">
        <v>44007</v>
      </c>
      <c r="C1792" s="3" t="str">
        <f t="shared" si="85"/>
        <v>Thursday</v>
      </c>
      <c r="D1792" s="2">
        <v>0.61980324074074067</v>
      </c>
      <c r="E1792" t="s">
        <v>22</v>
      </c>
      <c r="F1792" t="s">
        <v>15</v>
      </c>
      <c r="G1792">
        <v>-100</v>
      </c>
      <c r="H1792" t="s">
        <v>20</v>
      </c>
      <c r="I1792" t="s">
        <v>23</v>
      </c>
      <c r="L1792" t="s">
        <v>22</v>
      </c>
      <c r="M1792">
        <v>36.295000000000002</v>
      </c>
      <c r="N1792">
        <v>36.295000000000002</v>
      </c>
      <c r="O1792" t="s">
        <v>24</v>
      </c>
      <c r="P1792">
        <f t="shared" si="84"/>
        <v>-100</v>
      </c>
      <c r="Q1792" s="11">
        <f>IF(P1792=0,0,IFERROR(Q1791+G1792*M1792*IF(E1792="FUTURE",VLOOKUP(MID(I1792,2,2),[1]Futures!$A$2:$B$12,2),1),G1792*M1792*IF(E1792="FUTURE",VLOOKUP(MID(I1792,2,2),[1]Futures!$A$2:$B$12,2),1)))</f>
        <v>-3629.5</v>
      </c>
      <c r="R1792" s="12">
        <f>IFERROR(Q1792/P1792/IF(E1792="FUTURE",VLOOKUP(MID(I1792,2,2),[1]Futures!$A$2:$B$12,2),1),"")</f>
        <v>36.295000000000002</v>
      </c>
      <c r="S1792" s="13" t="str">
        <f>IF(AND(H1792="TO CLOSE",P1792=0),-G1792*(M1792-R1791)*IF(E1792="FUTURE",VLOOKUP(MID(I1792,2,2),[1]Futures!$A$2:$B$12,2),1),"")</f>
        <v/>
      </c>
    </row>
    <row r="1793" spans="1:19" x14ac:dyDescent="0.2">
      <c r="A1793">
        <f t="shared" si="83"/>
        <v>567</v>
      </c>
      <c r="B1793" s="3">
        <v>44007</v>
      </c>
      <c r="C1793" s="3" t="str">
        <f t="shared" si="85"/>
        <v>Thursday</v>
      </c>
      <c r="D1793" s="2">
        <v>0.61980324074074067</v>
      </c>
      <c r="E1793" t="s">
        <v>22</v>
      </c>
      <c r="F1793" t="s">
        <v>15</v>
      </c>
      <c r="G1793">
        <v>-100</v>
      </c>
      <c r="H1793" t="s">
        <v>20</v>
      </c>
      <c r="I1793" t="s">
        <v>23</v>
      </c>
      <c r="L1793" t="s">
        <v>22</v>
      </c>
      <c r="M1793">
        <v>36.295000000000002</v>
      </c>
      <c r="N1793">
        <v>36.295000000000002</v>
      </c>
      <c r="O1793" t="s">
        <v>24</v>
      </c>
      <c r="P1793">
        <f t="shared" si="84"/>
        <v>-200</v>
      </c>
      <c r="Q1793" s="11">
        <f>IF(P1793=0,0,IFERROR(Q1792+G1793*M1793*IF(E1793="FUTURE",VLOOKUP(MID(I1793,2,2),[1]Futures!$A$2:$B$12,2),1),G1793*M1793*IF(E1793="FUTURE",VLOOKUP(MID(I1793,2,2),[1]Futures!$A$2:$B$12,2),1)))</f>
        <v>-7259</v>
      </c>
      <c r="R1793" s="12">
        <f>IFERROR(Q1793/P1793/IF(E1793="FUTURE",VLOOKUP(MID(I1793,2,2),[1]Futures!$A$2:$B$12,2),1),"")</f>
        <v>36.295000000000002</v>
      </c>
      <c r="S1793" s="13" t="str">
        <f>IF(AND(H1793="TO CLOSE",P1793=0),-G1793*(M1793-R1792)*IF(E1793="FUTURE",VLOOKUP(MID(I1793,2,2),[1]Futures!$A$2:$B$12,2),1),"")</f>
        <v/>
      </c>
    </row>
    <row r="1794" spans="1:19" x14ac:dyDescent="0.2">
      <c r="A1794">
        <f t="shared" ref="A1794:A1857" si="86">IF(AND(P1793=0,H1793="TO CLOSE"),IFERROR(A1793+1,1),IFERROR(A1793/1,1))</f>
        <v>567</v>
      </c>
      <c r="B1794" s="3">
        <v>44007</v>
      </c>
      <c r="C1794" s="3" t="str">
        <f t="shared" si="85"/>
        <v>Thursday</v>
      </c>
      <c r="D1794" s="2">
        <v>0.61980324074074067</v>
      </c>
      <c r="E1794" t="s">
        <v>22</v>
      </c>
      <c r="F1794" t="s">
        <v>15</v>
      </c>
      <c r="G1794">
        <v>-100</v>
      </c>
      <c r="H1794" t="s">
        <v>20</v>
      </c>
      <c r="I1794" t="s">
        <v>23</v>
      </c>
      <c r="L1794" t="s">
        <v>22</v>
      </c>
      <c r="M1794">
        <v>36.295000000000002</v>
      </c>
      <c r="N1794">
        <v>36.295000000000002</v>
      </c>
      <c r="O1794" t="s">
        <v>24</v>
      </c>
      <c r="P1794">
        <f t="shared" si="84"/>
        <v>-300</v>
      </c>
      <c r="Q1794" s="11">
        <f>IF(P1794=0,0,IFERROR(Q1793+G1794*M1794*IF(E1794="FUTURE",VLOOKUP(MID(I1794,2,2),[1]Futures!$A$2:$B$12,2),1),G1794*M1794*IF(E1794="FUTURE",VLOOKUP(MID(I1794,2,2),[1]Futures!$A$2:$B$12,2),1)))</f>
        <v>-10888.5</v>
      </c>
      <c r="R1794" s="12">
        <f>IFERROR(Q1794/P1794/IF(E1794="FUTURE",VLOOKUP(MID(I1794,2,2),[1]Futures!$A$2:$B$12,2),1),"")</f>
        <v>36.295000000000002</v>
      </c>
      <c r="S1794" s="13" t="str">
        <f>IF(AND(H1794="TO CLOSE",P1794=0),-G1794*(M1794-R1793)*IF(E1794="FUTURE",VLOOKUP(MID(I1794,2,2),[1]Futures!$A$2:$B$12,2),1),"")</f>
        <v/>
      </c>
    </row>
    <row r="1795" spans="1:19" x14ac:dyDescent="0.2">
      <c r="A1795">
        <f t="shared" si="86"/>
        <v>567</v>
      </c>
      <c r="B1795" s="3">
        <v>44007</v>
      </c>
      <c r="C1795" s="3" t="str">
        <f t="shared" si="85"/>
        <v>Thursday</v>
      </c>
      <c r="D1795" s="2">
        <v>0.61980324074074067</v>
      </c>
      <c r="E1795" t="s">
        <v>22</v>
      </c>
      <c r="F1795" t="s">
        <v>15</v>
      </c>
      <c r="G1795">
        <v>-100</v>
      </c>
      <c r="H1795" t="s">
        <v>20</v>
      </c>
      <c r="I1795" t="s">
        <v>23</v>
      </c>
      <c r="L1795" t="s">
        <v>22</v>
      </c>
      <c r="M1795">
        <v>36.295000000000002</v>
      </c>
      <c r="N1795">
        <v>36.295000000000002</v>
      </c>
      <c r="O1795" t="s">
        <v>24</v>
      </c>
      <c r="P1795">
        <f t="shared" ref="P1795:P1858" si="87">IF(H1795="TO OPEN",IFERROR(P1794+G1795,0+G1795),IFERROR(P1794+G1795,0+G1795))</f>
        <v>-400</v>
      </c>
      <c r="Q1795" s="11">
        <f>IF(P1795=0,0,IFERROR(Q1794+G1795*M1795*IF(E1795="FUTURE",VLOOKUP(MID(I1795,2,2),[1]Futures!$A$2:$B$12,2),1),G1795*M1795*IF(E1795="FUTURE",VLOOKUP(MID(I1795,2,2),[1]Futures!$A$2:$B$12,2),1)))</f>
        <v>-14518</v>
      </c>
      <c r="R1795" s="12">
        <f>IFERROR(Q1795/P1795/IF(E1795="FUTURE",VLOOKUP(MID(I1795,2,2),[1]Futures!$A$2:$B$12,2),1),"")</f>
        <v>36.295000000000002</v>
      </c>
      <c r="S1795" s="13" t="str">
        <f>IF(AND(H1795="TO CLOSE",P1795=0),-G1795*(M1795-R1794)*IF(E1795="FUTURE",VLOOKUP(MID(I1795,2,2),[1]Futures!$A$2:$B$12,2),1),"")</f>
        <v/>
      </c>
    </row>
    <row r="1796" spans="1:19" x14ac:dyDescent="0.2">
      <c r="A1796">
        <f t="shared" si="86"/>
        <v>567</v>
      </c>
      <c r="B1796" s="3">
        <v>44007</v>
      </c>
      <c r="C1796" s="3" t="str">
        <f t="shared" si="85"/>
        <v>Thursday</v>
      </c>
      <c r="D1796" s="2">
        <v>0.62663194444444448</v>
      </c>
      <c r="E1796" t="s">
        <v>22</v>
      </c>
      <c r="F1796" t="s">
        <v>19</v>
      </c>
      <c r="G1796">
        <v>100</v>
      </c>
      <c r="H1796" t="s">
        <v>16</v>
      </c>
      <c r="I1796" t="s">
        <v>23</v>
      </c>
      <c r="L1796" t="s">
        <v>22</v>
      </c>
      <c r="M1796">
        <v>36.204999999999998</v>
      </c>
      <c r="N1796">
        <v>36.204999999999998</v>
      </c>
      <c r="O1796" t="s">
        <v>24</v>
      </c>
      <c r="P1796">
        <f t="shared" si="87"/>
        <v>-300</v>
      </c>
      <c r="Q1796" s="11">
        <f>IF(P1796=0,0,IFERROR(Q1795+G1796*M1796*IF(E1796="FUTURE",VLOOKUP(MID(I1796,2,2),[1]Futures!$A$2:$B$12,2),1),G1796*M1796*IF(E1796="FUTURE",VLOOKUP(MID(I1796,2,2),[1]Futures!$A$2:$B$12,2),1)))</f>
        <v>-10897.5</v>
      </c>
      <c r="R1796" s="12">
        <f>IFERROR(Q1796/P1796/IF(E1796="FUTURE",VLOOKUP(MID(I1796,2,2),[1]Futures!$A$2:$B$12,2),1),"")</f>
        <v>36.325000000000003</v>
      </c>
      <c r="S1796" s="13" t="str">
        <f>IF(AND(H1796="TO CLOSE",P1796=0),-G1796*(M1796-R1795)*IF(E1796="FUTURE",VLOOKUP(MID(I1796,2,2),[1]Futures!$A$2:$B$12,2),1),"")</f>
        <v/>
      </c>
    </row>
    <row r="1797" spans="1:19" x14ac:dyDescent="0.2">
      <c r="A1797">
        <f t="shared" si="86"/>
        <v>567</v>
      </c>
      <c r="B1797" s="3">
        <v>44007</v>
      </c>
      <c r="C1797" s="3" t="str">
        <f t="shared" si="85"/>
        <v>Thursday</v>
      </c>
      <c r="D1797" s="2">
        <v>0.62762731481481482</v>
      </c>
      <c r="E1797" t="s">
        <v>22</v>
      </c>
      <c r="F1797" t="s">
        <v>19</v>
      </c>
      <c r="G1797">
        <v>100</v>
      </c>
      <c r="H1797" t="s">
        <v>16</v>
      </c>
      <c r="I1797" t="s">
        <v>23</v>
      </c>
      <c r="L1797" t="s">
        <v>22</v>
      </c>
      <c r="M1797">
        <v>36.157600000000002</v>
      </c>
      <c r="N1797">
        <v>36.157600000000002</v>
      </c>
      <c r="O1797" t="s">
        <v>21</v>
      </c>
      <c r="P1797">
        <f t="shared" si="87"/>
        <v>-200</v>
      </c>
      <c r="Q1797" s="11">
        <f>IF(P1797=0,0,IFERROR(Q1796+G1797*M1797*IF(E1797="FUTURE",VLOOKUP(MID(I1797,2,2),[1]Futures!$A$2:$B$12,2),1),G1797*M1797*IF(E1797="FUTURE",VLOOKUP(MID(I1797,2,2),[1]Futures!$A$2:$B$12,2),1)))</f>
        <v>-7281.74</v>
      </c>
      <c r="R1797" s="12">
        <f>IFERROR(Q1797/P1797/IF(E1797="FUTURE",VLOOKUP(MID(I1797,2,2),[1]Futures!$A$2:$B$12,2),1),"")</f>
        <v>36.408699999999996</v>
      </c>
      <c r="S1797" s="13" t="str">
        <f>IF(AND(H1797="TO CLOSE",P1797=0),-G1797*(M1797-R1796)*IF(E1797="FUTURE",VLOOKUP(MID(I1797,2,2),[1]Futures!$A$2:$B$12,2),1),"")</f>
        <v/>
      </c>
    </row>
    <row r="1798" spans="1:19" x14ac:dyDescent="0.2">
      <c r="A1798">
        <f t="shared" si="86"/>
        <v>567</v>
      </c>
      <c r="B1798" s="3">
        <v>44007</v>
      </c>
      <c r="C1798" s="3" t="str">
        <f t="shared" si="85"/>
        <v>Thursday</v>
      </c>
      <c r="D1798" s="2">
        <v>0.62868055555555558</v>
      </c>
      <c r="E1798" t="s">
        <v>22</v>
      </c>
      <c r="F1798" t="s">
        <v>19</v>
      </c>
      <c r="G1798">
        <v>100</v>
      </c>
      <c r="H1798" t="s">
        <v>16</v>
      </c>
      <c r="I1798" t="s">
        <v>23</v>
      </c>
      <c r="L1798" t="s">
        <v>22</v>
      </c>
      <c r="M1798">
        <v>36.11</v>
      </c>
      <c r="N1798">
        <v>36.11</v>
      </c>
      <c r="O1798" t="s">
        <v>21</v>
      </c>
      <c r="P1798">
        <f t="shared" si="87"/>
        <v>-100</v>
      </c>
      <c r="Q1798" s="11">
        <f>IF(P1798=0,0,IFERROR(Q1797+G1798*M1798*IF(E1798="FUTURE",VLOOKUP(MID(I1798,2,2),[1]Futures!$A$2:$B$12,2),1),G1798*M1798*IF(E1798="FUTURE",VLOOKUP(MID(I1798,2,2),[1]Futures!$A$2:$B$12,2),1)))</f>
        <v>-3670.74</v>
      </c>
      <c r="R1798" s="12">
        <f>IFERROR(Q1798/P1798/IF(E1798="FUTURE",VLOOKUP(MID(I1798,2,2),[1]Futures!$A$2:$B$12,2),1),"")</f>
        <v>36.7074</v>
      </c>
      <c r="S1798" s="13" t="str">
        <f>IF(AND(H1798="TO CLOSE",P1798=0),-G1798*(M1798-R1797)*IF(E1798="FUTURE",VLOOKUP(MID(I1798,2,2),[1]Futures!$A$2:$B$12,2),1),"")</f>
        <v/>
      </c>
    </row>
    <row r="1799" spans="1:19" x14ac:dyDescent="0.2">
      <c r="A1799">
        <f t="shared" si="86"/>
        <v>567</v>
      </c>
      <c r="B1799" s="3">
        <v>44007</v>
      </c>
      <c r="C1799" s="3" t="str">
        <f t="shared" si="85"/>
        <v>Thursday</v>
      </c>
      <c r="D1799" s="2">
        <v>0.62961805555555561</v>
      </c>
      <c r="E1799" t="s">
        <v>22</v>
      </c>
      <c r="F1799" t="s">
        <v>19</v>
      </c>
      <c r="G1799">
        <v>100</v>
      </c>
      <c r="H1799" t="s">
        <v>16</v>
      </c>
      <c r="I1799" t="s">
        <v>23</v>
      </c>
      <c r="L1799" t="s">
        <v>22</v>
      </c>
      <c r="M1799">
        <v>35.9</v>
      </c>
      <c r="N1799">
        <v>35.9</v>
      </c>
      <c r="O1799" t="s">
        <v>21</v>
      </c>
      <c r="P1799">
        <f t="shared" si="87"/>
        <v>0</v>
      </c>
      <c r="Q1799" s="11">
        <f>IF(P1799=0,0,IFERROR(Q1798+G1799*M1799*IF(E1799="FUTURE",VLOOKUP(MID(I1799,2,2),[1]Futures!$A$2:$B$12,2),1),G1799*M1799*IF(E1799="FUTURE",VLOOKUP(MID(I1799,2,2),[1]Futures!$A$2:$B$12,2),1)))</f>
        <v>0</v>
      </c>
      <c r="R1799" s="12" t="str">
        <f>IFERROR(Q1799/P1799/IF(E1799="FUTURE",VLOOKUP(MID(I1799,2,2),[1]Futures!$A$2:$B$12,2),1),"")</f>
        <v/>
      </c>
      <c r="S1799" s="13">
        <f>IF(AND(H1799="TO CLOSE",P1799=0),-G1799*(M1799-R1798)*IF(E1799="FUTURE",VLOOKUP(MID(I1799,2,2),[1]Futures!$A$2:$B$12,2),1),"")</f>
        <v>80.740000000000123</v>
      </c>
    </row>
    <row r="1800" spans="1:19" x14ac:dyDescent="0.2">
      <c r="A1800">
        <f t="shared" si="86"/>
        <v>568</v>
      </c>
      <c r="B1800" s="3">
        <v>44008</v>
      </c>
      <c r="C1800" s="3" t="str">
        <f t="shared" si="85"/>
        <v>Friday</v>
      </c>
      <c r="D1800" s="2">
        <v>0.55134259259259266</v>
      </c>
      <c r="E1800" t="s">
        <v>14</v>
      </c>
      <c r="F1800" t="s">
        <v>19</v>
      </c>
      <c r="G1800">
        <v>1</v>
      </c>
      <c r="H1800" t="s">
        <v>20</v>
      </c>
      <c r="I1800" t="s">
        <v>77</v>
      </c>
      <c r="J1800" s="1">
        <v>44063</v>
      </c>
      <c r="L1800" t="s">
        <v>14</v>
      </c>
      <c r="M1800">
        <v>38.450000000000003</v>
      </c>
      <c r="N1800">
        <v>38.450000000000003</v>
      </c>
      <c r="O1800" t="s">
        <v>21</v>
      </c>
      <c r="P1800">
        <f t="shared" si="87"/>
        <v>1</v>
      </c>
      <c r="Q1800" s="11">
        <f>IF(P1800=0,0,IFERROR(Q1799+G1800*M1800*IF(E1800="FUTURE",VLOOKUP(MID(I1800,2,2),[1]Futures!$A$2:$B$12,2),1),G1800*M1800*IF(E1800="FUTURE",VLOOKUP(MID(I1800,2,2),[1]Futures!$A$2:$B$12,2),1)))</f>
        <v>38450</v>
      </c>
      <c r="R1800" s="12">
        <f>IFERROR(Q1800/P1800/IF(E1800="FUTURE",VLOOKUP(MID(I1800,2,2),[1]Futures!$A$2:$B$12,2),1),"")</f>
        <v>38.450000000000003</v>
      </c>
      <c r="S1800" s="13" t="str">
        <f>IF(AND(H1800="TO CLOSE",P1800=0),-G1800*(M1800-R1799)*IF(E1800="FUTURE",VLOOKUP(MID(I1800,2,2),[1]Futures!$A$2:$B$12,2),1),"")</f>
        <v/>
      </c>
    </row>
    <row r="1801" spans="1:19" x14ac:dyDescent="0.2">
      <c r="A1801">
        <f t="shared" si="86"/>
        <v>568</v>
      </c>
      <c r="B1801" s="3">
        <v>44008</v>
      </c>
      <c r="C1801" s="3" t="str">
        <f t="shared" si="85"/>
        <v>Friday</v>
      </c>
      <c r="D1801" s="2">
        <v>0.60350694444444442</v>
      </c>
      <c r="E1801" t="s">
        <v>14</v>
      </c>
      <c r="F1801" t="s">
        <v>15</v>
      </c>
      <c r="G1801">
        <v>-1</v>
      </c>
      <c r="H1801" t="s">
        <v>16</v>
      </c>
      <c r="I1801" t="s">
        <v>77</v>
      </c>
      <c r="J1801" s="1">
        <v>44063</v>
      </c>
      <c r="L1801" t="s">
        <v>14</v>
      </c>
      <c r="M1801">
        <v>38.57</v>
      </c>
      <c r="N1801">
        <v>38.57</v>
      </c>
      <c r="O1801" t="s">
        <v>21</v>
      </c>
      <c r="P1801">
        <f t="shared" si="87"/>
        <v>0</v>
      </c>
      <c r="Q1801" s="11">
        <f>IF(P1801=0,0,IFERROR(Q1800+G1801*M1801*IF(E1801="FUTURE",VLOOKUP(MID(I1801,2,2),[1]Futures!$A$2:$B$12,2),1),G1801*M1801*IF(E1801="FUTURE",VLOOKUP(MID(I1801,2,2),[1]Futures!$A$2:$B$12,2),1)))</f>
        <v>0</v>
      </c>
      <c r="R1801" s="12" t="str">
        <f>IFERROR(Q1801/P1801/IF(E1801="FUTURE",VLOOKUP(MID(I1801,2,2),[1]Futures!$A$2:$B$12,2),1),"")</f>
        <v/>
      </c>
      <c r="S1801" s="13">
        <f>IF(AND(H1801="TO CLOSE",P1801=0),-G1801*(M1801-R1800)*IF(E1801="FUTURE",VLOOKUP(MID(I1801,2,2),[1]Futures!$A$2:$B$12,2),1),"")</f>
        <v>119.99999999999744</v>
      </c>
    </row>
    <row r="1802" spans="1:19" x14ac:dyDescent="0.2">
      <c r="A1802">
        <f t="shared" si="86"/>
        <v>569</v>
      </c>
      <c r="B1802" s="3">
        <v>44008</v>
      </c>
      <c r="C1802" s="3" t="str">
        <f t="shared" si="85"/>
        <v>Friday</v>
      </c>
      <c r="D1802" s="2">
        <v>0.62118055555555551</v>
      </c>
      <c r="E1802" t="s">
        <v>14</v>
      </c>
      <c r="F1802" t="s">
        <v>19</v>
      </c>
      <c r="G1802">
        <v>1</v>
      </c>
      <c r="H1802" t="s">
        <v>20</v>
      </c>
      <c r="I1802" t="s">
        <v>79</v>
      </c>
      <c r="J1802" s="1">
        <v>44094</v>
      </c>
      <c r="L1802" t="s">
        <v>14</v>
      </c>
      <c r="M1802">
        <v>3006</v>
      </c>
      <c r="N1802">
        <v>3006</v>
      </c>
      <c r="O1802" t="s">
        <v>24</v>
      </c>
      <c r="P1802">
        <f t="shared" si="87"/>
        <v>1</v>
      </c>
      <c r="Q1802" s="11">
        <f>IF(P1802=0,0,IFERROR(Q1801+G1802*M1802*IF(E1802="FUTURE",VLOOKUP(MID(I1802,2,2),[1]Futures!$A$2:$B$12,2),1),G1802*M1802*IF(E1802="FUTURE",VLOOKUP(MID(I1802,2,2),[1]Futures!$A$2:$B$12,2),1)))</f>
        <v>150300</v>
      </c>
      <c r="R1802" s="12">
        <f>IFERROR(Q1802/P1802/IF(E1802="FUTURE",VLOOKUP(MID(I1802,2,2),[1]Futures!$A$2:$B$12,2),1),"")</f>
        <v>3006</v>
      </c>
      <c r="S1802" s="13" t="str">
        <f>IF(AND(H1802="TO CLOSE",P1802=0),-G1802*(M1802-R1801)*IF(E1802="FUTURE",VLOOKUP(MID(I1802,2,2),[1]Futures!$A$2:$B$12,2),1),"")</f>
        <v/>
      </c>
    </row>
    <row r="1803" spans="1:19" x14ac:dyDescent="0.2">
      <c r="A1803">
        <f t="shared" si="86"/>
        <v>569</v>
      </c>
      <c r="B1803" s="3">
        <v>44008</v>
      </c>
      <c r="C1803" s="3" t="str">
        <f t="shared" si="85"/>
        <v>Friday</v>
      </c>
      <c r="D1803" s="2">
        <v>0.65827546296296291</v>
      </c>
      <c r="E1803" t="s">
        <v>14</v>
      </c>
      <c r="F1803" t="s">
        <v>15</v>
      </c>
      <c r="G1803">
        <v>-1</v>
      </c>
      <c r="H1803" t="s">
        <v>16</v>
      </c>
      <c r="I1803" t="s">
        <v>79</v>
      </c>
      <c r="J1803" s="1">
        <v>44094</v>
      </c>
      <c r="L1803" t="s">
        <v>14</v>
      </c>
      <c r="M1803">
        <v>3011</v>
      </c>
      <c r="N1803">
        <v>3011</v>
      </c>
      <c r="O1803" t="s">
        <v>21</v>
      </c>
      <c r="P1803">
        <f t="shared" si="87"/>
        <v>0</v>
      </c>
      <c r="Q1803" s="11">
        <f>IF(P1803=0,0,IFERROR(Q1802+G1803*M1803*IF(E1803="FUTURE",VLOOKUP(MID(I1803,2,2),[1]Futures!$A$2:$B$12,2),1),G1803*M1803*IF(E1803="FUTURE",VLOOKUP(MID(I1803,2,2),[1]Futures!$A$2:$B$12,2),1)))</f>
        <v>0</v>
      </c>
      <c r="R1803" s="12" t="str">
        <f>IFERROR(Q1803/P1803/IF(E1803="FUTURE",VLOOKUP(MID(I1803,2,2),[1]Futures!$A$2:$B$12,2),1),"")</f>
        <v/>
      </c>
      <c r="S1803" s="13">
        <f>IF(AND(H1803="TO CLOSE",P1803=0),-G1803*(M1803-R1802)*IF(E1803="FUTURE",VLOOKUP(MID(I1803,2,2),[1]Futures!$A$2:$B$12,2),1),"")</f>
        <v>250</v>
      </c>
    </row>
    <row r="1804" spans="1:19" x14ac:dyDescent="0.2">
      <c r="A1804">
        <f t="shared" si="86"/>
        <v>570</v>
      </c>
      <c r="B1804" s="3">
        <v>44008</v>
      </c>
      <c r="C1804" s="3" t="str">
        <f t="shared" si="85"/>
        <v>Friday</v>
      </c>
      <c r="D1804" s="2">
        <v>0.55315972222222221</v>
      </c>
      <c r="E1804" t="s">
        <v>14</v>
      </c>
      <c r="F1804" t="s">
        <v>19</v>
      </c>
      <c r="G1804">
        <v>6</v>
      </c>
      <c r="H1804" t="s">
        <v>20</v>
      </c>
      <c r="I1804" t="s">
        <v>80</v>
      </c>
      <c r="J1804" s="1">
        <v>44094</v>
      </c>
      <c r="L1804" t="s">
        <v>14</v>
      </c>
      <c r="M1804">
        <v>3019.5</v>
      </c>
      <c r="N1804">
        <v>3019.5</v>
      </c>
      <c r="O1804" t="s">
        <v>24</v>
      </c>
      <c r="P1804">
        <f t="shared" si="87"/>
        <v>6</v>
      </c>
      <c r="Q1804" s="11">
        <f>IF(P1804=0,0,IFERROR(Q1803+G1804*M1804*IF(E1804="FUTURE",VLOOKUP(MID(I1804,2,2),[1]Futures!$A$2:$B$12,2),1),G1804*M1804*IF(E1804="FUTURE",VLOOKUP(MID(I1804,2,2),[1]Futures!$A$2:$B$12,2),1)))</f>
        <v>90585</v>
      </c>
      <c r="R1804" s="12">
        <f>IFERROR(Q1804/P1804/IF(E1804="FUTURE",VLOOKUP(MID(I1804,2,2),[1]Futures!$A$2:$B$12,2),1),"")</f>
        <v>3019.5</v>
      </c>
      <c r="S1804" s="13" t="str">
        <f>IF(AND(H1804="TO CLOSE",P1804=0),-G1804*(M1804-R1803)*IF(E1804="FUTURE",VLOOKUP(MID(I1804,2,2),[1]Futures!$A$2:$B$12,2),1),"")</f>
        <v/>
      </c>
    </row>
    <row r="1805" spans="1:19" x14ac:dyDescent="0.2">
      <c r="A1805">
        <f t="shared" si="86"/>
        <v>570</v>
      </c>
      <c r="B1805" s="3">
        <v>44008</v>
      </c>
      <c r="C1805" s="3" t="str">
        <f t="shared" si="85"/>
        <v>Friday</v>
      </c>
      <c r="D1805" s="2">
        <v>0.56817129629629626</v>
      </c>
      <c r="E1805" t="s">
        <v>14</v>
      </c>
      <c r="F1805" t="s">
        <v>15</v>
      </c>
      <c r="G1805">
        <v>-2</v>
      </c>
      <c r="H1805" t="s">
        <v>16</v>
      </c>
      <c r="I1805" t="s">
        <v>80</v>
      </c>
      <c r="J1805" s="1">
        <v>44094</v>
      </c>
      <c r="L1805" t="s">
        <v>14</v>
      </c>
      <c r="M1805">
        <v>3024.25</v>
      </c>
      <c r="N1805">
        <v>3024.25</v>
      </c>
      <c r="O1805" t="s">
        <v>21</v>
      </c>
      <c r="P1805">
        <f t="shared" si="87"/>
        <v>4</v>
      </c>
      <c r="Q1805" s="11">
        <f>IF(P1805=0,0,IFERROR(Q1804+G1805*M1805*IF(E1805="FUTURE",VLOOKUP(MID(I1805,2,2),[1]Futures!$A$2:$B$12,2),1),G1805*M1805*IF(E1805="FUTURE",VLOOKUP(MID(I1805,2,2),[1]Futures!$A$2:$B$12,2),1)))</f>
        <v>60342.5</v>
      </c>
      <c r="R1805" s="12">
        <f>IFERROR(Q1805/P1805/IF(E1805="FUTURE",VLOOKUP(MID(I1805,2,2),[1]Futures!$A$2:$B$12,2),1),"")</f>
        <v>3017.125</v>
      </c>
      <c r="S1805" s="13" t="str">
        <f>IF(AND(H1805="TO CLOSE",P1805=0),-G1805*(M1805-R1804)*IF(E1805="FUTURE",VLOOKUP(MID(I1805,2,2),[1]Futures!$A$2:$B$12,2),1),"")</f>
        <v/>
      </c>
    </row>
    <row r="1806" spans="1:19" x14ac:dyDescent="0.2">
      <c r="A1806">
        <f t="shared" si="86"/>
        <v>570</v>
      </c>
      <c r="B1806" s="3">
        <v>44008</v>
      </c>
      <c r="C1806" s="3" t="str">
        <f t="shared" si="85"/>
        <v>Friday</v>
      </c>
      <c r="D1806" s="2">
        <v>0.5851736111111111</v>
      </c>
      <c r="E1806" t="s">
        <v>14</v>
      </c>
      <c r="F1806" t="s">
        <v>19</v>
      </c>
      <c r="G1806">
        <v>1</v>
      </c>
      <c r="H1806" t="s">
        <v>20</v>
      </c>
      <c r="I1806" t="s">
        <v>80</v>
      </c>
      <c r="J1806" s="1">
        <v>44094</v>
      </c>
      <c r="L1806" t="s">
        <v>14</v>
      </c>
      <c r="M1806">
        <v>3017.5</v>
      </c>
      <c r="N1806">
        <v>3017.5</v>
      </c>
      <c r="O1806" t="s">
        <v>24</v>
      </c>
      <c r="P1806">
        <f t="shared" si="87"/>
        <v>5</v>
      </c>
      <c r="Q1806" s="11">
        <f>IF(P1806=0,0,IFERROR(Q1805+G1806*M1806*IF(E1806="FUTURE",VLOOKUP(MID(I1806,2,2),[1]Futures!$A$2:$B$12,2),1),G1806*M1806*IF(E1806="FUTURE",VLOOKUP(MID(I1806,2,2),[1]Futures!$A$2:$B$12,2),1)))</f>
        <v>75430</v>
      </c>
      <c r="R1806" s="12">
        <f>IFERROR(Q1806/P1806/IF(E1806="FUTURE",VLOOKUP(MID(I1806,2,2),[1]Futures!$A$2:$B$12,2),1),"")</f>
        <v>3017.2</v>
      </c>
      <c r="S1806" s="13" t="str">
        <f>IF(AND(H1806="TO CLOSE",P1806=0),-G1806*(M1806-R1805)*IF(E1806="FUTURE",VLOOKUP(MID(I1806,2,2),[1]Futures!$A$2:$B$12,2),1),"")</f>
        <v/>
      </c>
    </row>
    <row r="1807" spans="1:19" x14ac:dyDescent="0.2">
      <c r="A1807">
        <f t="shared" si="86"/>
        <v>570</v>
      </c>
      <c r="B1807" s="3">
        <v>44008</v>
      </c>
      <c r="C1807" s="3" t="str">
        <f t="shared" si="85"/>
        <v>Friday</v>
      </c>
      <c r="D1807" s="2">
        <v>0.60611111111111116</v>
      </c>
      <c r="E1807" t="s">
        <v>14</v>
      </c>
      <c r="F1807" t="s">
        <v>19</v>
      </c>
      <c r="G1807">
        <v>1</v>
      </c>
      <c r="H1807" t="s">
        <v>20</v>
      </c>
      <c r="I1807" t="s">
        <v>80</v>
      </c>
      <c r="J1807" s="1">
        <v>44094</v>
      </c>
      <c r="L1807" t="s">
        <v>14</v>
      </c>
      <c r="M1807">
        <v>3008.75</v>
      </c>
      <c r="N1807">
        <v>3008.75</v>
      </c>
      <c r="O1807" t="s">
        <v>24</v>
      </c>
      <c r="P1807">
        <f t="shared" si="87"/>
        <v>6</v>
      </c>
      <c r="Q1807" s="11">
        <f>IF(P1807=0,0,IFERROR(Q1806+G1807*M1807*IF(E1807="FUTURE",VLOOKUP(MID(I1807,2,2),[1]Futures!$A$2:$B$12,2),1),G1807*M1807*IF(E1807="FUTURE",VLOOKUP(MID(I1807,2,2),[1]Futures!$A$2:$B$12,2),1)))</f>
        <v>90473.75</v>
      </c>
      <c r="R1807" s="12">
        <f>IFERROR(Q1807/P1807/IF(E1807="FUTURE",VLOOKUP(MID(I1807,2,2),[1]Futures!$A$2:$B$12,2),1),"")</f>
        <v>3015.791666666667</v>
      </c>
      <c r="S1807" s="13" t="str">
        <f>IF(AND(H1807="TO CLOSE",P1807=0),-G1807*(M1807-R1806)*IF(E1807="FUTURE",VLOOKUP(MID(I1807,2,2),[1]Futures!$A$2:$B$12,2),1),"")</f>
        <v/>
      </c>
    </row>
    <row r="1808" spans="1:19" x14ac:dyDescent="0.2">
      <c r="A1808">
        <f t="shared" si="86"/>
        <v>570</v>
      </c>
      <c r="B1808" s="3">
        <v>44008</v>
      </c>
      <c r="C1808" s="3" t="str">
        <f t="shared" si="85"/>
        <v>Friday</v>
      </c>
      <c r="D1808" s="2">
        <v>0.66665509259259259</v>
      </c>
      <c r="E1808" t="s">
        <v>14</v>
      </c>
      <c r="F1808" t="s">
        <v>15</v>
      </c>
      <c r="G1808">
        <v>-6</v>
      </c>
      <c r="H1808" t="s">
        <v>16</v>
      </c>
      <c r="I1808" t="s">
        <v>80</v>
      </c>
      <c r="J1808" s="1">
        <v>44094</v>
      </c>
      <c r="L1808" t="s">
        <v>14</v>
      </c>
      <c r="M1808">
        <v>3000</v>
      </c>
      <c r="N1808">
        <v>3000</v>
      </c>
      <c r="O1808" t="s">
        <v>21</v>
      </c>
      <c r="P1808">
        <f t="shared" si="87"/>
        <v>0</v>
      </c>
      <c r="Q1808" s="11">
        <f>IF(P1808=0,0,IFERROR(Q1807+G1808*M1808*IF(E1808="FUTURE",VLOOKUP(MID(I1808,2,2),[1]Futures!$A$2:$B$12,2),1),G1808*M1808*IF(E1808="FUTURE",VLOOKUP(MID(I1808,2,2),[1]Futures!$A$2:$B$12,2),1)))</f>
        <v>0</v>
      </c>
      <c r="R1808" s="12" t="str">
        <f>IFERROR(Q1808/P1808/IF(E1808="FUTURE",VLOOKUP(MID(I1808,2,2),[1]Futures!$A$2:$B$12,2),1),"")</f>
        <v/>
      </c>
      <c r="S1808" s="13">
        <f>IF(AND(H1808="TO CLOSE",P1808=0),-G1808*(M1808-R1807)*IF(E1808="FUTURE",VLOOKUP(MID(I1808,2,2),[1]Futures!$A$2:$B$12,2),1),"")</f>
        <v>-473.75000000000909</v>
      </c>
    </row>
    <row r="1809" spans="1:19" x14ac:dyDescent="0.2">
      <c r="A1809">
        <f t="shared" si="86"/>
        <v>571</v>
      </c>
      <c r="B1809" s="3">
        <v>44008</v>
      </c>
      <c r="C1809" s="3" t="str">
        <f t="shared" si="85"/>
        <v>Friday</v>
      </c>
      <c r="D1809" s="2">
        <v>0.55246527777777776</v>
      </c>
      <c r="E1809" t="s">
        <v>22</v>
      </c>
      <c r="F1809" t="s">
        <v>15</v>
      </c>
      <c r="G1809">
        <v>-300</v>
      </c>
      <c r="H1809" t="s">
        <v>20</v>
      </c>
      <c r="I1809" t="s">
        <v>23</v>
      </c>
      <c r="L1809" t="s">
        <v>22</v>
      </c>
      <c r="M1809">
        <v>36.865000000000002</v>
      </c>
      <c r="N1809">
        <v>36.865000000000002</v>
      </c>
      <c r="O1809" t="s">
        <v>24</v>
      </c>
      <c r="P1809">
        <f t="shared" si="87"/>
        <v>-300</v>
      </c>
      <c r="Q1809" s="11">
        <f>IF(P1809=0,0,IFERROR(Q1808+G1809*M1809*IF(E1809="FUTURE",VLOOKUP(MID(I1809,2,2),[1]Futures!$A$2:$B$12,2),1),G1809*M1809*IF(E1809="FUTURE",VLOOKUP(MID(I1809,2,2),[1]Futures!$A$2:$B$12,2),1)))</f>
        <v>-11059.5</v>
      </c>
      <c r="R1809" s="12">
        <f>IFERROR(Q1809/P1809/IF(E1809="FUTURE",VLOOKUP(MID(I1809,2,2),[1]Futures!$A$2:$B$12,2),1),"")</f>
        <v>36.865000000000002</v>
      </c>
      <c r="S1809" s="13" t="str">
        <f>IF(AND(H1809="TO CLOSE",P1809=0),-G1809*(M1809-R1808)*IF(E1809="FUTURE",VLOOKUP(MID(I1809,2,2),[1]Futures!$A$2:$B$12,2),1),"")</f>
        <v/>
      </c>
    </row>
    <row r="1810" spans="1:19" x14ac:dyDescent="0.2">
      <c r="A1810">
        <f t="shared" si="86"/>
        <v>571</v>
      </c>
      <c r="B1810" s="3">
        <v>44008</v>
      </c>
      <c r="C1810" s="3" t="str">
        <f t="shared" si="85"/>
        <v>Friday</v>
      </c>
      <c r="D1810" s="2">
        <v>0.59063657407407411</v>
      </c>
      <c r="E1810" t="s">
        <v>22</v>
      </c>
      <c r="F1810" t="s">
        <v>15</v>
      </c>
      <c r="G1810">
        <v>-100</v>
      </c>
      <c r="H1810" t="s">
        <v>20</v>
      </c>
      <c r="I1810" t="s">
        <v>23</v>
      </c>
      <c r="L1810" t="s">
        <v>22</v>
      </c>
      <c r="M1810">
        <v>37.195</v>
      </c>
      <c r="N1810">
        <v>37.195</v>
      </c>
      <c r="O1810" t="s">
        <v>21</v>
      </c>
      <c r="P1810">
        <f t="shared" si="87"/>
        <v>-400</v>
      </c>
      <c r="Q1810" s="11">
        <f>IF(P1810=0,0,IFERROR(Q1809+G1810*M1810*IF(E1810="FUTURE",VLOOKUP(MID(I1810,2,2),[1]Futures!$A$2:$B$12,2),1),G1810*M1810*IF(E1810="FUTURE",VLOOKUP(MID(I1810,2,2),[1]Futures!$A$2:$B$12,2),1)))</f>
        <v>-14779</v>
      </c>
      <c r="R1810" s="12">
        <f>IFERROR(Q1810/P1810/IF(E1810="FUTURE",VLOOKUP(MID(I1810,2,2),[1]Futures!$A$2:$B$12,2),1),"")</f>
        <v>36.947499999999998</v>
      </c>
      <c r="S1810" s="13" t="str">
        <f>IF(AND(H1810="TO CLOSE",P1810=0),-G1810*(M1810-R1809)*IF(E1810="FUTURE",VLOOKUP(MID(I1810,2,2),[1]Futures!$A$2:$B$12,2),1),"")</f>
        <v/>
      </c>
    </row>
    <row r="1811" spans="1:19" x14ac:dyDescent="0.2">
      <c r="A1811">
        <f t="shared" si="86"/>
        <v>571</v>
      </c>
      <c r="B1811" s="3">
        <v>44008</v>
      </c>
      <c r="C1811" s="3" t="str">
        <f t="shared" si="85"/>
        <v>Friday</v>
      </c>
      <c r="D1811" s="2">
        <v>0.66730324074074077</v>
      </c>
      <c r="E1811" t="s">
        <v>22</v>
      </c>
      <c r="F1811" t="s">
        <v>19</v>
      </c>
      <c r="G1811">
        <v>200</v>
      </c>
      <c r="H1811" t="s">
        <v>16</v>
      </c>
      <c r="I1811" t="s">
        <v>23</v>
      </c>
      <c r="L1811" t="s">
        <v>22</v>
      </c>
      <c r="M1811">
        <v>37.414999999999999</v>
      </c>
      <c r="N1811">
        <v>37.414999999999999</v>
      </c>
      <c r="O1811" t="s">
        <v>21</v>
      </c>
      <c r="P1811">
        <f t="shared" si="87"/>
        <v>-200</v>
      </c>
      <c r="Q1811" s="11">
        <f>IF(P1811=0,0,IFERROR(Q1810+G1811*M1811*IF(E1811="FUTURE",VLOOKUP(MID(I1811,2,2),[1]Futures!$A$2:$B$12,2),1),G1811*M1811*IF(E1811="FUTURE",VLOOKUP(MID(I1811,2,2),[1]Futures!$A$2:$B$12,2),1)))</f>
        <v>-7296</v>
      </c>
      <c r="R1811" s="12">
        <f>IFERROR(Q1811/P1811/IF(E1811="FUTURE",VLOOKUP(MID(I1811,2,2),[1]Futures!$A$2:$B$12,2),1),"")</f>
        <v>36.479999999999997</v>
      </c>
      <c r="S1811" s="13" t="str">
        <f>IF(AND(H1811="TO CLOSE",P1811=0),-G1811*(M1811-R1810)*IF(E1811="FUTURE",VLOOKUP(MID(I1811,2,2),[1]Futures!$A$2:$B$12,2),1),"")</f>
        <v/>
      </c>
    </row>
    <row r="1812" spans="1:19" x14ac:dyDescent="0.2">
      <c r="A1812">
        <f t="shared" si="86"/>
        <v>571</v>
      </c>
      <c r="B1812" s="3">
        <v>44008</v>
      </c>
      <c r="C1812" s="3" t="str">
        <f t="shared" si="85"/>
        <v>Friday</v>
      </c>
      <c r="D1812" s="2">
        <v>0.66740740740740734</v>
      </c>
      <c r="E1812" t="s">
        <v>22</v>
      </c>
      <c r="F1812" t="s">
        <v>19</v>
      </c>
      <c r="G1812">
        <v>200</v>
      </c>
      <c r="H1812" t="s">
        <v>16</v>
      </c>
      <c r="I1812" t="s">
        <v>23</v>
      </c>
      <c r="L1812" t="s">
        <v>22</v>
      </c>
      <c r="M1812">
        <v>37.479999999999997</v>
      </c>
      <c r="N1812">
        <v>37.479999999999997</v>
      </c>
      <c r="O1812" t="s">
        <v>21</v>
      </c>
      <c r="P1812">
        <f t="shared" si="87"/>
        <v>0</v>
      </c>
      <c r="Q1812" s="11">
        <f>IF(P1812=0,0,IFERROR(Q1811+G1812*M1812*IF(E1812="FUTURE",VLOOKUP(MID(I1812,2,2),[1]Futures!$A$2:$B$12,2),1),G1812*M1812*IF(E1812="FUTURE",VLOOKUP(MID(I1812,2,2),[1]Futures!$A$2:$B$12,2),1)))</f>
        <v>0</v>
      </c>
      <c r="R1812" s="12" t="str">
        <f>IFERROR(Q1812/P1812/IF(E1812="FUTURE",VLOOKUP(MID(I1812,2,2),[1]Futures!$A$2:$B$12,2),1),"")</f>
        <v/>
      </c>
      <c r="S1812" s="13">
        <f>IF(AND(H1812="TO CLOSE",P1812=0),-G1812*(M1812-R1811)*IF(E1812="FUTURE",VLOOKUP(MID(I1812,2,2),[1]Futures!$A$2:$B$12,2),1),"")</f>
        <v>-200</v>
      </c>
    </row>
    <row r="1813" spans="1:19" x14ac:dyDescent="0.2">
      <c r="A1813">
        <f t="shared" si="86"/>
        <v>572</v>
      </c>
      <c r="B1813" s="3">
        <v>44012</v>
      </c>
      <c r="C1813" s="3" t="str">
        <f t="shared" si="85"/>
        <v>Tuesday</v>
      </c>
      <c r="D1813" s="2">
        <v>0.48928240740740742</v>
      </c>
      <c r="E1813" t="s">
        <v>14</v>
      </c>
      <c r="F1813" t="s">
        <v>19</v>
      </c>
      <c r="G1813">
        <v>1</v>
      </c>
      <c r="H1813" t="s">
        <v>20</v>
      </c>
      <c r="I1813" t="s">
        <v>77</v>
      </c>
      <c r="J1813" s="1">
        <v>44063</v>
      </c>
      <c r="L1813" t="s">
        <v>14</v>
      </c>
      <c r="M1813">
        <v>39.76</v>
      </c>
      <c r="N1813">
        <v>39.76</v>
      </c>
      <c r="O1813" t="s">
        <v>21</v>
      </c>
      <c r="P1813">
        <f t="shared" si="87"/>
        <v>1</v>
      </c>
      <c r="Q1813" s="11">
        <f>IF(P1813=0,0,IFERROR(Q1812+G1813*M1813*IF(E1813="FUTURE",VLOOKUP(MID(I1813,2,2),[1]Futures!$A$2:$B$12,2),1),G1813*M1813*IF(E1813="FUTURE",VLOOKUP(MID(I1813,2,2),[1]Futures!$A$2:$B$12,2),1)))</f>
        <v>39760</v>
      </c>
      <c r="R1813" s="12">
        <f>IFERROR(Q1813/P1813/IF(E1813="FUTURE",VLOOKUP(MID(I1813,2,2),[1]Futures!$A$2:$B$12,2),1),"")</f>
        <v>39.76</v>
      </c>
      <c r="S1813" s="13" t="str">
        <f>IF(AND(H1813="TO CLOSE",P1813=0),-G1813*(M1813-R1812)*IF(E1813="FUTURE",VLOOKUP(MID(I1813,2,2),[1]Futures!$A$2:$B$12,2),1),"")</f>
        <v/>
      </c>
    </row>
    <row r="1814" spans="1:19" x14ac:dyDescent="0.2">
      <c r="A1814">
        <f t="shared" si="86"/>
        <v>572</v>
      </c>
      <c r="B1814" s="3">
        <v>44012</v>
      </c>
      <c r="C1814" s="3" t="str">
        <f t="shared" si="85"/>
        <v>Tuesday</v>
      </c>
      <c r="D1814" s="2">
        <v>0.5002199074074074</v>
      </c>
      <c r="E1814" t="s">
        <v>14</v>
      </c>
      <c r="F1814" t="s">
        <v>19</v>
      </c>
      <c r="G1814">
        <v>1</v>
      </c>
      <c r="H1814" t="s">
        <v>20</v>
      </c>
      <c r="I1814" t="s">
        <v>77</v>
      </c>
      <c r="J1814" s="1">
        <v>44063</v>
      </c>
      <c r="L1814" t="s">
        <v>14</v>
      </c>
      <c r="M1814">
        <v>39.590000000000003</v>
      </c>
      <c r="N1814">
        <v>39.590000000000003</v>
      </c>
      <c r="O1814" t="s">
        <v>24</v>
      </c>
      <c r="P1814">
        <f t="shared" si="87"/>
        <v>2</v>
      </c>
      <c r="Q1814" s="11">
        <f>IF(P1814=0,0,IFERROR(Q1813+G1814*M1814*IF(E1814="FUTURE",VLOOKUP(MID(I1814,2,2),[1]Futures!$A$2:$B$12,2),1),G1814*M1814*IF(E1814="FUTURE",VLOOKUP(MID(I1814,2,2),[1]Futures!$A$2:$B$12,2),1)))</f>
        <v>79350</v>
      </c>
      <c r="R1814" s="12">
        <f>IFERROR(Q1814/P1814/IF(E1814="FUTURE",VLOOKUP(MID(I1814,2,2),[1]Futures!$A$2:$B$12,2),1),"")</f>
        <v>39.674999999999997</v>
      </c>
      <c r="S1814" s="13" t="str">
        <f>IF(AND(H1814="TO CLOSE",P1814=0),-G1814*(M1814-R1813)*IF(E1814="FUTURE",VLOOKUP(MID(I1814,2,2),[1]Futures!$A$2:$B$12,2),1),"")</f>
        <v/>
      </c>
    </row>
    <row r="1815" spans="1:19" x14ac:dyDescent="0.2">
      <c r="A1815">
        <f t="shared" si="86"/>
        <v>572</v>
      </c>
      <c r="B1815" s="3">
        <v>44012</v>
      </c>
      <c r="C1815" s="3" t="str">
        <f t="shared" si="85"/>
        <v>Tuesday</v>
      </c>
      <c r="D1815" s="2">
        <v>0.51877314814814812</v>
      </c>
      <c r="E1815" t="s">
        <v>14</v>
      </c>
      <c r="F1815" t="s">
        <v>15</v>
      </c>
      <c r="G1815">
        <v>-1</v>
      </c>
      <c r="H1815" t="s">
        <v>16</v>
      </c>
      <c r="I1815" t="s">
        <v>77</v>
      </c>
      <c r="J1815" s="1">
        <v>44063</v>
      </c>
      <c r="L1815" t="s">
        <v>14</v>
      </c>
      <c r="M1815">
        <v>39.69</v>
      </c>
      <c r="N1815">
        <v>39.69</v>
      </c>
      <c r="O1815" t="s">
        <v>21</v>
      </c>
      <c r="P1815">
        <f t="shared" si="87"/>
        <v>1</v>
      </c>
      <c r="Q1815" s="11">
        <f>IF(P1815=0,0,IFERROR(Q1814+G1815*M1815*IF(E1815="FUTURE",VLOOKUP(MID(I1815,2,2),[1]Futures!$A$2:$B$12,2),1),G1815*M1815*IF(E1815="FUTURE",VLOOKUP(MID(I1815,2,2),[1]Futures!$A$2:$B$12,2),1)))</f>
        <v>39660</v>
      </c>
      <c r="R1815" s="12">
        <f>IFERROR(Q1815/P1815/IF(E1815="FUTURE",VLOOKUP(MID(I1815,2,2),[1]Futures!$A$2:$B$12,2),1),"")</f>
        <v>39.659999999999997</v>
      </c>
      <c r="S1815" s="13" t="str">
        <f>IF(AND(H1815="TO CLOSE",P1815=0),-G1815*(M1815-R1814)*IF(E1815="FUTURE",VLOOKUP(MID(I1815,2,2),[1]Futures!$A$2:$B$12,2),1),"")</f>
        <v/>
      </c>
    </row>
    <row r="1816" spans="1:19" x14ac:dyDescent="0.2">
      <c r="A1816">
        <f t="shared" si="86"/>
        <v>572</v>
      </c>
      <c r="B1816" s="3">
        <v>44012</v>
      </c>
      <c r="C1816" s="3" t="str">
        <f t="shared" si="85"/>
        <v>Tuesday</v>
      </c>
      <c r="D1816" s="2">
        <v>0.5455092592592593</v>
      </c>
      <c r="E1816" t="s">
        <v>14</v>
      </c>
      <c r="F1816" t="s">
        <v>15</v>
      </c>
      <c r="G1816">
        <v>-1</v>
      </c>
      <c r="H1816" t="s">
        <v>16</v>
      </c>
      <c r="I1816" t="s">
        <v>77</v>
      </c>
      <c r="J1816" s="1">
        <v>44063</v>
      </c>
      <c r="L1816" t="s">
        <v>14</v>
      </c>
      <c r="M1816">
        <v>39.76</v>
      </c>
      <c r="N1816">
        <v>39.76</v>
      </c>
      <c r="O1816" t="s">
        <v>21</v>
      </c>
      <c r="P1816">
        <f t="shared" si="87"/>
        <v>0</v>
      </c>
      <c r="Q1816" s="11">
        <f>IF(P1816=0,0,IFERROR(Q1815+G1816*M1816*IF(E1816="FUTURE",VLOOKUP(MID(I1816,2,2),[1]Futures!$A$2:$B$12,2),1),G1816*M1816*IF(E1816="FUTURE",VLOOKUP(MID(I1816,2,2),[1]Futures!$A$2:$B$12,2),1)))</f>
        <v>0</v>
      </c>
      <c r="R1816" s="12" t="str">
        <f>IFERROR(Q1816/P1816/IF(E1816="FUTURE",VLOOKUP(MID(I1816,2,2),[1]Futures!$A$2:$B$12,2),1),"")</f>
        <v/>
      </c>
      <c r="S1816" s="13">
        <f>IF(AND(H1816="TO CLOSE",P1816=0),-G1816*(M1816-R1815)*IF(E1816="FUTURE",VLOOKUP(MID(I1816,2,2),[1]Futures!$A$2:$B$12,2),1),"")</f>
        <v>100.00000000000142</v>
      </c>
    </row>
    <row r="1817" spans="1:19" x14ac:dyDescent="0.2">
      <c r="A1817">
        <f t="shared" si="86"/>
        <v>573</v>
      </c>
      <c r="B1817" s="3">
        <v>44018</v>
      </c>
      <c r="C1817" s="3" t="str">
        <f t="shared" si="85"/>
        <v>Monday</v>
      </c>
      <c r="D1817" s="2">
        <v>0.48043981481481479</v>
      </c>
      <c r="E1817" t="s">
        <v>14</v>
      </c>
      <c r="F1817" t="s">
        <v>19</v>
      </c>
      <c r="G1817">
        <v>1</v>
      </c>
      <c r="H1817" t="s">
        <v>20</v>
      </c>
      <c r="I1817" t="s">
        <v>77</v>
      </c>
      <c r="J1817" s="1">
        <v>44063</v>
      </c>
      <c r="L1817" t="s">
        <v>14</v>
      </c>
      <c r="M1817">
        <v>40.98</v>
      </c>
      <c r="N1817">
        <v>40.98</v>
      </c>
      <c r="O1817" t="s">
        <v>24</v>
      </c>
      <c r="P1817">
        <f t="shared" si="87"/>
        <v>1</v>
      </c>
      <c r="Q1817" s="11">
        <f>IF(P1817=0,0,IFERROR(Q1816+G1817*M1817*IF(E1817="FUTURE",VLOOKUP(MID(I1817,2,2),[1]Futures!$A$2:$B$12,2),1),G1817*M1817*IF(E1817="FUTURE",VLOOKUP(MID(I1817,2,2),[1]Futures!$A$2:$B$12,2),1)))</f>
        <v>40980</v>
      </c>
      <c r="R1817" s="12">
        <f>IFERROR(Q1817/P1817/IF(E1817="FUTURE",VLOOKUP(MID(I1817,2,2),[1]Futures!$A$2:$B$12,2),1),"")</f>
        <v>40.98</v>
      </c>
      <c r="S1817" s="13" t="str">
        <f>IF(AND(H1817="TO CLOSE",P1817=0),-G1817*(M1817-R1816)*IF(E1817="FUTURE",VLOOKUP(MID(I1817,2,2),[1]Futures!$A$2:$B$12,2),1),"")</f>
        <v/>
      </c>
    </row>
    <row r="1818" spans="1:19" x14ac:dyDescent="0.2">
      <c r="A1818">
        <f t="shared" si="86"/>
        <v>573</v>
      </c>
      <c r="B1818" s="3">
        <v>44018</v>
      </c>
      <c r="C1818" s="3" t="str">
        <f t="shared" si="85"/>
        <v>Monday</v>
      </c>
      <c r="D1818" s="2">
        <v>0.48299768518518515</v>
      </c>
      <c r="E1818" t="s">
        <v>14</v>
      </c>
      <c r="F1818" t="s">
        <v>15</v>
      </c>
      <c r="G1818">
        <v>-1</v>
      </c>
      <c r="H1818" t="s">
        <v>16</v>
      </c>
      <c r="I1818" t="s">
        <v>77</v>
      </c>
      <c r="J1818" s="1">
        <v>44063</v>
      </c>
      <c r="L1818" t="s">
        <v>14</v>
      </c>
      <c r="M1818">
        <v>41</v>
      </c>
      <c r="N1818">
        <v>41</v>
      </c>
      <c r="O1818" t="s">
        <v>21</v>
      </c>
      <c r="P1818">
        <f t="shared" si="87"/>
        <v>0</v>
      </c>
      <c r="Q1818" s="11">
        <f>IF(P1818=0,0,IFERROR(Q1817+G1818*M1818*IF(E1818="FUTURE",VLOOKUP(MID(I1818,2,2),[1]Futures!$A$2:$B$12,2),1),G1818*M1818*IF(E1818="FUTURE",VLOOKUP(MID(I1818,2,2),[1]Futures!$A$2:$B$12,2),1)))</f>
        <v>0</v>
      </c>
      <c r="R1818" s="12" t="str">
        <f>IFERROR(Q1818/P1818/IF(E1818="FUTURE",VLOOKUP(MID(I1818,2,2),[1]Futures!$A$2:$B$12,2),1),"")</f>
        <v/>
      </c>
      <c r="S1818" s="13">
        <f>IF(AND(H1818="TO CLOSE",P1818=0),-G1818*(M1818-R1817)*IF(E1818="FUTURE",VLOOKUP(MID(I1818,2,2),[1]Futures!$A$2:$B$12,2),1),"")</f>
        <v>20.000000000003126</v>
      </c>
    </row>
    <row r="1819" spans="1:19" x14ac:dyDescent="0.2">
      <c r="A1819">
        <f t="shared" si="86"/>
        <v>574</v>
      </c>
      <c r="B1819" s="3">
        <v>44018</v>
      </c>
      <c r="C1819" s="3" t="str">
        <f t="shared" si="85"/>
        <v>Monday</v>
      </c>
      <c r="D1819" s="2">
        <v>0.49853009259259262</v>
      </c>
      <c r="E1819" t="s">
        <v>14</v>
      </c>
      <c r="F1819" t="s">
        <v>15</v>
      </c>
      <c r="G1819">
        <v>-1</v>
      </c>
      <c r="H1819" t="s">
        <v>20</v>
      </c>
      <c r="I1819" t="s">
        <v>77</v>
      </c>
      <c r="J1819" s="1">
        <v>44063</v>
      </c>
      <c r="L1819" t="s">
        <v>14</v>
      </c>
      <c r="M1819">
        <v>40.71</v>
      </c>
      <c r="N1819">
        <v>40.71</v>
      </c>
      <c r="O1819" t="s">
        <v>21</v>
      </c>
      <c r="P1819">
        <f t="shared" si="87"/>
        <v>-1</v>
      </c>
      <c r="Q1819" s="11">
        <f>IF(P1819=0,0,IFERROR(Q1818+G1819*M1819*IF(E1819="FUTURE",VLOOKUP(MID(I1819,2,2),[1]Futures!$A$2:$B$12,2),1),G1819*M1819*IF(E1819="FUTURE",VLOOKUP(MID(I1819,2,2),[1]Futures!$A$2:$B$12,2),1)))</f>
        <v>-40710</v>
      </c>
      <c r="R1819" s="12">
        <f>IFERROR(Q1819/P1819/IF(E1819="FUTURE",VLOOKUP(MID(I1819,2,2),[1]Futures!$A$2:$B$12,2),1),"")</f>
        <v>40.71</v>
      </c>
      <c r="S1819" s="13" t="str">
        <f>IF(AND(H1819="TO CLOSE",P1819=0),-G1819*(M1819-R1818)*IF(E1819="FUTURE",VLOOKUP(MID(I1819,2,2),[1]Futures!$A$2:$B$12,2),1),"")</f>
        <v/>
      </c>
    </row>
    <row r="1820" spans="1:19" x14ac:dyDescent="0.2">
      <c r="A1820">
        <f t="shared" si="86"/>
        <v>574</v>
      </c>
      <c r="B1820" s="3">
        <v>44018</v>
      </c>
      <c r="C1820" s="3" t="str">
        <f t="shared" si="85"/>
        <v>Monday</v>
      </c>
      <c r="D1820" s="2">
        <v>0.49983796296296296</v>
      </c>
      <c r="E1820" t="s">
        <v>14</v>
      </c>
      <c r="F1820" t="s">
        <v>19</v>
      </c>
      <c r="G1820">
        <v>1</v>
      </c>
      <c r="H1820" t="s">
        <v>16</v>
      </c>
      <c r="I1820" t="s">
        <v>77</v>
      </c>
      <c r="J1820" s="1">
        <v>44063</v>
      </c>
      <c r="L1820" t="s">
        <v>14</v>
      </c>
      <c r="M1820">
        <v>40.58</v>
      </c>
      <c r="N1820">
        <v>40.58</v>
      </c>
      <c r="O1820" t="s">
        <v>21</v>
      </c>
      <c r="P1820">
        <f t="shared" si="87"/>
        <v>0</v>
      </c>
      <c r="Q1820" s="11">
        <f>IF(P1820=0,0,IFERROR(Q1819+G1820*M1820*IF(E1820="FUTURE",VLOOKUP(MID(I1820,2,2),[1]Futures!$A$2:$B$12,2),1),G1820*M1820*IF(E1820="FUTURE",VLOOKUP(MID(I1820,2,2),[1]Futures!$A$2:$B$12,2),1)))</f>
        <v>0</v>
      </c>
      <c r="R1820" s="12" t="str">
        <f>IFERROR(Q1820/P1820/IF(E1820="FUTURE",VLOOKUP(MID(I1820,2,2),[1]Futures!$A$2:$B$12,2),1),"")</f>
        <v/>
      </c>
      <c r="S1820" s="13">
        <f>IF(AND(H1820="TO CLOSE",P1820=0),-G1820*(M1820-R1819)*IF(E1820="FUTURE",VLOOKUP(MID(I1820,2,2),[1]Futures!$A$2:$B$12,2),1),"")</f>
        <v>130.00000000000256</v>
      </c>
    </row>
    <row r="1821" spans="1:19" x14ac:dyDescent="0.2">
      <c r="A1821">
        <f t="shared" si="86"/>
        <v>575</v>
      </c>
      <c r="B1821" s="3">
        <v>44018</v>
      </c>
      <c r="C1821" s="3" t="str">
        <f t="shared" si="85"/>
        <v>Monday</v>
      </c>
      <c r="D1821" s="2">
        <v>0.50908564814814816</v>
      </c>
      <c r="E1821" t="s">
        <v>14</v>
      </c>
      <c r="F1821" t="s">
        <v>19</v>
      </c>
      <c r="G1821">
        <v>1</v>
      </c>
      <c r="H1821" t="s">
        <v>20</v>
      </c>
      <c r="I1821" t="s">
        <v>77</v>
      </c>
      <c r="J1821" s="1">
        <v>44063</v>
      </c>
      <c r="L1821" t="s">
        <v>14</v>
      </c>
      <c r="M1821">
        <v>40.65</v>
      </c>
      <c r="N1821">
        <v>40.65</v>
      </c>
      <c r="O1821" t="s">
        <v>24</v>
      </c>
      <c r="P1821">
        <f t="shared" si="87"/>
        <v>1</v>
      </c>
      <c r="Q1821" s="11">
        <f>IF(P1821=0,0,IFERROR(Q1820+G1821*M1821*IF(E1821="FUTURE",VLOOKUP(MID(I1821,2,2),[1]Futures!$A$2:$B$12,2),1),G1821*M1821*IF(E1821="FUTURE",VLOOKUP(MID(I1821,2,2),[1]Futures!$A$2:$B$12,2),1)))</f>
        <v>40650</v>
      </c>
      <c r="R1821" s="12">
        <f>IFERROR(Q1821/P1821/IF(E1821="FUTURE",VLOOKUP(MID(I1821,2,2),[1]Futures!$A$2:$B$12,2),1),"")</f>
        <v>40.65</v>
      </c>
      <c r="S1821" s="13" t="str">
        <f>IF(AND(H1821="TO CLOSE",P1821=0),-G1821*(M1821-R1820)*IF(E1821="FUTURE",VLOOKUP(MID(I1821,2,2),[1]Futures!$A$2:$B$12,2),1),"")</f>
        <v/>
      </c>
    </row>
    <row r="1822" spans="1:19" x14ac:dyDescent="0.2">
      <c r="A1822">
        <f t="shared" si="86"/>
        <v>575</v>
      </c>
      <c r="B1822" s="3">
        <v>44018</v>
      </c>
      <c r="C1822" s="3" t="str">
        <f t="shared" si="85"/>
        <v>Monday</v>
      </c>
      <c r="D1822" s="2">
        <v>0.52469907407407412</v>
      </c>
      <c r="E1822" t="s">
        <v>14</v>
      </c>
      <c r="F1822" t="s">
        <v>19</v>
      </c>
      <c r="G1822">
        <v>1</v>
      </c>
      <c r="H1822" t="s">
        <v>20</v>
      </c>
      <c r="I1822" t="s">
        <v>77</v>
      </c>
      <c r="J1822" s="1">
        <v>44063</v>
      </c>
      <c r="L1822" t="s">
        <v>14</v>
      </c>
      <c r="M1822">
        <v>40.409999999999997</v>
      </c>
      <c r="N1822">
        <v>40.409999999999997</v>
      </c>
      <c r="O1822" t="s">
        <v>21</v>
      </c>
      <c r="P1822">
        <f t="shared" si="87"/>
        <v>2</v>
      </c>
      <c r="Q1822" s="11">
        <f>IF(P1822=0,0,IFERROR(Q1821+G1822*M1822*IF(E1822="FUTURE",VLOOKUP(MID(I1822,2,2),[1]Futures!$A$2:$B$12,2),1),G1822*M1822*IF(E1822="FUTURE",VLOOKUP(MID(I1822,2,2),[1]Futures!$A$2:$B$12,2),1)))</f>
        <v>81060</v>
      </c>
      <c r="R1822" s="12">
        <f>IFERROR(Q1822/P1822/IF(E1822="FUTURE",VLOOKUP(MID(I1822,2,2),[1]Futures!$A$2:$B$12,2),1),"")</f>
        <v>40.53</v>
      </c>
      <c r="S1822" s="13" t="str">
        <f>IF(AND(H1822="TO CLOSE",P1822=0),-G1822*(M1822-R1821)*IF(E1822="FUTURE",VLOOKUP(MID(I1822,2,2),[1]Futures!$A$2:$B$12,2),1),"")</f>
        <v/>
      </c>
    </row>
    <row r="1823" spans="1:19" x14ac:dyDescent="0.2">
      <c r="A1823">
        <f t="shared" si="86"/>
        <v>575</v>
      </c>
      <c r="B1823" s="3">
        <v>44018</v>
      </c>
      <c r="C1823" s="3" t="str">
        <f t="shared" si="85"/>
        <v>Monday</v>
      </c>
      <c r="D1823" s="2">
        <v>0.55106481481481484</v>
      </c>
      <c r="E1823" t="s">
        <v>14</v>
      </c>
      <c r="F1823" t="s">
        <v>15</v>
      </c>
      <c r="G1823">
        <v>-1</v>
      </c>
      <c r="H1823" t="s">
        <v>16</v>
      </c>
      <c r="I1823" t="s">
        <v>77</v>
      </c>
      <c r="J1823" s="1">
        <v>44063</v>
      </c>
      <c r="L1823" t="s">
        <v>14</v>
      </c>
      <c r="M1823">
        <v>40.549999999999997</v>
      </c>
      <c r="N1823">
        <v>40.549999999999997</v>
      </c>
      <c r="O1823" t="s">
        <v>21</v>
      </c>
      <c r="P1823">
        <f t="shared" si="87"/>
        <v>1</v>
      </c>
      <c r="Q1823" s="11">
        <f>IF(P1823=0,0,IFERROR(Q1822+G1823*M1823*IF(E1823="FUTURE",VLOOKUP(MID(I1823,2,2),[1]Futures!$A$2:$B$12,2),1),G1823*M1823*IF(E1823="FUTURE",VLOOKUP(MID(I1823,2,2),[1]Futures!$A$2:$B$12,2),1)))</f>
        <v>40510</v>
      </c>
      <c r="R1823" s="12">
        <f>IFERROR(Q1823/P1823/IF(E1823="FUTURE",VLOOKUP(MID(I1823,2,2),[1]Futures!$A$2:$B$12,2),1),"")</f>
        <v>40.51</v>
      </c>
      <c r="S1823" s="13" t="str">
        <f>IF(AND(H1823="TO CLOSE",P1823=0),-G1823*(M1823-R1822)*IF(E1823="FUTURE",VLOOKUP(MID(I1823,2,2),[1]Futures!$A$2:$B$12,2),1),"")</f>
        <v/>
      </c>
    </row>
    <row r="1824" spans="1:19" x14ac:dyDescent="0.2">
      <c r="A1824">
        <f t="shared" si="86"/>
        <v>575</v>
      </c>
      <c r="B1824" s="3">
        <v>44018</v>
      </c>
      <c r="C1824" s="3" t="str">
        <f t="shared" si="85"/>
        <v>Monday</v>
      </c>
      <c r="D1824" s="2">
        <v>0.55148148148148146</v>
      </c>
      <c r="E1824" t="s">
        <v>14</v>
      </c>
      <c r="F1824" t="s">
        <v>15</v>
      </c>
      <c r="G1824">
        <v>-1</v>
      </c>
      <c r="H1824" t="s">
        <v>16</v>
      </c>
      <c r="I1824" t="s">
        <v>77</v>
      </c>
      <c r="J1824" s="1">
        <v>44063</v>
      </c>
      <c r="L1824" t="s">
        <v>14</v>
      </c>
      <c r="M1824">
        <v>40.53</v>
      </c>
      <c r="N1824">
        <v>40.53</v>
      </c>
      <c r="O1824" t="s">
        <v>21</v>
      </c>
      <c r="P1824">
        <f t="shared" si="87"/>
        <v>0</v>
      </c>
      <c r="Q1824" s="11">
        <f>IF(P1824=0,0,IFERROR(Q1823+G1824*M1824*IF(E1824="FUTURE",VLOOKUP(MID(I1824,2,2),[1]Futures!$A$2:$B$12,2),1),G1824*M1824*IF(E1824="FUTURE",VLOOKUP(MID(I1824,2,2),[1]Futures!$A$2:$B$12,2),1)))</f>
        <v>0</v>
      </c>
      <c r="R1824" s="12" t="str">
        <f>IFERROR(Q1824/P1824/IF(E1824="FUTURE",VLOOKUP(MID(I1824,2,2),[1]Futures!$A$2:$B$12,2),1),"")</f>
        <v/>
      </c>
      <c r="S1824" s="13">
        <f>IF(AND(H1824="TO CLOSE",P1824=0),-G1824*(M1824-R1823)*IF(E1824="FUTURE",VLOOKUP(MID(I1824,2,2),[1]Futures!$A$2:$B$12,2),1),"")</f>
        <v>20.000000000003126</v>
      </c>
    </row>
    <row r="1825" spans="1:19" x14ac:dyDescent="0.2">
      <c r="A1825">
        <f t="shared" si="86"/>
        <v>576</v>
      </c>
      <c r="B1825" s="3">
        <v>44018</v>
      </c>
      <c r="C1825" s="3" t="str">
        <f t="shared" si="85"/>
        <v>Monday</v>
      </c>
      <c r="D1825" s="2">
        <v>0.41798611111111111</v>
      </c>
      <c r="E1825" t="s">
        <v>14</v>
      </c>
      <c r="F1825" t="s">
        <v>19</v>
      </c>
      <c r="G1825">
        <v>1</v>
      </c>
      <c r="H1825" t="s">
        <v>20</v>
      </c>
      <c r="I1825" t="s">
        <v>79</v>
      </c>
      <c r="J1825" s="1">
        <v>44094</v>
      </c>
      <c r="L1825" t="s">
        <v>14</v>
      </c>
      <c r="M1825">
        <v>3171.5</v>
      </c>
      <c r="N1825">
        <v>3171.5</v>
      </c>
      <c r="O1825" t="s">
        <v>24</v>
      </c>
      <c r="P1825">
        <f t="shared" si="87"/>
        <v>1</v>
      </c>
      <c r="Q1825" s="11">
        <f>IF(P1825=0,0,IFERROR(Q1824+G1825*M1825*IF(E1825="FUTURE",VLOOKUP(MID(I1825,2,2),[1]Futures!$A$2:$B$12,2),1),G1825*M1825*IF(E1825="FUTURE",VLOOKUP(MID(I1825,2,2),[1]Futures!$A$2:$B$12,2),1)))</f>
        <v>158575</v>
      </c>
      <c r="R1825" s="12">
        <f>IFERROR(Q1825/P1825/IF(E1825="FUTURE",VLOOKUP(MID(I1825,2,2),[1]Futures!$A$2:$B$12,2),1),"")</f>
        <v>3171.5</v>
      </c>
      <c r="S1825" s="13" t="str">
        <f>IF(AND(H1825="TO CLOSE",P1825=0),-G1825*(M1825-R1824)*IF(E1825="FUTURE",VLOOKUP(MID(I1825,2,2),[1]Futures!$A$2:$B$12,2),1),"")</f>
        <v/>
      </c>
    </row>
    <row r="1826" spans="1:19" x14ac:dyDescent="0.2">
      <c r="A1826">
        <f t="shared" si="86"/>
        <v>576</v>
      </c>
      <c r="B1826" s="3">
        <v>44018</v>
      </c>
      <c r="C1826" s="3" t="str">
        <f t="shared" si="85"/>
        <v>Monday</v>
      </c>
      <c r="D1826" s="2">
        <v>0.42126157407407411</v>
      </c>
      <c r="E1826" t="s">
        <v>14</v>
      </c>
      <c r="F1826" t="s">
        <v>15</v>
      </c>
      <c r="G1826">
        <v>-1</v>
      </c>
      <c r="H1826" t="s">
        <v>16</v>
      </c>
      <c r="I1826" t="s">
        <v>79</v>
      </c>
      <c r="J1826" s="1">
        <v>44094</v>
      </c>
      <c r="L1826" t="s">
        <v>14</v>
      </c>
      <c r="M1826">
        <v>3160.25</v>
      </c>
      <c r="N1826">
        <v>3160.25</v>
      </c>
      <c r="O1826" t="s">
        <v>18</v>
      </c>
      <c r="P1826">
        <f t="shared" si="87"/>
        <v>0</v>
      </c>
      <c r="Q1826" s="11">
        <f>IF(P1826=0,0,IFERROR(Q1825+G1826*M1826*IF(E1826="FUTURE",VLOOKUP(MID(I1826,2,2),[1]Futures!$A$2:$B$12,2),1),G1826*M1826*IF(E1826="FUTURE",VLOOKUP(MID(I1826,2,2),[1]Futures!$A$2:$B$12,2),1)))</f>
        <v>0</v>
      </c>
      <c r="R1826" s="12" t="str">
        <f>IFERROR(Q1826/P1826/IF(E1826="FUTURE",VLOOKUP(MID(I1826,2,2),[1]Futures!$A$2:$B$12,2),1),"")</f>
        <v/>
      </c>
      <c r="S1826" s="13">
        <f>IF(AND(H1826="TO CLOSE",P1826=0),-G1826*(M1826-R1825)*IF(E1826="FUTURE",VLOOKUP(MID(I1826,2,2),[1]Futures!$A$2:$B$12,2),1),"")</f>
        <v>-562.5</v>
      </c>
    </row>
    <row r="1827" spans="1:19" x14ac:dyDescent="0.2">
      <c r="A1827">
        <f t="shared" si="86"/>
        <v>577</v>
      </c>
      <c r="B1827" s="3">
        <v>44018</v>
      </c>
      <c r="C1827" s="3" t="str">
        <f t="shared" si="85"/>
        <v>Monday</v>
      </c>
      <c r="D1827" s="2">
        <v>0.42179398148148151</v>
      </c>
      <c r="E1827" t="s">
        <v>14</v>
      </c>
      <c r="F1827" t="s">
        <v>15</v>
      </c>
      <c r="G1827">
        <v>-1</v>
      </c>
      <c r="H1827" t="s">
        <v>20</v>
      </c>
      <c r="I1827" t="s">
        <v>79</v>
      </c>
      <c r="J1827" s="1">
        <v>44094</v>
      </c>
      <c r="L1827" t="s">
        <v>14</v>
      </c>
      <c r="M1827">
        <v>3160.75</v>
      </c>
      <c r="N1827">
        <v>3160.75</v>
      </c>
      <c r="O1827" t="s">
        <v>24</v>
      </c>
      <c r="P1827">
        <f t="shared" si="87"/>
        <v>-1</v>
      </c>
      <c r="Q1827" s="11">
        <f>IF(P1827=0,0,IFERROR(Q1826+G1827*M1827*IF(E1827="FUTURE",VLOOKUP(MID(I1827,2,2),[1]Futures!$A$2:$B$12,2),1),G1827*M1827*IF(E1827="FUTURE",VLOOKUP(MID(I1827,2,2),[1]Futures!$A$2:$B$12,2),1)))</f>
        <v>-158037.5</v>
      </c>
      <c r="R1827" s="12">
        <f>IFERROR(Q1827/P1827/IF(E1827="FUTURE",VLOOKUP(MID(I1827,2,2),[1]Futures!$A$2:$B$12,2),1),"")</f>
        <v>3160.75</v>
      </c>
      <c r="S1827" s="13" t="str">
        <f>IF(AND(H1827="TO CLOSE",P1827=0),-G1827*(M1827-R1826)*IF(E1827="FUTURE",VLOOKUP(MID(I1827,2,2),[1]Futures!$A$2:$B$12,2),1),"")</f>
        <v/>
      </c>
    </row>
    <row r="1828" spans="1:19" x14ac:dyDescent="0.2">
      <c r="A1828">
        <f t="shared" si="86"/>
        <v>577</v>
      </c>
      <c r="B1828" s="3">
        <v>44018</v>
      </c>
      <c r="C1828" s="3" t="str">
        <f t="shared" si="85"/>
        <v>Monday</v>
      </c>
      <c r="D1828" s="2">
        <v>0.43214120370370374</v>
      </c>
      <c r="E1828" t="s">
        <v>14</v>
      </c>
      <c r="F1828" t="s">
        <v>19</v>
      </c>
      <c r="G1828">
        <v>1</v>
      </c>
      <c r="H1828" t="s">
        <v>16</v>
      </c>
      <c r="I1828" t="s">
        <v>79</v>
      </c>
      <c r="J1828" s="1">
        <v>44094</v>
      </c>
      <c r="L1828" t="s">
        <v>14</v>
      </c>
      <c r="M1828">
        <v>3160.5</v>
      </c>
      <c r="N1828">
        <v>3160.5</v>
      </c>
      <c r="O1828" t="s">
        <v>18</v>
      </c>
      <c r="P1828">
        <f t="shared" si="87"/>
        <v>0</v>
      </c>
      <c r="Q1828" s="11">
        <f>IF(P1828=0,0,IFERROR(Q1827+G1828*M1828*IF(E1828="FUTURE",VLOOKUP(MID(I1828,2,2),[1]Futures!$A$2:$B$12,2),1),G1828*M1828*IF(E1828="FUTURE",VLOOKUP(MID(I1828,2,2),[1]Futures!$A$2:$B$12,2),1)))</f>
        <v>0</v>
      </c>
      <c r="R1828" s="12" t="str">
        <f>IFERROR(Q1828/P1828/IF(E1828="FUTURE",VLOOKUP(MID(I1828,2,2),[1]Futures!$A$2:$B$12,2),1),"")</f>
        <v/>
      </c>
      <c r="S1828" s="13">
        <f>IF(AND(H1828="TO CLOSE",P1828=0),-G1828*(M1828-R1827)*IF(E1828="FUTURE",VLOOKUP(MID(I1828,2,2),[1]Futures!$A$2:$B$12,2),1),"")</f>
        <v>12.5</v>
      </c>
    </row>
    <row r="1829" spans="1:19" x14ac:dyDescent="0.2">
      <c r="A1829">
        <f t="shared" si="86"/>
        <v>578</v>
      </c>
      <c r="B1829" s="3">
        <v>44018</v>
      </c>
      <c r="C1829" s="3" t="str">
        <f t="shared" si="85"/>
        <v>Monday</v>
      </c>
      <c r="D1829" s="2">
        <v>0.43258101851851855</v>
      </c>
      <c r="E1829" t="s">
        <v>14</v>
      </c>
      <c r="F1829" t="s">
        <v>19</v>
      </c>
      <c r="G1829">
        <v>1</v>
      </c>
      <c r="H1829" t="s">
        <v>20</v>
      </c>
      <c r="I1829" t="s">
        <v>79</v>
      </c>
      <c r="J1829" s="1">
        <v>44094</v>
      </c>
      <c r="L1829" t="s">
        <v>14</v>
      </c>
      <c r="M1829">
        <v>3160.25</v>
      </c>
      <c r="N1829">
        <v>3160.25</v>
      </c>
      <c r="O1829" t="s">
        <v>24</v>
      </c>
      <c r="P1829">
        <f t="shared" si="87"/>
        <v>1</v>
      </c>
      <c r="Q1829" s="11">
        <f>IF(P1829=0,0,IFERROR(Q1828+G1829*M1829*IF(E1829="FUTURE",VLOOKUP(MID(I1829,2,2),[1]Futures!$A$2:$B$12,2),1),G1829*M1829*IF(E1829="FUTURE",VLOOKUP(MID(I1829,2,2),[1]Futures!$A$2:$B$12,2),1)))</f>
        <v>158012.5</v>
      </c>
      <c r="R1829" s="12">
        <f>IFERROR(Q1829/P1829/IF(E1829="FUTURE",VLOOKUP(MID(I1829,2,2),[1]Futures!$A$2:$B$12,2),1),"")</f>
        <v>3160.25</v>
      </c>
      <c r="S1829" s="13" t="str">
        <f>IF(AND(H1829="TO CLOSE",P1829=0),-G1829*(M1829-R1828)*IF(E1829="FUTURE",VLOOKUP(MID(I1829,2,2),[1]Futures!$A$2:$B$12,2),1),"")</f>
        <v/>
      </c>
    </row>
    <row r="1830" spans="1:19" x14ac:dyDescent="0.2">
      <c r="A1830">
        <f t="shared" si="86"/>
        <v>578</v>
      </c>
      <c r="B1830" s="3">
        <v>44018</v>
      </c>
      <c r="C1830" s="3" t="str">
        <f t="shared" si="85"/>
        <v>Monday</v>
      </c>
      <c r="D1830" s="2">
        <v>0.43446759259259254</v>
      </c>
      <c r="E1830" t="s">
        <v>14</v>
      </c>
      <c r="F1830" t="s">
        <v>15</v>
      </c>
      <c r="G1830">
        <v>-1</v>
      </c>
      <c r="H1830" t="s">
        <v>16</v>
      </c>
      <c r="I1830" t="s">
        <v>79</v>
      </c>
      <c r="J1830" s="1">
        <v>44094</v>
      </c>
      <c r="L1830" t="s">
        <v>14</v>
      </c>
      <c r="M1830">
        <v>3155</v>
      </c>
      <c r="N1830">
        <v>3155</v>
      </c>
      <c r="O1830" t="s">
        <v>18</v>
      </c>
      <c r="P1830">
        <f t="shared" si="87"/>
        <v>0</v>
      </c>
      <c r="Q1830" s="11">
        <f>IF(P1830=0,0,IFERROR(Q1829+G1830*M1830*IF(E1830="FUTURE",VLOOKUP(MID(I1830,2,2),[1]Futures!$A$2:$B$12,2),1),G1830*M1830*IF(E1830="FUTURE",VLOOKUP(MID(I1830,2,2),[1]Futures!$A$2:$B$12,2),1)))</f>
        <v>0</v>
      </c>
      <c r="R1830" s="12" t="str">
        <f>IFERROR(Q1830/P1830/IF(E1830="FUTURE",VLOOKUP(MID(I1830,2,2),[1]Futures!$A$2:$B$12,2),1),"")</f>
        <v/>
      </c>
      <c r="S1830" s="13">
        <f>IF(AND(H1830="TO CLOSE",P1830=0),-G1830*(M1830-R1829)*IF(E1830="FUTURE",VLOOKUP(MID(I1830,2,2),[1]Futures!$A$2:$B$12,2),1),"")</f>
        <v>-262.5</v>
      </c>
    </row>
    <row r="1831" spans="1:19" x14ac:dyDescent="0.2">
      <c r="A1831">
        <f t="shared" si="86"/>
        <v>579</v>
      </c>
      <c r="B1831" s="3">
        <v>44018</v>
      </c>
      <c r="C1831" s="3" t="str">
        <f t="shared" si="85"/>
        <v>Monday</v>
      </c>
      <c r="D1831" s="2">
        <v>0.4367476851851852</v>
      </c>
      <c r="E1831" t="s">
        <v>14</v>
      </c>
      <c r="F1831" t="s">
        <v>19</v>
      </c>
      <c r="G1831">
        <v>1</v>
      </c>
      <c r="H1831" t="s">
        <v>20</v>
      </c>
      <c r="I1831" t="s">
        <v>79</v>
      </c>
      <c r="J1831" s="1">
        <v>44094</v>
      </c>
      <c r="L1831" t="s">
        <v>14</v>
      </c>
      <c r="M1831">
        <v>3159.75</v>
      </c>
      <c r="N1831">
        <v>3159.75</v>
      </c>
      <c r="O1831" t="s">
        <v>24</v>
      </c>
      <c r="P1831">
        <f t="shared" si="87"/>
        <v>1</v>
      </c>
      <c r="Q1831" s="11">
        <f>IF(P1831=0,0,IFERROR(Q1830+G1831*M1831*IF(E1831="FUTURE",VLOOKUP(MID(I1831,2,2),[1]Futures!$A$2:$B$12,2),1),G1831*M1831*IF(E1831="FUTURE",VLOOKUP(MID(I1831,2,2),[1]Futures!$A$2:$B$12,2),1)))</f>
        <v>157987.5</v>
      </c>
      <c r="R1831" s="12">
        <f>IFERROR(Q1831/P1831/IF(E1831="FUTURE",VLOOKUP(MID(I1831,2,2),[1]Futures!$A$2:$B$12,2),1),"")</f>
        <v>3159.75</v>
      </c>
      <c r="S1831" s="13" t="str">
        <f>IF(AND(H1831="TO CLOSE",P1831=0),-G1831*(M1831-R1830)*IF(E1831="FUTURE",VLOOKUP(MID(I1831,2,2),[1]Futures!$A$2:$B$12,2),1),"")</f>
        <v/>
      </c>
    </row>
    <row r="1832" spans="1:19" x14ac:dyDescent="0.2">
      <c r="A1832">
        <f t="shared" si="86"/>
        <v>579</v>
      </c>
      <c r="B1832" s="3">
        <v>44018</v>
      </c>
      <c r="C1832" s="3" t="str">
        <f t="shared" si="85"/>
        <v>Monday</v>
      </c>
      <c r="D1832" s="2">
        <v>0.43980324074074079</v>
      </c>
      <c r="E1832" t="s">
        <v>14</v>
      </c>
      <c r="F1832" t="s">
        <v>19</v>
      </c>
      <c r="G1832">
        <v>1</v>
      </c>
      <c r="H1832" t="s">
        <v>20</v>
      </c>
      <c r="I1832" t="s">
        <v>79</v>
      </c>
      <c r="J1832" s="1">
        <v>44094</v>
      </c>
      <c r="L1832" t="s">
        <v>14</v>
      </c>
      <c r="M1832">
        <v>3163.75</v>
      </c>
      <c r="N1832">
        <v>3163.75</v>
      </c>
      <c r="O1832" t="s">
        <v>18</v>
      </c>
      <c r="P1832">
        <f t="shared" si="87"/>
        <v>2</v>
      </c>
      <c r="Q1832" s="11">
        <f>IF(P1832=0,0,IFERROR(Q1831+G1832*M1832*IF(E1832="FUTURE",VLOOKUP(MID(I1832,2,2),[1]Futures!$A$2:$B$12,2),1),G1832*M1832*IF(E1832="FUTURE",VLOOKUP(MID(I1832,2,2),[1]Futures!$A$2:$B$12,2),1)))</f>
        <v>316175</v>
      </c>
      <c r="R1832" s="12">
        <f>IFERROR(Q1832/P1832/IF(E1832="FUTURE",VLOOKUP(MID(I1832,2,2),[1]Futures!$A$2:$B$12,2),1),"")</f>
        <v>3161.75</v>
      </c>
      <c r="S1832" s="13" t="str">
        <f>IF(AND(H1832="TO CLOSE",P1832=0),-G1832*(M1832-R1831)*IF(E1832="FUTURE",VLOOKUP(MID(I1832,2,2),[1]Futures!$A$2:$B$12,2),1),"")</f>
        <v/>
      </c>
    </row>
    <row r="1833" spans="1:19" x14ac:dyDescent="0.2">
      <c r="A1833">
        <f t="shared" si="86"/>
        <v>579</v>
      </c>
      <c r="B1833" s="3">
        <v>44018</v>
      </c>
      <c r="C1833" s="3" t="str">
        <f t="shared" si="85"/>
        <v>Monday</v>
      </c>
      <c r="D1833" s="2">
        <v>0.44403935185185189</v>
      </c>
      <c r="E1833" t="s">
        <v>14</v>
      </c>
      <c r="F1833" t="s">
        <v>15</v>
      </c>
      <c r="G1833">
        <v>-1</v>
      </c>
      <c r="H1833" t="s">
        <v>16</v>
      </c>
      <c r="I1833" t="s">
        <v>79</v>
      </c>
      <c r="J1833" s="1">
        <v>44094</v>
      </c>
      <c r="L1833" t="s">
        <v>14</v>
      </c>
      <c r="M1833">
        <v>3161.75</v>
      </c>
      <c r="N1833">
        <v>3161.75</v>
      </c>
      <c r="O1833" t="s">
        <v>21</v>
      </c>
      <c r="P1833">
        <f t="shared" si="87"/>
        <v>1</v>
      </c>
      <c r="Q1833" s="11">
        <f>IF(P1833=0,0,IFERROR(Q1832+G1833*M1833*IF(E1833="FUTURE",VLOOKUP(MID(I1833,2,2),[1]Futures!$A$2:$B$12,2),1),G1833*M1833*IF(E1833="FUTURE",VLOOKUP(MID(I1833,2,2),[1]Futures!$A$2:$B$12,2),1)))</f>
        <v>158087.5</v>
      </c>
      <c r="R1833" s="12">
        <f>IFERROR(Q1833/P1833/IF(E1833="FUTURE",VLOOKUP(MID(I1833,2,2),[1]Futures!$A$2:$B$12,2),1),"")</f>
        <v>3161.75</v>
      </c>
      <c r="S1833" s="13" t="str">
        <f>IF(AND(H1833="TO CLOSE",P1833=0),-G1833*(M1833-R1832)*IF(E1833="FUTURE",VLOOKUP(MID(I1833,2,2),[1]Futures!$A$2:$B$12,2),1),"")</f>
        <v/>
      </c>
    </row>
    <row r="1834" spans="1:19" x14ac:dyDescent="0.2">
      <c r="A1834">
        <f t="shared" si="86"/>
        <v>579</v>
      </c>
      <c r="B1834" s="3">
        <v>44018</v>
      </c>
      <c r="C1834" s="3" t="str">
        <f t="shared" si="85"/>
        <v>Monday</v>
      </c>
      <c r="D1834" s="2">
        <v>0.44496527777777778</v>
      </c>
      <c r="E1834" t="s">
        <v>14</v>
      </c>
      <c r="F1834" t="s">
        <v>19</v>
      </c>
      <c r="G1834">
        <v>1</v>
      </c>
      <c r="H1834" t="s">
        <v>20</v>
      </c>
      <c r="I1834" t="s">
        <v>79</v>
      </c>
      <c r="J1834" s="1">
        <v>44094</v>
      </c>
      <c r="L1834" t="s">
        <v>14</v>
      </c>
      <c r="M1834">
        <v>3164.25</v>
      </c>
      <c r="N1834">
        <v>3164.25</v>
      </c>
      <c r="O1834" t="s">
        <v>18</v>
      </c>
      <c r="P1834">
        <f t="shared" si="87"/>
        <v>2</v>
      </c>
      <c r="Q1834" s="11">
        <f>IF(P1834=0,0,IFERROR(Q1833+G1834*M1834*IF(E1834="FUTURE",VLOOKUP(MID(I1834,2,2),[1]Futures!$A$2:$B$12,2),1),G1834*M1834*IF(E1834="FUTURE",VLOOKUP(MID(I1834,2,2),[1]Futures!$A$2:$B$12,2),1)))</f>
        <v>316300</v>
      </c>
      <c r="R1834" s="12">
        <f>IFERROR(Q1834/P1834/IF(E1834="FUTURE",VLOOKUP(MID(I1834,2,2),[1]Futures!$A$2:$B$12,2),1),"")</f>
        <v>3163</v>
      </c>
      <c r="S1834" s="13" t="str">
        <f>IF(AND(H1834="TO CLOSE",P1834=0),-G1834*(M1834-R1833)*IF(E1834="FUTURE",VLOOKUP(MID(I1834,2,2),[1]Futures!$A$2:$B$12,2),1),"")</f>
        <v/>
      </c>
    </row>
    <row r="1835" spans="1:19" x14ac:dyDescent="0.2">
      <c r="A1835">
        <f t="shared" si="86"/>
        <v>579</v>
      </c>
      <c r="B1835" s="3">
        <v>44018</v>
      </c>
      <c r="C1835" s="3" t="str">
        <f t="shared" si="85"/>
        <v>Monday</v>
      </c>
      <c r="D1835" s="2">
        <v>0.44995370370370374</v>
      </c>
      <c r="E1835" t="s">
        <v>14</v>
      </c>
      <c r="F1835" t="s">
        <v>15</v>
      </c>
      <c r="G1835">
        <v>-1</v>
      </c>
      <c r="H1835" t="s">
        <v>16</v>
      </c>
      <c r="I1835" t="s">
        <v>79</v>
      </c>
      <c r="J1835" s="1">
        <v>44094</v>
      </c>
      <c r="L1835" t="s">
        <v>14</v>
      </c>
      <c r="M1835">
        <v>3167</v>
      </c>
      <c r="N1835">
        <v>3167</v>
      </c>
      <c r="O1835" t="s">
        <v>21</v>
      </c>
      <c r="P1835">
        <f t="shared" si="87"/>
        <v>1</v>
      </c>
      <c r="Q1835" s="11">
        <f>IF(P1835=0,0,IFERROR(Q1834+G1835*M1835*IF(E1835="FUTURE",VLOOKUP(MID(I1835,2,2),[1]Futures!$A$2:$B$12,2),1),G1835*M1835*IF(E1835="FUTURE",VLOOKUP(MID(I1835,2,2),[1]Futures!$A$2:$B$12,2),1)))</f>
        <v>157950</v>
      </c>
      <c r="R1835" s="12">
        <f>IFERROR(Q1835/P1835/IF(E1835="FUTURE",VLOOKUP(MID(I1835,2,2),[1]Futures!$A$2:$B$12,2),1),"")</f>
        <v>3159</v>
      </c>
      <c r="S1835" s="13" t="str">
        <f>IF(AND(H1835="TO CLOSE",P1835=0),-G1835*(M1835-R1834)*IF(E1835="FUTURE",VLOOKUP(MID(I1835,2,2),[1]Futures!$A$2:$B$12,2),1),"")</f>
        <v/>
      </c>
    </row>
    <row r="1836" spans="1:19" x14ac:dyDescent="0.2">
      <c r="A1836">
        <f t="shared" si="86"/>
        <v>579</v>
      </c>
      <c r="B1836" s="3">
        <v>44018</v>
      </c>
      <c r="C1836" s="3" t="str">
        <f t="shared" si="85"/>
        <v>Monday</v>
      </c>
      <c r="D1836" s="2">
        <v>0.46243055555555551</v>
      </c>
      <c r="E1836" t="s">
        <v>14</v>
      </c>
      <c r="F1836" t="s">
        <v>15</v>
      </c>
      <c r="G1836">
        <v>-1</v>
      </c>
      <c r="H1836" t="s">
        <v>16</v>
      </c>
      <c r="I1836" t="s">
        <v>79</v>
      </c>
      <c r="J1836" s="1">
        <v>44094</v>
      </c>
      <c r="L1836" t="s">
        <v>14</v>
      </c>
      <c r="M1836">
        <v>3169.25</v>
      </c>
      <c r="N1836">
        <v>3169.25</v>
      </c>
      <c r="O1836" t="s">
        <v>21</v>
      </c>
      <c r="P1836">
        <f t="shared" si="87"/>
        <v>0</v>
      </c>
      <c r="Q1836" s="11">
        <f>IF(P1836=0,0,IFERROR(Q1835+G1836*M1836*IF(E1836="FUTURE",VLOOKUP(MID(I1836,2,2),[1]Futures!$A$2:$B$12,2),1),G1836*M1836*IF(E1836="FUTURE",VLOOKUP(MID(I1836,2,2),[1]Futures!$A$2:$B$12,2),1)))</f>
        <v>0</v>
      </c>
      <c r="R1836" s="12" t="str">
        <f>IFERROR(Q1836/P1836/IF(E1836="FUTURE",VLOOKUP(MID(I1836,2,2),[1]Futures!$A$2:$B$12,2),1),"")</f>
        <v/>
      </c>
      <c r="S1836" s="13">
        <f>IF(AND(H1836="TO CLOSE",P1836=0),-G1836*(M1836-R1835)*IF(E1836="FUTURE",VLOOKUP(MID(I1836,2,2),[1]Futures!$A$2:$B$12,2),1),"")</f>
        <v>512.5</v>
      </c>
    </row>
    <row r="1837" spans="1:19" x14ac:dyDescent="0.2">
      <c r="A1837">
        <f t="shared" si="86"/>
        <v>580</v>
      </c>
      <c r="B1837" s="3">
        <v>44018</v>
      </c>
      <c r="C1837" s="3" t="str">
        <f t="shared" si="85"/>
        <v>Monday</v>
      </c>
      <c r="D1837" s="2">
        <v>0.50634259259259262</v>
      </c>
      <c r="E1837" t="s">
        <v>14</v>
      </c>
      <c r="F1837" t="s">
        <v>19</v>
      </c>
      <c r="G1837">
        <v>1</v>
      </c>
      <c r="H1837" t="s">
        <v>20</v>
      </c>
      <c r="I1837" t="s">
        <v>79</v>
      </c>
      <c r="J1837" s="1">
        <v>44094</v>
      </c>
      <c r="L1837" t="s">
        <v>14</v>
      </c>
      <c r="M1837">
        <v>3163</v>
      </c>
      <c r="N1837">
        <v>3163</v>
      </c>
      <c r="O1837" t="s">
        <v>24</v>
      </c>
      <c r="P1837">
        <f t="shared" si="87"/>
        <v>1</v>
      </c>
      <c r="Q1837" s="11">
        <f>IF(P1837=0,0,IFERROR(Q1836+G1837*M1837*IF(E1837="FUTURE",VLOOKUP(MID(I1837,2,2),[1]Futures!$A$2:$B$12,2),1),G1837*M1837*IF(E1837="FUTURE",VLOOKUP(MID(I1837,2,2),[1]Futures!$A$2:$B$12,2),1)))</f>
        <v>158150</v>
      </c>
      <c r="R1837" s="12">
        <f>IFERROR(Q1837/P1837/IF(E1837="FUTURE",VLOOKUP(MID(I1837,2,2),[1]Futures!$A$2:$B$12,2),1),"")</f>
        <v>3163</v>
      </c>
      <c r="S1837" s="13" t="str">
        <f>IF(AND(H1837="TO CLOSE",P1837=0),-G1837*(M1837-R1836)*IF(E1837="FUTURE",VLOOKUP(MID(I1837,2,2),[1]Futures!$A$2:$B$12,2),1),"")</f>
        <v/>
      </c>
    </row>
    <row r="1838" spans="1:19" x14ac:dyDescent="0.2">
      <c r="A1838">
        <f t="shared" si="86"/>
        <v>580</v>
      </c>
      <c r="B1838" s="3">
        <v>44018</v>
      </c>
      <c r="C1838" s="3" t="str">
        <f t="shared" si="85"/>
        <v>Monday</v>
      </c>
      <c r="D1838" s="2">
        <v>0.50680555555555562</v>
      </c>
      <c r="E1838" t="s">
        <v>14</v>
      </c>
      <c r="F1838" t="s">
        <v>15</v>
      </c>
      <c r="G1838">
        <v>-1</v>
      </c>
      <c r="H1838" t="s">
        <v>16</v>
      </c>
      <c r="I1838" t="s">
        <v>79</v>
      </c>
      <c r="J1838" s="1">
        <v>44094</v>
      </c>
      <c r="L1838" t="s">
        <v>14</v>
      </c>
      <c r="M1838">
        <v>3163.5</v>
      </c>
      <c r="N1838">
        <v>3163.5</v>
      </c>
      <c r="O1838" t="s">
        <v>21</v>
      </c>
      <c r="P1838">
        <f t="shared" si="87"/>
        <v>0</v>
      </c>
      <c r="Q1838" s="11">
        <f>IF(P1838=0,0,IFERROR(Q1837+G1838*M1838*IF(E1838="FUTURE",VLOOKUP(MID(I1838,2,2),[1]Futures!$A$2:$B$12,2),1),G1838*M1838*IF(E1838="FUTURE",VLOOKUP(MID(I1838,2,2),[1]Futures!$A$2:$B$12,2),1)))</f>
        <v>0</v>
      </c>
      <c r="R1838" s="12" t="str">
        <f>IFERROR(Q1838/P1838/IF(E1838="FUTURE",VLOOKUP(MID(I1838,2,2),[1]Futures!$A$2:$B$12,2),1),"")</f>
        <v/>
      </c>
      <c r="S1838" s="13">
        <f>IF(AND(H1838="TO CLOSE",P1838=0),-G1838*(M1838-R1837)*IF(E1838="FUTURE",VLOOKUP(MID(I1838,2,2),[1]Futures!$A$2:$B$12,2),1),"")</f>
        <v>25</v>
      </c>
    </row>
    <row r="1839" spans="1:19" x14ac:dyDescent="0.2">
      <c r="A1839">
        <f t="shared" si="86"/>
        <v>581</v>
      </c>
      <c r="B1839" s="3">
        <v>44018</v>
      </c>
      <c r="C1839" s="3" t="str">
        <f t="shared" si="85"/>
        <v>Monday</v>
      </c>
      <c r="D1839" s="2">
        <v>0.60829861111111116</v>
      </c>
      <c r="E1839" t="s">
        <v>14</v>
      </c>
      <c r="F1839" t="s">
        <v>19</v>
      </c>
      <c r="G1839">
        <v>1</v>
      </c>
      <c r="H1839" t="s">
        <v>20</v>
      </c>
      <c r="I1839" t="s">
        <v>79</v>
      </c>
      <c r="J1839" s="1">
        <v>44094</v>
      </c>
      <c r="L1839" t="s">
        <v>14</v>
      </c>
      <c r="M1839">
        <v>3163</v>
      </c>
      <c r="N1839">
        <v>3163</v>
      </c>
      <c r="O1839" t="s">
        <v>24</v>
      </c>
      <c r="P1839">
        <f t="shared" si="87"/>
        <v>1</v>
      </c>
      <c r="Q1839" s="11">
        <f>IF(P1839=0,0,IFERROR(Q1838+G1839*M1839*IF(E1839="FUTURE",VLOOKUP(MID(I1839,2,2),[1]Futures!$A$2:$B$12,2),1),G1839*M1839*IF(E1839="FUTURE",VLOOKUP(MID(I1839,2,2),[1]Futures!$A$2:$B$12,2),1)))</f>
        <v>158150</v>
      </c>
      <c r="R1839" s="12">
        <f>IFERROR(Q1839/P1839/IF(E1839="FUTURE",VLOOKUP(MID(I1839,2,2),[1]Futures!$A$2:$B$12,2),1),"")</f>
        <v>3163</v>
      </c>
      <c r="S1839" s="13" t="str">
        <f>IF(AND(H1839="TO CLOSE",P1839=0),-G1839*(M1839-R1838)*IF(E1839="FUTURE",VLOOKUP(MID(I1839,2,2),[1]Futures!$A$2:$B$12,2),1),"")</f>
        <v/>
      </c>
    </row>
    <row r="1840" spans="1:19" x14ac:dyDescent="0.2">
      <c r="A1840">
        <f t="shared" si="86"/>
        <v>581</v>
      </c>
      <c r="B1840" s="3">
        <v>44018</v>
      </c>
      <c r="C1840" s="3" t="str">
        <f t="shared" si="85"/>
        <v>Monday</v>
      </c>
      <c r="D1840" s="2">
        <v>0.65054398148148151</v>
      </c>
      <c r="E1840" t="s">
        <v>14</v>
      </c>
      <c r="F1840" t="s">
        <v>15</v>
      </c>
      <c r="G1840">
        <v>-1</v>
      </c>
      <c r="H1840" t="s">
        <v>16</v>
      </c>
      <c r="I1840" t="s">
        <v>79</v>
      </c>
      <c r="J1840" s="1">
        <v>44094</v>
      </c>
      <c r="L1840" t="s">
        <v>14</v>
      </c>
      <c r="M1840">
        <v>3164</v>
      </c>
      <c r="N1840">
        <v>3164</v>
      </c>
      <c r="O1840" t="s">
        <v>18</v>
      </c>
      <c r="P1840">
        <f t="shared" si="87"/>
        <v>0</v>
      </c>
      <c r="Q1840" s="11">
        <f>IF(P1840=0,0,IFERROR(Q1839+G1840*M1840*IF(E1840="FUTURE",VLOOKUP(MID(I1840,2,2),[1]Futures!$A$2:$B$12,2),1),G1840*M1840*IF(E1840="FUTURE",VLOOKUP(MID(I1840,2,2),[1]Futures!$A$2:$B$12,2),1)))</f>
        <v>0</v>
      </c>
      <c r="R1840" s="12" t="str">
        <f>IFERROR(Q1840/P1840/IF(E1840="FUTURE",VLOOKUP(MID(I1840,2,2),[1]Futures!$A$2:$B$12,2),1),"")</f>
        <v/>
      </c>
      <c r="S1840" s="13">
        <f>IF(AND(H1840="TO CLOSE",P1840=0),-G1840*(M1840-R1839)*IF(E1840="FUTURE",VLOOKUP(MID(I1840,2,2),[1]Futures!$A$2:$B$12,2),1),"")</f>
        <v>50</v>
      </c>
    </row>
    <row r="1841" spans="1:19" x14ac:dyDescent="0.2">
      <c r="A1841">
        <f t="shared" si="86"/>
        <v>582</v>
      </c>
      <c r="B1841" s="3">
        <v>44018</v>
      </c>
      <c r="C1841" s="3" t="str">
        <f t="shared" si="85"/>
        <v>Monday</v>
      </c>
      <c r="D1841" s="2">
        <v>0.51243055555555561</v>
      </c>
      <c r="E1841" t="s">
        <v>14</v>
      </c>
      <c r="F1841" t="s">
        <v>19</v>
      </c>
      <c r="G1841">
        <v>4</v>
      </c>
      <c r="H1841" t="s">
        <v>20</v>
      </c>
      <c r="I1841" t="s">
        <v>80</v>
      </c>
      <c r="J1841" s="1">
        <v>44094</v>
      </c>
      <c r="L1841" t="s">
        <v>14</v>
      </c>
      <c r="M1841">
        <v>3163.25</v>
      </c>
      <c r="N1841">
        <v>3163.25</v>
      </c>
      <c r="O1841" t="s">
        <v>24</v>
      </c>
      <c r="P1841">
        <f t="shared" si="87"/>
        <v>4</v>
      </c>
      <c r="Q1841" s="11">
        <f>IF(P1841=0,0,IFERROR(Q1840+G1841*M1841*IF(E1841="FUTURE",VLOOKUP(MID(I1841,2,2),[1]Futures!$A$2:$B$12,2),1),G1841*M1841*IF(E1841="FUTURE",VLOOKUP(MID(I1841,2,2),[1]Futures!$A$2:$B$12,2),1)))</f>
        <v>63265</v>
      </c>
      <c r="R1841" s="12">
        <f>IFERROR(Q1841/P1841/IF(E1841="FUTURE",VLOOKUP(MID(I1841,2,2),[1]Futures!$A$2:$B$12,2),1),"")</f>
        <v>3163.25</v>
      </c>
      <c r="S1841" s="13" t="str">
        <f>IF(AND(H1841="TO CLOSE",P1841=0),-G1841*(M1841-R1840)*IF(E1841="FUTURE",VLOOKUP(MID(I1841,2,2),[1]Futures!$A$2:$B$12,2),1),"")</f>
        <v/>
      </c>
    </row>
    <row r="1842" spans="1:19" x14ac:dyDescent="0.2">
      <c r="A1842">
        <f t="shared" si="86"/>
        <v>582</v>
      </c>
      <c r="B1842" s="3">
        <v>44018</v>
      </c>
      <c r="C1842" s="3" t="str">
        <f t="shared" si="85"/>
        <v>Monday</v>
      </c>
      <c r="D1842" s="2">
        <v>0.51401620370370371</v>
      </c>
      <c r="E1842" t="s">
        <v>14</v>
      </c>
      <c r="F1842" t="s">
        <v>19</v>
      </c>
      <c r="G1842">
        <v>1</v>
      </c>
      <c r="H1842" t="s">
        <v>20</v>
      </c>
      <c r="I1842" t="s">
        <v>80</v>
      </c>
      <c r="J1842" s="1">
        <v>44094</v>
      </c>
      <c r="L1842" t="s">
        <v>14</v>
      </c>
      <c r="M1842">
        <v>3162</v>
      </c>
      <c r="N1842">
        <v>3162</v>
      </c>
      <c r="O1842" t="s">
        <v>21</v>
      </c>
      <c r="P1842">
        <f t="shared" si="87"/>
        <v>5</v>
      </c>
      <c r="Q1842" s="11">
        <f>IF(P1842=0,0,IFERROR(Q1841+G1842*M1842*IF(E1842="FUTURE",VLOOKUP(MID(I1842,2,2),[1]Futures!$A$2:$B$12,2),1),G1842*M1842*IF(E1842="FUTURE",VLOOKUP(MID(I1842,2,2),[1]Futures!$A$2:$B$12,2),1)))</f>
        <v>79075</v>
      </c>
      <c r="R1842" s="12">
        <f>IFERROR(Q1842/P1842/IF(E1842="FUTURE",VLOOKUP(MID(I1842,2,2),[1]Futures!$A$2:$B$12,2),1),"")</f>
        <v>3163</v>
      </c>
      <c r="S1842" s="13" t="str">
        <f>IF(AND(H1842="TO CLOSE",P1842=0),-G1842*(M1842-R1841)*IF(E1842="FUTURE",VLOOKUP(MID(I1842,2,2),[1]Futures!$A$2:$B$12,2),1),"")</f>
        <v/>
      </c>
    </row>
    <row r="1843" spans="1:19" x14ac:dyDescent="0.2">
      <c r="A1843">
        <f t="shared" si="86"/>
        <v>582</v>
      </c>
      <c r="B1843" s="3">
        <v>44018</v>
      </c>
      <c r="C1843" s="3" t="str">
        <f t="shared" si="85"/>
        <v>Monday</v>
      </c>
      <c r="D1843" s="2">
        <v>0.53819444444444442</v>
      </c>
      <c r="E1843" t="s">
        <v>14</v>
      </c>
      <c r="F1843" t="s">
        <v>15</v>
      </c>
      <c r="G1843">
        <v>-2</v>
      </c>
      <c r="H1843" t="s">
        <v>16</v>
      </c>
      <c r="I1843" t="s">
        <v>80</v>
      </c>
      <c r="J1843" s="1">
        <v>44094</v>
      </c>
      <c r="L1843" t="s">
        <v>14</v>
      </c>
      <c r="M1843">
        <v>3164.5</v>
      </c>
      <c r="N1843">
        <v>3164.5</v>
      </c>
      <c r="O1843" t="s">
        <v>21</v>
      </c>
      <c r="P1843">
        <f t="shared" si="87"/>
        <v>3</v>
      </c>
      <c r="Q1843" s="11">
        <f>IF(P1843=0,0,IFERROR(Q1842+G1843*M1843*IF(E1843="FUTURE",VLOOKUP(MID(I1843,2,2),[1]Futures!$A$2:$B$12,2),1),G1843*M1843*IF(E1843="FUTURE",VLOOKUP(MID(I1843,2,2),[1]Futures!$A$2:$B$12,2),1)))</f>
        <v>47430</v>
      </c>
      <c r="R1843" s="12">
        <f>IFERROR(Q1843/P1843/IF(E1843="FUTURE",VLOOKUP(MID(I1843,2,2),[1]Futures!$A$2:$B$12,2),1),"")</f>
        <v>3162</v>
      </c>
      <c r="S1843" s="13" t="str">
        <f>IF(AND(H1843="TO CLOSE",P1843=0),-G1843*(M1843-R1842)*IF(E1843="FUTURE",VLOOKUP(MID(I1843,2,2),[1]Futures!$A$2:$B$12,2),1),"")</f>
        <v/>
      </c>
    </row>
    <row r="1844" spans="1:19" x14ac:dyDescent="0.2">
      <c r="A1844">
        <f t="shared" si="86"/>
        <v>582</v>
      </c>
      <c r="B1844" s="3">
        <v>44018</v>
      </c>
      <c r="C1844" s="3" t="str">
        <f t="shared" si="85"/>
        <v>Monday</v>
      </c>
      <c r="D1844" s="2">
        <v>0.53896990740740736</v>
      </c>
      <c r="E1844" t="s">
        <v>14</v>
      </c>
      <c r="F1844" t="s">
        <v>15</v>
      </c>
      <c r="G1844">
        <v>-3</v>
      </c>
      <c r="H1844" t="s">
        <v>16</v>
      </c>
      <c r="I1844" t="s">
        <v>80</v>
      </c>
      <c r="J1844" s="1">
        <v>44094</v>
      </c>
      <c r="L1844" t="s">
        <v>14</v>
      </c>
      <c r="M1844">
        <v>3163.75</v>
      </c>
      <c r="N1844">
        <v>3163.75</v>
      </c>
      <c r="O1844" t="s">
        <v>21</v>
      </c>
      <c r="P1844">
        <f t="shared" si="87"/>
        <v>0</v>
      </c>
      <c r="Q1844" s="11">
        <f>IF(P1844=0,0,IFERROR(Q1843+G1844*M1844*IF(E1844="FUTURE",VLOOKUP(MID(I1844,2,2),[1]Futures!$A$2:$B$12,2),1),G1844*M1844*IF(E1844="FUTURE",VLOOKUP(MID(I1844,2,2),[1]Futures!$A$2:$B$12,2),1)))</f>
        <v>0</v>
      </c>
      <c r="R1844" s="12" t="str">
        <f>IFERROR(Q1844/P1844/IF(E1844="FUTURE",VLOOKUP(MID(I1844,2,2),[1]Futures!$A$2:$B$12,2),1),"")</f>
        <v/>
      </c>
      <c r="S1844" s="13">
        <f>IF(AND(H1844="TO CLOSE",P1844=0),-G1844*(M1844-R1843)*IF(E1844="FUTURE",VLOOKUP(MID(I1844,2,2),[1]Futures!$A$2:$B$12,2),1),"")</f>
        <v>26.25</v>
      </c>
    </row>
    <row r="1845" spans="1:19" x14ac:dyDescent="0.2">
      <c r="A1845">
        <f t="shared" si="86"/>
        <v>583</v>
      </c>
      <c r="B1845" s="3">
        <v>44018</v>
      </c>
      <c r="C1845" s="3" t="str">
        <f t="shared" si="85"/>
        <v>Monday</v>
      </c>
      <c r="D1845" s="2">
        <v>0.43663194444444442</v>
      </c>
      <c r="E1845" t="s">
        <v>22</v>
      </c>
      <c r="F1845" t="s">
        <v>15</v>
      </c>
      <c r="G1845">
        <v>-100</v>
      </c>
      <c r="H1845" t="s">
        <v>20</v>
      </c>
      <c r="I1845" t="s">
        <v>23</v>
      </c>
      <c r="L1845" t="s">
        <v>22</v>
      </c>
      <c r="M1845">
        <v>31.802399999999999</v>
      </c>
      <c r="N1845">
        <v>31.802399999999999</v>
      </c>
      <c r="O1845" t="s">
        <v>24</v>
      </c>
      <c r="P1845">
        <f t="shared" si="87"/>
        <v>-100</v>
      </c>
      <c r="Q1845" s="11">
        <f>IF(P1845=0,0,IFERROR(Q1844+G1845*M1845*IF(E1845="FUTURE",VLOOKUP(MID(I1845,2,2),[1]Futures!$A$2:$B$12,2),1),G1845*M1845*IF(E1845="FUTURE",VLOOKUP(MID(I1845,2,2),[1]Futures!$A$2:$B$12,2),1)))</f>
        <v>-3180.24</v>
      </c>
      <c r="R1845" s="12">
        <f>IFERROR(Q1845/P1845/IF(E1845="FUTURE",VLOOKUP(MID(I1845,2,2),[1]Futures!$A$2:$B$12,2),1),"")</f>
        <v>31.802399999999999</v>
      </c>
      <c r="S1845" s="13" t="str">
        <f>IF(AND(H1845="TO CLOSE",P1845=0),-G1845*(M1845-R1844)*IF(E1845="FUTURE",VLOOKUP(MID(I1845,2,2),[1]Futures!$A$2:$B$12,2),1),"")</f>
        <v/>
      </c>
    </row>
    <row r="1846" spans="1:19" x14ac:dyDescent="0.2">
      <c r="A1846">
        <f t="shared" si="86"/>
        <v>583</v>
      </c>
      <c r="B1846" s="3">
        <v>44018</v>
      </c>
      <c r="C1846" s="3" t="str">
        <f t="shared" si="85"/>
        <v>Monday</v>
      </c>
      <c r="D1846" s="2">
        <v>0.43766203703703704</v>
      </c>
      <c r="E1846" t="s">
        <v>22</v>
      </c>
      <c r="F1846" t="s">
        <v>15</v>
      </c>
      <c r="G1846">
        <v>-100</v>
      </c>
      <c r="H1846" t="s">
        <v>20</v>
      </c>
      <c r="I1846" t="s">
        <v>23</v>
      </c>
      <c r="L1846" t="s">
        <v>22</v>
      </c>
      <c r="M1846">
        <v>31.84</v>
      </c>
      <c r="N1846">
        <v>31.84</v>
      </c>
      <c r="O1846" t="s">
        <v>21</v>
      </c>
      <c r="P1846">
        <f t="shared" si="87"/>
        <v>-200</v>
      </c>
      <c r="Q1846" s="11">
        <f>IF(P1846=0,0,IFERROR(Q1845+G1846*M1846*IF(E1846="FUTURE",VLOOKUP(MID(I1846,2,2),[1]Futures!$A$2:$B$12,2),1),G1846*M1846*IF(E1846="FUTURE",VLOOKUP(MID(I1846,2,2),[1]Futures!$A$2:$B$12,2),1)))</f>
        <v>-6364.24</v>
      </c>
      <c r="R1846" s="12">
        <f>IFERROR(Q1846/P1846/IF(E1846="FUTURE",VLOOKUP(MID(I1846,2,2),[1]Futures!$A$2:$B$12,2),1),"")</f>
        <v>31.821199999999997</v>
      </c>
      <c r="S1846" s="13" t="str">
        <f>IF(AND(H1846="TO CLOSE",P1846=0),-G1846*(M1846-R1845)*IF(E1846="FUTURE",VLOOKUP(MID(I1846,2,2),[1]Futures!$A$2:$B$12,2),1),"")</f>
        <v/>
      </c>
    </row>
    <row r="1847" spans="1:19" x14ac:dyDescent="0.2">
      <c r="A1847">
        <f t="shared" si="86"/>
        <v>583</v>
      </c>
      <c r="B1847" s="3">
        <v>44018</v>
      </c>
      <c r="C1847" s="3" t="str">
        <f t="shared" si="85"/>
        <v>Monday</v>
      </c>
      <c r="D1847" s="2">
        <v>0.4541782407407407</v>
      </c>
      <c r="E1847" t="s">
        <v>22</v>
      </c>
      <c r="F1847" t="s">
        <v>19</v>
      </c>
      <c r="G1847">
        <v>200</v>
      </c>
      <c r="H1847" t="s">
        <v>16</v>
      </c>
      <c r="I1847" t="s">
        <v>23</v>
      </c>
      <c r="L1847" t="s">
        <v>22</v>
      </c>
      <c r="M1847">
        <v>31.684999999999999</v>
      </c>
      <c r="N1847">
        <v>31.684999999999999</v>
      </c>
      <c r="O1847" t="s">
        <v>24</v>
      </c>
      <c r="P1847">
        <f t="shared" si="87"/>
        <v>0</v>
      </c>
      <c r="Q1847" s="11">
        <f>IF(P1847=0,0,IFERROR(Q1846+G1847*M1847*IF(E1847="FUTURE",VLOOKUP(MID(I1847,2,2),[1]Futures!$A$2:$B$12,2),1),G1847*M1847*IF(E1847="FUTURE",VLOOKUP(MID(I1847,2,2),[1]Futures!$A$2:$B$12,2),1)))</f>
        <v>0</v>
      </c>
      <c r="R1847" s="12" t="str">
        <f>IFERROR(Q1847/P1847/IF(E1847="FUTURE",VLOOKUP(MID(I1847,2,2),[1]Futures!$A$2:$B$12,2),1),"")</f>
        <v/>
      </c>
      <c r="S1847" s="13">
        <f>IF(AND(H1847="TO CLOSE",P1847=0),-G1847*(M1847-R1846)*IF(E1847="FUTURE",VLOOKUP(MID(I1847,2,2),[1]Futures!$A$2:$B$12,2),1),"")</f>
        <v>27.239999999999753</v>
      </c>
    </row>
    <row r="1848" spans="1:19" x14ac:dyDescent="0.2">
      <c r="A1848">
        <f t="shared" si="86"/>
        <v>584</v>
      </c>
      <c r="B1848" s="3">
        <v>44018</v>
      </c>
      <c r="C1848" s="3" t="str">
        <f t="shared" si="85"/>
        <v>Monday</v>
      </c>
      <c r="D1848" s="2">
        <v>0.62317129629629631</v>
      </c>
      <c r="E1848" t="s">
        <v>22</v>
      </c>
      <c r="F1848" t="s">
        <v>15</v>
      </c>
      <c r="G1848">
        <v>-100</v>
      </c>
      <c r="H1848" t="s">
        <v>20</v>
      </c>
      <c r="I1848" t="s">
        <v>23</v>
      </c>
      <c r="L1848" t="s">
        <v>22</v>
      </c>
      <c r="M1848">
        <v>32.445</v>
      </c>
      <c r="N1848">
        <v>32.445</v>
      </c>
      <c r="O1848" t="s">
        <v>21</v>
      </c>
      <c r="P1848">
        <f t="shared" si="87"/>
        <v>-100</v>
      </c>
      <c r="Q1848" s="11">
        <f>IF(P1848=0,0,IFERROR(Q1847+G1848*M1848*IF(E1848="FUTURE",VLOOKUP(MID(I1848,2,2),[1]Futures!$A$2:$B$12,2),1),G1848*M1848*IF(E1848="FUTURE",VLOOKUP(MID(I1848,2,2),[1]Futures!$A$2:$B$12,2),1)))</f>
        <v>-3244.5</v>
      </c>
      <c r="R1848" s="12">
        <f>IFERROR(Q1848/P1848/IF(E1848="FUTURE",VLOOKUP(MID(I1848,2,2),[1]Futures!$A$2:$B$12,2),1),"")</f>
        <v>32.445</v>
      </c>
      <c r="S1848" s="13" t="str">
        <f>IF(AND(H1848="TO CLOSE",P1848=0),-G1848*(M1848-R1847)*IF(E1848="FUTURE",VLOOKUP(MID(I1848,2,2),[1]Futures!$A$2:$B$12,2),1),"")</f>
        <v/>
      </c>
    </row>
    <row r="1849" spans="1:19" x14ac:dyDescent="0.2">
      <c r="A1849">
        <f t="shared" si="86"/>
        <v>584</v>
      </c>
      <c r="B1849" s="3">
        <v>44018</v>
      </c>
      <c r="C1849" s="3" t="str">
        <f t="shared" si="85"/>
        <v>Monday</v>
      </c>
      <c r="D1849" s="2">
        <v>0.62317129629629631</v>
      </c>
      <c r="E1849" t="s">
        <v>22</v>
      </c>
      <c r="F1849" t="s">
        <v>15</v>
      </c>
      <c r="G1849">
        <v>-200</v>
      </c>
      <c r="H1849" t="s">
        <v>20</v>
      </c>
      <c r="I1849" t="s">
        <v>23</v>
      </c>
      <c r="L1849" t="s">
        <v>22</v>
      </c>
      <c r="M1849">
        <v>32.445</v>
      </c>
      <c r="N1849">
        <v>32.445</v>
      </c>
      <c r="O1849" t="s">
        <v>21</v>
      </c>
      <c r="P1849">
        <f t="shared" si="87"/>
        <v>-300</v>
      </c>
      <c r="Q1849" s="11">
        <f>IF(P1849=0,0,IFERROR(Q1848+G1849*M1849*IF(E1849="FUTURE",VLOOKUP(MID(I1849,2,2),[1]Futures!$A$2:$B$12,2),1),G1849*M1849*IF(E1849="FUTURE",VLOOKUP(MID(I1849,2,2),[1]Futures!$A$2:$B$12,2),1)))</f>
        <v>-9733.5</v>
      </c>
      <c r="R1849" s="12">
        <f>IFERROR(Q1849/P1849/IF(E1849="FUTURE",VLOOKUP(MID(I1849,2,2),[1]Futures!$A$2:$B$12,2),1),"")</f>
        <v>32.445</v>
      </c>
      <c r="S1849" s="13" t="str">
        <f>IF(AND(H1849="TO CLOSE",P1849=0),-G1849*(M1849-R1848)*IF(E1849="FUTURE",VLOOKUP(MID(I1849,2,2),[1]Futures!$A$2:$B$12,2),1),"")</f>
        <v/>
      </c>
    </row>
    <row r="1850" spans="1:19" x14ac:dyDescent="0.2">
      <c r="A1850">
        <f t="shared" si="86"/>
        <v>584</v>
      </c>
      <c r="B1850" s="3">
        <v>44018</v>
      </c>
      <c r="C1850" s="3" t="str">
        <f t="shared" si="85"/>
        <v>Monday</v>
      </c>
      <c r="D1850" s="2">
        <v>0.62864583333333335</v>
      </c>
      <c r="E1850" t="s">
        <v>22</v>
      </c>
      <c r="F1850" t="s">
        <v>15</v>
      </c>
      <c r="G1850">
        <v>-100</v>
      </c>
      <c r="H1850" t="s">
        <v>20</v>
      </c>
      <c r="I1850" t="s">
        <v>23</v>
      </c>
      <c r="L1850" t="s">
        <v>22</v>
      </c>
      <c r="M1850">
        <v>32.56</v>
      </c>
      <c r="N1850">
        <v>32.56</v>
      </c>
      <c r="O1850" t="s">
        <v>24</v>
      </c>
      <c r="P1850">
        <f t="shared" si="87"/>
        <v>-400</v>
      </c>
      <c r="Q1850" s="11">
        <f>IF(P1850=0,0,IFERROR(Q1849+G1850*M1850*IF(E1850="FUTURE",VLOOKUP(MID(I1850,2,2),[1]Futures!$A$2:$B$12,2),1),G1850*M1850*IF(E1850="FUTURE",VLOOKUP(MID(I1850,2,2),[1]Futures!$A$2:$B$12,2),1)))</f>
        <v>-12989.5</v>
      </c>
      <c r="R1850" s="12">
        <f>IFERROR(Q1850/P1850/IF(E1850="FUTURE",VLOOKUP(MID(I1850,2,2),[1]Futures!$A$2:$B$12,2),1),"")</f>
        <v>32.473750000000003</v>
      </c>
      <c r="S1850" s="13" t="str">
        <f>IF(AND(H1850="TO CLOSE",P1850=0),-G1850*(M1850-R1849)*IF(E1850="FUTURE",VLOOKUP(MID(I1850,2,2),[1]Futures!$A$2:$B$12,2),1),"")</f>
        <v/>
      </c>
    </row>
    <row r="1851" spans="1:19" x14ac:dyDescent="0.2">
      <c r="A1851">
        <f t="shared" si="86"/>
        <v>584</v>
      </c>
      <c r="B1851" s="3">
        <v>44018</v>
      </c>
      <c r="C1851" s="3" t="str">
        <f t="shared" si="85"/>
        <v>Monday</v>
      </c>
      <c r="D1851" s="2">
        <v>0.6582986111111111</v>
      </c>
      <c r="E1851" t="s">
        <v>22</v>
      </c>
      <c r="F1851" t="s">
        <v>19</v>
      </c>
      <c r="G1851">
        <v>150</v>
      </c>
      <c r="H1851" t="s">
        <v>16</v>
      </c>
      <c r="I1851" t="s">
        <v>23</v>
      </c>
      <c r="L1851" t="s">
        <v>22</v>
      </c>
      <c r="M1851">
        <v>32.47</v>
      </c>
      <c r="N1851">
        <v>32.47</v>
      </c>
      <c r="O1851" t="s">
        <v>21</v>
      </c>
      <c r="P1851">
        <f t="shared" si="87"/>
        <v>-250</v>
      </c>
      <c r="Q1851" s="11">
        <f>IF(P1851=0,0,IFERROR(Q1850+G1851*M1851*IF(E1851="FUTURE",VLOOKUP(MID(I1851,2,2),[1]Futures!$A$2:$B$12,2),1),G1851*M1851*IF(E1851="FUTURE",VLOOKUP(MID(I1851,2,2),[1]Futures!$A$2:$B$12,2),1)))</f>
        <v>-8119</v>
      </c>
      <c r="R1851" s="12">
        <f>IFERROR(Q1851/P1851/IF(E1851="FUTURE",VLOOKUP(MID(I1851,2,2),[1]Futures!$A$2:$B$12,2),1),"")</f>
        <v>32.475999999999999</v>
      </c>
      <c r="S1851" s="13" t="str">
        <f>IF(AND(H1851="TO CLOSE",P1851=0),-G1851*(M1851-R1850)*IF(E1851="FUTURE",VLOOKUP(MID(I1851,2,2),[1]Futures!$A$2:$B$12,2),1),"")</f>
        <v/>
      </c>
    </row>
    <row r="1852" spans="1:19" x14ac:dyDescent="0.2">
      <c r="A1852">
        <f t="shared" si="86"/>
        <v>584</v>
      </c>
      <c r="B1852" s="3">
        <v>44018</v>
      </c>
      <c r="C1852" s="3" t="str">
        <f t="shared" si="85"/>
        <v>Monday</v>
      </c>
      <c r="D1852" s="2">
        <v>0.6582986111111111</v>
      </c>
      <c r="E1852" t="s">
        <v>22</v>
      </c>
      <c r="F1852" t="s">
        <v>19</v>
      </c>
      <c r="G1852">
        <v>250</v>
      </c>
      <c r="H1852" t="s">
        <v>16</v>
      </c>
      <c r="I1852" t="s">
        <v>23</v>
      </c>
      <c r="L1852" t="s">
        <v>22</v>
      </c>
      <c r="M1852">
        <v>32.47</v>
      </c>
      <c r="N1852">
        <v>32.47</v>
      </c>
      <c r="O1852" t="s">
        <v>21</v>
      </c>
      <c r="P1852">
        <f t="shared" si="87"/>
        <v>0</v>
      </c>
      <c r="Q1852" s="11">
        <f>IF(P1852=0,0,IFERROR(Q1851+G1852*M1852*IF(E1852="FUTURE",VLOOKUP(MID(I1852,2,2),[1]Futures!$A$2:$B$12,2),1),G1852*M1852*IF(E1852="FUTURE",VLOOKUP(MID(I1852,2,2),[1]Futures!$A$2:$B$12,2),1)))</f>
        <v>0</v>
      </c>
      <c r="R1852" s="12" t="str">
        <f>IFERROR(Q1852/P1852/IF(E1852="FUTURE",VLOOKUP(MID(I1852,2,2),[1]Futures!$A$2:$B$12,2),1),"")</f>
        <v/>
      </c>
      <c r="S1852" s="13">
        <f>IF(AND(H1852="TO CLOSE",P1852=0),-G1852*(M1852-R1851)*IF(E1852="FUTURE",VLOOKUP(MID(I1852,2,2),[1]Futures!$A$2:$B$12,2),1),"")</f>
        <v>1.5000000000000568</v>
      </c>
    </row>
    <row r="1853" spans="1:19" x14ac:dyDescent="0.2">
      <c r="A1853">
        <f t="shared" si="86"/>
        <v>585</v>
      </c>
      <c r="B1853" s="3">
        <v>44019</v>
      </c>
      <c r="C1853" s="3" t="str">
        <f t="shared" si="85"/>
        <v>Tuesday</v>
      </c>
      <c r="D1853" s="2">
        <v>0.38719907407407406</v>
      </c>
      <c r="E1853" t="s">
        <v>14</v>
      </c>
      <c r="F1853" t="s">
        <v>15</v>
      </c>
      <c r="G1853">
        <v>-1</v>
      </c>
      <c r="H1853" t="s">
        <v>20</v>
      </c>
      <c r="I1853" t="s">
        <v>77</v>
      </c>
      <c r="J1853" s="1">
        <v>44063</v>
      </c>
      <c r="L1853" t="s">
        <v>14</v>
      </c>
      <c r="M1853">
        <v>40.25</v>
      </c>
      <c r="N1853">
        <v>40.25</v>
      </c>
      <c r="O1853" t="s">
        <v>24</v>
      </c>
      <c r="P1853">
        <f t="shared" si="87"/>
        <v>-1</v>
      </c>
      <c r="Q1853" s="11">
        <f>IF(P1853=0,0,IFERROR(Q1852+G1853*M1853*IF(E1853="FUTURE",VLOOKUP(MID(I1853,2,2),[1]Futures!$A$2:$B$12,2),1),G1853*M1853*IF(E1853="FUTURE",VLOOKUP(MID(I1853,2,2),[1]Futures!$A$2:$B$12,2),1)))</f>
        <v>-40250</v>
      </c>
      <c r="R1853" s="12">
        <f>IFERROR(Q1853/P1853/IF(E1853="FUTURE",VLOOKUP(MID(I1853,2,2),[1]Futures!$A$2:$B$12,2),1),"")</f>
        <v>40.25</v>
      </c>
      <c r="S1853" s="13" t="str">
        <f>IF(AND(H1853="TO CLOSE",P1853=0),-G1853*(M1853-R1852)*IF(E1853="FUTURE",VLOOKUP(MID(I1853,2,2),[1]Futures!$A$2:$B$12,2),1),"")</f>
        <v/>
      </c>
    </row>
    <row r="1854" spans="1:19" x14ac:dyDescent="0.2">
      <c r="A1854">
        <f t="shared" si="86"/>
        <v>585</v>
      </c>
      <c r="B1854" s="3">
        <v>44019</v>
      </c>
      <c r="C1854" s="3" t="str">
        <f t="shared" ref="C1854:C1917" si="88">IF(WEEKDAY(B1854,2)=1,"Monday",IF(WEEKDAY(B1854,2)=2,"Tuesday",IF(WEEKDAY(B1854,2)=3,"Wednesday",IF(WEEKDAY(B1854,2)=4,"Thursday",IF(WEEKDAY(B1854,2)=5,"Friday","Sunday")))))</f>
        <v>Tuesday</v>
      </c>
      <c r="D1854" s="2">
        <v>0.40047453703703706</v>
      </c>
      <c r="E1854" t="s">
        <v>14</v>
      </c>
      <c r="F1854" t="s">
        <v>19</v>
      </c>
      <c r="G1854">
        <v>1</v>
      </c>
      <c r="H1854" t="s">
        <v>16</v>
      </c>
      <c r="I1854" t="s">
        <v>77</v>
      </c>
      <c r="J1854" s="1">
        <v>44063</v>
      </c>
      <c r="L1854" t="s">
        <v>14</v>
      </c>
      <c r="M1854">
        <v>40.25</v>
      </c>
      <c r="N1854">
        <v>40.25</v>
      </c>
      <c r="O1854" t="s">
        <v>21</v>
      </c>
      <c r="P1854">
        <f t="shared" si="87"/>
        <v>0</v>
      </c>
      <c r="Q1854" s="11">
        <f>IF(P1854=0,0,IFERROR(Q1853+G1854*M1854*IF(E1854="FUTURE",VLOOKUP(MID(I1854,2,2),[1]Futures!$A$2:$B$12,2),1),G1854*M1854*IF(E1854="FUTURE",VLOOKUP(MID(I1854,2,2),[1]Futures!$A$2:$B$12,2),1)))</f>
        <v>0</v>
      </c>
      <c r="R1854" s="12" t="str">
        <f>IFERROR(Q1854/P1854/IF(E1854="FUTURE",VLOOKUP(MID(I1854,2,2),[1]Futures!$A$2:$B$12,2),1),"")</f>
        <v/>
      </c>
      <c r="S1854" s="13">
        <f>IF(AND(H1854="TO CLOSE",P1854=0),-G1854*(M1854-R1853)*IF(E1854="FUTURE",VLOOKUP(MID(I1854,2,2),[1]Futures!$A$2:$B$12,2),1),"")</f>
        <v>0</v>
      </c>
    </row>
    <row r="1855" spans="1:19" x14ac:dyDescent="0.2">
      <c r="A1855">
        <f t="shared" si="86"/>
        <v>586</v>
      </c>
      <c r="B1855" s="3">
        <v>44019</v>
      </c>
      <c r="C1855" s="3" t="str">
        <f t="shared" si="88"/>
        <v>Tuesday</v>
      </c>
      <c r="D1855" s="2">
        <v>0.40149305555555559</v>
      </c>
      <c r="E1855" t="s">
        <v>14</v>
      </c>
      <c r="F1855" t="s">
        <v>15</v>
      </c>
      <c r="G1855">
        <v>-2</v>
      </c>
      <c r="H1855" t="s">
        <v>20</v>
      </c>
      <c r="I1855" t="s">
        <v>77</v>
      </c>
      <c r="J1855" s="1">
        <v>44063</v>
      </c>
      <c r="L1855" t="s">
        <v>14</v>
      </c>
      <c r="M1855">
        <v>40.28</v>
      </c>
      <c r="N1855">
        <v>40.28</v>
      </c>
      <c r="O1855" t="s">
        <v>24</v>
      </c>
      <c r="P1855">
        <f t="shared" si="87"/>
        <v>-2</v>
      </c>
      <c r="Q1855" s="11">
        <f>IF(P1855=0,0,IFERROR(Q1854+G1855*M1855*IF(E1855="FUTURE",VLOOKUP(MID(I1855,2,2),[1]Futures!$A$2:$B$12,2),1),G1855*M1855*IF(E1855="FUTURE",VLOOKUP(MID(I1855,2,2),[1]Futures!$A$2:$B$12,2),1)))</f>
        <v>-80560</v>
      </c>
      <c r="R1855" s="12">
        <f>IFERROR(Q1855/P1855/IF(E1855="FUTURE",VLOOKUP(MID(I1855,2,2),[1]Futures!$A$2:$B$12,2),1),"")</f>
        <v>40.28</v>
      </c>
      <c r="S1855" s="13" t="str">
        <f>IF(AND(H1855="TO CLOSE",P1855=0),-G1855*(M1855-R1854)*IF(E1855="FUTURE",VLOOKUP(MID(I1855,2,2),[1]Futures!$A$2:$B$12,2),1),"")</f>
        <v/>
      </c>
    </row>
    <row r="1856" spans="1:19" x14ac:dyDescent="0.2">
      <c r="A1856">
        <f t="shared" si="86"/>
        <v>586</v>
      </c>
      <c r="B1856" s="3">
        <v>44019</v>
      </c>
      <c r="C1856" s="3" t="str">
        <f t="shared" si="88"/>
        <v>Tuesday</v>
      </c>
      <c r="D1856" s="2">
        <v>0.40224537037037034</v>
      </c>
      <c r="E1856" t="s">
        <v>14</v>
      </c>
      <c r="F1856" t="s">
        <v>19</v>
      </c>
      <c r="G1856">
        <v>1</v>
      </c>
      <c r="H1856" t="s">
        <v>16</v>
      </c>
      <c r="I1856" t="s">
        <v>77</v>
      </c>
      <c r="J1856" s="1">
        <v>44063</v>
      </c>
      <c r="L1856" t="s">
        <v>14</v>
      </c>
      <c r="M1856">
        <v>40.26</v>
      </c>
      <c r="N1856">
        <v>40.26</v>
      </c>
      <c r="O1856" t="s">
        <v>21</v>
      </c>
      <c r="P1856">
        <f t="shared" si="87"/>
        <v>-1</v>
      </c>
      <c r="Q1856" s="11">
        <f>IF(P1856=0,0,IFERROR(Q1855+G1856*M1856*IF(E1856="FUTURE",VLOOKUP(MID(I1856,2,2),[1]Futures!$A$2:$B$12,2),1),G1856*M1856*IF(E1856="FUTURE",VLOOKUP(MID(I1856,2,2),[1]Futures!$A$2:$B$12,2),1)))</f>
        <v>-40300</v>
      </c>
      <c r="R1856" s="12">
        <f>IFERROR(Q1856/P1856/IF(E1856="FUTURE",VLOOKUP(MID(I1856,2,2),[1]Futures!$A$2:$B$12,2),1),"")</f>
        <v>40.299999999999997</v>
      </c>
      <c r="S1856" s="13" t="str">
        <f>IF(AND(H1856="TO CLOSE",P1856=0),-G1856*(M1856-R1855)*IF(E1856="FUTURE",VLOOKUP(MID(I1856,2,2),[1]Futures!$A$2:$B$12,2),1),"")</f>
        <v/>
      </c>
    </row>
    <row r="1857" spans="1:19" x14ac:dyDescent="0.2">
      <c r="A1857">
        <f t="shared" si="86"/>
        <v>586</v>
      </c>
      <c r="B1857" s="3">
        <v>44019</v>
      </c>
      <c r="C1857" s="3" t="str">
        <f t="shared" si="88"/>
        <v>Tuesday</v>
      </c>
      <c r="D1857" s="2">
        <v>0.40261574074074075</v>
      </c>
      <c r="E1857" t="s">
        <v>14</v>
      </c>
      <c r="F1857" t="s">
        <v>19</v>
      </c>
      <c r="G1857">
        <v>1</v>
      </c>
      <c r="H1857" t="s">
        <v>16</v>
      </c>
      <c r="I1857" t="s">
        <v>77</v>
      </c>
      <c r="J1857" s="1">
        <v>44063</v>
      </c>
      <c r="L1857" t="s">
        <v>14</v>
      </c>
      <c r="M1857">
        <v>40.26</v>
      </c>
      <c r="N1857">
        <v>40.26</v>
      </c>
      <c r="O1857" t="s">
        <v>21</v>
      </c>
      <c r="P1857">
        <f t="shared" si="87"/>
        <v>0</v>
      </c>
      <c r="Q1857" s="11">
        <f>IF(P1857=0,0,IFERROR(Q1856+G1857*M1857*IF(E1857="FUTURE",VLOOKUP(MID(I1857,2,2),[1]Futures!$A$2:$B$12,2),1),G1857*M1857*IF(E1857="FUTURE",VLOOKUP(MID(I1857,2,2),[1]Futures!$A$2:$B$12,2),1)))</f>
        <v>0</v>
      </c>
      <c r="R1857" s="12" t="str">
        <f>IFERROR(Q1857/P1857/IF(E1857="FUTURE",VLOOKUP(MID(I1857,2,2),[1]Futures!$A$2:$B$12,2),1),"")</f>
        <v/>
      </c>
      <c r="S1857" s="13">
        <f>IF(AND(H1857="TO CLOSE",P1857=0),-G1857*(M1857-R1856)*IF(E1857="FUTURE",VLOOKUP(MID(I1857,2,2),[1]Futures!$A$2:$B$12,2),1),"")</f>
        <v>39.999999999999147</v>
      </c>
    </row>
    <row r="1858" spans="1:19" x14ac:dyDescent="0.2">
      <c r="A1858">
        <f t="shared" ref="A1858:A1921" si="89">IF(AND(P1857=0,H1857="TO CLOSE"),IFERROR(A1857+1,1),IFERROR(A1857/1,1))</f>
        <v>587</v>
      </c>
      <c r="B1858" s="3">
        <v>44019</v>
      </c>
      <c r="C1858" s="3" t="str">
        <f t="shared" si="88"/>
        <v>Tuesday</v>
      </c>
      <c r="D1858" s="2">
        <v>0.40373842592592596</v>
      </c>
      <c r="E1858" t="s">
        <v>14</v>
      </c>
      <c r="F1858" t="s">
        <v>15</v>
      </c>
      <c r="G1858">
        <v>-1</v>
      </c>
      <c r="H1858" t="s">
        <v>20</v>
      </c>
      <c r="I1858" t="s">
        <v>77</v>
      </c>
      <c r="J1858" s="1">
        <v>44063</v>
      </c>
      <c r="L1858" t="s">
        <v>14</v>
      </c>
      <c r="M1858">
        <v>40.28</v>
      </c>
      <c r="N1858">
        <v>40.28</v>
      </c>
      <c r="O1858" t="s">
        <v>24</v>
      </c>
      <c r="P1858">
        <f t="shared" si="87"/>
        <v>-1</v>
      </c>
      <c r="Q1858" s="11">
        <f>IF(P1858=0,0,IFERROR(Q1857+G1858*M1858*IF(E1858="FUTURE",VLOOKUP(MID(I1858,2,2),[1]Futures!$A$2:$B$12,2),1),G1858*M1858*IF(E1858="FUTURE",VLOOKUP(MID(I1858,2,2),[1]Futures!$A$2:$B$12,2),1)))</f>
        <v>-40280</v>
      </c>
      <c r="R1858" s="12">
        <f>IFERROR(Q1858/P1858/IF(E1858="FUTURE",VLOOKUP(MID(I1858,2,2),[1]Futures!$A$2:$B$12,2),1),"")</f>
        <v>40.28</v>
      </c>
      <c r="S1858" s="13" t="str">
        <f>IF(AND(H1858="TO CLOSE",P1858=0),-G1858*(M1858-R1857)*IF(E1858="FUTURE",VLOOKUP(MID(I1858,2,2),[1]Futures!$A$2:$B$12,2),1),"")</f>
        <v/>
      </c>
    </row>
    <row r="1859" spans="1:19" x14ac:dyDescent="0.2">
      <c r="A1859">
        <f t="shared" si="89"/>
        <v>587</v>
      </c>
      <c r="B1859" s="3">
        <v>44019</v>
      </c>
      <c r="C1859" s="3" t="str">
        <f t="shared" si="88"/>
        <v>Tuesday</v>
      </c>
      <c r="D1859" s="2">
        <v>0.40659722222222222</v>
      </c>
      <c r="E1859" t="s">
        <v>14</v>
      </c>
      <c r="F1859" t="s">
        <v>19</v>
      </c>
      <c r="G1859">
        <v>1</v>
      </c>
      <c r="H1859" t="s">
        <v>16</v>
      </c>
      <c r="I1859" t="s">
        <v>77</v>
      </c>
      <c r="J1859" s="1">
        <v>44063</v>
      </c>
      <c r="L1859" t="s">
        <v>14</v>
      </c>
      <c r="M1859">
        <v>40.35</v>
      </c>
      <c r="N1859">
        <v>40.35</v>
      </c>
      <c r="O1859" t="s">
        <v>18</v>
      </c>
      <c r="P1859">
        <f t="shared" ref="P1859:P1922" si="90">IF(H1859="TO OPEN",IFERROR(P1858+G1859,0+G1859),IFERROR(P1858+G1859,0+G1859))</f>
        <v>0</v>
      </c>
      <c r="Q1859" s="11">
        <f>IF(P1859=0,0,IFERROR(Q1858+G1859*M1859*IF(E1859="FUTURE",VLOOKUP(MID(I1859,2,2),[1]Futures!$A$2:$B$12,2),1),G1859*M1859*IF(E1859="FUTURE",VLOOKUP(MID(I1859,2,2),[1]Futures!$A$2:$B$12,2),1)))</f>
        <v>0</v>
      </c>
      <c r="R1859" s="12" t="str">
        <f>IFERROR(Q1859/P1859/IF(E1859="FUTURE",VLOOKUP(MID(I1859,2,2),[1]Futures!$A$2:$B$12,2),1),"")</f>
        <v/>
      </c>
      <c r="S1859" s="13">
        <f>IF(AND(H1859="TO CLOSE",P1859=0),-G1859*(M1859-R1858)*IF(E1859="FUTURE",VLOOKUP(MID(I1859,2,2),[1]Futures!$A$2:$B$12,2),1),"")</f>
        <v>-70.000000000000284</v>
      </c>
    </row>
    <row r="1860" spans="1:19" x14ac:dyDescent="0.2">
      <c r="A1860">
        <f t="shared" si="89"/>
        <v>588</v>
      </c>
      <c r="B1860" s="3">
        <v>44019</v>
      </c>
      <c r="C1860" s="3" t="str">
        <f t="shared" si="88"/>
        <v>Tuesday</v>
      </c>
      <c r="D1860" s="2">
        <v>0.40763888888888888</v>
      </c>
      <c r="E1860" t="s">
        <v>14</v>
      </c>
      <c r="F1860" t="s">
        <v>19</v>
      </c>
      <c r="G1860">
        <v>1</v>
      </c>
      <c r="H1860" t="s">
        <v>20</v>
      </c>
      <c r="I1860" t="s">
        <v>77</v>
      </c>
      <c r="J1860" s="1">
        <v>44063</v>
      </c>
      <c r="L1860" t="s">
        <v>14</v>
      </c>
      <c r="M1860">
        <v>40.42</v>
      </c>
      <c r="N1860">
        <v>40.42</v>
      </c>
      <c r="O1860" t="s">
        <v>24</v>
      </c>
      <c r="P1860">
        <f t="shared" si="90"/>
        <v>1</v>
      </c>
      <c r="Q1860" s="11">
        <f>IF(P1860=0,0,IFERROR(Q1859+G1860*M1860*IF(E1860="FUTURE",VLOOKUP(MID(I1860,2,2),[1]Futures!$A$2:$B$12,2),1),G1860*M1860*IF(E1860="FUTURE",VLOOKUP(MID(I1860,2,2),[1]Futures!$A$2:$B$12,2),1)))</f>
        <v>40420</v>
      </c>
      <c r="R1860" s="12">
        <f>IFERROR(Q1860/P1860/IF(E1860="FUTURE",VLOOKUP(MID(I1860,2,2),[1]Futures!$A$2:$B$12,2),1),"")</f>
        <v>40.42</v>
      </c>
      <c r="S1860" s="13" t="str">
        <f>IF(AND(H1860="TO CLOSE",P1860=0),-G1860*(M1860-R1859)*IF(E1860="FUTURE",VLOOKUP(MID(I1860,2,2),[1]Futures!$A$2:$B$12,2),1),"")</f>
        <v/>
      </c>
    </row>
    <row r="1861" spans="1:19" x14ac:dyDescent="0.2">
      <c r="A1861">
        <f t="shared" si="89"/>
        <v>588</v>
      </c>
      <c r="B1861" s="3">
        <v>44019</v>
      </c>
      <c r="C1861" s="3" t="str">
        <f t="shared" si="88"/>
        <v>Tuesday</v>
      </c>
      <c r="D1861" s="2">
        <v>0.41781249999999998</v>
      </c>
      <c r="E1861" t="s">
        <v>14</v>
      </c>
      <c r="F1861" t="s">
        <v>15</v>
      </c>
      <c r="G1861">
        <v>-1</v>
      </c>
      <c r="H1861" t="s">
        <v>16</v>
      </c>
      <c r="I1861" t="s">
        <v>77</v>
      </c>
      <c r="J1861" s="1">
        <v>44063</v>
      </c>
      <c r="L1861" t="s">
        <v>14</v>
      </c>
      <c r="M1861">
        <v>40.590000000000003</v>
      </c>
      <c r="N1861">
        <v>40.590000000000003</v>
      </c>
      <c r="O1861" t="s">
        <v>21</v>
      </c>
      <c r="P1861">
        <f t="shared" si="90"/>
        <v>0</v>
      </c>
      <c r="Q1861" s="11">
        <f>IF(P1861=0,0,IFERROR(Q1860+G1861*M1861*IF(E1861="FUTURE",VLOOKUP(MID(I1861,2,2),[1]Futures!$A$2:$B$12,2),1),G1861*M1861*IF(E1861="FUTURE",VLOOKUP(MID(I1861,2,2),[1]Futures!$A$2:$B$12,2),1)))</f>
        <v>0</v>
      </c>
      <c r="R1861" s="12" t="str">
        <f>IFERROR(Q1861/P1861/IF(E1861="FUTURE",VLOOKUP(MID(I1861,2,2),[1]Futures!$A$2:$B$12,2),1),"")</f>
        <v/>
      </c>
      <c r="S1861" s="13">
        <f>IF(AND(H1861="TO CLOSE",P1861=0),-G1861*(M1861-R1860)*IF(E1861="FUTURE",VLOOKUP(MID(I1861,2,2),[1]Futures!$A$2:$B$12,2),1),"")</f>
        <v>170.00000000000171</v>
      </c>
    </row>
    <row r="1862" spans="1:19" x14ac:dyDescent="0.2">
      <c r="A1862">
        <f t="shared" si="89"/>
        <v>589</v>
      </c>
      <c r="B1862" s="3">
        <v>44019</v>
      </c>
      <c r="C1862" s="3" t="str">
        <f t="shared" si="88"/>
        <v>Tuesday</v>
      </c>
      <c r="D1862" s="2">
        <v>0.50776620370370373</v>
      </c>
      <c r="E1862" t="s">
        <v>14</v>
      </c>
      <c r="F1862" t="s">
        <v>15</v>
      </c>
      <c r="G1862">
        <v>-1</v>
      </c>
      <c r="H1862" t="s">
        <v>20</v>
      </c>
      <c r="I1862" t="s">
        <v>77</v>
      </c>
      <c r="J1862" s="1">
        <v>44063</v>
      </c>
      <c r="L1862" t="s">
        <v>14</v>
      </c>
      <c r="M1862">
        <v>40.82</v>
      </c>
      <c r="N1862">
        <v>40.82</v>
      </c>
      <c r="O1862" t="s">
        <v>21</v>
      </c>
      <c r="P1862">
        <f t="shared" si="90"/>
        <v>-1</v>
      </c>
      <c r="Q1862" s="11">
        <f>IF(P1862=0,0,IFERROR(Q1861+G1862*M1862*IF(E1862="FUTURE",VLOOKUP(MID(I1862,2,2),[1]Futures!$A$2:$B$12,2),1),G1862*M1862*IF(E1862="FUTURE",VLOOKUP(MID(I1862,2,2),[1]Futures!$A$2:$B$12,2),1)))</f>
        <v>-40820</v>
      </c>
      <c r="R1862" s="12">
        <f>IFERROR(Q1862/P1862/IF(E1862="FUTURE",VLOOKUP(MID(I1862,2,2),[1]Futures!$A$2:$B$12,2),1),"")</f>
        <v>40.82</v>
      </c>
      <c r="S1862" s="13" t="str">
        <f>IF(AND(H1862="TO CLOSE",P1862=0),-G1862*(M1862-R1861)*IF(E1862="FUTURE",VLOOKUP(MID(I1862,2,2),[1]Futures!$A$2:$B$12,2),1),"")</f>
        <v/>
      </c>
    </row>
    <row r="1863" spans="1:19" x14ac:dyDescent="0.2">
      <c r="A1863">
        <f t="shared" si="89"/>
        <v>589</v>
      </c>
      <c r="B1863" s="3">
        <v>44019</v>
      </c>
      <c r="C1863" s="3" t="str">
        <f t="shared" si="88"/>
        <v>Tuesday</v>
      </c>
      <c r="D1863" s="2">
        <v>0.51313657407407409</v>
      </c>
      <c r="E1863" t="s">
        <v>14</v>
      </c>
      <c r="F1863" t="s">
        <v>19</v>
      </c>
      <c r="G1863">
        <v>2</v>
      </c>
      <c r="H1863" t="s">
        <v>16</v>
      </c>
      <c r="I1863" t="s">
        <v>77</v>
      </c>
      <c r="J1863" s="1">
        <v>44063</v>
      </c>
      <c r="L1863" t="s">
        <v>14</v>
      </c>
      <c r="M1863">
        <v>40.909999999999997</v>
      </c>
      <c r="N1863">
        <v>40.909999999999997</v>
      </c>
      <c r="O1863" t="s">
        <v>24</v>
      </c>
      <c r="P1863">
        <f t="shared" si="90"/>
        <v>1</v>
      </c>
      <c r="Q1863" s="11">
        <f>IF(P1863=0,0,IFERROR(Q1862+G1863*M1863*IF(E1863="FUTURE",VLOOKUP(MID(I1863,2,2),[1]Futures!$A$2:$B$12,2),1),G1863*M1863*IF(E1863="FUTURE",VLOOKUP(MID(I1863,2,2),[1]Futures!$A$2:$B$12,2),1)))</f>
        <v>41000</v>
      </c>
      <c r="R1863" s="12">
        <f>IFERROR(Q1863/P1863/IF(E1863="FUTURE",VLOOKUP(MID(I1863,2,2),[1]Futures!$A$2:$B$12,2),1),"")</f>
        <v>41</v>
      </c>
      <c r="S1863" s="13" t="str">
        <f>IF(AND(H1863="TO CLOSE",P1863=0),-G1863*(M1863-R1862)*IF(E1863="FUTURE",VLOOKUP(MID(I1863,2,2),[1]Futures!$A$2:$B$12,2),1),"")</f>
        <v/>
      </c>
    </row>
    <row r="1864" spans="1:19" x14ac:dyDescent="0.2">
      <c r="A1864">
        <f t="shared" si="89"/>
        <v>589</v>
      </c>
      <c r="B1864" s="3">
        <v>44019</v>
      </c>
      <c r="C1864" s="3" t="str">
        <f t="shared" si="88"/>
        <v>Tuesday</v>
      </c>
      <c r="D1864" s="2">
        <v>0.51395833333333341</v>
      </c>
      <c r="E1864" t="s">
        <v>14</v>
      </c>
      <c r="F1864" t="s">
        <v>19</v>
      </c>
      <c r="G1864">
        <v>1</v>
      </c>
      <c r="H1864" t="s">
        <v>20</v>
      </c>
      <c r="I1864" t="s">
        <v>77</v>
      </c>
      <c r="J1864" s="1">
        <v>44063</v>
      </c>
      <c r="L1864" t="s">
        <v>14</v>
      </c>
      <c r="M1864">
        <v>40.880000000000003</v>
      </c>
      <c r="N1864">
        <v>40.880000000000003</v>
      </c>
      <c r="O1864" t="s">
        <v>21</v>
      </c>
      <c r="P1864">
        <f t="shared" si="90"/>
        <v>2</v>
      </c>
      <c r="Q1864" s="11">
        <f>IF(P1864=0,0,IFERROR(Q1863+G1864*M1864*IF(E1864="FUTURE",VLOOKUP(MID(I1864,2,2),[1]Futures!$A$2:$B$12,2),1),G1864*M1864*IF(E1864="FUTURE",VLOOKUP(MID(I1864,2,2),[1]Futures!$A$2:$B$12,2),1)))</f>
        <v>81880</v>
      </c>
      <c r="R1864" s="12">
        <f>IFERROR(Q1864/P1864/IF(E1864="FUTURE",VLOOKUP(MID(I1864,2,2),[1]Futures!$A$2:$B$12,2),1),"")</f>
        <v>40.94</v>
      </c>
      <c r="S1864" s="13" t="str">
        <f>IF(AND(H1864="TO CLOSE",P1864=0),-G1864*(M1864-R1863)*IF(E1864="FUTURE",VLOOKUP(MID(I1864,2,2),[1]Futures!$A$2:$B$12,2),1),"")</f>
        <v/>
      </c>
    </row>
    <row r="1865" spans="1:19" x14ac:dyDescent="0.2">
      <c r="A1865">
        <f t="shared" si="89"/>
        <v>589</v>
      </c>
      <c r="B1865" s="3">
        <v>44019</v>
      </c>
      <c r="C1865" s="3" t="str">
        <f t="shared" si="88"/>
        <v>Tuesday</v>
      </c>
      <c r="D1865" s="2">
        <v>0.51753472222222219</v>
      </c>
      <c r="E1865" t="s">
        <v>14</v>
      </c>
      <c r="F1865" t="s">
        <v>15</v>
      </c>
      <c r="G1865">
        <v>-1</v>
      </c>
      <c r="H1865" t="s">
        <v>16</v>
      </c>
      <c r="I1865" t="s">
        <v>77</v>
      </c>
      <c r="J1865" s="1">
        <v>44063</v>
      </c>
      <c r="L1865" t="s">
        <v>14</v>
      </c>
      <c r="M1865">
        <v>40.9</v>
      </c>
      <c r="N1865">
        <v>40.9</v>
      </c>
      <c r="O1865" t="s">
        <v>21</v>
      </c>
      <c r="P1865">
        <f t="shared" si="90"/>
        <v>1</v>
      </c>
      <c r="Q1865" s="11">
        <f>IF(P1865=0,0,IFERROR(Q1864+G1865*M1865*IF(E1865="FUTURE",VLOOKUP(MID(I1865,2,2),[1]Futures!$A$2:$B$12,2),1),G1865*M1865*IF(E1865="FUTURE",VLOOKUP(MID(I1865,2,2),[1]Futures!$A$2:$B$12,2),1)))</f>
        <v>40980</v>
      </c>
      <c r="R1865" s="12">
        <f>IFERROR(Q1865/P1865/IF(E1865="FUTURE",VLOOKUP(MID(I1865,2,2),[1]Futures!$A$2:$B$12,2),1),"")</f>
        <v>40.98</v>
      </c>
      <c r="S1865" s="13" t="str">
        <f>IF(AND(H1865="TO CLOSE",P1865=0),-G1865*(M1865-R1864)*IF(E1865="FUTURE",VLOOKUP(MID(I1865,2,2),[1]Futures!$A$2:$B$12,2),1),"")</f>
        <v/>
      </c>
    </row>
    <row r="1866" spans="1:19" x14ac:dyDescent="0.2">
      <c r="A1866">
        <f t="shared" si="89"/>
        <v>589</v>
      </c>
      <c r="B1866" s="3">
        <v>44019</v>
      </c>
      <c r="C1866" s="3" t="str">
        <f t="shared" si="88"/>
        <v>Tuesday</v>
      </c>
      <c r="D1866" s="2">
        <v>0.52552083333333333</v>
      </c>
      <c r="E1866" t="s">
        <v>14</v>
      </c>
      <c r="F1866" t="s">
        <v>19</v>
      </c>
      <c r="G1866">
        <v>1</v>
      </c>
      <c r="H1866" t="s">
        <v>20</v>
      </c>
      <c r="I1866" t="s">
        <v>77</v>
      </c>
      <c r="J1866" s="1">
        <v>44063</v>
      </c>
      <c r="L1866" t="s">
        <v>14</v>
      </c>
      <c r="M1866">
        <v>40.770000000000003</v>
      </c>
      <c r="N1866">
        <v>40.770000000000003</v>
      </c>
      <c r="O1866" t="s">
        <v>21</v>
      </c>
      <c r="P1866">
        <f t="shared" si="90"/>
        <v>2</v>
      </c>
      <c r="Q1866" s="11">
        <f>IF(P1866=0,0,IFERROR(Q1865+G1866*M1866*IF(E1866="FUTURE",VLOOKUP(MID(I1866,2,2),[1]Futures!$A$2:$B$12,2),1),G1866*M1866*IF(E1866="FUTURE",VLOOKUP(MID(I1866,2,2),[1]Futures!$A$2:$B$12,2),1)))</f>
        <v>81750</v>
      </c>
      <c r="R1866" s="12">
        <f>IFERROR(Q1866/P1866/IF(E1866="FUTURE",VLOOKUP(MID(I1866,2,2),[1]Futures!$A$2:$B$12,2),1),"")</f>
        <v>40.875</v>
      </c>
      <c r="S1866" s="13" t="str">
        <f>IF(AND(H1866="TO CLOSE",P1866=0),-G1866*(M1866-R1865)*IF(E1866="FUTURE",VLOOKUP(MID(I1866,2,2),[1]Futures!$A$2:$B$12,2),1),"")</f>
        <v/>
      </c>
    </row>
    <row r="1867" spans="1:19" x14ac:dyDescent="0.2">
      <c r="A1867">
        <f t="shared" si="89"/>
        <v>589</v>
      </c>
      <c r="B1867" s="3">
        <v>44019</v>
      </c>
      <c r="C1867" s="3" t="str">
        <f t="shared" si="88"/>
        <v>Tuesday</v>
      </c>
      <c r="D1867" s="2">
        <v>0.5564351851851852</v>
      </c>
      <c r="E1867" t="s">
        <v>14</v>
      </c>
      <c r="F1867" t="s">
        <v>15</v>
      </c>
      <c r="G1867">
        <v>-1</v>
      </c>
      <c r="H1867" t="s">
        <v>16</v>
      </c>
      <c r="I1867" t="s">
        <v>77</v>
      </c>
      <c r="J1867" s="1">
        <v>44063</v>
      </c>
      <c r="L1867" t="s">
        <v>14</v>
      </c>
      <c r="M1867">
        <v>40.83</v>
      </c>
      <c r="N1867">
        <v>40.83</v>
      </c>
      <c r="O1867" t="s">
        <v>21</v>
      </c>
      <c r="P1867">
        <f t="shared" si="90"/>
        <v>1</v>
      </c>
      <c r="Q1867" s="11">
        <f>IF(P1867=0,0,IFERROR(Q1866+G1867*M1867*IF(E1867="FUTURE",VLOOKUP(MID(I1867,2,2),[1]Futures!$A$2:$B$12,2),1),G1867*M1867*IF(E1867="FUTURE",VLOOKUP(MID(I1867,2,2),[1]Futures!$A$2:$B$12,2),1)))</f>
        <v>40920</v>
      </c>
      <c r="R1867" s="12">
        <f>IFERROR(Q1867/P1867/IF(E1867="FUTURE",VLOOKUP(MID(I1867,2,2),[1]Futures!$A$2:$B$12,2),1),"")</f>
        <v>40.92</v>
      </c>
      <c r="S1867" s="13" t="str">
        <f>IF(AND(H1867="TO CLOSE",P1867=0),-G1867*(M1867-R1866)*IF(E1867="FUTURE",VLOOKUP(MID(I1867,2,2),[1]Futures!$A$2:$B$12,2),1),"")</f>
        <v/>
      </c>
    </row>
    <row r="1868" spans="1:19" x14ac:dyDescent="0.2">
      <c r="A1868">
        <f t="shared" si="89"/>
        <v>589</v>
      </c>
      <c r="B1868" s="3">
        <v>44019</v>
      </c>
      <c r="C1868" s="3" t="str">
        <f t="shared" si="88"/>
        <v>Tuesday</v>
      </c>
      <c r="D1868" s="2">
        <v>0.59355324074074078</v>
      </c>
      <c r="E1868" t="s">
        <v>14</v>
      </c>
      <c r="F1868" t="s">
        <v>19</v>
      </c>
      <c r="G1868">
        <v>1</v>
      </c>
      <c r="H1868" t="s">
        <v>20</v>
      </c>
      <c r="I1868" t="s">
        <v>77</v>
      </c>
      <c r="J1868" s="1">
        <v>44063</v>
      </c>
      <c r="L1868" t="s">
        <v>14</v>
      </c>
      <c r="M1868">
        <v>40.72</v>
      </c>
      <c r="N1868">
        <v>40.72</v>
      </c>
      <c r="O1868" t="s">
        <v>21</v>
      </c>
      <c r="P1868">
        <f t="shared" si="90"/>
        <v>2</v>
      </c>
      <c r="Q1868" s="11">
        <f>IF(P1868=0,0,IFERROR(Q1867+G1868*M1868*IF(E1868="FUTURE",VLOOKUP(MID(I1868,2,2),[1]Futures!$A$2:$B$12,2),1),G1868*M1868*IF(E1868="FUTURE",VLOOKUP(MID(I1868,2,2),[1]Futures!$A$2:$B$12,2),1)))</f>
        <v>81640</v>
      </c>
      <c r="R1868" s="12">
        <f>IFERROR(Q1868/P1868/IF(E1868="FUTURE",VLOOKUP(MID(I1868,2,2),[1]Futures!$A$2:$B$12,2),1),"")</f>
        <v>40.82</v>
      </c>
      <c r="S1868" s="13" t="str">
        <f>IF(AND(H1868="TO CLOSE",P1868=0),-G1868*(M1868-R1867)*IF(E1868="FUTURE",VLOOKUP(MID(I1868,2,2),[1]Futures!$A$2:$B$12,2),1),"")</f>
        <v/>
      </c>
    </row>
    <row r="1869" spans="1:19" x14ac:dyDescent="0.2">
      <c r="A1869">
        <f t="shared" si="89"/>
        <v>589</v>
      </c>
      <c r="B1869" s="3">
        <v>44019</v>
      </c>
      <c r="C1869" s="3" t="str">
        <f t="shared" si="88"/>
        <v>Tuesday</v>
      </c>
      <c r="D1869" s="2">
        <v>0.61604166666666671</v>
      </c>
      <c r="E1869" t="s">
        <v>14</v>
      </c>
      <c r="F1869" t="s">
        <v>15</v>
      </c>
      <c r="G1869">
        <v>-2</v>
      </c>
      <c r="H1869" t="s">
        <v>16</v>
      </c>
      <c r="I1869" t="s">
        <v>77</v>
      </c>
      <c r="J1869" s="1">
        <v>44063</v>
      </c>
      <c r="L1869" t="s">
        <v>14</v>
      </c>
      <c r="M1869">
        <v>40.42</v>
      </c>
      <c r="N1869">
        <v>40.42</v>
      </c>
      <c r="O1869" t="s">
        <v>18</v>
      </c>
      <c r="P1869">
        <f t="shared" si="90"/>
        <v>0</v>
      </c>
      <c r="Q1869" s="11">
        <f>IF(P1869=0,0,IFERROR(Q1868+G1869*M1869*IF(E1869="FUTURE",VLOOKUP(MID(I1869,2,2),[1]Futures!$A$2:$B$12,2),1),G1869*M1869*IF(E1869="FUTURE",VLOOKUP(MID(I1869,2,2),[1]Futures!$A$2:$B$12,2),1)))</f>
        <v>0</v>
      </c>
      <c r="R1869" s="12" t="str">
        <f>IFERROR(Q1869/P1869/IF(E1869="FUTURE",VLOOKUP(MID(I1869,2,2),[1]Futures!$A$2:$B$12,2),1),"")</f>
        <v/>
      </c>
      <c r="S1869" s="13">
        <f>IF(AND(H1869="TO CLOSE",P1869=0),-G1869*(M1869-R1868)*IF(E1869="FUTURE",VLOOKUP(MID(I1869,2,2),[1]Futures!$A$2:$B$12,2),1),"")</f>
        <v>-799.99999999999716</v>
      </c>
    </row>
    <row r="1870" spans="1:19" x14ac:dyDescent="0.2">
      <c r="A1870">
        <f t="shared" si="89"/>
        <v>590</v>
      </c>
      <c r="B1870" s="3">
        <v>44019</v>
      </c>
      <c r="C1870" s="3" t="str">
        <f t="shared" si="88"/>
        <v>Tuesday</v>
      </c>
      <c r="D1870" s="2">
        <v>0.62381944444444437</v>
      </c>
      <c r="E1870" t="s">
        <v>14</v>
      </c>
      <c r="F1870" t="s">
        <v>19</v>
      </c>
      <c r="G1870">
        <v>2</v>
      </c>
      <c r="H1870" t="s">
        <v>20</v>
      </c>
      <c r="I1870" t="s">
        <v>77</v>
      </c>
      <c r="J1870" s="1">
        <v>44063</v>
      </c>
      <c r="L1870" t="s">
        <v>14</v>
      </c>
      <c r="M1870">
        <v>40.44</v>
      </c>
      <c r="N1870">
        <v>40.44</v>
      </c>
      <c r="O1870" t="s">
        <v>21</v>
      </c>
      <c r="P1870">
        <f t="shared" si="90"/>
        <v>2</v>
      </c>
      <c r="Q1870" s="11">
        <f>IF(P1870=0,0,IFERROR(Q1869+G1870*M1870*IF(E1870="FUTURE",VLOOKUP(MID(I1870,2,2),[1]Futures!$A$2:$B$12,2),1),G1870*M1870*IF(E1870="FUTURE",VLOOKUP(MID(I1870,2,2),[1]Futures!$A$2:$B$12,2),1)))</f>
        <v>80880</v>
      </c>
      <c r="R1870" s="12">
        <f>IFERROR(Q1870/P1870/IF(E1870="FUTURE",VLOOKUP(MID(I1870,2,2),[1]Futures!$A$2:$B$12,2),1),"")</f>
        <v>40.44</v>
      </c>
      <c r="S1870" s="13" t="str">
        <f>IF(AND(H1870="TO CLOSE",P1870=0),-G1870*(M1870-R1869)*IF(E1870="FUTURE",VLOOKUP(MID(I1870,2,2),[1]Futures!$A$2:$B$12,2),1),"")</f>
        <v/>
      </c>
    </row>
    <row r="1871" spans="1:19" x14ac:dyDescent="0.2">
      <c r="A1871">
        <f t="shared" si="89"/>
        <v>590</v>
      </c>
      <c r="B1871" s="3">
        <v>44019</v>
      </c>
      <c r="C1871" s="3" t="str">
        <f t="shared" si="88"/>
        <v>Tuesday</v>
      </c>
      <c r="D1871" s="2">
        <v>0.62452546296296296</v>
      </c>
      <c r="E1871" t="s">
        <v>14</v>
      </c>
      <c r="F1871" t="s">
        <v>15</v>
      </c>
      <c r="G1871">
        <v>-1</v>
      </c>
      <c r="H1871" t="s">
        <v>16</v>
      </c>
      <c r="I1871" t="s">
        <v>77</v>
      </c>
      <c r="J1871" s="1">
        <v>44063</v>
      </c>
      <c r="L1871" t="s">
        <v>14</v>
      </c>
      <c r="M1871">
        <v>40.46</v>
      </c>
      <c r="N1871">
        <v>40.46</v>
      </c>
      <c r="O1871" t="s">
        <v>21</v>
      </c>
      <c r="P1871">
        <f t="shared" si="90"/>
        <v>1</v>
      </c>
      <c r="Q1871" s="11">
        <f>IF(P1871=0,0,IFERROR(Q1870+G1871*M1871*IF(E1871="FUTURE",VLOOKUP(MID(I1871,2,2),[1]Futures!$A$2:$B$12,2),1),G1871*M1871*IF(E1871="FUTURE",VLOOKUP(MID(I1871,2,2),[1]Futures!$A$2:$B$12,2),1)))</f>
        <v>40420</v>
      </c>
      <c r="R1871" s="12">
        <f>IFERROR(Q1871/P1871/IF(E1871="FUTURE",VLOOKUP(MID(I1871,2,2),[1]Futures!$A$2:$B$12,2),1),"")</f>
        <v>40.42</v>
      </c>
      <c r="S1871" s="13" t="str">
        <f>IF(AND(H1871="TO CLOSE",P1871=0),-G1871*(M1871-R1870)*IF(E1871="FUTURE",VLOOKUP(MID(I1871,2,2),[1]Futures!$A$2:$B$12,2),1),"")</f>
        <v/>
      </c>
    </row>
    <row r="1872" spans="1:19" x14ac:dyDescent="0.2">
      <c r="A1872">
        <f t="shared" si="89"/>
        <v>590</v>
      </c>
      <c r="B1872" s="3">
        <v>44019</v>
      </c>
      <c r="C1872" s="3" t="str">
        <f t="shared" si="88"/>
        <v>Tuesday</v>
      </c>
      <c r="D1872" s="2">
        <v>0.62452546296296296</v>
      </c>
      <c r="E1872" t="s">
        <v>14</v>
      </c>
      <c r="F1872" t="s">
        <v>15</v>
      </c>
      <c r="G1872">
        <v>-1</v>
      </c>
      <c r="H1872" t="s">
        <v>16</v>
      </c>
      <c r="I1872" t="s">
        <v>77</v>
      </c>
      <c r="J1872" s="1">
        <v>44063</v>
      </c>
      <c r="L1872" t="s">
        <v>14</v>
      </c>
      <c r="M1872">
        <v>40.46</v>
      </c>
      <c r="N1872">
        <v>40.46</v>
      </c>
      <c r="O1872" t="s">
        <v>21</v>
      </c>
      <c r="P1872">
        <f t="shared" si="90"/>
        <v>0</v>
      </c>
      <c r="Q1872" s="11">
        <f>IF(P1872=0,0,IFERROR(Q1871+G1872*M1872*IF(E1872="FUTURE",VLOOKUP(MID(I1872,2,2),[1]Futures!$A$2:$B$12,2),1),G1872*M1872*IF(E1872="FUTURE",VLOOKUP(MID(I1872,2,2),[1]Futures!$A$2:$B$12,2),1)))</f>
        <v>0</v>
      </c>
      <c r="R1872" s="12" t="str">
        <f>IFERROR(Q1872/P1872/IF(E1872="FUTURE",VLOOKUP(MID(I1872,2,2),[1]Futures!$A$2:$B$12,2),1),"")</f>
        <v/>
      </c>
      <c r="S1872" s="13">
        <f>IF(AND(H1872="TO CLOSE",P1872=0),-G1872*(M1872-R1871)*IF(E1872="FUTURE",VLOOKUP(MID(I1872,2,2),[1]Futures!$A$2:$B$12,2),1),"")</f>
        <v>39.999999999999147</v>
      </c>
    </row>
    <row r="1873" spans="1:19" x14ac:dyDescent="0.2">
      <c r="A1873">
        <f t="shared" si="89"/>
        <v>591</v>
      </c>
      <c r="B1873" s="3">
        <v>44019</v>
      </c>
      <c r="C1873" s="3" t="str">
        <f t="shared" si="88"/>
        <v>Tuesday</v>
      </c>
      <c r="D1873" s="2">
        <v>0.39733796296296298</v>
      </c>
      <c r="E1873" t="s">
        <v>14</v>
      </c>
      <c r="F1873" t="s">
        <v>19</v>
      </c>
      <c r="G1873">
        <v>1</v>
      </c>
      <c r="H1873" t="s">
        <v>20</v>
      </c>
      <c r="I1873" t="s">
        <v>79</v>
      </c>
      <c r="J1873" s="1">
        <v>44094</v>
      </c>
      <c r="L1873" t="s">
        <v>14</v>
      </c>
      <c r="M1873">
        <v>3153.5</v>
      </c>
      <c r="N1873">
        <v>3153.5</v>
      </c>
      <c r="O1873" t="s">
        <v>24</v>
      </c>
      <c r="P1873">
        <f t="shared" si="90"/>
        <v>1</v>
      </c>
      <c r="Q1873" s="11">
        <f>IF(P1873=0,0,IFERROR(Q1872+G1873*M1873*IF(E1873="FUTURE",VLOOKUP(MID(I1873,2,2),[1]Futures!$A$2:$B$12,2),1),G1873*M1873*IF(E1873="FUTURE",VLOOKUP(MID(I1873,2,2),[1]Futures!$A$2:$B$12,2),1)))</f>
        <v>157675</v>
      </c>
      <c r="R1873" s="12">
        <f>IFERROR(Q1873/P1873/IF(E1873="FUTURE",VLOOKUP(MID(I1873,2,2),[1]Futures!$A$2:$B$12,2),1),"")</f>
        <v>3153.5</v>
      </c>
      <c r="S1873" s="13" t="str">
        <f>IF(AND(H1873="TO CLOSE",P1873=0),-G1873*(M1873-R1872)*IF(E1873="FUTURE",VLOOKUP(MID(I1873,2,2),[1]Futures!$A$2:$B$12,2),1),"")</f>
        <v/>
      </c>
    </row>
    <row r="1874" spans="1:19" x14ac:dyDescent="0.2">
      <c r="A1874">
        <f t="shared" si="89"/>
        <v>591</v>
      </c>
      <c r="B1874" s="3">
        <v>44019</v>
      </c>
      <c r="C1874" s="3" t="str">
        <f t="shared" si="88"/>
        <v>Tuesday</v>
      </c>
      <c r="D1874" s="2">
        <v>0.40065972222222218</v>
      </c>
      <c r="E1874" t="s">
        <v>14</v>
      </c>
      <c r="F1874" t="s">
        <v>15</v>
      </c>
      <c r="G1874">
        <v>-1</v>
      </c>
      <c r="H1874" t="s">
        <v>16</v>
      </c>
      <c r="I1874" t="s">
        <v>79</v>
      </c>
      <c r="J1874" s="1">
        <v>44094</v>
      </c>
      <c r="L1874" t="s">
        <v>14</v>
      </c>
      <c r="M1874">
        <v>3154</v>
      </c>
      <c r="N1874">
        <v>3154</v>
      </c>
      <c r="O1874" t="s">
        <v>18</v>
      </c>
      <c r="P1874">
        <f t="shared" si="90"/>
        <v>0</v>
      </c>
      <c r="Q1874" s="11">
        <f>IF(P1874=0,0,IFERROR(Q1873+G1874*M1874*IF(E1874="FUTURE",VLOOKUP(MID(I1874,2,2),[1]Futures!$A$2:$B$12,2),1),G1874*M1874*IF(E1874="FUTURE",VLOOKUP(MID(I1874,2,2),[1]Futures!$A$2:$B$12,2),1)))</f>
        <v>0</v>
      </c>
      <c r="R1874" s="12" t="str">
        <f>IFERROR(Q1874/P1874/IF(E1874="FUTURE",VLOOKUP(MID(I1874,2,2),[1]Futures!$A$2:$B$12,2),1),"")</f>
        <v/>
      </c>
      <c r="S1874" s="13">
        <f>IF(AND(H1874="TO CLOSE",P1874=0),-G1874*(M1874-R1873)*IF(E1874="FUTURE",VLOOKUP(MID(I1874,2,2),[1]Futures!$A$2:$B$12,2),1),"")</f>
        <v>25</v>
      </c>
    </row>
    <row r="1875" spans="1:19" x14ac:dyDescent="0.2">
      <c r="A1875">
        <f t="shared" si="89"/>
        <v>592</v>
      </c>
      <c r="B1875" s="3">
        <v>44019</v>
      </c>
      <c r="C1875" s="3" t="str">
        <f t="shared" si="88"/>
        <v>Tuesday</v>
      </c>
      <c r="D1875" s="2">
        <v>0.40281250000000002</v>
      </c>
      <c r="E1875" t="s">
        <v>14</v>
      </c>
      <c r="F1875" t="s">
        <v>15</v>
      </c>
      <c r="G1875">
        <v>-1</v>
      </c>
      <c r="H1875" t="s">
        <v>20</v>
      </c>
      <c r="I1875" t="s">
        <v>79</v>
      </c>
      <c r="J1875" s="1">
        <v>44094</v>
      </c>
      <c r="L1875" t="s">
        <v>14</v>
      </c>
      <c r="M1875">
        <v>3150.5</v>
      </c>
      <c r="N1875">
        <v>3150.5</v>
      </c>
      <c r="O1875" t="s">
        <v>21</v>
      </c>
      <c r="P1875">
        <f t="shared" si="90"/>
        <v>-1</v>
      </c>
      <c r="Q1875" s="11">
        <f>IF(P1875=0,0,IFERROR(Q1874+G1875*M1875*IF(E1875="FUTURE",VLOOKUP(MID(I1875,2,2),[1]Futures!$A$2:$B$12,2),1),G1875*M1875*IF(E1875="FUTURE",VLOOKUP(MID(I1875,2,2),[1]Futures!$A$2:$B$12,2),1)))</f>
        <v>-157525</v>
      </c>
      <c r="R1875" s="12">
        <f>IFERROR(Q1875/P1875/IF(E1875="FUTURE",VLOOKUP(MID(I1875,2,2),[1]Futures!$A$2:$B$12,2),1),"")</f>
        <v>3150.5</v>
      </c>
      <c r="S1875" s="13" t="str">
        <f>IF(AND(H1875="TO CLOSE",P1875=0),-G1875*(M1875-R1874)*IF(E1875="FUTURE",VLOOKUP(MID(I1875,2,2),[1]Futures!$A$2:$B$12,2),1),"")</f>
        <v/>
      </c>
    </row>
    <row r="1876" spans="1:19" x14ac:dyDescent="0.2">
      <c r="A1876">
        <f t="shared" si="89"/>
        <v>592</v>
      </c>
      <c r="B1876" s="3">
        <v>44019</v>
      </c>
      <c r="C1876" s="3" t="str">
        <f t="shared" si="88"/>
        <v>Tuesday</v>
      </c>
      <c r="D1876" s="2">
        <v>0.40329861111111115</v>
      </c>
      <c r="E1876" t="s">
        <v>14</v>
      </c>
      <c r="F1876" t="s">
        <v>19</v>
      </c>
      <c r="G1876">
        <v>1</v>
      </c>
      <c r="H1876" t="s">
        <v>16</v>
      </c>
      <c r="I1876" t="s">
        <v>79</v>
      </c>
      <c r="J1876" s="1">
        <v>44094</v>
      </c>
      <c r="L1876" t="s">
        <v>14</v>
      </c>
      <c r="M1876">
        <v>3154.5</v>
      </c>
      <c r="N1876">
        <v>3154.5</v>
      </c>
      <c r="O1876" t="s">
        <v>18</v>
      </c>
      <c r="P1876">
        <f t="shared" si="90"/>
        <v>0</v>
      </c>
      <c r="Q1876" s="11">
        <f>IF(P1876=0,0,IFERROR(Q1875+G1876*M1876*IF(E1876="FUTURE",VLOOKUP(MID(I1876,2,2),[1]Futures!$A$2:$B$12,2),1),G1876*M1876*IF(E1876="FUTURE",VLOOKUP(MID(I1876,2,2),[1]Futures!$A$2:$B$12,2),1)))</f>
        <v>0</v>
      </c>
      <c r="R1876" s="12" t="str">
        <f>IFERROR(Q1876/P1876/IF(E1876="FUTURE",VLOOKUP(MID(I1876,2,2),[1]Futures!$A$2:$B$12,2),1),"")</f>
        <v/>
      </c>
      <c r="S1876" s="13">
        <f>IF(AND(H1876="TO CLOSE",P1876=0),-G1876*(M1876-R1875)*IF(E1876="FUTURE",VLOOKUP(MID(I1876,2,2),[1]Futures!$A$2:$B$12,2),1),"")</f>
        <v>-200</v>
      </c>
    </row>
    <row r="1877" spans="1:19" x14ac:dyDescent="0.2">
      <c r="A1877">
        <f t="shared" si="89"/>
        <v>593</v>
      </c>
      <c r="B1877" s="3">
        <v>44019</v>
      </c>
      <c r="C1877" s="3" t="str">
        <f t="shared" si="88"/>
        <v>Tuesday</v>
      </c>
      <c r="D1877" s="2">
        <v>0.40487268518518515</v>
      </c>
      <c r="E1877" t="s">
        <v>14</v>
      </c>
      <c r="F1877" t="s">
        <v>19</v>
      </c>
      <c r="G1877">
        <v>1</v>
      </c>
      <c r="H1877" t="s">
        <v>20</v>
      </c>
      <c r="I1877" t="s">
        <v>79</v>
      </c>
      <c r="J1877" s="1">
        <v>44094</v>
      </c>
      <c r="L1877" t="s">
        <v>14</v>
      </c>
      <c r="M1877">
        <v>3154.75</v>
      </c>
      <c r="N1877">
        <v>3154.75</v>
      </c>
      <c r="O1877" t="s">
        <v>24</v>
      </c>
      <c r="P1877">
        <f t="shared" si="90"/>
        <v>1</v>
      </c>
      <c r="Q1877" s="11">
        <f>IF(P1877=0,0,IFERROR(Q1876+G1877*M1877*IF(E1877="FUTURE",VLOOKUP(MID(I1877,2,2),[1]Futures!$A$2:$B$12,2),1),G1877*M1877*IF(E1877="FUTURE",VLOOKUP(MID(I1877,2,2),[1]Futures!$A$2:$B$12,2),1)))</f>
        <v>157737.5</v>
      </c>
      <c r="R1877" s="12">
        <f>IFERROR(Q1877/P1877/IF(E1877="FUTURE",VLOOKUP(MID(I1877,2,2),[1]Futures!$A$2:$B$12,2),1),"")</f>
        <v>3154.75</v>
      </c>
      <c r="S1877" s="13" t="str">
        <f>IF(AND(H1877="TO CLOSE",P1877=0),-G1877*(M1877-R1876)*IF(E1877="FUTURE",VLOOKUP(MID(I1877,2,2),[1]Futures!$A$2:$B$12,2),1),"")</f>
        <v/>
      </c>
    </row>
    <row r="1878" spans="1:19" x14ac:dyDescent="0.2">
      <c r="A1878">
        <f t="shared" si="89"/>
        <v>593</v>
      </c>
      <c r="B1878" s="3">
        <v>44019</v>
      </c>
      <c r="C1878" s="3" t="str">
        <f t="shared" si="88"/>
        <v>Tuesday</v>
      </c>
      <c r="D1878" s="2">
        <v>0.40773148148148147</v>
      </c>
      <c r="E1878" t="s">
        <v>14</v>
      </c>
      <c r="F1878" t="s">
        <v>15</v>
      </c>
      <c r="G1878">
        <v>-1</v>
      </c>
      <c r="H1878" t="s">
        <v>16</v>
      </c>
      <c r="I1878" t="s">
        <v>79</v>
      </c>
      <c r="J1878" s="1">
        <v>44094</v>
      </c>
      <c r="L1878" t="s">
        <v>14</v>
      </c>
      <c r="M1878">
        <v>3159.25</v>
      </c>
      <c r="N1878">
        <v>3159.25</v>
      </c>
      <c r="O1878" t="s">
        <v>21</v>
      </c>
      <c r="P1878">
        <f t="shared" si="90"/>
        <v>0</v>
      </c>
      <c r="Q1878" s="11">
        <f>IF(P1878=0,0,IFERROR(Q1877+G1878*M1878*IF(E1878="FUTURE",VLOOKUP(MID(I1878,2,2),[1]Futures!$A$2:$B$12,2),1),G1878*M1878*IF(E1878="FUTURE",VLOOKUP(MID(I1878,2,2),[1]Futures!$A$2:$B$12,2),1)))</f>
        <v>0</v>
      </c>
      <c r="R1878" s="12" t="str">
        <f>IFERROR(Q1878/P1878/IF(E1878="FUTURE",VLOOKUP(MID(I1878,2,2),[1]Futures!$A$2:$B$12,2),1),"")</f>
        <v/>
      </c>
      <c r="S1878" s="13">
        <f>IF(AND(H1878="TO CLOSE",P1878=0),-G1878*(M1878-R1877)*IF(E1878="FUTURE",VLOOKUP(MID(I1878,2,2),[1]Futures!$A$2:$B$12,2),1),"")</f>
        <v>225</v>
      </c>
    </row>
    <row r="1879" spans="1:19" x14ac:dyDescent="0.2">
      <c r="A1879">
        <f t="shared" si="89"/>
        <v>594</v>
      </c>
      <c r="B1879" s="3">
        <v>44019</v>
      </c>
      <c r="C1879" s="3" t="str">
        <f t="shared" si="88"/>
        <v>Tuesday</v>
      </c>
      <c r="D1879" s="2">
        <v>0.41184027777777782</v>
      </c>
      <c r="E1879" t="s">
        <v>14</v>
      </c>
      <c r="F1879" t="s">
        <v>19</v>
      </c>
      <c r="G1879">
        <v>1</v>
      </c>
      <c r="H1879" t="s">
        <v>20</v>
      </c>
      <c r="I1879" t="s">
        <v>79</v>
      </c>
      <c r="J1879" s="1">
        <v>44094</v>
      </c>
      <c r="L1879" t="s">
        <v>14</v>
      </c>
      <c r="M1879">
        <v>3158</v>
      </c>
      <c r="N1879">
        <v>3158</v>
      </c>
      <c r="O1879" t="s">
        <v>24</v>
      </c>
      <c r="P1879">
        <f t="shared" si="90"/>
        <v>1</v>
      </c>
      <c r="Q1879" s="11">
        <f>IF(P1879=0,0,IFERROR(Q1878+G1879*M1879*IF(E1879="FUTURE",VLOOKUP(MID(I1879,2,2),[1]Futures!$A$2:$B$12,2),1),G1879*M1879*IF(E1879="FUTURE",VLOOKUP(MID(I1879,2,2),[1]Futures!$A$2:$B$12,2),1)))</f>
        <v>157900</v>
      </c>
      <c r="R1879" s="12">
        <f>IFERROR(Q1879/P1879/IF(E1879="FUTURE",VLOOKUP(MID(I1879,2,2),[1]Futures!$A$2:$B$12,2),1),"")</f>
        <v>3158</v>
      </c>
      <c r="S1879" s="13" t="str">
        <f>IF(AND(H1879="TO CLOSE",P1879=0),-G1879*(M1879-R1878)*IF(E1879="FUTURE",VLOOKUP(MID(I1879,2,2),[1]Futures!$A$2:$B$12,2),1),"")</f>
        <v/>
      </c>
    </row>
    <row r="1880" spans="1:19" x14ac:dyDescent="0.2">
      <c r="A1880">
        <f t="shared" si="89"/>
        <v>594</v>
      </c>
      <c r="B1880" s="3">
        <v>44019</v>
      </c>
      <c r="C1880" s="3" t="str">
        <f t="shared" si="88"/>
        <v>Tuesday</v>
      </c>
      <c r="D1880" s="2">
        <v>0.41222222222222221</v>
      </c>
      <c r="E1880" t="s">
        <v>14</v>
      </c>
      <c r="F1880" t="s">
        <v>15</v>
      </c>
      <c r="G1880">
        <v>-1</v>
      </c>
      <c r="H1880" t="s">
        <v>16</v>
      </c>
      <c r="I1880" t="s">
        <v>79</v>
      </c>
      <c r="J1880" s="1">
        <v>44094</v>
      </c>
      <c r="L1880" t="s">
        <v>14</v>
      </c>
      <c r="M1880">
        <v>3158.5</v>
      </c>
      <c r="N1880">
        <v>3158.5</v>
      </c>
      <c r="O1880" t="s">
        <v>21</v>
      </c>
      <c r="P1880">
        <f t="shared" si="90"/>
        <v>0</v>
      </c>
      <c r="Q1880" s="11">
        <f>IF(P1880=0,0,IFERROR(Q1879+G1880*M1880*IF(E1880="FUTURE",VLOOKUP(MID(I1880,2,2),[1]Futures!$A$2:$B$12,2),1),G1880*M1880*IF(E1880="FUTURE",VLOOKUP(MID(I1880,2,2),[1]Futures!$A$2:$B$12,2),1)))</f>
        <v>0</v>
      </c>
      <c r="R1880" s="12" t="str">
        <f>IFERROR(Q1880/P1880/IF(E1880="FUTURE",VLOOKUP(MID(I1880,2,2),[1]Futures!$A$2:$B$12,2),1),"")</f>
        <v/>
      </c>
      <c r="S1880" s="13">
        <f>IF(AND(H1880="TO CLOSE",P1880=0),-G1880*(M1880-R1879)*IF(E1880="FUTURE",VLOOKUP(MID(I1880,2,2),[1]Futures!$A$2:$B$12,2),1),"")</f>
        <v>25</v>
      </c>
    </row>
    <row r="1881" spans="1:19" x14ac:dyDescent="0.2">
      <c r="A1881">
        <f t="shared" si="89"/>
        <v>595</v>
      </c>
      <c r="B1881" s="3">
        <v>44019</v>
      </c>
      <c r="C1881" s="3" t="str">
        <f t="shared" si="88"/>
        <v>Tuesday</v>
      </c>
      <c r="D1881" s="2">
        <v>0.42983796296296295</v>
      </c>
      <c r="E1881" t="s">
        <v>14</v>
      </c>
      <c r="F1881" t="s">
        <v>15</v>
      </c>
      <c r="G1881">
        <v>-1</v>
      </c>
      <c r="H1881" t="s">
        <v>20</v>
      </c>
      <c r="I1881" t="s">
        <v>79</v>
      </c>
      <c r="J1881" s="1">
        <v>44094</v>
      </c>
      <c r="L1881" t="s">
        <v>14</v>
      </c>
      <c r="M1881">
        <v>3167</v>
      </c>
      <c r="N1881">
        <v>3167</v>
      </c>
      <c r="O1881" t="s">
        <v>24</v>
      </c>
      <c r="P1881">
        <f t="shared" si="90"/>
        <v>-1</v>
      </c>
      <c r="Q1881" s="11">
        <f>IF(P1881=0,0,IFERROR(Q1880+G1881*M1881*IF(E1881="FUTURE",VLOOKUP(MID(I1881,2,2),[1]Futures!$A$2:$B$12,2),1),G1881*M1881*IF(E1881="FUTURE",VLOOKUP(MID(I1881,2,2),[1]Futures!$A$2:$B$12,2),1)))</f>
        <v>-158350</v>
      </c>
      <c r="R1881" s="12">
        <f>IFERROR(Q1881/P1881/IF(E1881="FUTURE",VLOOKUP(MID(I1881,2,2),[1]Futures!$A$2:$B$12,2),1),"")</f>
        <v>3167</v>
      </c>
      <c r="S1881" s="13" t="str">
        <f>IF(AND(H1881="TO CLOSE",P1881=0),-G1881*(M1881-R1880)*IF(E1881="FUTURE",VLOOKUP(MID(I1881,2,2),[1]Futures!$A$2:$B$12,2),1),"")</f>
        <v/>
      </c>
    </row>
    <row r="1882" spans="1:19" x14ac:dyDescent="0.2">
      <c r="A1882">
        <f t="shared" si="89"/>
        <v>595</v>
      </c>
      <c r="B1882" s="3">
        <v>44019</v>
      </c>
      <c r="C1882" s="3" t="str">
        <f t="shared" si="88"/>
        <v>Tuesday</v>
      </c>
      <c r="D1882" s="2">
        <v>0.43269675925925927</v>
      </c>
      <c r="E1882" t="s">
        <v>14</v>
      </c>
      <c r="F1882" t="s">
        <v>19</v>
      </c>
      <c r="G1882">
        <v>1</v>
      </c>
      <c r="H1882" t="s">
        <v>16</v>
      </c>
      <c r="I1882" t="s">
        <v>79</v>
      </c>
      <c r="J1882" s="1">
        <v>44094</v>
      </c>
      <c r="L1882" t="s">
        <v>14</v>
      </c>
      <c r="M1882">
        <v>3166.75</v>
      </c>
      <c r="N1882">
        <v>3166.75</v>
      </c>
      <c r="O1882" t="s">
        <v>18</v>
      </c>
      <c r="P1882">
        <f t="shared" si="90"/>
        <v>0</v>
      </c>
      <c r="Q1882" s="11">
        <f>IF(P1882=0,0,IFERROR(Q1881+G1882*M1882*IF(E1882="FUTURE",VLOOKUP(MID(I1882,2,2),[1]Futures!$A$2:$B$12,2),1),G1882*M1882*IF(E1882="FUTURE",VLOOKUP(MID(I1882,2,2),[1]Futures!$A$2:$B$12,2),1)))</f>
        <v>0</v>
      </c>
      <c r="R1882" s="12" t="str">
        <f>IFERROR(Q1882/P1882/IF(E1882="FUTURE",VLOOKUP(MID(I1882,2,2),[1]Futures!$A$2:$B$12,2),1),"")</f>
        <v/>
      </c>
      <c r="S1882" s="13">
        <f>IF(AND(H1882="TO CLOSE",P1882=0),-G1882*(M1882-R1881)*IF(E1882="FUTURE",VLOOKUP(MID(I1882,2,2),[1]Futures!$A$2:$B$12,2),1),"")</f>
        <v>12.5</v>
      </c>
    </row>
    <row r="1883" spans="1:19" x14ac:dyDescent="0.2">
      <c r="A1883">
        <f t="shared" si="89"/>
        <v>596</v>
      </c>
      <c r="B1883" s="3">
        <v>44019</v>
      </c>
      <c r="C1883" s="3" t="str">
        <f t="shared" si="88"/>
        <v>Tuesday</v>
      </c>
      <c r="D1883" s="2">
        <v>0.43642361111111111</v>
      </c>
      <c r="E1883" t="s">
        <v>14</v>
      </c>
      <c r="F1883" t="s">
        <v>15</v>
      </c>
      <c r="G1883">
        <v>-1</v>
      </c>
      <c r="H1883" t="s">
        <v>20</v>
      </c>
      <c r="I1883" t="s">
        <v>79</v>
      </c>
      <c r="J1883" s="1">
        <v>44094</v>
      </c>
      <c r="L1883" t="s">
        <v>14</v>
      </c>
      <c r="M1883">
        <v>3166</v>
      </c>
      <c r="N1883">
        <v>3166</v>
      </c>
      <c r="O1883" t="s">
        <v>21</v>
      </c>
      <c r="P1883">
        <f t="shared" si="90"/>
        <v>-1</v>
      </c>
      <c r="Q1883" s="11">
        <f>IF(P1883=0,0,IFERROR(Q1882+G1883*M1883*IF(E1883="FUTURE",VLOOKUP(MID(I1883,2,2),[1]Futures!$A$2:$B$12,2),1),G1883*M1883*IF(E1883="FUTURE",VLOOKUP(MID(I1883,2,2),[1]Futures!$A$2:$B$12,2),1)))</f>
        <v>-158300</v>
      </c>
      <c r="R1883" s="12">
        <f>IFERROR(Q1883/P1883/IF(E1883="FUTURE",VLOOKUP(MID(I1883,2,2),[1]Futures!$A$2:$B$12,2),1),"")</f>
        <v>3166</v>
      </c>
      <c r="S1883" s="13" t="str">
        <f>IF(AND(H1883="TO CLOSE",P1883=0),-G1883*(M1883-R1882)*IF(E1883="FUTURE",VLOOKUP(MID(I1883,2,2),[1]Futures!$A$2:$B$12,2),1),"")</f>
        <v/>
      </c>
    </row>
    <row r="1884" spans="1:19" x14ac:dyDescent="0.2">
      <c r="A1884">
        <f t="shared" si="89"/>
        <v>596</v>
      </c>
      <c r="B1884" s="3">
        <v>44019</v>
      </c>
      <c r="C1884" s="3" t="str">
        <f t="shared" si="88"/>
        <v>Tuesday</v>
      </c>
      <c r="D1884" s="2">
        <v>0.44039351851851855</v>
      </c>
      <c r="E1884" t="s">
        <v>14</v>
      </c>
      <c r="F1884" t="s">
        <v>19</v>
      </c>
      <c r="G1884">
        <v>1</v>
      </c>
      <c r="H1884" t="s">
        <v>16</v>
      </c>
      <c r="I1884" t="s">
        <v>79</v>
      </c>
      <c r="J1884" s="1">
        <v>44094</v>
      </c>
      <c r="L1884" t="s">
        <v>14</v>
      </c>
      <c r="M1884">
        <v>3163.5</v>
      </c>
      <c r="N1884">
        <v>3163.5</v>
      </c>
      <c r="O1884" t="s">
        <v>21</v>
      </c>
      <c r="P1884">
        <f t="shared" si="90"/>
        <v>0</v>
      </c>
      <c r="Q1884" s="11">
        <f>IF(P1884=0,0,IFERROR(Q1883+G1884*M1884*IF(E1884="FUTURE",VLOOKUP(MID(I1884,2,2),[1]Futures!$A$2:$B$12,2),1),G1884*M1884*IF(E1884="FUTURE",VLOOKUP(MID(I1884,2,2),[1]Futures!$A$2:$B$12,2),1)))</f>
        <v>0</v>
      </c>
      <c r="R1884" s="12" t="str">
        <f>IFERROR(Q1884/P1884/IF(E1884="FUTURE",VLOOKUP(MID(I1884,2,2),[1]Futures!$A$2:$B$12,2),1),"")</f>
        <v/>
      </c>
      <c r="S1884" s="13">
        <f>IF(AND(H1884="TO CLOSE",P1884=0),-G1884*(M1884-R1883)*IF(E1884="FUTURE",VLOOKUP(MID(I1884,2,2),[1]Futures!$A$2:$B$12,2),1),"")</f>
        <v>125</v>
      </c>
    </row>
    <row r="1885" spans="1:19" x14ac:dyDescent="0.2">
      <c r="A1885">
        <f t="shared" si="89"/>
        <v>597</v>
      </c>
      <c r="B1885" s="3">
        <v>44019</v>
      </c>
      <c r="C1885" s="3" t="str">
        <f t="shared" si="88"/>
        <v>Tuesday</v>
      </c>
      <c r="D1885" s="2">
        <v>0.45966435185185189</v>
      </c>
      <c r="E1885" t="s">
        <v>14</v>
      </c>
      <c r="F1885" t="s">
        <v>15</v>
      </c>
      <c r="G1885">
        <v>-1</v>
      </c>
      <c r="H1885" t="s">
        <v>20</v>
      </c>
      <c r="I1885" t="s">
        <v>79</v>
      </c>
      <c r="J1885" s="1">
        <v>44094</v>
      </c>
      <c r="L1885" t="s">
        <v>14</v>
      </c>
      <c r="M1885">
        <v>3166.75</v>
      </c>
      <c r="N1885">
        <v>3166.75</v>
      </c>
      <c r="O1885" t="s">
        <v>24</v>
      </c>
      <c r="P1885">
        <f t="shared" si="90"/>
        <v>-1</v>
      </c>
      <c r="Q1885" s="11">
        <f>IF(P1885=0,0,IFERROR(Q1884+G1885*M1885*IF(E1885="FUTURE",VLOOKUP(MID(I1885,2,2),[1]Futures!$A$2:$B$12,2),1),G1885*M1885*IF(E1885="FUTURE",VLOOKUP(MID(I1885,2,2),[1]Futures!$A$2:$B$12,2),1)))</f>
        <v>-158337.5</v>
      </c>
      <c r="R1885" s="12">
        <f>IFERROR(Q1885/P1885/IF(E1885="FUTURE",VLOOKUP(MID(I1885,2,2),[1]Futures!$A$2:$B$12,2),1),"")</f>
        <v>3166.75</v>
      </c>
      <c r="S1885" s="13" t="str">
        <f>IF(AND(H1885="TO CLOSE",P1885=0),-G1885*(M1885-R1884)*IF(E1885="FUTURE",VLOOKUP(MID(I1885,2,2),[1]Futures!$A$2:$B$12,2),1),"")</f>
        <v/>
      </c>
    </row>
    <row r="1886" spans="1:19" x14ac:dyDescent="0.2">
      <c r="A1886">
        <f t="shared" si="89"/>
        <v>597</v>
      </c>
      <c r="B1886" s="3">
        <v>44019</v>
      </c>
      <c r="C1886" s="3" t="str">
        <f t="shared" si="88"/>
        <v>Tuesday</v>
      </c>
      <c r="D1886" s="2">
        <v>0.4730671296296296</v>
      </c>
      <c r="E1886" t="s">
        <v>14</v>
      </c>
      <c r="F1886" t="s">
        <v>15</v>
      </c>
      <c r="G1886">
        <v>-1</v>
      </c>
      <c r="H1886" t="s">
        <v>20</v>
      </c>
      <c r="I1886" t="s">
        <v>79</v>
      </c>
      <c r="J1886" s="1">
        <v>44094</v>
      </c>
      <c r="L1886" t="s">
        <v>14</v>
      </c>
      <c r="M1886">
        <v>3173.25</v>
      </c>
      <c r="N1886">
        <v>3173.25</v>
      </c>
      <c r="O1886" t="s">
        <v>21</v>
      </c>
      <c r="P1886">
        <f t="shared" si="90"/>
        <v>-2</v>
      </c>
      <c r="Q1886" s="11">
        <f>IF(P1886=0,0,IFERROR(Q1885+G1886*M1886*IF(E1886="FUTURE",VLOOKUP(MID(I1886,2,2),[1]Futures!$A$2:$B$12,2),1),G1886*M1886*IF(E1886="FUTURE",VLOOKUP(MID(I1886,2,2),[1]Futures!$A$2:$B$12,2),1)))</f>
        <v>-317000</v>
      </c>
      <c r="R1886" s="12">
        <f>IFERROR(Q1886/P1886/IF(E1886="FUTURE",VLOOKUP(MID(I1886,2,2),[1]Futures!$A$2:$B$12,2),1),"")</f>
        <v>3170</v>
      </c>
      <c r="S1886" s="13" t="str">
        <f>IF(AND(H1886="TO CLOSE",P1886=0),-G1886*(M1886-R1885)*IF(E1886="FUTURE",VLOOKUP(MID(I1886,2,2),[1]Futures!$A$2:$B$12,2),1),"")</f>
        <v/>
      </c>
    </row>
    <row r="1887" spans="1:19" x14ac:dyDescent="0.2">
      <c r="A1887">
        <f t="shared" si="89"/>
        <v>597</v>
      </c>
      <c r="B1887" s="3">
        <v>44019</v>
      </c>
      <c r="C1887" s="3" t="str">
        <f t="shared" si="88"/>
        <v>Tuesday</v>
      </c>
      <c r="D1887" s="2">
        <v>0.47991898148148149</v>
      </c>
      <c r="E1887" t="s">
        <v>14</v>
      </c>
      <c r="F1887" t="s">
        <v>19</v>
      </c>
      <c r="G1887">
        <v>1</v>
      </c>
      <c r="H1887" t="s">
        <v>16</v>
      </c>
      <c r="I1887" t="s">
        <v>79</v>
      </c>
      <c r="J1887" s="1">
        <v>44094</v>
      </c>
      <c r="L1887" t="s">
        <v>14</v>
      </c>
      <c r="M1887">
        <v>3171</v>
      </c>
      <c r="N1887">
        <v>3171</v>
      </c>
      <c r="O1887" t="s">
        <v>21</v>
      </c>
      <c r="P1887">
        <f t="shared" si="90"/>
        <v>-1</v>
      </c>
      <c r="Q1887" s="11">
        <f>IF(P1887=0,0,IFERROR(Q1886+G1887*M1887*IF(E1887="FUTURE",VLOOKUP(MID(I1887,2,2),[1]Futures!$A$2:$B$12,2),1),G1887*M1887*IF(E1887="FUTURE",VLOOKUP(MID(I1887,2,2),[1]Futures!$A$2:$B$12,2),1)))</f>
        <v>-158450</v>
      </c>
      <c r="R1887" s="12">
        <f>IFERROR(Q1887/P1887/IF(E1887="FUTURE",VLOOKUP(MID(I1887,2,2),[1]Futures!$A$2:$B$12,2),1),"")</f>
        <v>3169</v>
      </c>
      <c r="S1887" s="13" t="str">
        <f>IF(AND(H1887="TO CLOSE",P1887=0),-G1887*(M1887-R1886)*IF(E1887="FUTURE",VLOOKUP(MID(I1887,2,2),[1]Futures!$A$2:$B$12,2),1),"")</f>
        <v/>
      </c>
    </row>
    <row r="1888" spans="1:19" x14ac:dyDescent="0.2">
      <c r="A1888">
        <f t="shared" si="89"/>
        <v>597</v>
      </c>
      <c r="B1888" s="3">
        <v>44019</v>
      </c>
      <c r="C1888" s="3" t="str">
        <f t="shared" si="88"/>
        <v>Tuesday</v>
      </c>
      <c r="D1888" s="2">
        <v>0.48309027777777774</v>
      </c>
      <c r="E1888" t="s">
        <v>14</v>
      </c>
      <c r="F1888" t="s">
        <v>19</v>
      </c>
      <c r="G1888">
        <v>1</v>
      </c>
      <c r="H1888" t="s">
        <v>16</v>
      </c>
      <c r="I1888" t="s">
        <v>79</v>
      </c>
      <c r="J1888" s="1">
        <v>44094</v>
      </c>
      <c r="L1888" t="s">
        <v>14</v>
      </c>
      <c r="M1888">
        <v>3168</v>
      </c>
      <c r="N1888">
        <v>3168</v>
      </c>
      <c r="O1888" t="s">
        <v>18</v>
      </c>
      <c r="P1888">
        <f t="shared" si="90"/>
        <v>0</v>
      </c>
      <c r="Q1888" s="11">
        <f>IF(P1888=0,0,IFERROR(Q1887+G1888*M1888*IF(E1888="FUTURE",VLOOKUP(MID(I1888,2,2),[1]Futures!$A$2:$B$12,2),1),G1888*M1888*IF(E1888="FUTURE",VLOOKUP(MID(I1888,2,2),[1]Futures!$A$2:$B$12,2),1)))</f>
        <v>0</v>
      </c>
      <c r="R1888" s="12" t="str">
        <f>IFERROR(Q1888/P1888/IF(E1888="FUTURE",VLOOKUP(MID(I1888,2,2),[1]Futures!$A$2:$B$12,2),1),"")</f>
        <v/>
      </c>
      <c r="S1888" s="13">
        <f>IF(AND(H1888="TO CLOSE",P1888=0),-G1888*(M1888-R1887)*IF(E1888="FUTURE",VLOOKUP(MID(I1888,2,2),[1]Futures!$A$2:$B$12,2),1),"")</f>
        <v>50</v>
      </c>
    </row>
    <row r="1889" spans="1:19" x14ac:dyDescent="0.2">
      <c r="A1889">
        <f t="shared" si="89"/>
        <v>598</v>
      </c>
      <c r="B1889" s="3">
        <v>44019</v>
      </c>
      <c r="C1889" s="3" t="str">
        <f t="shared" si="88"/>
        <v>Tuesday</v>
      </c>
      <c r="D1889" s="2">
        <v>0.48910879629629633</v>
      </c>
      <c r="E1889" t="s">
        <v>14</v>
      </c>
      <c r="F1889" t="s">
        <v>19</v>
      </c>
      <c r="G1889">
        <v>1</v>
      </c>
      <c r="H1889" t="s">
        <v>20</v>
      </c>
      <c r="I1889" t="s">
        <v>79</v>
      </c>
      <c r="J1889" s="1">
        <v>44094</v>
      </c>
      <c r="L1889" t="s">
        <v>14</v>
      </c>
      <c r="M1889">
        <v>3168</v>
      </c>
      <c r="N1889">
        <v>3168</v>
      </c>
      <c r="O1889" t="s">
        <v>24</v>
      </c>
      <c r="P1889">
        <f t="shared" si="90"/>
        <v>1</v>
      </c>
      <c r="Q1889" s="11">
        <f>IF(P1889=0,0,IFERROR(Q1888+G1889*M1889*IF(E1889="FUTURE",VLOOKUP(MID(I1889,2,2),[1]Futures!$A$2:$B$12,2),1),G1889*M1889*IF(E1889="FUTURE",VLOOKUP(MID(I1889,2,2),[1]Futures!$A$2:$B$12,2),1)))</f>
        <v>158400</v>
      </c>
      <c r="R1889" s="12">
        <f>IFERROR(Q1889/P1889/IF(E1889="FUTURE",VLOOKUP(MID(I1889,2,2),[1]Futures!$A$2:$B$12,2),1),"")</f>
        <v>3168</v>
      </c>
      <c r="S1889" s="13" t="str">
        <f>IF(AND(H1889="TO CLOSE",P1889=0),-G1889*(M1889-R1888)*IF(E1889="FUTURE",VLOOKUP(MID(I1889,2,2),[1]Futures!$A$2:$B$12,2),1),"")</f>
        <v/>
      </c>
    </row>
    <row r="1890" spans="1:19" x14ac:dyDescent="0.2">
      <c r="A1890">
        <f t="shared" si="89"/>
        <v>598</v>
      </c>
      <c r="B1890" s="3">
        <v>44019</v>
      </c>
      <c r="C1890" s="3" t="str">
        <f t="shared" si="88"/>
        <v>Tuesday</v>
      </c>
      <c r="D1890" s="2">
        <v>0.49245370370370373</v>
      </c>
      <c r="E1890" t="s">
        <v>14</v>
      </c>
      <c r="F1890" t="s">
        <v>15</v>
      </c>
      <c r="G1890">
        <v>-1</v>
      </c>
      <c r="H1890" t="s">
        <v>16</v>
      </c>
      <c r="I1890" t="s">
        <v>79</v>
      </c>
      <c r="J1890" s="1">
        <v>44094</v>
      </c>
      <c r="L1890" t="s">
        <v>14</v>
      </c>
      <c r="M1890">
        <v>3169</v>
      </c>
      <c r="N1890">
        <v>3169</v>
      </c>
      <c r="O1890" t="s">
        <v>21</v>
      </c>
      <c r="P1890">
        <f t="shared" si="90"/>
        <v>0</v>
      </c>
      <c r="Q1890" s="11">
        <f>IF(P1890=0,0,IFERROR(Q1889+G1890*M1890*IF(E1890="FUTURE",VLOOKUP(MID(I1890,2,2),[1]Futures!$A$2:$B$12,2),1),G1890*M1890*IF(E1890="FUTURE",VLOOKUP(MID(I1890,2,2),[1]Futures!$A$2:$B$12,2),1)))</f>
        <v>0</v>
      </c>
      <c r="R1890" s="12" t="str">
        <f>IFERROR(Q1890/P1890/IF(E1890="FUTURE",VLOOKUP(MID(I1890,2,2),[1]Futures!$A$2:$B$12,2),1),"")</f>
        <v/>
      </c>
      <c r="S1890" s="13">
        <f>IF(AND(H1890="TO CLOSE",P1890=0),-G1890*(M1890-R1889)*IF(E1890="FUTURE",VLOOKUP(MID(I1890,2,2),[1]Futures!$A$2:$B$12,2),1),"")</f>
        <v>50</v>
      </c>
    </row>
    <row r="1891" spans="1:19" x14ac:dyDescent="0.2">
      <c r="A1891">
        <f t="shared" si="89"/>
        <v>599</v>
      </c>
      <c r="B1891" s="3">
        <v>44019</v>
      </c>
      <c r="C1891" s="3" t="str">
        <f t="shared" si="88"/>
        <v>Tuesday</v>
      </c>
      <c r="D1891" s="2">
        <v>0.62620370370370371</v>
      </c>
      <c r="E1891" t="s">
        <v>14</v>
      </c>
      <c r="F1891" t="s">
        <v>19</v>
      </c>
      <c r="G1891">
        <v>1</v>
      </c>
      <c r="H1891" t="s">
        <v>20</v>
      </c>
      <c r="I1891" t="s">
        <v>79</v>
      </c>
      <c r="J1891" s="1">
        <v>44094</v>
      </c>
      <c r="L1891" t="s">
        <v>14</v>
      </c>
      <c r="M1891">
        <v>3151.25</v>
      </c>
      <c r="N1891">
        <v>3151.25</v>
      </c>
      <c r="O1891" t="s">
        <v>24</v>
      </c>
      <c r="P1891">
        <f t="shared" si="90"/>
        <v>1</v>
      </c>
      <c r="Q1891" s="11">
        <f>IF(P1891=0,0,IFERROR(Q1890+G1891*M1891*IF(E1891="FUTURE",VLOOKUP(MID(I1891,2,2),[1]Futures!$A$2:$B$12,2),1),G1891*M1891*IF(E1891="FUTURE",VLOOKUP(MID(I1891,2,2),[1]Futures!$A$2:$B$12,2),1)))</f>
        <v>157562.5</v>
      </c>
      <c r="R1891" s="12">
        <f>IFERROR(Q1891/P1891/IF(E1891="FUTURE",VLOOKUP(MID(I1891,2,2),[1]Futures!$A$2:$B$12,2),1),"")</f>
        <v>3151.25</v>
      </c>
      <c r="S1891" s="13" t="str">
        <f>IF(AND(H1891="TO CLOSE",P1891=0),-G1891*(M1891-R1890)*IF(E1891="FUTURE",VLOOKUP(MID(I1891,2,2),[1]Futures!$A$2:$B$12,2),1),"")</f>
        <v/>
      </c>
    </row>
    <row r="1892" spans="1:19" x14ac:dyDescent="0.2">
      <c r="A1892">
        <f t="shared" si="89"/>
        <v>599</v>
      </c>
      <c r="B1892" s="3">
        <v>44019</v>
      </c>
      <c r="C1892" s="3" t="str">
        <f t="shared" si="88"/>
        <v>Tuesday</v>
      </c>
      <c r="D1892" s="2">
        <v>0.62775462962962958</v>
      </c>
      <c r="E1892" t="s">
        <v>14</v>
      </c>
      <c r="F1892" t="s">
        <v>15</v>
      </c>
      <c r="G1892">
        <v>-1</v>
      </c>
      <c r="H1892" t="s">
        <v>16</v>
      </c>
      <c r="I1892" t="s">
        <v>79</v>
      </c>
      <c r="J1892" s="1">
        <v>44094</v>
      </c>
      <c r="L1892" t="s">
        <v>14</v>
      </c>
      <c r="M1892">
        <v>3148.25</v>
      </c>
      <c r="N1892">
        <v>3148.25</v>
      </c>
      <c r="O1892" t="s">
        <v>18</v>
      </c>
      <c r="P1892">
        <f t="shared" si="90"/>
        <v>0</v>
      </c>
      <c r="Q1892" s="11">
        <f>IF(P1892=0,0,IFERROR(Q1891+G1892*M1892*IF(E1892="FUTURE",VLOOKUP(MID(I1892,2,2),[1]Futures!$A$2:$B$12,2),1),G1892*M1892*IF(E1892="FUTURE",VLOOKUP(MID(I1892,2,2),[1]Futures!$A$2:$B$12,2),1)))</f>
        <v>0</v>
      </c>
      <c r="R1892" s="12" t="str">
        <f>IFERROR(Q1892/P1892/IF(E1892="FUTURE",VLOOKUP(MID(I1892,2,2),[1]Futures!$A$2:$B$12,2),1),"")</f>
        <v/>
      </c>
      <c r="S1892" s="13">
        <f>IF(AND(H1892="TO CLOSE",P1892=0),-G1892*(M1892-R1891)*IF(E1892="FUTURE",VLOOKUP(MID(I1892,2,2),[1]Futures!$A$2:$B$12,2),1),"")</f>
        <v>-150</v>
      </c>
    </row>
    <row r="1893" spans="1:19" x14ac:dyDescent="0.2">
      <c r="A1893">
        <f t="shared" si="89"/>
        <v>600</v>
      </c>
      <c r="B1893" s="3">
        <v>44019</v>
      </c>
      <c r="C1893" s="3" t="str">
        <f t="shared" si="88"/>
        <v>Tuesday</v>
      </c>
      <c r="D1893" s="2">
        <v>0.62789351851851849</v>
      </c>
      <c r="E1893" t="s">
        <v>14</v>
      </c>
      <c r="F1893" t="s">
        <v>19</v>
      </c>
      <c r="G1893">
        <v>1</v>
      </c>
      <c r="H1893" t="s">
        <v>20</v>
      </c>
      <c r="I1893" t="s">
        <v>79</v>
      </c>
      <c r="J1893" s="1">
        <v>44094</v>
      </c>
      <c r="L1893" t="s">
        <v>14</v>
      </c>
      <c r="M1893">
        <v>3149.5</v>
      </c>
      <c r="N1893">
        <v>3149.5</v>
      </c>
      <c r="O1893" t="s">
        <v>24</v>
      </c>
      <c r="P1893">
        <f t="shared" si="90"/>
        <v>1</v>
      </c>
      <c r="Q1893" s="11">
        <f>IF(P1893=0,0,IFERROR(Q1892+G1893*M1893*IF(E1893="FUTURE",VLOOKUP(MID(I1893,2,2),[1]Futures!$A$2:$B$12,2),1),G1893*M1893*IF(E1893="FUTURE",VLOOKUP(MID(I1893,2,2),[1]Futures!$A$2:$B$12,2),1)))</f>
        <v>157475</v>
      </c>
      <c r="R1893" s="12">
        <f>IFERROR(Q1893/P1893/IF(E1893="FUTURE",VLOOKUP(MID(I1893,2,2),[1]Futures!$A$2:$B$12,2),1),"")</f>
        <v>3149.5</v>
      </c>
      <c r="S1893" s="13" t="str">
        <f>IF(AND(H1893="TO CLOSE",P1893=0),-G1893*(M1893-R1892)*IF(E1893="FUTURE",VLOOKUP(MID(I1893,2,2),[1]Futures!$A$2:$B$12,2),1),"")</f>
        <v/>
      </c>
    </row>
    <row r="1894" spans="1:19" x14ac:dyDescent="0.2">
      <c r="A1894">
        <f t="shared" si="89"/>
        <v>600</v>
      </c>
      <c r="B1894" s="3">
        <v>44019</v>
      </c>
      <c r="C1894" s="3" t="str">
        <f t="shared" si="88"/>
        <v>Tuesday</v>
      </c>
      <c r="D1894" s="2">
        <v>0.63033564814814813</v>
      </c>
      <c r="E1894" t="s">
        <v>14</v>
      </c>
      <c r="F1894" t="s">
        <v>15</v>
      </c>
      <c r="G1894">
        <v>-1</v>
      </c>
      <c r="H1894" t="s">
        <v>16</v>
      </c>
      <c r="I1894" t="s">
        <v>79</v>
      </c>
      <c r="J1894" s="1">
        <v>44094</v>
      </c>
      <c r="L1894" t="s">
        <v>14</v>
      </c>
      <c r="M1894">
        <v>3147.5</v>
      </c>
      <c r="N1894">
        <v>3147.5</v>
      </c>
      <c r="O1894" t="s">
        <v>18</v>
      </c>
      <c r="P1894">
        <f t="shared" si="90"/>
        <v>0</v>
      </c>
      <c r="Q1894" s="11">
        <f>IF(P1894=0,0,IFERROR(Q1893+G1894*M1894*IF(E1894="FUTURE",VLOOKUP(MID(I1894,2,2),[1]Futures!$A$2:$B$12,2),1),G1894*M1894*IF(E1894="FUTURE",VLOOKUP(MID(I1894,2,2),[1]Futures!$A$2:$B$12,2),1)))</f>
        <v>0</v>
      </c>
      <c r="R1894" s="12" t="str">
        <f>IFERROR(Q1894/P1894/IF(E1894="FUTURE",VLOOKUP(MID(I1894,2,2),[1]Futures!$A$2:$B$12,2),1),"")</f>
        <v/>
      </c>
      <c r="S1894" s="13">
        <f>IF(AND(H1894="TO CLOSE",P1894=0),-G1894*(M1894-R1893)*IF(E1894="FUTURE",VLOOKUP(MID(I1894,2,2),[1]Futures!$A$2:$B$12,2),1),"")</f>
        <v>-100</v>
      </c>
    </row>
    <row r="1895" spans="1:19" x14ac:dyDescent="0.2">
      <c r="A1895">
        <f t="shared" si="89"/>
        <v>601</v>
      </c>
      <c r="B1895" s="3">
        <v>44019</v>
      </c>
      <c r="C1895" s="3" t="str">
        <f t="shared" si="88"/>
        <v>Tuesday</v>
      </c>
      <c r="D1895" s="2">
        <v>0.63223379629629628</v>
      </c>
      <c r="E1895" t="s">
        <v>14</v>
      </c>
      <c r="F1895" t="s">
        <v>19</v>
      </c>
      <c r="G1895">
        <v>1</v>
      </c>
      <c r="H1895" t="s">
        <v>20</v>
      </c>
      <c r="I1895" t="s">
        <v>79</v>
      </c>
      <c r="J1895" s="1">
        <v>44094</v>
      </c>
      <c r="L1895" t="s">
        <v>14</v>
      </c>
      <c r="M1895">
        <v>3148.75</v>
      </c>
      <c r="N1895">
        <v>3148.75</v>
      </c>
      <c r="O1895" t="s">
        <v>24</v>
      </c>
      <c r="P1895">
        <f t="shared" si="90"/>
        <v>1</v>
      </c>
      <c r="Q1895" s="11">
        <f>IF(P1895=0,0,IFERROR(Q1894+G1895*M1895*IF(E1895="FUTURE",VLOOKUP(MID(I1895,2,2),[1]Futures!$A$2:$B$12,2),1),G1895*M1895*IF(E1895="FUTURE",VLOOKUP(MID(I1895,2,2),[1]Futures!$A$2:$B$12,2),1)))</f>
        <v>157437.5</v>
      </c>
      <c r="R1895" s="12">
        <f>IFERROR(Q1895/P1895/IF(E1895="FUTURE",VLOOKUP(MID(I1895,2,2),[1]Futures!$A$2:$B$12,2),1),"")</f>
        <v>3148.75</v>
      </c>
      <c r="S1895" s="13" t="str">
        <f>IF(AND(H1895="TO CLOSE",P1895=0),-G1895*(M1895-R1894)*IF(E1895="FUTURE",VLOOKUP(MID(I1895,2,2),[1]Futures!$A$2:$B$12,2),1),"")</f>
        <v/>
      </c>
    </row>
    <row r="1896" spans="1:19" x14ac:dyDescent="0.2">
      <c r="A1896">
        <f t="shared" si="89"/>
        <v>601</v>
      </c>
      <c r="B1896" s="3">
        <v>44019</v>
      </c>
      <c r="C1896" s="3" t="str">
        <f t="shared" si="88"/>
        <v>Tuesday</v>
      </c>
      <c r="D1896" s="2">
        <v>0.63388888888888884</v>
      </c>
      <c r="E1896" t="s">
        <v>14</v>
      </c>
      <c r="F1896" t="s">
        <v>15</v>
      </c>
      <c r="G1896">
        <v>-1</v>
      </c>
      <c r="H1896" t="s">
        <v>16</v>
      </c>
      <c r="I1896" t="s">
        <v>79</v>
      </c>
      <c r="J1896" s="1">
        <v>44094</v>
      </c>
      <c r="L1896" t="s">
        <v>14</v>
      </c>
      <c r="M1896">
        <v>3146.5</v>
      </c>
      <c r="N1896">
        <v>3146.5</v>
      </c>
      <c r="O1896" t="s">
        <v>18</v>
      </c>
      <c r="P1896">
        <f t="shared" si="90"/>
        <v>0</v>
      </c>
      <c r="Q1896" s="11">
        <f>IF(P1896=0,0,IFERROR(Q1895+G1896*M1896*IF(E1896="FUTURE",VLOOKUP(MID(I1896,2,2),[1]Futures!$A$2:$B$12,2),1),G1896*M1896*IF(E1896="FUTURE",VLOOKUP(MID(I1896,2,2),[1]Futures!$A$2:$B$12,2),1)))</f>
        <v>0</v>
      </c>
      <c r="R1896" s="12" t="str">
        <f>IFERROR(Q1896/P1896/IF(E1896="FUTURE",VLOOKUP(MID(I1896,2,2),[1]Futures!$A$2:$B$12,2),1),"")</f>
        <v/>
      </c>
      <c r="S1896" s="13">
        <f>IF(AND(H1896="TO CLOSE",P1896=0),-G1896*(M1896-R1895)*IF(E1896="FUTURE",VLOOKUP(MID(I1896,2,2),[1]Futures!$A$2:$B$12,2),1),"")</f>
        <v>-112.5</v>
      </c>
    </row>
    <row r="1897" spans="1:19" x14ac:dyDescent="0.2">
      <c r="A1897">
        <f t="shared" si="89"/>
        <v>602</v>
      </c>
      <c r="B1897" s="3">
        <v>44019</v>
      </c>
      <c r="C1897" s="3" t="str">
        <f t="shared" si="88"/>
        <v>Tuesday</v>
      </c>
      <c r="D1897" s="2">
        <v>0.63616898148148149</v>
      </c>
      <c r="E1897" t="s">
        <v>14</v>
      </c>
      <c r="F1897" t="s">
        <v>19</v>
      </c>
      <c r="G1897">
        <v>1</v>
      </c>
      <c r="H1897" t="s">
        <v>20</v>
      </c>
      <c r="I1897" t="s">
        <v>79</v>
      </c>
      <c r="J1897" s="1">
        <v>44094</v>
      </c>
      <c r="L1897" t="s">
        <v>14</v>
      </c>
      <c r="M1897">
        <v>3147.5</v>
      </c>
      <c r="N1897">
        <v>3147.5</v>
      </c>
      <c r="O1897" t="s">
        <v>24</v>
      </c>
      <c r="P1897">
        <f t="shared" si="90"/>
        <v>1</v>
      </c>
      <c r="Q1897" s="11">
        <f>IF(P1897=0,0,IFERROR(Q1896+G1897*M1897*IF(E1897="FUTURE",VLOOKUP(MID(I1897,2,2),[1]Futures!$A$2:$B$12,2),1),G1897*M1897*IF(E1897="FUTURE",VLOOKUP(MID(I1897,2,2),[1]Futures!$A$2:$B$12,2),1)))</f>
        <v>157375</v>
      </c>
      <c r="R1897" s="12">
        <f>IFERROR(Q1897/P1897/IF(E1897="FUTURE",VLOOKUP(MID(I1897,2,2),[1]Futures!$A$2:$B$12,2),1),"")</f>
        <v>3147.5</v>
      </c>
      <c r="S1897" s="13" t="str">
        <f>IF(AND(H1897="TO CLOSE",P1897=0),-G1897*(M1897-R1896)*IF(E1897="FUTURE",VLOOKUP(MID(I1897,2,2),[1]Futures!$A$2:$B$12,2),1),"")</f>
        <v/>
      </c>
    </row>
    <row r="1898" spans="1:19" x14ac:dyDescent="0.2">
      <c r="A1898">
        <f t="shared" si="89"/>
        <v>602</v>
      </c>
      <c r="B1898" s="3">
        <v>44019</v>
      </c>
      <c r="C1898" s="3" t="str">
        <f t="shared" si="88"/>
        <v>Tuesday</v>
      </c>
      <c r="D1898" s="2">
        <v>0.64312500000000006</v>
      </c>
      <c r="E1898" t="s">
        <v>14</v>
      </c>
      <c r="F1898" t="s">
        <v>15</v>
      </c>
      <c r="G1898">
        <v>-1</v>
      </c>
      <c r="H1898" t="s">
        <v>16</v>
      </c>
      <c r="I1898" t="s">
        <v>79</v>
      </c>
      <c r="J1898" s="1">
        <v>44094</v>
      </c>
      <c r="L1898" t="s">
        <v>14</v>
      </c>
      <c r="M1898">
        <v>3149.5</v>
      </c>
      <c r="N1898">
        <v>3149.5</v>
      </c>
      <c r="O1898" t="s">
        <v>18</v>
      </c>
      <c r="P1898">
        <f t="shared" si="90"/>
        <v>0</v>
      </c>
      <c r="Q1898" s="11">
        <f>IF(P1898=0,0,IFERROR(Q1897+G1898*M1898*IF(E1898="FUTURE",VLOOKUP(MID(I1898,2,2),[1]Futures!$A$2:$B$12,2),1),G1898*M1898*IF(E1898="FUTURE",VLOOKUP(MID(I1898,2,2),[1]Futures!$A$2:$B$12,2),1)))</f>
        <v>0</v>
      </c>
      <c r="R1898" s="12" t="str">
        <f>IFERROR(Q1898/P1898/IF(E1898="FUTURE",VLOOKUP(MID(I1898,2,2),[1]Futures!$A$2:$B$12,2),1),"")</f>
        <v/>
      </c>
      <c r="S1898" s="13">
        <f>IF(AND(H1898="TO CLOSE",P1898=0),-G1898*(M1898-R1897)*IF(E1898="FUTURE",VLOOKUP(MID(I1898,2,2),[1]Futures!$A$2:$B$12,2),1),"")</f>
        <v>100</v>
      </c>
    </row>
    <row r="1899" spans="1:19" x14ac:dyDescent="0.2">
      <c r="A1899">
        <f t="shared" si="89"/>
        <v>603</v>
      </c>
      <c r="B1899" s="3">
        <v>44019</v>
      </c>
      <c r="C1899" s="3" t="str">
        <f t="shared" si="88"/>
        <v>Tuesday</v>
      </c>
      <c r="D1899" s="2">
        <v>0.64416666666666667</v>
      </c>
      <c r="E1899" t="s">
        <v>14</v>
      </c>
      <c r="F1899" t="s">
        <v>19</v>
      </c>
      <c r="G1899">
        <v>1</v>
      </c>
      <c r="H1899" t="s">
        <v>20</v>
      </c>
      <c r="I1899" t="s">
        <v>79</v>
      </c>
      <c r="J1899" s="1">
        <v>44094</v>
      </c>
      <c r="L1899" t="s">
        <v>14</v>
      </c>
      <c r="M1899">
        <v>3149.25</v>
      </c>
      <c r="N1899">
        <v>3149.25</v>
      </c>
      <c r="O1899" t="s">
        <v>24</v>
      </c>
      <c r="P1899">
        <f t="shared" si="90"/>
        <v>1</v>
      </c>
      <c r="Q1899" s="11">
        <f>IF(P1899=0,0,IFERROR(Q1898+G1899*M1899*IF(E1899="FUTURE",VLOOKUP(MID(I1899,2,2),[1]Futures!$A$2:$B$12,2),1),G1899*M1899*IF(E1899="FUTURE",VLOOKUP(MID(I1899,2,2),[1]Futures!$A$2:$B$12,2),1)))</f>
        <v>157462.5</v>
      </c>
      <c r="R1899" s="12">
        <f>IFERROR(Q1899/P1899/IF(E1899="FUTURE",VLOOKUP(MID(I1899,2,2),[1]Futures!$A$2:$B$12,2),1),"")</f>
        <v>3149.25</v>
      </c>
      <c r="S1899" s="13" t="str">
        <f>IF(AND(H1899="TO CLOSE",P1899=0),-G1899*(M1899-R1898)*IF(E1899="FUTURE",VLOOKUP(MID(I1899,2,2),[1]Futures!$A$2:$B$12,2),1),"")</f>
        <v/>
      </c>
    </row>
    <row r="1900" spans="1:19" x14ac:dyDescent="0.2">
      <c r="A1900">
        <f t="shared" si="89"/>
        <v>603</v>
      </c>
      <c r="B1900" s="3">
        <v>44019</v>
      </c>
      <c r="C1900" s="3" t="str">
        <f t="shared" si="88"/>
        <v>Tuesday</v>
      </c>
      <c r="D1900" s="2">
        <v>0.64585648148148145</v>
      </c>
      <c r="E1900" t="s">
        <v>14</v>
      </c>
      <c r="F1900" t="s">
        <v>19</v>
      </c>
      <c r="G1900">
        <v>1</v>
      </c>
      <c r="H1900" t="s">
        <v>20</v>
      </c>
      <c r="I1900" t="s">
        <v>79</v>
      </c>
      <c r="J1900" s="1">
        <v>44094</v>
      </c>
      <c r="L1900" t="s">
        <v>14</v>
      </c>
      <c r="M1900">
        <v>3149.25</v>
      </c>
      <c r="N1900">
        <v>3149.25</v>
      </c>
      <c r="O1900" t="s">
        <v>18</v>
      </c>
      <c r="P1900">
        <f t="shared" si="90"/>
        <v>2</v>
      </c>
      <c r="Q1900" s="11">
        <f>IF(P1900=0,0,IFERROR(Q1899+G1900*M1900*IF(E1900="FUTURE",VLOOKUP(MID(I1900,2,2),[1]Futures!$A$2:$B$12,2),1),G1900*M1900*IF(E1900="FUTURE",VLOOKUP(MID(I1900,2,2),[1]Futures!$A$2:$B$12,2),1)))</f>
        <v>314925</v>
      </c>
      <c r="R1900" s="12">
        <f>IFERROR(Q1900/P1900/IF(E1900="FUTURE",VLOOKUP(MID(I1900,2,2),[1]Futures!$A$2:$B$12,2),1),"")</f>
        <v>3149.25</v>
      </c>
      <c r="S1900" s="13" t="str">
        <f>IF(AND(H1900="TO CLOSE",P1900=0),-G1900*(M1900-R1899)*IF(E1900="FUTURE",VLOOKUP(MID(I1900,2,2),[1]Futures!$A$2:$B$12,2),1),"")</f>
        <v/>
      </c>
    </row>
    <row r="1901" spans="1:19" x14ac:dyDescent="0.2">
      <c r="A1901">
        <f t="shared" si="89"/>
        <v>603</v>
      </c>
      <c r="B1901" s="3">
        <v>44019</v>
      </c>
      <c r="C1901" s="3" t="str">
        <f t="shared" si="88"/>
        <v>Tuesday</v>
      </c>
      <c r="D1901" s="2">
        <v>0.65788194444444448</v>
      </c>
      <c r="E1901" t="s">
        <v>14</v>
      </c>
      <c r="F1901" t="s">
        <v>15</v>
      </c>
      <c r="G1901">
        <v>-2</v>
      </c>
      <c r="H1901" t="s">
        <v>16</v>
      </c>
      <c r="I1901" t="s">
        <v>79</v>
      </c>
      <c r="J1901" s="1">
        <v>44094</v>
      </c>
      <c r="L1901" t="s">
        <v>14</v>
      </c>
      <c r="M1901">
        <v>3140.5</v>
      </c>
      <c r="N1901">
        <v>3140.5</v>
      </c>
      <c r="O1901" t="s">
        <v>18</v>
      </c>
      <c r="P1901">
        <f t="shared" si="90"/>
        <v>0</v>
      </c>
      <c r="Q1901" s="11">
        <f>IF(P1901=0,0,IFERROR(Q1900+G1901*M1901*IF(E1901="FUTURE",VLOOKUP(MID(I1901,2,2),[1]Futures!$A$2:$B$12,2),1),G1901*M1901*IF(E1901="FUTURE",VLOOKUP(MID(I1901,2,2),[1]Futures!$A$2:$B$12,2),1)))</f>
        <v>0</v>
      </c>
      <c r="R1901" s="12" t="str">
        <f>IFERROR(Q1901/P1901/IF(E1901="FUTURE",VLOOKUP(MID(I1901,2,2),[1]Futures!$A$2:$B$12,2),1),"")</f>
        <v/>
      </c>
      <c r="S1901" s="13">
        <f>IF(AND(H1901="TO CLOSE",P1901=0),-G1901*(M1901-R1900)*IF(E1901="FUTURE",VLOOKUP(MID(I1901,2,2),[1]Futures!$A$2:$B$12,2),1),"")</f>
        <v>-875</v>
      </c>
    </row>
    <row r="1902" spans="1:19" x14ac:dyDescent="0.2">
      <c r="A1902">
        <f t="shared" si="89"/>
        <v>604</v>
      </c>
      <c r="B1902" s="3">
        <v>44019</v>
      </c>
      <c r="C1902" s="3" t="str">
        <f t="shared" si="88"/>
        <v>Tuesday</v>
      </c>
      <c r="D1902" s="2">
        <v>0.40950231481481486</v>
      </c>
      <c r="E1902" t="s">
        <v>22</v>
      </c>
      <c r="F1902" t="s">
        <v>15</v>
      </c>
      <c r="G1902">
        <v>-300</v>
      </c>
      <c r="H1902" t="s">
        <v>20</v>
      </c>
      <c r="I1902" t="s">
        <v>23</v>
      </c>
      <c r="L1902" t="s">
        <v>22</v>
      </c>
      <c r="M1902">
        <v>32.092700000000001</v>
      </c>
      <c r="N1902">
        <v>32.092700000000001</v>
      </c>
      <c r="O1902" t="s">
        <v>24</v>
      </c>
      <c r="P1902">
        <f t="shared" si="90"/>
        <v>-300</v>
      </c>
      <c r="Q1902" s="11">
        <f>IF(P1902=0,0,IFERROR(Q1901+G1902*M1902*IF(E1902="FUTURE",VLOOKUP(MID(I1902,2,2),[1]Futures!$A$2:$B$12,2),1),G1902*M1902*IF(E1902="FUTURE",VLOOKUP(MID(I1902,2,2),[1]Futures!$A$2:$B$12,2),1)))</f>
        <v>-9627.81</v>
      </c>
      <c r="R1902" s="12">
        <f>IFERROR(Q1902/P1902/IF(E1902="FUTURE",VLOOKUP(MID(I1902,2,2),[1]Futures!$A$2:$B$12,2),1),"")</f>
        <v>32.092700000000001</v>
      </c>
      <c r="S1902" s="13" t="str">
        <f>IF(AND(H1902="TO CLOSE",P1902=0),-G1902*(M1902-R1901)*IF(E1902="FUTURE",VLOOKUP(MID(I1902,2,2),[1]Futures!$A$2:$B$12,2),1),"")</f>
        <v/>
      </c>
    </row>
    <row r="1903" spans="1:19" x14ac:dyDescent="0.2">
      <c r="A1903">
        <f t="shared" si="89"/>
        <v>604</v>
      </c>
      <c r="B1903" s="3">
        <v>44019</v>
      </c>
      <c r="C1903" s="3" t="str">
        <f t="shared" si="88"/>
        <v>Tuesday</v>
      </c>
      <c r="D1903" s="2">
        <v>0.42037037037037034</v>
      </c>
      <c r="E1903" t="s">
        <v>22</v>
      </c>
      <c r="F1903" t="s">
        <v>19</v>
      </c>
      <c r="G1903">
        <v>100</v>
      </c>
      <c r="H1903" t="s">
        <v>16</v>
      </c>
      <c r="I1903" t="s">
        <v>23</v>
      </c>
      <c r="L1903" t="s">
        <v>22</v>
      </c>
      <c r="M1903">
        <v>31.965</v>
      </c>
      <c r="N1903">
        <v>31.965</v>
      </c>
      <c r="O1903" t="s">
        <v>24</v>
      </c>
      <c r="P1903">
        <f t="shared" si="90"/>
        <v>-200</v>
      </c>
      <c r="Q1903" s="11">
        <f>IF(P1903=0,0,IFERROR(Q1902+G1903*M1903*IF(E1903="FUTURE",VLOOKUP(MID(I1903,2,2),[1]Futures!$A$2:$B$12,2),1),G1903*M1903*IF(E1903="FUTURE",VLOOKUP(MID(I1903,2,2),[1]Futures!$A$2:$B$12,2),1)))</f>
        <v>-6431.3099999999995</v>
      </c>
      <c r="R1903" s="12">
        <f>IFERROR(Q1903/P1903/IF(E1903="FUTURE",VLOOKUP(MID(I1903,2,2),[1]Futures!$A$2:$B$12,2),1),"")</f>
        <v>32.156549999999996</v>
      </c>
      <c r="S1903" s="13" t="str">
        <f>IF(AND(H1903="TO CLOSE",P1903=0),-G1903*(M1903-R1902)*IF(E1903="FUTURE",VLOOKUP(MID(I1903,2,2),[1]Futures!$A$2:$B$12,2),1),"")</f>
        <v/>
      </c>
    </row>
    <row r="1904" spans="1:19" x14ac:dyDescent="0.2">
      <c r="A1904">
        <f t="shared" si="89"/>
        <v>604</v>
      </c>
      <c r="B1904" s="3">
        <v>44019</v>
      </c>
      <c r="C1904" s="3" t="str">
        <f t="shared" si="88"/>
        <v>Tuesday</v>
      </c>
      <c r="D1904" s="2">
        <v>0.43129629629629629</v>
      </c>
      <c r="E1904" t="s">
        <v>22</v>
      </c>
      <c r="F1904" t="s">
        <v>19</v>
      </c>
      <c r="G1904">
        <v>200</v>
      </c>
      <c r="H1904" t="s">
        <v>16</v>
      </c>
      <c r="I1904" t="s">
        <v>23</v>
      </c>
      <c r="L1904" t="s">
        <v>22</v>
      </c>
      <c r="M1904">
        <v>31.956399999999999</v>
      </c>
      <c r="N1904">
        <v>31.956399999999999</v>
      </c>
      <c r="O1904" t="s">
        <v>24</v>
      </c>
      <c r="P1904">
        <f t="shared" si="90"/>
        <v>0</v>
      </c>
      <c r="Q1904" s="11">
        <f>IF(P1904=0,0,IFERROR(Q1903+G1904*M1904*IF(E1904="FUTURE",VLOOKUP(MID(I1904,2,2),[1]Futures!$A$2:$B$12,2),1),G1904*M1904*IF(E1904="FUTURE",VLOOKUP(MID(I1904,2,2),[1]Futures!$A$2:$B$12,2),1)))</f>
        <v>0</v>
      </c>
      <c r="R1904" s="12" t="str">
        <f>IFERROR(Q1904/P1904/IF(E1904="FUTURE",VLOOKUP(MID(I1904,2,2),[1]Futures!$A$2:$B$12,2),1),"")</f>
        <v/>
      </c>
      <c r="S1904" s="13">
        <f>IF(AND(H1904="TO CLOSE",P1904=0),-G1904*(M1904-R1903)*IF(E1904="FUTURE",VLOOKUP(MID(I1904,2,2),[1]Futures!$A$2:$B$12,2),1),"")</f>
        <v>40.029999999999433</v>
      </c>
    </row>
    <row r="1905" spans="1:19" x14ac:dyDescent="0.2">
      <c r="A1905">
        <f t="shared" si="89"/>
        <v>605</v>
      </c>
      <c r="B1905" s="3">
        <v>44019</v>
      </c>
      <c r="C1905" s="3" t="str">
        <f t="shared" si="88"/>
        <v>Tuesday</v>
      </c>
      <c r="D1905" s="2">
        <v>0.52231481481481479</v>
      </c>
      <c r="E1905" t="s">
        <v>22</v>
      </c>
      <c r="F1905" t="s">
        <v>15</v>
      </c>
      <c r="G1905">
        <v>-400</v>
      </c>
      <c r="H1905" t="s">
        <v>20</v>
      </c>
      <c r="I1905" t="s">
        <v>23</v>
      </c>
      <c r="L1905" t="s">
        <v>22</v>
      </c>
      <c r="M1905">
        <v>32.085000000000001</v>
      </c>
      <c r="N1905">
        <v>32.085000000000001</v>
      </c>
      <c r="O1905" t="s">
        <v>24</v>
      </c>
      <c r="P1905">
        <f t="shared" si="90"/>
        <v>-400</v>
      </c>
      <c r="Q1905" s="11">
        <f>IF(P1905=0,0,IFERROR(Q1904+G1905*M1905*IF(E1905="FUTURE",VLOOKUP(MID(I1905,2,2),[1]Futures!$A$2:$B$12,2),1),G1905*M1905*IF(E1905="FUTURE",VLOOKUP(MID(I1905,2,2),[1]Futures!$A$2:$B$12,2),1)))</f>
        <v>-12834</v>
      </c>
      <c r="R1905" s="12">
        <f>IFERROR(Q1905/P1905/IF(E1905="FUTURE",VLOOKUP(MID(I1905,2,2),[1]Futures!$A$2:$B$12,2),1),"")</f>
        <v>32.085000000000001</v>
      </c>
      <c r="S1905" s="13" t="str">
        <f>IF(AND(H1905="TO CLOSE",P1905=0),-G1905*(M1905-R1904)*IF(E1905="FUTURE",VLOOKUP(MID(I1905,2,2),[1]Futures!$A$2:$B$12,2),1),"")</f>
        <v/>
      </c>
    </row>
    <row r="1906" spans="1:19" x14ac:dyDescent="0.2">
      <c r="A1906">
        <f t="shared" si="89"/>
        <v>605</v>
      </c>
      <c r="B1906" s="3">
        <v>44019</v>
      </c>
      <c r="C1906" s="3" t="str">
        <f t="shared" si="88"/>
        <v>Tuesday</v>
      </c>
      <c r="D1906" s="2">
        <v>0.52413194444444444</v>
      </c>
      <c r="E1906" t="s">
        <v>22</v>
      </c>
      <c r="F1906" t="s">
        <v>19</v>
      </c>
      <c r="G1906">
        <v>50</v>
      </c>
      <c r="H1906" t="s">
        <v>16</v>
      </c>
      <c r="I1906" t="s">
        <v>23</v>
      </c>
      <c r="L1906" t="s">
        <v>22</v>
      </c>
      <c r="M1906">
        <v>32.06</v>
      </c>
      <c r="N1906">
        <v>32.06</v>
      </c>
      <c r="O1906" t="s">
        <v>21</v>
      </c>
      <c r="P1906">
        <f t="shared" si="90"/>
        <v>-350</v>
      </c>
      <c r="Q1906" s="11">
        <f>IF(P1906=0,0,IFERROR(Q1905+G1906*M1906*IF(E1906="FUTURE",VLOOKUP(MID(I1906,2,2),[1]Futures!$A$2:$B$12,2),1),G1906*M1906*IF(E1906="FUTURE",VLOOKUP(MID(I1906,2,2),[1]Futures!$A$2:$B$12,2),1)))</f>
        <v>-11231</v>
      </c>
      <c r="R1906" s="12">
        <f>IFERROR(Q1906/P1906/IF(E1906="FUTURE",VLOOKUP(MID(I1906,2,2),[1]Futures!$A$2:$B$12,2),1),"")</f>
        <v>32.088571428571427</v>
      </c>
      <c r="S1906" s="13" t="str">
        <f>IF(AND(H1906="TO CLOSE",P1906=0),-G1906*(M1906-R1905)*IF(E1906="FUTURE",VLOOKUP(MID(I1906,2,2),[1]Futures!$A$2:$B$12,2),1),"")</f>
        <v/>
      </c>
    </row>
    <row r="1907" spans="1:19" x14ac:dyDescent="0.2">
      <c r="A1907">
        <f t="shared" si="89"/>
        <v>605</v>
      </c>
      <c r="B1907" s="3">
        <v>44019</v>
      </c>
      <c r="C1907" s="3" t="str">
        <f t="shared" si="88"/>
        <v>Tuesday</v>
      </c>
      <c r="D1907" s="2">
        <v>0.55850694444444449</v>
      </c>
      <c r="E1907" t="s">
        <v>22</v>
      </c>
      <c r="F1907" t="s">
        <v>15</v>
      </c>
      <c r="G1907">
        <v>-50</v>
      </c>
      <c r="H1907" t="s">
        <v>20</v>
      </c>
      <c r="I1907" t="s">
        <v>23</v>
      </c>
      <c r="L1907" t="s">
        <v>22</v>
      </c>
      <c r="M1907">
        <v>32.202399999999997</v>
      </c>
      <c r="N1907">
        <v>32.202399999999997</v>
      </c>
      <c r="O1907" t="s">
        <v>24</v>
      </c>
      <c r="P1907">
        <f t="shared" si="90"/>
        <v>-400</v>
      </c>
      <c r="Q1907" s="11">
        <f>IF(P1907=0,0,IFERROR(Q1906+G1907*M1907*IF(E1907="FUTURE",VLOOKUP(MID(I1907,2,2),[1]Futures!$A$2:$B$12,2),1),G1907*M1907*IF(E1907="FUTURE",VLOOKUP(MID(I1907,2,2),[1]Futures!$A$2:$B$12,2),1)))</f>
        <v>-12841.119999999999</v>
      </c>
      <c r="R1907" s="12">
        <f>IFERROR(Q1907/P1907/IF(E1907="FUTURE",VLOOKUP(MID(I1907,2,2),[1]Futures!$A$2:$B$12,2),1),"")</f>
        <v>32.102799999999995</v>
      </c>
      <c r="S1907" s="13" t="str">
        <f>IF(AND(H1907="TO CLOSE",P1907=0),-G1907*(M1907-R1906)*IF(E1907="FUTURE",VLOOKUP(MID(I1907,2,2),[1]Futures!$A$2:$B$12,2),1),"")</f>
        <v/>
      </c>
    </row>
    <row r="1908" spans="1:19" x14ac:dyDescent="0.2">
      <c r="A1908">
        <f t="shared" si="89"/>
        <v>605</v>
      </c>
      <c r="B1908" s="3">
        <v>44019</v>
      </c>
      <c r="C1908" s="3" t="str">
        <f t="shared" si="88"/>
        <v>Tuesday</v>
      </c>
      <c r="D1908" s="2">
        <v>0.5932291666666667</v>
      </c>
      <c r="E1908" t="s">
        <v>22</v>
      </c>
      <c r="F1908" t="s">
        <v>19</v>
      </c>
      <c r="G1908">
        <v>100</v>
      </c>
      <c r="H1908" t="s">
        <v>16</v>
      </c>
      <c r="I1908" t="s">
        <v>23</v>
      </c>
      <c r="L1908" t="s">
        <v>22</v>
      </c>
      <c r="M1908">
        <v>32.03</v>
      </c>
      <c r="N1908">
        <v>32.03</v>
      </c>
      <c r="O1908" t="s">
        <v>21</v>
      </c>
      <c r="P1908">
        <f t="shared" si="90"/>
        <v>-300</v>
      </c>
      <c r="Q1908" s="11">
        <f>IF(P1908=0,0,IFERROR(Q1907+G1908*M1908*IF(E1908="FUTURE",VLOOKUP(MID(I1908,2,2),[1]Futures!$A$2:$B$12,2),1),G1908*M1908*IF(E1908="FUTURE",VLOOKUP(MID(I1908,2,2),[1]Futures!$A$2:$B$12,2),1)))</f>
        <v>-9638.119999999999</v>
      </c>
      <c r="R1908" s="12">
        <f>IFERROR(Q1908/P1908/IF(E1908="FUTURE",VLOOKUP(MID(I1908,2,2),[1]Futures!$A$2:$B$12,2),1),"")</f>
        <v>32.127066666666664</v>
      </c>
      <c r="S1908" s="13" t="str">
        <f>IF(AND(H1908="TO CLOSE",P1908=0),-G1908*(M1908-R1907)*IF(E1908="FUTURE",VLOOKUP(MID(I1908,2,2),[1]Futures!$A$2:$B$12,2),1),"")</f>
        <v/>
      </c>
    </row>
    <row r="1909" spans="1:19" x14ac:dyDescent="0.2">
      <c r="A1909">
        <f t="shared" si="89"/>
        <v>605</v>
      </c>
      <c r="B1909" s="3">
        <v>44019</v>
      </c>
      <c r="C1909" s="3" t="str">
        <f t="shared" si="88"/>
        <v>Tuesday</v>
      </c>
      <c r="D1909" s="2">
        <v>0.61836805555555563</v>
      </c>
      <c r="E1909" t="s">
        <v>22</v>
      </c>
      <c r="F1909" t="s">
        <v>19</v>
      </c>
      <c r="G1909">
        <v>300</v>
      </c>
      <c r="H1909" t="s">
        <v>16</v>
      </c>
      <c r="I1909" t="s">
        <v>23</v>
      </c>
      <c r="L1909" t="s">
        <v>22</v>
      </c>
      <c r="M1909">
        <v>32.639299999999999</v>
      </c>
      <c r="N1909">
        <v>32.639299999999999</v>
      </c>
      <c r="O1909" t="s">
        <v>18</v>
      </c>
      <c r="P1909">
        <f t="shared" si="90"/>
        <v>0</v>
      </c>
      <c r="Q1909" s="11">
        <f>IF(P1909=0,0,IFERROR(Q1908+G1909*M1909*IF(E1909="FUTURE",VLOOKUP(MID(I1909,2,2),[1]Futures!$A$2:$B$12,2),1),G1909*M1909*IF(E1909="FUTURE",VLOOKUP(MID(I1909,2,2),[1]Futures!$A$2:$B$12,2),1)))</f>
        <v>0</v>
      </c>
      <c r="R1909" s="12" t="str">
        <f>IFERROR(Q1909/P1909/IF(E1909="FUTURE",VLOOKUP(MID(I1909,2,2),[1]Futures!$A$2:$B$12,2),1),"")</f>
        <v/>
      </c>
      <c r="S1909" s="13">
        <f>IF(AND(H1909="TO CLOSE",P1909=0),-G1909*(M1909-R1908)*IF(E1909="FUTURE",VLOOKUP(MID(I1909,2,2),[1]Futures!$A$2:$B$12,2),1),"")</f>
        <v>-153.67000000000033</v>
      </c>
    </row>
    <row r="1910" spans="1:19" x14ac:dyDescent="0.2">
      <c r="A1910">
        <f t="shared" si="89"/>
        <v>606</v>
      </c>
      <c r="B1910" s="3">
        <v>44019</v>
      </c>
      <c r="C1910" s="3" t="str">
        <f t="shared" si="88"/>
        <v>Tuesday</v>
      </c>
      <c r="D1910" s="2">
        <v>0.62531250000000005</v>
      </c>
      <c r="E1910" t="s">
        <v>22</v>
      </c>
      <c r="F1910" t="s">
        <v>15</v>
      </c>
      <c r="G1910">
        <v>-400</v>
      </c>
      <c r="H1910" t="s">
        <v>20</v>
      </c>
      <c r="I1910" t="s">
        <v>23</v>
      </c>
      <c r="L1910" t="s">
        <v>22</v>
      </c>
      <c r="M1910">
        <v>32.611899999999999</v>
      </c>
      <c r="N1910">
        <v>32.611899999999999</v>
      </c>
      <c r="O1910" t="s">
        <v>24</v>
      </c>
      <c r="P1910">
        <f t="shared" si="90"/>
        <v>-400</v>
      </c>
      <c r="Q1910" s="11">
        <f>IF(P1910=0,0,IFERROR(Q1909+G1910*M1910*IF(E1910="FUTURE",VLOOKUP(MID(I1910,2,2),[1]Futures!$A$2:$B$12,2),1),G1910*M1910*IF(E1910="FUTURE",VLOOKUP(MID(I1910,2,2),[1]Futures!$A$2:$B$12,2),1)))</f>
        <v>-13044.76</v>
      </c>
      <c r="R1910" s="12">
        <f>IFERROR(Q1910/P1910/IF(E1910="FUTURE",VLOOKUP(MID(I1910,2,2),[1]Futures!$A$2:$B$12,2),1),"")</f>
        <v>32.611899999999999</v>
      </c>
      <c r="S1910" s="13" t="str">
        <f>IF(AND(H1910="TO CLOSE",P1910=0),-G1910*(M1910-R1909)*IF(E1910="FUTURE",VLOOKUP(MID(I1910,2,2),[1]Futures!$A$2:$B$12,2),1),"")</f>
        <v/>
      </c>
    </row>
    <row r="1911" spans="1:19" x14ac:dyDescent="0.2">
      <c r="A1911">
        <f t="shared" si="89"/>
        <v>606</v>
      </c>
      <c r="B1911" s="3">
        <v>44019</v>
      </c>
      <c r="C1911" s="3" t="str">
        <f t="shared" si="88"/>
        <v>Tuesday</v>
      </c>
      <c r="D1911" s="2">
        <v>0.63037037037037036</v>
      </c>
      <c r="E1911" t="s">
        <v>22</v>
      </c>
      <c r="F1911" t="s">
        <v>19</v>
      </c>
      <c r="G1911">
        <v>400</v>
      </c>
      <c r="H1911" t="s">
        <v>16</v>
      </c>
      <c r="I1911" t="s">
        <v>23</v>
      </c>
      <c r="L1911" t="s">
        <v>22</v>
      </c>
      <c r="M1911">
        <v>32.965000000000003</v>
      </c>
      <c r="N1911">
        <v>32.965000000000003</v>
      </c>
      <c r="O1911" t="s">
        <v>21</v>
      </c>
      <c r="P1911">
        <f t="shared" si="90"/>
        <v>0</v>
      </c>
      <c r="Q1911" s="11">
        <f>IF(P1911=0,0,IFERROR(Q1910+G1911*M1911*IF(E1911="FUTURE",VLOOKUP(MID(I1911,2,2),[1]Futures!$A$2:$B$12,2),1),G1911*M1911*IF(E1911="FUTURE",VLOOKUP(MID(I1911,2,2),[1]Futures!$A$2:$B$12,2),1)))</f>
        <v>0</v>
      </c>
      <c r="R1911" s="12" t="str">
        <f>IFERROR(Q1911/P1911/IF(E1911="FUTURE",VLOOKUP(MID(I1911,2,2),[1]Futures!$A$2:$B$12,2),1),"")</f>
        <v/>
      </c>
      <c r="S1911" s="13">
        <f>IF(AND(H1911="TO CLOSE",P1911=0),-G1911*(M1911-R1910)*IF(E1911="FUTURE",VLOOKUP(MID(I1911,2,2),[1]Futures!$A$2:$B$12,2),1),"")</f>
        <v>-141.24000000000194</v>
      </c>
    </row>
    <row r="1912" spans="1:19" x14ac:dyDescent="0.2">
      <c r="A1912">
        <f t="shared" si="89"/>
        <v>607</v>
      </c>
      <c r="B1912" s="3">
        <v>44020</v>
      </c>
      <c r="C1912" s="3" t="str">
        <f t="shared" si="88"/>
        <v>Wednesday</v>
      </c>
      <c r="D1912" s="2">
        <v>0.37483796296296296</v>
      </c>
      <c r="E1912" t="s">
        <v>14</v>
      </c>
      <c r="F1912" t="s">
        <v>19</v>
      </c>
      <c r="G1912">
        <v>2</v>
      </c>
      <c r="H1912" t="s">
        <v>20</v>
      </c>
      <c r="I1912" t="s">
        <v>77</v>
      </c>
      <c r="J1912" s="1">
        <v>44063</v>
      </c>
      <c r="L1912" t="s">
        <v>14</v>
      </c>
      <c r="M1912">
        <v>40.729999999999997</v>
      </c>
      <c r="N1912">
        <v>40.729999999999997</v>
      </c>
      <c r="O1912" t="s">
        <v>21</v>
      </c>
      <c r="P1912">
        <f t="shared" si="90"/>
        <v>2</v>
      </c>
      <c r="Q1912" s="11">
        <f>IF(P1912=0,0,IFERROR(Q1911+G1912*M1912*IF(E1912="FUTURE",VLOOKUP(MID(I1912,2,2),[1]Futures!$A$2:$B$12,2),1),G1912*M1912*IF(E1912="FUTURE",VLOOKUP(MID(I1912,2,2),[1]Futures!$A$2:$B$12,2),1)))</f>
        <v>81460</v>
      </c>
      <c r="R1912" s="12">
        <f>IFERROR(Q1912/P1912/IF(E1912="FUTURE",VLOOKUP(MID(I1912,2,2),[1]Futures!$A$2:$B$12,2),1),"")</f>
        <v>40.729999999999997</v>
      </c>
      <c r="S1912" s="13" t="str">
        <f>IF(AND(H1912="TO CLOSE",P1912=0),-G1912*(M1912-R1911)*IF(E1912="FUTURE",VLOOKUP(MID(I1912,2,2),[1]Futures!$A$2:$B$12,2),1),"")</f>
        <v/>
      </c>
    </row>
    <row r="1913" spans="1:19" x14ac:dyDescent="0.2">
      <c r="A1913">
        <f t="shared" si="89"/>
        <v>607</v>
      </c>
      <c r="B1913" s="3">
        <v>44020</v>
      </c>
      <c r="C1913" s="3" t="str">
        <f t="shared" si="88"/>
        <v>Wednesday</v>
      </c>
      <c r="D1913" s="2">
        <v>0.42716435185185181</v>
      </c>
      <c r="E1913" t="s">
        <v>14</v>
      </c>
      <c r="F1913" t="s">
        <v>15</v>
      </c>
      <c r="G1913">
        <v>-2</v>
      </c>
      <c r="H1913" t="s">
        <v>16</v>
      </c>
      <c r="I1913" t="s">
        <v>77</v>
      </c>
      <c r="J1913" s="1">
        <v>44063</v>
      </c>
      <c r="L1913" t="s">
        <v>14</v>
      </c>
      <c r="M1913">
        <v>40.65</v>
      </c>
      <c r="N1913">
        <v>40.65</v>
      </c>
      <c r="O1913" t="s">
        <v>18</v>
      </c>
      <c r="P1913">
        <f t="shared" si="90"/>
        <v>0</v>
      </c>
      <c r="Q1913" s="11">
        <f>IF(P1913=0,0,IFERROR(Q1912+G1913*M1913*IF(E1913="FUTURE",VLOOKUP(MID(I1913,2,2),[1]Futures!$A$2:$B$12,2),1),G1913*M1913*IF(E1913="FUTURE",VLOOKUP(MID(I1913,2,2),[1]Futures!$A$2:$B$12,2),1)))</f>
        <v>0</v>
      </c>
      <c r="R1913" s="12" t="str">
        <f>IFERROR(Q1913/P1913/IF(E1913="FUTURE",VLOOKUP(MID(I1913,2,2),[1]Futures!$A$2:$B$12,2),1),"")</f>
        <v/>
      </c>
      <c r="S1913" s="13">
        <f>IF(AND(H1913="TO CLOSE",P1913=0),-G1913*(M1913-R1912)*IF(E1913="FUTURE",VLOOKUP(MID(I1913,2,2),[1]Futures!$A$2:$B$12,2),1),"")</f>
        <v>-159.99999999999659</v>
      </c>
    </row>
    <row r="1914" spans="1:19" x14ac:dyDescent="0.2">
      <c r="A1914">
        <f t="shared" si="89"/>
        <v>608</v>
      </c>
      <c r="B1914" s="3">
        <v>44020</v>
      </c>
      <c r="C1914" s="3" t="str">
        <f t="shared" si="88"/>
        <v>Wednesday</v>
      </c>
      <c r="D1914" s="2">
        <v>0.4276388888888889</v>
      </c>
      <c r="E1914" t="s">
        <v>14</v>
      </c>
      <c r="F1914" t="s">
        <v>15</v>
      </c>
      <c r="G1914">
        <v>-2</v>
      </c>
      <c r="H1914" t="s">
        <v>20</v>
      </c>
      <c r="I1914" t="s">
        <v>77</v>
      </c>
      <c r="J1914" s="1">
        <v>44063</v>
      </c>
      <c r="L1914" t="s">
        <v>14</v>
      </c>
      <c r="M1914">
        <v>40.659999999999997</v>
      </c>
      <c r="N1914">
        <v>40.659999999999997</v>
      </c>
      <c r="O1914" t="s">
        <v>24</v>
      </c>
      <c r="P1914">
        <f t="shared" si="90"/>
        <v>-2</v>
      </c>
      <c r="Q1914" s="11">
        <f>IF(P1914=0,0,IFERROR(Q1913+G1914*M1914*IF(E1914="FUTURE",VLOOKUP(MID(I1914,2,2),[1]Futures!$A$2:$B$12,2),1),G1914*M1914*IF(E1914="FUTURE",VLOOKUP(MID(I1914,2,2),[1]Futures!$A$2:$B$12,2),1)))</f>
        <v>-81320</v>
      </c>
      <c r="R1914" s="12">
        <f>IFERROR(Q1914/P1914/IF(E1914="FUTURE",VLOOKUP(MID(I1914,2,2),[1]Futures!$A$2:$B$12,2),1),"")</f>
        <v>40.659999999999997</v>
      </c>
      <c r="S1914" s="13" t="str">
        <f>IF(AND(H1914="TO CLOSE",P1914=0),-G1914*(M1914-R1913)*IF(E1914="FUTURE",VLOOKUP(MID(I1914,2,2),[1]Futures!$A$2:$B$12,2),1),"")</f>
        <v/>
      </c>
    </row>
    <row r="1915" spans="1:19" x14ac:dyDescent="0.2">
      <c r="A1915">
        <f t="shared" si="89"/>
        <v>608</v>
      </c>
      <c r="B1915" s="3">
        <v>44020</v>
      </c>
      <c r="C1915" s="3" t="str">
        <f t="shared" si="88"/>
        <v>Wednesday</v>
      </c>
      <c r="D1915" s="2">
        <v>0.43684027777777779</v>
      </c>
      <c r="E1915" t="s">
        <v>14</v>
      </c>
      <c r="F1915" t="s">
        <v>19</v>
      </c>
      <c r="G1915">
        <v>1</v>
      </c>
      <c r="H1915" t="s">
        <v>16</v>
      </c>
      <c r="I1915" t="s">
        <v>77</v>
      </c>
      <c r="J1915" s="1">
        <v>44063</v>
      </c>
      <c r="L1915" t="s">
        <v>14</v>
      </c>
      <c r="M1915">
        <v>40.65</v>
      </c>
      <c r="N1915">
        <v>40.65</v>
      </c>
      <c r="O1915" t="s">
        <v>21</v>
      </c>
      <c r="P1915">
        <f t="shared" si="90"/>
        <v>-1</v>
      </c>
      <c r="Q1915" s="11">
        <f>IF(P1915=0,0,IFERROR(Q1914+G1915*M1915*IF(E1915="FUTURE",VLOOKUP(MID(I1915,2,2),[1]Futures!$A$2:$B$12,2),1),G1915*M1915*IF(E1915="FUTURE",VLOOKUP(MID(I1915,2,2),[1]Futures!$A$2:$B$12,2),1)))</f>
        <v>-40670</v>
      </c>
      <c r="R1915" s="12">
        <f>IFERROR(Q1915/P1915/IF(E1915="FUTURE",VLOOKUP(MID(I1915,2,2),[1]Futures!$A$2:$B$12,2),1),"")</f>
        <v>40.67</v>
      </c>
      <c r="S1915" s="13" t="str">
        <f>IF(AND(H1915="TO CLOSE",P1915=0),-G1915*(M1915-R1914)*IF(E1915="FUTURE",VLOOKUP(MID(I1915,2,2),[1]Futures!$A$2:$B$12,2),1),"")</f>
        <v/>
      </c>
    </row>
    <row r="1916" spans="1:19" x14ac:dyDescent="0.2">
      <c r="A1916">
        <f t="shared" si="89"/>
        <v>608</v>
      </c>
      <c r="B1916" s="3">
        <v>44020</v>
      </c>
      <c r="C1916" s="3" t="str">
        <f t="shared" si="88"/>
        <v>Wednesday</v>
      </c>
      <c r="D1916" s="2">
        <v>0.43685185185185182</v>
      </c>
      <c r="E1916" t="s">
        <v>14</v>
      </c>
      <c r="F1916" t="s">
        <v>19</v>
      </c>
      <c r="G1916">
        <v>1</v>
      </c>
      <c r="H1916" t="s">
        <v>16</v>
      </c>
      <c r="I1916" t="s">
        <v>77</v>
      </c>
      <c r="J1916" s="1">
        <v>44063</v>
      </c>
      <c r="L1916" t="s">
        <v>14</v>
      </c>
      <c r="M1916">
        <v>40.65</v>
      </c>
      <c r="N1916">
        <v>40.65</v>
      </c>
      <c r="O1916" t="s">
        <v>21</v>
      </c>
      <c r="P1916">
        <f t="shared" si="90"/>
        <v>0</v>
      </c>
      <c r="Q1916" s="11">
        <f>IF(P1916=0,0,IFERROR(Q1915+G1916*M1916*IF(E1916="FUTURE",VLOOKUP(MID(I1916,2,2),[1]Futures!$A$2:$B$12,2),1),G1916*M1916*IF(E1916="FUTURE",VLOOKUP(MID(I1916,2,2),[1]Futures!$A$2:$B$12,2),1)))</f>
        <v>0</v>
      </c>
      <c r="R1916" s="12" t="str">
        <f>IFERROR(Q1916/P1916/IF(E1916="FUTURE",VLOOKUP(MID(I1916,2,2),[1]Futures!$A$2:$B$12,2),1),"")</f>
        <v/>
      </c>
      <c r="S1916" s="13">
        <f>IF(AND(H1916="TO CLOSE",P1916=0),-G1916*(M1916-R1915)*IF(E1916="FUTURE",VLOOKUP(MID(I1916,2,2),[1]Futures!$A$2:$B$12,2),1),"")</f>
        <v>20.000000000003126</v>
      </c>
    </row>
    <row r="1917" spans="1:19" x14ac:dyDescent="0.2">
      <c r="A1917">
        <f t="shared" si="89"/>
        <v>609</v>
      </c>
      <c r="B1917" s="3">
        <v>44020</v>
      </c>
      <c r="C1917" s="3" t="str">
        <f t="shared" si="88"/>
        <v>Wednesday</v>
      </c>
      <c r="D1917" s="2">
        <v>0.43762731481481482</v>
      </c>
      <c r="E1917" t="s">
        <v>14</v>
      </c>
      <c r="F1917" t="s">
        <v>15</v>
      </c>
      <c r="G1917">
        <v>-1</v>
      </c>
      <c r="H1917" t="s">
        <v>20</v>
      </c>
      <c r="I1917" t="s">
        <v>77</v>
      </c>
      <c r="J1917" s="1">
        <v>44063</v>
      </c>
      <c r="L1917" t="s">
        <v>14</v>
      </c>
      <c r="M1917">
        <v>40.58</v>
      </c>
      <c r="N1917">
        <v>40.58</v>
      </c>
      <c r="O1917" t="s">
        <v>24</v>
      </c>
      <c r="P1917">
        <f t="shared" si="90"/>
        <v>-1</v>
      </c>
      <c r="Q1917" s="11">
        <f>IF(P1917=0,0,IFERROR(Q1916+G1917*M1917*IF(E1917="FUTURE",VLOOKUP(MID(I1917,2,2),[1]Futures!$A$2:$B$12,2),1),G1917*M1917*IF(E1917="FUTURE",VLOOKUP(MID(I1917,2,2),[1]Futures!$A$2:$B$12,2),1)))</f>
        <v>-40580</v>
      </c>
      <c r="R1917" s="12">
        <f>IFERROR(Q1917/P1917/IF(E1917="FUTURE",VLOOKUP(MID(I1917,2,2),[1]Futures!$A$2:$B$12,2),1),"")</f>
        <v>40.58</v>
      </c>
      <c r="S1917" s="13" t="str">
        <f>IF(AND(H1917="TO CLOSE",P1917=0),-G1917*(M1917-R1916)*IF(E1917="FUTURE",VLOOKUP(MID(I1917,2,2),[1]Futures!$A$2:$B$12,2),1),"")</f>
        <v/>
      </c>
    </row>
    <row r="1918" spans="1:19" x14ac:dyDescent="0.2">
      <c r="A1918">
        <f t="shared" si="89"/>
        <v>609</v>
      </c>
      <c r="B1918" s="3">
        <v>44020</v>
      </c>
      <c r="C1918" s="3" t="str">
        <f t="shared" ref="C1918:C1981" si="91">IF(WEEKDAY(B1918,2)=1,"Monday",IF(WEEKDAY(B1918,2)=2,"Tuesday",IF(WEEKDAY(B1918,2)=3,"Wednesday",IF(WEEKDAY(B1918,2)=4,"Thursday",IF(WEEKDAY(B1918,2)=5,"Friday","Sunday")))))</f>
        <v>Wednesday</v>
      </c>
      <c r="D1918" s="2">
        <v>0.43811342592592589</v>
      </c>
      <c r="E1918" t="s">
        <v>14</v>
      </c>
      <c r="F1918" t="s">
        <v>19</v>
      </c>
      <c r="G1918">
        <v>1</v>
      </c>
      <c r="H1918" t="s">
        <v>16</v>
      </c>
      <c r="I1918" t="s">
        <v>77</v>
      </c>
      <c r="J1918" s="1">
        <v>44063</v>
      </c>
      <c r="L1918" t="s">
        <v>14</v>
      </c>
      <c r="M1918">
        <v>40.5</v>
      </c>
      <c r="N1918">
        <v>40.5</v>
      </c>
      <c r="O1918" t="s">
        <v>24</v>
      </c>
      <c r="P1918">
        <f t="shared" si="90"/>
        <v>0</v>
      </c>
      <c r="Q1918" s="11">
        <f>IF(P1918=0,0,IFERROR(Q1917+G1918*M1918*IF(E1918="FUTURE",VLOOKUP(MID(I1918,2,2),[1]Futures!$A$2:$B$12,2),1),G1918*M1918*IF(E1918="FUTURE",VLOOKUP(MID(I1918,2,2),[1]Futures!$A$2:$B$12,2),1)))</f>
        <v>0</v>
      </c>
      <c r="R1918" s="12" t="str">
        <f>IFERROR(Q1918/P1918/IF(E1918="FUTURE",VLOOKUP(MID(I1918,2,2),[1]Futures!$A$2:$B$12,2),1),"")</f>
        <v/>
      </c>
      <c r="S1918" s="13">
        <f>IF(AND(H1918="TO CLOSE",P1918=0),-G1918*(M1918-R1917)*IF(E1918="FUTURE",VLOOKUP(MID(I1918,2,2),[1]Futures!$A$2:$B$12,2),1),"")</f>
        <v>79.999999999998295</v>
      </c>
    </row>
    <row r="1919" spans="1:19" x14ac:dyDescent="0.2">
      <c r="A1919">
        <f t="shared" si="89"/>
        <v>610</v>
      </c>
      <c r="B1919" s="3">
        <v>44020</v>
      </c>
      <c r="C1919" s="3" t="str">
        <f t="shared" si="91"/>
        <v>Wednesday</v>
      </c>
      <c r="D1919" s="2">
        <v>0.43812500000000004</v>
      </c>
      <c r="E1919" t="s">
        <v>14</v>
      </c>
      <c r="F1919" t="s">
        <v>19</v>
      </c>
      <c r="G1919">
        <v>1</v>
      </c>
      <c r="H1919" t="s">
        <v>20</v>
      </c>
      <c r="I1919" t="s">
        <v>77</v>
      </c>
      <c r="J1919" s="1">
        <v>44063</v>
      </c>
      <c r="L1919" t="s">
        <v>14</v>
      </c>
      <c r="M1919">
        <v>40.520000000000003</v>
      </c>
      <c r="N1919">
        <v>40.520000000000003</v>
      </c>
      <c r="O1919" t="s">
        <v>24</v>
      </c>
      <c r="P1919">
        <f t="shared" si="90"/>
        <v>1</v>
      </c>
      <c r="Q1919" s="11">
        <f>IF(P1919=0,0,IFERROR(Q1918+G1919*M1919*IF(E1919="FUTURE",VLOOKUP(MID(I1919,2,2),[1]Futures!$A$2:$B$12,2),1),G1919*M1919*IF(E1919="FUTURE",VLOOKUP(MID(I1919,2,2),[1]Futures!$A$2:$B$12,2),1)))</f>
        <v>40520</v>
      </c>
      <c r="R1919" s="12">
        <f>IFERROR(Q1919/P1919/IF(E1919="FUTURE",VLOOKUP(MID(I1919,2,2),[1]Futures!$A$2:$B$12,2),1),"")</f>
        <v>40.520000000000003</v>
      </c>
      <c r="S1919" s="13" t="str">
        <f>IF(AND(H1919="TO CLOSE",P1919=0),-G1919*(M1919-R1918)*IF(E1919="FUTURE",VLOOKUP(MID(I1919,2,2),[1]Futures!$A$2:$B$12,2),1),"")</f>
        <v/>
      </c>
    </row>
    <row r="1920" spans="1:19" x14ac:dyDescent="0.2">
      <c r="A1920">
        <f t="shared" si="89"/>
        <v>610</v>
      </c>
      <c r="B1920" s="3">
        <v>44020</v>
      </c>
      <c r="C1920" s="3" t="str">
        <f t="shared" si="91"/>
        <v>Wednesday</v>
      </c>
      <c r="D1920" s="2">
        <v>0.43887731481481485</v>
      </c>
      <c r="E1920" t="s">
        <v>14</v>
      </c>
      <c r="F1920" t="s">
        <v>15</v>
      </c>
      <c r="G1920">
        <v>-1</v>
      </c>
      <c r="H1920" t="s">
        <v>16</v>
      </c>
      <c r="I1920" t="s">
        <v>77</v>
      </c>
      <c r="J1920" s="1">
        <v>44063</v>
      </c>
      <c r="L1920" t="s">
        <v>14</v>
      </c>
      <c r="M1920">
        <v>40.619999999999997</v>
      </c>
      <c r="N1920">
        <v>40.619999999999997</v>
      </c>
      <c r="O1920" t="s">
        <v>24</v>
      </c>
      <c r="P1920">
        <f t="shared" si="90"/>
        <v>0</v>
      </c>
      <c r="Q1920" s="11">
        <f>IF(P1920=0,0,IFERROR(Q1919+G1920*M1920*IF(E1920="FUTURE",VLOOKUP(MID(I1920,2,2),[1]Futures!$A$2:$B$12,2),1),G1920*M1920*IF(E1920="FUTURE",VLOOKUP(MID(I1920,2,2),[1]Futures!$A$2:$B$12,2),1)))</f>
        <v>0</v>
      </c>
      <c r="R1920" s="12" t="str">
        <f>IFERROR(Q1920/P1920/IF(E1920="FUTURE",VLOOKUP(MID(I1920,2,2),[1]Futures!$A$2:$B$12,2),1),"")</f>
        <v/>
      </c>
      <c r="S1920" s="13">
        <f>IF(AND(H1920="TO CLOSE",P1920=0),-G1920*(M1920-R1919)*IF(E1920="FUTURE",VLOOKUP(MID(I1920,2,2),[1]Futures!$A$2:$B$12,2),1),"")</f>
        <v>99.999999999994316</v>
      </c>
    </row>
    <row r="1921" spans="1:19" x14ac:dyDescent="0.2">
      <c r="A1921">
        <f t="shared" si="89"/>
        <v>611</v>
      </c>
      <c r="B1921" s="3">
        <v>44020</v>
      </c>
      <c r="C1921" s="3" t="str">
        <f t="shared" si="91"/>
        <v>Wednesday</v>
      </c>
      <c r="D1921" s="2">
        <v>0.44564814814814818</v>
      </c>
      <c r="E1921" t="s">
        <v>14</v>
      </c>
      <c r="F1921" t="s">
        <v>19</v>
      </c>
      <c r="G1921">
        <v>1</v>
      </c>
      <c r="H1921" t="s">
        <v>20</v>
      </c>
      <c r="I1921" t="s">
        <v>77</v>
      </c>
      <c r="J1921" s="1">
        <v>44063</v>
      </c>
      <c r="L1921" t="s">
        <v>14</v>
      </c>
      <c r="M1921">
        <v>40.729999999999997</v>
      </c>
      <c r="N1921">
        <v>40.729999999999997</v>
      </c>
      <c r="O1921" t="s">
        <v>24</v>
      </c>
      <c r="P1921">
        <f t="shared" si="90"/>
        <v>1</v>
      </c>
      <c r="Q1921" s="11">
        <f>IF(P1921=0,0,IFERROR(Q1920+G1921*M1921*IF(E1921="FUTURE",VLOOKUP(MID(I1921,2,2),[1]Futures!$A$2:$B$12,2),1),G1921*M1921*IF(E1921="FUTURE",VLOOKUP(MID(I1921,2,2),[1]Futures!$A$2:$B$12,2),1)))</f>
        <v>40730</v>
      </c>
      <c r="R1921" s="12">
        <f>IFERROR(Q1921/P1921/IF(E1921="FUTURE",VLOOKUP(MID(I1921,2,2),[1]Futures!$A$2:$B$12,2),1),"")</f>
        <v>40.729999999999997</v>
      </c>
      <c r="S1921" s="13" t="str">
        <f>IF(AND(H1921="TO CLOSE",P1921=0),-G1921*(M1921-R1920)*IF(E1921="FUTURE",VLOOKUP(MID(I1921,2,2),[1]Futures!$A$2:$B$12,2),1),"")</f>
        <v/>
      </c>
    </row>
    <row r="1922" spans="1:19" x14ac:dyDescent="0.2">
      <c r="A1922">
        <f t="shared" ref="A1922:A1985" si="92">IF(AND(P1921=0,H1921="TO CLOSE"),IFERROR(A1921+1,1),IFERROR(A1921/1,1))</f>
        <v>611</v>
      </c>
      <c r="B1922" s="3">
        <v>44020</v>
      </c>
      <c r="C1922" s="3" t="str">
        <f t="shared" si="91"/>
        <v>Wednesday</v>
      </c>
      <c r="D1922" s="2">
        <v>0.44725694444444447</v>
      </c>
      <c r="E1922" t="s">
        <v>14</v>
      </c>
      <c r="F1922" t="s">
        <v>15</v>
      </c>
      <c r="G1922">
        <v>-1</v>
      </c>
      <c r="H1922" t="s">
        <v>16</v>
      </c>
      <c r="I1922" t="s">
        <v>77</v>
      </c>
      <c r="J1922" s="1">
        <v>44063</v>
      </c>
      <c r="L1922" t="s">
        <v>14</v>
      </c>
      <c r="M1922">
        <v>40.54</v>
      </c>
      <c r="N1922">
        <v>40.54</v>
      </c>
      <c r="O1922" t="s">
        <v>18</v>
      </c>
      <c r="P1922">
        <f t="shared" si="90"/>
        <v>0</v>
      </c>
      <c r="Q1922" s="11">
        <f>IF(P1922=0,0,IFERROR(Q1921+G1922*M1922*IF(E1922="FUTURE",VLOOKUP(MID(I1922,2,2),[1]Futures!$A$2:$B$12,2),1),G1922*M1922*IF(E1922="FUTURE",VLOOKUP(MID(I1922,2,2),[1]Futures!$A$2:$B$12,2),1)))</f>
        <v>0</v>
      </c>
      <c r="R1922" s="12" t="str">
        <f>IFERROR(Q1922/P1922/IF(E1922="FUTURE",VLOOKUP(MID(I1922,2,2),[1]Futures!$A$2:$B$12,2),1),"")</f>
        <v/>
      </c>
      <c r="S1922" s="13">
        <f>IF(AND(H1922="TO CLOSE",P1922=0),-G1922*(M1922-R1921)*IF(E1922="FUTURE",VLOOKUP(MID(I1922,2,2),[1]Futures!$A$2:$B$12,2),1),"")</f>
        <v>-189.99999999999773</v>
      </c>
    </row>
    <row r="1923" spans="1:19" x14ac:dyDescent="0.2">
      <c r="A1923">
        <f t="shared" si="92"/>
        <v>612</v>
      </c>
      <c r="B1923" s="3">
        <v>44020</v>
      </c>
      <c r="C1923" s="3" t="str">
        <f t="shared" si="91"/>
        <v>Wednesday</v>
      </c>
      <c r="D1923" s="2">
        <v>0.4493287037037037</v>
      </c>
      <c r="E1923" t="s">
        <v>14</v>
      </c>
      <c r="F1923" t="s">
        <v>19</v>
      </c>
      <c r="G1923">
        <v>2</v>
      </c>
      <c r="H1923" t="s">
        <v>20</v>
      </c>
      <c r="I1923" t="s">
        <v>77</v>
      </c>
      <c r="J1923" s="1">
        <v>44063</v>
      </c>
      <c r="L1923" t="s">
        <v>14</v>
      </c>
      <c r="M1923">
        <v>40.590000000000003</v>
      </c>
      <c r="N1923">
        <v>40.590000000000003</v>
      </c>
      <c r="O1923" t="s">
        <v>24</v>
      </c>
      <c r="P1923">
        <f t="shared" ref="P1923:P1986" si="93">IF(H1923="TO OPEN",IFERROR(P1922+G1923,0+G1923),IFERROR(P1922+G1923,0+G1923))</f>
        <v>2</v>
      </c>
      <c r="Q1923" s="11">
        <f>IF(P1923=0,0,IFERROR(Q1922+G1923*M1923*IF(E1923="FUTURE",VLOOKUP(MID(I1923,2,2),[1]Futures!$A$2:$B$12,2),1),G1923*M1923*IF(E1923="FUTURE",VLOOKUP(MID(I1923,2,2),[1]Futures!$A$2:$B$12,2),1)))</f>
        <v>81180</v>
      </c>
      <c r="R1923" s="12">
        <f>IFERROR(Q1923/P1923/IF(E1923="FUTURE",VLOOKUP(MID(I1923,2,2),[1]Futures!$A$2:$B$12,2),1),"")</f>
        <v>40.590000000000003</v>
      </c>
      <c r="S1923" s="13" t="str">
        <f>IF(AND(H1923="TO CLOSE",P1923=0),-G1923*(M1923-R1922)*IF(E1923="FUTURE",VLOOKUP(MID(I1923,2,2),[1]Futures!$A$2:$B$12,2),1),"")</f>
        <v/>
      </c>
    </row>
    <row r="1924" spans="1:19" x14ac:dyDescent="0.2">
      <c r="A1924">
        <f t="shared" si="92"/>
        <v>612</v>
      </c>
      <c r="B1924" s="3">
        <v>44020</v>
      </c>
      <c r="C1924" s="3" t="str">
        <f t="shared" si="91"/>
        <v>Wednesday</v>
      </c>
      <c r="D1924" s="2">
        <v>0.45047453703703705</v>
      </c>
      <c r="E1924" t="s">
        <v>14</v>
      </c>
      <c r="F1924" t="s">
        <v>15</v>
      </c>
      <c r="G1924">
        <v>-1</v>
      </c>
      <c r="H1924" t="s">
        <v>16</v>
      </c>
      <c r="I1924" t="s">
        <v>77</v>
      </c>
      <c r="J1924" s="1">
        <v>44063</v>
      </c>
      <c r="L1924" t="s">
        <v>14</v>
      </c>
      <c r="M1924">
        <v>40.61</v>
      </c>
      <c r="N1924">
        <v>40.61</v>
      </c>
      <c r="O1924" t="s">
        <v>21</v>
      </c>
      <c r="P1924">
        <f t="shared" si="93"/>
        <v>1</v>
      </c>
      <c r="Q1924" s="11">
        <f>IF(P1924=0,0,IFERROR(Q1923+G1924*M1924*IF(E1924="FUTURE",VLOOKUP(MID(I1924,2,2),[1]Futures!$A$2:$B$12,2),1),G1924*M1924*IF(E1924="FUTURE",VLOOKUP(MID(I1924,2,2),[1]Futures!$A$2:$B$12,2),1)))</f>
        <v>40570</v>
      </c>
      <c r="R1924" s="12">
        <f>IFERROR(Q1924/P1924/IF(E1924="FUTURE",VLOOKUP(MID(I1924,2,2),[1]Futures!$A$2:$B$12,2),1),"")</f>
        <v>40.57</v>
      </c>
      <c r="S1924" s="13" t="str">
        <f>IF(AND(H1924="TO CLOSE",P1924=0),-G1924*(M1924-R1923)*IF(E1924="FUTURE",VLOOKUP(MID(I1924,2,2),[1]Futures!$A$2:$B$12,2),1),"")</f>
        <v/>
      </c>
    </row>
    <row r="1925" spans="1:19" x14ac:dyDescent="0.2">
      <c r="A1925">
        <f t="shared" si="92"/>
        <v>612</v>
      </c>
      <c r="B1925" s="3">
        <v>44020</v>
      </c>
      <c r="C1925" s="3" t="str">
        <f t="shared" si="91"/>
        <v>Wednesday</v>
      </c>
      <c r="D1925" s="2">
        <v>0.46355324074074072</v>
      </c>
      <c r="E1925" t="s">
        <v>14</v>
      </c>
      <c r="F1925" t="s">
        <v>15</v>
      </c>
      <c r="G1925">
        <v>-1</v>
      </c>
      <c r="H1925" t="s">
        <v>16</v>
      </c>
      <c r="I1925" t="s">
        <v>77</v>
      </c>
      <c r="J1925" s="1">
        <v>44063</v>
      </c>
      <c r="L1925" t="s">
        <v>14</v>
      </c>
      <c r="M1925">
        <v>40.520000000000003</v>
      </c>
      <c r="N1925">
        <v>40.520000000000003</v>
      </c>
      <c r="O1925" t="s">
        <v>24</v>
      </c>
      <c r="P1925">
        <f t="shared" si="93"/>
        <v>0</v>
      </c>
      <c r="Q1925" s="11">
        <f>IF(P1925=0,0,IFERROR(Q1924+G1925*M1925*IF(E1925="FUTURE",VLOOKUP(MID(I1925,2,2),[1]Futures!$A$2:$B$12,2),1),G1925*M1925*IF(E1925="FUTURE",VLOOKUP(MID(I1925,2,2),[1]Futures!$A$2:$B$12,2),1)))</f>
        <v>0</v>
      </c>
      <c r="R1925" s="12" t="str">
        <f>IFERROR(Q1925/P1925/IF(E1925="FUTURE",VLOOKUP(MID(I1925,2,2),[1]Futures!$A$2:$B$12,2),1),"")</f>
        <v/>
      </c>
      <c r="S1925" s="13">
        <f>IF(AND(H1925="TO CLOSE",P1925=0),-G1925*(M1925-R1924)*IF(E1925="FUTURE",VLOOKUP(MID(I1925,2,2),[1]Futures!$A$2:$B$12,2),1),"")</f>
        <v>-49.999999999997158</v>
      </c>
    </row>
    <row r="1926" spans="1:19" x14ac:dyDescent="0.2">
      <c r="A1926">
        <f t="shared" si="92"/>
        <v>613</v>
      </c>
      <c r="B1926" s="3">
        <v>44020</v>
      </c>
      <c r="C1926" s="3" t="str">
        <f t="shared" si="91"/>
        <v>Wednesday</v>
      </c>
      <c r="D1926" s="2">
        <v>0.46553240740740742</v>
      </c>
      <c r="E1926" t="s">
        <v>14</v>
      </c>
      <c r="F1926" t="s">
        <v>19</v>
      </c>
      <c r="G1926">
        <v>2</v>
      </c>
      <c r="H1926" t="s">
        <v>20</v>
      </c>
      <c r="I1926" t="s">
        <v>77</v>
      </c>
      <c r="J1926" s="1">
        <v>44063</v>
      </c>
      <c r="L1926" t="s">
        <v>14</v>
      </c>
      <c r="M1926">
        <v>40.61</v>
      </c>
      <c r="N1926">
        <v>40.61</v>
      </c>
      <c r="O1926" t="s">
        <v>24</v>
      </c>
      <c r="P1926">
        <f t="shared" si="93"/>
        <v>2</v>
      </c>
      <c r="Q1926" s="11">
        <f>IF(P1926=0,0,IFERROR(Q1925+G1926*M1926*IF(E1926="FUTURE",VLOOKUP(MID(I1926,2,2),[1]Futures!$A$2:$B$12,2),1),G1926*M1926*IF(E1926="FUTURE",VLOOKUP(MID(I1926,2,2),[1]Futures!$A$2:$B$12,2),1)))</f>
        <v>81220</v>
      </c>
      <c r="R1926" s="12">
        <f>IFERROR(Q1926/P1926/IF(E1926="FUTURE",VLOOKUP(MID(I1926,2,2),[1]Futures!$A$2:$B$12,2),1),"")</f>
        <v>40.61</v>
      </c>
      <c r="S1926" s="13" t="str">
        <f>IF(AND(H1926="TO CLOSE",P1926=0),-G1926*(M1926-R1925)*IF(E1926="FUTURE",VLOOKUP(MID(I1926,2,2),[1]Futures!$A$2:$B$12,2),1),"")</f>
        <v/>
      </c>
    </row>
    <row r="1927" spans="1:19" x14ac:dyDescent="0.2">
      <c r="A1927">
        <f t="shared" si="92"/>
        <v>613</v>
      </c>
      <c r="B1927" s="3">
        <v>44020</v>
      </c>
      <c r="C1927" s="3" t="str">
        <f t="shared" si="91"/>
        <v>Wednesday</v>
      </c>
      <c r="D1927" s="2">
        <v>0.47127314814814819</v>
      </c>
      <c r="E1927" t="s">
        <v>14</v>
      </c>
      <c r="F1927" t="s">
        <v>15</v>
      </c>
      <c r="G1927">
        <v>-2</v>
      </c>
      <c r="H1927" t="s">
        <v>16</v>
      </c>
      <c r="I1927" t="s">
        <v>77</v>
      </c>
      <c r="J1927" s="1">
        <v>44063</v>
      </c>
      <c r="L1927" t="s">
        <v>14</v>
      </c>
      <c r="M1927">
        <v>40.51</v>
      </c>
      <c r="N1927">
        <v>40.51</v>
      </c>
      <c r="O1927" t="s">
        <v>18</v>
      </c>
      <c r="P1927">
        <f t="shared" si="93"/>
        <v>0</v>
      </c>
      <c r="Q1927" s="11">
        <f>IF(P1927=0,0,IFERROR(Q1926+G1927*M1927*IF(E1927="FUTURE",VLOOKUP(MID(I1927,2,2),[1]Futures!$A$2:$B$12,2),1),G1927*M1927*IF(E1927="FUTURE",VLOOKUP(MID(I1927,2,2),[1]Futures!$A$2:$B$12,2),1)))</f>
        <v>0</v>
      </c>
      <c r="R1927" s="12" t="str">
        <f>IFERROR(Q1927/P1927/IF(E1927="FUTURE",VLOOKUP(MID(I1927,2,2),[1]Futures!$A$2:$B$12,2),1),"")</f>
        <v/>
      </c>
      <c r="S1927" s="13">
        <f>IF(AND(H1927="TO CLOSE",P1927=0),-G1927*(M1927-R1926)*IF(E1927="FUTURE",VLOOKUP(MID(I1927,2,2),[1]Futures!$A$2:$B$12,2),1),"")</f>
        <v>-200.00000000000284</v>
      </c>
    </row>
    <row r="1928" spans="1:19" x14ac:dyDescent="0.2">
      <c r="A1928">
        <f t="shared" si="92"/>
        <v>614</v>
      </c>
      <c r="B1928" s="3">
        <v>44020</v>
      </c>
      <c r="C1928" s="3" t="str">
        <f t="shared" si="91"/>
        <v>Wednesday</v>
      </c>
      <c r="D1928" s="2">
        <v>0.47877314814814814</v>
      </c>
      <c r="E1928" t="s">
        <v>14</v>
      </c>
      <c r="F1928" t="s">
        <v>19</v>
      </c>
      <c r="G1928">
        <v>2</v>
      </c>
      <c r="H1928" t="s">
        <v>20</v>
      </c>
      <c r="I1928" t="s">
        <v>77</v>
      </c>
      <c r="J1928" s="1">
        <v>44063</v>
      </c>
      <c r="L1928" t="s">
        <v>14</v>
      </c>
      <c r="M1928">
        <v>40.61</v>
      </c>
      <c r="N1928">
        <v>40.61</v>
      </c>
      <c r="O1928" t="s">
        <v>24</v>
      </c>
      <c r="P1928">
        <f t="shared" si="93"/>
        <v>2</v>
      </c>
      <c r="Q1928" s="11">
        <f>IF(P1928=0,0,IFERROR(Q1927+G1928*M1928*IF(E1928="FUTURE",VLOOKUP(MID(I1928,2,2),[1]Futures!$A$2:$B$12,2),1),G1928*M1928*IF(E1928="FUTURE",VLOOKUP(MID(I1928,2,2),[1]Futures!$A$2:$B$12,2),1)))</f>
        <v>81220</v>
      </c>
      <c r="R1928" s="12">
        <f>IFERROR(Q1928/P1928/IF(E1928="FUTURE",VLOOKUP(MID(I1928,2,2),[1]Futures!$A$2:$B$12,2),1),"")</f>
        <v>40.61</v>
      </c>
      <c r="S1928" s="13" t="str">
        <f>IF(AND(H1928="TO CLOSE",P1928=0),-G1928*(M1928-R1927)*IF(E1928="FUTURE",VLOOKUP(MID(I1928,2,2),[1]Futures!$A$2:$B$12,2),1),"")</f>
        <v/>
      </c>
    </row>
    <row r="1929" spans="1:19" x14ac:dyDescent="0.2">
      <c r="A1929">
        <f t="shared" si="92"/>
        <v>614</v>
      </c>
      <c r="B1929" s="3">
        <v>44020</v>
      </c>
      <c r="C1929" s="3" t="str">
        <f t="shared" si="91"/>
        <v>Wednesday</v>
      </c>
      <c r="D1929" s="2">
        <v>0.49115740740740743</v>
      </c>
      <c r="E1929" t="s">
        <v>14</v>
      </c>
      <c r="F1929" t="s">
        <v>15</v>
      </c>
      <c r="G1929">
        <v>-2</v>
      </c>
      <c r="H1929" t="s">
        <v>16</v>
      </c>
      <c r="I1929" t="s">
        <v>77</v>
      </c>
      <c r="J1929" s="1">
        <v>44063</v>
      </c>
      <c r="L1929" t="s">
        <v>14</v>
      </c>
      <c r="M1929">
        <v>40.57</v>
      </c>
      <c r="N1929">
        <v>40.57</v>
      </c>
      <c r="O1929" t="s">
        <v>18</v>
      </c>
      <c r="P1929">
        <f t="shared" si="93"/>
        <v>0</v>
      </c>
      <c r="Q1929" s="11">
        <f>IF(P1929=0,0,IFERROR(Q1928+G1929*M1929*IF(E1929="FUTURE",VLOOKUP(MID(I1929,2,2),[1]Futures!$A$2:$B$12,2),1),G1929*M1929*IF(E1929="FUTURE",VLOOKUP(MID(I1929,2,2),[1]Futures!$A$2:$B$12,2),1)))</f>
        <v>0</v>
      </c>
      <c r="R1929" s="12" t="str">
        <f>IFERROR(Q1929/P1929/IF(E1929="FUTURE",VLOOKUP(MID(I1929,2,2),[1]Futures!$A$2:$B$12,2),1),"")</f>
        <v/>
      </c>
      <c r="S1929" s="13">
        <f>IF(AND(H1929="TO CLOSE",P1929=0),-G1929*(M1929-R1928)*IF(E1929="FUTURE",VLOOKUP(MID(I1929,2,2),[1]Futures!$A$2:$B$12,2),1),"")</f>
        <v>-79.999999999998295</v>
      </c>
    </row>
    <row r="1930" spans="1:19" x14ac:dyDescent="0.2">
      <c r="A1930">
        <f t="shared" si="92"/>
        <v>615</v>
      </c>
      <c r="B1930" s="3">
        <v>44020</v>
      </c>
      <c r="C1930" s="3" t="str">
        <f t="shared" si="91"/>
        <v>Wednesday</v>
      </c>
      <c r="D1930" s="2">
        <v>0.4965162037037037</v>
      </c>
      <c r="E1930" t="s">
        <v>14</v>
      </c>
      <c r="F1930" t="s">
        <v>19</v>
      </c>
      <c r="G1930">
        <v>1</v>
      </c>
      <c r="H1930" t="s">
        <v>20</v>
      </c>
      <c r="I1930" t="s">
        <v>77</v>
      </c>
      <c r="J1930" s="1">
        <v>44063</v>
      </c>
      <c r="L1930" t="s">
        <v>14</v>
      </c>
      <c r="M1930">
        <v>40.619999999999997</v>
      </c>
      <c r="N1930">
        <v>40.619999999999997</v>
      </c>
      <c r="O1930" t="s">
        <v>24</v>
      </c>
      <c r="P1930">
        <f t="shared" si="93"/>
        <v>1</v>
      </c>
      <c r="Q1930" s="11">
        <f>IF(P1930=0,0,IFERROR(Q1929+G1930*M1930*IF(E1930="FUTURE",VLOOKUP(MID(I1930,2,2),[1]Futures!$A$2:$B$12,2),1),G1930*M1930*IF(E1930="FUTURE",VLOOKUP(MID(I1930,2,2),[1]Futures!$A$2:$B$12,2),1)))</f>
        <v>40620</v>
      </c>
      <c r="R1930" s="12">
        <f>IFERROR(Q1930/P1930/IF(E1930="FUTURE",VLOOKUP(MID(I1930,2,2),[1]Futures!$A$2:$B$12,2),1),"")</f>
        <v>40.619999999999997</v>
      </c>
      <c r="S1930" s="13" t="str">
        <f>IF(AND(H1930="TO CLOSE",P1930=0),-G1930*(M1930-R1929)*IF(E1930="FUTURE",VLOOKUP(MID(I1930,2,2),[1]Futures!$A$2:$B$12,2),1),"")</f>
        <v/>
      </c>
    </row>
    <row r="1931" spans="1:19" x14ac:dyDescent="0.2">
      <c r="A1931">
        <f t="shared" si="92"/>
        <v>615</v>
      </c>
      <c r="B1931" s="3">
        <v>44020</v>
      </c>
      <c r="C1931" s="3" t="str">
        <f t="shared" si="91"/>
        <v>Wednesday</v>
      </c>
      <c r="D1931" s="2">
        <v>0.49745370370370368</v>
      </c>
      <c r="E1931" t="s">
        <v>14</v>
      </c>
      <c r="F1931" t="s">
        <v>15</v>
      </c>
      <c r="G1931">
        <v>-1</v>
      </c>
      <c r="H1931" t="s">
        <v>16</v>
      </c>
      <c r="I1931" t="s">
        <v>77</v>
      </c>
      <c r="J1931" s="1">
        <v>44063</v>
      </c>
      <c r="L1931" t="s">
        <v>14</v>
      </c>
      <c r="M1931">
        <v>40.549999999999997</v>
      </c>
      <c r="N1931">
        <v>40.549999999999997</v>
      </c>
      <c r="O1931" t="s">
        <v>18</v>
      </c>
      <c r="P1931">
        <f t="shared" si="93"/>
        <v>0</v>
      </c>
      <c r="Q1931" s="11">
        <f>IF(P1931=0,0,IFERROR(Q1930+G1931*M1931*IF(E1931="FUTURE",VLOOKUP(MID(I1931,2,2),[1]Futures!$A$2:$B$12,2),1),G1931*M1931*IF(E1931="FUTURE",VLOOKUP(MID(I1931,2,2),[1]Futures!$A$2:$B$12,2),1)))</f>
        <v>0</v>
      </c>
      <c r="R1931" s="12" t="str">
        <f>IFERROR(Q1931/P1931/IF(E1931="FUTURE",VLOOKUP(MID(I1931,2,2),[1]Futures!$A$2:$B$12,2),1),"")</f>
        <v/>
      </c>
      <c r="S1931" s="13">
        <f>IF(AND(H1931="TO CLOSE",P1931=0),-G1931*(M1931-R1930)*IF(E1931="FUTURE",VLOOKUP(MID(I1931,2,2),[1]Futures!$A$2:$B$12,2),1),"")</f>
        <v>-70.000000000000284</v>
      </c>
    </row>
    <row r="1932" spans="1:19" x14ac:dyDescent="0.2">
      <c r="A1932">
        <f t="shared" si="92"/>
        <v>616</v>
      </c>
      <c r="B1932" s="3">
        <v>44020</v>
      </c>
      <c r="C1932" s="3" t="str">
        <f t="shared" si="91"/>
        <v>Wednesday</v>
      </c>
      <c r="D1932" s="2">
        <v>0.51706018518518515</v>
      </c>
      <c r="E1932" t="s">
        <v>14</v>
      </c>
      <c r="F1932" t="s">
        <v>19</v>
      </c>
      <c r="G1932">
        <v>1</v>
      </c>
      <c r="H1932" t="s">
        <v>20</v>
      </c>
      <c r="I1932" t="s">
        <v>77</v>
      </c>
      <c r="J1932" s="1">
        <v>44063</v>
      </c>
      <c r="L1932" t="s">
        <v>14</v>
      </c>
      <c r="M1932">
        <v>40.89</v>
      </c>
      <c r="N1932">
        <v>40.89</v>
      </c>
      <c r="O1932" t="s">
        <v>24</v>
      </c>
      <c r="P1932">
        <f t="shared" si="93"/>
        <v>1</v>
      </c>
      <c r="Q1932" s="11">
        <f>IF(P1932=0,0,IFERROR(Q1931+G1932*M1932*IF(E1932="FUTURE",VLOOKUP(MID(I1932,2,2),[1]Futures!$A$2:$B$12,2),1),G1932*M1932*IF(E1932="FUTURE",VLOOKUP(MID(I1932,2,2),[1]Futures!$A$2:$B$12,2),1)))</f>
        <v>40890</v>
      </c>
      <c r="R1932" s="12">
        <f>IFERROR(Q1932/P1932/IF(E1932="FUTURE",VLOOKUP(MID(I1932,2,2),[1]Futures!$A$2:$B$12,2),1),"")</f>
        <v>40.89</v>
      </c>
      <c r="S1932" s="13" t="str">
        <f>IF(AND(H1932="TO CLOSE",P1932=0),-G1932*(M1932-R1931)*IF(E1932="FUTURE",VLOOKUP(MID(I1932,2,2),[1]Futures!$A$2:$B$12,2),1),"")</f>
        <v/>
      </c>
    </row>
    <row r="1933" spans="1:19" x14ac:dyDescent="0.2">
      <c r="A1933">
        <f t="shared" si="92"/>
        <v>616</v>
      </c>
      <c r="B1933" s="3">
        <v>44020</v>
      </c>
      <c r="C1933" s="3" t="str">
        <f t="shared" si="91"/>
        <v>Wednesday</v>
      </c>
      <c r="D1933" s="2">
        <v>0.51910879629629625</v>
      </c>
      <c r="E1933" t="s">
        <v>14</v>
      </c>
      <c r="F1933" t="s">
        <v>15</v>
      </c>
      <c r="G1933">
        <v>-1</v>
      </c>
      <c r="H1933" t="s">
        <v>16</v>
      </c>
      <c r="I1933" t="s">
        <v>77</v>
      </c>
      <c r="J1933" s="1">
        <v>44063</v>
      </c>
      <c r="L1933" t="s">
        <v>14</v>
      </c>
      <c r="M1933">
        <v>40.99</v>
      </c>
      <c r="N1933">
        <v>40.99</v>
      </c>
      <c r="O1933" t="s">
        <v>21</v>
      </c>
      <c r="P1933">
        <f t="shared" si="93"/>
        <v>0</v>
      </c>
      <c r="Q1933" s="11">
        <f>IF(P1933=0,0,IFERROR(Q1932+G1933*M1933*IF(E1933="FUTURE",VLOOKUP(MID(I1933,2,2),[1]Futures!$A$2:$B$12,2),1),G1933*M1933*IF(E1933="FUTURE",VLOOKUP(MID(I1933,2,2),[1]Futures!$A$2:$B$12,2),1)))</f>
        <v>0</v>
      </c>
      <c r="R1933" s="12" t="str">
        <f>IFERROR(Q1933/P1933/IF(E1933="FUTURE",VLOOKUP(MID(I1933,2,2),[1]Futures!$A$2:$B$12,2),1),"")</f>
        <v/>
      </c>
      <c r="S1933" s="13">
        <f>IF(AND(H1933="TO CLOSE",P1933=0),-G1933*(M1933-R1932)*IF(E1933="FUTURE",VLOOKUP(MID(I1933,2,2),[1]Futures!$A$2:$B$12,2),1),"")</f>
        <v>100.00000000000142</v>
      </c>
    </row>
    <row r="1934" spans="1:19" x14ac:dyDescent="0.2">
      <c r="A1934">
        <f t="shared" si="92"/>
        <v>617</v>
      </c>
      <c r="B1934" s="3">
        <v>44020</v>
      </c>
      <c r="C1934" s="3" t="str">
        <f t="shared" si="91"/>
        <v>Wednesday</v>
      </c>
      <c r="D1934" s="2">
        <v>0.52306712962962965</v>
      </c>
      <c r="E1934" t="s">
        <v>14</v>
      </c>
      <c r="F1934" t="s">
        <v>19</v>
      </c>
      <c r="G1934">
        <v>1</v>
      </c>
      <c r="H1934" t="s">
        <v>20</v>
      </c>
      <c r="I1934" t="s">
        <v>77</v>
      </c>
      <c r="J1934" s="1">
        <v>44063</v>
      </c>
      <c r="L1934" t="s">
        <v>14</v>
      </c>
      <c r="M1934">
        <v>40.96</v>
      </c>
      <c r="N1934">
        <v>40.96</v>
      </c>
      <c r="O1934" t="s">
        <v>24</v>
      </c>
      <c r="P1934">
        <f t="shared" si="93"/>
        <v>1</v>
      </c>
      <c r="Q1934" s="11">
        <f>IF(P1934=0,0,IFERROR(Q1933+G1934*M1934*IF(E1934="FUTURE",VLOOKUP(MID(I1934,2,2),[1]Futures!$A$2:$B$12,2),1),G1934*M1934*IF(E1934="FUTURE",VLOOKUP(MID(I1934,2,2),[1]Futures!$A$2:$B$12,2),1)))</f>
        <v>40960</v>
      </c>
      <c r="R1934" s="12">
        <f>IFERROR(Q1934/P1934/IF(E1934="FUTURE",VLOOKUP(MID(I1934,2,2),[1]Futures!$A$2:$B$12,2),1),"")</f>
        <v>40.96</v>
      </c>
      <c r="S1934" s="13" t="str">
        <f>IF(AND(H1934="TO CLOSE",P1934=0),-G1934*(M1934-R1933)*IF(E1934="FUTURE",VLOOKUP(MID(I1934,2,2),[1]Futures!$A$2:$B$12,2),1),"")</f>
        <v/>
      </c>
    </row>
    <row r="1935" spans="1:19" x14ac:dyDescent="0.2">
      <c r="A1935">
        <f t="shared" si="92"/>
        <v>617</v>
      </c>
      <c r="B1935" s="3">
        <v>44020</v>
      </c>
      <c r="C1935" s="3" t="str">
        <f t="shared" si="91"/>
        <v>Wednesday</v>
      </c>
      <c r="D1935" s="2">
        <v>0.53447916666666673</v>
      </c>
      <c r="E1935" t="s">
        <v>14</v>
      </c>
      <c r="F1935" t="s">
        <v>15</v>
      </c>
      <c r="G1935">
        <v>-1</v>
      </c>
      <c r="H1935" t="s">
        <v>16</v>
      </c>
      <c r="I1935" t="s">
        <v>77</v>
      </c>
      <c r="J1935" s="1">
        <v>44063</v>
      </c>
      <c r="L1935" t="s">
        <v>14</v>
      </c>
      <c r="M1935">
        <v>40.97</v>
      </c>
      <c r="N1935">
        <v>40.97</v>
      </c>
      <c r="O1935" t="s">
        <v>21</v>
      </c>
      <c r="P1935">
        <f t="shared" si="93"/>
        <v>0</v>
      </c>
      <c r="Q1935" s="11">
        <f>IF(P1935=0,0,IFERROR(Q1934+G1935*M1935*IF(E1935="FUTURE",VLOOKUP(MID(I1935,2,2),[1]Futures!$A$2:$B$12,2),1),G1935*M1935*IF(E1935="FUTURE",VLOOKUP(MID(I1935,2,2),[1]Futures!$A$2:$B$12,2),1)))</f>
        <v>0</v>
      </c>
      <c r="R1935" s="12" t="str">
        <f>IFERROR(Q1935/P1935/IF(E1935="FUTURE",VLOOKUP(MID(I1935,2,2),[1]Futures!$A$2:$B$12,2),1),"")</f>
        <v/>
      </c>
      <c r="S1935" s="13">
        <f>IF(AND(H1935="TO CLOSE",P1935=0),-G1935*(M1935-R1934)*IF(E1935="FUTURE",VLOOKUP(MID(I1935,2,2),[1]Futures!$A$2:$B$12,2),1),"")</f>
        <v>9.9999999999980105</v>
      </c>
    </row>
    <row r="1936" spans="1:19" x14ac:dyDescent="0.2">
      <c r="A1936">
        <f t="shared" si="92"/>
        <v>618</v>
      </c>
      <c r="B1936" s="3">
        <v>44020</v>
      </c>
      <c r="C1936" s="3" t="str">
        <f t="shared" si="91"/>
        <v>Wednesday</v>
      </c>
      <c r="D1936" s="2">
        <v>0.44124999999999998</v>
      </c>
      <c r="E1936" t="s">
        <v>14</v>
      </c>
      <c r="F1936" t="s">
        <v>15</v>
      </c>
      <c r="G1936">
        <v>-1</v>
      </c>
      <c r="H1936" t="s">
        <v>20</v>
      </c>
      <c r="I1936" t="s">
        <v>79</v>
      </c>
      <c r="J1936" s="1">
        <v>44094</v>
      </c>
      <c r="L1936" t="s">
        <v>14</v>
      </c>
      <c r="M1936">
        <v>3151.75</v>
      </c>
      <c r="N1936">
        <v>3151.75</v>
      </c>
      <c r="O1936" t="s">
        <v>24</v>
      </c>
      <c r="P1936">
        <f t="shared" si="93"/>
        <v>-1</v>
      </c>
      <c r="Q1936" s="11">
        <f>IF(P1936=0,0,IFERROR(Q1935+G1936*M1936*IF(E1936="FUTURE",VLOOKUP(MID(I1936,2,2),[1]Futures!$A$2:$B$12,2),1),G1936*M1936*IF(E1936="FUTURE",VLOOKUP(MID(I1936,2,2),[1]Futures!$A$2:$B$12,2),1)))</f>
        <v>-157587.5</v>
      </c>
      <c r="R1936" s="12">
        <f>IFERROR(Q1936/P1936/IF(E1936="FUTURE",VLOOKUP(MID(I1936,2,2),[1]Futures!$A$2:$B$12,2),1),"")</f>
        <v>3151.75</v>
      </c>
      <c r="S1936" s="13" t="str">
        <f>IF(AND(H1936="TO CLOSE",P1936=0),-G1936*(M1936-R1935)*IF(E1936="FUTURE",VLOOKUP(MID(I1936,2,2),[1]Futures!$A$2:$B$12,2),1),"")</f>
        <v/>
      </c>
    </row>
    <row r="1937" spans="1:19" x14ac:dyDescent="0.2">
      <c r="A1937">
        <f t="shared" si="92"/>
        <v>618</v>
      </c>
      <c r="B1937" s="3">
        <v>44020</v>
      </c>
      <c r="C1937" s="3" t="str">
        <f t="shared" si="91"/>
        <v>Wednesday</v>
      </c>
      <c r="D1937" s="2">
        <v>0.4443981481481481</v>
      </c>
      <c r="E1937" t="s">
        <v>14</v>
      </c>
      <c r="F1937" t="s">
        <v>19</v>
      </c>
      <c r="G1937">
        <v>2</v>
      </c>
      <c r="H1937" t="s">
        <v>16</v>
      </c>
      <c r="I1937" t="s">
        <v>79</v>
      </c>
      <c r="J1937" s="1">
        <v>44094</v>
      </c>
      <c r="L1937" t="s">
        <v>14</v>
      </c>
      <c r="M1937">
        <v>3155</v>
      </c>
      <c r="N1937">
        <v>3155</v>
      </c>
      <c r="O1937" t="s">
        <v>24</v>
      </c>
      <c r="P1937">
        <f t="shared" si="93"/>
        <v>1</v>
      </c>
      <c r="Q1937" s="11">
        <f>IF(P1937=0,0,IFERROR(Q1936+G1937*M1937*IF(E1937="FUTURE",VLOOKUP(MID(I1937,2,2),[1]Futures!$A$2:$B$12,2),1),G1937*M1937*IF(E1937="FUTURE",VLOOKUP(MID(I1937,2,2),[1]Futures!$A$2:$B$12,2),1)))</f>
        <v>157912.5</v>
      </c>
      <c r="R1937" s="12">
        <f>IFERROR(Q1937/P1937/IF(E1937="FUTURE",VLOOKUP(MID(I1937,2,2),[1]Futures!$A$2:$B$12,2),1),"")</f>
        <v>3158.25</v>
      </c>
      <c r="S1937" s="13" t="str">
        <f>IF(AND(H1937="TO CLOSE",P1937=0),-G1937*(M1937-R1936)*IF(E1937="FUTURE",VLOOKUP(MID(I1937,2,2),[1]Futures!$A$2:$B$12,2),1),"")</f>
        <v/>
      </c>
    </row>
    <row r="1938" spans="1:19" x14ac:dyDescent="0.2">
      <c r="A1938">
        <f t="shared" si="92"/>
        <v>618</v>
      </c>
      <c r="B1938" s="3">
        <v>44020</v>
      </c>
      <c r="C1938" s="3" t="str">
        <f t="shared" si="91"/>
        <v>Wednesday</v>
      </c>
      <c r="D1938" s="2">
        <v>0.44594907407407408</v>
      </c>
      <c r="E1938" t="s">
        <v>14</v>
      </c>
      <c r="F1938" t="s">
        <v>15</v>
      </c>
      <c r="G1938">
        <v>-2</v>
      </c>
      <c r="H1938" t="s">
        <v>16</v>
      </c>
      <c r="I1938" t="s">
        <v>79</v>
      </c>
      <c r="J1938" s="1">
        <v>44094</v>
      </c>
      <c r="L1938" t="s">
        <v>14</v>
      </c>
      <c r="M1938">
        <v>3156</v>
      </c>
      <c r="N1938">
        <v>3156</v>
      </c>
      <c r="O1938" t="s">
        <v>24</v>
      </c>
      <c r="P1938">
        <f t="shared" si="93"/>
        <v>-1</v>
      </c>
      <c r="Q1938" s="11">
        <f>IF(P1938=0,0,IFERROR(Q1937+G1938*M1938*IF(E1938="FUTURE",VLOOKUP(MID(I1938,2,2),[1]Futures!$A$2:$B$12,2),1),G1938*M1938*IF(E1938="FUTURE",VLOOKUP(MID(I1938,2,2),[1]Futures!$A$2:$B$12,2),1)))</f>
        <v>-157687.5</v>
      </c>
      <c r="R1938" s="12">
        <f>IFERROR(Q1938/P1938/IF(E1938="FUTURE",VLOOKUP(MID(I1938,2,2),[1]Futures!$A$2:$B$12,2),1),"")</f>
        <v>3153.75</v>
      </c>
      <c r="S1938" s="13" t="str">
        <f>IF(AND(H1938="TO CLOSE",P1938=0),-G1938*(M1938-R1937)*IF(E1938="FUTURE",VLOOKUP(MID(I1938,2,2),[1]Futures!$A$2:$B$12,2),1),"")</f>
        <v/>
      </c>
    </row>
    <row r="1939" spans="1:19" x14ac:dyDescent="0.2">
      <c r="A1939">
        <f t="shared" si="92"/>
        <v>618</v>
      </c>
      <c r="B1939" s="3">
        <v>44020</v>
      </c>
      <c r="C1939" s="3" t="str">
        <f t="shared" si="91"/>
        <v>Wednesday</v>
      </c>
      <c r="D1939" s="2">
        <v>0.44685185185185183</v>
      </c>
      <c r="E1939" t="s">
        <v>14</v>
      </c>
      <c r="F1939" t="s">
        <v>19</v>
      </c>
      <c r="G1939">
        <v>1</v>
      </c>
      <c r="H1939" t="s">
        <v>16</v>
      </c>
      <c r="I1939" t="s">
        <v>79</v>
      </c>
      <c r="J1939" s="1">
        <v>44094</v>
      </c>
      <c r="L1939" t="s">
        <v>14</v>
      </c>
      <c r="M1939">
        <v>3154.75</v>
      </c>
      <c r="N1939">
        <v>3154.75</v>
      </c>
      <c r="O1939" t="s">
        <v>24</v>
      </c>
      <c r="P1939">
        <f t="shared" si="93"/>
        <v>0</v>
      </c>
      <c r="Q1939" s="11">
        <f>IF(P1939=0,0,IFERROR(Q1938+G1939*M1939*IF(E1939="FUTURE",VLOOKUP(MID(I1939,2,2),[1]Futures!$A$2:$B$12,2),1),G1939*M1939*IF(E1939="FUTURE",VLOOKUP(MID(I1939,2,2),[1]Futures!$A$2:$B$12,2),1)))</f>
        <v>0</v>
      </c>
      <c r="R1939" s="12" t="str">
        <f>IFERROR(Q1939/P1939/IF(E1939="FUTURE",VLOOKUP(MID(I1939,2,2),[1]Futures!$A$2:$B$12,2),1),"")</f>
        <v/>
      </c>
      <c r="S1939" s="13">
        <f>IF(AND(H1939="TO CLOSE",P1939=0),-G1939*(M1939-R1938)*IF(E1939="FUTURE",VLOOKUP(MID(I1939,2,2),[1]Futures!$A$2:$B$12,2),1),"")</f>
        <v>-50</v>
      </c>
    </row>
    <row r="1940" spans="1:19" x14ac:dyDescent="0.2">
      <c r="A1940">
        <f t="shared" si="92"/>
        <v>619</v>
      </c>
      <c r="B1940" s="3">
        <v>44020</v>
      </c>
      <c r="C1940" s="3" t="str">
        <f t="shared" si="91"/>
        <v>Wednesday</v>
      </c>
      <c r="D1940" s="2">
        <v>0.44733796296296297</v>
      </c>
      <c r="E1940" t="s">
        <v>14</v>
      </c>
      <c r="F1940" t="s">
        <v>15</v>
      </c>
      <c r="G1940">
        <v>-1</v>
      </c>
      <c r="H1940" t="s">
        <v>20</v>
      </c>
      <c r="I1940" t="s">
        <v>79</v>
      </c>
      <c r="J1940" s="1">
        <v>44094</v>
      </c>
      <c r="L1940" t="s">
        <v>14</v>
      </c>
      <c r="M1940">
        <v>3151.5</v>
      </c>
      <c r="N1940">
        <v>3151.5</v>
      </c>
      <c r="O1940" t="s">
        <v>24</v>
      </c>
      <c r="P1940">
        <f t="shared" si="93"/>
        <v>-1</v>
      </c>
      <c r="Q1940" s="11">
        <f>IF(P1940=0,0,IFERROR(Q1939+G1940*M1940*IF(E1940="FUTURE",VLOOKUP(MID(I1940,2,2),[1]Futures!$A$2:$B$12,2),1),G1940*M1940*IF(E1940="FUTURE",VLOOKUP(MID(I1940,2,2),[1]Futures!$A$2:$B$12,2),1)))</f>
        <v>-157575</v>
      </c>
      <c r="R1940" s="12">
        <f>IFERROR(Q1940/P1940/IF(E1940="FUTURE",VLOOKUP(MID(I1940,2,2),[1]Futures!$A$2:$B$12,2),1),"")</f>
        <v>3151.5</v>
      </c>
      <c r="S1940" s="13" t="str">
        <f>IF(AND(H1940="TO CLOSE",P1940=0),-G1940*(M1940-R1939)*IF(E1940="FUTURE",VLOOKUP(MID(I1940,2,2),[1]Futures!$A$2:$B$12,2),1),"")</f>
        <v/>
      </c>
    </row>
    <row r="1941" spans="1:19" x14ac:dyDescent="0.2">
      <c r="A1941">
        <f t="shared" si="92"/>
        <v>619</v>
      </c>
      <c r="B1941" s="3">
        <v>44020</v>
      </c>
      <c r="C1941" s="3" t="str">
        <f t="shared" si="91"/>
        <v>Wednesday</v>
      </c>
      <c r="D1941" s="2">
        <v>0.44923611111111111</v>
      </c>
      <c r="E1941" t="s">
        <v>14</v>
      </c>
      <c r="F1941" t="s">
        <v>19</v>
      </c>
      <c r="G1941">
        <v>1</v>
      </c>
      <c r="H1941" t="s">
        <v>16</v>
      </c>
      <c r="I1941" t="s">
        <v>79</v>
      </c>
      <c r="J1941" s="1">
        <v>44094</v>
      </c>
      <c r="L1941" t="s">
        <v>14</v>
      </c>
      <c r="M1941">
        <v>3151.5</v>
      </c>
      <c r="N1941">
        <v>3151.5</v>
      </c>
      <c r="O1941" t="s">
        <v>21</v>
      </c>
      <c r="P1941">
        <f t="shared" si="93"/>
        <v>0</v>
      </c>
      <c r="Q1941" s="11">
        <f>IF(P1941=0,0,IFERROR(Q1940+G1941*M1941*IF(E1941="FUTURE",VLOOKUP(MID(I1941,2,2),[1]Futures!$A$2:$B$12,2),1),G1941*M1941*IF(E1941="FUTURE",VLOOKUP(MID(I1941,2,2),[1]Futures!$A$2:$B$12,2),1)))</f>
        <v>0</v>
      </c>
      <c r="R1941" s="12" t="str">
        <f>IFERROR(Q1941/P1941/IF(E1941="FUTURE",VLOOKUP(MID(I1941,2,2),[1]Futures!$A$2:$B$12,2),1),"")</f>
        <v/>
      </c>
      <c r="S1941" s="13">
        <f>IF(AND(H1941="TO CLOSE",P1941=0),-G1941*(M1941-R1940)*IF(E1941="FUTURE",VLOOKUP(MID(I1941,2,2),[1]Futures!$A$2:$B$12,2),1),"")</f>
        <v>0</v>
      </c>
    </row>
    <row r="1942" spans="1:19" x14ac:dyDescent="0.2">
      <c r="A1942">
        <f t="shared" si="92"/>
        <v>620</v>
      </c>
      <c r="B1942" s="3">
        <v>44020</v>
      </c>
      <c r="C1942" s="3" t="str">
        <f t="shared" si="91"/>
        <v>Wednesday</v>
      </c>
      <c r="D1942" s="2">
        <v>0.45079861111111108</v>
      </c>
      <c r="E1942" t="s">
        <v>14</v>
      </c>
      <c r="F1942" t="s">
        <v>19</v>
      </c>
      <c r="G1942">
        <v>1</v>
      </c>
      <c r="H1942" t="s">
        <v>20</v>
      </c>
      <c r="I1942" t="s">
        <v>79</v>
      </c>
      <c r="J1942" s="1">
        <v>44094</v>
      </c>
      <c r="L1942" t="s">
        <v>14</v>
      </c>
      <c r="M1942">
        <v>3152.5</v>
      </c>
      <c r="N1942">
        <v>3152.5</v>
      </c>
      <c r="O1942" t="s">
        <v>24</v>
      </c>
      <c r="P1942">
        <f t="shared" si="93"/>
        <v>1</v>
      </c>
      <c r="Q1942" s="11">
        <f>IF(P1942=0,0,IFERROR(Q1941+G1942*M1942*IF(E1942="FUTURE",VLOOKUP(MID(I1942,2,2),[1]Futures!$A$2:$B$12,2),1),G1942*M1942*IF(E1942="FUTURE",VLOOKUP(MID(I1942,2,2),[1]Futures!$A$2:$B$12,2),1)))</f>
        <v>157625</v>
      </c>
      <c r="R1942" s="12">
        <f>IFERROR(Q1942/P1942/IF(E1942="FUTURE",VLOOKUP(MID(I1942,2,2),[1]Futures!$A$2:$B$12,2),1),"")</f>
        <v>3152.5</v>
      </c>
      <c r="S1942" s="13" t="str">
        <f>IF(AND(H1942="TO CLOSE",P1942=0),-G1942*(M1942-R1941)*IF(E1942="FUTURE",VLOOKUP(MID(I1942,2,2),[1]Futures!$A$2:$B$12,2),1),"")</f>
        <v/>
      </c>
    </row>
    <row r="1943" spans="1:19" x14ac:dyDescent="0.2">
      <c r="A1943">
        <f t="shared" si="92"/>
        <v>620</v>
      </c>
      <c r="B1943" s="3">
        <v>44020</v>
      </c>
      <c r="C1943" s="3" t="str">
        <f t="shared" si="91"/>
        <v>Wednesday</v>
      </c>
      <c r="D1943" s="2">
        <v>0.46366898148148145</v>
      </c>
      <c r="E1943" t="s">
        <v>14</v>
      </c>
      <c r="F1943" t="s">
        <v>15</v>
      </c>
      <c r="G1943">
        <v>-1</v>
      </c>
      <c r="H1943" t="s">
        <v>16</v>
      </c>
      <c r="I1943" t="s">
        <v>79</v>
      </c>
      <c r="J1943" s="1">
        <v>44094</v>
      </c>
      <c r="L1943" t="s">
        <v>14</v>
      </c>
      <c r="M1943">
        <v>3141</v>
      </c>
      <c r="N1943">
        <v>3141</v>
      </c>
      <c r="O1943" t="s">
        <v>24</v>
      </c>
      <c r="P1943">
        <f t="shared" si="93"/>
        <v>0</v>
      </c>
      <c r="Q1943" s="11">
        <f>IF(P1943=0,0,IFERROR(Q1942+G1943*M1943*IF(E1943="FUTURE",VLOOKUP(MID(I1943,2,2),[1]Futures!$A$2:$B$12,2),1),G1943*M1943*IF(E1943="FUTURE",VLOOKUP(MID(I1943,2,2),[1]Futures!$A$2:$B$12,2),1)))</f>
        <v>0</v>
      </c>
      <c r="R1943" s="12" t="str">
        <f>IFERROR(Q1943/P1943/IF(E1943="FUTURE",VLOOKUP(MID(I1943,2,2),[1]Futures!$A$2:$B$12,2),1),"")</f>
        <v/>
      </c>
      <c r="S1943" s="13">
        <f>IF(AND(H1943="TO CLOSE",P1943=0),-G1943*(M1943-R1942)*IF(E1943="FUTURE",VLOOKUP(MID(I1943,2,2),[1]Futures!$A$2:$B$12,2),1),"")</f>
        <v>-575</v>
      </c>
    </row>
    <row r="1944" spans="1:19" x14ac:dyDescent="0.2">
      <c r="A1944">
        <f t="shared" si="92"/>
        <v>621</v>
      </c>
      <c r="B1944" s="3">
        <v>44020</v>
      </c>
      <c r="C1944" s="3" t="str">
        <f t="shared" si="91"/>
        <v>Wednesday</v>
      </c>
      <c r="D1944" s="2">
        <v>0.47422453703703704</v>
      </c>
      <c r="E1944" t="s">
        <v>14</v>
      </c>
      <c r="F1944" t="s">
        <v>15</v>
      </c>
      <c r="G1944">
        <v>-1</v>
      </c>
      <c r="H1944" t="s">
        <v>20</v>
      </c>
      <c r="I1944" t="s">
        <v>79</v>
      </c>
      <c r="J1944" s="1">
        <v>44094</v>
      </c>
      <c r="L1944" t="s">
        <v>14</v>
      </c>
      <c r="M1944">
        <v>3126.75</v>
      </c>
      <c r="N1944">
        <v>3126.75</v>
      </c>
      <c r="O1944" t="s">
        <v>24</v>
      </c>
      <c r="P1944">
        <f t="shared" si="93"/>
        <v>-1</v>
      </c>
      <c r="Q1944" s="11">
        <f>IF(P1944=0,0,IFERROR(Q1943+G1944*M1944*IF(E1944="FUTURE",VLOOKUP(MID(I1944,2,2),[1]Futures!$A$2:$B$12,2),1),G1944*M1944*IF(E1944="FUTURE",VLOOKUP(MID(I1944,2,2),[1]Futures!$A$2:$B$12,2),1)))</f>
        <v>-156337.5</v>
      </c>
      <c r="R1944" s="12">
        <f>IFERROR(Q1944/P1944/IF(E1944="FUTURE",VLOOKUP(MID(I1944,2,2),[1]Futures!$A$2:$B$12,2),1),"")</f>
        <v>3126.75</v>
      </c>
      <c r="S1944" s="13" t="str">
        <f>IF(AND(H1944="TO CLOSE",P1944=0),-G1944*(M1944-R1943)*IF(E1944="FUTURE",VLOOKUP(MID(I1944,2,2),[1]Futures!$A$2:$B$12,2),1),"")</f>
        <v/>
      </c>
    </row>
    <row r="1945" spans="1:19" x14ac:dyDescent="0.2">
      <c r="A1945">
        <f t="shared" si="92"/>
        <v>621</v>
      </c>
      <c r="B1945" s="3">
        <v>44020</v>
      </c>
      <c r="C1945" s="3" t="str">
        <f t="shared" si="91"/>
        <v>Wednesday</v>
      </c>
      <c r="D1945" s="2">
        <v>0.47530092592592593</v>
      </c>
      <c r="E1945" t="s">
        <v>14</v>
      </c>
      <c r="F1945" t="s">
        <v>19</v>
      </c>
      <c r="G1945">
        <v>1</v>
      </c>
      <c r="H1945" t="s">
        <v>16</v>
      </c>
      <c r="I1945" t="s">
        <v>79</v>
      </c>
      <c r="J1945" s="1">
        <v>44094</v>
      </c>
      <c r="L1945" t="s">
        <v>14</v>
      </c>
      <c r="M1945">
        <v>3129.25</v>
      </c>
      <c r="N1945">
        <v>3129.25</v>
      </c>
      <c r="O1945" t="s">
        <v>18</v>
      </c>
      <c r="P1945">
        <f t="shared" si="93"/>
        <v>0</v>
      </c>
      <c r="Q1945" s="11">
        <f>IF(P1945=0,0,IFERROR(Q1944+G1945*M1945*IF(E1945="FUTURE",VLOOKUP(MID(I1945,2,2),[1]Futures!$A$2:$B$12,2),1),G1945*M1945*IF(E1945="FUTURE",VLOOKUP(MID(I1945,2,2),[1]Futures!$A$2:$B$12,2),1)))</f>
        <v>0</v>
      </c>
      <c r="R1945" s="12" t="str">
        <f>IFERROR(Q1945/P1945/IF(E1945="FUTURE",VLOOKUP(MID(I1945,2,2),[1]Futures!$A$2:$B$12,2),1),"")</f>
        <v/>
      </c>
      <c r="S1945" s="13">
        <f>IF(AND(H1945="TO CLOSE",P1945=0),-G1945*(M1945-R1944)*IF(E1945="FUTURE",VLOOKUP(MID(I1945,2,2),[1]Futures!$A$2:$B$12,2),1),"")</f>
        <v>-125</v>
      </c>
    </row>
    <row r="1946" spans="1:19" x14ac:dyDescent="0.2">
      <c r="A1946">
        <f t="shared" si="92"/>
        <v>622</v>
      </c>
      <c r="B1946" s="3">
        <v>44020</v>
      </c>
      <c r="C1946" s="3" t="str">
        <f t="shared" si="91"/>
        <v>Wednesday</v>
      </c>
      <c r="D1946" s="2">
        <v>0.4767824074074074</v>
      </c>
      <c r="E1946" t="s">
        <v>14</v>
      </c>
      <c r="F1946" t="s">
        <v>19</v>
      </c>
      <c r="G1946">
        <v>1</v>
      </c>
      <c r="H1946" t="s">
        <v>20</v>
      </c>
      <c r="I1946" t="s">
        <v>79</v>
      </c>
      <c r="J1946" s="1">
        <v>44094</v>
      </c>
      <c r="L1946" t="s">
        <v>14</v>
      </c>
      <c r="M1946">
        <v>3128.5</v>
      </c>
      <c r="N1946">
        <v>3128.5</v>
      </c>
      <c r="O1946" t="s">
        <v>24</v>
      </c>
      <c r="P1946">
        <f t="shared" si="93"/>
        <v>1</v>
      </c>
      <c r="Q1946" s="11">
        <f>IF(P1946=0,0,IFERROR(Q1945+G1946*M1946*IF(E1946="FUTURE",VLOOKUP(MID(I1946,2,2),[1]Futures!$A$2:$B$12,2),1),G1946*M1946*IF(E1946="FUTURE",VLOOKUP(MID(I1946,2,2),[1]Futures!$A$2:$B$12,2),1)))</f>
        <v>156425</v>
      </c>
      <c r="R1946" s="12">
        <f>IFERROR(Q1946/P1946/IF(E1946="FUTURE",VLOOKUP(MID(I1946,2,2),[1]Futures!$A$2:$B$12,2),1),"")</f>
        <v>3128.5</v>
      </c>
      <c r="S1946" s="13" t="str">
        <f>IF(AND(H1946="TO CLOSE",P1946=0),-G1946*(M1946-R1945)*IF(E1946="FUTURE",VLOOKUP(MID(I1946,2,2),[1]Futures!$A$2:$B$12,2),1),"")</f>
        <v/>
      </c>
    </row>
    <row r="1947" spans="1:19" x14ac:dyDescent="0.2">
      <c r="A1947">
        <f t="shared" si="92"/>
        <v>622</v>
      </c>
      <c r="B1947" s="3">
        <v>44020</v>
      </c>
      <c r="C1947" s="3" t="str">
        <f t="shared" si="91"/>
        <v>Wednesday</v>
      </c>
      <c r="D1947" s="2">
        <v>0.47870370370370369</v>
      </c>
      <c r="E1947" t="s">
        <v>14</v>
      </c>
      <c r="F1947" t="s">
        <v>15</v>
      </c>
      <c r="G1947">
        <v>-1</v>
      </c>
      <c r="H1947" t="s">
        <v>16</v>
      </c>
      <c r="I1947" t="s">
        <v>79</v>
      </c>
      <c r="J1947" s="1">
        <v>44094</v>
      </c>
      <c r="L1947" t="s">
        <v>14</v>
      </c>
      <c r="M1947">
        <v>3132.25</v>
      </c>
      <c r="N1947">
        <v>3132.25</v>
      </c>
      <c r="O1947" t="s">
        <v>21</v>
      </c>
      <c r="P1947">
        <f t="shared" si="93"/>
        <v>0</v>
      </c>
      <c r="Q1947" s="11">
        <f>IF(P1947=0,0,IFERROR(Q1946+G1947*M1947*IF(E1947="FUTURE",VLOOKUP(MID(I1947,2,2),[1]Futures!$A$2:$B$12,2),1),G1947*M1947*IF(E1947="FUTURE",VLOOKUP(MID(I1947,2,2),[1]Futures!$A$2:$B$12,2),1)))</f>
        <v>0</v>
      </c>
      <c r="R1947" s="12" t="str">
        <f>IFERROR(Q1947/P1947/IF(E1947="FUTURE",VLOOKUP(MID(I1947,2,2),[1]Futures!$A$2:$B$12,2),1),"")</f>
        <v/>
      </c>
      <c r="S1947" s="13">
        <f>IF(AND(H1947="TO CLOSE",P1947=0),-G1947*(M1947-R1946)*IF(E1947="FUTURE",VLOOKUP(MID(I1947,2,2),[1]Futures!$A$2:$B$12,2),1),"")</f>
        <v>187.5</v>
      </c>
    </row>
    <row r="1948" spans="1:19" x14ac:dyDescent="0.2">
      <c r="A1948">
        <f t="shared" si="92"/>
        <v>623</v>
      </c>
      <c r="B1948" s="3">
        <v>44020</v>
      </c>
      <c r="C1948" s="3" t="str">
        <f t="shared" si="91"/>
        <v>Wednesday</v>
      </c>
      <c r="D1948" s="2">
        <v>0.49597222222222226</v>
      </c>
      <c r="E1948" t="s">
        <v>14</v>
      </c>
      <c r="F1948" t="s">
        <v>19</v>
      </c>
      <c r="G1948">
        <v>1</v>
      </c>
      <c r="H1948" t="s">
        <v>20</v>
      </c>
      <c r="I1948" t="s">
        <v>79</v>
      </c>
      <c r="J1948" s="1">
        <v>44094</v>
      </c>
      <c r="L1948" t="s">
        <v>14</v>
      </c>
      <c r="M1948">
        <v>3141.75</v>
      </c>
      <c r="N1948">
        <v>3141.75</v>
      </c>
      <c r="O1948" t="s">
        <v>24</v>
      </c>
      <c r="P1948">
        <f t="shared" si="93"/>
        <v>1</v>
      </c>
      <c r="Q1948" s="11">
        <f>IF(P1948=0,0,IFERROR(Q1947+G1948*M1948*IF(E1948="FUTURE",VLOOKUP(MID(I1948,2,2),[1]Futures!$A$2:$B$12,2),1),G1948*M1948*IF(E1948="FUTURE",VLOOKUP(MID(I1948,2,2),[1]Futures!$A$2:$B$12,2),1)))</f>
        <v>157087.5</v>
      </c>
      <c r="R1948" s="12">
        <f>IFERROR(Q1948/P1948/IF(E1948="FUTURE",VLOOKUP(MID(I1948,2,2),[1]Futures!$A$2:$B$12,2),1),"")</f>
        <v>3141.75</v>
      </c>
      <c r="S1948" s="13" t="str">
        <f>IF(AND(H1948="TO CLOSE",P1948=0),-G1948*(M1948-R1947)*IF(E1948="FUTURE",VLOOKUP(MID(I1948,2,2),[1]Futures!$A$2:$B$12,2),1),"")</f>
        <v/>
      </c>
    </row>
    <row r="1949" spans="1:19" x14ac:dyDescent="0.2">
      <c r="A1949">
        <f t="shared" si="92"/>
        <v>623</v>
      </c>
      <c r="B1949" s="3">
        <v>44020</v>
      </c>
      <c r="C1949" s="3" t="str">
        <f t="shared" si="91"/>
        <v>Wednesday</v>
      </c>
      <c r="D1949" s="2">
        <v>0.51399305555555552</v>
      </c>
      <c r="E1949" t="s">
        <v>14</v>
      </c>
      <c r="F1949" t="s">
        <v>15</v>
      </c>
      <c r="G1949">
        <v>-1</v>
      </c>
      <c r="H1949" t="s">
        <v>16</v>
      </c>
      <c r="I1949" t="s">
        <v>79</v>
      </c>
      <c r="J1949" s="1">
        <v>44094</v>
      </c>
      <c r="L1949" t="s">
        <v>14</v>
      </c>
      <c r="M1949">
        <v>3145.5</v>
      </c>
      <c r="N1949">
        <v>3145.5</v>
      </c>
      <c r="O1949" t="s">
        <v>24</v>
      </c>
      <c r="P1949">
        <f t="shared" si="93"/>
        <v>0</v>
      </c>
      <c r="Q1949" s="11">
        <f>IF(P1949=0,0,IFERROR(Q1948+G1949*M1949*IF(E1949="FUTURE",VLOOKUP(MID(I1949,2,2),[1]Futures!$A$2:$B$12,2),1),G1949*M1949*IF(E1949="FUTURE",VLOOKUP(MID(I1949,2,2),[1]Futures!$A$2:$B$12,2),1)))</f>
        <v>0</v>
      </c>
      <c r="R1949" s="12" t="str">
        <f>IFERROR(Q1949/P1949/IF(E1949="FUTURE",VLOOKUP(MID(I1949,2,2),[1]Futures!$A$2:$B$12,2),1),"")</f>
        <v/>
      </c>
      <c r="S1949" s="13">
        <f>IF(AND(H1949="TO CLOSE",P1949=0),-G1949*(M1949-R1948)*IF(E1949="FUTURE",VLOOKUP(MID(I1949,2,2),[1]Futures!$A$2:$B$12,2),1),"")</f>
        <v>187.5</v>
      </c>
    </row>
    <row r="1950" spans="1:19" x14ac:dyDescent="0.2">
      <c r="A1950">
        <f t="shared" si="92"/>
        <v>624</v>
      </c>
      <c r="B1950" s="3">
        <v>44020</v>
      </c>
      <c r="C1950" s="3" t="str">
        <f t="shared" si="91"/>
        <v>Wednesday</v>
      </c>
      <c r="D1950" s="2">
        <v>0.55601851851851858</v>
      </c>
      <c r="E1950" t="s">
        <v>14</v>
      </c>
      <c r="F1950" t="s">
        <v>15</v>
      </c>
      <c r="G1950">
        <v>-1</v>
      </c>
      <c r="H1950" t="s">
        <v>20</v>
      </c>
      <c r="I1950" t="s">
        <v>79</v>
      </c>
      <c r="J1950" s="1">
        <v>44094</v>
      </c>
      <c r="L1950" t="s">
        <v>14</v>
      </c>
      <c r="M1950">
        <v>3142.75</v>
      </c>
      <c r="N1950">
        <v>3142.75</v>
      </c>
      <c r="O1950" t="s">
        <v>21</v>
      </c>
      <c r="P1950">
        <f t="shared" si="93"/>
        <v>-1</v>
      </c>
      <c r="Q1950" s="11">
        <f>IF(P1950=0,0,IFERROR(Q1949+G1950*M1950*IF(E1950="FUTURE",VLOOKUP(MID(I1950,2,2),[1]Futures!$A$2:$B$12,2),1),G1950*M1950*IF(E1950="FUTURE",VLOOKUP(MID(I1950,2,2),[1]Futures!$A$2:$B$12,2),1)))</f>
        <v>-157137.5</v>
      </c>
      <c r="R1950" s="12">
        <f>IFERROR(Q1950/P1950/IF(E1950="FUTURE",VLOOKUP(MID(I1950,2,2),[1]Futures!$A$2:$B$12,2),1),"")</f>
        <v>3142.75</v>
      </c>
      <c r="S1950" s="13" t="str">
        <f>IF(AND(H1950="TO CLOSE",P1950=0),-G1950*(M1950-R1949)*IF(E1950="FUTURE",VLOOKUP(MID(I1950,2,2),[1]Futures!$A$2:$B$12,2),1),"")</f>
        <v/>
      </c>
    </row>
    <row r="1951" spans="1:19" x14ac:dyDescent="0.2">
      <c r="A1951">
        <f t="shared" si="92"/>
        <v>624</v>
      </c>
      <c r="B1951" s="3">
        <v>44020</v>
      </c>
      <c r="C1951" s="3" t="str">
        <f t="shared" si="91"/>
        <v>Wednesday</v>
      </c>
      <c r="D1951" s="2">
        <v>0.55655092592592592</v>
      </c>
      <c r="E1951" t="s">
        <v>14</v>
      </c>
      <c r="F1951" t="s">
        <v>19</v>
      </c>
      <c r="G1951">
        <v>1</v>
      </c>
      <c r="H1951" t="s">
        <v>16</v>
      </c>
      <c r="I1951" t="s">
        <v>79</v>
      </c>
      <c r="J1951" s="1">
        <v>44094</v>
      </c>
      <c r="L1951" t="s">
        <v>14</v>
      </c>
      <c r="M1951">
        <v>3141.75</v>
      </c>
      <c r="N1951">
        <v>3141.75</v>
      </c>
      <c r="O1951" t="s">
        <v>18</v>
      </c>
      <c r="P1951">
        <f t="shared" si="93"/>
        <v>0</v>
      </c>
      <c r="Q1951" s="11">
        <f>IF(P1951=0,0,IFERROR(Q1950+G1951*M1951*IF(E1951="FUTURE",VLOOKUP(MID(I1951,2,2),[1]Futures!$A$2:$B$12,2),1),G1951*M1951*IF(E1951="FUTURE",VLOOKUP(MID(I1951,2,2),[1]Futures!$A$2:$B$12,2),1)))</f>
        <v>0</v>
      </c>
      <c r="R1951" s="12" t="str">
        <f>IFERROR(Q1951/P1951/IF(E1951="FUTURE",VLOOKUP(MID(I1951,2,2),[1]Futures!$A$2:$B$12,2),1),"")</f>
        <v/>
      </c>
      <c r="S1951" s="13">
        <f>IF(AND(H1951="TO CLOSE",P1951=0),-G1951*(M1951-R1950)*IF(E1951="FUTURE",VLOOKUP(MID(I1951,2,2),[1]Futures!$A$2:$B$12,2),1),"")</f>
        <v>50</v>
      </c>
    </row>
    <row r="1952" spans="1:19" x14ac:dyDescent="0.2">
      <c r="A1952">
        <f t="shared" si="92"/>
        <v>625</v>
      </c>
      <c r="B1952" s="3">
        <v>44020</v>
      </c>
      <c r="C1952" s="3" t="str">
        <f t="shared" si="91"/>
        <v>Wednesday</v>
      </c>
      <c r="D1952" s="2">
        <v>0.52256944444444442</v>
      </c>
      <c r="E1952" t="s">
        <v>14</v>
      </c>
      <c r="F1952" t="s">
        <v>19</v>
      </c>
      <c r="G1952">
        <v>1</v>
      </c>
      <c r="H1952" t="s">
        <v>20</v>
      </c>
      <c r="I1952" t="s">
        <v>80</v>
      </c>
      <c r="J1952" s="1">
        <v>44094</v>
      </c>
      <c r="L1952" t="s">
        <v>14</v>
      </c>
      <c r="M1952">
        <v>3146</v>
      </c>
      <c r="N1952">
        <v>3146</v>
      </c>
      <c r="O1952" t="s">
        <v>24</v>
      </c>
      <c r="P1952">
        <f t="shared" si="93"/>
        <v>1</v>
      </c>
      <c r="Q1952" s="11">
        <f>IF(P1952=0,0,IFERROR(Q1951+G1952*M1952*IF(E1952="FUTURE",VLOOKUP(MID(I1952,2,2),[1]Futures!$A$2:$B$12,2),1),G1952*M1952*IF(E1952="FUTURE",VLOOKUP(MID(I1952,2,2),[1]Futures!$A$2:$B$12,2),1)))</f>
        <v>15730</v>
      </c>
      <c r="R1952" s="12">
        <f>IFERROR(Q1952/P1952/IF(E1952="FUTURE",VLOOKUP(MID(I1952,2,2),[1]Futures!$A$2:$B$12,2),1),"")</f>
        <v>3146</v>
      </c>
      <c r="S1952" s="13" t="str">
        <f>IF(AND(H1952="TO CLOSE",P1952=0),-G1952*(M1952-R1951)*IF(E1952="FUTURE",VLOOKUP(MID(I1952,2,2),[1]Futures!$A$2:$B$12,2),1),"")</f>
        <v/>
      </c>
    </row>
    <row r="1953" spans="1:19" x14ac:dyDescent="0.2">
      <c r="A1953">
        <f t="shared" si="92"/>
        <v>625</v>
      </c>
      <c r="B1953" s="3">
        <v>44020</v>
      </c>
      <c r="C1953" s="3" t="str">
        <f t="shared" si="91"/>
        <v>Wednesday</v>
      </c>
      <c r="D1953" s="2">
        <v>0.52266203703703706</v>
      </c>
      <c r="E1953" t="s">
        <v>14</v>
      </c>
      <c r="F1953" t="s">
        <v>19</v>
      </c>
      <c r="G1953">
        <v>4</v>
      </c>
      <c r="H1953" t="s">
        <v>20</v>
      </c>
      <c r="I1953" t="s">
        <v>80</v>
      </c>
      <c r="J1953" s="1">
        <v>44094</v>
      </c>
      <c r="L1953" t="s">
        <v>14</v>
      </c>
      <c r="M1953">
        <v>3146</v>
      </c>
      <c r="N1953">
        <v>3146</v>
      </c>
      <c r="O1953" t="s">
        <v>21</v>
      </c>
      <c r="P1953">
        <f t="shared" si="93"/>
        <v>5</v>
      </c>
      <c r="Q1953" s="11">
        <f>IF(P1953=0,0,IFERROR(Q1952+G1953*M1953*IF(E1953="FUTURE",VLOOKUP(MID(I1953,2,2),[1]Futures!$A$2:$B$12,2),1),G1953*M1953*IF(E1953="FUTURE",VLOOKUP(MID(I1953,2,2),[1]Futures!$A$2:$B$12,2),1)))</f>
        <v>78650</v>
      </c>
      <c r="R1953" s="12">
        <f>IFERROR(Q1953/P1953/IF(E1953="FUTURE",VLOOKUP(MID(I1953,2,2),[1]Futures!$A$2:$B$12,2),1),"")</f>
        <v>3146</v>
      </c>
      <c r="S1953" s="13" t="str">
        <f>IF(AND(H1953="TO CLOSE",P1953=0),-G1953*(M1953-R1952)*IF(E1953="FUTURE",VLOOKUP(MID(I1953,2,2),[1]Futures!$A$2:$B$12,2),1),"")</f>
        <v/>
      </c>
    </row>
    <row r="1954" spans="1:19" x14ac:dyDescent="0.2">
      <c r="A1954">
        <f t="shared" si="92"/>
        <v>625</v>
      </c>
      <c r="B1954" s="3">
        <v>44020</v>
      </c>
      <c r="C1954" s="3" t="str">
        <f t="shared" si="91"/>
        <v>Wednesday</v>
      </c>
      <c r="D1954" s="2">
        <v>0.53149305555555559</v>
      </c>
      <c r="E1954" t="s">
        <v>14</v>
      </c>
      <c r="F1954" t="s">
        <v>19</v>
      </c>
      <c r="G1954">
        <v>1</v>
      </c>
      <c r="H1954" t="s">
        <v>20</v>
      </c>
      <c r="I1954" t="s">
        <v>80</v>
      </c>
      <c r="J1954" s="1">
        <v>44094</v>
      </c>
      <c r="L1954" t="s">
        <v>14</v>
      </c>
      <c r="M1954">
        <v>3142</v>
      </c>
      <c r="N1954">
        <v>3142</v>
      </c>
      <c r="O1954" t="s">
        <v>21</v>
      </c>
      <c r="P1954">
        <f t="shared" si="93"/>
        <v>6</v>
      </c>
      <c r="Q1954" s="11">
        <f>IF(P1954=0,0,IFERROR(Q1953+G1954*M1954*IF(E1954="FUTURE",VLOOKUP(MID(I1954,2,2),[1]Futures!$A$2:$B$12,2),1),G1954*M1954*IF(E1954="FUTURE",VLOOKUP(MID(I1954,2,2),[1]Futures!$A$2:$B$12,2),1)))</f>
        <v>94360</v>
      </c>
      <c r="R1954" s="12">
        <f>IFERROR(Q1954/P1954/IF(E1954="FUTURE",VLOOKUP(MID(I1954,2,2),[1]Futures!$A$2:$B$12,2),1),"")</f>
        <v>3145.333333333333</v>
      </c>
      <c r="S1954" s="13" t="str">
        <f>IF(AND(H1954="TO CLOSE",P1954=0),-G1954*(M1954-R1953)*IF(E1954="FUTURE",VLOOKUP(MID(I1954,2,2),[1]Futures!$A$2:$B$12,2),1),"")</f>
        <v/>
      </c>
    </row>
    <row r="1955" spans="1:19" x14ac:dyDescent="0.2">
      <c r="A1955">
        <f t="shared" si="92"/>
        <v>625</v>
      </c>
      <c r="B1955" s="3">
        <v>44020</v>
      </c>
      <c r="C1955" s="3" t="str">
        <f t="shared" si="91"/>
        <v>Wednesday</v>
      </c>
      <c r="D1955" s="2">
        <v>0.54026620370370371</v>
      </c>
      <c r="E1955" t="s">
        <v>14</v>
      </c>
      <c r="F1955" t="s">
        <v>15</v>
      </c>
      <c r="G1955">
        <v>-2</v>
      </c>
      <c r="H1955" t="s">
        <v>16</v>
      </c>
      <c r="I1955" t="s">
        <v>80</v>
      </c>
      <c r="J1955" s="1">
        <v>44094</v>
      </c>
      <c r="L1955" t="s">
        <v>14</v>
      </c>
      <c r="M1955">
        <v>3146.25</v>
      </c>
      <c r="N1955">
        <v>3146.25</v>
      </c>
      <c r="O1955" t="s">
        <v>21</v>
      </c>
      <c r="P1955">
        <f t="shared" si="93"/>
        <v>4</v>
      </c>
      <c r="Q1955" s="11">
        <f>IF(P1955=0,0,IFERROR(Q1954+G1955*M1955*IF(E1955="FUTURE",VLOOKUP(MID(I1955,2,2),[1]Futures!$A$2:$B$12,2),1),G1955*M1955*IF(E1955="FUTURE",VLOOKUP(MID(I1955,2,2),[1]Futures!$A$2:$B$12,2),1)))</f>
        <v>62897.5</v>
      </c>
      <c r="R1955" s="12">
        <f>IFERROR(Q1955/P1955/IF(E1955="FUTURE",VLOOKUP(MID(I1955,2,2),[1]Futures!$A$2:$B$12,2),1),"")</f>
        <v>3144.875</v>
      </c>
      <c r="S1955" s="13" t="str">
        <f>IF(AND(H1955="TO CLOSE",P1955=0),-G1955*(M1955-R1954)*IF(E1955="FUTURE",VLOOKUP(MID(I1955,2,2),[1]Futures!$A$2:$B$12,2),1),"")</f>
        <v/>
      </c>
    </row>
    <row r="1956" spans="1:19" x14ac:dyDescent="0.2">
      <c r="A1956">
        <f t="shared" si="92"/>
        <v>625</v>
      </c>
      <c r="B1956" s="3">
        <v>44020</v>
      </c>
      <c r="C1956" s="3" t="str">
        <f t="shared" si="91"/>
        <v>Wednesday</v>
      </c>
      <c r="D1956" s="2">
        <v>0.54100694444444442</v>
      </c>
      <c r="E1956" t="s">
        <v>14</v>
      </c>
      <c r="F1956" t="s">
        <v>15</v>
      </c>
      <c r="G1956">
        <v>-1</v>
      </c>
      <c r="H1956" t="s">
        <v>16</v>
      </c>
      <c r="I1956" t="s">
        <v>80</v>
      </c>
      <c r="J1956" s="1">
        <v>44094</v>
      </c>
      <c r="L1956" t="s">
        <v>14</v>
      </c>
      <c r="M1956">
        <v>3147.75</v>
      </c>
      <c r="N1956">
        <v>3147.75</v>
      </c>
      <c r="O1956" t="s">
        <v>24</v>
      </c>
      <c r="P1956">
        <f t="shared" si="93"/>
        <v>3</v>
      </c>
      <c r="Q1956" s="11">
        <f>IF(P1956=0,0,IFERROR(Q1955+G1956*M1956*IF(E1956="FUTURE",VLOOKUP(MID(I1956,2,2),[1]Futures!$A$2:$B$12,2),1),G1956*M1956*IF(E1956="FUTURE",VLOOKUP(MID(I1956,2,2),[1]Futures!$A$2:$B$12,2),1)))</f>
        <v>47158.75</v>
      </c>
      <c r="R1956" s="12">
        <f>IFERROR(Q1956/P1956/IF(E1956="FUTURE",VLOOKUP(MID(I1956,2,2),[1]Futures!$A$2:$B$12,2),1),"")</f>
        <v>3143.916666666667</v>
      </c>
      <c r="S1956" s="13" t="str">
        <f>IF(AND(H1956="TO CLOSE",P1956=0),-G1956*(M1956-R1955)*IF(E1956="FUTURE",VLOOKUP(MID(I1956,2,2),[1]Futures!$A$2:$B$12,2),1),"")</f>
        <v/>
      </c>
    </row>
    <row r="1957" spans="1:19" x14ac:dyDescent="0.2">
      <c r="A1957">
        <f t="shared" si="92"/>
        <v>625</v>
      </c>
      <c r="B1957" s="3">
        <v>44020</v>
      </c>
      <c r="C1957" s="3" t="str">
        <f t="shared" si="91"/>
        <v>Wednesday</v>
      </c>
      <c r="D1957" s="2">
        <v>0.5438425925925926</v>
      </c>
      <c r="E1957" t="s">
        <v>14</v>
      </c>
      <c r="F1957" t="s">
        <v>15</v>
      </c>
      <c r="G1957">
        <v>-1</v>
      </c>
      <c r="H1957" t="s">
        <v>16</v>
      </c>
      <c r="I1957" t="s">
        <v>80</v>
      </c>
      <c r="J1957" s="1">
        <v>44094</v>
      </c>
      <c r="L1957" t="s">
        <v>14</v>
      </c>
      <c r="M1957">
        <v>3147.25</v>
      </c>
      <c r="N1957">
        <v>3147.25</v>
      </c>
      <c r="O1957" t="s">
        <v>24</v>
      </c>
      <c r="P1957">
        <f t="shared" si="93"/>
        <v>2</v>
      </c>
      <c r="Q1957" s="11">
        <f>IF(P1957=0,0,IFERROR(Q1956+G1957*M1957*IF(E1957="FUTURE",VLOOKUP(MID(I1957,2,2),[1]Futures!$A$2:$B$12,2),1),G1957*M1957*IF(E1957="FUTURE",VLOOKUP(MID(I1957,2,2),[1]Futures!$A$2:$B$12,2),1)))</f>
        <v>31422.5</v>
      </c>
      <c r="R1957" s="12">
        <f>IFERROR(Q1957/P1957/IF(E1957="FUTURE",VLOOKUP(MID(I1957,2,2),[1]Futures!$A$2:$B$12,2),1),"")</f>
        <v>3142.25</v>
      </c>
      <c r="S1957" s="13" t="str">
        <f>IF(AND(H1957="TO CLOSE",P1957=0),-G1957*(M1957-R1956)*IF(E1957="FUTURE",VLOOKUP(MID(I1957,2,2),[1]Futures!$A$2:$B$12,2),1),"")</f>
        <v/>
      </c>
    </row>
    <row r="1958" spans="1:19" x14ac:dyDescent="0.2">
      <c r="A1958">
        <f t="shared" si="92"/>
        <v>625</v>
      </c>
      <c r="B1958" s="3">
        <v>44020</v>
      </c>
      <c r="C1958" s="3" t="str">
        <f t="shared" si="91"/>
        <v>Wednesday</v>
      </c>
      <c r="D1958" s="2">
        <v>0.5449074074074074</v>
      </c>
      <c r="E1958" t="s">
        <v>14</v>
      </c>
      <c r="F1958" t="s">
        <v>15</v>
      </c>
      <c r="G1958">
        <v>-2</v>
      </c>
      <c r="H1958" t="s">
        <v>16</v>
      </c>
      <c r="I1958" t="s">
        <v>80</v>
      </c>
      <c r="J1958" s="1">
        <v>44094</v>
      </c>
      <c r="L1958" t="s">
        <v>14</v>
      </c>
      <c r="M1958">
        <v>3146.75</v>
      </c>
      <c r="N1958">
        <v>3146.75</v>
      </c>
      <c r="O1958" t="s">
        <v>21</v>
      </c>
      <c r="P1958">
        <f t="shared" si="93"/>
        <v>0</v>
      </c>
      <c r="Q1958" s="11">
        <f>IF(P1958=0,0,IFERROR(Q1957+G1958*M1958*IF(E1958="FUTURE",VLOOKUP(MID(I1958,2,2),[1]Futures!$A$2:$B$12,2),1),G1958*M1958*IF(E1958="FUTURE",VLOOKUP(MID(I1958,2,2),[1]Futures!$A$2:$B$12,2),1)))</f>
        <v>0</v>
      </c>
      <c r="R1958" s="12" t="str">
        <f>IFERROR(Q1958/P1958/IF(E1958="FUTURE",VLOOKUP(MID(I1958,2,2),[1]Futures!$A$2:$B$12,2),1),"")</f>
        <v/>
      </c>
      <c r="S1958" s="13">
        <f>IF(AND(H1958="TO CLOSE",P1958=0),-G1958*(M1958-R1957)*IF(E1958="FUTURE",VLOOKUP(MID(I1958,2,2),[1]Futures!$A$2:$B$12,2),1),"")</f>
        <v>45</v>
      </c>
    </row>
    <row r="1959" spans="1:19" x14ac:dyDescent="0.2">
      <c r="A1959">
        <f t="shared" si="92"/>
        <v>626</v>
      </c>
      <c r="B1959" s="3">
        <v>44020</v>
      </c>
      <c r="C1959" s="3" t="str">
        <f t="shared" si="91"/>
        <v>Wednesday</v>
      </c>
      <c r="D1959" s="2">
        <v>0.38880787037037035</v>
      </c>
      <c r="E1959" t="s">
        <v>22</v>
      </c>
      <c r="F1959" t="s">
        <v>15</v>
      </c>
      <c r="G1959">
        <v>-100</v>
      </c>
      <c r="H1959" t="s">
        <v>20</v>
      </c>
      <c r="I1959" t="s">
        <v>23</v>
      </c>
      <c r="L1959" t="s">
        <v>22</v>
      </c>
      <c r="M1959">
        <v>33.01</v>
      </c>
      <c r="N1959">
        <v>33.01</v>
      </c>
      <c r="O1959" t="s">
        <v>21</v>
      </c>
      <c r="P1959">
        <f t="shared" si="93"/>
        <v>-100</v>
      </c>
      <c r="Q1959" s="11">
        <f>IF(P1959=0,0,IFERROR(Q1958+G1959*M1959*IF(E1959="FUTURE",VLOOKUP(MID(I1959,2,2),[1]Futures!$A$2:$B$12,2),1),G1959*M1959*IF(E1959="FUTURE",VLOOKUP(MID(I1959,2,2),[1]Futures!$A$2:$B$12,2),1)))</f>
        <v>-3301</v>
      </c>
      <c r="R1959" s="12">
        <f>IFERROR(Q1959/P1959/IF(E1959="FUTURE",VLOOKUP(MID(I1959,2,2),[1]Futures!$A$2:$B$12,2),1),"")</f>
        <v>33.01</v>
      </c>
      <c r="S1959" s="13" t="str">
        <f>IF(AND(H1959="TO CLOSE",P1959=0),-G1959*(M1959-R1958)*IF(E1959="FUTURE",VLOOKUP(MID(I1959,2,2),[1]Futures!$A$2:$B$12,2),1),"")</f>
        <v/>
      </c>
    </row>
    <row r="1960" spans="1:19" x14ac:dyDescent="0.2">
      <c r="A1960">
        <f t="shared" si="92"/>
        <v>626</v>
      </c>
      <c r="B1960" s="3">
        <v>44020</v>
      </c>
      <c r="C1960" s="3" t="str">
        <f t="shared" si="91"/>
        <v>Wednesday</v>
      </c>
      <c r="D1960" s="2">
        <v>0.38883101851851848</v>
      </c>
      <c r="E1960" t="s">
        <v>22</v>
      </c>
      <c r="F1960" t="s">
        <v>15</v>
      </c>
      <c r="G1960">
        <v>-36</v>
      </c>
      <c r="H1960" t="s">
        <v>20</v>
      </c>
      <c r="I1960" t="s">
        <v>23</v>
      </c>
      <c r="L1960" t="s">
        <v>22</v>
      </c>
      <c r="M1960">
        <v>33.01</v>
      </c>
      <c r="N1960">
        <v>33.01</v>
      </c>
      <c r="O1960" t="s">
        <v>21</v>
      </c>
      <c r="P1960">
        <f t="shared" si="93"/>
        <v>-136</v>
      </c>
      <c r="Q1960" s="11">
        <f>IF(P1960=0,0,IFERROR(Q1959+G1960*M1960*IF(E1960="FUTURE",VLOOKUP(MID(I1960,2,2),[1]Futures!$A$2:$B$12,2),1),G1960*M1960*IF(E1960="FUTURE",VLOOKUP(MID(I1960,2,2),[1]Futures!$A$2:$B$12,2),1)))</f>
        <v>-4489.3599999999997</v>
      </c>
      <c r="R1960" s="12">
        <f>IFERROR(Q1960/P1960/IF(E1960="FUTURE",VLOOKUP(MID(I1960,2,2),[1]Futures!$A$2:$B$12,2),1),"")</f>
        <v>33.01</v>
      </c>
      <c r="S1960" s="13" t="str">
        <f>IF(AND(H1960="TO CLOSE",P1960=0),-G1960*(M1960-R1959)*IF(E1960="FUTURE",VLOOKUP(MID(I1960,2,2),[1]Futures!$A$2:$B$12,2),1),"")</f>
        <v/>
      </c>
    </row>
    <row r="1961" spans="1:19" x14ac:dyDescent="0.2">
      <c r="A1961">
        <f t="shared" si="92"/>
        <v>626</v>
      </c>
      <c r="B1961" s="3">
        <v>44020</v>
      </c>
      <c r="C1961" s="3" t="str">
        <f t="shared" si="91"/>
        <v>Wednesday</v>
      </c>
      <c r="D1961" s="2">
        <v>0.38912037037037034</v>
      </c>
      <c r="E1961" t="s">
        <v>22</v>
      </c>
      <c r="F1961" t="s">
        <v>15</v>
      </c>
      <c r="G1961">
        <v>-100</v>
      </c>
      <c r="H1961" t="s">
        <v>20</v>
      </c>
      <c r="I1961" t="s">
        <v>23</v>
      </c>
      <c r="L1961" t="s">
        <v>22</v>
      </c>
      <c r="M1961">
        <v>33.01</v>
      </c>
      <c r="N1961">
        <v>33.01</v>
      </c>
      <c r="O1961" t="s">
        <v>21</v>
      </c>
      <c r="P1961">
        <f t="shared" si="93"/>
        <v>-236</v>
      </c>
      <c r="Q1961" s="11">
        <f>IF(P1961=0,0,IFERROR(Q1960+G1961*M1961*IF(E1961="FUTURE",VLOOKUP(MID(I1961,2,2),[1]Futures!$A$2:$B$12,2),1),G1961*M1961*IF(E1961="FUTURE",VLOOKUP(MID(I1961,2,2),[1]Futures!$A$2:$B$12,2),1)))</f>
        <v>-7790.36</v>
      </c>
      <c r="R1961" s="12">
        <f>IFERROR(Q1961/P1961/IF(E1961="FUTURE",VLOOKUP(MID(I1961,2,2),[1]Futures!$A$2:$B$12,2),1),"")</f>
        <v>33.01</v>
      </c>
      <c r="S1961" s="13" t="str">
        <f>IF(AND(H1961="TO CLOSE",P1961=0),-G1961*(M1961-R1960)*IF(E1961="FUTURE",VLOOKUP(MID(I1961,2,2),[1]Futures!$A$2:$B$12,2),1),"")</f>
        <v/>
      </c>
    </row>
    <row r="1962" spans="1:19" x14ac:dyDescent="0.2">
      <c r="A1962">
        <f t="shared" si="92"/>
        <v>626</v>
      </c>
      <c r="B1962" s="3">
        <v>44020</v>
      </c>
      <c r="C1962" s="3" t="str">
        <f t="shared" si="91"/>
        <v>Wednesday</v>
      </c>
      <c r="D1962" s="2">
        <v>0.38913194444444449</v>
      </c>
      <c r="E1962" t="s">
        <v>22</v>
      </c>
      <c r="F1962" t="s">
        <v>15</v>
      </c>
      <c r="G1962">
        <v>-64</v>
      </c>
      <c r="H1962" t="s">
        <v>20</v>
      </c>
      <c r="I1962" t="s">
        <v>23</v>
      </c>
      <c r="L1962" t="s">
        <v>22</v>
      </c>
      <c r="M1962">
        <v>33.01</v>
      </c>
      <c r="N1962">
        <v>33.01</v>
      </c>
      <c r="O1962" t="s">
        <v>21</v>
      </c>
      <c r="P1962">
        <f t="shared" si="93"/>
        <v>-300</v>
      </c>
      <c r="Q1962" s="11">
        <f>IF(P1962=0,0,IFERROR(Q1961+G1962*M1962*IF(E1962="FUTURE",VLOOKUP(MID(I1962,2,2),[1]Futures!$A$2:$B$12,2),1),G1962*M1962*IF(E1962="FUTURE",VLOOKUP(MID(I1962,2,2),[1]Futures!$A$2:$B$12,2),1)))</f>
        <v>-9903</v>
      </c>
      <c r="R1962" s="12">
        <f>IFERROR(Q1962/P1962/IF(E1962="FUTURE",VLOOKUP(MID(I1962,2,2),[1]Futures!$A$2:$B$12,2),1),"")</f>
        <v>33.01</v>
      </c>
      <c r="S1962" s="13" t="str">
        <f>IF(AND(H1962="TO CLOSE",P1962=0),-G1962*(M1962-R1961)*IF(E1962="FUTURE",VLOOKUP(MID(I1962,2,2),[1]Futures!$A$2:$B$12,2),1),"")</f>
        <v/>
      </c>
    </row>
    <row r="1963" spans="1:19" x14ac:dyDescent="0.2">
      <c r="A1963">
        <f t="shared" si="92"/>
        <v>626</v>
      </c>
      <c r="B1963" s="3">
        <v>44020</v>
      </c>
      <c r="C1963" s="3" t="str">
        <f t="shared" si="91"/>
        <v>Wednesday</v>
      </c>
      <c r="D1963" s="2">
        <v>0.39920138888888884</v>
      </c>
      <c r="E1963" t="s">
        <v>22</v>
      </c>
      <c r="F1963" t="s">
        <v>19</v>
      </c>
      <c r="G1963">
        <v>89</v>
      </c>
      <c r="H1963" t="s">
        <v>16</v>
      </c>
      <c r="I1963" t="s">
        <v>23</v>
      </c>
      <c r="L1963" t="s">
        <v>22</v>
      </c>
      <c r="M1963">
        <v>32.67</v>
      </c>
      <c r="N1963">
        <v>32.67</v>
      </c>
      <c r="O1963" t="s">
        <v>21</v>
      </c>
      <c r="P1963">
        <f t="shared" si="93"/>
        <v>-211</v>
      </c>
      <c r="Q1963" s="11">
        <f>IF(P1963=0,0,IFERROR(Q1962+G1963*M1963*IF(E1963="FUTURE",VLOOKUP(MID(I1963,2,2),[1]Futures!$A$2:$B$12,2),1),G1963*M1963*IF(E1963="FUTURE",VLOOKUP(MID(I1963,2,2),[1]Futures!$A$2:$B$12,2),1)))</f>
        <v>-6995.37</v>
      </c>
      <c r="R1963" s="12">
        <f>IFERROR(Q1963/P1963/IF(E1963="FUTURE",VLOOKUP(MID(I1963,2,2),[1]Futures!$A$2:$B$12,2),1),"")</f>
        <v>33.153412322274882</v>
      </c>
      <c r="S1963" s="13" t="str">
        <f>IF(AND(H1963="TO CLOSE",P1963=0),-G1963*(M1963-R1962)*IF(E1963="FUTURE",VLOOKUP(MID(I1963,2,2),[1]Futures!$A$2:$B$12,2),1),"")</f>
        <v/>
      </c>
    </row>
    <row r="1964" spans="1:19" x14ac:dyDescent="0.2">
      <c r="A1964">
        <f t="shared" si="92"/>
        <v>626</v>
      </c>
      <c r="B1964" s="3">
        <v>44020</v>
      </c>
      <c r="C1964" s="3" t="str">
        <f t="shared" si="91"/>
        <v>Wednesday</v>
      </c>
      <c r="D1964" s="2">
        <v>0.39920138888888884</v>
      </c>
      <c r="E1964" t="s">
        <v>22</v>
      </c>
      <c r="F1964" t="s">
        <v>19</v>
      </c>
      <c r="G1964">
        <v>11</v>
      </c>
      <c r="H1964" t="s">
        <v>16</v>
      </c>
      <c r="I1964" t="s">
        <v>23</v>
      </c>
      <c r="L1964" t="s">
        <v>22</v>
      </c>
      <c r="M1964">
        <v>32.67</v>
      </c>
      <c r="N1964">
        <v>32.67</v>
      </c>
      <c r="O1964" t="s">
        <v>21</v>
      </c>
      <c r="P1964">
        <f t="shared" si="93"/>
        <v>-200</v>
      </c>
      <c r="Q1964" s="11">
        <f>IF(P1964=0,0,IFERROR(Q1963+G1964*M1964*IF(E1964="FUTURE",VLOOKUP(MID(I1964,2,2),[1]Futures!$A$2:$B$12,2),1),G1964*M1964*IF(E1964="FUTURE",VLOOKUP(MID(I1964,2,2),[1]Futures!$A$2:$B$12,2),1)))</f>
        <v>-6636</v>
      </c>
      <c r="R1964" s="12">
        <f>IFERROR(Q1964/P1964/IF(E1964="FUTURE",VLOOKUP(MID(I1964,2,2),[1]Futures!$A$2:$B$12,2),1),"")</f>
        <v>33.18</v>
      </c>
      <c r="S1964" s="13" t="str">
        <f>IF(AND(H1964="TO CLOSE",P1964=0),-G1964*(M1964-R1963)*IF(E1964="FUTURE",VLOOKUP(MID(I1964,2,2),[1]Futures!$A$2:$B$12,2),1),"")</f>
        <v/>
      </c>
    </row>
    <row r="1965" spans="1:19" x14ac:dyDescent="0.2">
      <c r="A1965">
        <f t="shared" si="92"/>
        <v>626</v>
      </c>
      <c r="B1965" s="3">
        <v>44020</v>
      </c>
      <c r="C1965" s="3" t="str">
        <f t="shared" si="91"/>
        <v>Wednesday</v>
      </c>
      <c r="D1965" s="2">
        <v>0.40888888888888886</v>
      </c>
      <c r="E1965" t="s">
        <v>22</v>
      </c>
      <c r="F1965" t="s">
        <v>19</v>
      </c>
      <c r="G1965">
        <v>50</v>
      </c>
      <c r="H1965" t="s">
        <v>16</v>
      </c>
      <c r="I1965" t="s">
        <v>23</v>
      </c>
      <c r="L1965" t="s">
        <v>22</v>
      </c>
      <c r="M1965">
        <v>32.547499999999999</v>
      </c>
      <c r="N1965">
        <v>32.547600000000003</v>
      </c>
      <c r="O1965" t="s">
        <v>24</v>
      </c>
      <c r="P1965">
        <f t="shared" si="93"/>
        <v>-150</v>
      </c>
      <c r="Q1965" s="11">
        <f>IF(P1965=0,0,IFERROR(Q1964+G1965*M1965*IF(E1965="FUTURE",VLOOKUP(MID(I1965,2,2),[1]Futures!$A$2:$B$12,2),1),G1965*M1965*IF(E1965="FUTURE",VLOOKUP(MID(I1965,2,2),[1]Futures!$A$2:$B$12,2),1)))</f>
        <v>-5008.625</v>
      </c>
      <c r="R1965" s="12">
        <f>IFERROR(Q1965/P1965/IF(E1965="FUTURE",VLOOKUP(MID(I1965,2,2),[1]Futures!$A$2:$B$12,2),1),"")</f>
        <v>33.390833333333333</v>
      </c>
      <c r="S1965" s="13" t="str">
        <f>IF(AND(H1965="TO CLOSE",P1965=0),-G1965*(M1965-R1964)*IF(E1965="FUTURE",VLOOKUP(MID(I1965,2,2),[1]Futures!$A$2:$B$12,2),1),"")</f>
        <v/>
      </c>
    </row>
    <row r="1966" spans="1:19" x14ac:dyDescent="0.2">
      <c r="A1966">
        <f t="shared" si="92"/>
        <v>626</v>
      </c>
      <c r="B1966" s="3">
        <v>44020</v>
      </c>
      <c r="C1966" s="3" t="str">
        <f t="shared" si="91"/>
        <v>Wednesday</v>
      </c>
      <c r="D1966" s="2">
        <v>0.41721064814814812</v>
      </c>
      <c r="E1966" t="s">
        <v>22</v>
      </c>
      <c r="F1966" t="s">
        <v>19</v>
      </c>
      <c r="G1966">
        <v>50</v>
      </c>
      <c r="H1966" t="s">
        <v>16</v>
      </c>
      <c r="I1966" t="s">
        <v>23</v>
      </c>
      <c r="L1966" t="s">
        <v>22</v>
      </c>
      <c r="M1966">
        <v>32.549999999999997</v>
      </c>
      <c r="N1966">
        <v>32.549999999999997</v>
      </c>
      <c r="O1966" t="s">
        <v>24</v>
      </c>
      <c r="P1966">
        <f t="shared" si="93"/>
        <v>-100</v>
      </c>
      <c r="Q1966" s="11">
        <f>IF(P1966=0,0,IFERROR(Q1965+G1966*M1966*IF(E1966="FUTURE",VLOOKUP(MID(I1966,2,2),[1]Futures!$A$2:$B$12,2),1),G1966*M1966*IF(E1966="FUTURE",VLOOKUP(MID(I1966,2,2),[1]Futures!$A$2:$B$12,2),1)))</f>
        <v>-3381.125</v>
      </c>
      <c r="R1966" s="12">
        <f>IFERROR(Q1966/P1966/IF(E1966="FUTURE",VLOOKUP(MID(I1966,2,2),[1]Futures!$A$2:$B$12,2),1),"")</f>
        <v>33.811250000000001</v>
      </c>
      <c r="S1966" s="13" t="str">
        <f>IF(AND(H1966="TO CLOSE",P1966=0),-G1966*(M1966-R1965)*IF(E1966="FUTURE",VLOOKUP(MID(I1966,2,2),[1]Futures!$A$2:$B$12,2),1),"")</f>
        <v/>
      </c>
    </row>
    <row r="1967" spans="1:19" x14ac:dyDescent="0.2">
      <c r="A1967">
        <f t="shared" si="92"/>
        <v>626</v>
      </c>
      <c r="B1967" s="3">
        <v>44020</v>
      </c>
      <c r="C1967" s="3" t="str">
        <f t="shared" si="91"/>
        <v>Wednesday</v>
      </c>
      <c r="D1967" s="2">
        <v>0.43961805555555555</v>
      </c>
      <c r="E1967" t="s">
        <v>22</v>
      </c>
      <c r="F1967" t="s">
        <v>19</v>
      </c>
      <c r="G1967">
        <v>100</v>
      </c>
      <c r="H1967" t="s">
        <v>16</v>
      </c>
      <c r="I1967" t="s">
        <v>23</v>
      </c>
      <c r="L1967" t="s">
        <v>22</v>
      </c>
      <c r="M1967">
        <v>32.867600000000003</v>
      </c>
      <c r="N1967">
        <v>32.867600000000003</v>
      </c>
      <c r="O1967" t="s">
        <v>24</v>
      </c>
      <c r="P1967">
        <f t="shared" si="93"/>
        <v>0</v>
      </c>
      <c r="Q1967" s="11">
        <f>IF(P1967=0,0,IFERROR(Q1966+G1967*M1967*IF(E1967="FUTURE",VLOOKUP(MID(I1967,2,2),[1]Futures!$A$2:$B$12,2),1),G1967*M1967*IF(E1967="FUTURE",VLOOKUP(MID(I1967,2,2),[1]Futures!$A$2:$B$12,2),1)))</f>
        <v>0</v>
      </c>
      <c r="R1967" s="12" t="str">
        <f>IFERROR(Q1967/P1967/IF(E1967="FUTURE",VLOOKUP(MID(I1967,2,2),[1]Futures!$A$2:$B$12,2),1),"")</f>
        <v/>
      </c>
      <c r="S1967" s="13">
        <f>IF(AND(H1967="TO CLOSE",P1967=0),-G1967*(M1967-R1966)*IF(E1967="FUTURE",VLOOKUP(MID(I1967,2,2),[1]Futures!$A$2:$B$12,2),1),"")</f>
        <v>94.36499999999981</v>
      </c>
    </row>
    <row r="1968" spans="1:19" x14ac:dyDescent="0.2">
      <c r="A1968">
        <f t="shared" si="92"/>
        <v>627</v>
      </c>
      <c r="B1968" s="3">
        <v>44020</v>
      </c>
      <c r="C1968" s="3" t="str">
        <f t="shared" si="91"/>
        <v>Wednesday</v>
      </c>
      <c r="D1968" s="2">
        <v>0.43961805555555555</v>
      </c>
      <c r="E1968" t="s">
        <v>22</v>
      </c>
      <c r="F1968" t="s">
        <v>19</v>
      </c>
      <c r="G1968">
        <v>200</v>
      </c>
      <c r="H1968" t="s">
        <v>20</v>
      </c>
      <c r="I1968" t="s">
        <v>23</v>
      </c>
      <c r="L1968" t="s">
        <v>22</v>
      </c>
      <c r="M1968">
        <v>32.867600000000003</v>
      </c>
      <c r="N1968">
        <v>32.867600000000003</v>
      </c>
      <c r="O1968" t="s">
        <v>24</v>
      </c>
      <c r="P1968">
        <f t="shared" si="93"/>
        <v>200</v>
      </c>
      <c r="Q1968" s="11">
        <f>IF(P1968=0,0,IFERROR(Q1967+G1968*M1968*IF(E1968="FUTURE",VLOOKUP(MID(I1968,2,2),[1]Futures!$A$2:$B$12,2),1),G1968*M1968*IF(E1968="FUTURE",VLOOKUP(MID(I1968,2,2),[1]Futures!$A$2:$B$12,2),1)))</f>
        <v>6573.52</v>
      </c>
      <c r="R1968" s="12">
        <f>IFERROR(Q1968/P1968/IF(E1968="FUTURE",VLOOKUP(MID(I1968,2,2),[1]Futures!$A$2:$B$12,2),1),"")</f>
        <v>32.867600000000003</v>
      </c>
      <c r="S1968" s="13" t="str">
        <f>IF(AND(H1968="TO CLOSE",P1968=0),-G1968*(M1968-R1967)*IF(E1968="FUTURE",VLOOKUP(MID(I1968,2,2),[1]Futures!$A$2:$B$12,2),1),"")</f>
        <v/>
      </c>
    </row>
    <row r="1969" spans="1:19" x14ac:dyDescent="0.2">
      <c r="A1969">
        <f t="shared" si="92"/>
        <v>627</v>
      </c>
      <c r="B1969" s="3">
        <v>44020</v>
      </c>
      <c r="C1969" s="3" t="str">
        <f t="shared" si="91"/>
        <v>Wednesday</v>
      </c>
      <c r="D1969" s="2">
        <v>0.44520833333333337</v>
      </c>
      <c r="E1969" t="s">
        <v>22</v>
      </c>
      <c r="F1969" t="s">
        <v>15</v>
      </c>
      <c r="G1969">
        <v>-100</v>
      </c>
      <c r="H1969" t="s">
        <v>16</v>
      </c>
      <c r="I1969" t="s">
        <v>23</v>
      </c>
      <c r="L1969" t="s">
        <v>22</v>
      </c>
      <c r="M1969">
        <v>33.010100000000001</v>
      </c>
      <c r="N1969">
        <v>33.010100000000001</v>
      </c>
      <c r="O1969" t="s">
        <v>21</v>
      </c>
      <c r="P1969">
        <f t="shared" si="93"/>
        <v>100</v>
      </c>
      <c r="Q1969" s="11">
        <f>IF(P1969=0,0,IFERROR(Q1968+G1969*M1969*IF(E1969="FUTURE",VLOOKUP(MID(I1969,2,2),[1]Futures!$A$2:$B$12,2),1),G1969*M1969*IF(E1969="FUTURE",VLOOKUP(MID(I1969,2,2),[1]Futures!$A$2:$B$12,2),1)))</f>
        <v>3272.51</v>
      </c>
      <c r="R1969" s="12">
        <f>IFERROR(Q1969/P1969/IF(E1969="FUTURE",VLOOKUP(MID(I1969,2,2),[1]Futures!$A$2:$B$12,2),1),"")</f>
        <v>32.725100000000005</v>
      </c>
      <c r="S1969" s="13" t="str">
        <f>IF(AND(H1969="TO CLOSE",P1969=0),-G1969*(M1969-R1968)*IF(E1969="FUTURE",VLOOKUP(MID(I1969,2,2),[1]Futures!$A$2:$B$12,2),1),"")</f>
        <v/>
      </c>
    </row>
    <row r="1970" spans="1:19" x14ac:dyDescent="0.2">
      <c r="A1970">
        <f t="shared" si="92"/>
        <v>627</v>
      </c>
      <c r="B1970" s="3">
        <v>44020</v>
      </c>
      <c r="C1970" s="3" t="str">
        <f t="shared" si="91"/>
        <v>Wednesday</v>
      </c>
      <c r="D1970" s="2">
        <v>0.44520833333333337</v>
      </c>
      <c r="E1970" t="s">
        <v>22</v>
      </c>
      <c r="F1970" t="s">
        <v>15</v>
      </c>
      <c r="G1970">
        <v>-100</v>
      </c>
      <c r="H1970" t="s">
        <v>16</v>
      </c>
      <c r="I1970" t="s">
        <v>23</v>
      </c>
      <c r="L1970" t="s">
        <v>22</v>
      </c>
      <c r="M1970">
        <v>33.010100000000001</v>
      </c>
      <c r="N1970">
        <v>33.010100000000001</v>
      </c>
      <c r="O1970" t="s">
        <v>21</v>
      </c>
      <c r="P1970">
        <f t="shared" si="93"/>
        <v>0</v>
      </c>
      <c r="Q1970" s="11">
        <f>IF(P1970=0,0,IFERROR(Q1969+G1970*M1970*IF(E1970="FUTURE",VLOOKUP(MID(I1970,2,2),[1]Futures!$A$2:$B$12,2),1),G1970*M1970*IF(E1970="FUTURE",VLOOKUP(MID(I1970,2,2),[1]Futures!$A$2:$B$12,2),1)))</f>
        <v>0</v>
      </c>
      <c r="R1970" s="12" t="str">
        <f>IFERROR(Q1970/P1970/IF(E1970="FUTURE",VLOOKUP(MID(I1970,2,2),[1]Futures!$A$2:$B$12,2),1),"")</f>
        <v/>
      </c>
      <c r="S1970" s="13">
        <f>IF(AND(H1970="TO CLOSE",P1970=0),-G1970*(M1970-R1969)*IF(E1970="FUTURE",VLOOKUP(MID(I1970,2,2),[1]Futures!$A$2:$B$12,2),1),"")</f>
        <v>28.499999999999659</v>
      </c>
    </row>
    <row r="1971" spans="1:19" x14ac:dyDescent="0.2">
      <c r="A1971">
        <f t="shared" si="92"/>
        <v>628</v>
      </c>
      <c r="B1971" s="3">
        <v>44021</v>
      </c>
      <c r="C1971" s="3" t="str">
        <f t="shared" si="91"/>
        <v>Thursday</v>
      </c>
      <c r="D1971" s="2">
        <v>0.41903935185185182</v>
      </c>
      <c r="E1971" t="s">
        <v>14</v>
      </c>
      <c r="F1971" t="s">
        <v>19</v>
      </c>
      <c r="G1971">
        <v>1</v>
      </c>
      <c r="H1971" t="s">
        <v>20</v>
      </c>
      <c r="I1971" t="s">
        <v>77</v>
      </c>
      <c r="J1971" s="1">
        <v>44063</v>
      </c>
      <c r="L1971" t="s">
        <v>14</v>
      </c>
      <c r="M1971">
        <v>40.54</v>
      </c>
      <c r="N1971">
        <v>40.54</v>
      </c>
      <c r="O1971" t="s">
        <v>24</v>
      </c>
      <c r="P1971">
        <f t="shared" si="93"/>
        <v>1</v>
      </c>
      <c r="Q1971" s="11">
        <f>IF(P1971=0,0,IFERROR(Q1970+G1971*M1971*IF(E1971="FUTURE",VLOOKUP(MID(I1971,2,2),[1]Futures!$A$2:$B$12,2),1),G1971*M1971*IF(E1971="FUTURE",VLOOKUP(MID(I1971,2,2),[1]Futures!$A$2:$B$12,2),1)))</f>
        <v>40540</v>
      </c>
      <c r="R1971" s="12">
        <f>IFERROR(Q1971/P1971/IF(E1971="FUTURE",VLOOKUP(MID(I1971,2,2),[1]Futures!$A$2:$B$12,2),1),"")</f>
        <v>40.54</v>
      </c>
      <c r="S1971" s="13" t="str">
        <f>IF(AND(H1971="TO CLOSE",P1971=0),-G1971*(M1971-R1970)*IF(E1971="FUTURE",VLOOKUP(MID(I1971,2,2),[1]Futures!$A$2:$B$12,2),1),"")</f>
        <v/>
      </c>
    </row>
    <row r="1972" spans="1:19" x14ac:dyDescent="0.2">
      <c r="A1972">
        <f t="shared" si="92"/>
        <v>628</v>
      </c>
      <c r="B1972" s="3">
        <v>44021</v>
      </c>
      <c r="C1972" s="3" t="str">
        <f t="shared" si="91"/>
        <v>Thursday</v>
      </c>
      <c r="D1972" s="2">
        <v>0.42024305555555558</v>
      </c>
      <c r="E1972" t="s">
        <v>14</v>
      </c>
      <c r="F1972" t="s">
        <v>15</v>
      </c>
      <c r="G1972">
        <v>-1</v>
      </c>
      <c r="H1972" t="s">
        <v>16</v>
      </c>
      <c r="I1972" t="s">
        <v>77</v>
      </c>
      <c r="J1972" s="1">
        <v>44063</v>
      </c>
      <c r="L1972" t="s">
        <v>14</v>
      </c>
      <c r="M1972">
        <v>40.549999999999997</v>
      </c>
      <c r="N1972">
        <v>40.549999999999997</v>
      </c>
      <c r="O1972" t="s">
        <v>21</v>
      </c>
      <c r="P1972">
        <f t="shared" si="93"/>
        <v>0</v>
      </c>
      <c r="Q1972" s="11">
        <f>IF(P1972=0,0,IFERROR(Q1971+G1972*M1972*IF(E1972="FUTURE",VLOOKUP(MID(I1972,2,2),[1]Futures!$A$2:$B$12,2),1),G1972*M1972*IF(E1972="FUTURE",VLOOKUP(MID(I1972,2,2),[1]Futures!$A$2:$B$12,2),1)))</f>
        <v>0</v>
      </c>
      <c r="R1972" s="12" t="str">
        <f>IFERROR(Q1972/P1972/IF(E1972="FUTURE",VLOOKUP(MID(I1972,2,2),[1]Futures!$A$2:$B$12,2),1),"")</f>
        <v/>
      </c>
      <c r="S1972" s="13">
        <f>IF(AND(H1972="TO CLOSE",P1972=0),-G1972*(M1972-R1971)*IF(E1972="FUTURE",VLOOKUP(MID(I1972,2,2),[1]Futures!$A$2:$B$12,2),1),"")</f>
        <v>9.9999999999980105</v>
      </c>
    </row>
    <row r="1973" spans="1:19" x14ac:dyDescent="0.2">
      <c r="A1973">
        <f t="shared" si="92"/>
        <v>629</v>
      </c>
      <c r="B1973" s="3">
        <v>44021</v>
      </c>
      <c r="C1973" s="3" t="str">
        <f t="shared" si="91"/>
        <v>Thursday</v>
      </c>
      <c r="D1973" s="2">
        <v>0.4424305555555556</v>
      </c>
      <c r="E1973" t="s">
        <v>14</v>
      </c>
      <c r="F1973" t="s">
        <v>19</v>
      </c>
      <c r="G1973">
        <v>1</v>
      </c>
      <c r="H1973" t="s">
        <v>20</v>
      </c>
      <c r="I1973" t="s">
        <v>77</v>
      </c>
      <c r="J1973" s="1">
        <v>44063</v>
      </c>
      <c r="L1973" t="s">
        <v>14</v>
      </c>
      <c r="M1973">
        <v>39.85</v>
      </c>
      <c r="N1973">
        <v>39.85</v>
      </c>
      <c r="O1973" t="s">
        <v>24</v>
      </c>
      <c r="P1973">
        <f t="shared" si="93"/>
        <v>1</v>
      </c>
      <c r="Q1973" s="11">
        <f>IF(P1973=0,0,IFERROR(Q1972+G1973*M1973*IF(E1973="FUTURE",VLOOKUP(MID(I1973,2,2),[1]Futures!$A$2:$B$12,2),1),G1973*M1973*IF(E1973="FUTURE",VLOOKUP(MID(I1973,2,2),[1]Futures!$A$2:$B$12,2),1)))</f>
        <v>39850</v>
      </c>
      <c r="R1973" s="12">
        <f>IFERROR(Q1973/P1973/IF(E1973="FUTURE",VLOOKUP(MID(I1973,2,2),[1]Futures!$A$2:$B$12,2),1),"")</f>
        <v>39.85</v>
      </c>
      <c r="S1973" s="13" t="str">
        <f>IF(AND(H1973="TO CLOSE",P1973=0),-G1973*(M1973-R1972)*IF(E1973="FUTURE",VLOOKUP(MID(I1973,2,2),[1]Futures!$A$2:$B$12,2),1),"")</f>
        <v/>
      </c>
    </row>
    <row r="1974" spans="1:19" x14ac:dyDescent="0.2">
      <c r="A1974">
        <f t="shared" si="92"/>
        <v>629</v>
      </c>
      <c r="B1974" s="3">
        <v>44021</v>
      </c>
      <c r="C1974" s="3" t="str">
        <f t="shared" si="91"/>
        <v>Thursday</v>
      </c>
      <c r="D1974" s="2">
        <v>0.4430324074074074</v>
      </c>
      <c r="E1974" t="s">
        <v>14</v>
      </c>
      <c r="F1974" t="s">
        <v>15</v>
      </c>
      <c r="G1974">
        <v>-1</v>
      </c>
      <c r="H1974" t="s">
        <v>16</v>
      </c>
      <c r="I1974" t="s">
        <v>77</v>
      </c>
      <c r="J1974" s="1">
        <v>44063</v>
      </c>
      <c r="L1974" t="s">
        <v>14</v>
      </c>
      <c r="M1974">
        <v>39.770000000000003</v>
      </c>
      <c r="N1974">
        <v>39.770000000000003</v>
      </c>
      <c r="O1974" t="s">
        <v>24</v>
      </c>
      <c r="P1974">
        <f t="shared" si="93"/>
        <v>0</v>
      </c>
      <c r="Q1974" s="11">
        <f>IF(P1974=0,0,IFERROR(Q1973+G1974*M1974*IF(E1974="FUTURE",VLOOKUP(MID(I1974,2,2),[1]Futures!$A$2:$B$12,2),1),G1974*M1974*IF(E1974="FUTURE",VLOOKUP(MID(I1974,2,2),[1]Futures!$A$2:$B$12,2),1)))</f>
        <v>0</v>
      </c>
      <c r="R1974" s="12" t="str">
        <f>IFERROR(Q1974/P1974/IF(E1974="FUTURE",VLOOKUP(MID(I1974,2,2),[1]Futures!$A$2:$B$12,2),1),"")</f>
        <v/>
      </c>
      <c r="S1974" s="13">
        <f>IF(AND(H1974="TO CLOSE",P1974=0),-G1974*(M1974-R1973)*IF(E1974="FUTURE",VLOOKUP(MID(I1974,2,2),[1]Futures!$A$2:$B$12,2),1),"")</f>
        <v>-79.999999999998295</v>
      </c>
    </row>
    <row r="1975" spans="1:19" x14ac:dyDescent="0.2">
      <c r="A1975">
        <f t="shared" si="92"/>
        <v>630</v>
      </c>
      <c r="B1975" s="3">
        <v>44021</v>
      </c>
      <c r="C1975" s="3" t="str">
        <f t="shared" si="91"/>
        <v>Thursday</v>
      </c>
      <c r="D1975" s="2">
        <v>0.4495601851851852</v>
      </c>
      <c r="E1975" t="s">
        <v>14</v>
      </c>
      <c r="F1975" t="s">
        <v>19</v>
      </c>
      <c r="G1975">
        <v>1</v>
      </c>
      <c r="H1975" t="s">
        <v>20</v>
      </c>
      <c r="I1975" t="s">
        <v>77</v>
      </c>
      <c r="J1975" s="1">
        <v>44063</v>
      </c>
      <c r="L1975" t="s">
        <v>14</v>
      </c>
      <c r="M1975">
        <v>39.450000000000003</v>
      </c>
      <c r="N1975">
        <v>39.450000000000003</v>
      </c>
      <c r="O1975" t="s">
        <v>21</v>
      </c>
      <c r="P1975">
        <f t="shared" si="93"/>
        <v>1</v>
      </c>
      <c r="Q1975" s="11">
        <f>IF(P1975=0,0,IFERROR(Q1974+G1975*M1975*IF(E1975="FUTURE",VLOOKUP(MID(I1975,2,2),[1]Futures!$A$2:$B$12,2),1),G1975*M1975*IF(E1975="FUTURE",VLOOKUP(MID(I1975,2,2),[1]Futures!$A$2:$B$12,2),1)))</f>
        <v>39450</v>
      </c>
      <c r="R1975" s="12">
        <f>IFERROR(Q1975/P1975/IF(E1975="FUTURE",VLOOKUP(MID(I1975,2,2),[1]Futures!$A$2:$B$12,2),1),"")</f>
        <v>39.450000000000003</v>
      </c>
      <c r="S1975" s="13" t="str">
        <f>IF(AND(H1975="TO CLOSE",P1975=0),-G1975*(M1975-R1974)*IF(E1975="FUTURE",VLOOKUP(MID(I1975,2,2),[1]Futures!$A$2:$B$12,2),1),"")</f>
        <v/>
      </c>
    </row>
    <row r="1976" spans="1:19" x14ac:dyDescent="0.2">
      <c r="A1976">
        <f t="shared" si="92"/>
        <v>630</v>
      </c>
      <c r="B1976" s="3">
        <v>44021</v>
      </c>
      <c r="C1976" s="3" t="str">
        <f t="shared" si="91"/>
        <v>Thursday</v>
      </c>
      <c r="D1976" s="2">
        <v>0.45366898148148144</v>
      </c>
      <c r="E1976" t="s">
        <v>14</v>
      </c>
      <c r="F1976" t="s">
        <v>15</v>
      </c>
      <c r="G1976">
        <v>-1</v>
      </c>
      <c r="H1976" t="s">
        <v>16</v>
      </c>
      <c r="I1976" t="s">
        <v>77</v>
      </c>
      <c r="J1976" s="1">
        <v>44063</v>
      </c>
      <c r="L1976" t="s">
        <v>14</v>
      </c>
      <c r="M1976">
        <v>39.630000000000003</v>
      </c>
      <c r="N1976">
        <v>39.630000000000003</v>
      </c>
      <c r="O1976" t="s">
        <v>21</v>
      </c>
      <c r="P1976">
        <f t="shared" si="93"/>
        <v>0</v>
      </c>
      <c r="Q1976" s="11">
        <f>IF(P1976=0,0,IFERROR(Q1975+G1976*M1976*IF(E1976="FUTURE",VLOOKUP(MID(I1976,2,2),[1]Futures!$A$2:$B$12,2),1),G1976*M1976*IF(E1976="FUTURE",VLOOKUP(MID(I1976,2,2),[1]Futures!$A$2:$B$12,2),1)))</f>
        <v>0</v>
      </c>
      <c r="R1976" s="12" t="str">
        <f>IFERROR(Q1976/P1976/IF(E1976="FUTURE",VLOOKUP(MID(I1976,2,2),[1]Futures!$A$2:$B$12,2),1),"")</f>
        <v/>
      </c>
      <c r="S1976" s="13">
        <f>IF(AND(H1976="TO CLOSE",P1976=0),-G1976*(M1976-R1975)*IF(E1976="FUTURE",VLOOKUP(MID(I1976,2,2),[1]Futures!$A$2:$B$12,2),1),"")</f>
        <v>179.99999999999972</v>
      </c>
    </row>
    <row r="1977" spans="1:19" x14ac:dyDescent="0.2">
      <c r="A1977">
        <f t="shared" si="92"/>
        <v>631</v>
      </c>
      <c r="B1977" s="3">
        <v>44021</v>
      </c>
      <c r="C1977" s="3" t="str">
        <f t="shared" si="91"/>
        <v>Thursday</v>
      </c>
      <c r="D1977" s="2">
        <v>0.46296296296296297</v>
      </c>
      <c r="E1977" t="s">
        <v>14</v>
      </c>
      <c r="F1977" t="s">
        <v>19</v>
      </c>
      <c r="G1977">
        <v>1</v>
      </c>
      <c r="H1977" t="s">
        <v>20</v>
      </c>
      <c r="I1977" t="s">
        <v>77</v>
      </c>
      <c r="J1977" s="1">
        <v>44063</v>
      </c>
      <c r="L1977" t="s">
        <v>14</v>
      </c>
      <c r="M1977">
        <v>39.47</v>
      </c>
      <c r="N1977">
        <v>39.47</v>
      </c>
      <c r="O1977" t="s">
        <v>21</v>
      </c>
      <c r="P1977">
        <f t="shared" si="93"/>
        <v>1</v>
      </c>
      <c r="Q1977" s="11">
        <f>IF(P1977=0,0,IFERROR(Q1976+G1977*M1977*IF(E1977="FUTURE",VLOOKUP(MID(I1977,2,2),[1]Futures!$A$2:$B$12,2),1),G1977*M1977*IF(E1977="FUTURE",VLOOKUP(MID(I1977,2,2),[1]Futures!$A$2:$B$12,2),1)))</f>
        <v>39470</v>
      </c>
      <c r="R1977" s="12">
        <f>IFERROR(Q1977/P1977/IF(E1977="FUTURE",VLOOKUP(MID(I1977,2,2),[1]Futures!$A$2:$B$12,2),1),"")</f>
        <v>39.47</v>
      </c>
      <c r="S1977" s="13" t="str">
        <f>IF(AND(H1977="TO CLOSE",P1977=0),-G1977*(M1977-R1976)*IF(E1977="FUTURE",VLOOKUP(MID(I1977,2,2),[1]Futures!$A$2:$B$12,2),1),"")</f>
        <v/>
      </c>
    </row>
    <row r="1978" spans="1:19" x14ac:dyDescent="0.2">
      <c r="A1978">
        <f t="shared" si="92"/>
        <v>631</v>
      </c>
      <c r="B1978" s="3">
        <v>44021</v>
      </c>
      <c r="C1978" s="3" t="str">
        <f t="shared" si="91"/>
        <v>Thursday</v>
      </c>
      <c r="D1978" s="2">
        <v>0.46533564814814815</v>
      </c>
      <c r="E1978" t="s">
        <v>14</v>
      </c>
      <c r="F1978" t="s">
        <v>15</v>
      </c>
      <c r="G1978">
        <v>-1</v>
      </c>
      <c r="H1978" t="s">
        <v>16</v>
      </c>
      <c r="I1978" t="s">
        <v>77</v>
      </c>
      <c r="J1978" s="1">
        <v>44063</v>
      </c>
      <c r="L1978" t="s">
        <v>14</v>
      </c>
      <c r="M1978">
        <v>39.590000000000003</v>
      </c>
      <c r="N1978">
        <v>39.590000000000003</v>
      </c>
      <c r="O1978" t="s">
        <v>21</v>
      </c>
      <c r="P1978">
        <f t="shared" si="93"/>
        <v>0</v>
      </c>
      <c r="Q1978" s="11">
        <f>IF(P1978=0,0,IFERROR(Q1977+G1978*M1978*IF(E1978="FUTURE",VLOOKUP(MID(I1978,2,2),[1]Futures!$A$2:$B$12,2),1),G1978*M1978*IF(E1978="FUTURE",VLOOKUP(MID(I1978,2,2),[1]Futures!$A$2:$B$12,2),1)))</f>
        <v>0</v>
      </c>
      <c r="R1978" s="12" t="str">
        <f>IFERROR(Q1978/P1978/IF(E1978="FUTURE",VLOOKUP(MID(I1978,2,2),[1]Futures!$A$2:$B$12,2),1),"")</f>
        <v/>
      </c>
      <c r="S1978" s="13">
        <f>IF(AND(H1978="TO CLOSE",P1978=0),-G1978*(M1978-R1977)*IF(E1978="FUTURE",VLOOKUP(MID(I1978,2,2),[1]Futures!$A$2:$B$12,2),1),"")</f>
        <v>120.00000000000455</v>
      </c>
    </row>
    <row r="1979" spans="1:19" x14ac:dyDescent="0.2">
      <c r="A1979">
        <f t="shared" si="92"/>
        <v>632</v>
      </c>
      <c r="B1979" s="3">
        <v>44021</v>
      </c>
      <c r="C1979" s="3" t="str">
        <f t="shared" si="91"/>
        <v>Thursday</v>
      </c>
      <c r="D1979" s="2">
        <v>0.42744212962962963</v>
      </c>
      <c r="E1979" t="s">
        <v>14</v>
      </c>
      <c r="F1979" t="s">
        <v>15</v>
      </c>
      <c r="G1979">
        <v>-1</v>
      </c>
      <c r="H1979" t="s">
        <v>20</v>
      </c>
      <c r="I1979" t="s">
        <v>79</v>
      </c>
      <c r="J1979" s="1">
        <v>44094</v>
      </c>
      <c r="L1979" t="s">
        <v>14</v>
      </c>
      <c r="M1979">
        <v>3153.75</v>
      </c>
      <c r="N1979">
        <v>3153.75</v>
      </c>
      <c r="O1979" t="s">
        <v>24</v>
      </c>
      <c r="P1979">
        <f t="shared" si="93"/>
        <v>-1</v>
      </c>
      <c r="Q1979" s="11">
        <f>IF(P1979=0,0,IFERROR(Q1978+G1979*M1979*IF(E1979="FUTURE",VLOOKUP(MID(I1979,2,2),[1]Futures!$A$2:$B$12,2),1),G1979*M1979*IF(E1979="FUTURE",VLOOKUP(MID(I1979,2,2),[1]Futures!$A$2:$B$12,2),1)))</f>
        <v>-157687.5</v>
      </c>
      <c r="R1979" s="12">
        <f>IFERROR(Q1979/P1979/IF(E1979="FUTURE",VLOOKUP(MID(I1979,2,2),[1]Futures!$A$2:$B$12,2),1),"")</f>
        <v>3153.75</v>
      </c>
      <c r="S1979" s="13" t="str">
        <f>IF(AND(H1979="TO CLOSE",P1979=0),-G1979*(M1979-R1978)*IF(E1979="FUTURE",VLOOKUP(MID(I1979,2,2),[1]Futures!$A$2:$B$12,2),1),"")</f>
        <v/>
      </c>
    </row>
    <row r="1980" spans="1:19" x14ac:dyDescent="0.2">
      <c r="A1980">
        <f t="shared" si="92"/>
        <v>632</v>
      </c>
      <c r="B1980" s="3">
        <v>44021</v>
      </c>
      <c r="C1980" s="3" t="str">
        <f t="shared" si="91"/>
        <v>Thursday</v>
      </c>
      <c r="D1980" s="2">
        <v>0.42851851851851852</v>
      </c>
      <c r="E1980" t="s">
        <v>14</v>
      </c>
      <c r="F1980" t="s">
        <v>19</v>
      </c>
      <c r="G1980">
        <v>1</v>
      </c>
      <c r="H1980" t="s">
        <v>16</v>
      </c>
      <c r="I1980" t="s">
        <v>79</v>
      </c>
      <c r="J1980" s="1">
        <v>44094</v>
      </c>
      <c r="L1980" t="s">
        <v>14</v>
      </c>
      <c r="M1980">
        <v>3150.25</v>
      </c>
      <c r="N1980">
        <v>3150.25</v>
      </c>
      <c r="O1980" t="s">
        <v>21</v>
      </c>
      <c r="P1980">
        <f t="shared" si="93"/>
        <v>0</v>
      </c>
      <c r="Q1980" s="11">
        <f>IF(P1980=0,0,IFERROR(Q1979+G1980*M1980*IF(E1980="FUTURE",VLOOKUP(MID(I1980,2,2),[1]Futures!$A$2:$B$12,2),1),G1980*M1980*IF(E1980="FUTURE",VLOOKUP(MID(I1980,2,2),[1]Futures!$A$2:$B$12,2),1)))</f>
        <v>0</v>
      </c>
      <c r="R1980" s="12" t="str">
        <f>IFERROR(Q1980/P1980/IF(E1980="FUTURE",VLOOKUP(MID(I1980,2,2),[1]Futures!$A$2:$B$12,2),1),"")</f>
        <v/>
      </c>
      <c r="S1980" s="13">
        <f>IF(AND(H1980="TO CLOSE",P1980=0),-G1980*(M1980-R1979)*IF(E1980="FUTURE",VLOOKUP(MID(I1980,2,2),[1]Futures!$A$2:$B$12,2),1),"")</f>
        <v>175</v>
      </c>
    </row>
    <row r="1981" spans="1:19" x14ac:dyDescent="0.2">
      <c r="A1981">
        <f t="shared" si="92"/>
        <v>633</v>
      </c>
      <c r="B1981" s="3">
        <v>44021</v>
      </c>
      <c r="C1981" s="3" t="str">
        <f t="shared" si="91"/>
        <v>Thursday</v>
      </c>
      <c r="D1981" s="2">
        <v>0.43216435185185187</v>
      </c>
      <c r="E1981" t="s">
        <v>14</v>
      </c>
      <c r="F1981" t="s">
        <v>15</v>
      </c>
      <c r="G1981">
        <v>-1</v>
      </c>
      <c r="H1981" t="s">
        <v>20</v>
      </c>
      <c r="I1981" t="s">
        <v>79</v>
      </c>
      <c r="J1981" s="1">
        <v>44094</v>
      </c>
      <c r="L1981" t="s">
        <v>14</v>
      </c>
      <c r="M1981">
        <v>3151</v>
      </c>
      <c r="N1981">
        <v>3151</v>
      </c>
      <c r="O1981" t="s">
        <v>24</v>
      </c>
      <c r="P1981">
        <f t="shared" si="93"/>
        <v>-1</v>
      </c>
      <c r="Q1981" s="11">
        <f>IF(P1981=0,0,IFERROR(Q1980+G1981*M1981*IF(E1981="FUTURE",VLOOKUP(MID(I1981,2,2),[1]Futures!$A$2:$B$12,2),1),G1981*M1981*IF(E1981="FUTURE",VLOOKUP(MID(I1981,2,2),[1]Futures!$A$2:$B$12,2),1)))</f>
        <v>-157550</v>
      </c>
      <c r="R1981" s="12">
        <f>IFERROR(Q1981/P1981/IF(E1981="FUTURE",VLOOKUP(MID(I1981,2,2),[1]Futures!$A$2:$B$12,2),1),"")</f>
        <v>3151</v>
      </c>
      <c r="S1981" s="13" t="str">
        <f>IF(AND(H1981="TO CLOSE",P1981=0),-G1981*(M1981-R1980)*IF(E1981="FUTURE",VLOOKUP(MID(I1981,2,2),[1]Futures!$A$2:$B$12,2),1),"")</f>
        <v/>
      </c>
    </row>
    <row r="1982" spans="1:19" x14ac:dyDescent="0.2">
      <c r="A1982">
        <f t="shared" si="92"/>
        <v>633</v>
      </c>
      <c r="B1982" s="3">
        <v>44021</v>
      </c>
      <c r="C1982" s="3" t="str">
        <f t="shared" ref="C1982:C2045" si="94">IF(WEEKDAY(B1982,2)=1,"Monday",IF(WEEKDAY(B1982,2)=2,"Tuesday",IF(WEEKDAY(B1982,2)=3,"Wednesday",IF(WEEKDAY(B1982,2)=4,"Thursday",IF(WEEKDAY(B1982,2)=5,"Friday","Sunday")))))</f>
        <v>Thursday</v>
      </c>
      <c r="D1982" s="2">
        <v>0.43310185185185185</v>
      </c>
      <c r="E1982" t="s">
        <v>14</v>
      </c>
      <c r="F1982" t="s">
        <v>19</v>
      </c>
      <c r="G1982">
        <v>1</v>
      </c>
      <c r="H1982" t="s">
        <v>16</v>
      </c>
      <c r="I1982" t="s">
        <v>79</v>
      </c>
      <c r="J1982" s="1">
        <v>44094</v>
      </c>
      <c r="L1982" t="s">
        <v>14</v>
      </c>
      <c r="M1982">
        <v>3150.75</v>
      </c>
      <c r="N1982">
        <v>3150.75</v>
      </c>
      <c r="O1982" t="s">
        <v>21</v>
      </c>
      <c r="P1982">
        <f t="shared" si="93"/>
        <v>0</v>
      </c>
      <c r="Q1982" s="11">
        <f>IF(P1982=0,0,IFERROR(Q1981+G1982*M1982*IF(E1982="FUTURE",VLOOKUP(MID(I1982,2,2),[1]Futures!$A$2:$B$12,2),1),G1982*M1982*IF(E1982="FUTURE",VLOOKUP(MID(I1982,2,2),[1]Futures!$A$2:$B$12,2),1)))</f>
        <v>0</v>
      </c>
      <c r="R1982" s="12" t="str">
        <f>IFERROR(Q1982/P1982/IF(E1982="FUTURE",VLOOKUP(MID(I1982,2,2),[1]Futures!$A$2:$B$12,2),1),"")</f>
        <v/>
      </c>
      <c r="S1982" s="13">
        <f>IF(AND(H1982="TO CLOSE",P1982=0),-G1982*(M1982-R1981)*IF(E1982="FUTURE",VLOOKUP(MID(I1982,2,2),[1]Futures!$A$2:$B$12,2),1),"")</f>
        <v>12.5</v>
      </c>
    </row>
    <row r="1983" spans="1:19" x14ac:dyDescent="0.2">
      <c r="A1983">
        <f t="shared" si="92"/>
        <v>634</v>
      </c>
      <c r="B1983" s="3">
        <v>44021</v>
      </c>
      <c r="C1983" s="3" t="str">
        <f t="shared" si="94"/>
        <v>Thursday</v>
      </c>
      <c r="D1983" s="2">
        <v>0.43857638888888889</v>
      </c>
      <c r="E1983" t="s">
        <v>14</v>
      </c>
      <c r="F1983" t="s">
        <v>19</v>
      </c>
      <c r="G1983">
        <v>1</v>
      </c>
      <c r="H1983" t="s">
        <v>20</v>
      </c>
      <c r="I1983" t="s">
        <v>79</v>
      </c>
      <c r="J1983" s="1">
        <v>44094</v>
      </c>
      <c r="L1983" t="s">
        <v>14</v>
      </c>
      <c r="M1983">
        <v>3151.25</v>
      </c>
      <c r="N1983">
        <v>3151.25</v>
      </c>
      <c r="O1983" t="s">
        <v>21</v>
      </c>
      <c r="P1983">
        <f t="shared" si="93"/>
        <v>1</v>
      </c>
      <c r="Q1983" s="11">
        <f>IF(P1983=0,0,IFERROR(Q1982+G1983*M1983*IF(E1983="FUTURE",VLOOKUP(MID(I1983,2,2),[1]Futures!$A$2:$B$12,2),1),G1983*M1983*IF(E1983="FUTURE",VLOOKUP(MID(I1983,2,2),[1]Futures!$A$2:$B$12,2),1)))</f>
        <v>157562.5</v>
      </c>
      <c r="R1983" s="12">
        <f>IFERROR(Q1983/P1983/IF(E1983="FUTURE",VLOOKUP(MID(I1983,2,2),[1]Futures!$A$2:$B$12,2),1),"")</f>
        <v>3151.25</v>
      </c>
      <c r="S1983" s="13" t="str">
        <f>IF(AND(H1983="TO CLOSE",P1983=0),-G1983*(M1983-R1982)*IF(E1983="FUTURE",VLOOKUP(MID(I1983,2,2),[1]Futures!$A$2:$B$12,2),1),"")</f>
        <v/>
      </c>
    </row>
    <row r="1984" spans="1:19" x14ac:dyDescent="0.2">
      <c r="A1984">
        <f t="shared" si="92"/>
        <v>634</v>
      </c>
      <c r="B1984" s="3">
        <v>44021</v>
      </c>
      <c r="C1984" s="3" t="str">
        <f t="shared" si="94"/>
        <v>Thursday</v>
      </c>
      <c r="D1984" s="2">
        <v>0.43962962962962965</v>
      </c>
      <c r="E1984" t="s">
        <v>14</v>
      </c>
      <c r="F1984" t="s">
        <v>15</v>
      </c>
      <c r="G1984">
        <v>-1</v>
      </c>
      <c r="H1984" t="s">
        <v>16</v>
      </c>
      <c r="I1984" t="s">
        <v>79</v>
      </c>
      <c r="J1984" s="1">
        <v>44094</v>
      </c>
      <c r="L1984" t="s">
        <v>14</v>
      </c>
      <c r="M1984">
        <v>3151.5</v>
      </c>
      <c r="N1984">
        <v>3151.5</v>
      </c>
      <c r="O1984" t="s">
        <v>18</v>
      </c>
      <c r="P1984">
        <f t="shared" si="93"/>
        <v>0</v>
      </c>
      <c r="Q1984" s="11">
        <f>IF(P1984=0,0,IFERROR(Q1983+G1984*M1984*IF(E1984="FUTURE",VLOOKUP(MID(I1984,2,2),[1]Futures!$A$2:$B$12,2),1),G1984*M1984*IF(E1984="FUTURE",VLOOKUP(MID(I1984,2,2),[1]Futures!$A$2:$B$12,2),1)))</f>
        <v>0</v>
      </c>
      <c r="R1984" s="12" t="str">
        <f>IFERROR(Q1984/P1984/IF(E1984="FUTURE",VLOOKUP(MID(I1984,2,2),[1]Futures!$A$2:$B$12,2),1),"")</f>
        <v/>
      </c>
      <c r="S1984" s="13">
        <f>IF(AND(H1984="TO CLOSE",P1984=0),-G1984*(M1984-R1983)*IF(E1984="FUTURE",VLOOKUP(MID(I1984,2,2),[1]Futures!$A$2:$B$12,2),1),"")</f>
        <v>12.5</v>
      </c>
    </row>
    <row r="1985" spans="1:19" x14ac:dyDescent="0.2">
      <c r="A1985">
        <f t="shared" si="92"/>
        <v>635</v>
      </c>
      <c r="B1985" s="3">
        <v>44021</v>
      </c>
      <c r="C1985" s="3" t="str">
        <f t="shared" si="94"/>
        <v>Thursday</v>
      </c>
      <c r="D1985" s="2">
        <v>0.45177083333333329</v>
      </c>
      <c r="E1985" t="s">
        <v>14</v>
      </c>
      <c r="F1985" t="s">
        <v>19</v>
      </c>
      <c r="G1985">
        <v>1</v>
      </c>
      <c r="H1985" t="s">
        <v>20</v>
      </c>
      <c r="I1985" t="s">
        <v>79</v>
      </c>
      <c r="J1985" s="1">
        <v>44094</v>
      </c>
      <c r="L1985" t="s">
        <v>14</v>
      </c>
      <c r="M1985">
        <v>3132</v>
      </c>
      <c r="N1985">
        <v>3132</v>
      </c>
      <c r="O1985" t="s">
        <v>24</v>
      </c>
      <c r="P1985">
        <f t="shared" si="93"/>
        <v>1</v>
      </c>
      <c r="Q1985" s="11">
        <f>IF(P1985=0,0,IFERROR(Q1984+G1985*M1985*IF(E1985="FUTURE",VLOOKUP(MID(I1985,2,2),[1]Futures!$A$2:$B$12,2),1),G1985*M1985*IF(E1985="FUTURE",VLOOKUP(MID(I1985,2,2),[1]Futures!$A$2:$B$12,2),1)))</f>
        <v>156600</v>
      </c>
      <c r="R1985" s="12">
        <f>IFERROR(Q1985/P1985/IF(E1985="FUTURE",VLOOKUP(MID(I1985,2,2),[1]Futures!$A$2:$B$12,2),1),"")</f>
        <v>3132</v>
      </c>
      <c r="S1985" s="13" t="str">
        <f>IF(AND(H1985="TO CLOSE",P1985=0),-G1985*(M1985-R1984)*IF(E1985="FUTURE",VLOOKUP(MID(I1985,2,2),[1]Futures!$A$2:$B$12,2),1),"")</f>
        <v/>
      </c>
    </row>
    <row r="1986" spans="1:19" x14ac:dyDescent="0.2">
      <c r="A1986">
        <f t="shared" ref="A1986:A2049" si="95">IF(AND(P1985=0,H1985="TO CLOSE"),IFERROR(A1985+1,1),IFERROR(A1985/1,1))</f>
        <v>635</v>
      </c>
      <c r="B1986" s="3">
        <v>44021</v>
      </c>
      <c r="C1986" s="3" t="str">
        <f t="shared" si="94"/>
        <v>Thursday</v>
      </c>
      <c r="D1986" s="2">
        <v>0.45484953703703707</v>
      </c>
      <c r="E1986" t="s">
        <v>14</v>
      </c>
      <c r="F1986" t="s">
        <v>15</v>
      </c>
      <c r="G1986">
        <v>-1</v>
      </c>
      <c r="H1986" t="s">
        <v>16</v>
      </c>
      <c r="I1986" t="s">
        <v>79</v>
      </c>
      <c r="J1986" s="1">
        <v>44094</v>
      </c>
      <c r="L1986" t="s">
        <v>14</v>
      </c>
      <c r="M1986">
        <v>3130.25</v>
      </c>
      <c r="N1986">
        <v>3130.25</v>
      </c>
      <c r="O1986" t="s">
        <v>18</v>
      </c>
      <c r="P1986">
        <f t="shared" si="93"/>
        <v>0</v>
      </c>
      <c r="Q1986" s="11">
        <f>IF(P1986=0,0,IFERROR(Q1985+G1986*M1986*IF(E1986="FUTURE",VLOOKUP(MID(I1986,2,2),[1]Futures!$A$2:$B$12,2),1),G1986*M1986*IF(E1986="FUTURE",VLOOKUP(MID(I1986,2,2),[1]Futures!$A$2:$B$12,2),1)))</f>
        <v>0</v>
      </c>
      <c r="R1986" s="12" t="str">
        <f>IFERROR(Q1986/P1986/IF(E1986="FUTURE",VLOOKUP(MID(I1986,2,2),[1]Futures!$A$2:$B$12,2),1),"")</f>
        <v/>
      </c>
      <c r="S1986" s="13">
        <f>IF(AND(H1986="TO CLOSE",P1986=0),-G1986*(M1986-R1985)*IF(E1986="FUTURE",VLOOKUP(MID(I1986,2,2),[1]Futures!$A$2:$B$12,2),1),"")</f>
        <v>-87.5</v>
      </c>
    </row>
    <row r="1987" spans="1:19" x14ac:dyDescent="0.2">
      <c r="A1987">
        <f t="shared" si="95"/>
        <v>636</v>
      </c>
      <c r="B1987" s="3">
        <v>44021</v>
      </c>
      <c r="C1987" s="3" t="str">
        <f t="shared" si="94"/>
        <v>Thursday</v>
      </c>
      <c r="D1987" s="2">
        <v>0.45645833333333335</v>
      </c>
      <c r="E1987" t="s">
        <v>14</v>
      </c>
      <c r="F1987" t="s">
        <v>19</v>
      </c>
      <c r="G1987">
        <v>1</v>
      </c>
      <c r="H1987" t="s">
        <v>20</v>
      </c>
      <c r="I1987" t="s">
        <v>79</v>
      </c>
      <c r="J1987" s="1">
        <v>44094</v>
      </c>
      <c r="L1987" t="s">
        <v>14</v>
      </c>
      <c r="M1987">
        <v>3127.25</v>
      </c>
      <c r="N1987">
        <v>3127.25</v>
      </c>
      <c r="O1987" t="s">
        <v>24</v>
      </c>
      <c r="P1987">
        <f t="shared" ref="P1987:P2050" si="96">IF(H1987="TO OPEN",IFERROR(P1986+G1987,0+G1987),IFERROR(P1986+G1987,0+G1987))</f>
        <v>1</v>
      </c>
      <c r="Q1987" s="11">
        <f>IF(P1987=0,0,IFERROR(Q1986+G1987*M1987*IF(E1987="FUTURE",VLOOKUP(MID(I1987,2,2),[1]Futures!$A$2:$B$12,2),1),G1987*M1987*IF(E1987="FUTURE",VLOOKUP(MID(I1987,2,2),[1]Futures!$A$2:$B$12,2),1)))</f>
        <v>156362.5</v>
      </c>
      <c r="R1987" s="12">
        <f>IFERROR(Q1987/P1987/IF(E1987="FUTURE",VLOOKUP(MID(I1987,2,2),[1]Futures!$A$2:$B$12,2),1),"")</f>
        <v>3127.25</v>
      </c>
      <c r="S1987" s="13" t="str">
        <f>IF(AND(H1987="TO CLOSE",P1987=0),-G1987*(M1987-R1986)*IF(E1987="FUTURE",VLOOKUP(MID(I1987,2,2),[1]Futures!$A$2:$B$12,2),1),"")</f>
        <v/>
      </c>
    </row>
    <row r="1988" spans="1:19" x14ac:dyDescent="0.2">
      <c r="A1988">
        <f t="shared" si="95"/>
        <v>636</v>
      </c>
      <c r="B1988" s="3">
        <v>44021</v>
      </c>
      <c r="C1988" s="3" t="str">
        <f t="shared" si="94"/>
        <v>Thursday</v>
      </c>
      <c r="D1988" s="2">
        <v>0.45725694444444448</v>
      </c>
      <c r="E1988" t="s">
        <v>14</v>
      </c>
      <c r="F1988" t="s">
        <v>15</v>
      </c>
      <c r="G1988">
        <v>-1</v>
      </c>
      <c r="H1988" t="s">
        <v>16</v>
      </c>
      <c r="I1988" t="s">
        <v>79</v>
      </c>
      <c r="J1988" s="1">
        <v>44094</v>
      </c>
      <c r="L1988" t="s">
        <v>14</v>
      </c>
      <c r="M1988">
        <v>3122.25</v>
      </c>
      <c r="N1988">
        <v>3122.25</v>
      </c>
      <c r="O1988" t="s">
        <v>18</v>
      </c>
      <c r="P1988">
        <f t="shared" si="96"/>
        <v>0</v>
      </c>
      <c r="Q1988" s="11">
        <f>IF(P1988=0,0,IFERROR(Q1987+G1988*M1988*IF(E1988="FUTURE",VLOOKUP(MID(I1988,2,2),[1]Futures!$A$2:$B$12,2),1),G1988*M1988*IF(E1988="FUTURE",VLOOKUP(MID(I1988,2,2),[1]Futures!$A$2:$B$12,2),1)))</f>
        <v>0</v>
      </c>
      <c r="R1988" s="12" t="str">
        <f>IFERROR(Q1988/P1988/IF(E1988="FUTURE",VLOOKUP(MID(I1988,2,2),[1]Futures!$A$2:$B$12,2),1),"")</f>
        <v/>
      </c>
      <c r="S1988" s="13">
        <f>IF(AND(H1988="TO CLOSE",P1988=0),-G1988*(M1988-R1987)*IF(E1988="FUTURE",VLOOKUP(MID(I1988,2,2),[1]Futures!$A$2:$B$12,2),1),"")</f>
        <v>-250</v>
      </c>
    </row>
    <row r="1989" spans="1:19" x14ac:dyDescent="0.2">
      <c r="A1989">
        <f t="shared" si="95"/>
        <v>637</v>
      </c>
      <c r="B1989" s="3">
        <v>44021</v>
      </c>
      <c r="C1989" s="3" t="str">
        <f t="shared" si="94"/>
        <v>Thursday</v>
      </c>
      <c r="D1989" s="2">
        <v>0.45847222222222223</v>
      </c>
      <c r="E1989" t="s">
        <v>14</v>
      </c>
      <c r="F1989" t="s">
        <v>19</v>
      </c>
      <c r="G1989">
        <v>1</v>
      </c>
      <c r="H1989" t="s">
        <v>20</v>
      </c>
      <c r="I1989" t="s">
        <v>79</v>
      </c>
      <c r="J1989" s="1">
        <v>44094</v>
      </c>
      <c r="L1989" t="s">
        <v>14</v>
      </c>
      <c r="M1989">
        <v>3118.75</v>
      </c>
      <c r="N1989">
        <v>3118.75</v>
      </c>
      <c r="O1989" t="s">
        <v>24</v>
      </c>
      <c r="P1989">
        <f t="shared" si="96"/>
        <v>1</v>
      </c>
      <c r="Q1989" s="11">
        <f>IF(P1989=0,0,IFERROR(Q1988+G1989*M1989*IF(E1989="FUTURE",VLOOKUP(MID(I1989,2,2),[1]Futures!$A$2:$B$12,2),1),G1989*M1989*IF(E1989="FUTURE",VLOOKUP(MID(I1989,2,2),[1]Futures!$A$2:$B$12,2),1)))</f>
        <v>155937.5</v>
      </c>
      <c r="R1989" s="12">
        <f>IFERROR(Q1989/P1989/IF(E1989="FUTURE",VLOOKUP(MID(I1989,2,2),[1]Futures!$A$2:$B$12,2),1),"")</f>
        <v>3118.75</v>
      </c>
      <c r="S1989" s="13" t="str">
        <f>IF(AND(H1989="TO CLOSE",P1989=0),-G1989*(M1989-R1988)*IF(E1989="FUTURE",VLOOKUP(MID(I1989,2,2),[1]Futures!$A$2:$B$12,2),1),"")</f>
        <v/>
      </c>
    </row>
    <row r="1990" spans="1:19" x14ac:dyDescent="0.2">
      <c r="A1990">
        <f t="shared" si="95"/>
        <v>637</v>
      </c>
      <c r="B1990" s="3">
        <v>44021</v>
      </c>
      <c r="C1990" s="3" t="str">
        <f t="shared" si="94"/>
        <v>Thursday</v>
      </c>
      <c r="D1990" s="2">
        <v>0.46915509259259264</v>
      </c>
      <c r="E1990" t="s">
        <v>14</v>
      </c>
      <c r="F1990" t="s">
        <v>15</v>
      </c>
      <c r="G1990">
        <v>-1</v>
      </c>
      <c r="H1990" t="s">
        <v>16</v>
      </c>
      <c r="I1990" t="s">
        <v>79</v>
      </c>
      <c r="J1990" s="1">
        <v>44094</v>
      </c>
      <c r="L1990" t="s">
        <v>14</v>
      </c>
      <c r="M1990">
        <v>3119.75</v>
      </c>
      <c r="N1990">
        <v>3119.75</v>
      </c>
      <c r="O1990" t="s">
        <v>18</v>
      </c>
      <c r="P1990">
        <f t="shared" si="96"/>
        <v>0</v>
      </c>
      <c r="Q1990" s="11">
        <f>IF(P1990=0,0,IFERROR(Q1989+G1990*M1990*IF(E1990="FUTURE",VLOOKUP(MID(I1990,2,2),[1]Futures!$A$2:$B$12,2),1),G1990*M1990*IF(E1990="FUTURE",VLOOKUP(MID(I1990,2,2),[1]Futures!$A$2:$B$12,2),1)))</f>
        <v>0</v>
      </c>
      <c r="R1990" s="12" t="str">
        <f>IFERROR(Q1990/P1990/IF(E1990="FUTURE",VLOOKUP(MID(I1990,2,2),[1]Futures!$A$2:$B$12,2),1),"")</f>
        <v/>
      </c>
      <c r="S1990" s="13">
        <f>IF(AND(H1990="TO CLOSE",P1990=0),-G1990*(M1990-R1989)*IF(E1990="FUTURE",VLOOKUP(MID(I1990,2,2),[1]Futures!$A$2:$B$12,2),1),"")</f>
        <v>50</v>
      </c>
    </row>
    <row r="1991" spans="1:19" x14ac:dyDescent="0.2">
      <c r="A1991">
        <f t="shared" si="95"/>
        <v>638</v>
      </c>
      <c r="B1991" s="3">
        <v>44021</v>
      </c>
      <c r="C1991" s="3" t="str">
        <f t="shared" si="94"/>
        <v>Thursday</v>
      </c>
      <c r="D1991" s="2">
        <v>0.47249999999999998</v>
      </c>
      <c r="E1991" t="s">
        <v>14</v>
      </c>
      <c r="F1991" t="s">
        <v>19</v>
      </c>
      <c r="G1991">
        <v>1</v>
      </c>
      <c r="H1991" t="s">
        <v>20</v>
      </c>
      <c r="I1991" t="s">
        <v>79</v>
      </c>
      <c r="J1991" s="1">
        <v>44094</v>
      </c>
      <c r="L1991" t="s">
        <v>14</v>
      </c>
      <c r="M1991">
        <v>3111.25</v>
      </c>
      <c r="N1991">
        <v>3111.25</v>
      </c>
      <c r="O1991" t="s">
        <v>21</v>
      </c>
      <c r="P1991">
        <f t="shared" si="96"/>
        <v>1</v>
      </c>
      <c r="Q1991" s="11">
        <f>IF(P1991=0,0,IFERROR(Q1990+G1991*M1991*IF(E1991="FUTURE",VLOOKUP(MID(I1991,2,2),[1]Futures!$A$2:$B$12,2),1),G1991*M1991*IF(E1991="FUTURE",VLOOKUP(MID(I1991,2,2),[1]Futures!$A$2:$B$12,2),1)))</f>
        <v>155562.5</v>
      </c>
      <c r="R1991" s="12">
        <f>IFERROR(Q1991/P1991/IF(E1991="FUTURE",VLOOKUP(MID(I1991,2,2),[1]Futures!$A$2:$B$12,2),1),"")</f>
        <v>3111.25</v>
      </c>
      <c r="S1991" s="13" t="str">
        <f>IF(AND(H1991="TO CLOSE",P1991=0),-G1991*(M1991-R1990)*IF(E1991="FUTURE",VLOOKUP(MID(I1991,2,2),[1]Futures!$A$2:$B$12,2),1),"")</f>
        <v/>
      </c>
    </row>
    <row r="1992" spans="1:19" x14ac:dyDescent="0.2">
      <c r="A1992">
        <f t="shared" si="95"/>
        <v>638</v>
      </c>
      <c r="B1992" s="3">
        <v>44021</v>
      </c>
      <c r="C1992" s="3" t="str">
        <f t="shared" si="94"/>
        <v>Thursday</v>
      </c>
      <c r="D1992" s="2">
        <v>0.4823263888888889</v>
      </c>
      <c r="E1992" t="s">
        <v>14</v>
      </c>
      <c r="F1992" t="s">
        <v>15</v>
      </c>
      <c r="G1992">
        <v>-1</v>
      </c>
      <c r="H1992" t="s">
        <v>16</v>
      </c>
      <c r="I1992" t="s">
        <v>79</v>
      </c>
      <c r="J1992" s="1">
        <v>44094</v>
      </c>
      <c r="L1992" t="s">
        <v>14</v>
      </c>
      <c r="M1992">
        <v>3118.75</v>
      </c>
      <c r="N1992">
        <v>3118.75</v>
      </c>
      <c r="O1992" t="s">
        <v>21</v>
      </c>
      <c r="P1992">
        <f t="shared" si="96"/>
        <v>0</v>
      </c>
      <c r="Q1992" s="11">
        <f>IF(P1992=0,0,IFERROR(Q1991+G1992*M1992*IF(E1992="FUTURE",VLOOKUP(MID(I1992,2,2),[1]Futures!$A$2:$B$12,2),1),G1992*M1992*IF(E1992="FUTURE",VLOOKUP(MID(I1992,2,2),[1]Futures!$A$2:$B$12,2),1)))</f>
        <v>0</v>
      </c>
      <c r="R1992" s="12" t="str">
        <f>IFERROR(Q1992/P1992/IF(E1992="FUTURE",VLOOKUP(MID(I1992,2,2),[1]Futures!$A$2:$B$12,2),1),"")</f>
        <v/>
      </c>
      <c r="S1992" s="13">
        <f>IF(AND(H1992="TO CLOSE",P1992=0),-G1992*(M1992-R1991)*IF(E1992="FUTURE",VLOOKUP(MID(I1992,2,2),[1]Futures!$A$2:$B$12,2),1),"")</f>
        <v>375</v>
      </c>
    </row>
    <row r="1993" spans="1:19" x14ac:dyDescent="0.2">
      <c r="A1993">
        <f t="shared" si="95"/>
        <v>639</v>
      </c>
      <c r="B1993" s="3">
        <v>44022</v>
      </c>
      <c r="C1993" s="3" t="str">
        <f t="shared" si="94"/>
        <v>Friday</v>
      </c>
      <c r="D1993" s="2">
        <v>0.41806712962962966</v>
      </c>
      <c r="E1993" t="s">
        <v>14</v>
      </c>
      <c r="F1993" t="s">
        <v>15</v>
      </c>
      <c r="G1993">
        <v>-1</v>
      </c>
      <c r="H1993" t="s">
        <v>20</v>
      </c>
      <c r="I1993" t="s">
        <v>77</v>
      </c>
      <c r="J1993" s="1">
        <v>44063</v>
      </c>
      <c r="L1993" t="s">
        <v>14</v>
      </c>
      <c r="M1993">
        <v>39.82</v>
      </c>
      <c r="N1993">
        <v>39.82</v>
      </c>
      <c r="O1993" t="s">
        <v>21</v>
      </c>
      <c r="P1993">
        <f t="shared" si="96"/>
        <v>-1</v>
      </c>
      <c r="Q1993" s="11">
        <f>IF(P1993=0,0,IFERROR(Q1992+G1993*M1993*IF(E1993="FUTURE",VLOOKUP(MID(I1993,2,2),[1]Futures!$A$2:$B$12,2),1),G1993*M1993*IF(E1993="FUTURE",VLOOKUP(MID(I1993,2,2),[1]Futures!$A$2:$B$12,2),1)))</f>
        <v>-39820</v>
      </c>
      <c r="R1993" s="12">
        <f>IFERROR(Q1993/P1993/IF(E1993="FUTURE",VLOOKUP(MID(I1993,2,2),[1]Futures!$A$2:$B$12,2),1),"")</f>
        <v>39.82</v>
      </c>
      <c r="S1993" s="13" t="str">
        <f>IF(AND(H1993="TO CLOSE",P1993=0),-G1993*(M1993-R1992)*IF(E1993="FUTURE",VLOOKUP(MID(I1993,2,2),[1]Futures!$A$2:$B$12,2),1),"")</f>
        <v/>
      </c>
    </row>
    <row r="1994" spans="1:19" x14ac:dyDescent="0.2">
      <c r="A1994">
        <f t="shared" si="95"/>
        <v>639</v>
      </c>
      <c r="B1994" s="3">
        <v>44022</v>
      </c>
      <c r="C1994" s="3" t="str">
        <f t="shared" si="94"/>
        <v>Friday</v>
      </c>
      <c r="D1994" s="2">
        <v>0.42438657407407404</v>
      </c>
      <c r="E1994" t="s">
        <v>14</v>
      </c>
      <c r="F1994" t="s">
        <v>19</v>
      </c>
      <c r="G1994">
        <v>1</v>
      </c>
      <c r="H1994" t="s">
        <v>16</v>
      </c>
      <c r="I1994" t="s">
        <v>77</v>
      </c>
      <c r="J1994" s="1">
        <v>44063</v>
      </c>
      <c r="L1994" t="s">
        <v>14</v>
      </c>
      <c r="M1994">
        <v>39.82</v>
      </c>
      <c r="N1994">
        <v>39.82</v>
      </c>
      <c r="O1994" t="s">
        <v>18</v>
      </c>
      <c r="P1994">
        <f t="shared" si="96"/>
        <v>0</v>
      </c>
      <c r="Q1994" s="11">
        <f>IF(P1994=0,0,IFERROR(Q1993+G1994*M1994*IF(E1994="FUTURE",VLOOKUP(MID(I1994,2,2),[1]Futures!$A$2:$B$12,2),1),G1994*M1994*IF(E1994="FUTURE",VLOOKUP(MID(I1994,2,2),[1]Futures!$A$2:$B$12,2),1)))</f>
        <v>0</v>
      </c>
      <c r="R1994" s="12" t="str">
        <f>IFERROR(Q1994/P1994/IF(E1994="FUTURE",VLOOKUP(MID(I1994,2,2),[1]Futures!$A$2:$B$12,2),1),"")</f>
        <v/>
      </c>
      <c r="S1994" s="13">
        <f>IF(AND(H1994="TO CLOSE",P1994=0),-G1994*(M1994-R1993)*IF(E1994="FUTURE",VLOOKUP(MID(I1994,2,2),[1]Futures!$A$2:$B$12,2),1),"")</f>
        <v>0</v>
      </c>
    </row>
    <row r="1995" spans="1:19" x14ac:dyDescent="0.2">
      <c r="A1995">
        <f t="shared" si="95"/>
        <v>640</v>
      </c>
      <c r="B1995" s="3">
        <v>44022</v>
      </c>
      <c r="C1995" s="3" t="str">
        <f t="shared" si="94"/>
        <v>Friday</v>
      </c>
      <c r="D1995" s="2">
        <v>0.42974537037037036</v>
      </c>
      <c r="E1995" t="s">
        <v>14</v>
      </c>
      <c r="F1995" t="s">
        <v>15</v>
      </c>
      <c r="G1995">
        <v>-1</v>
      </c>
      <c r="H1995" t="s">
        <v>20</v>
      </c>
      <c r="I1995" t="s">
        <v>77</v>
      </c>
      <c r="J1995" s="1">
        <v>44063</v>
      </c>
      <c r="L1995" t="s">
        <v>14</v>
      </c>
      <c r="M1995">
        <v>39.81</v>
      </c>
      <c r="N1995">
        <v>39.81</v>
      </c>
      <c r="O1995" t="s">
        <v>24</v>
      </c>
      <c r="P1995">
        <f t="shared" si="96"/>
        <v>-1</v>
      </c>
      <c r="Q1995" s="11">
        <f>IF(P1995=0,0,IFERROR(Q1994+G1995*M1995*IF(E1995="FUTURE",VLOOKUP(MID(I1995,2,2),[1]Futures!$A$2:$B$12,2),1),G1995*M1995*IF(E1995="FUTURE",VLOOKUP(MID(I1995,2,2),[1]Futures!$A$2:$B$12,2),1)))</f>
        <v>-39810</v>
      </c>
      <c r="R1995" s="12">
        <f>IFERROR(Q1995/P1995/IF(E1995="FUTURE",VLOOKUP(MID(I1995,2,2),[1]Futures!$A$2:$B$12,2),1),"")</f>
        <v>39.81</v>
      </c>
      <c r="S1995" s="13" t="str">
        <f>IF(AND(H1995="TO CLOSE",P1995=0),-G1995*(M1995-R1994)*IF(E1995="FUTURE",VLOOKUP(MID(I1995,2,2),[1]Futures!$A$2:$B$12,2),1),"")</f>
        <v/>
      </c>
    </row>
    <row r="1996" spans="1:19" x14ac:dyDescent="0.2">
      <c r="A1996">
        <f t="shared" si="95"/>
        <v>640</v>
      </c>
      <c r="B1996" s="3">
        <v>44022</v>
      </c>
      <c r="C1996" s="3" t="str">
        <f t="shared" si="94"/>
        <v>Friday</v>
      </c>
      <c r="D1996" s="2">
        <v>0.43490740740740735</v>
      </c>
      <c r="E1996" t="s">
        <v>14</v>
      </c>
      <c r="F1996" t="s">
        <v>19</v>
      </c>
      <c r="G1996">
        <v>1</v>
      </c>
      <c r="H1996" t="s">
        <v>16</v>
      </c>
      <c r="I1996" t="s">
        <v>77</v>
      </c>
      <c r="J1996" s="1">
        <v>44063</v>
      </c>
      <c r="L1996" t="s">
        <v>14</v>
      </c>
      <c r="M1996">
        <v>39.75</v>
      </c>
      <c r="N1996">
        <v>39.75</v>
      </c>
      <c r="O1996" t="s">
        <v>24</v>
      </c>
      <c r="P1996">
        <f t="shared" si="96"/>
        <v>0</v>
      </c>
      <c r="Q1996" s="11">
        <f>IF(P1996=0,0,IFERROR(Q1995+G1996*M1996*IF(E1996="FUTURE",VLOOKUP(MID(I1996,2,2),[1]Futures!$A$2:$B$12,2),1),G1996*M1996*IF(E1996="FUTURE",VLOOKUP(MID(I1996,2,2),[1]Futures!$A$2:$B$12,2),1)))</f>
        <v>0</v>
      </c>
      <c r="R1996" s="12" t="str">
        <f>IFERROR(Q1996/P1996/IF(E1996="FUTURE",VLOOKUP(MID(I1996,2,2),[1]Futures!$A$2:$B$12,2),1),"")</f>
        <v/>
      </c>
      <c r="S1996" s="13">
        <f>IF(AND(H1996="TO CLOSE",P1996=0),-G1996*(M1996-R1995)*IF(E1996="FUTURE",VLOOKUP(MID(I1996,2,2),[1]Futures!$A$2:$B$12,2),1),"")</f>
        <v>60.000000000002274</v>
      </c>
    </row>
    <row r="1997" spans="1:19" x14ac:dyDescent="0.2">
      <c r="A1997">
        <f t="shared" si="95"/>
        <v>641</v>
      </c>
      <c r="B1997" s="3">
        <v>44022</v>
      </c>
      <c r="C1997" s="3" t="str">
        <f t="shared" si="94"/>
        <v>Friday</v>
      </c>
      <c r="D1997" s="2">
        <v>0.4406018518518518</v>
      </c>
      <c r="E1997" t="s">
        <v>14</v>
      </c>
      <c r="F1997" t="s">
        <v>19</v>
      </c>
      <c r="G1997">
        <v>1</v>
      </c>
      <c r="H1997" t="s">
        <v>20</v>
      </c>
      <c r="I1997" t="s">
        <v>77</v>
      </c>
      <c r="J1997" s="1">
        <v>44063</v>
      </c>
      <c r="L1997" t="s">
        <v>14</v>
      </c>
      <c r="M1997">
        <v>39.880000000000003</v>
      </c>
      <c r="N1997">
        <v>39.880000000000003</v>
      </c>
      <c r="O1997" t="s">
        <v>21</v>
      </c>
      <c r="P1997">
        <f t="shared" si="96"/>
        <v>1</v>
      </c>
      <c r="Q1997" s="11">
        <f>IF(P1997=0,0,IFERROR(Q1996+G1997*M1997*IF(E1997="FUTURE",VLOOKUP(MID(I1997,2,2),[1]Futures!$A$2:$B$12,2),1),G1997*M1997*IF(E1997="FUTURE",VLOOKUP(MID(I1997,2,2),[1]Futures!$A$2:$B$12,2),1)))</f>
        <v>39880</v>
      </c>
      <c r="R1997" s="12">
        <f>IFERROR(Q1997/P1997/IF(E1997="FUTURE",VLOOKUP(MID(I1997,2,2),[1]Futures!$A$2:$B$12,2),1),"")</f>
        <v>39.880000000000003</v>
      </c>
      <c r="S1997" s="13" t="str">
        <f>IF(AND(H1997="TO CLOSE",P1997=0),-G1997*(M1997-R1996)*IF(E1997="FUTURE",VLOOKUP(MID(I1997,2,2),[1]Futures!$A$2:$B$12,2),1),"")</f>
        <v/>
      </c>
    </row>
    <row r="1998" spans="1:19" x14ac:dyDescent="0.2">
      <c r="A1998">
        <f t="shared" si="95"/>
        <v>641</v>
      </c>
      <c r="B1998" s="3">
        <v>44022</v>
      </c>
      <c r="C1998" s="3" t="str">
        <f t="shared" si="94"/>
        <v>Friday</v>
      </c>
      <c r="D1998" s="2">
        <v>0.44412037037037039</v>
      </c>
      <c r="E1998" t="s">
        <v>14</v>
      </c>
      <c r="F1998" t="s">
        <v>15</v>
      </c>
      <c r="G1998">
        <v>-1</v>
      </c>
      <c r="H1998" t="s">
        <v>16</v>
      </c>
      <c r="I1998" t="s">
        <v>77</v>
      </c>
      <c r="J1998" s="1">
        <v>44063</v>
      </c>
      <c r="L1998" t="s">
        <v>14</v>
      </c>
      <c r="M1998">
        <v>39.89</v>
      </c>
      <c r="N1998">
        <v>39.89</v>
      </c>
      <c r="O1998" t="s">
        <v>21</v>
      </c>
      <c r="P1998">
        <f t="shared" si="96"/>
        <v>0</v>
      </c>
      <c r="Q1998" s="11">
        <f>IF(P1998=0,0,IFERROR(Q1997+G1998*M1998*IF(E1998="FUTURE",VLOOKUP(MID(I1998,2,2),[1]Futures!$A$2:$B$12,2),1),G1998*M1998*IF(E1998="FUTURE",VLOOKUP(MID(I1998,2,2),[1]Futures!$A$2:$B$12,2),1)))</f>
        <v>0</v>
      </c>
      <c r="R1998" s="12" t="str">
        <f>IFERROR(Q1998/P1998/IF(E1998="FUTURE",VLOOKUP(MID(I1998,2,2),[1]Futures!$A$2:$B$12,2),1),"")</f>
        <v/>
      </c>
      <c r="S1998" s="13">
        <f>IF(AND(H1998="TO CLOSE",P1998=0),-G1998*(M1998-R1997)*IF(E1998="FUTURE",VLOOKUP(MID(I1998,2,2),[1]Futures!$A$2:$B$12,2),1),"")</f>
        <v>9.9999999999980105</v>
      </c>
    </row>
    <row r="1999" spans="1:19" x14ac:dyDescent="0.2">
      <c r="A1999">
        <f t="shared" si="95"/>
        <v>642</v>
      </c>
      <c r="B1999" s="3">
        <v>44022</v>
      </c>
      <c r="C1999" s="3" t="str">
        <f t="shared" si="94"/>
        <v>Friday</v>
      </c>
      <c r="D1999" s="2">
        <v>0.4508564814814815</v>
      </c>
      <c r="E1999" t="s">
        <v>14</v>
      </c>
      <c r="F1999" t="s">
        <v>19</v>
      </c>
      <c r="G1999">
        <v>1</v>
      </c>
      <c r="H1999" t="s">
        <v>20</v>
      </c>
      <c r="I1999" t="s">
        <v>77</v>
      </c>
      <c r="J1999" s="1">
        <v>44063</v>
      </c>
      <c r="L1999" t="s">
        <v>14</v>
      </c>
      <c r="M1999">
        <v>40.07</v>
      </c>
      <c r="N1999">
        <v>40.07</v>
      </c>
      <c r="O1999" t="s">
        <v>24</v>
      </c>
      <c r="P1999">
        <f t="shared" si="96"/>
        <v>1</v>
      </c>
      <c r="Q1999" s="11">
        <f>IF(P1999=0,0,IFERROR(Q1998+G1999*M1999*IF(E1999="FUTURE",VLOOKUP(MID(I1999,2,2),[1]Futures!$A$2:$B$12,2),1),G1999*M1999*IF(E1999="FUTURE",VLOOKUP(MID(I1999,2,2),[1]Futures!$A$2:$B$12,2),1)))</f>
        <v>40070</v>
      </c>
      <c r="R1999" s="12">
        <f>IFERROR(Q1999/P1999/IF(E1999="FUTURE",VLOOKUP(MID(I1999,2,2),[1]Futures!$A$2:$B$12,2),1),"")</f>
        <v>40.07</v>
      </c>
      <c r="S1999" s="13" t="str">
        <f>IF(AND(H1999="TO CLOSE",P1999=0),-G1999*(M1999-R1998)*IF(E1999="FUTURE",VLOOKUP(MID(I1999,2,2),[1]Futures!$A$2:$B$12,2),1),"")</f>
        <v/>
      </c>
    </row>
    <row r="2000" spans="1:19" x14ac:dyDescent="0.2">
      <c r="A2000">
        <f t="shared" si="95"/>
        <v>642</v>
      </c>
      <c r="B2000" s="3">
        <v>44022</v>
      </c>
      <c r="C2000" s="3" t="str">
        <f t="shared" si="94"/>
        <v>Friday</v>
      </c>
      <c r="D2000" s="2">
        <v>0.45109953703703703</v>
      </c>
      <c r="E2000" t="s">
        <v>14</v>
      </c>
      <c r="F2000" t="s">
        <v>15</v>
      </c>
      <c r="G2000">
        <v>-1</v>
      </c>
      <c r="H2000" t="s">
        <v>16</v>
      </c>
      <c r="I2000" t="s">
        <v>77</v>
      </c>
      <c r="J2000" s="1">
        <v>44063</v>
      </c>
      <c r="L2000" t="s">
        <v>14</v>
      </c>
      <c r="M2000">
        <v>40.090000000000003</v>
      </c>
      <c r="N2000">
        <v>40.090000000000003</v>
      </c>
      <c r="O2000" t="s">
        <v>21</v>
      </c>
      <c r="P2000">
        <f t="shared" si="96"/>
        <v>0</v>
      </c>
      <c r="Q2000" s="11">
        <f>IF(P2000=0,0,IFERROR(Q1999+G2000*M2000*IF(E2000="FUTURE",VLOOKUP(MID(I2000,2,2),[1]Futures!$A$2:$B$12,2),1),G2000*M2000*IF(E2000="FUTURE",VLOOKUP(MID(I2000,2,2),[1]Futures!$A$2:$B$12,2),1)))</f>
        <v>0</v>
      </c>
      <c r="R2000" s="12" t="str">
        <f>IFERROR(Q2000/P2000/IF(E2000="FUTURE",VLOOKUP(MID(I2000,2,2),[1]Futures!$A$2:$B$12,2),1),"")</f>
        <v/>
      </c>
      <c r="S2000" s="13">
        <f>IF(AND(H2000="TO CLOSE",P2000=0),-G2000*(M2000-R1999)*IF(E2000="FUTURE",VLOOKUP(MID(I2000,2,2),[1]Futures!$A$2:$B$12,2),1),"")</f>
        <v>20.000000000003126</v>
      </c>
    </row>
    <row r="2001" spans="1:19" x14ac:dyDescent="0.2">
      <c r="A2001">
        <f t="shared" si="95"/>
        <v>643</v>
      </c>
      <c r="B2001" s="3">
        <v>44022</v>
      </c>
      <c r="C2001" s="3" t="str">
        <f t="shared" si="94"/>
        <v>Friday</v>
      </c>
      <c r="D2001" s="2">
        <v>0.45606481481481481</v>
      </c>
      <c r="E2001" t="s">
        <v>14</v>
      </c>
      <c r="F2001" t="s">
        <v>15</v>
      </c>
      <c r="G2001">
        <v>-1</v>
      </c>
      <c r="H2001" t="s">
        <v>20</v>
      </c>
      <c r="I2001" t="s">
        <v>77</v>
      </c>
      <c r="J2001" s="1">
        <v>44063</v>
      </c>
      <c r="L2001" t="s">
        <v>14</v>
      </c>
      <c r="M2001">
        <v>40.01</v>
      </c>
      <c r="N2001">
        <v>40.01</v>
      </c>
      <c r="O2001" t="s">
        <v>24</v>
      </c>
      <c r="P2001">
        <f t="shared" si="96"/>
        <v>-1</v>
      </c>
      <c r="Q2001" s="11">
        <f>IF(P2001=0,0,IFERROR(Q2000+G2001*M2001*IF(E2001="FUTURE",VLOOKUP(MID(I2001,2,2),[1]Futures!$A$2:$B$12,2),1),G2001*M2001*IF(E2001="FUTURE",VLOOKUP(MID(I2001,2,2),[1]Futures!$A$2:$B$12,2),1)))</f>
        <v>-40010</v>
      </c>
      <c r="R2001" s="12">
        <f>IFERROR(Q2001/P2001/IF(E2001="FUTURE",VLOOKUP(MID(I2001,2,2),[1]Futures!$A$2:$B$12,2),1),"")</f>
        <v>40.01</v>
      </c>
      <c r="S2001" s="13" t="str">
        <f>IF(AND(H2001="TO CLOSE",P2001=0),-G2001*(M2001-R2000)*IF(E2001="FUTURE",VLOOKUP(MID(I2001,2,2),[1]Futures!$A$2:$B$12,2),1),"")</f>
        <v/>
      </c>
    </row>
    <row r="2002" spans="1:19" x14ac:dyDescent="0.2">
      <c r="A2002">
        <f t="shared" si="95"/>
        <v>643</v>
      </c>
      <c r="B2002" s="3">
        <v>44022</v>
      </c>
      <c r="C2002" s="3" t="str">
        <f t="shared" si="94"/>
        <v>Friday</v>
      </c>
      <c r="D2002" s="2">
        <v>0.46488425925925925</v>
      </c>
      <c r="E2002" t="s">
        <v>14</v>
      </c>
      <c r="F2002" t="s">
        <v>19</v>
      </c>
      <c r="G2002">
        <v>2</v>
      </c>
      <c r="H2002" t="s">
        <v>16</v>
      </c>
      <c r="I2002" t="s">
        <v>77</v>
      </c>
      <c r="J2002" s="1">
        <v>44063</v>
      </c>
      <c r="L2002" t="s">
        <v>14</v>
      </c>
      <c r="M2002">
        <v>40.119999999999997</v>
      </c>
      <c r="N2002">
        <v>40.119999999999997</v>
      </c>
      <c r="O2002" t="s">
        <v>24</v>
      </c>
      <c r="P2002">
        <f t="shared" si="96"/>
        <v>1</v>
      </c>
      <c r="Q2002" s="11">
        <f>IF(P2002=0,0,IFERROR(Q2001+G2002*M2002*IF(E2002="FUTURE",VLOOKUP(MID(I2002,2,2),[1]Futures!$A$2:$B$12,2),1),G2002*M2002*IF(E2002="FUTURE",VLOOKUP(MID(I2002,2,2),[1]Futures!$A$2:$B$12,2),1)))</f>
        <v>40230</v>
      </c>
      <c r="R2002" s="12">
        <f>IFERROR(Q2002/P2002/IF(E2002="FUTURE",VLOOKUP(MID(I2002,2,2),[1]Futures!$A$2:$B$12,2),1),"")</f>
        <v>40.229999999999997</v>
      </c>
      <c r="S2002" s="13" t="str">
        <f>IF(AND(H2002="TO CLOSE",P2002=0),-G2002*(M2002-R2001)*IF(E2002="FUTURE",VLOOKUP(MID(I2002,2,2),[1]Futures!$A$2:$B$12,2),1),"")</f>
        <v/>
      </c>
    </row>
    <row r="2003" spans="1:19" x14ac:dyDescent="0.2">
      <c r="A2003">
        <f t="shared" si="95"/>
        <v>643</v>
      </c>
      <c r="B2003" s="3">
        <v>44022</v>
      </c>
      <c r="C2003" s="3" t="str">
        <f t="shared" si="94"/>
        <v>Friday</v>
      </c>
      <c r="D2003" s="2">
        <v>0.47128472222222223</v>
      </c>
      <c r="E2003" t="s">
        <v>14</v>
      </c>
      <c r="F2003" t="s">
        <v>15</v>
      </c>
      <c r="G2003">
        <v>-1</v>
      </c>
      <c r="H2003" t="s">
        <v>16</v>
      </c>
      <c r="I2003" t="s">
        <v>77</v>
      </c>
      <c r="J2003" s="1">
        <v>44063</v>
      </c>
      <c r="L2003" t="s">
        <v>14</v>
      </c>
      <c r="M2003">
        <v>40.24</v>
      </c>
      <c r="N2003">
        <v>40.24</v>
      </c>
      <c r="O2003" t="s">
        <v>21</v>
      </c>
      <c r="P2003">
        <f t="shared" si="96"/>
        <v>0</v>
      </c>
      <c r="Q2003" s="11">
        <f>IF(P2003=0,0,IFERROR(Q2002+G2003*M2003*IF(E2003="FUTURE",VLOOKUP(MID(I2003,2,2),[1]Futures!$A$2:$B$12,2),1),G2003*M2003*IF(E2003="FUTURE",VLOOKUP(MID(I2003,2,2),[1]Futures!$A$2:$B$12,2),1)))</f>
        <v>0</v>
      </c>
      <c r="R2003" s="12" t="str">
        <f>IFERROR(Q2003/P2003/IF(E2003="FUTURE",VLOOKUP(MID(I2003,2,2),[1]Futures!$A$2:$B$12,2),1),"")</f>
        <v/>
      </c>
      <c r="S2003" s="13">
        <f>IF(AND(H2003="TO CLOSE",P2003=0),-G2003*(M2003-R2002)*IF(E2003="FUTURE",VLOOKUP(MID(I2003,2,2),[1]Futures!$A$2:$B$12,2),1),"")</f>
        <v>10.000000000005116</v>
      </c>
    </row>
    <row r="2004" spans="1:19" x14ac:dyDescent="0.2">
      <c r="A2004">
        <f t="shared" si="95"/>
        <v>644</v>
      </c>
      <c r="B2004" s="3">
        <v>44022</v>
      </c>
      <c r="C2004" s="3" t="str">
        <f t="shared" si="94"/>
        <v>Friday</v>
      </c>
      <c r="D2004" s="2">
        <v>0.47606481481481483</v>
      </c>
      <c r="E2004" t="s">
        <v>14</v>
      </c>
      <c r="F2004" t="s">
        <v>15</v>
      </c>
      <c r="G2004">
        <v>-1</v>
      </c>
      <c r="H2004" t="s">
        <v>20</v>
      </c>
      <c r="I2004" t="s">
        <v>77</v>
      </c>
      <c r="J2004" s="1">
        <v>44063</v>
      </c>
      <c r="L2004" t="s">
        <v>14</v>
      </c>
      <c r="M2004">
        <v>40.200000000000003</v>
      </c>
      <c r="N2004">
        <v>40.200000000000003</v>
      </c>
      <c r="O2004" t="s">
        <v>21</v>
      </c>
      <c r="P2004">
        <f t="shared" si="96"/>
        <v>-1</v>
      </c>
      <c r="Q2004" s="11">
        <f>IF(P2004=0,0,IFERROR(Q2003+G2004*M2004*IF(E2004="FUTURE",VLOOKUP(MID(I2004,2,2),[1]Futures!$A$2:$B$12,2),1),G2004*M2004*IF(E2004="FUTURE",VLOOKUP(MID(I2004,2,2),[1]Futures!$A$2:$B$12,2),1)))</f>
        <v>-40200</v>
      </c>
      <c r="R2004" s="12">
        <f>IFERROR(Q2004/P2004/IF(E2004="FUTURE",VLOOKUP(MID(I2004,2,2),[1]Futures!$A$2:$B$12,2),1),"")</f>
        <v>40.200000000000003</v>
      </c>
      <c r="S2004" s="13" t="str">
        <f>IF(AND(H2004="TO CLOSE",P2004=0),-G2004*(M2004-R2003)*IF(E2004="FUTURE",VLOOKUP(MID(I2004,2,2),[1]Futures!$A$2:$B$12,2),1),"")</f>
        <v/>
      </c>
    </row>
    <row r="2005" spans="1:19" x14ac:dyDescent="0.2">
      <c r="A2005">
        <f t="shared" si="95"/>
        <v>644</v>
      </c>
      <c r="B2005" s="3">
        <v>44022</v>
      </c>
      <c r="C2005" s="3" t="str">
        <f t="shared" si="94"/>
        <v>Friday</v>
      </c>
      <c r="D2005" s="2">
        <v>0.47723379629629631</v>
      </c>
      <c r="E2005" t="s">
        <v>14</v>
      </c>
      <c r="F2005" t="s">
        <v>19</v>
      </c>
      <c r="G2005">
        <v>1</v>
      </c>
      <c r="H2005" t="s">
        <v>16</v>
      </c>
      <c r="I2005" t="s">
        <v>77</v>
      </c>
      <c r="J2005" s="1">
        <v>44063</v>
      </c>
      <c r="L2005" t="s">
        <v>14</v>
      </c>
      <c r="M2005">
        <v>40.18</v>
      </c>
      <c r="N2005">
        <v>40.18</v>
      </c>
      <c r="O2005" t="s">
        <v>21</v>
      </c>
      <c r="P2005">
        <f t="shared" si="96"/>
        <v>0</v>
      </c>
      <c r="Q2005" s="11">
        <f>IF(P2005=0,0,IFERROR(Q2004+G2005*M2005*IF(E2005="FUTURE",VLOOKUP(MID(I2005,2,2),[1]Futures!$A$2:$B$12,2),1),G2005*M2005*IF(E2005="FUTURE",VLOOKUP(MID(I2005,2,2),[1]Futures!$A$2:$B$12,2),1)))</f>
        <v>0</v>
      </c>
      <c r="R2005" s="12" t="str">
        <f>IFERROR(Q2005/P2005/IF(E2005="FUTURE",VLOOKUP(MID(I2005,2,2),[1]Futures!$A$2:$B$12,2),1),"")</f>
        <v/>
      </c>
      <c r="S2005" s="13">
        <f>IF(AND(H2005="TO CLOSE",P2005=0),-G2005*(M2005-R2004)*IF(E2005="FUTURE",VLOOKUP(MID(I2005,2,2),[1]Futures!$A$2:$B$12,2),1),"")</f>
        <v>20.000000000003126</v>
      </c>
    </row>
    <row r="2006" spans="1:19" x14ac:dyDescent="0.2">
      <c r="A2006">
        <f t="shared" si="95"/>
        <v>645</v>
      </c>
      <c r="B2006" s="3">
        <v>44022</v>
      </c>
      <c r="C2006" s="3" t="str">
        <f t="shared" si="94"/>
        <v>Friday</v>
      </c>
      <c r="D2006" s="2">
        <v>0.48070601851851852</v>
      </c>
      <c r="E2006" t="s">
        <v>14</v>
      </c>
      <c r="F2006" t="s">
        <v>15</v>
      </c>
      <c r="G2006">
        <v>-1</v>
      </c>
      <c r="H2006" t="s">
        <v>20</v>
      </c>
      <c r="I2006" t="s">
        <v>77</v>
      </c>
      <c r="J2006" s="1">
        <v>44063</v>
      </c>
      <c r="L2006" t="s">
        <v>14</v>
      </c>
      <c r="M2006">
        <v>40.159999999999997</v>
      </c>
      <c r="N2006">
        <v>40.159999999999997</v>
      </c>
      <c r="O2006" t="s">
        <v>21</v>
      </c>
      <c r="P2006">
        <f t="shared" si="96"/>
        <v>-1</v>
      </c>
      <c r="Q2006" s="11">
        <f>IF(P2006=0,0,IFERROR(Q2005+G2006*M2006*IF(E2006="FUTURE",VLOOKUP(MID(I2006,2,2),[1]Futures!$A$2:$B$12,2),1),G2006*M2006*IF(E2006="FUTURE",VLOOKUP(MID(I2006,2,2),[1]Futures!$A$2:$B$12,2),1)))</f>
        <v>-40160</v>
      </c>
      <c r="R2006" s="12">
        <f>IFERROR(Q2006/P2006/IF(E2006="FUTURE",VLOOKUP(MID(I2006,2,2),[1]Futures!$A$2:$B$12,2),1),"")</f>
        <v>40.159999999999997</v>
      </c>
      <c r="S2006" s="13" t="str">
        <f>IF(AND(H2006="TO CLOSE",P2006=0),-G2006*(M2006-R2005)*IF(E2006="FUTURE",VLOOKUP(MID(I2006,2,2),[1]Futures!$A$2:$B$12,2),1),"")</f>
        <v/>
      </c>
    </row>
    <row r="2007" spans="1:19" x14ac:dyDescent="0.2">
      <c r="A2007">
        <f t="shared" si="95"/>
        <v>645</v>
      </c>
      <c r="B2007" s="3">
        <v>44022</v>
      </c>
      <c r="C2007" s="3" t="str">
        <f t="shared" si="94"/>
        <v>Friday</v>
      </c>
      <c r="D2007" s="2">
        <v>0.48300925925925925</v>
      </c>
      <c r="E2007" t="s">
        <v>14</v>
      </c>
      <c r="F2007" t="s">
        <v>19</v>
      </c>
      <c r="G2007">
        <v>1</v>
      </c>
      <c r="H2007" t="s">
        <v>16</v>
      </c>
      <c r="I2007" t="s">
        <v>77</v>
      </c>
      <c r="J2007" s="1">
        <v>44063</v>
      </c>
      <c r="L2007" t="s">
        <v>14</v>
      </c>
      <c r="M2007">
        <v>40.15</v>
      </c>
      <c r="N2007">
        <v>40.15</v>
      </c>
      <c r="O2007" t="s">
        <v>21</v>
      </c>
      <c r="P2007">
        <f t="shared" si="96"/>
        <v>0</v>
      </c>
      <c r="Q2007" s="11">
        <f>IF(P2007=0,0,IFERROR(Q2006+G2007*M2007*IF(E2007="FUTURE",VLOOKUP(MID(I2007,2,2),[1]Futures!$A$2:$B$12,2),1),G2007*M2007*IF(E2007="FUTURE",VLOOKUP(MID(I2007,2,2),[1]Futures!$A$2:$B$12,2),1)))</f>
        <v>0</v>
      </c>
      <c r="R2007" s="12" t="str">
        <f>IFERROR(Q2007/P2007/IF(E2007="FUTURE",VLOOKUP(MID(I2007,2,2),[1]Futures!$A$2:$B$12,2),1),"")</f>
        <v/>
      </c>
      <c r="S2007" s="13">
        <f>IF(AND(H2007="TO CLOSE",P2007=0),-G2007*(M2007-R2006)*IF(E2007="FUTURE",VLOOKUP(MID(I2007,2,2),[1]Futures!$A$2:$B$12,2),1),"")</f>
        <v>9.9999999999980105</v>
      </c>
    </row>
    <row r="2008" spans="1:19" x14ac:dyDescent="0.2">
      <c r="A2008">
        <f t="shared" si="95"/>
        <v>646</v>
      </c>
      <c r="B2008" s="3">
        <v>44022</v>
      </c>
      <c r="C2008" s="3" t="str">
        <f t="shared" si="94"/>
        <v>Friday</v>
      </c>
      <c r="D2008" s="2">
        <v>0.48570601851851852</v>
      </c>
      <c r="E2008" t="s">
        <v>14</v>
      </c>
      <c r="F2008" t="s">
        <v>15</v>
      </c>
      <c r="G2008">
        <v>-1</v>
      </c>
      <c r="H2008" t="s">
        <v>20</v>
      </c>
      <c r="I2008" t="s">
        <v>77</v>
      </c>
      <c r="J2008" s="1">
        <v>44063</v>
      </c>
      <c r="L2008" t="s">
        <v>14</v>
      </c>
      <c r="M2008">
        <v>40.14</v>
      </c>
      <c r="N2008">
        <v>40.14</v>
      </c>
      <c r="O2008" t="s">
        <v>21</v>
      </c>
      <c r="P2008">
        <f t="shared" si="96"/>
        <v>-1</v>
      </c>
      <c r="Q2008" s="11">
        <f>IF(P2008=0,0,IFERROR(Q2007+G2008*M2008*IF(E2008="FUTURE",VLOOKUP(MID(I2008,2,2),[1]Futures!$A$2:$B$12,2),1),G2008*M2008*IF(E2008="FUTURE",VLOOKUP(MID(I2008,2,2),[1]Futures!$A$2:$B$12,2),1)))</f>
        <v>-40140</v>
      </c>
      <c r="R2008" s="12">
        <f>IFERROR(Q2008/P2008/IF(E2008="FUTURE",VLOOKUP(MID(I2008,2,2),[1]Futures!$A$2:$B$12,2),1),"")</f>
        <v>40.14</v>
      </c>
      <c r="S2008" s="13" t="str">
        <f>IF(AND(H2008="TO CLOSE",P2008=0),-G2008*(M2008-R2007)*IF(E2008="FUTURE",VLOOKUP(MID(I2008,2,2),[1]Futures!$A$2:$B$12,2),1),"")</f>
        <v/>
      </c>
    </row>
    <row r="2009" spans="1:19" x14ac:dyDescent="0.2">
      <c r="A2009">
        <f t="shared" si="95"/>
        <v>646</v>
      </c>
      <c r="B2009" s="3">
        <v>44022</v>
      </c>
      <c r="C2009" s="3" t="str">
        <f t="shared" si="94"/>
        <v>Friday</v>
      </c>
      <c r="D2009" s="2">
        <v>0.48710648148148145</v>
      </c>
      <c r="E2009" t="s">
        <v>14</v>
      </c>
      <c r="F2009" t="s">
        <v>19</v>
      </c>
      <c r="G2009">
        <v>1</v>
      </c>
      <c r="H2009" t="s">
        <v>16</v>
      </c>
      <c r="I2009" t="s">
        <v>77</v>
      </c>
      <c r="J2009" s="1">
        <v>44063</v>
      </c>
      <c r="L2009" t="s">
        <v>14</v>
      </c>
      <c r="M2009">
        <v>40.119999999999997</v>
      </c>
      <c r="N2009">
        <v>40.119999999999997</v>
      </c>
      <c r="O2009" t="s">
        <v>21</v>
      </c>
      <c r="P2009">
        <f t="shared" si="96"/>
        <v>0</v>
      </c>
      <c r="Q2009" s="11">
        <f>IF(P2009=0,0,IFERROR(Q2008+G2009*M2009*IF(E2009="FUTURE",VLOOKUP(MID(I2009,2,2),[1]Futures!$A$2:$B$12,2),1),G2009*M2009*IF(E2009="FUTURE",VLOOKUP(MID(I2009,2,2),[1]Futures!$A$2:$B$12,2),1)))</f>
        <v>0</v>
      </c>
      <c r="R2009" s="12" t="str">
        <f>IFERROR(Q2009/P2009/IF(E2009="FUTURE",VLOOKUP(MID(I2009,2,2),[1]Futures!$A$2:$B$12,2),1),"")</f>
        <v/>
      </c>
      <c r="S2009" s="13">
        <f>IF(AND(H2009="TO CLOSE",P2009=0),-G2009*(M2009-R2008)*IF(E2009="FUTURE",VLOOKUP(MID(I2009,2,2),[1]Futures!$A$2:$B$12,2),1),"")</f>
        <v>20.000000000003126</v>
      </c>
    </row>
    <row r="2010" spans="1:19" x14ac:dyDescent="0.2">
      <c r="A2010">
        <f t="shared" si="95"/>
        <v>647</v>
      </c>
      <c r="B2010" s="3">
        <v>44022</v>
      </c>
      <c r="C2010" s="3" t="str">
        <f t="shared" si="94"/>
        <v>Friday</v>
      </c>
      <c r="D2010" s="2">
        <v>0.4957523148148148</v>
      </c>
      <c r="E2010" t="s">
        <v>14</v>
      </c>
      <c r="F2010" t="s">
        <v>15</v>
      </c>
      <c r="G2010">
        <v>-1</v>
      </c>
      <c r="H2010" t="s">
        <v>20</v>
      </c>
      <c r="I2010" t="s">
        <v>77</v>
      </c>
      <c r="J2010" s="1">
        <v>44063</v>
      </c>
      <c r="L2010" t="s">
        <v>14</v>
      </c>
      <c r="M2010">
        <v>40.19</v>
      </c>
      <c r="N2010">
        <v>40.19</v>
      </c>
      <c r="O2010" t="s">
        <v>21</v>
      </c>
      <c r="P2010">
        <f t="shared" si="96"/>
        <v>-1</v>
      </c>
      <c r="Q2010" s="11">
        <f>IF(P2010=0,0,IFERROR(Q2009+G2010*M2010*IF(E2010="FUTURE",VLOOKUP(MID(I2010,2,2),[1]Futures!$A$2:$B$12,2),1),G2010*M2010*IF(E2010="FUTURE",VLOOKUP(MID(I2010,2,2),[1]Futures!$A$2:$B$12,2),1)))</f>
        <v>-40190</v>
      </c>
      <c r="R2010" s="12">
        <f>IFERROR(Q2010/P2010/IF(E2010="FUTURE",VLOOKUP(MID(I2010,2,2),[1]Futures!$A$2:$B$12,2),1),"")</f>
        <v>40.19</v>
      </c>
      <c r="S2010" s="13" t="str">
        <f>IF(AND(H2010="TO CLOSE",P2010=0),-G2010*(M2010-R2009)*IF(E2010="FUTURE",VLOOKUP(MID(I2010,2,2),[1]Futures!$A$2:$B$12,2),1),"")</f>
        <v/>
      </c>
    </row>
    <row r="2011" spans="1:19" x14ac:dyDescent="0.2">
      <c r="A2011">
        <f t="shared" si="95"/>
        <v>647</v>
      </c>
      <c r="B2011" s="3">
        <v>44022</v>
      </c>
      <c r="C2011" s="3" t="str">
        <f t="shared" si="94"/>
        <v>Friday</v>
      </c>
      <c r="D2011" s="2">
        <v>0.49746527777777777</v>
      </c>
      <c r="E2011" t="s">
        <v>14</v>
      </c>
      <c r="F2011" t="s">
        <v>19</v>
      </c>
      <c r="G2011">
        <v>1</v>
      </c>
      <c r="H2011" t="s">
        <v>16</v>
      </c>
      <c r="I2011" t="s">
        <v>77</v>
      </c>
      <c r="J2011" s="1">
        <v>44063</v>
      </c>
      <c r="L2011" t="s">
        <v>14</v>
      </c>
      <c r="M2011">
        <v>40.17</v>
      </c>
      <c r="N2011">
        <v>40.17</v>
      </c>
      <c r="O2011" t="s">
        <v>21</v>
      </c>
      <c r="P2011">
        <f t="shared" si="96"/>
        <v>0</v>
      </c>
      <c r="Q2011" s="11">
        <f>IF(P2011=0,0,IFERROR(Q2010+G2011*M2011*IF(E2011="FUTURE",VLOOKUP(MID(I2011,2,2),[1]Futures!$A$2:$B$12,2),1),G2011*M2011*IF(E2011="FUTURE",VLOOKUP(MID(I2011,2,2),[1]Futures!$A$2:$B$12,2),1)))</f>
        <v>0</v>
      </c>
      <c r="R2011" s="12" t="str">
        <f>IFERROR(Q2011/P2011/IF(E2011="FUTURE",VLOOKUP(MID(I2011,2,2),[1]Futures!$A$2:$B$12,2),1),"")</f>
        <v/>
      </c>
      <c r="S2011" s="13">
        <f>IF(AND(H2011="TO CLOSE",P2011=0),-G2011*(M2011-R2010)*IF(E2011="FUTURE",VLOOKUP(MID(I2011,2,2),[1]Futures!$A$2:$B$12,2),1),"")</f>
        <v>19.999999999996021</v>
      </c>
    </row>
    <row r="2012" spans="1:19" x14ac:dyDescent="0.2">
      <c r="A2012">
        <f t="shared" si="95"/>
        <v>648</v>
      </c>
      <c r="B2012" s="3">
        <v>44022</v>
      </c>
      <c r="C2012" s="3" t="str">
        <f t="shared" si="94"/>
        <v>Friday</v>
      </c>
      <c r="D2012" s="2">
        <v>0.41884259259259254</v>
      </c>
      <c r="E2012" t="s">
        <v>14</v>
      </c>
      <c r="F2012" t="s">
        <v>15</v>
      </c>
      <c r="G2012">
        <v>-1</v>
      </c>
      <c r="H2012" t="s">
        <v>20</v>
      </c>
      <c r="I2012" t="s">
        <v>79</v>
      </c>
      <c r="J2012" s="1">
        <v>44094</v>
      </c>
      <c r="L2012" t="s">
        <v>14</v>
      </c>
      <c r="M2012">
        <v>3128.5</v>
      </c>
      <c r="N2012">
        <v>3128.5</v>
      </c>
      <c r="O2012" t="s">
        <v>21</v>
      </c>
      <c r="P2012">
        <f t="shared" si="96"/>
        <v>-1</v>
      </c>
      <c r="Q2012" s="11">
        <f>IF(P2012=0,0,IFERROR(Q2011+G2012*M2012*IF(E2012="FUTURE",VLOOKUP(MID(I2012,2,2),[1]Futures!$A$2:$B$12,2),1),G2012*M2012*IF(E2012="FUTURE",VLOOKUP(MID(I2012,2,2),[1]Futures!$A$2:$B$12,2),1)))</f>
        <v>-156425</v>
      </c>
      <c r="R2012" s="12">
        <f>IFERROR(Q2012/P2012/IF(E2012="FUTURE",VLOOKUP(MID(I2012,2,2),[1]Futures!$A$2:$B$12,2),1),"")</f>
        <v>3128.5</v>
      </c>
      <c r="S2012" s="13" t="str">
        <f>IF(AND(H2012="TO CLOSE",P2012=0),-G2012*(M2012-R2011)*IF(E2012="FUTURE",VLOOKUP(MID(I2012,2,2),[1]Futures!$A$2:$B$12,2),1),"")</f>
        <v/>
      </c>
    </row>
    <row r="2013" spans="1:19" x14ac:dyDescent="0.2">
      <c r="A2013">
        <f t="shared" si="95"/>
        <v>648</v>
      </c>
      <c r="B2013" s="3">
        <v>44022</v>
      </c>
      <c r="C2013" s="3" t="str">
        <f t="shared" si="94"/>
        <v>Friday</v>
      </c>
      <c r="D2013" s="2">
        <v>0.42436342592592591</v>
      </c>
      <c r="E2013" t="s">
        <v>14</v>
      </c>
      <c r="F2013" t="s">
        <v>19</v>
      </c>
      <c r="G2013">
        <v>1</v>
      </c>
      <c r="H2013" t="s">
        <v>16</v>
      </c>
      <c r="I2013" t="s">
        <v>79</v>
      </c>
      <c r="J2013" s="1">
        <v>44094</v>
      </c>
      <c r="L2013" t="s">
        <v>14</v>
      </c>
      <c r="M2013">
        <v>3139.5</v>
      </c>
      <c r="N2013">
        <v>3139.5</v>
      </c>
      <c r="O2013" t="s">
        <v>24</v>
      </c>
      <c r="P2013">
        <f t="shared" si="96"/>
        <v>0</v>
      </c>
      <c r="Q2013" s="11">
        <f>IF(P2013=0,0,IFERROR(Q2012+G2013*M2013*IF(E2013="FUTURE",VLOOKUP(MID(I2013,2,2),[1]Futures!$A$2:$B$12,2),1),G2013*M2013*IF(E2013="FUTURE",VLOOKUP(MID(I2013,2,2),[1]Futures!$A$2:$B$12,2),1)))</f>
        <v>0</v>
      </c>
      <c r="R2013" s="12" t="str">
        <f>IFERROR(Q2013/P2013/IF(E2013="FUTURE",VLOOKUP(MID(I2013,2,2),[1]Futures!$A$2:$B$12,2),1),"")</f>
        <v/>
      </c>
      <c r="S2013" s="13">
        <f>IF(AND(H2013="TO CLOSE",P2013=0),-G2013*(M2013-R2012)*IF(E2013="FUTURE",VLOOKUP(MID(I2013,2,2),[1]Futures!$A$2:$B$12,2),1),"")</f>
        <v>-550</v>
      </c>
    </row>
    <row r="2014" spans="1:19" x14ac:dyDescent="0.2">
      <c r="A2014">
        <f t="shared" si="95"/>
        <v>649</v>
      </c>
      <c r="B2014" s="3">
        <v>44022</v>
      </c>
      <c r="C2014" s="3" t="str">
        <f t="shared" si="94"/>
        <v>Friday</v>
      </c>
      <c r="D2014" s="2">
        <v>0.42693287037037037</v>
      </c>
      <c r="E2014" t="s">
        <v>14</v>
      </c>
      <c r="F2014" t="s">
        <v>19</v>
      </c>
      <c r="G2014">
        <v>2</v>
      </c>
      <c r="H2014" t="s">
        <v>20</v>
      </c>
      <c r="I2014" t="s">
        <v>79</v>
      </c>
      <c r="J2014" s="1">
        <v>44094</v>
      </c>
      <c r="L2014" t="s">
        <v>14</v>
      </c>
      <c r="M2014">
        <v>3143.75</v>
      </c>
      <c r="N2014">
        <v>3143.75</v>
      </c>
      <c r="O2014" t="s">
        <v>24</v>
      </c>
      <c r="P2014">
        <f t="shared" si="96"/>
        <v>2</v>
      </c>
      <c r="Q2014" s="11">
        <f>IF(P2014=0,0,IFERROR(Q2013+G2014*M2014*IF(E2014="FUTURE",VLOOKUP(MID(I2014,2,2),[1]Futures!$A$2:$B$12,2),1),G2014*M2014*IF(E2014="FUTURE",VLOOKUP(MID(I2014,2,2),[1]Futures!$A$2:$B$12,2),1)))</f>
        <v>314375</v>
      </c>
      <c r="R2014" s="12">
        <f>IFERROR(Q2014/P2014/IF(E2014="FUTURE",VLOOKUP(MID(I2014,2,2),[1]Futures!$A$2:$B$12,2),1),"")</f>
        <v>3143.75</v>
      </c>
      <c r="S2014" s="13" t="str">
        <f>IF(AND(H2014="TO CLOSE",P2014=0),-G2014*(M2014-R2013)*IF(E2014="FUTURE",VLOOKUP(MID(I2014,2,2),[1]Futures!$A$2:$B$12,2),1),"")</f>
        <v/>
      </c>
    </row>
    <row r="2015" spans="1:19" x14ac:dyDescent="0.2">
      <c r="A2015">
        <f t="shared" si="95"/>
        <v>649</v>
      </c>
      <c r="B2015" s="3">
        <v>44022</v>
      </c>
      <c r="C2015" s="3" t="str">
        <f t="shared" si="94"/>
        <v>Friday</v>
      </c>
      <c r="D2015" s="2">
        <v>0.42721064814814813</v>
      </c>
      <c r="E2015" t="s">
        <v>14</v>
      </c>
      <c r="F2015" t="s">
        <v>15</v>
      </c>
      <c r="G2015">
        <v>-1</v>
      </c>
      <c r="H2015" t="s">
        <v>16</v>
      </c>
      <c r="I2015" t="s">
        <v>79</v>
      </c>
      <c r="J2015" s="1">
        <v>44094</v>
      </c>
      <c r="L2015" t="s">
        <v>14</v>
      </c>
      <c r="M2015">
        <v>3145.75</v>
      </c>
      <c r="N2015">
        <v>3145.75</v>
      </c>
      <c r="O2015" t="s">
        <v>21</v>
      </c>
      <c r="P2015">
        <f t="shared" si="96"/>
        <v>1</v>
      </c>
      <c r="Q2015" s="11">
        <f>IF(P2015=0,0,IFERROR(Q2014+G2015*M2015*IF(E2015="FUTURE",VLOOKUP(MID(I2015,2,2),[1]Futures!$A$2:$B$12,2),1),G2015*M2015*IF(E2015="FUTURE",VLOOKUP(MID(I2015,2,2),[1]Futures!$A$2:$B$12,2),1)))</f>
        <v>157087.5</v>
      </c>
      <c r="R2015" s="12">
        <f>IFERROR(Q2015/P2015/IF(E2015="FUTURE",VLOOKUP(MID(I2015,2,2),[1]Futures!$A$2:$B$12,2),1),"")</f>
        <v>3141.75</v>
      </c>
      <c r="S2015" s="13" t="str">
        <f>IF(AND(H2015="TO CLOSE",P2015=0),-G2015*(M2015-R2014)*IF(E2015="FUTURE",VLOOKUP(MID(I2015,2,2),[1]Futures!$A$2:$B$12,2),1),"")</f>
        <v/>
      </c>
    </row>
    <row r="2016" spans="1:19" x14ac:dyDescent="0.2">
      <c r="A2016">
        <f t="shared" si="95"/>
        <v>649</v>
      </c>
      <c r="B2016" s="3">
        <v>44022</v>
      </c>
      <c r="C2016" s="3" t="str">
        <f t="shared" si="94"/>
        <v>Friday</v>
      </c>
      <c r="D2016" s="2">
        <v>0.43247685185185186</v>
      </c>
      <c r="E2016" t="s">
        <v>14</v>
      </c>
      <c r="F2016" t="s">
        <v>15</v>
      </c>
      <c r="G2016">
        <v>-1</v>
      </c>
      <c r="H2016" t="s">
        <v>16</v>
      </c>
      <c r="I2016" t="s">
        <v>79</v>
      </c>
      <c r="J2016" s="1">
        <v>44094</v>
      </c>
      <c r="L2016" t="s">
        <v>14</v>
      </c>
      <c r="M2016">
        <v>3138.75</v>
      </c>
      <c r="N2016">
        <v>3138.75</v>
      </c>
      <c r="O2016" t="s">
        <v>18</v>
      </c>
      <c r="P2016">
        <f t="shared" si="96"/>
        <v>0</v>
      </c>
      <c r="Q2016" s="11">
        <f>IF(P2016=0,0,IFERROR(Q2015+G2016*M2016*IF(E2016="FUTURE",VLOOKUP(MID(I2016,2,2),[1]Futures!$A$2:$B$12,2),1),G2016*M2016*IF(E2016="FUTURE",VLOOKUP(MID(I2016,2,2),[1]Futures!$A$2:$B$12,2),1)))</f>
        <v>0</v>
      </c>
      <c r="R2016" s="12" t="str">
        <f>IFERROR(Q2016/P2016/IF(E2016="FUTURE",VLOOKUP(MID(I2016,2,2),[1]Futures!$A$2:$B$12,2),1),"")</f>
        <v/>
      </c>
      <c r="S2016" s="13">
        <f>IF(AND(H2016="TO CLOSE",P2016=0),-G2016*(M2016-R2015)*IF(E2016="FUTURE",VLOOKUP(MID(I2016,2,2),[1]Futures!$A$2:$B$12,2),1),"")</f>
        <v>-150</v>
      </c>
    </row>
    <row r="2017" spans="1:19" x14ac:dyDescent="0.2">
      <c r="A2017">
        <f t="shared" si="95"/>
        <v>650</v>
      </c>
      <c r="B2017" s="3">
        <v>44022</v>
      </c>
      <c r="C2017" s="3" t="str">
        <f t="shared" si="94"/>
        <v>Friday</v>
      </c>
      <c r="D2017" s="2">
        <v>0.43285879629629626</v>
      </c>
      <c r="E2017" t="s">
        <v>14</v>
      </c>
      <c r="F2017" t="s">
        <v>15</v>
      </c>
      <c r="G2017">
        <v>-1</v>
      </c>
      <c r="H2017" t="s">
        <v>20</v>
      </c>
      <c r="I2017" t="s">
        <v>79</v>
      </c>
      <c r="J2017" s="1">
        <v>44094</v>
      </c>
      <c r="L2017" t="s">
        <v>14</v>
      </c>
      <c r="M2017">
        <v>3139.25</v>
      </c>
      <c r="N2017">
        <v>3139.25</v>
      </c>
      <c r="O2017" t="s">
        <v>21</v>
      </c>
      <c r="P2017">
        <f t="shared" si="96"/>
        <v>-1</v>
      </c>
      <c r="Q2017" s="11">
        <f>IF(P2017=0,0,IFERROR(Q2016+G2017*M2017*IF(E2017="FUTURE",VLOOKUP(MID(I2017,2,2),[1]Futures!$A$2:$B$12,2),1),G2017*M2017*IF(E2017="FUTURE",VLOOKUP(MID(I2017,2,2),[1]Futures!$A$2:$B$12,2),1)))</f>
        <v>-156962.5</v>
      </c>
      <c r="R2017" s="12">
        <f>IFERROR(Q2017/P2017/IF(E2017="FUTURE",VLOOKUP(MID(I2017,2,2),[1]Futures!$A$2:$B$12,2),1),"")</f>
        <v>3139.25</v>
      </c>
      <c r="S2017" s="13" t="str">
        <f>IF(AND(H2017="TO CLOSE",P2017=0),-G2017*(M2017-R2016)*IF(E2017="FUTURE",VLOOKUP(MID(I2017,2,2),[1]Futures!$A$2:$B$12,2),1),"")</f>
        <v/>
      </c>
    </row>
    <row r="2018" spans="1:19" x14ac:dyDescent="0.2">
      <c r="A2018">
        <f t="shared" si="95"/>
        <v>650</v>
      </c>
      <c r="B2018" s="3">
        <v>44022</v>
      </c>
      <c r="C2018" s="3" t="str">
        <f t="shared" si="94"/>
        <v>Friday</v>
      </c>
      <c r="D2018" s="2">
        <v>0.43497685185185181</v>
      </c>
      <c r="E2018" t="s">
        <v>14</v>
      </c>
      <c r="F2018" t="s">
        <v>19</v>
      </c>
      <c r="G2018">
        <v>2</v>
      </c>
      <c r="H2018" t="s">
        <v>16</v>
      </c>
      <c r="I2018" t="s">
        <v>79</v>
      </c>
      <c r="J2018" s="1">
        <v>44094</v>
      </c>
      <c r="L2018" t="s">
        <v>14</v>
      </c>
      <c r="M2018">
        <v>3145.25</v>
      </c>
      <c r="N2018">
        <v>3145.25</v>
      </c>
      <c r="O2018" t="s">
        <v>24</v>
      </c>
      <c r="P2018">
        <f t="shared" si="96"/>
        <v>1</v>
      </c>
      <c r="Q2018" s="11">
        <f>IF(P2018=0,0,IFERROR(Q2017+G2018*M2018*IF(E2018="FUTURE",VLOOKUP(MID(I2018,2,2),[1]Futures!$A$2:$B$12,2),1),G2018*M2018*IF(E2018="FUTURE",VLOOKUP(MID(I2018,2,2),[1]Futures!$A$2:$B$12,2),1)))</f>
        <v>157562.5</v>
      </c>
      <c r="R2018" s="12">
        <f>IFERROR(Q2018/P2018/IF(E2018="FUTURE",VLOOKUP(MID(I2018,2,2),[1]Futures!$A$2:$B$12,2),1),"")</f>
        <v>3151.25</v>
      </c>
      <c r="S2018" s="13" t="str">
        <f>IF(AND(H2018="TO CLOSE",P2018=0),-G2018*(M2018-R2017)*IF(E2018="FUTURE",VLOOKUP(MID(I2018,2,2),[1]Futures!$A$2:$B$12,2),1),"")</f>
        <v/>
      </c>
    </row>
    <row r="2019" spans="1:19" x14ac:dyDescent="0.2">
      <c r="A2019">
        <f t="shared" si="95"/>
        <v>650</v>
      </c>
      <c r="B2019" s="3">
        <v>44022</v>
      </c>
      <c r="C2019" s="3" t="str">
        <f t="shared" si="94"/>
        <v>Friday</v>
      </c>
      <c r="D2019" s="2">
        <v>0.450162037037037</v>
      </c>
      <c r="E2019" t="s">
        <v>14</v>
      </c>
      <c r="F2019" t="s">
        <v>15</v>
      </c>
      <c r="G2019">
        <v>-1</v>
      </c>
      <c r="H2019" t="s">
        <v>16</v>
      </c>
      <c r="I2019" t="s">
        <v>79</v>
      </c>
      <c r="J2019" s="1">
        <v>44094</v>
      </c>
      <c r="L2019" t="s">
        <v>14</v>
      </c>
      <c r="M2019">
        <v>3149.25</v>
      </c>
      <c r="N2019">
        <v>3149.25</v>
      </c>
      <c r="O2019" t="s">
        <v>18</v>
      </c>
      <c r="P2019">
        <f t="shared" si="96"/>
        <v>0</v>
      </c>
      <c r="Q2019" s="11">
        <f>IF(P2019=0,0,IFERROR(Q2018+G2019*M2019*IF(E2019="FUTURE",VLOOKUP(MID(I2019,2,2),[1]Futures!$A$2:$B$12,2),1),G2019*M2019*IF(E2019="FUTURE",VLOOKUP(MID(I2019,2,2),[1]Futures!$A$2:$B$12,2),1)))</f>
        <v>0</v>
      </c>
      <c r="R2019" s="12" t="str">
        <f>IFERROR(Q2019/P2019/IF(E2019="FUTURE",VLOOKUP(MID(I2019,2,2),[1]Futures!$A$2:$B$12,2),1),"")</f>
        <v/>
      </c>
      <c r="S2019" s="13">
        <f>IF(AND(H2019="TO CLOSE",P2019=0),-G2019*(M2019-R2018)*IF(E2019="FUTURE",VLOOKUP(MID(I2019,2,2),[1]Futures!$A$2:$B$12,2),1),"")</f>
        <v>-100</v>
      </c>
    </row>
    <row r="2020" spans="1:19" x14ac:dyDescent="0.2">
      <c r="A2020">
        <f t="shared" si="95"/>
        <v>651</v>
      </c>
      <c r="B2020" s="3">
        <v>44022</v>
      </c>
      <c r="C2020" s="3" t="str">
        <f t="shared" si="94"/>
        <v>Friday</v>
      </c>
      <c r="D2020" s="2">
        <v>0.45359953703703698</v>
      </c>
      <c r="E2020" t="s">
        <v>14</v>
      </c>
      <c r="F2020" t="s">
        <v>15</v>
      </c>
      <c r="G2020">
        <v>-1</v>
      </c>
      <c r="H2020" t="s">
        <v>20</v>
      </c>
      <c r="I2020" t="s">
        <v>79</v>
      </c>
      <c r="J2020" s="1">
        <v>44094</v>
      </c>
      <c r="L2020" t="s">
        <v>14</v>
      </c>
      <c r="M2020">
        <v>3148.25</v>
      </c>
      <c r="N2020">
        <v>3148.25</v>
      </c>
      <c r="O2020" t="s">
        <v>24</v>
      </c>
      <c r="P2020">
        <f t="shared" si="96"/>
        <v>-1</v>
      </c>
      <c r="Q2020" s="11">
        <f>IF(P2020=0,0,IFERROR(Q2019+G2020*M2020*IF(E2020="FUTURE",VLOOKUP(MID(I2020,2,2),[1]Futures!$A$2:$B$12,2),1),G2020*M2020*IF(E2020="FUTURE",VLOOKUP(MID(I2020,2,2),[1]Futures!$A$2:$B$12,2),1)))</f>
        <v>-157412.5</v>
      </c>
      <c r="R2020" s="12">
        <f>IFERROR(Q2020/P2020/IF(E2020="FUTURE",VLOOKUP(MID(I2020,2,2),[1]Futures!$A$2:$B$12,2),1),"")</f>
        <v>3148.25</v>
      </c>
      <c r="S2020" s="13" t="str">
        <f>IF(AND(H2020="TO CLOSE",P2020=0),-G2020*(M2020-R2019)*IF(E2020="FUTURE",VLOOKUP(MID(I2020,2,2),[1]Futures!$A$2:$B$12,2),1),"")</f>
        <v/>
      </c>
    </row>
    <row r="2021" spans="1:19" x14ac:dyDescent="0.2">
      <c r="A2021">
        <f t="shared" si="95"/>
        <v>651</v>
      </c>
      <c r="B2021" s="3">
        <v>44022</v>
      </c>
      <c r="C2021" s="3" t="str">
        <f t="shared" si="94"/>
        <v>Friday</v>
      </c>
      <c r="D2021" s="2">
        <v>0.46315972222222218</v>
      </c>
      <c r="E2021" t="s">
        <v>14</v>
      </c>
      <c r="F2021" t="s">
        <v>19</v>
      </c>
      <c r="G2021">
        <v>1</v>
      </c>
      <c r="H2021" t="s">
        <v>16</v>
      </c>
      <c r="I2021" t="s">
        <v>79</v>
      </c>
      <c r="J2021" s="1">
        <v>44094</v>
      </c>
      <c r="L2021" t="s">
        <v>14</v>
      </c>
      <c r="M2021">
        <v>3146.25</v>
      </c>
      <c r="N2021">
        <v>3146.25</v>
      </c>
      <c r="O2021" t="s">
        <v>24</v>
      </c>
      <c r="P2021">
        <f t="shared" si="96"/>
        <v>0</v>
      </c>
      <c r="Q2021" s="11">
        <f>IF(P2021=0,0,IFERROR(Q2020+G2021*M2021*IF(E2021="FUTURE",VLOOKUP(MID(I2021,2,2),[1]Futures!$A$2:$B$12,2),1),G2021*M2021*IF(E2021="FUTURE",VLOOKUP(MID(I2021,2,2),[1]Futures!$A$2:$B$12,2),1)))</f>
        <v>0</v>
      </c>
      <c r="R2021" s="12" t="str">
        <f>IFERROR(Q2021/P2021/IF(E2021="FUTURE",VLOOKUP(MID(I2021,2,2),[1]Futures!$A$2:$B$12,2),1),"")</f>
        <v/>
      </c>
      <c r="S2021" s="13">
        <f>IF(AND(H2021="TO CLOSE",P2021=0),-G2021*(M2021-R2020)*IF(E2021="FUTURE",VLOOKUP(MID(I2021,2,2),[1]Futures!$A$2:$B$12,2),1),"")</f>
        <v>100</v>
      </c>
    </row>
    <row r="2022" spans="1:19" x14ac:dyDescent="0.2">
      <c r="A2022">
        <f t="shared" si="95"/>
        <v>652</v>
      </c>
      <c r="B2022" s="3">
        <v>44022</v>
      </c>
      <c r="C2022" s="3" t="str">
        <f t="shared" si="94"/>
        <v>Friday</v>
      </c>
      <c r="D2022" s="2">
        <v>0.47802083333333334</v>
      </c>
      <c r="E2022" t="s">
        <v>14</v>
      </c>
      <c r="F2022" t="s">
        <v>15</v>
      </c>
      <c r="G2022">
        <v>-1</v>
      </c>
      <c r="H2022" t="s">
        <v>20</v>
      </c>
      <c r="I2022" t="s">
        <v>79</v>
      </c>
      <c r="J2022" s="1">
        <v>44094</v>
      </c>
      <c r="L2022" t="s">
        <v>14</v>
      </c>
      <c r="M2022">
        <v>3152.25</v>
      </c>
      <c r="N2022">
        <v>3152.25</v>
      </c>
      <c r="O2022" t="s">
        <v>21</v>
      </c>
      <c r="P2022">
        <f t="shared" si="96"/>
        <v>-1</v>
      </c>
      <c r="Q2022" s="11">
        <f>IF(P2022=0,0,IFERROR(Q2021+G2022*M2022*IF(E2022="FUTURE",VLOOKUP(MID(I2022,2,2),[1]Futures!$A$2:$B$12,2),1),G2022*M2022*IF(E2022="FUTURE",VLOOKUP(MID(I2022,2,2),[1]Futures!$A$2:$B$12,2),1)))</f>
        <v>-157612.5</v>
      </c>
      <c r="R2022" s="12">
        <f>IFERROR(Q2022/P2022/IF(E2022="FUTURE",VLOOKUP(MID(I2022,2,2),[1]Futures!$A$2:$B$12,2),1),"")</f>
        <v>3152.25</v>
      </c>
      <c r="S2022" s="13" t="str">
        <f>IF(AND(H2022="TO CLOSE",P2022=0),-G2022*(M2022-R2021)*IF(E2022="FUTURE",VLOOKUP(MID(I2022,2,2),[1]Futures!$A$2:$B$12,2),1),"")</f>
        <v/>
      </c>
    </row>
    <row r="2023" spans="1:19" x14ac:dyDescent="0.2">
      <c r="A2023">
        <f t="shared" si="95"/>
        <v>652</v>
      </c>
      <c r="B2023" s="3">
        <v>44022</v>
      </c>
      <c r="C2023" s="3" t="str">
        <f t="shared" si="94"/>
        <v>Friday</v>
      </c>
      <c r="D2023" s="2">
        <v>0.4788425925925926</v>
      </c>
      <c r="E2023" t="s">
        <v>14</v>
      </c>
      <c r="F2023" t="s">
        <v>19</v>
      </c>
      <c r="G2023">
        <v>1</v>
      </c>
      <c r="H2023" t="s">
        <v>16</v>
      </c>
      <c r="I2023" t="s">
        <v>79</v>
      </c>
      <c r="J2023" s="1">
        <v>44094</v>
      </c>
      <c r="L2023" t="s">
        <v>14</v>
      </c>
      <c r="M2023">
        <v>3151.25</v>
      </c>
      <c r="N2023">
        <v>3151.25</v>
      </c>
      <c r="O2023" t="s">
        <v>21</v>
      </c>
      <c r="P2023">
        <f t="shared" si="96"/>
        <v>0</v>
      </c>
      <c r="Q2023" s="11">
        <f>IF(P2023=0,0,IFERROR(Q2022+G2023*M2023*IF(E2023="FUTURE",VLOOKUP(MID(I2023,2,2),[1]Futures!$A$2:$B$12,2),1),G2023*M2023*IF(E2023="FUTURE",VLOOKUP(MID(I2023,2,2),[1]Futures!$A$2:$B$12,2),1)))</f>
        <v>0</v>
      </c>
      <c r="R2023" s="12" t="str">
        <f>IFERROR(Q2023/P2023/IF(E2023="FUTURE",VLOOKUP(MID(I2023,2,2),[1]Futures!$A$2:$B$12,2),1),"")</f>
        <v/>
      </c>
      <c r="S2023" s="13">
        <f>IF(AND(H2023="TO CLOSE",P2023=0),-G2023*(M2023-R2022)*IF(E2023="FUTURE",VLOOKUP(MID(I2023,2,2),[1]Futures!$A$2:$B$12,2),1),"")</f>
        <v>50</v>
      </c>
    </row>
    <row r="2024" spans="1:19" x14ac:dyDescent="0.2">
      <c r="A2024">
        <f t="shared" si="95"/>
        <v>653</v>
      </c>
      <c r="B2024" s="3">
        <v>44022</v>
      </c>
      <c r="C2024" s="3" t="str">
        <f t="shared" si="94"/>
        <v>Friday</v>
      </c>
      <c r="D2024" s="2">
        <v>0.48258101851851848</v>
      </c>
      <c r="E2024" t="s">
        <v>14</v>
      </c>
      <c r="F2024" t="s">
        <v>15</v>
      </c>
      <c r="G2024">
        <v>-1</v>
      </c>
      <c r="H2024" t="s">
        <v>20</v>
      </c>
      <c r="I2024" t="s">
        <v>79</v>
      </c>
      <c r="J2024" s="1">
        <v>44094</v>
      </c>
      <c r="L2024" t="s">
        <v>14</v>
      </c>
      <c r="M2024">
        <v>3148.75</v>
      </c>
      <c r="N2024">
        <v>3148.75</v>
      </c>
      <c r="O2024" t="s">
        <v>21</v>
      </c>
      <c r="P2024">
        <f t="shared" si="96"/>
        <v>-1</v>
      </c>
      <c r="Q2024" s="11">
        <f>IF(P2024=0,0,IFERROR(Q2023+G2024*M2024*IF(E2024="FUTURE",VLOOKUP(MID(I2024,2,2),[1]Futures!$A$2:$B$12,2),1),G2024*M2024*IF(E2024="FUTURE",VLOOKUP(MID(I2024,2,2),[1]Futures!$A$2:$B$12,2),1)))</f>
        <v>-157437.5</v>
      </c>
      <c r="R2024" s="12">
        <f>IFERROR(Q2024/P2024/IF(E2024="FUTURE",VLOOKUP(MID(I2024,2,2),[1]Futures!$A$2:$B$12,2),1),"")</f>
        <v>3148.75</v>
      </c>
      <c r="S2024" s="13" t="str">
        <f>IF(AND(H2024="TO CLOSE",P2024=0),-G2024*(M2024-R2023)*IF(E2024="FUTURE",VLOOKUP(MID(I2024,2,2),[1]Futures!$A$2:$B$12,2),1),"")</f>
        <v/>
      </c>
    </row>
    <row r="2025" spans="1:19" x14ac:dyDescent="0.2">
      <c r="A2025">
        <f t="shared" si="95"/>
        <v>653</v>
      </c>
      <c r="B2025" s="3">
        <v>44022</v>
      </c>
      <c r="C2025" s="3" t="str">
        <f t="shared" si="94"/>
        <v>Friday</v>
      </c>
      <c r="D2025" s="2">
        <v>0.48552083333333335</v>
      </c>
      <c r="E2025" t="s">
        <v>14</v>
      </c>
      <c r="F2025" t="s">
        <v>19</v>
      </c>
      <c r="G2025">
        <v>1</v>
      </c>
      <c r="H2025" t="s">
        <v>16</v>
      </c>
      <c r="I2025" t="s">
        <v>79</v>
      </c>
      <c r="J2025" s="1">
        <v>44094</v>
      </c>
      <c r="L2025" t="s">
        <v>14</v>
      </c>
      <c r="M2025">
        <v>3152.75</v>
      </c>
      <c r="N2025">
        <v>3152.75</v>
      </c>
      <c r="O2025" t="s">
        <v>21</v>
      </c>
      <c r="P2025">
        <f t="shared" si="96"/>
        <v>0</v>
      </c>
      <c r="Q2025" s="11">
        <f>IF(P2025=0,0,IFERROR(Q2024+G2025*M2025*IF(E2025="FUTURE",VLOOKUP(MID(I2025,2,2),[1]Futures!$A$2:$B$12,2),1),G2025*M2025*IF(E2025="FUTURE",VLOOKUP(MID(I2025,2,2),[1]Futures!$A$2:$B$12,2),1)))</f>
        <v>0</v>
      </c>
      <c r="R2025" s="12" t="str">
        <f>IFERROR(Q2025/P2025/IF(E2025="FUTURE",VLOOKUP(MID(I2025,2,2),[1]Futures!$A$2:$B$12,2),1),"")</f>
        <v/>
      </c>
      <c r="S2025" s="13">
        <f>IF(AND(H2025="TO CLOSE",P2025=0),-G2025*(M2025-R2024)*IF(E2025="FUTURE",VLOOKUP(MID(I2025,2,2),[1]Futures!$A$2:$B$12,2),1),"")</f>
        <v>-200</v>
      </c>
    </row>
    <row r="2026" spans="1:19" x14ac:dyDescent="0.2">
      <c r="A2026">
        <f t="shared" si="95"/>
        <v>654</v>
      </c>
      <c r="B2026" s="3">
        <v>44022</v>
      </c>
      <c r="C2026" s="3" t="str">
        <f t="shared" si="94"/>
        <v>Friday</v>
      </c>
      <c r="D2026" s="2">
        <v>0.48719907407407409</v>
      </c>
      <c r="E2026" t="s">
        <v>14</v>
      </c>
      <c r="F2026" t="s">
        <v>19</v>
      </c>
      <c r="G2026">
        <v>1</v>
      </c>
      <c r="H2026" t="s">
        <v>20</v>
      </c>
      <c r="I2026" t="s">
        <v>79</v>
      </c>
      <c r="J2026" s="1">
        <v>44094</v>
      </c>
      <c r="L2026" t="s">
        <v>14</v>
      </c>
      <c r="M2026">
        <v>3155.25</v>
      </c>
      <c r="N2026">
        <v>3155.25</v>
      </c>
      <c r="O2026" t="s">
        <v>24</v>
      </c>
      <c r="P2026">
        <f t="shared" si="96"/>
        <v>1</v>
      </c>
      <c r="Q2026" s="11">
        <f>IF(P2026=0,0,IFERROR(Q2025+G2026*M2026*IF(E2026="FUTURE",VLOOKUP(MID(I2026,2,2),[1]Futures!$A$2:$B$12,2),1),G2026*M2026*IF(E2026="FUTURE",VLOOKUP(MID(I2026,2,2),[1]Futures!$A$2:$B$12,2),1)))</f>
        <v>157762.5</v>
      </c>
      <c r="R2026" s="12">
        <f>IFERROR(Q2026/P2026/IF(E2026="FUTURE",VLOOKUP(MID(I2026,2,2),[1]Futures!$A$2:$B$12,2),1),"")</f>
        <v>3155.25</v>
      </c>
      <c r="S2026" s="13" t="str">
        <f>IF(AND(H2026="TO CLOSE",P2026=0),-G2026*(M2026-R2025)*IF(E2026="FUTURE",VLOOKUP(MID(I2026,2,2),[1]Futures!$A$2:$B$12,2),1),"")</f>
        <v/>
      </c>
    </row>
    <row r="2027" spans="1:19" x14ac:dyDescent="0.2">
      <c r="A2027">
        <f t="shared" si="95"/>
        <v>654</v>
      </c>
      <c r="B2027" s="3">
        <v>44022</v>
      </c>
      <c r="C2027" s="3" t="str">
        <f t="shared" si="94"/>
        <v>Friday</v>
      </c>
      <c r="D2027" s="2">
        <v>0.49467592592592591</v>
      </c>
      <c r="E2027" t="s">
        <v>14</v>
      </c>
      <c r="F2027" t="s">
        <v>15</v>
      </c>
      <c r="G2027">
        <v>-1</v>
      </c>
      <c r="H2027" t="s">
        <v>16</v>
      </c>
      <c r="I2027" t="s">
        <v>79</v>
      </c>
      <c r="J2027" s="1">
        <v>44094</v>
      </c>
      <c r="L2027" t="s">
        <v>14</v>
      </c>
      <c r="M2027">
        <v>3155.25</v>
      </c>
      <c r="N2027">
        <v>3155.25</v>
      </c>
      <c r="O2027" t="s">
        <v>21</v>
      </c>
      <c r="P2027">
        <f t="shared" si="96"/>
        <v>0</v>
      </c>
      <c r="Q2027" s="11">
        <f>IF(P2027=0,0,IFERROR(Q2026+G2027*M2027*IF(E2027="FUTURE",VLOOKUP(MID(I2027,2,2),[1]Futures!$A$2:$B$12,2),1),G2027*M2027*IF(E2027="FUTURE",VLOOKUP(MID(I2027,2,2),[1]Futures!$A$2:$B$12,2),1)))</f>
        <v>0</v>
      </c>
      <c r="R2027" s="12" t="str">
        <f>IFERROR(Q2027/P2027/IF(E2027="FUTURE",VLOOKUP(MID(I2027,2,2),[1]Futures!$A$2:$B$12,2),1),"")</f>
        <v/>
      </c>
      <c r="S2027" s="13">
        <f>IF(AND(H2027="TO CLOSE",P2027=0),-G2027*(M2027-R2026)*IF(E2027="FUTURE",VLOOKUP(MID(I2027,2,2),[1]Futures!$A$2:$B$12,2),1),"")</f>
        <v>0</v>
      </c>
    </row>
    <row r="2028" spans="1:19" x14ac:dyDescent="0.2">
      <c r="A2028">
        <f t="shared" si="95"/>
        <v>655</v>
      </c>
      <c r="B2028" s="3">
        <v>44022</v>
      </c>
      <c r="C2028" s="3" t="str">
        <f t="shared" si="94"/>
        <v>Friday</v>
      </c>
      <c r="D2028" s="2">
        <v>0.49842592592592588</v>
      </c>
      <c r="E2028" t="s">
        <v>14</v>
      </c>
      <c r="F2028" t="s">
        <v>15</v>
      </c>
      <c r="G2028">
        <v>-1</v>
      </c>
      <c r="H2028" t="s">
        <v>20</v>
      </c>
      <c r="I2028" t="s">
        <v>79</v>
      </c>
      <c r="J2028" s="1">
        <v>44094</v>
      </c>
      <c r="L2028" t="s">
        <v>14</v>
      </c>
      <c r="M2028">
        <v>3155.5</v>
      </c>
      <c r="N2028">
        <v>3155.5</v>
      </c>
      <c r="O2028" t="s">
        <v>21</v>
      </c>
      <c r="P2028">
        <f t="shared" si="96"/>
        <v>-1</v>
      </c>
      <c r="Q2028" s="11">
        <f>IF(P2028=0,0,IFERROR(Q2027+G2028*M2028*IF(E2028="FUTURE",VLOOKUP(MID(I2028,2,2),[1]Futures!$A$2:$B$12,2),1),G2028*M2028*IF(E2028="FUTURE",VLOOKUP(MID(I2028,2,2),[1]Futures!$A$2:$B$12,2),1)))</f>
        <v>-157775</v>
      </c>
      <c r="R2028" s="12">
        <f>IFERROR(Q2028/P2028/IF(E2028="FUTURE",VLOOKUP(MID(I2028,2,2),[1]Futures!$A$2:$B$12,2),1),"")</f>
        <v>3155.5</v>
      </c>
      <c r="S2028" s="13" t="str">
        <f>IF(AND(H2028="TO CLOSE",P2028=0),-G2028*(M2028-R2027)*IF(E2028="FUTURE",VLOOKUP(MID(I2028,2,2),[1]Futures!$A$2:$B$12,2),1),"")</f>
        <v/>
      </c>
    </row>
    <row r="2029" spans="1:19" x14ac:dyDescent="0.2">
      <c r="A2029">
        <f t="shared" si="95"/>
        <v>655</v>
      </c>
      <c r="B2029" s="3">
        <v>44022</v>
      </c>
      <c r="C2029" s="3" t="str">
        <f t="shared" si="94"/>
        <v>Friday</v>
      </c>
      <c r="D2029" s="2">
        <v>0.5074305555555555</v>
      </c>
      <c r="E2029" t="s">
        <v>14</v>
      </c>
      <c r="F2029" t="s">
        <v>19</v>
      </c>
      <c r="G2029">
        <v>2</v>
      </c>
      <c r="H2029" t="s">
        <v>16</v>
      </c>
      <c r="I2029" t="s">
        <v>79</v>
      </c>
      <c r="J2029" s="1">
        <v>44094</v>
      </c>
      <c r="L2029" t="s">
        <v>14</v>
      </c>
      <c r="M2029">
        <v>3159.75</v>
      </c>
      <c r="N2029">
        <v>3159.75</v>
      </c>
      <c r="O2029" t="s">
        <v>24</v>
      </c>
      <c r="P2029">
        <f t="shared" si="96"/>
        <v>1</v>
      </c>
      <c r="Q2029" s="11">
        <f>IF(P2029=0,0,IFERROR(Q2028+G2029*M2029*IF(E2029="FUTURE",VLOOKUP(MID(I2029,2,2),[1]Futures!$A$2:$B$12,2),1),G2029*M2029*IF(E2029="FUTURE",VLOOKUP(MID(I2029,2,2),[1]Futures!$A$2:$B$12,2),1)))</f>
        <v>158200</v>
      </c>
      <c r="R2029" s="12">
        <f>IFERROR(Q2029/P2029/IF(E2029="FUTURE",VLOOKUP(MID(I2029,2,2),[1]Futures!$A$2:$B$12,2),1),"")</f>
        <v>3164</v>
      </c>
      <c r="S2029" s="13" t="str">
        <f>IF(AND(H2029="TO CLOSE",P2029=0),-G2029*(M2029-R2028)*IF(E2029="FUTURE",VLOOKUP(MID(I2029,2,2),[1]Futures!$A$2:$B$12,2),1),"")</f>
        <v/>
      </c>
    </row>
    <row r="2030" spans="1:19" x14ac:dyDescent="0.2">
      <c r="A2030">
        <f t="shared" si="95"/>
        <v>655</v>
      </c>
      <c r="B2030" s="3">
        <v>44022</v>
      </c>
      <c r="C2030" s="3" t="str">
        <f t="shared" si="94"/>
        <v>Friday</v>
      </c>
      <c r="D2030" s="2">
        <v>0.51390046296296299</v>
      </c>
      <c r="E2030" t="s">
        <v>14</v>
      </c>
      <c r="F2030" t="s">
        <v>15</v>
      </c>
      <c r="G2030">
        <v>-2</v>
      </c>
      <c r="H2030" t="s">
        <v>16</v>
      </c>
      <c r="I2030" t="s">
        <v>79</v>
      </c>
      <c r="J2030" s="1">
        <v>44094</v>
      </c>
      <c r="L2030" t="s">
        <v>14</v>
      </c>
      <c r="M2030">
        <v>3155.25</v>
      </c>
      <c r="N2030">
        <v>3155.25</v>
      </c>
      <c r="O2030" t="s">
        <v>21</v>
      </c>
      <c r="P2030">
        <f t="shared" si="96"/>
        <v>-1</v>
      </c>
      <c r="Q2030" s="11">
        <f>IF(P2030=0,0,IFERROR(Q2029+G2030*M2030*IF(E2030="FUTURE",VLOOKUP(MID(I2030,2,2),[1]Futures!$A$2:$B$12,2),1),G2030*M2030*IF(E2030="FUTURE",VLOOKUP(MID(I2030,2,2),[1]Futures!$A$2:$B$12,2),1)))</f>
        <v>-157325</v>
      </c>
      <c r="R2030" s="12">
        <f>IFERROR(Q2030/P2030/IF(E2030="FUTURE",VLOOKUP(MID(I2030,2,2),[1]Futures!$A$2:$B$12,2),1),"")</f>
        <v>3146.5</v>
      </c>
      <c r="S2030" s="13" t="str">
        <f>IF(AND(H2030="TO CLOSE",P2030=0),-G2030*(M2030-R2029)*IF(E2030="FUTURE",VLOOKUP(MID(I2030,2,2),[1]Futures!$A$2:$B$12,2),1),"")</f>
        <v/>
      </c>
    </row>
    <row r="2031" spans="1:19" x14ac:dyDescent="0.2">
      <c r="A2031">
        <f t="shared" si="95"/>
        <v>655</v>
      </c>
      <c r="B2031" s="3">
        <v>44022</v>
      </c>
      <c r="C2031" s="3" t="str">
        <f t="shared" si="94"/>
        <v>Friday</v>
      </c>
      <c r="D2031" s="2">
        <v>0.51655092592592589</v>
      </c>
      <c r="E2031" t="s">
        <v>14</v>
      </c>
      <c r="F2031" t="s">
        <v>15</v>
      </c>
      <c r="G2031">
        <v>-1</v>
      </c>
      <c r="H2031" t="s">
        <v>20</v>
      </c>
      <c r="I2031" t="s">
        <v>79</v>
      </c>
      <c r="J2031" s="1">
        <v>44094</v>
      </c>
      <c r="L2031" t="s">
        <v>14</v>
      </c>
      <c r="M2031">
        <v>3151.5</v>
      </c>
      <c r="N2031">
        <v>3151.5</v>
      </c>
      <c r="O2031" t="s">
        <v>24</v>
      </c>
      <c r="P2031">
        <f t="shared" si="96"/>
        <v>-2</v>
      </c>
      <c r="Q2031" s="11">
        <f>IF(P2031=0,0,IFERROR(Q2030+G2031*M2031*IF(E2031="FUTURE",VLOOKUP(MID(I2031,2,2),[1]Futures!$A$2:$B$12,2),1),G2031*M2031*IF(E2031="FUTURE",VLOOKUP(MID(I2031,2,2),[1]Futures!$A$2:$B$12,2),1)))</f>
        <v>-314900</v>
      </c>
      <c r="R2031" s="12">
        <f>IFERROR(Q2031/P2031/IF(E2031="FUTURE",VLOOKUP(MID(I2031,2,2),[1]Futures!$A$2:$B$12,2),1),"")</f>
        <v>3149</v>
      </c>
      <c r="S2031" s="13" t="str">
        <f>IF(AND(H2031="TO CLOSE",P2031=0),-G2031*(M2031-R2030)*IF(E2031="FUTURE",VLOOKUP(MID(I2031,2,2),[1]Futures!$A$2:$B$12,2),1),"")</f>
        <v/>
      </c>
    </row>
    <row r="2032" spans="1:19" x14ac:dyDescent="0.2">
      <c r="A2032">
        <f t="shared" si="95"/>
        <v>655</v>
      </c>
      <c r="B2032" s="3">
        <v>44022</v>
      </c>
      <c r="C2032" s="3" t="str">
        <f t="shared" si="94"/>
        <v>Friday</v>
      </c>
      <c r="D2032" s="2">
        <v>0.52836805555555555</v>
      </c>
      <c r="E2032" t="s">
        <v>14</v>
      </c>
      <c r="F2032" t="s">
        <v>19</v>
      </c>
      <c r="G2032">
        <v>1</v>
      </c>
      <c r="H2032" t="s">
        <v>16</v>
      </c>
      <c r="I2032" t="s">
        <v>79</v>
      </c>
      <c r="J2032" s="1">
        <v>44094</v>
      </c>
      <c r="L2032" t="s">
        <v>14</v>
      </c>
      <c r="M2032">
        <v>3148.75</v>
      </c>
      <c r="N2032">
        <v>3148.75</v>
      </c>
      <c r="O2032" t="s">
        <v>21</v>
      </c>
      <c r="P2032">
        <f t="shared" si="96"/>
        <v>-1</v>
      </c>
      <c r="Q2032" s="11">
        <f>IF(P2032=0,0,IFERROR(Q2031+G2032*M2032*IF(E2032="FUTURE",VLOOKUP(MID(I2032,2,2),[1]Futures!$A$2:$B$12,2),1),G2032*M2032*IF(E2032="FUTURE",VLOOKUP(MID(I2032,2,2),[1]Futures!$A$2:$B$12,2),1)))</f>
        <v>-157462.5</v>
      </c>
      <c r="R2032" s="12">
        <f>IFERROR(Q2032/P2032/IF(E2032="FUTURE",VLOOKUP(MID(I2032,2,2),[1]Futures!$A$2:$B$12,2),1),"")</f>
        <v>3149.25</v>
      </c>
      <c r="S2032" s="13" t="str">
        <f>IF(AND(H2032="TO CLOSE",P2032=0),-G2032*(M2032-R2031)*IF(E2032="FUTURE",VLOOKUP(MID(I2032,2,2),[1]Futures!$A$2:$B$12,2),1),"")</f>
        <v/>
      </c>
    </row>
    <row r="2033" spans="1:19" x14ac:dyDescent="0.2">
      <c r="A2033">
        <f t="shared" si="95"/>
        <v>655</v>
      </c>
      <c r="B2033" s="3">
        <v>44022</v>
      </c>
      <c r="C2033" s="3" t="str">
        <f t="shared" si="94"/>
        <v>Friday</v>
      </c>
      <c r="D2033" s="2">
        <v>0.52956018518518522</v>
      </c>
      <c r="E2033" t="s">
        <v>14</v>
      </c>
      <c r="F2033" t="s">
        <v>19</v>
      </c>
      <c r="G2033">
        <v>1</v>
      </c>
      <c r="H2033" t="s">
        <v>16</v>
      </c>
      <c r="I2033" t="s">
        <v>79</v>
      </c>
      <c r="J2033" s="1">
        <v>44094</v>
      </c>
      <c r="L2033" t="s">
        <v>14</v>
      </c>
      <c r="M2033">
        <v>3151.25</v>
      </c>
      <c r="N2033">
        <v>3151.25</v>
      </c>
      <c r="O2033" t="s">
        <v>18</v>
      </c>
      <c r="P2033">
        <f t="shared" si="96"/>
        <v>0</v>
      </c>
      <c r="Q2033" s="11">
        <f>IF(P2033=0,0,IFERROR(Q2032+G2033*M2033*IF(E2033="FUTURE",VLOOKUP(MID(I2033,2,2),[1]Futures!$A$2:$B$12,2),1),G2033*M2033*IF(E2033="FUTURE",VLOOKUP(MID(I2033,2,2),[1]Futures!$A$2:$B$12,2),1)))</f>
        <v>0</v>
      </c>
      <c r="R2033" s="12" t="str">
        <f>IFERROR(Q2033/P2033/IF(E2033="FUTURE",VLOOKUP(MID(I2033,2,2),[1]Futures!$A$2:$B$12,2),1),"")</f>
        <v/>
      </c>
      <c r="S2033" s="13">
        <f>IF(AND(H2033="TO CLOSE",P2033=0),-G2033*(M2033-R2032)*IF(E2033="FUTURE",VLOOKUP(MID(I2033,2,2),[1]Futures!$A$2:$B$12,2),1),"")</f>
        <v>-100</v>
      </c>
    </row>
    <row r="2034" spans="1:19" x14ac:dyDescent="0.2">
      <c r="A2034">
        <f t="shared" si="95"/>
        <v>656</v>
      </c>
      <c r="B2034" s="3">
        <v>44022</v>
      </c>
      <c r="C2034" s="3" t="str">
        <f t="shared" si="94"/>
        <v>Friday</v>
      </c>
      <c r="D2034" s="2">
        <v>0.530787037037037</v>
      </c>
      <c r="E2034" t="s">
        <v>14</v>
      </c>
      <c r="F2034" t="s">
        <v>19</v>
      </c>
      <c r="G2034">
        <v>1</v>
      </c>
      <c r="H2034" t="s">
        <v>20</v>
      </c>
      <c r="I2034" t="s">
        <v>79</v>
      </c>
      <c r="J2034" s="1">
        <v>44094</v>
      </c>
      <c r="L2034" t="s">
        <v>14</v>
      </c>
      <c r="M2034">
        <v>3152.5</v>
      </c>
      <c r="N2034">
        <v>3152.5</v>
      </c>
      <c r="O2034" t="s">
        <v>24</v>
      </c>
      <c r="P2034">
        <f t="shared" si="96"/>
        <v>1</v>
      </c>
      <c r="Q2034" s="11">
        <f>IF(P2034=0,0,IFERROR(Q2033+G2034*M2034*IF(E2034="FUTURE",VLOOKUP(MID(I2034,2,2),[1]Futures!$A$2:$B$12,2),1),G2034*M2034*IF(E2034="FUTURE",VLOOKUP(MID(I2034,2,2),[1]Futures!$A$2:$B$12,2),1)))</f>
        <v>157625</v>
      </c>
      <c r="R2034" s="12">
        <f>IFERROR(Q2034/P2034/IF(E2034="FUTURE",VLOOKUP(MID(I2034,2,2),[1]Futures!$A$2:$B$12,2),1),"")</f>
        <v>3152.5</v>
      </c>
      <c r="S2034" s="13" t="str">
        <f>IF(AND(H2034="TO CLOSE",P2034=0),-G2034*(M2034-R2033)*IF(E2034="FUTURE",VLOOKUP(MID(I2034,2,2),[1]Futures!$A$2:$B$12,2),1),"")</f>
        <v/>
      </c>
    </row>
    <row r="2035" spans="1:19" x14ac:dyDescent="0.2">
      <c r="A2035">
        <f t="shared" si="95"/>
        <v>656</v>
      </c>
      <c r="B2035" s="3">
        <v>44022</v>
      </c>
      <c r="C2035" s="3" t="str">
        <f t="shared" si="94"/>
        <v>Friday</v>
      </c>
      <c r="D2035" s="2">
        <v>0.53100694444444441</v>
      </c>
      <c r="E2035" t="s">
        <v>14</v>
      </c>
      <c r="F2035" t="s">
        <v>15</v>
      </c>
      <c r="G2035">
        <v>-1</v>
      </c>
      <c r="H2035" t="s">
        <v>16</v>
      </c>
      <c r="I2035" t="s">
        <v>79</v>
      </c>
      <c r="J2035" s="1">
        <v>44094</v>
      </c>
      <c r="L2035" t="s">
        <v>14</v>
      </c>
      <c r="M2035">
        <v>3153.5</v>
      </c>
      <c r="N2035">
        <v>3153.5</v>
      </c>
      <c r="O2035" t="s">
        <v>21</v>
      </c>
      <c r="P2035">
        <f t="shared" si="96"/>
        <v>0</v>
      </c>
      <c r="Q2035" s="11">
        <f>IF(P2035=0,0,IFERROR(Q2034+G2035*M2035*IF(E2035="FUTURE",VLOOKUP(MID(I2035,2,2),[1]Futures!$A$2:$B$12,2),1),G2035*M2035*IF(E2035="FUTURE",VLOOKUP(MID(I2035,2,2),[1]Futures!$A$2:$B$12,2),1)))</f>
        <v>0</v>
      </c>
      <c r="R2035" s="12" t="str">
        <f>IFERROR(Q2035/P2035/IF(E2035="FUTURE",VLOOKUP(MID(I2035,2,2),[1]Futures!$A$2:$B$12,2),1),"")</f>
        <v/>
      </c>
      <c r="S2035" s="13">
        <f>IF(AND(H2035="TO CLOSE",P2035=0),-G2035*(M2035-R2034)*IF(E2035="FUTURE",VLOOKUP(MID(I2035,2,2),[1]Futures!$A$2:$B$12,2),1),"")</f>
        <v>50</v>
      </c>
    </row>
    <row r="2036" spans="1:19" x14ac:dyDescent="0.2">
      <c r="A2036">
        <f t="shared" si="95"/>
        <v>657</v>
      </c>
      <c r="B2036" s="3">
        <v>44022</v>
      </c>
      <c r="C2036" s="3" t="str">
        <f t="shared" si="94"/>
        <v>Friday</v>
      </c>
      <c r="D2036" s="2">
        <v>0.54305555555555551</v>
      </c>
      <c r="E2036" t="s">
        <v>14</v>
      </c>
      <c r="F2036" t="s">
        <v>15</v>
      </c>
      <c r="G2036">
        <v>-1</v>
      </c>
      <c r="H2036" t="s">
        <v>20</v>
      </c>
      <c r="I2036" t="s">
        <v>79</v>
      </c>
      <c r="J2036" s="1">
        <v>44094</v>
      </c>
      <c r="L2036" t="s">
        <v>14</v>
      </c>
      <c r="M2036">
        <v>3155.5</v>
      </c>
      <c r="N2036">
        <v>3155.5</v>
      </c>
      <c r="O2036" t="s">
        <v>24</v>
      </c>
      <c r="P2036">
        <f t="shared" si="96"/>
        <v>-1</v>
      </c>
      <c r="Q2036" s="11">
        <f>IF(P2036=0,0,IFERROR(Q2035+G2036*M2036*IF(E2036="FUTURE",VLOOKUP(MID(I2036,2,2),[1]Futures!$A$2:$B$12,2),1),G2036*M2036*IF(E2036="FUTURE",VLOOKUP(MID(I2036,2,2),[1]Futures!$A$2:$B$12,2),1)))</f>
        <v>-157775</v>
      </c>
      <c r="R2036" s="12">
        <f>IFERROR(Q2036/P2036/IF(E2036="FUTURE",VLOOKUP(MID(I2036,2,2),[1]Futures!$A$2:$B$12,2),1),"")</f>
        <v>3155.5</v>
      </c>
      <c r="S2036" s="13" t="str">
        <f>IF(AND(H2036="TO CLOSE",P2036=0),-G2036*(M2036-R2035)*IF(E2036="FUTURE",VLOOKUP(MID(I2036,2,2),[1]Futures!$A$2:$B$12,2),1),"")</f>
        <v/>
      </c>
    </row>
    <row r="2037" spans="1:19" x14ac:dyDescent="0.2">
      <c r="A2037">
        <f t="shared" si="95"/>
        <v>657</v>
      </c>
      <c r="B2037" s="3">
        <v>44022</v>
      </c>
      <c r="C2037" s="3" t="str">
        <f t="shared" si="94"/>
        <v>Friday</v>
      </c>
      <c r="D2037" s="2">
        <v>0.54730324074074077</v>
      </c>
      <c r="E2037" t="s">
        <v>14</v>
      </c>
      <c r="F2037" t="s">
        <v>19</v>
      </c>
      <c r="G2037">
        <v>1</v>
      </c>
      <c r="H2037" t="s">
        <v>16</v>
      </c>
      <c r="I2037" t="s">
        <v>79</v>
      </c>
      <c r="J2037" s="1">
        <v>44094</v>
      </c>
      <c r="L2037" t="s">
        <v>14</v>
      </c>
      <c r="M2037">
        <v>3157.5</v>
      </c>
      <c r="N2037">
        <v>3157.5</v>
      </c>
      <c r="O2037" t="s">
        <v>21</v>
      </c>
      <c r="P2037">
        <f t="shared" si="96"/>
        <v>0</v>
      </c>
      <c r="Q2037" s="11">
        <f>IF(P2037=0,0,IFERROR(Q2036+G2037*M2037*IF(E2037="FUTURE",VLOOKUP(MID(I2037,2,2),[1]Futures!$A$2:$B$12,2),1),G2037*M2037*IF(E2037="FUTURE",VLOOKUP(MID(I2037,2,2),[1]Futures!$A$2:$B$12,2),1)))</f>
        <v>0</v>
      </c>
      <c r="R2037" s="12" t="str">
        <f>IFERROR(Q2037/P2037/IF(E2037="FUTURE",VLOOKUP(MID(I2037,2,2),[1]Futures!$A$2:$B$12,2),1),"")</f>
        <v/>
      </c>
      <c r="S2037" s="13">
        <f>IF(AND(H2037="TO CLOSE",P2037=0),-G2037*(M2037-R2036)*IF(E2037="FUTURE",VLOOKUP(MID(I2037,2,2),[1]Futures!$A$2:$B$12,2),1),"")</f>
        <v>-100</v>
      </c>
    </row>
    <row r="2038" spans="1:19" x14ac:dyDescent="0.2">
      <c r="A2038">
        <f t="shared" si="95"/>
        <v>658</v>
      </c>
      <c r="B2038" s="3">
        <v>44022</v>
      </c>
      <c r="C2038" s="3" t="str">
        <f t="shared" si="94"/>
        <v>Friday</v>
      </c>
      <c r="D2038" s="2">
        <v>0.55166666666666664</v>
      </c>
      <c r="E2038" t="s">
        <v>14</v>
      </c>
      <c r="F2038" t="s">
        <v>15</v>
      </c>
      <c r="G2038">
        <v>-1</v>
      </c>
      <c r="H2038" t="s">
        <v>20</v>
      </c>
      <c r="I2038" t="s">
        <v>79</v>
      </c>
      <c r="J2038" s="1">
        <v>44094</v>
      </c>
      <c r="L2038" t="s">
        <v>14</v>
      </c>
      <c r="M2038">
        <v>3156</v>
      </c>
      <c r="N2038">
        <v>3156</v>
      </c>
      <c r="O2038" t="s">
        <v>21</v>
      </c>
      <c r="P2038">
        <f t="shared" si="96"/>
        <v>-1</v>
      </c>
      <c r="Q2038" s="11">
        <f>IF(P2038=0,0,IFERROR(Q2037+G2038*M2038*IF(E2038="FUTURE",VLOOKUP(MID(I2038,2,2),[1]Futures!$A$2:$B$12,2),1),G2038*M2038*IF(E2038="FUTURE",VLOOKUP(MID(I2038,2,2),[1]Futures!$A$2:$B$12,2),1)))</f>
        <v>-157800</v>
      </c>
      <c r="R2038" s="12">
        <f>IFERROR(Q2038/P2038/IF(E2038="FUTURE",VLOOKUP(MID(I2038,2,2),[1]Futures!$A$2:$B$12,2),1),"")</f>
        <v>3156</v>
      </c>
      <c r="S2038" s="13" t="str">
        <f>IF(AND(H2038="TO CLOSE",P2038=0),-G2038*(M2038-R2037)*IF(E2038="FUTURE",VLOOKUP(MID(I2038,2,2),[1]Futures!$A$2:$B$12,2),1),"")</f>
        <v/>
      </c>
    </row>
    <row r="2039" spans="1:19" x14ac:dyDescent="0.2">
      <c r="A2039">
        <f t="shared" si="95"/>
        <v>658</v>
      </c>
      <c r="B2039" s="3">
        <v>44022</v>
      </c>
      <c r="C2039" s="3" t="str">
        <f t="shared" si="94"/>
        <v>Friday</v>
      </c>
      <c r="D2039" s="2">
        <v>0.56238425925925928</v>
      </c>
      <c r="E2039" t="s">
        <v>14</v>
      </c>
      <c r="F2039" t="s">
        <v>19</v>
      </c>
      <c r="G2039">
        <v>2</v>
      </c>
      <c r="H2039" t="s">
        <v>16</v>
      </c>
      <c r="I2039" t="s">
        <v>79</v>
      </c>
      <c r="J2039" s="1">
        <v>44094</v>
      </c>
      <c r="L2039" t="s">
        <v>14</v>
      </c>
      <c r="M2039">
        <v>3158.5</v>
      </c>
      <c r="N2039">
        <v>3158.5</v>
      </c>
      <c r="O2039" t="s">
        <v>24</v>
      </c>
      <c r="P2039">
        <f t="shared" si="96"/>
        <v>1</v>
      </c>
      <c r="Q2039" s="11">
        <f>IF(P2039=0,0,IFERROR(Q2038+G2039*M2039*IF(E2039="FUTURE",VLOOKUP(MID(I2039,2,2),[1]Futures!$A$2:$B$12,2),1),G2039*M2039*IF(E2039="FUTURE",VLOOKUP(MID(I2039,2,2),[1]Futures!$A$2:$B$12,2),1)))</f>
        <v>158050</v>
      </c>
      <c r="R2039" s="12">
        <f>IFERROR(Q2039/P2039/IF(E2039="FUTURE",VLOOKUP(MID(I2039,2,2),[1]Futures!$A$2:$B$12,2),1),"")</f>
        <v>3161</v>
      </c>
      <c r="S2039" s="13" t="str">
        <f>IF(AND(H2039="TO CLOSE",P2039=0),-G2039*(M2039-R2038)*IF(E2039="FUTURE",VLOOKUP(MID(I2039,2,2),[1]Futures!$A$2:$B$12,2),1),"")</f>
        <v/>
      </c>
    </row>
    <row r="2040" spans="1:19" x14ac:dyDescent="0.2">
      <c r="A2040">
        <f t="shared" si="95"/>
        <v>658</v>
      </c>
      <c r="B2040" s="3">
        <v>44022</v>
      </c>
      <c r="C2040" s="3" t="str">
        <f t="shared" si="94"/>
        <v>Friday</v>
      </c>
      <c r="D2040" s="2">
        <v>0.56543981481481487</v>
      </c>
      <c r="E2040" t="s">
        <v>14</v>
      </c>
      <c r="F2040" t="s">
        <v>15</v>
      </c>
      <c r="G2040">
        <v>-2</v>
      </c>
      <c r="H2040" t="s">
        <v>16</v>
      </c>
      <c r="I2040" t="s">
        <v>79</v>
      </c>
      <c r="J2040" s="1">
        <v>44094</v>
      </c>
      <c r="L2040" t="s">
        <v>14</v>
      </c>
      <c r="M2040">
        <v>3156.75</v>
      </c>
      <c r="N2040">
        <v>3156.75</v>
      </c>
      <c r="O2040" t="s">
        <v>24</v>
      </c>
      <c r="P2040">
        <f t="shared" si="96"/>
        <v>-1</v>
      </c>
      <c r="Q2040" s="11">
        <f>IF(P2040=0,0,IFERROR(Q2039+G2040*M2040*IF(E2040="FUTURE",VLOOKUP(MID(I2040,2,2),[1]Futures!$A$2:$B$12,2),1),G2040*M2040*IF(E2040="FUTURE",VLOOKUP(MID(I2040,2,2),[1]Futures!$A$2:$B$12,2),1)))</f>
        <v>-157625</v>
      </c>
      <c r="R2040" s="12">
        <f>IFERROR(Q2040/P2040/IF(E2040="FUTURE",VLOOKUP(MID(I2040,2,2),[1]Futures!$A$2:$B$12,2),1),"")</f>
        <v>3152.5</v>
      </c>
      <c r="S2040" s="13" t="str">
        <f>IF(AND(H2040="TO CLOSE",P2040=0),-G2040*(M2040-R2039)*IF(E2040="FUTURE",VLOOKUP(MID(I2040,2,2),[1]Futures!$A$2:$B$12,2),1),"")</f>
        <v/>
      </c>
    </row>
    <row r="2041" spans="1:19" x14ac:dyDescent="0.2">
      <c r="A2041">
        <f t="shared" si="95"/>
        <v>658</v>
      </c>
      <c r="B2041" s="3">
        <v>44022</v>
      </c>
      <c r="C2041" s="3" t="str">
        <f t="shared" si="94"/>
        <v>Friday</v>
      </c>
      <c r="D2041" s="2">
        <v>0.56909722222222225</v>
      </c>
      <c r="E2041" t="s">
        <v>14</v>
      </c>
      <c r="F2041" t="s">
        <v>19</v>
      </c>
      <c r="G2041">
        <v>1</v>
      </c>
      <c r="H2041" t="s">
        <v>16</v>
      </c>
      <c r="I2041" t="s">
        <v>79</v>
      </c>
      <c r="J2041" s="1">
        <v>44094</v>
      </c>
      <c r="L2041" t="s">
        <v>14</v>
      </c>
      <c r="M2041">
        <v>3159.5</v>
      </c>
      <c r="N2041">
        <v>3159.5</v>
      </c>
      <c r="O2041" t="s">
        <v>18</v>
      </c>
      <c r="P2041">
        <f t="shared" si="96"/>
        <v>0</v>
      </c>
      <c r="Q2041" s="11">
        <f>IF(P2041=0,0,IFERROR(Q2040+G2041*M2041*IF(E2041="FUTURE",VLOOKUP(MID(I2041,2,2),[1]Futures!$A$2:$B$12,2),1),G2041*M2041*IF(E2041="FUTURE",VLOOKUP(MID(I2041,2,2),[1]Futures!$A$2:$B$12,2),1)))</f>
        <v>0</v>
      </c>
      <c r="R2041" s="12" t="str">
        <f>IFERROR(Q2041/P2041/IF(E2041="FUTURE",VLOOKUP(MID(I2041,2,2),[1]Futures!$A$2:$B$12,2),1),"")</f>
        <v/>
      </c>
      <c r="S2041" s="13">
        <f>IF(AND(H2041="TO CLOSE",P2041=0),-G2041*(M2041-R2040)*IF(E2041="FUTURE",VLOOKUP(MID(I2041,2,2),[1]Futures!$A$2:$B$12,2),1),"")</f>
        <v>-350</v>
      </c>
    </row>
    <row r="2042" spans="1:19" x14ac:dyDescent="0.2">
      <c r="A2042">
        <f t="shared" si="95"/>
        <v>659</v>
      </c>
      <c r="B2042" s="3">
        <v>44022</v>
      </c>
      <c r="C2042" s="3" t="str">
        <f t="shared" si="94"/>
        <v>Friday</v>
      </c>
      <c r="D2042" s="2">
        <v>0.57026620370370373</v>
      </c>
      <c r="E2042" t="s">
        <v>14</v>
      </c>
      <c r="F2042" t="s">
        <v>19</v>
      </c>
      <c r="G2042">
        <v>1</v>
      </c>
      <c r="H2042" t="s">
        <v>20</v>
      </c>
      <c r="I2042" t="s">
        <v>79</v>
      </c>
      <c r="J2042" s="1">
        <v>44094</v>
      </c>
      <c r="L2042" t="s">
        <v>14</v>
      </c>
      <c r="M2042">
        <v>3162</v>
      </c>
      <c r="N2042">
        <v>3162</v>
      </c>
      <c r="O2042" t="s">
        <v>24</v>
      </c>
      <c r="P2042">
        <f t="shared" si="96"/>
        <v>1</v>
      </c>
      <c r="Q2042" s="11">
        <f>IF(P2042=0,0,IFERROR(Q2041+G2042*M2042*IF(E2042="FUTURE",VLOOKUP(MID(I2042,2,2),[1]Futures!$A$2:$B$12,2),1),G2042*M2042*IF(E2042="FUTURE",VLOOKUP(MID(I2042,2,2),[1]Futures!$A$2:$B$12,2),1)))</f>
        <v>158100</v>
      </c>
      <c r="R2042" s="12">
        <f>IFERROR(Q2042/P2042/IF(E2042="FUTURE",VLOOKUP(MID(I2042,2,2),[1]Futures!$A$2:$B$12,2),1),"")</f>
        <v>3162</v>
      </c>
      <c r="S2042" s="13" t="str">
        <f>IF(AND(H2042="TO CLOSE",P2042=0),-G2042*(M2042-R2041)*IF(E2042="FUTURE",VLOOKUP(MID(I2042,2,2),[1]Futures!$A$2:$B$12,2),1),"")</f>
        <v/>
      </c>
    </row>
    <row r="2043" spans="1:19" x14ac:dyDescent="0.2">
      <c r="A2043">
        <f t="shared" si="95"/>
        <v>659</v>
      </c>
      <c r="B2043" s="3">
        <v>44022</v>
      </c>
      <c r="C2043" s="3" t="str">
        <f t="shared" si="94"/>
        <v>Friday</v>
      </c>
      <c r="D2043" s="2">
        <v>0.5708333333333333</v>
      </c>
      <c r="E2043" t="s">
        <v>14</v>
      </c>
      <c r="F2043" t="s">
        <v>19</v>
      </c>
      <c r="G2043">
        <v>1</v>
      </c>
      <c r="H2043" t="s">
        <v>20</v>
      </c>
      <c r="I2043" t="s">
        <v>79</v>
      </c>
      <c r="J2043" s="1">
        <v>44094</v>
      </c>
      <c r="L2043" t="s">
        <v>14</v>
      </c>
      <c r="M2043">
        <v>3161</v>
      </c>
      <c r="N2043">
        <v>3161</v>
      </c>
      <c r="O2043" t="s">
        <v>21</v>
      </c>
      <c r="P2043">
        <f t="shared" si="96"/>
        <v>2</v>
      </c>
      <c r="Q2043" s="11">
        <f>IF(P2043=0,0,IFERROR(Q2042+G2043*M2043*IF(E2043="FUTURE",VLOOKUP(MID(I2043,2,2),[1]Futures!$A$2:$B$12,2),1),G2043*M2043*IF(E2043="FUTURE",VLOOKUP(MID(I2043,2,2),[1]Futures!$A$2:$B$12,2),1)))</f>
        <v>316150</v>
      </c>
      <c r="R2043" s="12">
        <f>IFERROR(Q2043/P2043/IF(E2043="FUTURE",VLOOKUP(MID(I2043,2,2),[1]Futures!$A$2:$B$12,2),1),"")</f>
        <v>3161.5</v>
      </c>
      <c r="S2043" s="13" t="str">
        <f>IF(AND(H2043="TO CLOSE",P2043=0),-G2043*(M2043-R2042)*IF(E2043="FUTURE",VLOOKUP(MID(I2043,2,2),[1]Futures!$A$2:$B$12,2),1),"")</f>
        <v/>
      </c>
    </row>
    <row r="2044" spans="1:19" x14ac:dyDescent="0.2">
      <c r="A2044">
        <f t="shared" si="95"/>
        <v>659</v>
      </c>
      <c r="B2044" s="3">
        <v>44022</v>
      </c>
      <c r="C2044" s="3" t="str">
        <f t="shared" si="94"/>
        <v>Friday</v>
      </c>
      <c r="D2044" s="2">
        <v>0.57634259259259257</v>
      </c>
      <c r="E2044" t="s">
        <v>14</v>
      </c>
      <c r="F2044" t="s">
        <v>15</v>
      </c>
      <c r="G2044">
        <v>-1</v>
      </c>
      <c r="H2044" t="s">
        <v>16</v>
      </c>
      <c r="I2044" t="s">
        <v>79</v>
      </c>
      <c r="J2044" s="1">
        <v>44094</v>
      </c>
      <c r="L2044" t="s">
        <v>14</v>
      </c>
      <c r="M2044">
        <v>3163.5</v>
      </c>
      <c r="N2044">
        <v>3163.5</v>
      </c>
      <c r="O2044" t="s">
        <v>21</v>
      </c>
      <c r="P2044">
        <f t="shared" si="96"/>
        <v>1</v>
      </c>
      <c r="Q2044" s="11">
        <f>IF(P2044=0,0,IFERROR(Q2043+G2044*M2044*IF(E2044="FUTURE",VLOOKUP(MID(I2044,2,2),[1]Futures!$A$2:$B$12,2),1),G2044*M2044*IF(E2044="FUTURE",VLOOKUP(MID(I2044,2,2),[1]Futures!$A$2:$B$12,2),1)))</f>
        <v>157975</v>
      </c>
      <c r="R2044" s="12">
        <f>IFERROR(Q2044/P2044/IF(E2044="FUTURE",VLOOKUP(MID(I2044,2,2),[1]Futures!$A$2:$B$12,2),1),"")</f>
        <v>3159.5</v>
      </c>
      <c r="S2044" s="13" t="str">
        <f>IF(AND(H2044="TO CLOSE",P2044=0),-G2044*(M2044-R2043)*IF(E2044="FUTURE",VLOOKUP(MID(I2044,2,2),[1]Futures!$A$2:$B$12,2),1),"")</f>
        <v/>
      </c>
    </row>
    <row r="2045" spans="1:19" x14ac:dyDescent="0.2">
      <c r="A2045">
        <f t="shared" si="95"/>
        <v>659</v>
      </c>
      <c r="B2045" s="3">
        <v>44022</v>
      </c>
      <c r="C2045" s="3" t="str">
        <f t="shared" si="94"/>
        <v>Friday</v>
      </c>
      <c r="D2045" s="2">
        <v>0.57824074074074072</v>
      </c>
      <c r="E2045" t="s">
        <v>14</v>
      </c>
      <c r="F2045" t="s">
        <v>15</v>
      </c>
      <c r="G2045">
        <v>-1</v>
      </c>
      <c r="H2045" t="s">
        <v>16</v>
      </c>
      <c r="I2045" t="s">
        <v>79</v>
      </c>
      <c r="J2045" s="1">
        <v>44094</v>
      </c>
      <c r="L2045" t="s">
        <v>14</v>
      </c>
      <c r="M2045">
        <v>3165.25</v>
      </c>
      <c r="N2045">
        <v>3165.25</v>
      </c>
      <c r="O2045" t="s">
        <v>21</v>
      </c>
      <c r="P2045">
        <f t="shared" si="96"/>
        <v>0</v>
      </c>
      <c r="Q2045" s="11">
        <f>IF(P2045=0,0,IFERROR(Q2044+G2045*M2045*IF(E2045="FUTURE",VLOOKUP(MID(I2045,2,2),[1]Futures!$A$2:$B$12,2),1),G2045*M2045*IF(E2045="FUTURE",VLOOKUP(MID(I2045,2,2),[1]Futures!$A$2:$B$12,2),1)))</f>
        <v>0</v>
      </c>
      <c r="R2045" s="12" t="str">
        <f>IFERROR(Q2045/P2045/IF(E2045="FUTURE",VLOOKUP(MID(I2045,2,2),[1]Futures!$A$2:$B$12,2),1),"")</f>
        <v/>
      </c>
      <c r="S2045" s="13">
        <f>IF(AND(H2045="TO CLOSE",P2045=0),-G2045*(M2045-R2044)*IF(E2045="FUTURE",VLOOKUP(MID(I2045,2,2),[1]Futures!$A$2:$B$12,2),1),"")</f>
        <v>287.5</v>
      </c>
    </row>
    <row r="2046" spans="1:19" x14ac:dyDescent="0.2">
      <c r="A2046">
        <f t="shared" si="95"/>
        <v>660</v>
      </c>
      <c r="B2046" s="3">
        <v>44022</v>
      </c>
      <c r="C2046" s="3" t="str">
        <f t="shared" ref="C2046:C2109" si="97">IF(WEEKDAY(B2046,2)=1,"Monday",IF(WEEKDAY(B2046,2)=2,"Tuesday",IF(WEEKDAY(B2046,2)=3,"Wednesday",IF(WEEKDAY(B2046,2)=4,"Thursday",IF(WEEKDAY(B2046,2)=5,"Friday","Sunday")))))</f>
        <v>Friday</v>
      </c>
      <c r="D2046" s="2">
        <v>0.5942708333333333</v>
      </c>
      <c r="E2046" t="s">
        <v>14</v>
      </c>
      <c r="F2046" t="s">
        <v>15</v>
      </c>
      <c r="G2046">
        <v>-1</v>
      </c>
      <c r="H2046" t="s">
        <v>20</v>
      </c>
      <c r="I2046" t="s">
        <v>79</v>
      </c>
      <c r="J2046" s="1">
        <v>44094</v>
      </c>
      <c r="L2046" t="s">
        <v>14</v>
      </c>
      <c r="M2046">
        <v>3163.25</v>
      </c>
      <c r="N2046">
        <v>3163.25</v>
      </c>
      <c r="O2046" t="s">
        <v>21</v>
      </c>
      <c r="P2046">
        <f t="shared" si="96"/>
        <v>-1</v>
      </c>
      <c r="Q2046" s="11">
        <f>IF(P2046=0,0,IFERROR(Q2045+G2046*M2046*IF(E2046="FUTURE",VLOOKUP(MID(I2046,2,2),[1]Futures!$A$2:$B$12,2),1),G2046*M2046*IF(E2046="FUTURE",VLOOKUP(MID(I2046,2,2),[1]Futures!$A$2:$B$12,2),1)))</f>
        <v>-158162.5</v>
      </c>
      <c r="R2046" s="12">
        <f>IFERROR(Q2046/P2046/IF(E2046="FUTURE",VLOOKUP(MID(I2046,2,2),[1]Futures!$A$2:$B$12,2),1),"")</f>
        <v>3163.25</v>
      </c>
      <c r="S2046" s="13" t="str">
        <f>IF(AND(H2046="TO CLOSE",P2046=0),-G2046*(M2046-R2045)*IF(E2046="FUTURE",VLOOKUP(MID(I2046,2,2),[1]Futures!$A$2:$B$12,2),1),"")</f>
        <v/>
      </c>
    </row>
    <row r="2047" spans="1:19" x14ac:dyDescent="0.2">
      <c r="A2047">
        <f t="shared" si="95"/>
        <v>660</v>
      </c>
      <c r="B2047" s="3">
        <v>44022</v>
      </c>
      <c r="C2047" s="3" t="str">
        <f t="shared" si="97"/>
        <v>Friday</v>
      </c>
      <c r="D2047" s="2">
        <v>0.60256944444444438</v>
      </c>
      <c r="E2047" t="s">
        <v>14</v>
      </c>
      <c r="F2047" t="s">
        <v>19</v>
      </c>
      <c r="G2047">
        <v>1</v>
      </c>
      <c r="H2047" t="s">
        <v>16</v>
      </c>
      <c r="I2047" t="s">
        <v>79</v>
      </c>
      <c r="J2047" s="1">
        <v>44094</v>
      </c>
      <c r="L2047" t="s">
        <v>14</v>
      </c>
      <c r="M2047">
        <v>3162.75</v>
      </c>
      <c r="N2047">
        <v>3162.75</v>
      </c>
      <c r="O2047" t="s">
        <v>21</v>
      </c>
      <c r="P2047">
        <f t="shared" si="96"/>
        <v>0</v>
      </c>
      <c r="Q2047" s="11">
        <f>IF(P2047=0,0,IFERROR(Q2046+G2047*M2047*IF(E2047="FUTURE",VLOOKUP(MID(I2047,2,2),[1]Futures!$A$2:$B$12,2),1),G2047*M2047*IF(E2047="FUTURE",VLOOKUP(MID(I2047,2,2),[1]Futures!$A$2:$B$12,2),1)))</f>
        <v>0</v>
      </c>
      <c r="R2047" s="12" t="str">
        <f>IFERROR(Q2047/P2047/IF(E2047="FUTURE",VLOOKUP(MID(I2047,2,2),[1]Futures!$A$2:$B$12,2),1),"")</f>
        <v/>
      </c>
      <c r="S2047" s="13">
        <f>IF(AND(H2047="TO CLOSE",P2047=0),-G2047*(M2047-R2046)*IF(E2047="FUTURE",VLOOKUP(MID(I2047,2,2),[1]Futures!$A$2:$B$12,2),1),"")</f>
        <v>25</v>
      </c>
    </row>
    <row r="2048" spans="1:19" x14ac:dyDescent="0.2">
      <c r="A2048">
        <f t="shared" si="95"/>
        <v>661</v>
      </c>
      <c r="B2048" s="3">
        <v>44022</v>
      </c>
      <c r="C2048" s="3" t="str">
        <f t="shared" si="97"/>
        <v>Friday</v>
      </c>
      <c r="D2048" s="2">
        <v>0.62627314814814816</v>
      </c>
      <c r="E2048" t="s">
        <v>14</v>
      </c>
      <c r="F2048" t="s">
        <v>15</v>
      </c>
      <c r="G2048">
        <v>-1</v>
      </c>
      <c r="H2048" t="s">
        <v>20</v>
      </c>
      <c r="I2048" t="s">
        <v>79</v>
      </c>
      <c r="J2048" s="1">
        <v>44094</v>
      </c>
      <c r="L2048" t="s">
        <v>14</v>
      </c>
      <c r="M2048">
        <v>3165</v>
      </c>
      <c r="N2048">
        <v>3165</v>
      </c>
      <c r="O2048" t="s">
        <v>21</v>
      </c>
      <c r="P2048">
        <f t="shared" si="96"/>
        <v>-1</v>
      </c>
      <c r="Q2048" s="11">
        <f>IF(P2048=0,0,IFERROR(Q2047+G2048*M2048*IF(E2048="FUTURE",VLOOKUP(MID(I2048,2,2),[1]Futures!$A$2:$B$12,2),1),G2048*M2048*IF(E2048="FUTURE",VLOOKUP(MID(I2048,2,2),[1]Futures!$A$2:$B$12,2),1)))</f>
        <v>-158250</v>
      </c>
      <c r="R2048" s="12">
        <f>IFERROR(Q2048/P2048/IF(E2048="FUTURE",VLOOKUP(MID(I2048,2,2),[1]Futures!$A$2:$B$12,2),1),"")</f>
        <v>3165</v>
      </c>
      <c r="S2048" s="13" t="str">
        <f>IF(AND(H2048="TO CLOSE",P2048=0),-G2048*(M2048-R2047)*IF(E2048="FUTURE",VLOOKUP(MID(I2048,2,2),[1]Futures!$A$2:$B$12,2),1),"")</f>
        <v/>
      </c>
    </row>
    <row r="2049" spans="1:19" x14ac:dyDescent="0.2">
      <c r="A2049">
        <f t="shared" si="95"/>
        <v>661</v>
      </c>
      <c r="B2049" s="3">
        <v>44022</v>
      </c>
      <c r="C2049" s="3" t="str">
        <f t="shared" si="97"/>
        <v>Friday</v>
      </c>
      <c r="D2049" s="2">
        <v>0.63813657407407409</v>
      </c>
      <c r="E2049" t="s">
        <v>14</v>
      </c>
      <c r="F2049" t="s">
        <v>19</v>
      </c>
      <c r="G2049">
        <v>1</v>
      </c>
      <c r="H2049" t="s">
        <v>16</v>
      </c>
      <c r="I2049" t="s">
        <v>79</v>
      </c>
      <c r="J2049" s="1">
        <v>44094</v>
      </c>
      <c r="L2049" t="s">
        <v>14</v>
      </c>
      <c r="M2049">
        <v>3172</v>
      </c>
      <c r="N2049">
        <v>3172</v>
      </c>
      <c r="O2049" t="s">
        <v>18</v>
      </c>
      <c r="P2049">
        <f t="shared" si="96"/>
        <v>0</v>
      </c>
      <c r="Q2049" s="11">
        <f>IF(P2049=0,0,IFERROR(Q2048+G2049*M2049*IF(E2049="FUTURE",VLOOKUP(MID(I2049,2,2),[1]Futures!$A$2:$B$12,2),1),G2049*M2049*IF(E2049="FUTURE",VLOOKUP(MID(I2049,2,2),[1]Futures!$A$2:$B$12,2),1)))</f>
        <v>0</v>
      </c>
      <c r="R2049" s="12" t="str">
        <f>IFERROR(Q2049/P2049/IF(E2049="FUTURE",VLOOKUP(MID(I2049,2,2),[1]Futures!$A$2:$B$12,2),1),"")</f>
        <v/>
      </c>
      <c r="S2049" s="13">
        <f>IF(AND(H2049="TO CLOSE",P2049=0),-G2049*(M2049-R2048)*IF(E2049="FUTURE",VLOOKUP(MID(I2049,2,2),[1]Futures!$A$2:$B$12,2),1),"")</f>
        <v>-350</v>
      </c>
    </row>
    <row r="2050" spans="1:19" x14ac:dyDescent="0.2">
      <c r="A2050">
        <f t="shared" ref="A2050:A2113" si="98">IF(AND(P2049=0,H2049="TO CLOSE"),IFERROR(A2049+1,1),IFERROR(A2049/1,1))</f>
        <v>662</v>
      </c>
      <c r="B2050" s="3">
        <v>44025</v>
      </c>
      <c r="C2050" s="3" t="str">
        <f t="shared" si="97"/>
        <v>Monday</v>
      </c>
      <c r="D2050" s="2">
        <v>0.37714120370370369</v>
      </c>
      <c r="E2050" t="s">
        <v>14</v>
      </c>
      <c r="F2050" t="s">
        <v>19</v>
      </c>
      <c r="G2050">
        <v>1</v>
      </c>
      <c r="H2050" t="s">
        <v>20</v>
      </c>
      <c r="I2050" t="s">
        <v>77</v>
      </c>
      <c r="J2050" s="1">
        <v>44063</v>
      </c>
      <c r="L2050" t="s">
        <v>14</v>
      </c>
      <c r="M2050">
        <v>40.229999999999997</v>
      </c>
      <c r="N2050">
        <v>40.229999999999997</v>
      </c>
      <c r="O2050" t="s">
        <v>24</v>
      </c>
      <c r="P2050">
        <f t="shared" si="96"/>
        <v>1</v>
      </c>
      <c r="Q2050" s="11">
        <f>IF(P2050=0,0,IFERROR(Q2049+G2050*M2050*IF(E2050="FUTURE",VLOOKUP(MID(I2050,2,2),[1]Futures!$A$2:$B$12,2),1),G2050*M2050*IF(E2050="FUTURE",VLOOKUP(MID(I2050,2,2),[1]Futures!$A$2:$B$12,2),1)))</f>
        <v>40230</v>
      </c>
      <c r="R2050" s="12">
        <f>IFERROR(Q2050/P2050/IF(E2050="FUTURE",VLOOKUP(MID(I2050,2,2),[1]Futures!$A$2:$B$12,2),1),"")</f>
        <v>40.229999999999997</v>
      </c>
      <c r="S2050" s="13" t="str">
        <f>IF(AND(H2050="TO CLOSE",P2050=0),-G2050*(M2050-R2049)*IF(E2050="FUTURE",VLOOKUP(MID(I2050,2,2),[1]Futures!$A$2:$B$12,2),1),"")</f>
        <v/>
      </c>
    </row>
    <row r="2051" spans="1:19" x14ac:dyDescent="0.2">
      <c r="A2051">
        <f t="shared" si="98"/>
        <v>662</v>
      </c>
      <c r="B2051" s="3">
        <v>44025</v>
      </c>
      <c r="C2051" s="3" t="str">
        <f t="shared" si="97"/>
        <v>Monday</v>
      </c>
      <c r="D2051" s="2">
        <v>0.3941203703703704</v>
      </c>
      <c r="E2051" t="s">
        <v>14</v>
      </c>
      <c r="F2051" t="s">
        <v>15</v>
      </c>
      <c r="G2051">
        <v>-1</v>
      </c>
      <c r="H2051" t="s">
        <v>16</v>
      </c>
      <c r="I2051" t="s">
        <v>77</v>
      </c>
      <c r="J2051" s="1">
        <v>44063</v>
      </c>
      <c r="L2051" t="s">
        <v>14</v>
      </c>
      <c r="M2051">
        <v>40.44</v>
      </c>
      <c r="N2051">
        <v>40.44</v>
      </c>
      <c r="O2051" t="s">
        <v>21</v>
      </c>
      <c r="P2051">
        <f t="shared" ref="P2051:P2114" si="99">IF(H2051="TO OPEN",IFERROR(P2050+G2051,0+G2051),IFERROR(P2050+G2051,0+G2051))</f>
        <v>0</v>
      </c>
      <c r="Q2051" s="11">
        <f>IF(P2051=0,0,IFERROR(Q2050+G2051*M2051*IF(E2051="FUTURE",VLOOKUP(MID(I2051,2,2),[1]Futures!$A$2:$B$12,2),1),G2051*M2051*IF(E2051="FUTURE",VLOOKUP(MID(I2051,2,2),[1]Futures!$A$2:$B$12,2),1)))</f>
        <v>0</v>
      </c>
      <c r="R2051" s="12" t="str">
        <f>IFERROR(Q2051/P2051/IF(E2051="FUTURE",VLOOKUP(MID(I2051,2,2),[1]Futures!$A$2:$B$12,2),1),"")</f>
        <v/>
      </c>
      <c r="S2051" s="13">
        <f>IF(AND(H2051="TO CLOSE",P2051=0),-G2051*(M2051-R2050)*IF(E2051="FUTURE",VLOOKUP(MID(I2051,2,2),[1]Futures!$A$2:$B$12,2),1),"")</f>
        <v>210.00000000000085</v>
      </c>
    </row>
    <row r="2052" spans="1:19" x14ac:dyDescent="0.2">
      <c r="A2052">
        <f t="shared" si="98"/>
        <v>663</v>
      </c>
      <c r="B2052" s="3">
        <v>44025</v>
      </c>
      <c r="C2052" s="3" t="str">
        <f t="shared" si="97"/>
        <v>Monday</v>
      </c>
      <c r="D2052" s="2">
        <v>0.4251967592592592</v>
      </c>
      <c r="E2052" t="s">
        <v>14</v>
      </c>
      <c r="F2052" t="s">
        <v>19</v>
      </c>
      <c r="G2052">
        <v>1</v>
      </c>
      <c r="H2052" t="s">
        <v>20</v>
      </c>
      <c r="I2052" t="s">
        <v>77</v>
      </c>
      <c r="J2052" s="1">
        <v>44063</v>
      </c>
      <c r="L2052" t="s">
        <v>14</v>
      </c>
      <c r="M2052">
        <v>40.229999999999997</v>
      </c>
      <c r="N2052">
        <v>40.229999999999997</v>
      </c>
      <c r="O2052" t="s">
        <v>24</v>
      </c>
      <c r="P2052">
        <f t="shared" si="99"/>
        <v>1</v>
      </c>
      <c r="Q2052" s="11">
        <f>IF(P2052=0,0,IFERROR(Q2051+G2052*M2052*IF(E2052="FUTURE",VLOOKUP(MID(I2052,2,2),[1]Futures!$A$2:$B$12,2),1),G2052*M2052*IF(E2052="FUTURE",VLOOKUP(MID(I2052,2,2),[1]Futures!$A$2:$B$12,2),1)))</f>
        <v>40230</v>
      </c>
      <c r="R2052" s="12">
        <f>IFERROR(Q2052/P2052/IF(E2052="FUTURE",VLOOKUP(MID(I2052,2,2),[1]Futures!$A$2:$B$12,2),1),"")</f>
        <v>40.229999999999997</v>
      </c>
      <c r="S2052" s="13" t="str">
        <f>IF(AND(H2052="TO CLOSE",P2052=0),-G2052*(M2052-R2051)*IF(E2052="FUTURE",VLOOKUP(MID(I2052,2,2),[1]Futures!$A$2:$B$12,2),1),"")</f>
        <v/>
      </c>
    </row>
    <row r="2053" spans="1:19" x14ac:dyDescent="0.2">
      <c r="A2053">
        <f t="shared" si="98"/>
        <v>663</v>
      </c>
      <c r="B2053" s="3">
        <v>44025</v>
      </c>
      <c r="C2053" s="3" t="str">
        <f t="shared" si="97"/>
        <v>Monday</v>
      </c>
      <c r="D2053" s="2">
        <v>0.42843750000000003</v>
      </c>
      <c r="E2053" t="s">
        <v>14</v>
      </c>
      <c r="F2053" t="s">
        <v>15</v>
      </c>
      <c r="G2053">
        <v>-1</v>
      </c>
      <c r="H2053" t="s">
        <v>16</v>
      </c>
      <c r="I2053" t="s">
        <v>77</v>
      </c>
      <c r="J2053" s="1">
        <v>44063</v>
      </c>
      <c r="L2053" t="s">
        <v>14</v>
      </c>
      <c r="M2053">
        <v>40.25</v>
      </c>
      <c r="N2053">
        <v>40.25</v>
      </c>
      <c r="O2053" t="s">
        <v>21</v>
      </c>
      <c r="P2053">
        <f t="shared" si="99"/>
        <v>0</v>
      </c>
      <c r="Q2053" s="11">
        <f>IF(P2053=0,0,IFERROR(Q2052+G2053*M2053*IF(E2053="FUTURE",VLOOKUP(MID(I2053,2,2),[1]Futures!$A$2:$B$12,2),1),G2053*M2053*IF(E2053="FUTURE",VLOOKUP(MID(I2053,2,2),[1]Futures!$A$2:$B$12,2),1)))</f>
        <v>0</v>
      </c>
      <c r="R2053" s="12" t="str">
        <f>IFERROR(Q2053/P2053/IF(E2053="FUTURE",VLOOKUP(MID(I2053,2,2),[1]Futures!$A$2:$B$12,2),1),"")</f>
        <v/>
      </c>
      <c r="S2053" s="13">
        <f>IF(AND(H2053="TO CLOSE",P2053=0),-G2053*(M2053-R2052)*IF(E2053="FUTURE",VLOOKUP(MID(I2053,2,2),[1]Futures!$A$2:$B$12,2),1),"")</f>
        <v>20.000000000003126</v>
      </c>
    </row>
    <row r="2054" spans="1:19" x14ac:dyDescent="0.2">
      <c r="A2054">
        <f t="shared" si="98"/>
        <v>664</v>
      </c>
      <c r="B2054" s="3">
        <v>44025</v>
      </c>
      <c r="C2054" s="3" t="str">
        <f t="shared" si="97"/>
        <v>Monday</v>
      </c>
      <c r="D2054" s="2">
        <v>0.3835648148148148</v>
      </c>
      <c r="E2054" t="s">
        <v>14</v>
      </c>
      <c r="F2054" t="s">
        <v>19</v>
      </c>
      <c r="G2054">
        <v>1</v>
      </c>
      <c r="H2054" t="s">
        <v>20</v>
      </c>
      <c r="I2054" t="s">
        <v>79</v>
      </c>
      <c r="J2054" s="1">
        <v>44094</v>
      </c>
      <c r="L2054" t="s">
        <v>14</v>
      </c>
      <c r="M2054">
        <v>3201.25</v>
      </c>
      <c r="N2054">
        <v>3201.25</v>
      </c>
      <c r="O2054" t="s">
        <v>24</v>
      </c>
      <c r="P2054">
        <f t="shared" si="99"/>
        <v>1</v>
      </c>
      <c r="Q2054" s="11">
        <f>IF(P2054=0,0,IFERROR(Q2053+G2054*M2054*IF(E2054="FUTURE",VLOOKUP(MID(I2054,2,2),[1]Futures!$A$2:$B$12,2),1),G2054*M2054*IF(E2054="FUTURE",VLOOKUP(MID(I2054,2,2),[1]Futures!$A$2:$B$12,2),1)))</f>
        <v>160062.5</v>
      </c>
      <c r="R2054" s="12">
        <f>IFERROR(Q2054/P2054/IF(E2054="FUTURE",VLOOKUP(MID(I2054,2,2),[1]Futures!$A$2:$B$12,2),1),"")</f>
        <v>3201.25</v>
      </c>
      <c r="S2054" s="13" t="str">
        <f>IF(AND(H2054="TO CLOSE",P2054=0),-G2054*(M2054-R2053)*IF(E2054="FUTURE",VLOOKUP(MID(I2054,2,2),[1]Futures!$A$2:$B$12,2),1),"")</f>
        <v/>
      </c>
    </row>
    <row r="2055" spans="1:19" x14ac:dyDescent="0.2">
      <c r="A2055">
        <f t="shared" si="98"/>
        <v>664</v>
      </c>
      <c r="B2055" s="3">
        <v>44025</v>
      </c>
      <c r="C2055" s="3" t="str">
        <f t="shared" si="97"/>
        <v>Monday</v>
      </c>
      <c r="D2055" s="2">
        <v>0.39460648148148153</v>
      </c>
      <c r="E2055" t="s">
        <v>14</v>
      </c>
      <c r="F2055" t="s">
        <v>15</v>
      </c>
      <c r="G2055">
        <v>-1</v>
      </c>
      <c r="H2055" t="s">
        <v>16</v>
      </c>
      <c r="I2055" t="s">
        <v>79</v>
      </c>
      <c r="J2055" s="1">
        <v>44094</v>
      </c>
      <c r="L2055" t="s">
        <v>14</v>
      </c>
      <c r="M2055">
        <v>3201.5</v>
      </c>
      <c r="N2055">
        <v>3201.5</v>
      </c>
      <c r="O2055" t="s">
        <v>21</v>
      </c>
      <c r="P2055">
        <f t="shared" si="99"/>
        <v>0</v>
      </c>
      <c r="Q2055" s="11">
        <f>IF(P2055=0,0,IFERROR(Q2054+G2055*M2055*IF(E2055="FUTURE",VLOOKUP(MID(I2055,2,2),[1]Futures!$A$2:$B$12,2),1),G2055*M2055*IF(E2055="FUTURE",VLOOKUP(MID(I2055,2,2),[1]Futures!$A$2:$B$12,2),1)))</f>
        <v>0</v>
      </c>
      <c r="R2055" s="12" t="str">
        <f>IFERROR(Q2055/P2055/IF(E2055="FUTURE",VLOOKUP(MID(I2055,2,2),[1]Futures!$A$2:$B$12,2),1),"")</f>
        <v/>
      </c>
      <c r="S2055" s="13">
        <f>IF(AND(H2055="TO CLOSE",P2055=0),-G2055*(M2055-R2054)*IF(E2055="FUTURE",VLOOKUP(MID(I2055,2,2),[1]Futures!$A$2:$B$12,2),1),"")</f>
        <v>12.5</v>
      </c>
    </row>
    <row r="2056" spans="1:19" x14ac:dyDescent="0.2">
      <c r="A2056">
        <f t="shared" si="98"/>
        <v>665</v>
      </c>
      <c r="B2056" s="3">
        <v>44025</v>
      </c>
      <c r="C2056" s="3" t="str">
        <f t="shared" si="97"/>
        <v>Monday</v>
      </c>
      <c r="D2056" s="2">
        <v>0.39803240740740736</v>
      </c>
      <c r="E2056" t="s">
        <v>14</v>
      </c>
      <c r="F2056" t="s">
        <v>19</v>
      </c>
      <c r="G2056">
        <v>1</v>
      </c>
      <c r="H2056" t="s">
        <v>20</v>
      </c>
      <c r="I2056" t="s">
        <v>79</v>
      </c>
      <c r="J2056" s="1">
        <v>44094</v>
      </c>
      <c r="L2056" t="s">
        <v>14</v>
      </c>
      <c r="M2056">
        <v>3203.25</v>
      </c>
      <c r="N2056">
        <v>3203.25</v>
      </c>
      <c r="O2056" t="s">
        <v>24</v>
      </c>
      <c r="P2056">
        <f t="shared" si="99"/>
        <v>1</v>
      </c>
      <c r="Q2056" s="11">
        <f>IF(P2056=0,0,IFERROR(Q2055+G2056*M2056*IF(E2056="FUTURE",VLOOKUP(MID(I2056,2,2),[1]Futures!$A$2:$B$12,2),1),G2056*M2056*IF(E2056="FUTURE",VLOOKUP(MID(I2056,2,2),[1]Futures!$A$2:$B$12,2),1)))</f>
        <v>160162.5</v>
      </c>
      <c r="R2056" s="12">
        <f>IFERROR(Q2056/P2056/IF(E2056="FUTURE",VLOOKUP(MID(I2056,2,2),[1]Futures!$A$2:$B$12,2),1),"")</f>
        <v>3203.25</v>
      </c>
      <c r="S2056" s="13" t="str">
        <f>IF(AND(H2056="TO CLOSE",P2056=0),-G2056*(M2056-R2055)*IF(E2056="FUTURE",VLOOKUP(MID(I2056,2,2),[1]Futures!$A$2:$B$12,2),1),"")</f>
        <v/>
      </c>
    </row>
    <row r="2057" spans="1:19" x14ac:dyDescent="0.2">
      <c r="A2057">
        <f t="shared" si="98"/>
        <v>665</v>
      </c>
      <c r="B2057" s="3">
        <v>44025</v>
      </c>
      <c r="C2057" s="3" t="str">
        <f t="shared" si="97"/>
        <v>Monday</v>
      </c>
      <c r="D2057" s="2">
        <v>0.40138888888888885</v>
      </c>
      <c r="E2057" t="s">
        <v>14</v>
      </c>
      <c r="F2057" t="s">
        <v>15</v>
      </c>
      <c r="G2057">
        <v>-1</v>
      </c>
      <c r="H2057" t="s">
        <v>16</v>
      </c>
      <c r="I2057" t="s">
        <v>79</v>
      </c>
      <c r="J2057" s="1">
        <v>44094</v>
      </c>
      <c r="L2057" t="s">
        <v>14</v>
      </c>
      <c r="M2057">
        <v>3197.25</v>
      </c>
      <c r="N2057">
        <v>3197.25</v>
      </c>
      <c r="O2057" t="s">
        <v>18</v>
      </c>
      <c r="P2057">
        <f t="shared" si="99"/>
        <v>0</v>
      </c>
      <c r="Q2057" s="11">
        <f>IF(P2057=0,0,IFERROR(Q2056+G2057*M2057*IF(E2057="FUTURE",VLOOKUP(MID(I2057,2,2),[1]Futures!$A$2:$B$12,2),1),G2057*M2057*IF(E2057="FUTURE",VLOOKUP(MID(I2057,2,2),[1]Futures!$A$2:$B$12,2),1)))</f>
        <v>0</v>
      </c>
      <c r="R2057" s="12" t="str">
        <f>IFERROR(Q2057/P2057/IF(E2057="FUTURE",VLOOKUP(MID(I2057,2,2),[1]Futures!$A$2:$B$12,2),1),"")</f>
        <v/>
      </c>
      <c r="S2057" s="13">
        <f>IF(AND(H2057="TO CLOSE",P2057=0),-G2057*(M2057-R2056)*IF(E2057="FUTURE",VLOOKUP(MID(I2057,2,2),[1]Futures!$A$2:$B$12,2),1),"")</f>
        <v>-300</v>
      </c>
    </row>
    <row r="2058" spans="1:19" x14ac:dyDescent="0.2">
      <c r="A2058">
        <f t="shared" si="98"/>
        <v>666</v>
      </c>
      <c r="B2058" s="3">
        <v>44025</v>
      </c>
      <c r="C2058" s="3" t="str">
        <f t="shared" si="97"/>
        <v>Monday</v>
      </c>
      <c r="D2058" s="2">
        <v>0.40461805555555558</v>
      </c>
      <c r="E2058" t="s">
        <v>14</v>
      </c>
      <c r="F2058" t="s">
        <v>19</v>
      </c>
      <c r="G2058">
        <v>1</v>
      </c>
      <c r="H2058" t="s">
        <v>20</v>
      </c>
      <c r="I2058" t="s">
        <v>79</v>
      </c>
      <c r="J2058" s="1">
        <v>44094</v>
      </c>
      <c r="L2058" t="s">
        <v>14</v>
      </c>
      <c r="M2058">
        <v>3201.25</v>
      </c>
      <c r="N2058">
        <v>3201.25</v>
      </c>
      <c r="O2058" t="s">
        <v>24</v>
      </c>
      <c r="P2058">
        <f t="shared" si="99"/>
        <v>1</v>
      </c>
      <c r="Q2058" s="11">
        <f>IF(P2058=0,0,IFERROR(Q2057+G2058*M2058*IF(E2058="FUTURE",VLOOKUP(MID(I2058,2,2),[1]Futures!$A$2:$B$12,2),1),G2058*M2058*IF(E2058="FUTURE",VLOOKUP(MID(I2058,2,2),[1]Futures!$A$2:$B$12,2),1)))</f>
        <v>160062.5</v>
      </c>
      <c r="R2058" s="12">
        <f>IFERROR(Q2058/P2058/IF(E2058="FUTURE",VLOOKUP(MID(I2058,2,2),[1]Futures!$A$2:$B$12,2),1),"")</f>
        <v>3201.25</v>
      </c>
      <c r="S2058" s="13" t="str">
        <f>IF(AND(H2058="TO CLOSE",P2058=0),-G2058*(M2058-R2057)*IF(E2058="FUTURE",VLOOKUP(MID(I2058,2,2),[1]Futures!$A$2:$B$12,2),1),"")</f>
        <v/>
      </c>
    </row>
    <row r="2059" spans="1:19" x14ac:dyDescent="0.2">
      <c r="A2059">
        <f t="shared" si="98"/>
        <v>666</v>
      </c>
      <c r="B2059" s="3">
        <v>44025</v>
      </c>
      <c r="C2059" s="3" t="str">
        <f t="shared" si="97"/>
        <v>Monday</v>
      </c>
      <c r="D2059" s="2">
        <v>0.41671296296296295</v>
      </c>
      <c r="E2059" t="s">
        <v>14</v>
      </c>
      <c r="F2059" t="s">
        <v>19</v>
      </c>
      <c r="G2059">
        <v>1</v>
      </c>
      <c r="H2059" t="s">
        <v>20</v>
      </c>
      <c r="I2059" t="s">
        <v>79</v>
      </c>
      <c r="J2059" s="1">
        <v>44094</v>
      </c>
      <c r="L2059" t="s">
        <v>14</v>
      </c>
      <c r="M2059">
        <v>3196.25</v>
      </c>
      <c r="N2059">
        <v>3196.25</v>
      </c>
      <c r="O2059" t="s">
        <v>24</v>
      </c>
      <c r="P2059">
        <f t="shared" si="99"/>
        <v>2</v>
      </c>
      <c r="Q2059" s="11">
        <f>IF(P2059=0,0,IFERROR(Q2058+G2059*M2059*IF(E2059="FUTURE",VLOOKUP(MID(I2059,2,2),[1]Futures!$A$2:$B$12,2),1),G2059*M2059*IF(E2059="FUTURE",VLOOKUP(MID(I2059,2,2),[1]Futures!$A$2:$B$12,2),1)))</f>
        <v>319875</v>
      </c>
      <c r="R2059" s="12">
        <f>IFERROR(Q2059/P2059/IF(E2059="FUTURE",VLOOKUP(MID(I2059,2,2),[1]Futures!$A$2:$B$12,2),1),"")</f>
        <v>3198.75</v>
      </c>
      <c r="S2059" s="13" t="str">
        <f>IF(AND(H2059="TO CLOSE",P2059=0),-G2059*(M2059-R2058)*IF(E2059="FUTURE",VLOOKUP(MID(I2059,2,2),[1]Futures!$A$2:$B$12,2),1),"")</f>
        <v/>
      </c>
    </row>
    <row r="2060" spans="1:19" x14ac:dyDescent="0.2">
      <c r="A2060">
        <f t="shared" si="98"/>
        <v>666</v>
      </c>
      <c r="B2060" s="3">
        <v>44025</v>
      </c>
      <c r="C2060" s="3" t="str">
        <f t="shared" si="97"/>
        <v>Monday</v>
      </c>
      <c r="D2060" s="2">
        <v>0.42444444444444446</v>
      </c>
      <c r="E2060" t="s">
        <v>14</v>
      </c>
      <c r="F2060" t="s">
        <v>15</v>
      </c>
      <c r="G2060">
        <v>-1</v>
      </c>
      <c r="H2060" t="s">
        <v>16</v>
      </c>
      <c r="I2060" t="s">
        <v>79</v>
      </c>
      <c r="J2060" s="1">
        <v>44094</v>
      </c>
      <c r="L2060" t="s">
        <v>14</v>
      </c>
      <c r="M2060">
        <v>3202.75</v>
      </c>
      <c r="N2060">
        <v>3202.75</v>
      </c>
      <c r="O2060" t="s">
        <v>21</v>
      </c>
      <c r="P2060">
        <f t="shared" si="99"/>
        <v>1</v>
      </c>
      <c r="Q2060" s="11">
        <f>IF(P2060=0,0,IFERROR(Q2059+G2060*M2060*IF(E2060="FUTURE",VLOOKUP(MID(I2060,2,2),[1]Futures!$A$2:$B$12,2),1),G2060*M2060*IF(E2060="FUTURE",VLOOKUP(MID(I2060,2,2),[1]Futures!$A$2:$B$12,2),1)))</f>
        <v>159737.5</v>
      </c>
      <c r="R2060" s="12">
        <f>IFERROR(Q2060/P2060/IF(E2060="FUTURE",VLOOKUP(MID(I2060,2,2),[1]Futures!$A$2:$B$12,2),1),"")</f>
        <v>3194.75</v>
      </c>
      <c r="S2060" s="13" t="str">
        <f>IF(AND(H2060="TO CLOSE",P2060=0),-G2060*(M2060-R2059)*IF(E2060="FUTURE",VLOOKUP(MID(I2060,2,2),[1]Futures!$A$2:$B$12,2),1),"")</f>
        <v/>
      </c>
    </row>
    <row r="2061" spans="1:19" x14ac:dyDescent="0.2">
      <c r="A2061">
        <f t="shared" si="98"/>
        <v>666</v>
      </c>
      <c r="B2061" s="3">
        <v>44025</v>
      </c>
      <c r="C2061" s="3" t="str">
        <f t="shared" si="97"/>
        <v>Monday</v>
      </c>
      <c r="D2061" s="2">
        <v>0.43086805555555552</v>
      </c>
      <c r="E2061" t="s">
        <v>14</v>
      </c>
      <c r="F2061" t="s">
        <v>15</v>
      </c>
      <c r="G2061">
        <v>-1</v>
      </c>
      <c r="H2061" t="s">
        <v>16</v>
      </c>
      <c r="I2061" t="s">
        <v>79</v>
      </c>
      <c r="J2061" s="1">
        <v>44094</v>
      </c>
      <c r="L2061" t="s">
        <v>14</v>
      </c>
      <c r="M2061">
        <v>3206.75</v>
      </c>
      <c r="N2061">
        <v>3206.75</v>
      </c>
      <c r="O2061" t="s">
        <v>21</v>
      </c>
      <c r="P2061">
        <f t="shared" si="99"/>
        <v>0</v>
      </c>
      <c r="Q2061" s="11">
        <f>IF(P2061=0,0,IFERROR(Q2060+G2061*M2061*IF(E2061="FUTURE",VLOOKUP(MID(I2061,2,2),[1]Futures!$A$2:$B$12,2),1),G2061*M2061*IF(E2061="FUTURE",VLOOKUP(MID(I2061,2,2),[1]Futures!$A$2:$B$12,2),1)))</f>
        <v>0</v>
      </c>
      <c r="R2061" s="12" t="str">
        <f>IFERROR(Q2061/P2061/IF(E2061="FUTURE",VLOOKUP(MID(I2061,2,2),[1]Futures!$A$2:$B$12,2),1),"")</f>
        <v/>
      </c>
      <c r="S2061" s="13">
        <f>IF(AND(H2061="TO CLOSE",P2061=0),-G2061*(M2061-R2060)*IF(E2061="FUTURE",VLOOKUP(MID(I2061,2,2),[1]Futures!$A$2:$B$12,2),1),"")</f>
        <v>600</v>
      </c>
    </row>
    <row r="2062" spans="1:19" x14ac:dyDescent="0.2">
      <c r="A2062">
        <f t="shared" si="98"/>
        <v>667</v>
      </c>
      <c r="B2062" s="3">
        <v>44026</v>
      </c>
      <c r="C2062" s="3" t="str">
        <f t="shared" si="97"/>
        <v>Tuesday</v>
      </c>
      <c r="D2062" s="2">
        <v>0.42790509259259263</v>
      </c>
      <c r="E2062" t="s">
        <v>14</v>
      </c>
      <c r="F2062" t="s">
        <v>19</v>
      </c>
      <c r="G2062">
        <v>1</v>
      </c>
      <c r="H2062" t="s">
        <v>20</v>
      </c>
      <c r="I2062" t="s">
        <v>77</v>
      </c>
      <c r="J2062" s="1">
        <v>44063</v>
      </c>
      <c r="L2062" t="s">
        <v>14</v>
      </c>
      <c r="M2062">
        <v>39.880000000000003</v>
      </c>
      <c r="N2062">
        <v>39.880000000000003</v>
      </c>
      <c r="O2062" t="s">
        <v>24</v>
      </c>
      <c r="P2062">
        <f t="shared" si="99"/>
        <v>1</v>
      </c>
      <c r="Q2062" s="11">
        <f>IF(P2062=0,0,IFERROR(Q2061+G2062*M2062*IF(E2062="FUTURE",VLOOKUP(MID(I2062,2,2),[1]Futures!$A$2:$B$12,2),1),G2062*M2062*IF(E2062="FUTURE",VLOOKUP(MID(I2062,2,2),[1]Futures!$A$2:$B$12,2),1)))</f>
        <v>39880</v>
      </c>
      <c r="R2062" s="12">
        <f>IFERROR(Q2062/P2062/IF(E2062="FUTURE",VLOOKUP(MID(I2062,2,2),[1]Futures!$A$2:$B$12,2),1),"")</f>
        <v>39.880000000000003</v>
      </c>
      <c r="S2062" s="13" t="str">
        <f>IF(AND(H2062="TO CLOSE",P2062=0),-G2062*(M2062-R2061)*IF(E2062="FUTURE",VLOOKUP(MID(I2062,2,2),[1]Futures!$A$2:$B$12,2),1),"")</f>
        <v/>
      </c>
    </row>
    <row r="2063" spans="1:19" x14ac:dyDescent="0.2">
      <c r="A2063">
        <f t="shared" si="98"/>
        <v>667</v>
      </c>
      <c r="B2063" s="3">
        <v>44026</v>
      </c>
      <c r="C2063" s="3" t="str">
        <f t="shared" si="97"/>
        <v>Tuesday</v>
      </c>
      <c r="D2063" s="2">
        <v>0.43329861111111106</v>
      </c>
      <c r="E2063" t="s">
        <v>14</v>
      </c>
      <c r="F2063" t="s">
        <v>15</v>
      </c>
      <c r="G2063">
        <v>-1</v>
      </c>
      <c r="H2063" t="s">
        <v>16</v>
      </c>
      <c r="I2063" t="s">
        <v>77</v>
      </c>
      <c r="J2063" s="1">
        <v>44063</v>
      </c>
      <c r="L2063" t="s">
        <v>14</v>
      </c>
      <c r="M2063">
        <v>40.1</v>
      </c>
      <c r="N2063">
        <v>40.1</v>
      </c>
      <c r="O2063" t="s">
        <v>21</v>
      </c>
      <c r="P2063">
        <f t="shared" si="99"/>
        <v>0</v>
      </c>
      <c r="Q2063" s="11">
        <f>IF(P2063=0,0,IFERROR(Q2062+G2063*M2063*IF(E2063="FUTURE",VLOOKUP(MID(I2063,2,2),[1]Futures!$A$2:$B$12,2),1),G2063*M2063*IF(E2063="FUTURE",VLOOKUP(MID(I2063,2,2),[1]Futures!$A$2:$B$12,2),1)))</f>
        <v>0</v>
      </c>
      <c r="R2063" s="12" t="str">
        <f>IFERROR(Q2063/P2063/IF(E2063="FUTURE",VLOOKUP(MID(I2063,2,2),[1]Futures!$A$2:$B$12,2),1),"")</f>
        <v/>
      </c>
      <c r="S2063" s="13">
        <f>IF(AND(H2063="TO CLOSE",P2063=0),-G2063*(M2063-R2062)*IF(E2063="FUTURE",VLOOKUP(MID(I2063,2,2),[1]Futures!$A$2:$B$12,2),1),"")</f>
        <v>219.99999999999886</v>
      </c>
    </row>
    <row r="2064" spans="1:19" x14ac:dyDescent="0.2">
      <c r="A2064">
        <f t="shared" si="98"/>
        <v>668</v>
      </c>
      <c r="B2064" s="3">
        <v>44026</v>
      </c>
      <c r="C2064" s="3" t="str">
        <f t="shared" si="97"/>
        <v>Tuesday</v>
      </c>
      <c r="D2064" s="2">
        <v>0.42312499999999997</v>
      </c>
      <c r="E2064" t="s">
        <v>14</v>
      </c>
      <c r="F2064" t="s">
        <v>15</v>
      </c>
      <c r="G2064">
        <v>-1</v>
      </c>
      <c r="H2064" t="s">
        <v>20</v>
      </c>
      <c r="I2064" t="s">
        <v>79</v>
      </c>
      <c r="J2064" s="1">
        <v>44094</v>
      </c>
      <c r="L2064" t="s">
        <v>14</v>
      </c>
      <c r="M2064">
        <v>3125.25</v>
      </c>
      <c r="N2064">
        <v>3125.25</v>
      </c>
      <c r="O2064" t="s">
        <v>24</v>
      </c>
      <c r="P2064">
        <f t="shared" si="99"/>
        <v>-1</v>
      </c>
      <c r="Q2064" s="11">
        <f>IF(P2064=0,0,IFERROR(Q2063+G2064*M2064*IF(E2064="FUTURE",VLOOKUP(MID(I2064,2,2),[1]Futures!$A$2:$B$12,2),1),G2064*M2064*IF(E2064="FUTURE",VLOOKUP(MID(I2064,2,2),[1]Futures!$A$2:$B$12,2),1)))</f>
        <v>-156262.5</v>
      </c>
      <c r="R2064" s="12">
        <f>IFERROR(Q2064/P2064/IF(E2064="FUTURE",VLOOKUP(MID(I2064,2,2),[1]Futures!$A$2:$B$12,2),1),"")</f>
        <v>3125.25</v>
      </c>
      <c r="S2064" s="13" t="str">
        <f>IF(AND(H2064="TO CLOSE",P2064=0),-G2064*(M2064-R2063)*IF(E2064="FUTURE",VLOOKUP(MID(I2064,2,2),[1]Futures!$A$2:$B$12,2),1),"")</f>
        <v/>
      </c>
    </row>
    <row r="2065" spans="1:19" x14ac:dyDescent="0.2">
      <c r="A2065">
        <f t="shared" si="98"/>
        <v>668</v>
      </c>
      <c r="B2065" s="3">
        <v>44026</v>
      </c>
      <c r="C2065" s="3" t="str">
        <f t="shared" si="97"/>
        <v>Tuesday</v>
      </c>
      <c r="D2065" s="2">
        <v>0.42531249999999998</v>
      </c>
      <c r="E2065" t="s">
        <v>14</v>
      </c>
      <c r="F2065" t="s">
        <v>19</v>
      </c>
      <c r="G2065">
        <v>1</v>
      </c>
      <c r="H2065" t="s">
        <v>16</v>
      </c>
      <c r="I2065" t="s">
        <v>79</v>
      </c>
      <c r="J2065" s="1">
        <v>44094</v>
      </c>
      <c r="L2065" t="s">
        <v>14</v>
      </c>
      <c r="M2065">
        <v>3128.75</v>
      </c>
      <c r="N2065">
        <v>3128.75</v>
      </c>
      <c r="O2065" t="s">
        <v>18</v>
      </c>
      <c r="P2065">
        <f t="shared" si="99"/>
        <v>0</v>
      </c>
      <c r="Q2065" s="11">
        <f>IF(P2065=0,0,IFERROR(Q2064+G2065*M2065*IF(E2065="FUTURE",VLOOKUP(MID(I2065,2,2),[1]Futures!$A$2:$B$12,2),1),G2065*M2065*IF(E2065="FUTURE",VLOOKUP(MID(I2065,2,2),[1]Futures!$A$2:$B$12,2),1)))</f>
        <v>0</v>
      </c>
      <c r="R2065" s="12" t="str">
        <f>IFERROR(Q2065/P2065/IF(E2065="FUTURE",VLOOKUP(MID(I2065,2,2),[1]Futures!$A$2:$B$12,2),1),"")</f>
        <v/>
      </c>
      <c r="S2065" s="13">
        <f>IF(AND(H2065="TO CLOSE",P2065=0),-G2065*(M2065-R2064)*IF(E2065="FUTURE",VLOOKUP(MID(I2065,2,2),[1]Futures!$A$2:$B$12,2),1),"")</f>
        <v>-175</v>
      </c>
    </row>
    <row r="2066" spans="1:19" x14ac:dyDescent="0.2">
      <c r="A2066">
        <f t="shared" si="98"/>
        <v>669</v>
      </c>
      <c r="B2066" s="3">
        <v>44026</v>
      </c>
      <c r="C2066" s="3" t="str">
        <f t="shared" si="97"/>
        <v>Tuesday</v>
      </c>
      <c r="D2066" s="2">
        <v>0.4253587962962963</v>
      </c>
      <c r="E2066" t="s">
        <v>14</v>
      </c>
      <c r="F2066" t="s">
        <v>19</v>
      </c>
      <c r="G2066">
        <v>1</v>
      </c>
      <c r="H2066" t="s">
        <v>20</v>
      </c>
      <c r="I2066" t="s">
        <v>79</v>
      </c>
      <c r="J2066" s="1">
        <v>44094</v>
      </c>
      <c r="L2066" t="s">
        <v>14</v>
      </c>
      <c r="M2066">
        <v>3128.25</v>
      </c>
      <c r="N2066">
        <v>3128.25</v>
      </c>
      <c r="O2066" t="s">
        <v>24</v>
      </c>
      <c r="P2066">
        <f t="shared" si="99"/>
        <v>1</v>
      </c>
      <c r="Q2066" s="11">
        <f>IF(P2066=0,0,IFERROR(Q2065+G2066*M2066*IF(E2066="FUTURE",VLOOKUP(MID(I2066,2,2),[1]Futures!$A$2:$B$12,2),1),G2066*M2066*IF(E2066="FUTURE",VLOOKUP(MID(I2066,2,2),[1]Futures!$A$2:$B$12,2),1)))</f>
        <v>156412.5</v>
      </c>
      <c r="R2066" s="12">
        <f>IFERROR(Q2066/P2066/IF(E2066="FUTURE",VLOOKUP(MID(I2066,2,2),[1]Futures!$A$2:$B$12,2),1),"")</f>
        <v>3128.25</v>
      </c>
      <c r="S2066" s="13" t="str">
        <f>IF(AND(H2066="TO CLOSE",P2066=0),-G2066*(M2066-R2065)*IF(E2066="FUTURE",VLOOKUP(MID(I2066,2,2),[1]Futures!$A$2:$B$12,2),1),"")</f>
        <v/>
      </c>
    </row>
    <row r="2067" spans="1:19" x14ac:dyDescent="0.2">
      <c r="A2067">
        <f t="shared" si="98"/>
        <v>669</v>
      </c>
      <c r="B2067" s="3">
        <v>44026</v>
      </c>
      <c r="C2067" s="3" t="str">
        <f t="shared" si="97"/>
        <v>Tuesday</v>
      </c>
      <c r="D2067" s="2">
        <v>0.43271990740740746</v>
      </c>
      <c r="E2067" t="s">
        <v>14</v>
      </c>
      <c r="F2067" t="s">
        <v>15</v>
      </c>
      <c r="G2067">
        <v>-1</v>
      </c>
      <c r="H2067" t="s">
        <v>16</v>
      </c>
      <c r="I2067" t="s">
        <v>79</v>
      </c>
      <c r="J2067" s="1">
        <v>44094</v>
      </c>
      <c r="L2067" t="s">
        <v>14</v>
      </c>
      <c r="M2067">
        <v>3135.5</v>
      </c>
      <c r="N2067">
        <v>3135.5</v>
      </c>
      <c r="O2067" t="s">
        <v>21</v>
      </c>
      <c r="P2067">
        <f t="shared" si="99"/>
        <v>0</v>
      </c>
      <c r="Q2067" s="11">
        <f>IF(P2067=0,0,IFERROR(Q2066+G2067*M2067*IF(E2067="FUTURE",VLOOKUP(MID(I2067,2,2),[1]Futures!$A$2:$B$12,2),1),G2067*M2067*IF(E2067="FUTURE",VLOOKUP(MID(I2067,2,2),[1]Futures!$A$2:$B$12,2),1)))</f>
        <v>0</v>
      </c>
      <c r="R2067" s="12" t="str">
        <f>IFERROR(Q2067/P2067/IF(E2067="FUTURE",VLOOKUP(MID(I2067,2,2),[1]Futures!$A$2:$B$12,2),1),"")</f>
        <v/>
      </c>
      <c r="S2067" s="13">
        <f>IF(AND(H2067="TO CLOSE",P2067=0),-G2067*(M2067-R2066)*IF(E2067="FUTURE",VLOOKUP(MID(I2067,2,2),[1]Futures!$A$2:$B$12,2),1),"")</f>
        <v>362.5</v>
      </c>
    </row>
    <row r="2068" spans="1:19" x14ac:dyDescent="0.2">
      <c r="A2068">
        <f t="shared" si="98"/>
        <v>670</v>
      </c>
      <c r="B2068" s="3">
        <v>44026</v>
      </c>
      <c r="C2068" s="3" t="str">
        <f t="shared" si="97"/>
        <v>Tuesday</v>
      </c>
      <c r="D2068" s="2">
        <v>0.4447800925925926</v>
      </c>
      <c r="E2068" t="s">
        <v>14</v>
      </c>
      <c r="F2068" t="s">
        <v>19</v>
      </c>
      <c r="G2068">
        <v>1</v>
      </c>
      <c r="H2068" t="s">
        <v>20</v>
      </c>
      <c r="I2068" t="s">
        <v>79</v>
      </c>
      <c r="J2068" s="1">
        <v>44094</v>
      </c>
      <c r="L2068" t="s">
        <v>14</v>
      </c>
      <c r="M2068">
        <v>3149</v>
      </c>
      <c r="N2068">
        <v>3149</v>
      </c>
      <c r="O2068" t="s">
        <v>24</v>
      </c>
      <c r="P2068">
        <f t="shared" si="99"/>
        <v>1</v>
      </c>
      <c r="Q2068" s="11">
        <f>IF(P2068=0,0,IFERROR(Q2067+G2068*M2068*IF(E2068="FUTURE",VLOOKUP(MID(I2068,2,2),[1]Futures!$A$2:$B$12,2),1),G2068*M2068*IF(E2068="FUTURE",VLOOKUP(MID(I2068,2,2),[1]Futures!$A$2:$B$12,2),1)))</f>
        <v>157450</v>
      </c>
      <c r="R2068" s="12">
        <f>IFERROR(Q2068/P2068/IF(E2068="FUTURE",VLOOKUP(MID(I2068,2,2),[1]Futures!$A$2:$B$12,2),1),"")</f>
        <v>3149</v>
      </c>
      <c r="S2068" s="13" t="str">
        <f>IF(AND(H2068="TO CLOSE",P2068=0),-G2068*(M2068-R2067)*IF(E2068="FUTURE",VLOOKUP(MID(I2068,2,2),[1]Futures!$A$2:$B$12,2),1),"")</f>
        <v/>
      </c>
    </row>
    <row r="2069" spans="1:19" x14ac:dyDescent="0.2">
      <c r="A2069">
        <f t="shared" si="98"/>
        <v>670</v>
      </c>
      <c r="B2069" s="3">
        <v>44026</v>
      </c>
      <c r="C2069" s="3" t="str">
        <f t="shared" si="97"/>
        <v>Tuesday</v>
      </c>
      <c r="D2069" s="2">
        <v>0.44497685185185182</v>
      </c>
      <c r="E2069" t="s">
        <v>14</v>
      </c>
      <c r="F2069" t="s">
        <v>15</v>
      </c>
      <c r="G2069">
        <v>-1</v>
      </c>
      <c r="H2069" t="s">
        <v>16</v>
      </c>
      <c r="I2069" t="s">
        <v>79</v>
      </c>
      <c r="J2069" s="1">
        <v>44094</v>
      </c>
      <c r="L2069" t="s">
        <v>14</v>
      </c>
      <c r="M2069">
        <v>3149.25</v>
      </c>
      <c r="N2069">
        <v>3149.25</v>
      </c>
      <c r="O2069" t="s">
        <v>18</v>
      </c>
      <c r="P2069">
        <f t="shared" si="99"/>
        <v>0</v>
      </c>
      <c r="Q2069" s="11">
        <f>IF(P2069=0,0,IFERROR(Q2068+G2069*M2069*IF(E2069="FUTURE",VLOOKUP(MID(I2069,2,2),[1]Futures!$A$2:$B$12,2),1),G2069*M2069*IF(E2069="FUTURE",VLOOKUP(MID(I2069,2,2),[1]Futures!$A$2:$B$12,2),1)))</f>
        <v>0</v>
      </c>
      <c r="R2069" s="12" t="str">
        <f>IFERROR(Q2069/P2069/IF(E2069="FUTURE",VLOOKUP(MID(I2069,2,2),[1]Futures!$A$2:$B$12,2),1),"")</f>
        <v/>
      </c>
      <c r="S2069" s="13">
        <f>IF(AND(H2069="TO CLOSE",P2069=0),-G2069*(M2069-R2068)*IF(E2069="FUTURE",VLOOKUP(MID(I2069,2,2),[1]Futures!$A$2:$B$12,2),1),"")</f>
        <v>12.5</v>
      </c>
    </row>
    <row r="2070" spans="1:19" x14ac:dyDescent="0.2">
      <c r="A2070">
        <f t="shared" si="98"/>
        <v>671</v>
      </c>
      <c r="B2070" s="3">
        <v>44026</v>
      </c>
      <c r="C2070" s="3" t="str">
        <f t="shared" si="97"/>
        <v>Tuesday</v>
      </c>
      <c r="D2070" s="2">
        <v>0.45003472222222224</v>
      </c>
      <c r="E2070" t="s">
        <v>14</v>
      </c>
      <c r="F2070" t="s">
        <v>19</v>
      </c>
      <c r="G2070">
        <v>1</v>
      </c>
      <c r="H2070" t="s">
        <v>20</v>
      </c>
      <c r="I2070" t="s">
        <v>79</v>
      </c>
      <c r="J2070" s="1">
        <v>44094</v>
      </c>
      <c r="L2070" t="s">
        <v>14</v>
      </c>
      <c r="M2070">
        <v>3154</v>
      </c>
      <c r="N2070">
        <v>3154</v>
      </c>
      <c r="O2070" t="s">
        <v>24</v>
      </c>
      <c r="P2070">
        <f t="shared" si="99"/>
        <v>1</v>
      </c>
      <c r="Q2070" s="11">
        <f>IF(P2070=0,0,IFERROR(Q2069+G2070*M2070*IF(E2070="FUTURE",VLOOKUP(MID(I2070,2,2),[1]Futures!$A$2:$B$12,2),1),G2070*M2070*IF(E2070="FUTURE",VLOOKUP(MID(I2070,2,2),[1]Futures!$A$2:$B$12,2),1)))</f>
        <v>157700</v>
      </c>
      <c r="R2070" s="12">
        <f>IFERROR(Q2070/P2070/IF(E2070="FUTURE",VLOOKUP(MID(I2070,2,2),[1]Futures!$A$2:$B$12,2),1),"")</f>
        <v>3154</v>
      </c>
      <c r="S2070" s="13" t="str">
        <f>IF(AND(H2070="TO CLOSE",P2070=0),-G2070*(M2070-R2069)*IF(E2070="FUTURE",VLOOKUP(MID(I2070,2,2),[1]Futures!$A$2:$B$12,2),1),"")</f>
        <v/>
      </c>
    </row>
    <row r="2071" spans="1:19" x14ac:dyDescent="0.2">
      <c r="A2071">
        <f t="shared" si="98"/>
        <v>671</v>
      </c>
      <c r="B2071" s="3">
        <v>44026</v>
      </c>
      <c r="C2071" s="3" t="str">
        <f t="shared" si="97"/>
        <v>Tuesday</v>
      </c>
      <c r="D2071" s="2">
        <v>0.45027777777777778</v>
      </c>
      <c r="E2071" t="s">
        <v>14</v>
      </c>
      <c r="F2071" t="s">
        <v>15</v>
      </c>
      <c r="G2071">
        <v>-1</v>
      </c>
      <c r="H2071" t="s">
        <v>16</v>
      </c>
      <c r="I2071" t="s">
        <v>79</v>
      </c>
      <c r="J2071" s="1">
        <v>44094</v>
      </c>
      <c r="L2071" t="s">
        <v>14</v>
      </c>
      <c r="M2071">
        <v>3156</v>
      </c>
      <c r="N2071">
        <v>3156</v>
      </c>
      <c r="O2071" t="s">
        <v>21</v>
      </c>
      <c r="P2071">
        <f t="shared" si="99"/>
        <v>0</v>
      </c>
      <c r="Q2071" s="11">
        <f>IF(P2071=0,0,IFERROR(Q2070+G2071*M2071*IF(E2071="FUTURE",VLOOKUP(MID(I2071,2,2),[1]Futures!$A$2:$B$12,2),1),G2071*M2071*IF(E2071="FUTURE",VLOOKUP(MID(I2071,2,2),[1]Futures!$A$2:$B$12,2),1)))</f>
        <v>0</v>
      </c>
      <c r="R2071" s="12" t="str">
        <f>IFERROR(Q2071/P2071/IF(E2071="FUTURE",VLOOKUP(MID(I2071,2,2),[1]Futures!$A$2:$B$12,2),1),"")</f>
        <v/>
      </c>
      <c r="S2071" s="13">
        <f>IF(AND(H2071="TO CLOSE",P2071=0),-G2071*(M2071-R2070)*IF(E2071="FUTURE",VLOOKUP(MID(I2071,2,2),[1]Futures!$A$2:$B$12,2),1),"")</f>
        <v>100</v>
      </c>
    </row>
    <row r="2072" spans="1:19" x14ac:dyDescent="0.2">
      <c r="A2072">
        <f t="shared" si="98"/>
        <v>672</v>
      </c>
      <c r="B2072" s="3">
        <v>44026</v>
      </c>
      <c r="C2072" s="3" t="str">
        <f t="shared" si="97"/>
        <v>Tuesday</v>
      </c>
      <c r="D2072" s="2">
        <v>0.4722337962962963</v>
      </c>
      <c r="E2072" t="s">
        <v>14</v>
      </c>
      <c r="F2072" t="s">
        <v>19</v>
      </c>
      <c r="G2072">
        <v>1</v>
      </c>
      <c r="H2072" t="s">
        <v>20</v>
      </c>
      <c r="I2072" t="s">
        <v>79</v>
      </c>
      <c r="J2072" s="1">
        <v>44094</v>
      </c>
      <c r="L2072" t="s">
        <v>14</v>
      </c>
      <c r="M2072">
        <v>3154</v>
      </c>
      <c r="N2072">
        <v>3154</v>
      </c>
      <c r="O2072" t="s">
        <v>21</v>
      </c>
      <c r="P2072">
        <f t="shared" si="99"/>
        <v>1</v>
      </c>
      <c r="Q2072" s="11">
        <f>IF(P2072=0,0,IFERROR(Q2071+G2072*M2072*IF(E2072="FUTURE",VLOOKUP(MID(I2072,2,2),[1]Futures!$A$2:$B$12,2),1),G2072*M2072*IF(E2072="FUTURE",VLOOKUP(MID(I2072,2,2),[1]Futures!$A$2:$B$12,2),1)))</f>
        <v>157700</v>
      </c>
      <c r="R2072" s="12">
        <f>IFERROR(Q2072/P2072/IF(E2072="FUTURE",VLOOKUP(MID(I2072,2,2),[1]Futures!$A$2:$B$12,2),1),"")</f>
        <v>3154</v>
      </c>
      <c r="S2072" s="13" t="str">
        <f>IF(AND(H2072="TO CLOSE",P2072=0),-G2072*(M2072-R2071)*IF(E2072="FUTURE",VLOOKUP(MID(I2072,2,2),[1]Futures!$A$2:$B$12,2),1),"")</f>
        <v/>
      </c>
    </row>
    <row r="2073" spans="1:19" x14ac:dyDescent="0.2">
      <c r="A2073">
        <f t="shared" si="98"/>
        <v>672</v>
      </c>
      <c r="B2073" s="3">
        <v>44026</v>
      </c>
      <c r="C2073" s="3" t="str">
        <f t="shared" si="97"/>
        <v>Tuesday</v>
      </c>
      <c r="D2073" s="2">
        <v>0.4725347222222222</v>
      </c>
      <c r="E2073" t="s">
        <v>14</v>
      </c>
      <c r="F2073" t="s">
        <v>15</v>
      </c>
      <c r="G2073">
        <v>-1</v>
      </c>
      <c r="H2073" t="s">
        <v>16</v>
      </c>
      <c r="I2073" t="s">
        <v>79</v>
      </c>
      <c r="J2073" s="1">
        <v>44094</v>
      </c>
      <c r="L2073" t="s">
        <v>14</v>
      </c>
      <c r="M2073">
        <v>3157</v>
      </c>
      <c r="N2073">
        <v>3157</v>
      </c>
      <c r="O2073" t="s">
        <v>21</v>
      </c>
      <c r="P2073">
        <f t="shared" si="99"/>
        <v>0</v>
      </c>
      <c r="Q2073" s="11">
        <f>IF(P2073=0,0,IFERROR(Q2072+G2073*M2073*IF(E2073="FUTURE",VLOOKUP(MID(I2073,2,2),[1]Futures!$A$2:$B$12,2),1),G2073*M2073*IF(E2073="FUTURE",VLOOKUP(MID(I2073,2,2),[1]Futures!$A$2:$B$12,2),1)))</f>
        <v>0</v>
      </c>
      <c r="R2073" s="12" t="str">
        <f>IFERROR(Q2073/P2073/IF(E2073="FUTURE",VLOOKUP(MID(I2073,2,2),[1]Futures!$A$2:$B$12,2),1),"")</f>
        <v/>
      </c>
      <c r="S2073" s="13">
        <f>IF(AND(H2073="TO CLOSE",P2073=0),-G2073*(M2073-R2072)*IF(E2073="FUTURE",VLOOKUP(MID(I2073,2,2),[1]Futures!$A$2:$B$12,2),1),"")</f>
        <v>150</v>
      </c>
    </row>
    <row r="2074" spans="1:19" x14ac:dyDescent="0.2">
      <c r="A2074">
        <f t="shared" si="98"/>
        <v>673</v>
      </c>
      <c r="B2074" s="3">
        <v>44026</v>
      </c>
      <c r="C2074" s="3" t="str">
        <f t="shared" si="97"/>
        <v>Tuesday</v>
      </c>
      <c r="D2074" s="2">
        <v>0.49436342592592591</v>
      </c>
      <c r="E2074" t="s">
        <v>14</v>
      </c>
      <c r="F2074" t="s">
        <v>15</v>
      </c>
      <c r="G2074">
        <v>-1</v>
      </c>
      <c r="H2074" t="s">
        <v>20</v>
      </c>
      <c r="I2074" t="s">
        <v>79</v>
      </c>
      <c r="J2074" s="1">
        <v>44094</v>
      </c>
      <c r="L2074" t="s">
        <v>14</v>
      </c>
      <c r="M2074">
        <v>3162</v>
      </c>
      <c r="N2074">
        <v>3162</v>
      </c>
      <c r="O2074" t="s">
        <v>21</v>
      </c>
      <c r="P2074">
        <f t="shared" si="99"/>
        <v>-1</v>
      </c>
      <c r="Q2074" s="11">
        <f>IF(P2074=0,0,IFERROR(Q2073+G2074*M2074*IF(E2074="FUTURE",VLOOKUP(MID(I2074,2,2),[1]Futures!$A$2:$B$12,2),1),G2074*M2074*IF(E2074="FUTURE",VLOOKUP(MID(I2074,2,2),[1]Futures!$A$2:$B$12,2),1)))</f>
        <v>-158100</v>
      </c>
      <c r="R2074" s="12">
        <f>IFERROR(Q2074/P2074/IF(E2074="FUTURE",VLOOKUP(MID(I2074,2,2),[1]Futures!$A$2:$B$12,2),1),"")</f>
        <v>3162</v>
      </c>
      <c r="S2074" s="13" t="str">
        <f>IF(AND(H2074="TO CLOSE",P2074=0),-G2074*(M2074-R2073)*IF(E2074="FUTURE",VLOOKUP(MID(I2074,2,2),[1]Futures!$A$2:$B$12,2),1),"")</f>
        <v/>
      </c>
    </row>
    <row r="2075" spans="1:19" x14ac:dyDescent="0.2">
      <c r="A2075">
        <f t="shared" si="98"/>
        <v>673</v>
      </c>
      <c r="B2075" s="3">
        <v>44026</v>
      </c>
      <c r="C2075" s="3" t="str">
        <f t="shared" si="97"/>
        <v>Tuesday</v>
      </c>
      <c r="D2075" s="2">
        <v>0.49464120370370374</v>
      </c>
      <c r="E2075" t="s">
        <v>14</v>
      </c>
      <c r="F2075" t="s">
        <v>19</v>
      </c>
      <c r="G2075">
        <v>1</v>
      </c>
      <c r="H2075" t="s">
        <v>16</v>
      </c>
      <c r="I2075" t="s">
        <v>79</v>
      </c>
      <c r="J2075" s="1">
        <v>44094</v>
      </c>
      <c r="L2075" t="s">
        <v>14</v>
      </c>
      <c r="M2075">
        <v>3160.75</v>
      </c>
      <c r="N2075">
        <v>3160.75</v>
      </c>
      <c r="O2075" t="s">
        <v>21</v>
      </c>
      <c r="P2075">
        <f t="shared" si="99"/>
        <v>0</v>
      </c>
      <c r="Q2075" s="11">
        <f>IF(P2075=0,0,IFERROR(Q2074+G2075*M2075*IF(E2075="FUTURE",VLOOKUP(MID(I2075,2,2),[1]Futures!$A$2:$B$12,2),1),G2075*M2075*IF(E2075="FUTURE",VLOOKUP(MID(I2075,2,2),[1]Futures!$A$2:$B$12,2),1)))</f>
        <v>0</v>
      </c>
      <c r="R2075" s="12" t="str">
        <f>IFERROR(Q2075/P2075/IF(E2075="FUTURE",VLOOKUP(MID(I2075,2,2),[1]Futures!$A$2:$B$12,2),1),"")</f>
        <v/>
      </c>
      <c r="S2075" s="13">
        <f>IF(AND(H2075="TO CLOSE",P2075=0),-G2075*(M2075-R2074)*IF(E2075="FUTURE",VLOOKUP(MID(I2075,2,2),[1]Futures!$A$2:$B$12,2),1),"")</f>
        <v>62.5</v>
      </c>
    </row>
    <row r="2076" spans="1:19" x14ac:dyDescent="0.2">
      <c r="A2076">
        <f t="shared" si="98"/>
        <v>674</v>
      </c>
      <c r="B2076" s="3">
        <v>44026</v>
      </c>
      <c r="C2076" s="3" t="str">
        <f t="shared" si="97"/>
        <v>Tuesday</v>
      </c>
      <c r="D2076" s="2">
        <v>0.51442129629629629</v>
      </c>
      <c r="E2076" t="s">
        <v>14</v>
      </c>
      <c r="F2076" t="s">
        <v>19</v>
      </c>
      <c r="G2076">
        <v>1</v>
      </c>
      <c r="H2076" t="s">
        <v>20</v>
      </c>
      <c r="I2076" t="s">
        <v>79</v>
      </c>
      <c r="J2076" s="1">
        <v>44094</v>
      </c>
      <c r="L2076" t="s">
        <v>14</v>
      </c>
      <c r="M2076">
        <v>3163.75</v>
      </c>
      <c r="N2076">
        <v>3163.75</v>
      </c>
      <c r="O2076" t="s">
        <v>24</v>
      </c>
      <c r="P2076">
        <f t="shared" si="99"/>
        <v>1</v>
      </c>
      <c r="Q2076" s="11">
        <f>IF(P2076=0,0,IFERROR(Q2075+G2076*M2076*IF(E2076="FUTURE",VLOOKUP(MID(I2076,2,2),[1]Futures!$A$2:$B$12,2),1),G2076*M2076*IF(E2076="FUTURE",VLOOKUP(MID(I2076,2,2),[1]Futures!$A$2:$B$12,2),1)))</f>
        <v>158187.5</v>
      </c>
      <c r="R2076" s="12">
        <f>IFERROR(Q2076/P2076/IF(E2076="FUTURE",VLOOKUP(MID(I2076,2,2),[1]Futures!$A$2:$B$12,2),1),"")</f>
        <v>3163.75</v>
      </c>
      <c r="S2076" s="13" t="str">
        <f>IF(AND(H2076="TO CLOSE",P2076=0),-G2076*(M2076-R2075)*IF(E2076="FUTURE",VLOOKUP(MID(I2076,2,2),[1]Futures!$A$2:$B$12,2),1),"")</f>
        <v/>
      </c>
    </row>
    <row r="2077" spans="1:19" x14ac:dyDescent="0.2">
      <c r="A2077">
        <f t="shared" si="98"/>
        <v>674</v>
      </c>
      <c r="B2077" s="3">
        <v>44026</v>
      </c>
      <c r="C2077" s="3" t="str">
        <f t="shared" si="97"/>
        <v>Tuesday</v>
      </c>
      <c r="D2077" s="2">
        <v>0.51530092592592591</v>
      </c>
      <c r="E2077" t="s">
        <v>14</v>
      </c>
      <c r="F2077" t="s">
        <v>15</v>
      </c>
      <c r="G2077">
        <v>-1</v>
      </c>
      <c r="H2077" t="s">
        <v>16</v>
      </c>
      <c r="I2077" t="s">
        <v>79</v>
      </c>
      <c r="J2077" s="1">
        <v>44094</v>
      </c>
      <c r="L2077" t="s">
        <v>14</v>
      </c>
      <c r="M2077">
        <v>3164.75</v>
      </c>
      <c r="N2077">
        <v>3164.75</v>
      </c>
      <c r="O2077" t="s">
        <v>21</v>
      </c>
      <c r="P2077">
        <f t="shared" si="99"/>
        <v>0</v>
      </c>
      <c r="Q2077" s="11">
        <f>IF(P2077=0,0,IFERROR(Q2076+G2077*M2077*IF(E2077="FUTURE",VLOOKUP(MID(I2077,2,2),[1]Futures!$A$2:$B$12,2),1),G2077*M2077*IF(E2077="FUTURE",VLOOKUP(MID(I2077,2,2),[1]Futures!$A$2:$B$12,2),1)))</f>
        <v>0</v>
      </c>
      <c r="R2077" s="12" t="str">
        <f>IFERROR(Q2077/P2077/IF(E2077="FUTURE",VLOOKUP(MID(I2077,2,2),[1]Futures!$A$2:$B$12,2),1),"")</f>
        <v/>
      </c>
      <c r="S2077" s="13">
        <f>IF(AND(H2077="TO CLOSE",P2077=0),-G2077*(M2077-R2076)*IF(E2077="FUTURE",VLOOKUP(MID(I2077,2,2),[1]Futures!$A$2:$B$12,2),1),"")</f>
        <v>50</v>
      </c>
    </row>
    <row r="2078" spans="1:19" x14ac:dyDescent="0.2">
      <c r="A2078">
        <f t="shared" si="98"/>
        <v>675</v>
      </c>
      <c r="B2078" s="3">
        <v>44026</v>
      </c>
      <c r="C2078" s="3" t="str">
        <f t="shared" si="97"/>
        <v>Tuesday</v>
      </c>
      <c r="D2078" s="2">
        <v>0.44598379629629631</v>
      </c>
      <c r="E2078" t="s">
        <v>22</v>
      </c>
      <c r="F2078" t="s">
        <v>15</v>
      </c>
      <c r="G2078">
        <v>-133</v>
      </c>
      <c r="H2078" t="s">
        <v>20</v>
      </c>
      <c r="I2078" t="s">
        <v>23</v>
      </c>
      <c r="L2078" t="s">
        <v>22</v>
      </c>
      <c r="M2078">
        <v>34.390099999999997</v>
      </c>
      <c r="N2078">
        <v>34.390079999999998</v>
      </c>
      <c r="O2078" t="s">
        <v>24</v>
      </c>
      <c r="P2078">
        <f t="shared" si="99"/>
        <v>-133</v>
      </c>
      <c r="Q2078" s="11">
        <f>IF(P2078=0,0,IFERROR(Q2077+G2078*M2078*IF(E2078="FUTURE",VLOOKUP(MID(I2078,2,2),[1]Futures!$A$2:$B$12,2),1),G2078*M2078*IF(E2078="FUTURE",VLOOKUP(MID(I2078,2,2),[1]Futures!$A$2:$B$12,2),1)))</f>
        <v>-4573.8832999999995</v>
      </c>
      <c r="R2078" s="12">
        <f>IFERROR(Q2078/P2078/IF(E2078="FUTURE",VLOOKUP(MID(I2078,2,2),[1]Futures!$A$2:$B$12,2),1),"")</f>
        <v>34.390099999999997</v>
      </c>
      <c r="S2078" s="13" t="str">
        <f>IF(AND(H2078="TO CLOSE",P2078=0),-G2078*(M2078-R2077)*IF(E2078="FUTURE",VLOOKUP(MID(I2078,2,2),[1]Futures!$A$2:$B$12,2),1),"")</f>
        <v/>
      </c>
    </row>
    <row r="2079" spans="1:19" x14ac:dyDescent="0.2">
      <c r="A2079">
        <f t="shared" si="98"/>
        <v>675</v>
      </c>
      <c r="B2079" s="3">
        <v>44026</v>
      </c>
      <c r="C2079" s="3" t="str">
        <f t="shared" si="97"/>
        <v>Tuesday</v>
      </c>
      <c r="D2079" s="2">
        <v>0.44598379629629631</v>
      </c>
      <c r="E2079" t="s">
        <v>22</v>
      </c>
      <c r="F2079" t="s">
        <v>15</v>
      </c>
      <c r="G2079">
        <v>-100</v>
      </c>
      <c r="H2079" t="s">
        <v>20</v>
      </c>
      <c r="I2079" t="s">
        <v>23</v>
      </c>
      <c r="L2079" t="s">
        <v>22</v>
      </c>
      <c r="M2079">
        <v>34.390099999999997</v>
      </c>
      <c r="N2079">
        <v>34.390099999999997</v>
      </c>
      <c r="O2079" t="s">
        <v>24</v>
      </c>
      <c r="P2079">
        <f t="shared" si="99"/>
        <v>-233</v>
      </c>
      <c r="Q2079" s="11">
        <f>IF(P2079=0,0,IFERROR(Q2078+G2079*M2079*IF(E2079="FUTURE",VLOOKUP(MID(I2079,2,2),[1]Futures!$A$2:$B$12,2),1),G2079*M2079*IF(E2079="FUTURE",VLOOKUP(MID(I2079,2,2),[1]Futures!$A$2:$B$12,2),1)))</f>
        <v>-8012.8932999999997</v>
      </c>
      <c r="R2079" s="12">
        <f>IFERROR(Q2079/P2079/IF(E2079="FUTURE",VLOOKUP(MID(I2079,2,2),[1]Futures!$A$2:$B$12,2),1),"")</f>
        <v>34.390099999999997</v>
      </c>
      <c r="S2079" s="13" t="str">
        <f>IF(AND(H2079="TO CLOSE",P2079=0),-G2079*(M2079-R2078)*IF(E2079="FUTURE",VLOOKUP(MID(I2079,2,2),[1]Futures!$A$2:$B$12,2),1),"")</f>
        <v/>
      </c>
    </row>
    <row r="2080" spans="1:19" x14ac:dyDescent="0.2">
      <c r="A2080">
        <f t="shared" si="98"/>
        <v>675</v>
      </c>
      <c r="B2080" s="3">
        <v>44026</v>
      </c>
      <c r="C2080" s="3" t="str">
        <f t="shared" si="97"/>
        <v>Tuesday</v>
      </c>
      <c r="D2080" s="2">
        <v>0.44598379629629631</v>
      </c>
      <c r="E2080" t="s">
        <v>22</v>
      </c>
      <c r="F2080" t="s">
        <v>15</v>
      </c>
      <c r="G2080">
        <v>-67</v>
      </c>
      <c r="H2080" t="s">
        <v>20</v>
      </c>
      <c r="I2080" t="s">
        <v>23</v>
      </c>
      <c r="L2080" t="s">
        <v>22</v>
      </c>
      <c r="M2080">
        <v>34.390099999999997</v>
      </c>
      <c r="N2080">
        <v>34.390149999999998</v>
      </c>
      <c r="O2080" t="s">
        <v>24</v>
      </c>
      <c r="P2080">
        <f t="shared" si="99"/>
        <v>-300</v>
      </c>
      <c r="Q2080" s="11">
        <f>IF(P2080=0,0,IFERROR(Q2079+G2080*M2080*IF(E2080="FUTURE",VLOOKUP(MID(I2080,2,2),[1]Futures!$A$2:$B$12,2),1),G2080*M2080*IF(E2080="FUTURE",VLOOKUP(MID(I2080,2,2),[1]Futures!$A$2:$B$12,2),1)))</f>
        <v>-10317.029999999999</v>
      </c>
      <c r="R2080" s="12">
        <f>IFERROR(Q2080/P2080/IF(E2080="FUTURE",VLOOKUP(MID(I2080,2,2),[1]Futures!$A$2:$B$12,2),1),"")</f>
        <v>34.390099999999997</v>
      </c>
      <c r="S2080" s="13" t="str">
        <f>IF(AND(H2080="TO CLOSE",P2080=0),-G2080*(M2080-R2079)*IF(E2080="FUTURE",VLOOKUP(MID(I2080,2,2),[1]Futures!$A$2:$B$12,2),1),"")</f>
        <v/>
      </c>
    </row>
    <row r="2081" spans="1:19" x14ac:dyDescent="0.2">
      <c r="A2081">
        <f t="shared" si="98"/>
        <v>675</v>
      </c>
      <c r="B2081" s="3">
        <v>44026</v>
      </c>
      <c r="C2081" s="3" t="str">
        <f t="shared" si="97"/>
        <v>Tuesday</v>
      </c>
      <c r="D2081" s="2">
        <v>0.45050925925925928</v>
      </c>
      <c r="E2081" t="s">
        <v>22</v>
      </c>
      <c r="F2081" t="s">
        <v>19</v>
      </c>
      <c r="G2081">
        <v>300</v>
      </c>
      <c r="H2081" t="s">
        <v>16</v>
      </c>
      <c r="I2081" t="s">
        <v>23</v>
      </c>
      <c r="L2081" t="s">
        <v>22</v>
      </c>
      <c r="M2081">
        <v>34.19</v>
      </c>
      <c r="N2081">
        <v>34.19</v>
      </c>
      <c r="O2081" t="s">
        <v>18</v>
      </c>
      <c r="P2081">
        <f t="shared" si="99"/>
        <v>0</v>
      </c>
      <c r="Q2081" s="11">
        <f>IF(P2081=0,0,IFERROR(Q2080+G2081*M2081*IF(E2081="FUTURE",VLOOKUP(MID(I2081,2,2),[1]Futures!$A$2:$B$12,2),1),G2081*M2081*IF(E2081="FUTURE",VLOOKUP(MID(I2081,2,2),[1]Futures!$A$2:$B$12,2),1)))</f>
        <v>0</v>
      </c>
      <c r="R2081" s="12" t="str">
        <f>IFERROR(Q2081/P2081/IF(E2081="FUTURE",VLOOKUP(MID(I2081,2,2),[1]Futures!$A$2:$B$12,2),1),"")</f>
        <v/>
      </c>
      <c r="S2081" s="13">
        <f>IF(AND(H2081="TO CLOSE",P2081=0),-G2081*(M2081-R2080)*IF(E2081="FUTURE",VLOOKUP(MID(I2081,2,2),[1]Futures!$A$2:$B$12,2),1),"")</f>
        <v>60.029999999999717</v>
      </c>
    </row>
    <row r="2082" spans="1:19" x14ac:dyDescent="0.2">
      <c r="A2082">
        <f t="shared" si="98"/>
        <v>676</v>
      </c>
      <c r="B2082" s="3">
        <v>44027</v>
      </c>
      <c r="C2082" s="3" t="str">
        <f t="shared" si="97"/>
        <v>Wednesday</v>
      </c>
      <c r="D2082" s="2">
        <v>0.4375</v>
      </c>
      <c r="E2082" t="s">
        <v>14</v>
      </c>
      <c r="F2082" t="s">
        <v>19</v>
      </c>
      <c r="G2082">
        <v>1</v>
      </c>
      <c r="H2082" t="s">
        <v>20</v>
      </c>
      <c r="I2082" t="s">
        <v>77</v>
      </c>
      <c r="J2082" s="1">
        <v>44063</v>
      </c>
      <c r="L2082" t="s">
        <v>14</v>
      </c>
      <c r="M2082">
        <v>40.619999999999997</v>
      </c>
      <c r="N2082">
        <v>40.619999999999997</v>
      </c>
      <c r="O2082" t="s">
        <v>18</v>
      </c>
      <c r="P2082">
        <f t="shared" si="99"/>
        <v>1</v>
      </c>
      <c r="Q2082" s="11">
        <f>IF(P2082=0,0,IFERROR(Q2081+G2082*M2082*IF(E2082="FUTURE",VLOOKUP(MID(I2082,2,2),[1]Futures!$A$2:$B$12,2),1),G2082*M2082*IF(E2082="FUTURE",VLOOKUP(MID(I2082,2,2),[1]Futures!$A$2:$B$12,2),1)))</f>
        <v>40620</v>
      </c>
      <c r="R2082" s="12">
        <f>IFERROR(Q2082/P2082/IF(E2082="FUTURE",VLOOKUP(MID(I2082,2,2),[1]Futures!$A$2:$B$12,2),1),"")</f>
        <v>40.619999999999997</v>
      </c>
      <c r="S2082" s="13" t="str">
        <f>IF(AND(H2082="TO CLOSE",P2082=0),-G2082*(M2082-R2081)*IF(E2082="FUTURE",VLOOKUP(MID(I2082,2,2),[1]Futures!$A$2:$B$12,2),1),"")</f>
        <v/>
      </c>
    </row>
    <row r="2083" spans="1:19" x14ac:dyDescent="0.2">
      <c r="A2083">
        <f t="shared" si="98"/>
        <v>676</v>
      </c>
      <c r="B2083" s="3">
        <v>44027</v>
      </c>
      <c r="C2083" s="3" t="str">
        <f t="shared" si="97"/>
        <v>Wednesday</v>
      </c>
      <c r="D2083" s="2">
        <v>0.44090277777777781</v>
      </c>
      <c r="E2083" t="s">
        <v>14</v>
      </c>
      <c r="F2083" t="s">
        <v>15</v>
      </c>
      <c r="G2083">
        <v>-1</v>
      </c>
      <c r="H2083" t="s">
        <v>16</v>
      </c>
      <c r="I2083" t="s">
        <v>77</v>
      </c>
      <c r="J2083" s="1">
        <v>44063</v>
      </c>
      <c r="L2083" t="s">
        <v>14</v>
      </c>
      <c r="M2083">
        <v>40.67</v>
      </c>
      <c r="N2083">
        <v>40.67</v>
      </c>
      <c r="O2083" t="s">
        <v>21</v>
      </c>
      <c r="P2083">
        <f t="shared" si="99"/>
        <v>0</v>
      </c>
      <c r="Q2083" s="11">
        <f>IF(P2083=0,0,IFERROR(Q2082+G2083*M2083*IF(E2083="FUTURE",VLOOKUP(MID(I2083,2,2),[1]Futures!$A$2:$B$12,2),1),G2083*M2083*IF(E2083="FUTURE",VLOOKUP(MID(I2083,2,2),[1]Futures!$A$2:$B$12,2),1)))</f>
        <v>0</v>
      </c>
      <c r="R2083" s="12" t="str">
        <f>IFERROR(Q2083/P2083/IF(E2083="FUTURE",VLOOKUP(MID(I2083,2,2),[1]Futures!$A$2:$B$12,2),1),"")</f>
        <v/>
      </c>
      <c r="S2083" s="13">
        <f>IF(AND(H2083="TO CLOSE",P2083=0),-G2083*(M2083-R2082)*IF(E2083="FUTURE",VLOOKUP(MID(I2083,2,2),[1]Futures!$A$2:$B$12,2),1),"")</f>
        <v>50.000000000004263</v>
      </c>
    </row>
    <row r="2084" spans="1:19" x14ac:dyDescent="0.2">
      <c r="A2084">
        <f t="shared" si="98"/>
        <v>677</v>
      </c>
      <c r="B2084" s="3">
        <v>44027</v>
      </c>
      <c r="C2084" s="3" t="str">
        <f t="shared" si="97"/>
        <v>Wednesday</v>
      </c>
      <c r="D2084" s="2">
        <v>0.45853009259259259</v>
      </c>
      <c r="E2084" t="s">
        <v>14</v>
      </c>
      <c r="F2084" t="s">
        <v>19</v>
      </c>
      <c r="G2084">
        <v>1</v>
      </c>
      <c r="H2084" t="s">
        <v>20</v>
      </c>
      <c r="I2084" t="s">
        <v>77</v>
      </c>
      <c r="J2084" s="1">
        <v>44063</v>
      </c>
      <c r="L2084" t="s">
        <v>14</v>
      </c>
      <c r="M2084">
        <v>40.869999999999997</v>
      </c>
      <c r="N2084">
        <v>40.869999999999997</v>
      </c>
      <c r="O2084" t="s">
        <v>24</v>
      </c>
      <c r="P2084">
        <f t="shared" si="99"/>
        <v>1</v>
      </c>
      <c r="Q2084" s="11">
        <f>IF(P2084=0,0,IFERROR(Q2083+G2084*M2084*IF(E2084="FUTURE",VLOOKUP(MID(I2084,2,2),[1]Futures!$A$2:$B$12,2),1),G2084*M2084*IF(E2084="FUTURE",VLOOKUP(MID(I2084,2,2),[1]Futures!$A$2:$B$12,2),1)))</f>
        <v>40870</v>
      </c>
      <c r="R2084" s="12">
        <f>IFERROR(Q2084/P2084/IF(E2084="FUTURE",VLOOKUP(MID(I2084,2,2),[1]Futures!$A$2:$B$12,2),1),"")</f>
        <v>40.869999999999997</v>
      </c>
      <c r="S2084" s="13" t="str">
        <f>IF(AND(H2084="TO CLOSE",P2084=0),-G2084*(M2084-R2083)*IF(E2084="FUTURE",VLOOKUP(MID(I2084,2,2),[1]Futures!$A$2:$B$12,2),1),"")</f>
        <v/>
      </c>
    </row>
    <row r="2085" spans="1:19" x14ac:dyDescent="0.2">
      <c r="A2085">
        <f t="shared" si="98"/>
        <v>677</v>
      </c>
      <c r="B2085" s="3">
        <v>44027</v>
      </c>
      <c r="C2085" s="3" t="str">
        <f t="shared" si="97"/>
        <v>Wednesday</v>
      </c>
      <c r="D2085" s="2">
        <v>0.46216435185185184</v>
      </c>
      <c r="E2085" t="s">
        <v>14</v>
      </c>
      <c r="F2085" t="s">
        <v>15</v>
      </c>
      <c r="G2085">
        <v>-1</v>
      </c>
      <c r="H2085" t="s">
        <v>16</v>
      </c>
      <c r="I2085" t="s">
        <v>77</v>
      </c>
      <c r="J2085" s="1">
        <v>44063</v>
      </c>
      <c r="L2085" t="s">
        <v>14</v>
      </c>
      <c r="M2085">
        <v>40.880000000000003</v>
      </c>
      <c r="N2085">
        <v>40.880000000000003</v>
      </c>
      <c r="O2085" t="s">
        <v>21</v>
      </c>
      <c r="P2085">
        <f t="shared" si="99"/>
        <v>0</v>
      </c>
      <c r="Q2085" s="11">
        <f>IF(P2085=0,0,IFERROR(Q2084+G2085*M2085*IF(E2085="FUTURE",VLOOKUP(MID(I2085,2,2),[1]Futures!$A$2:$B$12,2),1),G2085*M2085*IF(E2085="FUTURE",VLOOKUP(MID(I2085,2,2),[1]Futures!$A$2:$B$12,2),1)))</f>
        <v>0</v>
      </c>
      <c r="R2085" s="12" t="str">
        <f>IFERROR(Q2085/P2085/IF(E2085="FUTURE",VLOOKUP(MID(I2085,2,2),[1]Futures!$A$2:$B$12,2),1),"")</f>
        <v/>
      </c>
      <c r="S2085" s="13">
        <f>IF(AND(H2085="TO CLOSE",P2085=0),-G2085*(M2085-R2084)*IF(E2085="FUTURE",VLOOKUP(MID(I2085,2,2),[1]Futures!$A$2:$B$12,2),1),"")</f>
        <v>10.000000000005116</v>
      </c>
    </row>
    <row r="2086" spans="1:19" x14ac:dyDescent="0.2">
      <c r="A2086">
        <f t="shared" si="98"/>
        <v>678</v>
      </c>
      <c r="B2086" s="3">
        <v>44027</v>
      </c>
      <c r="C2086" s="3" t="str">
        <f t="shared" si="97"/>
        <v>Wednesday</v>
      </c>
      <c r="D2086" s="2">
        <v>0.47846064814814815</v>
      </c>
      <c r="E2086" t="s">
        <v>14</v>
      </c>
      <c r="F2086" t="s">
        <v>19</v>
      </c>
      <c r="G2086">
        <v>1</v>
      </c>
      <c r="H2086" t="s">
        <v>20</v>
      </c>
      <c r="I2086" t="s">
        <v>77</v>
      </c>
      <c r="J2086" s="1">
        <v>44063</v>
      </c>
      <c r="L2086" t="s">
        <v>14</v>
      </c>
      <c r="M2086">
        <v>40.89</v>
      </c>
      <c r="N2086">
        <v>40.89</v>
      </c>
      <c r="O2086" t="s">
        <v>24</v>
      </c>
      <c r="P2086">
        <f t="shared" si="99"/>
        <v>1</v>
      </c>
      <c r="Q2086" s="11">
        <f>IF(P2086=0,0,IFERROR(Q2085+G2086*M2086*IF(E2086="FUTURE",VLOOKUP(MID(I2086,2,2),[1]Futures!$A$2:$B$12,2),1),G2086*M2086*IF(E2086="FUTURE",VLOOKUP(MID(I2086,2,2),[1]Futures!$A$2:$B$12,2),1)))</f>
        <v>40890</v>
      </c>
      <c r="R2086" s="12">
        <f>IFERROR(Q2086/P2086/IF(E2086="FUTURE",VLOOKUP(MID(I2086,2,2),[1]Futures!$A$2:$B$12,2),1),"")</f>
        <v>40.89</v>
      </c>
      <c r="S2086" s="13" t="str">
        <f>IF(AND(H2086="TO CLOSE",P2086=0),-G2086*(M2086-R2085)*IF(E2086="FUTURE",VLOOKUP(MID(I2086,2,2),[1]Futures!$A$2:$B$12,2),1),"")</f>
        <v/>
      </c>
    </row>
    <row r="2087" spans="1:19" x14ac:dyDescent="0.2">
      <c r="A2087">
        <f t="shared" si="98"/>
        <v>678</v>
      </c>
      <c r="B2087" s="3">
        <v>44027</v>
      </c>
      <c r="C2087" s="3" t="str">
        <f t="shared" si="97"/>
        <v>Wednesday</v>
      </c>
      <c r="D2087" s="2">
        <v>0.48324074074074069</v>
      </c>
      <c r="E2087" t="s">
        <v>14</v>
      </c>
      <c r="F2087" t="s">
        <v>15</v>
      </c>
      <c r="G2087">
        <v>-1</v>
      </c>
      <c r="H2087" t="s">
        <v>16</v>
      </c>
      <c r="I2087" t="s">
        <v>77</v>
      </c>
      <c r="J2087" s="1">
        <v>44063</v>
      </c>
      <c r="L2087" t="s">
        <v>14</v>
      </c>
      <c r="M2087">
        <v>40.69</v>
      </c>
      <c r="N2087">
        <v>40.69</v>
      </c>
      <c r="O2087" t="s">
        <v>24</v>
      </c>
      <c r="P2087">
        <f t="shared" si="99"/>
        <v>0</v>
      </c>
      <c r="Q2087" s="11">
        <f>IF(P2087=0,0,IFERROR(Q2086+G2087*M2087*IF(E2087="FUTURE",VLOOKUP(MID(I2087,2,2),[1]Futures!$A$2:$B$12,2),1),G2087*M2087*IF(E2087="FUTURE",VLOOKUP(MID(I2087,2,2),[1]Futures!$A$2:$B$12,2),1)))</f>
        <v>0</v>
      </c>
      <c r="R2087" s="12" t="str">
        <f>IFERROR(Q2087/P2087/IF(E2087="FUTURE",VLOOKUP(MID(I2087,2,2),[1]Futures!$A$2:$B$12,2),1),"")</f>
        <v/>
      </c>
      <c r="S2087" s="13">
        <f>IF(AND(H2087="TO CLOSE",P2087=0),-G2087*(M2087-R2086)*IF(E2087="FUTURE",VLOOKUP(MID(I2087,2,2),[1]Futures!$A$2:$B$12,2),1),"")</f>
        <v>-200.00000000000284</v>
      </c>
    </row>
    <row r="2088" spans="1:19" x14ac:dyDescent="0.2">
      <c r="A2088">
        <f t="shared" si="98"/>
        <v>679</v>
      </c>
      <c r="B2088" s="3">
        <v>44027</v>
      </c>
      <c r="C2088" s="3" t="str">
        <f t="shared" si="97"/>
        <v>Wednesday</v>
      </c>
      <c r="D2088" s="2">
        <v>0.5053819444444444</v>
      </c>
      <c r="E2088" t="s">
        <v>14</v>
      </c>
      <c r="F2088" t="s">
        <v>19</v>
      </c>
      <c r="G2088">
        <v>1</v>
      </c>
      <c r="H2088" t="s">
        <v>20</v>
      </c>
      <c r="I2088" t="s">
        <v>77</v>
      </c>
      <c r="J2088" s="1">
        <v>44063</v>
      </c>
      <c r="L2088" t="s">
        <v>14</v>
      </c>
      <c r="M2088">
        <v>40.64</v>
      </c>
      <c r="N2088">
        <v>40.64</v>
      </c>
      <c r="O2088" t="s">
        <v>21</v>
      </c>
      <c r="P2088">
        <f t="shared" si="99"/>
        <v>1</v>
      </c>
      <c r="Q2088" s="11">
        <f>IF(P2088=0,0,IFERROR(Q2087+G2088*M2088*IF(E2088="FUTURE",VLOOKUP(MID(I2088,2,2),[1]Futures!$A$2:$B$12,2),1),G2088*M2088*IF(E2088="FUTURE",VLOOKUP(MID(I2088,2,2),[1]Futures!$A$2:$B$12,2),1)))</f>
        <v>40640</v>
      </c>
      <c r="R2088" s="12">
        <f>IFERROR(Q2088/P2088/IF(E2088="FUTURE",VLOOKUP(MID(I2088,2,2),[1]Futures!$A$2:$B$12,2),1),"")</f>
        <v>40.64</v>
      </c>
      <c r="S2088" s="13" t="str">
        <f>IF(AND(H2088="TO CLOSE",P2088=0),-G2088*(M2088-R2087)*IF(E2088="FUTURE",VLOOKUP(MID(I2088,2,2),[1]Futures!$A$2:$B$12,2),1),"")</f>
        <v/>
      </c>
    </row>
    <row r="2089" spans="1:19" x14ac:dyDescent="0.2">
      <c r="A2089">
        <f t="shared" si="98"/>
        <v>679</v>
      </c>
      <c r="B2089" s="3">
        <v>44027</v>
      </c>
      <c r="C2089" s="3" t="str">
        <f t="shared" si="97"/>
        <v>Wednesday</v>
      </c>
      <c r="D2089" s="2">
        <v>0.54663194444444441</v>
      </c>
      <c r="E2089" t="s">
        <v>14</v>
      </c>
      <c r="F2089" t="s">
        <v>15</v>
      </c>
      <c r="G2089">
        <v>-1</v>
      </c>
      <c r="H2089" t="s">
        <v>16</v>
      </c>
      <c r="I2089" t="s">
        <v>77</v>
      </c>
      <c r="J2089" s="1">
        <v>44063</v>
      </c>
      <c r="L2089" t="s">
        <v>14</v>
      </c>
      <c r="M2089">
        <v>40.89</v>
      </c>
      <c r="N2089">
        <v>40.89</v>
      </c>
      <c r="O2089" t="s">
        <v>21</v>
      </c>
      <c r="P2089">
        <f t="shared" si="99"/>
        <v>0</v>
      </c>
      <c r="Q2089" s="11">
        <f>IF(P2089=0,0,IFERROR(Q2088+G2089*M2089*IF(E2089="FUTURE",VLOOKUP(MID(I2089,2,2),[1]Futures!$A$2:$B$12,2),1),G2089*M2089*IF(E2089="FUTURE",VLOOKUP(MID(I2089,2,2),[1]Futures!$A$2:$B$12,2),1)))</f>
        <v>0</v>
      </c>
      <c r="R2089" s="12" t="str">
        <f>IFERROR(Q2089/P2089/IF(E2089="FUTURE",VLOOKUP(MID(I2089,2,2),[1]Futures!$A$2:$B$12,2),1),"")</f>
        <v/>
      </c>
      <c r="S2089" s="13">
        <f>IF(AND(H2089="TO CLOSE",P2089=0),-G2089*(M2089-R2088)*IF(E2089="FUTURE",VLOOKUP(MID(I2089,2,2),[1]Futures!$A$2:$B$12,2),1),"")</f>
        <v>250</v>
      </c>
    </row>
    <row r="2090" spans="1:19" x14ac:dyDescent="0.2">
      <c r="A2090">
        <f t="shared" si="98"/>
        <v>680</v>
      </c>
      <c r="B2090" s="3">
        <v>44027</v>
      </c>
      <c r="C2090" s="3" t="str">
        <f t="shared" si="97"/>
        <v>Wednesday</v>
      </c>
      <c r="D2090" s="2">
        <v>0.42299768518518516</v>
      </c>
      <c r="E2090" t="s">
        <v>14</v>
      </c>
      <c r="F2090" t="s">
        <v>19</v>
      </c>
      <c r="G2090">
        <v>1</v>
      </c>
      <c r="H2090" t="s">
        <v>20</v>
      </c>
      <c r="I2090" t="s">
        <v>79</v>
      </c>
      <c r="J2090" s="1">
        <v>44094</v>
      </c>
      <c r="L2090" t="s">
        <v>14</v>
      </c>
      <c r="M2090">
        <v>3217.25</v>
      </c>
      <c r="N2090">
        <v>3217.25</v>
      </c>
      <c r="O2090" t="s">
        <v>21</v>
      </c>
      <c r="P2090">
        <f t="shared" si="99"/>
        <v>1</v>
      </c>
      <c r="Q2090" s="11">
        <f>IF(P2090=0,0,IFERROR(Q2089+G2090*M2090*IF(E2090="FUTURE",VLOOKUP(MID(I2090,2,2),[1]Futures!$A$2:$B$12,2),1),G2090*M2090*IF(E2090="FUTURE",VLOOKUP(MID(I2090,2,2),[1]Futures!$A$2:$B$12,2),1)))</f>
        <v>160862.5</v>
      </c>
      <c r="R2090" s="12">
        <f>IFERROR(Q2090/P2090/IF(E2090="FUTURE",VLOOKUP(MID(I2090,2,2),[1]Futures!$A$2:$B$12,2),1),"")</f>
        <v>3217.25</v>
      </c>
      <c r="S2090" s="13" t="str">
        <f>IF(AND(H2090="TO CLOSE",P2090=0),-G2090*(M2090-R2089)*IF(E2090="FUTURE",VLOOKUP(MID(I2090,2,2),[1]Futures!$A$2:$B$12,2),1),"")</f>
        <v/>
      </c>
    </row>
    <row r="2091" spans="1:19" x14ac:dyDescent="0.2">
      <c r="A2091">
        <f t="shared" si="98"/>
        <v>680</v>
      </c>
      <c r="B2091" s="3">
        <v>44027</v>
      </c>
      <c r="C2091" s="3" t="str">
        <f t="shared" si="97"/>
        <v>Wednesday</v>
      </c>
      <c r="D2091" s="2">
        <v>0.43623842592592593</v>
      </c>
      <c r="E2091" t="s">
        <v>14</v>
      </c>
      <c r="F2091" t="s">
        <v>15</v>
      </c>
      <c r="G2091">
        <v>-1</v>
      </c>
      <c r="H2091" t="s">
        <v>16</v>
      </c>
      <c r="I2091" t="s">
        <v>79</v>
      </c>
      <c r="J2091" s="1">
        <v>44094</v>
      </c>
      <c r="L2091" t="s">
        <v>14</v>
      </c>
      <c r="M2091">
        <v>3222.25</v>
      </c>
      <c r="N2091">
        <v>3222.25</v>
      </c>
      <c r="O2091" t="s">
        <v>21</v>
      </c>
      <c r="P2091">
        <f t="shared" si="99"/>
        <v>0</v>
      </c>
      <c r="Q2091" s="11">
        <f>IF(P2091=0,0,IFERROR(Q2090+G2091*M2091*IF(E2091="FUTURE",VLOOKUP(MID(I2091,2,2),[1]Futures!$A$2:$B$12,2),1),G2091*M2091*IF(E2091="FUTURE",VLOOKUP(MID(I2091,2,2),[1]Futures!$A$2:$B$12,2),1)))</f>
        <v>0</v>
      </c>
      <c r="R2091" s="12" t="str">
        <f>IFERROR(Q2091/P2091/IF(E2091="FUTURE",VLOOKUP(MID(I2091,2,2),[1]Futures!$A$2:$B$12,2),1),"")</f>
        <v/>
      </c>
      <c r="S2091" s="13">
        <f>IF(AND(H2091="TO CLOSE",P2091=0),-G2091*(M2091-R2090)*IF(E2091="FUTURE",VLOOKUP(MID(I2091,2,2),[1]Futures!$A$2:$B$12,2),1),"")</f>
        <v>250</v>
      </c>
    </row>
    <row r="2092" spans="1:19" x14ac:dyDescent="0.2">
      <c r="A2092">
        <f t="shared" si="98"/>
        <v>681</v>
      </c>
      <c r="B2092" s="3">
        <v>44027</v>
      </c>
      <c r="C2092" s="3" t="str">
        <f t="shared" si="97"/>
        <v>Wednesday</v>
      </c>
      <c r="D2092" s="2">
        <v>0.47921296296296295</v>
      </c>
      <c r="E2092" t="s">
        <v>14</v>
      </c>
      <c r="F2092" t="s">
        <v>19</v>
      </c>
      <c r="G2092">
        <v>1</v>
      </c>
      <c r="H2092" t="s">
        <v>20</v>
      </c>
      <c r="I2092" t="s">
        <v>79</v>
      </c>
      <c r="J2092" s="1">
        <v>44094</v>
      </c>
      <c r="L2092" t="s">
        <v>14</v>
      </c>
      <c r="M2092">
        <v>3216</v>
      </c>
      <c r="N2092">
        <v>3216</v>
      </c>
      <c r="O2092" t="s">
        <v>21</v>
      </c>
      <c r="P2092">
        <f t="shared" si="99"/>
        <v>1</v>
      </c>
      <c r="Q2092" s="11">
        <f>IF(P2092=0,0,IFERROR(Q2091+G2092*M2092*IF(E2092="FUTURE",VLOOKUP(MID(I2092,2,2),[1]Futures!$A$2:$B$12,2),1),G2092*M2092*IF(E2092="FUTURE",VLOOKUP(MID(I2092,2,2),[1]Futures!$A$2:$B$12,2),1)))</f>
        <v>160800</v>
      </c>
      <c r="R2092" s="12">
        <f>IFERROR(Q2092/P2092/IF(E2092="FUTURE",VLOOKUP(MID(I2092,2,2),[1]Futures!$A$2:$B$12,2),1),"")</f>
        <v>3216</v>
      </c>
      <c r="S2092" s="13" t="str">
        <f>IF(AND(H2092="TO CLOSE",P2092=0),-G2092*(M2092-R2091)*IF(E2092="FUTURE",VLOOKUP(MID(I2092,2,2),[1]Futures!$A$2:$B$12,2),1),"")</f>
        <v/>
      </c>
    </row>
    <row r="2093" spans="1:19" x14ac:dyDescent="0.2">
      <c r="A2093">
        <f t="shared" si="98"/>
        <v>681</v>
      </c>
      <c r="B2093" s="3">
        <v>44027</v>
      </c>
      <c r="C2093" s="3" t="str">
        <f t="shared" si="97"/>
        <v>Wednesday</v>
      </c>
      <c r="D2093" s="2">
        <v>0.48062500000000002</v>
      </c>
      <c r="E2093" t="s">
        <v>14</v>
      </c>
      <c r="F2093" t="s">
        <v>15</v>
      </c>
      <c r="G2093">
        <v>-1</v>
      </c>
      <c r="H2093" t="s">
        <v>16</v>
      </c>
      <c r="I2093" t="s">
        <v>79</v>
      </c>
      <c r="J2093" s="1">
        <v>44094</v>
      </c>
      <c r="L2093" t="s">
        <v>14</v>
      </c>
      <c r="M2093">
        <v>3217</v>
      </c>
      <c r="N2093">
        <v>3217</v>
      </c>
      <c r="O2093" t="s">
        <v>21</v>
      </c>
      <c r="P2093">
        <f t="shared" si="99"/>
        <v>0</v>
      </c>
      <c r="Q2093" s="11">
        <f>IF(P2093=0,0,IFERROR(Q2092+G2093*M2093*IF(E2093="FUTURE",VLOOKUP(MID(I2093,2,2),[1]Futures!$A$2:$B$12,2),1),G2093*M2093*IF(E2093="FUTURE",VLOOKUP(MID(I2093,2,2),[1]Futures!$A$2:$B$12,2),1)))</f>
        <v>0</v>
      </c>
      <c r="R2093" s="12" t="str">
        <f>IFERROR(Q2093/P2093/IF(E2093="FUTURE",VLOOKUP(MID(I2093,2,2),[1]Futures!$A$2:$B$12,2),1),"")</f>
        <v/>
      </c>
      <c r="S2093" s="13">
        <f>IF(AND(H2093="TO CLOSE",P2093=0),-G2093*(M2093-R2092)*IF(E2093="FUTURE",VLOOKUP(MID(I2093,2,2),[1]Futures!$A$2:$B$12,2),1),"")</f>
        <v>50</v>
      </c>
    </row>
    <row r="2094" spans="1:19" x14ac:dyDescent="0.2">
      <c r="A2094">
        <f t="shared" si="98"/>
        <v>682</v>
      </c>
      <c r="B2094" s="3">
        <v>44027</v>
      </c>
      <c r="C2094" s="3" t="str">
        <f t="shared" si="97"/>
        <v>Wednesday</v>
      </c>
      <c r="D2094" s="2">
        <v>0.48373842592592592</v>
      </c>
      <c r="E2094" t="s">
        <v>14</v>
      </c>
      <c r="F2094" t="s">
        <v>19</v>
      </c>
      <c r="G2094">
        <v>1</v>
      </c>
      <c r="H2094" t="s">
        <v>20</v>
      </c>
      <c r="I2094" t="s">
        <v>79</v>
      </c>
      <c r="J2094" s="1">
        <v>44094</v>
      </c>
      <c r="L2094" t="s">
        <v>14</v>
      </c>
      <c r="M2094">
        <v>3215.5</v>
      </c>
      <c r="N2094">
        <v>3215.5</v>
      </c>
      <c r="O2094" t="s">
        <v>24</v>
      </c>
      <c r="P2094">
        <f t="shared" si="99"/>
        <v>1</v>
      </c>
      <c r="Q2094" s="11">
        <f>IF(P2094=0,0,IFERROR(Q2093+G2094*M2094*IF(E2094="FUTURE",VLOOKUP(MID(I2094,2,2),[1]Futures!$A$2:$B$12,2),1),G2094*M2094*IF(E2094="FUTURE",VLOOKUP(MID(I2094,2,2),[1]Futures!$A$2:$B$12,2),1)))</f>
        <v>160775</v>
      </c>
      <c r="R2094" s="12">
        <f>IFERROR(Q2094/P2094/IF(E2094="FUTURE",VLOOKUP(MID(I2094,2,2),[1]Futures!$A$2:$B$12,2),1),"")</f>
        <v>3215.5</v>
      </c>
      <c r="S2094" s="13" t="str">
        <f>IF(AND(H2094="TO CLOSE",P2094=0),-G2094*(M2094-R2093)*IF(E2094="FUTURE",VLOOKUP(MID(I2094,2,2),[1]Futures!$A$2:$B$12,2),1),"")</f>
        <v/>
      </c>
    </row>
    <row r="2095" spans="1:19" x14ac:dyDescent="0.2">
      <c r="A2095">
        <f t="shared" si="98"/>
        <v>682</v>
      </c>
      <c r="B2095" s="3">
        <v>44027</v>
      </c>
      <c r="C2095" s="3" t="str">
        <f t="shared" si="97"/>
        <v>Wednesday</v>
      </c>
      <c r="D2095" s="2">
        <v>0.57302083333333331</v>
      </c>
      <c r="E2095" t="s">
        <v>14</v>
      </c>
      <c r="F2095" t="s">
        <v>15</v>
      </c>
      <c r="G2095">
        <v>-1</v>
      </c>
      <c r="H2095" t="s">
        <v>16</v>
      </c>
      <c r="I2095" t="s">
        <v>79</v>
      </c>
      <c r="J2095" s="1">
        <v>44094</v>
      </c>
      <c r="L2095" t="s">
        <v>14</v>
      </c>
      <c r="M2095">
        <v>3215.75</v>
      </c>
      <c r="N2095">
        <v>3215.75</v>
      </c>
      <c r="O2095" t="s">
        <v>21</v>
      </c>
      <c r="P2095">
        <f t="shared" si="99"/>
        <v>0</v>
      </c>
      <c r="Q2095" s="11">
        <f>IF(P2095=0,0,IFERROR(Q2094+G2095*M2095*IF(E2095="FUTURE",VLOOKUP(MID(I2095,2,2),[1]Futures!$A$2:$B$12,2),1),G2095*M2095*IF(E2095="FUTURE",VLOOKUP(MID(I2095,2,2),[1]Futures!$A$2:$B$12,2),1)))</f>
        <v>0</v>
      </c>
      <c r="R2095" s="12" t="str">
        <f>IFERROR(Q2095/P2095/IF(E2095="FUTURE",VLOOKUP(MID(I2095,2,2),[1]Futures!$A$2:$B$12,2),1),"")</f>
        <v/>
      </c>
      <c r="S2095" s="13">
        <f>IF(AND(H2095="TO CLOSE",P2095=0),-G2095*(M2095-R2094)*IF(E2095="FUTURE",VLOOKUP(MID(I2095,2,2),[1]Futures!$A$2:$B$12,2),1),"")</f>
        <v>12.5</v>
      </c>
    </row>
    <row r="2096" spans="1:19" x14ac:dyDescent="0.2">
      <c r="A2096">
        <f t="shared" si="98"/>
        <v>683</v>
      </c>
      <c r="B2096" s="3">
        <v>44028</v>
      </c>
      <c r="C2096" s="3" t="str">
        <f t="shared" si="97"/>
        <v>Thursday</v>
      </c>
      <c r="D2096" s="2">
        <v>0.41920138888888886</v>
      </c>
      <c r="E2096" t="s">
        <v>14</v>
      </c>
      <c r="F2096" t="s">
        <v>19</v>
      </c>
      <c r="G2096">
        <v>1</v>
      </c>
      <c r="H2096" t="s">
        <v>20</v>
      </c>
      <c r="I2096" t="s">
        <v>77</v>
      </c>
      <c r="J2096" s="1">
        <v>44063</v>
      </c>
      <c r="L2096" t="s">
        <v>14</v>
      </c>
      <c r="M2096">
        <v>40.79</v>
      </c>
      <c r="N2096">
        <v>40.79</v>
      </c>
      <c r="O2096" t="s">
        <v>24</v>
      </c>
      <c r="P2096">
        <f t="shared" si="99"/>
        <v>1</v>
      </c>
      <c r="Q2096" s="11">
        <f>IF(P2096=0,0,IFERROR(Q2095+G2096*M2096*IF(E2096="FUTURE",VLOOKUP(MID(I2096,2,2),[1]Futures!$A$2:$B$12,2),1),G2096*M2096*IF(E2096="FUTURE",VLOOKUP(MID(I2096,2,2),[1]Futures!$A$2:$B$12,2),1)))</f>
        <v>40790</v>
      </c>
      <c r="R2096" s="12">
        <f>IFERROR(Q2096/P2096/IF(E2096="FUTURE",VLOOKUP(MID(I2096,2,2),[1]Futures!$A$2:$B$12,2),1),"")</f>
        <v>40.79</v>
      </c>
      <c r="S2096" s="13" t="str">
        <f>IF(AND(H2096="TO CLOSE",P2096=0),-G2096*(M2096-R2095)*IF(E2096="FUTURE",VLOOKUP(MID(I2096,2,2),[1]Futures!$A$2:$B$12,2),1),"")</f>
        <v/>
      </c>
    </row>
    <row r="2097" spans="1:19" x14ac:dyDescent="0.2">
      <c r="A2097">
        <f t="shared" si="98"/>
        <v>683</v>
      </c>
      <c r="B2097" s="3">
        <v>44028</v>
      </c>
      <c r="C2097" s="3" t="str">
        <f t="shared" si="97"/>
        <v>Thursday</v>
      </c>
      <c r="D2097" s="2">
        <v>0.41980324074074077</v>
      </c>
      <c r="E2097" t="s">
        <v>14</v>
      </c>
      <c r="F2097" t="s">
        <v>15</v>
      </c>
      <c r="G2097">
        <v>-1</v>
      </c>
      <c r="H2097" t="s">
        <v>16</v>
      </c>
      <c r="I2097" t="s">
        <v>77</v>
      </c>
      <c r="J2097" s="1">
        <v>44063</v>
      </c>
      <c r="L2097" t="s">
        <v>14</v>
      </c>
      <c r="M2097">
        <v>40.729999999999997</v>
      </c>
      <c r="N2097">
        <v>40.729999999999997</v>
      </c>
      <c r="O2097" t="s">
        <v>18</v>
      </c>
      <c r="P2097">
        <f t="shared" si="99"/>
        <v>0</v>
      </c>
      <c r="Q2097" s="11">
        <f>IF(P2097=0,0,IFERROR(Q2096+G2097*M2097*IF(E2097="FUTURE",VLOOKUP(MID(I2097,2,2),[1]Futures!$A$2:$B$12,2),1),G2097*M2097*IF(E2097="FUTURE",VLOOKUP(MID(I2097,2,2),[1]Futures!$A$2:$B$12,2),1)))</f>
        <v>0</v>
      </c>
      <c r="R2097" s="12" t="str">
        <f>IFERROR(Q2097/P2097/IF(E2097="FUTURE",VLOOKUP(MID(I2097,2,2),[1]Futures!$A$2:$B$12,2),1),"")</f>
        <v/>
      </c>
      <c r="S2097" s="13">
        <f>IF(AND(H2097="TO CLOSE",P2097=0),-G2097*(M2097-R2096)*IF(E2097="FUTURE",VLOOKUP(MID(I2097,2,2),[1]Futures!$A$2:$B$12,2),1),"")</f>
        <v>-60.000000000002274</v>
      </c>
    </row>
    <row r="2098" spans="1:19" x14ac:dyDescent="0.2">
      <c r="A2098">
        <f t="shared" si="98"/>
        <v>684</v>
      </c>
      <c r="B2098" s="3">
        <v>44028</v>
      </c>
      <c r="C2098" s="3" t="str">
        <f t="shared" si="97"/>
        <v>Thursday</v>
      </c>
      <c r="D2098" s="2">
        <v>0.42474537037037036</v>
      </c>
      <c r="E2098" t="s">
        <v>14</v>
      </c>
      <c r="F2098" t="s">
        <v>19</v>
      </c>
      <c r="G2098">
        <v>1</v>
      </c>
      <c r="H2098" t="s">
        <v>20</v>
      </c>
      <c r="I2098" t="s">
        <v>77</v>
      </c>
      <c r="J2098" s="1">
        <v>44063</v>
      </c>
      <c r="L2098" t="s">
        <v>14</v>
      </c>
      <c r="M2098">
        <v>40.81</v>
      </c>
      <c r="N2098">
        <v>40.81</v>
      </c>
      <c r="O2098" t="s">
        <v>24</v>
      </c>
      <c r="P2098">
        <f t="shared" si="99"/>
        <v>1</v>
      </c>
      <c r="Q2098" s="11">
        <f>IF(P2098=0,0,IFERROR(Q2097+G2098*M2098*IF(E2098="FUTURE",VLOOKUP(MID(I2098,2,2),[1]Futures!$A$2:$B$12,2),1),G2098*M2098*IF(E2098="FUTURE",VLOOKUP(MID(I2098,2,2),[1]Futures!$A$2:$B$12,2),1)))</f>
        <v>40810</v>
      </c>
      <c r="R2098" s="12">
        <f>IFERROR(Q2098/P2098/IF(E2098="FUTURE",VLOOKUP(MID(I2098,2,2),[1]Futures!$A$2:$B$12,2),1),"")</f>
        <v>40.81</v>
      </c>
      <c r="S2098" s="13" t="str">
        <f>IF(AND(H2098="TO CLOSE",P2098=0),-G2098*(M2098-R2097)*IF(E2098="FUTURE",VLOOKUP(MID(I2098,2,2),[1]Futures!$A$2:$B$12,2),1),"")</f>
        <v/>
      </c>
    </row>
    <row r="2099" spans="1:19" x14ac:dyDescent="0.2">
      <c r="A2099">
        <f t="shared" si="98"/>
        <v>684</v>
      </c>
      <c r="B2099" s="3">
        <v>44028</v>
      </c>
      <c r="C2099" s="3" t="str">
        <f t="shared" si="97"/>
        <v>Thursday</v>
      </c>
      <c r="D2099" s="2">
        <v>0.44156250000000002</v>
      </c>
      <c r="E2099" t="s">
        <v>14</v>
      </c>
      <c r="F2099" t="s">
        <v>15</v>
      </c>
      <c r="G2099">
        <v>-1</v>
      </c>
      <c r="H2099" t="s">
        <v>16</v>
      </c>
      <c r="I2099" t="s">
        <v>77</v>
      </c>
      <c r="J2099" s="1">
        <v>44063</v>
      </c>
      <c r="L2099" t="s">
        <v>14</v>
      </c>
      <c r="M2099">
        <v>40.950000000000003</v>
      </c>
      <c r="N2099">
        <v>40.950000000000003</v>
      </c>
      <c r="O2099" t="s">
        <v>21</v>
      </c>
      <c r="P2099">
        <f t="shared" si="99"/>
        <v>0</v>
      </c>
      <c r="Q2099" s="11">
        <f>IF(P2099=0,0,IFERROR(Q2098+G2099*M2099*IF(E2099="FUTURE",VLOOKUP(MID(I2099,2,2),[1]Futures!$A$2:$B$12,2),1),G2099*M2099*IF(E2099="FUTURE",VLOOKUP(MID(I2099,2,2),[1]Futures!$A$2:$B$12,2),1)))</f>
        <v>0</v>
      </c>
      <c r="R2099" s="12" t="str">
        <f>IFERROR(Q2099/P2099/IF(E2099="FUTURE",VLOOKUP(MID(I2099,2,2),[1]Futures!$A$2:$B$12,2),1),"")</f>
        <v/>
      </c>
      <c r="S2099" s="13">
        <f>IF(AND(H2099="TO CLOSE",P2099=0),-G2099*(M2099-R2098)*IF(E2099="FUTURE",VLOOKUP(MID(I2099,2,2),[1]Futures!$A$2:$B$12,2),1),"")</f>
        <v>140.00000000000057</v>
      </c>
    </row>
    <row r="2100" spans="1:19" x14ac:dyDescent="0.2">
      <c r="A2100">
        <f t="shared" si="98"/>
        <v>685</v>
      </c>
      <c r="B2100" s="3">
        <v>44028</v>
      </c>
      <c r="C2100" s="3" t="str">
        <f t="shared" si="97"/>
        <v>Thursday</v>
      </c>
      <c r="D2100" s="2">
        <v>0.39915509259259258</v>
      </c>
      <c r="E2100" t="s">
        <v>14</v>
      </c>
      <c r="F2100" t="s">
        <v>15</v>
      </c>
      <c r="G2100">
        <v>-1</v>
      </c>
      <c r="H2100" t="s">
        <v>20</v>
      </c>
      <c r="I2100" t="s">
        <v>79</v>
      </c>
      <c r="J2100" s="1">
        <v>44094</v>
      </c>
      <c r="L2100" t="s">
        <v>14</v>
      </c>
      <c r="M2100">
        <v>3194.25</v>
      </c>
      <c r="N2100">
        <v>3194.25</v>
      </c>
      <c r="O2100" t="s">
        <v>21</v>
      </c>
      <c r="P2100">
        <f t="shared" si="99"/>
        <v>-1</v>
      </c>
      <c r="Q2100" s="11">
        <f>IF(P2100=0,0,IFERROR(Q2099+G2100*M2100*IF(E2100="FUTURE",VLOOKUP(MID(I2100,2,2),[1]Futures!$A$2:$B$12,2),1),G2100*M2100*IF(E2100="FUTURE",VLOOKUP(MID(I2100,2,2),[1]Futures!$A$2:$B$12,2),1)))</f>
        <v>-159712.5</v>
      </c>
      <c r="R2100" s="12">
        <f>IFERROR(Q2100/P2100/IF(E2100="FUTURE",VLOOKUP(MID(I2100,2,2),[1]Futures!$A$2:$B$12,2),1),"")</f>
        <v>3194.25</v>
      </c>
      <c r="S2100" s="13" t="str">
        <f>IF(AND(H2100="TO CLOSE",P2100=0),-G2100*(M2100-R2099)*IF(E2100="FUTURE",VLOOKUP(MID(I2100,2,2),[1]Futures!$A$2:$B$12,2),1),"")</f>
        <v/>
      </c>
    </row>
    <row r="2101" spans="1:19" x14ac:dyDescent="0.2">
      <c r="A2101">
        <f t="shared" si="98"/>
        <v>685</v>
      </c>
      <c r="B2101" s="3">
        <v>44028</v>
      </c>
      <c r="C2101" s="3" t="str">
        <f t="shared" si="97"/>
        <v>Thursday</v>
      </c>
      <c r="D2101" s="2">
        <v>0.3993518518518519</v>
      </c>
      <c r="E2101" t="s">
        <v>14</v>
      </c>
      <c r="F2101" t="s">
        <v>19</v>
      </c>
      <c r="G2101">
        <v>1</v>
      </c>
      <c r="H2101" t="s">
        <v>16</v>
      </c>
      <c r="I2101" t="s">
        <v>79</v>
      </c>
      <c r="J2101" s="1">
        <v>44094</v>
      </c>
      <c r="L2101" t="s">
        <v>14</v>
      </c>
      <c r="M2101">
        <v>3192.25</v>
      </c>
      <c r="N2101">
        <v>3192.25</v>
      </c>
      <c r="O2101" t="s">
        <v>21</v>
      </c>
      <c r="P2101">
        <f t="shared" si="99"/>
        <v>0</v>
      </c>
      <c r="Q2101" s="11">
        <f>IF(P2101=0,0,IFERROR(Q2100+G2101*M2101*IF(E2101="FUTURE",VLOOKUP(MID(I2101,2,2),[1]Futures!$A$2:$B$12,2),1),G2101*M2101*IF(E2101="FUTURE",VLOOKUP(MID(I2101,2,2),[1]Futures!$A$2:$B$12,2),1)))</f>
        <v>0</v>
      </c>
      <c r="R2101" s="12" t="str">
        <f>IFERROR(Q2101/P2101/IF(E2101="FUTURE",VLOOKUP(MID(I2101,2,2),[1]Futures!$A$2:$B$12,2),1),"")</f>
        <v/>
      </c>
      <c r="S2101" s="13">
        <f>IF(AND(H2101="TO CLOSE",P2101=0),-G2101*(M2101-R2100)*IF(E2101="FUTURE",VLOOKUP(MID(I2101,2,2),[1]Futures!$A$2:$B$12,2),1),"")</f>
        <v>100</v>
      </c>
    </row>
    <row r="2102" spans="1:19" x14ac:dyDescent="0.2">
      <c r="A2102">
        <f t="shared" si="98"/>
        <v>686</v>
      </c>
      <c r="B2102" s="3">
        <v>44028</v>
      </c>
      <c r="C2102" s="3" t="str">
        <f t="shared" si="97"/>
        <v>Thursday</v>
      </c>
      <c r="D2102" s="2">
        <v>0.41792824074074075</v>
      </c>
      <c r="E2102" t="s">
        <v>14</v>
      </c>
      <c r="F2102" t="s">
        <v>15</v>
      </c>
      <c r="G2102">
        <v>-1</v>
      </c>
      <c r="H2102" t="s">
        <v>20</v>
      </c>
      <c r="I2102" t="s">
        <v>79</v>
      </c>
      <c r="J2102" s="1">
        <v>44094</v>
      </c>
      <c r="L2102" t="s">
        <v>14</v>
      </c>
      <c r="M2102">
        <v>3196.25</v>
      </c>
      <c r="N2102">
        <v>3196.25</v>
      </c>
      <c r="O2102" t="s">
        <v>21</v>
      </c>
      <c r="P2102">
        <f t="shared" si="99"/>
        <v>-1</v>
      </c>
      <c r="Q2102" s="11">
        <f>IF(P2102=0,0,IFERROR(Q2101+G2102*M2102*IF(E2102="FUTURE",VLOOKUP(MID(I2102,2,2),[1]Futures!$A$2:$B$12,2),1),G2102*M2102*IF(E2102="FUTURE",VLOOKUP(MID(I2102,2,2),[1]Futures!$A$2:$B$12,2),1)))</f>
        <v>-159812.5</v>
      </c>
      <c r="R2102" s="12">
        <f>IFERROR(Q2102/P2102/IF(E2102="FUTURE",VLOOKUP(MID(I2102,2,2),[1]Futures!$A$2:$B$12,2),1),"")</f>
        <v>3196.25</v>
      </c>
      <c r="S2102" s="13" t="str">
        <f>IF(AND(H2102="TO CLOSE",P2102=0),-G2102*(M2102-R2101)*IF(E2102="FUTURE",VLOOKUP(MID(I2102,2,2),[1]Futures!$A$2:$B$12,2),1),"")</f>
        <v/>
      </c>
    </row>
    <row r="2103" spans="1:19" x14ac:dyDescent="0.2">
      <c r="A2103">
        <f t="shared" si="98"/>
        <v>686</v>
      </c>
      <c r="B2103" s="3">
        <v>44028</v>
      </c>
      <c r="C2103" s="3" t="str">
        <f t="shared" si="97"/>
        <v>Thursday</v>
      </c>
      <c r="D2103" s="2">
        <v>0.41871527777777778</v>
      </c>
      <c r="E2103" t="s">
        <v>14</v>
      </c>
      <c r="F2103" t="s">
        <v>19</v>
      </c>
      <c r="G2103">
        <v>1</v>
      </c>
      <c r="H2103" t="s">
        <v>16</v>
      </c>
      <c r="I2103" t="s">
        <v>79</v>
      </c>
      <c r="J2103" s="1">
        <v>44094</v>
      </c>
      <c r="L2103" t="s">
        <v>14</v>
      </c>
      <c r="M2103">
        <v>3196</v>
      </c>
      <c r="N2103">
        <v>3196</v>
      </c>
      <c r="O2103" t="s">
        <v>18</v>
      </c>
      <c r="P2103">
        <f t="shared" si="99"/>
        <v>0</v>
      </c>
      <c r="Q2103" s="11">
        <f>IF(P2103=0,0,IFERROR(Q2102+G2103*M2103*IF(E2103="FUTURE",VLOOKUP(MID(I2103,2,2),[1]Futures!$A$2:$B$12,2),1),G2103*M2103*IF(E2103="FUTURE",VLOOKUP(MID(I2103,2,2),[1]Futures!$A$2:$B$12,2),1)))</f>
        <v>0</v>
      </c>
      <c r="R2103" s="12" t="str">
        <f>IFERROR(Q2103/P2103/IF(E2103="FUTURE",VLOOKUP(MID(I2103,2,2),[1]Futures!$A$2:$B$12,2),1),"")</f>
        <v/>
      </c>
      <c r="S2103" s="13">
        <f>IF(AND(H2103="TO CLOSE",P2103=0),-G2103*(M2103-R2102)*IF(E2103="FUTURE",VLOOKUP(MID(I2103,2,2),[1]Futures!$A$2:$B$12,2),1),"")</f>
        <v>12.5</v>
      </c>
    </row>
    <row r="2104" spans="1:19" x14ac:dyDescent="0.2">
      <c r="A2104">
        <f t="shared" si="98"/>
        <v>687</v>
      </c>
      <c r="B2104" s="3">
        <v>44028</v>
      </c>
      <c r="C2104" s="3" t="str">
        <f t="shared" si="97"/>
        <v>Thursday</v>
      </c>
      <c r="D2104" s="2">
        <v>0.41981481481481481</v>
      </c>
      <c r="E2104" t="s">
        <v>14</v>
      </c>
      <c r="F2104" t="s">
        <v>15</v>
      </c>
      <c r="G2104">
        <v>-1</v>
      </c>
      <c r="H2104" t="s">
        <v>20</v>
      </c>
      <c r="I2104" t="s">
        <v>79</v>
      </c>
      <c r="J2104" s="1">
        <v>44094</v>
      </c>
      <c r="L2104" t="s">
        <v>14</v>
      </c>
      <c r="M2104">
        <v>3192.25</v>
      </c>
      <c r="N2104">
        <v>3192.25</v>
      </c>
      <c r="O2104" t="s">
        <v>24</v>
      </c>
      <c r="P2104">
        <f t="shared" si="99"/>
        <v>-1</v>
      </c>
      <c r="Q2104" s="11">
        <f>IF(P2104=0,0,IFERROR(Q2103+G2104*M2104*IF(E2104="FUTURE",VLOOKUP(MID(I2104,2,2),[1]Futures!$A$2:$B$12,2),1),G2104*M2104*IF(E2104="FUTURE",VLOOKUP(MID(I2104,2,2),[1]Futures!$A$2:$B$12,2),1)))</f>
        <v>-159612.5</v>
      </c>
      <c r="R2104" s="12">
        <f>IFERROR(Q2104/P2104/IF(E2104="FUTURE",VLOOKUP(MID(I2104,2,2),[1]Futures!$A$2:$B$12,2),1),"")</f>
        <v>3192.25</v>
      </c>
      <c r="S2104" s="13" t="str">
        <f>IF(AND(H2104="TO CLOSE",P2104=0),-G2104*(M2104-R2103)*IF(E2104="FUTURE",VLOOKUP(MID(I2104,2,2),[1]Futures!$A$2:$B$12,2),1),"")</f>
        <v/>
      </c>
    </row>
    <row r="2105" spans="1:19" x14ac:dyDescent="0.2">
      <c r="A2105">
        <f t="shared" si="98"/>
        <v>687</v>
      </c>
      <c r="B2105" s="3">
        <v>44028</v>
      </c>
      <c r="C2105" s="3" t="str">
        <f t="shared" si="97"/>
        <v>Thursday</v>
      </c>
      <c r="D2105" s="2">
        <v>0.42473379629629626</v>
      </c>
      <c r="E2105" t="s">
        <v>14</v>
      </c>
      <c r="F2105" t="s">
        <v>19</v>
      </c>
      <c r="G2105">
        <v>1</v>
      </c>
      <c r="H2105" t="s">
        <v>16</v>
      </c>
      <c r="I2105" t="s">
        <v>79</v>
      </c>
      <c r="J2105" s="1">
        <v>44094</v>
      </c>
      <c r="L2105" t="s">
        <v>14</v>
      </c>
      <c r="M2105">
        <v>3197.25</v>
      </c>
      <c r="N2105">
        <v>3197.25</v>
      </c>
      <c r="O2105" t="s">
        <v>18</v>
      </c>
      <c r="P2105">
        <f t="shared" si="99"/>
        <v>0</v>
      </c>
      <c r="Q2105" s="11">
        <f>IF(P2105=0,0,IFERROR(Q2104+G2105*M2105*IF(E2105="FUTURE",VLOOKUP(MID(I2105,2,2),[1]Futures!$A$2:$B$12,2),1),G2105*M2105*IF(E2105="FUTURE",VLOOKUP(MID(I2105,2,2),[1]Futures!$A$2:$B$12,2),1)))</f>
        <v>0</v>
      </c>
      <c r="R2105" s="12" t="str">
        <f>IFERROR(Q2105/P2105/IF(E2105="FUTURE",VLOOKUP(MID(I2105,2,2),[1]Futures!$A$2:$B$12,2),1),"")</f>
        <v/>
      </c>
      <c r="S2105" s="13">
        <f>IF(AND(H2105="TO CLOSE",P2105=0),-G2105*(M2105-R2104)*IF(E2105="FUTURE",VLOOKUP(MID(I2105,2,2),[1]Futures!$A$2:$B$12,2),1),"")</f>
        <v>-250</v>
      </c>
    </row>
    <row r="2106" spans="1:19" x14ac:dyDescent="0.2">
      <c r="A2106">
        <f t="shared" si="98"/>
        <v>688</v>
      </c>
      <c r="B2106" s="3">
        <v>44028</v>
      </c>
      <c r="C2106" s="3" t="str">
        <f t="shared" si="97"/>
        <v>Thursday</v>
      </c>
      <c r="D2106" s="2">
        <v>0.42482638888888885</v>
      </c>
      <c r="E2106" t="s">
        <v>14</v>
      </c>
      <c r="F2106" t="s">
        <v>19</v>
      </c>
      <c r="G2106">
        <v>1</v>
      </c>
      <c r="H2106" t="s">
        <v>20</v>
      </c>
      <c r="I2106" t="s">
        <v>79</v>
      </c>
      <c r="J2106" s="1">
        <v>44094</v>
      </c>
      <c r="L2106" t="s">
        <v>14</v>
      </c>
      <c r="M2106">
        <v>3196.75</v>
      </c>
      <c r="N2106">
        <v>3196.75</v>
      </c>
      <c r="O2106" t="s">
        <v>24</v>
      </c>
      <c r="P2106">
        <f t="shared" si="99"/>
        <v>1</v>
      </c>
      <c r="Q2106" s="11">
        <f>IF(P2106=0,0,IFERROR(Q2105+G2106*M2106*IF(E2106="FUTURE",VLOOKUP(MID(I2106,2,2),[1]Futures!$A$2:$B$12,2),1),G2106*M2106*IF(E2106="FUTURE",VLOOKUP(MID(I2106,2,2),[1]Futures!$A$2:$B$12,2),1)))</f>
        <v>159837.5</v>
      </c>
      <c r="R2106" s="12">
        <f>IFERROR(Q2106/P2106/IF(E2106="FUTURE",VLOOKUP(MID(I2106,2,2),[1]Futures!$A$2:$B$12,2),1),"")</f>
        <v>3196.75</v>
      </c>
      <c r="S2106" s="13" t="str">
        <f>IF(AND(H2106="TO CLOSE",P2106=0),-G2106*(M2106-R2105)*IF(E2106="FUTURE",VLOOKUP(MID(I2106,2,2),[1]Futures!$A$2:$B$12,2),1),"")</f>
        <v/>
      </c>
    </row>
    <row r="2107" spans="1:19" x14ac:dyDescent="0.2">
      <c r="A2107">
        <f t="shared" si="98"/>
        <v>688</v>
      </c>
      <c r="B2107" s="3">
        <v>44028</v>
      </c>
      <c r="C2107" s="3" t="str">
        <f t="shared" si="97"/>
        <v>Thursday</v>
      </c>
      <c r="D2107" s="2">
        <v>0.44045138888888885</v>
      </c>
      <c r="E2107" t="s">
        <v>14</v>
      </c>
      <c r="F2107" t="s">
        <v>15</v>
      </c>
      <c r="G2107">
        <v>-1</v>
      </c>
      <c r="H2107" t="s">
        <v>16</v>
      </c>
      <c r="I2107" t="s">
        <v>79</v>
      </c>
      <c r="J2107" s="1">
        <v>44094</v>
      </c>
      <c r="L2107" t="s">
        <v>14</v>
      </c>
      <c r="M2107">
        <v>3201.75</v>
      </c>
      <c r="N2107">
        <v>3201.75</v>
      </c>
      <c r="O2107" t="s">
        <v>21</v>
      </c>
      <c r="P2107">
        <f t="shared" si="99"/>
        <v>0</v>
      </c>
      <c r="Q2107" s="11">
        <f>IF(P2107=0,0,IFERROR(Q2106+G2107*M2107*IF(E2107="FUTURE",VLOOKUP(MID(I2107,2,2),[1]Futures!$A$2:$B$12,2),1),G2107*M2107*IF(E2107="FUTURE",VLOOKUP(MID(I2107,2,2),[1]Futures!$A$2:$B$12,2),1)))</f>
        <v>0</v>
      </c>
      <c r="R2107" s="12" t="str">
        <f>IFERROR(Q2107/P2107/IF(E2107="FUTURE",VLOOKUP(MID(I2107,2,2),[1]Futures!$A$2:$B$12,2),1),"")</f>
        <v/>
      </c>
      <c r="S2107" s="13">
        <f>IF(AND(H2107="TO CLOSE",P2107=0),-G2107*(M2107-R2106)*IF(E2107="FUTURE",VLOOKUP(MID(I2107,2,2),[1]Futures!$A$2:$B$12,2),1),"")</f>
        <v>250</v>
      </c>
    </row>
    <row r="2108" spans="1:19" x14ac:dyDescent="0.2">
      <c r="A2108">
        <f t="shared" si="98"/>
        <v>689</v>
      </c>
      <c r="B2108" s="3">
        <v>44028</v>
      </c>
      <c r="C2108" s="3" t="str">
        <f t="shared" si="97"/>
        <v>Thursday</v>
      </c>
      <c r="D2108" s="2">
        <v>0.45355324074074077</v>
      </c>
      <c r="E2108" t="s">
        <v>14</v>
      </c>
      <c r="F2108" t="s">
        <v>19</v>
      </c>
      <c r="G2108">
        <v>1</v>
      </c>
      <c r="H2108" t="s">
        <v>20</v>
      </c>
      <c r="I2108" t="s">
        <v>79</v>
      </c>
      <c r="J2108" s="1">
        <v>44094</v>
      </c>
      <c r="L2108" t="s">
        <v>14</v>
      </c>
      <c r="M2108">
        <v>3204.75</v>
      </c>
      <c r="N2108">
        <v>3204.75</v>
      </c>
      <c r="O2108" t="s">
        <v>24</v>
      </c>
      <c r="P2108">
        <f t="shared" si="99"/>
        <v>1</v>
      </c>
      <c r="Q2108" s="11">
        <f>IF(P2108=0,0,IFERROR(Q2107+G2108*M2108*IF(E2108="FUTURE",VLOOKUP(MID(I2108,2,2),[1]Futures!$A$2:$B$12,2),1),G2108*M2108*IF(E2108="FUTURE",VLOOKUP(MID(I2108,2,2),[1]Futures!$A$2:$B$12,2),1)))</f>
        <v>160237.5</v>
      </c>
      <c r="R2108" s="12">
        <f>IFERROR(Q2108/P2108/IF(E2108="FUTURE",VLOOKUP(MID(I2108,2,2),[1]Futures!$A$2:$B$12,2),1),"")</f>
        <v>3204.75</v>
      </c>
      <c r="S2108" s="13" t="str">
        <f>IF(AND(H2108="TO CLOSE",P2108=0),-G2108*(M2108-R2107)*IF(E2108="FUTURE",VLOOKUP(MID(I2108,2,2),[1]Futures!$A$2:$B$12,2),1),"")</f>
        <v/>
      </c>
    </row>
    <row r="2109" spans="1:19" x14ac:dyDescent="0.2">
      <c r="A2109">
        <f t="shared" si="98"/>
        <v>689</v>
      </c>
      <c r="B2109" s="3">
        <v>44028</v>
      </c>
      <c r="C2109" s="3" t="str">
        <f t="shared" si="97"/>
        <v>Thursday</v>
      </c>
      <c r="D2109" s="2">
        <v>0.45498842592592598</v>
      </c>
      <c r="E2109" t="s">
        <v>14</v>
      </c>
      <c r="F2109" t="s">
        <v>15</v>
      </c>
      <c r="G2109">
        <v>-1</v>
      </c>
      <c r="H2109" t="s">
        <v>16</v>
      </c>
      <c r="I2109" t="s">
        <v>79</v>
      </c>
      <c r="J2109" s="1">
        <v>44094</v>
      </c>
      <c r="L2109" t="s">
        <v>14</v>
      </c>
      <c r="M2109">
        <v>3205</v>
      </c>
      <c r="N2109">
        <v>3205</v>
      </c>
      <c r="O2109" t="s">
        <v>21</v>
      </c>
      <c r="P2109">
        <f t="shared" si="99"/>
        <v>0</v>
      </c>
      <c r="Q2109" s="11">
        <f>IF(P2109=0,0,IFERROR(Q2108+G2109*M2109*IF(E2109="FUTURE",VLOOKUP(MID(I2109,2,2),[1]Futures!$A$2:$B$12,2),1),G2109*M2109*IF(E2109="FUTURE",VLOOKUP(MID(I2109,2,2),[1]Futures!$A$2:$B$12,2),1)))</f>
        <v>0</v>
      </c>
      <c r="R2109" s="12" t="str">
        <f>IFERROR(Q2109/P2109/IF(E2109="FUTURE",VLOOKUP(MID(I2109,2,2),[1]Futures!$A$2:$B$12,2),1),"")</f>
        <v/>
      </c>
      <c r="S2109" s="13">
        <f>IF(AND(H2109="TO CLOSE",P2109=0),-G2109*(M2109-R2108)*IF(E2109="FUTURE",VLOOKUP(MID(I2109,2,2),[1]Futures!$A$2:$B$12,2),1),"")</f>
        <v>12.5</v>
      </c>
    </row>
    <row r="2110" spans="1:19" x14ac:dyDescent="0.2">
      <c r="A2110">
        <f t="shared" si="98"/>
        <v>690</v>
      </c>
      <c r="B2110" s="3">
        <v>44028</v>
      </c>
      <c r="C2110" s="3" t="str">
        <f t="shared" ref="C2110:C2173" si="100">IF(WEEKDAY(B2110,2)=1,"Monday",IF(WEEKDAY(B2110,2)=2,"Tuesday",IF(WEEKDAY(B2110,2)=3,"Wednesday",IF(WEEKDAY(B2110,2)=4,"Thursday",IF(WEEKDAY(B2110,2)=5,"Friday","Sunday")))))</f>
        <v>Thursday</v>
      </c>
      <c r="D2110" s="2">
        <v>0.4690509259259259</v>
      </c>
      <c r="E2110" t="s">
        <v>14</v>
      </c>
      <c r="F2110" t="s">
        <v>19</v>
      </c>
      <c r="G2110">
        <v>1</v>
      </c>
      <c r="H2110" t="s">
        <v>20</v>
      </c>
      <c r="I2110" t="s">
        <v>79</v>
      </c>
      <c r="J2110" s="1">
        <v>44094</v>
      </c>
      <c r="L2110" t="s">
        <v>14</v>
      </c>
      <c r="M2110">
        <v>3197</v>
      </c>
      <c r="N2110">
        <v>3197</v>
      </c>
      <c r="O2110" t="s">
        <v>24</v>
      </c>
      <c r="P2110">
        <f t="shared" si="99"/>
        <v>1</v>
      </c>
      <c r="Q2110" s="11">
        <f>IF(P2110=0,0,IFERROR(Q2109+G2110*M2110*IF(E2110="FUTURE",VLOOKUP(MID(I2110,2,2),[1]Futures!$A$2:$B$12,2),1),G2110*M2110*IF(E2110="FUTURE",VLOOKUP(MID(I2110,2,2),[1]Futures!$A$2:$B$12,2),1)))</f>
        <v>159850</v>
      </c>
      <c r="R2110" s="12">
        <f>IFERROR(Q2110/P2110/IF(E2110="FUTURE",VLOOKUP(MID(I2110,2,2),[1]Futures!$A$2:$B$12,2),1),"")</f>
        <v>3197</v>
      </c>
      <c r="S2110" s="13" t="str">
        <f>IF(AND(H2110="TO CLOSE",P2110=0),-G2110*(M2110-R2109)*IF(E2110="FUTURE",VLOOKUP(MID(I2110,2,2),[1]Futures!$A$2:$B$12,2),1),"")</f>
        <v/>
      </c>
    </row>
    <row r="2111" spans="1:19" x14ac:dyDescent="0.2">
      <c r="A2111">
        <f t="shared" si="98"/>
        <v>690</v>
      </c>
      <c r="B2111" s="3">
        <v>44028</v>
      </c>
      <c r="C2111" s="3" t="str">
        <f t="shared" si="100"/>
        <v>Thursday</v>
      </c>
      <c r="D2111" s="2">
        <v>0.47545138888888888</v>
      </c>
      <c r="E2111" t="s">
        <v>14</v>
      </c>
      <c r="F2111" t="s">
        <v>15</v>
      </c>
      <c r="G2111">
        <v>-1</v>
      </c>
      <c r="H2111" t="s">
        <v>16</v>
      </c>
      <c r="I2111" t="s">
        <v>79</v>
      </c>
      <c r="J2111" s="1">
        <v>44094</v>
      </c>
      <c r="L2111" t="s">
        <v>14</v>
      </c>
      <c r="M2111">
        <v>3198</v>
      </c>
      <c r="N2111">
        <v>3198</v>
      </c>
      <c r="O2111" t="s">
        <v>21</v>
      </c>
      <c r="P2111">
        <f t="shared" si="99"/>
        <v>0</v>
      </c>
      <c r="Q2111" s="11">
        <f>IF(P2111=0,0,IFERROR(Q2110+G2111*M2111*IF(E2111="FUTURE",VLOOKUP(MID(I2111,2,2),[1]Futures!$A$2:$B$12,2),1),G2111*M2111*IF(E2111="FUTURE",VLOOKUP(MID(I2111,2,2),[1]Futures!$A$2:$B$12,2),1)))</f>
        <v>0</v>
      </c>
      <c r="R2111" s="12" t="str">
        <f>IFERROR(Q2111/P2111/IF(E2111="FUTURE",VLOOKUP(MID(I2111,2,2),[1]Futures!$A$2:$B$12,2),1),"")</f>
        <v/>
      </c>
      <c r="S2111" s="13">
        <f>IF(AND(H2111="TO CLOSE",P2111=0),-G2111*(M2111-R2110)*IF(E2111="FUTURE",VLOOKUP(MID(I2111,2,2),[1]Futures!$A$2:$B$12,2),1),"")</f>
        <v>50</v>
      </c>
    </row>
    <row r="2112" spans="1:19" x14ac:dyDescent="0.2">
      <c r="A2112">
        <f t="shared" si="98"/>
        <v>691</v>
      </c>
      <c r="B2112" s="3">
        <v>44028</v>
      </c>
      <c r="C2112" s="3" t="str">
        <f t="shared" si="100"/>
        <v>Thursday</v>
      </c>
      <c r="D2112" s="2">
        <v>0.54768518518518516</v>
      </c>
      <c r="E2112" t="s">
        <v>14</v>
      </c>
      <c r="F2112" t="s">
        <v>19</v>
      </c>
      <c r="G2112">
        <v>1</v>
      </c>
      <c r="H2112" t="s">
        <v>20</v>
      </c>
      <c r="I2112" t="s">
        <v>79</v>
      </c>
      <c r="J2112" s="1">
        <v>44094</v>
      </c>
      <c r="L2112" t="s">
        <v>14</v>
      </c>
      <c r="M2112">
        <v>3200.5</v>
      </c>
      <c r="N2112">
        <v>3200.5</v>
      </c>
      <c r="O2112" t="s">
        <v>21</v>
      </c>
      <c r="P2112">
        <f t="shared" si="99"/>
        <v>1</v>
      </c>
      <c r="Q2112" s="11">
        <f>IF(P2112=0,0,IFERROR(Q2111+G2112*M2112*IF(E2112="FUTURE",VLOOKUP(MID(I2112,2,2),[1]Futures!$A$2:$B$12,2),1),G2112*M2112*IF(E2112="FUTURE",VLOOKUP(MID(I2112,2,2),[1]Futures!$A$2:$B$12,2),1)))</f>
        <v>160025</v>
      </c>
      <c r="R2112" s="12">
        <f>IFERROR(Q2112/P2112/IF(E2112="FUTURE",VLOOKUP(MID(I2112,2,2),[1]Futures!$A$2:$B$12,2),1),"")</f>
        <v>3200.5</v>
      </c>
      <c r="S2112" s="13" t="str">
        <f>IF(AND(H2112="TO CLOSE",P2112=0),-G2112*(M2112-R2111)*IF(E2112="FUTURE",VLOOKUP(MID(I2112,2,2),[1]Futures!$A$2:$B$12,2),1),"")</f>
        <v/>
      </c>
    </row>
    <row r="2113" spans="1:19" x14ac:dyDescent="0.2">
      <c r="A2113">
        <f t="shared" si="98"/>
        <v>691</v>
      </c>
      <c r="B2113" s="3">
        <v>44028</v>
      </c>
      <c r="C2113" s="3" t="str">
        <f t="shared" si="100"/>
        <v>Thursday</v>
      </c>
      <c r="D2113" s="2">
        <v>0.5491435185185185</v>
      </c>
      <c r="E2113" t="s">
        <v>14</v>
      </c>
      <c r="F2113" t="s">
        <v>15</v>
      </c>
      <c r="G2113">
        <v>-1</v>
      </c>
      <c r="H2113" t="s">
        <v>16</v>
      </c>
      <c r="I2113" t="s">
        <v>79</v>
      </c>
      <c r="J2113" s="1">
        <v>44094</v>
      </c>
      <c r="L2113" t="s">
        <v>14</v>
      </c>
      <c r="M2113">
        <v>3201</v>
      </c>
      <c r="N2113">
        <v>3201</v>
      </c>
      <c r="O2113" t="s">
        <v>21</v>
      </c>
      <c r="P2113">
        <f t="shared" si="99"/>
        <v>0</v>
      </c>
      <c r="Q2113" s="11">
        <f>IF(P2113=0,0,IFERROR(Q2112+G2113*M2113*IF(E2113="FUTURE",VLOOKUP(MID(I2113,2,2),[1]Futures!$A$2:$B$12,2),1),G2113*M2113*IF(E2113="FUTURE",VLOOKUP(MID(I2113,2,2),[1]Futures!$A$2:$B$12,2),1)))</f>
        <v>0</v>
      </c>
      <c r="R2113" s="12" t="str">
        <f>IFERROR(Q2113/P2113/IF(E2113="FUTURE",VLOOKUP(MID(I2113,2,2),[1]Futures!$A$2:$B$12,2),1),"")</f>
        <v/>
      </c>
      <c r="S2113" s="13">
        <f>IF(AND(H2113="TO CLOSE",P2113=0),-G2113*(M2113-R2112)*IF(E2113="FUTURE",VLOOKUP(MID(I2113,2,2),[1]Futures!$A$2:$B$12,2),1),"")</f>
        <v>25</v>
      </c>
    </row>
    <row r="2114" spans="1:19" x14ac:dyDescent="0.2">
      <c r="A2114">
        <f t="shared" ref="A2114:A2177" si="101">IF(AND(P2113=0,H2113="TO CLOSE"),IFERROR(A2113+1,1),IFERROR(A2113/1,1))</f>
        <v>692</v>
      </c>
      <c r="B2114" s="3">
        <v>44028</v>
      </c>
      <c r="C2114" s="3" t="str">
        <f t="shared" si="100"/>
        <v>Thursday</v>
      </c>
      <c r="D2114" s="2">
        <v>0.47788194444444443</v>
      </c>
      <c r="E2114" t="s">
        <v>22</v>
      </c>
      <c r="F2114" t="s">
        <v>15</v>
      </c>
      <c r="G2114">
        <v>-400</v>
      </c>
      <c r="H2114" t="s">
        <v>20</v>
      </c>
      <c r="I2114" t="s">
        <v>23</v>
      </c>
      <c r="L2114" t="s">
        <v>22</v>
      </c>
      <c r="M2114">
        <v>32.195</v>
      </c>
      <c r="N2114">
        <v>32.195</v>
      </c>
      <c r="O2114" t="s">
        <v>21</v>
      </c>
      <c r="P2114">
        <f t="shared" si="99"/>
        <v>-400</v>
      </c>
      <c r="Q2114" s="11">
        <f>IF(P2114=0,0,IFERROR(Q2113+G2114*M2114*IF(E2114="FUTURE",VLOOKUP(MID(I2114,2,2),[1]Futures!$A$2:$B$12,2),1),G2114*M2114*IF(E2114="FUTURE",VLOOKUP(MID(I2114,2,2),[1]Futures!$A$2:$B$12,2),1)))</f>
        <v>-12878</v>
      </c>
      <c r="R2114" s="12">
        <f>IFERROR(Q2114/P2114/IF(E2114="FUTURE",VLOOKUP(MID(I2114,2,2),[1]Futures!$A$2:$B$12,2),1),"")</f>
        <v>32.195</v>
      </c>
      <c r="S2114" s="13" t="str">
        <f>IF(AND(H2114="TO CLOSE",P2114=0),-G2114*(M2114-R2113)*IF(E2114="FUTURE",VLOOKUP(MID(I2114,2,2),[1]Futures!$A$2:$B$12,2),1),"")</f>
        <v/>
      </c>
    </row>
    <row r="2115" spans="1:19" x14ac:dyDescent="0.2">
      <c r="A2115">
        <f t="shared" si="101"/>
        <v>692</v>
      </c>
      <c r="B2115" s="3">
        <v>44028</v>
      </c>
      <c r="C2115" s="3" t="str">
        <f t="shared" si="100"/>
        <v>Thursday</v>
      </c>
      <c r="D2115" s="2">
        <v>0.50561342592592595</v>
      </c>
      <c r="E2115" t="s">
        <v>22</v>
      </c>
      <c r="F2115" t="s">
        <v>19</v>
      </c>
      <c r="G2115">
        <v>400</v>
      </c>
      <c r="H2115" t="s">
        <v>16</v>
      </c>
      <c r="I2115" t="s">
        <v>23</v>
      </c>
      <c r="L2115" t="s">
        <v>22</v>
      </c>
      <c r="M2115">
        <v>32.159999999999997</v>
      </c>
      <c r="N2115">
        <v>32.159999999999997</v>
      </c>
      <c r="O2115" t="s">
        <v>21</v>
      </c>
      <c r="P2115">
        <f t="shared" ref="P2115:P2178" si="102">IF(H2115="TO OPEN",IFERROR(P2114+G2115,0+G2115),IFERROR(P2114+G2115,0+G2115))</f>
        <v>0</v>
      </c>
      <c r="Q2115" s="11">
        <f>IF(P2115=0,0,IFERROR(Q2114+G2115*M2115*IF(E2115="FUTURE",VLOOKUP(MID(I2115,2,2),[1]Futures!$A$2:$B$12,2),1),G2115*M2115*IF(E2115="FUTURE",VLOOKUP(MID(I2115,2,2),[1]Futures!$A$2:$B$12,2),1)))</f>
        <v>0</v>
      </c>
      <c r="R2115" s="12" t="str">
        <f>IFERROR(Q2115/P2115/IF(E2115="FUTURE",VLOOKUP(MID(I2115,2,2),[1]Futures!$A$2:$B$12,2),1),"")</f>
        <v/>
      </c>
      <c r="S2115" s="13">
        <f>IF(AND(H2115="TO CLOSE",P2115=0),-G2115*(M2115-R2114)*IF(E2115="FUTURE",VLOOKUP(MID(I2115,2,2),[1]Futures!$A$2:$B$12,2),1),"")</f>
        <v>14.000000000001478</v>
      </c>
    </row>
    <row r="2116" spans="1:19" x14ac:dyDescent="0.2">
      <c r="A2116">
        <f t="shared" si="101"/>
        <v>693</v>
      </c>
      <c r="B2116" s="3">
        <v>44029</v>
      </c>
      <c r="C2116" s="3" t="str">
        <f t="shared" si="100"/>
        <v>Friday</v>
      </c>
      <c r="D2116" s="2">
        <v>0.38493055555555555</v>
      </c>
      <c r="E2116" t="s">
        <v>14</v>
      </c>
      <c r="F2116" t="s">
        <v>19</v>
      </c>
      <c r="G2116">
        <v>2</v>
      </c>
      <c r="H2116" t="s">
        <v>20</v>
      </c>
      <c r="I2116" t="s">
        <v>81</v>
      </c>
      <c r="J2116" s="1">
        <v>44094</v>
      </c>
      <c r="L2116" t="s">
        <v>14</v>
      </c>
      <c r="M2116">
        <v>41.01</v>
      </c>
      <c r="N2116">
        <v>41.01</v>
      </c>
      <c r="O2116" t="s">
        <v>24</v>
      </c>
      <c r="P2116">
        <f t="shared" si="102"/>
        <v>2</v>
      </c>
      <c r="Q2116" s="11">
        <f>IF(P2116=0,0,IFERROR(Q2115+G2116*M2116*IF(E2116="FUTURE",VLOOKUP(MID(I2116,2,2),[1]Futures!$A$2:$B$12,2),1),G2116*M2116*IF(E2116="FUTURE",VLOOKUP(MID(I2116,2,2),[1]Futures!$A$2:$B$12,2),1)))</f>
        <v>82020</v>
      </c>
      <c r="R2116" s="12">
        <f>IFERROR(Q2116/P2116/IF(E2116="FUTURE",VLOOKUP(MID(I2116,2,2),[1]Futures!$A$2:$B$12,2),1),"")</f>
        <v>41.01</v>
      </c>
      <c r="S2116" s="13" t="str">
        <f>IF(AND(H2116="TO CLOSE",P2116=0),-G2116*(M2116-R2115)*IF(E2116="FUTURE",VLOOKUP(MID(I2116,2,2),[1]Futures!$A$2:$B$12,2),1),"")</f>
        <v/>
      </c>
    </row>
    <row r="2117" spans="1:19" x14ac:dyDescent="0.2">
      <c r="A2117">
        <f t="shared" si="101"/>
        <v>693</v>
      </c>
      <c r="B2117" s="3">
        <v>44029</v>
      </c>
      <c r="C2117" s="3" t="str">
        <f t="shared" si="100"/>
        <v>Friday</v>
      </c>
      <c r="D2117" s="2">
        <v>0.38545138888888886</v>
      </c>
      <c r="E2117" t="s">
        <v>14</v>
      </c>
      <c r="F2117" t="s">
        <v>15</v>
      </c>
      <c r="G2117">
        <v>-1</v>
      </c>
      <c r="H2117" t="s">
        <v>16</v>
      </c>
      <c r="I2117" t="s">
        <v>81</v>
      </c>
      <c r="J2117" s="1">
        <v>44094</v>
      </c>
      <c r="L2117" t="s">
        <v>14</v>
      </c>
      <c r="M2117">
        <v>41.02</v>
      </c>
      <c r="N2117">
        <v>41.02</v>
      </c>
      <c r="O2117" t="s">
        <v>21</v>
      </c>
      <c r="P2117">
        <f t="shared" si="102"/>
        <v>1</v>
      </c>
      <c r="Q2117" s="11">
        <f>IF(P2117=0,0,IFERROR(Q2116+G2117*M2117*IF(E2117="FUTURE",VLOOKUP(MID(I2117,2,2),[1]Futures!$A$2:$B$12,2),1),G2117*M2117*IF(E2117="FUTURE",VLOOKUP(MID(I2117,2,2),[1]Futures!$A$2:$B$12,2),1)))</f>
        <v>41000</v>
      </c>
      <c r="R2117" s="12">
        <f>IFERROR(Q2117/P2117/IF(E2117="FUTURE",VLOOKUP(MID(I2117,2,2),[1]Futures!$A$2:$B$12,2),1),"")</f>
        <v>41</v>
      </c>
      <c r="S2117" s="13" t="str">
        <f>IF(AND(H2117="TO CLOSE",P2117=0),-G2117*(M2117-R2116)*IF(E2117="FUTURE",VLOOKUP(MID(I2117,2,2),[1]Futures!$A$2:$B$12,2),1),"")</f>
        <v/>
      </c>
    </row>
    <row r="2118" spans="1:19" x14ac:dyDescent="0.2">
      <c r="A2118">
        <f t="shared" si="101"/>
        <v>693</v>
      </c>
      <c r="B2118" s="3">
        <v>44029</v>
      </c>
      <c r="C2118" s="3" t="str">
        <f t="shared" si="100"/>
        <v>Friday</v>
      </c>
      <c r="D2118" s="2">
        <v>0.57817129629629627</v>
      </c>
      <c r="E2118" t="s">
        <v>14</v>
      </c>
      <c r="F2118" t="s">
        <v>15</v>
      </c>
      <c r="G2118">
        <v>-1</v>
      </c>
      <c r="H2118" t="s">
        <v>16</v>
      </c>
      <c r="I2118" t="s">
        <v>81</v>
      </c>
      <c r="J2118" s="1">
        <v>44094</v>
      </c>
      <c r="L2118" t="s">
        <v>14</v>
      </c>
      <c r="M2118">
        <v>40.880000000000003</v>
      </c>
      <c r="N2118">
        <v>40.880000000000003</v>
      </c>
      <c r="O2118" t="s">
        <v>21</v>
      </c>
      <c r="P2118">
        <f t="shared" si="102"/>
        <v>0</v>
      </c>
      <c r="Q2118" s="11">
        <f>IF(P2118=0,0,IFERROR(Q2117+G2118*M2118*IF(E2118="FUTURE",VLOOKUP(MID(I2118,2,2),[1]Futures!$A$2:$B$12,2),1),G2118*M2118*IF(E2118="FUTURE",VLOOKUP(MID(I2118,2,2),[1]Futures!$A$2:$B$12,2),1)))</f>
        <v>0</v>
      </c>
      <c r="R2118" s="12" t="str">
        <f>IFERROR(Q2118/P2118/IF(E2118="FUTURE",VLOOKUP(MID(I2118,2,2),[1]Futures!$A$2:$B$12,2),1),"")</f>
        <v/>
      </c>
      <c r="S2118" s="13">
        <f>IF(AND(H2118="TO CLOSE",P2118=0),-G2118*(M2118-R2117)*IF(E2118="FUTURE",VLOOKUP(MID(I2118,2,2),[1]Futures!$A$2:$B$12,2),1),"")</f>
        <v>-119.99999999999744</v>
      </c>
    </row>
    <row r="2119" spans="1:19" x14ac:dyDescent="0.2">
      <c r="A2119">
        <f t="shared" si="101"/>
        <v>694</v>
      </c>
      <c r="B2119" s="3">
        <v>44029</v>
      </c>
      <c r="C2119" s="3" t="str">
        <f t="shared" si="100"/>
        <v>Friday</v>
      </c>
      <c r="D2119" s="2">
        <v>0.39525462962962959</v>
      </c>
      <c r="E2119" t="s">
        <v>14</v>
      </c>
      <c r="F2119" t="s">
        <v>19</v>
      </c>
      <c r="G2119">
        <v>1</v>
      </c>
      <c r="H2119" t="s">
        <v>20</v>
      </c>
      <c r="I2119" t="s">
        <v>79</v>
      </c>
      <c r="J2119" s="1">
        <v>44094</v>
      </c>
      <c r="L2119" t="s">
        <v>14</v>
      </c>
      <c r="M2119">
        <v>3217</v>
      </c>
      <c r="N2119">
        <v>3217</v>
      </c>
      <c r="O2119" t="s">
        <v>21</v>
      </c>
      <c r="P2119">
        <f t="shared" si="102"/>
        <v>1</v>
      </c>
      <c r="Q2119" s="11">
        <f>IF(P2119=0,0,IFERROR(Q2118+G2119*M2119*IF(E2119="FUTURE",VLOOKUP(MID(I2119,2,2),[1]Futures!$A$2:$B$12,2),1),G2119*M2119*IF(E2119="FUTURE",VLOOKUP(MID(I2119,2,2),[1]Futures!$A$2:$B$12,2),1)))</f>
        <v>160850</v>
      </c>
      <c r="R2119" s="12">
        <f>IFERROR(Q2119/P2119/IF(E2119="FUTURE",VLOOKUP(MID(I2119,2,2),[1]Futures!$A$2:$B$12,2),1),"")</f>
        <v>3217</v>
      </c>
      <c r="S2119" s="13" t="str">
        <f>IF(AND(H2119="TO CLOSE",P2119=0),-G2119*(M2119-R2118)*IF(E2119="FUTURE",VLOOKUP(MID(I2119,2,2),[1]Futures!$A$2:$B$12,2),1),"")</f>
        <v/>
      </c>
    </row>
    <row r="2120" spans="1:19" x14ac:dyDescent="0.2">
      <c r="A2120">
        <f t="shared" si="101"/>
        <v>694</v>
      </c>
      <c r="B2120" s="3">
        <v>44029</v>
      </c>
      <c r="C2120" s="3" t="str">
        <f t="shared" si="100"/>
        <v>Friday</v>
      </c>
      <c r="D2120" s="2">
        <v>0.58057870370370368</v>
      </c>
      <c r="E2120" t="s">
        <v>14</v>
      </c>
      <c r="F2120" t="s">
        <v>15</v>
      </c>
      <c r="G2120">
        <v>-1</v>
      </c>
      <c r="H2120" t="s">
        <v>16</v>
      </c>
      <c r="I2120" t="s">
        <v>79</v>
      </c>
      <c r="J2120" s="1">
        <v>44094</v>
      </c>
      <c r="L2120" t="s">
        <v>14</v>
      </c>
      <c r="M2120">
        <v>3211</v>
      </c>
      <c r="N2120">
        <v>3211</v>
      </c>
      <c r="O2120" t="s">
        <v>21</v>
      </c>
      <c r="P2120">
        <f t="shared" si="102"/>
        <v>0</v>
      </c>
      <c r="Q2120" s="11">
        <f>IF(P2120=0,0,IFERROR(Q2119+G2120*M2120*IF(E2120="FUTURE",VLOOKUP(MID(I2120,2,2),[1]Futures!$A$2:$B$12,2),1),G2120*M2120*IF(E2120="FUTURE",VLOOKUP(MID(I2120,2,2),[1]Futures!$A$2:$B$12,2),1)))</f>
        <v>0</v>
      </c>
      <c r="R2120" s="12" t="str">
        <f>IFERROR(Q2120/P2120/IF(E2120="FUTURE",VLOOKUP(MID(I2120,2,2),[1]Futures!$A$2:$B$12,2),1),"")</f>
        <v/>
      </c>
      <c r="S2120" s="13">
        <f>IF(AND(H2120="TO CLOSE",P2120=0),-G2120*(M2120-R2119)*IF(E2120="FUTURE",VLOOKUP(MID(I2120,2,2),[1]Futures!$A$2:$B$12,2),1),"")</f>
        <v>-300</v>
      </c>
    </row>
    <row r="2121" spans="1:19" x14ac:dyDescent="0.2">
      <c r="A2121">
        <f t="shared" si="101"/>
        <v>695</v>
      </c>
      <c r="B2121" s="3">
        <v>44029</v>
      </c>
      <c r="C2121" s="3" t="str">
        <f t="shared" si="100"/>
        <v>Friday</v>
      </c>
      <c r="D2121" s="2">
        <v>0.40819444444444447</v>
      </c>
      <c r="E2121" t="s">
        <v>22</v>
      </c>
      <c r="F2121" t="s">
        <v>15</v>
      </c>
      <c r="G2121">
        <v>-300</v>
      </c>
      <c r="H2121" t="s">
        <v>20</v>
      </c>
      <c r="I2121" t="s">
        <v>23</v>
      </c>
      <c r="L2121" t="s">
        <v>22</v>
      </c>
      <c r="M2121">
        <v>31.46</v>
      </c>
      <c r="N2121">
        <v>31.46</v>
      </c>
      <c r="O2121" t="s">
        <v>21</v>
      </c>
      <c r="P2121">
        <f t="shared" si="102"/>
        <v>-300</v>
      </c>
      <c r="Q2121" s="11">
        <f>IF(P2121=0,0,IFERROR(Q2120+G2121*M2121*IF(E2121="FUTURE",VLOOKUP(MID(I2121,2,2),[1]Futures!$A$2:$B$12,2),1),G2121*M2121*IF(E2121="FUTURE",VLOOKUP(MID(I2121,2,2),[1]Futures!$A$2:$B$12,2),1)))</f>
        <v>-9438</v>
      </c>
      <c r="R2121" s="12">
        <f>IFERROR(Q2121/P2121/IF(E2121="FUTURE",VLOOKUP(MID(I2121,2,2),[1]Futures!$A$2:$B$12,2),1),"")</f>
        <v>31.46</v>
      </c>
      <c r="S2121" s="13" t="str">
        <f>IF(AND(H2121="TO CLOSE",P2121=0),-G2121*(M2121-R2120)*IF(E2121="FUTURE",VLOOKUP(MID(I2121,2,2),[1]Futures!$A$2:$B$12,2),1),"")</f>
        <v/>
      </c>
    </row>
    <row r="2122" spans="1:19" x14ac:dyDescent="0.2">
      <c r="A2122">
        <f t="shared" si="101"/>
        <v>695</v>
      </c>
      <c r="B2122" s="3">
        <v>44029</v>
      </c>
      <c r="C2122" s="3" t="str">
        <f t="shared" si="100"/>
        <v>Friday</v>
      </c>
      <c r="D2122" s="2">
        <v>0.41657407407407404</v>
      </c>
      <c r="E2122" t="s">
        <v>22</v>
      </c>
      <c r="F2122" t="s">
        <v>19</v>
      </c>
      <c r="G2122">
        <v>300</v>
      </c>
      <c r="H2122" t="s">
        <v>16</v>
      </c>
      <c r="I2122" t="s">
        <v>23</v>
      </c>
      <c r="L2122" t="s">
        <v>22</v>
      </c>
      <c r="M2122">
        <v>31.45</v>
      </c>
      <c r="N2122">
        <v>31.45</v>
      </c>
      <c r="O2122" t="s">
        <v>18</v>
      </c>
      <c r="P2122">
        <f t="shared" si="102"/>
        <v>0</v>
      </c>
      <c r="Q2122" s="11">
        <f>IF(P2122=0,0,IFERROR(Q2121+G2122*M2122*IF(E2122="FUTURE",VLOOKUP(MID(I2122,2,2),[1]Futures!$A$2:$B$12,2),1),G2122*M2122*IF(E2122="FUTURE",VLOOKUP(MID(I2122,2,2),[1]Futures!$A$2:$B$12,2),1)))</f>
        <v>0</v>
      </c>
      <c r="R2122" s="12" t="str">
        <f>IFERROR(Q2122/P2122/IF(E2122="FUTURE",VLOOKUP(MID(I2122,2,2),[1]Futures!$A$2:$B$12,2),1),"")</f>
        <v/>
      </c>
      <c r="S2122" s="13">
        <f>IF(AND(H2122="TO CLOSE",P2122=0),-G2122*(M2122-R2121)*IF(E2122="FUTURE",VLOOKUP(MID(I2122,2,2),[1]Futures!$A$2:$B$12,2),1),"")</f>
        <v>3.000000000000469</v>
      </c>
    </row>
    <row r="2123" spans="1:19" x14ac:dyDescent="0.2">
      <c r="A2123">
        <f t="shared" si="101"/>
        <v>696</v>
      </c>
      <c r="B2123" s="3">
        <v>44029</v>
      </c>
      <c r="C2123" s="3" t="str">
        <f t="shared" si="100"/>
        <v>Friday</v>
      </c>
      <c r="D2123" s="2">
        <v>0.41657407407407404</v>
      </c>
      <c r="E2123" t="s">
        <v>22</v>
      </c>
      <c r="F2123" t="s">
        <v>19</v>
      </c>
      <c r="G2123">
        <v>100</v>
      </c>
      <c r="H2123" t="s">
        <v>20</v>
      </c>
      <c r="I2123" t="s">
        <v>23</v>
      </c>
      <c r="L2123" t="s">
        <v>22</v>
      </c>
      <c r="M2123">
        <v>31.449000000000002</v>
      </c>
      <c r="N2123">
        <v>31.449000000000002</v>
      </c>
      <c r="O2123" t="s">
        <v>18</v>
      </c>
      <c r="P2123">
        <f t="shared" si="102"/>
        <v>100</v>
      </c>
      <c r="Q2123" s="11">
        <f>IF(P2123=0,0,IFERROR(Q2122+G2123*M2123*IF(E2123="FUTURE",VLOOKUP(MID(I2123,2,2),[1]Futures!$A$2:$B$12,2),1),G2123*M2123*IF(E2123="FUTURE",VLOOKUP(MID(I2123,2,2),[1]Futures!$A$2:$B$12,2),1)))</f>
        <v>3144.9</v>
      </c>
      <c r="R2123" s="12">
        <f>IFERROR(Q2123/P2123/IF(E2123="FUTURE",VLOOKUP(MID(I2123,2,2),[1]Futures!$A$2:$B$12,2),1),"")</f>
        <v>31.449000000000002</v>
      </c>
      <c r="S2123" s="13" t="str">
        <f>IF(AND(H2123="TO CLOSE",P2123=0),-G2123*(M2123-R2122)*IF(E2123="FUTURE",VLOOKUP(MID(I2123,2,2),[1]Futures!$A$2:$B$12,2),1),"")</f>
        <v/>
      </c>
    </row>
    <row r="2124" spans="1:19" x14ac:dyDescent="0.2">
      <c r="A2124">
        <f t="shared" si="101"/>
        <v>696</v>
      </c>
      <c r="B2124" s="3">
        <v>44029</v>
      </c>
      <c r="C2124" s="3" t="str">
        <f t="shared" si="100"/>
        <v>Friday</v>
      </c>
      <c r="D2124" s="2">
        <v>0.41759259259259257</v>
      </c>
      <c r="E2124" t="s">
        <v>22</v>
      </c>
      <c r="F2124" t="s">
        <v>15</v>
      </c>
      <c r="G2124">
        <v>-100</v>
      </c>
      <c r="H2124" t="s">
        <v>16</v>
      </c>
      <c r="I2124" t="s">
        <v>23</v>
      </c>
      <c r="L2124" t="s">
        <v>22</v>
      </c>
      <c r="M2124">
        <v>31.45</v>
      </c>
      <c r="N2124">
        <v>31.45</v>
      </c>
      <c r="O2124" t="s">
        <v>21</v>
      </c>
      <c r="P2124">
        <f t="shared" si="102"/>
        <v>0</v>
      </c>
      <c r="Q2124" s="11">
        <f>IF(P2124=0,0,IFERROR(Q2123+G2124*M2124*IF(E2124="FUTURE",VLOOKUP(MID(I2124,2,2),[1]Futures!$A$2:$B$12,2),1),G2124*M2124*IF(E2124="FUTURE",VLOOKUP(MID(I2124,2,2),[1]Futures!$A$2:$B$12,2),1)))</f>
        <v>0</v>
      </c>
      <c r="R2124" s="12" t="str">
        <f>IFERROR(Q2124/P2124/IF(E2124="FUTURE",VLOOKUP(MID(I2124,2,2),[1]Futures!$A$2:$B$12,2),1),"")</f>
        <v/>
      </c>
      <c r="S2124" s="13">
        <f>IF(AND(H2124="TO CLOSE",P2124=0),-G2124*(M2124-R2123)*IF(E2124="FUTURE",VLOOKUP(MID(I2124,2,2),[1]Futures!$A$2:$B$12,2),1),"")</f>
        <v>9.9999999999766942E-2</v>
      </c>
    </row>
    <row r="2125" spans="1:19" x14ac:dyDescent="0.2">
      <c r="A2125">
        <f t="shared" si="101"/>
        <v>697</v>
      </c>
      <c r="B2125" s="3">
        <v>44032</v>
      </c>
      <c r="C2125" s="3" t="str">
        <f t="shared" si="100"/>
        <v>Monday</v>
      </c>
      <c r="D2125" s="2">
        <v>0.39959490740740744</v>
      </c>
      <c r="E2125" t="s">
        <v>14</v>
      </c>
      <c r="F2125" t="s">
        <v>19</v>
      </c>
      <c r="G2125">
        <v>1</v>
      </c>
      <c r="H2125" t="s">
        <v>20</v>
      </c>
      <c r="I2125" t="s">
        <v>81</v>
      </c>
      <c r="J2125" s="1">
        <v>44094</v>
      </c>
      <c r="L2125" t="s">
        <v>14</v>
      </c>
      <c r="M2125">
        <v>40.49</v>
      </c>
      <c r="N2125">
        <v>40.49</v>
      </c>
      <c r="O2125" t="s">
        <v>21</v>
      </c>
      <c r="P2125">
        <f t="shared" si="102"/>
        <v>1</v>
      </c>
      <c r="Q2125" s="11">
        <f>IF(P2125=0,0,IFERROR(Q2124+G2125*M2125*IF(E2125="FUTURE",VLOOKUP(MID(I2125,2,2),[1]Futures!$A$2:$B$12,2),1),G2125*M2125*IF(E2125="FUTURE",VLOOKUP(MID(I2125,2,2),[1]Futures!$A$2:$B$12,2),1)))</f>
        <v>40490</v>
      </c>
      <c r="R2125" s="12">
        <f>IFERROR(Q2125/P2125/IF(E2125="FUTURE",VLOOKUP(MID(I2125,2,2),[1]Futures!$A$2:$B$12,2),1),"")</f>
        <v>40.49</v>
      </c>
      <c r="S2125" s="13" t="str">
        <f>IF(AND(H2125="TO CLOSE",P2125=0),-G2125*(M2125-R2124)*IF(E2125="FUTURE",VLOOKUP(MID(I2125,2,2),[1]Futures!$A$2:$B$12,2),1),"")</f>
        <v/>
      </c>
    </row>
    <row r="2126" spans="1:19" x14ac:dyDescent="0.2">
      <c r="A2126">
        <f t="shared" si="101"/>
        <v>697</v>
      </c>
      <c r="B2126" s="3">
        <v>44032</v>
      </c>
      <c r="C2126" s="3" t="str">
        <f t="shared" si="100"/>
        <v>Monday</v>
      </c>
      <c r="D2126" s="2">
        <v>0.40143518518518517</v>
      </c>
      <c r="E2126" t="s">
        <v>14</v>
      </c>
      <c r="F2126" t="s">
        <v>19</v>
      </c>
      <c r="G2126">
        <v>1</v>
      </c>
      <c r="H2126" t="s">
        <v>20</v>
      </c>
      <c r="I2126" t="s">
        <v>81</v>
      </c>
      <c r="J2126" s="1">
        <v>44094</v>
      </c>
      <c r="L2126" t="s">
        <v>14</v>
      </c>
      <c r="M2126">
        <v>40.47</v>
      </c>
      <c r="N2126">
        <v>40.47</v>
      </c>
      <c r="O2126" t="s">
        <v>24</v>
      </c>
      <c r="P2126">
        <f t="shared" si="102"/>
        <v>2</v>
      </c>
      <c r="Q2126" s="11">
        <f>IF(P2126=0,0,IFERROR(Q2125+G2126*M2126*IF(E2126="FUTURE",VLOOKUP(MID(I2126,2,2),[1]Futures!$A$2:$B$12,2),1),G2126*M2126*IF(E2126="FUTURE",VLOOKUP(MID(I2126,2,2),[1]Futures!$A$2:$B$12,2),1)))</f>
        <v>80960</v>
      </c>
      <c r="R2126" s="12">
        <f>IFERROR(Q2126/P2126/IF(E2126="FUTURE",VLOOKUP(MID(I2126,2,2),[1]Futures!$A$2:$B$12,2),1),"")</f>
        <v>40.479999999999997</v>
      </c>
      <c r="S2126" s="13" t="str">
        <f>IF(AND(H2126="TO CLOSE",P2126=0),-G2126*(M2126-R2125)*IF(E2126="FUTURE",VLOOKUP(MID(I2126,2,2),[1]Futures!$A$2:$B$12,2),1),"")</f>
        <v/>
      </c>
    </row>
    <row r="2127" spans="1:19" x14ac:dyDescent="0.2">
      <c r="A2127">
        <f t="shared" si="101"/>
        <v>697</v>
      </c>
      <c r="B2127" s="3">
        <v>44032</v>
      </c>
      <c r="C2127" s="3" t="str">
        <f t="shared" si="100"/>
        <v>Monday</v>
      </c>
      <c r="D2127" s="2">
        <v>0.40361111111111114</v>
      </c>
      <c r="E2127" t="s">
        <v>14</v>
      </c>
      <c r="F2127" t="s">
        <v>15</v>
      </c>
      <c r="G2127">
        <v>-1</v>
      </c>
      <c r="H2127" t="s">
        <v>16</v>
      </c>
      <c r="I2127" t="s">
        <v>81</v>
      </c>
      <c r="J2127" s="1">
        <v>44094</v>
      </c>
      <c r="L2127" t="s">
        <v>14</v>
      </c>
      <c r="M2127">
        <v>40.49</v>
      </c>
      <c r="N2127">
        <v>40.49</v>
      </c>
      <c r="O2127" t="s">
        <v>21</v>
      </c>
      <c r="P2127">
        <f t="shared" si="102"/>
        <v>1</v>
      </c>
      <c r="Q2127" s="11">
        <f>IF(P2127=0,0,IFERROR(Q2126+G2127*M2127*IF(E2127="FUTURE",VLOOKUP(MID(I2127,2,2),[1]Futures!$A$2:$B$12,2),1),G2127*M2127*IF(E2127="FUTURE",VLOOKUP(MID(I2127,2,2),[1]Futures!$A$2:$B$12,2),1)))</f>
        <v>40470</v>
      </c>
      <c r="R2127" s="12">
        <f>IFERROR(Q2127/P2127/IF(E2127="FUTURE",VLOOKUP(MID(I2127,2,2),[1]Futures!$A$2:$B$12,2),1),"")</f>
        <v>40.47</v>
      </c>
      <c r="S2127" s="13" t="str">
        <f>IF(AND(H2127="TO CLOSE",P2127=0),-G2127*(M2127-R2126)*IF(E2127="FUTURE",VLOOKUP(MID(I2127,2,2),[1]Futures!$A$2:$B$12,2),1),"")</f>
        <v/>
      </c>
    </row>
    <row r="2128" spans="1:19" x14ac:dyDescent="0.2">
      <c r="A2128">
        <f t="shared" si="101"/>
        <v>697</v>
      </c>
      <c r="B2128" s="3">
        <v>44032</v>
      </c>
      <c r="C2128" s="3" t="str">
        <f t="shared" si="100"/>
        <v>Monday</v>
      </c>
      <c r="D2128" s="2">
        <v>0.41699074074074072</v>
      </c>
      <c r="E2128" t="s">
        <v>14</v>
      </c>
      <c r="F2128" t="s">
        <v>19</v>
      </c>
      <c r="G2128">
        <v>1</v>
      </c>
      <c r="H2128" t="s">
        <v>20</v>
      </c>
      <c r="I2128" t="s">
        <v>81</v>
      </c>
      <c r="J2128" s="1">
        <v>44094</v>
      </c>
      <c r="L2128" t="s">
        <v>14</v>
      </c>
      <c r="M2128">
        <v>39.99</v>
      </c>
      <c r="N2128">
        <v>39.99</v>
      </c>
      <c r="O2128" t="s">
        <v>21</v>
      </c>
      <c r="P2128">
        <f t="shared" si="102"/>
        <v>2</v>
      </c>
      <c r="Q2128" s="11">
        <f>IF(P2128=0,0,IFERROR(Q2127+G2128*M2128*IF(E2128="FUTURE",VLOOKUP(MID(I2128,2,2),[1]Futures!$A$2:$B$12,2),1),G2128*M2128*IF(E2128="FUTURE",VLOOKUP(MID(I2128,2,2),[1]Futures!$A$2:$B$12,2),1)))</f>
        <v>80460</v>
      </c>
      <c r="R2128" s="12">
        <f>IFERROR(Q2128/P2128/IF(E2128="FUTURE",VLOOKUP(MID(I2128,2,2),[1]Futures!$A$2:$B$12,2),1),"")</f>
        <v>40.229999999999997</v>
      </c>
      <c r="S2128" s="13" t="str">
        <f>IF(AND(H2128="TO CLOSE",P2128=0),-G2128*(M2128-R2127)*IF(E2128="FUTURE",VLOOKUP(MID(I2128,2,2),[1]Futures!$A$2:$B$12,2),1),"")</f>
        <v/>
      </c>
    </row>
    <row r="2129" spans="1:19" x14ac:dyDescent="0.2">
      <c r="A2129">
        <f t="shared" si="101"/>
        <v>697</v>
      </c>
      <c r="B2129" s="3">
        <v>44032</v>
      </c>
      <c r="C2129" s="3" t="str">
        <f t="shared" si="100"/>
        <v>Monday</v>
      </c>
      <c r="D2129" s="2">
        <v>0.41741898148148149</v>
      </c>
      <c r="E2129" t="s">
        <v>14</v>
      </c>
      <c r="F2129" t="s">
        <v>15</v>
      </c>
      <c r="G2129">
        <v>-1</v>
      </c>
      <c r="H2129" t="s">
        <v>16</v>
      </c>
      <c r="I2129" t="s">
        <v>81</v>
      </c>
      <c r="J2129" s="1">
        <v>44094</v>
      </c>
      <c r="L2129" t="s">
        <v>14</v>
      </c>
      <c r="M2129">
        <v>40.11</v>
      </c>
      <c r="N2129">
        <v>40.11</v>
      </c>
      <c r="O2129" t="s">
        <v>21</v>
      </c>
      <c r="P2129">
        <f t="shared" si="102"/>
        <v>1</v>
      </c>
      <c r="Q2129" s="11">
        <f>IF(P2129=0,0,IFERROR(Q2128+G2129*M2129*IF(E2129="FUTURE",VLOOKUP(MID(I2129,2,2),[1]Futures!$A$2:$B$12,2),1),G2129*M2129*IF(E2129="FUTURE",VLOOKUP(MID(I2129,2,2),[1]Futures!$A$2:$B$12,2),1)))</f>
        <v>40350</v>
      </c>
      <c r="R2129" s="12">
        <f>IFERROR(Q2129/P2129/IF(E2129="FUTURE",VLOOKUP(MID(I2129,2,2),[1]Futures!$A$2:$B$12,2),1),"")</f>
        <v>40.35</v>
      </c>
      <c r="S2129" s="13" t="str">
        <f>IF(AND(H2129="TO CLOSE",P2129=0),-G2129*(M2129-R2128)*IF(E2129="FUTURE",VLOOKUP(MID(I2129,2,2),[1]Futures!$A$2:$B$12,2),1),"")</f>
        <v/>
      </c>
    </row>
    <row r="2130" spans="1:19" x14ac:dyDescent="0.2">
      <c r="A2130">
        <f t="shared" si="101"/>
        <v>697</v>
      </c>
      <c r="B2130" s="3">
        <v>44032</v>
      </c>
      <c r="C2130" s="3" t="str">
        <f t="shared" si="100"/>
        <v>Monday</v>
      </c>
      <c r="D2130" s="2">
        <v>0.4196064814814815</v>
      </c>
      <c r="E2130" t="s">
        <v>14</v>
      </c>
      <c r="F2130" t="s">
        <v>19</v>
      </c>
      <c r="G2130">
        <v>1</v>
      </c>
      <c r="H2130" t="s">
        <v>20</v>
      </c>
      <c r="I2130" t="s">
        <v>81</v>
      </c>
      <c r="J2130" s="1">
        <v>44094</v>
      </c>
      <c r="L2130" t="s">
        <v>14</v>
      </c>
      <c r="M2130">
        <v>40.06</v>
      </c>
      <c r="N2130">
        <v>40.06</v>
      </c>
      <c r="O2130" t="s">
        <v>24</v>
      </c>
      <c r="P2130">
        <f t="shared" si="102"/>
        <v>2</v>
      </c>
      <c r="Q2130" s="11">
        <f>IF(P2130=0,0,IFERROR(Q2129+G2130*M2130*IF(E2130="FUTURE",VLOOKUP(MID(I2130,2,2),[1]Futures!$A$2:$B$12,2),1),G2130*M2130*IF(E2130="FUTURE",VLOOKUP(MID(I2130,2,2),[1]Futures!$A$2:$B$12,2),1)))</f>
        <v>80410</v>
      </c>
      <c r="R2130" s="12">
        <f>IFERROR(Q2130/P2130/IF(E2130="FUTURE",VLOOKUP(MID(I2130,2,2),[1]Futures!$A$2:$B$12,2),1),"")</f>
        <v>40.204999999999998</v>
      </c>
      <c r="S2130" s="13" t="str">
        <f>IF(AND(H2130="TO CLOSE",P2130=0),-G2130*(M2130-R2129)*IF(E2130="FUTURE",VLOOKUP(MID(I2130,2,2),[1]Futures!$A$2:$B$12,2),1),"")</f>
        <v/>
      </c>
    </row>
    <row r="2131" spans="1:19" x14ac:dyDescent="0.2">
      <c r="A2131">
        <f t="shared" si="101"/>
        <v>697</v>
      </c>
      <c r="B2131" s="3">
        <v>44032</v>
      </c>
      <c r="C2131" s="3" t="str">
        <f t="shared" si="100"/>
        <v>Monday</v>
      </c>
      <c r="D2131" s="2">
        <v>0.42122685185185182</v>
      </c>
      <c r="E2131" t="s">
        <v>14</v>
      </c>
      <c r="F2131" t="s">
        <v>15</v>
      </c>
      <c r="G2131">
        <v>-1</v>
      </c>
      <c r="H2131" t="s">
        <v>16</v>
      </c>
      <c r="I2131" t="s">
        <v>81</v>
      </c>
      <c r="J2131" s="1">
        <v>44094</v>
      </c>
      <c r="L2131" t="s">
        <v>14</v>
      </c>
      <c r="M2131">
        <v>40.17</v>
      </c>
      <c r="N2131">
        <v>40.17</v>
      </c>
      <c r="O2131" t="s">
        <v>21</v>
      </c>
      <c r="P2131">
        <f t="shared" si="102"/>
        <v>1</v>
      </c>
      <c r="Q2131" s="11">
        <f>IF(P2131=0,0,IFERROR(Q2130+G2131*M2131*IF(E2131="FUTURE",VLOOKUP(MID(I2131,2,2),[1]Futures!$A$2:$B$12,2),1),G2131*M2131*IF(E2131="FUTURE",VLOOKUP(MID(I2131,2,2),[1]Futures!$A$2:$B$12,2),1)))</f>
        <v>40240</v>
      </c>
      <c r="R2131" s="12">
        <f>IFERROR(Q2131/P2131/IF(E2131="FUTURE",VLOOKUP(MID(I2131,2,2),[1]Futures!$A$2:$B$12,2),1),"")</f>
        <v>40.24</v>
      </c>
      <c r="S2131" s="13" t="str">
        <f>IF(AND(H2131="TO CLOSE",P2131=0),-G2131*(M2131-R2130)*IF(E2131="FUTURE",VLOOKUP(MID(I2131,2,2),[1]Futures!$A$2:$B$12,2),1),"")</f>
        <v/>
      </c>
    </row>
    <row r="2132" spans="1:19" x14ac:dyDescent="0.2">
      <c r="A2132">
        <f t="shared" si="101"/>
        <v>697</v>
      </c>
      <c r="B2132" s="3">
        <v>44032</v>
      </c>
      <c r="C2132" s="3" t="str">
        <f t="shared" si="100"/>
        <v>Monday</v>
      </c>
      <c r="D2132" s="2">
        <v>0.4346180555555556</v>
      </c>
      <c r="E2132" t="s">
        <v>14</v>
      </c>
      <c r="F2132" t="s">
        <v>15</v>
      </c>
      <c r="G2132">
        <v>-1</v>
      </c>
      <c r="H2132" t="s">
        <v>16</v>
      </c>
      <c r="I2132" t="s">
        <v>81</v>
      </c>
      <c r="J2132" s="1">
        <v>44094</v>
      </c>
      <c r="L2132" t="s">
        <v>14</v>
      </c>
      <c r="M2132">
        <v>40.57</v>
      </c>
      <c r="N2132">
        <v>40.57</v>
      </c>
      <c r="O2132" t="s">
        <v>21</v>
      </c>
      <c r="P2132">
        <f t="shared" si="102"/>
        <v>0</v>
      </c>
      <c r="Q2132" s="11">
        <f>IF(P2132=0,0,IFERROR(Q2131+G2132*M2132*IF(E2132="FUTURE",VLOOKUP(MID(I2132,2,2),[1]Futures!$A$2:$B$12,2),1),G2132*M2132*IF(E2132="FUTURE",VLOOKUP(MID(I2132,2,2),[1]Futures!$A$2:$B$12,2),1)))</f>
        <v>0</v>
      </c>
      <c r="R2132" s="12" t="str">
        <f>IFERROR(Q2132/P2132/IF(E2132="FUTURE",VLOOKUP(MID(I2132,2,2),[1]Futures!$A$2:$B$12,2),1),"")</f>
        <v/>
      </c>
      <c r="S2132" s="13">
        <f>IF(AND(H2132="TO CLOSE",P2132=0),-G2132*(M2132-R2131)*IF(E2132="FUTURE",VLOOKUP(MID(I2132,2,2),[1]Futures!$A$2:$B$12,2),1),"")</f>
        <v>329.99999999999829</v>
      </c>
    </row>
    <row r="2133" spans="1:19" x14ac:dyDescent="0.2">
      <c r="A2133">
        <f t="shared" si="101"/>
        <v>698</v>
      </c>
      <c r="B2133" s="3">
        <v>44032</v>
      </c>
      <c r="C2133" s="3" t="str">
        <f t="shared" si="100"/>
        <v>Monday</v>
      </c>
      <c r="D2133" s="2">
        <v>0.48221064814814812</v>
      </c>
      <c r="E2133" t="s">
        <v>14</v>
      </c>
      <c r="F2133" t="s">
        <v>19</v>
      </c>
      <c r="G2133">
        <v>1</v>
      </c>
      <c r="H2133" t="s">
        <v>20</v>
      </c>
      <c r="I2133" t="s">
        <v>81</v>
      </c>
      <c r="J2133" s="1">
        <v>44094</v>
      </c>
      <c r="L2133" t="s">
        <v>14</v>
      </c>
      <c r="M2133">
        <v>40.71</v>
      </c>
      <c r="N2133">
        <v>40.71</v>
      </c>
      <c r="O2133" t="s">
        <v>21</v>
      </c>
      <c r="P2133">
        <f t="shared" si="102"/>
        <v>1</v>
      </c>
      <c r="Q2133" s="11">
        <f>IF(P2133=0,0,IFERROR(Q2132+G2133*M2133*IF(E2133="FUTURE",VLOOKUP(MID(I2133,2,2),[1]Futures!$A$2:$B$12,2),1),G2133*M2133*IF(E2133="FUTURE",VLOOKUP(MID(I2133,2,2),[1]Futures!$A$2:$B$12,2),1)))</f>
        <v>40710</v>
      </c>
      <c r="R2133" s="12">
        <f>IFERROR(Q2133/P2133/IF(E2133="FUTURE",VLOOKUP(MID(I2133,2,2),[1]Futures!$A$2:$B$12,2),1),"")</f>
        <v>40.71</v>
      </c>
      <c r="S2133" s="13" t="str">
        <f>IF(AND(H2133="TO CLOSE",P2133=0),-G2133*(M2133-R2132)*IF(E2133="FUTURE",VLOOKUP(MID(I2133,2,2),[1]Futures!$A$2:$B$12,2),1),"")</f>
        <v/>
      </c>
    </row>
    <row r="2134" spans="1:19" x14ac:dyDescent="0.2">
      <c r="A2134">
        <f t="shared" si="101"/>
        <v>698</v>
      </c>
      <c r="B2134" s="3">
        <v>44032</v>
      </c>
      <c r="C2134" s="3" t="str">
        <f t="shared" si="100"/>
        <v>Monday</v>
      </c>
      <c r="D2134" s="2">
        <v>0.4833796296296296</v>
      </c>
      <c r="E2134" t="s">
        <v>14</v>
      </c>
      <c r="F2134" t="s">
        <v>15</v>
      </c>
      <c r="G2134">
        <v>-1</v>
      </c>
      <c r="H2134" t="s">
        <v>16</v>
      </c>
      <c r="I2134" t="s">
        <v>81</v>
      </c>
      <c r="J2134" s="1">
        <v>44094</v>
      </c>
      <c r="L2134" t="s">
        <v>14</v>
      </c>
      <c r="M2134">
        <v>40.72</v>
      </c>
      <c r="N2134">
        <v>40.72</v>
      </c>
      <c r="O2134" t="s">
        <v>21</v>
      </c>
      <c r="P2134">
        <f t="shared" si="102"/>
        <v>0</v>
      </c>
      <c r="Q2134" s="11">
        <f>IF(P2134=0,0,IFERROR(Q2133+G2134*M2134*IF(E2134="FUTURE",VLOOKUP(MID(I2134,2,2),[1]Futures!$A$2:$B$12,2),1),G2134*M2134*IF(E2134="FUTURE",VLOOKUP(MID(I2134,2,2),[1]Futures!$A$2:$B$12,2),1)))</f>
        <v>0</v>
      </c>
      <c r="R2134" s="12" t="str">
        <f>IFERROR(Q2134/P2134/IF(E2134="FUTURE",VLOOKUP(MID(I2134,2,2),[1]Futures!$A$2:$B$12,2),1),"")</f>
        <v/>
      </c>
      <c r="S2134" s="13">
        <f>IF(AND(H2134="TO CLOSE",P2134=0),-G2134*(M2134-R2133)*IF(E2134="FUTURE",VLOOKUP(MID(I2134,2,2),[1]Futures!$A$2:$B$12,2),1),"")</f>
        <v>9.9999999999980105</v>
      </c>
    </row>
    <row r="2135" spans="1:19" x14ac:dyDescent="0.2">
      <c r="A2135">
        <f t="shared" si="101"/>
        <v>699</v>
      </c>
      <c r="B2135" s="3">
        <v>44032</v>
      </c>
      <c r="C2135" s="3" t="str">
        <f t="shared" si="100"/>
        <v>Monday</v>
      </c>
      <c r="D2135" s="2">
        <v>0.4616898148148148</v>
      </c>
      <c r="E2135" t="s">
        <v>14</v>
      </c>
      <c r="F2135" t="s">
        <v>19</v>
      </c>
      <c r="G2135">
        <v>1</v>
      </c>
      <c r="H2135" t="s">
        <v>20</v>
      </c>
      <c r="I2135" t="s">
        <v>79</v>
      </c>
      <c r="J2135" s="1">
        <v>44094</v>
      </c>
      <c r="L2135" t="s">
        <v>14</v>
      </c>
      <c r="M2135">
        <v>3224.25</v>
      </c>
      <c r="N2135">
        <v>3224.25</v>
      </c>
      <c r="O2135" t="s">
        <v>24</v>
      </c>
      <c r="P2135">
        <f t="shared" si="102"/>
        <v>1</v>
      </c>
      <c r="Q2135" s="11">
        <f>IF(P2135=0,0,IFERROR(Q2134+G2135*M2135*IF(E2135="FUTURE",VLOOKUP(MID(I2135,2,2),[1]Futures!$A$2:$B$12,2),1),G2135*M2135*IF(E2135="FUTURE",VLOOKUP(MID(I2135,2,2),[1]Futures!$A$2:$B$12,2),1)))</f>
        <v>161212.5</v>
      </c>
      <c r="R2135" s="12">
        <f>IFERROR(Q2135/P2135/IF(E2135="FUTURE",VLOOKUP(MID(I2135,2,2),[1]Futures!$A$2:$B$12,2),1),"")</f>
        <v>3224.25</v>
      </c>
      <c r="S2135" s="13" t="str">
        <f>IF(AND(H2135="TO CLOSE",P2135=0),-G2135*(M2135-R2134)*IF(E2135="FUTURE",VLOOKUP(MID(I2135,2,2),[1]Futures!$A$2:$B$12,2),1),"")</f>
        <v/>
      </c>
    </row>
    <row r="2136" spans="1:19" x14ac:dyDescent="0.2">
      <c r="A2136">
        <f t="shared" si="101"/>
        <v>699</v>
      </c>
      <c r="B2136" s="3">
        <v>44032</v>
      </c>
      <c r="C2136" s="3" t="str">
        <f t="shared" si="100"/>
        <v>Monday</v>
      </c>
      <c r="D2136" s="2">
        <v>0.46576388888888887</v>
      </c>
      <c r="E2136" t="s">
        <v>14</v>
      </c>
      <c r="F2136" t="s">
        <v>15</v>
      </c>
      <c r="G2136">
        <v>-1</v>
      </c>
      <c r="H2136" t="s">
        <v>16</v>
      </c>
      <c r="I2136" t="s">
        <v>79</v>
      </c>
      <c r="J2136" s="1">
        <v>44094</v>
      </c>
      <c r="L2136" t="s">
        <v>14</v>
      </c>
      <c r="M2136">
        <v>3225.25</v>
      </c>
      <c r="N2136">
        <v>3225.25</v>
      </c>
      <c r="O2136" t="s">
        <v>21</v>
      </c>
      <c r="P2136">
        <f t="shared" si="102"/>
        <v>0</v>
      </c>
      <c r="Q2136" s="11">
        <f>IF(P2136=0,0,IFERROR(Q2135+G2136*M2136*IF(E2136="FUTURE",VLOOKUP(MID(I2136,2,2),[1]Futures!$A$2:$B$12,2),1),G2136*M2136*IF(E2136="FUTURE",VLOOKUP(MID(I2136,2,2),[1]Futures!$A$2:$B$12,2),1)))</f>
        <v>0</v>
      </c>
      <c r="R2136" s="12" t="str">
        <f>IFERROR(Q2136/P2136/IF(E2136="FUTURE",VLOOKUP(MID(I2136,2,2),[1]Futures!$A$2:$B$12,2),1),"")</f>
        <v/>
      </c>
      <c r="S2136" s="13">
        <f>IF(AND(H2136="TO CLOSE",P2136=0),-G2136*(M2136-R2135)*IF(E2136="FUTURE",VLOOKUP(MID(I2136,2,2),[1]Futures!$A$2:$B$12,2),1),"")</f>
        <v>50</v>
      </c>
    </row>
    <row r="2137" spans="1:19" x14ac:dyDescent="0.2">
      <c r="A2137">
        <f t="shared" si="101"/>
        <v>700</v>
      </c>
      <c r="B2137" s="3">
        <v>44032</v>
      </c>
      <c r="C2137" s="3" t="str">
        <f t="shared" si="100"/>
        <v>Monday</v>
      </c>
      <c r="D2137" s="2">
        <v>0.50707175925925929</v>
      </c>
      <c r="E2137" t="s">
        <v>14</v>
      </c>
      <c r="F2137" t="s">
        <v>19</v>
      </c>
      <c r="G2137">
        <v>1</v>
      </c>
      <c r="H2137" t="s">
        <v>20</v>
      </c>
      <c r="I2137" t="s">
        <v>79</v>
      </c>
      <c r="J2137" s="1">
        <v>44094</v>
      </c>
      <c r="L2137" t="s">
        <v>14</v>
      </c>
      <c r="M2137">
        <v>3227.75</v>
      </c>
      <c r="N2137">
        <v>3227.75</v>
      </c>
      <c r="O2137" t="s">
        <v>24</v>
      </c>
      <c r="P2137">
        <f t="shared" si="102"/>
        <v>1</v>
      </c>
      <c r="Q2137" s="11">
        <f>IF(P2137=0,0,IFERROR(Q2136+G2137*M2137*IF(E2137="FUTURE",VLOOKUP(MID(I2137,2,2),[1]Futures!$A$2:$B$12,2),1),G2137*M2137*IF(E2137="FUTURE",VLOOKUP(MID(I2137,2,2),[1]Futures!$A$2:$B$12,2),1)))</f>
        <v>161387.5</v>
      </c>
      <c r="R2137" s="12">
        <f>IFERROR(Q2137/P2137/IF(E2137="FUTURE",VLOOKUP(MID(I2137,2,2),[1]Futures!$A$2:$B$12,2),1),"")</f>
        <v>3227.75</v>
      </c>
      <c r="S2137" s="13" t="str">
        <f>IF(AND(H2137="TO CLOSE",P2137=0),-G2137*(M2137-R2136)*IF(E2137="FUTURE",VLOOKUP(MID(I2137,2,2),[1]Futures!$A$2:$B$12,2),1),"")</f>
        <v/>
      </c>
    </row>
    <row r="2138" spans="1:19" x14ac:dyDescent="0.2">
      <c r="A2138">
        <f t="shared" si="101"/>
        <v>700</v>
      </c>
      <c r="B2138" s="3">
        <v>44032</v>
      </c>
      <c r="C2138" s="3" t="str">
        <f t="shared" si="100"/>
        <v>Monday</v>
      </c>
      <c r="D2138" s="2">
        <v>0.50895833333333329</v>
      </c>
      <c r="E2138" t="s">
        <v>14</v>
      </c>
      <c r="F2138" t="s">
        <v>15</v>
      </c>
      <c r="G2138">
        <v>-1</v>
      </c>
      <c r="H2138" t="s">
        <v>16</v>
      </c>
      <c r="I2138" t="s">
        <v>79</v>
      </c>
      <c r="J2138" s="1">
        <v>44094</v>
      </c>
      <c r="L2138" t="s">
        <v>14</v>
      </c>
      <c r="M2138">
        <v>3228.25</v>
      </c>
      <c r="N2138">
        <v>3228.25</v>
      </c>
      <c r="O2138" t="s">
        <v>21</v>
      </c>
      <c r="P2138">
        <f t="shared" si="102"/>
        <v>0</v>
      </c>
      <c r="Q2138" s="11">
        <f>IF(P2138=0,0,IFERROR(Q2137+G2138*M2138*IF(E2138="FUTURE",VLOOKUP(MID(I2138,2,2),[1]Futures!$A$2:$B$12,2),1),G2138*M2138*IF(E2138="FUTURE",VLOOKUP(MID(I2138,2,2),[1]Futures!$A$2:$B$12,2),1)))</f>
        <v>0</v>
      </c>
      <c r="R2138" s="12" t="str">
        <f>IFERROR(Q2138/P2138/IF(E2138="FUTURE",VLOOKUP(MID(I2138,2,2),[1]Futures!$A$2:$B$12,2),1),"")</f>
        <v/>
      </c>
      <c r="S2138" s="13">
        <f>IF(AND(H2138="TO CLOSE",P2138=0),-G2138*(M2138-R2137)*IF(E2138="FUTURE",VLOOKUP(MID(I2138,2,2),[1]Futures!$A$2:$B$12,2),1),"")</f>
        <v>25</v>
      </c>
    </row>
    <row r="2139" spans="1:19" x14ac:dyDescent="0.2">
      <c r="A2139">
        <f t="shared" si="101"/>
        <v>701</v>
      </c>
      <c r="B2139" s="3">
        <v>44032</v>
      </c>
      <c r="C2139" s="3" t="str">
        <f t="shared" si="100"/>
        <v>Monday</v>
      </c>
      <c r="D2139" s="2">
        <v>0.42504629629629626</v>
      </c>
      <c r="E2139" t="s">
        <v>14</v>
      </c>
      <c r="F2139" t="s">
        <v>19</v>
      </c>
      <c r="G2139">
        <v>5</v>
      </c>
      <c r="H2139" t="s">
        <v>20</v>
      </c>
      <c r="I2139" t="s">
        <v>80</v>
      </c>
      <c r="J2139" s="1">
        <v>44094</v>
      </c>
      <c r="L2139" t="s">
        <v>14</v>
      </c>
      <c r="M2139">
        <v>3217.5</v>
      </c>
      <c r="N2139">
        <v>3217.5</v>
      </c>
      <c r="O2139" t="s">
        <v>24</v>
      </c>
      <c r="P2139">
        <f t="shared" si="102"/>
        <v>5</v>
      </c>
      <c r="Q2139" s="11">
        <f>IF(P2139=0,0,IFERROR(Q2138+G2139*M2139*IF(E2139="FUTURE",VLOOKUP(MID(I2139,2,2),[1]Futures!$A$2:$B$12,2),1),G2139*M2139*IF(E2139="FUTURE",VLOOKUP(MID(I2139,2,2),[1]Futures!$A$2:$B$12,2),1)))</f>
        <v>80437.5</v>
      </c>
      <c r="R2139" s="12">
        <f>IFERROR(Q2139/P2139/IF(E2139="FUTURE",VLOOKUP(MID(I2139,2,2),[1]Futures!$A$2:$B$12,2),1),"")</f>
        <v>3217.5</v>
      </c>
      <c r="S2139" s="13" t="str">
        <f>IF(AND(H2139="TO CLOSE",P2139=0),-G2139*(M2139-R2138)*IF(E2139="FUTURE",VLOOKUP(MID(I2139,2,2),[1]Futures!$A$2:$B$12,2),1),"")</f>
        <v/>
      </c>
    </row>
    <row r="2140" spans="1:19" x14ac:dyDescent="0.2">
      <c r="A2140">
        <f t="shared" si="101"/>
        <v>701</v>
      </c>
      <c r="B2140" s="3">
        <v>44032</v>
      </c>
      <c r="C2140" s="3" t="str">
        <f t="shared" si="100"/>
        <v>Monday</v>
      </c>
      <c r="D2140" s="2">
        <v>0.4319675925925926</v>
      </c>
      <c r="E2140" t="s">
        <v>14</v>
      </c>
      <c r="F2140" t="s">
        <v>19</v>
      </c>
      <c r="G2140">
        <v>2</v>
      </c>
      <c r="H2140" t="s">
        <v>20</v>
      </c>
      <c r="I2140" t="s">
        <v>80</v>
      </c>
      <c r="J2140" s="1">
        <v>44094</v>
      </c>
      <c r="L2140" t="s">
        <v>14</v>
      </c>
      <c r="M2140">
        <v>3221.5</v>
      </c>
      <c r="N2140">
        <v>3221.5</v>
      </c>
      <c r="O2140" t="s">
        <v>18</v>
      </c>
      <c r="P2140">
        <f t="shared" si="102"/>
        <v>7</v>
      </c>
      <c r="Q2140" s="11">
        <f>IF(P2140=0,0,IFERROR(Q2139+G2140*M2140*IF(E2140="FUTURE",VLOOKUP(MID(I2140,2,2),[1]Futures!$A$2:$B$12,2),1),G2140*M2140*IF(E2140="FUTURE",VLOOKUP(MID(I2140,2,2),[1]Futures!$A$2:$B$12,2),1)))</f>
        <v>112652.5</v>
      </c>
      <c r="R2140" s="12">
        <f>IFERROR(Q2140/P2140/IF(E2140="FUTURE",VLOOKUP(MID(I2140,2,2),[1]Futures!$A$2:$B$12,2),1),"")</f>
        <v>3218.6428571428573</v>
      </c>
      <c r="S2140" s="13" t="str">
        <f>IF(AND(H2140="TO CLOSE",P2140=0),-G2140*(M2140-R2139)*IF(E2140="FUTURE",VLOOKUP(MID(I2140,2,2),[1]Futures!$A$2:$B$12,2),1),"")</f>
        <v/>
      </c>
    </row>
    <row r="2141" spans="1:19" x14ac:dyDescent="0.2">
      <c r="A2141">
        <f t="shared" si="101"/>
        <v>701</v>
      </c>
      <c r="B2141" s="3">
        <v>44032</v>
      </c>
      <c r="C2141" s="3" t="str">
        <f t="shared" si="100"/>
        <v>Monday</v>
      </c>
      <c r="D2141" s="2">
        <v>0.43490740740740735</v>
      </c>
      <c r="E2141" t="s">
        <v>14</v>
      </c>
      <c r="F2141" t="s">
        <v>15</v>
      </c>
      <c r="G2141">
        <v>-3</v>
      </c>
      <c r="H2141" t="s">
        <v>16</v>
      </c>
      <c r="I2141" t="s">
        <v>80</v>
      </c>
      <c r="J2141" s="1">
        <v>44094</v>
      </c>
      <c r="L2141" t="s">
        <v>14</v>
      </c>
      <c r="M2141">
        <v>3222.5</v>
      </c>
      <c r="N2141">
        <v>3222.5</v>
      </c>
      <c r="O2141" t="s">
        <v>21</v>
      </c>
      <c r="P2141">
        <f t="shared" si="102"/>
        <v>4</v>
      </c>
      <c r="Q2141" s="11">
        <f>IF(P2141=0,0,IFERROR(Q2140+G2141*M2141*IF(E2141="FUTURE",VLOOKUP(MID(I2141,2,2),[1]Futures!$A$2:$B$12,2),1),G2141*M2141*IF(E2141="FUTURE",VLOOKUP(MID(I2141,2,2),[1]Futures!$A$2:$B$12,2),1)))</f>
        <v>64315</v>
      </c>
      <c r="R2141" s="12">
        <f>IFERROR(Q2141/P2141/IF(E2141="FUTURE",VLOOKUP(MID(I2141,2,2),[1]Futures!$A$2:$B$12,2),1),"")</f>
        <v>3215.75</v>
      </c>
      <c r="S2141" s="13" t="str">
        <f>IF(AND(H2141="TO CLOSE",P2141=0),-G2141*(M2141-R2140)*IF(E2141="FUTURE",VLOOKUP(MID(I2141,2,2),[1]Futures!$A$2:$B$12,2),1),"")</f>
        <v/>
      </c>
    </row>
    <row r="2142" spans="1:19" x14ac:dyDescent="0.2">
      <c r="A2142">
        <f t="shared" si="101"/>
        <v>701</v>
      </c>
      <c r="B2142" s="3">
        <v>44032</v>
      </c>
      <c r="C2142" s="3" t="str">
        <f t="shared" si="100"/>
        <v>Monday</v>
      </c>
      <c r="D2142" s="2">
        <v>0.43548611111111107</v>
      </c>
      <c r="E2142" t="s">
        <v>14</v>
      </c>
      <c r="F2142" t="s">
        <v>15</v>
      </c>
      <c r="G2142">
        <v>-1</v>
      </c>
      <c r="H2142" t="s">
        <v>16</v>
      </c>
      <c r="I2142" t="s">
        <v>80</v>
      </c>
      <c r="J2142" s="1">
        <v>44094</v>
      </c>
      <c r="L2142" t="s">
        <v>14</v>
      </c>
      <c r="M2142">
        <v>3223.75</v>
      </c>
      <c r="N2142">
        <v>3223.75</v>
      </c>
      <c r="O2142" t="s">
        <v>24</v>
      </c>
      <c r="P2142">
        <f t="shared" si="102"/>
        <v>3</v>
      </c>
      <c r="Q2142" s="11">
        <f>IF(P2142=0,0,IFERROR(Q2141+G2142*M2142*IF(E2142="FUTURE",VLOOKUP(MID(I2142,2,2),[1]Futures!$A$2:$B$12,2),1),G2142*M2142*IF(E2142="FUTURE",VLOOKUP(MID(I2142,2,2),[1]Futures!$A$2:$B$12,2),1)))</f>
        <v>48196.25</v>
      </c>
      <c r="R2142" s="12">
        <f>IFERROR(Q2142/P2142/IF(E2142="FUTURE",VLOOKUP(MID(I2142,2,2),[1]Futures!$A$2:$B$12,2),1),"")</f>
        <v>3213.083333333333</v>
      </c>
      <c r="S2142" s="13" t="str">
        <f>IF(AND(H2142="TO CLOSE",P2142=0),-G2142*(M2142-R2141)*IF(E2142="FUTURE",VLOOKUP(MID(I2142,2,2),[1]Futures!$A$2:$B$12,2),1),"")</f>
        <v/>
      </c>
    </row>
    <row r="2143" spans="1:19" x14ac:dyDescent="0.2">
      <c r="A2143">
        <f t="shared" si="101"/>
        <v>701</v>
      </c>
      <c r="B2143" s="3">
        <v>44032</v>
      </c>
      <c r="C2143" s="3" t="str">
        <f t="shared" si="100"/>
        <v>Monday</v>
      </c>
      <c r="D2143" s="2">
        <v>0.4368055555555555</v>
      </c>
      <c r="E2143" t="s">
        <v>14</v>
      </c>
      <c r="F2143" t="s">
        <v>15</v>
      </c>
      <c r="G2143">
        <v>-1</v>
      </c>
      <c r="H2143" t="s">
        <v>16</v>
      </c>
      <c r="I2143" t="s">
        <v>80</v>
      </c>
      <c r="J2143" s="1">
        <v>44094</v>
      </c>
      <c r="L2143" t="s">
        <v>14</v>
      </c>
      <c r="M2143">
        <v>3225</v>
      </c>
      <c r="N2143">
        <v>3225</v>
      </c>
      <c r="O2143" t="s">
        <v>21</v>
      </c>
      <c r="P2143">
        <f t="shared" si="102"/>
        <v>2</v>
      </c>
      <c r="Q2143" s="11">
        <f>IF(P2143=0,0,IFERROR(Q2142+G2143*M2143*IF(E2143="FUTURE",VLOOKUP(MID(I2143,2,2),[1]Futures!$A$2:$B$12,2),1),G2143*M2143*IF(E2143="FUTURE",VLOOKUP(MID(I2143,2,2),[1]Futures!$A$2:$B$12,2),1)))</f>
        <v>32071.25</v>
      </c>
      <c r="R2143" s="12">
        <f>IFERROR(Q2143/P2143/IF(E2143="FUTURE",VLOOKUP(MID(I2143,2,2),[1]Futures!$A$2:$B$12,2),1),"")</f>
        <v>3207.125</v>
      </c>
      <c r="S2143" s="13" t="str">
        <f>IF(AND(H2143="TO CLOSE",P2143=0),-G2143*(M2143-R2142)*IF(E2143="FUTURE",VLOOKUP(MID(I2143,2,2),[1]Futures!$A$2:$B$12,2),1),"")</f>
        <v/>
      </c>
    </row>
    <row r="2144" spans="1:19" x14ac:dyDescent="0.2">
      <c r="A2144">
        <f t="shared" si="101"/>
        <v>701</v>
      </c>
      <c r="B2144" s="3">
        <v>44032</v>
      </c>
      <c r="C2144" s="3" t="str">
        <f t="shared" si="100"/>
        <v>Monday</v>
      </c>
      <c r="D2144" s="2">
        <v>0.43790509259259264</v>
      </c>
      <c r="E2144" t="s">
        <v>14</v>
      </c>
      <c r="F2144" t="s">
        <v>15</v>
      </c>
      <c r="G2144">
        <v>-2</v>
      </c>
      <c r="H2144" t="s">
        <v>16</v>
      </c>
      <c r="I2144" t="s">
        <v>80</v>
      </c>
      <c r="J2144" s="1">
        <v>44094</v>
      </c>
      <c r="L2144" t="s">
        <v>14</v>
      </c>
      <c r="M2144">
        <v>3226.25</v>
      </c>
      <c r="N2144">
        <v>3226.25</v>
      </c>
      <c r="O2144" t="s">
        <v>24</v>
      </c>
      <c r="P2144">
        <f t="shared" si="102"/>
        <v>0</v>
      </c>
      <c r="Q2144" s="11">
        <f>IF(P2144=0,0,IFERROR(Q2143+G2144*M2144*IF(E2144="FUTURE",VLOOKUP(MID(I2144,2,2),[1]Futures!$A$2:$B$12,2),1),G2144*M2144*IF(E2144="FUTURE",VLOOKUP(MID(I2144,2,2),[1]Futures!$A$2:$B$12,2),1)))</f>
        <v>0</v>
      </c>
      <c r="R2144" s="12" t="str">
        <f>IFERROR(Q2144/P2144/IF(E2144="FUTURE",VLOOKUP(MID(I2144,2,2),[1]Futures!$A$2:$B$12,2),1),"")</f>
        <v/>
      </c>
      <c r="S2144" s="13">
        <f>IF(AND(H2144="TO CLOSE",P2144=0),-G2144*(M2144-R2143)*IF(E2144="FUTURE",VLOOKUP(MID(I2144,2,2),[1]Futures!$A$2:$B$12,2),1),"")</f>
        <v>191.25</v>
      </c>
    </row>
    <row r="2145" spans="1:19" x14ac:dyDescent="0.2">
      <c r="A2145">
        <f t="shared" si="101"/>
        <v>702</v>
      </c>
      <c r="B2145" s="3">
        <v>44032</v>
      </c>
      <c r="C2145" s="3" t="str">
        <f t="shared" si="100"/>
        <v>Monday</v>
      </c>
      <c r="D2145" s="2">
        <v>0.39987268518518521</v>
      </c>
      <c r="E2145" t="s">
        <v>22</v>
      </c>
      <c r="F2145" t="s">
        <v>15</v>
      </c>
      <c r="G2145">
        <v>-400</v>
      </c>
      <c r="H2145" t="s">
        <v>20</v>
      </c>
      <c r="I2145" t="s">
        <v>23</v>
      </c>
      <c r="L2145" t="s">
        <v>22</v>
      </c>
      <c r="M2145">
        <v>30.024999999999999</v>
      </c>
      <c r="N2145">
        <v>30.024999999999999</v>
      </c>
      <c r="O2145" t="s">
        <v>21</v>
      </c>
      <c r="P2145">
        <f t="shared" si="102"/>
        <v>-400</v>
      </c>
      <c r="Q2145" s="11">
        <f>IF(P2145=0,0,IFERROR(Q2144+G2145*M2145*IF(E2145="FUTURE",VLOOKUP(MID(I2145,2,2),[1]Futures!$A$2:$B$12,2),1),G2145*M2145*IF(E2145="FUTURE",VLOOKUP(MID(I2145,2,2),[1]Futures!$A$2:$B$12,2),1)))</f>
        <v>-12010</v>
      </c>
      <c r="R2145" s="12">
        <f>IFERROR(Q2145/P2145/IF(E2145="FUTURE",VLOOKUP(MID(I2145,2,2),[1]Futures!$A$2:$B$12,2),1),"")</f>
        <v>30.024999999999999</v>
      </c>
      <c r="S2145" s="13" t="str">
        <f>IF(AND(H2145="TO CLOSE",P2145=0),-G2145*(M2145-R2144)*IF(E2145="FUTURE",VLOOKUP(MID(I2145,2,2),[1]Futures!$A$2:$B$12,2),1),"")</f>
        <v/>
      </c>
    </row>
    <row r="2146" spans="1:19" x14ac:dyDescent="0.2">
      <c r="A2146">
        <f t="shared" si="101"/>
        <v>702</v>
      </c>
      <c r="B2146" s="3">
        <v>44032</v>
      </c>
      <c r="C2146" s="3" t="str">
        <f t="shared" si="100"/>
        <v>Monday</v>
      </c>
      <c r="D2146" s="2">
        <v>0.42353009259259261</v>
      </c>
      <c r="E2146" t="s">
        <v>22</v>
      </c>
      <c r="F2146" t="s">
        <v>19</v>
      </c>
      <c r="G2146">
        <v>100</v>
      </c>
      <c r="H2146" t="s">
        <v>16</v>
      </c>
      <c r="I2146" t="s">
        <v>23</v>
      </c>
      <c r="L2146" t="s">
        <v>22</v>
      </c>
      <c r="M2146">
        <v>29.88</v>
      </c>
      <c r="N2146">
        <v>29.88</v>
      </c>
      <c r="O2146" t="s">
        <v>21</v>
      </c>
      <c r="P2146">
        <f t="shared" si="102"/>
        <v>-300</v>
      </c>
      <c r="Q2146" s="11">
        <f>IF(P2146=0,0,IFERROR(Q2145+G2146*M2146*IF(E2146="FUTURE",VLOOKUP(MID(I2146,2,2),[1]Futures!$A$2:$B$12,2),1),G2146*M2146*IF(E2146="FUTURE",VLOOKUP(MID(I2146,2,2),[1]Futures!$A$2:$B$12,2),1)))</f>
        <v>-9022</v>
      </c>
      <c r="R2146" s="12">
        <f>IFERROR(Q2146/P2146/IF(E2146="FUTURE",VLOOKUP(MID(I2146,2,2),[1]Futures!$A$2:$B$12,2),1),"")</f>
        <v>30.073333333333334</v>
      </c>
      <c r="S2146" s="13" t="str">
        <f>IF(AND(H2146="TO CLOSE",P2146=0),-G2146*(M2146-R2145)*IF(E2146="FUTURE",VLOOKUP(MID(I2146,2,2),[1]Futures!$A$2:$B$12,2),1),"")</f>
        <v/>
      </c>
    </row>
    <row r="2147" spans="1:19" x14ac:dyDescent="0.2">
      <c r="A2147">
        <f t="shared" si="101"/>
        <v>702</v>
      </c>
      <c r="B2147" s="3">
        <v>44032</v>
      </c>
      <c r="C2147" s="3" t="str">
        <f t="shared" si="100"/>
        <v>Monday</v>
      </c>
      <c r="D2147" s="2">
        <v>0.43512731481481487</v>
      </c>
      <c r="E2147" t="s">
        <v>22</v>
      </c>
      <c r="F2147" t="s">
        <v>19</v>
      </c>
      <c r="G2147">
        <v>100</v>
      </c>
      <c r="H2147" t="s">
        <v>16</v>
      </c>
      <c r="I2147" t="s">
        <v>23</v>
      </c>
      <c r="L2147" t="s">
        <v>22</v>
      </c>
      <c r="M2147">
        <v>29.577100000000002</v>
      </c>
      <c r="N2147">
        <v>29.577100000000002</v>
      </c>
      <c r="O2147" t="s">
        <v>24</v>
      </c>
      <c r="P2147">
        <f t="shared" si="102"/>
        <v>-200</v>
      </c>
      <c r="Q2147" s="11">
        <f>IF(P2147=0,0,IFERROR(Q2146+G2147*M2147*IF(E2147="FUTURE",VLOOKUP(MID(I2147,2,2),[1]Futures!$A$2:$B$12,2),1),G2147*M2147*IF(E2147="FUTURE",VLOOKUP(MID(I2147,2,2),[1]Futures!$A$2:$B$12,2),1)))</f>
        <v>-6064.29</v>
      </c>
      <c r="R2147" s="12">
        <f>IFERROR(Q2147/P2147/IF(E2147="FUTURE",VLOOKUP(MID(I2147,2,2),[1]Futures!$A$2:$B$12,2),1),"")</f>
        <v>30.321449999999999</v>
      </c>
      <c r="S2147" s="13" t="str">
        <f>IF(AND(H2147="TO CLOSE",P2147=0),-G2147*(M2147-R2146)*IF(E2147="FUTURE",VLOOKUP(MID(I2147,2,2),[1]Futures!$A$2:$B$12,2),1),"")</f>
        <v/>
      </c>
    </row>
    <row r="2148" spans="1:19" x14ac:dyDescent="0.2">
      <c r="A2148">
        <f t="shared" si="101"/>
        <v>702</v>
      </c>
      <c r="B2148" s="3">
        <v>44032</v>
      </c>
      <c r="C2148" s="3" t="str">
        <f t="shared" si="100"/>
        <v>Monday</v>
      </c>
      <c r="D2148" s="2">
        <v>0.44032407407407409</v>
      </c>
      <c r="E2148" t="s">
        <v>22</v>
      </c>
      <c r="F2148" t="s">
        <v>19</v>
      </c>
      <c r="G2148">
        <v>200</v>
      </c>
      <c r="H2148" t="s">
        <v>16</v>
      </c>
      <c r="I2148" t="s">
        <v>23</v>
      </c>
      <c r="L2148" t="s">
        <v>22</v>
      </c>
      <c r="M2148">
        <v>29.495000000000001</v>
      </c>
      <c r="N2148">
        <v>29.495000000000001</v>
      </c>
      <c r="O2148" t="s">
        <v>24</v>
      </c>
      <c r="P2148">
        <f t="shared" si="102"/>
        <v>0</v>
      </c>
      <c r="Q2148" s="11">
        <f>IF(P2148=0,0,IFERROR(Q2147+G2148*M2148*IF(E2148="FUTURE",VLOOKUP(MID(I2148,2,2),[1]Futures!$A$2:$B$12,2),1),G2148*M2148*IF(E2148="FUTURE",VLOOKUP(MID(I2148,2,2),[1]Futures!$A$2:$B$12,2),1)))</f>
        <v>0</v>
      </c>
      <c r="R2148" s="12" t="str">
        <f>IFERROR(Q2148/P2148/IF(E2148="FUTURE",VLOOKUP(MID(I2148,2,2),[1]Futures!$A$2:$B$12,2),1),"")</f>
        <v/>
      </c>
      <c r="S2148" s="13">
        <f>IF(AND(H2148="TO CLOSE",P2148=0),-G2148*(M2148-R2147)*IF(E2148="FUTURE",VLOOKUP(MID(I2148,2,2),[1]Futures!$A$2:$B$12,2),1),"")</f>
        <v>165.28999999999954</v>
      </c>
    </row>
    <row r="2149" spans="1:19" x14ac:dyDescent="0.2">
      <c r="A2149">
        <f t="shared" si="101"/>
        <v>703</v>
      </c>
      <c r="B2149" s="3">
        <v>44033</v>
      </c>
      <c r="C2149" s="3" t="str">
        <f t="shared" si="100"/>
        <v>Tuesday</v>
      </c>
      <c r="D2149" s="2">
        <v>0.4359837962962963</v>
      </c>
      <c r="E2149" t="s">
        <v>14</v>
      </c>
      <c r="F2149" t="s">
        <v>15</v>
      </c>
      <c r="G2149">
        <v>-1</v>
      </c>
      <c r="H2149" t="s">
        <v>20</v>
      </c>
      <c r="I2149" t="s">
        <v>81</v>
      </c>
      <c r="J2149" s="1">
        <v>44094</v>
      </c>
      <c r="L2149" t="s">
        <v>14</v>
      </c>
      <c r="M2149">
        <v>42.25</v>
      </c>
      <c r="N2149">
        <v>42.25</v>
      </c>
      <c r="O2149" t="s">
        <v>24</v>
      </c>
      <c r="P2149">
        <f t="shared" si="102"/>
        <v>-1</v>
      </c>
      <c r="Q2149" s="11">
        <f>IF(P2149=0,0,IFERROR(Q2148+G2149*M2149*IF(E2149="FUTURE",VLOOKUP(MID(I2149,2,2),[1]Futures!$A$2:$B$12,2),1),G2149*M2149*IF(E2149="FUTURE",VLOOKUP(MID(I2149,2,2),[1]Futures!$A$2:$B$12,2),1)))</f>
        <v>-42250</v>
      </c>
      <c r="R2149" s="12">
        <f>IFERROR(Q2149/P2149/IF(E2149="FUTURE",VLOOKUP(MID(I2149,2,2),[1]Futures!$A$2:$B$12,2),1),"")</f>
        <v>42.25</v>
      </c>
      <c r="S2149" s="13" t="str">
        <f>IF(AND(H2149="TO CLOSE",P2149=0),-G2149*(M2149-R2148)*IF(E2149="FUTURE",VLOOKUP(MID(I2149,2,2),[1]Futures!$A$2:$B$12,2),1),"")</f>
        <v/>
      </c>
    </row>
    <row r="2150" spans="1:19" x14ac:dyDescent="0.2">
      <c r="A2150">
        <f t="shared" si="101"/>
        <v>703</v>
      </c>
      <c r="B2150" s="3">
        <v>44033</v>
      </c>
      <c r="C2150" s="3" t="str">
        <f t="shared" si="100"/>
        <v>Tuesday</v>
      </c>
      <c r="D2150" s="2">
        <v>0.4430439814814815</v>
      </c>
      <c r="E2150" t="s">
        <v>14</v>
      </c>
      <c r="F2150" t="s">
        <v>19</v>
      </c>
      <c r="G2150">
        <v>1</v>
      </c>
      <c r="H2150" t="s">
        <v>16</v>
      </c>
      <c r="I2150" t="s">
        <v>81</v>
      </c>
      <c r="J2150" s="1">
        <v>44094</v>
      </c>
      <c r="L2150" t="s">
        <v>14</v>
      </c>
      <c r="M2150">
        <v>42.36</v>
      </c>
      <c r="N2150">
        <v>42.36</v>
      </c>
      <c r="O2150" t="s">
        <v>21</v>
      </c>
      <c r="P2150">
        <f t="shared" si="102"/>
        <v>0</v>
      </c>
      <c r="Q2150" s="11">
        <f>IF(P2150=0,0,IFERROR(Q2149+G2150*M2150*IF(E2150="FUTURE",VLOOKUP(MID(I2150,2,2),[1]Futures!$A$2:$B$12,2),1),G2150*M2150*IF(E2150="FUTURE",VLOOKUP(MID(I2150,2,2),[1]Futures!$A$2:$B$12,2),1)))</f>
        <v>0</v>
      </c>
      <c r="R2150" s="12" t="str">
        <f>IFERROR(Q2150/P2150/IF(E2150="FUTURE",VLOOKUP(MID(I2150,2,2),[1]Futures!$A$2:$B$12,2),1),"")</f>
        <v/>
      </c>
      <c r="S2150" s="13">
        <f>IF(AND(H2150="TO CLOSE",P2150=0),-G2150*(M2150-R2149)*IF(E2150="FUTURE",VLOOKUP(MID(I2150,2,2),[1]Futures!$A$2:$B$12,2),1),"")</f>
        <v>-109.99999999999943</v>
      </c>
    </row>
    <row r="2151" spans="1:19" x14ac:dyDescent="0.2">
      <c r="A2151">
        <f t="shared" si="101"/>
        <v>704</v>
      </c>
      <c r="B2151" s="3">
        <v>44033</v>
      </c>
      <c r="C2151" s="3" t="str">
        <f t="shared" si="100"/>
        <v>Tuesday</v>
      </c>
      <c r="D2151" s="2">
        <v>0.4443981481481481</v>
      </c>
      <c r="E2151" t="s">
        <v>14</v>
      </c>
      <c r="F2151" t="s">
        <v>15</v>
      </c>
      <c r="G2151">
        <v>-2</v>
      </c>
      <c r="H2151" t="s">
        <v>20</v>
      </c>
      <c r="I2151" t="s">
        <v>81</v>
      </c>
      <c r="J2151" s="1">
        <v>44094</v>
      </c>
      <c r="L2151" t="s">
        <v>14</v>
      </c>
      <c r="M2151">
        <v>42.28</v>
      </c>
      <c r="N2151">
        <v>42.28</v>
      </c>
      <c r="O2151" t="s">
        <v>24</v>
      </c>
      <c r="P2151">
        <f t="shared" si="102"/>
        <v>-2</v>
      </c>
      <c r="Q2151" s="11">
        <f>IF(P2151=0,0,IFERROR(Q2150+G2151*M2151*IF(E2151="FUTURE",VLOOKUP(MID(I2151,2,2),[1]Futures!$A$2:$B$12,2),1),G2151*M2151*IF(E2151="FUTURE",VLOOKUP(MID(I2151,2,2),[1]Futures!$A$2:$B$12,2),1)))</f>
        <v>-84560</v>
      </c>
      <c r="R2151" s="12">
        <f>IFERROR(Q2151/P2151/IF(E2151="FUTURE",VLOOKUP(MID(I2151,2,2),[1]Futures!$A$2:$B$12,2),1),"")</f>
        <v>42.28</v>
      </c>
      <c r="S2151" s="13" t="str">
        <f>IF(AND(H2151="TO CLOSE",P2151=0),-G2151*(M2151-R2150)*IF(E2151="FUTURE",VLOOKUP(MID(I2151,2,2),[1]Futures!$A$2:$B$12,2),1),"")</f>
        <v/>
      </c>
    </row>
    <row r="2152" spans="1:19" x14ac:dyDescent="0.2">
      <c r="A2152">
        <f t="shared" si="101"/>
        <v>704</v>
      </c>
      <c r="B2152" s="3">
        <v>44033</v>
      </c>
      <c r="C2152" s="3" t="str">
        <f t="shared" si="100"/>
        <v>Tuesday</v>
      </c>
      <c r="D2152" s="2">
        <v>0.44743055555555555</v>
      </c>
      <c r="E2152" t="s">
        <v>14</v>
      </c>
      <c r="F2152" t="s">
        <v>19</v>
      </c>
      <c r="G2152">
        <v>1</v>
      </c>
      <c r="H2152" t="s">
        <v>16</v>
      </c>
      <c r="I2152" t="s">
        <v>81</v>
      </c>
      <c r="J2152" s="1">
        <v>44094</v>
      </c>
      <c r="L2152" t="s">
        <v>14</v>
      </c>
      <c r="M2152">
        <v>42.21</v>
      </c>
      <c r="N2152">
        <v>42.21</v>
      </c>
      <c r="O2152" t="s">
        <v>21</v>
      </c>
      <c r="P2152">
        <f t="shared" si="102"/>
        <v>-1</v>
      </c>
      <c r="Q2152" s="11">
        <f>IF(P2152=0,0,IFERROR(Q2151+G2152*M2152*IF(E2152="FUTURE",VLOOKUP(MID(I2152,2,2),[1]Futures!$A$2:$B$12,2),1),G2152*M2152*IF(E2152="FUTURE",VLOOKUP(MID(I2152,2,2),[1]Futures!$A$2:$B$12,2),1)))</f>
        <v>-42350</v>
      </c>
      <c r="R2152" s="12">
        <f>IFERROR(Q2152/P2152/IF(E2152="FUTURE",VLOOKUP(MID(I2152,2,2),[1]Futures!$A$2:$B$12,2),1),"")</f>
        <v>42.35</v>
      </c>
      <c r="S2152" s="13" t="str">
        <f>IF(AND(H2152="TO CLOSE",P2152=0),-G2152*(M2152-R2151)*IF(E2152="FUTURE",VLOOKUP(MID(I2152,2,2),[1]Futures!$A$2:$B$12,2),1),"")</f>
        <v/>
      </c>
    </row>
    <row r="2153" spans="1:19" x14ac:dyDescent="0.2">
      <c r="A2153">
        <f t="shared" si="101"/>
        <v>704</v>
      </c>
      <c r="B2153" s="3">
        <v>44033</v>
      </c>
      <c r="C2153" s="3" t="str">
        <f t="shared" si="100"/>
        <v>Tuesday</v>
      </c>
      <c r="D2153" s="2">
        <v>0.44855324074074071</v>
      </c>
      <c r="E2153" t="s">
        <v>14</v>
      </c>
      <c r="F2153" t="s">
        <v>19</v>
      </c>
      <c r="G2153">
        <v>1</v>
      </c>
      <c r="H2153" t="s">
        <v>16</v>
      </c>
      <c r="I2153" t="s">
        <v>81</v>
      </c>
      <c r="J2153" s="1">
        <v>44094</v>
      </c>
      <c r="L2153" t="s">
        <v>14</v>
      </c>
      <c r="M2153">
        <v>42.22</v>
      </c>
      <c r="N2153">
        <v>42.22</v>
      </c>
      <c r="O2153" t="s">
        <v>21</v>
      </c>
      <c r="P2153">
        <f t="shared" si="102"/>
        <v>0</v>
      </c>
      <c r="Q2153" s="11">
        <f>IF(P2153=0,0,IFERROR(Q2152+G2153*M2153*IF(E2153="FUTURE",VLOOKUP(MID(I2153,2,2),[1]Futures!$A$2:$B$12,2),1),G2153*M2153*IF(E2153="FUTURE",VLOOKUP(MID(I2153,2,2),[1]Futures!$A$2:$B$12,2),1)))</f>
        <v>0</v>
      </c>
      <c r="R2153" s="12" t="str">
        <f>IFERROR(Q2153/P2153/IF(E2153="FUTURE",VLOOKUP(MID(I2153,2,2),[1]Futures!$A$2:$B$12,2),1),"")</f>
        <v/>
      </c>
      <c r="S2153" s="13">
        <f>IF(AND(H2153="TO CLOSE",P2153=0),-G2153*(M2153-R2152)*IF(E2153="FUTURE",VLOOKUP(MID(I2153,2,2),[1]Futures!$A$2:$B$12,2),1),"")</f>
        <v>130.00000000000256</v>
      </c>
    </row>
    <row r="2154" spans="1:19" x14ac:dyDescent="0.2">
      <c r="A2154">
        <f t="shared" si="101"/>
        <v>705</v>
      </c>
      <c r="B2154" s="3">
        <v>44033</v>
      </c>
      <c r="C2154" s="3" t="str">
        <f t="shared" si="100"/>
        <v>Tuesday</v>
      </c>
      <c r="D2154" s="2">
        <v>0.47998842592592594</v>
      </c>
      <c r="E2154" t="s">
        <v>14</v>
      </c>
      <c r="F2154" t="s">
        <v>15</v>
      </c>
      <c r="G2154">
        <v>-1</v>
      </c>
      <c r="H2154" t="s">
        <v>20</v>
      </c>
      <c r="I2154" t="s">
        <v>81</v>
      </c>
      <c r="J2154" s="1">
        <v>44094</v>
      </c>
      <c r="L2154" t="s">
        <v>14</v>
      </c>
      <c r="M2154">
        <v>42.25</v>
      </c>
      <c r="N2154">
        <v>42.25</v>
      </c>
      <c r="O2154" t="s">
        <v>24</v>
      </c>
      <c r="P2154">
        <f t="shared" si="102"/>
        <v>-1</v>
      </c>
      <c r="Q2154" s="11">
        <f>IF(P2154=0,0,IFERROR(Q2153+G2154*M2154*IF(E2154="FUTURE",VLOOKUP(MID(I2154,2,2),[1]Futures!$A$2:$B$12,2),1),G2154*M2154*IF(E2154="FUTURE",VLOOKUP(MID(I2154,2,2),[1]Futures!$A$2:$B$12,2),1)))</f>
        <v>-42250</v>
      </c>
      <c r="R2154" s="12">
        <f>IFERROR(Q2154/P2154/IF(E2154="FUTURE",VLOOKUP(MID(I2154,2,2),[1]Futures!$A$2:$B$12,2),1),"")</f>
        <v>42.25</v>
      </c>
      <c r="S2154" s="13" t="str">
        <f>IF(AND(H2154="TO CLOSE",P2154=0),-G2154*(M2154-R2153)*IF(E2154="FUTURE",VLOOKUP(MID(I2154,2,2),[1]Futures!$A$2:$B$12,2),1),"")</f>
        <v/>
      </c>
    </row>
    <row r="2155" spans="1:19" x14ac:dyDescent="0.2">
      <c r="A2155">
        <f t="shared" si="101"/>
        <v>705</v>
      </c>
      <c r="B2155" s="3">
        <v>44033</v>
      </c>
      <c r="C2155" s="3" t="str">
        <f t="shared" si="100"/>
        <v>Tuesday</v>
      </c>
      <c r="D2155" s="2">
        <v>0.48119212962962959</v>
      </c>
      <c r="E2155" t="s">
        <v>14</v>
      </c>
      <c r="F2155" t="s">
        <v>19</v>
      </c>
      <c r="G2155">
        <v>1</v>
      </c>
      <c r="H2155" t="s">
        <v>16</v>
      </c>
      <c r="I2155" t="s">
        <v>81</v>
      </c>
      <c r="J2155" s="1">
        <v>44094</v>
      </c>
      <c r="L2155" t="s">
        <v>14</v>
      </c>
      <c r="M2155">
        <v>42.21</v>
      </c>
      <c r="N2155">
        <v>42.21</v>
      </c>
      <c r="O2155" t="s">
        <v>21</v>
      </c>
      <c r="P2155">
        <f t="shared" si="102"/>
        <v>0</v>
      </c>
      <c r="Q2155" s="11">
        <f>IF(P2155=0,0,IFERROR(Q2154+G2155*M2155*IF(E2155="FUTURE",VLOOKUP(MID(I2155,2,2),[1]Futures!$A$2:$B$12,2),1),G2155*M2155*IF(E2155="FUTURE",VLOOKUP(MID(I2155,2,2),[1]Futures!$A$2:$B$12,2),1)))</f>
        <v>0</v>
      </c>
      <c r="R2155" s="12" t="str">
        <f>IFERROR(Q2155/P2155/IF(E2155="FUTURE",VLOOKUP(MID(I2155,2,2),[1]Futures!$A$2:$B$12,2),1),"")</f>
        <v/>
      </c>
      <c r="S2155" s="13">
        <f>IF(AND(H2155="TO CLOSE",P2155=0),-G2155*(M2155-R2154)*IF(E2155="FUTURE",VLOOKUP(MID(I2155,2,2),[1]Futures!$A$2:$B$12,2),1),"")</f>
        <v>39.999999999999147</v>
      </c>
    </row>
    <row r="2156" spans="1:19" x14ac:dyDescent="0.2">
      <c r="A2156">
        <f t="shared" si="101"/>
        <v>706</v>
      </c>
      <c r="B2156" s="3">
        <v>44033</v>
      </c>
      <c r="C2156" s="3" t="str">
        <f t="shared" si="100"/>
        <v>Tuesday</v>
      </c>
      <c r="D2156" s="2">
        <v>0.52247685185185189</v>
      </c>
      <c r="E2156" t="s">
        <v>14</v>
      </c>
      <c r="F2156" t="s">
        <v>19</v>
      </c>
      <c r="G2156">
        <v>1</v>
      </c>
      <c r="H2156" t="s">
        <v>20</v>
      </c>
      <c r="I2156" t="s">
        <v>81</v>
      </c>
      <c r="J2156" s="1">
        <v>44094</v>
      </c>
      <c r="L2156" t="s">
        <v>14</v>
      </c>
      <c r="M2156">
        <v>41.9</v>
      </c>
      <c r="N2156">
        <v>41.9</v>
      </c>
      <c r="O2156" t="s">
        <v>21</v>
      </c>
      <c r="P2156">
        <f t="shared" si="102"/>
        <v>1</v>
      </c>
      <c r="Q2156" s="11">
        <f>IF(P2156=0,0,IFERROR(Q2155+G2156*M2156*IF(E2156="FUTURE",VLOOKUP(MID(I2156,2,2),[1]Futures!$A$2:$B$12,2),1),G2156*M2156*IF(E2156="FUTURE",VLOOKUP(MID(I2156,2,2),[1]Futures!$A$2:$B$12,2),1)))</f>
        <v>41900</v>
      </c>
      <c r="R2156" s="12">
        <f>IFERROR(Q2156/P2156/IF(E2156="FUTURE",VLOOKUP(MID(I2156,2,2),[1]Futures!$A$2:$B$12,2),1),"")</f>
        <v>41.9</v>
      </c>
      <c r="S2156" s="13" t="str">
        <f>IF(AND(H2156="TO CLOSE",P2156=0),-G2156*(M2156-R2155)*IF(E2156="FUTURE",VLOOKUP(MID(I2156,2,2),[1]Futures!$A$2:$B$12,2),1),"")</f>
        <v/>
      </c>
    </row>
    <row r="2157" spans="1:19" x14ac:dyDescent="0.2">
      <c r="A2157">
        <f t="shared" si="101"/>
        <v>706</v>
      </c>
      <c r="B2157" s="3">
        <v>44033</v>
      </c>
      <c r="C2157" s="3" t="str">
        <f t="shared" si="100"/>
        <v>Tuesday</v>
      </c>
      <c r="D2157" s="2">
        <v>0.58604166666666668</v>
      </c>
      <c r="E2157" t="s">
        <v>14</v>
      </c>
      <c r="F2157" t="s">
        <v>15</v>
      </c>
      <c r="G2157">
        <v>-1</v>
      </c>
      <c r="H2157" t="s">
        <v>16</v>
      </c>
      <c r="I2157" t="s">
        <v>81</v>
      </c>
      <c r="J2157" s="1">
        <v>44094</v>
      </c>
      <c r="L2157" t="s">
        <v>14</v>
      </c>
      <c r="M2157">
        <v>41.91</v>
      </c>
      <c r="N2157">
        <v>41.91</v>
      </c>
      <c r="O2157" t="s">
        <v>21</v>
      </c>
      <c r="P2157">
        <f t="shared" si="102"/>
        <v>0</v>
      </c>
      <c r="Q2157" s="11">
        <f>IF(P2157=0,0,IFERROR(Q2156+G2157*M2157*IF(E2157="FUTURE",VLOOKUP(MID(I2157,2,2),[1]Futures!$A$2:$B$12,2),1),G2157*M2157*IF(E2157="FUTURE",VLOOKUP(MID(I2157,2,2),[1]Futures!$A$2:$B$12,2),1)))</f>
        <v>0</v>
      </c>
      <c r="R2157" s="12" t="str">
        <f>IFERROR(Q2157/P2157/IF(E2157="FUTURE",VLOOKUP(MID(I2157,2,2),[1]Futures!$A$2:$B$12,2),1),"")</f>
        <v/>
      </c>
      <c r="S2157" s="13">
        <f>IF(AND(H2157="TO CLOSE",P2157=0),-G2157*(M2157-R2156)*IF(E2157="FUTURE",VLOOKUP(MID(I2157,2,2),[1]Futures!$A$2:$B$12,2),1),"")</f>
        <v>9.9999999999980105</v>
      </c>
    </row>
    <row r="2158" spans="1:19" x14ac:dyDescent="0.2">
      <c r="A2158">
        <f t="shared" si="101"/>
        <v>707</v>
      </c>
      <c r="B2158" s="3">
        <v>44033</v>
      </c>
      <c r="C2158" s="3" t="str">
        <f t="shared" si="100"/>
        <v>Tuesday</v>
      </c>
      <c r="D2158" s="2">
        <v>0.3996527777777778</v>
      </c>
      <c r="E2158" t="s">
        <v>14</v>
      </c>
      <c r="F2158" t="s">
        <v>15</v>
      </c>
      <c r="G2158">
        <v>-1</v>
      </c>
      <c r="H2158" t="s">
        <v>20</v>
      </c>
      <c r="I2158" t="s">
        <v>79</v>
      </c>
      <c r="J2158" s="1">
        <v>44094</v>
      </c>
      <c r="L2158" t="s">
        <v>14</v>
      </c>
      <c r="M2158">
        <v>3262.25</v>
      </c>
      <c r="N2158">
        <v>3262.25</v>
      </c>
      <c r="O2158" t="s">
        <v>21</v>
      </c>
      <c r="P2158">
        <f t="shared" si="102"/>
        <v>-1</v>
      </c>
      <c r="Q2158" s="11">
        <f>IF(P2158=0,0,IFERROR(Q2157+G2158*M2158*IF(E2158="FUTURE",VLOOKUP(MID(I2158,2,2),[1]Futures!$A$2:$B$12,2),1),G2158*M2158*IF(E2158="FUTURE",VLOOKUP(MID(I2158,2,2),[1]Futures!$A$2:$B$12,2),1)))</f>
        <v>-163112.5</v>
      </c>
      <c r="R2158" s="12">
        <f>IFERROR(Q2158/P2158/IF(E2158="FUTURE",VLOOKUP(MID(I2158,2,2),[1]Futures!$A$2:$B$12,2),1),"")</f>
        <v>3262.25</v>
      </c>
      <c r="S2158" s="13" t="str">
        <f>IF(AND(H2158="TO CLOSE",P2158=0),-G2158*(M2158-R2157)*IF(E2158="FUTURE",VLOOKUP(MID(I2158,2,2),[1]Futures!$A$2:$B$12,2),1),"")</f>
        <v/>
      </c>
    </row>
    <row r="2159" spans="1:19" x14ac:dyDescent="0.2">
      <c r="A2159">
        <f t="shared" si="101"/>
        <v>707</v>
      </c>
      <c r="B2159" s="3">
        <v>44033</v>
      </c>
      <c r="C2159" s="3" t="str">
        <f t="shared" si="100"/>
        <v>Tuesday</v>
      </c>
      <c r="D2159" s="2">
        <v>0.41133101851851855</v>
      </c>
      <c r="E2159" t="s">
        <v>14</v>
      </c>
      <c r="F2159" t="s">
        <v>19</v>
      </c>
      <c r="G2159">
        <v>1</v>
      </c>
      <c r="H2159" t="s">
        <v>16</v>
      </c>
      <c r="I2159" t="s">
        <v>79</v>
      </c>
      <c r="J2159" s="1">
        <v>44094</v>
      </c>
      <c r="L2159" t="s">
        <v>14</v>
      </c>
      <c r="M2159">
        <v>3266.25</v>
      </c>
      <c r="N2159">
        <v>3266.25</v>
      </c>
      <c r="O2159" t="s">
        <v>18</v>
      </c>
      <c r="P2159">
        <f t="shared" si="102"/>
        <v>0</v>
      </c>
      <c r="Q2159" s="11">
        <f>IF(P2159=0,0,IFERROR(Q2158+G2159*M2159*IF(E2159="FUTURE",VLOOKUP(MID(I2159,2,2),[1]Futures!$A$2:$B$12,2),1),G2159*M2159*IF(E2159="FUTURE",VLOOKUP(MID(I2159,2,2),[1]Futures!$A$2:$B$12,2),1)))</f>
        <v>0</v>
      </c>
      <c r="R2159" s="12" t="str">
        <f>IFERROR(Q2159/P2159/IF(E2159="FUTURE",VLOOKUP(MID(I2159,2,2),[1]Futures!$A$2:$B$12,2),1),"")</f>
        <v/>
      </c>
      <c r="S2159" s="13">
        <f>IF(AND(H2159="TO CLOSE",P2159=0),-G2159*(M2159-R2158)*IF(E2159="FUTURE",VLOOKUP(MID(I2159,2,2),[1]Futures!$A$2:$B$12,2),1),"")</f>
        <v>-200</v>
      </c>
    </row>
    <row r="2160" spans="1:19" x14ac:dyDescent="0.2">
      <c r="A2160">
        <f t="shared" si="101"/>
        <v>708</v>
      </c>
      <c r="B2160" s="3">
        <v>44033</v>
      </c>
      <c r="C2160" s="3" t="str">
        <f t="shared" si="100"/>
        <v>Tuesday</v>
      </c>
      <c r="D2160" s="2">
        <v>0.41636574074074079</v>
      </c>
      <c r="E2160" t="s">
        <v>14</v>
      </c>
      <c r="F2160" t="s">
        <v>19</v>
      </c>
      <c r="G2160">
        <v>1</v>
      </c>
      <c r="H2160" t="s">
        <v>20</v>
      </c>
      <c r="I2160" t="s">
        <v>79</v>
      </c>
      <c r="J2160" s="1">
        <v>44094</v>
      </c>
      <c r="L2160" t="s">
        <v>14</v>
      </c>
      <c r="M2160">
        <v>3266.75</v>
      </c>
      <c r="N2160">
        <v>3266.75</v>
      </c>
      <c r="O2160" t="s">
        <v>24</v>
      </c>
      <c r="P2160">
        <f t="shared" si="102"/>
        <v>1</v>
      </c>
      <c r="Q2160" s="11">
        <f>IF(P2160=0,0,IFERROR(Q2159+G2160*M2160*IF(E2160="FUTURE",VLOOKUP(MID(I2160,2,2),[1]Futures!$A$2:$B$12,2),1),G2160*M2160*IF(E2160="FUTURE",VLOOKUP(MID(I2160,2,2),[1]Futures!$A$2:$B$12,2),1)))</f>
        <v>163337.5</v>
      </c>
      <c r="R2160" s="12">
        <f>IFERROR(Q2160/P2160/IF(E2160="FUTURE",VLOOKUP(MID(I2160,2,2),[1]Futures!$A$2:$B$12,2),1),"")</f>
        <v>3266.75</v>
      </c>
      <c r="S2160" s="13" t="str">
        <f>IF(AND(H2160="TO CLOSE",P2160=0),-G2160*(M2160-R2159)*IF(E2160="FUTURE",VLOOKUP(MID(I2160,2,2),[1]Futures!$A$2:$B$12,2),1),"")</f>
        <v/>
      </c>
    </row>
    <row r="2161" spans="1:19" x14ac:dyDescent="0.2">
      <c r="A2161">
        <f t="shared" si="101"/>
        <v>708</v>
      </c>
      <c r="B2161" s="3">
        <v>44033</v>
      </c>
      <c r="C2161" s="3" t="str">
        <f t="shared" si="100"/>
        <v>Tuesday</v>
      </c>
      <c r="D2161" s="2">
        <v>0.42364583333333333</v>
      </c>
      <c r="E2161" t="s">
        <v>14</v>
      </c>
      <c r="F2161" t="s">
        <v>15</v>
      </c>
      <c r="G2161">
        <v>-1</v>
      </c>
      <c r="H2161" t="s">
        <v>16</v>
      </c>
      <c r="I2161" t="s">
        <v>79</v>
      </c>
      <c r="J2161" s="1">
        <v>44094</v>
      </c>
      <c r="L2161" t="s">
        <v>14</v>
      </c>
      <c r="M2161">
        <v>3262.75</v>
      </c>
      <c r="N2161">
        <v>3262.75</v>
      </c>
      <c r="O2161" t="s">
        <v>21</v>
      </c>
      <c r="P2161">
        <f t="shared" si="102"/>
        <v>0</v>
      </c>
      <c r="Q2161" s="11">
        <f>IF(P2161=0,0,IFERROR(Q2160+G2161*M2161*IF(E2161="FUTURE",VLOOKUP(MID(I2161,2,2),[1]Futures!$A$2:$B$12,2),1),G2161*M2161*IF(E2161="FUTURE",VLOOKUP(MID(I2161,2,2),[1]Futures!$A$2:$B$12,2),1)))</f>
        <v>0</v>
      </c>
      <c r="R2161" s="12" t="str">
        <f>IFERROR(Q2161/P2161/IF(E2161="FUTURE",VLOOKUP(MID(I2161,2,2),[1]Futures!$A$2:$B$12,2),1),"")</f>
        <v/>
      </c>
      <c r="S2161" s="13">
        <f>IF(AND(H2161="TO CLOSE",P2161=0),-G2161*(M2161-R2160)*IF(E2161="FUTURE",VLOOKUP(MID(I2161,2,2),[1]Futures!$A$2:$B$12,2),1),"")</f>
        <v>-200</v>
      </c>
    </row>
    <row r="2162" spans="1:19" x14ac:dyDescent="0.2">
      <c r="A2162">
        <f t="shared" si="101"/>
        <v>709</v>
      </c>
      <c r="B2162" s="3">
        <v>44033</v>
      </c>
      <c r="C2162" s="3" t="str">
        <f t="shared" si="100"/>
        <v>Tuesday</v>
      </c>
      <c r="D2162" s="2">
        <v>0.42386574074074074</v>
      </c>
      <c r="E2162" t="s">
        <v>14</v>
      </c>
      <c r="F2162" t="s">
        <v>15</v>
      </c>
      <c r="G2162">
        <v>-2</v>
      </c>
      <c r="H2162" t="s">
        <v>20</v>
      </c>
      <c r="I2162" t="s">
        <v>79</v>
      </c>
      <c r="J2162" s="1">
        <v>44094</v>
      </c>
      <c r="L2162" t="s">
        <v>14</v>
      </c>
      <c r="M2162">
        <v>3262</v>
      </c>
      <c r="N2162">
        <v>3262</v>
      </c>
      <c r="O2162" t="s">
        <v>24</v>
      </c>
      <c r="P2162">
        <f t="shared" si="102"/>
        <v>-2</v>
      </c>
      <c r="Q2162" s="11">
        <f>IF(P2162=0,0,IFERROR(Q2161+G2162*M2162*IF(E2162="FUTURE",VLOOKUP(MID(I2162,2,2),[1]Futures!$A$2:$B$12,2),1),G2162*M2162*IF(E2162="FUTURE",VLOOKUP(MID(I2162,2,2),[1]Futures!$A$2:$B$12,2),1)))</f>
        <v>-326200</v>
      </c>
      <c r="R2162" s="12">
        <f>IFERROR(Q2162/P2162/IF(E2162="FUTURE",VLOOKUP(MID(I2162,2,2),[1]Futures!$A$2:$B$12,2),1),"")</f>
        <v>3262</v>
      </c>
      <c r="S2162" s="13" t="str">
        <f>IF(AND(H2162="TO CLOSE",P2162=0),-G2162*(M2162-R2161)*IF(E2162="FUTURE",VLOOKUP(MID(I2162,2,2),[1]Futures!$A$2:$B$12,2),1),"")</f>
        <v/>
      </c>
    </row>
    <row r="2163" spans="1:19" x14ac:dyDescent="0.2">
      <c r="A2163">
        <f t="shared" si="101"/>
        <v>709</v>
      </c>
      <c r="B2163" s="3">
        <v>44033</v>
      </c>
      <c r="C2163" s="3" t="str">
        <f t="shared" si="100"/>
        <v>Tuesday</v>
      </c>
      <c r="D2163" s="2">
        <v>0.43034722222222221</v>
      </c>
      <c r="E2163" t="s">
        <v>14</v>
      </c>
      <c r="F2163" t="s">
        <v>19</v>
      </c>
      <c r="G2163">
        <v>2</v>
      </c>
      <c r="H2163" t="s">
        <v>16</v>
      </c>
      <c r="I2163" t="s">
        <v>79</v>
      </c>
      <c r="J2163" s="1">
        <v>44094</v>
      </c>
      <c r="L2163" t="s">
        <v>14</v>
      </c>
      <c r="M2163">
        <v>3266</v>
      </c>
      <c r="N2163">
        <v>3266</v>
      </c>
      <c r="O2163" t="s">
        <v>18</v>
      </c>
      <c r="P2163">
        <f t="shared" si="102"/>
        <v>0</v>
      </c>
      <c r="Q2163" s="11">
        <f>IF(P2163=0,0,IFERROR(Q2162+G2163*M2163*IF(E2163="FUTURE",VLOOKUP(MID(I2163,2,2),[1]Futures!$A$2:$B$12,2),1),G2163*M2163*IF(E2163="FUTURE",VLOOKUP(MID(I2163,2,2),[1]Futures!$A$2:$B$12,2),1)))</f>
        <v>0</v>
      </c>
      <c r="R2163" s="12" t="str">
        <f>IFERROR(Q2163/P2163/IF(E2163="FUTURE",VLOOKUP(MID(I2163,2,2),[1]Futures!$A$2:$B$12,2),1),"")</f>
        <v/>
      </c>
      <c r="S2163" s="13">
        <f>IF(AND(H2163="TO CLOSE",P2163=0),-G2163*(M2163-R2162)*IF(E2163="FUTURE",VLOOKUP(MID(I2163,2,2),[1]Futures!$A$2:$B$12,2),1),"")</f>
        <v>-400</v>
      </c>
    </row>
    <row r="2164" spans="1:19" x14ac:dyDescent="0.2">
      <c r="A2164">
        <f t="shared" si="101"/>
        <v>710</v>
      </c>
      <c r="B2164" s="3">
        <v>44033</v>
      </c>
      <c r="C2164" s="3" t="str">
        <f t="shared" si="100"/>
        <v>Tuesday</v>
      </c>
      <c r="D2164" s="2">
        <v>0.43458333333333332</v>
      </c>
      <c r="E2164" t="s">
        <v>14</v>
      </c>
      <c r="F2164" t="s">
        <v>15</v>
      </c>
      <c r="G2164">
        <v>-2</v>
      </c>
      <c r="H2164" t="s">
        <v>20</v>
      </c>
      <c r="I2164" t="s">
        <v>79</v>
      </c>
      <c r="J2164" s="1">
        <v>44094</v>
      </c>
      <c r="L2164" t="s">
        <v>14</v>
      </c>
      <c r="M2164">
        <v>3263</v>
      </c>
      <c r="N2164">
        <v>3263</v>
      </c>
      <c r="O2164" t="s">
        <v>24</v>
      </c>
      <c r="P2164">
        <f t="shared" si="102"/>
        <v>-2</v>
      </c>
      <c r="Q2164" s="11">
        <f>IF(P2164=0,0,IFERROR(Q2163+G2164*M2164*IF(E2164="FUTURE",VLOOKUP(MID(I2164,2,2),[1]Futures!$A$2:$B$12,2),1),G2164*M2164*IF(E2164="FUTURE",VLOOKUP(MID(I2164,2,2),[1]Futures!$A$2:$B$12,2),1)))</f>
        <v>-326300</v>
      </c>
      <c r="R2164" s="12">
        <f>IFERROR(Q2164/P2164/IF(E2164="FUTURE",VLOOKUP(MID(I2164,2,2),[1]Futures!$A$2:$B$12,2),1),"")</f>
        <v>3263</v>
      </c>
      <c r="S2164" s="13" t="str">
        <f>IF(AND(H2164="TO CLOSE",P2164=0),-G2164*(M2164-R2163)*IF(E2164="FUTURE",VLOOKUP(MID(I2164,2,2),[1]Futures!$A$2:$B$12,2),1),"")</f>
        <v/>
      </c>
    </row>
    <row r="2165" spans="1:19" x14ac:dyDescent="0.2">
      <c r="A2165">
        <f t="shared" si="101"/>
        <v>710</v>
      </c>
      <c r="B2165" s="3">
        <v>44033</v>
      </c>
      <c r="C2165" s="3" t="str">
        <f t="shared" si="100"/>
        <v>Tuesday</v>
      </c>
      <c r="D2165" s="2">
        <v>0.43561342592592595</v>
      </c>
      <c r="E2165" t="s">
        <v>14</v>
      </c>
      <c r="F2165" t="s">
        <v>19</v>
      </c>
      <c r="G2165">
        <v>1</v>
      </c>
      <c r="H2165" t="s">
        <v>16</v>
      </c>
      <c r="I2165" t="s">
        <v>79</v>
      </c>
      <c r="J2165" s="1">
        <v>44094</v>
      </c>
      <c r="L2165" t="s">
        <v>14</v>
      </c>
      <c r="M2165">
        <v>3258</v>
      </c>
      <c r="N2165">
        <v>3258</v>
      </c>
      <c r="O2165" t="s">
        <v>21</v>
      </c>
      <c r="P2165">
        <f t="shared" si="102"/>
        <v>-1</v>
      </c>
      <c r="Q2165" s="11">
        <f>IF(P2165=0,0,IFERROR(Q2164+G2165*M2165*IF(E2165="FUTURE",VLOOKUP(MID(I2165,2,2),[1]Futures!$A$2:$B$12,2),1),G2165*M2165*IF(E2165="FUTURE",VLOOKUP(MID(I2165,2,2),[1]Futures!$A$2:$B$12,2),1)))</f>
        <v>-163400</v>
      </c>
      <c r="R2165" s="12">
        <f>IFERROR(Q2165/P2165/IF(E2165="FUTURE",VLOOKUP(MID(I2165,2,2),[1]Futures!$A$2:$B$12,2),1),"")</f>
        <v>3268</v>
      </c>
      <c r="S2165" s="13" t="str">
        <f>IF(AND(H2165="TO CLOSE",P2165=0),-G2165*(M2165-R2164)*IF(E2165="FUTURE",VLOOKUP(MID(I2165,2,2),[1]Futures!$A$2:$B$12,2),1),"")</f>
        <v/>
      </c>
    </row>
    <row r="2166" spans="1:19" x14ac:dyDescent="0.2">
      <c r="A2166">
        <f t="shared" si="101"/>
        <v>710</v>
      </c>
      <c r="B2166" s="3">
        <v>44033</v>
      </c>
      <c r="C2166" s="3" t="str">
        <f t="shared" si="100"/>
        <v>Tuesday</v>
      </c>
      <c r="D2166" s="2">
        <v>0.44210648148148146</v>
      </c>
      <c r="E2166" t="s">
        <v>14</v>
      </c>
      <c r="F2166" t="s">
        <v>19</v>
      </c>
      <c r="G2166">
        <v>1</v>
      </c>
      <c r="H2166" t="s">
        <v>16</v>
      </c>
      <c r="I2166" t="s">
        <v>79</v>
      </c>
      <c r="J2166" s="1">
        <v>44094</v>
      </c>
      <c r="L2166" t="s">
        <v>14</v>
      </c>
      <c r="M2166">
        <v>3256.25</v>
      </c>
      <c r="N2166">
        <v>3256.25</v>
      </c>
      <c r="O2166" t="s">
        <v>21</v>
      </c>
      <c r="P2166">
        <f t="shared" si="102"/>
        <v>0</v>
      </c>
      <c r="Q2166" s="11">
        <f>IF(P2166=0,0,IFERROR(Q2165+G2166*M2166*IF(E2166="FUTURE",VLOOKUP(MID(I2166,2,2),[1]Futures!$A$2:$B$12,2),1),G2166*M2166*IF(E2166="FUTURE",VLOOKUP(MID(I2166,2,2),[1]Futures!$A$2:$B$12,2),1)))</f>
        <v>0</v>
      </c>
      <c r="R2166" s="12" t="str">
        <f>IFERROR(Q2166/P2166/IF(E2166="FUTURE",VLOOKUP(MID(I2166,2,2),[1]Futures!$A$2:$B$12,2),1),"")</f>
        <v/>
      </c>
      <c r="S2166" s="13">
        <f>IF(AND(H2166="TO CLOSE",P2166=0),-G2166*(M2166-R2165)*IF(E2166="FUTURE",VLOOKUP(MID(I2166,2,2),[1]Futures!$A$2:$B$12,2),1),"")</f>
        <v>587.5</v>
      </c>
    </row>
    <row r="2167" spans="1:19" x14ac:dyDescent="0.2">
      <c r="A2167">
        <f t="shared" si="101"/>
        <v>711</v>
      </c>
      <c r="B2167" s="3">
        <v>44033</v>
      </c>
      <c r="C2167" s="3" t="str">
        <f t="shared" si="100"/>
        <v>Tuesday</v>
      </c>
      <c r="D2167" s="2">
        <v>0.44319444444444445</v>
      </c>
      <c r="E2167" t="s">
        <v>14</v>
      </c>
      <c r="F2167" t="s">
        <v>19</v>
      </c>
      <c r="G2167">
        <v>1</v>
      </c>
      <c r="H2167" t="s">
        <v>20</v>
      </c>
      <c r="I2167" t="s">
        <v>79</v>
      </c>
      <c r="J2167" s="1">
        <v>44094</v>
      </c>
      <c r="L2167" t="s">
        <v>14</v>
      </c>
      <c r="M2167">
        <v>3260</v>
      </c>
      <c r="N2167">
        <v>3260</v>
      </c>
      <c r="O2167" t="s">
        <v>24</v>
      </c>
      <c r="P2167">
        <f t="shared" si="102"/>
        <v>1</v>
      </c>
      <c r="Q2167" s="11">
        <f>IF(P2167=0,0,IFERROR(Q2166+G2167*M2167*IF(E2167="FUTURE",VLOOKUP(MID(I2167,2,2),[1]Futures!$A$2:$B$12,2),1),G2167*M2167*IF(E2167="FUTURE",VLOOKUP(MID(I2167,2,2),[1]Futures!$A$2:$B$12,2),1)))</f>
        <v>163000</v>
      </c>
      <c r="R2167" s="12">
        <f>IFERROR(Q2167/P2167/IF(E2167="FUTURE",VLOOKUP(MID(I2167,2,2),[1]Futures!$A$2:$B$12,2),1),"")</f>
        <v>3260</v>
      </c>
      <c r="S2167" s="13" t="str">
        <f>IF(AND(H2167="TO CLOSE",P2167=0),-G2167*(M2167-R2166)*IF(E2167="FUTURE",VLOOKUP(MID(I2167,2,2),[1]Futures!$A$2:$B$12,2),1),"")</f>
        <v/>
      </c>
    </row>
    <row r="2168" spans="1:19" x14ac:dyDescent="0.2">
      <c r="A2168">
        <f t="shared" si="101"/>
        <v>711</v>
      </c>
      <c r="B2168" s="3">
        <v>44033</v>
      </c>
      <c r="C2168" s="3" t="str">
        <f t="shared" si="100"/>
        <v>Tuesday</v>
      </c>
      <c r="D2168" s="2">
        <v>0.4440972222222222</v>
      </c>
      <c r="E2168" t="s">
        <v>14</v>
      </c>
      <c r="F2168" t="s">
        <v>15</v>
      </c>
      <c r="G2168">
        <v>-1</v>
      </c>
      <c r="H2168" t="s">
        <v>16</v>
      </c>
      <c r="I2168" t="s">
        <v>79</v>
      </c>
      <c r="J2168" s="1">
        <v>44094</v>
      </c>
      <c r="L2168" t="s">
        <v>14</v>
      </c>
      <c r="M2168">
        <v>3260.25</v>
      </c>
      <c r="N2168">
        <v>3260.25</v>
      </c>
      <c r="O2168" t="s">
        <v>21</v>
      </c>
      <c r="P2168">
        <f t="shared" si="102"/>
        <v>0</v>
      </c>
      <c r="Q2168" s="11">
        <f>IF(P2168=0,0,IFERROR(Q2167+G2168*M2168*IF(E2168="FUTURE",VLOOKUP(MID(I2168,2,2),[1]Futures!$A$2:$B$12,2),1),G2168*M2168*IF(E2168="FUTURE",VLOOKUP(MID(I2168,2,2),[1]Futures!$A$2:$B$12,2),1)))</f>
        <v>0</v>
      </c>
      <c r="R2168" s="12" t="str">
        <f>IFERROR(Q2168/P2168/IF(E2168="FUTURE",VLOOKUP(MID(I2168,2,2),[1]Futures!$A$2:$B$12,2),1),"")</f>
        <v/>
      </c>
      <c r="S2168" s="13">
        <f>IF(AND(H2168="TO CLOSE",P2168=0),-G2168*(M2168-R2167)*IF(E2168="FUTURE",VLOOKUP(MID(I2168,2,2),[1]Futures!$A$2:$B$12,2),1),"")</f>
        <v>12.5</v>
      </c>
    </row>
    <row r="2169" spans="1:19" x14ac:dyDescent="0.2">
      <c r="A2169">
        <f t="shared" si="101"/>
        <v>712</v>
      </c>
      <c r="B2169" s="3">
        <v>44033</v>
      </c>
      <c r="C2169" s="3" t="str">
        <f t="shared" si="100"/>
        <v>Tuesday</v>
      </c>
      <c r="D2169" s="2">
        <v>0.44892361111111106</v>
      </c>
      <c r="E2169" t="s">
        <v>14</v>
      </c>
      <c r="F2169" t="s">
        <v>19</v>
      </c>
      <c r="G2169">
        <v>1</v>
      </c>
      <c r="H2169" t="s">
        <v>20</v>
      </c>
      <c r="I2169" t="s">
        <v>79</v>
      </c>
      <c r="J2169" s="1">
        <v>44094</v>
      </c>
      <c r="L2169" t="s">
        <v>14</v>
      </c>
      <c r="M2169">
        <v>3257</v>
      </c>
      <c r="N2169">
        <v>3257</v>
      </c>
      <c r="O2169" t="s">
        <v>24</v>
      </c>
      <c r="P2169">
        <f t="shared" si="102"/>
        <v>1</v>
      </c>
      <c r="Q2169" s="11">
        <f>IF(P2169=0,0,IFERROR(Q2168+G2169*M2169*IF(E2169="FUTURE",VLOOKUP(MID(I2169,2,2),[1]Futures!$A$2:$B$12,2),1),G2169*M2169*IF(E2169="FUTURE",VLOOKUP(MID(I2169,2,2),[1]Futures!$A$2:$B$12,2),1)))</f>
        <v>162850</v>
      </c>
      <c r="R2169" s="12">
        <f>IFERROR(Q2169/P2169/IF(E2169="FUTURE",VLOOKUP(MID(I2169,2,2),[1]Futures!$A$2:$B$12,2),1),"")</f>
        <v>3257</v>
      </c>
      <c r="S2169" s="13" t="str">
        <f>IF(AND(H2169="TO CLOSE",P2169=0),-G2169*(M2169-R2168)*IF(E2169="FUTURE",VLOOKUP(MID(I2169,2,2),[1]Futures!$A$2:$B$12,2),1),"")</f>
        <v/>
      </c>
    </row>
    <row r="2170" spans="1:19" x14ac:dyDescent="0.2">
      <c r="A2170">
        <f t="shared" si="101"/>
        <v>712</v>
      </c>
      <c r="B2170" s="3">
        <v>44033</v>
      </c>
      <c r="C2170" s="3" t="str">
        <f t="shared" si="100"/>
        <v>Tuesday</v>
      </c>
      <c r="D2170" s="2">
        <v>0.45112268518518522</v>
      </c>
      <c r="E2170" t="s">
        <v>14</v>
      </c>
      <c r="F2170" t="s">
        <v>15</v>
      </c>
      <c r="G2170">
        <v>-1</v>
      </c>
      <c r="H2170" t="s">
        <v>16</v>
      </c>
      <c r="I2170" t="s">
        <v>79</v>
      </c>
      <c r="J2170" s="1">
        <v>44094</v>
      </c>
      <c r="L2170" t="s">
        <v>14</v>
      </c>
      <c r="M2170">
        <v>3261.25</v>
      </c>
      <c r="N2170">
        <v>3261.25</v>
      </c>
      <c r="O2170" t="s">
        <v>21</v>
      </c>
      <c r="P2170">
        <f t="shared" si="102"/>
        <v>0</v>
      </c>
      <c r="Q2170" s="11">
        <f>IF(P2170=0,0,IFERROR(Q2169+G2170*M2170*IF(E2170="FUTURE",VLOOKUP(MID(I2170,2,2),[1]Futures!$A$2:$B$12,2),1),G2170*M2170*IF(E2170="FUTURE",VLOOKUP(MID(I2170,2,2),[1]Futures!$A$2:$B$12,2),1)))</f>
        <v>0</v>
      </c>
      <c r="R2170" s="12" t="str">
        <f>IFERROR(Q2170/P2170/IF(E2170="FUTURE",VLOOKUP(MID(I2170,2,2),[1]Futures!$A$2:$B$12,2),1),"")</f>
        <v/>
      </c>
      <c r="S2170" s="13">
        <f>IF(AND(H2170="TO CLOSE",P2170=0),-G2170*(M2170-R2169)*IF(E2170="FUTURE",VLOOKUP(MID(I2170,2,2),[1]Futures!$A$2:$B$12,2),1),"")</f>
        <v>212.5</v>
      </c>
    </row>
    <row r="2171" spans="1:19" x14ac:dyDescent="0.2">
      <c r="A2171">
        <f t="shared" si="101"/>
        <v>713</v>
      </c>
      <c r="B2171" s="3">
        <v>44033</v>
      </c>
      <c r="C2171" s="3" t="str">
        <f t="shared" si="100"/>
        <v>Tuesday</v>
      </c>
      <c r="D2171" s="2">
        <v>0.46806712962962965</v>
      </c>
      <c r="E2171" t="s">
        <v>14</v>
      </c>
      <c r="F2171" t="s">
        <v>19</v>
      </c>
      <c r="G2171">
        <v>1</v>
      </c>
      <c r="H2171" t="s">
        <v>20</v>
      </c>
      <c r="I2171" t="s">
        <v>79</v>
      </c>
      <c r="J2171" s="1">
        <v>44094</v>
      </c>
      <c r="L2171" t="s">
        <v>14</v>
      </c>
      <c r="M2171">
        <v>3260.75</v>
      </c>
      <c r="N2171">
        <v>3260.75</v>
      </c>
      <c r="O2171" t="s">
        <v>24</v>
      </c>
      <c r="P2171">
        <f t="shared" si="102"/>
        <v>1</v>
      </c>
      <c r="Q2171" s="11">
        <f>IF(P2171=0,0,IFERROR(Q2170+G2171*M2171*IF(E2171="FUTURE",VLOOKUP(MID(I2171,2,2),[1]Futures!$A$2:$B$12,2),1),G2171*M2171*IF(E2171="FUTURE",VLOOKUP(MID(I2171,2,2),[1]Futures!$A$2:$B$12,2),1)))</f>
        <v>163037.5</v>
      </c>
      <c r="R2171" s="12">
        <f>IFERROR(Q2171/P2171/IF(E2171="FUTURE",VLOOKUP(MID(I2171,2,2),[1]Futures!$A$2:$B$12,2),1),"")</f>
        <v>3260.75</v>
      </c>
      <c r="S2171" s="13" t="str">
        <f>IF(AND(H2171="TO CLOSE",P2171=0),-G2171*(M2171-R2170)*IF(E2171="FUTURE",VLOOKUP(MID(I2171,2,2),[1]Futures!$A$2:$B$12,2),1),"")</f>
        <v/>
      </c>
    </row>
    <row r="2172" spans="1:19" x14ac:dyDescent="0.2">
      <c r="A2172">
        <f t="shared" si="101"/>
        <v>713</v>
      </c>
      <c r="B2172" s="3">
        <v>44033</v>
      </c>
      <c r="C2172" s="3" t="str">
        <f t="shared" si="100"/>
        <v>Tuesday</v>
      </c>
      <c r="D2172" s="2">
        <v>0.47940972222222222</v>
      </c>
      <c r="E2172" t="s">
        <v>14</v>
      </c>
      <c r="F2172" t="s">
        <v>15</v>
      </c>
      <c r="G2172">
        <v>-1</v>
      </c>
      <c r="H2172" t="s">
        <v>16</v>
      </c>
      <c r="I2172" t="s">
        <v>79</v>
      </c>
      <c r="J2172" s="1">
        <v>44094</v>
      </c>
      <c r="L2172" t="s">
        <v>14</v>
      </c>
      <c r="M2172">
        <v>3266.25</v>
      </c>
      <c r="N2172">
        <v>3266.25</v>
      </c>
      <c r="O2172" t="s">
        <v>21</v>
      </c>
      <c r="P2172">
        <f t="shared" si="102"/>
        <v>0</v>
      </c>
      <c r="Q2172" s="11">
        <f>IF(P2172=0,0,IFERROR(Q2171+G2172*M2172*IF(E2172="FUTURE",VLOOKUP(MID(I2172,2,2),[1]Futures!$A$2:$B$12,2),1),G2172*M2172*IF(E2172="FUTURE",VLOOKUP(MID(I2172,2,2),[1]Futures!$A$2:$B$12,2),1)))</f>
        <v>0</v>
      </c>
      <c r="R2172" s="12" t="str">
        <f>IFERROR(Q2172/P2172/IF(E2172="FUTURE",VLOOKUP(MID(I2172,2,2),[1]Futures!$A$2:$B$12,2),1),"")</f>
        <v/>
      </c>
      <c r="S2172" s="13">
        <f>IF(AND(H2172="TO CLOSE",P2172=0),-G2172*(M2172-R2171)*IF(E2172="FUTURE",VLOOKUP(MID(I2172,2,2),[1]Futures!$A$2:$B$12,2),1),"")</f>
        <v>275</v>
      </c>
    </row>
    <row r="2173" spans="1:19" x14ac:dyDescent="0.2">
      <c r="A2173">
        <f t="shared" si="101"/>
        <v>714</v>
      </c>
      <c r="B2173" s="3">
        <v>44033</v>
      </c>
      <c r="C2173" s="3" t="str">
        <f t="shared" si="100"/>
        <v>Tuesday</v>
      </c>
      <c r="D2173" s="2">
        <v>0.56282407407407409</v>
      </c>
      <c r="E2173" t="s">
        <v>14</v>
      </c>
      <c r="F2173" t="s">
        <v>19</v>
      </c>
      <c r="G2173">
        <v>1</v>
      </c>
      <c r="H2173" t="s">
        <v>20</v>
      </c>
      <c r="I2173" t="s">
        <v>79</v>
      </c>
      <c r="J2173" s="1">
        <v>44094</v>
      </c>
      <c r="L2173" t="s">
        <v>14</v>
      </c>
      <c r="M2173">
        <v>3262.5</v>
      </c>
      <c r="N2173">
        <v>3262.5</v>
      </c>
      <c r="O2173" t="s">
        <v>21</v>
      </c>
      <c r="P2173">
        <f t="shared" si="102"/>
        <v>1</v>
      </c>
      <c r="Q2173" s="11">
        <f>IF(P2173=0,0,IFERROR(Q2172+G2173*M2173*IF(E2173="FUTURE",VLOOKUP(MID(I2173,2,2),[1]Futures!$A$2:$B$12,2),1),G2173*M2173*IF(E2173="FUTURE",VLOOKUP(MID(I2173,2,2),[1]Futures!$A$2:$B$12,2),1)))</f>
        <v>163125</v>
      </c>
      <c r="R2173" s="12">
        <f>IFERROR(Q2173/P2173/IF(E2173="FUTURE",VLOOKUP(MID(I2173,2,2),[1]Futures!$A$2:$B$12,2),1),"")</f>
        <v>3262.5</v>
      </c>
      <c r="S2173" s="13" t="str">
        <f>IF(AND(H2173="TO CLOSE",P2173=0),-G2173*(M2173-R2172)*IF(E2173="FUTURE",VLOOKUP(MID(I2173,2,2),[1]Futures!$A$2:$B$12,2),1),"")</f>
        <v/>
      </c>
    </row>
    <row r="2174" spans="1:19" x14ac:dyDescent="0.2">
      <c r="A2174">
        <f t="shared" si="101"/>
        <v>714</v>
      </c>
      <c r="B2174" s="3">
        <v>44033</v>
      </c>
      <c r="C2174" s="3" t="str">
        <f t="shared" ref="C2174:C2237" si="103">IF(WEEKDAY(B2174,2)=1,"Monday",IF(WEEKDAY(B2174,2)=2,"Tuesday",IF(WEEKDAY(B2174,2)=3,"Wednesday",IF(WEEKDAY(B2174,2)=4,"Thursday",IF(WEEKDAY(B2174,2)=5,"Friday","Sunday")))))</f>
        <v>Tuesday</v>
      </c>
      <c r="D2174" s="2">
        <v>0.56387731481481485</v>
      </c>
      <c r="E2174" t="s">
        <v>14</v>
      </c>
      <c r="F2174" t="s">
        <v>15</v>
      </c>
      <c r="G2174">
        <v>-1</v>
      </c>
      <c r="H2174" t="s">
        <v>16</v>
      </c>
      <c r="I2174" t="s">
        <v>79</v>
      </c>
      <c r="J2174" s="1">
        <v>44094</v>
      </c>
      <c r="L2174" t="s">
        <v>14</v>
      </c>
      <c r="M2174">
        <v>3263.5</v>
      </c>
      <c r="N2174">
        <v>3263.5</v>
      </c>
      <c r="O2174" t="s">
        <v>21</v>
      </c>
      <c r="P2174">
        <f t="shared" si="102"/>
        <v>0</v>
      </c>
      <c r="Q2174" s="11">
        <f>IF(P2174=0,0,IFERROR(Q2173+G2174*M2174*IF(E2174="FUTURE",VLOOKUP(MID(I2174,2,2),[1]Futures!$A$2:$B$12,2),1),G2174*M2174*IF(E2174="FUTURE",VLOOKUP(MID(I2174,2,2),[1]Futures!$A$2:$B$12,2),1)))</f>
        <v>0</v>
      </c>
      <c r="R2174" s="12" t="str">
        <f>IFERROR(Q2174/P2174/IF(E2174="FUTURE",VLOOKUP(MID(I2174,2,2),[1]Futures!$A$2:$B$12,2),1),"")</f>
        <v/>
      </c>
      <c r="S2174" s="13">
        <f>IF(AND(H2174="TO CLOSE",P2174=0),-G2174*(M2174-R2173)*IF(E2174="FUTURE",VLOOKUP(MID(I2174,2,2),[1]Futures!$A$2:$B$12,2),1),"")</f>
        <v>50</v>
      </c>
    </row>
    <row r="2175" spans="1:19" x14ac:dyDescent="0.2">
      <c r="A2175">
        <f t="shared" si="101"/>
        <v>715</v>
      </c>
      <c r="B2175" s="3">
        <v>44033</v>
      </c>
      <c r="C2175" s="3" t="str">
        <f t="shared" si="103"/>
        <v>Tuesday</v>
      </c>
      <c r="D2175" s="2">
        <v>0.5700925925925926</v>
      </c>
      <c r="E2175" t="s">
        <v>14</v>
      </c>
      <c r="F2175" t="s">
        <v>19</v>
      </c>
      <c r="G2175">
        <v>1</v>
      </c>
      <c r="H2175" t="s">
        <v>20</v>
      </c>
      <c r="I2175" t="s">
        <v>79</v>
      </c>
      <c r="J2175" s="1">
        <v>44094</v>
      </c>
      <c r="L2175" t="s">
        <v>14</v>
      </c>
      <c r="M2175">
        <v>3264.75</v>
      </c>
      <c r="N2175">
        <v>3264.75</v>
      </c>
      <c r="O2175" t="s">
        <v>24</v>
      </c>
      <c r="P2175">
        <f t="shared" si="102"/>
        <v>1</v>
      </c>
      <c r="Q2175" s="11">
        <f>IF(P2175=0,0,IFERROR(Q2174+G2175*M2175*IF(E2175="FUTURE",VLOOKUP(MID(I2175,2,2),[1]Futures!$A$2:$B$12,2),1),G2175*M2175*IF(E2175="FUTURE",VLOOKUP(MID(I2175,2,2),[1]Futures!$A$2:$B$12,2),1)))</f>
        <v>163237.5</v>
      </c>
      <c r="R2175" s="12">
        <f>IFERROR(Q2175/P2175/IF(E2175="FUTURE",VLOOKUP(MID(I2175,2,2),[1]Futures!$A$2:$B$12,2),1),"")</f>
        <v>3264.75</v>
      </c>
      <c r="S2175" s="13" t="str">
        <f>IF(AND(H2175="TO CLOSE",P2175=0),-G2175*(M2175-R2174)*IF(E2175="FUTURE",VLOOKUP(MID(I2175,2,2),[1]Futures!$A$2:$B$12,2),1),"")</f>
        <v/>
      </c>
    </row>
    <row r="2176" spans="1:19" x14ac:dyDescent="0.2">
      <c r="A2176">
        <f t="shared" si="101"/>
        <v>715</v>
      </c>
      <c r="B2176" s="3">
        <v>44033</v>
      </c>
      <c r="C2176" s="3" t="str">
        <f t="shared" si="103"/>
        <v>Tuesday</v>
      </c>
      <c r="D2176" s="2">
        <v>0.58626157407407409</v>
      </c>
      <c r="E2176" t="s">
        <v>14</v>
      </c>
      <c r="F2176" t="s">
        <v>15</v>
      </c>
      <c r="G2176">
        <v>-1</v>
      </c>
      <c r="H2176" t="s">
        <v>16</v>
      </c>
      <c r="I2176" t="s">
        <v>79</v>
      </c>
      <c r="J2176" s="1">
        <v>44094</v>
      </c>
      <c r="L2176" t="s">
        <v>14</v>
      </c>
      <c r="M2176">
        <v>3266.25</v>
      </c>
      <c r="N2176">
        <v>3266.25</v>
      </c>
      <c r="O2176" t="s">
        <v>24</v>
      </c>
      <c r="P2176">
        <f t="shared" si="102"/>
        <v>0</v>
      </c>
      <c r="Q2176" s="11">
        <f>IF(P2176=0,0,IFERROR(Q2175+G2176*M2176*IF(E2176="FUTURE",VLOOKUP(MID(I2176,2,2),[1]Futures!$A$2:$B$12,2),1),G2176*M2176*IF(E2176="FUTURE",VLOOKUP(MID(I2176,2,2),[1]Futures!$A$2:$B$12,2),1)))</f>
        <v>0</v>
      </c>
      <c r="R2176" s="12" t="str">
        <f>IFERROR(Q2176/P2176/IF(E2176="FUTURE",VLOOKUP(MID(I2176,2,2),[1]Futures!$A$2:$B$12,2),1),"")</f>
        <v/>
      </c>
      <c r="S2176" s="13">
        <f>IF(AND(H2176="TO CLOSE",P2176=0),-G2176*(M2176-R2175)*IF(E2176="FUTURE",VLOOKUP(MID(I2176,2,2),[1]Futures!$A$2:$B$12,2),1),"")</f>
        <v>75</v>
      </c>
    </row>
    <row r="2177" spans="1:19" x14ac:dyDescent="0.2">
      <c r="A2177">
        <f t="shared" si="101"/>
        <v>716</v>
      </c>
      <c r="B2177" s="3">
        <v>44034</v>
      </c>
      <c r="C2177" s="3" t="str">
        <f t="shared" si="103"/>
        <v>Wednesday</v>
      </c>
      <c r="D2177" s="2">
        <v>0.41142361111111114</v>
      </c>
      <c r="E2177" t="s">
        <v>14</v>
      </c>
      <c r="F2177" t="s">
        <v>19</v>
      </c>
      <c r="G2177">
        <v>1</v>
      </c>
      <c r="H2177" t="s">
        <v>20</v>
      </c>
      <c r="I2177" t="s">
        <v>81</v>
      </c>
      <c r="J2177" s="1">
        <v>44094</v>
      </c>
      <c r="L2177" t="s">
        <v>14</v>
      </c>
      <c r="M2177">
        <v>41.51</v>
      </c>
      <c r="N2177">
        <v>41.51</v>
      </c>
      <c r="O2177" t="s">
        <v>24</v>
      </c>
      <c r="P2177">
        <f t="shared" si="102"/>
        <v>1</v>
      </c>
      <c r="Q2177" s="11">
        <f>IF(P2177=0,0,IFERROR(Q2176+G2177*M2177*IF(E2177="FUTURE",VLOOKUP(MID(I2177,2,2),[1]Futures!$A$2:$B$12,2),1),G2177*M2177*IF(E2177="FUTURE",VLOOKUP(MID(I2177,2,2),[1]Futures!$A$2:$B$12,2),1)))</f>
        <v>41510</v>
      </c>
      <c r="R2177" s="12">
        <f>IFERROR(Q2177/P2177/IF(E2177="FUTURE",VLOOKUP(MID(I2177,2,2),[1]Futures!$A$2:$B$12,2),1),"")</f>
        <v>41.51</v>
      </c>
      <c r="S2177" s="13" t="str">
        <f>IF(AND(H2177="TO CLOSE",P2177=0),-G2177*(M2177-R2176)*IF(E2177="FUTURE",VLOOKUP(MID(I2177,2,2),[1]Futures!$A$2:$B$12,2),1),"")</f>
        <v/>
      </c>
    </row>
    <row r="2178" spans="1:19" x14ac:dyDescent="0.2">
      <c r="A2178">
        <f t="shared" ref="A2178:A2241" si="104">IF(AND(P2177=0,H2177="TO CLOSE"),IFERROR(A2177+1,1),IFERROR(A2177/1,1))</f>
        <v>716</v>
      </c>
      <c r="B2178" s="3">
        <v>44034</v>
      </c>
      <c r="C2178" s="3" t="str">
        <f t="shared" si="103"/>
        <v>Wednesday</v>
      </c>
      <c r="D2178" s="2">
        <v>0.41240740740740739</v>
      </c>
      <c r="E2178" t="s">
        <v>14</v>
      </c>
      <c r="F2178" t="s">
        <v>15</v>
      </c>
      <c r="G2178">
        <v>-1</v>
      </c>
      <c r="H2178" t="s">
        <v>16</v>
      </c>
      <c r="I2178" t="s">
        <v>81</v>
      </c>
      <c r="J2178" s="1">
        <v>44094</v>
      </c>
      <c r="L2178" t="s">
        <v>14</v>
      </c>
      <c r="M2178">
        <v>41.52</v>
      </c>
      <c r="N2178">
        <v>41.52</v>
      </c>
      <c r="O2178" t="s">
        <v>21</v>
      </c>
      <c r="P2178">
        <f t="shared" si="102"/>
        <v>0</v>
      </c>
      <c r="Q2178" s="11">
        <f>IF(P2178=0,0,IFERROR(Q2177+G2178*M2178*IF(E2178="FUTURE",VLOOKUP(MID(I2178,2,2),[1]Futures!$A$2:$B$12,2),1),G2178*M2178*IF(E2178="FUTURE",VLOOKUP(MID(I2178,2,2),[1]Futures!$A$2:$B$12,2),1)))</f>
        <v>0</v>
      </c>
      <c r="R2178" s="12" t="str">
        <f>IFERROR(Q2178/P2178/IF(E2178="FUTURE",VLOOKUP(MID(I2178,2,2),[1]Futures!$A$2:$B$12,2),1),"")</f>
        <v/>
      </c>
      <c r="S2178" s="13">
        <f>IF(AND(H2178="TO CLOSE",P2178=0),-G2178*(M2178-R2177)*IF(E2178="FUTURE",VLOOKUP(MID(I2178,2,2),[1]Futures!$A$2:$B$12,2),1),"")</f>
        <v>10.000000000005116</v>
      </c>
    </row>
    <row r="2179" spans="1:19" x14ac:dyDescent="0.2">
      <c r="A2179">
        <f t="shared" si="104"/>
        <v>717</v>
      </c>
      <c r="B2179" s="3">
        <v>44034</v>
      </c>
      <c r="C2179" s="3" t="str">
        <f t="shared" si="103"/>
        <v>Wednesday</v>
      </c>
      <c r="D2179" s="2">
        <v>0.43761574074074078</v>
      </c>
      <c r="E2179" t="s">
        <v>14</v>
      </c>
      <c r="F2179" t="s">
        <v>15</v>
      </c>
      <c r="G2179">
        <v>-1</v>
      </c>
      <c r="H2179" t="s">
        <v>20</v>
      </c>
      <c r="I2179" t="s">
        <v>81</v>
      </c>
      <c r="J2179" s="1">
        <v>44094</v>
      </c>
      <c r="L2179" t="s">
        <v>14</v>
      </c>
      <c r="M2179">
        <v>41.39</v>
      </c>
      <c r="N2179">
        <v>41.39</v>
      </c>
      <c r="O2179" t="s">
        <v>24</v>
      </c>
      <c r="P2179">
        <f t="shared" ref="P2179:P2242" si="105">IF(H2179="TO OPEN",IFERROR(P2178+G2179,0+G2179),IFERROR(P2178+G2179,0+G2179))</f>
        <v>-1</v>
      </c>
      <c r="Q2179" s="11">
        <f>IF(P2179=0,0,IFERROR(Q2178+G2179*M2179*IF(E2179="FUTURE",VLOOKUP(MID(I2179,2,2),[1]Futures!$A$2:$B$12,2),1),G2179*M2179*IF(E2179="FUTURE",VLOOKUP(MID(I2179,2,2),[1]Futures!$A$2:$B$12,2),1)))</f>
        <v>-41390</v>
      </c>
      <c r="R2179" s="12">
        <f>IFERROR(Q2179/P2179/IF(E2179="FUTURE",VLOOKUP(MID(I2179,2,2),[1]Futures!$A$2:$B$12,2),1),"")</f>
        <v>41.39</v>
      </c>
      <c r="S2179" s="13" t="str">
        <f>IF(AND(H2179="TO CLOSE",P2179=0),-G2179*(M2179-R2178)*IF(E2179="FUTURE",VLOOKUP(MID(I2179,2,2),[1]Futures!$A$2:$B$12,2),1),"")</f>
        <v/>
      </c>
    </row>
    <row r="2180" spans="1:19" x14ac:dyDescent="0.2">
      <c r="A2180">
        <f t="shared" si="104"/>
        <v>717</v>
      </c>
      <c r="B2180" s="3">
        <v>44034</v>
      </c>
      <c r="C2180" s="3" t="str">
        <f t="shared" si="103"/>
        <v>Wednesday</v>
      </c>
      <c r="D2180" s="2">
        <v>0.43840277777777775</v>
      </c>
      <c r="E2180" t="s">
        <v>14</v>
      </c>
      <c r="F2180" t="s">
        <v>19</v>
      </c>
      <c r="G2180">
        <v>1</v>
      </c>
      <c r="H2180" t="s">
        <v>16</v>
      </c>
      <c r="I2180" t="s">
        <v>81</v>
      </c>
      <c r="J2180" s="1">
        <v>44094</v>
      </c>
      <c r="L2180" t="s">
        <v>14</v>
      </c>
      <c r="M2180">
        <v>41.37</v>
      </c>
      <c r="N2180">
        <v>41.37</v>
      </c>
      <c r="O2180" t="s">
        <v>18</v>
      </c>
      <c r="P2180">
        <f t="shared" si="105"/>
        <v>0</v>
      </c>
      <c r="Q2180" s="11">
        <f>IF(P2180=0,0,IFERROR(Q2179+G2180*M2180*IF(E2180="FUTURE",VLOOKUP(MID(I2180,2,2),[1]Futures!$A$2:$B$12,2),1),G2180*M2180*IF(E2180="FUTURE",VLOOKUP(MID(I2180,2,2),[1]Futures!$A$2:$B$12,2),1)))</f>
        <v>0</v>
      </c>
      <c r="R2180" s="12" t="str">
        <f>IFERROR(Q2180/P2180/IF(E2180="FUTURE",VLOOKUP(MID(I2180,2,2),[1]Futures!$A$2:$B$12,2),1),"")</f>
        <v/>
      </c>
      <c r="S2180" s="13">
        <f>IF(AND(H2180="TO CLOSE",P2180=0),-G2180*(M2180-R2179)*IF(E2180="FUTURE",VLOOKUP(MID(I2180,2,2),[1]Futures!$A$2:$B$12,2),1),"")</f>
        <v>20.000000000003126</v>
      </c>
    </row>
    <row r="2181" spans="1:19" x14ac:dyDescent="0.2">
      <c r="A2181">
        <f t="shared" si="104"/>
        <v>718</v>
      </c>
      <c r="B2181" s="3">
        <v>44034</v>
      </c>
      <c r="C2181" s="3" t="str">
        <f t="shared" si="103"/>
        <v>Wednesday</v>
      </c>
      <c r="D2181" s="2">
        <v>0.44342592592592589</v>
      </c>
      <c r="E2181" t="s">
        <v>14</v>
      </c>
      <c r="F2181" t="s">
        <v>15</v>
      </c>
      <c r="G2181">
        <v>-1</v>
      </c>
      <c r="H2181" t="s">
        <v>20</v>
      </c>
      <c r="I2181" t="s">
        <v>81</v>
      </c>
      <c r="J2181" s="1">
        <v>44094</v>
      </c>
      <c r="L2181" t="s">
        <v>14</v>
      </c>
      <c r="M2181">
        <v>41.41</v>
      </c>
      <c r="N2181">
        <v>41.41</v>
      </c>
      <c r="O2181" t="s">
        <v>21</v>
      </c>
      <c r="P2181">
        <f t="shared" si="105"/>
        <v>-1</v>
      </c>
      <c r="Q2181" s="11">
        <f>IF(P2181=0,0,IFERROR(Q2180+G2181*M2181*IF(E2181="FUTURE",VLOOKUP(MID(I2181,2,2),[1]Futures!$A$2:$B$12,2),1),G2181*M2181*IF(E2181="FUTURE",VLOOKUP(MID(I2181,2,2),[1]Futures!$A$2:$B$12,2),1)))</f>
        <v>-41410</v>
      </c>
      <c r="R2181" s="12">
        <f>IFERROR(Q2181/P2181/IF(E2181="FUTURE",VLOOKUP(MID(I2181,2,2),[1]Futures!$A$2:$B$12,2),1),"")</f>
        <v>41.41</v>
      </c>
      <c r="S2181" s="13" t="str">
        <f>IF(AND(H2181="TO CLOSE",P2181=0),-G2181*(M2181-R2180)*IF(E2181="FUTURE",VLOOKUP(MID(I2181,2,2),[1]Futures!$A$2:$B$12,2),1),"")</f>
        <v/>
      </c>
    </row>
    <row r="2182" spans="1:19" x14ac:dyDescent="0.2">
      <c r="A2182">
        <f t="shared" si="104"/>
        <v>718</v>
      </c>
      <c r="B2182" s="3">
        <v>44034</v>
      </c>
      <c r="C2182" s="3" t="str">
        <f t="shared" si="103"/>
        <v>Wednesday</v>
      </c>
      <c r="D2182" s="2">
        <v>0.45189814814814816</v>
      </c>
      <c r="E2182" t="s">
        <v>14</v>
      </c>
      <c r="F2182" t="s">
        <v>19</v>
      </c>
      <c r="G2182">
        <v>1</v>
      </c>
      <c r="H2182" t="s">
        <v>16</v>
      </c>
      <c r="I2182" t="s">
        <v>81</v>
      </c>
      <c r="J2182" s="1">
        <v>44094</v>
      </c>
      <c r="L2182" t="s">
        <v>14</v>
      </c>
      <c r="M2182">
        <v>41.36</v>
      </c>
      <c r="N2182">
        <v>41.36</v>
      </c>
      <c r="O2182" t="s">
        <v>21</v>
      </c>
      <c r="P2182">
        <f t="shared" si="105"/>
        <v>0</v>
      </c>
      <c r="Q2182" s="11">
        <f>IF(P2182=0,0,IFERROR(Q2181+G2182*M2182*IF(E2182="FUTURE",VLOOKUP(MID(I2182,2,2),[1]Futures!$A$2:$B$12,2),1),G2182*M2182*IF(E2182="FUTURE",VLOOKUP(MID(I2182,2,2),[1]Futures!$A$2:$B$12,2),1)))</f>
        <v>0</v>
      </c>
      <c r="R2182" s="12" t="str">
        <f>IFERROR(Q2182/P2182/IF(E2182="FUTURE",VLOOKUP(MID(I2182,2,2),[1]Futures!$A$2:$B$12,2),1),"")</f>
        <v/>
      </c>
      <c r="S2182" s="13">
        <f>IF(AND(H2182="TO CLOSE",P2182=0),-G2182*(M2182-R2181)*IF(E2182="FUTURE",VLOOKUP(MID(I2182,2,2),[1]Futures!$A$2:$B$12,2),1),"")</f>
        <v>49.999999999997158</v>
      </c>
    </row>
    <row r="2183" spans="1:19" x14ac:dyDescent="0.2">
      <c r="A2183">
        <f t="shared" si="104"/>
        <v>719</v>
      </c>
      <c r="B2183" s="3">
        <v>44034</v>
      </c>
      <c r="C2183" s="3" t="str">
        <f t="shared" si="103"/>
        <v>Wednesday</v>
      </c>
      <c r="D2183" s="2">
        <v>0.49509259259259258</v>
      </c>
      <c r="E2183" t="s">
        <v>14</v>
      </c>
      <c r="F2183" t="s">
        <v>19</v>
      </c>
      <c r="G2183">
        <v>1</v>
      </c>
      <c r="H2183" t="s">
        <v>20</v>
      </c>
      <c r="I2183" t="s">
        <v>81</v>
      </c>
      <c r="J2183" s="1">
        <v>44094</v>
      </c>
      <c r="L2183" t="s">
        <v>14</v>
      </c>
      <c r="M2183">
        <v>41.43</v>
      </c>
      <c r="N2183">
        <v>41.43</v>
      </c>
      <c r="O2183" t="s">
        <v>24</v>
      </c>
      <c r="P2183">
        <f t="shared" si="105"/>
        <v>1</v>
      </c>
      <c r="Q2183" s="11">
        <f>IF(P2183=0,0,IFERROR(Q2182+G2183*M2183*IF(E2183="FUTURE",VLOOKUP(MID(I2183,2,2),[1]Futures!$A$2:$B$12,2),1),G2183*M2183*IF(E2183="FUTURE",VLOOKUP(MID(I2183,2,2),[1]Futures!$A$2:$B$12,2),1)))</f>
        <v>41430</v>
      </c>
      <c r="R2183" s="12">
        <f>IFERROR(Q2183/P2183/IF(E2183="FUTURE",VLOOKUP(MID(I2183,2,2),[1]Futures!$A$2:$B$12,2),1),"")</f>
        <v>41.43</v>
      </c>
      <c r="S2183" s="13" t="str">
        <f>IF(AND(H2183="TO CLOSE",P2183=0),-G2183*(M2183-R2182)*IF(E2183="FUTURE",VLOOKUP(MID(I2183,2,2),[1]Futures!$A$2:$B$12,2),1),"")</f>
        <v/>
      </c>
    </row>
    <row r="2184" spans="1:19" x14ac:dyDescent="0.2">
      <c r="A2184">
        <f t="shared" si="104"/>
        <v>719</v>
      </c>
      <c r="B2184" s="3">
        <v>44034</v>
      </c>
      <c r="C2184" s="3" t="str">
        <f t="shared" si="103"/>
        <v>Wednesday</v>
      </c>
      <c r="D2184" s="2">
        <v>0.50329861111111118</v>
      </c>
      <c r="E2184" t="s">
        <v>14</v>
      </c>
      <c r="F2184" t="s">
        <v>15</v>
      </c>
      <c r="G2184">
        <v>-1</v>
      </c>
      <c r="H2184" t="s">
        <v>16</v>
      </c>
      <c r="I2184" t="s">
        <v>81</v>
      </c>
      <c r="J2184" s="1">
        <v>44094</v>
      </c>
      <c r="L2184" t="s">
        <v>14</v>
      </c>
      <c r="M2184">
        <v>41.53</v>
      </c>
      <c r="N2184">
        <v>41.53</v>
      </c>
      <c r="O2184" t="s">
        <v>21</v>
      </c>
      <c r="P2184">
        <f t="shared" si="105"/>
        <v>0</v>
      </c>
      <c r="Q2184" s="11">
        <f>IF(P2184=0,0,IFERROR(Q2183+G2184*M2184*IF(E2184="FUTURE",VLOOKUP(MID(I2184,2,2),[1]Futures!$A$2:$B$12,2),1),G2184*M2184*IF(E2184="FUTURE",VLOOKUP(MID(I2184,2,2),[1]Futures!$A$2:$B$12,2),1)))</f>
        <v>0</v>
      </c>
      <c r="R2184" s="12" t="str">
        <f>IFERROR(Q2184/P2184/IF(E2184="FUTURE",VLOOKUP(MID(I2184,2,2),[1]Futures!$A$2:$B$12,2),1),"")</f>
        <v/>
      </c>
      <c r="S2184" s="13">
        <f>IF(AND(H2184="TO CLOSE",P2184=0),-G2184*(M2184-R2183)*IF(E2184="FUTURE",VLOOKUP(MID(I2184,2,2),[1]Futures!$A$2:$B$12,2),1),"")</f>
        <v>100.00000000000142</v>
      </c>
    </row>
    <row r="2185" spans="1:19" x14ac:dyDescent="0.2">
      <c r="A2185">
        <f t="shared" si="104"/>
        <v>720</v>
      </c>
      <c r="B2185" s="3">
        <v>44034</v>
      </c>
      <c r="C2185" s="3" t="str">
        <f t="shared" si="103"/>
        <v>Wednesday</v>
      </c>
      <c r="D2185" s="2">
        <v>0.39814814814814814</v>
      </c>
      <c r="E2185" t="s">
        <v>14</v>
      </c>
      <c r="F2185" t="s">
        <v>19</v>
      </c>
      <c r="G2185">
        <v>1</v>
      </c>
      <c r="H2185" t="s">
        <v>20</v>
      </c>
      <c r="I2185" t="s">
        <v>79</v>
      </c>
      <c r="J2185" s="1">
        <v>44094</v>
      </c>
      <c r="L2185" t="s">
        <v>14</v>
      </c>
      <c r="M2185">
        <v>3248.5</v>
      </c>
      <c r="N2185">
        <v>3248.5</v>
      </c>
      <c r="O2185" t="s">
        <v>18</v>
      </c>
      <c r="P2185">
        <f t="shared" si="105"/>
        <v>1</v>
      </c>
      <c r="Q2185" s="11">
        <f>IF(P2185=0,0,IFERROR(Q2184+G2185*M2185*IF(E2185="FUTURE",VLOOKUP(MID(I2185,2,2),[1]Futures!$A$2:$B$12,2),1),G2185*M2185*IF(E2185="FUTURE",VLOOKUP(MID(I2185,2,2),[1]Futures!$A$2:$B$12,2),1)))</f>
        <v>162425</v>
      </c>
      <c r="R2185" s="12">
        <f>IFERROR(Q2185/P2185/IF(E2185="FUTURE",VLOOKUP(MID(I2185,2,2),[1]Futures!$A$2:$B$12,2),1),"")</f>
        <v>3248.5</v>
      </c>
      <c r="S2185" s="13" t="str">
        <f>IF(AND(H2185="TO CLOSE",P2185=0),-G2185*(M2185-R2184)*IF(E2185="FUTURE",VLOOKUP(MID(I2185,2,2),[1]Futures!$A$2:$B$12,2),1),"")</f>
        <v/>
      </c>
    </row>
    <row r="2186" spans="1:19" x14ac:dyDescent="0.2">
      <c r="A2186">
        <f t="shared" si="104"/>
        <v>720</v>
      </c>
      <c r="B2186" s="3">
        <v>44034</v>
      </c>
      <c r="C2186" s="3" t="str">
        <f t="shared" si="103"/>
        <v>Wednesday</v>
      </c>
      <c r="D2186" s="2">
        <v>0.39950231481481485</v>
      </c>
      <c r="E2186" t="s">
        <v>14</v>
      </c>
      <c r="F2186" t="s">
        <v>15</v>
      </c>
      <c r="G2186">
        <v>-1</v>
      </c>
      <c r="H2186" t="s">
        <v>16</v>
      </c>
      <c r="I2186" t="s">
        <v>79</v>
      </c>
      <c r="J2186" s="1">
        <v>44094</v>
      </c>
      <c r="L2186" t="s">
        <v>14</v>
      </c>
      <c r="M2186">
        <v>3252.5</v>
      </c>
      <c r="N2186">
        <v>3252.5</v>
      </c>
      <c r="O2186" t="s">
        <v>21</v>
      </c>
      <c r="P2186">
        <f t="shared" si="105"/>
        <v>0</v>
      </c>
      <c r="Q2186" s="11">
        <f>IF(P2186=0,0,IFERROR(Q2185+G2186*M2186*IF(E2186="FUTURE",VLOOKUP(MID(I2186,2,2),[1]Futures!$A$2:$B$12,2),1),G2186*M2186*IF(E2186="FUTURE",VLOOKUP(MID(I2186,2,2),[1]Futures!$A$2:$B$12,2),1)))</f>
        <v>0</v>
      </c>
      <c r="R2186" s="12" t="str">
        <f>IFERROR(Q2186/P2186/IF(E2186="FUTURE",VLOOKUP(MID(I2186,2,2),[1]Futures!$A$2:$B$12,2),1),"")</f>
        <v/>
      </c>
      <c r="S2186" s="13">
        <f>IF(AND(H2186="TO CLOSE",P2186=0),-G2186*(M2186-R2185)*IF(E2186="FUTURE",VLOOKUP(MID(I2186,2,2),[1]Futures!$A$2:$B$12,2),1),"")</f>
        <v>200</v>
      </c>
    </row>
    <row r="2187" spans="1:19" x14ac:dyDescent="0.2">
      <c r="A2187">
        <f t="shared" si="104"/>
        <v>721</v>
      </c>
      <c r="B2187" s="3">
        <v>44034</v>
      </c>
      <c r="C2187" s="3" t="str">
        <f t="shared" si="103"/>
        <v>Wednesday</v>
      </c>
      <c r="D2187" s="2">
        <v>0.42127314814814815</v>
      </c>
      <c r="E2187" t="s">
        <v>14</v>
      </c>
      <c r="F2187" t="s">
        <v>15</v>
      </c>
      <c r="G2187">
        <v>-1</v>
      </c>
      <c r="H2187" t="s">
        <v>20</v>
      </c>
      <c r="I2187" t="s">
        <v>79</v>
      </c>
      <c r="J2187" s="1">
        <v>44094</v>
      </c>
      <c r="L2187" t="s">
        <v>14</v>
      </c>
      <c r="M2187">
        <v>3256.25</v>
      </c>
      <c r="N2187">
        <v>3256.25</v>
      </c>
      <c r="O2187" t="s">
        <v>24</v>
      </c>
      <c r="P2187">
        <f t="shared" si="105"/>
        <v>-1</v>
      </c>
      <c r="Q2187" s="11">
        <f>IF(P2187=0,0,IFERROR(Q2186+G2187*M2187*IF(E2187="FUTURE",VLOOKUP(MID(I2187,2,2),[1]Futures!$A$2:$B$12,2),1),G2187*M2187*IF(E2187="FUTURE",VLOOKUP(MID(I2187,2,2),[1]Futures!$A$2:$B$12,2),1)))</f>
        <v>-162812.5</v>
      </c>
      <c r="R2187" s="12">
        <f>IFERROR(Q2187/P2187/IF(E2187="FUTURE",VLOOKUP(MID(I2187,2,2),[1]Futures!$A$2:$B$12,2),1),"")</f>
        <v>3256.25</v>
      </c>
      <c r="S2187" s="13" t="str">
        <f>IF(AND(H2187="TO CLOSE",P2187=0),-G2187*(M2187-R2186)*IF(E2187="FUTURE",VLOOKUP(MID(I2187,2,2),[1]Futures!$A$2:$B$12,2),1),"")</f>
        <v/>
      </c>
    </row>
    <row r="2188" spans="1:19" x14ac:dyDescent="0.2">
      <c r="A2188">
        <f t="shared" si="104"/>
        <v>721</v>
      </c>
      <c r="B2188" s="3">
        <v>44034</v>
      </c>
      <c r="C2188" s="3" t="str">
        <f t="shared" si="103"/>
        <v>Wednesday</v>
      </c>
      <c r="D2188" s="2">
        <v>0.42254629629629631</v>
      </c>
      <c r="E2188" t="s">
        <v>14</v>
      </c>
      <c r="F2188" t="s">
        <v>19</v>
      </c>
      <c r="G2188">
        <v>1</v>
      </c>
      <c r="H2188" t="s">
        <v>16</v>
      </c>
      <c r="I2188" t="s">
        <v>79</v>
      </c>
      <c r="J2188" s="1">
        <v>44094</v>
      </c>
      <c r="L2188" t="s">
        <v>14</v>
      </c>
      <c r="M2188">
        <v>3255.25</v>
      </c>
      <c r="N2188">
        <v>3255.25</v>
      </c>
      <c r="O2188" t="s">
        <v>18</v>
      </c>
      <c r="P2188">
        <f t="shared" si="105"/>
        <v>0</v>
      </c>
      <c r="Q2188" s="11">
        <f>IF(P2188=0,0,IFERROR(Q2187+G2188*M2188*IF(E2188="FUTURE",VLOOKUP(MID(I2188,2,2),[1]Futures!$A$2:$B$12,2),1),G2188*M2188*IF(E2188="FUTURE",VLOOKUP(MID(I2188,2,2),[1]Futures!$A$2:$B$12,2),1)))</f>
        <v>0</v>
      </c>
      <c r="R2188" s="12" t="str">
        <f>IFERROR(Q2188/P2188/IF(E2188="FUTURE",VLOOKUP(MID(I2188,2,2),[1]Futures!$A$2:$B$12,2),1),"")</f>
        <v/>
      </c>
      <c r="S2188" s="13">
        <f>IF(AND(H2188="TO CLOSE",P2188=0),-G2188*(M2188-R2187)*IF(E2188="FUTURE",VLOOKUP(MID(I2188,2,2),[1]Futures!$A$2:$B$12,2),1),"")</f>
        <v>50</v>
      </c>
    </row>
    <row r="2189" spans="1:19" x14ac:dyDescent="0.2">
      <c r="A2189">
        <f t="shared" si="104"/>
        <v>722</v>
      </c>
      <c r="B2189" s="3">
        <v>44034</v>
      </c>
      <c r="C2189" s="3" t="str">
        <f t="shared" si="103"/>
        <v>Wednesday</v>
      </c>
      <c r="D2189" s="2">
        <v>0.43412037037037038</v>
      </c>
      <c r="E2189" t="s">
        <v>14</v>
      </c>
      <c r="F2189" t="s">
        <v>15</v>
      </c>
      <c r="G2189">
        <v>-1</v>
      </c>
      <c r="H2189" t="s">
        <v>20</v>
      </c>
      <c r="I2189" t="s">
        <v>79</v>
      </c>
      <c r="J2189" s="1">
        <v>44094</v>
      </c>
      <c r="L2189" t="s">
        <v>14</v>
      </c>
      <c r="M2189">
        <v>3254.75</v>
      </c>
      <c r="N2189">
        <v>3254.75</v>
      </c>
      <c r="O2189" t="s">
        <v>24</v>
      </c>
      <c r="P2189">
        <f t="shared" si="105"/>
        <v>-1</v>
      </c>
      <c r="Q2189" s="11">
        <f>IF(P2189=0,0,IFERROR(Q2188+G2189*M2189*IF(E2189="FUTURE",VLOOKUP(MID(I2189,2,2),[1]Futures!$A$2:$B$12,2),1),G2189*M2189*IF(E2189="FUTURE",VLOOKUP(MID(I2189,2,2),[1]Futures!$A$2:$B$12,2),1)))</f>
        <v>-162737.5</v>
      </c>
      <c r="R2189" s="12">
        <f>IFERROR(Q2189/P2189/IF(E2189="FUTURE",VLOOKUP(MID(I2189,2,2),[1]Futures!$A$2:$B$12,2),1),"")</f>
        <v>3254.75</v>
      </c>
      <c r="S2189" s="13" t="str">
        <f>IF(AND(H2189="TO CLOSE",P2189=0),-G2189*(M2189-R2188)*IF(E2189="FUTURE",VLOOKUP(MID(I2189,2,2),[1]Futures!$A$2:$B$12,2),1),"")</f>
        <v/>
      </c>
    </row>
    <row r="2190" spans="1:19" x14ac:dyDescent="0.2">
      <c r="A2190">
        <f t="shared" si="104"/>
        <v>722</v>
      </c>
      <c r="B2190" s="3">
        <v>44034</v>
      </c>
      <c r="C2190" s="3" t="str">
        <f t="shared" si="103"/>
        <v>Wednesday</v>
      </c>
      <c r="D2190" s="2">
        <v>0.43642361111111111</v>
      </c>
      <c r="E2190" t="s">
        <v>14</v>
      </c>
      <c r="F2190" t="s">
        <v>19</v>
      </c>
      <c r="G2190">
        <v>1</v>
      </c>
      <c r="H2190" t="s">
        <v>16</v>
      </c>
      <c r="I2190" t="s">
        <v>79</v>
      </c>
      <c r="J2190" s="1">
        <v>44094</v>
      </c>
      <c r="L2190" t="s">
        <v>14</v>
      </c>
      <c r="M2190">
        <v>3254.5</v>
      </c>
      <c r="N2190">
        <v>3254.5</v>
      </c>
      <c r="O2190" t="s">
        <v>21</v>
      </c>
      <c r="P2190">
        <f t="shared" si="105"/>
        <v>0</v>
      </c>
      <c r="Q2190" s="11">
        <f>IF(P2190=0,0,IFERROR(Q2189+G2190*M2190*IF(E2190="FUTURE",VLOOKUP(MID(I2190,2,2),[1]Futures!$A$2:$B$12,2),1),G2190*M2190*IF(E2190="FUTURE",VLOOKUP(MID(I2190,2,2),[1]Futures!$A$2:$B$12,2),1)))</f>
        <v>0</v>
      </c>
      <c r="R2190" s="12" t="str">
        <f>IFERROR(Q2190/P2190/IF(E2190="FUTURE",VLOOKUP(MID(I2190,2,2),[1]Futures!$A$2:$B$12,2),1),"")</f>
        <v/>
      </c>
      <c r="S2190" s="13">
        <f>IF(AND(H2190="TO CLOSE",P2190=0),-G2190*(M2190-R2189)*IF(E2190="FUTURE",VLOOKUP(MID(I2190,2,2),[1]Futures!$A$2:$B$12,2),1),"")</f>
        <v>12.5</v>
      </c>
    </row>
    <row r="2191" spans="1:19" x14ac:dyDescent="0.2">
      <c r="A2191">
        <f t="shared" si="104"/>
        <v>723</v>
      </c>
      <c r="B2191" s="3">
        <v>44034</v>
      </c>
      <c r="C2191" s="3" t="str">
        <f t="shared" si="103"/>
        <v>Wednesday</v>
      </c>
      <c r="D2191" s="2">
        <v>0.44150462962962966</v>
      </c>
      <c r="E2191" t="s">
        <v>14</v>
      </c>
      <c r="F2191" t="s">
        <v>19</v>
      </c>
      <c r="G2191">
        <v>1</v>
      </c>
      <c r="H2191" t="s">
        <v>20</v>
      </c>
      <c r="I2191" t="s">
        <v>79</v>
      </c>
      <c r="J2191" s="1">
        <v>44094</v>
      </c>
      <c r="L2191" t="s">
        <v>14</v>
      </c>
      <c r="M2191">
        <v>3255</v>
      </c>
      <c r="N2191">
        <v>3255</v>
      </c>
      <c r="O2191" t="s">
        <v>24</v>
      </c>
      <c r="P2191">
        <f t="shared" si="105"/>
        <v>1</v>
      </c>
      <c r="Q2191" s="11">
        <f>IF(P2191=0,0,IFERROR(Q2190+G2191*M2191*IF(E2191="FUTURE",VLOOKUP(MID(I2191,2,2),[1]Futures!$A$2:$B$12,2),1),G2191*M2191*IF(E2191="FUTURE",VLOOKUP(MID(I2191,2,2),[1]Futures!$A$2:$B$12,2),1)))</f>
        <v>162750</v>
      </c>
      <c r="R2191" s="12">
        <f>IFERROR(Q2191/P2191/IF(E2191="FUTURE",VLOOKUP(MID(I2191,2,2),[1]Futures!$A$2:$B$12,2),1),"")</f>
        <v>3255</v>
      </c>
      <c r="S2191" s="13" t="str">
        <f>IF(AND(H2191="TO CLOSE",P2191=0),-G2191*(M2191-R2190)*IF(E2191="FUTURE",VLOOKUP(MID(I2191,2,2),[1]Futures!$A$2:$B$12,2),1),"")</f>
        <v/>
      </c>
    </row>
    <row r="2192" spans="1:19" x14ac:dyDescent="0.2">
      <c r="A2192">
        <f t="shared" si="104"/>
        <v>723</v>
      </c>
      <c r="B2192" s="3">
        <v>44034</v>
      </c>
      <c r="C2192" s="3" t="str">
        <f t="shared" si="103"/>
        <v>Wednesday</v>
      </c>
      <c r="D2192" s="2">
        <v>0.44237268518518519</v>
      </c>
      <c r="E2192" t="s">
        <v>14</v>
      </c>
      <c r="F2192" t="s">
        <v>15</v>
      </c>
      <c r="G2192">
        <v>-1</v>
      </c>
      <c r="H2192" t="s">
        <v>16</v>
      </c>
      <c r="I2192" t="s">
        <v>79</v>
      </c>
      <c r="J2192" s="1">
        <v>44094</v>
      </c>
      <c r="L2192" t="s">
        <v>14</v>
      </c>
      <c r="M2192">
        <v>3255.5</v>
      </c>
      <c r="N2192">
        <v>3255.5</v>
      </c>
      <c r="O2192" t="s">
        <v>21</v>
      </c>
      <c r="P2192">
        <f t="shared" si="105"/>
        <v>0</v>
      </c>
      <c r="Q2192" s="11">
        <f>IF(P2192=0,0,IFERROR(Q2191+G2192*M2192*IF(E2192="FUTURE",VLOOKUP(MID(I2192,2,2),[1]Futures!$A$2:$B$12,2),1),G2192*M2192*IF(E2192="FUTURE",VLOOKUP(MID(I2192,2,2),[1]Futures!$A$2:$B$12,2),1)))</f>
        <v>0</v>
      </c>
      <c r="R2192" s="12" t="str">
        <f>IFERROR(Q2192/P2192/IF(E2192="FUTURE",VLOOKUP(MID(I2192,2,2),[1]Futures!$A$2:$B$12,2),1),"")</f>
        <v/>
      </c>
      <c r="S2192" s="13">
        <f>IF(AND(H2192="TO CLOSE",P2192=0),-G2192*(M2192-R2191)*IF(E2192="FUTURE",VLOOKUP(MID(I2192,2,2),[1]Futures!$A$2:$B$12,2),1),"")</f>
        <v>25</v>
      </c>
    </row>
    <row r="2193" spans="1:19" x14ac:dyDescent="0.2">
      <c r="A2193">
        <f t="shared" si="104"/>
        <v>724</v>
      </c>
      <c r="B2193" s="3">
        <v>44034</v>
      </c>
      <c r="C2193" s="3" t="str">
        <f t="shared" si="103"/>
        <v>Wednesday</v>
      </c>
      <c r="D2193" s="2">
        <v>0.47226851851851853</v>
      </c>
      <c r="E2193" t="s">
        <v>14</v>
      </c>
      <c r="F2193" t="s">
        <v>19</v>
      </c>
      <c r="G2193">
        <v>1</v>
      </c>
      <c r="H2193" t="s">
        <v>20</v>
      </c>
      <c r="I2193" t="s">
        <v>79</v>
      </c>
      <c r="J2193" s="1">
        <v>44094</v>
      </c>
      <c r="L2193" t="s">
        <v>14</v>
      </c>
      <c r="M2193">
        <v>3249</v>
      </c>
      <c r="N2193">
        <v>3249</v>
      </c>
      <c r="O2193" t="s">
        <v>21</v>
      </c>
      <c r="P2193">
        <f t="shared" si="105"/>
        <v>1</v>
      </c>
      <c r="Q2193" s="11">
        <f>IF(P2193=0,0,IFERROR(Q2192+G2193*M2193*IF(E2193="FUTURE",VLOOKUP(MID(I2193,2,2),[1]Futures!$A$2:$B$12,2),1),G2193*M2193*IF(E2193="FUTURE",VLOOKUP(MID(I2193,2,2),[1]Futures!$A$2:$B$12,2),1)))</f>
        <v>162450</v>
      </c>
      <c r="R2193" s="12">
        <f>IFERROR(Q2193/P2193/IF(E2193="FUTURE",VLOOKUP(MID(I2193,2,2),[1]Futures!$A$2:$B$12,2),1),"")</f>
        <v>3249</v>
      </c>
      <c r="S2193" s="13" t="str">
        <f>IF(AND(H2193="TO CLOSE",P2193=0),-G2193*(M2193-R2192)*IF(E2193="FUTURE",VLOOKUP(MID(I2193,2,2),[1]Futures!$A$2:$B$12,2),1),"")</f>
        <v/>
      </c>
    </row>
    <row r="2194" spans="1:19" x14ac:dyDescent="0.2">
      <c r="A2194">
        <f t="shared" si="104"/>
        <v>724</v>
      </c>
      <c r="B2194" s="3">
        <v>44034</v>
      </c>
      <c r="C2194" s="3" t="str">
        <f t="shared" si="103"/>
        <v>Wednesday</v>
      </c>
      <c r="D2194" s="2">
        <v>0.47587962962962965</v>
      </c>
      <c r="E2194" t="s">
        <v>14</v>
      </c>
      <c r="F2194" t="s">
        <v>15</v>
      </c>
      <c r="G2194">
        <v>-1</v>
      </c>
      <c r="H2194" t="s">
        <v>16</v>
      </c>
      <c r="I2194" t="s">
        <v>79</v>
      </c>
      <c r="J2194" s="1">
        <v>44094</v>
      </c>
      <c r="L2194" t="s">
        <v>14</v>
      </c>
      <c r="M2194">
        <v>3252.5</v>
      </c>
      <c r="N2194">
        <v>3252.5</v>
      </c>
      <c r="O2194" t="s">
        <v>18</v>
      </c>
      <c r="P2194">
        <f t="shared" si="105"/>
        <v>0</v>
      </c>
      <c r="Q2194" s="11">
        <f>IF(P2194=0,0,IFERROR(Q2193+G2194*M2194*IF(E2194="FUTURE",VLOOKUP(MID(I2194,2,2),[1]Futures!$A$2:$B$12,2),1),G2194*M2194*IF(E2194="FUTURE",VLOOKUP(MID(I2194,2,2),[1]Futures!$A$2:$B$12,2),1)))</f>
        <v>0</v>
      </c>
      <c r="R2194" s="12" t="str">
        <f>IFERROR(Q2194/P2194/IF(E2194="FUTURE",VLOOKUP(MID(I2194,2,2),[1]Futures!$A$2:$B$12,2),1),"")</f>
        <v/>
      </c>
      <c r="S2194" s="13">
        <f>IF(AND(H2194="TO CLOSE",P2194=0),-G2194*(M2194-R2193)*IF(E2194="FUTURE",VLOOKUP(MID(I2194,2,2),[1]Futures!$A$2:$B$12,2),1),"")</f>
        <v>175</v>
      </c>
    </row>
    <row r="2195" spans="1:19" x14ac:dyDescent="0.2">
      <c r="A2195">
        <f t="shared" si="104"/>
        <v>725</v>
      </c>
      <c r="B2195" s="3">
        <v>44034</v>
      </c>
      <c r="C2195" s="3" t="str">
        <f t="shared" si="103"/>
        <v>Wednesday</v>
      </c>
      <c r="D2195" s="2">
        <v>0.50710648148148152</v>
      </c>
      <c r="E2195" t="s">
        <v>14</v>
      </c>
      <c r="F2195" t="s">
        <v>19</v>
      </c>
      <c r="G2195">
        <v>1</v>
      </c>
      <c r="H2195" t="s">
        <v>20</v>
      </c>
      <c r="I2195" t="s">
        <v>79</v>
      </c>
      <c r="J2195" s="1">
        <v>44094</v>
      </c>
      <c r="L2195" t="s">
        <v>14</v>
      </c>
      <c r="M2195">
        <v>3256</v>
      </c>
      <c r="N2195">
        <v>3256</v>
      </c>
      <c r="O2195" t="s">
        <v>24</v>
      </c>
      <c r="P2195">
        <f t="shared" si="105"/>
        <v>1</v>
      </c>
      <c r="Q2195" s="11">
        <f>IF(P2195=0,0,IFERROR(Q2194+G2195*M2195*IF(E2195="FUTURE",VLOOKUP(MID(I2195,2,2),[1]Futures!$A$2:$B$12,2),1),G2195*M2195*IF(E2195="FUTURE",VLOOKUP(MID(I2195,2,2),[1]Futures!$A$2:$B$12,2),1)))</f>
        <v>162800</v>
      </c>
      <c r="R2195" s="12">
        <f>IFERROR(Q2195/P2195/IF(E2195="FUTURE",VLOOKUP(MID(I2195,2,2),[1]Futures!$A$2:$B$12,2),1),"")</f>
        <v>3256</v>
      </c>
      <c r="S2195" s="13" t="str">
        <f>IF(AND(H2195="TO CLOSE",P2195=0),-G2195*(M2195-R2194)*IF(E2195="FUTURE",VLOOKUP(MID(I2195,2,2),[1]Futures!$A$2:$B$12,2),1),"")</f>
        <v/>
      </c>
    </row>
    <row r="2196" spans="1:19" x14ac:dyDescent="0.2">
      <c r="A2196">
        <f t="shared" si="104"/>
        <v>725</v>
      </c>
      <c r="B2196" s="3">
        <v>44034</v>
      </c>
      <c r="C2196" s="3" t="str">
        <f t="shared" si="103"/>
        <v>Wednesday</v>
      </c>
      <c r="D2196" s="2">
        <v>0.50784722222222223</v>
      </c>
      <c r="E2196" t="s">
        <v>14</v>
      </c>
      <c r="F2196" t="s">
        <v>15</v>
      </c>
      <c r="G2196">
        <v>-1</v>
      </c>
      <c r="H2196" t="s">
        <v>16</v>
      </c>
      <c r="I2196" t="s">
        <v>79</v>
      </c>
      <c r="J2196" s="1">
        <v>44094</v>
      </c>
      <c r="L2196" t="s">
        <v>14</v>
      </c>
      <c r="M2196">
        <v>3258.5</v>
      </c>
      <c r="N2196">
        <v>3258.5</v>
      </c>
      <c r="O2196" t="s">
        <v>21</v>
      </c>
      <c r="P2196">
        <f t="shared" si="105"/>
        <v>0</v>
      </c>
      <c r="Q2196" s="11">
        <f>IF(P2196=0,0,IFERROR(Q2195+G2196*M2196*IF(E2196="FUTURE",VLOOKUP(MID(I2196,2,2),[1]Futures!$A$2:$B$12,2),1),G2196*M2196*IF(E2196="FUTURE",VLOOKUP(MID(I2196,2,2),[1]Futures!$A$2:$B$12,2),1)))</f>
        <v>0</v>
      </c>
      <c r="R2196" s="12" t="str">
        <f>IFERROR(Q2196/P2196/IF(E2196="FUTURE",VLOOKUP(MID(I2196,2,2),[1]Futures!$A$2:$B$12,2),1),"")</f>
        <v/>
      </c>
      <c r="S2196" s="13">
        <f>IF(AND(H2196="TO CLOSE",P2196=0),-G2196*(M2196-R2195)*IF(E2196="FUTURE",VLOOKUP(MID(I2196,2,2),[1]Futures!$A$2:$B$12,2),1),"")</f>
        <v>125</v>
      </c>
    </row>
    <row r="2197" spans="1:19" x14ac:dyDescent="0.2">
      <c r="A2197">
        <f t="shared" si="104"/>
        <v>726</v>
      </c>
      <c r="B2197" s="3">
        <v>44034</v>
      </c>
      <c r="C2197" s="3" t="str">
        <f t="shared" si="103"/>
        <v>Wednesday</v>
      </c>
      <c r="D2197" s="2">
        <v>0.40318287037037037</v>
      </c>
      <c r="E2197" t="s">
        <v>22</v>
      </c>
      <c r="F2197" t="s">
        <v>15</v>
      </c>
      <c r="G2197">
        <v>-400</v>
      </c>
      <c r="H2197" t="s">
        <v>20</v>
      </c>
      <c r="I2197" t="s">
        <v>23</v>
      </c>
      <c r="L2197" t="s">
        <v>22</v>
      </c>
      <c r="M2197">
        <v>29.430099999999999</v>
      </c>
      <c r="N2197">
        <v>29.430099999999999</v>
      </c>
      <c r="O2197" t="s">
        <v>24</v>
      </c>
      <c r="P2197">
        <f t="shared" si="105"/>
        <v>-400</v>
      </c>
      <c r="Q2197" s="11">
        <f>IF(P2197=0,0,IFERROR(Q2196+G2197*M2197*IF(E2197="FUTURE",VLOOKUP(MID(I2197,2,2),[1]Futures!$A$2:$B$12,2),1),G2197*M2197*IF(E2197="FUTURE",VLOOKUP(MID(I2197,2,2),[1]Futures!$A$2:$B$12,2),1)))</f>
        <v>-11772.039999999999</v>
      </c>
      <c r="R2197" s="12">
        <f>IFERROR(Q2197/P2197/IF(E2197="FUTURE",VLOOKUP(MID(I2197,2,2),[1]Futures!$A$2:$B$12,2),1),"")</f>
        <v>29.430099999999996</v>
      </c>
      <c r="S2197" s="13" t="str">
        <f>IF(AND(H2197="TO CLOSE",P2197=0),-G2197*(M2197-R2196)*IF(E2197="FUTURE",VLOOKUP(MID(I2197,2,2),[1]Futures!$A$2:$B$12,2),1),"")</f>
        <v/>
      </c>
    </row>
    <row r="2198" spans="1:19" x14ac:dyDescent="0.2">
      <c r="A2198">
        <f t="shared" si="104"/>
        <v>726</v>
      </c>
      <c r="B2198" s="3">
        <v>44034</v>
      </c>
      <c r="C2198" s="3" t="str">
        <f t="shared" si="103"/>
        <v>Wednesday</v>
      </c>
      <c r="D2198" s="2">
        <v>0.40769675925925924</v>
      </c>
      <c r="E2198" t="s">
        <v>22</v>
      </c>
      <c r="F2198" t="s">
        <v>19</v>
      </c>
      <c r="G2198">
        <v>400</v>
      </c>
      <c r="H2198" t="s">
        <v>16</v>
      </c>
      <c r="I2198" t="s">
        <v>23</v>
      </c>
      <c r="L2198" t="s">
        <v>22</v>
      </c>
      <c r="M2198">
        <v>29.31</v>
      </c>
      <c r="N2198">
        <v>29.31</v>
      </c>
      <c r="O2198" t="s">
        <v>21</v>
      </c>
      <c r="P2198">
        <f t="shared" si="105"/>
        <v>0</v>
      </c>
      <c r="Q2198" s="11">
        <f>IF(P2198=0,0,IFERROR(Q2197+G2198*M2198*IF(E2198="FUTURE",VLOOKUP(MID(I2198,2,2),[1]Futures!$A$2:$B$12,2),1),G2198*M2198*IF(E2198="FUTURE",VLOOKUP(MID(I2198,2,2),[1]Futures!$A$2:$B$12,2),1)))</f>
        <v>0</v>
      </c>
      <c r="R2198" s="12" t="str">
        <f>IFERROR(Q2198/P2198/IF(E2198="FUTURE",VLOOKUP(MID(I2198,2,2),[1]Futures!$A$2:$B$12,2),1),"")</f>
        <v/>
      </c>
      <c r="S2198" s="13">
        <f>IF(AND(H2198="TO CLOSE",P2198=0),-G2198*(M2198-R2197)*IF(E2198="FUTURE",VLOOKUP(MID(I2198,2,2),[1]Futures!$A$2:$B$12,2),1),"")</f>
        <v>48.039999999998884</v>
      </c>
    </row>
    <row r="2199" spans="1:19" x14ac:dyDescent="0.2">
      <c r="A2199">
        <f t="shared" si="104"/>
        <v>727</v>
      </c>
      <c r="B2199" s="3">
        <v>44034</v>
      </c>
      <c r="C2199" s="3" t="str">
        <f t="shared" si="103"/>
        <v>Wednesday</v>
      </c>
      <c r="D2199" s="2">
        <v>0.42101851851851851</v>
      </c>
      <c r="E2199" t="s">
        <v>22</v>
      </c>
      <c r="F2199" t="s">
        <v>19</v>
      </c>
      <c r="G2199">
        <v>200</v>
      </c>
      <c r="H2199" t="s">
        <v>20</v>
      </c>
      <c r="I2199" t="s">
        <v>23</v>
      </c>
      <c r="L2199" t="s">
        <v>22</v>
      </c>
      <c r="M2199">
        <v>29.6496</v>
      </c>
      <c r="N2199">
        <v>29.6496</v>
      </c>
      <c r="O2199" t="s">
        <v>24</v>
      </c>
      <c r="P2199">
        <f t="shared" si="105"/>
        <v>200</v>
      </c>
      <c r="Q2199" s="11">
        <f>IF(P2199=0,0,IFERROR(Q2198+G2199*M2199*IF(E2199="FUTURE",VLOOKUP(MID(I2199,2,2),[1]Futures!$A$2:$B$12,2),1),G2199*M2199*IF(E2199="FUTURE",VLOOKUP(MID(I2199,2,2),[1]Futures!$A$2:$B$12,2),1)))</f>
        <v>5929.92</v>
      </c>
      <c r="R2199" s="12">
        <f>IFERROR(Q2199/P2199/IF(E2199="FUTURE",VLOOKUP(MID(I2199,2,2),[1]Futures!$A$2:$B$12,2),1),"")</f>
        <v>29.6496</v>
      </c>
      <c r="S2199" s="13" t="str">
        <f>IF(AND(H2199="TO CLOSE",P2199=0),-G2199*(M2199-R2198)*IF(E2199="FUTURE",VLOOKUP(MID(I2199,2,2),[1]Futures!$A$2:$B$12,2),1),"")</f>
        <v/>
      </c>
    </row>
    <row r="2200" spans="1:19" x14ac:dyDescent="0.2">
      <c r="A2200">
        <f t="shared" si="104"/>
        <v>727</v>
      </c>
      <c r="B2200" s="3">
        <v>44034</v>
      </c>
      <c r="C2200" s="3" t="str">
        <f t="shared" si="103"/>
        <v>Wednesday</v>
      </c>
      <c r="D2200" s="2">
        <v>0.42101851851851851</v>
      </c>
      <c r="E2200" t="s">
        <v>22</v>
      </c>
      <c r="F2200" t="s">
        <v>19</v>
      </c>
      <c r="G2200">
        <v>100</v>
      </c>
      <c r="H2200" t="s">
        <v>20</v>
      </c>
      <c r="I2200" t="s">
        <v>23</v>
      </c>
      <c r="L2200" t="s">
        <v>22</v>
      </c>
      <c r="M2200">
        <v>29.645</v>
      </c>
      <c r="N2200">
        <v>29.645</v>
      </c>
      <c r="O2200" t="s">
        <v>24</v>
      </c>
      <c r="P2200">
        <f t="shared" si="105"/>
        <v>300</v>
      </c>
      <c r="Q2200" s="11">
        <f>IF(P2200=0,0,IFERROR(Q2199+G2200*M2200*IF(E2200="FUTURE",VLOOKUP(MID(I2200,2,2),[1]Futures!$A$2:$B$12,2),1),G2200*M2200*IF(E2200="FUTURE",VLOOKUP(MID(I2200,2,2),[1]Futures!$A$2:$B$12,2),1)))</f>
        <v>8894.42</v>
      </c>
      <c r="R2200" s="12">
        <f>IFERROR(Q2200/P2200/IF(E2200="FUTURE",VLOOKUP(MID(I2200,2,2),[1]Futures!$A$2:$B$12,2),1),"")</f>
        <v>29.648066666666669</v>
      </c>
      <c r="S2200" s="13" t="str">
        <f>IF(AND(H2200="TO CLOSE",P2200=0),-G2200*(M2200-R2199)*IF(E2200="FUTURE",VLOOKUP(MID(I2200,2,2),[1]Futures!$A$2:$B$12,2),1),"")</f>
        <v/>
      </c>
    </row>
    <row r="2201" spans="1:19" x14ac:dyDescent="0.2">
      <c r="A2201">
        <f t="shared" si="104"/>
        <v>727</v>
      </c>
      <c r="B2201" s="3">
        <v>44034</v>
      </c>
      <c r="C2201" s="3" t="str">
        <f t="shared" si="103"/>
        <v>Wednesday</v>
      </c>
      <c r="D2201" s="2">
        <v>0.42101851851851851</v>
      </c>
      <c r="E2201" t="s">
        <v>22</v>
      </c>
      <c r="F2201" t="s">
        <v>19</v>
      </c>
      <c r="G2201">
        <v>100</v>
      </c>
      <c r="H2201" t="s">
        <v>20</v>
      </c>
      <c r="I2201" t="s">
        <v>23</v>
      </c>
      <c r="L2201" t="s">
        <v>22</v>
      </c>
      <c r="M2201">
        <v>29.649799999999999</v>
      </c>
      <c r="N2201">
        <v>29.649799999999999</v>
      </c>
      <c r="O2201" t="s">
        <v>24</v>
      </c>
      <c r="P2201">
        <f t="shared" si="105"/>
        <v>400</v>
      </c>
      <c r="Q2201" s="11">
        <f>IF(P2201=0,0,IFERROR(Q2200+G2201*M2201*IF(E2201="FUTURE",VLOOKUP(MID(I2201,2,2),[1]Futures!$A$2:$B$12,2),1),G2201*M2201*IF(E2201="FUTURE",VLOOKUP(MID(I2201,2,2),[1]Futures!$A$2:$B$12,2),1)))</f>
        <v>11859.4</v>
      </c>
      <c r="R2201" s="12">
        <f>IFERROR(Q2201/P2201/IF(E2201="FUTURE",VLOOKUP(MID(I2201,2,2),[1]Futures!$A$2:$B$12,2),1),"")</f>
        <v>29.648499999999999</v>
      </c>
      <c r="S2201" s="13" t="str">
        <f>IF(AND(H2201="TO CLOSE",P2201=0),-G2201*(M2201-R2200)*IF(E2201="FUTURE",VLOOKUP(MID(I2201,2,2),[1]Futures!$A$2:$B$12,2),1),"")</f>
        <v/>
      </c>
    </row>
    <row r="2202" spans="1:19" x14ac:dyDescent="0.2">
      <c r="A2202">
        <f t="shared" si="104"/>
        <v>727</v>
      </c>
      <c r="B2202" s="3">
        <v>44034</v>
      </c>
      <c r="C2202" s="3" t="str">
        <f t="shared" si="103"/>
        <v>Wednesday</v>
      </c>
      <c r="D2202" s="2">
        <v>0.42363425925925924</v>
      </c>
      <c r="E2202" t="s">
        <v>22</v>
      </c>
      <c r="F2202" t="s">
        <v>15</v>
      </c>
      <c r="G2202">
        <v>-100</v>
      </c>
      <c r="H2202" t="s">
        <v>16</v>
      </c>
      <c r="I2202" t="s">
        <v>23</v>
      </c>
      <c r="L2202" t="s">
        <v>22</v>
      </c>
      <c r="M2202">
        <v>29.66</v>
      </c>
      <c r="N2202">
        <v>29.66</v>
      </c>
      <c r="O2202" t="s">
        <v>18</v>
      </c>
      <c r="P2202">
        <f t="shared" si="105"/>
        <v>300</v>
      </c>
      <c r="Q2202" s="11">
        <f>IF(P2202=0,0,IFERROR(Q2201+G2202*M2202*IF(E2202="FUTURE",VLOOKUP(MID(I2202,2,2),[1]Futures!$A$2:$B$12,2),1),G2202*M2202*IF(E2202="FUTURE",VLOOKUP(MID(I2202,2,2),[1]Futures!$A$2:$B$12,2),1)))</f>
        <v>8893.4</v>
      </c>
      <c r="R2202" s="12">
        <f>IFERROR(Q2202/P2202/IF(E2202="FUTURE",VLOOKUP(MID(I2202,2,2),[1]Futures!$A$2:$B$12,2),1),"")</f>
        <v>29.644666666666666</v>
      </c>
      <c r="S2202" s="13" t="str">
        <f>IF(AND(H2202="TO CLOSE",P2202=0),-G2202*(M2202-R2201)*IF(E2202="FUTURE",VLOOKUP(MID(I2202,2,2),[1]Futures!$A$2:$B$12,2),1),"")</f>
        <v/>
      </c>
    </row>
    <row r="2203" spans="1:19" x14ac:dyDescent="0.2">
      <c r="A2203">
        <f t="shared" si="104"/>
        <v>727</v>
      </c>
      <c r="B2203" s="3">
        <v>44034</v>
      </c>
      <c r="C2203" s="3" t="str">
        <f t="shared" si="103"/>
        <v>Wednesday</v>
      </c>
      <c r="D2203" s="2">
        <v>0.42363425925925924</v>
      </c>
      <c r="E2203" t="s">
        <v>22</v>
      </c>
      <c r="F2203" t="s">
        <v>15</v>
      </c>
      <c r="G2203">
        <v>-45</v>
      </c>
      <c r="H2203" t="s">
        <v>16</v>
      </c>
      <c r="I2203" t="s">
        <v>23</v>
      </c>
      <c r="L2203" t="s">
        <v>22</v>
      </c>
      <c r="M2203">
        <v>29.66</v>
      </c>
      <c r="N2203">
        <v>29.66</v>
      </c>
      <c r="O2203" t="s">
        <v>18</v>
      </c>
      <c r="P2203">
        <f t="shared" si="105"/>
        <v>255</v>
      </c>
      <c r="Q2203" s="11">
        <f>IF(P2203=0,0,IFERROR(Q2202+G2203*M2203*IF(E2203="FUTURE",VLOOKUP(MID(I2203,2,2),[1]Futures!$A$2:$B$12,2),1),G2203*M2203*IF(E2203="FUTURE",VLOOKUP(MID(I2203,2,2),[1]Futures!$A$2:$B$12,2),1)))</f>
        <v>7558.7</v>
      </c>
      <c r="R2203" s="12">
        <f>IFERROR(Q2203/P2203/IF(E2203="FUTURE",VLOOKUP(MID(I2203,2,2),[1]Futures!$A$2:$B$12,2),1),"")</f>
        <v>29.641960784313724</v>
      </c>
      <c r="S2203" s="13" t="str">
        <f>IF(AND(H2203="TO CLOSE",P2203=0),-G2203*(M2203-R2202)*IF(E2203="FUTURE",VLOOKUP(MID(I2203,2,2),[1]Futures!$A$2:$B$12,2),1),"")</f>
        <v/>
      </c>
    </row>
    <row r="2204" spans="1:19" x14ac:dyDescent="0.2">
      <c r="A2204">
        <f t="shared" si="104"/>
        <v>727</v>
      </c>
      <c r="B2204" s="3">
        <v>44034</v>
      </c>
      <c r="C2204" s="3" t="str">
        <f t="shared" si="103"/>
        <v>Wednesday</v>
      </c>
      <c r="D2204" s="2">
        <v>0.42363425925925924</v>
      </c>
      <c r="E2204" t="s">
        <v>22</v>
      </c>
      <c r="F2204" t="s">
        <v>15</v>
      </c>
      <c r="G2204">
        <v>-200</v>
      </c>
      <c r="H2204" t="s">
        <v>16</v>
      </c>
      <c r="I2204" t="s">
        <v>23</v>
      </c>
      <c r="L2204" t="s">
        <v>22</v>
      </c>
      <c r="M2204">
        <v>29.66</v>
      </c>
      <c r="N2204">
        <v>29.66</v>
      </c>
      <c r="O2204" t="s">
        <v>18</v>
      </c>
      <c r="P2204">
        <f t="shared" si="105"/>
        <v>55</v>
      </c>
      <c r="Q2204" s="11">
        <f>IF(P2204=0,0,IFERROR(Q2203+G2204*M2204*IF(E2204="FUTURE",VLOOKUP(MID(I2204,2,2),[1]Futures!$A$2:$B$12,2),1),G2204*M2204*IF(E2204="FUTURE",VLOOKUP(MID(I2204,2,2),[1]Futures!$A$2:$B$12,2),1)))</f>
        <v>1626.6999999999998</v>
      </c>
      <c r="R2204" s="12">
        <f>IFERROR(Q2204/P2204/IF(E2204="FUTURE",VLOOKUP(MID(I2204,2,2),[1]Futures!$A$2:$B$12,2),1),"")</f>
        <v>29.576363636363634</v>
      </c>
      <c r="S2204" s="13" t="str">
        <f>IF(AND(H2204="TO CLOSE",P2204=0),-G2204*(M2204-R2203)*IF(E2204="FUTURE",VLOOKUP(MID(I2204,2,2),[1]Futures!$A$2:$B$12,2),1),"")</f>
        <v/>
      </c>
    </row>
    <row r="2205" spans="1:19" x14ac:dyDescent="0.2">
      <c r="A2205">
        <f t="shared" si="104"/>
        <v>727</v>
      </c>
      <c r="B2205" s="3">
        <v>44034</v>
      </c>
      <c r="C2205" s="3" t="str">
        <f t="shared" si="103"/>
        <v>Wednesday</v>
      </c>
      <c r="D2205" s="2">
        <v>0.42363425925925924</v>
      </c>
      <c r="E2205" t="s">
        <v>22</v>
      </c>
      <c r="F2205" t="s">
        <v>15</v>
      </c>
      <c r="G2205">
        <v>-55</v>
      </c>
      <c r="H2205" t="s">
        <v>16</v>
      </c>
      <c r="I2205" t="s">
        <v>23</v>
      </c>
      <c r="L2205" t="s">
        <v>22</v>
      </c>
      <c r="M2205">
        <v>29.66</v>
      </c>
      <c r="N2205">
        <v>29.66</v>
      </c>
      <c r="O2205" t="s">
        <v>18</v>
      </c>
      <c r="P2205">
        <f t="shared" si="105"/>
        <v>0</v>
      </c>
      <c r="Q2205" s="11">
        <f>IF(P2205=0,0,IFERROR(Q2204+G2205*M2205*IF(E2205="FUTURE",VLOOKUP(MID(I2205,2,2),[1]Futures!$A$2:$B$12,2),1),G2205*M2205*IF(E2205="FUTURE",VLOOKUP(MID(I2205,2,2),[1]Futures!$A$2:$B$12,2),1)))</f>
        <v>0</v>
      </c>
      <c r="R2205" s="12" t="str">
        <f>IFERROR(Q2205/P2205/IF(E2205="FUTURE",VLOOKUP(MID(I2205,2,2),[1]Futures!$A$2:$B$12,2),1),"")</f>
        <v/>
      </c>
      <c r="S2205" s="13">
        <f>IF(AND(H2205="TO CLOSE",P2205=0),-G2205*(M2205-R2204)*IF(E2205="FUTURE",VLOOKUP(MID(I2205,2,2),[1]Futures!$A$2:$B$12,2),1),"")</f>
        <v>4.6000000000001151</v>
      </c>
    </row>
    <row r="2206" spans="1:19" x14ac:dyDescent="0.2">
      <c r="A2206">
        <f t="shared" si="104"/>
        <v>728</v>
      </c>
      <c r="B2206" s="3">
        <v>44034</v>
      </c>
      <c r="C2206" s="3" t="str">
        <f t="shared" si="103"/>
        <v>Wednesday</v>
      </c>
      <c r="D2206" s="2">
        <v>0.42458333333333331</v>
      </c>
      <c r="E2206" t="s">
        <v>22</v>
      </c>
      <c r="F2206" t="s">
        <v>19</v>
      </c>
      <c r="G2206">
        <v>200</v>
      </c>
      <c r="H2206" t="s">
        <v>20</v>
      </c>
      <c r="I2206" t="s">
        <v>23</v>
      </c>
      <c r="L2206" t="s">
        <v>22</v>
      </c>
      <c r="M2206">
        <v>29.725000000000001</v>
      </c>
      <c r="N2206">
        <v>29.725000000000001</v>
      </c>
      <c r="O2206" t="s">
        <v>24</v>
      </c>
      <c r="P2206">
        <f t="shared" si="105"/>
        <v>200</v>
      </c>
      <c r="Q2206" s="11">
        <f>IF(P2206=0,0,IFERROR(Q2205+G2206*M2206*IF(E2206="FUTURE",VLOOKUP(MID(I2206,2,2),[1]Futures!$A$2:$B$12,2),1),G2206*M2206*IF(E2206="FUTURE",VLOOKUP(MID(I2206,2,2),[1]Futures!$A$2:$B$12,2),1)))</f>
        <v>5945</v>
      </c>
      <c r="R2206" s="12">
        <f>IFERROR(Q2206/P2206/IF(E2206="FUTURE",VLOOKUP(MID(I2206,2,2),[1]Futures!$A$2:$B$12,2),1),"")</f>
        <v>29.725000000000001</v>
      </c>
      <c r="S2206" s="13" t="str">
        <f>IF(AND(H2206="TO CLOSE",P2206=0),-G2206*(M2206-R2205)*IF(E2206="FUTURE",VLOOKUP(MID(I2206,2,2),[1]Futures!$A$2:$B$12,2),1),"")</f>
        <v/>
      </c>
    </row>
    <row r="2207" spans="1:19" x14ac:dyDescent="0.2">
      <c r="A2207">
        <f t="shared" si="104"/>
        <v>728</v>
      </c>
      <c r="B2207" s="3">
        <v>44034</v>
      </c>
      <c r="C2207" s="3" t="str">
        <f t="shared" si="103"/>
        <v>Wednesday</v>
      </c>
      <c r="D2207" s="2">
        <v>0.43314814814814812</v>
      </c>
      <c r="E2207" t="s">
        <v>22</v>
      </c>
      <c r="F2207" t="s">
        <v>15</v>
      </c>
      <c r="G2207">
        <v>-200</v>
      </c>
      <c r="H2207" t="s">
        <v>16</v>
      </c>
      <c r="I2207" t="s">
        <v>23</v>
      </c>
      <c r="L2207" t="s">
        <v>22</v>
      </c>
      <c r="M2207">
        <v>29.96</v>
      </c>
      <c r="N2207">
        <v>29.96</v>
      </c>
      <c r="O2207" t="s">
        <v>21</v>
      </c>
      <c r="P2207">
        <f t="shared" si="105"/>
        <v>0</v>
      </c>
      <c r="Q2207" s="11">
        <f>IF(P2207=0,0,IFERROR(Q2206+G2207*M2207*IF(E2207="FUTURE",VLOOKUP(MID(I2207,2,2),[1]Futures!$A$2:$B$12,2),1),G2207*M2207*IF(E2207="FUTURE",VLOOKUP(MID(I2207,2,2),[1]Futures!$A$2:$B$12,2),1)))</f>
        <v>0</v>
      </c>
      <c r="R2207" s="12" t="str">
        <f>IFERROR(Q2207/P2207/IF(E2207="FUTURE",VLOOKUP(MID(I2207,2,2),[1]Futures!$A$2:$B$12,2),1),"")</f>
        <v/>
      </c>
      <c r="S2207" s="13">
        <f>IF(AND(H2207="TO CLOSE",P2207=0),-G2207*(M2207-R2206)*IF(E2207="FUTURE",VLOOKUP(MID(I2207,2,2),[1]Futures!$A$2:$B$12,2),1),"")</f>
        <v>46.999999999999886</v>
      </c>
    </row>
    <row r="2208" spans="1:19" x14ac:dyDescent="0.2">
      <c r="A2208">
        <f t="shared" si="104"/>
        <v>729</v>
      </c>
      <c r="B2208" s="3">
        <v>44034</v>
      </c>
      <c r="C2208" s="3" t="str">
        <f t="shared" si="103"/>
        <v>Wednesday</v>
      </c>
      <c r="D2208" s="2">
        <v>0.43314814814814812</v>
      </c>
      <c r="E2208" t="s">
        <v>22</v>
      </c>
      <c r="F2208" t="s">
        <v>15</v>
      </c>
      <c r="G2208">
        <v>-200</v>
      </c>
      <c r="H2208" t="s">
        <v>16</v>
      </c>
      <c r="I2208" t="s">
        <v>23</v>
      </c>
      <c r="L2208" t="s">
        <v>22</v>
      </c>
      <c r="M2208">
        <v>29.96</v>
      </c>
      <c r="N2208">
        <v>29.96</v>
      </c>
      <c r="O2208" t="s">
        <v>21</v>
      </c>
      <c r="P2208">
        <f t="shared" si="105"/>
        <v>-200</v>
      </c>
      <c r="Q2208" s="11">
        <f>IF(P2208=0,0,IFERROR(Q2207+G2208*M2208*IF(E2208="FUTURE",VLOOKUP(MID(I2208,2,2),[1]Futures!$A$2:$B$12,2),1),G2208*M2208*IF(E2208="FUTURE",VLOOKUP(MID(I2208,2,2),[1]Futures!$A$2:$B$12,2),1)))</f>
        <v>-5992</v>
      </c>
      <c r="R2208" s="12">
        <f>IFERROR(Q2208/P2208/IF(E2208="FUTURE",VLOOKUP(MID(I2208,2,2),[1]Futures!$A$2:$B$12,2),1),"")</f>
        <v>29.96</v>
      </c>
      <c r="S2208" s="13" t="str">
        <f>IF(AND(H2208="TO CLOSE",P2208=0),-G2208*(M2208-R2207)*IF(E2208="FUTURE",VLOOKUP(MID(I2208,2,2),[1]Futures!$A$2:$B$12,2),1),"")</f>
        <v/>
      </c>
    </row>
    <row r="2209" spans="1:19" x14ac:dyDescent="0.2">
      <c r="A2209">
        <f t="shared" si="104"/>
        <v>729</v>
      </c>
      <c r="B2209" s="3">
        <v>44034</v>
      </c>
      <c r="C2209" s="3" t="str">
        <f t="shared" si="103"/>
        <v>Wednesday</v>
      </c>
      <c r="D2209" s="2">
        <v>0.43327546296296293</v>
      </c>
      <c r="E2209" t="s">
        <v>22</v>
      </c>
      <c r="F2209" t="s">
        <v>19</v>
      </c>
      <c r="G2209">
        <v>200</v>
      </c>
      <c r="H2209" t="s">
        <v>16</v>
      </c>
      <c r="I2209" t="s">
        <v>23</v>
      </c>
      <c r="L2209" t="s">
        <v>22</v>
      </c>
      <c r="M2209">
        <v>29.96</v>
      </c>
      <c r="N2209">
        <v>29.96</v>
      </c>
      <c r="O2209" t="s">
        <v>21</v>
      </c>
      <c r="P2209">
        <f t="shared" si="105"/>
        <v>0</v>
      </c>
      <c r="Q2209" s="11">
        <f>IF(P2209=0,0,IFERROR(Q2208+G2209*M2209*IF(E2209="FUTURE",VLOOKUP(MID(I2209,2,2),[1]Futures!$A$2:$B$12,2),1),G2209*M2209*IF(E2209="FUTURE",VLOOKUP(MID(I2209,2,2),[1]Futures!$A$2:$B$12,2),1)))</f>
        <v>0</v>
      </c>
      <c r="R2209" s="12" t="str">
        <f>IFERROR(Q2209/P2209/IF(E2209="FUTURE",VLOOKUP(MID(I2209,2,2),[1]Futures!$A$2:$B$12,2),1),"")</f>
        <v/>
      </c>
      <c r="S2209" s="13">
        <f>IF(AND(H2209="TO CLOSE",P2209=0),-G2209*(M2209-R2208)*IF(E2209="FUTURE",VLOOKUP(MID(I2209,2,2),[1]Futures!$A$2:$B$12,2),1),"")</f>
        <v>0</v>
      </c>
    </row>
    <row r="2210" spans="1:19" x14ac:dyDescent="0.2">
      <c r="A2210">
        <f t="shared" si="104"/>
        <v>730</v>
      </c>
      <c r="B2210" s="3">
        <v>44034</v>
      </c>
      <c r="C2210" s="3" t="str">
        <f t="shared" si="103"/>
        <v>Wednesday</v>
      </c>
      <c r="D2210" s="2">
        <v>0.44589120370370372</v>
      </c>
      <c r="E2210" t="s">
        <v>22</v>
      </c>
      <c r="F2210" t="s">
        <v>19</v>
      </c>
      <c r="G2210">
        <v>100</v>
      </c>
      <c r="H2210" t="s">
        <v>20</v>
      </c>
      <c r="I2210" t="s">
        <v>23</v>
      </c>
      <c r="L2210" t="s">
        <v>22</v>
      </c>
      <c r="M2210">
        <v>29.6999</v>
      </c>
      <c r="N2210">
        <v>29.6999</v>
      </c>
      <c r="O2210" t="s">
        <v>21</v>
      </c>
      <c r="P2210">
        <f t="shared" si="105"/>
        <v>100</v>
      </c>
      <c r="Q2210" s="11">
        <f>IF(P2210=0,0,IFERROR(Q2209+G2210*M2210*IF(E2210="FUTURE",VLOOKUP(MID(I2210,2,2),[1]Futures!$A$2:$B$12,2),1),G2210*M2210*IF(E2210="FUTURE",VLOOKUP(MID(I2210,2,2),[1]Futures!$A$2:$B$12,2),1)))</f>
        <v>2969.99</v>
      </c>
      <c r="R2210" s="12">
        <f>IFERROR(Q2210/P2210/IF(E2210="FUTURE",VLOOKUP(MID(I2210,2,2),[1]Futures!$A$2:$B$12,2),1),"")</f>
        <v>29.6999</v>
      </c>
      <c r="S2210" s="13" t="str">
        <f>IF(AND(H2210="TO CLOSE",P2210=0),-G2210*(M2210-R2209)*IF(E2210="FUTURE",VLOOKUP(MID(I2210,2,2),[1]Futures!$A$2:$B$12,2),1),"")</f>
        <v/>
      </c>
    </row>
    <row r="2211" spans="1:19" x14ac:dyDescent="0.2">
      <c r="A2211">
        <f t="shared" si="104"/>
        <v>730</v>
      </c>
      <c r="B2211" s="3">
        <v>44034</v>
      </c>
      <c r="C2211" s="3" t="str">
        <f t="shared" si="103"/>
        <v>Wednesday</v>
      </c>
      <c r="D2211" s="2">
        <v>0.44589120370370372</v>
      </c>
      <c r="E2211" t="s">
        <v>22</v>
      </c>
      <c r="F2211" t="s">
        <v>19</v>
      </c>
      <c r="G2211">
        <v>100</v>
      </c>
      <c r="H2211" t="s">
        <v>20</v>
      </c>
      <c r="I2211" t="s">
        <v>23</v>
      </c>
      <c r="L2211" t="s">
        <v>22</v>
      </c>
      <c r="M2211">
        <v>29.6999</v>
      </c>
      <c r="N2211">
        <v>29.6999</v>
      </c>
      <c r="O2211" t="s">
        <v>21</v>
      </c>
      <c r="P2211">
        <f t="shared" si="105"/>
        <v>200</v>
      </c>
      <c r="Q2211" s="11">
        <f>IF(P2211=0,0,IFERROR(Q2210+G2211*M2211*IF(E2211="FUTURE",VLOOKUP(MID(I2211,2,2),[1]Futures!$A$2:$B$12,2),1),G2211*M2211*IF(E2211="FUTURE",VLOOKUP(MID(I2211,2,2),[1]Futures!$A$2:$B$12,2),1)))</f>
        <v>5939.98</v>
      </c>
      <c r="R2211" s="12">
        <f>IFERROR(Q2211/P2211/IF(E2211="FUTURE",VLOOKUP(MID(I2211,2,2),[1]Futures!$A$2:$B$12,2),1),"")</f>
        <v>29.6999</v>
      </c>
      <c r="S2211" s="13" t="str">
        <f>IF(AND(H2211="TO CLOSE",P2211=0),-G2211*(M2211-R2210)*IF(E2211="FUTURE",VLOOKUP(MID(I2211,2,2),[1]Futures!$A$2:$B$12,2),1),"")</f>
        <v/>
      </c>
    </row>
    <row r="2212" spans="1:19" x14ac:dyDescent="0.2">
      <c r="A2212">
        <f t="shared" si="104"/>
        <v>730</v>
      </c>
      <c r="B2212" s="3">
        <v>44034</v>
      </c>
      <c r="C2212" s="3" t="str">
        <f t="shared" si="103"/>
        <v>Wednesday</v>
      </c>
      <c r="D2212" s="2">
        <v>0.45224537037037038</v>
      </c>
      <c r="E2212" t="s">
        <v>22</v>
      </c>
      <c r="F2212" t="s">
        <v>15</v>
      </c>
      <c r="G2212">
        <v>-200</v>
      </c>
      <c r="H2212" t="s">
        <v>16</v>
      </c>
      <c r="I2212" t="s">
        <v>23</v>
      </c>
      <c r="L2212" t="s">
        <v>22</v>
      </c>
      <c r="M2212">
        <v>29.945</v>
      </c>
      <c r="N2212">
        <v>29.945</v>
      </c>
      <c r="O2212" t="s">
        <v>21</v>
      </c>
      <c r="P2212">
        <f t="shared" si="105"/>
        <v>0</v>
      </c>
      <c r="Q2212" s="11">
        <f>IF(P2212=0,0,IFERROR(Q2211+G2212*M2212*IF(E2212="FUTURE",VLOOKUP(MID(I2212,2,2),[1]Futures!$A$2:$B$12,2),1),G2212*M2212*IF(E2212="FUTURE",VLOOKUP(MID(I2212,2,2),[1]Futures!$A$2:$B$12,2),1)))</f>
        <v>0</v>
      </c>
      <c r="R2212" s="12" t="str">
        <f>IFERROR(Q2212/P2212/IF(E2212="FUTURE",VLOOKUP(MID(I2212,2,2),[1]Futures!$A$2:$B$12,2),1),"")</f>
        <v/>
      </c>
      <c r="S2212" s="13">
        <f>IF(AND(H2212="TO CLOSE",P2212=0),-G2212*(M2212-R2211)*IF(E2212="FUTURE",VLOOKUP(MID(I2212,2,2),[1]Futures!$A$2:$B$12,2),1),"")</f>
        <v>49.020000000000152</v>
      </c>
    </row>
    <row r="2213" spans="1:19" x14ac:dyDescent="0.2">
      <c r="A2213">
        <f t="shared" si="104"/>
        <v>731</v>
      </c>
      <c r="B2213" s="3">
        <v>44034</v>
      </c>
      <c r="C2213" s="3" t="str">
        <f t="shared" si="103"/>
        <v>Wednesday</v>
      </c>
      <c r="D2213" s="2">
        <v>0.45228009259259255</v>
      </c>
      <c r="E2213" t="s">
        <v>22</v>
      </c>
      <c r="F2213" t="s">
        <v>15</v>
      </c>
      <c r="G2213">
        <v>-200</v>
      </c>
      <c r="H2213" t="s">
        <v>20</v>
      </c>
      <c r="I2213" t="s">
        <v>23</v>
      </c>
      <c r="L2213" t="s">
        <v>22</v>
      </c>
      <c r="M2213">
        <v>29.940100000000001</v>
      </c>
      <c r="N2213">
        <v>29.940100000000001</v>
      </c>
      <c r="O2213" t="s">
        <v>21</v>
      </c>
      <c r="P2213">
        <f t="shared" si="105"/>
        <v>-200</v>
      </c>
      <c r="Q2213" s="11">
        <f>IF(P2213=0,0,IFERROR(Q2212+G2213*M2213*IF(E2213="FUTURE",VLOOKUP(MID(I2213,2,2),[1]Futures!$A$2:$B$12,2),1),G2213*M2213*IF(E2213="FUTURE",VLOOKUP(MID(I2213,2,2),[1]Futures!$A$2:$B$12,2),1)))</f>
        <v>-5988.02</v>
      </c>
      <c r="R2213" s="12">
        <f>IFERROR(Q2213/P2213/IF(E2213="FUTURE",VLOOKUP(MID(I2213,2,2),[1]Futures!$A$2:$B$12,2),1),"")</f>
        <v>29.940100000000001</v>
      </c>
      <c r="S2213" s="13" t="str">
        <f>IF(AND(H2213="TO CLOSE",P2213=0),-G2213*(M2213-R2212)*IF(E2213="FUTURE",VLOOKUP(MID(I2213,2,2),[1]Futures!$A$2:$B$12,2),1),"")</f>
        <v/>
      </c>
    </row>
    <row r="2214" spans="1:19" x14ac:dyDescent="0.2">
      <c r="A2214">
        <f t="shared" si="104"/>
        <v>731</v>
      </c>
      <c r="B2214" s="3">
        <v>44034</v>
      </c>
      <c r="C2214" s="3" t="str">
        <f t="shared" si="103"/>
        <v>Wednesday</v>
      </c>
      <c r="D2214" s="2">
        <v>0.45248842592592592</v>
      </c>
      <c r="E2214" t="s">
        <v>22</v>
      </c>
      <c r="F2214" t="s">
        <v>19</v>
      </c>
      <c r="G2214">
        <v>16</v>
      </c>
      <c r="H2214" t="s">
        <v>16</v>
      </c>
      <c r="I2214" t="s">
        <v>23</v>
      </c>
      <c r="L2214" t="s">
        <v>22</v>
      </c>
      <c r="M2214">
        <v>29.94</v>
      </c>
      <c r="N2214">
        <v>29.94</v>
      </c>
      <c r="O2214" t="s">
        <v>21</v>
      </c>
      <c r="P2214">
        <f t="shared" si="105"/>
        <v>-184</v>
      </c>
      <c r="Q2214" s="11">
        <f>IF(P2214=0,0,IFERROR(Q2213+G2214*M2214*IF(E2214="FUTURE",VLOOKUP(MID(I2214,2,2),[1]Futures!$A$2:$B$12,2),1),G2214*M2214*IF(E2214="FUTURE",VLOOKUP(MID(I2214,2,2),[1]Futures!$A$2:$B$12,2),1)))</f>
        <v>-5508.9800000000005</v>
      </c>
      <c r="R2214" s="12">
        <f>IFERROR(Q2214/P2214/IF(E2214="FUTURE",VLOOKUP(MID(I2214,2,2),[1]Futures!$A$2:$B$12,2),1),"")</f>
        <v>29.940108695652178</v>
      </c>
      <c r="S2214" s="13" t="str">
        <f>IF(AND(H2214="TO CLOSE",P2214=0),-G2214*(M2214-R2213)*IF(E2214="FUTURE",VLOOKUP(MID(I2214,2,2),[1]Futures!$A$2:$B$12,2),1),"")</f>
        <v/>
      </c>
    </row>
    <row r="2215" spans="1:19" x14ac:dyDescent="0.2">
      <c r="A2215">
        <f t="shared" si="104"/>
        <v>731</v>
      </c>
      <c r="B2215" s="3">
        <v>44034</v>
      </c>
      <c r="C2215" s="3" t="str">
        <f t="shared" si="103"/>
        <v>Wednesday</v>
      </c>
      <c r="D2215" s="2">
        <v>0.45248842592592592</v>
      </c>
      <c r="E2215" t="s">
        <v>22</v>
      </c>
      <c r="F2215" t="s">
        <v>19</v>
      </c>
      <c r="G2215">
        <v>41</v>
      </c>
      <c r="H2215" t="s">
        <v>16</v>
      </c>
      <c r="I2215" t="s">
        <v>23</v>
      </c>
      <c r="L2215" t="s">
        <v>22</v>
      </c>
      <c r="M2215">
        <v>29.94</v>
      </c>
      <c r="N2215">
        <v>29.94</v>
      </c>
      <c r="O2215" t="s">
        <v>21</v>
      </c>
      <c r="P2215">
        <f t="shared" si="105"/>
        <v>-143</v>
      </c>
      <c r="Q2215" s="11">
        <f>IF(P2215=0,0,IFERROR(Q2214+G2215*M2215*IF(E2215="FUTURE",VLOOKUP(MID(I2215,2,2),[1]Futures!$A$2:$B$12,2),1),G2215*M2215*IF(E2215="FUTURE",VLOOKUP(MID(I2215,2,2),[1]Futures!$A$2:$B$12,2),1)))</f>
        <v>-4281.4400000000005</v>
      </c>
      <c r="R2215" s="12">
        <f>IFERROR(Q2215/P2215/IF(E2215="FUTURE",VLOOKUP(MID(I2215,2,2),[1]Futures!$A$2:$B$12,2),1),"")</f>
        <v>29.940139860139865</v>
      </c>
      <c r="S2215" s="13" t="str">
        <f>IF(AND(H2215="TO CLOSE",P2215=0),-G2215*(M2215-R2214)*IF(E2215="FUTURE",VLOOKUP(MID(I2215,2,2),[1]Futures!$A$2:$B$12,2),1),"")</f>
        <v/>
      </c>
    </row>
    <row r="2216" spans="1:19" x14ac:dyDescent="0.2">
      <c r="A2216">
        <f t="shared" si="104"/>
        <v>731</v>
      </c>
      <c r="B2216" s="3">
        <v>44034</v>
      </c>
      <c r="C2216" s="3" t="str">
        <f t="shared" si="103"/>
        <v>Wednesday</v>
      </c>
      <c r="D2216" s="2">
        <v>0.45248842592592592</v>
      </c>
      <c r="E2216" t="s">
        <v>22</v>
      </c>
      <c r="F2216" t="s">
        <v>19</v>
      </c>
      <c r="G2216">
        <v>40</v>
      </c>
      <c r="H2216" t="s">
        <v>16</v>
      </c>
      <c r="I2216" t="s">
        <v>23</v>
      </c>
      <c r="L2216" t="s">
        <v>22</v>
      </c>
      <c r="M2216">
        <v>29.94</v>
      </c>
      <c r="N2216">
        <v>29.94</v>
      </c>
      <c r="O2216" t="s">
        <v>21</v>
      </c>
      <c r="P2216">
        <f t="shared" si="105"/>
        <v>-103</v>
      </c>
      <c r="Q2216" s="11">
        <f>IF(P2216=0,0,IFERROR(Q2215+G2216*M2216*IF(E2216="FUTURE",VLOOKUP(MID(I2216,2,2),[1]Futures!$A$2:$B$12,2),1),G2216*M2216*IF(E2216="FUTURE",VLOOKUP(MID(I2216,2,2),[1]Futures!$A$2:$B$12,2),1)))</f>
        <v>-3083.84</v>
      </c>
      <c r="R2216" s="12">
        <f>IFERROR(Q2216/P2216/IF(E2216="FUTURE",VLOOKUP(MID(I2216,2,2),[1]Futures!$A$2:$B$12,2),1),"")</f>
        <v>29.940194174757284</v>
      </c>
      <c r="S2216" s="13" t="str">
        <f>IF(AND(H2216="TO CLOSE",P2216=0),-G2216*(M2216-R2215)*IF(E2216="FUTURE",VLOOKUP(MID(I2216,2,2),[1]Futures!$A$2:$B$12,2),1),"")</f>
        <v/>
      </c>
    </row>
    <row r="2217" spans="1:19" x14ac:dyDescent="0.2">
      <c r="A2217">
        <f t="shared" si="104"/>
        <v>731</v>
      </c>
      <c r="B2217" s="3">
        <v>44034</v>
      </c>
      <c r="C2217" s="3" t="str">
        <f t="shared" si="103"/>
        <v>Wednesday</v>
      </c>
      <c r="D2217" s="2">
        <v>0.45248842592592592</v>
      </c>
      <c r="E2217" t="s">
        <v>22</v>
      </c>
      <c r="F2217" t="s">
        <v>19</v>
      </c>
      <c r="G2217">
        <v>41</v>
      </c>
      <c r="H2217" t="s">
        <v>16</v>
      </c>
      <c r="I2217" t="s">
        <v>23</v>
      </c>
      <c r="L2217" t="s">
        <v>22</v>
      </c>
      <c r="M2217">
        <v>29.94</v>
      </c>
      <c r="N2217">
        <v>29.94</v>
      </c>
      <c r="O2217" t="s">
        <v>21</v>
      </c>
      <c r="P2217">
        <f t="shared" si="105"/>
        <v>-62</v>
      </c>
      <c r="Q2217" s="11">
        <f>IF(P2217=0,0,IFERROR(Q2216+G2217*M2217*IF(E2217="FUTURE",VLOOKUP(MID(I2217,2,2),[1]Futures!$A$2:$B$12,2),1),G2217*M2217*IF(E2217="FUTURE",VLOOKUP(MID(I2217,2,2),[1]Futures!$A$2:$B$12,2),1)))</f>
        <v>-1856.3000000000002</v>
      </c>
      <c r="R2217" s="12">
        <f>IFERROR(Q2217/P2217/IF(E2217="FUTURE",VLOOKUP(MID(I2217,2,2),[1]Futures!$A$2:$B$12,2),1),"")</f>
        <v>29.940322580645166</v>
      </c>
      <c r="S2217" s="13" t="str">
        <f>IF(AND(H2217="TO CLOSE",P2217=0),-G2217*(M2217-R2216)*IF(E2217="FUTURE",VLOOKUP(MID(I2217,2,2),[1]Futures!$A$2:$B$12,2),1),"")</f>
        <v/>
      </c>
    </row>
    <row r="2218" spans="1:19" x14ac:dyDescent="0.2">
      <c r="A2218">
        <f t="shared" si="104"/>
        <v>731</v>
      </c>
      <c r="B2218" s="3">
        <v>44034</v>
      </c>
      <c r="C2218" s="3" t="str">
        <f t="shared" si="103"/>
        <v>Wednesday</v>
      </c>
      <c r="D2218" s="2">
        <v>0.45248842592592592</v>
      </c>
      <c r="E2218" t="s">
        <v>22</v>
      </c>
      <c r="F2218" t="s">
        <v>19</v>
      </c>
      <c r="G2218">
        <v>41</v>
      </c>
      <c r="H2218" t="s">
        <v>16</v>
      </c>
      <c r="I2218" t="s">
        <v>23</v>
      </c>
      <c r="L2218" t="s">
        <v>22</v>
      </c>
      <c r="M2218">
        <v>29.94</v>
      </c>
      <c r="N2218">
        <v>29.94</v>
      </c>
      <c r="O2218" t="s">
        <v>21</v>
      </c>
      <c r="P2218">
        <f t="shared" si="105"/>
        <v>-21</v>
      </c>
      <c r="Q2218" s="11">
        <f>IF(P2218=0,0,IFERROR(Q2217+G2218*M2218*IF(E2218="FUTURE",VLOOKUP(MID(I2218,2,2),[1]Futures!$A$2:$B$12,2),1),G2218*M2218*IF(E2218="FUTURE",VLOOKUP(MID(I2218,2,2),[1]Futures!$A$2:$B$12,2),1)))</f>
        <v>-628.76000000000022</v>
      </c>
      <c r="R2218" s="12">
        <f>IFERROR(Q2218/P2218/IF(E2218="FUTURE",VLOOKUP(MID(I2218,2,2),[1]Futures!$A$2:$B$12,2),1),"")</f>
        <v>29.940952380952393</v>
      </c>
      <c r="S2218" s="13" t="str">
        <f>IF(AND(H2218="TO CLOSE",P2218=0),-G2218*(M2218-R2217)*IF(E2218="FUTURE",VLOOKUP(MID(I2218,2,2),[1]Futures!$A$2:$B$12,2),1),"")</f>
        <v/>
      </c>
    </row>
    <row r="2219" spans="1:19" x14ac:dyDescent="0.2">
      <c r="A2219">
        <f t="shared" si="104"/>
        <v>731</v>
      </c>
      <c r="B2219" s="3">
        <v>44034</v>
      </c>
      <c r="C2219" s="3" t="str">
        <f t="shared" si="103"/>
        <v>Wednesday</v>
      </c>
      <c r="D2219" s="2">
        <v>0.45248842592592592</v>
      </c>
      <c r="E2219" t="s">
        <v>22</v>
      </c>
      <c r="F2219" t="s">
        <v>19</v>
      </c>
      <c r="G2219">
        <v>21</v>
      </c>
      <c r="H2219" t="s">
        <v>16</v>
      </c>
      <c r="I2219" t="s">
        <v>23</v>
      </c>
      <c r="L2219" t="s">
        <v>22</v>
      </c>
      <c r="M2219">
        <v>29.94</v>
      </c>
      <c r="N2219">
        <v>29.94</v>
      </c>
      <c r="O2219" t="s">
        <v>21</v>
      </c>
      <c r="P2219">
        <f t="shared" si="105"/>
        <v>0</v>
      </c>
      <c r="Q2219" s="11">
        <f>IF(P2219=0,0,IFERROR(Q2218+G2219*M2219*IF(E2219="FUTURE",VLOOKUP(MID(I2219,2,2),[1]Futures!$A$2:$B$12,2),1),G2219*M2219*IF(E2219="FUTURE",VLOOKUP(MID(I2219,2,2),[1]Futures!$A$2:$B$12,2),1)))</f>
        <v>0</v>
      </c>
      <c r="R2219" s="12" t="str">
        <f>IFERROR(Q2219/P2219/IF(E2219="FUTURE",VLOOKUP(MID(I2219,2,2),[1]Futures!$A$2:$B$12,2),1),"")</f>
        <v/>
      </c>
      <c r="S2219" s="13">
        <f>IF(AND(H2219="TO CLOSE",P2219=0),-G2219*(M2219-R2218)*IF(E2219="FUTURE",VLOOKUP(MID(I2219,2,2),[1]Futures!$A$2:$B$12,2),1),"")</f>
        <v>2.0000000000216289E-2</v>
      </c>
    </row>
    <row r="2220" spans="1:19" x14ac:dyDescent="0.2">
      <c r="A2220">
        <f t="shared" si="104"/>
        <v>732</v>
      </c>
      <c r="B2220" s="3">
        <v>44034</v>
      </c>
      <c r="C2220" s="3" t="str">
        <f t="shared" si="103"/>
        <v>Wednesday</v>
      </c>
      <c r="D2220" s="2">
        <v>0.47093750000000001</v>
      </c>
      <c r="E2220" t="s">
        <v>22</v>
      </c>
      <c r="F2220" t="s">
        <v>15</v>
      </c>
      <c r="G2220">
        <v>-100</v>
      </c>
      <c r="H2220" t="s">
        <v>20</v>
      </c>
      <c r="I2220" t="s">
        <v>23</v>
      </c>
      <c r="L2220" t="s">
        <v>22</v>
      </c>
      <c r="M2220">
        <v>29.83</v>
      </c>
      <c r="N2220">
        <v>29.83</v>
      </c>
      <c r="O2220" t="s">
        <v>24</v>
      </c>
      <c r="P2220">
        <f t="shared" si="105"/>
        <v>-100</v>
      </c>
      <c r="Q2220" s="11">
        <f>IF(P2220=0,0,IFERROR(Q2219+G2220*M2220*IF(E2220="FUTURE",VLOOKUP(MID(I2220,2,2),[1]Futures!$A$2:$B$12,2),1),G2220*M2220*IF(E2220="FUTURE",VLOOKUP(MID(I2220,2,2),[1]Futures!$A$2:$B$12,2),1)))</f>
        <v>-2983</v>
      </c>
      <c r="R2220" s="12">
        <f>IFERROR(Q2220/P2220/IF(E2220="FUTURE",VLOOKUP(MID(I2220,2,2),[1]Futures!$A$2:$B$12,2),1),"")</f>
        <v>29.83</v>
      </c>
      <c r="S2220" s="13" t="str">
        <f>IF(AND(H2220="TO CLOSE",P2220=0),-G2220*(M2220-R2219)*IF(E2220="FUTURE",VLOOKUP(MID(I2220,2,2),[1]Futures!$A$2:$B$12,2),1),"")</f>
        <v/>
      </c>
    </row>
    <row r="2221" spans="1:19" x14ac:dyDescent="0.2">
      <c r="A2221">
        <f t="shared" si="104"/>
        <v>732</v>
      </c>
      <c r="B2221" s="3">
        <v>44034</v>
      </c>
      <c r="C2221" s="3" t="str">
        <f t="shared" si="103"/>
        <v>Wednesday</v>
      </c>
      <c r="D2221" s="2">
        <v>0.47093750000000001</v>
      </c>
      <c r="E2221" t="s">
        <v>22</v>
      </c>
      <c r="F2221" t="s">
        <v>15</v>
      </c>
      <c r="G2221">
        <v>-100</v>
      </c>
      <c r="H2221" t="s">
        <v>20</v>
      </c>
      <c r="I2221" t="s">
        <v>23</v>
      </c>
      <c r="L2221" t="s">
        <v>22</v>
      </c>
      <c r="M2221">
        <v>29.824999999999999</v>
      </c>
      <c r="N2221">
        <v>29.824999999999999</v>
      </c>
      <c r="O2221" t="s">
        <v>24</v>
      </c>
      <c r="P2221">
        <f t="shared" si="105"/>
        <v>-200</v>
      </c>
      <c r="Q2221" s="11">
        <f>IF(P2221=0,0,IFERROR(Q2220+G2221*M2221*IF(E2221="FUTURE",VLOOKUP(MID(I2221,2,2),[1]Futures!$A$2:$B$12,2),1),G2221*M2221*IF(E2221="FUTURE",VLOOKUP(MID(I2221,2,2),[1]Futures!$A$2:$B$12,2),1)))</f>
        <v>-5965.5</v>
      </c>
      <c r="R2221" s="12">
        <f>IFERROR(Q2221/P2221/IF(E2221="FUTURE",VLOOKUP(MID(I2221,2,2),[1]Futures!$A$2:$B$12,2),1),"")</f>
        <v>29.827500000000001</v>
      </c>
      <c r="S2221" s="13" t="str">
        <f>IF(AND(H2221="TO CLOSE",P2221=0),-G2221*(M2221-R2220)*IF(E2221="FUTURE",VLOOKUP(MID(I2221,2,2),[1]Futures!$A$2:$B$12,2),1),"")</f>
        <v/>
      </c>
    </row>
    <row r="2222" spans="1:19" x14ac:dyDescent="0.2">
      <c r="A2222">
        <f t="shared" si="104"/>
        <v>732</v>
      </c>
      <c r="B2222" s="3">
        <v>44034</v>
      </c>
      <c r="C2222" s="3" t="str">
        <f t="shared" si="103"/>
        <v>Wednesday</v>
      </c>
      <c r="D2222" s="2">
        <v>0.47093750000000001</v>
      </c>
      <c r="E2222" t="s">
        <v>22</v>
      </c>
      <c r="F2222" t="s">
        <v>15</v>
      </c>
      <c r="G2222">
        <v>-100</v>
      </c>
      <c r="H2222" t="s">
        <v>20</v>
      </c>
      <c r="I2222" t="s">
        <v>23</v>
      </c>
      <c r="L2222" t="s">
        <v>22</v>
      </c>
      <c r="M2222">
        <v>29.824999999999999</v>
      </c>
      <c r="N2222">
        <v>29.824999999999999</v>
      </c>
      <c r="O2222" t="s">
        <v>24</v>
      </c>
      <c r="P2222">
        <f t="shared" si="105"/>
        <v>-300</v>
      </c>
      <c r="Q2222" s="11">
        <f>IF(P2222=0,0,IFERROR(Q2221+G2222*M2222*IF(E2222="FUTURE",VLOOKUP(MID(I2222,2,2),[1]Futures!$A$2:$B$12,2),1),G2222*M2222*IF(E2222="FUTURE",VLOOKUP(MID(I2222,2,2),[1]Futures!$A$2:$B$12,2),1)))</f>
        <v>-8948</v>
      </c>
      <c r="R2222" s="12">
        <f>IFERROR(Q2222/P2222/IF(E2222="FUTURE",VLOOKUP(MID(I2222,2,2),[1]Futures!$A$2:$B$12,2),1),"")</f>
        <v>29.826666666666668</v>
      </c>
      <c r="S2222" s="13" t="str">
        <f>IF(AND(H2222="TO CLOSE",P2222=0),-G2222*(M2222-R2221)*IF(E2222="FUTURE",VLOOKUP(MID(I2222,2,2),[1]Futures!$A$2:$B$12,2),1),"")</f>
        <v/>
      </c>
    </row>
    <row r="2223" spans="1:19" x14ac:dyDescent="0.2">
      <c r="A2223">
        <f t="shared" si="104"/>
        <v>732</v>
      </c>
      <c r="B2223" s="3">
        <v>44034</v>
      </c>
      <c r="C2223" s="3" t="str">
        <f t="shared" si="103"/>
        <v>Wednesday</v>
      </c>
      <c r="D2223" s="2">
        <v>0.47835648148148152</v>
      </c>
      <c r="E2223" t="s">
        <v>22</v>
      </c>
      <c r="F2223" t="s">
        <v>19</v>
      </c>
      <c r="G2223">
        <v>300</v>
      </c>
      <c r="H2223" t="s">
        <v>16</v>
      </c>
      <c r="I2223" t="s">
        <v>23</v>
      </c>
      <c r="L2223" t="s">
        <v>22</v>
      </c>
      <c r="M2223">
        <v>29.657699999999998</v>
      </c>
      <c r="N2223">
        <v>29.657699999999998</v>
      </c>
      <c r="O2223" t="s">
        <v>24</v>
      </c>
      <c r="P2223">
        <f t="shared" si="105"/>
        <v>0</v>
      </c>
      <c r="Q2223" s="11">
        <f>IF(P2223=0,0,IFERROR(Q2222+G2223*M2223*IF(E2223="FUTURE",VLOOKUP(MID(I2223,2,2),[1]Futures!$A$2:$B$12,2),1),G2223*M2223*IF(E2223="FUTURE",VLOOKUP(MID(I2223,2,2),[1]Futures!$A$2:$B$12,2),1)))</f>
        <v>0</v>
      </c>
      <c r="R2223" s="12" t="str">
        <f>IFERROR(Q2223/P2223/IF(E2223="FUTURE",VLOOKUP(MID(I2223,2,2),[1]Futures!$A$2:$B$12,2),1),"")</f>
        <v/>
      </c>
      <c r="S2223" s="13">
        <f>IF(AND(H2223="TO CLOSE",P2223=0),-G2223*(M2223-R2222)*IF(E2223="FUTURE",VLOOKUP(MID(I2223,2,2),[1]Futures!$A$2:$B$12,2),1),"")</f>
        <v>50.690000000000879</v>
      </c>
    </row>
    <row r="2224" spans="1:19" x14ac:dyDescent="0.2">
      <c r="A2224">
        <f t="shared" si="104"/>
        <v>733</v>
      </c>
      <c r="B2224" s="3">
        <v>44035</v>
      </c>
      <c r="C2224" s="3" t="str">
        <f t="shared" si="103"/>
        <v>Thursday</v>
      </c>
      <c r="D2224" s="2">
        <v>0.39519675925925929</v>
      </c>
      <c r="E2224" t="s">
        <v>14</v>
      </c>
      <c r="F2224" t="s">
        <v>15</v>
      </c>
      <c r="G2224">
        <v>-1</v>
      </c>
      <c r="H2224" t="s">
        <v>20</v>
      </c>
      <c r="I2224" t="s">
        <v>81</v>
      </c>
      <c r="J2224" s="1">
        <v>44094</v>
      </c>
      <c r="L2224" t="s">
        <v>14</v>
      </c>
      <c r="M2224">
        <v>41.5</v>
      </c>
      <c r="N2224">
        <v>41.5</v>
      </c>
      <c r="O2224" t="s">
        <v>21</v>
      </c>
      <c r="P2224">
        <f t="shared" si="105"/>
        <v>-1</v>
      </c>
      <c r="Q2224" s="11">
        <f>IF(P2224=0,0,IFERROR(Q2223+G2224*M2224*IF(E2224="FUTURE",VLOOKUP(MID(I2224,2,2),[1]Futures!$A$2:$B$12,2),1),G2224*M2224*IF(E2224="FUTURE",VLOOKUP(MID(I2224,2,2),[1]Futures!$A$2:$B$12,2),1)))</f>
        <v>-41500</v>
      </c>
      <c r="R2224" s="12">
        <f>IFERROR(Q2224/P2224/IF(E2224="FUTURE",VLOOKUP(MID(I2224,2,2),[1]Futures!$A$2:$B$12,2),1),"")</f>
        <v>41.5</v>
      </c>
      <c r="S2224" s="13" t="str">
        <f>IF(AND(H2224="TO CLOSE",P2224=0),-G2224*(M2224-R2223)*IF(E2224="FUTURE",VLOOKUP(MID(I2224,2,2),[1]Futures!$A$2:$B$12,2),1),"")</f>
        <v/>
      </c>
    </row>
    <row r="2225" spans="1:19" x14ac:dyDescent="0.2">
      <c r="A2225">
        <f t="shared" si="104"/>
        <v>733</v>
      </c>
      <c r="B2225" s="3">
        <v>44035</v>
      </c>
      <c r="C2225" s="3" t="str">
        <f t="shared" si="103"/>
        <v>Thursday</v>
      </c>
      <c r="D2225" s="2">
        <v>0.40077546296296296</v>
      </c>
      <c r="E2225" t="s">
        <v>14</v>
      </c>
      <c r="F2225" t="s">
        <v>19</v>
      </c>
      <c r="G2225">
        <v>1</v>
      </c>
      <c r="H2225" t="s">
        <v>16</v>
      </c>
      <c r="I2225" t="s">
        <v>81</v>
      </c>
      <c r="J2225" s="1">
        <v>44094</v>
      </c>
      <c r="L2225" t="s">
        <v>14</v>
      </c>
      <c r="M2225">
        <v>41.62</v>
      </c>
      <c r="N2225">
        <v>41.62</v>
      </c>
      <c r="O2225" t="s">
        <v>24</v>
      </c>
      <c r="P2225">
        <f t="shared" si="105"/>
        <v>0</v>
      </c>
      <c r="Q2225" s="11">
        <f>IF(P2225=0,0,IFERROR(Q2224+G2225*M2225*IF(E2225="FUTURE",VLOOKUP(MID(I2225,2,2),[1]Futures!$A$2:$B$12,2),1),G2225*M2225*IF(E2225="FUTURE",VLOOKUP(MID(I2225,2,2),[1]Futures!$A$2:$B$12,2),1)))</f>
        <v>0</v>
      </c>
      <c r="R2225" s="12" t="str">
        <f>IFERROR(Q2225/P2225/IF(E2225="FUTURE",VLOOKUP(MID(I2225,2,2),[1]Futures!$A$2:$B$12,2),1),"")</f>
        <v/>
      </c>
      <c r="S2225" s="13">
        <f>IF(AND(H2225="TO CLOSE",P2225=0),-G2225*(M2225-R2224)*IF(E2225="FUTURE",VLOOKUP(MID(I2225,2,2),[1]Futures!$A$2:$B$12,2),1),"")</f>
        <v>-119.99999999999744</v>
      </c>
    </row>
    <row r="2226" spans="1:19" x14ac:dyDescent="0.2">
      <c r="A2226">
        <f t="shared" si="104"/>
        <v>734</v>
      </c>
      <c r="B2226" s="3">
        <v>44035</v>
      </c>
      <c r="C2226" s="3" t="str">
        <f t="shared" si="103"/>
        <v>Thursday</v>
      </c>
      <c r="D2226" s="2">
        <v>0.40130787037037036</v>
      </c>
      <c r="E2226" t="s">
        <v>14</v>
      </c>
      <c r="F2226" t="s">
        <v>19</v>
      </c>
      <c r="G2226">
        <v>1</v>
      </c>
      <c r="H2226" t="s">
        <v>20</v>
      </c>
      <c r="I2226" t="s">
        <v>81</v>
      </c>
      <c r="J2226" s="1">
        <v>44094</v>
      </c>
      <c r="L2226" t="s">
        <v>14</v>
      </c>
      <c r="M2226">
        <v>41.62</v>
      </c>
      <c r="N2226">
        <v>41.62</v>
      </c>
      <c r="O2226" t="s">
        <v>24</v>
      </c>
      <c r="P2226">
        <f t="shared" si="105"/>
        <v>1</v>
      </c>
      <c r="Q2226" s="11">
        <f>IF(P2226=0,0,IFERROR(Q2225+G2226*M2226*IF(E2226="FUTURE",VLOOKUP(MID(I2226,2,2),[1]Futures!$A$2:$B$12,2),1),G2226*M2226*IF(E2226="FUTURE",VLOOKUP(MID(I2226,2,2),[1]Futures!$A$2:$B$12,2),1)))</f>
        <v>41620</v>
      </c>
      <c r="R2226" s="12">
        <f>IFERROR(Q2226/P2226/IF(E2226="FUTURE",VLOOKUP(MID(I2226,2,2),[1]Futures!$A$2:$B$12,2),1),"")</f>
        <v>41.62</v>
      </c>
      <c r="S2226" s="13" t="str">
        <f>IF(AND(H2226="TO CLOSE",P2226=0),-G2226*(M2226-R2225)*IF(E2226="FUTURE",VLOOKUP(MID(I2226,2,2),[1]Futures!$A$2:$B$12,2),1),"")</f>
        <v/>
      </c>
    </row>
    <row r="2227" spans="1:19" x14ac:dyDescent="0.2">
      <c r="A2227">
        <f t="shared" si="104"/>
        <v>734</v>
      </c>
      <c r="B2227" s="3">
        <v>44035</v>
      </c>
      <c r="C2227" s="3" t="str">
        <f t="shared" si="103"/>
        <v>Thursday</v>
      </c>
      <c r="D2227" s="2">
        <v>0.40421296296296294</v>
      </c>
      <c r="E2227" t="s">
        <v>14</v>
      </c>
      <c r="F2227" t="s">
        <v>15</v>
      </c>
      <c r="G2227">
        <v>-1</v>
      </c>
      <c r="H2227" t="s">
        <v>16</v>
      </c>
      <c r="I2227" t="s">
        <v>81</v>
      </c>
      <c r="J2227" s="1">
        <v>44094</v>
      </c>
      <c r="L2227" t="s">
        <v>14</v>
      </c>
      <c r="M2227">
        <v>41.51</v>
      </c>
      <c r="N2227">
        <v>41.51</v>
      </c>
      <c r="O2227" t="s">
        <v>18</v>
      </c>
      <c r="P2227">
        <f t="shared" si="105"/>
        <v>0</v>
      </c>
      <c r="Q2227" s="11">
        <f>IF(P2227=0,0,IFERROR(Q2226+G2227*M2227*IF(E2227="FUTURE",VLOOKUP(MID(I2227,2,2),[1]Futures!$A$2:$B$12,2),1),G2227*M2227*IF(E2227="FUTURE",VLOOKUP(MID(I2227,2,2),[1]Futures!$A$2:$B$12,2),1)))</f>
        <v>0</v>
      </c>
      <c r="R2227" s="12" t="str">
        <f>IFERROR(Q2227/P2227/IF(E2227="FUTURE",VLOOKUP(MID(I2227,2,2),[1]Futures!$A$2:$B$12,2),1),"")</f>
        <v/>
      </c>
      <c r="S2227" s="13">
        <f>IF(AND(H2227="TO CLOSE",P2227=0),-G2227*(M2227-R2226)*IF(E2227="FUTURE",VLOOKUP(MID(I2227,2,2),[1]Futures!$A$2:$B$12,2),1),"")</f>
        <v>-109.99999999999943</v>
      </c>
    </row>
    <row r="2228" spans="1:19" x14ac:dyDescent="0.2">
      <c r="A2228">
        <f t="shared" si="104"/>
        <v>735</v>
      </c>
      <c r="B2228" s="3">
        <v>44035</v>
      </c>
      <c r="C2228" s="3" t="str">
        <f t="shared" si="103"/>
        <v>Thursday</v>
      </c>
      <c r="D2228" s="2">
        <v>0.40540509259259255</v>
      </c>
      <c r="E2228" t="s">
        <v>14</v>
      </c>
      <c r="F2228" t="s">
        <v>19</v>
      </c>
      <c r="G2228">
        <v>1</v>
      </c>
      <c r="H2228" t="s">
        <v>20</v>
      </c>
      <c r="I2228" t="s">
        <v>81</v>
      </c>
      <c r="J2228" s="1">
        <v>44094</v>
      </c>
      <c r="L2228" t="s">
        <v>14</v>
      </c>
      <c r="M2228">
        <v>41.57</v>
      </c>
      <c r="N2228">
        <v>41.57</v>
      </c>
      <c r="O2228" t="s">
        <v>21</v>
      </c>
      <c r="P2228">
        <f t="shared" si="105"/>
        <v>1</v>
      </c>
      <c r="Q2228" s="11">
        <f>IF(P2228=0,0,IFERROR(Q2227+G2228*M2228*IF(E2228="FUTURE",VLOOKUP(MID(I2228,2,2),[1]Futures!$A$2:$B$12,2),1),G2228*M2228*IF(E2228="FUTURE",VLOOKUP(MID(I2228,2,2),[1]Futures!$A$2:$B$12,2),1)))</f>
        <v>41570</v>
      </c>
      <c r="R2228" s="12">
        <f>IFERROR(Q2228/P2228/IF(E2228="FUTURE",VLOOKUP(MID(I2228,2,2),[1]Futures!$A$2:$B$12,2),1),"")</f>
        <v>41.57</v>
      </c>
      <c r="S2228" s="13" t="str">
        <f>IF(AND(H2228="TO CLOSE",P2228=0),-G2228*(M2228-R2227)*IF(E2228="FUTURE",VLOOKUP(MID(I2228,2,2),[1]Futures!$A$2:$B$12,2),1),"")</f>
        <v/>
      </c>
    </row>
    <row r="2229" spans="1:19" x14ac:dyDescent="0.2">
      <c r="A2229">
        <f t="shared" si="104"/>
        <v>735</v>
      </c>
      <c r="B2229" s="3">
        <v>44035</v>
      </c>
      <c r="C2229" s="3" t="str">
        <f t="shared" si="103"/>
        <v>Thursday</v>
      </c>
      <c r="D2229" s="2">
        <v>0.40965277777777781</v>
      </c>
      <c r="E2229" t="s">
        <v>14</v>
      </c>
      <c r="F2229" t="s">
        <v>15</v>
      </c>
      <c r="G2229">
        <v>-1</v>
      </c>
      <c r="H2229" t="s">
        <v>16</v>
      </c>
      <c r="I2229" t="s">
        <v>81</v>
      </c>
      <c r="J2229" s="1">
        <v>44094</v>
      </c>
      <c r="L2229" t="s">
        <v>14</v>
      </c>
      <c r="M2229">
        <v>41.71</v>
      </c>
      <c r="N2229">
        <v>41.71</v>
      </c>
      <c r="O2229" t="s">
        <v>21</v>
      </c>
      <c r="P2229">
        <f t="shared" si="105"/>
        <v>0</v>
      </c>
      <c r="Q2229" s="11">
        <f>IF(P2229=0,0,IFERROR(Q2228+G2229*M2229*IF(E2229="FUTURE",VLOOKUP(MID(I2229,2,2),[1]Futures!$A$2:$B$12,2),1),G2229*M2229*IF(E2229="FUTURE",VLOOKUP(MID(I2229,2,2),[1]Futures!$A$2:$B$12,2),1)))</f>
        <v>0</v>
      </c>
      <c r="R2229" s="12" t="str">
        <f>IFERROR(Q2229/P2229/IF(E2229="FUTURE",VLOOKUP(MID(I2229,2,2),[1]Futures!$A$2:$B$12,2),1),"")</f>
        <v/>
      </c>
      <c r="S2229" s="13">
        <f>IF(AND(H2229="TO CLOSE",P2229=0),-G2229*(M2229-R2228)*IF(E2229="FUTURE",VLOOKUP(MID(I2229,2,2),[1]Futures!$A$2:$B$12,2),1),"")</f>
        <v>140.00000000000057</v>
      </c>
    </row>
    <row r="2230" spans="1:19" x14ac:dyDescent="0.2">
      <c r="A2230">
        <f t="shared" si="104"/>
        <v>736</v>
      </c>
      <c r="B2230" s="3">
        <v>44035</v>
      </c>
      <c r="C2230" s="3" t="str">
        <f t="shared" si="103"/>
        <v>Thursday</v>
      </c>
      <c r="D2230" s="2">
        <v>0.48526620370370371</v>
      </c>
      <c r="E2230" t="s">
        <v>14</v>
      </c>
      <c r="F2230" t="s">
        <v>19</v>
      </c>
      <c r="G2230">
        <v>1</v>
      </c>
      <c r="H2230" t="s">
        <v>20</v>
      </c>
      <c r="I2230" t="s">
        <v>81</v>
      </c>
      <c r="J2230" s="1">
        <v>44094</v>
      </c>
      <c r="L2230" t="s">
        <v>14</v>
      </c>
      <c r="M2230">
        <v>41.84</v>
      </c>
      <c r="N2230">
        <v>41.84</v>
      </c>
      <c r="O2230" t="s">
        <v>24</v>
      </c>
      <c r="P2230">
        <f t="shared" si="105"/>
        <v>1</v>
      </c>
      <c r="Q2230" s="11">
        <f>IF(P2230=0,0,IFERROR(Q2229+G2230*M2230*IF(E2230="FUTURE",VLOOKUP(MID(I2230,2,2),[1]Futures!$A$2:$B$12,2),1),G2230*M2230*IF(E2230="FUTURE",VLOOKUP(MID(I2230,2,2),[1]Futures!$A$2:$B$12,2),1)))</f>
        <v>41840</v>
      </c>
      <c r="R2230" s="12">
        <f>IFERROR(Q2230/P2230/IF(E2230="FUTURE",VLOOKUP(MID(I2230,2,2),[1]Futures!$A$2:$B$12,2),1),"")</f>
        <v>41.84</v>
      </c>
      <c r="S2230" s="13" t="str">
        <f>IF(AND(H2230="TO CLOSE",P2230=0),-G2230*(M2230-R2229)*IF(E2230="FUTURE",VLOOKUP(MID(I2230,2,2),[1]Futures!$A$2:$B$12,2),1),"")</f>
        <v/>
      </c>
    </row>
    <row r="2231" spans="1:19" x14ac:dyDescent="0.2">
      <c r="A2231">
        <f t="shared" si="104"/>
        <v>736</v>
      </c>
      <c r="B2231" s="3">
        <v>44035</v>
      </c>
      <c r="C2231" s="3" t="str">
        <f t="shared" si="103"/>
        <v>Thursday</v>
      </c>
      <c r="D2231" s="2">
        <v>0.48596064814814816</v>
      </c>
      <c r="E2231" t="s">
        <v>14</v>
      </c>
      <c r="F2231" t="s">
        <v>15</v>
      </c>
      <c r="G2231">
        <v>-1</v>
      </c>
      <c r="H2231" t="s">
        <v>16</v>
      </c>
      <c r="I2231" t="s">
        <v>81</v>
      </c>
      <c r="J2231" s="1">
        <v>44094</v>
      </c>
      <c r="L2231" t="s">
        <v>14</v>
      </c>
      <c r="M2231">
        <v>41.89</v>
      </c>
      <c r="N2231">
        <v>41.89</v>
      </c>
      <c r="O2231" t="s">
        <v>21</v>
      </c>
      <c r="P2231">
        <f t="shared" si="105"/>
        <v>0</v>
      </c>
      <c r="Q2231" s="11">
        <f>IF(P2231=0,0,IFERROR(Q2230+G2231*M2231*IF(E2231="FUTURE",VLOOKUP(MID(I2231,2,2),[1]Futures!$A$2:$B$12,2),1),G2231*M2231*IF(E2231="FUTURE",VLOOKUP(MID(I2231,2,2),[1]Futures!$A$2:$B$12,2),1)))</f>
        <v>0</v>
      </c>
      <c r="R2231" s="12" t="str">
        <f>IFERROR(Q2231/P2231/IF(E2231="FUTURE",VLOOKUP(MID(I2231,2,2),[1]Futures!$A$2:$B$12,2),1),"")</f>
        <v/>
      </c>
      <c r="S2231" s="13">
        <f>IF(AND(H2231="TO CLOSE",P2231=0),-G2231*(M2231-R2230)*IF(E2231="FUTURE",VLOOKUP(MID(I2231,2,2),[1]Futures!$A$2:$B$12,2),1),"")</f>
        <v>49.999999999997158</v>
      </c>
    </row>
    <row r="2232" spans="1:19" x14ac:dyDescent="0.2">
      <c r="A2232">
        <f t="shared" si="104"/>
        <v>737</v>
      </c>
      <c r="B2232" s="3">
        <v>44035</v>
      </c>
      <c r="C2232" s="3" t="str">
        <f t="shared" si="103"/>
        <v>Thursday</v>
      </c>
      <c r="D2232" s="2">
        <v>0.39990740740740738</v>
      </c>
      <c r="E2232" t="s">
        <v>14</v>
      </c>
      <c r="F2232" t="s">
        <v>19</v>
      </c>
      <c r="G2232">
        <v>1</v>
      </c>
      <c r="H2232" t="s">
        <v>20</v>
      </c>
      <c r="I2232" t="s">
        <v>79</v>
      </c>
      <c r="J2232" s="1">
        <v>44094</v>
      </c>
      <c r="L2232" t="s">
        <v>14</v>
      </c>
      <c r="M2232">
        <v>3265.25</v>
      </c>
      <c r="N2232">
        <v>3265.25</v>
      </c>
      <c r="O2232" t="s">
        <v>24</v>
      </c>
      <c r="P2232">
        <f t="shared" si="105"/>
        <v>1</v>
      </c>
      <c r="Q2232" s="11">
        <f>IF(P2232=0,0,IFERROR(Q2231+G2232*M2232*IF(E2232="FUTURE",VLOOKUP(MID(I2232,2,2),[1]Futures!$A$2:$B$12,2),1),G2232*M2232*IF(E2232="FUTURE",VLOOKUP(MID(I2232,2,2),[1]Futures!$A$2:$B$12,2),1)))</f>
        <v>163262.5</v>
      </c>
      <c r="R2232" s="12">
        <f>IFERROR(Q2232/P2232/IF(E2232="FUTURE",VLOOKUP(MID(I2232,2,2),[1]Futures!$A$2:$B$12,2),1),"")</f>
        <v>3265.25</v>
      </c>
      <c r="S2232" s="13" t="str">
        <f>IF(AND(H2232="TO CLOSE",P2232=0),-G2232*(M2232-R2231)*IF(E2232="FUTURE",VLOOKUP(MID(I2232,2,2),[1]Futures!$A$2:$B$12,2),1),"")</f>
        <v/>
      </c>
    </row>
    <row r="2233" spans="1:19" x14ac:dyDescent="0.2">
      <c r="A2233">
        <f t="shared" si="104"/>
        <v>737</v>
      </c>
      <c r="B2233" s="3">
        <v>44035</v>
      </c>
      <c r="C2233" s="3" t="str">
        <f t="shared" si="103"/>
        <v>Thursday</v>
      </c>
      <c r="D2233" s="2">
        <v>0.409212962962963</v>
      </c>
      <c r="E2233" t="s">
        <v>14</v>
      </c>
      <c r="F2233" t="s">
        <v>15</v>
      </c>
      <c r="G2233">
        <v>-1</v>
      </c>
      <c r="H2233" t="s">
        <v>16</v>
      </c>
      <c r="I2233" t="s">
        <v>79</v>
      </c>
      <c r="J2233" s="1">
        <v>44094</v>
      </c>
      <c r="L2233" t="s">
        <v>14</v>
      </c>
      <c r="M2233">
        <v>3269.75</v>
      </c>
      <c r="N2233">
        <v>3269.75</v>
      </c>
      <c r="O2233" t="s">
        <v>21</v>
      </c>
      <c r="P2233">
        <f t="shared" si="105"/>
        <v>0</v>
      </c>
      <c r="Q2233" s="11">
        <f>IF(P2233=0,0,IFERROR(Q2232+G2233*M2233*IF(E2233="FUTURE",VLOOKUP(MID(I2233,2,2),[1]Futures!$A$2:$B$12,2),1),G2233*M2233*IF(E2233="FUTURE",VLOOKUP(MID(I2233,2,2),[1]Futures!$A$2:$B$12,2),1)))</f>
        <v>0</v>
      </c>
      <c r="R2233" s="12" t="str">
        <f>IFERROR(Q2233/P2233/IF(E2233="FUTURE",VLOOKUP(MID(I2233,2,2),[1]Futures!$A$2:$B$12,2),1),"")</f>
        <v/>
      </c>
      <c r="S2233" s="13">
        <f>IF(AND(H2233="TO CLOSE",P2233=0),-G2233*(M2233-R2232)*IF(E2233="FUTURE",VLOOKUP(MID(I2233,2,2),[1]Futures!$A$2:$B$12,2),1),"")</f>
        <v>225</v>
      </c>
    </row>
    <row r="2234" spans="1:19" x14ac:dyDescent="0.2">
      <c r="A2234">
        <f t="shared" si="104"/>
        <v>738</v>
      </c>
      <c r="B2234" s="3">
        <v>44035</v>
      </c>
      <c r="C2234" s="3" t="str">
        <f t="shared" si="103"/>
        <v>Thursday</v>
      </c>
      <c r="D2234" s="2">
        <v>0.4206597222222222</v>
      </c>
      <c r="E2234" t="s">
        <v>14</v>
      </c>
      <c r="F2234" t="s">
        <v>19</v>
      </c>
      <c r="G2234">
        <v>1</v>
      </c>
      <c r="H2234" t="s">
        <v>20</v>
      </c>
      <c r="I2234" t="s">
        <v>79</v>
      </c>
      <c r="J2234" s="1">
        <v>44094</v>
      </c>
      <c r="L2234" t="s">
        <v>14</v>
      </c>
      <c r="M2234">
        <v>3268.5</v>
      </c>
      <c r="N2234">
        <v>3268.5</v>
      </c>
      <c r="O2234" t="s">
        <v>24</v>
      </c>
      <c r="P2234">
        <f t="shared" si="105"/>
        <v>1</v>
      </c>
      <c r="Q2234" s="11">
        <f>IF(P2234=0,0,IFERROR(Q2233+G2234*M2234*IF(E2234="FUTURE",VLOOKUP(MID(I2234,2,2),[1]Futures!$A$2:$B$12,2),1),G2234*M2234*IF(E2234="FUTURE",VLOOKUP(MID(I2234,2,2),[1]Futures!$A$2:$B$12,2),1)))</f>
        <v>163425</v>
      </c>
      <c r="R2234" s="12">
        <f>IFERROR(Q2234/P2234/IF(E2234="FUTURE",VLOOKUP(MID(I2234,2,2),[1]Futures!$A$2:$B$12,2),1),"")</f>
        <v>3268.5</v>
      </c>
      <c r="S2234" s="13" t="str">
        <f>IF(AND(H2234="TO CLOSE",P2234=0),-G2234*(M2234-R2233)*IF(E2234="FUTURE",VLOOKUP(MID(I2234,2,2),[1]Futures!$A$2:$B$12,2),1),"")</f>
        <v/>
      </c>
    </row>
    <row r="2235" spans="1:19" x14ac:dyDescent="0.2">
      <c r="A2235">
        <f t="shared" si="104"/>
        <v>738</v>
      </c>
      <c r="B2235" s="3">
        <v>44035</v>
      </c>
      <c r="C2235" s="3" t="str">
        <f t="shared" si="103"/>
        <v>Thursday</v>
      </c>
      <c r="D2235" s="2">
        <v>0.4253587962962963</v>
      </c>
      <c r="E2235" t="s">
        <v>14</v>
      </c>
      <c r="F2235" t="s">
        <v>15</v>
      </c>
      <c r="G2235">
        <v>-1</v>
      </c>
      <c r="H2235" t="s">
        <v>16</v>
      </c>
      <c r="I2235" t="s">
        <v>79</v>
      </c>
      <c r="J2235" s="1">
        <v>44094</v>
      </c>
      <c r="L2235" t="s">
        <v>14</v>
      </c>
      <c r="M2235">
        <v>3261.75</v>
      </c>
      <c r="N2235">
        <v>3261.75</v>
      </c>
      <c r="O2235" t="s">
        <v>24</v>
      </c>
      <c r="P2235">
        <f t="shared" si="105"/>
        <v>0</v>
      </c>
      <c r="Q2235" s="11">
        <f>IF(P2235=0,0,IFERROR(Q2234+G2235*M2235*IF(E2235="FUTURE",VLOOKUP(MID(I2235,2,2),[1]Futures!$A$2:$B$12,2),1),G2235*M2235*IF(E2235="FUTURE",VLOOKUP(MID(I2235,2,2),[1]Futures!$A$2:$B$12,2),1)))</f>
        <v>0</v>
      </c>
      <c r="R2235" s="12" t="str">
        <f>IFERROR(Q2235/P2235/IF(E2235="FUTURE",VLOOKUP(MID(I2235,2,2),[1]Futures!$A$2:$B$12,2),1),"")</f>
        <v/>
      </c>
      <c r="S2235" s="13">
        <f>IF(AND(H2235="TO CLOSE",P2235=0),-G2235*(M2235-R2234)*IF(E2235="FUTURE",VLOOKUP(MID(I2235,2,2),[1]Futures!$A$2:$B$12,2),1),"")</f>
        <v>-337.5</v>
      </c>
    </row>
    <row r="2236" spans="1:19" x14ac:dyDescent="0.2">
      <c r="A2236">
        <f t="shared" si="104"/>
        <v>739</v>
      </c>
      <c r="B2236" s="3">
        <v>44035</v>
      </c>
      <c r="C2236" s="3" t="str">
        <f t="shared" si="103"/>
        <v>Thursday</v>
      </c>
      <c r="D2236" s="2">
        <v>0.42600694444444448</v>
      </c>
      <c r="E2236" t="s">
        <v>14</v>
      </c>
      <c r="F2236" t="s">
        <v>15</v>
      </c>
      <c r="G2236">
        <v>-1</v>
      </c>
      <c r="H2236" t="s">
        <v>20</v>
      </c>
      <c r="I2236" t="s">
        <v>79</v>
      </c>
      <c r="J2236" s="1">
        <v>44094</v>
      </c>
      <c r="L2236" t="s">
        <v>14</v>
      </c>
      <c r="M2236">
        <v>3260.25</v>
      </c>
      <c r="N2236">
        <v>3260.25</v>
      </c>
      <c r="O2236" t="s">
        <v>24</v>
      </c>
      <c r="P2236">
        <f t="shared" si="105"/>
        <v>-1</v>
      </c>
      <c r="Q2236" s="11">
        <f>IF(P2236=0,0,IFERROR(Q2235+G2236*M2236*IF(E2236="FUTURE",VLOOKUP(MID(I2236,2,2),[1]Futures!$A$2:$B$12,2),1),G2236*M2236*IF(E2236="FUTURE",VLOOKUP(MID(I2236,2,2),[1]Futures!$A$2:$B$12,2),1)))</f>
        <v>-163012.5</v>
      </c>
      <c r="R2236" s="12">
        <f>IFERROR(Q2236/P2236/IF(E2236="FUTURE",VLOOKUP(MID(I2236,2,2),[1]Futures!$A$2:$B$12,2),1),"")</f>
        <v>3260.25</v>
      </c>
      <c r="S2236" s="13" t="str">
        <f>IF(AND(H2236="TO CLOSE",P2236=0),-G2236*(M2236-R2235)*IF(E2236="FUTURE",VLOOKUP(MID(I2236,2,2),[1]Futures!$A$2:$B$12,2),1),"")</f>
        <v/>
      </c>
    </row>
    <row r="2237" spans="1:19" x14ac:dyDescent="0.2">
      <c r="A2237">
        <f t="shared" si="104"/>
        <v>739</v>
      </c>
      <c r="B2237" s="3">
        <v>44035</v>
      </c>
      <c r="C2237" s="3" t="str">
        <f t="shared" si="103"/>
        <v>Thursday</v>
      </c>
      <c r="D2237" s="2">
        <v>0.43050925925925926</v>
      </c>
      <c r="E2237" t="s">
        <v>14</v>
      </c>
      <c r="F2237" t="s">
        <v>19</v>
      </c>
      <c r="G2237">
        <v>1</v>
      </c>
      <c r="H2237" t="s">
        <v>16</v>
      </c>
      <c r="I2237" t="s">
        <v>79</v>
      </c>
      <c r="J2237" s="1">
        <v>44094</v>
      </c>
      <c r="L2237" t="s">
        <v>14</v>
      </c>
      <c r="M2237">
        <v>3256</v>
      </c>
      <c r="N2237">
        <v>3256</v>
      </c>
      <c r="O2237" t="s">
        <v>21</v>
      </c>
      <c r="P2237">
        <f t="shared" si="105"/>
        <v>0</v>
      </c>
      <c r="Q2237" s="11">
        <f>IF(P2237=0,0,IFERROR(Q2236+G2237*M2237*IF(E2237="FUTURE",VLOOKUP(MID(I2237,2,2),[1]Futures!$A$2:$B$12,2),1),G2237*M2237*IF(E2237="FUTURE",VLOOKUP(MID(I2237,2,2),[1]Futures!$A$2:$B$12,2),1)))</f>
        <v>0</v>
      </c>
      <c r="R2237" s="12" t="str">
        <f>IFERROR(Q2237/P2237/IF(E2237="FUTURE",VLOOKUP(MID(I2237,2,2),[1]Futures!$A$2:$B$12,2),1),"")</f>
        <v/>
      </c>
      <c r="S2237" s="13">
        <f>IF(AND(H2237="TO CLOSE",P2237=0),-G2237*(M2237-R2236)*IF(E2237="FUTURE",VLOOKUP(MID(I2237,2,2),[1]Futures!$A$2:$B$12,2),1),"")</f>
        <v>212.5</v>
      </c>
    </row>
    <row r="2238" spans="1:19" x14ac:dyDescent="0.2">
      <c r="A2238">
        <f t="shared" si="104"/>
        <v>740</v>
      </c>
      <c r="B2238" s="3">
        <v>44035</v>
      </c>
      <c r="C2238" s="3" t="str">
        <f t="shared" ref="C2238:C2301" si="106">IF(WEEKDAY(B2238,2)=1,"Monday",IF(WEEKDAY(B2238,2)=2,"Tuesday",IF(WEEKDAY(B2238,2)=3,"Wednesday",IF(WEEKDAY(B2238,2)=4,"Thursday",IF(WEEKDAY(B2238,2)=5,"Friday","Sunday")))))</f>
        <v>Thursday</v>
      </c>
      <c r="D2238" s="2">
        <v>0.4365856481481481</v>
      </c>
      <c r="E2238" t="s">
        <v>14</v>
      </c>
      <c r="F2238" t="s">
        <v>19</v>
      </c>
      <c r="G2238">
        <v>1</v>
      </c>
      <c r="H2238" t="s">
        <v>20</v>
      </c>
      <c r="I2238" t="s">
        <v>79</v>
      </c>
      <c r="J2238" s="1">
        <v>44094</v>
      </c>
      <c r="L2238" t="s">
        <v>14</v>
      </c>
      <c r="M2238">
        <v>3263</v>
      </c>
      <c r="N2238">
        <v>3263</v>
      </c>
      <c r="O2238" t="s">
        <v>24</v>
      </c>
      <c r="P2238">
        <f t="shared" si="105"/>
        <v>1</v>
      </c>
      <c r="Q2238" s="11">
        <f>IF(P2238=0,0,IFERROR(Q2237+G2238*M2238*IF(E2238="FUTURE",VLOOKUP(MID(I2238,2,2),[1]Futures!$A$2:$B$12,2),1),G2238*M2238*IF(E2238="FUTURE",VLOOKUP(MID(I2238,2,2),[1]Futures!$A$2:$B$12,2),1)))</f>
        <v>163150</v>
      </c>
      <c r="R2238" s="12">
        <f>IFERROR(Q2238/P2238/IF(E2238="FUTURE",VLOOKUP(MID(I2238,2,2),[1]Futures!$A$2:$B$12,2),1),"")</f>
        <v>3263</v>
      </c>
      <c r="S2238" s="13" t="str">
        <f>IF(AND(H2238="TO CLOSE",P2238=0),-G2238*(M2238-R2237)*IF(E2238="FUTURE",VLOOKUP(MID(I2238,2,2),[1]Futures!$A$2:$B$12,2),1),"")</f>
        <v/>
      </c>
    </row>
    <row r="2239" spans="1:19" x14ac:dyDescent="0.2">
      <c r="A2239">
        <f t="shared" si="104"/>
        <v>740</v>
      </c>
      <c r="B2239" s="3">
        <v>44035</v>
      </c>
      <c r="C2239" s="3" t="str">
        <f t="shared" si="106"/>
        <v>Thursday</v>
      </c>
      <c r="D2239" s="2">
        <v>0.44981481481481483</v>
      </c>
      <c r="E2239" t="s">
        <v>14</v>
      </c>
      <c r="F2239" t="s">
        <v>15</v>
      </c>
      <c r="G2239">
        <v>-1</v>
      </c>
      <c r="H2239" t="s">
        <v>16</v>
      </c>
      <c r="I2239" t="s">
        <v>79</v>
      </c>
      <c r="J2239" s="1">
        <v>44094</v>
      </c>
      <c r="L2239" t="s">
        <v>14</v>
      </c>
      <c r="M2239">
        <v>3266.5</v>
      </c>
      <c r="N2239">
        <v>3266.5</v>
      </c>
      <c r="O2239" t="s">
        <v>21</v>
      </c>
      <c r="P2239">
        <f t="shared" si="105"/>
        <v>0</v>
      </c>
      <c r="Q2239" s="11">
        <f>IF(P2239=0,0,IFERROR(Q2238+G2239*M2239*IF(E2239="FUTURE",VLOOKUP(MID(I2239,2,2),[1]Futures!$A$2:$B$12,2),1),G2239*M2239*IF(E2239="FUTURE",VLOOKUP(MID(I2239,2,2),[1]Futures!$A$2:$B$12,2),1)))</f>
        <v>0</v>
      </c>
      <c r="R2239" s="12" t="str">
        <f>IFERROR(Q2239/P2239/IF(E2239="FUTURE",VLOOKUP(MID(I2239,2,2),[1]Futures!$A$2:$B$12,2),1),"")</f>
        <v/>
      </c>
      <c r="S2239" s="13">
        <f>IF(AND(H2239="TO CLOSE",P2239=0),-G2239*(M2239-R2238)*IF(E2239="FUTURE",VLOOKUP(MID(I2239,2,2),[1]Futures!$A$2:$B$12,2),1),"")</f>
        <v>175</v>
      </c>
    </row>
    <row r="2240" spans="1:19" x14ac:dyDescent="0.2">
      <c r="A2240">
        <f t="shared" si="104"/>
        <v>741</v>
      </c>
      <c r="B2240" s="3">
        <v>44035</v>
      </c>
      <c r="C2240" s="3" t="str">
        <f t="shared" si="106"/>
        <v>Thursday</v>
      </c>
      <c r="D2240" s="2">
        <v>0.45672453703703703</v>
      </c>
      <c r="E2240" t="s">
        <v>14</v>
      </c>
      <c r="F2240" t="s">
        <v>15</v>
      </c>
      <c r="G2240">
        <v>-1</v>
      </c>
      <c r="H2240" t="s">
        <v>20</v>
      </c>
      <c r="I2240" t="s">
        <v>79</v>
      </c>
      <c r="J2240" s="1">
        <v>44094</v>
      </c>
      <c r="L2240" t="s">
        <v>14</v>
      </c>
      <c r="M2240">
        <v>3263.75</v>
      </c>
      <c r="N2240">
        <v>3263.75</v>
      </c>
      <c r="O2240" t="s">
        <v>24</v>
      </c>
      <c r="P2240">
        <f t="shared" si="105"/>
        <v>-1</v>
      </c>
      <c r="Q2240" s="11">
        <f>IF(P2240=0,0,IFERROR(Q2239+G2240*M2240*IF(E2240="FUTURE",VLOOKUP(MID(I2240,2,2),[1]Futures!$A$2:$B$12,2),1),G2240*M2240*IF(E2240="FUTURE",VLOOKUP(MID(I2240,2,2),[1]Futures!$A$2:$B$12,2),1)))</f>
        <v>-163187.5</v>
      </c>
      <c r="R2240" s="12">
        <f>IFERROR(Q2240/P2240/IF(E2240="FUTURE",VLOOKUP(MID(I2240,2,2),[1]Futures!$A$2:$B$12,2),1),"")</f>
        <v>3263.75</v>
      </c>
      <c r="S2240" s="13" t="str">
        <f>IF(AND(H2240="TO CLOSE",P2240=0),-G2240*(M2240-R2239)*IF(E2240="FUTURE",VLOOKUP(MID(I2240,2,2),[1]Futures!$A$2:$B$12,2),1),"")</f>
        <v/>
      </c>
    </row>
    <row r="2241" spans="1:19" x14ac:dyDescent="0.2">
      <c r="A2241">
        <f t="shared" si="104"/>
        <v>741</v>
      </c>
      <c r="B2241" s="3">
        <v>44035</v>
      </c>
      <c r="C2241" s="3" t="str">
        <f t="shared" si="106"/>
        <v>Thursday</v>
      </c>
      <c r="D2241" s="2">
        <v>0.45740740740740743</v>
      </c>
      <c r="E2241" t="s">
        <v>14</v>
      </c>
      <c r="F2241" t="s">
        <v>19</v>
      </c>
      <c r="G2241">
        <v>1</v>
      </c>
      <c r="H2241" t="s">
        <v>16</v>
      </c>
      <c r="I2241" t="s">
        <v>79</v>
      </c>
      <c r="J2241" s="1">
        <v>44094</v>
      </c>
      <c r="L2241" t="s">
        <v>14</v>
      </c>
      <c r="M2241">
        <v>3261.75</v>
      </c>
      <c r="N2241">
        <v>3261.75</v>
      </c>
      <c r="O2241" t="s">
        <v>21</v>
      </c>
      <c r="P2241">
        <f t="shared" si="105"/>
        <v>0</v>
      </c>
      <c r="Q2241" s="11">
        <f>IF(P2241=0,0,IFERROR(Q2240+G2241*M2241*IF(E2241="FUTURE",VLOOKUP(MID(I2241,2,2),[1]Futures!$A$2:$B$12,2),1),G2241*M2241*IF(E2241="FUTURE",VLOOKUP(MID(I2241,2,2),[1]Futures!$A$2:$B$12,2),1)))</f>
        <v>0</v>
      </c>
      <c r="R2241" s="12" t="str">
        <f>IFERROR(Q2241/P2241/IF(E2241="FUTURE",VLOOKUP(MID(I2241,2,2),[1]Futures!$A$2:$B$12,2),1),"")</f>
        <v/>
      </c>
      <c r="S2241" s="13">
        <f>IF(AND(H2241="TO CLOSE",P2241=0),-G2241*(M2241-R2240)*IF(E2241="FUTURE",VLOOKUP(MID(I2241,2,2),[1]Futures!$A$2:$B$12,2),1),"")</f>
        <v>100</v>
      </c>
    </row>
    <row r="2242" spans="1:19" x14ac:dyDescent="0.2">
      <c r="A2242">
        <f t="shared" ref="A2242:A2305" si="107">IF(AND(P2241=0,H2241="TO CLOSE"),IFERROR(A2241+1,1),IFERROR(A2241/1,1))</f>
        <v>742</v>
      </c>
      <c r="B2242" s="3">
        <v>44035</v>
      </c>
      <c r="C2242" s="3" t="str">
        <f t="shared" si="106"/>
        <v>Thursday</v>
      </c>
      <c r="D2242" s="2">
        <v>0.45930555555555558</v>
      </c>
      <c r="E2242" t="s">
        <v>14</v>
      </c>
      <c r="F2242" t="s">
        <v>19</v>
      </c>
      <c r="G2242">
        <v>1</v>
      </c>
      <c r="H2242" t="s">
        <v>20</v>
      </c>
      <c r="I2242" t="s">
        <v>79</v>
      </c>
      <c r="J2242" s="1">
        <v>44094</v>
      </c>
      <c r="L2242" t="s">
        <v>14</v>
      </c>
      <c r="M2242">
        <v>3265.25</v>
      </c>
      <c r="N2242">
        <v>3265.25</v>
      </c>
      <c r="O2242" t="s">
        <v>24</v>
      </c>
      <c r="P2242">
        <f t="shared" si="105"/>
        <v>1</v>
      </c>
      <c r="Q2242" s="11">
        <f>IF(P2242=0,0,IFERROR(Q2241+G2242*M2242*IF(E2242="FUTURE",VLOOKUP(MID(I2242,2,2),[1]Futures!$A$2:$B$12,2),1),G2242*M2242*IF(E2242="FUTURE",VLOOKUP(MID(I2242,2,2),[1]Futures!$A$2:$B$12,2),1)))</f>
        <v>163262.5</v>
      </c>
      <c r="R2242" s="12">
        <f>IFERROR(Q2242/P2242/IF(E2242="FUTURE",VLOOKUP(MID(I2242,2,2),[1]Futures!$A$2:$B$12,2),1),"")</f>
        <v>3265.25</v>
      </c>
      <c r="S2242" s="13" t="str">
        <f>IF(AND(H2242="TO CLOSE",P2242=0),-G2242*(M2242-R2241)*IF(E2242="FUTURE",VLOOKUP(MID(I2242,2,2),[1]Futures!$A$2:$B$12,2),1),"")</f>
        <v/>
      </c>
    </row>
    <row r="2243" spans="1:19" x14ac:dyDescent="0.2">
      <c r="A2243">
        <f t="shared" si="107"/>
        <v>742</v>
      </c>
      <c r="B2243" s="3">
        <v>44035</v>
      </c>
      <c r="C2243" s="3" t="str">
        <f t="shared" si="106"/>
        <v>Thursday</v>
      </c>
      <c r="D2243" s="2">
        <v>0.4790625</v>
      </c>
      <c r="E2243" t="s">
        <v>14</v>
      </c>
      <c r="F2243" t="s">
        <v>15</v>
      </c>
      <c r="G2243">
        <v>-1</v>
      </c>
      <c r="H2243" t="s">
        <v>16</v>
      </c>
      <c r="I2243" t="s">
        <v>79</v>
      </c>
      <c r="J2243" s="1">
        <v>44094</v>
      </c>
      <c r="L2243" t="s">
        <v>14</v>
      </c>
      <c r="M2243">
        <v>3265.75</v>
      </c>
      <c r="N2243">
        <v>3265.75</v>
      </c>
      <c r="O2243" t="s">
        <v>21</v>
      </c>
      <c r="P2243">
        <f t="shared" ref="P2243:P2306" si="108">IF(H2243="TO OPEN",IFERROR(P2242+G2243,0+G2243),IFERROR(P2242+G2243,0+G2243))</f>
        <v>0</v>
      </c>
      <c r="Q2243" s="11">
        <f>IF(P2243=0,0,IFERROR(Q2242+G2243*M2243*IF(E2243="FUTURE",VLOOKUP(MID(I2243,2,2),[1]Futures!$A$2:$B$12,2),1),G2243*M2243*IF(E2243="FUTURE",VLOOKUP(MID(I2243,2,2),[1]Futures!$A$2:$B$12,2),1)))</f>
        <v>0</v>
      </c>
      <c r="R2243" s="12" t="str">
        <f>IFERROR(Q2243/P2243/IF(E2243="FUTURE",VLOOKUP(MID(I2243,2,2),[1]Futures!$A$2:$B$12,2),1),"")</f>
        <v/>
      </c>
      <c r="S2243" s="13">
        <f>IF(AND(H2243="TO CLOSE",P2243=0),-G2243*(M2243-R2242)*IF(E2243="FUTURE",VLOOKUP(MID(I2243,2,2),[1]Futures!$A$2:$B$12,2),1),"")</f>
        <v>25</v>
      </c>
    </row>
    <row r="2244" spans="1:19" x14ac:dyDescent="0.2">
      <c r="A2244">
        <f t="shared" si="107"/>
        <v>743</v>
      </c>
      <c r="B2244" s="3">
        <v>44035</v>
      </c>
      <c r="C2244" s="3" t="str">
        <f t="shared" si="106"/>
        <v>Thursday</v>
      </c>
      <c r="D2244" s="2">
        <v>0.48118055555555556</v>
      </c>
      <c r="E2244" t="s">
        <v>14</v>
      </c>
      <c r="F2244" t="s">
        <v>19</v>
      </c>
      <c r="G2244">
        <v>1</v>
      </c>
      <c r="H2244" t="s">
        <v>20</v>
      </c>
      <c r="I2244" t="s">
        <v>79</v>
      </c>
      <c r="J2244" s="1">
        <v>44094</v>
      </c>
      <c r="L2244" t="s">
        <v>14</v>
      </c>
      <c r="M2244">
        <v>3269.25</v>
      </c>
      <c r="N2244">
        <v>3269.25</v>
      </c>
      <c r="O2244" t="s">
        <v>24</v>
      </c>
      <c r="P2244">
        <f t="shared" si="108"/>
        <v>1</v>
      </c>
      <c r="Q2244" s="11">
        <f>IF(P2244=0,0,IFERROR(Q2243+G2244*M2244*IF(E2244="FUTURE",VLOOKUP(MID(I2244,2,2),[1]Futures!$A$2:$B$12,2),1),G2244*M2244*IF(E2244="FUTURE",VLOOKUP(MID(I2244,2,2),[1]Futures!$A$2:$B$12,2),1)))</f>
        <v>163462.5</v>
      </c>
      <c r="R2244" s="12">
        <f>IFERROR(Q2244/P2244/IF(E2244="FUTURE",VLOOKUP(MID(I2244,2,2),[1]Futures!$A$2:$B$12,2),1),"")</f>
        <v>3269.25</v>
      </c>
      <c r="S2244" s="13" t="str">
        <f>IF(AND(H2244="TO CLOSE",P2244=0),-G2244*(M2244-R2243)*IF(E2244="FUTURE",VLOOKUP(MID(I2244,2,2),[1]Futures!$A$2:$B$12,2),1),"")</f>
        <v/>
      </c>
    </row>
    <row r="2245" spans="1:19" x14ac:dyDescent="0.2">
      <c r="A2245">
        <f t="shared" si="107"/>
        <v>743</v>
      </c>
      <c r="B2245" s="3">
        <v>44035</v>
      </c>
      <c r="C2245" s="3" t="str">
        <f t="shared" si="106"/>
        <v>Thursday</v>
      </c>
      <c r="D2245" s="2">
        <v>0.48166666666666669</v>
      </c>
      <c r="E2245" t="s">
        <v>14</v>
      </c>
      <c r="F2245" t="s">
        <v>15</v>
      </c>
      <c r="G2245">
        <v>-1</v>
      </c>
      <c r="H2245" t="s">
        <v>16</v>
      </c>
      <c r="I2245" t="s">
        <v>79</v>
      </c>
      <c r="J2245" s="1">
        <v>44094</v>
      </c>
      <c r="L2245" t="s">
        <v>14</v>
      </c>
      <c r="M2245">
        <v>3270.25</v>
      </c>
      <c r="N2245">
        <v>3270.25</v>
      </c>
      <c r="O2245" t="s">
        <v>21</v>
      </c>
      <c r="P2245">
        <f t="shared" si="108"/>
        <v>0</v>
      </c>
      <c r="Q2245" s="11">
        <f>IF(P2245=0,0,IFERROR(Q2244+G2245*M2245*IF(E2245="FUTURE",VLOOKUP(MID(I2245,2,2),[1]Futures!$A$2:$B$12,2),1),G2245*M2245*IF(E2245="FUTURE",VLOOKUP(MID(I2245,2,2),[1]Futures!$A$2:$B$12,2),1)))</f>
        <v>0</v>
      </c>
      <c r="R2245" s="12" t="str">
        <f>IFERROR(Q2245/P2245/IF(E2245="FUTURE",VLOOKUP(MID(I2245,2,2),[1]Futures!$A$2:$B$12,2),1),"")</f>
        <v/>
      </c>
      <c r="S2245" s="13">
        <f>IF(AND(H2245="TO CLOSE",P2245=0),-G2245*(M2245-R2244)*IF(E2245="FUTURE",VLOOKUP(MID(I2245,2,2),[1]Futures!$A$2:$B$12,2),1),"")</f>
        <v>50</v>
      </c>
    </row>
    <row r="2246" spans="1:19" x14ac:dyDescent="0.2">
      <c r="A2246">
        <f t="shared" si="107"/>
        <v>744</v>
      </c>
      <c r="B2246" s="3">
        <v>44035</v>
      </c>
      <c r="C2246" s="3" t="str">
        <f t="shared" si="106"/>
        <v>Thursday</v>
      </c>
      <c r="D2246" s="2">
        <v>0.49260416666666668</v>
      </c>
      <c r="E2246" t="s">
        <v>14</v>
      </c>
      <c r="F2246" t="s">
        <v>19</v>
      </c>
      <c r="G2246">
        <v>1</v>
      </c>
      <c r="H2246" t="s">
        <v>20</v>
      </c>
      <c r="I2246" t="s">
        <v>79</v>
      </c>
      <c r="J2246" s="1">
        <v>44094</v>
      </c>
      <c r="L2246" t="s">
        <v>14</v>
      </c>
      <c r="M2246">
        <v>3269.25</v>
      </c>
      <c r="N2246">
        <v>3269.25</v>
      </c>
      <c r="O2246" t="s">
        <v>24</v>
      </c>
      <c r="P2246">
        <f t="shared" si="108"/>
        <v>1</v>
      </c>
      <c r="Q2246" s="11">
        <f>IF(P2246=0,0,IFERROR(Q2245+G2246*M2246*IF(E2246="FUTURE",VLOOKUP(MID(I2246,2,2),[1]Futures!$A$2:$B$12,2),1),G2246*M2246*IF(E2246="FUTURE",VLOOKUP(MID(I2246,2,2),[1]Futures!$A$2:$B$12,2),1)))</f>
        <v>163462.5</v>
      </c>
      <c r="R2246" s="12">
        <f>IFERROR(Q2246/P2246/IF(E2246="FUTURE",VLOOKUP(MID(I2246,2,2),[1]Futures!$A$2:$B$12,2),1),"")</f>
        <v>3269.25</v>
      </c>
      <c r="S2246" s="13" t="str">
        <f>IF(AND(H2246="TO CLOSE",P2246=0),-G2246*(M2246-R2245)*IF(E2246="FUTURE",VLOOKUP(MID(I2246,2,2),[1]Futures!$A$2:$B$12,2),1),"")</f>
        <v/>
      </c>
    </row>
    <row r="2247" spans="1:19" x14ac:dyDescent="0.2">
      <c r="A2247">
        <f t="shared" si="107"/>
        <v>744</v>
      </c>
      <c r="B2247" s="3">
        <v>44035</v>
      </c>
      <c r="C2247" s="3" t="str">
        <f t="shared" si="106"/>
        <v>Thursday</v>
      </c>
      <c r="D2247" s="2">
        <v>0.50612268518518522</v>
      </c>
      <c r="E2247" t="s">
        <v>14</v>
      </c>
      <c r="F2247" t="s">
        <v>15</v>
      </c>
      <c r="G2247">
        <v>-2</v>
      </c>
      <c r="H2247" t="s">
        <v>16</v>
      </c>
      <c r="I2247" t="s">
        <v>79</v>
      </c>
      <c r="J2247" s="1">
        <v>44094</v>
      </c>
      <c r="L2247" t="s">
        <v>14</v>
      </c>
      <c r="M2247">
        <v>3256</v>
      </c>
      <c r="N2247">
        <v>3256</v>
      </c>
      <c r="O2247" t="s">
        <v>24</v>
      </c>
      <c r="P2247">
        <f t="shared" si="108"/>
        <v>-1</v>
      </c>
      <c r="Q2247" s="11">
        <f>IF(P2247=0,0,IFERROR(Q2246+G2247*M2247*IF(E2247="FUTURE",VLOOKUP(MID(I2247,2,2),[1]Futures!$A$2:$B$12,2),1),G2247*M2247*IF(E2247="FUTURE",VLOOKUP(MID(I2247,2,2),[1]Futures!$A$2:$B$12,2),1)))</f>
        <v>-162137.5</v>
      </c>
      <c r="R2247" s="12">
        <f>IFERROR(Q2247/P2247/IF(E2247="FUTURE",VLOOKUP(MID(I2247,2,2),[1]Futures!$A$2:$B$12,2),1),"")</f>
        <v>3242.75</v>
      </c>
      <c r="S2247" s="13" t="str">
        <f>IF(AND(H2247="TO CLOSE",P2247=0),-G2247*(M2247-R2246)*IF(E2247="FUTURE",VLOOKUP(MID(I2247,2,2),[1]Futures!$A$2:$B$12,2),1),"")</f>
        <v/>
      </c>
    </row>
    <row r="2248" spans="1:19" x14ac:dyDescent="0.2">
      <c r="A2248">
        <f t="shared" si="107"/>
        <v>744</v>
      </c>
      <c r="B2248" s="3">
        <v>44035</v>
      </c>
      <c r="C2248" s="3" t="str">
        <f t="shared" si="106"/>
        <v>Thursday</v>
      </c>
      <c r="D2248" s="2">
        <v>0.51420138888888889</v>
      </c>
      <c r="E2248" t="s">
        <v>14</v>
      </c>
      <c r="F2248" t="s">
        <v>19</v>
      </c>
      <c r="G2248">
        <v>2</v>
      </c>
      <c r="H2248" t="s">
        <v>16</v>
      </c>
      <c r="I2248" t="s">
        <v>79</v>
      </c>
      <c r="J2248" s="1">
        <v>44094</v>
      </c>
      <c r="L2248" t="s">
        <v>14</v>
      </c>
      <c r="M2248">
        <v>3259</v>
      </c>
      <c r="N2248">
        <v>3259</v>
      </c>
      <c r="O2248" t="s">
        <v>24</v>
      </c>
      <c r="P2248">
        <f t="shared" si="108"/>
        <v>1</v>
      </c>
      <c r="Q2248" s="11">
        <f>IF(P2248=0,0,IFERROR(Q2247+G2248*M2248*IF(E2248="FUTURE",VLOOKUP(MID(I2248,2,2),[1]Futures!$A$2:$B$12,2),1),G2248*M2248*IF(E2248="FUTURE",VLOOKUP(MID(I2248,2,2),[1]Futures!$A$2:$B$12,2),1)))</f>
        <v>163762.5</v>
      </c>
      <c r="R2248" s="12">
        <f>IFERROR(Q2248/P2248/IF(E2248="FUTURE",VLOOKUP(MID(I2248,2,2),[1]Futures!$A$2:$B$12,2),1),"")</f>
        <v>3275.25</v>
      </c>
      <c r="S2248" s="13" t="str">
        <f>IF(AND(H2248="TO CLOSE",P2248=0),-G2248*(M2248-R2247)*IF(E2248="FUTURE",VLOOKUP(MID(I2248,2,2),[1]Futures!$A$2:$B$12,2),1),"")</f>
        <v/>
      </c>
    </row>
    <row r="2249" spans="1:19" x14ac:dyDescent="0.2">
      <c r="A2249">
        <f t="shared" si="107"/>
        <v>744</v>
      </c>
      <c r="B2249" s="3">
        <v>44035</v>
      </c>
      <c r="C2249" s="3" t="str">
        <f t="shared" si="106"/>
        <v>Thursday</v>
      </c>
      <c r="D2249" s="2">
        <v>0.51528935185185187</v>
      </c>
      <c r="E2249" t="s">
        <v>14</v>
      </c>
      <c r="F2249" t="s">
        <v>19</v>
      </c>
      <c r="G2249">
        <v>1</v>
      </c>
      <c r="H2249" t="s">
        <v>20</v>
      </c>
      <c r="I2249" t="s">
        <v>79</v>
      </c>
      <c r="J2249" s="1">
        <v>44094</v>
      </c>
      <c r="L2249" t="s">
        <v>14</v>
      </c>
      <c r="M2249">
        <v>3260.75</v>
      </c>
      <c r="N2249">
        <v>3260.75</v>
      </c>
      <c r="O2249" t="s">
        <v>24</v>
      </c>
      <c r="P2249">
        <f t="shared" si="108"/>
        <v>2</v>
      </c>
      <c r="Q2249" s="11">
        <f>IF(P2249=0,0,IFERROR(Q2248+G2249*M2249*IF(E2249="FUTURE",VLOOKUP(MID(I2249,2,2),[1]Futures!$A$2:$B$12,2),1),G2249*M2249*IF(E2249="FUTURE",VLOOKUP(MID(I2249,2,2),[1]Futures!$A$2:$B$12,2),1)))</f>
        <v>326800</v>
      </c>
      <c r="R2249" s="12">
        <f>IFERROR(Q2249/P2249/IF(E2249="FUTURE",VLOOKUP(MID(I2249,2,2),[1]Futures!$A$2:$B$12,2),1),"")</f>
        <v>3268</v>
      </c>
      <c r="S2249" s="13" t="str">
        <f>IF(AND(H2249="TO CLOSE",P2249=0),-G2249*(M2249-R2248)*IF(E2249="FUTURE",VLOOKUP(MID(I2249,2,2),[1]Futures!$A$2:$B$12,2),1),"")</f>
        <v/>
      </c>
    </row>
    <row r="2250" spans="1:19" x14ac:dyDescent="0.2">
      <c r="A2250">
        <f t="shared" si="107"/>
        <v>744</v>
      </c>
      <c r="B2250" s="3">
        <v>44035</v>
      </c>
      <c r="C2250" s="3" t="str">
        <f t="shared" si="106"/>
        <v>Thursday</v>
      </c>
      <c r="D2250" s="2">
        <v>0.51863425925925932</v>
      </c>
      <c r="E2250" t="s">
        <v>14</v>
      </c>
      <c r="F2250" t="s">
        <v>15</v>
      </c>
      <c r="G2250">
        <v>-2</v>
      </c>
      <c r="H2250" t="s">
        <v>16</v>
      </c>
      <c r="I2250" t="s">
        <v>79</v>
      </c>
      <c r="J2250" s="1">
        <v>44094</v>
      </c>
      <c r="L2250" t="s">
        <v>14</v>
      </c>
      <c r="M2250">
        <v>3254</v>
      </c>
      <c r="N2250">
        <v>3254</v>
      </c>
      <c r="O2250" t="s">
        <v>18</v>
      </c>
      <c r="P2250">
        <f t="shared" si="108"/>
        <v>0</v>
      </c>
      <c r="Q2250" s="11">
        <f>IF(P2250=0,0,IFERROR(Q2249+G2250*M2250*IF(E2250="FUTURE",VLOOKUP(MID(I2250,2,2),[1]Futures!$A$2:$B$12,2),1),G2250*M2250*IF(E2250="FUTURE",VLOOKUP(MID(I2250,2,2),[1]Futures!$A$2:$B$12,2),1)))</f>
        <v>0</v>
      </c>
      <c r="R2250" s="12" t="str">
        <f>IFERROR(Q2250/P2250/IF(E2250="FUTURE",VLOOKUP(MID(I2250,2,2),[1]Futures!$A$2:$B$12,2),1),"")</f>
        <v/>
      </c>
      <c r="S2250" s="13">
        <f>IF(AND(H2250="TO CLOSE",P2250=0),-G2250*(M2250-R2249)*IF(E2250="FUTURE",VLOOKUP(MID(I2250,2,2),[1]Futures!$A$2:$B$12,2),1),"")</f>
        <v>-1400</v>
      </c>
    </row>
    <row r="2251" spans="1:19" x14ac:dyDescent="0.2">
      <c r="A2251">
        <f t="shared" si="107"/>
        <v>745</v>
      </c>
      <c r="B2251" s="3">
        <v>44035</v>
      </c>
      <c r="C2251" s="3" t="str">
        <f t="shared" si="106"/>
        <v>Thursday</v>
      </c>
      <c r="D2251" s="2">
        <v>0.5210069444444444</v>
      </c>
      <c r="E2251" t="s">
        <v>14</v>
      </c>
      <c r="F2251" t="s">
        <v>19</v>
      </c>
      <c r="G2251">
        <v>2</v>
      </c>
      <c r="H2251" t="s">
        <v>20</v>
      </c>
      <c r="I2251" t="s">
        <v>79</v>
      </c>
      <c r="J2251" s="1">
        <v>44094</v>
      </c>
      <c r="L2251" t="s">
        <v>14</v>
      </c>
      <c r="M2251">
        <v>3257.25</v>
      </c>
      <c r="N2251">
        <v>3257.25</v>
      </c>
      <c r="O2251" t="s">
        <v>24</v>
      </c>
      <c r="P2251">
        <f t="shared" si="108"/>
        <v>2</v>
      </c>
      <c r="Q2251" s="11">
        <f>IF(P2251=0,0,IFERROR(Q2250+G2251*M2251*IF(E2251="FUTURE",VLOOKUP(MID(I2251,2,2),[1]Futures!$A$2:$B$12,2),1),G2251*M2251*IF(E2251="FUTURE",VLOOKUP(MID(I2251,2,2),[1]Futures!$A$2:$B$12,2),1)))</f>
        <v>325725</v>
      </c>
      <c r="R2251" s="12">
        <f>IFERROR(Q2251/P2251/IF(E2251="FUTURE",VLOOKUP(MID(I2251,2,2),[1]Futures!$A$2:$B$12,2),1),"")</f>
        <v>3257.25</v>
      </c>
      <c r="S2251" s="13" t="str">
        <f>IF(AND(H2251="TO CLOSE",P2251=0),-G2251*(M2251-R2250)*IF(E2251="FUTURE",VLOOKUP(MID(I2251,2,2),[1]Futures!$A$2:$B$12,2),1),"")</f>
        <v/>
      </c>
    </row>
    <row r="2252" spans="1:19" x14ac:dyDescent="0.2">
      <c r="A2252">
        <f t="shared" si="107"/>
        <v>745</v>
      </c>
      <c r="B2252" s="3">
        <v>44035</v>
      </c>
      <c r="C2252" s="3" t="str">
        <f t="shared" si="106"/>
        <v>Thursday</v>
      </c>
      <c r="D2252" s="2">
        <v>0.56805555555555554</v>
      </c>
      <c r="E2252" t="s">
        <v>14</v>
      </c>
      <c r="F2252" t="s">
        <v>15</v>
      </c>
      <c r="G2252">
        <v>-2</v>
      </c>
      <c r="H2252" t="s">
        <v>16</v>
      </c>
      <c r="I2252" t="s">
        <v>79</v>
      </c>
      <c r="J2252" s="1">
        <v>44094</v>
      </c>
      <c r="L2252" t="s">
        <v>14</v>
      </c>
      <c r="M2252">
        <v>3242.5</v>
      </c>
      <c r="N2252">
        <v>3242.5</v>
      </c>
      <c r="O2252" t="s">
        <v>18</v>
      </c>
      <c r="P2252">
        <f t="shared" si="108"/>
        <v>0</v>
      </c>
      <c r="Q2252" s="11">
        <f>IF(P2252=0,0,IFERROR(Q2251+G2252*M2252*IF(E2252="FUTURE",VLOOKUP(MID(I2252,2,2),[1]Futures!$A$2:$B$12,2),1),G2252*M2252*IF(E2252="FUTURE",VLOOKUP(MID(I2252,2,2),[1]Futures!$A$2:$B$12,2),1)))</f>
        <v>0</v>
      </c>
      <c r="R2252" s="12" t="str">
        <f>IFERROR(Q2252/P2252/IF(E2252="FUTURE",VLOOKUP(MID(I2252,2,2),[1]Futures!$A$2:$B$12,2),1),"")</f>
        <v/>
      </c>
      <c r="S2252" s="13">
        <f>IF(AND(H2252="TO CLOSE",P2252=0),-G2252*(M2252-R2251)*IF(E2252="FUTURE",VLOOKUP(MID(I2252,2,2),[1]Futures!$A$2:$B$12,2),1),"")</f>
        <v>-1475</v>
      </c>
    </row>
    <row r="2253" spans="1:19" x14ac:dyDescent="0.2">
      <c r="A2253">
        <f t="shared" si="107"/>
        <v>746</v>
      </c>
      <c r="B2253" s="3">
        <v>44035</v>
      </c>
      <c r="C2253" s="3" t="str">
        <f t="shared" si="106"/>
        <v>Thursday</v>
      </c>
      <c r="D2253" s="2">
        <v>0.57174768518518515</v>
      </c>
      <c r="E2253" t="s">
        <v>14</v>
      </c>
      <c r="F2253" t="s">
        <v>15</v>
      </c>
      <c r="G2253">
        <v>-2</v>
      </c>
      <c r="H2253" t="s">
        <v>20</v>
      </c>
      <c r="I2253" t="s">
        <v>79</v>
      </c>
      <c r="J2253" s="1">
        <v>44094</v>
      </c>
      <c r="L2253" t="s">
        <v>14</v>
      </c>
      <c r="M2253">
        <v>3236.25</v>
      </c>
      <c r="N2253">
        <v>3236.25</v>
      </c>
      <c r="O2253" t="s">
        <v>24</v>
      </c>
      <c r="P2253">
        <f t="shared" si="108"/>
        <v>-2</v>
      </c>
      <c r="Q2253" s="11">
        <f>IF(P2253=0,0,IFERROR(Q2252+G2253*M2253*IF(E2253="FUTURE",VLOOKUP(MID(I2253,2,2),[1]Futures!$A$2:$B$12,2),1),G2253*M2253*IF(E2253="FUTURE",VLOOKUP(MID(I2253,2,2),[1]Futures!$A$2:$B$12,2),1)))</f>
        <v>-323625</v>
      </c>
      <c r="R2253" s="12">
        <f>IFERROR(Q2253/P2253/IF(E2253="FUTURE",VLOOKUP(MID(I2253,2,2),[1]Futures!$A$2:$B$12,2),1),"")</f>
        <v>3236.25</v>
      </c>
      <c r="S2253" s="13" t="str">
        <f>IF(AND(H2253="TO CLOSE",P2253=0),-G2253*(M2253-R2252)*IF(E2253="FUTURE",VLOOKUP(MID(I2253,2,2),[1]Futures!$A$2:$B$12,2),1),"")</f>
        <v/>
      </c>
    </row>
    <row r="2254" spans="1:19" x14ac:dyDescent="0.2">
      <c r="A2254">
        <f t="shared" si="107"/>
        <v>746</v>
      </c>
      <c r="B2254" s="3">
        <v>44035</v>
      </c>
      <c r="C2254" s="3" t="str">
        <f t="shared" si="106"/>
        <v>Thursday</v>
      </c>
      <c r="D2254" s="2">
        <v>0.57589120370370372</v>
      </c>
      <c r="E2254" t="s">
        <v>14</v>
      </c>
      <c r="F2254" t="s">
        <v>19</v>
      </c>
      <c r="G2254">
        <v>2</v>
      </c>
      <c r="H2254" t="s">
        <v>16</v>
      </c>
      <c r="I2254" t="s">
        <v>79</v>
      </c>
      <c r="J2254" s="1">
        <v>44094</v>
      </c>
      <c r="L2254" t="s">
        <v>14</v>
      </c>
      <c r="M2254">
        <v>3233.5</v>
      </c>
      <c r="N2254">
        <v>3233.5</v>
      </c>
      <c r="O2254" t="s">
        <v>21</v>
      </c>
      <c r="P2254">
        <f t="shared" si="108"/>
        <v>0</v>
      </c>
      <c r="Q2254" s="11">
        <f>IF(P2254=0,0,IFERROR(Q2253+G2254*M2254*IF(E2254="FUTURE",VLOOKUP(MID(I2254,2,2),[1]Futures!$A$2:$B$12,2),1),G2254*M2254*IF(E2254="FUTURE",VLOOKUP(MID(I2254,2,2),[1]Futures!$A$2:$B$12,2),1)))</f>
        <v>0</v>
      </c>
      <c r="R2254" s="12" t="str">
        <f>IFERROR(Q2254/P2254/IF(E2254="FUTURE",VLOOKUP(MID(I2254,2,2),[1]Futures!$A$2:$B$12,2),1),"")</f>
        <v/>
      </c>
      <c r="S2254" s="13">
        <f>IF(AND(H2254="TO CLOSE",P2254=0),-G2254*(M2254-R2253)*IF(E2254="FUTURE",VLOOKUP(MID(I2254,2,2),[1]Futures!$A$2:$B$12,2),1),"")</f>
        <v>275</v>
      </c>
    </row>
    <row r="2255" spans="1:19" x14ac:dyDescent="0.2">
      <c r="A2255">
        <f t="shared" si="107"/>
        <v>747</v>
      </c>
      <c r="B2255" s="3">
        <v>44035</v>
      </c>
      <c r="C2255" s="3" t="str">
        <f t="shared" si="106"/>
        <v>Thursday</v>
      </c>
      <c r="D2255" s="2">
        <v>0.57733796296296302</v>
      </c>
      <c r="E2255" t="s">
        <v>14</v>
      </c>
      <c r="F2255" t="s">
        <v>19</v>
      </c>
      <c r="G2255">
        <v>2</v>
      </c>
      <c r="H2255" t="s">
        <v>20</v>
      </c>
      <c r="I2255" t="s">
        <v>79</v>
      </c>
      <c r="J2255" s="1">
        <v>44094</v>
      </c>
      <c r="L2255" t="s">
        <v>14</v>
      </c>
      <c r="M2255">
        <v>3235.75</v>
      </c>
      <c r="N2255">
        <v>3235.75</v>
      </c>
      <c r="O2255" t="s">
        <v>24</v>
      </c>
      <c r="P2255">
        <f t="shared" si="108"/>
        <v>2</v>
      </c>
      <c r="Q2255" s="11">
        <f>IF(P2255=0,0,IFERROR(Q2254+G2255*M2255*IF(E2255="FUTURE",VLOOKUP(MID(I2255,2,2),[1]Futures!$A$2:$B$12,2),1),G2255*M2255*IF(E2255="FUTURE",VLOOKUP(MID(I2255,2,2),[1]Futures!$A$2:$B$12,2),1)))</f>
        <v>323575</v>
      </c>
      <c r="R2255" s="12">
        <f>IFERROR(Q2255/P2255/IF(E2255="FUTURE",VLOOKUP(MID(I2255,2,2),[1]Futures!$A$2:$B$12,2),1),"")</f>
        <v>3235.75</v>
      </c>
      <c r="S2255" s="13" t="str">
        <f>IF(AND(H2255="TO CLOSE",P2255=0),-G2255*(M2255-R2254)*IF(E2255="FUTURE",VLOOKUP(MID(I2255,2,2),[1]Futures!$A$2:$B$12,2),1),"")</f>
        <v/>
      </c>
    </row>
    <row r="2256" spans="1:19" x14ac:dyDescent="0.2">
      <c r="A2256">
        <f t="shared" si="107"/>
        <v>747</v>
      </c>
      <c r="B2256" s="3">
        <v>44035</v>
      </c>
      <c r="C2256" s="3" t="str">
        <f t="shared" si="106"/>
        <v>Thursday</v>
      </c>
      <c r="D2256" s="2">
        <v>0.59479166666666672</v>
      </c>
      <c r="E2256" t="s">
        <v>14</v>
      </c>
      <c r="F2256" t="s">
        <v>15</v>
      </c>
      <c r="G2256">
        <v>-2</v>
      </c>
      <c r="H2256" t="s">
        <v>16</v>
      </c>
      <c r="I2256" t="s">
        <v>79</v>
      </c>
      <c r="J2256" s="1">
        <v>44094</v>
      </c>
      <c r="L2256" t="s">
        <v>14</v>
      </c>
      <c r="M2256">
        <v>3217</v>
      </c>
      <c r="N2256">
        <v>3217</v>
      </c>
      <c r="O2256" t="s">
        <v>18</v>
      </c>
      <c r="P2256">
        <f t="shared" si="108"/>
        <v>0</v>
      </c>
      <c r="Q2256" s="11">
        <f>IF(P2256=0,0,IFERROR(Q2255+G2256*M2256*IF(E2256="FUTURE",VLOOKUP(MID(I2256,2,2),[1]Futures!$A$2:$B$12,2),1),G2256*M2256*IF(E2256="FUTURE",VLOOKUP(MID(I2256,2,2),[1]Futures!$A$2:$B$12,2),1)))</f>
        <v>0</v>
      </c>
      <c r="R2256" s="12" t="str">
        <f>IFERROR(Q2256/P2256/IF(E2256="FUTURE",VLOOKUP(MID(I2256,2,2),[1]Futures!$A$2:$B$12,2),1),"")</f>
        <v/>
      </c>
      <c r="S2256" s="13">
        <f>IF(AND(H2256="TO CLOSE",P2256=0),-G2256*(M2256-R2255)*IF(E2256="FUTURE",VLOOKUP(MID(I2256,2,2),[1]Futures!$A$2:$B$12,2),1),"")</f>
        <v>-1875</v>
      </c>
    </row>
    <row r="2257" spans="1:19" x14ac:dyDescent="0.2">
      <c r="A2257">
        <f t="shared" si="107"/>
        <v>748</v>
      </c>
      <c r="B2257" s="3">
        <v>44035</v>
      </c>
      <c r="C2257" s="3" t="str">
        <f t="shared" si="106"/>
        <v>Thursday</v>
      </c>
      <c r="D2257" s="2">
        <v>0.59920138888888885</v>
      </c>
      <c r="E2257" t="s">
        <v>14</v>
      </c>
      <c r="F2257" t="s">
        <v>19</v>
      </c>
      <c r="G2257">
        <v>1</v>
      </c>
      <c r="H2257" t="s">
        <v>20</v>
      </c>
      <c r="I2257" t="s">
        <v>79</v>
      </c>
      <c r="J2257" s="1">
        <v>44094</v>
      </c>
      <c r="L2257" t="s">
        <v>14</v>
      </c>
      <c r="M2257">
        <v>3222.5</v>
      </c>
      <c r="N2257">
        <v>3222.5</v>
      </c>
      <c r="O2257" t="s">
        <v>24</v>
      </c>
      <c r="P2257">
        <f t="shared" si="108"/>
        <v>1</v>
      </c>
      <c r="Q2257" s="11">
        <f>IF(P2257=0,0,IFERROR(Q2256+G2257*M2257*IF(E2257="FUTURE",VLOOKUP(MID(I2257,2,2),[1]Futures!$A$2:$B$12,2),1),G2257*M2257*IF(E2257="FUTURE",VLOOKUP(MID(I2257,2,2),[1]Futures!$A$2:$B$12,2),1)))</f>
        <v>161125</v>
      </c>
      <c r="R2257" s="12">
        <f>IFERROR(Q2257/P2257/IF(E2257="FUTURE",VLOOKUP(MID(I2257,2,2),[1]Futures!$A$2:$B$12,2),1),"")</f>
        <v>3222.5</v>
      </c>
      <c r="S2257" s="13" t="str">
        <f>IF(AND(H2257="TO CLOSE",P2257=0),-G2257*(M2257-R2256)*IF(E2257="FUTURE",VLOOKUP(MID(I2257,2,2),[1]Futures!$A$2:$B$12,2),1),"")</f>
        <v/>
      </c>
    </row>
    <row r="2258" spans="1:19" x14ac:dyDescent="0.2">
      <c r="A2258">
        <f t="shared" si="107"/>
        <v>748</v>
      </c>
      <c r="B2258" s="3">
        <v>44035</v>
      </c>
      <c r="C2258" s="3" t="str">
        <f t="shared" si="106"/>
        <v>Thursday</v>
      </c>
      <c r="D2258" s="2">
        <v>0.59987268518518522</v>
      </c>
      <c r="E2258" t="s">
        <v>14</v>
      </c>
      <c r="F2258" t="s">
        <v>15</v>
      </c>
      <c r="G2258">
        <v>-1</v>
      </c>
      <c r="H2258" t="s">
        <v>16</v>
      </c>
      <c r="I2258" t="s">
        <v>79</v>
      </c>
      <c r="J2258" s="1">
        <v>44094</v>
      </c>
      <c r="L2258" t="s">
        <v>14</v>
      </c>
      <c r="M2258">
        <v>3223.5</v>
      </c>
      <c r="N2258">
        <v>3223.5</v>
      </c>
      <c r="O2258" t="s">
        <v>21</v>
      </c>
      <c r="P2258">
        <f t="shared" si="108"/>
        <v>0</v>
      </c>
      <c r="Q2258" s="11">
        <f>IF(P2258=0,0,IFERROR(Q2257+G2258*M2258*IF(E2258="FUTURE",VLOOKUP(MID(I2258,2,2),[1]Futures!$A$2:$B$12,2),1),G2258*M2258*IF(E2258="FUTURE",VLOOKUP(MID(I2258,2,2),[1]Futures!$A$2:$B$12,2),1)))</f>
        <v>0</v>
      </c>
      <c r="R2258" s="12" t="str">
        <f>IFERROR(Q2258/P2258/IF(E2258="FUTURE",VLOOKUP(MID(I2258,2,2),[1]Futures!$A$2:$B$12,2),1),"")</f>
        <v/>
      </c>
      <c r="S2258" s="13">
        <f>IF(AND(H2258="TO CLOSE",P2258=0),-G2258*(M2258-R2257)*IF(E2258="FUTURE",VLOOKUP(MID(I2258,2,2),[1]Futures!$A$2:$B$12,2),1),"")</f>
        <v>50</v>
      </c>
    </row>
    <row r="2259" spans="1:19" x14ac:dyDescent="0.2">
      <c r="A2259">
        <f t="shared" si="107"/>
        <v>749</v>
      </c>
      <c r="B2259" s="3">
        <v>44035</v>
      </c>
      <c r="C2259" s="3" t="str">
        <f t="shared" si="106"/>
        <v>Thursday</v>
      </c>
      <c r="D2259" s="2">
        <v>0.60281249999999997</v>
      </c>
      <c r="E2259" t="s">
        <v>14</v>
      </c>
      <c r="F2259" t="s">
        <v>19</v>
      </c>
      <c r="G2259">
        <v>1</v>
      </c>
      <c r="H2259" t="s">
        <v>20</v>
      </c>
      <c r="I2259" t="s">
        <v>79</v>
      </c>
      <c r="J2259" s="1">
        <v>44094</v>
      </c>
      <c r="L2259" t="s">
        <v>14</v>
      </c>
      <c r="M2259">
        <v>3225.75</v>
      </c>
      <c r="N2259">
        <v>3225.75</v>
      </c>
      <c r="O2259" t="s">
        <v>24</v>
      </c>
      <c r="P2259">
        <f t="shared" si="108"/>
        <v>1</v>
      </c>
      <c r="Q2259" s="11">
        <f>IF(P2259=0,0,IFERROR(Q2258+G2259*M2259*IF(E2259="FUTURE",VLOOKUP(MID(I2259,2,2),[1]Futures!$A$2:$B$12,2),1),G2259*M2259*IF(E2259="FUTURE",VLOOKUP(MID(I2259,2,2),[1]Futures!$A$2:$B$12,2),1)))</f>
        <v>161287.5</v>
      </c>
      <c r="R2259" s="12">
        <f>IFERROR(Q2259/P2259/IF(E2259="FUTURE",VLOOKUP(MID(I2259,2,2),[1]Futures!$A$2:$B$12,2),1),"")</f>
        <v>3225.75</v>
      </c>
      <c r="S2259" s="13" t="str">
        <f>IF(AND(H2259="TO CLOSE",P2259=0),-G2259*(M2259-R2258)*IF(E2259="FUTURE",VLOOKUP(MID(I2259,2,2),[1]Futures!$A$2:$B$12,2),1),"")</f>
        <v/>
      </c>
    </row>
    <row r="2260" spans="1:19" x14ac:dyDescent="0.2">
      <c r="A2260">
        <f t="shared" si="107"/>
        <v>749</v>
      </c>
      <c r="B2260" s="3">
        <v>44035</v>
      </c>
      <c r="C2260" s="3" t="str">
        <f t="shared" si="106"/>
        <v>Thursday</v>
      </c>
      <c r="D2260" s="2">
        <v>0.60457175925925932</v>
      </c>
      <c r="E2260" t="s">
        <v>14</v>
      </c>
      <c r="F2260" t="s">
        <v>19</v>
      </c>
      <c r="G2260">
        <v>1</v>
      </c>
      <c r="H2260" t="s">
        <v>20</v>
      </c>
      <c r="I2260" t="s">
        <v>79</v>
      </c>
      <c r="J2260" s="1">
        <v>44094</v>
      </c>
      <c r="L2260" t="s">
        <v>14</v>
      </c>
      <c r="M2260">
        <v>3226.75</v>
      </c>
      <c r="N2260">
        <v>3226.75</v>
      </c>
      <c r="O2260" t="s">
        <v>24</v>
      </c>
      <c r="P2260">
        <f t="shared" si="108"/>
        <v>2</v>
      </c>
      <c r="Q2260" s="11">
        <f>IF(P2260=0,0,IFERROR(Q2259+G2260*M2260*IF(E2260="FUTURE",VLOOKUP(MID(I2260,2,2),[1]Futures!$A$2:$B$12,2),1),G2260*M2260*IF(E2260="FUTURE",VLOOKUP(MID(I2260,2,2),[1]Futures!$A$2:$B$12,2),1)))</f>
        <v>322625</v>
      </c>
      <c r="R2260" s="12">
        <f>IFERROR(Q2260/P2260/IF(E2260="FUTURE",VLOOKUP(MID(I2260,2,2),[1]Futures!$A$2:$B$12,2),1),"")</f>
        <v>3226.25</v>
      </c>
      <c r="S2260" s="13" t="str">
        <f>IF(AND(H2260="TO CLOSE",P2260=0),-G2260*(M2260-R2259)*IF(E2260="FUTURE",VLOOKUP(MID(I2260,2,2),[1]Futures!$A$2:$B$12,2),1),"")</f>
        <v/>
      </c>
    </row>
    <row r="2261" spans="1:19" x14ac:dyDescent="0.2">
      <c r="A2261">
        <f t="shared" si="107"/>
        <v>749</v>
      </c>
      <c r="B2261" s="3">
        <v>44035</v>
      </c>
      <c r="C2261" s="3" t="str">
        <f t="shared" si="106"/>
        <v>Thursday</v>
      </c>
      <c r="D2261" s="2">
        <v>0.60901620370370368</v>
      </c>
      <c r="E2261" t="s">
        <v>14</v>
      </c>
      <c r="F2261" t="s">
        <v>15</v>
      </c>
      <c r="G2261">
        <v>-2</v>
      </c>
      <c r="H2261" t="s">
        <v>16</v>
      </c>
      <c r="I2261" t="s">
        <v>79</v>
      </c>
      <c r="J2261" s="1">
        <v>44094</v>
      </c>
      <c r="L2261" t="s">
        <v>14</v>
      </c>
      <c r="M2261">
        <v>3226.5</v>
      </c>
      <c r="N2261">
        <v>3226.5</v>
      </c>
      <c r="O2261" t="s">
        <v>18</v>
      </c>
      <c r="P2261">
        <f t="shared" si="108"/>
        <v>0</v>
      </c>
      <c r="Q2261" s="11">
        <f>IF(P2261=0,0,IFERROR(Q2260+G2261*M2261*IF(E2261="FUTURE",VLOOKUP(MID(I2261,2,2),[1]Futures!$A$2:$B$12,2),1),G2261*M2261*IF(E2261="FUTURE",VLOOKUP(MID(I2261,2,2),[1]Futures!$A$2:$B$12,2),1)))</f>
        <v>0</v>
      </c>
      <c r="R2261" s="12" t="str">
        <f>IFERROR(Q2261/P2261/IF(E2261="FUTURE",VLOOKUP(MID(I2261,2,2),[1]Futures!$A$2:$B$12,2),1),"")</f>
        <v/>
      </c>
      <c r="S2261" s="13">
        <f>IF(AND(H2261="TO CLOSE",P2261=0),-G2261*(M2261-R2260)*IF(E2261="FUTURE",VLOOKUP(MID(I2261,2,2),[1]Futures!$A$2:$B$12,2),1),"")</f>
        <v>25</v>
      </c>
    </row>
    <row r="2262" spans="1:19" x14ac:dyDescent="0.2">
      <c r="A2262">
        <f t="shared" si="107"/>
        <v>750</v>
      </c>
      <c r="B2262" s="3">
        <v>44035</v>
      </c>
      <c r="C2262" s="3" t="str">
        <f t="shared" si="106"/>
        <v>Thursday</v>
      </c>
      <c r="D2262" s="2">
        <v>0.60957175925925922</v>
      </c>
      <c r="E2262" t="s">
        <v>14</v>
      </c>
      <c r="F2262" t="s">
        <v>19</v>
      </c>
      <c r="G2262">
        <v>2</v>
      </c>
      <c r="H2262" t="s">
        <v>20</v>
      </c>
      <c r="I2262" t="s">
        <v>79</v>
      </c>
      <c r="J2262" s="1">
        <v>44094</v>
      </c>
      <c r="L2262" t="s">
        <v>14</v>
      </c>
      <c r="M2262">
        <v>3225.5</v>
      </c>
      <c r="N2262">
        <v>3225.5</v>
      </c>
      <c r="O2262" t="s">
        <v>24</v>
      </c>
      <c r="P2262">
        <f t="shared" si="108"/>
        <v>2</v>
      </c>
      <c r="Q2262" s="11">
        <f>IF(P2262=0,0,IFERROR(Q2261+G2262*M2262*IF(E2262="FUTURE",VLOOKUP(MID(I2262,2,2),[1]Futures!$A$2:$B$12,2),1),G2262*M2262*IF(E2262="FUTURE",VLOOKUP(MID(I2262,2,2),[1]Futures!$A$2:$B$12,2),1)))</f>
        <v>322550</v>
      </c>
      <c r="R2262" s="12">
        <f>IFERROR(Q2262/P2262/IF(E2262="FUTURE",VLOOKUP(MID(I2262,2,2),[1]Futures!$A$2:$B$12,2),1),"")</f>
        <v>3225.5</v>
      </c>
      <c r="S2262" s="13" t="str">
        <f>IF(AND(H2262="TO CLOSE",P2262=0),-G2262*(M2262-R2261)*IF(E2262="FUTURE",VLOOKUP(MID(I2262,2,2),[1]Futures!$A$2:$B$12,2),1),"")</f>
        <v/>
      </c>
    </row>
    <row r="2263" spans="1:19" x14ac:dyDescent="0.2">
      <c r="A2263">
        <f t="shared" si="107"/>
        <v>750</v>
      </c>
      <c r="B2263" s="3">
        <v>44035</v>
      </c>
      <c r="C2263" s="3" t="str">
        <f t="shared" si="106"/>
        <v>Thursday</v>
      </c>
      <c r="D2263" s="2">
        <v>0.62069444444444444</v>
      </c>
      <c r="E2263" t="s">
        <v>14</v>
      </c>
      <c r="F2263" t="s">
        <v>15</v>
      </c>
      <c r="G2263">
        <v>-1</v>
      </c>
      <c r="H2263" t="s">
        <v>16</v>
      </c>
      <c r="I2263" t="s">
        <v>79</v>
      </c>
      <c r="J2263" s="1">
        <v>44094</v>
      </c>
      <c r="L2263" t="s">
        <v>14</v>
      </c>
      <c r="M2263">
        <v>3231</v>
      </c>
      <c r="N2263">
        <v>3231</v>
      </c>
      <c r="O2263" t="s">
        <v>21</v>
      </c>
      <c r="P2263">
        <f t="shared" si="108"/>
        <v>1</v>
      </c>
      <c r="Q2263" s="11">
        <f>IF(P2263=0,0,IFERROR(Q2262+G2263*M2263*IF(E2263="FUTURE",VLOOKUP(MID(I2263,2,2),[1]Futures!$A$2:$B$12,2),1),G2263*M2263*IF(E2263="FUTURE",VLOOKUP(MID(I2263,2,2),[1]Futures!$A$2:$B$12,2),1)))</f>
        <v>161000</v>
      </c>
      <c r="R2263" s="12">
        <f>IFERROR(Q2263/P2263/IF(E2263="FUTURE",VLOOKUP(MID(I2263,2,2),[1]Futures!$A$2:$B$12,2),1),"")</f>
        <v>3220</v>
      </c>
      <c r="S2263" s="13" t="str">
        <f>IF(AND(H2263="TO CLOSE",P2263=0),-G2263*(M2263-R2262)*IF(E2263="FUTURE",VLOOKUP(MID(I2263,2,2),[1]Futures!$A$2:$B$12,2),1),"")</f>
        <v/>
      </c>
    </row>
    <row r="2264" spans="1:19" x14ac:dyDescent="0.2">
      <c r="A2264">
        <f t="shared" si="107"/>
        <v>750</v>
      </c>
      <c r="B2264" s="3">
        <v>44035</v>
      </c>
      <c r="C2264" s="3" t="str">
        <f t="shared" si="106"/>
        <v>Thursday</v>
      </c>
      <c r="D2264" s="2">
        <v>0.62298611111111113</v>
      </c>
      <c r="E2264" t="s">
        <v>14</v>
      </c>
      <c r="F2264" t="s">
        <v>19</v>
      </c>
      <c r="G2264">
        <v>1</v>
      </c>
      <c r="H2264" t="s">
        <v>20</v>
      </c>
      <c r="I2264" t="s">
        <v>79</v>
      </c>
      <c r="J2264" s="1">
        <v>44094</v>
      </c>
      <c r="L2264" t="s">
        <v>14</v>
      </c>
      <c r="M2264">
        <v>3227.5</v>
      </c>
      <c r="N2264">
        <v>3227.5</v>
      </c>
      <c r="O2264" t="s">
        <v>24</v>
      </c>
      <c r="P2264">
        <f t="shared" si="108"/>
        <v>2</v>
      </c>
      <c r="Q2264" s="11">
        <f>IF(P2264=0,0,IFERROR(Q2263+G2264*M2264*IF(E2264="FUTURE",VLOOKUP(MID(I2264,2,2),[1]Futures!$A$2:$B$12,2),1),G2264*M2264*IF(E2264="FUTURE",VLOOKUP(MID(I2264,2,2),[1]Futures!$A$2:$B$12,2),1)))</f>
        <v>322375</v>
      </c>
      <c r="R2264" s="12">
        <f>IFERROR(Q2264/P2264/IF(E2264="FUTURE",VLOOKUP(MID(I2264,2,2),[1]Futures!$A$2:$B$12,2),1),"")</f>
        <v>3223.75</v>
      </c>
      <c r="S2264" s="13" t="str">
        <f>IF(AND(H2264="TO CLOSE",P2264=0),-G2264*(M2264-R2263)*IF(E2264="FUTURE",VLOOKUP(MID(I2264,2,2),[1]Futures!$A$2:$B$12,2),1),"")</f>
        <v/>
      </c>
    </row>
    <row r="2265" spans="1:19" x14ac:dyDescent="0.2">
      <c r="A2265">
        <f t="shared" si="107"/>
        <v>750</v>
      </c>
      <c r="B2265" s="3">
        <v>44035</v>
      </c>
      <c r="C2265" s="3" t="str">
        <f t="shared" si="106"/>
        <v>Thursday</v>
      </c>
      <c r="D2265" s="2">
        <v>0.62506944444444446</v>
      </c>
      <c r="E2265" t="s">
        <v>14</v>
      </c>
      <c r="F2265" t="s">
        <v>15</v>
      </c>
      <c r="G2265">
        <v>-1</v>
      </c>
      <c r="H2265" t="s">
        <v>16</v>
      </c>
      <c r="I2265" t="s">
        <v>79</v>
      </c>
      <c r="J2265" s="1">
        <v>44094</v>
      </c>
      <c r="L2265" t="s">
        <v>14</v>
      </c>
      <c r="M2265">
        <v>3231</v>
      </c>
      <c r="N2265">
        <v>3231</v>
      </c>
      <c r="O2265" t="s">
        <v>21</v>
      </c>
      <c r="P2265">
        <f t="shared" si="108"/>
        <v>1</v>
      </c>
      <c r="Q2265" s="11">
        <f>IF(P2265=0,0,IFERROR(Q2264+G2265*M2265*IF(E2265="FUTURE",VLOOKUP(MID(I2265,2,2),[1]Futures!$A$2:$B$12,2),1),G2265*M2265*IF(E2265="FUTURE",VLOOKUP(MID(I2265,2,2),[1]Futures!$A$2:$B$12,2),1)))</f>
        <v>160825</v>
      </c>
      <c r="R2265" s="12">
        <f>IFERROR(Q2265/P2265/IF(E2265="FUTURE",VLOOKUP(MID(I2265,2,2),[1]Futures!$A$2:$B$12,2),1),"")</f>
        <v>3216.5</v>
      </c>
      <c r="S2265" s="13" t="str">
        <f>IF(AND(H2265="TO CLOSE",P2265=0),-G2265*(M2265-R2264)*IF(E2265="FUTURE",VLOOKUP(MID(I2265,2,2),[1]Futures!$A$2:$B$12,2),1),"")</f>
        <v/>
      </c>
    </row>
    <row r="2266" spans="1:19" x14ac:dyDescent="0.2">
      <c r="A2266">
        <f t="shared" si="107"/>
        <v>750</v>
      </c>
      <c r="B2266" s="3">
        <v>44035</v>
      </c>
      <c r="C2266" s="3" t="str">
        <f t="shared" si="106"/>
        <v>Thursday</v>
      </c>
      <c r="D2266" s="2">
        <v>0.63225694444444447</v>
      </c>
      <c r="E2266" t="s">
        <v>14</v>
      </c>
      <c r="F2266" t="s">
        <v>19</v>
      </c>
      <c r="G2266">
        <v>1</v>
      </c>
      <c r="H2266" t="s">
        <v>20</v>
      </c>
      <c r="I2266" t="s">
        <v>79</v>
      </c>
      <c r="J2266" s="1">
        <v>44094</v>
      </c>
      <c r="L2266" t="s">
        <v>14</v>
      </c>
      <c r="M2266">
        <v>3225.5</v>
      </c>
      <c r="N2266">
        <v>3225.5</v>
      </c>
      <c r="O2266" t="s">
        <v>24</v>
      </c>
      <c r="P2266">
        <f t="shared" si="108"/>
        <v>2</v>
      </c>
      <c r="Q2266" s="11">
        <f>IF(P2266=0,0,IFERROR(Q2265+G2266*M2266*IF(E2266="FUTURE",VLOOKUP(MID(I2266,2,2),[1]Futures!$A$2:$B$12,2),1),G2266*M2266*IF(E2266="FUTURE",VLOOKUP(MID(I2266,2,2),[1]Futures!$A$2:$B$12,2),1)))</f>
        <v>322100</v>
      </c>
      <c r="R2266" s="12">
        <f>IFERROR(Q2266/P2266/IF(E2266="FUTURE",VLOOKUP(MID(I2266,2,2),[1]Futures!$A$2:$B$12,2),1),"")</f>
        <v>3221</v>
      </c>
      <c r="S2266" s="13" t="str">
        <f>IF(AND(H2266="TO CLOSE",P2266=0),-G2266*(M2266-R2265)*IF(E2266="FUTURE",VLOOKUP(MID(I2266,2,2),[1]Futures!$A$2:$B$12,2),1),"")</f>
        <v/>
      </c>
    </row>
    <row r="2267" spans="1:19" x14ac:dyDescent="0.2">
      <c r="A2267">
        <f t="shared" si="107"/>
        <v>750</v>
      </c>
      <c r="B2267" s="3">
        <v>44035</v>
      </c>
      <c r="C2267" s="3" t="str">
        <f t="shared" si="106"/>
        <v>Thursday</v>
      </c>
      <c r="D2267" s="2">
        <v>0.63655092592592599</v>
      </c>
      <c r="E2267" t="s">
        <v>14</v>
      </c>
      <c r="F2267" t="s">
        <v>15</v>
      </c>
      <c r="G2267">
        <v>-1</v>
      </c>
      <c r="H2267" t="s">
        <v>16</v>
      </c>
      <c r="I2267" t="s">
        <v>79</v>
      </c>
      <c r="J2267" s="1">
        <v>44094</v>
      </c>
      <c r="L2267" t="s">
        <v>14</v>
      </c>
      <c r="M2267">
        <v>3228</v>
      </c>
      <c r="N2267">
        <v>3228</v>
      </c>
      <c r="O2267" t="s">
        <v>21</v>
      </c>
      <c r="P2267">
        <f t="shared" si="108"/>
        <v>1</v>
      </c>
      <c r="Q2267" s="11">
        <f>IF(P2267=0,0,IFERROR(Q2266+G2267*M2267*IF(E2267="FUTURE",VLOOKUP(MID(I2267,2,2),[1]Futures!$A$2:$B$12,2),1),G2267*M2267*IF(E2267="FUTURE",VLOOKUP(MID(I2267,2,2),[1]Futures!$A$2:$B$12,2),1)))</f>
        <v>160700</v>
      </c>
      <c r="R2267" s="12">
        <f>IFERROR(Q2267/P2267/IF(E2267="FUTURE",VLOOKUP(MID(I2267,2,2),[1]Futures!$A$2:$B$12,2),1),"")</f>
        <v>3214</v>
      </c>
      <c r="S2267" s="13" t="str">
        <f>IF(AND(H2267="TO CLOSE",P2267=0),-G2267*(M2267-R2266)*IF(E2267="FUTURE",VLOOKUP(MID(I2267,2,2),[1]Futures!$A$2:$B$12,2),1),"")</f>
        <v/>
      </c>
    </row>
    <row r="2268" spans="1:19" x14ac:dyDescent="0.2">
      <c r="A2268">
        <f t="shared" si="107"/>
        <v>750</v>
      </c>
      <c r="B2268" s="3">
        <v>44035</v>
      </c>
      <c r="C2268" s="3" t="str">
        <f t="shared" si="106"/>
        <v>Thursday</v>
      </c>
      <c r="D2268" s="2">
        <v>0.63805555555555549</v>
      </c>
      <c r="E2268" t="s">
        <v>14</v>
      </c>
      <c r="F2268" t="s">
        <v>15</v>
      </c>
      <c r="G2268">
        <v>-1</v>
      </c>
      <c r="H2268" t="s">
        <v>16</v>
      </c>
      <c r="I2268" t="s">
        <v>79</v>
      </c>
      <c r="J2268" s="1">
        <v>44094</v>
      </c>
      <c r="L2268" t="s">
        <v>14</v>
      </c>
      <c r="M2268">
        <v>3228.5</v>
      </c>
      <c r="N2268">
        <v>3228.5</v>
      </c>
      <c r="O2268" t="s">
        <v>21</v>
      </c>
      <c r="P2268">
        <f t="shared" si="108"/>
        <v>0</v>
      </c>
      <c r="Q2268" s="11">
        <f>IF(P2268=0,0,IFERROR(Q2267+G2268*M2268*IF(E2268="FUTURE",VLOOKUP(MID(I2268,2,2),[1]Futures!$A$2:$B$12,2),1),G2268*M2268*IF(E2268="FUTURE",VLOOKUP(MID(I2268,2,2),[1]Futures!$A$2:$B$12,2),1)))</f>
        <v>0</v>
      </c>
      <c r="R2268" s="12" t="str">
        <f>IFERROR(Q2268/P2268/IF(E2268="FUTURE",VLOOKUP(MID(I2268,2,2),[1]Futures!$A$2:$B$12,2),1),"")</f>
        <v/>
      </c>
      <c r="S2268" s="13">
        <f>IF(AND(H2268="TO CLOSE",P2268=0),-G2268*(M2268-R2267)*IF(E2268="FUTURE",VLOOKUP(MID(I2268,2,2),[1]Futures!$A$2:$B$12,2),1),"")</f>
        <v>725</v>
      </c>
    </row>
    <row r="2269" spans="1:19" x14ac:dyDescent="0.2">
      <c r="A2269">
        <f t="shared" si="107"/>
        <v>751</v>
      </c>
      <c r="B2269" s="3">
        <v>44035</v>
      </c>
      <c r="C2269" s="3" t="str">
        <f t="shared" si="106"/>
        <v>Thursday</v>
      </c>
      <c r="D2269" s="2">
        <v>0.41906249999999995</v>
      </c>
      <c r="E2269" t="s">
        <v>22</v>
      </c>
      <c r="F2269" t="s">
        <v>15</v>
      </c>
      <c r="G2269">
        <v>-400</v>
      </c>
      <c r="H2269" t="s">
        <v>20</v>
      </c>
      <c r="I2269" t="s">
        <v>23</v>
      </c>
      <c r="L2269" t="s">
        <v>22</v>
      </c>
      <c r="M2269">
        <v>28.772400000000001</v>
      </c>
      <c r="N2269">
        <v>28.772400000000001</v>
      </c>
      <c r="O2269" t="s">
        <v>21</v>
      </c>
      <c r="P2269">
        <f t="shared" si="108"/>
        <v>-400</v>
      </c>
      <c r="Q2269" s="11">
        <f>IF(P2269=0,0,IFERROR(Q2268+G2269*M2269*IF(E2269="FUTURE",VLOOKUP(MID(I2269,2,2),[1]Futures!$A$2:$B$12,2),1),G2269*M2269*IF(E2269="FUTURE",VLOOKUP(MID(I2269,2,2),[1]Futures!$A$2:$B$12,2),1)))</f>
        <v>-11508.960000000001</v>
      </c>
      <c r="R2269" s="12">
        <f>IFERROR(Q2269/P2269/IF(E2269="FUTURE",VLOOKUP(MID(I2269,2,2),[1]Futures!$A$2:$B$12,2),1),"")</f>
        <v>28.772400000000001</v>
      </c>
      <c r="S2269" s="13" t="str">
        <f>IF(AND(H2269="TO CLOSE",P2269=0),-G2269*(M2269-R2268)*IF(E2269="FUTURE",VLOOKUP(MID(I2269,2,2),[1]Futures!$A$2:$B$12,2),1),"")</f>
        <v/>
      </c>
    </row>
    <row r="2270" spans="1:19" x14ac:dyDescent="0.2">
      <c r="A2270">
        <f t="shared" si="107"/>
        <v>751</v>
      </c>
      <c r="B2270" s="3">
        <v>44035</v>
      </c>
      <c r="C2270" s="3" t="str">
        <f t="shared" si="106"/>
        <v>Thursday</v>
      </c>
      <c r="D2270" s="2">
        <v>0.42605324074074075</v>
      </c>
      <c r="E2270" t="s">
        <v>22</v>
      </c>
      <c r="F2270" t="s">
        <v>19</v>
      </c>
      <c r="G2270">
        <v>400</v>
      </c>
      <c r="H2270" t="s">
        <v>16</v>
      </c>
      <c r="I2270" t="s">
        <v>23</v>
      </c>
      <c r="L2270" t="s">
        <v>22</v>
      </c>
      <c r="M2270">
        <v>29.004999999999999</v>
      </c>
      <c r="N2270">
        <v>29.004999999999999</v>
      </c>
      <c r="O2270" t="s">
        <v>24</v>
      </c>
      <c r="P2270">
        <f t="shared" si="108"/>
        <v>0</v>
      </c>
      <c r="Q2270" s="11">
        <f>IF(P2270=0,0,IFERROR(Q2269+G2270*M2270*IF(E2270="FUTURE",VLOOKUP(MID(I2270,2,2),[1]Futures!$A$2:$B$12,2),1),G2270*M2270*IF(E2270="FUTURE",VLOOKUP(MID(I2270,2,2),[1]Futures!$A$2:$B$12,2),1)))</f>
        <v>0</v>
      </c>
      <c r="R2270" s="12" t="str">
        <f>IFERROR(Q2270/P2270/IF(E2270="FUTURE",VLOOKUP(MID(I2270,2,2),[1]Futures!$A$2:$B$12,2),1),"")</f>
        <v/>
      </c>
      <c r="S2270" s="13">
        <f>IF(AND(H2270="TO CLOSE",P2270=0),-G2270*(M2270-R2269)*IF(E2270="FUTURE",VLOOKUP(MID(I2270,2,2),[1]Futures!$A$2:$B$12,2),1),"")</f>
        <v>-93.039999999999168</v>
      </c>
    </row>
    <row r="2271" spans="1:19" x14ac:dyDescent="0.2">
      <c r="A2271">
        <f t="shared" si="107"/>
        <v>752</v>
      </c>
      <c r="B2271" s="3">
        <v>44035</v>
      </c>
      <c r="C2271" s="3" t="str">
        <f t="shared" si="106"/>
        <v>Thursday</v>
      </c>
      <c r="D2271" s="2">
        <v>0.43894675925925924</v>
      </c>
      <c r="E2271" t="s">
        <v>22</v>
      </c>
      <c r="F2271" t="s">
        <v>15</v>
      </c>
      <c r="G2271">
        <v>-400</v>
      </c>
      <c r="H2271" t="s">
        <v>20</v>
      </c>
      <c r="I2271" t="s">
        <v>23</v>
      </c>
      <c r="L2271" t="s">
        <v>22</v>
      </c>
      <c r="M2271">
        <v>28.97</v>
      </c>
      <c r="N2271">
        <v>28.97</v>
      </c>
      <c r="O2271" t="s">
        <v>21</v>
      </c>
      <c r="P2271">
        <f t="shared" si="108"/>
        <v>-400</v>
      </c>
      <c r="Q2271" s="11">
        <f>IF(P2271=0,0,IFERROR(Q2270+G2271*M2271*IF(E2271="FUTURE",VLOOKUP(MID(I2271,2,2),[1]Futures!$A$2:$B$12,2),1),G2271*M2271*IF(E2271="FUTURE",VLOOKUP(MID(I2271,2,2),[1]Futures!$A$2:$B$12,2),1)))</f>
        <v>-11588</v>
      </c>
      <c r="R2271" s="12">
        <f>IFERROR(Q2271/P2271/IF(E2271="FUTURE",VLOOKUP(MID(I2271,2,2),[1]Futures!$A$2:$B$12,2),1),"")</f>
        <v>28.97</v>
      </c>
      <c r="S2271" s="13" t="str">
        <f>IF(AND(H2271="TO CLOSE",P2271=0),-G2271*(M2271-R2270)*IF(E2271="FUTURE",VLOOKUP(MID(I2271,2,2),[1]Futures!$A$2:$B$12,2),1),"")</f>
        <v/>
      </c>
    </row>
    <row r="2272" spans="1:19" x14ac:dyDescent="0.2">
      <c r="A2272">
        <f t="shared" si="107"/>
        <v>752</v>
      </c>
      <c r="B2272" s="3">
        <v>44035</v>
      </c>
      <c r="C2272" s="3" t="str">
        <f t="shared" si="106"/>
        <v>Thursday</v>
      </c>
      <c r="D2272" s="2">
        <v>0.44057870370370367</v>
      </c>
      <c r="E2272" t="s">
        <v>22</v>
      </c>
      <c r="F2272" t="s">
        <v>15</v>
      </c>
      <c r="G2272">
        <v>-100</v>
      </c>
      <c r="H2272" t="s">
        <v>20</v>
      </c>
      <c r="I2272" t="s">
        <v>23</v>
      </c>
      <c r="L2272" t="s">
        <v>22</v>
      </c>
      <c r="M2272">
        <v>29.04</v>
      </c>
      <c r="N2272">
        <v>29.04</v>
      </c>
      <c r="O2272" t="s">
        <v>21</v>
      </c>
      <c r="P2272">
        <f t="shared" si="108"/>
        <v>-500</v>
      </c>
      <c r="Q2272" s="11">
        <f>IF(P2272=0,0,IFERROR(Q2271+G2272*M2272*IF(E2272="FUTURE",VLOOKUP(MID(I2272,2,2),[1]Futures!$A$2:$B$12,2),1),G2272*M2272*IF(E2272="FUTURE",VLOOKUP(MID(I2272,2,2),[1]Futures!$A$2:$B$12,2),1)))</f>
        <v>-14492</v>
      </c>
      <c r="R2272" s="12">
        <f>IFERROR(Q2272/P2272/IF(E2272="FUTURE",VLOOKUP(MID(I2272,2,2),[1]Futures!$A$2:$B$12,2),1),"")</f>
        <v>28.984000000000002</v>
      </c>
      <c r="S2272" s="13" t="str">
        <f>IF(AND(H2272="TO CLOSE",P2272=0),-G2272*(M2272-R2271)*IF(E2272="FUTURE",VLOOKUP(MID(I2272,2,2),[1]Futures!$A$2:$B$12,2),1),"")</f>
        <v/>
      </c>
    </row>
    <row r="2273" spans="1:19" x14ac:dyDescent="0.2">
      <c r="A2273">
        <f t="shared" si="107"/>
        <v>752</v>
      </c>
      <c r="B2273" s="3">
        <v>44035</v>
      </c>
      <c r="C2273" s="3" t="str">
        <f t="shared" si="106"/>
        <v>Thursday</v>
      </c>
      <c r="D2273" s="2">
        <v>0.45555555555555555</v>
      </c>
      <c r="E2273" t="s">
        <v>22</v>
      </c>
      <c r="F2273" t="s">
        <v>19</v>
      </c>
      <c r="G2273">
        <v>500</v>
      </c>
      <c r="H2273" t="s">
        <v>16</v>
      </c>
      <c r="I2273" t="s">
        <v>23</v>
      </c>
      <c r="L2273" t="s">
        <v>22</v>
      </c>
      <c r="M2273">
        <v>29.1892</v>
      </c>
      <c r="N2273">
        <v>29.1892</v>
      </c>
      <c r="O2273" t="s">
        <v>24</v>
      </c>
      <c r="P2273">
        <f t="shared" si="108"/>
        <v>0</v>
      </c>
      <c r="Q2273" s="11">
        <f>IF(P2273=0,0,IFERROR(Q2272+G2273*M2273*IF(E2273="FUTURE",VLOOKUP(MID(I2273,2,2),[1]Futures!$A$2:$B$12,2),1),G2273*M2273*IF(E2273="FUTURE",VLOOKUP(MID(I2273,2,2),[1]Futures!$A$2:$B$12,2),1)))</f>
        <v>0</v>
      </c>
      <c r="R2273" s="12" t="str">
        <f>IFERROR(Q2273/P2273/IF(E2273="FUTURE",VLOOKUP(MID(I2273,2,2),[1]Futures!$A$2:$B$12,2),1),"")</f>
        <v/>
      </c>
      <c r="S2273" s="13">
        <f>IF(AND(H2273="TO CLOSE",P2273=0),-G2273*(M2273-R2272)*IF(E2273="FUTURE",VLOOKUP(MID(I2273,2,2),[1]Futures!$A$2:$B$12,2),1),"")</f>
        <v>-102.59999999999891</v>
      </c>
    </row>
    <row r="2274" spans="1:19" x14ac:dyDescent="0.2">
      <c r="A2274">
        <f t="shared" si="107"/>
        <v>753</v>
      </c>
      <c r="B2274" s="3">
        <v>44035</v>
      </c>
      <c r="C2274" s="3" t="str">
        <f t="shared" si="106"/>
        <v>Thursday</v>
      </c>
      <c r="D2274" s="2">
        <v>0.45716435185185184</v>
      </c>
      <c r="E2274" t="s">
        <v>22</v>
      </c>
      <c r="F2274" t="s">
        <v>19</v>
      </c>
      <c r="G2274">
        <v>500</v>
      </c>
      <c r="H2274" t="s">
        <v>20</v>
      </c>
      <c r="I2274" t="s">
        <v>23</v>
      </c>
      <c r="L2274" t="s">
        <v>22</v>
      </c>
      <c r="M2274">
        <v>29.207699999999999</v>
      </c>
      <c r="N2274">
        <v>29.207699999999999</v>
      </c>
      <c r="O2274" t="s">
        <v>24</v>
      </c>
      <c r="P2274">
        <f t="shared" si="108"/>
        <v>500</v>
      </c>
      <c r="Q2274" s="11">
        <f>IF(P2274=0,0,IFERROR(Q2273+G2274*M2274*IF(E2274="FUTURE",VLOOKUP(MID(I2274,2,2),[1]Futures!$A$2:$B$12,2),1),G2274*M2274*IF(E2274="FUTURE",VLOOKUP(MID(I2274,2,2),[1]Futures!$A$2:$B$12,2),1)))</f>
        <v>14603.85</v>
      </c>
      <c r="R2274" s="12">
        <f>IFERROR(Q2274/P2274/IF(E2274="FUTURE",VLOOKUP(MID(I2274,2,2),[1]Futures!$A$2:$B$12,2),1),"")</f>
        <v>29.207699999999999</v>
      </c>
      <c r="S2274" s="13" t="str">
        <f>IF(AND(H2274="TO CLOSE",P2274=0),-G2274*(M2274-R2273)*IF(E2274="FUTURE",VLOOKUP(MID(I2274,2,2),[1]Futures!$A$2:$B$12,2),1),"")</f>
        <v/>
      </c>
    </row>
    <row r="2275" spans="1:19" x14ac:dyDescent="0.2">
      <c r="A2275">
        <f t="shared" si="107"/>
        <v>753</v>
      </c>
      <c r="B2275" s="3">
        <v>44035</v>
      </c>
      <c r="C2275" s="3" t="str">
        <f t="shared" si="106"/>
        <v>Thursday</v>
      </c>
      <c r="D2275" s="2">
        <v>0.45774305555555556</v>
      </c>
      <c r="E2275" t="s">
        <v>22</v>
      </c>
      <c r="F2275" t="s">
        <v>15</v>
      </c>
      <c r="G2275">
        <v>-200</v>
      </c>
      <c r="H2275" t="s">
        <v>16</v>
      </c>
      <c r="I2275" t="s">
        <v>23</v>
      </c>
      <c r="L2275" t="s">
        <v>22</v>
      </c>
      <c r="M2275">
        <v>29.274999999999999</v>
      </c>
      <c r="N2275">
        <v>29.274999999999999</v>
      </c>
      <c r="O2275" t="s">
        <v>21</v>
      </c>
      <c r="P2275">
        <f t="shared" si="108"/>
        <v>300</v>
      </c>
      <c r="Q2275" s="11">
        <f>IF(P2275=0,0,IFERROR(Q2274+G2275*M2275*IF(E2275="FUTURE",VLOOKUP(MID(I2275,2,2),[1]Futures!$A$2:$B$12,2),1),G2275*M2275*IF(E2275="FUTURE",VLOOKUP(MID(I2275,2,2),[1]Futures!$A$2:$B$12,2),1)))</f>
        <v>8748.85</v>
      </c>
      <c r="R2275" s="12">
        <f>IFERROR(Q2275/P2275/IF(E2275="FUTURE",VLOOKUP(MID(I2275,2,2),[1]Futures!$A$2:$B$12,2),1),"")</f>
        <v>29.162833333333335</v>
      </c>
      <c r="S2275" s="13" t="str">
        <f>IF(AND(H2275="TO CLOSE",P2275=0),-G2275*(M2275-R2274)*IF(E2275="FUTURE",VLOOKUP(MID(I2275,2,2),[1]Futures!$A$2:$B$12,2),1),"")</f>
        <v/>
      </c>
    </row>
    <row r="2276" spans="1:19" x14ac:dyDescent="0.2">
      <c r="A2276">
        <f t="shared" si="107"/>
        <v>753</v>
      </c>
      <c r="B2276" s="3">
        <v>44035</v>
      </c>
      <c r="C2276" s="3" t="str">
        <f t="shared" si="106"/>
        <v>Thursday</v>
      </c>
      <c r="D2276" s="2">
        <v>0.45961805555555557</v>
      </c>
      <c r="E2276" t="s">
        <v>22</v>
      </c>
      <c r="F2276" t="s">
        <v>15</v>
      </c>
      <c r="G2276">
        <v>-300</v>
      </c>
      <c r="H2276" t="s">
        <v>16</v>
      </c>
      <c r="I2276" t="s">
        <v>23</v>
      </c>
      <c r="L2276" t="s">
        <v>22</v>
      </c>
      <c r="M2276">
        <v>29.074999999999999</v>
      </c>
      <c r="N2276">
        <v>29.074999999999999</v>
      </c>
      <c r="O2276" t="s">
        <v>24</v>
      </c>
      <c r="P2276">
        <f t="shared" si="108"/>
        <v>0</v>
      </c>
      <c r="Q2276" s="11">
        <f>IF(P2276=0,0,IFERROR(Q2275+G2276*M2276*IF(E2276="FUTURE",VLOOKUP(MID(I2276,2,2),[1]Futures!$A$2:$B$12,2),1),G2276*M2276*IF(E2276="FUTURE",VLOOKUP(MID(I2276,2,2),[1]Futures!$A$2:$B$12,2),1)))</f>
        <v>0</v>
      </c>
      <c r="R2276" s="12" t="str">
        <f>IFERROR(Q2276/P2276/IF(E2276="FUTURE",VLOOKUP(MID(I2276,2,2),[1]Futures!$A$2:$B$12,2),1),"")</f>
        <v/>
      </c>
      <c r="S2276" s="13">
        <f>IF(AND(H2276="TO CLOSE",P2276=0),-G2276*(M2276-R2275)*IF(E2276="FUTURE",VLOOKUP(MID(I2276,2,2),[1]Futures!$A$2:$B$12,2),1),"")</f>
        <v>-26.350000000000762</v>
      </c>
    </row>
    <row r="2277" spans="1:19" x14ac:dyDescent="0.2">
      <c r="A2277">
        <f t="shared" si="107"/>
        <v>754</v>
      </c>
      <c r="B2277" s="3">
        <v>44035</v>
      </c>
      <c r="C2277" s="3" t="str">
        <f t="shared" si="106"/>
        <v>Thursday</v>
      </c>
      <c r="D2277" s="2">
        <v>0.45962962962962961</v>
      </c>
      <c r="E2277" t="s">
        <v>22</v>
      </c>
      <c r="F2277" t="s">
        <v>15</v>
      </c>
      <c r="G2277">
        <v>-100</v>
      </c>
      <c r="H2277" t="s">
        <v>20</v>
      </c>
      <c r="I2277" t="s">
        <v>23</v>
      </c>
      <c r="L2277" t="s">
        <v>22</v>
      </c>
      <c r="M2277">
        <v>29.0701</v>
      </c>
      <c r="N2277">
        <v>29.0701</v>
      </c>
      <c r="O2277" t="s">
        <v>24</v>
      </c>
      <c r="P2277">
        <f t="shared" si="108"/>
        <v>-100</v>
      </c>
      <c r="Q2277" s="11">
        <f>IF(P2277=0,0,IFERROR(Q2276+G2277*M2277*IF(E2277="FUTURE",VLOOKUP(MID(I2277,2,2),[1]Futures!$A$2:$B$12,2),1),G2277*M2277*IF(E2277="FUTURE",VLOOKUP(MID(I2277,2,2),[1]Futures!$A$2:$B$12,2),1)))</f>
        <v>-2907.01</v>
      </c>
      <c r="R2277" s="12">
        <f>IFERROR(Q2277/P2277/IF(E2277="FUTURE",VLOOKUP(MID(I2277,2,2),[1]Futures!$A$2:$B$12,2),1),"")</f>
        <v>29.070100000000004</v>
      </c>
      <c r="S2277" s="13" t="str">
        <f>IF(AND(H2277="TO CLOSE",P2277=0),-G2277*(M2277-R2276)*IF(E2277="FUTURE",VLOOKUP(MID(I2277,2,2),[1]Futures!$A$2:$B$12,2),1),"")</f>
        <v/>
      </c>
    </row>
    <row r="2278" spans="1:19" x14ac:dyDescent="0.2">
      <c r="A2278">
        <f t="shared" si="107"/>
        <v>754</v>
      </c>
      <c r="B2278" s="3">
        <v>44035</v>
      </c>
      <c r="C2278" s="3" t="str">
        <f t="shared" si="106"/>
        <v>Thursday</v>
      </c>
      <c r="D2278" s="2">
        <v>0.45962962962962961</v>
      </c>
      <c r="E2278" t="s">
        <v>22</v>
      </c>
      <c r="F2278" t="s">
        <v>15</v>
      </c>
      <c r="G2278">
        <v>-300</v>
      </c>
      <c r="H2278" t="s">
        <v>20</v>
      </c>
      <c r="I2278" t="s">
        <v>23</v>
      </c>
      <c r="L2278" t="s">
        <v>22</v>
      </c>
      <c r="M2278">
        <v>29.0701</v>
      </c>
      <c r="N2278">
        <v>29.0701</v>
      </c>
      <c r="O2278" t="s">
        <v>24</v>
      </c>
      <c r="P2278">
        <f t="shared" si="108"/>
        <v>-400</v>
      </c>
      <c r="Q2278" s="11">
        <f>IF(P2278=0,0,IFERROR(Q2277+G2278*M2278*IF(E2278="FUTURE",VLOOKUP(MID(I2278,2,2),[1]Futures!$A$2:$B$12,2),1),G2278*M2278*IF(E2278="FUTURE",VLOOKUP(MID(I2278,2,2),[1]Futures!$A$2:$B$12,2),1)))</f>
        <v>-11628.04</v>
      </c>
      <c r="R2278" s="12">
        <f>IFERROR(Q2278/P2278/IF(E2278="FUTURE",VLOOKUP(MID(I2278,2,2),[1]Futures!$A$2:$B$12,2),1),"")</f>
        <v>29.070100000000004</v>
      </c>
      <c r="S2278" s="13" t="str">
        <f>IF(AND(H2278="TO CLOSE",P2278=0),-G2278*(M2278-R2277)*IF(E2278="FUTURE",VLOOKUP(MID(I2278,2,2),[1]Futures!$A$2:$B$12,2),1),"")</f>
        <v/>
      </c>
    </row>
    <row r="2279" spans="1:19" x14ac:dyDescent="0.2">
      <c r="A2279">
        <f t="shared" si="107"/>
        <v>754</v>
      </c>
      <c r="B2279" s="3">
        <v>44035</v>
      </c>
      <c r="C2279" s="3" t="str">
        <f t="shared" si="106"/>
        <v>Thursday</v>
      </c>
      <c r="D2279" s="2">
        <v>0.47400462962962964</v>
      </c>
      <c r="E2279" t="s">
        <v>22</v>
      </c>
      <c r="F2279" t="s">
        <v>19</v>
      </c>
      <c r="G2279">
        <v>400</v>
      </c>
      <c r="H2279" t="s">
        <v>16</v>
      </c>
      <c r="I2279" t="s">
        <v>23</v>
      </c>
      <c r="L2279" t="s">
        <v>22</v>
      </c>
      <c r="M2279">
        <v>28.97</v>
      </c>
      <c r="N2279">
        <v>28.97</v>
      </c>
      <c r="O2279" t="s">
        <v>21</v>
      </c>
      <c r="P2279">
        <f t="shared" si="108"/>
        <v>0</v>
      </c>
      <c r="Q2279" s="11">
        <f>IF(P2279=0,0,IFERROR(Q2278+G2279*M2279*IF(E2279="FUTURE",VLOOKUP(MID(I2279,2,2),[1]Futures!$A$2:$B$12,2),1),G2279*M2279*IF(E2279="FUTURE",VLOOKUP(MID(I2279,2,2),[1]Futures!$A$2:$B$12,2),1)))</f>
        <v>0</v>
      </c>
      <c r="R2279" s="12" t="str">
        <f>IFERROR(Q2279/P2279/IF(E2279="FUTURE",VLOOKUP(MID(I2279,2,2),[1]Futures!$A$2:$B$12,2),1),"")</f>
        <v/>
      </c>
      <c r="S2279" s="13">
        <f>IF(AND(H2279="TO CLOSE",P2279=0),-G2279*(M2279-R2278)*IF(E2279="FUTURE",VLOOKUP(MID(I2279,2,2),[1]Futures!$A$2:$B$12,2),1),"")</f>
        <v>40.040000000001896</v>
      </c>
    </row>
    <row r="2280" spans="1:19" x14ac:dyDescent="0.2">
      <c r="A2280">
        <f t="shared" si="107"/>
        <v>755</v>
      </c>
      <c r="B2280" s="3">
        <v>44035</v>
      </c>
      <c r="C2280" s="3" t="str">
        <f t="shared" si="106"/>
        <v>Thursday</v>
      </c>
      <c r="D2280" s="2">
        <v>0.48109953703703701</v>
      </c>
      <c r="E2280" t="s">
        <v>22</v>
      </c>
      <c r="F2280" t="s">
        <v>15</v>
      </c>
      <c r="G2280">
        <v>-100</v>
      </c>
      <c r="H2280" t="s">
        <v>20</v>
      </c>
      <c r="I2280" t="s">
        <v>23</v>
      </c>
      <c r="L2280" t="s">
        <v>22</v>
      </c>
      <c r="M2280">
        <v>28.82</v>
      </c>
      <c r="N2280">
        <v>28.82</v>
      </c>
      <c r="O2280" t="s">
        <v>24</v>
      </c>
      <c r="P2280">
        <f t="shared" si="108"/>
        <v>-100</v>
      </c>
      <c r="Q2280" s="11">
        <f>IF(P2280=0,0,IFERROR(Q2279+G2280*M2280*IF(E2280="FUTURE",VLOOKUP(MID(I2280,2,2),[1]Futures!$A$2:$B$12,2),1),G2280*M2280*IF(E2280="FUTURE",VLOOKUP(MID(I2280,2,2),[1]Futures!$A$2:$B$12,2),1)))</f>
        <v>-2882</v>
      </c>
      <c r="R2280" s="12">
        <f>IFERROR(Q2280/P2280/IF(E2280="FUTURE",VLOOKUP(MID(I2280,2,2),[1]Futures!$A$2:$B$12,2),1),"")</f>
        <v>28.82</v>
      </c>
      <c r="S2280" s="13" t="str">
        <f>IF(AND(H2280="TO CLOSE",P2280=0),-G2280*(M2280-R2279)*IF(E2280="FUTURE",VLOOKUP(MID(I2280,2,2),[1]Futures!$A$2:$B$12,2),1),"")</f>
        <v/>
      </c>
    </row>
    <row r="2281" spans="1:19" x14ac:dyDescent="0.2">
      <c r="A2281">
        <f t="shared" si="107"/>
        <v>755</v>
      </c>
      <c r="B2281" s="3">
        <v>44035</v>
      </c>
      <c r="C2281" s="3" t="str">
        <f t="shared" si="106"/>
        <v>Thursday</v>
      </c>
      <c r="D2281" s="2">
        <v>0.48109953703703701</v>
      </c>
      <c r="E2281" t="s">
        <v>22</v>
      </c>
      <c r="F2281" t="s">
        <v>15</v>
      </c>
      <c r="G2281">
        <v>-100</v>
      </c>
      <c r="H2281" t="s">
        <v>20</v>
      </c>
      <c r="I2281" t="s">
        <v>23</v>
      </c>
      <c r="L2281" t="s">
        <v>22</v>
      </c>
      <c r="M2281">
        <v>28.82</v>
      </c>
      <c r="N2281">
        <v>28.82</v>
      </c>
      <c r="O2281" t="s">
        <v>24</v>
      </c>
      <c r="P2281">
        <f t="shared" si="108"/>
        <v>-200</v>
      </c>
      <c r="Q2281" s="11">
        <f>IF(P2281=0,0,IFERROR(Q2280+G2281*M2281*IF(E2281="FUTURE",VLOOKUP(MID(I2281,2,2),[1]Futures!$A$2:$B$12,2),1),G2281*M2281*IF(E2281="FUTURE",VLOOKUP(MID(I2281,2,2),[1]Futures!$A$2:$B$12,2),1)))</f>
        <v>-5764</v>
      </c>
      <c r="R2281" s="12">
        <f>IFERROR(Q2281/P2281/IF(E2281="FUTURE",VLOOKUP(MID(I2281,2,2),[1]Futures!$A$2:$B$12,2),1),"")</f>
        <v>28.82</v>
      </c>
      <c r="S2281" s="13" t="str">
        <f>IF(AND(H2281="TO CLOSE",P2281=0),-G2281*(M2281-R2280)*IF(E2281="FUTURE",VLOOKUP(MID(I2281,2,2),[1]Futures!$A$2:$B$12,2),1),"")</f>
        <v/>
      </c>
    </row>
    <row r="2282" spans="1:19" x14ac:dyDescent="0.2">
      <c r="A2282">
        <f t="shared" si="107"/>
        <v>755</v>
      </c>
      <c r="B2282" s="3">
        <v>44035</v>
      </c>
      <c r="C2282" s="3" t="str">
        <f t="shared" si="106"/>
        <v>Thursday</v>
      </c>
      <c r="D2282" s="2">
        <v>0.48109953703703701</v>
      </c>
      <c r="E2282" t="s">
        <v>22</v>
      </c>
      <c r="F2282" t="s">
        <v>15</v>
      </c>
      <c r="G2282">
        <v>-100</v>
      </c>
      <c r="H2282" t="s">
        <v>20</v>
      </c>
      <c r="I2282" t="s">
        <v>23</v>
      </c>
      <c r="L2282" t="s">
        <v>22</v>
      </c>
      <c r="M2282">
        <v>28.82</v>
      </c>
      <c r="N2282">
        <v>28.82</v>
      </c>
      <c r="O2282" t="s">
        <v>24</v>
      </c>
      <c r="P2282">
        <f t="shared" si="108"/>
        <v>-300</v>
      </c>
      <c r="Q2282" s="11">
        <f>IF(P2282=0,0,IFERROR(Q2281+G2282*M2282*IF(E2282="FUTURE",VLOOKUP(MID(I2282,2,2),[1]Futures!$A$2:$B$12,2),1),G2282*M2282*IF(E2282="FUTURE",VLOOKUP(MID(I2282,2,2),[1]Futures!$A$2:$B$12,2),1)))</f>
        <v>-8646</v>
      </c>
      <c r="R2282" s="12">
        <f>IFERROR(Q2282/P2282/IF(E2282="FUTURE",VLOOKUP(MID(I2282,2,2),[1]Futures!$A$2:$B$12,2),1),"")</f>
        <v>28.82</v>
      </c>
      <c r="S2282" s="13" t="str">
        <f>IF(AND(H2282="TO CLOSE",P2282=0),-G2282*(M2282-R2281)*IF(E2282="FUTURE",VLOOKUP(MID(I2282,2,2),[1]Futures!$A$2:$B$12,2),1),"")</f>
        <v/>
      </c>
    </row>
    <row r="2283" spans="1:19" x14ac:dyDescent="0.2">
      <c r="A2283">
        <f t="shared" si="107"/>
        <v>755</v>
      </c>
      <c r="B2283" s="3">
        <v>44035</v>
      </c>
      <c r="C2283" s="3" t="str">
        <f t="shared" si="106"/>
        <v>Thursday</v>
      </c>
      <c r="D2283" s="2">
        <v>0.48109953703703701</v>
      </c>
      <c r="E2283" t="s">
        <v>22</v>
      </c>
      <c r="F2283" t="s">
        <v>15</v>
      </c>
      <c r="G2283">
        <v>-100</v>
      </c>
      <c r="H2283" t="s">
        <v>20</v>
      </c>
      <c r="I2283" t="s">
        <v>23</v>
      </c>
      <c r="L2283" t="s">
        <v>22</v>
      </c>
      <c r="M2283">
        <v>28.82</v>
      </c>
      <c r="N2283">
        <v>28.82</v>
      </c>
      <c r="O2283" t="s">
        <v>24</v>
      </c>
      <c r="P2283">
        <f t="shared" si="108"/>
        <v>-400</v>
      </c>
      <c r="Q2283" s="11">
        <f>IF(P2283=0,0,IFERROR(Q2282+G2283*M2283*IF(E2283="FUTURE",VLOOKUP(MID(I2283,2,2),[1]Futures!$A$2:$B$12,2),1),G2283*M2283*IF(E2283="FUTURE",VLOOKUP(MID(I2283,2,2),[1]Futures!$A$2:$B$12,2),1)))</f>
        <v>-11528</v>
      </c>
      <c r="R2283" s="12">
        <f>IFERROR(Q2283/P2283/IF(E2283="FUTURE",VLOOKUP(MID(I2283,2,2),[1]Futures!$A$2:$B$12,2),1),"")</f>
        <v>28.82</v>
      </c>
      <c r="S2283" s="13" t="str">
        <f>IF(AND(H2283="TO CLOSE",P2283=0),-G2283*(M2283-R2282)*IF(E2283="FUTURE",VLOOKUP(MID(I2283,2,2),[1]Futures!$A$2:$B$12,2),1),"")</f>
        <v/>
      </c>
    </row>
    <row r="2284" spans="1:19" x14ac:dyDescent="0.2">
      <c r="A2284">
        <f t="shared" si="107"/>
        <v>755</v>
      </c>
      <c r="B2284" s="3">
        <v>44035</v>
      </c>
      <c r="C2284" s="3" t="str">
        <f t="shared" si="106"/>
        <v>Thursday</v>
      </c>
      <c r="D2284" s="2">
        <v>0.48969907407407409</v>
      </c>
      <c r="E2284" t="s">
        <v>22</v>
      </c>
      <c r="F2284" t="s">
        <v>19</v>
      </c>
      <c r="G2284">
        <v>400</v>
      </c>
      <c r="H2284" t="s">
        <v>16</v>
      </c>
      <c r="I2284" t="s">
        <v>23</v>
      </c>
      <c r="L2284" t="s">
        <v>22</v>
      </c>
      <c r="M2284">
        <v>28.776499999999999</v>
      </c>
      <c r="N2284">
        <v>28.776499999999999</v>
      </c>
      <c r="O2284" t="s">
        <v>24</v>
      </c>
      <c r="P2284">
        <f t="shared" si="108"/>
        <v>0</v>
      </c>
      <c r="Q2284" s="11">
        <f>IF(P2284=0,0,IFERROR(Q2283+G2284*M2284*IF(E2284="FUTURE",VLOOKUP(MID(I2284,2,2),[1]Futures!$A$2:$B$12,2),1),G2284*M2284*IF(E2284="FUTURE",VLOOKUP(MID(I2284,2,2),[1]Futures!$A$2:$B$12,2),1)))</f>
        <v>0</v>
      </c>
      <c r="R2284" s="12" t="str">
        <f>IFERROR(Q2284/P2284/IF(E2284="FUTURE",VLOOKUP(MID(I2284,2,2),[1]Futures!$A$2:$B$12,2),1),"")</f>
        <v/>
      </c>
      <c r="S2284" s="13">
        <f>IF(AND(H2284="TO CLOSE",P2284=0),-G2284*(M2284-R2283)*IF(E2284="FUTURE",VLOOKUP(MID(I2284,2,2),[1]Futures!$A$2:$B$12,2),1),"")</f>
        <v>17.400000000000659</v>
      </c>
    </row>
    <row r="2285" spans="1:19" x14ac:dyDescent="0.2">
      <c r="A2285">
        <f t="shared" si="107"/>
        <v>756</v>
      </c>
      <c r="B2285" s="3">
        <v>44035</v>
      </c>
      <c r="C2285" s="3" t="str">
        <f t="shared" si="106"/>
        <v>Thursday</v>
      </c>
      <c r="D2285" s="2">
        <v>0.49560185185185185</v>
      </c>
      <c r="E2285" t="s">
        <v>22</v>
      </c>
      <c r="F2285" t="s">
        <v>15</v>
      </c>
      <c r="G2285">
        <v>-100</v>
      </c>
      <c r="H2285" t="s">
        <v>20</v>
      </c>
      <c r="I2285" t="s">
        <v>23</v>
      </c>
      <c r="L2285" t="s">
        <v>22</v>
      </c>
      <c r="M2285">
        <v>28.82</v>
      </c>
      <c r="N2285">
        <v>28.82</v>
      </c>
      <c r="O2285" t="s">
        <v>21</v>
      </c>
      <c r="P2285">
        <f t="shared" si="108"/>
        <v>-100</v>
      </c>
      <c r="Q2285" s="11">
        <f>IF(P2285=0,0,IFERROR(Q2284+G2285*M2285*IF(E2285="FUTURE",VLOOKUP(MID(I2285,2,2),[1]Futures!$A$2:$B$12,2),1),G2285*M2285*IF(E2285="FUTURE",VLOOKUP(MID(I2285,2,2),[1]Futures!$A$2:$B$12,2),1)))</f>
        <v>-2882</v>
      </c>
      <c r="R2285" s="12">
        <f>IFERROR(Q2285/P2285/IF(E2285="FUTURE",VLOOKUP(MID(I2285,2,2),[1]Futures!$A$2:$B$12,2),1),"")</f>
        <v>28.82</v>
      </c>
      <c r="S2285" s="13" t="str">
        <f>IF(AND(H2285="TO CLOSE",P2285=0),-G2285*(M2285-R2284)*IF(E2285="FUTURE",VLOOKUP(MID(I2285,2,2),[1]Futures!$A$2:$B$12,2),1),"")</f>
        <v/>
      </c>
    </row>
    <row r="2286" spans="1:19" x14ac:dyDescent="0.2">
      <c r="A2286">
        <f t="shared" si="107"/>
        <v>756</v>
      </c>
      <c r="B2286" s="3">
        <v>44035</v>
      </c>
      <c r="C2286" s="3" t="str">
        <f t="shared" si="106"/>
        <v>Thursday</v>
      </c>
      <c r="D2286" s="2">
        <v>0.49560185185185185</v>
      </c>
      <c r="E2286" t="s">
        <v>22</v>
      </c>
      <c r="F2286" t="s">
        <v>15</v>
      </c>
      <c r="G2286">
        <v>-200</v>
      </c>
      <c r="H2286" t="s">
        <v>20</v>
      </c>
      <c r="I2286" t="s">
        <v>23</v>
      </c>
      <c r="L2286" t="s">
        <v>22</v>
      </c>
      <c r="M2286">
        <v>28.82</v>
      </c>
      <c r="N2286">
        <v>28.82</v>
      </c>
      <c r="O2286" t="s">
        <v>21</v>
      </c>
      <c r="P2286">
        <f t="shared" si="108"/>
        <v>-300</v>
      </c>
      <c r="Q2286" s="11">
        <f>IF(P2286=0,0,IFERROR(Q2285+G2286*M2286*IF(E2286="FUTURE",VLOOKUP(MID(I2286,2,2),[1]Futures!$A$2:$B$12,2),1),G2286*M2286*IF(E2286="FUTURE",VLOOKUP(MID(I2286,2,2),[1]Futures!$A$2:$B$12,2),1)))</f>
        <v>-8646</v>
      </c>
      <c r="R2286" s="12">
        <f>IFERROR(Q2286/P2286/IF(E2286="FUTURE",VLOOKUP(MID(I2286,2,2),[1]Futures!$A$2:$B$12,2),1),"")</f>
        <v>28.82</v>
      </c>
      <c r="S2286" s="13" t="str">
        <f>IF(AND(H2286="TO CLOSE",P2286=0),-G2286*(M2286-R2285)*IF(E2286="FUTURE",VLOOKUP(MID(I2286,2,2),[1]Futures!$A$2:$B$12,2),1),"")</f>
        <v/>
      </c>
    </row>
    <row r="2287" spans="1:19" x14ac:dyDescent="0.2">
      <c r="A2287">
        <f t="shared" si="107"/>
        <v>756</v>
      </c>
      <c r="B2287" s="3">
        <v>44035</v>
      </c>
      <c r="C2287" s="3" t="str">
        <f t="shared" si="106"/>
        <v>Thursday</v>
      </c>
      <c r="D2287" s="2">
        <v>0.49560185185185185</v>
      </c>
      <c r="E2287" t="s">
        <v>22</v>
      </c>
      <c r="F2287" t="s">
        <v>15</v>
      </c>
      <c r="G2287">
        <v>-100</v>
      </c>
      <c r="H2287" t="s">
        <v>20</v>
      </c>
      <c r="I2287" t="s">
        <v>23</v>
      </c>
      <c r="L2287" t="s">
        <v>22</v>
      </c>
      <c r="M2287">
        <v>28.82</v>
      </c>
      <c r="N2287">
        <v>28.82</v>
      </c>
      <c r="O2287" t="s">
        <v>21</v>
      </c>
      <c r="P2287">
        <f t="shared" si="108"/>
        <v>-400</v>
      </c>
      <c r="Q2287" s="11">
        <f>IF(P2287=0,0,IFERROR(Q2286+G2287*M2287*IF(E2287="FUTURE",VLOOKUP(MID(I2287,2,2),[1]Futures!$A$2:$B$12,2),1),G2287*M2287*IF(E2287="FUTURE",VLOOKUP(MID(I2287,2,2),[1]Futures!$A$2:$B$12,2),1)))</f>
        <v>-11528</v>
      </c>
      <c r="R2287" s="12">
        <f>IFERROR(Q2287/P2287/IF(E2287="FUTURE",VLOOKUP(MID(I2287,2,2),[1]Futures!$A$2:$B$12,2),1),"")</f>
        <v>28.82</v>
      </c>
      <c r="S2287" s="13" t="str">
        <f>IF(AND(H2287="TO CLOSE",P2287=0),-G2287*(M2287-R2286)*IF(E2287="FUTURE",VLOOKUP(MID(I2287,2,2),[1]Futures!$A$2:$B$12,2),1),"")</f>
        <v/>
      </c>
    </row>
    <row r="2288" spans="1:19" x14ac:dyDescent="0.2">
      <c r="A2288">
        <f t="shared" si="107"/>
        <v>756</v>
      </c>
      <c r="B2288" s="3">
        <v>44035</v>
      </c>
      <c r="C2288" s="3" t="str">
        <f t="shared" si="106"/>
        <v>Thursday</v>
      </c>
      <c r="D2288" s="2">
        <v>0.50630787037037039</v>
      </c>
      <c r="E2288" t="s">
        <v>22</v>
      </c>
      <c r="F2288" t="s">
        <v>19</v>
      </c>
      <c r="G2288">
        <v>100</v>
      </c>
      <c r="H2288" t="s">
        <v>16</v>
      </c>
      <c r="I2288" t="s">
        <v>23</v>
      </c>
      <c r="L2288" t="s">
        <v>22</v>
      </c>
      <c r="M2288">
        <v>29.155000000000001</v>
      </c>
      <c r="N2288">
        <v>29.155000000000001</v>
      </c>
      <c r="O2288" t="s">
        <v>24</v>
      </c>
      <c r="P2288">
        <f t="shared" si="108"/>
        <v>-300</v>
      </c>
      <c r="Q2288" s="11">
        <f>IF(P2288=0,0,IFERROR(Q2287+G2288*M2288*IF(E2288="FUTURE",VLOOKUP(MID(I2288,2,2),[1]Futures!$A$2:$B$12,2),1),G2288*M2288*IF(E2288="FUTURE",VLOOKUP(MID(I2288,2,2),[1]Futures!$A$2:$B$12,2),1)))</f>
        <v>-8612.5</v>
      </c>
      <c r="R2288" s="12">
        <f>IFERROR(Q2288/P2288/IF(E2288="FUTURE",VLOOKUP(MID(I2288,2,2),[1]Futures!$A$2:$B$12,2),1),"")</f>
        <v>28.708333333333332</v>
      </c>
      <c r="S2288" s="13" t="str">
        <f>IF(AND(H2288="TO CLOSE",P2288=0),-G2288*(M2288-R2287)*IF(E2288="FUTURE",VLOOKUP(MID(I2288,2,2),[1]Futures!$A$2:$B$12,2),1),"")</f>
        <v/>
      </c>
    </row>
    <row r="2289" spans="1:19" x14ac:dyDescent="0.2">
      <c r="A2289">
        <f t="shared" si="107"/>
        <v>756</v>
      </c>
      <c r="B2289" s="3">
        <v>44035</v>
      </c>
      <c r="C2289" s="3" t="str">
        <f t="shared" si="106"/>
        <v>Thursday</v>
      </c>
      <c r="D2289" s="2">
        <v>0.50630787037037039</v>
      </c>
      <c r="E2289" t="s">
        <v>22</v>
      </c>
      <c r="F2289" t="s">
        <v>19</v>
      </c>
      <c r="G2289">
        <v>100</v>
      </c>
      <c r="H2289" t="s">
        <v>16</v>
      </c>
      <c r="I2289" t="s">
        <v>23</v>
      </c>
      <c r="L2289" t="s">
        <v>22</v>
      </c>
      <c r="M2289">
        <v>29.155000000000001</v>
      </c>
      <c r="N2289">
        <v>29.155000000000001</v>
      </c>
      <c r="O2289" t="s">
        <v>24</v>
      </c>
      <c r="P2289">
        <f t="shared" si="108"/>
        <v>-200</v>
      </c>
      <c r="Q2289" s="11">
        <f>IF(P2289=0,0,IFERROR(Q2288+G2289*M2289*IF(E2289="FUTURE",VLOOKUP(MID(I2289,2,2),[1]Futures!$A$2:$B$12,2),1),G2289*M2289*IF(E2289="FUTURE",VLOOKUP(MID(I2289,2,2),[1]Futures!$A$2:$B$12,2),1)))</f>
        <v>-5697</v>
      </c>
      <c r="R2289" s="12">
        <f>IFERROR(Q2289/P2289/IF(E2289="FUTURE",VLOOKUP(MID(I2289,2,2),[1]Futures!$A$2:$B$12,2),1),"")</f>
        <v>28.484999999999999</v>
      </c>
      <c r="S2289" s="13" t="str">
        <f>IF(AND(H2289="TO CLOSE",P2289=0),-G2289*(M2289-R2288)*IF(E2289="FUTURE",VLOOKUP(MID(I2289,2,2),[1]Futures!$A$2:$B$12,2),1),"")</f>
        <v/>
      </c>
    </row>
    <row r="2290" spans="1:19" x14ac:dyDescent="0.2">
      <c r="A2290">
        <f t="shared" si="107"/>
        <v>756</v>
      </c>
      <c r="B2290" s="3">
        <v>44035</v>
      </c>
      <c r="C2290" s="3" t="str">
        <f t="shared" si="106"/>
        <v>Thursday</v>
      </c>
      <c r="D2290" s="2">
        <v>0.50630787037037039</v>
      </c>
      <c r="E2290" t="s">
        <v>22</v>
      </c>
      <c r="F2290" t="s">
        <v>19</v>
      </c>
      <c r="G2290">
        <v>200</v>
      </c>
      <c r="H2290" t="s">
        <v>16</v>
      </c>
      <c r="I2290" t="s">
        <v>23</v>
      </c>
      <c r="L2290" t="s">
        <v>22</v>
      </c>
      <c r="M2290">
        <v>29.155000000000001</v>
      </c>
      <c r="N2290">
        <v>29.155000000000001</v>
      </c>
      <c r="O2290" t="s">
        <v>24</v>
      </c>
      <c r="P2290">
        <f t="shared" si="108"/>
        <v>0</v>
      </c>
      <c r="Q2290" s="11">
        <f>IF(P2290=0,0,IFERROR(Q2289+G2290*M2290*IF(E2290="FUTURE",VLOOKUP(MID(I2290,2,2),[1]Futures!$A$2:$B$12,2),1),G2290*M2290*IF(E2290="FUTURE",VLOOKUP(MID(I2290,2,2),[1]Futures!$A$2:$B$12,2),1)))</f>
        <v>0</v>
      </c>
      <c r="R2290" s="12" t="str">
        <f>IFERROR(Q2290/P2290/IF(E2290="FUTURE",VLOOKUP(MID(I2290,2,2),[1]Futures!$A$2:$B$12,2),1),"")</f>
        <v/>
      </c>
      <c r="S2290" s="13">
        <f>IF(AND(H2290="TO CLOSE",P2290=0),-G2290*(M2290-R2289)*IF(E2290="FUTURE",VLOOKUP(MID(I2290,2,2),[1]Futures!$A$2:$B$12,2),1),"")</f>
        <v>-134.00000000000034</v>
      </c>
    </row>
    <row r="2291" spans="1:19" x14ac:dyDescent="0.2">
      <c r="A2291">
        <f t="shared" si="107"/>
        <v>757</v>
      </c>
      <c r="B2291" s="3">
        <v>44035</v>
      </c>
      <c r="C2291" s="3" t="str">
        <f t="shared" si="106"/>
        <v>Thursday</v>
      </c>
      <c r="D2291" s="2">
        <v>0.50630787037037039</v>
      </c>
      <c r="E2291" t="s">
        <v>22</v>
      </c>
      <c r="F2291" t="s">
        <v>19</v>
      </c>
      <c r="G2291">
        <v>100</v>
      </c>
      <c r="H2291" t="s">
        <v>20</v>
      </c>
      <c r="I2291" t="s">
        <v>23</v>
      </c>
      <c r="L2291" t="s">
        <v>22</v>
      </c>
      <c r="M2291">
        <v>29.155000000000001</v>
      </c>
      <c r="N2291">
        <v>29.155000000000001</v>
      </c>
      <c r="O2291" t="s">
        <v>24</v>
      </c>
      <c r="P2291">
        <f t="shared" si="108"/>
        <v>100</v>
      </c>
      <c r="Q2291" s="11">
        <f>IF(P2291=0,0,IFERROR(Q2290+G2291*M2291*IF(E2291="FUTURE",VLOOKUP(MID(I2291,2,2),[1]Futures!$A$2:$B$12,2),1),G2291*M2291*IF(E2291="FUTURE",VLOOKUP(MID(I2291,2,2),[1]Futures!$A$2:$B$12,2),1)))</f>
        <v>2915.5</v>
      </c>
      <c r="R2291" s="12">
        <f>IFERROR(Q2291/P2291/IF(E2291="FUTURE",VLOOKUP(MID(I2291,2,2),[1]Futures!$A$2:$B$12,2),1),"")</f>
        <v>29.155000000000001</v>
      </c>
      <c r="S2291" s="13" t="str">
        <f>IF(AND(H2291="TO CLOSE",P2291=0),-G2291*(M2291-R2290)*IF(E2291="FUTURE",VLOOKUP(MID(I2291,2,2),[1]Futures!$A$2:$B$12,2),1),"")</f>
        <v/>
      </c>
    </row>
    <row r="2292" spans="1:19" x14ac:dyDescent="0.2">
      <c r="A2292">
        <f t="shared" si="107"/>
        <v>757</v>
      </c>
      <c r="B2292" s="3">
        <v>44035</v>
      </c>
      <c r="C2292" s="3" t="str">
        <f t="shared" si="106"/>
        <v>Thursday</v>
      </c>
      <c r="D2292" s="2">
        <v>0.50630787037037039</v>
      </c>
      <c r="E2292" t="s">
        <v>22</v>
      </c>
      <c r="F2292" t="s">
        <v>19</v>
      </c>
      <c r="G2292">
        <v>300</v>
      </c>
      <c r="H2292" t="s">
        <v>20</v>
      </c>
      <c r="I2292" t="s">
        <v>23</v>
      </c>
      <c r="L2292" t="s">
        <v>22</v>
      </c>
      <c r="M2292">
        <v>29.155000000000001</v>
      </c>
      <c r="N2292">
        <v>29.155000000000001</v>
      </c>
      <c r="O2292" t="s">
        <v>24</v>
      </c>
      <c r="P2292">
        <f t="shared" si="108"/>
        <v>400</v>
      </c>
      <c r="Q2292" s="11">
        <f>IF(P2292=0,0,IFERROR(Q2291+G2292*M2292*IF(E2292="FUTURE",VLOOKUP(MID(I2292,2,2),[1]Futures!$A$2:$B$12,2),1),G2292*M2292*IF(E2292="FUTURE",VLOOKUP(MID(I2292,2,2),[1]Futures!$A$2:$B$12,2),1)))</f>
        <v>11662</v>
      </c>
      <c r="R2292" s="12">
        <f>IFERROR(Q2292/P2292/IF(E2292="FUTURE",VLOOKUP(MID(I2292,2,2),[1]Futures!$A$2:$B$12,2),1),"")</f>
        <v>29.155000000000001</v>
      </c>
      <c r="S2292" s="13" t="str">
        <f>IF(AND(H2292="TO CLOSE",P2292=0),-G2292*(M2292-R2291)*IF(E2292="FUTURE",VLOOKUP(MID(I2292,2,2),[1]Futures!$A$2:$B$12,2),1),"")</f>
        <v/>
      </c>
    </row>
    <row r="2293" spans="1:19" x14ac:dyDescent="0.2">
      <c r="A2293">
        <f t="shared" si="107"/>
        <v>757</v>
      </c>
      <c r="B2293" s="3">
        <v>44035</v>
      </c>
      <c r="C2293" s="3" t="str">
        <f t="shared" si="106"/>
        <v>Thursday</v>
      </c>
      <c r="D2293" s="2">
        <v>0.50755787037037037</v>
      </c>
      <c r="E2293" t="s">
        <v>22</v>
      </c>
      <c r="F2293" t="s">
        <v>19</v>
      </c>
      <c r="G2293">
        <v>100</v>
      </c>
      <c r="H2293" t="s">
        <v>20</v>
      </c>
      <c r="I2293" t="s">
        <v>23</v>
      </c>
      <c r="L2293" t="s">
        <v>22</v>
      </c>
      <c r="M2293">
        <v>29.069900000000001</v>
      </c>
      <c r="N2293">
        <v>29.069900000000001</v>
      </c>
      <c r="O2293" t="s">
        <v>24</v>
      </c>
      <c r="P2293">
        <f t="shared" si="108"/>
        <v>500</v>
      </c>
      <c r="Q2293" s="11">
        <f>IF(P2293=0,0,IFERROR(Q2292+G2293*M2293*IF(E2293="FUTURE",VLOOKUP(MID(I2293,2,2),[1]Futures!$A$2:$B$12,2),1),G2293*M2293*IF(E2293="FUTURE",VLOOKUP(MID(I2293,2,2),[1]Futures!$A$2:$B$12,2),1)))</f>
        <v>14568.99</v>
      </c>
      <c r="R2293" s="12">
        <f>IFERROR(Q2293/P2293/IF(E2293="FUTURE",VLOOKUP(MID(I2293,2,2),[1]Futures!$A$2:$B$12,2),1),"")</f>
        <v>29.137979999999999</v>
      </c>
      <c r="S2293" s="13" t="str">
        <f>IF(AND(H2293="TO CLOSE",P2293=0),-G2293*(M2293-R2292)*IF(E2293="FUTURE",VLOOKUP(MID(I2293,2,2),[1]Futures!$A$2:$B$12,2),1),"")</f>
        <v/>
      </c>
    </row>
    <row r="2294" spans="1:19" x14ac:dyDescent="0.2">
      <c r="A2294">
        <f t="shared" si="107"/>
        <v>757</v>
      </c>
      <c r="B2294" s="3">
        <v>44035</v>
      </c>
      <c r="C2294" s="3" t="str">
        <f t="shared" si="106"/>
        <v>Thursday</v>
      </c>
      <c r="D2294" s="2">
        <v>0.51437500000000003</v>
      </c>
      <c r="E2294" t="s">
        <v>22</v>
      </c>
      <c r="F2294" t="s">
        <v>15</v>
      </c>
      <c r="G2294">
        <v>-500</v>
      </c>
      <c r="H2294" t="s">
        <v>16</v>
      </c>
      <c r="I2294" t="s">
        <v>23</v>
      </c>
      <c r="L2294" t="s">
        <v>22</v>
      </c>
      <c r="M2294">
        <v>29.082599999999999</v>
      </c>
      <c r="N2294">
        <v>29.082599999999999</v>
      </c>
      <c r="O2294" t="s">
        <v>24</v>
      </c>
      <c r="P2294">
        <f t="shared" si="108"/>
        <v>0</v>
      </c>
      <c r="Q2294" s="11">
        <f>IF(P2294=0,0,IFERROR(Q2293+G2294*M2294*IF(E2294="FUTURE",VLOOKUP(MID(I2294,2,2),[1]Futures!$A$2:$B$12,2),1),G2294*M2294*IF(E2294="FUTURE",VLOOKUP(MID(I2294,2,2),[1]Futures!$A$2:$B$12,2),1)))</f>
        <v>0</v>
      </c>
      <c r="R2294" s="12" t="str">
        <f>IFERROR(Q2294/P2294/IF(E2294="FUTURE",VLOOKUP(MID(I2294,2,2),[1]Futures!$A$2:$B$12,2),1),"")</f>
        <v/>
      </c>
      <c r="S2294" s="13">
        <f>IF(AND(H2294="TO CLOSE",P2294=0),-G2294*(M2294-R2293)*IF(E2294="FUTURE",VLOOKUP(MID(I2294,2,2),[1]Futures!$A$2:$B$12,2),1),"")</f>
        <v>-27.68999999999977</v>
      </c>
    </row>
    <row r="2295" spans="1:19" x14ac:dyDescent="0.2">
      <c r="A2295">
        <f t="shared" si="107"/>
        <v>758</v>
      </c>
      <c r="B2295" s="3">
        <v>44035</v>
      </c>
      <c r="C2295" s="3" t="str">
        <f t="shared" si="106"/>
        <v>Thursday</v>
      </c>
      <c r="D2295" s="2">
        <v>0.5145601851851852</v>
      </c>
      <c r="E2295" t="s">
        <v>22</v>
      </c>
      <c r="F2295" t="s">
        <v>15</v>
      </c>
      <c r="G2295">
        <v>-300</v>
      </c>
      <c r="H2295" t="s">
        <v>20</v>
      </c>
      <c r="I2295" t="s">
        <v>23</v>
      </c>
      <c r="L2295" t="s">
        <v>22</v>
      </c>
      <c r="M2295">
        <v>29.045000000000002</v>
      </c>
      <c r="N2295">
        <v>29.045000000000002</v>
      </c>
      <c r="O2295" t="s">
        <v>24</v>
      </c>
      <c r="P2295">
        <f t="shared" si="108"/>
        <v>-300</v>
      </c>
      <c r="Q2295" s="11">
        <f>IF(P2295=0,0,IFERROR(Q2294+G2295*M2295*IF(E2295="FUTURE",VLOOKUP(MID(I2295,2,2),[1]Futures!$A$2:$B$12,2),1),G2295*M2295*IF(E2295="FUTURE",VLOOKUP(MID(I2295,2,2),[1]Futures!$A$2:$B$12,2),1)))</f>
        <v>-8713.5</v>
      </c>
      <c r="R2295" s="12">
        <f>IFERROR(Q2295/P2295/IF(E2295="FUTURE",VLOOKUP(MID(I2295,2,2),[1]Futures!$A$2:$B$12,2),1),"")</f>
        <v>29.045000000000002</v>
      </c>
      <c r="S2295" s="13" t="str">
        <f>IF(AND(H2295="TO CLOSE",P2295=0),-G2295*(M2295-R2294)*IF(E2295="FUTURE",VLOOKUP(MID(I2295,2,2),[1]Futures!$A$2:$B$12,2),1),"")</f>
        <v/>
      </c>
    </row>
    <row r="2296" spans="1:19" x14ac:dyDescent="0.2">
      <c r="A2296">
        <f t="shared" si="107"/>
        <v>758</v>
      </c>
      <c r="B2296" s="3">
        <v>44035</v>
      </c>
      <c r="C2296" s="3" t="str">
        <f t="shared" si="106"/>
        <v>Thursday</v>
      </c>
      <c r="D2296" s="2">
        <v>0.51478009259259261</v>
      </c>
      <c r="E2296" t="s">
        <v>22</v>
      </c>
      <c r="F2296" t="s">
        <v>19</v>
      </c>
      <c r="G2296">
        <v>50</v>
      </c>
      <c r="H2296" t="s">
        <v>16</v>
      </c>
      <c r="I2296" t="s">
        <v>23</v>
      </c>
      <c r="L2296" t="s">
        <v>22</v>
      </c>
      <c r="M2296">
        <v>29.049900000000001</v>
      </c>
      <c r="N2296">
        <v>29.05</v>
      </c>
      <c r="O2296" t="s">
        <v>24</v>
      </c>
      <c r="P2296">
        <f t="shared" si="108"/>
        <v>-250</v>
      </c>
      <c r="Q2296" s="11">
        <f>IF(P2296=0,0,IFERROR(Q2295+G2296*M2296*IF(E2296="FUTURE",VLOOKUP(MID(I2296,2,2),[1]Futures!$A$2:$B$12,2),1),G2296*M2296*IF(E2296="FUTURE",VLOOKUP(MID(I2296,2,2),[1]Futures!$A$2:$B$12,2),1)))</f>
        <v>-7261.0050000000001</v>
      </c>
      <c r="R2296" s="12">
        <f>IFERROR(Q2296/P2296/IF(E2296="FUTURE",VLOOKUP(MID(I2296,2,2),[1]Futures!$A$2:$B$12,2),1),"")</f>
        <v>29.04402</v>
      </c>
      <c r="S2296" s="13" t="str">
        <f>IF(AND(H2296="TO CLOSE",P2296=0),-G2296*(M2296-R2295)*IF(E2296="FUTURE",VLOOKUP(MID(I2296,2,2),[1]Futures!$A$2:$B$12,2),1),"")</f>
        <v/>
      </c>
    </row>
    <row r="2297" spans="1:19" x14ac:dyDescent="0.2">
      <c r="A2297">
        <f t="shared" si="107"/>
        <v>758</v>
      </c>
      <c r="B2297" s="3">
        <v>44035</v>
      </c>
      <c r="C2297" s="3" t="str">
        <f t="shared" si="106"/>
        <v>Thursday</v>
      </c>
      <c r="D2297" s="2">
        <v>0.51501157407407405</v>
      </c>
      <c r="E2297" t="s">
        <v>22</v>
      </c>
      <c r="F2297" t="s">
        <v>19</v>
      </c>
      <c r="G2297">
        <v>20</v>
      </c>
      <c r="H2297" t="s">
        <v>16</v>
      </c>
      <c r="I2297" t="s">
        <v>23</v>
      </c>
      <c r="L2297" t="s">
        <v>22</v>
      </c>
      <c r="M2297">
        <v>29.049900000000001</v>
      </c>
      <c r="N2297">
        <v>29.05</v>
      </c>
      <c r="O2297" t="s">
        <v>24</v>
      </c>
      <c r="P2297">
        <f t="shared" si="108"/>
        <v>-230</v>
      </c>
      <c r="Q2297" s="11">
        <f>IF(P2297=0,0,IFERROR(Q2296+G2297*M2297*IF(E2297="FUTURE",VLOOKUP(MID(I2297,2,2),[1]Futures!$A$2:$B$12,2),1),G2297*M2297*IF(E2297="FUTURE",VLOOKUP(MID(I2297,2,2),[1]Futures!$A$2:$B$12,2),1)))</f>
        <v>-6680.0069999999996</v>
      </c>
      <c r="R2297" s="12">
        <f>IFERROR(Q2297/P2297/IF(E2297="FUTURE",VLOOKUP(MID(I2297,2,2),[1]Futures!$A$2:$B$12,2),1),"")</f>
        <v>29.043508695652172</v>
      </c>
      <c r="S2297" s="13" t="str">
        <f>IF(AND(H2297="TO CLOSE",P2297=0),-G2297*(M2297-R2296)*IF(E2297="FUTURE",VLOOKUP(MID(I2297,2,2),[1]Futures!$A$2:$B$12,2),1),"")</f>
        <v/>
      </c>
    </row>
    <row r="2298" spans="1:19" x14ac:dyDescent="0.2">
      <c r="A2298">
        <f t="shared" si="107"/>
        <v>758</v>
      </c>
      <c r="B2298" s="3">
        <v>44035</v>
      </c>
      <c r="C2298" s="3" t="str">
        <f t="shared" si="106"/>
        <v>Thursday</v>
      </c>
      <c r="D2298" s="2">
        <v>0.51989583333333333</v>
      </c>
      <c r="E2298" t="s">
        <v>22</v>
      </c>
      <c r="F2298" t="s">
        <v>19</v>
      </c>
      <c r="G2298">
        <v>30</v>
      </c>
      <c r="H2298" t="s">
        <v>16</v>
      </c>
      <c r="I2298" t="s">
        <v>23</v>
      </c>
      <c r="L2298" t="s">
        <v>22</v>
      </c>
      <c r="M2298">
        <v>29.094999999999999</v>
      </c>
      <c r="N2298">
        <v>29.094999999999999</v>
      </c>
      <c r="O2298" t="s">
        <v>24</v>
      </c>
      <c r="P2298">
        <f t="shared" si="108"/>
        <v>-200</v>
      </c>
      <c r="Q2298" s="11">
        <f>IF(P2298=0,0,IFERROR(Q2297+G2298*M2298*IF(E2298="FUTURE",VLOOKUP(MID(I2298,2,2),[1]Futures!$A$2:$B$12,2),1),G2298*M2298*IF(E2298="FUTURE",VLOOKUP(MID(I2298,2,2),[1]Futures!$A$2:$B$12,2),1)))</f>
        <v>-5807.1569999999992</v>
      </c>
      <c r="R2298" s="12">
        <f>IFERROR(Q2298/P2298/IF(E2298="FUTURE",VLOOKUP(MID(I2298,2,2),[1]Futures!$A$2:$B$12,2),1),"")</f>
        <v>29.035784999999997</v>
      </c>
      <c r="S2298" s="13" t="str">
        <f>IF(AND(H2298="TO CLOSE",P2298=0),-G2298*(M2298-R2297)*IF(E2298="FUTURE",VLOOKUP(MID(I2298,2,2),[1]Futures!$A$2:$B$12,2),1),"")</f>
        <v/>
      </c>
    </row>
    <row r="2299" spans="1:19" x14ac:dyDescent="0.2">
      <c r="A2299">
        <f t="shared" si="107"/>
        <v>758</v>
      </c>
      <c r="B2299" s="3">
        <v>44035</v>
      </c>
      <c r="C2299" s="3" t="str">
        <f t="shared" si="106"/>
        <v>Thursday</v>
      </c>
      <c r="D2299" s="2">
        <v>0.57123842592592589</v>
      </c>
      <c r="E2299" t="s">
        <v>22</v>
      </c>
      <c r="F2299" t="s">
        <v>19</v>
      </c>
      <c r="G2299">
        <v>200</v>
      </c>
      <c r="H2299" t="s">
        <v>16</v>
      </c>
      <c r="I2299" t="s">
        <v>23</v>
      </c>
      <c r="L2299" t="s">
        <v>22</v>
      </c>
      <c r="M2299">
        <v>29.91</v>
      </c>
      <c r="N2299">
        <v>29.91</v>
      </c>
      <c r="O2299" t="s">
        <v>24</v>
      </c>
      <c r="P2299">
        <f t="shared" si="108"/>
        <v>0</v>
      </c>
      <c r="Q2299" s="11">
        <f>IF(P2299=0,0,IFERROR(Q2298+G2299*M2299*IF(E2299="FUTURE",VLOOKUP(MID(I2299,2,2),[1]Futures!$A$2:$B$12,2),1),G2299*M2299*IF(E2299="FUTURE",VLOOKUP(MID(I2299,2,2),[1]Futures!$A$2:$B$12,2),1)))</f>
        <v>0</v>
      </c>
      <c r="R2299" s="12" t="str">
        <f>IFERROR(Q2299/P2299/IF(E2299="FUTURE",VLOOKUP(MID(I2299,2,2),[1]Futures!$A$2:$B$12,2),1),"")</f>
        <v/>
      </c>
      <c r="S2299" s="13">
        <f>IF(AND(H2299="TO CLOSE",P2299=0),-G2299*(M2299-R2298)*IF(E2299="FUTURE",VLOOKUP(MID(I2299,2,2),[1]Futures!$A$2:$B$12,2),1),"")</f>
        <v>-174.84300000000061</v>
      </c>
    </row>
    <row r="2300" spans="1:19" x14ac:dyDescent="0.2">
      <c r="A2300">
        <f t="shared" si="107"/>
        <v>759</v>
      </c>
      <c r="B2300" s="3">
        <v>44035</v>
      </c>
      <c r="C2300" s="3" t="str">
        <f t="shared" si="106"/>
        <v>Thursday</v>
      </c>
      <c r="D2300" s="2">
        <v>0.58076388888888886</v>
      </c>
      <c r="E2300" t="s">
        <v>22</v>
      </c>
      <c r="F2300" t="s">
        <v>15</v>
      </c>
      <c r="G2300">
        <v>-100</v>
      </c>
      <c r="H2300" t="s">
        <v>20</v>
      </c>
      <c r="I2300" t="s">
        <v>23</v>
      </c>
      <c r="L2300" t="s">
        <v>22</v>
      </c>
      <c r="M2300">
        <v>29.800999999999998</v>
      </c>
      <c r="N2300">
        <v>29.800999999999998</v>
      </c>
      <c r="O2300" t="s">
        <v>24</v>
      </c>
      <c r="P2300">
        <f t="shared" si="108"/>
        <v>-100</v>
      </c>
      <c r="Q2300" s="11">
        <f>IF(P2300=0,0,IFERROR(Q2299+G2300*M2300*IF(E2300="FUTURE",VLOOKUP(MID(I2300,2,2),[1]Futures!$A$2:$B$12,2),1),G2300*M2300*IF(E2300="FUTURE",VLOOKUP(MID(I2300,2,2),[1]Futures!$A$2:$B$12,2),1)))</f>
        <v>-2980.1</v>
      </c>
      <c r="R2300" s="12">
        <f>IFERROR(Q2300/P2300/IF(E2300="FUTURE",VLOOKUP(MID(I2300,2,2),[1]Futures!$A$2:$B$12,2),1),"")</f>
        <v>29.800999999999998</v>
      </c>
      <c r="S2300" s="13" t="str">
        <f>IF(AND(H2300="TO CLOSE",P2300=0),-G2300*(M2300-R2299)*IF(E2300="FUTURE",VLOOKUP(MID(I2300,2,2),[1]Futures!$A$2:$B$12,2),1),"")</f>
        <v/>
      </c>
    </row>
    <row r="2301" spans="1:19" x14ac:dyDescent="0.2">
      <c r="A2301">
        <f t="shared" si="107"/>
        <v>759</v>
      </c>
      <c r="B2301" s="3">
        <v>44035</v>
      </c>
      <c r="C2301" s="3" t="str">
        <f t="shared" si="106"/>
        <v>Thursday</v>
      </c>
      <c r="D2301" s="2">
        <v>0.59488425925925925</v>
      </c>
      <c r="E2301" t="s">
        <v>22</v>
      </c>
      <c r="F2301" t="s">
        <v>19</v>
      </c>
      <c r="G2301">
        <v>100</v>
      </c>
      <c r="H2301" t="s">
        <v>16</v>
      </c>
      <c r="I2301" t="s">
        <v>23</v>
      </c>
      <c r="L2301" t="s">
        <v>22</v>
      </c>
      <c r="M2301">
        <v>30.4998</v>
      </c>
      <c r="N2301">
        <v>30.4998</v>
      </c>
      <c r="O2301" t="s">
        <v>24</v>
      </c>
      <c r="P2301">
        <f t="shared" si="108"/>
        <v>0</v>
      </c>
      <c r="Q2301" s="11">
        <f>IF(P2301=0,0,IFERROR(Q2300+G2301*M2301*IF(E2301="FUTURE",VLOOKUP(MID(I2301,2,2),[1]Futures!$A$2:$B$12,2),1),G2301*M2301*IF(E2301="FUTURE",VLOOKUP(MID(I2301,2,2),[1]Futures!$A$2:$B$12,2),1)))</f>
        <v>0</v>
      </c>
      <c r="R2301" s="12" t="str">
        <f>IFERROR(Q2301/P2301/IF(E2301="FUTURE",VLOOKUP(MID(I2301,2,2),[1]Futures!$A$2:$B$12,2),1),"")</f>
        <v/>
      </c>
      <c r="S2301" s="13">
        <f>IF(AND(H2301="TO CLOSE",P2301=0),-G2301*(M2301-R2300)*IF(E2301="FUTURE",VLOOKUP(MID(I2301,2,2),[1]Futures!$A$2:$B$12,2),1),"")</f>
        <v>-69.880000000000209</v>
      </c>
    </row>
    <row r="2302" spans="1:19" x14ac:dyDescent="0.2">
      <c r="A2302">
        <f t="shared" si="107"/>
        <v>760</v>
      </c>
      <c r="B2302" s="3">
        <v>44035</v>
      </c>
      <c r="C2302" s="3" t="str">
        <f t="shared" ref="C2302:C2365" si="109">IF(WEEKDAY(B2302,2)=1,"Monday",IF(WEEKDAY(B2302,2)=2,"Tuesday",IF(WEEKDAY(B2302,2)=3,"Wednesday",IF(WEEKDAY(B2302,2)=4,"Thursday",IF(WEEKDAY(B2302,2)=5,"Friday","Sunday")))))</f>
        <v>Thursday</v>
      </c>
      <c r="D2302" s="2">
        <v>0.59931712962962969</v>
      </c>
      <c r="E2302" t="s">
        <v>22</v>
      </c>
      <c r="F2302" t="s">
        <v>15</v>
      </c>
      <c r="G2302">
        <v>-300</v>
      </c>
      <c r="H2302" t="s">
        <v>20</v>
      </c>
      <c r="I2302" t="s">
        <v>23</v>
      </c>
      <c r="L2302" t="s">
        <v>22</v>
      </c>
      <c r="M2302">
        <v>30.324300000000001</v>
      </c>
      <c r="N2302">
        <v>30.324300000000001</v>
      </c>
      <c r="O2302" t="s">
        <v>24</v>
      </c>
      <c r="P2302">
        <f t="shared" si="108"/>
        <v>-300</v>
      </c>
      <c r="Q2302" s="11">
        <f>IF(P2302=0,0,IFERROR(Q2301+G2302*M2302*IF(E2302="FUTURE",VLOOKUP(MID(I2302,2,2),[1]Futures!$A$2:$B$12,2),1),G2302*M2302*IF(E2302="FUTURE",VLOOKUP(MID(I2302,2,2),[1]Futures!$A$2:$B$12,2),1)))</f>
        <v>-9097.2900000000009</v>
      </c>
      <c r="R2302" s="12">
        <f>IFERROR(Q2302/P2302/IF(E2302="FUTURE",VLOOKUP(MID(I2302,2,2),[1]Futures!$A$2:$B$12,2),1),"")</f>
        <v>30.324300000000004</v>
      </c>
      <c r="S2302" s="13" t="str">
        <f>IF(AND(H2302="TO CLOSE",P2302=0),-G2302*(M2302-R2301)*IF(E2302="FUTURE",VLOOKUP(MID(I2302,2,2),[1]Futures!$A$2:$B$12,2),1),"")</f>
        <v/>
      </c>
    </row>
    <row r="2303" spans="1:19" x14ac:dyDescent="0.2">
      <c r="A2303">
        <f t="shared" si="107"/>
        <v>760</v>
      </c>
      <c r="B2303" s="3">
        <v>44035</v>
      </c>
      <c r="C2303" s="3" t="str">
        <f t="shared" si="109"/>
        <v>Thursday</v>
      </c>
      <c r="D2303" s="2">
        <v>0.59931712962962969</v>
      </c>
      <c r="E2303" t="s">
        <v>22</v>
      </c>
      <c r="F2303" t="s">
        <v>15</v>
      </c>
      <c r="G2303">
        <v>-300</v>
      </c>
      <c r="H2303" t="s">
        <v>20</v>
      </c>
      <c r="I2303" t="s">
        <v>23</v>
      </c>
      <c r="L2303" t="s">
        <v>22</v>
      </c>
      <c r="M2303">
        <v>30.324300000000001</v>
      </c>
      <c r="N2303">
        <v>30.324300000000001</v>
      </c>
      <c r="O2303" t="s">
        <v>24</v>
      </c>
      <c r="P2303">
        <f t="shared" si="108"/>
        <v>-600</v>
      </c>
      <c r="Q2303" s="11">
        <f>IF(P2303=0,0,IFERROR(Q2302+G2303*M2303*IF(E2303="FUTURE",VLOOKUP(MID(I2303,2,2),[1]Futures!$A$2:$B$12,2),1),G2303*M2303*IF(E2303="FUTURE",VLOOKUP(MID(I2303,2,2),[1]Futures!$A$2:$B$12,2),1)))</f>
        <v>-18194.580000000002</v>
      </c>
      <c r="R2303" s="12">
        <f>IFERROR(Q2303/P2303/IF(E2303="FUTURE",VLOOKUP(MID(I2303,2,2),[1]Futures!$A$2:$B$12,2),1),"")</f>
        <v>30.324300000000004</v>
      </c>
      <c r="S2303" s="13" t="str">
        <f>IF(AND(H2303="TO CLOSE",P2303=0),-G2303*(M2303-R2302)*IF(E2303="FUTURE",VLOOKUP(MID(I2303,2,2),[1]Futures!$A$2:$B$12,2),1),"")</f>
        <v/>
      </c>
    </row>
    <row r="2304" spans="1:19" x14ac:dyDescent="0.2">
      <c r="A2304">
        <f t="shared" si="107"/>
        <v>760</v>
      </c>
      <c r="B2304" s="3">
        <v>44035</v>
      </c>
      <c r="C2304" s="3" t="str">
        <f t="shared" si="109"/>
        <v>Thursday</v>
      </c>
      <c r="D2304" s="2">
        <v>0.60152777777777777</v>
      </c>
      <c r="E2304" t="s">
        <v>22</v>
      </c>
      <c r="F2304" t="s">
        <v>19</v>
      </c>
      <c r="G2304">
        <v>600</v>
      </c>
      <c r="H2304" t="s">
        <v>16</v>
      </c>
      <c r="I2304" t="s">
        <v>23</v>
      </c>
      <c r="L2304" t="s">
        <v>22</v>
      </c>
      <c r="M2304">
        <v>30.129799999999999</v>
      </c>
      <c r="N2304">
        <v>30.129799999999999</v>
      </c>
      <c r="O2304" t="s">
        <v>21</v>
      </c>
      <c r="P2304">
        <f t="shared" si="108"/>
        <v>0</v>
      </c>
      <c r="Q2304" s="11">
        <f>IF(P2304=0,0,IFERROR(Q2303+G2304*M2304*IF(E2304="FUTURE",VLOOKUP(MID(I2304,2,2),[1]Futures!$A$2:$B$12,2),1),G2304*M2304*IF(E2304="FUTURE",VLOOKUP(MID(I2304,2,2),[1]Futures!$A$2:$B$12,2),1)))</f>
        <v>0</v>
      </c>
      <c r="R2304" s="12" t="str">
        <f>IFERROR(Q2304/P2304/IF(E2304="FUTURE",VLOOKUP(MID(I2304,2,2),[1]Futures!$A$2:$B$12,2),1),"")</f>
        <v/>
      </c>
      <c r="S2304" s="13">
        <f>IF(AND(H2304="TO CLOSE",P2304=0),-G2304*(M2304-R2303)*IF(E2304="FUTURE",VLOOKUP(MID(I2304,2,2),[1]Futures!$A$2:$B$12,2),1),"")</f>
        <v>116.700000000003</v>
      </c>
    </row>
    <row r="2305" spans="1:19" x14ac:dyDescent="0.2">
      <c r="A2305">
        <f t="shared" si="107"/>
        <v>761</v>
      </c>
      <c r="B2305" s="3">
        <v>44036</v>
      </c>
      <c r="C2305" s="3" t="str">
        <f t="shared" si="109"/>
        <v>Friday</v>
      </c>
      <c r="D2305" s="2">
        <v>0.43329861111111106</v>
      </c>
      <c r="E2305" t="s">
        <v>14</v>
      </c>
      <c r="F2305" t="s">
        <v>19</v>
      </c>
      <c r="G2305">
        <v>1</v>
      </c>
      <c r="H2305" t="s">
        <v>20</v>
      </c>
      <c r="I2305" t="s">
        <v>81</v>
      </c>
      <c r="J2305" s="1">
        <v>44094</v>
      </c>
      <c r="L2305" t="s">
        <v>14</v>
      </c>
      <c r="M2305">
        <v>41.02</v>
      </c>
      <c r="N2305">
        <v>41.02</v>
      </c>
      <c r="O2305" t="s">
        <v>21</v>
      </c>
      <c r="P2305">
        <f t="shared" si="108"/>
        <v>1</v>
      </c>
      <c r="Q2305" s="11">
        <f>IF(P2305=0,0,IFERROR(Q2304+G2305*M2305*IF(E2305="FUTURE",VLOOKUP(MID(I2305,2,2),[1]Futures!$A$2:$B$12,2),1),G2305*M2305*IF(E2305="FUTURE",VLOOKUP(MID(I2305,2,2),[1]Futures!$A$2:$B$12,2),1)))</f>
        <v>41020</v>
      </c>
      <c r="R2305" s="12">
        <f>IFERROR(Q2305/P2305/IF(E2305="FUTURE",VLOOKUP(MID(I2305,2,2),[1]Futures!$A$2:$B$12,2),1),"")</f>
        <v>41.02</v>
      </c>
      <c r="S2305" s="13" t="str">
        <f>IF(AND(H2305="TO CLOSE",P2305=0),-G2305*(M2305-R2304)*IF(E2305="FUTURE",VLOOKUP(MID(I2305,2,2),[1]Futures!$A$2:$B$12,2),1),"")</f>
        <v/>
      </c>
    </row>
    <row r="2306" spans="1:19" x14ac:dyDescent="0.2">
      <c r="A2306">
        <f t="shared" ref="A2306:A2369" si="110">IF(AND(P2305=0,H2305="TO CLOSE"),IFERROR(A2305+1,1),IFERROR(A2305/1,1))</f>
        <v>761</v>
      </c>
      <c r="B2306" s="3">
        <v>44036</v>
      </c>
      <c r="C2306" s="3" t="str">
        <f t="shared" si="109"/>
        <v>Friday</v>
      </c>
      <c r="D2306" s="2">
        <v>0.46143518518518517</v>
      </c>
      <c r="E2306" t="s">
        <v>14</v>
      </c>
      <c r="F2306" t="s">
        <v>15</v>
      </c>
      <c r="G2306">
        <v>-1</v>
      </c>
      <c r="H2306" t="s">
        <v>16</v>
      </c>
      <c r="I2306" t="s">
        <v>81</v>
      </c>
      <c r="J2306" s="1">
        <v>44094</v>
      </c>
      <c r="L2306" t="s">
        <v>14</v>
      </c>
      <c r="M2306">
        <v>41.07</v>
      </c>
      <c r="N2306">
        <v>41.07</v>
      </c>
      <c r="O2306" t="s">
        <v>18</v>
      </c>
      <c r="P2306">
        <f t="shared" si="108"/>
        <v>0</v>
      </c>
      <c r="Q2306" s="11">
        <f>IF(P2306=0,0,IFERROR(Q2305+G2306*M2306*IF(E2306="FUTURE",VLOOKUP(MID(I2306,2,2),[1]Futures!$A$2:$B$12,2),1),G2306*M2306*IF(E2306="FUTURE",VLOOKUP(MID(I2306,2,2),[1]Futures!$A$2:$B$12,2),1)))</f>
        <v>0</v>
      </c>
      <c r="R2306" s="12" t="str">
        <f>IFERROR(Q2306/P2306/IF(E2306="FUTURE",VLOOKUP(MID(I2306,2,2),[1]Futures!$A$2:$B$12,2),1),"")</f>
        <v/>
      </c>
      <c r="S2306" s="13">
        <f>IF(AND(H2306="TO CLOSE",P2306=0),-G2306*(M2306-R2305)*IF(E2306="FUTURE",VLOOKUP(MID(I2306,2,2),[1]Futures!$A$2:$B$12,2),1),"")</f>
        <v>49.999999999997158</v>
      </c>
    </row>
    <row r="2307" spans="1:19" x14ac:dyDescent="0.2">
      <c r="A2307">
        <f t="shared" si="110"/>
        <v>762</v>
      </c>
      <c r="B2307" s="3">
        <v>44036</v>
      </c>
      <c r="C2307" s="3" t="str">
        <f t="shared" si="109"/>
        <v>Friday</v>
      </c>
      <c r="D2307" s="2">
        <v>0.46543981481481483</v>
      </c>
      <c r="E2307" t="s">
        <v>14</v>
      </c>
      <c r="F2307" t="s">
        <v>19</v>
      </c>
      <c r="G2307">
        <v>1</v>
      </c>
      <c r="H2307" t="s">
        <v>20</v>
      </c>
      <c r="I2307" t="s">
        <v>81</v>
      </c>
      <c r="J2307" s="1">
        <v>44094</v>
      </c>
      <c r="L2307" t="s">
        <v>14</v>
      </c>
      <c r="M2307">
        <v>41.12</v>
      </c>
      <c r="N2307">
        <v>41.12</v>
      </c>
      <c r="O2307" t="s">
        <v>24</v>
      </c>
      <c r="P2307">
        <f t="shared" ref="P2307:P2370" si="111">IF(H2307="TO OPEN",IFERROR(P2306+G2307,0+G2307),IFERROR(P2306+G2307,0+G2307))</f>
        <v>1</v>
      </c>
      <c r="Q2307" s="11">
        <f>IF(P2307=0,0,IFERROR(Q2306+G2307*M2307*IF(E2307="FUTURE",VLOOKUP(MID(I2307,2,2),[1]Futures!$A$2:$B$12,2),1),G2307*M2307*IF(E2307="FUTURE",VLOOKUP(MID(I2307,2,2),[1]Futures!$A$2:$B$12,2),1)))</f>
        <v>41120</v>
      </c>
      <c r="R2307" s="12">
        <f>IFERROR(Q2307/P2307/IF(E2307="FUTURE",VLOOKUP(MID(I2307,2,2),[1]Futures!$A$2:$B$12,2),1),"")</f>
        <v>41.12</v>
      </c>
      <c r="S2307" s="13" t="str">
        <f>IF(AND(H2307="TO CLOSE",P2307=0),-G2307*(M2307-R2306)*IF(E2307="FUTURE",VLOOKUP(MID(I2307,2,2),[1]Futures!$A$2:$B$12,2),1),"")</f>
        <v/>
      </c>
    </row>
    <row r="2308" spans="1:19" x14ac:dyDescent="0.2">
      <c r="A2308">
        <f t="shared" si="110"/>
        <v>762</v>
      </c>
      <c r="B2308" s="3">
        <v>44036</v>
      </c>
      <c r="C2308" s="3" t="str">
        <f t="shared" si="109"/>
        <v>Friday</v>
      </c>
      <c r="D2308" s="2">
        <v>0.5892708333333333</v>
      </c>
      <c r="E2308" t="s">
        <v>14</v>
      </c>
      <c r="F2308" t="s">
        <v>15</v>
      </c>
      <c r="G2308">
        <v>-1</v>
      </c>
      <c r="H2308" t="s">
        <v>16</v>
      </c>
      <c r="I2308" t="s">
        <v>81</v>
      </c>
      <c r="J2308" s="1">
        <v>44094</v>
      </c>
      <c r="L2308" t="s">
        <v>14</v>
      </c>
      <c r="M2308">
        <v>41.14</v>
      </c>
      <c r="N2308">
        <v>41.14</v>
      </c>
      <c r="O2308" t="s">
        <v>21</v>
      </c>
      <c r="P2308">
        <f t="shared" si="111"/>
        <v>0</v>
      </c>
      <c r="Q2308" s="11">
        <f>IF(P2308=0,0,IFERROR(Q2307+G2308*M2308*IF(E2308="FUTURE",VLOOKUP(MID(I2308,2,2),[1]Futures!$A$2:$B$12,2),1),G2308*M2308*IF(E2308="FUTURE",VLOOKUP(MID(I2308,2,2),[1]Futures!$A$2:$B$12,2),1)))</f>
        <v>0</v>
      </c>
      <c r="R2308" s="12" t="str">
        <f>IFERROR(Q2308/P2308/IF(E2308="FUTURE",VLOOKUP(MID(I2308,2,2),[1]Futures!$A$2:$B$12,2),1),"")</f>
        <v/>
      </c>
      <c r="S2308" s="13">
        <f>IF(AND(H2308="TO CLOSE",P2308=0),-G2308*(M2308-R2307)*IF(E2308="FUTURE",VLOOKUP(MID(I2308,2,2),[1]Futures!$A$2:$B$12,2),1),"")</f>
        <v>20.000000000003126</v>
      </c>
    </row>
    <row r="2309" spans="1:19" x14ac:dyDescent="0.2">
      <c r="A2309">
        <f t="shared" si="110"/>
        <v>763</v>
      </c>
      <c r="B2309" s="3">
        <v>44036</v>
      </c>
      <c r="C2309" s="3" t="str">
        <f t="shared" si="109"/>
        <v>Friday</v>
      </c>
      <c r="D2309" s="2">
        <v>0.4435763888888889</v>
      </c>
      <c r="E2309" t="s">
        <v>14</v>
      </c>
      <c r="F2309" t="s">
        <v>19</v>
      </c>
      <c r="G2309">
        <v>1</v>
      </c>
      <c r="H2309" t="s">
        <v>20</v>
      </c>
      <c r="I2309" t="s">
        <v>79</v>
      </c>
      <c r="J2309" s="1">
        <v>44094</v>
      </c>
      <c r="L2309" t="s">
        <v>14</v>
      </c>
      <c r="M2309">
        <v>3207</v>
      </c>
      <c r="N2309">
        <v>3207</v>
      </c>
      <c r="O2309" t="s">
        <v>21</v>
      </c>
      <c r="P2309">
        <f t="shared" si="111"/>
        <v>1</v>
      </c>
      <c r="Q2309" s="11">
        <f>IF(P2309=0,0,IFERROR(Q2308+G2309*M2309*IF(E2309="FUTURE",VLOOKUP(MID(I2309,2,2),[1]Futures!$A$2:$B$12,2),1),G2309*M2309*IF(E2309="FUTURE",VLOOKUP(MID(I2309,2,2),[1]Futures!$A$2:$B$12,2),1)))</f>
        <v>160350</v>
      </c>
      <c r="R2309" s="12">
        <f>IFERROR(Q2309/P2309/IF(E2309="FUTURE",VLOOKUP(MID(I2309,2,2),[1]Futures!$A$2:$B$12,2),1),"")</f>
        <v>3207</v>
      </c>
      <c r="S2309" s="13" t="str">
        <f>IF(AND(H2309="TO CLOSE",P2309=0),-G2309*(M2309-R2308)*IF(E2309="FUTURE",VLOOKUP(MID(I2309,2,2),[1]Futures!$A$2:$B$12,2),1),"")</f>
        <v/>
      </c>
    </row>
    <row r="2310" spans="1:19" x14ac:dyDescent="0.2">
      <c r="A2310">
        <f t="shared" si="110"/>
        <v>763</v>
      </c>
      <c r="B2310" s="3">
        <v>44036</v>
      </c>
      <c r="C2310" s="3" t="str">
        <f t="shared" si="109"/>
        <v>Friday</v>
      </c>
      <c r="D2310" s="2">
        <v>0.45627314814814812</v>
      </c>
      <c r="E2310" t="s">
        <v>14</v>
      </c>
      <c r="F2310" t="s">
        <v>15</v>
      </c>
      <c r="G2310">
        <v>-1</v>
      </c>
      <c r="H2310" t="s">
        <v>16</v>
      </c>
      <c r="I2310" t="s">
        <v>79</v>
      </c>
      <c r="J2310" s="1">
        <v>44094</v>
      </c>
      <c r="L2310" t="s">
        <v>14</v>
      </c>
      <c r="M2310">
        <v>3213</v>
      </c>
      <c r="N2310">
        <v>3213</v>
      </c>
      <c r="O2310" t="s">
        <v>21</v>
      </c>
      <c r="P2310">
        <f t="shared" si="111"/>
        <v>0</v>
      </c>
      <c r="Q2310" s="11">
        <f>IF(P2310=0,0,IFERROR(Q2309+G2310*M2310*IF(E2310="FUTURE",VLOOKUP(MID(I2310,2,2),[1]Futures!$A$2:$B$12,2),1),G2310*M2310*IF(E2310="FUTURE",VLOOKUP(MID(I2310,2,2),[1]Futures!$A$2:$B$12,2),1)))</f>
        <v>0</v>
      </c>
      <c r="R2310" s="12" t="str">
        <f>IFERROR(Q2310/P2310/IF(E2310="FUTURE",VLOOKUP(MID(I2310,2,2),[1]Futures!$A$2:$B$12,2),1),"")</f>
        <v/>
      </c>
      <c r="S2310" s="13">
        <f>IF(AND(H2310="TO CLOSE",P2310=0),-G2310*(M2310-R2309)*IF(E2310="FUTURE",VLOOKUP(MID(I2310,2,2),[1]Futures!$A$2:$B$12,2),1),"")</f>
        <v>300</v>
      </c>
    </row>
    <row r="2311" spans="1:19" x14ac:dyDescent="0.2">
      <c r="A2311">
        <f t="shared" si="110"/>
        <v>764</v>
      </c>
      <c r="B2311" s="3">
        <v>44036</v>
      </c>
      <c r="C2311" s="3" t="str">
        <f t="shared" si="109"/>
        <v>Friday</v>
      </c>
      <c r="D2311" s="2">
        <v>0.46692129629629631</v>
      </c>
      <c r="E2311" t="s">
        <v>14</v>
      </c>
      <c r="F2311" t="s">
        <v>19</v>
      </c>
      <c r="G2311">
        <v>1</v>
      </c>
      <c r="H2311" t="s">
        <v>20</v>
      </c>
      <c r="I2311" t="s">
        <v>79</v>
      </c>
      <c r="J2311" s="1">
        <v>44094</v>
      </c>
      <c r="L2311" t="s">
        <v>14</v>
      </c>
      <c r="M2311">
        <v>3216.5</v>
      </c>
      <c r="N2311">
        <v>3216.5</v>
      </c>
      <c r="O2311" t="s">
        <v>24</v>
      </c>
      <c r="P2311">
        <f t="shared" si="111"/>
        <v>1</v>
      </c>
      <c r="Q2311" s="11">
        <f>IF(P2311=0,0,IFERROR(Q2310+G2311*M2311*IF(E2311="FUTURE",VLOOKUP(MID(I2311,2,2),[1]Futures!$A$2:$B$12,2),1),G2311*M2311*IF(E2311="FUTURE",VLOOKUP(MID(I2311,2,2),[1]Futures!$A$2:$B$12,2),1)))</f>
        <v>160825</v>
      </c>
      <c r="R2311" s="12">
        <f>IFERROR(Q2311/P2311/IF(E2311="FUTURE",VLOOKUP(MID(I2311,2,2),[1]Futures!$A$2:$B$12,2),1),"")</f>
        <v>3216.5</v>
      </c>
      <c r="S2311" s="13" t="str">
        <f>IF(AND(H2311="TO CLOSE",P2311=0),-G2311*(M2311-R2310)*IF(E2311="FUTURE",VLOOKUP(MID(I2311,2,2),[1]Futures!$A$2:$B$12,2),1),"")</f>
        <v/>
      </c>
    </row>
    <row r="2312" spans="1:19" x14ac:dyDescent="0.2">
      <c r="A2312">
        <f t="shared" si="110"/>
        <v>764</v>
      </c>
      <c r="B2312" s="3">
        <v>44036</v>
      </c>
      <c r="C2312" s="3" t="str">
        <f t="shared" si="109"/>
        <v>Friday</v>
      </c>
      <c r="D2312" s="2">
        <v>0.62758101851851855</v>
      </c>
      <c r="E2312" t="s">
        <v>14</v>
      </c>
      <c r="F2312" t="s">
        <v>19</v>
      </c>
      <c r="G2312">
        <v>1</v>
      </c>
      <c r="H2312" t="s">
        <v>20</v>
      </c>
      <c r="I2312" t="s">
        <v>79</v>
      </c>
      <c r="J2312" s="1">
        <v>44094</v>
      </c>
      <c r="L2312" t="s">
        <v>14</v>
      </c>
      <c r="M2312">
        <v>3208.5</v>
      </c>
      <c r="N2312">
        <v>3208.5</v>
      </c>
      <c r="O2312" t="s">
        <v>18</v>
      </c>
      <c r="P2312">
        <f t="shared" si="111"/>
        <v>2</v>
      </c>
      <c r="Q2312" s="11">
        <f>IF(P2312=0,0,IFERROR(Q2311+G2312*M2312*IF(E2312="FUTURE",VLOOKUP(MID(I2312,2,2),[1]Futures!$A$2:$B$12,2),1),G2312*M2312*IF(E2312="FUTURE",VLOOKUP(MID(I2312,2,2),[1]Futures!$A$2:$B$12,2),1)))</f>
        <v>321250</v>
      </c>
      <c r="R2312" s="12">
        <f>IFERROR(Q2312/P2312/IF(E2312="FUTURE",VLOOKUP(MID(I2312,2,2),[1]Futures!$A$2:$B$12,2),1),"")</f>
        <v>3212.5</v>
      </c>
      <c r="S2312" s="13" t="str">
        <f>IF(AND(H2312="TO CLOSE",P2312=0),-G2312*(M2312-R2311)*IF(E2312="FUTURE",VLOOKUP(MID(I2312,2,2),[1]Futures!$A$2:$B$12,2),1),"")</f>
        <v/>
      </c>
    </row>
    <row r="2313" spans="1:19" x14ac:dyDescent="0.2">
      <c r="A2313">
        <f t="shared" si="110"/>
        <v>764</v>
      </c>
      <c r="B2313" s="3">
        <v>44036</v>
      </c>
      <c r="C2313" s="3" t="str">
        <f t="shared" si="109"/>
        <v>Friday</v>
      </c>
      <c r="D2313" s="2">
        <v>0.62840277777777775</v>
      </c>
      <c r="E2313" t="s">
        <v>14</v>
      </c>
      <c r="F2313" t="s">
        <v>15</v>
      </c>
      <c r="G2313">
        <v>-1</v>
      </c>
      <c r="H2313" t="s">
        <v>16</v>
      </c>
      <c r="I2313" t="s">
        <v>79</v>
      </c>
      <c r="J2313" s="1">
        <v>44094</v>
      </c>
      <c r="L2313" t="s">
        <v>14</v>
      </c>
      <c r="M2313">
        <v>3210.5</v>
      </c>
      <c r="N2313">
        <v>3210.5</v>
      </c>
      <c r="O2313" t="s">
        <v>21</v>
      </c>
      <c r="P2313">
        <f t="shared" si="111"/>
        <v>1</v>
      </c>
      <c r="Q2313" s="11">
        <f>IF(P2313=0,0,IFERROR(Q2312+G2313*M2313*IF(E2313="FUTURE",VLOOKUP(MID(I2313,2,2),[1]Futures!$A$2:$B$12,2),1),G2313*M2313*IF(E2313="FUTURE",VLOOKUP(MID(I2313,2,2),[1]Futures!$A$2:$B$12,2),1)))</f>
        <v>160725</v>
      </c>
      <c r="R2313" s="12">
        <f>IFERROR(Q2313/P2313/IF(E2313="FUTURE",VLOOKUP(MID(I2313,2,2),[1]Futures!$A$2:$B$12,2),1),"")</f>
        <v>3214.5</v>
      </c>
      <c r="S2313" s="13" t="str">
        <f>IF(AND(H2313="TO CLOSE",P2313=0),-G2313*(M2313-R2312)*IF(E2313="FUTURE",VLOOKUP(MID(I2313,2,2),[1]Futures!$A$2:$B$12,2),1),"")</f>
        <v/>
      </c>
    </row>
    <row r="2314" spans="1:19" x14ac:dyDescent="0.2">
      <c r="A2314">
        <f t="shared" si="110"/>
        <v>764</v>
      </c>
      <c r="B2314" s="3">
        <v>44036</v>
      </c>
      <c r="C2314" s="3" t="str">
        <f t="shared" si="109"/>
        <v>Friday</v>
      </c>
      <c r="D2314" s="2">
        <v>0.66843750000000002</v>
      </c>
      <c r="E2314" t="s">
        <v>14</v>
      </c>
      <c r="F2314" t="s">
        <v>15</v>
      </c>
      <c r="G2314">
        <v>-1</v>
      </c>
      <c r="H2314" t="s">
        <v>16</v>
      </c>
      <c r="I2314" t="s">
        <v>79</v>
      </c>
      <c r="J2314" s="1">
        <v>44094</v>
      </c>
      <c r="L2314" t="s">
        <v>14</v>
      </c>
      <c r="M2314">
        <v>3209</v>
      </c>
      <c r="N2314">
        <v>3209</v>
      </c>
      <c r="O2314" t="s">
        <v>21</v>
      </c>
      <c r="P2314">
        <f t="shared" si="111"/>
        <v>0</v>
      </c>
      <c r="Q2314" s="11">
        <f>IF(P2314=0,0,IFERROR(Q2313+G2314*M2314*IF(E2314="FUTURE",VLOOKUP(MID(I2314,2,2),[1]Futures!$A$2:$B$12,2),1),G2314*M2314*IF(E2314="FUTURE",VLOOKUP(MID(I2314,2,2),[1]Futures!$A$2:$B$12,2),1)))</f>
        <v>0</v>
      </c>
      <c r="R2314" s="12" t="str">
        <f>IFERROR(Q2314/P2314/IF(E2314="FUTURE",VLOOKUP(MID(I2314,2,2),[1]Futures!$A$2:$B$12,2),1),"")</f>
        <v/>
      </c>
      <c r="S2314" s="13">
        <f>IF(AND(H2314="TO CLOSE",P2314=0),-G2314*(M2314-R2313)*IF(E2314="FUTURE",VLOOKUP(MID(I2314,2,2),[1]Futures!$A$2:$B$12,2),1),"")</f>
        <v>-275</v>
      </c>
    </row>
    <row r="2315" spans="1:19" x14ac:dyDescent="0.2">
      <c r="A2315">
        <f t="shared" si="110"/>
        <v>765</v>
      </c>
      <c r="B2315" s="3">
        <v>44039</v>
      </c>
      <c r="C2315" s="3" t="str">
        <f t="shared" si="109"/>
        <v>Monday</v>
      </c>
      <c r="D2315" s="2">
        <v>0.37797453703703704</v>
      </c>
      <c r="E2315" t="s">
        <v>14</v>
      </c>
      <c r="F2315" t="s">
        <v>19</v>
      </c>
      <c r="G2315">
        <v>1</v>
      </c>
      <c r="H2315" t="s">
        <v>20</v>
      </c>
      <c r="I2315" t="s">
        <v>81</v>
      </c>
      <c r="J2315" s="1">
        <v>44094</v>
      </c>
      <c r="L2315" t="s">
        <v>14</v>
      </c>
      <c r="M2315">
        <v>41.34</v>
      </c>
      <c r="N2315">
        <v>41.34</v>
      </c>
      <c r="O2315" t="s">
        <v>21</v>
      </c>
      <c r="P2315">
        <f t="shared" si="111"/>
        <v>1</v>
      </c>
      <c r="Q2315" s="11">
        <f>IF(P2315=0,0,IFERROR(Q2314+G2315*M2315*IF(E2315="FUTURE",VLOOKUP(MID(I2315,2,2),[1]Futures!$A$2:$B$12,2),1),G2315*M2315*IF(E2315="FUTURE",VLOOKUP(MID(I2315,2,2),[1]Futures!$A$2:$B$12,2),1)))</f>
        <v>41340</v>
      </c>
      <c r="R2315" s="12">
        <f>IFERROR(Q2315/P2315/IF(E2315="FUTURE",VLOOKUP(MID(I2315,2,2),[1]Futures!$A$2:$B$12,2),1),"")</f>
        <v>41.34</v>
      </c>
      <c r="S2315" s="13" t="str">
        <f>IF(AND(H2315="TO CLOSE",P2315=0),-G2315*(M2315-R2314)*IF(E2315="FUTURE",VLOOKUP(MID(I2315,2,2),[1]Futures!$A$2:$B$12,2),1),"")</f>
        <v/>
      </c>
    </row>
    <row r="2316" spans="1:19" x14ac:dyDescent="0.2">
      <c r="A2316">
        <f t="shared" si="110"/>
        <v>765</v>
      </c>
      <c r="B2316" s="3">
        <v>44039</v>
      </c>
      <c r="C2316" s="3" t="str">
        <f t="shared" si="109"/>
        <v>Monday</v>
      </c>
      <c r="D2316" s="2">
        <v>0.38627314814814812</v>
      </c>
      <c r="E2316" t="s">
        <v>14</v>
      </c>
      <c r="F2316" t="s">
        <v>19</v>
      </c>
      <c r="G2316">
        <v>1</v>
      </c>
      <c r="H2316" t="s">
        <v>20</v>
      </c>
      <c r="I2316" t="s">
        <v>81</v>
      </c>
      <c r="J2316" s="1">
        <v>44094</v>
      </c>
      <c r="L2316" t="s">
        <v>14</v>
      </c>
      <c r="M2316">
        <v>40.98</v>
      </c>
      <c r="N2316">
        <v>40.98</v>
      </c>
      <c r="O2316" t="s">
        <v>21</v>
      </c>
      <c r="P2316">
        <f t="shared" si="111"/>
        <v>2</v>
      </c>
      <c r="Q2316" s="11">
        <f>IF(P2316=0,0,IFERROR(Q2315+G2316*M2316*IF(E2316="FUTURE",VLOOKUP(MID(I2316,2,2),[1]Futures!$A$2:$B$12,2),1),G2316*M2316*IF(E2316="FUTURE",VLOOKUP(MID(I2316,2,2),[1]Futures!$A$2:$B$12,2),1)))</f>
        <v>82320</v>
      </c>
      <c r="R2316" s="12">
        <f>IFERROR(Q2316/P2316/IF(E2316="FUTURE",VLOOKUP(MID(I2316,2,2),[1]Futures!$A$2:$B$12,2),1),"")</f>
        <v>41.16</v>
      </c>
      <c r="S2316" s="13" t="str">
        <f>IF(AND(H2316="TO CLOSE",P2316=0),-G2316*(M2316-R2315)*IF(E2316="FUTURE",VLOOKUP(MID(I2316,2,2),[1]Futures!$A$2:$B$12,2),1),"")</f>
        <v/>
      </c>
    </row>
    <row r="2317" spans="1:19" x14ac:dyDescent="0.2">
      <c r="A2317">
        <f t="shared" si="110"/>
        <v>765</v>
      </c>
      <c r="B2317" s="3">
        <v>44039</v>
      </c>
      <c r="C2317" s="3" t="str">
        <f t="shared" si="109"/>
        <v>Monday</v>
      </c>
      <c r="D2317" s="2">
        <v>0.4180787037037037</v>
      </c>
      <c r="E2317" t="s">
        <v>14</v>
      </c>
      <c r="F2317" t="s">
        <v>19</v>
      </c>
      <c r="G2317">
        <v>1</v>
      </c>
      <c r="H2317" t="s">
        <v>20</v>
      </c>
      <c r="I2317" t="s">
        <v>81</v>
      </c>
      <c r="J2317" s="1">
        <v>44094</v>
      </c>
      <c r="L2317" t="s">
        <v>14</v>
      </c>
      <c r="M2317">
        <v>40.74</v>
      </c>
      <c r="N2317">
        <v>40.74</v>
      </c>
      <c r="O2317" t="s">
        <v>21</v>
      </c>
      <c r="P2317">
        <f t="shared" si="111"/>
        <v>3</v>
      </c>
      <c r="Q2317" s="11">
        <f>IF(P2317=0,0,IFERROR(Q2316+G2317*M2317*IF(E2317="FUTURE",VLOOKUP(MID(I2317,2,2),[1]Futures!$A$2:$B$12,2),1),G2317*M2317*IF(E2317="FUTURE",VLOOKUP(MID(I2317,2,2),[1]Futures!$A$2:$B$12,2),1)))</f>
        <v>123060</v>
      </c>
      <c r="R2317" s="12">
        <f>IFERROR(Q2317/P2317/IF(E2317="FUTURE",VLOOKUP(MID(I2317,2,2),[1]Futures!$A$2:$B$12,2),1),"")</f>
        <v>41.02</v>
      </c>
      <c r="S2317" s="13" t="str">
        <f>IF(AND(H2317="TO CLOSE",P2317=0),-G2317*(M2317-R2316)*IF(E2317="FUTURE",VLOOKUP(MID(I2317,2,2),[1]Futures!$A$2:$B$12,2),1),"")</f>
        <v/>
      </c>
    </row>
    <row r="2318" spans="1:19" x14ac:dyDescent="0.2">
      <c r="A2318">
        <f t="shared" si="110"/>
        <v>765</v>
      </c>
      <c r="B2318" s="3">
        <v>44039</v>
      </c>
      <c r="C2318" s="3" t="str">
        <f t="shared" si="109"/>
        <v>Monday</v>
      </c>
      <c r="D2318" s="2">
        <v>0.51278935185185182</v>
      </c>
      <c r="E2318" t="s">
        <v>14</v>
      </c>
      <c r="F2318" t="s">
        <v>15</v>
      </c>
      <c r="G2318">
        <v>-1</v>
      </c>
      <c r="H2318" t="s">
        <v>16</v>
      </c>
      <c r="I2318" t="s">
        <v>81</v>
      </c>
      <c r="J2318" s="1">
        <v>44094</v>
      </c>
      <c r="L2318" t="s">
        <v>14</v>
      </c>
      <c r="M2318">
        <v>40.94</v>
      </c>
      <c r="N2318">
        <v>40.94</v>
      </c>
      <c r="O2318" t="s">
        <v>21</v>
      </c>
      <c r="P2318">
        <f t="shared" si="111"/>
        <v>2</v>
      </c>
      <c r="Q2318" s="11">
        <f>IF(P2318=0,0,IFERROR(Q2317+G2318*M2318*IF(E2318="FUTURE",VLOOKUP(MID(I2318,2,2),[1]Futures!$A$2:$B$12,2),1),G2318*M2318*IF(E2318="FUTURE",VLOOKUP(MID(I2318,2,2),[1]Futures!$A$2:$B$12,2),1)))</f>
        <v>82120</v>
      </c>
      <c r="R2318" s="12">
        <f>IFERROR(Q2318/P2318/IF(E2318="FUTURE",VLOOKUP(MID(I2318,2,2),[1]Futures!$A$2:$B$12,2),1),"")</f>
        <v>41.06</v>
      </c>
      <c r="S2318" s="13" t="str">
        <f>IF(AND(H2318="TO CLOSE",P2318=0),-G2318*(M2318-R2317)*IF(E2318="FUTURE",VLOOKUP(MID(I2318,2,2),[1]Futures!$A$2:$B$12,2),1),"")</f>
        <v/>
      </c>
    </row>
    <row r="2319" spans="1:19" x14ac:dyDescent="0.2">
      <c r="A2319">
        <f t="shared" si="110"/>
        <v>765</v>
      </c>
      <c r="B2319" s="3">
        <v>44039</v>
      </c>
      <c r="C2319" s="3" t="str">
        <f t="shared" si="109"/>
        <v>Monday</v>
      </c>
      <c r="D2319" s="2">
        <v>0.52533564814814815</v>
      </c>
      <c r="E2319" t="s">
        <v>14</v>
      </c>
      <c r="F2319" t="s">
        <v>15</v>
      </c>
      <c r="G2319">
        <v>-1</v>
      </c>
      <c r="H2319" t="s">
        <v>16</v>
      </c>
      <c r="I2319" t="s">
        <v>81</v>
      </c>
      <c r="J2319" s="1">
        <v>44094</v>
      </c>
      <c r="L2319" t="s">
        <v>14</v>
      </c>
      <c r="M2319">
        <v>41.24</v>
      </c>
      <c r="N2319">
        <v>41.24</v>
      </c>
      <c r="O2319" t="s">
        <v>21</v>
      </c>
      <c r="P2319">
        <f t="shared" si="111"/>
        <v>1</v>
      </c>
      <c r="Q2319" s="11">
        <f>IF(P2319=0,0,IFERROR(Q2318+G2319*M2319*IF(E2319="FUTURE",VLOOKUP(MID(I2319,2,2),[1]Futures!$A$2:$B$12,2),1),G2319*M2319*IF(E2319="FUTURE",VLOOKUP(MID(I2319,2,2),[1]Futures!$A$2:$B$12,2),1)))</f>
        <v>40880</v>
      </c>
      <c r="R2319" s="12">
        <f>IFERROR(Q2319/P2319/IF(E2319="FUTURE",VLOOKUP(MID(I2319,2,2),[1]Futures!$A$2:$B$12,2),1),"")</f>
        <v>40.880000000000003</v>
      </c>
      <c r="S2319" s="13" t="str">
        <f>IF(AND(H2319="TO CLOSE",P2319=0),-G2319*(M2319-R2318)*IF(E2319="FUTURE",VLOOKUP(MID(I2319,2,2),[1]Futures!$A$2:$B$12,2),1),"")</f>
        <v/>
      </c>
    </row>
    <row r="2320" spans="1:19" x14ac:dyDescent="0.2">
      <c r="A2320">
        <f t="shared" si="110"/>
        <v>765</v>
      </c>
      <c r="B2320" s="3">
        <v>44039</v>
      </c>
      <c r="C2320" s="3" t="str">
        <f t="shared" si="109"/>
        <v>Monday</v>
      </c>
      <c r="D2320" s="2">
        <v>0.52660879629629631</v>
      </c>
      <c r="E2320" t="s">
        <v>14</v>
      </c>
      <c r="F2320" t="s">
        <v>19</v>
      </c>
      <c r="G2320">
        <v>1</v>
      </c>
      <c r="H2320" t="s">
        <v>20</v>
      </c>
      <c r="I2320" t="s">
        <v>81</v>
      </c>
      <c r="J2320" s="1">
        <v>44094</v>
      </c>
      <c r="L2320" t="s">
        <v>14</v>
      </c>
      <c r="M2320">
        <v>41.14</v>
      </c>
      <c r="N2320">
        <v>41.14</v>
      </c>
      <c r="O2320" t="s">
        <v>21</v>
      </c>
      <c r="P2320">
        <f t="shared" si="111"/>
        <v>2</v>
      </c>
      <c r="Q2320" s="11">
        <f>IF(P2320=0,0,IFERROR(Q2319+G2320*M2320*IF(E2320="FUTURE",VLOOKUP(MID(I2320,2,2),[1]Futures!$A$2:$B$12,2),1),G2320*M2320*IF(E2320="FUTURE",VLOOKUP(MID(I2320,2,2),[1]Futures!$A$2:$B$12,2),1)))</f>
        <v>82020</v>
      </c>
      <c r="R2320" s="12">
        <f>IFERROR(Q2320/P2320/IF(E2320="FUTURE",VLOOKUP(MID(I2320,2,2),[1]Futures!$A$2:$B$12,2),1),"")</f>
        <v>41.01</v>
      </c>
      <c r="S2320" s="13" t="str">
        <f>IF(AND(H2320="TO CLOSE",P2320=0),-G2320*(M2320-R2319)*IF(E2320="FUTURE",VLOOKUP(MID(I2320,2,2),[1]Futures!$A$2:$B$12,2),1),"")</f>
        <v/>
      </c>
    </row>
    <row r="2321" spans="1:19" x14ac:dyDescent="0.2">
      <c r="A2321">
        <f t="shared" si="110"/>
        <v>765</v>
      </c>
      <c r="B2321" s="3">
        <v>44039</v>
      </c>
      <c r="C2321" s="3" t="str">
        <f t="shared" si="109"/>
        <v>Monday</v>
      </c>
      <c r="D2321" s="2">
        <v>0.52804398148148146</v>
      </c>
      <c r="E2321" t="s">
        <v>14</v>
      </c>
      <c r="F2321" t="s">
        <v>15</v>
      </c>
      <c r="G2321">
        <v>-1</v>
      </c>
      <c r="H2321" t="s">
        <v>16</v>
      </c>
      <c r="I2321" t="s">
        <v>81</v>
      </c>
      <c r="J2321" s="1">
        <v>44094</v>
      </c>
      <c r="L2321" t="s">
        <v>14</v>
      </c>
      <c r="M2321">
        <v>41.22</v>
      </c>
      <c r="N2321">
        <v>41.22</v>
      </c>
      <c r="O2321" t="s">
        <v>21</v>
      </c>
      <c r="P2321">
        <f t="shared" si="111"/>
        <v>1</v>
      </c>
      <c r="Q2321" s="11">
        <f>IF(P2321=0,0,IFERROR(Q2320+G2321*M2321*IF(E2321="FUTURE",VLOOKUP(MID(I2321,2,2),[1]Futures!$A$2:$B$12,2),1),G2321*M2321*IF(E2321="FUTURE",VLOOKUP(MID(I2321,2,2),[1]Futures!$A$2:$B$12,2),1)))</f>
        <v>40800</v>
      </c>
      <c r="R2321" s="12">
        <f>IFERROR(Q2321/P2321/IF(E2321="FUTURE",VLOOKUP(MID(I2321,2,2),[1]Futures!$A$2:$B$12,2),1),"")</f>
        <v>40.799999999999997</v>
      </c>
      <c r="S2321" s="13" t="str">
        <f>IF(AND(H2321="TO CLOSE",P2321=0),-G2321*(M2321-R2320)*IF(E2321="FUTURE",VLOOKUP(MID(I2321,2,2),[1]Futures!$A$2:$B$12,2),1),"")</f>
        <v/>
      </c>
    </row>
    <row r="2322" spans="1:19" x14ac:dyDescent="0.2">
      <c r="A2322">
        <f t="shared" si="110"/>
        <v>765</v>
      </c>
      <c r="B2322" s="3">
        <v>44039</v>
      </c>
      <c r="C2322" s="3" t="str">
        <f t="shared" si="109"/>
        <v>Monday</v>
      </c>
      <c r="D2322" s="2">
        <v>0.54798611111111117</v>
      </c>
      <c r="E2322" t="s">
        <v>14</v>
      </c>
      <c r="F2322" t="s">
        <v>15</v>
      </c>
      <c r="G2322">
        <v>-1</v>
      </c>
      <c r="H2322" t="s">
        <v>16</v>
      </c>
      <c r="I2322" t="s">
        <v>81</v>
      </c>
      <c r="J2322" s="1">
        <v>44094</v>
      </c>
      <c r="L2322" t="s">
        <v>14</v>
      </c>
      <c r="M2322">
        <v>41.3</v>
      </c>
      <c r="N2322">
        <v>41.3</v>
      </c>
      <c r="O2322" t="s">
        <v>21</v>
      </c>
      <c r="P2322">
        <f t="shared" si="111"/>
        <v>0</v>
      </c>
      <c r="Q2322" s="11">
        <f>IF(P2322=0,0,IFERROR(Q2321+G2322*M2322*IF(E2322="FUTURE",VLOOKUP(MID(I2322,2,2),[1]Futures!$A$2:$B$12,2),1),G2322*M2322*IF(E2322="FUTURE",VLOOKUP(MID(I2322,2,2),[1]Futures!$A$2:$B$12,2),1)))</f>
        <v>0</v>
      </c>
      <c r="R2322" s="12" t="str">
        <f>IFERROR(Q2322/P2322/IF(E2322="FUTURE",VLOOKUP(MID(I2322,2,2),[1]Futures!$A$2:$B$12,2),1),"")</f>
        <v/>
      </c>
      <c r="S2322" s="13">
        <f>IF(AND(H2322="TO CLOSE",P2322=0),-G2322*(M2322-R2321)*IF(E2322="FUTURE",VLOOKUP(MID(I2322,2,2),[1]Futures!$A$2:$B$12,2),1),"")</f>
        <v>500</v>
      </c>
    </row>
    <row r="2323" spans="1:19" x14ac:dyDescent="0.2">
      <c r="A2323">
        <f t="shared" si="110"/>
        <v>766</v>
      </c>
      <c r="B2323" s="3">
        <v>44039</v>
      </c>
      <c r="C2323" s="3" t="str">
        <f t="shared" si="109"/>
        <v>Monday</v>
      </c>
      <c r="D2323" s="2">
        <v>0.39922453703703703</v>
      </c>
      <c r="E2323" t="s">
        <v>22</v>
      </c>
      <c r="F2323" t="s">
        <v>15</v>
      </c>
      <c r="G2323">
        <v>-100</v>
      </c>
      <c r="H2323" t="s">
        <v>20</v>
      </c>
      <c r="I2323" t="s">
        <v>23</v>
      </c>
      <c r="L2323" t="s">
        <v>22</v>
      </c>
      <c r="M2323">
        <v>29.8201</v>
      </c>
      <c r="N2323">
        <v>29.8201</v>
      </c>
      <c r="O2323" t="s">
        <v>21</v>
      </c>
      <c r="P2323">
        <f t="shared" si="111"/>
        <v>-100</v>
      </c>
      <c r="Q2323" s="11">
        <f>IF(P2323=0,0,IFERROR(Q2322+G2323*M2323*IF(E2323="FUTURE",VLOOKUP(MID(I2323,2,2),[1]Futures!$A$2:$B$12,2),1),G2323*M2323*IF(E2323="FUTURE",VLOOKUP(MID(I2323,2,2),[1]Futures!$A$2:$B$12,2),1)))</f>
        <v>-2982.01</v>
      </c>
      <c r="R2323" s="12">
        <f>IFERROR(Q2323/P2323/IF(E2323="FUTURE",VLOOKUP(MID(I2323,2,2),[1]Futures!$A$2:$B$12,2),1),"")</f>
        <v>29.820100000000004</v>
      </c>
      <c r="S2323" s="13" t="str">
        <f>IF(AND(H2323="TO CLOSE",P2323=0),-G2323*(M2323-R2322)*IF(E2323="FUTURE",VLOOKUP(MID(I2323,2,2),[1]Futures!$A$2:$B$12,2),1),"")</f>
        <v/>
      </c>
    </row>
    <row r="2324" spans="1:19" x14ac:dyDescent="0.2">
      <c r="A2324">
        <f t="shared" si="110"/>
        <v>766</v>
      </c>
      <c r="B2324" s="3">
        <v>44039</v>
      </c>
      <c r="C2324" s="3" t="str">
        <f t="shared" si="109"/>
        <v>Monday</v>
      </c>
      <c r="D2324" s="2">
        <v>0.39922453703703703</v>
      </c>
      <c r="E2324" t="s">
        <v>22</v>
      </c>
      <c r="F2324" t="s">
        <v>15</v>
      </c>
      <c r="G2324">
        <v>-100</v>
      </c>
      <c r="H2324" t="s">
        <v>20</v>
      </c>
      <c r="I2324" t="s">
        <v>23</v>
      </c>
      <c r="L2324" t="s">
        <v>22</v>
      </c>
      <c r="M2324">
        <v>29.8201</v>
      </c>
      <c r="N2324">
        <v>29.8201</v>
      </c>
      <c r="O2324" t="s">
        <v>21</v>
      </c>
      <c r="P2324">
        <f t="shared" si="111"/>
        <v>-200</v>
      </c>
      <c r="Q2324" s="11">
        <f>IF(P2324=0,0,IFERROR(Q2323+G2324*M2324*IF(E2324="FUTURE",VLOOKUP(MID(I2324,2,2),[1]Futures!$A$2:$B$12,2),1),G2324*M2324*IF(E2324="FUTURE",VLOOKUP(MID(I2324,2,2),[1]Futures!$A$2:$B$12,2),1)))</f>
        <v>-5964.02</v>
      </c>
      <c r="R2324" s="12">
        <f>IFERROR(Q2324/P2324/IF(E2324="FUTURE",VLOOKUP(MID(I2324,2,2),[1]Futures!$A$2:$B$12,2),1),"")</f>
        <v>29.820100000000004</v>
      </c>
      <c r="S2324" s="13" t="str">
        <f>IF(AND(H2324="TO CLOSE",P2324=0),-G2324*(M2324-R2323)*IF(E2324="FUTURE",VLOOKUP(MID(I2324,2,2),[1]Futures!$A$2:$B$12,2),1),"")</f>
        <v/>
      </c>
    </row>
    <row r="2325" spans="1:19" x14ac:dyDescent="0.2">
      <c r="A2325">
        <f t="shared" si="110"/>
        <v>766</v>
      </c>
      <c r="B2325" s="3">
        <v>44039</v>
      </c>
      <c r="C2325" s="3" t="str">
        <f t="shared" si="109"/>
        <v>Monday</v>
      </c>
      <c r="D2325" s="2">
        <v>0.39922453703703703</v>
      </c>
      <c r="E2325" t="s">
        <v>22</v>
      </c>
      <c r="F2325" t="s">
        <v>15</v>
      </c>
      <c r="G2325">
        <v>-100</v>
      </c>
      <c r="H2325" t="s">
        <v>20</v>
      </c>
      <c r="I2325" t="s">
        <v>23</v>
      </c>
      <c r="L2325" t="s">
        <v>22</v>
      </c>
      <c r="M2325">
        <v>29.8201</v>
      </c>
      <c r="N2325">
        <v>29.8201</v>
      </c>
      <c r="O2325" t="s">
        <v>21</v>
      </c>
      <c r="P2325">
        <f t="shared" si="111"/>
        <v>-300</v>
      </c>
      <c r="Q2325" s="11">
        <f>IF(P2325=0,0,IFERROR(Q2324+G2325*M2325*IF(E2325="FUTURE",VLOOKUP(MID(I2325,2,2),[1]Futures!$A$2:$B$12,2),1),G2325*M2325*IF(E2325="FUTURE",VLOOKUP(MID(I2325,2,2),[1]Futures!$A$2:$B$12,2),1)))</f>
        <v>-8946.0300000000007</v>
      </c>
      <c r="R2325" s="12">
        <f>IFERROR(Q2325/P2325/IF(E2325="FUTURE",VLOOKUP(MID(I2325,2,2),[1]Futures!$A$2:$B$12,2),1),"")</f>
        <v>29.820100000000004</v>
      </c>
      <c r="S2325" s="13" t="str">
        <f>IF(AND(H2325="TO CLOSE",P2325=0),-G2325*(M2325-R2324)*IF(E2325="FUTURE",VLOOKUP(MID(I2325,2,2),[1]Futures!$A$2:$B$12,2),1),"")</f>
        <v/>
      </c>
    </row>
    <row r="2326" spans="1:19" x14ac:dyDescent="0.2">
      <c r="A2326">
        <f t="shared" si="110"/>
        <v>766</v>
      </c>
      <c r="B2326" s="3">
        <v>44039</v>
      </c>
      <c r="C2326" s="3" t="str">
        <f t="shared" si="109"/>
        <v>Monday</v>
      </c>
      <c r="D2326" s="2">
        <v>0.39922453703703703</v>
      </c>
      <c r="E2326" t="s">
        <v>22</v>
      </c>
      <c r="F2326" t="s">
        <v>15</v>
      </c>
      <c r="G2326">
        <v>-100</v>
      </c>
      <c r="H2326" t="s">
        <v>20</v>
      </c>
      <c r="I2326" t="s">
        <v>23</v>
      </c>
      <c r="L2326" t="s">
        <v>22</v>
      </c>
      <c r="M2326">
        <v>29.8201</v>
      </c>
      <c r="N2326">
        <v>29.8201</v>
      </c>
      <c r="O2326" t="s">
        <v>21</v>
      </c>
      <c r="P2326">
        <f t="shared" si="111"/>
        <v>-400</v>
      </c>
      <c r="Q2326" s="11">
        <f>IF(P2326=0,0,IFERROR(Q2325+G2326*M2326*IF(E2326="FUTURE",VLOOKUP(MID(I2326,2,2),[1]Futures!$A$2:$B$12,2),1),G2326*M2326*IF(E2326="FUTURE",VLOOKUP(MID(I2326,2,2),[1]Futures!$A$2:$B$12,2),1)))</f>
        <v>-11928.04</v>
      </c>
      <c r="R2326" s="12">
        <f>IFERROR(Q2326/P2326/IF(E2326="FUTURE",VLOOKUP(MID(I2326,2,2),[1]Futures!$A$2:$B$12,2),1),"")</f>
        <v>29.820100000000004</v>
      </c>
      <c r="S2326" s="13" t="str">
        <f>IF(AND(H2326="TO CLOSE",P2326=0),-G2326*(M2326-R2325)*IF(E2326="FUTURE",VLOOKUP(MID(I2326,2,2),[1]Futures!$A$2:$B$12,2),1),"")</f>
        <v/>
      </c>
    </row>
    <row r="2327" spans="1:19" x14ac:dyDescent="0.2">
      <c r="A2327">
        <f t="shared" si="110"/>
        <v>766</v>
      </c>
      <c r="B2327" s="3">
        <v>44039</v>
      </c>
      <c r="C2327" s="3" t="str">
        <f t="shared" si="109"/>
        <v>Monday</v>
      </c>
      <c r="D2327" s="2">
        <v>0.41718749999999999</v>
      </c>
      <c r="E2327" t="s">
        <v>22</v>
      </c>
      <c r="F2327" t="s">
        <v>19</v>
      </c>
      <c r="G2327">
        <v>400</v>
      </c>
      <c r="H2327" t="s">
        <v>16</v>
      </c>
      <c r="I2327" t="s">
        <v>23</v>
      </c>
      <c r="L2327" t="s">
        <v>22</v>
      </c>
      <c r="M2327">
        <v>29.607399999999998</v>
      </c>
      <c r="N2327">
        <v>29.607399999999998</v>
      </c>
      <c r="O2327" t="s">
        <v>24</v>
      </c>
      <c r="P2327">
        <f t="shared" si="111"/>
        <v>0</v>
      </c>
      <c r="Q2327" s="11">
        <f>IF(P2327=0,0,IFERROR(Q2326+G2327*M2327*IF(E2327="FUTURE",VLOOKUP(MID(I2327,2,2),[1]Futures!$A$2:$B$12,2),1),G2327*M2327*IF(E2327="FUTURE",VLOOKUP(MID(I2327,2,2),[1]Futures!$A$2:$B$12,2),1)))</f>
        <v>0</v>
      </c>
      <c r="R2327" s="12" t="str">
        <f>IFERROR(Q2327/P2327/IF(E2327="FUTURE",VLOOKUP(MID(I2327,2,2),[1]Futures!$A$2:$B$12,2),1),"")</f>
        <v/>
      </c>
      <c r="S2327" s="13">
        <f>IF(AND(H2327="TO CLOSE",P2327=0),-G2327*(M2327-R2326)*IF(E2327="FUTURE",VLOOKUP(MID(I2327,2,2),[1]Futures!$A$2:$B$12,2),1),"")</f>
        <v>85.080000000002087</v>
      </c>
    </row>
    <row r="2328" spans="1:19" x14ac:dyDescent="0.2">
      <c r="A2328">
        <f t="shared" si="110"/>
        <v>767</v>
      </c>
      <c r="B2328" s="3">
        <v>44039</v>
      </c>
      <c r="C2328" s="3" t="str">
        <f t="shared" si="109"/>
        <v>Monday</v>
      </c>
      <c r="D2328" s="2">
        <v>0.51302083333333337</v>
      </c>
      <c r="E2328" t="s">
        <v>22</v>
      </c>
      <c r="F2328" t="s">
        <v>15</v>
      </c>
      <c r="G2328">
        <v>-400</v>
      </c>
      <c r="H2328" t="s">
        <v>20</v>
      </c>
      <c r="I2328" t="s">
        <v>23</v>
      </c>
      <c r="L2328" t="s">
        <v>22</v>
      </c>
      <c r="M2328">
        <v>29.975000000000001</v>
      </c>
      <c r="N2328">
        <v>29.975000000000001</v>
      </c>
      <c r="O2328" t="s">
        <v>24</v>
      </c>
      <c r="P2328">
        <f t="shared" si="111"/>
        <v>-400</v>
      </c>
      <c r="Q2328" s="11">
        <f>IF(P2328=0,0,IFERROR(Q2327+G2328*M2328*IF(E2328="FUTURE",VLOOKUP(MID(I2328,2,2),[1]Futures!$A$2:$B$12,2),1),G2328*M2328*IF(E2328="FUTURE",VLOOKUP(MID(I2328,2,2),[1]Futures!$A$2:$B$12,2),1)))</f>
        <v>-11990</v>
      </c>
      <c r="R2328" s="12">
        <f>IFERROR(Q2328/P2328/IF(E2328="FUTURE",VLOOKUP(MID(I2328,2,2),[1]Futures!$A$2:$B$12,2),1),"")</f>
        <v>29.975000000000001</v>
      </c>
      <c r="S2328" s="13" t="str">
        <f>IF(AND(H2328="TO CLOSE",P2328=0),-G2328*(M2328-R2327)*IF(E2328="FUTURE",VLOOKUP(MID(I2328,2,2),[1]Futures!$A$2:$B$12,2),1),"")</f>
        <v/>
      </c>
    </row>
    <row r="2329" spans="1:19" x14ac:dyDescent="0.2">
      <c r="A2329">
        <f t="shared" si="110"/>
        <v>767</v>
      </c>
      <c r="B2329" s="3">
        <v>44039</v>
      </c>
      <c r="C2329" s="3" t="str">
        <f t="shared" si="109"/>
        <v>Monday</v>
      </c>
      <c r="D2329" s="2">
        <v>0.53386574074074067</v>
      </c>
      <c r="E2329" t="s">
        <v>22</v>
      </c>
      <c r="F2329" t="s">
        <v>19</v>
      </c>
      <c r="G2329">
        <v>28</v>
      </c>
      <c r="H2329" t="s">
        <v>16</v>
      </c>
      <c r="I2329" t="s">
        <v>23</v>
      </c>
      <c r="L2329" t="s">
        <v>22</v>
      </c>
      <c r="M2329">
        <v>29.96</v>
      </c>
      <c r="N2329">
        <v>29.96</v>
      </c>
      <c r="O2329" t="s">
        <v>18</v>
      </c>
      <c r="P2329">
        <f t="shared" si="111"/>
        <v>-372</v>
      </c>
      <c r="Q2329" s="11">
        <f>IF(P2329=0,0,IFERROR(Q2328+G2329*M2329*IF(E2329="FUTURE",VLOOKUP(MID(I2329,2,2),[1]Futures!$A$2:$B$12,2),1),G2329*M2329*IF(E2329="FUTURE",VLOOKUP(MID(I2329,2,2),[1]Futures!$A$2:$B$12,2),1)))</f>
        <v>-11151.12</v>
      </c>
      <c r="R2329" s="12">
        <f>IFERROR(Q2329/P2329/IF(E2329="FUTURE",VLOOKUP(MID(I2329,2,2),[1]Futures!$A$2:$B$12,2),1),"")</f>
        <v>29.976129032258065</v>
      </c>
      <c r="S2329" s="13" t="str">
        <f>IF(AND(H2329="TO CLOSE",P2329=0),-G2329*(M2329-R2328)*IF(E2329="FUTURE",VLOOKUP(MID(I2329,2,2),[1]Futures!$A$2:$B$12,2),1),"")</f>
        <v/>
      </c>
    </row>
    <row r="2330" spans="1:19" x14ac:dyDescent="0.2">
      <c r="A2330">
        <f t="shared" si="110"/>
        <v>767</v>
      </c>
      <c r="B2330" s="3">
        <v>44039</v>
      </c>
      <c r="C2330" s="3" t="str">
        <f t="shared" si="109"/>
        <v>Monday</v>
      </c>
      <c r="D2330" s="2">
        <v>0.53386574074074067</v>
      </c>
      <c r="E2330" t="s">
        <v>22</v>
      </c>
      <c r="F2330" t="s">
        <v>19</v>
      </c>
      <c r="G2330">
        <v>372</v>
      </c>
      <c r="H2330" t="s">
        <v>16</v>
      </c>
      <c r="I2330" t="s">
        <v>23</v>
      </c>
      <c r="L2330" t="s">
        <v>22</v>
      </c>
      <c r="M2330">
        <v>29.96</v>
      </c>
      <c r="N2330">
        <v>29.96</v>
      </c>
      <c r="O2330" t="s">
        <v>18</v>
      </c>
      <c r="P2330">
        <f t="shared" si="111"/>
        <v>0</v>
      </c>
      <c r="Q2330" s="11">
        <f>IF(P2330=0,0,IFERROR(Q2329+G2330*M2330*IF(E2330="FUTURE",VLOOKUP(MID(I2330,2,2),[1]Futures!$A$2:$B$12,2),1),G2330*M2330*IF(E2330="FUTURE",VLOOKUP(MID(I2330,2,2),[1]Futures!$A$2:$B$12,2),1)))</f>
        <v>0</v>
      </c>
      <c r="R2330" s="12" t="str">
        <f>IFERROR(Q2330/P2330/IF(E2330="FUTURE",VLOOKUP(MID(I2330,2,2),[1]Futures!$A$2:$B$12,2),1),"")</f>
        <v/>
      </c>
      <c r="S2330" s="13">
        <f>IF(AND(H2330="TO CLOSE",P2330=0),-G2330*(M2330-R2329)*IF(E2330="FUTURE",VLOOKUP(MID(I2330,2,2),[1]Futures!$A$2:$B$12,2),1),"")</f>
        <v>5.9999999999998295</v>
      </c>
    </row>
    <row r="2331" spans="1:19" x14ac:dyDescent="0.2">
      <c r="A2331">
        <f t="shared" si="110"/>
        <v>768</v>
      </c>
      <c r="B2331" s="3">
        <v>44040</v>
      </c>
      <c r="C2331" s="3" t="str">
        <f t="shared" si="109"/>
        <v>Tuesday</v>
      </c>
      <c r="D2331" s="2">
        <v>0.43774305555555554</v>
      </c>
      <c r="E2331" t="s">
        <v>14</v>
      </c>
      <c r="F2331" t="s">
        <v>19</v>
      </c>
      <c r="G2331">
        <v>1</v>
      </c>
      <c r="H2331" t="s">
        <v>20</v>
      </c>
      <c r="I2331" t="s">
        <v>81</v>
      </c>
      <c r="J2331" s="1">
        <v>44094</v>
      </c>
      <c r="L2331" t="s">
        <v>14</v>
      </c>
      <c r="M2331">
        <v>41.26</v>
      </c>
      <c r="N2331">
        <v>41.26</v>
      </c>
      <c r="O2331" t="s">
        <v>24</v>
      </c>
      <c r="P2331">
        <f t="shared" si="111"/>
        <v>1</v>
      </c>
      <c r="Q2331" s="11">
        <f>IF(P2331=0,0,IFERROR(Q2330+G2331*M2331*IF(E2331="FUTURE",VLOOKUP(MID(I2331,2,2),[1]Futures!$A$2:$B$12,2),1),G2331*M2331*IF(E2331="FUTURE",VLOOKUP(MID(I2331,2,2),[1]Futures!$A$2:$B$12,2),1)))</f>
        <v>41260</v>
      </c>
      <c r="R2331" s="12">
        <f>IFERROR(Q2331/P2331/IF(E2331="FUTURE",VLOOKUP(MID(I2331,2,2),[1]Futures!$A$2:$B$12,2),1),"")</f>
        <v>41.26</v>
      </c>
      <c r="S2331" s="13" t="str">
        <f>IF(AND(H2331="TO CLOSE",P2331=0),-G2331*(M2331-R2330)*IF(E2331="FUTURE",VLOOKUP(MID(I2331,2,2),[1]Futures!$A$2:$B$12,2),1),"")</f>
        <v/>
      </c>
    </row>
    <row r="2332" spans="1:19" x14ac:dyDescent="0.2">
      <c r="A2332">
        <f t="shared" si="110"/>
        <v>768</v>
      </c>
      <c r="B2332" s="3">
        <v>44040</v>
      </c>
      <c r="C2332" s="3" t="str">
        <f t="shared" si="109"/>
        <v>Tuesday</v>
      </c>
      <c r="D2332" s="2">
        <v>0.46231481481481485</v>
      </c>
      <c r="E2332" t="s">
        <v>14</v>
      </c>
      <c r="F2332" t="s">
        <v>15</v>
      </c>
      <c r="G2332">
        <v>-1</v>
      </c>
      <c r="H2332" t="s">
        <v>16</v>
      </c>
      <c r="I2332" t="s">
        <v>81</v>
      </c>
      <c r="J2332" s="1">
        <v>44094</v>
      </c>
      <c r="L2332" t="s">
        <v>14</v>
      </c>
      <c r="M2332">
        <v>40.93</v>
      </c>
      <c r="N2332">
        <v>40.93</v>
      </c>
      <c r="O2332" t="s">
        <v>24</v>
      </c>
      <c r="P2332">
        <f t="shared" si="111"/>
        <v>0</v>
      </c>
      <c r="Q2332" s="11">
        <f>IF(P2332=0,0,IFERROR(Q2331+G2332*M2332*IF(E2332="FUTURE",VLOOKUP(MID(I2332,2,2),[1]Futures!$A$2:$B$12,2),1),G2332*M2332*IF(E2332="FUTURE",VLOOKUP(MID(I2332,2,2),[1]Futures!$A$2:$B$12,2),1)))</f>
        <v>0</v>
      </c>
      <c r="R2332" s="12" t="str">
        <f>IFERROR(Q2332/P2332/IF(E2332="FUTURE",VLOOKUP(MID(I2332,2,2),[1]Futures!$A$2:$B$12,2),1),"")</f>
        <v/>
      </c>
      <c r="S2332" s="13">
        <f>IF(AND(H2332="TO CLOSE",P2332=0),-G2332*(M2332-R2331)*IF(E2332="FUTURE",VLOOKUP(MID(I2332,2,2),[1]Futures!$A$2:$B$12,2),1),"")</f>
        <v>-329.99999999999829</v>
      </c>
    </row>
    <row r="2333" spans="1:19" x14ac:dyDescent="0.2">
      <c r="A2333">
        <f t="shared" si="110"/>
        <v>769</v>
      </c>
      <c r="B2333" s="3">
        <v>44040</v>
      </c>
      <c r="C2333" s="3" t="str">
        <f t="shared" si="109"/>
        <v>Tuesday</v>
      </c>
      <c r="D2333" s="2">
        <v>0.48116898148148146</v>
      </c>
      <c r="E2333" t="s">
        <v>14</v>
      </c>
      <c r="F2333" t="s">
        <v>19</v>
      </c>
      <c r="G2333">
        <v>1</v>
      </c>
      <c r="H2333" t="s">
        <v>20</v>
      </c>
      <c r="I2333" t="s">
        <v>81</v>
      </c>
      <c r="J2333" s="1">
        <v>44094</v>
      </c>
      <c r="L2333" t="s">
        <v>14</v>
      </c>
      <c r="M2333">
        <v>41.14</v>
      </c>
      <c r="N2333">
        <v>41.14</v>
      </c>
      <c r="O2333" t="s">
        <v>24</v>
      </c>
      <c r="P2333">
        <f t="shared" si="111"/>
        <v>1</v>
      </c>
      <c r="Q2333" s="11">
        <f>IF(P2333=0,0,IFERROR(Q2332+G2333*M2333*IF(E2333="FUTURE",VLOOKUP(MID(I2333,2,2),[1]Futures!$A$2:$B$12,2),1),G2333*M2333*IF(E2333="FUTURE",VLOOKUP(MID(I2333,2,2),[1]Futures!$A$2:$B$12,2),1)))</f>
        <v>41140</v>
      </c>
      <c r="R2333" s="12">
        <f>IFERROR(Q2333/P2333/IF(E2333="FUTURE",VLOOKUP(MID(I2333,2,2),[1]Futures!$A$2:$B$12,2),1),"")</f>
        <v>41.14</v>
      </c>
      <c r="S2333" s="13" t="str">
        <f>IF(AND(H2333="TO CLOSE",P2333=0),-G2333*(M2333-R2332)*IF(E2333="FUTURE",VLOOKUP(MID(I2333,2,2),[1]Futures!$A$2:$B$12,2),1),"")</f>
        <v/>
      </c>
    </row>
    <row r="2334" spans="1:19" x14ac:dyDescent="0.2">
      <c r="A2334">
        <f t="shared" si="110"/>
        <v>769</v>
      </c>
      <c r="B2334" s="3">
        <v>44040</v>
      </c>
      <c r="C2334" s="3" t="str">
        <f t="shared" si="109"/>
        <v>Tuesday</v>
      </c>
      <c r="D2334" s="2">
        <v>0.50694444444444442</v>
      </c>
      <c r="E2334" t="s">
        <v>14</v>
      </c>
      <c r="F2334" t="s">
        <v>15</v>
      </c>
      <c r="G2334">
        <v>-1</v>
      </c>
      <c r="H2334" t="s">
        <v>16</v>
      </c>
      <c r="I2334" t="s">
        <v>81</v>
      </c>
      <c r="J2334" s="1">
        <v>44094</v>
      </c>
      <c r="L2334" t="s">
        <v>14</v>
      </c>
      <c r="M2334">
        <v>41.15</v>
      </c>
      <c r="N2334">
        <v>41.15</v>
      </c>
      <c r="O2334" t="s">
        <v>21</v>
      </c>
      <c r="P2334">
        <f t="shared" si="111"/>
        <v>0</v>
      </c>
      <c r="Q2334" s="11">
        <f>IF(P2334=0,0,IFERROR(Q2333+G2334*M2334*IF(E2334="FUTURE",VLOOKUP(MID(I2334,2,2),[1]Futures!$A$2:$B$12,2),1),G2334*M2334*IF(E2334="FUTURE",VLOOKUP(MID(I2334,2,2),[1]Futures!$A$2:$B$12,2),1)))</f>
        <v>0</v>
      </c>
      <c r="R2334" s="12" t="str">
        <f>IFERROR(Q2334/P2334/IF(E2334="FUTURE",VLOOKUP(MID(I2334,2,2),[1]Futures!$A$2:$B$12,2),1),"")</f>
        <v/>
      </c>
      <c r="S2334" s="13">
        <f>IF(AND(H2334="TO CLOSE",P2334=0),-G2334*(M2334-R2333)*IF(E2334="FUTURE",VLOOKUP(MID(I2334,2,2),[1]Futures!$A$2:$B$12,2),1),"")</f>
        <v>9.9999999999980105</v>
      </c>
    </row>
    <row r="2335" spans="1:19" x14ac:dyDescent="0.2">
      <c r="A2335">
        <f t="shared" si="110"/>
        <v>770</v>
      </c>
      <c r="B2335" s="3">
        <v>44040</v>
      </c>
      <c r="C2335" s="3" t="str">
        <f t="shared" si="109"/>
        <v>Tuesday</v>
      </c>
      <c r="D2335" s="2">
        <v>0.52708333333333335</v>
      </c>
      <c r="E2335" t="s">
        <v>14</v>
      </c>
      <c r="F2335" t="s">
        <v>15</v>
      </c>
      <c r="G2335">
        <v>-1</v>
      </c>
      <c r="H2335" t="s">
        <v>20</v>
      </c>
      <c r="I2335" t="s">
        <v>81</v>
      </c>
      <c r="J2335" s="1">
        <v>44094</v>
      </c>
      <c r="L2335" t="s">
        <v>14</v>
      </c>
      <c r="M2335">
        <v>41.02</v>
      </c>
      <c r="N2335">
        <v>41.02</v>
      </c>
      <c r="O2335" t="s">
        <v>24</v>
      </c>
      <c r="P2335">
        <f t="shared" si="111"/>
        <v>-1</v>
      </c>
      <c r="Q2335" s="11">
        <f>IF(P2335=0,0,IFERROR(Q2334+G2335*M2335*IF(E2335="FUTURE",VLOOKUP(MID(I2335,2,2),[1]Futures!$A$2:$B$12,2),1),G2335*M2335*IF(E2335="FUTURE",VLOOKUP(MID(I2335,2,2),[1]Futures!$A$2:$B$12,2),1)))</f>
        <v>-41020</v>
      </c>
      <c r="R2335" s="12">
        <f>IFERROR(Q2335/P2335/IF(E2335="FUTURE",VLOOKUP(MID(I2335,2,2),[1]Futures!$A$2:$B$12,2),1),"")</f>
        <v>41.02</v>
      </c>
      <c r="S2335" s="13" t="str">
        <f>IF(AND(H2335="TO CLOSE",P2335=0),-G2335*(M2335-R2334)*IF(E2335="FUTURE",VLOOKUP(MID(I2335,2,2),[1]Futures!$A$2:$B$12,2),1),"")</f>
        <v/>
      </c>
    </row>
    <row r="2336" spans="1:19" x14ac:dyDescent="0.2">
      <c r="A2336">
        <f t="shared" si="110"/>
        <v>770</v>
      </c>
      <c r="B2336" s="3">
        <v>44040</v>
      </c>
      <c r="C2336" s="3" t="str">
        <f t="shared" si="109"/>
        <v>Tuesday</v>
      </c>
      <c r="D2336" s="2">
        <v>0.55590277777777775</v>
      </c>
      <c r="E2336" t="s">
        <v>14</v>
      </c>
      <c r="F2336" t="s">
        <v>19</v>
      </c>
      <c r="G2336">
        <v>1</v>
      </c>
      <c r="H2336" t="s">
        <v>16</v>
      </c>
      <c r="I2336" t="s">
        <v>81</v>
      </c>
      <c r="J2336" s="1">
        <v>44094</v>
      </c>
      <c r="L2336" t="s">
        <v>14</v>
      </c>
      <c r="M2336">
        <v>41.11</v>
      </c>
      <c r="N2336">
        <v>41.11</v>
      </c>
      <c r="O2336" t="s">
        <v>18</v>
      </c>
      <c r="P2336">
        <f t="shared" si="111"/>
        <v>0</v>
      </c>
      <c r="Q2336" s="11">
        <f>IF(P2336=0,0,IFERROR(Q2335+G2336*M2336*IF(E2336="FUTURE",VLOOKUP(MID(I2336,2,2),[1]Futures!$A$2:$B$12,2),1),G2336*M2336*IF(E2336="FUTURE",VLOOKUP(MID(I2336,2,2),[1]Futures!$A$2:$B$12,2),1)))</f>
        <v>0</v>
      </c>
      <c r="R2336" s="12" t="str">
        <f>IFERROR(Q2336/P2336/IF(E2336="FUTURE",VLOOKUP(MID(I2336,2,2),[1]Futures!$A$2:$B$12,2),1),"")</f>
        <v/>
      </c>
      <c r="S2336" s="13">
        <f>IF(AND(H2336="TO CLOSE",P2336=0),-G2336*(M2336-R2335)*IF(E2336="FUTURE",VLOOKUP(MID(I2336,2,2),[1]Futures!$A$2:$B$12,2),1),"")</f>
        <v>-89.999999999996305</v>
      </c>
    </row>
    <row r="2337" spans="1:19" x14ac:dyDescent="0.2">
      <c r="A2337">
        <f t="shared" si="110"/>
        <v>771</v>
      </c>
      <c r="B2337" s="3">
        <v>44040</v>
      </c>
      <c r="C2337" s="3" t="str">
        <f t="shared" si="109"/>
        <v>Tuesday</v>
      </c>
      <c r="D2337" s="2">
        <v>0.55631944444444448</v>
      </c>
      <c r="E2337" t="s">
        <v>14</v>
      </c>
      <c r="F2337" t="s">
        <v>19</v>
      </c>
      <c r="G2337">
        <v>2</v>
      </c>
      <c r="H2337" t="s">
        <v>20</v>
      </c>
      <c r="I2337" t="s">
        <v>81</v>
      </c>
      <c r="J2337" s="1">
        <v>44094</v>
      </c>
      <c r="L2337" t="s">
        <v>14</v>
      </c>
      <c r="M2337">
        <v>41.1</v>
      </c>
      <c r="N2337">
        <v>41.1</v>
      </c>
      <c r="O2337" t="s">
        <v>24</v>
      </c>
      <c r="P2337">
        <f t="shared" si="111"/>
        <v>2</v>
      </c>
      <c r="Q2337" s="11">
        <f>IF(P2337=0,0,IFERROR(Q2336+G2337*M2337*IF(E2337="FUTURE",VLOOKUP(MID(I2337,2,2),[1]Futures!$A$2:$B$12,2),1),G2337*M2337*IF(E2337="FUTURE",VLOOKUP(MID(I2337,2,2),[1]Futures!$A$2:$B$12,2),1)))</f>
        <v>82200</v>
      </c>
      <c r="R2337" s="12">
        <f>IFERROR(Q2337/P2337/IF(E2337="FUTURE",VLOOKUP(MID(I2337,2,2),[1]Futures!$A$2:$B$12,2),1),"")</f>
        <v>41.1</v>
      </c>
      <c r="S2337" s="13" t="str">
        <f>IF(AND(H2337="TO CLOSE",P2337=0),-G2337*(M2337-R2336)*IF(E2337="FUTURE",VLOOKUP(MID(I2337,2,2),[1]Futures!$A$2:$B$12,2),1),"")</f>
        <v/>
      </c>
    </row>
    <row r="2338" spans="1:19" x14ac:dyDescent="0.2">
      <c r="A2338">
        <f t="shared" si="110"/>
        <v>771</v>
      </c>
      <c r="B2338" s="3">
        <v>44040</v>
      </c>
      <c r="C2338" s="3" t="str">
        <f t="shared" si="109"/>
        <v>Tuesday</v>
      </c>
      <c r="D2338" s="2">
        <v>0.58124999999999993</v>
      </c>
      <c r="E2338" t="s">
        <v>14</v>
      </c>
      <c r="F2338" t="s">
        <v>15</v>
      </c>
      <c r="G2338">
        <v>-2</v>
      </c>
      <c r="H2338" t="s">
        <v>16</v>
      </c>
      <c r="I2338" t="s">
        <v>81</v>
      </c>
      <c r="J2338" s="1">
        <v>44094</v>
      </c>
      <c r="L2338" t="s">
        <v>14</v>
      </c>
      <c r="M2338">
        <v>40.97</v>
      </c>
      <c r="N2338">
        <v>40.97</v>
      </c>
      <c r="O2338" t="s">
        <v>18</v>
      </c>
      <c r="P2338">
        <f t="shared" si="111"/>
        <v>0</v>
      </c>
      <c r="Q2338" s="11">
        <f>IF(P2338=0,0,IFERROR(Q2337+G2338*M2338*IF(E2338="FUTURE",VLOOKUP(MID(I2338,2,2),[1]Futures!$A$2:$B$12,2),1),G2338*M2338*IF(E2338="FUTURE",VLOOKUP(MID(I2338,2,2),[1]Futures!$A$2:$B$12,2),1)))</f>
        <v>0</v>
      </c>
      <c r="R2338" s="12" t="str">
        <f>IFERROR(Q2338/P2338/IF(E2338="FUTURE",VLOOKUP(MID(I2338,2,2),[1]Futures!$A$2:$B$12,2),1),"")</f>
        <v/>
      </c>
      <c r="S2338" s="13">
        <f>IF(AND(H2338="TO CLOSE",P2338=0),-G2338*(M2338-R2337)*IF(E2338="FUTURE",VLOOKUP(MID(I2338,2,2),[1]Futures!$A$2:$B$12,2),1),"")</f>
        <v>-260.00000000000512</v>
      </c>
    </row>
    <row r="2339" spans="1:19" x14ac:dyDescent="0.2">
      <c r="A2339">
        <f t="shared" si="110"/>
        <v>772</v>
      </c>
      <c r="B2339" s="3">
        <v>44040</v>
      </c>
      <c r="C2339" s="3" t="str">
        <f t="shared" si="109"/>
        <v>Tuesday</v>
      </c>
      <c r="D2339" s="2">
        <v>0.58951388888888889</v>
      </c>
      <c r="E2339" t="s">
        <v>14</v>
      </c>
      <c r="F2339" t="s">
        <v>19</v>
      </c>
      <c r="G2339">
        <v>2</v>
      </c>
      <c r="H2339" t="s">
        <v>20</v>
      </c>
      <c r="I2339" t="s">
        <v>81</v>
      </c>
      <c r="J2339" s="1">
        <v>44094</v>
      </c>
      <c r="L2339" t="s">
        <v>14</v>
      </c>
      <c r="M2339">
        <v>40.99</v>
      </c>
      <c r="N2339">
        <v>40.99</v>
      </c>
      <c r="O2339" t="s">
        <v>24</v>
      </c>
      <c r="P2339">
        <f t="shared" si="111"/>
        <v>2</v>
      </c>
      <c r="Q2339" s="11">
        <f>IF(P2339=0,0,IFERROR(Q2338+G2339*M2339*IF(E2339="FUTURE",VLOOKUP(MID(I2339,2,2),[1]Futures!$A$2:$B$12,2),1),G2339*M2339*IF(E2339="FUTURE",VLOOKUP(MID(I2339,2,2),[1]Futures!$A$2:$B$12,2),1)))</f>
        <v>81980</v>
      </c>
      <c r="R2339" s="12">
        <f>IFERROR(Q2339/P2339/IF(E2339="FUTURE",VLOOKUP(MID(I2339,2,2),[1]Futures!$A$2:$B$12,2),1),"")</f>
        <v>40.99</v>
      </c>
      <c r="S2339" s="13" t="str">
        <f>IF(AND(H2339="TO CLOSE",P2339=0),-G2339*(M2339-R2338)*IF(E2339="FUTURE",VLOOKUP(MID(I2339,2,2),[1]Futures!$A$2:$B$12,2),1),"")</f>
        <v/>
      </c>
    </row>
    <row r="2340" spans="1:19" x14ac:dyDescent="0.2">
      <c r="A2340">
        <f t="shared" si="110"/>
        <v>772</v>
      </c>
      <c r="B2340" s="3">
        <v>44040</v>
      </c>
      <c r="C2340" s="3" t="str">
        <f t="shared" si="109"/>
        <v>Tuesday</v>
      </c>
      <c r="D2340" s="2">
        <v>0.59517361111111111</v>
      </c>
      <c r="E2340" t="s">
        <v>14</v>
      </c>
      <c r="F2340" t="s">
        <v>15</v>
      </c>
      <c r="G2340">
        <v>-1</v>
      </c>
      <c r="H2340" t="s">
        <v>16</v>
      </c>
      <c r="I2340" t="s">
        <v>81</v>
      </c>
      <c r="J2340" s="1">
        <v>44094</v>
      </c>
      <c r="L2340" t="s">
        <v>14</v>
      </c>
      <c r="M2340">
        <v>41.13</v>
      </c>
      <c r="N2340">
        <v>41.13</v>
      </c>
      <c r="O2340" t="s">
        <v>21</v>
      </c>
      <c r="P2340">
        <f t="shared" si="111"/>
        <v>1</v>
      </c>
      <c r="Q2340" s="11">
        <f>IF(P2340=0,0,IFERROR(Q2339+G2340*M2340*IF(E2340="FUTURE",VLOOKUP(MID(I2340,2,2),[1]Futures!$A$2:$B$12,2),1),G2340*M2340*IF(E2340="FUTURE",VLOOKUP(MID(I2340,2,2),[1]Futures!$A$2:$B$12,2),1)))</f>
        <v>40850</v>
      </c>
      <c r="R2340" s="12">
        <f>IFERROR(Q2340/P2340/IF(E2340="FUTURE",VLOOKUP(MID(I2340,2,2),[1]Futures!$A$2:$B$12,2),1),"")</f>
        <v>40.85</v>
      </c>
      <c r="S2340" s="13" t="str">
        <f>IF(AND(H2340="TO CLOSE",P2340=0),-G2340*(M2340-R2339)*IF(E2340="FUTURE",VLOOKUP(MID(I2340,2,2),[1]Futures!$A$2:$B$12,2),1),"")</f>
        <v/>
      </c>
    </row>
    <row r="2341" spans="1:19" x14ac:dyDescent="0.2">
      <c r="A2341">
        <f t="shared" si="110"/>
        <v>772</v>
      </c>
      <c r="B2341" s="3">
        <v>44040</v>
      </c>
      <c r="C2341" s="3" t="str">
        <f t="shared" si="109"/>
        <v>Tuesday</v>
      </c>
      <c r="D2341" s="2">
        <v>0.60430555555555554</v>
      </c>
      <c r="E2341" t="s">
        <v>14</v>
      </c>
      <c r="F2341" t="s">
        <v>15</v>
      </c>
      <c r="G2341">
        <v>-1</v>
      </c>
      <c r="H2341" t="s">
        <v>16</v>
      </c>
      <c r="I2341" t="s">
        <v>81</v>
      </c>
      <c r="J2341" s="1">
        <v>44094</v>
      </c>
      <c r="L2341" t="s">
        <v>14</v>
      </c>
      <c r="M2341">
        <v>41.02</v>
      </c>
      <c r="N2341">
        <v>41.02</v>
      </c>
      <c r="O2341" t="s">
        <v>18</v>
      </c>
      <c r="P2341">
        <f t="shared" si="111"/>
        <v>0</v>
      </c>
      <c r="Q2341" s="11">
        <f>IF(P2341=0,0,IFERROR(Q2340+G2341*M2341*IF(E2341="FUTURE",VLOOKUP(MID(I2341,2,2),[1]Futures!$A$2:$B$12,2),1),G2341*M2341*IF(E2341="FUTURE",VLOOKUP(MID(I2341,2,2),[1]Futures!$A$2:$B$12,2),1)))</f>
        <v>0</v>
      </c>
      <c r="R2341" s="12" t="str">
        <f>IFERROR(Q2341/P2341/IF(E2341="FUTURE",VLOOKUP(MID(I2341,2,2),[1]Futures!$A$2:$B$12,2),1),"")</f>
        <v/>
      </c>
      <c r="S2341" s="13">
        <f>IF(AND(H2341="TO CLOSE",P2341=0),-G2341*(M2341-R2340)*IF(E2341="FUTURE",VLOOKUP(MID(I2341,2,2),[1]Futures!$A$2:$B$12,2),1),"")</f>
        <v>170.00000000000171</v>
      </c>
    </row>
    <row r="2342" spans="1:19" x14ac:dyDescent="0.2">
      <c r="A2342">
        <f t="shared" si="110"/>
        <v>773</v>
      </c>
      <c r="B2342" s="3">
        <v>44040</v>
      </c>
      <c r="C2342" s="3" t="str">
        <f t="shared" si="109"/>
        <v>Tuesday</v>
      </c>
      <c r="D2342" s="2">
        <v>0.43716435185185182</v>
      </c>
      <c r="E2342" t="s">
        <v>14</v>
      </c>
      <c r="F2342" t="s">
        <v>19</v>
      </c>
      <c r="G2342">
        <v>1</v>
      </c>
      <c r="H2342" t="s">
        <v>20</v>
      </c>
      <c r="I2342" t="s">
        <v>79</v>
      </c>
      <c r="J2342" s="1">
        <v>44094</v>
      </c>
      <c r="L2342" t="s">
        <v>14</v>
      </c>
      <c r="M2342">
        <v>3227</v>
      </c>
      <c r="N2342">
        <v>3227</v>
      </c>
      <c r="O2342" t="s">
        <v>24</v>
      </c>
      <c r="P2342">
        <f t="shared" si="111"/>
        <v>1</v>
      </c>
      <c r="Q2342" s="11">
        <f>IF(P2342=0,0,IFERROR(Q2341+G2342*M2342*IF(E2342="FUTURE",VLOOKUP(MID(I2342,2,2),[1]Futures!$A$2:$B$12,2),1),G2342*M2342*IF(E2342="FUTURE",VLOOKUP(MID(I2342,2,2),[1]Futures!$A$2:$B$12,2),1)))</f>
        <v>161350</v>
      </c>
      <c r="R2342" s="12">
        <f>IFERROR(Q2342/P2342/IF(E2342="FUTURE",VLOOKUP(MID(I2342,2,2),[1]Futures!$A$2:$B$12,2),1),"")</f>
        <v>3227</v>
      </c>
      <c r="S2342" s="13" t="str">
        <f>IF(AND(H2342="TO CLOSE",P2342=0),-G2342*(M2342-R2341)*IF(E2342="FUTURE",VLOOKUP(MID(I2342,2,2),[1]Futures!$A$2:$B$12,2),1),"")</f>
        <v/>
      </c>
    </row>
    <row r="2343" spans="1:19" x14ac:dyDescent="0.2">
      <c r="A2343">
        <f t="shared" si="110"/>
        <v>773</v>
      </c>
      <c r="B2343" s="3">
        <v>44040</v>
      </c>
      <c r="C2343" s="3" t="str">
        <f t="shared" si="109"/>
        <v>Tuesday</v>
      </c>
      <c r="D2343" s="2">
        <v>0.46240740740740738</v>
      </c>
      <c r="E2343" t="s">
        <v>14</v>
      </c>
      <c r="F2343" t="s">
        <v>15</v>
      </c>
      <c r="G2343">
        <v>-2</v>
      </c>
      <c r="H2343" t="s">
        <v>16</v>
      </c>
      <c r="I2343" t="s">
        <v>79</v>
      </c>
      <c r="J2343" s="1">
        <v>44094</v>
      </c>
      <c r="L2343" t="s">
        <v>14</v>
      </c>
      <c r="M2343">
        <v>3221</v>
      </c>
      <c r="N2343">
        <v>3221</v>
      </c>
      <c r="O2343" t="s">
        <v>24</v>
      </c>
      <c r="P2343">
        <f t="shared" si="111"/>
        <v>-1</v>
      </c>
      <c r="Q2343" s="11">
        <f>IF(P2343=0,0,IFERROR(Q2342+G2343*M2343*IF(E2343="FUTURE",VLOOKUP(MID(I2343,2,2),[1]Futures!$A$2:$B$12,2),1),G2343*M2343*IF(E2343="FUTURE",VLOOKUP(MID(I2343,2,2),[1]Futures!$A$2:$B$12,2),1)))</f>
        <v>-160750</v>
      </c>
      <c r="R2343" s="12">
        <f>IFERROR(Q2343/P2343/IF(E2343="FUTURE",VLOOKUP(MID(I2343,2,2),[1]Futures!$A$2:$B$12,2),1),"")</f>
        <v>3215</v>
      </c>
      <c r="S2343" s="13" t="str">
        <f>IF(AND(H2343="TO CLOSE",P2343=0),-G2343*(M2343-R2342)*IF(E2343="FUTURE",VLOOKUP(MID(I2343,2,2),[1]Futures!$A$2:$B$12,2),1),"")</f>
        <v/>
      </c>
    </row>
    <row r="2344" spans="1:19" x14ac:dyDescent="0.2">
      <c r="A2344">
        <f t="shared" si="110"/>
        <v>773</v>
      </c>
      <c r="B2344" s="3">
        <v>44040</v>
      </c>
      <c r="C2344" s="3" t="str">
        <f t="shared" si="109"/>
        <v>Tuesday</v>
      </c>
      <c r="D2344" s="2">
        <v>0.46788194444444442</v>
      </c>
      <c r="E2344" t="s">
        <v>14</v>
      </c>
      <c r="F2344" t="s">
        <v>19</v>
      </c>
      <c r="G2344">
        <v>2</v>
      </c>
      <c r="H2344" t="s">
        <v>16</v>
      </c>
      <c r="I2344" t="s">
        <v>79</v>
      </c>
      <c r="J2344" s="1">
        <v>44094</v>
      </c>
      <c r="L2344" t="s">
        <v>14</v>
      </c>
      <c r="M2344">
        <v>3227.25</v>
      </c>
      <c r="N2344">
        <v>3227.25</v>
      </c>
      <c r="O2344" t="s">
        <v>24</v>
      </c>
      <c r="P2344">
        <f t="shared" si="111"/>
        <v>1</v>
      </c>
      <c r="Q2344" s="11">
        <f>IF(P2344=0,0,IFERROR(Q2343+G2344*M2344*IF(E2344="FUTURE",VLOOKUP(MID(I2344,2,2),[1]Futures!$A$2:$B$12,2),1),G2344*M2344*IF(E2344="FUTURE",VLOOKUP(MID(I2344,2,2),[1]Futures!$A$2:$B$12,2),1)))</f>
        <v>161975</v>
      </c>
      <c r="R2344" s="12">
        <f>IFERROR(Q2344/P2344/IF(E2344="FUTURE",VLOOKUP(MID(I2344,2,2),[1]Futures!$A$2:$B$12,2),1),"")</f>
        <v>3239.5</v>
      </c>
      <c r="S2344" s="13" t="str">
        <f>IF(AND(H2344="TO CLOSE",P2344=0),-G2344*(M2344-R2343)*IF(E2344="FUTURE",VLOOKUP(MID(I2344,2,2),[1]Futures!$A$2:$B$12,2),1),"")</f>
        <v/>
      </c>
    </row>
    <row r="2345" spans="1:19" x14ac:dyDescent="0.2">
      <c r="A2345">
        <f t="shared" si="110"/>
        <v>773</v>
      </c>
      <c r="B2345" s="3">
        <v>44040</v>
      </c>
      <c r="C2345" s="3" t="str">
        <f t="shared" si="109"/>
        <v>Tuesday</v>
      </c>
      <c r="D2345" s="2">
        <v>0.50866898148148143</v>
      </c>
      <c r="E2345" t="s">
        <v>14</v>
      </c>
      <c r="F2345" t="s">
        <v>15</v>
      </c>
      <c r="G2345">
        <v>-2</v>
      </c>
      <c r="H2345" t="s">
        <v>16</v>
      </c>
      <c r="I2345" t="s">
        <v>79</v>
      </c>
      <c r="J2345" s="1">
        <v>44094</v>
      </c>
      <c r="L2345" t="s">
        <v>14</v>
      </c>
      <c r="M2345">
        <v>3225.5</v>
      </c>
      <c r="N2345">
        <v>3225.5</v>
      </c>
      <c r="O2345" t="s">
        <v>24</v>
      </c>
      <c r="P2345">
        <f t="shared" si="111"/>
        <v>-1</v>
      </c>
      <c r="Q2345" s="11">
        <f>IF(P2345=0,0,IFERROR(Q2344+G2345*M2345*IF(E2345="FUTURE",VLOOKUP(MID(I2345,2,2),[1]Futures!$A$2:$B$12,2),1),G2345*M2345*IF(E2345="FUTURE",VLOOKUP(MID(I2345,2,2),[1]Futures!$A$2:$B$12,2),1)))</f>
        <v>-160575</v>
      </c>
      <c r="R2345" s="12">
        <f>IFERROR(Q2345/P2345/IF(E2345="FUTURE",VLOOKUP(MID(I2345,2,2),[1]Futures!$A$2:$B$12,2),1),"")</f>
        <v>3211.5</v>
      </c>
      <c r="S2345" s="13" t="str">
        <f>IF(AND(H2345="TO CLOSE",P2345=0),-G2345*(M2345-R2344)*IF(E2345="FUTURE",VLOOKUP(MID(I2345,2,2),[1]Futures!$A$2:$B$12,2),1),"")</f>
        <v/>
      </c>
    </row>
    <row r="2346" spans="1:19" x14ac:dyDescent="0.2">
      <c r="A2346">
        <f t="shared" si="110"/>
        <v>773</v>
      </c>
      <c r="B2346" s="3">
        <v>44040</v>
      </c>
      <c r="C2346" s="3" t="str">
        <f t="shared" si="109"/>
        <v>Tuesday</v>
      </c>
      <c r="D2346" s="2">
        <v>0.50918981481481485</v>
      </c>
      <c r="E2346" t="s">
        <v>14</v>
      </c>
      <c r="F2346" t="s">
        <v>15</v>
      </c>
      <c r="G2346">
        <v>-1</v>
      </c>
      <c r="H2346" t="s">
        <v>20</v>
      </c>
      <c r="I2346" t="s">
        <v>79</v>
      </c>
      <c r="J2346" s="1">
        <v>44094</v>
      </c>
      <c r="L2346" t="s">
        <v>14</v>
      </c>
      <c r="M2346">
        <v>3227.5</v>
      </c>
      <c r="N2346">
        <v>3227.5</v>
      </c>
      <c r="O2346" t="s">
        <v>21</v>
      </c>
      <c r="P2346">
        <f t="shared" si="111"/>
        <v>-2</v>
      </c>
      <c r="Q2346" s="11">
        <f>IF(P2346=0,0,IFERROR(Q2345+G2346*M2346*IF(E2346="FUTURE",VLOOKUP(MID(I2346,2,2),[1]Futures!$A$2:$B$12,2),1),G2346*M2346*IF(E2346="FUTURE",VLOOKUP(MID(I2346,2,2),[1]Futures!$A$2:$B$12,2),1)))</f>
        <v>-321950</v>
      </c>
      <c r="R2346" s="12">
        <f>IFERROR(Q2346/P2346/IF(E2346="FUTURE",VLOOKUP(MID(I2346,2,2),[1]Futures!$A$2:$B$12,2),1),"")</f>
        <v>3219.5</v>
      </c>
      <c r="S2346" s="13" t="str">
        <f>IF(AND(H2346="TO CLOSE",P2346=0),-G2346*(M2346-R2345)*IF(E2346="FUTURE",VLOOKUP(MID(I2346,2,2),[1]Futures!$A$2:$B$12,2),1),"")</f>
        <v/>
      </c>
    </row>
    <row r="2347" spans="1:19" x14ac:dyDescent="0.2">
      <c r="A2347">
        <f t="shared" si="110"/>
        <v>773</v>
      </c>
      <c r="B2347" s="3">
        <v>44040</v>
      </c>
      <c r="C2347" s="3" t="str">
        <f t="shared" si="109"/>
        <v>Tuesday</v>
      </c>
      <c r="D2347" s="2">
        <v>0.52090277777777783</v>
      </c>
      <c r="E2347" t="s">
        <v>14</v>
      </c>
      <c r="F2347" t="s">
        <v>19</v>
      </c>
      <c r="G2347">
        <v>1</v>
      </c>
      <c r="H2347" t="s">
        <v>16</v>
      </c>
      <c r="I2347" t="s">
        <v>79</v>
      </c>
      <c r="J2347" s="1">
        <v>44094</v>
      </c>
      <c r="L2347" t="s">
        <v>14</v>
      </c>
      <c r="M2347">
        <v>3226.25</v>
      </c>
      <c r="N2347">
        <v>3226.25</v>
      </c>
      <c r="O2347" t="s">
        <v>21</v>
      </c>
      <c r="P2347">
        <f t="shared" si="111"/>
        <v>-1</v>
      </c>
      <c r="Q2347" s="11">
        <f>IF(P2347=0,0,IFERROR(Q2346+G2347*M2347*IF(E2347="FUTURE",VLOOKUP(MID(I2347,2,2),[1]Futures!$A$2:$B$12,2),1),G2347*M2347*IF(E2347="FUTURE",VLOOKUP(MID(I2347,2,2),[1]Futures!$A$2:$B$12,2),1)))</f>
        <v>-160637.5</v>
      </c>
      <c r="R2347" s="12">
        <f>IFERROR(Q2347/P2347/IF(E2347="FUTURE",VLOOKUP(MID(I2347,2,2),[1]Futures!$A$2:$B$12,2),1),"")</f>
        <v>3212.75</v>
      </c>
      <c r="S2347" s="13" t="str">
        <f>IF(AND(H2347="TO CLOSE",P2347=0),-G2347*(M2347-R2346)*IF(E2347="FUTURE",VLOOKUP(MID(I2347,2,2),[1]Futures!$A$2:$B$12,2),1),"")</f>
        <v/>
      </c>
    </row>
    <row r="2348" spans="1:19" x14ac:dyDescent="0.2">
      <c r="A2348">
        <f t="shared" si="110"/>
        <v>773</v>
      </c>
      <c r="B2348" s="3">
        <v>44040</v>
      </c>
      <c r="C2348" s="3" t="str">
        <f t="shared" si="109"/>
        <v>Tuesday</v>
      </c>
      <c r="D2348" s="2">
        <v>0.55619212962962961</v>
      </c>
      <c r="E2348" t="s">
        <v>14</v>
      </c>
      <c r="F2348" t="s">
        <v>19</v>
      </c>
      <c r="G2348">
        <v>1</v>
      </c>
      <c r="H2348" t="s">
        <v>16</v>
      </c>
      <c r="I2348" t="s">
        <v>79</v>
      </c>
      <c r="J2348" s="1">
        <v>44094</v>
      </c>
      <c r="L2348" t="s">
        <v>14</v>
      </c>
      <c r="M2348">
        <v>3231.75</v>
      </c>
      <c r="N2348">
        <v>3231.75</v>
      </c>
      <c r="O2348" t="s">
        <v>18</v>
      </c>
      <c r="P2348">
        <f t="shared" si="111"/>
        <v>0</v>
      </c>
      <c r="Q2348" s="11">
        <f>IF(P2348=0,0,IFERROR(Q2347+G2348*M2348*IF(E2348="FUTURE",VLOOKUP(MID(I2348,2,2),[1]Futures!$A$2:$B$12,2),1),G2348*M2348*IF(E2348="FUTURE",VLOOKUP(MID(I2348,2,2),[1]Futures!$A$2:$B$12,2),1)))</f>
        <v>0</v>
      </c>
      <c r="R2348" s="12" t="str">
        <f>IFERROR(Q2348/P2348/IF(E2348="FUTURE",VLOOKUP(MID(I2348,2,2),[1]Futures!$A$2:$B$12,2),1),"")</f>
        <v/>
      </c>
      <c r="S2348" s="13">
        <f>IF(AND(H2348="TO CLOSE",P2348=0),-G2348*(M2348-R2347)*IF(E2348="FUTURE",VLOOKUP(MID(I2348,2,2),[1]Futures!$A$2:$B$12,2),1),"")</f>
        <v>-950</v>
      </c>
    </row>
    <row r="2349" spans="1:19" x14ac:dyDescent="0.2">
      <c r="A2349">
        <f t="shared" si="110"/>
        <v>774</v>
      </c>
      <c r="B2349" s="3">
        <v>44040</v>
      </c>
      <c r="C2349" s="3" t="str">
        <f t="shared" si="109"/>
        <v>Tuesday</v>
      </c>
      <c r="D2349" s="2">
        <v>0.60405092592592591</v>
      </c>
      <c r="E2349" t="s">
        <v>14</v>
      </c>
      <c r="F2349" t="s">
        <v>15</v>
      </c>
      <c r="G2349">
        <v>-1</v>
      </c>
      <c r="H2349" t="s">
        <v>20</v>
      </c>
      <c r="I2349" t="s">
        <v>79</v>
      </c>
      <c r="J2349" s="1">
        <v>44094</v>
      </c>
      <c r="L2349" t="s">
        <v>14</v>
      </c>
      <c r="M2349">
        <v>3230.75</v>
      </c>
      <c r="N2349">
        <v>3230.75</v>
      </c>
      <c r="O2349" t="s">
        <v>24</v>
      </c>
      <c r="P2349">
        <f t="shared" si="111"/>
        <v>-1</v>
      </c>
      <c r="Q2349" s="11">
        <f>IF(P2349=0,0,IFERROR(Q2348+G2349*M2349*IF(E2349="FUTURE",VLOOKUP(MID(I2349,2,2),[1]Futures!$A$2:$B$12,2),1),G2349*M2349*IF(E2349="FUTURE",VLOOKUP(MID(I2349,2,2),[1]Futures!$A$2:$B$12,2),1)))</f>
        <v>-161537.5</v>
      </c>
      <c r="R2349" s="12">
        <f>IFERROR(Q2349/P2349/IF(E2349="FUTURE",VLOOKUP(MID(I2349,2,2),[1]Futures!$A$2:$B$12,2),1),"")</f>
        <v>3230.75</v>
      </c>
      <c r="S2349" s="13" t="str">
        <f>IF(AND(H2349="TO CLOSE",P2349=0),-G2349*(M2349-R2348)*IF(E2349="FUTURE",VLOOKUP(MID(I2349,2,2),[1]Futures!$A$2:$B$12,2),1),"")</f>
        <v/>
      </c>
    </row>
    <row r="2350" spans="1:19" x14ac:dyDescent="0.2">
      <c r="A2350">
        <f t="shared" si="110"/>
        <v>774</v>
      </c>
      <c r="B2350" s="3">
        <v>44040</v>
      </c>
      <c r="C2350" s="3" t="str">
        <f t="shared" si="109"/>
        <v>Tuesday</v>
      </c>
      <c r="D2350" s="2">
        <v>0.62081018518518516</v>
      </c>
      <c r="E2350" t="s">
        <v>14</v>
      </c>
      <c r="F2350" t="s">
        <v>19</v>
      </c>
      <c r="G2350">
        <v>1</v>
      </c>
      <c r="H2350" t="s">
        <v>16</v>
      </c>
      <c r="I2350" t="s">
        <v>79</v>
      </c>
      <c r="J2350" s="1">
        <v>44094</v>
      </c>
      <c r="L2350" t="s">
        <v>14</v>
      </c>
      <c r="M2350">
        <v>3230.5</v>
      </c>
      <c r="N2350">
        <v>3230.5</v>
      </c>
      <c r="O2350" t="s">
        <v>18</v>
      </c>
      <c r="P2350">
        <f t="shared" si="111"/>
        <v>0</v>
      </c>
      <c r="Q2350" s="11">
        <f>IF(P2350=0,0,IFERROR(Q2349+G2350*M2350*IF(E2350="FUTURE",VLOOKUP(MID(I2350,2,2),[1]Futures!$A$2:$B$12,2),1),G2350*M2350*IF(E2350="FUTURE",VLOOKUP(MID(I2350,2,2),[1]Futures!$A$2:$B$12,2),1)))</f>
        <v>0</v>
      </c>
      <c r="R2350" s="12" t="str">
        <f>IFERROR(Q2350/P2350/IF(E2350="FUTURE",VLOOKUP(MID(I2350,2,2),[1]Futures!$A$2:$B$12,2),1),"")</f>
        <v/>
      </c>
      <c r="S2350" s="13">
        <f>IF(AND(H2350="TO CLOSE",P2350=0),-G2350*(M2350-R2349)*IF(E2350="FUTURE",VLOOKUP(MID(I2350,2,2),[1]Futures!$A$2:$B$12,2),1),"")</f>
        <v>12.5</v>
      </c>
    </row>
    <row r="2351" spans="1:19" x14ac:dyDescent="0.2">
      <c r="A2351">
        <f t="shared" si="110"/>
        <v>775</v>
      </c>
      <c r="B2351" s="3">
        <v>44040</v>
      </c>
      <c r="C2351" s="3" t="str">
        <f t="shared" si="109"/>
        <v>Tuesday</v>
      </c>
      <c r="D2351" s="2">
        <v>0.44450231481481484</v>
      </c>
      <c r="E2351" t="s">
        <v>22</v>
      </c>
      <c r="F2351" t="s">
        <v>15</v>
      </c>
      <c r="G2351">
        <v>-100</v>
      </c>
      <c r="H2351" t="s">
        <v>20</v>
      </c>
      <c r="I2351" t="s">
        <v>23</v>
      </c>
      <c r="L2351" t="s">
        <v>22</v>
      </c>
      <c r="M2351">
        <v>28.9801</v>
      </c>
      <c r="N2351">
        <v>28.9801</v>
      </c>
      <c r="O2351" t="s">
        <v>24</v>
      </c>
      <c r="P2351">
        <f t="shared" si="111"/>
        <v>-100</v>
      </c>
      <c r="Q2351" s="11">
        <f>IF(P2351=0,0,IFERROR(Q2350+G2351*M2351*IF(E2351="FUTURE",VLOOKUP(MID(I2351,2,2),[1]Futures!$A$2:$B$12,2),1),G2351*M2351*IF(E2351="FUTURE",VLOOKUP(MID(I2351,2,2),[1]Futures!$A$2:$B$12,2),1)))</f>
        <v>-2898.01</v>
      </c>
      <c r="R2351" s="12">
        <f>IFERROR(Q2351/P2351/IF(E2351="FUTURE",VLOOKUP(MID(I2351,2,2),[1]Futures!$A$2:$B$12,2),1),"")</f>
        <v>28.980100000000004</v>
      </c>
      <c r="S2351" s="13" t="str">
        <f>IF(AND(H2351="TO CLOSE",P2351=0),-G2351*(M2351-R2350)*IF(E2351="FUTURE",VLOOKUP(MID(I2351,2,2),[1]Futures!$A$2:$B$12,2),1),"")</f>
        <v/>
      </c>
    </row>
    <row r="2352" spans="1:19" x14ac:dyDescent="0.2">
      <c r="A2352">
        <f t="shared" si="110"/>
        <v>775</v>
      </c>
      <c r="B2352" s="3">
        <v>44040</v>
      </c>
      <c r="C2352" s="3" t="str">
        <f t="shared" si="109"/>
        <v>Tuesday</v>
      </c>
      <c r="D2352" s="2">
        <v>0.44450231481481484</v>
      </c>
      <c r="E2352" t="s">
        <v>22</v>
      </c>
      <c r="F2352" t="s">
        <v>15</v>
      </c>
      <c r="G2352">
        <v>-100</v>
      </c>
      <c r="H2352" t="s">
        <v>20</v>
      </c>
      <c r="I2352" t="s">
        <v>23</v>
      </c>
      <c r="L2352" t="s">
        <v>22</v>
      </c>
      <c r="M2352">
        <v>28.9801</v>
      </c>
      <c r="N2352">
        <v>28.9801</v>
      </c>
      <c r="O2352" t="s">
        <v>24</v>
      </c>
      <c r="P2352">
        <f t="shared" si="111"/>
        <v>-200</v>
      </c>
      <c r="Q2352" s="11">
        <f>IF(P2352=0,0,IFERROR(Q2351+G2352*M2352*IF(E2352="FUTURE",VLOOKUP(MID(I2352,2,2),[1]Futures!$A$2:$B$12,2),1),G2352*M2352*IF(E2352="FUTURE",VLOOKUP(MID(I2352,2,2),[1]Futures!$A$2:$B$12,2),1)))</f>
        <v>-5796.02</v>
      </c>
      <c r="R2352" s="12">
        <f>IFERROR(Q2352/P2352/IF(E2352="FUTURE",VLOOKUP(MID(I2352,2,2),[1]Futures!$A$2:$B$12,2),1),"")</f>
        <v>28.980100000000004</v>
      </c>
      <c r="S2352" s="13" t="str">
        <f>IF(AND(H2352="TO CLOSE",P2352=0),-G2352*(M2352-R2351)*IF(E2352="FUTURE",VLOOKUP(MID(I2352,2,2),[1]Futures!$A$2:$B$12,2),1),"")</f>
        <v/>
      </c>
    </row>
    <row r="2353" spans="1:19" x14ac:dyDescent="0.2">
      <c r="A2353">
        <f t="shared" si="110"/>
        <v>775</v>
      </c>
      <c r="B2353" s="3">
        <v>44040</v>
      </c>
      <c r="C2353" s="3" t="str">
        <f t="shared" si="109"/>
        <v>Tuesday</v>
      </c>
      <c r="D2353" s="2">
        <v>0.44450231481481484</v>
      </c>
      <c r="E2353" t="s">
        <v>22</v>
      </c>
      <c r="F2353" t="s">
        <v>15</v>
      </c>
      <c r="G2353">
        <v>-100</v>
      </c>
      <c r="H2353" t="s">
        <v>20</v>
      </c>
      <c r="I2353" t="s">
        <v>23</v>
      </c>
      <c r="L2353" t="s">
        <v>22</v>
      </c>
      <c r="M2353">
        <v>28.9801</v>
      </c>
      <c r="N2353">
        <v>28.9801</v>
      </c>
      <c r="O2353" t="s">
        <v>24</v>
      </c>
      <c r="P2353">
        <f t="shared" si="111"/>
        <v>-300</v>
      </c>
      <c r="Q2353" s="11">
        <f>IF(P2353=0,0,IFERROR(Q2352+G2353*M2353*IF(E2353="FUTURE",VLOOKUP(MID(I2353,2,2),[1]Futures!$A$2:$B$12,2),1),G2353*M2353*IF(E2353="FUTURE",VLOOKUP(MID(I2353,2,2),[1]Futures!$A$2:$B$12,2),1)))</f>
        <v>-8694.0300000000007</v>
      </c>
      <c r="R2353" s="12">
        <f>IFERROR(Q2353/P2353/IF(E2353="FUTURE",VLOOKUP(MID(I2353,2,2),[1]Futures!$A$2:$B$12,2),1),"")</f>
        <v>28.980100000000004</v>
      </c>
      <c r="S2353" s="13" t="str">
        <f>IF(AND(H2353="TO CLOSE",P2353=0),-G2353*(M2353-R2352)*IF(E2353="FUTURE",VLOOKUP(MID(I2353,2,2),[1]Futures!$A$2:$B$12,2),1),"")</f>
        <v/>
      </c>
    </row>
    <row r="2354" spans="1:19" x14ac:dyDescent="0.2">
      <c r="A2354">
        <f t="shared" si="110"/>
        <v>775</v>
      </c>
      <c r="B2354" s="3">
        <v>44040</v>
      </c>
      <c r="C2354" s="3" t="str">
        <f t="shared" si="109"/>
        <v>Tuesday</v>
      </c>
      <c r="D2354" s="2">
        <v>0.4632175925925926</v>
      </c>
      <c r="E2354" t="s">
        <v>22</v>
      </c>
      <c r="F2354" t="s">
        <v>19</v>
      </c>
      <c r="G2354">
        <v>300</v>
      </c>
      <c r="H2354" t="s">
        <v>16</v>
      </c>
      <c r="I2354" t="s">
        <v>23</v>
      </c>
      <c r="L2354" t="s">
        <v>22</v>
      </c>
      <c r="M2354">
        <v>29.059899999999999</v>
      </c>
      <c r="N2354">
        <v>29.059899999999999</v>
      </c>
      <c r="O2354" t="s">
        <v>24</v>
      </c>
      <c r="P2354">
        <f t="shared" si="111"/>
        <v>0</v>
      </c>
      <c r="Q2354" s="11">
        <f>IF(P2354=0,0,IFERROR(Q2353+G2354*M2354*IF(E2354="FUTURE",VLOOKUP(MID(I2354,2,2),[1]Futures!$A$2:$B$12,2),1),G2354*M2354*IF(E2354="FUTURE",VLOOKUP(MID(I2354,2,2),[1]Futures!$A$2:$B$12,2),1)))</f>
        <v>0</v>
      </c>
      <c r="R2354" s="12" t="str">
        <f>IFERROR(Q2354/P2354/IF(E2354="FUTURE",VLOOKUP(MID(I2354,2,2),[1]Futures!$A$2:$B$12,2),1),"")</f>
        <v/>
      </c>
      <c r="S2354" s="13">
        <f>IF(AND(H2354="TO CLOSE",P2354=0),-G2354*(M2354-R2353)*IF(E2354="FUTURE",VLOOKUP(MID(I2354,2,2),[1]Futures!$A$2:$B$12,2),1),"")</f>
        <v>-23.939999999998562</v>
      </c>
    </row>
    <row r="2355" spans="1:19" x14ac:dyDescent="0.2">
      <c r="A2355">
        <f t="shared" si="110"/>
        <v>776</v>
      </c>
      <c r="B2355" s="3">
        <v>44040</v>
      </c>
      <c r="C2355" s="3" t="str">
        <f t="shared" si="109"/>
        <v>Tuesday</v>
      </c>
      <c r="D2355" s="2">
        <v>0.4632175925925926</v>
      </c>
      <c r="E2355" t="s">
        <v>22</v>
      </c>
      <c r="F2355" t="s">
        <v>19</v>
      </c>
      <c r="G2355">
        <v>400</v>
      </c>
      <c r="H2355" t="s">
        <v>20</v>
      </c>
      <c r="I2355" t="s">
        <v>23</v>
      </c>
      <c r="L2355" t="s">
        <v>22</v>
      </c>
      <c r="M2355">
        <v>29.055</v>
      </c>
      <c r="N2355">
        <v>29.055</v>
      </c>
      <c r="O2355" t="s">
        <v>24</v>
      </c>
      <c r="P2355">
        <f t="shared" si="111"/>
        <v>400</v>
      </c>
      <c r="Q2355" s="11">
        <f>IF(P2355=0,0,IFERROR(Q2354+G2355*M2355*IF(E2355="FUTURE",VLOOKUP(MID(I2355,2,2),[1]Futures!$A$2:$B$12,2),1),G2355*M2355*IF(E2355="FUTURE",VLOOKUP(MID(I2355,2,2),[1]Futures!$A$2:$B$12,2),1)))</f>
        <v>11622</v>
      </c>
      <c r="R2355" s="12">
        <f>IFERROR(Q2355/P2355/IF(E2355="FUTURE",VLOOKUP(MID(I2355,2,2),[1]Futures!$A$2:$B$12,2),1),"")</f>
        <v>29.055</v>
      </c>
      <c r="S2355" s="13" t="str">
        <f>IF(AND(H2355="TO CLOSE",P2355=0),-G2355*(M2355-R2354)*IF(E2355="FUTURE",VLOOKUP(MID(I2355,2,2),[1]Futures!$A$2:$B$12,2),1),"")</f>
        <v/>
      </c>
    </row>
    <row r="2356" spans="1:19" x14ac:dyDescent="0.2">
      <c r="A2356">
        <f t="shared" si="110"/>
        <v>776</v>
      </c>
      <c r="B2356" s="3">
        <v>44040</v>
      </c>
      <c r="C2356" s="3" t="str">
        <f t="shared" si="109"/>
        <v>Tuesday</v>
      </c>
      <c r="D2356" s="2">
        <v>0.46807870370370369</v>
      </c>
      <c r="E2356" t="s">
        <v>22</v>
      </c>
      <c r="F2356" t="s">
        <v>15</v>
      </c>
      <c r="G2356">
        <v>-100</v>
      </c>
      <c r="H2356" t="s">
        <v>16</v>
      </c>
      <c r="I2356" t="s">
        <v>23</v>
      </c>
      <c r="L2356" t="s">
        <v>22</v>
      </c>
      <c r="M2356">
        <v>28.86</v>
      </c>
      <c r="N2356">
        <v>28.86</v>
      </c>
      <c r="O2356" t="s">
        <v>24</v>
      </c>
      <c r="P2356">
        <f t="shared" si="111"/>
        <v>300</v>
      </c>
      <c r="Q2356" s="11">
        <f>IF(P2356=0,0,IFERROR(Q2355+G2356*M2356*IF(E2356="FUTURE",VLOOKUP(MID(I2356,2,2),[1]Futures!$A$2:$B$12,2),1),G2356*M2356*IF(E2356="FUTURE",VLOOKUP(MID(I2356,2,2),[1]Futures!$A$2:$B$12,2),1)))</f>
        <v>8736</v>
      </c>
      <c r="R2356" s="12">
        <f>IFERROR(Q2356/P2356/IF(E2356="FUTURE",VLOOKUP(MID(I2356,2,2),[1]Futures!$A$2:$B$12,2),1),"")</f>
        <v>29.12</v>
      </c>
      <c r="S2356" s="13" t="str">
        <f>IF(AND(H2356="TO CLOSE",P2356=0),-G2356*(M2356-R2355)*IF(E2356="FUTURE",VLOOKUP(MID(I2356,2,2),[1]Futures!$A$2:$B$12,2),1),"")</f>
        <v/>
      </c>
    </row>
    <row r="2357" spans="1:19" x14ac:dyDescent="0.2">
      <c r="A2357">
        <f t="shared" si="110"/>
        <v>776</v>
      </c>
      <c r="B2357" s="3">
        <v>44040</v>
      </c>
      <c r="C2357" s="3" t="str">
        <f t="shared" si="109"/>
        <v>Tuesday</v>
      </c>
      <c r="D2357" s="2">
        <v>0.46807870370370369</v>
      </c>
      <c r="E2357" t="s">
        <v>22</v>
      </c>
      <c r="F2357" t="s">
        <v>15</v>
      </c>
      <c r="G2357">
        <v>-100</v>
      </c>
      <c r="H2357" t="s">
        <v>16</v>
      </c>
      <c r="I2357" t="s">
        <v>23</v>
      </c>
      <c r="L2357" t="s">
        <v>22</v>
      </c>
      <c r="M2357">
        <v>28.86</v>
      </c>
      <c r="N2357">
        <v>28.86</v>
      </c>
      <c r="O2357" t="s">
        <v>24</v>
      </c>
      <c r="P2357">
        <f t="shared" si="111"/>
        <v>200</v>
      </c>
      <c r="Q2357" s="11">
        <f>IF(P2357=0,0,IFERROR(Q2356+G2357*M2357*IF(E2357="FUTURE",VLOOKUP(MID(I2357,2,2),[1]Futures!$A$2:$B$12,2),1),G2357*M2357*IF(E2357="FUTURE",VLOOKUP(MID(I2357,2,2),[1]Futures!$A$2:$B$12,2),1)))</f>
        <v>5850</v>
      </c>
      <c r="R2357" s="12">
        <f>IFERROR(Q2357/P2357/IF(E2357="FUTURE",VLOOKUP(MID(I2357,2,2),[1]Futures!$A$2:$B$12,2),1),"")</f>
        <v>29.25</v>
      </c>
      <c r="S2357" s="13" t="str">
        <f>IF(AND(H2357="TO CLOSE",P2357=0),-G2357*(M2357-R2356)*IF(E2357="FUTURE",VLOOKUP(MID(I2357,2,2),[1]Futures!$A$2:$B$12,2),1),"")</f>
        <v/>
      </c>
    </row>
    <row r="2358" spans="1:19" x14ac:dyDescent="0.2">
      <c r="A2358">
        <f t="shared" si="110"/>
        <v>776</v>
      </c>
      <c r="B2358" s="3">
        <v>44040</v>
      </c>
      <c r="C2358" s="3" t="str">
        <f t="shared" si="109"/>
        <v>Tuesday</v>
      </c>
      <c r="D2358" s="2">
        <v>0.46807870370370369</v>
      </c>
      <c r="E2358" t="s">
        <v>22</v>
      </c>
      <c r="F2358" t="s">
        <v>15</v>
      </c>
      <c r="G2358">
        <v>-100</v>
      </c>
      <c r="H2358" t="s">
        <v>16</v>
      </c>
      <c r="I2358" t="s">
        <v>23</v>
      </c>
      <c r="L2358" t="s">
        <v>22</v>
      </c>
      <c r="M2358">
        <v>28.86</v>
      </c>
      <c r="N2358">
        <v>28.86</v>
      </c>
      <c r="O2358" t="s">
        <v>24</v>
      </c>
      <c r="P2358">
        <f t="shared" si="111"/>
        <v>100</v>
      </c>
      <c r="Q2358" s="11">
        <f>IF(P2358=0,0,IFERROR(Q2357+G2358*M2358*IF(E2358="FUTURE",VLOOKUP(MID(I2358,2,2),[1]Futures!$A$2:$B$12,2),1),G2358*M2358*IF(E2358="FUTURE",VLOOKUP(MID(I2358,2,2),[1]Futures!$A$2:$B$12,2),1)))</f>
        <v>2964</v>
      </c>
      <c r="R2358" s="12">
        <f>IFERROR(Q2358/P2358/IF(E2358="FUTURE",VLOOKUP(MID(I2358,2,2),[1]Futures!$A$2:$B$12,2),1),"")</f>
        <v>29.64</v>
      </c>
      <c r="S2358" s="13" t="str">
        <f>IF(AND(H2358="TO CLOSE",P2358=0),-G2358*(M2358-R2357)*IF(E2358="FUTURE",VLOOKUP(MID(I2358,2,2),[1]Futures!$A$2:$B$12,2),1),"")</f>
        <v/>
      </c>
    </row>
    <row r="2359" spans="1:19" x14ac:dyDescent="0.2">
      <c r="A2359">
        <f t="shared" si="110"/>
        <v>776</v>
      </c>
      <c r="B2359" s="3">
        <v>44040</v>
      </c>
      <c r="C2359" s="3" t="str">
        <f t="shared" si="109"/>
        <v>Tuesday</v>
      </c>
      <c r="D2359" s="2">
        <v>0.46807870370370369</v>
      </c>
      <c r="E2359" t="s">
        <v>22</v>
      </c>
      <c r="F2359" t="s">
        <v>15</v>
      </c>
      <c r="G2359">
        <v>-100</v>
      </c>
      <c r="H2359" t="s">
        <v>16</v>
      </c>
      <c r="I2359" t="s">
        <v>23</v>
      </c>
      <c r="L2359" t="s">
        <v>22</v>
      </c>
      <c r="M2359">
        <v>28.86</v>
      </c>
      <c r="N2359">
        <v>28.86</v>
      </c>
      <c r="O2359" t="s">
        <v>24</v>
      </c>
      <c r="P2359">
        <f t="shared" si="111"/>
        <v>0</v>
      </c>
      <c r="Q2359" s="11">
        <f>IF(P2359=0,0,IFERROR(Q2358+G2359*M2359*IF(E2359="FUTURE",VLOOKUP(MID(I2359,2,2),[1]Futures!$A$2:$B$12,2),1),G2359*M2359*IF(E2359="FUTURE",VLOOKUP(MID(I2359,2,2),[1]Futures!$A$2:$B$12,2),1)))</f>
        <v>0</v>
      </c>
      <c r="R2359" s="12" t="str">
        <f>IFERROR(Q2359/P2359/IF(E2359="FUTURE",VLOOKUP(MID(I2359,2,2),[1]Futures!$A$2:$B$12,2),1),"")</f>
        <v/>
      </c>
      <c r="S2359" s="13">
        <f>IF(AND(H2359="TO CLOSE",P2359=0),-G2359*(M2359-R2358)*IF(E2359="FUTURE",VLOOKUP(MID(I2359,2,2),[1]Futures!$A$2:$B$12,2),1),"")</f>
        <v>-78.000000000000114</v>
      </c>
    </row>
    <row r="2360" spans="1:19" x14ac:dyDescent="0.2">
      <c r="A2360">
        <f t="shared" si="110"/>
        <v>777</v>
      </c>
      <c r="B2360" s="3">
        <v>44040</v>
      </c>
      <c r="C2360" s="3" t="str">
        <f t="shared" si="109"/>
        <v>Tuesday</v>
      </c>
      <c r="D2360" s="2">
        <v>0.46809027777777779</v>
      </c>
      <c r="E2360" t="s">
        <v>22</v>
      </c>
      <c r="F2360" t="s">
        <v>15</v>
      </c>
      <c r="G2360">
        <v>-200</v>
      </c>
      <c r="H2360" t="s">
        <v>20</v>
      </c>
      <c r="I2360" t="s">
        <v>23</v>
      </c>
      <c r="L2360" t="s">
        <v>22</v>
      </c>
      <c r="M2360">
        <v>28.85</v>
      </c>
      <c r="N2360">
        <v>28.85</v>
      </c>
      <c r="O2360" t="s">
        <v>24</v>
      </c>
      <c r="P2360">
        <f t="shared" si="111"/>
        <v>-200</v>
      </c>
      <c r="Q2360" s="11">
        <f>IF(P2360=0,0,IFERROR(Q2359+G2360*M2360*IF(E2360="FUTURE",VLOOKUP(MID(I2360,2,2),[1]Futures!$A$2:$B$12,2),1),G2360*M2360*IF(E2360="FUTURE",VLOOKUP(MID(I2360,2,2),[1]Futures!$A$2:$B$12,2),1)))</f>
        <v>-5770</v>
      </c>
      <c r="R2360" s="12">
        <f>IFERROR(Q2360/P2360/IF(E2360="FUTURE",VLOOKUP(MID(I2360,2,2),[1]Futures!$A$2:$B$12,2),1),"")</f>
        <v>28.85</v>
      </c>
      <c r="S2360" s="13" t="str">
        <f>IF(AND(H2360="TO CLOSE",P2360=0),-G2360*(M2360-R2359)*IF(E2360="FUTURE",VLOOKUP(MID(I2360,2,2),[1]Futures!$A$2:$B$12,2),1),"")</f>
        <v/>
      </c>
    </row>
    <row r="2361" spans="1:19" x14ac:dyDescent="0.2">
      <c r="A2361">
        <f t="shared" si="110"/>
        <v>777</v>
      </c>
      <c r="B2361" s="3">
        <v>44040</v>
      </c>
      <c r="C2361" s="3" t="str">
        <f t="shared" si="109"/>
        <v>Tuesday</v>
      </c>
      <c r="D2361" s="2">
        <v>0.46809027777777779</v>
      </c>
      <c r="E2361" t="s">
        <v>22</v>
      </c>
      <c r="F2361" t="s">
        <v>15</v>
      </c>
      <c r="G2361">
        <v>-200</v>
      </c>
      <c r="H2361" t="s">
        <v>20</v>
      </c>
      <c r="I2361" t="s">
        <v>23</v>
      </c>
      <c r="L2361" t="s">
        <v>22</v>
      </c>
      <c r="M2361">
        <v>28.85</v>
      </c>
      <c r="N2361">
        <v>28.85</v>
      </c>
      <c r="O2361" t="s">
        <v>24</v>
      </c>
      <c r="P2361">
        <f t="shared" si="111"/>
        <v>-400</v>
      </c>
      <c r="Q2361" s="11">
        <f>IF(P2361=0,0,IFERROR(Q2360+G2361*M2361*IF(E2361="FUTURE",VLOOKUP(MID(I2361,2,2),[1]Futures!$A$2:$B$12,2),1),G2361*M2361*IF(E2361="FUTURE",VLOOKUP(MID(I2361,2,2),[1]Futures!$A$2:$B$12,2),1)))</f>
        <v>-11540</v>
      </c>
      <c r="R2361" s="12">
        <f>IFERROR(Q2361/P2361/IF(E2361="FUTURE",VLOOKUP(MID(I2361,2,2),[1]Futures!$A$2:$B$12,2),1),"")</f>
        <v>28.85</v>
      </c>
      <c r="S2361" s="13" t="str">
        <f>IF(AND(H2361="TO CLOSE",P2361=0),-G2361*(M2361-R2360)*IF(E2361="FUTURE",VLOOKUP(MID(I2361,2,2),[1]Futures!$A$2:$B$12,2),1),"")</f>
        <v/>
      </c>
    </row>
    <row r="2362" spans="1:19" x14ac:dyDescent="0.2">
      <c r="A2362">
        <f t="shared" si="110"/>
        <v>777</v>
      </c>
      <c r="B2362" s="3">
        <v>44040</v>
      </c>
      <c r="C2362" s="3" t="str">
        <f t="shared" si="109"/>
        <v>Tuesday</v>
      </c>
      <c r="D2362" s="2">
        <v>0.48104166666666665</v>
      </c>
      <c r="E2362" t="s">
        <v>22</v>
      </c>
      <c r="F2362" t="s">
        <v>19</v>
      </c>
      <c r="G2362">
        <v>200</v>
      </c>
      <c r="H2362" t="s">
        <v>16</v>
      </c>
      <c r="I2362" t="s">
        <v>23</v>
      </c>
      <c r="L2362" t="s">
        <v>22</v>
      </c>
      <c r="M2362">
        <v>28.779900000000001</v>
      </c>
      <c r="N2362">
        <v>28.779900000000001</v>
      </c>
      <c r="O2362" t="s">
        <v>24</v>
      </c>
      <c r="P2362">
        <f t="shared" si="111"/>
        <v>-200</v>
      </c>
      <c r="Q2362" s="11">
        <f>IF(P2362=0,0,IFERROR(Q2361+G2362*M2362*IF(E2362="FUTURE",VLOOKUP(MID(I2362,2,2),[1]Futures!$A$2:$B$12,2),1),G2362*M2362*IF(E2362="FUTURE",VLOOKUP(MID(I2362,2,2),[1]Futures!$A$2:$B$12,2),1)))</f>
        <v>-5784.0199999999995</v>
      </c>
      <c r="R2362" s="12">
        <f>IFERROR(Q2362/P2362/IF(E2362="FUTURE",VLOOKUP(MID(I2362,2,2),[1]Futures!$A$2:$B$12,2),1),"")</f>
        <v>28.920099999999998</v>
      </c>
      <c r="S2362" s="13" t="str">
        <f>IF(AND(H2362="TO CLOSE",P2362=0),-G2362*(M2362-R2361)*IF(E2362="FUTURE",VLOOKUP(MID(I2362,2,2),[1]Futures!$A$2:$B$12,2),1),"")</f>
        <v/>
      </c>
    </row>
    <row r="2363" spans="1:19" x14ac:dyDescent="0.2">
      <c r="A2363">
        <f t="shared" si="110"/>
        <v>777</v>
      </c>
      <c r="B2363" s="3">
        <v>44040</v>
      </c>
      <c r="C2363" s="3" t="str">
        <f t="shared" si="109"/>
        <v>Tuesday</v>
      </c>
      <c r="D2363" s="2">
        <v>0.48155092592592591</v>
      </c>
      <c r="E2363" t="s">
        <v>22</v>
      </c>
      <c r="F2363" t="s">
        <v>15</v>
      </c>
      <c r="G2363">
        <v>-50</v>
      </c>
      <c r="H2363" t="s">
        <v>20</v>
      </c>
      <c r="I2363" t="s">
        <v>23</v>
      </c>
      <c r="L2363" t="s">
        <v>22</v>
      </c>
      <c r="M2363">
        <v>28.715</v>
      </c>
      <c r="N2363">
        <v>28.715</v>
      </c>
      <c r="O2363" t="s">
        <v>24</v>
      </c>
      <c r="P2363">
        <f t="shared" si="111"/>
        <v>-250</v>
      </c>
      <c r="Q2363" s="11">
        <f>IF(P2363=0,0,IFERROR(Q2362+G2363*M2363*IF(E2363="FUTURE",VLOOKUP(MID(I2363,2,2),[1]Futures!$A$2:$B$12,2),1),G2363*M2363*IF(E2363="FUTURE",VLOOKUP(MID(I2363,2,2),[1]Futures!$A$2:$B$12,2),1)))</f>
        <v>-7219.7699999999995</v>
      </c>
      <c r="R2363" s="12">
        <f>IFERROR(Q2363/P2363/IF(E2363="FUTURE",VLOOKUP(MID(I2363,2,2),[1]Futures!$A$2:$B$12,2),1),"")</f>
        <v>28.879079999999998</v>
      </c>
      <c r="S2363" s="13" t="str">
        <f>IF(AND(H2363="TO CLOSE",P2363=0),-G2363*(M2363-R2362)*IF(E2363="FUTURE",VLOOKUP(MID(I2363,2,2),[1]Futures!$A$2:$B$12,2),1),"")</f>
        <v/>
      </c>
    </row>
    <row r="2364" spans="1:19" x14ac:dyDescent="0.2">
      <c r="A2364">
        <f t="shared" si="110"/>
        <v>777</v>
      </c>
      <c r="B2364" s="3">
        <v>44040</v>
      </c>
      <c r="C2364" s="3" t="str">
        <f t="shared" si="109"/>
        <v>Tuesday</v>
      </c>
      <c r="D2364" s="2">
        <v>0.50752314814814814</v>
      </c>
      <c r="E2364" t="s">
        <v>22</v>
      </c>
      <c r="F2364" t="s">
        <v>19</v>
      </c>
      <c r="G2364">
        <v>250</v>
      </c>
      <c r="H2364" t="s">
        <v>16</v>
      </c>
      <c r="I2364" t="s">
        <v>23</v>
      </c>
      <c r="L2364" t="s">
        <v>22</v>
      </c>
      <c r="M2364">
        <v>28.628399999999999</v>
      </c>
      <c r="N2364">
        <v>28.628399999999999</v>
      </c>
      <c r="O2364" t="s">
        <v>24</v>
      </c>
      <c r="P2364">
        <f t="shared" si="111"/>
        <v>0</v>
      </c>
      <c r="Q2364" s="11">
        <f>IF(P2364=0,0,IFERROR(Q2363+G2364*M2364*IF(E2364="FUTURE",VLOOKUP(MID(I2364,2,2),[1]Futures!$A$2:$B$12,2),1),G2364*M2364*IF(E2364="FUTURE",VLOOKUP(MID(I2364,2,2),[1]Futures!$A$2:$B$12,2),1)))</f>
        <v>0</v>
      </c>
      <c r="R2364" s="12" t="str">
        <f>IFERROR(Q2364/P2364/IF(E2364="FUTURE",VLOOKUP(MID(I2364,2,2),[1]Futures!$A$2:$B$12,2),1),"")</f>
        <v/>
      </c>
      <c r="S2364" s="13">
        <f>IF(AND(H2364="TO CLOSE",P2364=0),-G2364*(M2364-R2363)*IF(E2364="FUTURE",VLOOKUP(MID(I2364,2,2),[1]Futures!$A$2:$B$12,2),1),"")</f>
        <v>62.669999999999781</v>
      </c>
    </row>
    <row r="2365" spans="1:19" x14ac:dyDescent="0.2">
      <c r="A2365">
        <f t="shared" si="110"/>
        <v>778</v>
      </c>
      <c r="B2365" s="3">
        <v>44041</v>
      </c>
      <c r="C2365" s="3" t="str">
        <f t="shared" si="109"/>
        <v>Wednesday</v>
      </c>
      <c r="D2365" s="2">
        <v>0.43827546296296299</v>
      </c>
      <c r="E2365" t="s">
        <v>14</v>
      </c>
      <c r="F2365" t="s">
        <v>19</v>
      </c>
      <c r="G2365">
        <v>1</v>
      </c>
      <c r="H2365" t="s">
        <v>20</v>
      </c>
      <c r="I2365" t="s">
        <v>81</v>
      </c>
      <c r="J2365" s="1">
        <v>44094</v>
      </c>
      <c r="L2365" t="s">
        <v>14</v>
      </c>
      <c r="M2365">
        <v>41.41</v>
      </c>
      <c r="N2365">
        <v>41.41</v>
      </c>
      <c r="O2365" t="s">
        <v>21</v>
      </c>
      <c r="P2365">
        <f t="shared" si="111"/>
        <v>1</v>
      </c>
      <c r="Q2365" s="11">
        <f>IF(P2365=0,0,IFERROR(Q2364+G2365*M2365*IF(E2365="FUTURE",VLOOKUP(MID(I2365,2,2),[1]Futures!$A$2:$B$12,2),1),G2365*M2365*IF(E2365="FUTURE",VLOOKUP(MID(I2365,2,2),[1]Futures!$A$2:$B$12,2),1)))</f>
        <v>41410</v>
      </c>
      <c r="R2365" s="12">
        <f>IFERROR(Q2365/P2365/IF(E2365="FUTURE",VLOOKUP(MID(I2365,2,2),[1]Futures!$A$2:$B$12,2),1),"")</f>
        <v>41.41</v>
      </c>
      <c r="S2365" s="13" t="str">
        <f>IF(AND(H2365="TO CLOSE",P2365=0),-G2365*(M2365-R2364)*IF(E2365="FUTURE",VLOOKUP(MID(I2365,2,2),[1]Futures!$A$2:$B$12,2),1),"")</f>
        <v/>
      </c>
    </row>
    <row r="2366" spans="1:19" x14ac:dyDescent="0.2">
      <c r="A2366">
        <f t="shared" si="110"/>
        <v>778</v>
      </c>
      <c r="B2366" s="3">
        <v>44041</v>
      </c>
      <c r="C2366" s="3" t="str">
        <f t="shared" ref="C2366:C2400" si="112">IF(WEEKDAY(B2366,2)=1,"Monday",IF(WEEKDAY(B2366,2)=2,"Tuesday",IF(WEEKDAY(B2366,2)=3,"Wednesday",IF(WEEKDAY(B2366,2)=4,"Thursday",IF(WEEKDAY(B2366,2)=5,"Friday","Sunday")))))</f>
        <v>Wednesday</v>
      </c>
      <c r="D2366" s="2">
        <v>0.45849537037037041</v>
      </c>
      <c r="E2366" t="s">
        <v>14</v>
      </c>
      <c r="F2366" t="s">
        <v>19</v>
      </c>
      <c r="G2366">
        <v>1</v>
      </c>
      <c r="H2366" t="s">
        <v>20</v>
      </c>
      <c r="I2366" t="s">
        <v>81</v>
      </c>
      <c r="J2366" s="1">
        <v>44094</v>
      </c>
      <c r="L2366" t="s">
        <v>14</v>
      </c>
      <c r="M2366">
        <v>41.31</v>
      </c>
      <c r="N2366">
        <v>41.31</v>
      </c>
      <c r="O2366" t="s">
        <v>21</v>
      </c>
      <c r="P2366">
        <f t="shared" si="111"/>
        <v>2</v>
      </c>
      <c r="Q2366" s="11">
        <f>IF(P2366=0,0,IFERROR(Q2365+G2366*M2366*IF(E2366="FUTURE",VLOOKUP(MID(I2366,2,2),[1]Futures!$A$2:$B$12,2),1),G2366*M2366*IF(E2366="FUTURE",VLOOKUP(MID(I2366,2,2),[1]Futures!$A$2:$B$12,2),1)))</f>
        <v>82720</v>
      </c>
      <c r="R2366" s="12">
        <f>IFERROR(Q2366/P2366/IF(E2366="FUTURE",VLOOKUP(MID(I2366,2,2),[1]Futures!$A$2:$B$12,2),1),"")</f>
        <v>41.36</v>
      </c>
      <c r="S2366" s="13" t="str">
        <f>IF(AND(H2366="TO CLOSE",P2366=0),-G2366*(M2366-R2365)*IF(E2366="FUTURE",VLOOKUP(MID(I2366,2,2),[1]Futures!$A$2:$B$12,2),1),"")</f>
        <v/>
      </c>
    </row>
    <row r="2367" spans="1:19" x14ac:dyDescent="0.2">
      <c r="A2367">
        <f t="shared" si="110"/>
        <v>778</v>
      </c>
      <c r="B2367" s="3">
        <v>44041</v>
      </c>
      <c r="C2367" s="3" t="str">
        <f t="shared" si="112"/>
        <v>Wednesday</v>
      </c>
      <c r="D2367" s="2">
        <v>0.4626851851851852</v>
      </c>
      <c r="E2367" t="s">
        <v>14</v>
      </c>
      <c r="F2367" t="s">
        <v>15</v>
      </c>
      <c r="G2367">
        <v>-2</v>
      </c>
      <c r="H2367" t="s">
        <v>16</v>
      </c>
      <c r="I2367" t="s">
        <v>81</v>
      </c>
      <c r="J2367" s="1">
        <v>44094</v>
      </c>
      <c r="L2367" t="s">
        <v>14</v>
      </c>
      <c r="M2367">
        <v>41.16</v>
      </c>
      <c r="N2367">
        <v>41.16</v>
      </c>
      <c r="O2367" t="s">
        <v>18</v>
      </c>
      <c r="P2367">
        <f t="shared" si="111"/>
        <v>0</v>
      </c>
      <c r="Q2367" s="11">
        <f>IF(P2367=0,0,IFERROR(Q2366+G2367*M2367*IF(E2367="FUTURE",VLOOKUP(MID(I2367,2,2),[1]Futures!$A$2:$B$12,2),1),G2367*M2367*IF(E2367="FUTURE",VLOOKUP(MID(I2367,2,2),[1]Futures!$A$2:$B$12,2),1)))</f>
        <v>0</v>
      </c>
      <c r="R2367" s="12" t="str">
        <f>IFERROR(Q2367/P2367/IF(E2367="FUTURE",VLOOKUP(MID(I2367,2,2),[1]Futures!$A$2:$B$12,2),1),"")</f>
        <v/>
      </c>
      <c r="S2367" s="13">
        <f>IF(AND(H2367="TO CLOSE",P2367=0),-G2367*(M2367-R2366)*IF(E2367="FUTURE",VLOOKUP(MID(I2367,2,2),[1]Futures!$A$2:$B$12,2),1),"")</f>
        <v>-400.00000000000568</v>
      </c>
    </row>
    <row r="2368" spans="1:19" x14ac:dyDescent="0.2">
      <c r="A2368">
        <f t="shared" si="110"/>
        <v>779</v>
      </c>
      <c r="B2368" s="3">
        <v>44041</v>
      </c>
      <c r="C2368" s="3" t="str">
        <f t="shared" si="112"/>
        <v>Wednesday</v>
      </c>
      <c r="D2368" s="2">
        <v>0.46333333333333332</v>
      </c>
      <c r="E2368" t="s">
        <v>14</v>
      </c>
      <c r="F2368" t="s">
        <v>15</v>
      </c>
      <c r="G2368">
        <v>-1</v>
      </c>
      <c r="H2368" t="s">
        <v>20</v>
      </c>
      <c r="I2368" t="s">
        <v>81</v>
      </c>
      <c r="J2368" s="1">
        <v>44094</v>
      </c>
      <c r="L2368" t="s">
        <v>14</v>
      </c>
      <c r="M2368">
        <v>41.23</v>
      </c>
      <c r="N2368">
        <v>41.23</v>
      </c>
      <c r="O2368" t="s">
        <v>24</v>
      </c>
      <c r="P2368">
        <f t="shared" si="111"/>
        <v>-1</v>
      </c>
      <c r="Q2368" s="11">
        <f>IF(P2368=0,0,IFERROR(Q2367+G2368*M2368*IF(E2368="FUTURE",VLOOKUP(MID(I2368,2,2),[1]Futures!$A$2:$B$12,2),1),G2368*M2368*IF(E2368="FUTURE",VLOOKUP(MID(I2368,2,2),[1]Futures!$A$2:$B$12,2),1)))</f>
        <v>-41230</v>
      </c>
      <c r="R2368" s="12">
        <f>IFERROR(Q2368/P2368/IF(E2368="FUTURE",VLOOKUP(MID(I2368,2,2),[1]Futures!$A$2:$B$12,2),1),"")</f>
        <v>41.23</v>
      </c>
      <c r="S2368" s="13" t="str">
        <f>IF(AND(H2368="TO CLOSE",P2368=0),-G2368*(M2368-R2367)*IF(E2368="FUTURE",VLOOKUP(MID(I2368,2,2),[1]Futures!$A$2:$B$12,2),1),"")</f>
        <v/>
      </c>
    </row>
    <row r="2369" spans="1:19" x14ac:dyDescent="0.2">
      <c r="A2369">
        <f t="shared" si="110"/>
        <v>779</v>
      </c>
      <c r="B2369" s="3">
        <v>44041</v>
      </c>
      <c r="C2369" s="3" t="str">
        <f t="shared" si="112"/>
        <v>Wednesday</v>
      </c>
      <c r="D2369" s="2">
        <v>0.47015046296296298</v>
      </c>
      <c r="E2369" t="s">
        <v>14</v>
      </c>
      <c r="F2369" t="s">
        <v>19</v>
      </c>
      <c r="G2369">
        <v>3</v>
      </c>
      <c r="H2369" t="s">
        <v>16</v>
      </c>
      <c r="I2369" t="s">
        <v>81</v>
      </c>
      <c r="J2369" s="1">
        <v>44094</v>
      </c>
      <c r="L2369" t="s">
        <v>14</v>
      </c>
      <c r="M2369">
        <v>41.38</v>
      </c>
      <c r="N2369">
        <v>41.38</v>
      </c>
      <c r="O2369" t="s">
        <v>24</v>
      </c>
      <c r="P2369">
        <f t="shared" si="111"/>
        <v>2</v>
      </c>
      <c r="Q2369" s="11">
        <f>IF(P2369=0,0,IFERROR(Q2368+G2369*M2369*IF(E2369="FUTURE",VLOOKUP(MID(I2369,2,2),[1]Futures!$A$2:$B$12,2),1),G2369*M2369*IF(E2369="FUTURE",VLOOKUP(MID(I2369,2,2),[1]Futures!$A$2:$B$12,2),1)))</f>
        <v>82910.000000000015</v>
      </c>
      <c r="R2369" s="12">
        <f>IFERROR(Q2369/P2369/IF(E2369="FUTURE",VLOOKUP(MID(I2369,2,2),[1]Futures!$A$2:$B$12,2),1),"")</f>
        <v>41.455000000000005</v>
      </c>
      <c r="S2369" s="13" t="str">
        <f>IF(AND(H2369="TO CLOSE",P2369=0),-G2369*(M2369-R2368)*IF(E2369="FUTURE",VLOOKUP(MID(I2369,2,2),[1]Futures!$A$2:$B$12,2),1),"")</f>
        <v/>
      </c>
    </row>
    <row r="2370" spans="1:19" x14ac:dyDescent="0.2">
      <c r="A2370">
        <f t="shared" ref="A2370:A2433" si="113">IF(AND(P2369=0,H2369="TO CLOSE"),IFERROR(A2369+1,1),IFERROR(A2369/1,1))</f>
        <v>779</v>
      </c>
      <c r="B2370" s="3">
        <v>44041</v>
      </c>
      <c r="C2370" s="3" t="str">
        <f t="shared" si="112"/>
        <v>Wednesday</v>
      </c>
      <c r="D2370" s="2">
        <v>0.49821759259259263</v>
      </c>
      <c r="E2370" t="s">
        <v>14</v>
      </c>
      <c r="F2370" t="s">
        <v>15</v>
      </c>
      <c r="G2370">
        <v>-2</v>
      </c>
      <c r="H2370" t="s">
        <v>16</v>
      </c>
      <c r="I2370" t="s">
        <v>81</v>
      </c>
      <c r="J2370" s="1">
        <v>44094</v>
      </c>
      <c r="L2370" t="s">
        <v>14</v>
      </c>
      <c r="M2370">
        <v>41.28</v>
      </c>
      <c r="N2370">
        <v>41.28</v>
      </c>
      <c r="O2370" t="s">
        <v>21</v>
      </c>
      <c r="P2370">
        <f t="shared" si="111"/>
        <v>0</v>
      </c>
      <c r="Q2370" s="11">
        <f>IF(P2370=0,0,IFERROR(Q2369+G2370*M2370*IF(E2370="FUTURE",VLOOKUP(MID(I2370,2,2),[1]Futures!$A$2:$B$12,2),1),G2370*M2370*IF(E2370="FUTURE",VLOOKUP(MID(I2370,2,2),[1]Futures!$A$2:$B$12,2),1)))</f>
        <v>0</v>
      </c>
      <c r="R2370" s="12" t="str">
        <f>IFERROR(Q2370/P2370/IF(E2370="FUTURE",VLOOKUP(MID(I2370,2,2),[1]Futures!$A$2:$B$12,2),1),"")</f>
        <v/>
      </c>
      <c r="S2370" s="13">
        <f>IF(AND(H2370="TO CLOSE",P2370=0),-G2370*(M2370-R2369)*IF(E2370="FUTURE",VLOOKUP(MID(I2370,2,2),[1]Futures!$A$2:$B$12,2),1),"")</f>
        <v>-350.00000000000853</v>
      </c>
    </row>
    <row r="2371" spans="1:19" x14ac:dyDescent="0.2">
      <c r="A2371">
        <f t="shared" si="113"/>
        <v>780</v>
      </c>
      <c r="B2371" s="3">
        <v>44041</v>
      </c>
      <c r="C2371" s="3" t="str">
        <f t="shared" si="112"/>
        <v>Wednesday</v>
      </c>
      <c r="D2371" s="2">
        <v>0.52929398148148155</v>
      </c>
      <c r="E2371" t="s">
        <v>14</v>
      </c>
      <c r="F2371" t="s">
        <v>15</v>
      </c>
      <c r="G2371">
        <v>-2</v>
      </c>
      <c r="H2371" t="s">
        <v>20</v>
      </c>
      <c r="I2371" t="s">
        <v>81</v>
      </c>
      <c r="J2371" s="1">
        <v>44094</v>
      </c>
      <c r="L2371" t="s">
        <v>14</v>
      </c>
      <c r="M2371">
        <v>41.26</v>
      </c>
      <c r="N2371">
        <v>41.26</v>
      </c>
      <c r="O2371" t="s">
        <v>24</v>
      </c>
      <c r="P2371">
        <f t="shared" ref="P2371:P2434" si="114">IF(H2371="TO OPEN",IFERROR(P2370+G2371,0+G2371),IFERROR(P2370+G2371,0+G2371))</f>
        <v>-2</v>
      </c>
      <c r="Q2371" s="11">
        <f>IF(P2371=0,0,IFERROR(Q2370+G2371*M2371*IF(E2371="FUTURE",VLOOKUP(MID(I2371,2,2),[1]Futures!$A$2:$B$12,2),1),G2371*M2371*IF(E2371="FUTURE",VLOOKUP(MID(I2371,2,2),[1]Futures!$A$2:$B$12,2),1)))</f>
        <v>-82520</v>
      </c>
      <c r="R2371" s="12">
        <f>IFERROR(Q2371/P2371/IF(E2371="FUTURE",VLOOKUP(MID(I2371,2,2),[1]Futures!$A$2:$B$12,2),1),"")</f>
        <v>41.26</v>
      </c>
      <c r="S2371" s="13" t="str">
        <f>IF(AND(H2371="TO CLOSE",P2371=0),-G2371*(M2371-R2370)*IF(E2371="FUTURE",VLOOKUP(MID(I2371,2,2),[1]Futures!$A$2:$B$12,2),1),"")</f>
        <v/>
      </c>
    </row>
    <row r="2372" spans="1:19" x14ac:dyDescent="0.2">
      <c r="A2372">
        <f t="shared" si="113"/>
        <v>780</v>
      </c>
      <c r="B2372" s="3">
        <v>44041</v>
      </c>
      <c r="C2372" s="3" t="str">
        <f t="shared" si="112"/>
        <v>Wednesday</v>
      </c>
      <c r="D2372" s="2">
        <v>0.5401273148148148</v>
      </c>
      <c r="E2372" t="s">
        <v>14</v>
      </c>
      <c r="F2372" t="s">
        <v>19</v>
      </c>
      <c r="G2372">
        <v>1</v>
      </c>
      <c r="H2372" t="s">
        <v>16</v>
      </c>
      <c r="I2372" t="s">
        <v>81</v>
      </c>
      <c r="J2372" s="1">
        <v>44094</v>
      </c>
      <c r="L2372" t="s">
        <v>14</v>
      </c>
      <c r="M2372">
        <v>41.24</v>
      </c>
      <c r="N2372">
        <v>41.24</v>
      </c>
      <c r="O2372" t="s">
        <v>21</v>
      </c>
      <c r="P2372">
        <f t="shared" si="114"/>
        <v>-1</v>
      </c>
      <c r="Q2372" s="11">
        <f>IF(P2372=0,0,IFERROR(Q2371+G2372*M2372*IF(E2372="FUTURE",VLOOKUP(MID(I2372,2,2),[1]Futures!$A$2:$B$12,2),1),G2372*M2372*IF(E2372="FUTURE",VLOOKUP(MID(I2372,2,2),[1]Futures!$A$2:$B$12,2),1)))</f>
        <v>-41280</v>
      </c>
      <c r="R2372" s="12">
        <f>IFERROR(Q2372/P2372/IF(E2372="FUTURE",VLOOKUP(MID(I2372,2,2),[1]Futures!$A$2:$B$12,2),1),"")</f>
        <v>41.28</v>
      </c>
      <c r="S2372" s="13" t="str">
        <f>IF(AND(H2372="TO CLOSE",P2372=0),-G2372*(M2372-R2371)*IF(E2372="FUTURE",VLOOKUP(MID(I2372,2,2),[1]Futures!$A$2:$B$12,2),1),"")</f>
        <v/>
      </c>
    </row>
    <row r="2373" spans="1:19" x14ac:dyDescent="0.2">
      <c r="A2373">
        <f t="shared" si="113"/>
        <v>780</v>
      </c>
      <c r="B2373" s="3">
        <v>44041</v>
      </c>
      <c r="C2373" s="3" t="str">
        <f t="shared" si="112"/>
        <v>Wednesday</v>
      </c>
      <c r="D2373" s="2">
        <v>0.54190972222222222</v>
      </c>
      <c r="E2373" t="s">
        <v>14</v>
      </c>
      <c r="F2373" t="s">
        <v>19</v>
      </c>
      <c r="G2373">
        <v>1</v>
      </c>
      <c r="H2373" t="s">
        <v>16</v>
      </c>
      <c r="I2373" t="s">
        <v>81</v>
      </c>
      <c r="J2373" s="1">
        <v>44094</v>
      </c>
      <c r="L2373" t="s">
        <v>14</v>
      </c>
      <c r="M2373">
        <v>41.26</v>
      </c>
      <c r="N2373">
        <v>41.26</v>
      </c>
      <c r="O2373" t="s">
        <v>18</v>
      </c>
      <c r="P2373">
        <f t="shared" si="114"/>
        <v>0</v>
      </c>
      <c r="Q2373" s="11">
        <f>IF(P2373=0,0,IFERROR(Q2372+G2373*M2373*IF(E2373="FUTURE",VLOOKUP(MID(I2373,2,2),[1]Futures!$A$2:$B$12,2),1),G2373*M2373*IF(E2373="FUTURE",VLOOKUP(MID(I2373,2,2),[1]Futures!$A$2:$B$12,2),1)))</f>
        <v>0</v>
      </c>
      <c r="R2373" s="12" t="str">
        <f>IFERROR(Q2373/P2373/IF(E2373="FUTURE",VLOOKUP(MID(I2373,2,2),[1]Futures!$A$2:$B$12,2),1),"")</f>
        <v/>
      </c>
      <c r="S2373" s="13">
        <f>IF(AND(H2373="TO CLOSE",P2373=0),-G2373*(M2373-R2372)*IF(E2373="FUTURE",VLOOKUP(MID(I2373,2,2),[1]Futures!$A$2:$B$12,2),1),"")</f>
        <v>20.000000000003126</v>
      </c>
    </row>
    <row r="2374" spans="1:19" x14ac:dyDescent="0.2">
      <c r="A2374">
        <f t="shared" si="113"/>
        <v>781</v>
      </c>
      <c r="B2374" s="3">
        <v>44041</v>
      </c>
      <c r="C2374" s="3" t="str">
        <f t="shared" si="112"/>
        <v>Wednesday</v>
      </c>
      <c r="D2374" s="2">
        <v>0.54535879629629636</v>
      </c>
      <c r="E2374" t="s">
        <v>14</v>
      </c>
      <c r="F2374" t="s">
        <v>15</v>
      </c>
      <c r="G2374">
        <v>-1</v>
      </c>
      <c r="H2374" t="s">
        <v>20</v>
      </c>
      <c r="I2374" t="s">
        <v>81</v>
      </c>
      <c r="J2374" s="1">
        <v>44094</v>
      </c>
      <c r="L2374" t="s">
        <v>14</v>
      </c>
      <c r="M2374">
        <v>41.19</v>
      </c>
      <c r="N2374">
        <v>41.19</v>
      </c>
      <c r="O2374" t="s">
        <v>21</v>
      </c>
      <c r="P2374">
        <f t="shared" si="114"/>
        <v>-1</v>
      </c>
      <c r="Q2374" s="11">
        <f>IF(P2374=0,0,IFERROR(Q2373+G2374*M2374*IF(E2374="FUTURE",VLOOKUP(MID(I2374,2,2),[1]Futures!$A$2:$B$12,2),1),G2374*M2374*IF(E2374="FUTURE",VLOOKUP(MID(I2374,2,2),[1]Futures!$A$2:$B$12,2),1)))</f>
        <v>-41190</v>
      </c>
      <c r="R2374" s="12">
        <f>IFERROR(Q2374/P2374/IF(E2374="FUTURE",VLOOKUP(MID(I2374,2,2),[1]Futures!$A$2:$B$12,2),1),"")</f>
        <v>41.19</v>
      </c>
      <c r="S2374" s="13" t="str">
        <f>IF(AND(H2374="TO CLOSE",P2374=0),-G2374*(M2374-R2373)*IF(E2374="FUTURE",VLOOKUP(MID(I2374,2,2),[1]Futures!$A$2:$B$12,2),1),"")</f>
        <v/>
      </c>
    </row>
    <row r="2375" spans="1:19" x14ac:dyDescent="0.2">
      <c r="A2375">
        <f t="shared" si="113"/>
        <v>781</v>
      </c>
      <c r="B2375" s="3">
        <v>44041</v>
      </c>
      <c r="C2375" s="3" t="str">
        <f t="shared" si="112"/>
        <v>Wednesday</v>
      </c>
      <c r="D2375" s="2">
        <v>0.56118055555555557</v>
      </c>
      <c r="E2375" t="s">
        <v>14</v>
      </c>
      <c r="F2375" t="s">
        <v>19</v>
      </c>
      <c r="G2375">
        <v>2</v>
      </c>
      <c r="H2375" t="s">
        <v>16</v>
      </c>
      <c r="I2375" t="s">
        <v>81</v>
      </c>
      <c r="J2375" s="1">
        <v>44094</v>
      </c>
      <c r="L2375" t="s">
        <v>14</v>
      </c>
      <c r="M2375">
        <v>41.24</v>
      </c>
      <c r="N2375">
        <v>41.24</v>
      </c>
      <c r="O2375" t="s">
        <v>24</v>
      </c>
      <c r="P2375">
        <f t="shared" si="114"/>
        <v>1</v>
      </c>
      <c r="Q2375" s="11">
        <f>IF(P2375=0,0,IFERROR(Q2374+G2375*M2375*IF(E2375="FUTURE",VLOOKUP(MID(I2375,2,2),[1]Futures!$A$2:$B$12,2),1),G2375*M2375*IF(E2375="FUTURE",VLOOKUP(MID(I2375,2,2),[1]Futures!$A$2:$B$12,2),1)))</f>
        <v>41290</v>
      </c>
      <c r="R2375" s="12">
        <f>IFERROR(Q2375/P2375/IF(E2375="FUTURE",VLOOKUP(MID(I2375,2,2),[1]Futures!$A$2:$B$12,2),1),"")</f>
        <v>41.29</v>
      </c>
      <c r="S2375" s="13" t="str">
        <f>IF(AND(H2375="TO CLOSE",P2375=0),-G2375*(M2375-R2374)*IF(E2375="FUTURE",VLOOKUP(MID(I2375,2,2),[1]Futures!$A$2:$B$12,2),1),"")</f>
        <v/>
      </c>
    </row>
    <row r="2376" spans="1:19" x14ac:dyDescent="0.2">
      <c r="A2376">
        <f t="shared" si="113"/>
        <v>781</v>
      </c>
      <c r="B2376" s="3">
        <v>44041</v>
      </c>
      <c r="C2376" s="3" t="str">
        <f t="shared" si="112"/>
        <v>Wednesday</v>
      </c>
      <c r="D2376" s="2">
        <v>0.56226851851851845</v>
      </c>
      <c r="E2376" t="s">
        <v>14</v>
      </c>
      <c r="F2376" t="s">
        <v>19</v>
      </c>
      <c r="G2376">
        <v>1</v>
      </c>
      <c r="H2376" t="s">
        <v>20</v>
      </c>
      <c r="I2376" t="s">
        <v>81</v>
      </c>
      <c r="J2376" s="1">
        <v>44094</v>
      </c>
      <c r="L2376" t="s">
        <v>14</v>
      </c>
      <c r="M2376">
        <v>41.23</v>
      </c>
      <c r="N2376">
        <v>41.23</v>
      </c>
      <c r="O2376" t="s">
        <v>21</v>
      </c>
      <c r="P2376">
        <f t="shared" si="114"/>
        <v>2</v>
      </c>
      <c r="Q2376" s="11">
        <f>IF(P2376=0,0,IFERROR(Q2375+G2376*M2376*IF(E2376="FUTURE",VLOOKUP(MID(I2376,2,2),[1]Futures!$A$2:$B$12,2),1),G2376*M2376*IF(E2376="FUTURE",VLOOKUP(MID(I2376,2,2),[1]Futures!$A$2:$B$12,2),1)))</f>
        <v>82520</v>
      </c>
      <c r="R2376" s="12">
        <f>IFERROR(Q2376/P2376/IF(E2376="FUTURE",VLOOKUP(MID(I2376,2,2),[1]Futures!$A$2:$B$12,2),1),"")</f>
        <v>41.26</v>
      </c>
      <c r="S2376" s="13" t="str">
        <f>IF(AND(H2376="TO CLOSE",P2376=0),-G2376*(M2376-R2375)*IF(E2376="FUTURE",VLOOKUP(MID(I2376,2,2),[1]Futures!$A$2:$B$12,2),1),"")</f>
        <v/>
      </c>
    </row>
    <row r="2377" spans="1:19" x14ac:dyDescent="0.2">
      <c r="A2377">
        <f t="shared" si="113"/>
        <v>781</v>
      </c>
      <c r="B2377" s="3">
        <v>44041</v>
      </c>
      <c r="C2377" s="3" t="str">
        <f t="shared" si="112"/>
        <v>Wednesday</v>
      </c>
      <c r="D2377" s="2">
        <v>0.58297453703703705</v>
      </c>
      <c r="E2377" t="s">
        <v>14</v>
      </c>
      <c r="F2377" t="s">
        <v>15</v>
      </c>
      <c r="G2377">
        <v>-1</v>
      </c>
      <c r="H2377" t="s">
        <v>16</v>
      </c>
      <c r="I2377" t="s">
        <v>81</v>
      </c>
      <c r="J2377" s="1">
        <v>44094</v>
      </c>
      <c r="L2377" t="s">
        <v>14</v>
      </c>
      <c r="M2377">
        <v>41.26</v>
      </c>
      <c r="N2377">
        <v>41.26</v>
      </c>
      <c r="O2377" t="s">
        <v>21</v>
      </c>
      <c r="P2377">
        <f t="shared" si="114"/>
        <v>1</v>
      </c>
      <c r="Q2377" s="11">
        <f>IF(P2377=0,0,IFERROR(Q2376+G2377*M2377*IF(E2377="FUTURE",VLOOKUP(MID(I2377,2,2),[1]Futures!$A$2:$B$12,2),1),G2377*M2377*IF(E2377="FUTURE",VLOOKUP(MID(I2377,2,2),[1]Futures!$A$2:$B$12,2),1)))</f>
        <v>41260</v>
      </c>
      <c r="R2377" s="12">
        <f>IFERROR(Q2377/P2377/IF(E2377="FUTURE",VLOOKUP(MID(I2377,2,2),[1]Futures!$A$2:$B$12,2),1),"")</f>
        <v>41.26</v>
      </c>
      <c r="S2377" s="13" t="str">
        <f>IF(AND(H2377="TO CLOSE",P2377=0),-G2377*(M2377-R2376)*IF(E2377="FUTURE",VLOOKUP(MID(I2377,2,2),[1]Futures!$A$2:$B$12,2),1),"")</f>
        <v/>
      </c>
    </row>
    <row r="2378" spans="1:19" x14ac:dyDescent="0.2">
      <c r="A2378">
        <f t="shared" si="113"/>
        <v>781</v>
      </c>
      <c r="B2378" s="3">
        <v>44041</v>
      </c>
      <c r="C2378" s="3" t="str">
        <f t="shared" si="112"/>
        <v>Wednesday</v>
      </c>
      <c r="D2378" s="2">
        <v>0.59468750000000004</v>
      </c>
      <c r="E2378" t="s">
        <v>14</v>
      </c>
      <c r="F2378" t="s">
        <v>15</v>
      </c>
      <c r="G2378">
        <v>-1</v>
      </c>
      <c r="H2378" t="s">
        <v>16</v>
      </c>
      <c r="I2378" t="s">
        <v>81</v>
      </c>
      <c r="J2378" s="1">
        <v>44094</v>
      </c>
      <c r="L2378" t="s">
        <v>14</v>
      </c>
      <c r="M2378">
        <v>41.3</v>
      </c>
      <c r="N2378">
        <v>41.3</v>
      </c>
      <c r="O2378" t="s">
        <v>21</v>
      </c>
      <c r="P2378">
        <f t="shared" si="114"/>
        <v>0</v>
      </c>
      <c r="Q2378" s="11">
        <f>IF(P2378=0,0,IFERROR(Q2377+G2378*M2378*IF(E2378="FUTURE",VLOOKUP(MID(I2378,2,2),[1]Futures!$A$2:$B$12,2),1),G2378*M2378*IF(E2378="FUTURE",VLOOKUP(MID(I2378,2,2),[1]Futures!$A$2:$B$12,2),1)))</f>
        <v>0</v>
      </c>
      <c r="R2378" s="12" t="str">
        <f>IFERROR(Q2378/P2378/IF(E2378="FUTURE",VLOOKUP(MID(I2378,2,2),[1]Futures!$A$2:$B$12,2),1),"")</f>
        <v/>
      </c>
      <c r="S2378" s="13">
        <f>IF(AND(H2378="TO CLOSE",P2378=0),-G2378*(M2378-R2377)*IF(E2378="FUTURE",VLOOKUP(MID(I2378,2,2),[1]Futures!$A$2:$B$12,2),1),"")</f>
        <v>39.999999999999147</v>
      </c>
    </row>
    <row r="2379" spans="1:19" x14ac:dyDescent="0.2">
      <c r="A2379">
        <f t="shared" si="113"/>
        <v>782</v>
      </c>
      <c r="B2379" s="3">
        <v>44041</v>
      </c>
      <c r="C2379" s="3" t="str">
        <f t="shared" si="112"/>
        <v>Wednesday</v>
      </c>
      <c r="D2379" s="2">
        <v>0.62553240740740745</v>
      </c>
      <c r="E2379" t="s">
        <v>14</v>
      </c>
      <c r="F2379" t="s">
        <v>19</v>
      </c>
      <c r="G2379">
        <v>1</v>
      </c>
      <c r="H2379" t="s">
        <v>20</v>
      </c>
      <c r="I2379" t="s">
        <v>79</v>
      </c>
      <c r="J2379" s="1">
        <v>44094</v>
      </c>
      <c r="L2379" t="s">
        <v>14</v>
      </c>
      <c r="M2379">
        <v>3243.75</v>
      </c>
      <c r="N2379">
        <v>3243.75</v>
      </c>
      <c r="O2379" t="s">
        <v>21</v>
      </c>
      <c r="P2379">
        <f t="shared" si="114"/>
        <v>1</v>
      </c>
      <c r="Q2379" s="11">
        <f>IF(P2379=0,0,IFERROR(Q2378+G2379*M2379*IF(E2379="FUTURE",VLOOKUP(MID(I2379,2,2),[1]Futures!$A$2:$B$12,2),1),G2379*M2379*IF(E2379="FUTURE",VLOOKUP(MID(I2379,2,2),[1]Futures!$A$2:$B$12,2),1)))</f>
        <v>162187.5</v>
      </c>
      <c r="R2379" s="12">
        <f>IFERROR(Q2379/P2379/IF(E2379="FUTURE",VLOOKUP(MID(I2379,2,2),[1]Futures!$A$2:$B$12,2),1),"")</f>
        <v>3243.75</v>
      </c>
      <c r="S2379" s="13" t="str">
        <f>IF(AND(H2379="TO CLOSE",P2379=0),-G2379*(M2379-R2378)*IF(E2379="FUTURE",VLOOKUP(MID(I2379,2,2),[1]Futures!$A$2:$B$12,2),1),"")</f>
        <v/>
      </c>
    </row>
    <row r="2380" spans="1:19" x14ac:dyDescent="0.2">
      <c r="A2380">
        <f t="shared" si="113"/>
        <v>782</v>
      </c>
      <c r="B2380" s="3">
        <v>44041</v>
      </c>
      <c r="C2380" s="3" t="str">
        <f t="shared" si="112"/>
        <v>Wednesday</v>
      </c>
      <c r="D2380" s="2">
        <v>0.62631944444444443</v>
      </c>
      <c r="E2380" t="s">
        <v>14</v>
      </c>
      <c r="F2380" t="s">
        <v>15</v>
      </c>
      <c r="G2380">
        <v>-1</v>
      </c>
      <c r="H2380" t="s">
        <v>16</v>
      </c>
      <c r="I2380" t="s">
        <v>79</v>
      </c>
      <c r="J2380" s="1">
        <v>44094</v>
      </c>
      <c r="L2380" t="s">
        <v>14</v>
      </c>
      <c r="M2380">
        <v>3244</v>
      </c>
      <c r="N2380">
        <v>3244</v>
      </c>
      <c r="O2380" t="s">
        <v>18</v>
      </c>
      <c r="P2380">
        <f t="shared" si="114"/>
        <v>0</v>
      </c>
      <c r="Q2380" s="11">
        <f>IF(P2380=0,0,IFERROR(Q2379+G2380*M2380*IF(E2380="FUTURE",VLOOKUP(MID(I2380,2,2),[1]Futures!$A$2:$B$12,2),1),G2380*M2380*IF(E2380="FUTURE",VLOOKUP(MID(I2380,2,2),[1]Futures!$A$2:$B$12,2),1)))</f>
        <v>0</v>
      </c>
      <c r="R2380" s="12" t="str">
        <f>IFERROR(Q2380/P2380/IF(E2380="FUTURE",VLOOKUP(MID(I2380,2,2),[1]Futures!$A$2:$B$12,2),1),"")</f>
        <v/>
      </c>
      <c r="S2380" s="13">
        <f>IF(AND(H2380="TO CLOSE",P2380=0),-G2380*(M2380-R2379)*IF(E2380="FUTURE",VLOOKUP(MID(I2380,2,2),[1]Futures!$A$2:$B$12,2),1),"")</f>
        <v>12.5</v>
      </c>
    </row>
    <row r="2381" spans="1:19" x14ac:dyDescent="0.2">
      <c r="A2381">
        <f t="shared" si="113"/>
        <v>783</v>
      </c>
      <c r="B2381" s="3">
        <v>44041</v>
      </c>
      <c r="C2381" s="3" t="str">
        <f t="shared" si="112"/>
        <v>Wednesday</v>
      </c>
      <c r="D2381" s="2">
        <v>0.62995370370370374</v>
      </c>
      <c r="E2381" t="s">
        <v>14</v>
      </c>
      <c r="F2381" t="s">
        <v>19</v>
      </c>
      <c r="G2381">
        <v>1</v>
      </c>
      <c r="H2381" t="s">
        <v>20</v>
      </c>
      <c r="I2381" t="s">
        <v>79</v>
      </c>
      <c r="J2381" s="1">
        <v>44094</v>
      </c>
      <c r="L2381" t="s">
        <v>14</v>
      </c>
      <c r="M2381">
        <v>3242.5</v>
      </c>
      <c r="N2381">
        <v>3242.5</v>
      </c>
      <c r="O2381" t="s">
        <v>21</v>
      </c>
      <c r="P2381">
        <f t="shared" si="114"/>
        <v>1</v>
      </c>
      <c r="Q2381" s="11">
        <f>IF(P2381=0,0,IFERROR(Q2380+G2381*M2381*IF(E2381="FUTURE",VLOOKUP(MID(I2381,2,2),[1]Futures!$A$2:$B$12,2),1),G2381*M2381*IF(E2381="FUTURE",VLOOKUP(MID(I2381,2,2),[1]Futures!$A$2:$B$12,2),1)))</f>
        <v>162125</v>
      </c>
      <c r="R2381" s="12">
        <f>IFERROR(Q2381/P2381/IF(E2381="FUTURE",VLOOKUP(MID(I2381,2,2),[1]Futures!$A$2:$B$12,2),1),"")</f>
        <v>3242.5</v>
      </c>
      <c r="S2381" s="13" t="str">
        <f>IF(AND(H2381="TO CLOSE",P2381=0),-G2381*(M2381-R2380)*IF(E2381="FUTURE",VLOOKUP(MID(I2381,2,2),[1]Futures!$A$2:$B$12,2),1),"")</f>
        <v/>
      </c>
    </row>
    <row r="2382" spans="1:19" x14ac:dyDescent="0.2">
      <c r="A2382">
        <f t="shared" si="113"/>
        <v>783</v>
      </c>
      <c r="B2382" s="3">
        <v>44041</v>
      </c>
      <c r="C2382" s="3" t="str">
        <f t="shared" si="112"/>
        <v>Wednesday</v>
      </c>
      <c r="D2382" s="2">
        <v>0.63067129629629626</v>
      </c>
      <c r="E2382" t="s">
        <v>14</v>
      </c>
      <c r="F2382" t="s">
        <v>15</v>
      </c>
      <c r="G2382">
        <v>-1</v>
      </c>
      <c r="H2382" t="s">
        <v>16</v>
      </c>
      <c r="I2382" t="s">
        <v>79</v>
      </c>
      <c r="J2382" s="1">
        <v>44094</v>
      </c>
      <c r="L2382" t="s">
        <v>14</v>
      </c>
      <c r="M2382">
        <v>3242.75</v>
      </c>
      <c r="N2382">
        <v>3242.75</v>
      </c>
      <c r="O2382" t="s">
        <v>21</v>
      </c>
      <c r="P2382">
        <f t="shared" si="114"/>
        <v>0</v>
      </c>
      <c r="Q2382" s="11">
        <f>IF(P2382=0,0,IFERROR(Q2381+G2382*M2382*IF(E2382="FUTURE",VLOOKUP(MID(I2382,2,2),[1]Futures!$A$2:$B$12,2),1),G2382*M2382*IF(E2382="FUTURE",VLOOKUP(MID(I2382,2,2),[1]Futures!$A$2:$B$12,2),1)))</f>
        <v>0</v>
      </c>
      <c r="R2382" s="12" t="str">
        <f>IFERROR(Q2382/P2382/IF(E2382="FUTURE",VLOOKUP(MID(I2382,2,2),[1]Futures!$A$2:$B$12,2),1),"")</f>
        <v/>
      </c>
      <c r="S2382" s="13">
        <f>IF(AND(H2382="TO CLOSE",P2382=0),-G2382*(M2382-R2381)*IF(E2382="FUTURE",VLOOKUP(MID(I2382,2,2),[1]Futures!$A$2:$B$12,2),1),"")</f>
        <v>12.5</v>
      </c>
    </row>
    <row r="2383" spans="1:19" x14ac:dyDescent="0.2">
      <c r="A2383">
        <f t="shared" si="113"/>
        <v>784</v>
      </c>
      <c r="B2383" s="3">
        <v>44041</v>
      </c>
      <c r="C2383" s="3" t="str">
        <f t="shared" si="112"/>
        <v>Wednesday</v>
      </c>
      <c r="D2383" s="2">
        <v>0.58373842592592595</v>
      </c>
      <c r="E2383" t="s">
        <v>22</v>
      </c>
      <c r="F2383" t="s">
        <v>15</v>
      </c>
      <c r="G2383">
        <v>-400</v>
      </c>
      <c r="H2383" t="s">
        <v>20</v>
      </c>
      <c r="I2383" t="s">
        <v>23</v>
      </c>
      <c r="L2383" t="s">
        <v>22</v>
      </c>
      <c r="M2383">
        <v>28.425000000000001</v>
      </c>
      <c r="N2383">
        <v>28.425000000000001</v>
      </c>
      <c r="O2383" t="s">
        <v>24</v>
      </c>
      <c r="P2383">
        <f t="shared" si="114"/>
        <v>-400</v>
      </c>
      <c r="Q2383" s="11">
        <f>IF(P2383=0,0,IFERROR(Q2382+G2383*M2383*IF(E2383="FUTURE",VLOOKUP(MID(I2383,2,2),[1]Futures!$A$2:$B$12,2),1),G2383*M2383*IF(E2383="FUTURE",VLOOKUP(MID(I2383,2,2),[1]Futures!$A$2:$B$12,2),1)))</f>
        <v>-11370</v>
      </c>
      <c r="R2383" s="12">
        <f>IFERROR(Q2383/P2383/IF(E2383="FUTURE",VLOOKUP(MID(I2383,2,2),[1]Futures!$A$2:$B$12,2),1),"")</f>
        <v>28.425000000000001</v>
      </c>
      <c r="S2383" s="13" t="str">
        <f>IF(AND(H2383="TO CLOSE",P2383=0),-G2383*(M2383-R2382)*IF(E2383="FUTURE",VLOOKUP(MID(I2383,2,2),[1]Futures!$A$2:$B$12,2),1),"")</f>
        <v/>
      </c>
    </row>
    <row r="2384" spans="1:19" x14ac:dyDescent="0.2">
      <c r="A2384">
        <f t="shared" si="113"/>
        <v>784</v>
      </c>
      <c r="B2384" s="3">
        <v>44041</v>
      </c>
      <c r="C2384" s="3" t="str">
        <f t="shared" si="112"/>
        <v>Wednesday</v>
      </c>
      <c r="D2384" s="2">
        <v>0.58502314814814815</v>
      </c>
      <c r="E2384" t="s">
        <v>22</v>
      </c>
      <c r="F2384" t="s">
        <v>15</v>
      </c>
      <c r="G2384">
        <v>-200</v>
      </c>
      <c r="H2384" t="s">
        <v>20</v>
      </c>
      <c r="I2384" t="s">
        <v>23</v>
      </c>
      <c r="L2384" t="s">
        <v>22</v>
      </c>
      <c r="M2384">
        <v>28.7226</v>
      </c>
      <c r="N2384">
        <v>28.7226</v>
      </c>
      <c r="O2384" t="s">
        <v>21</v>
      </c>
      <c r="P2384">
        <f t="shared" si="114"/>
        <v>-600</v>
      </c>
      <c r="Q2384" s="11">
        <f>IF(P2384=0,0,IFERROR(Q2383+G2384*M2384*IF(E2384="FUTURE",VLOOKUP(MID(I2384,2,2),[1]Futures!$A$2:$B$12,2),1),G2384*M2384*IF(E2384="FUTURE",VLOOKUP(MID(I2384,2,2),[1]Futures!$A$2:$B$12,2),1)))</f>
        <v>-17114.52</v>
      </c>
      <c r="R2384" s="12">
        <f>IFERROR(Q2384/P2384/IF(E2384="FUTURE",VLOOKUP(MID(I2384,2,2),[1]Futures!$A$2:$B$12,2),1),"")</f>
        <v>28.5242</v>
      </c>
      <c r="S2384" s="13" t="str">
        <f>IF(AND(H2384="TO CLOSE",P2384=0),-G2384*(M2384-R2383)*IF(E2384="FUTURE",VLOOKUP(MID(I2384,2,2),[1]Futures!$A$2:$B$12,2),1),"")</f>
        <v/>
      </c>
    </row>
    <row r="2385" spans="1:19" x14ac:dyDescent="0.2">
      <c r="A2385">
        <f t="shared" si="113"/>
        <v>784</v>
      </c>
      <c r="B2385" s="3">
        <v>44041</v>
      </c>
      <c r="C2385" s="3" t="str">
        <f t="shared" si="112"/>
        <v>Wednesday</v>
      </c>
      <c r="D2385" s="2">
        <v>0.6040740740740741</v>
      </c>
      <c r="E2385" t="s">
        <v>22</v>
      </c>
      <c r="F2385" t="s">
        <v>19</v>
      </c>
      <c r="G2385">
        <v>100</v>
      </c>
      <c r="H2385" t="s">
        <v>16</v>
      </c>
      <c r="I2385" t="s">
        <v>23</v>
      </c>
      <c r="L2385" t="s">
        <v>22</v>
      </c>
      <c r="M2385">
        <v>28.675000000000001</v>
      </c>
      <c r="N2385">
        <v>28.675000000000001</v>
      </c>
      <c r="O2385" t="s">
        <v>21</v>
      </c>
      <c r="P2385">
        <f t="shared" si="114"/>
        <v>-500</v>
      </c>
      <c r="Q2385" s="11">
        <f>IF(P2385=0,0,IFERROR(Q2384+G2385*M2385*IF(E2385="FUTURE",VLOOKUP(MID(I2385,2,2),[1]Futures!$A$2:$B$12,2),1),G2385*M2385*IF(E2385="FUTURE",VLOOKUP(MID(I2385,2,2),[1]Futures!$A$2:$B$12,2),1)))</f>
        <v>-14247.02</v>
      </c>
      <c r="R2385" s="12">
        <f>IFERROR(Q2385/P2385/IF(E2385="FUTURE",VLOOKUP(MID(I2385,2,2),[1]Futures!$A$2:$B$12,2),1),"")</f>
        <v>28.494040000000002</v>
      </c>
      <c r="S2385" s="13" t="str">
        <f>IF(AND(H2385="TO CLOSE",P2385=0),-G2385*(M2385-R2384)*IF(E2385="FUTURE",VLOOKUP(MID(I2385,2,2),[1]Futures!$A$2:$B$12,2),1),"")</f>
        <v/>
      </c>
    </row>
    <row r="2386" spans="1:19" x14ac:dyDescent="0.2">
      <c r="A2386">
        <f t="shared" si="113"/>
        <v>784</v>
      </c>
      <c r="B2386" s="3">
        <v>44041</v>
      </c>
      <c r="C2386" s="3" t="str">
        <f t="shared" si="112"/>
        <v>Wednesday</v>
      </c>
      <c r="D2386" s="2">
        <v>0.6040740740740741</v>
      </c>
      <c r="E2386" t="s">
        <v>22</v>
      </c>
      <c r="F2386" t="s">
        <v>19</v>
      </c>
      <c r="G2386">
        <v>100</v>
      </c>
      <c r="H2386" t="s">
        <v>16</v>
      </c>
      <c r="I2386" t="s">
        <v>23</v>
      </c>
      <c r="L2386" t="s">
        <v>22</v>
      </c>
      <c r="M2386">
        <v>28.675000000000001</v>
      </c>
      <c r="N2386">
        <v>28.675000000000001</v>
      </c>
      <c r="O2386" t="s">
        <v>21</v>
      </c>
      <c r="P2386">
        <f t="shared" si="114"/>
        <v>-400</v>
      </c>
      <c r="Q2386" s="11">
        <f>IF(P2386=0,0,IFERROR(Q2385+G2386*M2386*IF(E2386="FUTURE",VLOOKUP(MID(I2386,2,2),[1]Futures!$A$2:$B$12,2),1),G2386*M2386*IF(E2386="FUTURE",VLOOKUP(MID(I2386,2,2),[1]Futures!$A$2:$B$12,2),1)))</f>
        <v>-11379.52</v>
      </c>
      <c r="R2386" s="12">
        <f>IFERROR(Q2386/P2386/IF(E2386="FUTURE",VLOOKUP(MID(I2386,2,2),[1]Futures!$A$2:$B$12,2),1),"")</f>
        <v>28.448800000000002</v>
      </c>
      <c r="S2386" s="13" t="str">
        <f>IF(AND(H2386="TO CLOSE",P2386=0),-G2386*(M2386-R2385)*IF(E2386="FUTURE",VLOOKUP(MID(I2386,2,2),[1]Futures!$A$2:$B$12,2),1),"")</f>
        <v/>
      </c>
    </row>
    <row r="2387" spans="1:19" x14ac:dyDescent="0.2">
      <c r="A2387">
        <f t="shared" si="113"/>
        <v>784</v>
      </c>
      <c r="B2387" s="3">
        <v>44041</v>
      </c>
      <c r="C2387" s="3" t="str">
        <f t="shared" si="112"/>
        <v>Wednesday</v>
      </c>
      <c r="D2387" s="2">
        <v>0.62692129629629634</v>
      </c>
      <c r="E2387" t="s">
        <v>22</v>
      </c>
      <c r="F2387" t="s">
        <v>19</v>
      </c>
      <c r="G2387">
        <v>400</v>
      </c>
      <c r="H2387" t="s">
        <v>16</v>
      </c>
      <c r="I2387" t="s">
        <v>23</v>
      </c>
      <c r="L2387" t="s">
        <v>22</v>
      </c>
      <c r="M2387">
        <v>28.73</v>
      </c>
      <c r="N2387">
        <v>28.73</v>
      </c>
      <c r="O2387" t="s">
        <v>18</v>
      </c>
      <c r="P2387">
        <f t="shared" si="114"/>
        <v>0</v>
      </c>
      <c r="Q2387" s="11">
        <f>IF(P2387=0,0,IFERROR(Q2386+G2387*M2387*IF(E2387="FUTURE",VLOOKUP(MID(I2387,2,2),[1]Futures!$A$2:$B$12,2),1),G2387*M2387*IF(E2387="FUTURE",VLOOKUP(MID(I2387,2,2),[1]Futures!$A$2:$B$12,2),1)))</f>
        <v>0</v>
      </c>
      <c r="R2387" s="12" t="str">
        <f>IFERROR(Q2387/P2387/IF(E2387="FUTURE",VLOOKUP(MID(I2387,2,2),[1]Futures!$A$2:$B$12,2),1),"")</f>
        <v/>
      </c>
      <c r="S2387" s="13">
        <f>IF(AND(H2387="TO CLOSE",P2387=0),-G2387*(M2387-R2386)*IF(E2387="FUTURE",VLOOKUP(MID(I2387,2,2),[1]Futures!$A$2:$B$12,2),1),"")</f>
        <v>-112.47999999999934</v>
      </c>
    </row>
    <row r="2388" spans="1:19" x14ac:dyDescent="0.2">
      <c r="A2388">
        <f t="shared" si="113"/>
        <v>785</v>
      </c>
      <c r="B2388" s="3">
        <v>44041</v>
      </c>
      <c r="C2388" s="3" t="str">
        <f t="shared" si="112"/>
        <v>Wednesday</v>
      </c>
      <c r="D2388" s="2">
        <v>0.63015046296296295</v>
      </c>
      <c r="E2388" t="s">
        <v>22</v>
      </c>
      <c r="F2388" t="s">
        <v>15</v>
      </c>
      <c r="G2388">
        <v>-200</v>
      </c>
      <c r="H2388" t="s">
        <v>20</v>
      </c>
      <c r="I2388" t="s">
        <v>23</v>
      </c>
      <c r="L2388" t="s">
        <v>22</v>
      </c>
      <c r="M2388">
        <v>28.745000000000001</v>
      </c>
      <c r="N2388">
        <v>28.745000000000001</v>
      </c>
      <c r="O2388" t="s">
        <v>24</v>
      </c>
      <c r="P2388">
        <f t="shared" si="114"/>
        <v>-200</v>
      </c>
      <c r="Q2388" s="11">
        <f>IF(P2388=0,0,IFERROR(Q2387+G2388*M2388*IF(E2388="FUTURE",VLOOKUP(MID(I2388,2,2),[1]Futures!$A$2:$B$12,2),1),G2388*M2388*IF(E2388="FUTURE",VLOOKUP(MID(I2388,2,2),[1]Futures!$A$2:$B$12,2),1)))</f>
        <v>-5749</v>
      </c>
      <c r="R2388" s="12">
        <f>IFERROR(Q2388/P2388/IF(E2388="FUTURE",VLOOKUP(MID(I2388,2,2),[1]Futures!$A$2:$B$12,2),1),"")</f>
        <v>28.745000000000001</v>
      </c>
      <c r="S2388" s="13" t="str">
        <f>IF(AND(H2388="TO CLOSE",P2388=0),-G2388*(M2388-R2387)*IF(E2388="FUTURE",VLOOKUP(MID(I2388,2,2),[1]Futures!$A$2:$B$12,2),1),"")</f>
        <v/>
      </c>
    </row>
    <row r="2389" spans="1:19" x14ac:dyDescent="0.2">
      <c r="A2389">
        <f t="shared" si="113"/>
        <v>785</v>
      </c>
      <c r="B2389" s="3">
        <v>44041</v>
      </c>
      <c r="C2389" s="3" t="str">
        <f t="shared" si="112"/>
        <v>Wednesday</v>
      </c>
      <c r="D2389" s="2">
        <v>0.64171296296296299</v>
      </c>
      <c r="E2389" t="s">
        <v>22</v>
      </c>
      <c r="F2389" t="s">
        <v>15</v>
      </c>
      <c r="G2389">
        <v>-200</v>
      </c>
      <c r="H2389" t="s">
        <v>20</v>
      </c>
      <c r="I2389" t="s">
        <v>23</v>
      </c>
      <c r="L2389" t="s">
        <v>22</v>
      </c>
      <c r="M2389">
        <v>28.53</v>
      </c>
      <c r="N2389">
        <v>28.53</v>
      </c>
      <c r="O2389" t="s">
        <v>21</v>
      </c>
      <c r="P2389">
        <f t="shared" si="114"/>
        <v>-400</v>
      </c>
      <c r="Q2389" s="11">
        <f>IF(P2389=0,0,IFERROR(Q2388+G2389*M2389*IF(E2389="FUTURE",VLOOKUP(MID(I2389,2,2),[1]Futures!$A$2:$B$12,2),1),G2389*M2389*IF(E2389="FUTURE",VLOOKUP(MID(I2389,2,2),[1]Futures!$A$2:$B$12,2),1)))</f>
        <v>-11455</v>
      </c>
      <c r="R2389" s="12">
        <f>IFERROR(Q2389/P2389/IF(E2389="FUTURE",VLOOKUP(MID(I2389,2,2),[1]Futures!$A$2:$B$12,2),1),"")</f>
        <v>28.637499999999999</v>
      </c>
      <c r="S2389" s="13" t="str">
        <f>IF(AND(H2389="TO CLOSE",P2389=0),-G2389*(M2389-R2388)*IF(E2389="FUTURE",VLOOKUP(MID(I2389,2,2),[1]Futures!$A$2:$B$12,2),1),"")</f>
        <v/>
      </c>
    </row>
    <row r="2390" spans="1:19" x14ac:dyDescent="0.2">
      <c r="A2390">
        <f t="shared" si="113"/>
        <v>785</v>
      </c>
      <c r="B2390" s="3">
        <v>44041</v>
      </c>
      <c r="C2390" s="3" t="str">
        <f t="shared" si="112"/>
        <v>Wednesday</v>
      </c>
      <c r="D2390" s="2">
        <v>0.7066782407407407</v>
      </c>
      <c r="E2390" t="s">
        <v>22</v>
      </c>
      <c r="F2390" t="s">
        <v>19</v>
      </c>
      <c r="G2390">
        <v>200</v>
      </c>
      <c r="H2390" t="s">
        <v>16</v>
      </c>
      <c r="I2390" t="s">
        <v>23</v>
      </c>
      <c r="L2390" t="s">
        <v>22</v>
      </c>
      <c r="M2390">
        <v>28.33</v>
      </c>
      <c r="N2390">
        <v>28.33</v>
      </c>
      <c r="O2390" t="s">
        <v>21</v>
      </c>
      <c r="P2390">
        <f t="shared" si="114"/>
        <v>-200</v>
      </c>
      <c r="Q2390" s="11">
        <f>IF(P2390=0,0,IFERROR(Q2389+G2390*M2390*IF(E2390="FUTURE",VLOOKUP(MID(I2390,2,2),[1]Futures!$A$2:$B$12,2),1),G2390*M2390*IF(E2390="FUTURE",VLOOKUP(MID(I2390,2,2),[1]Futures!$A$2:$B$12,2),1)))</f>
        <v>-5789</v>
      </c>
      <c r="R2390" s="12">
        <f>IFERROR(Q2390/P2390/IF(E2390="FUTURE",VLOOKUP(MID(I2390,2,2),[1]Futures!$A$2:$B$12,2),1),"")</f>
        <v>28.945</v>
      </c>
      <c r="S2390" s="13" t="str">
        <f>IF(AND(H2390="TO CLOSE",P2390=0),-G2390*(M2390-R2389)*IF(E2390="FUTURE",VLOOKUP(MID(I2390,2,2),[1]Futures!$A$2:$B$12,2),1),"")</f>
        <v/>
      </c>
    </row>
    <row r="2391" spans="1:19" x14ac:dyDescent="0.2">
      <c r="A2391">
        <f t="shared" si="113"/>
        <v>785</v>
      </c>
      <c r="B2391" s="3">
        <v>44041</v>
      </c>
      <c r="C2391" s="3" t="str">
        <f t="shared" si="112"/>
        <v>Wednesday</v>
      </c>
      <c r="D2391" s="2">
        <v>0.83333333333333337</v>
      </c>
      <c r="E2391" t="s">
        <v>22</v>
      </c>
      <c r="F2391" t="s">
        <v>19</v>
      </c>
      <c r="G2391">
        <v>200</v>
      </c>
      <c r="H2391" t="s">
        <v>16</v>
      </c>
      <c r="I2391" t="s">
        <v>23</v>
      </c>
      <c r="L2391" t="s">
        <v>22</v>
      </c>
      <c r="M2391">
        <v>28.57</v>
      </c>
      <c r="N2391">
        <v>28.57</v>
      </c>
      <c r="O2391" t="s">
        <v>21</v>
      </c>
      <c r="P2391">
        <f t="shared" si="114"/>
        <v>0</v>
      </c>
      <c r="Q2391" s="11">
        <f>IF(P2391=0,0,IFERROR(Q2390+G2391*M2391*IF(E2391="FUTURE",VLOOKUP(MID(I2391,2,2),[1]Futures!$A$2:$B$12,2),1),G2391*M2391*IF(E2391="FUTURE",VLOOKUP(MID(I2391,2,2),[1]Futures!$A$2:$B$12,2),1)))</f>
        <v>0</v>
      </c>
      <c r="R2391" s="12" t="str">
        <f>IFERROR(Q2391/P2391/IF(E2391="FUTURE",VLOOKUP(MID(I2391,2,2),[1]Futures!$A$2:$B$12,2),1),"")</f>
        <v/>
      </c>
      <c r="S2391" s="13">
        <f>IF(AND(H2391="TO CLOSE",P2391=0),-G2391*(M2391-R2390)*IF(E2391="FUTURE",VLOOKUP(MID(I2391,2,2),[1]Futures!$A$2:$B$12,2),1),"")</f>
        <v>75</v>
      </c>
    </row>
    <row r="2392" spans="1:19" x14ac:dyDescent="0.2">
      <c r="A2392">
        <f t="shared" si="113"/>
        <v>786</v>
      </c>
      <c r="B2392" s="3">
        <v>44042</v>
      </c>
      <c r="C2392" s="3" t="str">
        <f t="shared" si="112"/>
        <v>Thursday</v>
      </c>
      <c r="D2392" s="2">
        <v>0.45444444444444443</v>
      </c>
      <c r="E2392" t="s">
        <v>14</v>
      </c>
      <c r="F2392" t="s">
        <v>19</v>
      </c>
      <c r="G2392">
        <v>4</v>
      </c>
      <c r="H2392" t="s">
        <v>20</v>
      </c>
      <c r="I2392" t="s">
        <v>80</v>
      </c>
      <c r="J2392" s="1">
        <v>44094</v>
      </c>
      <c r="L2392" t="s">
        <v>14</v>
      </c>
      <c r="M2392">
        <v>3206</v>
      </c>
      <c r="N2392">
        <v>3206</v>
      </c>
      <c r="O2392" t="s">
        <v>21</v>
      </c>
      <c r="P2392">
        <f t="shared" si="114"/>
        <v>4</v>
      </c>
      <c r="Q2392" s="11">
        <f>IF(P2392=0,0,IFERROR(Q2391+G2392*M2392*IF(E2392="FUTURE",VLOOKUP(MID(I2392,2,2),[1]Futures!$A$2:$B$12,2),1),G2392*M2392*IF(E2392="FUTURE",VLOOKUP(MID(I2392,2,2),[1]Futures!$A$2:$B$12,2),1)))</f>
        <v>64120</v>
      </c>
      <c r="R2392" s="12">
        <f>IFERROR(Q2392/P2392/IF(E2392="FUTURE",VLOOKUP(MID(I2392,2,2),[1]Futures!$A$2:$B$12,2),1),"")</f>
        <v>3206</v>
      </c>
      <c r="S2392" s="13" t="str">
        <f>IF(AND(H2392="TO CLOSE",P2392=0),-G2392*(M2392-R2391)*IF(E2392="FUTURE",VLOOKUP(MID(I2392,2,2),[1]Futures!$A$2:$B$12,2),1),"")</f>
        <v/>
      </c>
    </row>
    <row r="2393" spans="1:19" x14ac:dyDescent="0.2">
      <c r="A2393">
        <f t="shared" si="113"/>
        <v>786</v>
      </c>
      <c r="B2393" s="3">
        <v>44042</v>
      </c>
      <c r="C2393" s="3" t="str">
        <f t="shared" si="112"/>
        <v>Thursday</v>
      </c>
      <c r="D2393" s="2">
        <v>0.45641203703703703</v>
      </c>
      <c r="E2393" t="s">
        <v>14</v>
      </c>
      <c r="F2393" t="s">
        <v>15</v>
      </c>
      <c r="G2393">
        <v>-1</v>
      </c>
      <c r="H2393" t="s">
        <v>16</v>
      </c>
      <c r="I2393" t="s">
        <v>80</v>
      </c>
      <c r="J2393" s="1">
        <v>44094</v>
      </c>
      <c r="L2393" t="s">
        <v>14</v>
      </c>
      <c r="M2393">
        <v>3210.5</v>
      </c>
      <c r="N2393">
        <v>3210.5</v>
      </c>
      <c r="O2393" t="s">
        <v>21</v>
      </c>
      <c r="P2393">
        <f t="shared" si="114"/>
        <v>3</v>
      </c>
      <c r="Q2393" s="11">
        <f>IF(P2393=0,0,IFERROR(Q2392+G2393*M2393*IF(E2393="FUTURE",VLOOKUP(MID(I2393,2,2),[1]Futures!$A$2:$B$12,2),1),G2393*M2393*IF(E2393="FUTURE",VLOOKUP(MID(I2393,2,2),[1]Futures!$A$2:$B$12,2),1)))</f>
        <v>48067.5</v>
      </c>
      <c r="R2393" s="12">
        <f>IFERROR(Q2393/P2393/IF(E2393="FUTURE",VLOOKUP(MID(I2393,2,2),[1]Futures!$A$2:$B$12,2),1),"")</f>
        <v>3204.5</v>
      </c>
      <c r="S2393" s="13" t="str">
        <f>IF(AND(H2393="TO CLOSE",P2393=0),-G2393*(M2393-R2392)*IF(E2393="FUTURE",VLOOKUP(MID(I2393,2,2),[1]Futures!$A$2:$B$12,2),1),"")</f>
        <v/>
      </c>
    </row>
    <row r="2394" spans="1:19" x14ac:dyDescent="0.2">
      <c r="A2394">
        <f t="shared" si="113"/>
        <v>786</v>
      </c>
      <c r="B2394" s="3">
        <v>44042</v>
      </c>
      <c r="C2394" s="3" t="str">
        <f t="shared" si="112"/>
        <v>Thursday</v>
      </c>
      <c r="D2394" s="2">
        <v>0.45929398148148143</v>
      </c>
      <c r="E2394" t="s">
        <v>14</v>
      </c>
      <c r="F2394" t="s">
        <v>19</v>
      </c>
      <c r="G2394">
        <v>2</v>
      </c>
      <c r="H2394" t="s">
        <v>20</v>
      </c>
      <c r="I2394" t="s">
        <v>80</v>
      </c>
      <c r="J2394" s="1">
        <v>44094</v>
      </c>
      <c r="L2394" t="s">
        <v>14</v>
      </c>
      <c r="M2394">
        <v>3211.5</v>
      </c>
      <c r="N2394">
        <v>3211.5</v>
      </c>
      <c r="O2394" t="s">
        <v>24</v>
      </c>
      <c r="P2394">
        <f t="shared" si="114"/>
        <v>5</v>
      </c>
      <c r="Q2394" s="11">
        <f>IF(P2394=0,0,IFERROR(Q2393+G2394*M2394*IF(E2394="FUTURE",VLOOKUP(MID(I2394,2,2),[1]Futures!$A$2:$B$12,2),1),G2394*M2394*IF(E2394="FUTURE",VLOOKUP(MID(I2394,2,2),[1]Futures!$A$2:$B$12,2),1)))</f>
        <v>80182.5</v>
      </c>
      <c r="R2394" s="12">
        <f>IFERROR(Q2394/P2394/IF(E2394="FUTURE",VLOOKUP(MID(I2394,2,2),[1]Futures!$A$2:$B$12,2),1),"")</f>
        <v>3207.3</v>
      </c>
      <c r="S2394" s="13" t="str">
        <f>IF(AND(H2394="TO CLOSE",P2394=0),-G2394*(M2394-R2393)*IF(E2394="FUTURE",VLOOKUP(MID(I2394,2,2),[1]Futures!$A$2:$B$12,2),1),"")</f>
        <v/>
      </c>
    </row>
    <row r="2395" spans="1:19" x14ac:dyDescent="0.2">
      <c r="A2395">
        <f t="shared" si="113"/>
        <v>786</v>
      </c>
      <c r="B2395" s="3">
        <v>44042</v>
      </c>
      <c r="C2395" s="3" t="str">
        <f t="shared" si="112"/>
        <v>Thursday</v>
      </c>
      <c r="D2395" s="2">
        <v>0.45976851851851852</v>
      </c>
      <c r="E2395" t="s">
        <v>14</v>
      </c>
      <c r="F2395" t="s">
        <v>15</v>
      </c>
      <c r="G2395">
        <v>-1</v>
      </c>
      <c r="H2395" t="s">
        <v>16</v>
      </c>
      <c r="I2395" t="s">
        <v>80</v>
      </c>
      <c r="J2395" s="1">
        <v>44094</v>
      </c>
      <c r="L2395" t="s">
        <v>14</v>
      </c>
      <c r="M2395">
        <v>3216</v>
      </c>
      <c r="N2395">
        <v>3216</v>
      </c>
      <c r="O2395" t="s">
        <v>21</v>
      </c>
      <c r="P2395">
        <f t="shared" si="114"/>
        <v>4</v>
      </c>
      <c r="Q2395" s="11">
        <f>IF(P2395=0,0,IFERROR(Q2394+G2395*M2395*IF(E2395="FUTURE",VLOOKUP(MID(I2395,2,2),[1]Futures!$A$2:$B$12,2),1),G2395*M2395*IF(E2395="FUTURE",VLOOKUP(MID(I2395,2,2),[1]Futures!$A$2:$B$12,2),1)))</f>
        <v>64102.5</v>
      </c>
      <c r="R2395" s="12">
        <f>IFERROR(Q2395/P2395/IF(E2395="FUTURE",VLOOKUP(MID(I2395,2,2),[1]Futures!$A$2:$B$12,2),1),"")</f>
        <v>3205.125</v>
      </c>
      <c r="S2395" s="13" t="str">
        <f>IF(AND(H2395="TO CLOSE",P2395=0),-G2395*(M2395-R2394)*IF(E2395="FUTURE",VLOOKUP(MID(I2395,2,2),[1]Futures!$A$2:$B$12,2),1),"")</f>
        <v/>
      </c>
    </row>
    <row r="2396" spans="1:19" x14ac:dyDescent="0.2">
      <c r="A2396">
        <f t="shared" si="113"/>
        <v>786</v>
      </c>
      <c r="B2396" s="3">
        <v>44042</v>
      </c>
      <c r="C2396" s="3" t="str">
        <f t="shared" si="112"/>
        <v>Thursday</v>
      </c>
      <c r="D2396" s="2">
        <v>0.46100694444444446</v>
      </c>
      <c r="E2396" t="s">
        <v>14</v>
      </c>
      <c r="F2396" t="s">
        <v>15</v>
      </c>
      <c r="G2396">
        <v>-2</v>
      </c>
      <c r="H2396" t="s">
        <v>16</v>
      </c>
      <c r="I2396" t="s">
        <v>80</v>
      </c>
      <c r="J2396" s="1">
        <v>44094</v>
      </c>
      <c r="L2396" t="s">
        <v>14</v>
      </c>
      <c r="M2396">
        <v>3217.75</v>
      </c>
      <c r="N2396">
        <v>3217.75</v>
      </c>
      <c r="O2396" t="s">
        <v>21</v>
      </c>
      <c r="P2396">
        <f t="shared" si="114"/>
        <v>2</v>
      </c>
      <c r="Q2396" s="11">
        <f>IF(P2396=0,0,IFERROR(Q2395+G2396*M2396*IF(E2396="FUTURE",VLOOKUP(MID(I2396,2,2),[1]Futures!$A$2:$B$12,2),1),G2396*M2396*IF(E2396="FUTURE",VLOOKUP(MID(I2396,2,2),[1]Futures!$A$2:$B$12,2),1)))</f>
        <v>31925</v>
      </c>
      <c r="R2396" s="12">
        <f>IFERROR(Q2396/P2396/IF(E2396="FUTURE",VLOOKUP(MID(I2396,2,2),[1]Futures!$A$2:$B$12,2),1),"")</f>
        <v>3192.5</v>
      </c>
      <c r="S2396" s="13" t="str">
        <f>IF(AND(H2396="TO CLOSE",P2396=0),-G2396*(M2396-R2395)*IF(E2396="FUTURE",VLOOKUP(MID(I2396,2,2),[1]Futures!$A$2:$B$12,2),1),"")</f>
        <v/>
      </c>
    </row>
    <row r="2397" spans="1:19" x14ac:dyDescent="0.2">
      <c r="A2397">
        <f t="shared" si="113"/>
        <v>786</v>
      </c>
      <c r="B2397" s="3">
        <v>44042</v>
      </c>
      <c r="C2397" s="3" t="str">
        <f t="shared" si="112"/>
        <v>Thursday</v>
      </c>
      <c r="D2397" s="2">
        <v>0.4647337962962963</v>
      </c>
      <c r="E2397" t="s">
        <v>14</v>
      </c>
      <c r="F2397" t="s">
        <v>15</v>
      </c>
      <c r="G2397">
        <v>-2</v>
      </c>
      <c r="H2397" t="s">
        <v>16</v>
      </c>
      <c r="I2397" t="s">
        <v>80</v>
      </c>
      <c r="J2397" s="1">
        <v>44094</v>
      </c>
      <c r="L2397" t="s">
        <v>14</v>
      </c>
      <c r="M2397">
        <v>3216.5</v>
      </c>
      <c r="N2397">
        <v>3216.5</v>
      </c>
      <c r="O2397" t="s">
        <v>21</v>
      </c>
      <c r="P2397">
        <f t="shared" si="114"/>
        <v>0</v>
      </c>
      <c r="Q2397" s="11">
        <f>IF(P2397=0,0,IFERROR(Q2396+G2397*M2397*IF(E2397="FUTURE",VLOOKUP(MID(I2397,2,2),[1]Futures!$A$2:$B$12,2),1),G2397*M2397*IF(E2397="FUTURE",VLOOKUP(MID(I2397,2,2),[1]Futures!$A$2:$B$12,2),1)))</f>
        <v>0</v>
      </c>
      <c r="R2397" s="12" t="str">
        <f>IFERROR(Q2397/P2397/IF(E2397="FUTURE",VLOOKUP(MID(I2397,2,2),[1]Futures!$A$2:$B$12,2),1),"")</f>
        <v/>
      </c>
      <c r="S2397" s="13">
        <f>IF(AND(H2397="TO CLOSE",P2397=0),-G2397*(M2397-R2396)*IF(E2397="FUTURE",VLOOKUP(MID(I2397,2,2),[1]Futures!$A$2:$B$12,2),1),"")</f>
        <v>240</v>
      </c>
    </row>
    <row r="2398" spans="1:19" x14ac:dyDescent="0.2">
      <c r="A2398">
        <f t="shared" si="113"/>
        <v>787</v>
      </c>
      <c r="B2398" s="3">
        <v>44042</v>
      </c>
      <c r="C2398" s="3" t="str">
        <f t="shared" si="112"/>
        <v>Thursday</v>
      </c>
      <c r="D2398" s="2">
        <v>0.50460648148148146</v>
      </c>
      <c r="E2398" t="s">
        <v>14</v>
      </c>
      <c r="F2398" t="s">
        <v>15</v>
      </c>
      <c r="G2398">
        <v>-4</v>
      </c>
      <c r="H2398" t="s">
        <v>20</v>
      </c>
      <c r="I2398" t="s">
        <v>80</v>
      </c>
      <c r="J2398" s="1">
        <v>44094</v>
      </c>
      <c r="L2398" t="s">
        <v>14</v>
      </c>
      <c r="M2398">
        <v>3226.5</v>
      </c>
      <c r="N2398">
        <v>3226.5</v>
      </c>
      <c r="O2398" t="s">
        <v>21</v>
      </c>
      <c r="P2398">
        <f t="shared" si="114"/>
        <v>-4</v>
      </c>
      <c r="Q2398" s="11">
        <f>IF(P2398=0,0,IFERROR(Q2397+G2398*M2398*IF(E2398="FUTURE",VLOOKUP(MID(I2398,2,2),[1]Futures!$A$2:$B$12,2),1),G2398*M2398*IF(E2398="FUTURE",VLOOKUP(MID(I2398,2,2),[1]Futures!$A$2:$B$12,2),1)))</f>
        <v>-64530</v>
      </c>
      <c r="R2398" s="12">
        <f>IFERROR(Q2398/P2398/IF(E2398="FUTURE",VLOOKUP(MID(I2398,2,2),[1]Futures!$A$2:$B$12,2),1),"")</f>
        <v>3226.5</v>
      </c>
      <c r="S2398" s="13" t="str">
        <f>IF(AND(H2398="TO CLOSE",P2398=0),-G2398*(M2398-R2397)*IF(E2398="FUTURE",VLOOKUP(MID(I2398,2,2),[1]Futures!$A$2:$B$12,2),1),"")</f>
        <v/>
      </c>
    </row>
    <row r="2399" spans="1:19" x14ac:dyDescent="0.2">
      <c r="A2399">
        <f t="shared" si="113"/>
        <v>787</v>
      </c>
      <c r="B2399" s="3">
        <v>44042</v>
      </c>
      <c r="C2399" s="3" t="str">
        <f t="shared" si="112"/>
        <v>Thursday</v>
      </c>
      <c r="D2399" s="2">
        <v>0.50679398148148147</v>
      </c>
      <c r="E2399" t="s">
        <v>14</v>
      </c>
      <c r="F2399" t="s">
        <v>19</v>
      </c>
      <c r="G2399">
        <v>2</v>
      </c>
      <c r="H2399" t="s">
        <v>16</v>
      </c>
      <c r="I2399" t="s">
        <v>80</v>
      </c>
      <c r="J2399" s="1">
        <v>44094</v>
      </c>
      <c r="L2399" t="s">
        <v>14</v>
      </c>
      <c r="M2399">
        <v>3224</v>
      </c>
      <c r="N2399">
        <v>3224</v>
      </c>
      <c r="O2399" t="s">
        <v>21</v>
      </c>
      <c r="P2399">
        <f t="shared" si="114"/>
        <v>-2</v>
      </c>
      <c r="Q2399" s="11">
        <f>IF(P2399=0,0,IFERROR(Q2398+G2399*M2399*IF(E2399="FUTURE",VLOOKUP(MID(I2399,2,2),[1]Futures!$A$2:$B$12,2),1),G2399*M2399*IF(E2399="FUTURE",VLOOKUP(MID(I2399,2,2),[1]Futures!$A$2:$B$12,2),1)))</f>
        <v>-32290</v>
      </c>
      <c r="R2399" s="12">
        <f>IFERROR(Q2399/P2399/IF(E2399="FUTURE",VLOOKUP(MID(I2399,2,2),[1]Futures!$A$2:$B$12,2),1),"")</f>
        <v>3229</v>
      </c>
      <c r="S2399" s="13" t="str">
        <f>IF(AND(H2399="TO CLOSE",P2399=0),-G2399*(M2399-R2398)*IF(E2399="FUTURE",VLOOKUP(MID(I2399,2,2),[1]Futures!$A$2:$B$12,2),1),"")</f>
        <v/>
      </c>
    </row>
    <row r="2400" spans="1:19" x14ac:dyDescent="0.2">
      <c r="A2400">
        <f t="shared" si="113"/>
        <v>787</v>
      </c>
      <c r="B2400" s="3">
        <v>44042</v>
      </c>
      <c r="C2400" s="3" t="str">
        <f t="shared" si="112"/>
        <v>Thursday</v>
      </c>
      <c r="D2400" s="2">
        <v>0.51098379629629631</v>
      </c>
      <c r="E2400" t="s">
        <v>14</v>
      </c>
      <c r="F2400" t="s">
        <v>19</v>
      </c>
      <c r="G2400">
        <v>2</v>
      </c>
      <c r="H2400" t="s">
        <v>16</v>
      </c>
      <c r="I2400" t="s">
        <v>80</v>
      </c>
      <c r="J2400" s="1">
        <v>44094</v>
      </c>
      <c r="L2400" t="s">
        <v>14</v>
      </c>
      <c r="M2400">
        <v>3228.75</v>
      </c>
      <c r="N2400">
        <v>3228.75</v>
      </c>
      <c r="O2400" t="s">
        <v>18</v>
      </c>
      <c r="P2400">
        <f t="shared" si="114"/>
        <v>0</v>
      </c>
      <c r="Q2400" s="11">
        <f>IF(P2400=0,0,IFERROR(Q2399+G2400*M2400*IF(E2400="FUTURE",VLOOKUP(MID(I2400,2,2),[1]Futures!$A$2:$B$12,2),1),G2400*M2400*IF(E2400="FUTURE",VLOOKUP(MID(I2400,2,2),[1]Futures!$A$2:$B$12,2),1)))</f>
        <v>0</v>
      </c>
      <c r="R2400" s="12" t="str">
        <f>IFERROR(Q2400/P2400/IF(E2400="FUTURE",VLOOKUP(MID(I2400,2,2),[1]Futures!$A$2:$B$12,2),1),"")</f>
        <v/>
      </c>
      <c r="S2400" s="13">
        <f>IF(AND(H2400="TO CLOSE",P2400=0),-G2400*(M2400-R2399)*IF(E2400="FUTURE",VLOOKUP(MID(I2400,2,2),[1]Futures!$A$2:$B$12,2),1),"")</f>
        <v>2.5</v>
      </c>
    </row>
    <row r="2401" spans="1:19" x14ac:dyDescent="0.2">
      <c r="A2401">
        <f t="shared" si="113"/>
        <v>788</v>
      </c>
      <c r="B2401" s="3">
        <v>44042</v>
      </c>
      <c r="C2401" s="3" t="str">
        <f>IF(WEEKDAY(B2401,2)=1,"Monday",IF(WEEKDAY(B2401,2)=2,"Tuesday",IF(WEEKDAY(B2401,2)=3,"Wednesday",IF(WEEKDAY(B2401,2)=4,"Thursday",IF(WEEKDAY(B2401,2)=5,"Friday","Sunday")))))</f>
        <v>Thursday</v>
      </c>
      <c r="D2401" s="2">
        <v>0.33333333333333331</v>
      </c>
      <c r="E2401" t="s">
        <v>22</v>
      </c>
      <c r="F2401" t="s">
        <v>15</v>
      </c>
      <c r="G2401">
        <v>-200</v>
      </c>
      <c r="H2401" t="s">
        <v>20</v>
      </c>
      <c r="I2401" t="s">
        <v>23</v>
      </c>
      <c r="J2401" s="1"/>
      <c r="L2401" t="s">
        <v>22</v>
      </c>
      <c r="M2401">
        <v>28.57</v>
      </c>
      <c r="N2401">
        <v>28.57</v>
      </c>
      <c r="O2401" t="s">
        <v>21</v>
      </c>
      <c r="P2401">
        <f t="shared" si="114"/>
        <v>-200</v>
      </c>
      <c r="Q2401" s="11">
        <f>IF(P2401=0,0,IFERROR(Q2400+G2401*M2401*IF(E2401="FUTURE",VLOOKUP(MID(I2401,2,2),[1]Futures!$A$2:$B$12,2),1),G2401*M2401*IF(E2401="FUTURE",VLOOKUP(MID(I2401,2,2),[1]Futures!$A$2:$B$12,2),1)))</f>
        <v>-5714</v>
      </c>
      <c r="R2401" s="12">
        <f>IFERROR(Q2401/P2401/IF(E2401="FUTURE",VLOOKUP(MID(I2401,2,2),[1]Futures!$A$2:$B$12,2),1),"")</f>
        <v>28.57</v>
      </c>
      <c r="S2401" s="13" t="str">
        <f>IF(AND(H2401="TO CLOSE",P2401=0),-G2401*(M2401-R2400)*IF(E2401="FUTURE",VLOOKUP(MID(I2401,2,2),[1]Futures!$A$2:$B$12,2),1),"")</f>
        <v/>
      </c>
    </row>
    <row r="2402" spans="1:19" x14ac:dyDescent="0.2">
      <c r="A2402">
        <f t="shared" si="113"/>
        <v>788</v>
      </c>
      <c r="B2402" s="3">
        <v>44042</v>
      </c>
      <c r="C2402" s="3" t="str">
        <f t="shared" ref="C2402:C2465" si="115">IF(WEEKDAY(B2402,2)=1,"Monday",IF(WEEKDAY(B2402,2)=2,"Tuesday",IF(WEEKDAY(B2402,2)=3,"Wednesday",IF(WEEKDAY(B2402,2)=4,"Thursday",IF(WEEKDAY(B2402,2)=5,"Friday","Sunday")))))</f>
        <v>Thursday</v>
      </c>
      <c r="D2402" s="2">
        <v>0.45739583333333328</v>
      </c>
      <c r="E2402" t="s">
        <v>22</v>
      </c>
      <c r="F2402" t="s">
        <v>15</v>
      </c>
      <c r="G2402">
        <v>-200</v>
      </c>
      <c r="H2402" t="s">
        <v>20</v>
      </c>
      <c r="I2402" t="s">
        <v>23</v>
      </c>
      <c r="L2402" t="s">
        <v>22</v>
      </c>
      <c r="M2402">
        <v>30.4145</v>
      </c>
      <c r="N2402">
        <v>30.4145</v>
      </c>
      <c r="O2402" t="s">
        <v>21</v>
      </c>
      <c r="P2402">
        <f t="shared" si="114"/>
        <v>-400</v>
      </c>
      <c r="Q2402" s="11">
        <f>IF(P2402=0,0,IFERROR(Q2401+G2402*M2402*IF(E2402="FUTURE",VLOOKUP(MID(I2402,2,2),[1]Futures!$A$2:$B$12,2),1),G2402*M2402*IF(E2402="FUTURE",VLOOKUP(MID(I2402,2,2),[1]Futures!$A$2:$B$12,2),1)))</f>
        <v>-11796.9</v>
      </c>
      <c r="R2402" s="12">
        <f>IFERROR(Q2402/P2402/IF(E2402="FUTURE",VLOOKUP(MID(I2402,2,2),[1]Futures!$A$2:$B$12,2),1),"")</f>
        <v>29.492249999999999</v>
      </c>
      <c r="S2402" s="13" t="str">
        <f>IF(AND(H2402="TO CLOSE",P2402=0),-G2402*(M2402-R2401)*IF(E2402="FUTURE",VLOOKUP(MID(I2402,2,2),[1]Futures!$A$2:$B$12,2),1),"")</f>
        <v/>
      </c>
    </row>
    <row r="2403" spans="1:19" x14ac:dyDescent="0.2">
      <c r="A2403">
        <f t="shared" si="113"/>
        <v>788</v>
      </c>
      <c r="B2403" s="3">
        <v>44042</v>
      </c>
      <c r="C2403" s="3" t="str">
        <f t="shared" si="115"/>
        <v>Thursday</v>
      </c>
      <c r="D2403" s="2">
        <v>0.46886574074074078</v>
      </c>
      <c r="E2403" t="s">
        <v>22</v>
      </c>
      <c r="F2403" t="s">
        <v>19</v>
      </c>
      <c r="G2403">
        <v>200</v>
      </c>
      <c r="H2403" t="s">
        <v>16</v>
      </c>
      <c r="I2403" t="s">
        <v>23</v>
      </c>
      <c r="L2403" t="s">
        <v>22</v>
      </c>
      <c r="M2403">
        <v>30.31</v>
      </c>
      <c r="N2403">
        <v>30.31</v>
      </c>
      <c r="O2403" t="s">
        <v>21</v>
      </c>
      <c r="P2403">
        <f t="shared" si="114"/>
        <v>-200</v>
      </c>
      <c r="Q2403" s="11">
        <f>IF(P2403=0,0,IFERROR(Q2402+G2403*M2403*IF(E2403="FUTURE",VLOOKUP(MID(I2403,2,2),[1]Futures!$A$2:$B$12,2),1),G2403*M2403*IF(E2403="FUTURE",VLOOKUP(MID(I2403,2,2),[1]Futures!$A$2:$B$12,2),1)))</f>
        <v>-5734.9</v>
      </c>
      <c r="R2403" s="12">
        <f>IFERROR(Q2403/P2403/IF(E2403="FUTURE",VLOOKUP(MID(I2403,2,2),[1]Futures!$A$2:$B$12,2),1),"")</f>
        <v>28.674499999999998</v>
      </c>
      <c r="S2403" s="13" t="str">
        <f>IF(AND(H2403="TO CLOSE",P2403=0),-G2403*(M2403-R2402)*IF(E2403="FUTURE",VLOOKUP(MID(I2403,2,2),[1]Futures!$A$2:$B$12,2),1),"")</f>
        <v/>
      </c>
    </row>
    <row r="2404" spans="1:19" x14ac:dyDescent="0.2">
      <c r="A2404">
        <f t="shared" si="113"/>
        <v>788</v>
      </c>
      <c r="B2404" s="3">
        <v>44042</v>
      </c>
      <c r="C2404" s="3" t="str">
        <f t="shared" si="115"/>
        <v>Thursday</v>
      </c>
      <c r="D2404" s="2">
        <v>0.83333333333333337</v>
      </c>
      <c r="E2404" t="s">
        <v>22</v>
      </c>
      <c r="F2404" t="s">
        <v>19</v>
      </c>
      <c r="G2404">
        <v>200</v>
      </c>
      <c r="H2404" t="s">
        <v>16</v>
      </c>
      <c r="I2404" t="s">
        <v>23</v>
      </c>
      <c r="J2404" s="1"/>
      <c r="L2404" t="s">
        <v>22</v>
      </c>
      <c r="M2404">
        <v>29.2</v>
      </c>
      <c r="N2404">
        <v>29.2</v>
      </c>
      <c r="O2404" t="s">
        <v>21</v>
      </c>
      <c r="P2404">
        <f t="shared" si="114"/>
        <v>0</v>
      </c>
      <c r="Q2404" s="11">
        <f>IF(P2404=0,0,IFERROR(Q2403+G2404*M2404*IF(E2404="FUTURE",VLOOKUP(MID(I2404,2,2),[1]Futures!$A$2:$B$12,2),1),G2404*M2404*IF(E2404="FUTURE",VLOOKUP(MID(I2404,2,2),[1]Futures!$A$2:$B$12,2),1)))</f>
        <v>0</v>
      </c>
      <c r="R2404" s="12" t="str">
        <f>IFERROR(Q2404/P2404/IF(E2404="FUTURE",VLOOKUP(MID(I2404,2,2),[1]Futures!$A$2:$B$12,2),1),"")</f>
        <v/>
      </c>
      <c r="S2404" s="13">
        <f>IF(AND(H2404="TO CLOSE",P2404=0),-G2404*(M2404-R2403)*IF(E2404="FUTURE",VLOOKUP(MID(I2404,2,2),[1]Futures!$A$2:$B$12,2),1),"")</f>
        <v>-105.10000000000019</v>
      </c>
    </row>
    <row r="2405" spans="1:19" x14ac:dyDescent="0.2">
      <c r="A2405">
        <f t="shared" si="113"/>
        <v>789</v>
      </c>
      <c r="B2405" s="3">
        <v>44043</v>
      </c>
      <c r="C2405" s="3" t="str">
        <f t="shared" si="115"/>
        <v>Friday</v>
      </c>
      <c r="D2405" s="2">
        <v>0.47770833333333335</v>
      </c>
      <c r="E2405" t="s">
        <v>14</v>
      </c>
      <c r="F2405" t="s">
        <v>19</v>
      </c>
      <c r="G2405">
        <v>1</v>
      </c>
      <c r="H2405" t="s">
        <v>20</v>
      </c>
      <c r="I2405" t="s">
        <v>81</v>
      </c>
      <c r="J2405" s="1">
        <v>44094</v>
      </c>
      <c r="L2405" t="s">
        <v>14</v>
      </c>
      <c r="M2405">
        <v>39.93</v>
      </c>
      <c r="N2405">
        <v>39.93</v>
      </c>
      <c r="O2405" t="s">
        <v>24</v>
      </c>
      <c r="P2405">
        <f t="shared" si="114"/>
        <v>1</v>
      </c>
      <c r="Q2405" s="11">
        <f>IF(P2405=0,0,IFERROR(Q2404+G2405*M2405*IF(E2405="FUTURE",VLOOKUP(MID(I2405,2,2),[1]Futures!$A$2:$B$12,2),1),G2405*M2405*IF(E2405="FUTURE",VLOOKUP(MID(I2405,2,2),[1]Futures!$A$2:$B$12,2),1)))</f>
        <v>39930</v>
      </c>
      <c r="R2405" s="12">
        <f>IFERROR(Q2405/P2405/IF(E2405="FUTURE",VLOOKUP(MID(I2405,2,2),[1]Futures!$A$2:$B$12,2),1),"")</f>
        <v>39.93</v>
      </c>
      <c r="S2405" s="13" t="str">
        <f>IF(AND(H2405="TO CLOSE",P2405=0),-G2405*(M2405-R2404)*IF(E2405="FUTURE",VLOOKUP(MID(I2405,2,2),[1]Futures!$A$2:$B$12,2),1),"")</f>
        <v/>
      </c>
    </row>
    <row r="2406" spans="1:19" x14ac:dyDescent="0.2">
      <c r="A2406">
        <f t="shared" si="113"/>
        <v>789</v>
      </c>
      <c r="B2406" s="3">
        <v>44043</v>
      </c>
      <c r="C2406" s="3" t="str">
        <f t="shared" si="115"/>
        <v>Friday</v>
      </c>
      <c r="D2406" s="2">
        <v>0.55615740740740738</v>
      </c>
      <c r="E2406" t="s">
        <v>14</v>
      </c>
      <c r="F2406" t="s">
        <v>15</v>
      </c>
      <c r="G2406">
        <v>-1</v>
      </c>
      <c r="H2406" t="s">
        <v>16</v>
      </c>
      <c r="I2406" t="s">
        <v>81</v>
      </c>
      <c r="J2406" s="1">
        <v>44094</v>
      </c>
      <c r="L2406" t="s">
        <v>14</v>
      </c>
      <c r="M2406">
        <v>40.21</v>
      </c>
      <c r="N2406">
        <v>40.21</v>
      </c>
      <c r="O2406" t="s">
        <v>21</v>
      </c>
      <c r="P2406">
        <f t="shared" si="114"/>
        <v>0</v>
      </c>
      <c r="Q2406" s="11">
        <f>IF(P2406=0,0,IFERROR(Q2405+G2406*M2406*IF(E2406="FUTURE",VLOOKUP(MID(I2406,2,2),[1]Futures!$A$2:$B$12,2),1),G2406*M2406*IF(E2406="FUTURE",VLOOKUP(MID(I2406,2,2),[1]Futures!$A$2:$B$12,2),1)))</f>
        <v>0</v>
      </c>
      <c r="R2406" s="12" t="str">
        <f>IFERROR(Q2406/P2406/IF(E2406="FUTURE",VLOOKUP(MID(I2406,2,2),[1]Futures!$A$2:$B$12,2),1),"")</f>
        <v/>
      </c>
      <c r="S2406" s="13">
        <f>IF(AND(H2406="TO CLOSE",P2406=0),-G2406*(M2406-R2405)*IF(E2406="FUTURE",VLOOKUP(MID(I2406,2,2),[1]Futures!$A$2:$B$12,2),1),"")</f>
        <v>280.00000000000114</v>
      </c>
    </row>
    <row r="2407" spans="1:19" x14ac:dyDescent="0.2">
      <c r="A2407">
        <f t="shared" si="113"/>
        <v>790</v>
      </c>
      <c r="B2407" s="3">
        <v>44043</v>
      </c>
      <c r="C2407" s="3" t="str">
        <f t="shared" si="115"/>
        <v>Friday</v>
      </c>
      <c r="D2407" s="2">
        <v>0.43951388888888893</v>
      </c>
      <c r="E2407" t="s">
        <v>14</v>
      </c>
      <c r="F2407" t="s">
        <v>19</v>
      </c>
      <c r="G2407">
        <v>5</v>
      </c>
      <c r="H2407" t="s">
        <v>20</v>
      </c>
      <c r="I2407" t="s">
        <v>80</v>
      </c>
      <c r="J2407" s="1">
        <v>44094</v>
      </c>
      <c r="L2407" t="s">
        <v>14</v>
      </c>
      <c r="M2407">
        <v>3230</v>
      </c>
      <c r="N2407">
        <v>3230</v>
      </c>
      <c r="O2407" t="s">
        <v>21</v>
      </c>
      <c r="P2407">
        <f t="shared" si="114"/>
        <v>5</v>
      </c>
      <c r="Q2407" s="11">
        <f>IF(P2407=0,0,IFERROR(Q2406+G2407*M2407*IF(E2407="FUTURE",VLOOKUP(MID(I2407,2,2),[1]Futures!$A$2:$B$12,2),1),G2407*M2407*IF(E2407="FUTURE",VLOOKUP(MID(I2407,2,2),[1]Futures!$A$2:$B$12,2),1)))</f>
        <v>80750</v>
      </c>
      <c r="R2407" s="12">
        <f>IFERROR(Q2407/P2407/IF(E2407="FUTURE",VLOOKUP(MID(I2407,2,2),[1]Futures!$A$2:$B$12,2),1),"")</f>
        <v>3230</v>
      </c>
      <c r="S2407" s="13" t="str">
        <f>IF(AND(H2407="TO CLOSE",P2407=0),-G2407*(M2407-R2406)*IF(E2407="FUTURE",VLOOKUP(MID(I2407,2,2),[1]Futures!$A$2:$B$12,2),1),"")</f>
        <v/>
      </c>
    </row>
    <row r="2408" spans="1:19" x14ac:dyDescent="0.2">
      <c r="A2408">
        <f t="shared" si="113"/>
        <v>790</v>
      </c>
      <c r="B2408" s="3">
        <v>44043</v>
      </c>
      <c r="C2408" s="3" t="str">
        <f t="shared" si="115"/>
        <v>Friday</v>
      </c>
      <c r="D2408" s="2">
        <v>0.44049768518518517</v>
      </c>
      <c r="E2408" t="s">
        <v>14</v>
      </c>
      <c r="F2408" t="s">
        <v>19</v>
      </c>
      <c r="G2408">
        <v>1</v>
      </c>
      <c r="H2408" t="s">
        <v>20</v>
      </c>
      <c r="I2408" t="s">
        <v>80</v>
      </c>
      <c r="J2408" s="1">
        <v>44094</v>
      </c>
      <c r="L2408" t="s">
        <v>14</v>
      </c>
      <c r="M2408">
        <v>3228.5</v>
      </c>
      <c r="N2408">
        <v>3228.5</v>
      </c>
      <c r="O2408" t="s">
        <v>21</v>
      </c>
      <c r="P2408">
        <f t="shared" si="114"/>
        <v>6</v>
      </c>
      <c r="Q2408" s="11">
        <f>IF(P2408=0,0,IFERROR(Q2407+G2408*M2408*IF(E2408="FUTURE",VLOOKUP(MID(I2408,2,2),[1]Futures!$A$2:$B$12,2),1),G2408*M2408*IF(E2408="FUTURE",VLOOKUP(MID(I2408,2,2),[1]Futures!$A$2:$B$12,2),1)))</f>
        <v>96892.5</v>
      </c>
      <c r="R2408" s="12">
        <f>IFERROR(Q2408/P2408/IF(E2408="FUTURE",VLOOKUP(MID(I2408,2,2),[1]Futures!$A$2:$B$12,2),1),"")</f>
        <v>3229.75</v>
      </c>
      <c r="S2408" s="13" t="str">
        <f>IF(AND(H2408="TO CLOSE",P2408=0),-G2408*(M2408-R2407)*IF(E2408="FUTURE",VLOOKUP(MID(I2408,2,2),[1]Futures!$A$2:$B$12,2),1),"")</f>
        <v/>
      </c>
    </row>
    <row r="2409" spans="1:19" x14ac:dyDescent="0.2">
      <c r="A2409">
        <f t="shared" si="113"/>
        <v>790</v>
      </c>
      <c r="B2409" s="3">
        <v>44043</v>
      </c>
      <c r="C2409" s="3" t="str">
        <f t="shared" si="115"/>
        <v>Friday</v>
      </c>
      <c r="D2409" s="2">
        <v>0.4588888888888889</v>
      </c>
      <c r="E2409" t="s">
        <v>14</v>
      </c>
      <c r="F2409" t="s">
        <v>19</v>
      </c>
      <c r="G2409">
        <v>2</v>
      </c>
      <c r="H2409" t="s">
        <v>20</v>
      </c>
      <c r="I2409" t="s">
        <v>80</v>
      </c>
      <c r="J2409" s="1">
        <v>44094</v>
      </c>
      <c r="L2409" t="s">
        <v>14</v>
      </c>
      <c r="M2409">
        <v>3231</v>
      </c>
      <c r="N2409">
        <v>3231</v>
      </c>
      <c r="O2409" t="s">
        <v>21</v>
      </c>
      <c r="P2409">
        <f t="shared" si="114"/>
        <v>8</v>
      </c>
      <c r="Q2409" s="11">
        <f>IF(P2409=0,0,IFERROR(Q2408+G2409*M2409*IF(E2409="FUTURE",VLOOKUP(MID(I2409,2,2),[1]Futures!$A$2:$B$12,2),1),G2409*M2409*IF(E2409="FUTURE",VLOOKUP(MID(I2409,2,2),[1]Futures!$A$2:$B$12,2),1)))</f>
        <v>129202.5</v>
      </c>
      <c r="R2409" s="12">
        <f>IFERROR(Q2409/P2409/IF(E2409="FUTURE",VLOOKUP(MID(I2409,2,2),[1]Futures!$A$2:$B$12,2),1),"")</f>
        <v>3230.0625</v>
      </c>
      <c r="S2409" s="13" t="str">
        <f>IF(AND(H2409="TO CLOSE",P2409=0),-G2409*(M2409-R2408)*IF(E2409="FUTURE",VLOOKUP(MID(I2409,2,2),[1]Futures!$A$2:$B$12,2),1),"")</f>
        <v/>
      </c>
    </row>
    <row r="2410" spans="1:19" x14ac:dyDescent="0.2">
      <c r="A2410">
        <f t="shared" si="113"/>
        <v>790</v>
      </c>
      <c r="B2410" s="3">
        <v>44043</v>
      </c>
      <c r="C2410" s="3" t="str">
        <f t="shared" si="115"/>
        <v>Friday</v>
      </c>
      <c r="D2410" s="2">
        <v>0.4676967592592593</v>
      </c>
      <c r="E2410" t="s">
        <v>14</v>
      </c>
      <c r="F2410" t="s">
        <v>15</v>
      </c>
      <c r="G2410">
        <v>-3</v>
      </c>
      <c r="H2410" t="s">
        <v>16</v>
      </c>
      <c r="I2410" t="s">
        <v>80</v>
      </c>
      <c r="J2410" s="1">
        <v>44094</v>
      </c>
      <c r="L2410" t="s">
        <v>14</v>
      </c>
      <c r="M2410">
        <v>3235.5</v>
      </c>
      <c r="N2410">
        <v>3235.5</v>
      </c>
      <c r="O2410" t="s">
        <v>21</v>
      </c>
      <c r="P2410">
        <f t="shared" si="114"/>
        <v>5</v>
      </c>
      <c r="Q2410" s="11">
        <f>IF(P2410=0,0,IFERROR(Q2409+G2410*M2410*IF(E2410="FUTURE",VLOOKUP(MID(I2410,2,2),[1]Futures!$A$2:$B$12,2),1),G2410*M2410*IF(E2410="FUTURE",VLOOKUP(MID(I2410,2,2),[1]Futures!$A$2:$B$12,2),1)))</f>
        <v>80670</v>
      </c>
      <c r="R2410" s="12">
        <f>IFERROR(Q2410/P2410/IF(E2410="FUTURE",VLOOKUP(MID(I2410,2,2),[1]Futures!$A$2:$B$12,2),1),"")</f>
        <v>3226.8</v>
      </c>
      <c r="S2410" s="13" t="str">
        <f>IF(AND(H2410="TO CLOSE",P2410=0),-G2410*(M2410-R2409)*IF(E2410="FUTURE",VLOOKUP(MID(I2410,2,2),[1]Futures!$A$2:$B$12,2),1),"")</f>
        <v/>
      </c>
    </row>
    <row r="2411" spans="1:19" x14ac:dyDescent="0.2">
      <c r="A2411">
        <f t="shared" si="113"/>
        <v>790</v>
      </c>
      <c r="B2411" s="3">
        <v>44043</v>
      </c>
      <c r="C2411" s="3" t="str">
        <f t="shared" si="115"/>
        <v>Friday</v>
      </c>
      <c r="D2411" s="2">
        <v>0.47089120370370369</v>
      </c>
      <c r="E2411" t="s">
        <v>14</v>
      </c>
      <c r="F2411" t="s">
        <v>15</v>
      </c>
      <c r="G2411">
        <v>-1</v>
      </c>
      <c r="H2411" t="s">
        <v>16</v>
      </c>
      <c r="I2411" t="s">
        <v>80</v>
      </c>
      <c r="J2411" s="1">
        <v>44094</v>
      </c>
      <c r="L2411" t="s">
        <v>14</v>
      </c>
      <c r="M2411">
        <v>3238.25</v>
      </c>
      <c r="N2411">
        <v>3238.25</v>
      </c>
      <c r="O2411" t="s">
        <v>21</v>
      </c>
      <c r="P2411">
        <f t="shared" si="114"/>
        <v>4</v>
      </c>
      <c r="Q2411" s="11">
        <f>IF(P2411=0,0,IFERROR(Q2410+G2411*M2411*IF(E2411="FUTURE",VLOOKUP(MID(I2411,2,2),[1]Futures!$A$2:$B$12,2),1),G2411*M2411*IF(E2411="FUTURE",VLOOKUP(MID(I2411,2,2),[1]Futures!$A$2:$B$12,2),1)))</f>
        <v>64478.75</v>
      </c>
      <c r="R2411" s="12">
        <f>IFERROR(Q2411/P2411/IF(E2411="FUTURE",VLOOKUP(MID(I2411,2,2),[1]Futures!$A$2:$B$12,2),1),"")</f>
        <v>3223.9375</v>
      </c>
      <c r="S2411" s="13" t="str">
        <f>IF(AND(H2411="TO CLOSE",P2411=0),-G2411*(M2411-R2410)*IF(E2411="FUTURE",VLOOKUP(MID(I2411,2,2),[1]Futures!$A$2:$B$12,2),1),"")</f>
        <v/>
      </c>
    </row>
    <row r="2412" spans="1:19" x14ac:dyDescent="0.2">
      <c r="A2412">
        <f t="shared" si="113"/>
        <v>790</v>
      </c>
      <c r="B2412" s="3">
        <v>44043</v>
      </c>
      <c r="C2412" s="3" t="str">
        <f t="shared" si="115"/>
        <v>Friday</v>
      </c>
      <c r="D2412" s="2">
        <v>0.47131944444444446</v>
      </c>
      <c r="E2412" t="s">
        <v>14</v>
      </c>
      <c r="F2412" t="s">
        <v>15</v>
      </c>
      <c r="G2412">
        <v>-1</v>
      </c>
      <c r="H2412" t="s">
        <v>16</v>
      </c>
      <c r="I2412" t="s">
        <v>80</v>
      </c>
      <c r="J2412" s="1">
        <v>44094</v>
      </c>
      <c r="L2412" t="s">
        <v>14</v>
      </c>
      <c r="M2412">
        <v>3242</v>
      </c>
      <c r="N2412">
        <v>3242</v>
      </c>
      <c r="O2412" t="s">
        <v>24</v>
      </c>
      <c r="P2412">
        <f t="shared" si="114"/>
        <v>3</v>
      </c>
      <c r="Q2412" s="11">
        <f>IF(P2412=0,0,IFERROR(Q2411+G2412*M2412*IF(E2412="FUTURE",VLOOKUP(MID(I2412,2,2),[1]Futures!$A$2:$B$12,2),1),G2412*M2412*IF(E2412="FUTURE",VLOOKUP(MID(I2412,2,2),[1]Futures!$A$2:$B$12,2),1)))</f>
        <v>48268.75</v>
      </c>
      <c r="R2412" s="12">
        <f>IFERROR(Q2412/P2412/IF(E2412="FUTURE",VLOOKUP(MID(I2412,2,2),[1]Futures!$A$2:$B$12,2),1),"")</f>
        <v>3217.916666666667</v>
      </c>
      <c r="S2412" s="13" t="str">
        <f>IF(AND(H2412="TO CLOSE",P2412=0),-G2412*(M2412-R2411)*IF(E2412="FUTURE",VLOOKUP(MID(I2412,2,2),[1]Futures!$A$2:$B$12,2),1),"")</f>
        <v/>
      </c>
    </row>
    <row r="2413" spans="1:19" x14ac:dyDescent="0.2">
      <c r="A2413">
        <f t="shared" si="113"/>
        <v>790</v>
      </c>
      <c r="B2413" s="3">
        <v>44043</v>
      </c>
      <c r="C2413" s="3" t="str">
        <f t="shared" si="115"/>
        <v>Friday</v>
      </c>
      <c r="D2413" s="2">
        <v>0.48144675925925928</v>
      </c>
      <c r="E2413" t="s">
        <v>14</v>
      </c>
      <c r="F2413" t="s">
        <v>19</v>
      </c>
      <c r="G2413">
        <v>2</v>
      </c>
      <c r="H2413" t="s">
        <v>20</v>
      </c>
      <c r="I2413" t="s">
        <v>80</v>
      </c>
      <c r="J2413" s="1">
        <v>44094</v>
      </c>
      <c r="L2413" t="s">
        <v>14</v>
      </c>
      <c r="M2413">
        <v>3239.25</v>
      </c>
      <c r="N2413">
        <v>3239.25</v>
      </c>
      <c r="O2413" t="s">
        <v>24</v>
      </c>
      <c r="P2413">
        <f t="shared" si="114"/>
        <v>5</v>
      </c>
      <c r="Q2413" s="11">
        <f>IF(P2413=0,0,IFERROR(Q2412+G2413*M2413*IF(E2413="FUTURE",VLOOKUP(MID(I2413,2,2),[1]Futures!$A$2:$B$12,2),1),G2413*M2413*IF(E2413="FUTURE",VLOOKUP(MID(I2413,2,2),[1]Futures!$A$2:$B$12,2),1)))</f>
        <v>80661.25</v>
      </c>
      <c r="R2413" s="12">
        <f>IFERROR(Q2413/P2413/IF(E2413="FUTURE",VLOOKUP(MID(I2413,2,2),[1]Futures!$A$2:$B$12,2),1),"")</f>
        <v>3226.45</v>
      </c>
      <c r="S2413" s="13" t="str">
        <f>IF(AND(H2413="TO CLOSE",P2413=0),-G2413*(M2413-R2412)*IF(E2413="FUTURE",VLOOKUP(MID(I2413,2,2),[1]Futures!$A$2:$B$12,2),1),"")</f>
        <v/>
      </c>
    </row>
    <row r="2414" spans="1:19" x14ac:dyDescent="0.2">
      <c r="A2414">
        <f t="shared" si="113"/>
        <v>790</v>
      </c>
      <c r="B2414" s="3">
        <v>44043</v>
      </c>
      <c r="C2414" s="3" t="str">
        <f t="shared" si="115"/>
        <v>Friday</v>
      </c>
      <c r="D2414" s="2">
        <v>0.48496527777777776</v>
      </c>
      <c r="E2414" t="s">
        <v>14</v>
      </c>
      <c r="F2414" t="s">
        <v>19</v>
      </c>
      <c r="G2414">
        <v>1</v>
      </c>
      <c r="H2414" t="s">
        <v>20</v>
      </c>
      <c r="I2414" t="s">
        <v>80</v>
      </c>
      <c r="J2414" s="1">
        <v>44094</v>
      </c>
      <c r="L2414" t="s">
        <v>14</v>
      </c>
      <c r="M2414">
        <v>3236</v>
      </c>
      <c r="N2414">
        <v>3236</v>
      </c>
      <c r="O2414" t="s">
        <v>24</v>
      </c>
      <c r="P2414">
        <f t="shared" si="114"/>
        <v>6</v>
      </c>
      <c r="Q2414" s="11">
        <f>IF(P2414=0,0,IFERROR(Q2413+G2414*M2414*IF(E2414="FUTURE",VLOOKUP(MID(I2414,2,2),[1]Futures!$A$2:$B$12,2),1),G2414*M2414*IF(E2414="FUTURE",VLOOKUP(MID(I2414,2,2),[1]Futures!$A$2:$B$12,2),1)))</f>
        <v>96841.25</v>
      </c>
      <c r="R2414" s="12">
        <f>IFERROR(Q2414/P2414/IF(E2414="FUTURE",VLOOKUP(MID(I2414,2,2),[1]Futures!$A$2:$B$12,2),1),"")</f>
        <v>3228.041666666667</v>
      </c>
      <c r="S2414" s="13" t="str">
        <f>IF(AND(H2414="TO CLOSE",P2414=0),-G2414*(M2414-R2413)*IF(E2414="FUTURE",VLOOKUP(MID(I2414,2,2),[1]Futures!$A$2:$B$12,2),1),"")</f>
        <v/>
      </c>
    </row>
    <row r="2415" spans="1:19" x14ac:dyDescent="0.2">
      <c r="A2415">
        <f t="shared" si="113"/>
        <v>790</v>
      </c>
      <c r="B2415" s="3">
        <v>44043</v>
      </c>
      <c r="C2415" s="3" t="str">
        <f t="shared" si="115"/>
        <v>Friday</v>
      </c>
      <c r="D2415" s="2">
        <v>0.51658564814814811</v>
      </c>
      <c r="E2415" t="s">
        <v>14</v>
      </c>
      <c r="F2415" t="s">
        <v>19</v>
      </c>
      <c r="G2415">
        <v>1</v>
      </c>
      <c r="H2415" t="s">
        <v>20</v>
      </c>
      <c r="I2415" t="s">
        <v>80</v>
      </c>
      <c r="J2415" s="1">
        <v>44094</v>
      </c>
      <c r="L2415" t="s">
        <v>14</v>
      </c>
      <c r="M2415">
        <v>3226</v>
      </c>
      <c r="N2415">
        <v>3226</v>
      </c>
      <c r="O2415" t="s">
        <v>18</v>
      </c>
      <c r="P2415">
        <f t="shared" si="114"/>
        <v>7</v>
      </c>
      <c r="Q2415" s="11">
        <f>IF(P2415=0,0,IFERROR(Q2414+G2415*M2415*IF(E2415="FUTURE",VLOOKUP(MID(I2415,2,2),[1]Futures!$A$2:$B$12,2),1),G2415*M2415*IF(E2415="FUTURE",VLOOKUP(MID(I2415,2,2),[1]Futures!$A$2:$B$12,2),1)))</f>
        <v>112971.25</v>
      </c>
      <c r="R2415" s="12">
        <f>IFERROR(Q2415/P2415/IF(E2415="FUTURE",VLOOKUP(MID(I2415,2,2),[1]Futures!$A$2:$B$12,2),1),"")</f>
        <v>3227.75</v>
      </c>
      <c r="S2415" s="13" t="str">
        <f>IF(AND(H2415="TO CLOSE",P2415=0),-G2415*(M2415-R2414)*IF(E2415="FUTURE",VLOOKUP(MID(I2415,2,2),[1]Futures!$A$2:$B$12,2),1),"")</f>
        <v/>
      </c>
    </row>
    <row r="2416" spans="1:19" x14ac:dyDescent="0.2">
      <c r="A2416">
        <f t="shared" si="113"/>
        <v>790</v>
      </c>
      <c r="B2416" s="3">
        <v>44043</v>
      </c>
      <c r="C2416" s="3" t="str">
        <f t="shared" si="115"/>
        <v>Friday</v>
      </c>
      <c r="D2416" s="2">
        <v>0.54549768518518515</v>
      </c>
      <c r="E2416" t="s">
        <v>14</v>
      </c>
      <c r="F2416" t="s">
        <v>19</v>
      </c>
      <c r="G2416">
        <v>1</v>
      </c>
      <c r="H2416" t="s">
        <v>20</v>
      </c>
      <c r="I2416" t="s">
        <v>80</v>
      </c>
      <c r="J2416" s="1">
        <v>44094</v>
      </c>
      <c r="L2416" t="s">
        <v>14</v>
      </c>
      <c r="M2416">
        <v>3220.5</v>
      </c>
      <c r="N2416">
        <v>3220.5</v>
      </c>
      <c r="O2416" t="s">
        <v>18</v>
      </c>
      <c r="P2416">
        <f t="shared" si="114"/>
        <v>8</v>
      </c>
      <c r="Q2416" s="11">
        <f>IF(P2416=0,0,IFERROR(Q2415+G2416*M2416*IF(E2416="FUTURE",VLOOKUP(MID(I2416,2,2),[1]Futures!$A$2:$B$12,2),1),G2416*M2416*IF(E2416="FUTURE",VLOOKUP(MID(I2416,2,2),[1]Futures!$A$2:$B$12,2),1)))</f>
        <v>129073.75</v>
      </c>
      <c r="R2416" s="12">
        <f>IFERROR(Q2416/P2416/IF(E2416="FUTURE",VLOOKUP(MID(I2416,2,2),[1]Futures!$A$2:$B$12,2),1),"")</f>
        <v>3226.84375</v>
      </c>
      <c r="S2416" s="13" t="str">
        <f>IF(AND(H2416="TO CLOSE",P2416=0),-G2416*(M2416-R2415)*IF(E2416="FUTURE",VLOOKUP(MID(I2416,2,2),[1]Futures!$A$2:$B$12,2),1),"")</f>
        <v/>
      </c>
    </row>
    <row r="2417" spans="1:19" x14ac:dyDescent="0.2">
      <c r="A2417">
        <f t="shared" si="113"/>
        <v>790</v>
      </c>
      <c r="B2417" s="3">
        <v>44043</v>
      </c>
      <c r="C2417" s="3" t="str">
        <f t="shared" si="115"/>
        <v>Friday</v>
      </c>
      <c r="D2417" s="2">
        <v>0.55945601851851856</v>
      </c>
      <c r="E2417" t="s">
        <v>14</v>
      </c>
      <c r="F2417" t="s">
        <v>15</v>
      </c>
      <c r="G2417">
        <v>-2</v>
      </c>
      <c r="H2417" t="s">
        <v>16</v>
      </c>
      <c r="I2417" t="s">
        <v>80</v>
      </c>
      <c r="J2417" s="1">
        <v>44094</v>
      </c>
      <c r="L2417" t="s">
        <v>14</v>
      </c>
      <c r="M2417">
        <v>3226</v>
      </c>
      <c r="N2417">
        <v>3226</v>
      </c>
      <c r="O2417" t="s">
        <v>21</v>
      </c>
      <c r="P2417">
        <f t="shared" si="114"/>
        <v>6</v>
      </c>
      <c r="Q2417" s="11">
        <f>IF(P2417=0,0,IFERROR(Q2416+G2417*M2417*IF(E2417="FUTURE",VLOOKUP(MID(I2417,2,2),[1]Futures!$A$2:$B$12,2),1),G2417*M2417*IF(E2417="FUTURE",VLOOKUP(MID(I2417,2,2),[1]Futures!$A$2:$B$12,2),1)))</f>
        <v>96813.75</v>
      </c>
      <c r="R2417" s="12">
        <f>IFERROR(Q2417/P2417/IF(E2417="FUTURE",VLOOKUP(MID(I2417,2,2),[1]Futures!$A$2:$B$12,2),1),"")</f>
        <v>3227.125</v>
      </c>
      <c r="S2417" s="13" t="str">
        <f>IF(AND(H2417="TO CLOSE",P2417=0),-G2417*(M2417-R2416)*IF(E2417="FUTURE",VLOOKUP(MID(I2417,2,2),[1]Futures!$A$2:$B$12,2),1),"")</f>
        <v/>
      </c>
    </row>
    <row r="2418" spans="1:19" x14ac:dyDescent="0.2">
      <c r="A2418">
        <f t="shared" si="113"/>
        <v>790</v>
      </c>
      <c r="B2418" s="3">
        <v>44043</v>
      </c>
      <c r="C2418" s="3" t="str">
        <f t="shared" si="115"/>
        <v>Friday</v>
      </c>
      <c r="D2418" s="2">
        <v>0.56988425925925923</v>
      </c>
      <c r="E2418" t="s">
        <v>14</v>
      </c>
      <c r="F2418" t="s">
        <v>19</v>
      </c>
      <c r="G2418">
        <v>2</v>
      </c>
      <c r="H2418" t="s">
        <v>20</v>
      </c>
      <c r="I2418" t="s">
        <v>80</v>
      </c>
      <c r="J2418" s="1">
        <v>44094</v>
      </c>
      <c r="L2418" t="s">
        <v>14</v>
      </c>
      <c r="M2418">
        <v>3224</v>
      </c>
      <c r="N2418">
        <v>3224</v>
      </c>
      <c r="O2418" t="s">
        <v>21</v>
      </c>
      <c r="P2418">
        <f t="shared" si="114"/>
        <v>8</v>
      </c>
      <c r="Q2418" s="11">
        <f>IF(P2418=0,0,IFERROR(Q2417+G2418*M2418*IF(E2418="FUTURE",VLOOKUP(MID(I2418,2,2),[1]Futures!$A$2:$B$12,2),1),G2418*M2418*IF(E2418="FUTURE",VLOOKUP(MID(I2418,2,2),[1]Futures!$A$2:$B$12,2),1)))</f>
        <v>129053.75</v>
      </c>
      <c r="R2418" s="12">
        <f>IFERROR(Q2418/P2418/IF(E2418="FUTURE",VLOOKUP(MID(I2418,2,2),[1]Futures!$A$2:$B$12,2),1),"")</f>
        <v>3226.34375</v>
      </c>
      <c r="S2418" s="13" t="str">
        <f>IF(AND(H2418="TO CLOSE",P2418=0),-G2418*(M2418-R2417)*IF(E2418="FUTURE",VLOOKUP(MID(I2418,2,2),[1]Futures!$A$2:$B$12,2),1),"")</f>
        <v/>
      </c>
    </row>
    <row r="2419" spans="1:19" x14ac:dyDescent="0.2">
      <c r="A2419">
        <f t="shared" si="113"/>
        <v>790</v>
      </c>
      <c r="B2419" s="3">
        <v>44043</v>
      </c>
      <c r="C2419" s="3" t="str">
        <f t="shared" si="115"/>
        <v>Friday</v>
      </c>
      <c r="D2419" s="2">
        <v>0.5767592592592593</v>
      </c>
      <c r="E2419" t="s">
        <v>14</v>
      </c>
      <c r="F2419" t="s">
        <v>15</v>
      </c>
      <c r="G2419">
        <v>-1</v>
      </c>
      <c r="H2419" t="s">
        <v>16</v>
      </c>
      <c r="I2419" t="s">
        <v>80</v>
      </c>
      <c r="J2419" s="1">
        <v>44094</v>
      </c>
      <c r="L2419" t="s">
        <v>14</v>
      </c>
      <c r="M2419">
        <v>3229.25</v>
      </c>
      <c r="N2419">
        <v>3229.25</v>
      </c>
      <c r="O2419" t="s">
        <v>21</v>
      </c>
      <c r="P2419">
        <f t="shared" si="114"/>
        <v>7</v>
      </c>
      <c r="Q2419" s="11">
        <f>IF(P2419=0,0,IFERROR(Q2418+G2419*M2419*IF(E2419="FUTURE",VLOOKUP(MID(I2419,2,2),[1]Futures!$A$2:$B$12,2),1),G2419*M2419*IF(E2419="FUTURE",VLOOKUP(MID(I2419,2,2),[1]Futures!$A$2:$B$12,2),1)))</f>
        <v>112907.5</v>
      </c>
      <c r="R2419" s="12">
        <f>IFERROR(Q2419/P2419/IF(E2419="FUTURE",VLOOKUP(MID(I2419,2,2),[1]Futures!$A$2:$B$12,2),1),"")</f>
        <v>3225.9285714285716</v>
      </c>
      <c r="S2419" s="13" t="str">
        <f>IF(AND(H2419="TO CLOSE",P2419=0),-G2419*(M2419-R2418)*IF(E2419="FUTURE",VLOOKUP(MID(I2419,2,2),[1]Futures!$A$2:$B$12,2),1),"")</f>
        <v/>
      </c>
    </row>
    <row r="2420" spans="1:19" x14ac:dyDescent="0.2">
      <c r="A2420">
        <f t="shared" si="113"/>
        <v>790</v>
      </c>
      <c r="B2420" s="3">
        <v>44043</v>
      </c>
      <c r="C2420" s="3" t="str">
        <f t="shared" si="115"/>
        <v>Friday</v>
      </c>
      <c r="D2420" s="2">
        <v>0.5767592592592593</v>
      </c>
      <c r="E2420" t="s">
        <v>14</v>
      </c>
      <c r="F2420" t="s">
        <v>15</v>
      </c>
      <c r="G2420">
        <v>-1</v>
      </c>
      <c r="H2420" t="s">
        <v>16</v>
      </c>
      <c r="I2420" t="s">
        <v>80</v>
      </c>
      <c r="J2420" s="1">
        <v>44094</v>
      </c>
      <c r="L2420" t="s">
        <v>14</v>
      </c>
      <c r="M2420">
        <v>3229.25</v>
      </c>
      <c r="N2420">
        <v>3229.25</v>
      </c>
      <c r="O2420" t="s">
        <v>21</v>
      </c>
      <c r="P2420">
        <f t="shared" si="114"/>
        <v>6</v>
      </c>
      <c r="Q2420" s="11">
        <f>IF(P2420=0,0,IFERROR(Q2419+G2420*M2420*IF(E2420="FUTURE",VLOOKUP(MID(I2420,2,2),[1]Futures!$A$2:$B$12,2),1),G2420*M2420*IF(E2420="FUTURE",VLOOKUP(MID(I2420,2,2),[1]Futures!$A$2:$B$12,2),1)))</f>
        <v>96761.25</v>
      </c>
      <c r="R2420" s="12">
        <f>IFERROR(Q2420/P2420/IF(E2420="FUTURE",VLOOKUP(MID(I2420,2,2),[1]Futures!$A$2:$B$12,2),1),"")</f>
        <v>3225.375</v>
      </c>
      <c r="S2420" s="13" t="str">
        <f>IF(AND(H2420="TO CLOSE",P2420=0),-G2420*(M2420-R2419)*IF(E2420="FUTURE",VLOOKUP(MID(I2420,2,2),[1]Futures!$A$2:$B$12,2),1),"")</f>
        <v/>
      </c>
    </row>
    <row r="2421" spans="1:19" x14ac:dyDescent="0.2">
      <c r="A2421">
        <f t="shared" si="113"/>
        <v>790</v>
      </c>
      <c r="B2421" s="3">
        <v>44043</v>
      </c>
      <c r="C2421" s="3" t="str">
        <f t="shared" si="115"/>
        <v>Friday</v>
      </c>
      <c r="D2421" s="2">
        <v>0.59813657407407406</v>
      </c>
      <c r="E2421" t="s">
        <v>14</v>
      </c>
      <c r="F2421" t="s">
        <v>19</v>
      </c>
      <c r="G2421">
        <v>2</v>
      </c>
      <c r="H2421" t="s">
        <v>20</v>
      </c>
      <c r="I2421" t="s">
        <v>80</v>
      </c>
      <c r="J2421" s="1">
        <v>44094</v>
      </c>
      <c r="L2421" t="s">
        <v>14</v>
      </c>
      <c r="M2421">
        <v>3221.5</v>
      </c>
      <c r="N2421">
        <v>3221.5</v>
      </c>
      <c r="O2421" t="s">
        <v>24</v>
      </c>
      <c r="P2421">
        <f t="shared" si="114"/>
        <v>8</v>
      </c>
      <c r="Q2421" s="11">
        <f>IF(P2421=0,0,IFERROR(Q2420+G2421*M2421*IF(E2421="FUTURE",VLOOKUP(MID(I2421,2,2),[1]Futures!$A$2:$B$12,2),1),G2421*M2421*IF(E2421="FUTURE",VLOOKUP(MID(I2421,2,2),[1]Futures!$A$2:$B$12,2),1)))</f>
        <v>128976.25</v>
      </c>
      <c r="R2421" s="12">
        <f>IFERROR(Q2421/P2421/IF(E2421="FUTURE",VLOOKUP(MID(I2421,2,2),[1]Futures!$A$2:$B$12,2),1),"")</f>
        <v>3224.40625</v>
      </c>
      <c r="S2421" s="13" t="str">
        <f>IF(AND(H2421="TO CLOSE",P2421=0),-G2421*(M2421-R2420)*IF(E2421="FUTURE",VLOOKUP(MID(I2421,2,2),[1]Futures!$A$2:$B$12,2),1),"")</f>
        <v/>
      </c>
    </row>
    <row r="2422" spans="1:19" x14ac:dyDescent="0.2">
      <c r="A2422">
        <f t="shared" si="113"/>
        <v>790</v>
      </c>
      <c r="B2422" s="3">
        <v>44043</v>
      </c>
      <c r="C2422" s="3" t="str">
        <f t="shared" si="115"/>
        <v>Friday</v>
      </c>
      <c r="D2422" s="2">
        <v>0.61375000000000002</v>
      </c>
      <c r="E2422" t="s">
        <v>14</v>
      </c>
      <c r="F2422" t="s">
        <v>15</v>
      </c>
      <c r="G2422">
        <v>-2</v>
      </c>
      <c r="H2422" t="s">
        <v>16</v>
      </c>
      <c r="I2422" t="s">
        <v>80</v>
      </c>
      <c r="J2422" s="1">
        <v>44094</v>
      </c>
      <c r="L2422" t="s">
        <v>14</v>
      </c>
      <c r="M2422">
        <v>3231.5</v>
      </c>
      <c r="N2422">
        <v>3231.5</v>
      </c>
      <c r="O2422" t="s">
        <v>21</v>
      </c>
      <c r="P2422">
        <f t="shared" si="114"/>
        <v>6</v>
      </c>
      <c r="Q2422" s="11">
        <f>IF(P2422=0,0,IFERROR(Q2421+G2422*M2422*IF(E2422="FUTURE",VLOOKUP(MID(I2422,2,2),[1]Futures!$A$2:$B$12,2),1),G2422*M2422*IF(E2422="FUTURE",VLOOKUP(MID(I2422,2,2),[1]Futures!$A$2:$B$12,2),1)))</f>
        <v>96661.25</v>
      </c>
      <c r="R2422" s="12">
        <f>IFERROR(Q2422/P2422/IF(E2422="FUTURE",VLOOKUP(MID(I2422,2,2),[1]Futures!$A$2:$B$12,2),1),"")</f>
        <v>3222.041666666667</v>
      </c>
      <c r="S2422" s="13" t="str">
        <f>IF(AND(H2422="TO CLOSE",P2422=0),-G2422*(M2422-R2421)*IF(E2422="FUTURE",VLOOKUP(MID(I2422,2,2),[1]Futures!$A$2:$B$12,2),1),"")</f>
        <v/>
      </c>
    </row>
    <row r="2423" spans="1:19" x14ac:dyDescent="0.2">
      <c r="A2423">
        <f t="shared" si="113"/>
        <v>790</v>
      </c>
      <c r="B2423" s="3">
        <v>44043</v>
      </c>
      <c r="C2423" s="3" t="str">
        <f t="shared" si="115"/>
        <v>Friday</v>
      </c>
      <c r="D2423" s="2">
        <v>0.62010416666666668</v>
      </c>
      <c r="E2423" t="s">
        <v>14</v>
      </c>
      <c r="F2423" t="s">
        <v>15</v>
      </c>
      <c r="G2423">
        <v>-2</v>
      </c>
      <c r="H2423" t="s">
        <v>16</v>
      </c>
      <c r="I2423" t="s">
        <v>80</v>
      </c>
      <c r="J2423" s="1">
        <v>44094</v>
      </c>
      <c r="L2423" t="s">
        <v>14</v>
      </c>
      <c r="M2423">
        <v>3235.5</v>
      </c>
      <c r="N2423">
        <v>3235.5</v>
      </c>
      <c r="O2423" t="s">
        <v>21</v>
      </c>
      <c r="P2423">
        <f t="shared" si="114"/>
        <v>4</v>
      </c>
      <c r="Q2423" s="11">
        <f>IF(P2423=0,0,IFERROR(Q2422+G2423*M2423*IF(E2423="FUTURE",VLOOKUP(MID(I2423,2,2),[1]Futures!$A$2:$B$12,2),1),G2423*M2423*IF(E2423="FUTURE",VLOOKUP(MID(I2423,2,2),[1]Futures!$A$2:$B$12,2),1)))</f>
        <v>64306.25</v>
      </c>
      <c r="R2423" s="12">
        <f>IFERROR(Q2423/P2423/IF(E2423="FUTURE",VLOOKUP(MID(I2423,2,2),[1]Futures!$A$2:$B$12,2),1),"")</f>
        <v>3215.3125</v>
      </c>
      <c r="S2423" s="13" t="str">
        <f>IF(AND(H2423="TO CLOSE",P2423=0),-G2423*(M2423-R2422)*IF(E2423="FUTURE",VLOOKUP(MID(I2423,2,2),[1]Futures!$A$2:$B$12,2),1),"")</f>
        <v/>
      </c>
    </row>
    <row r="2424" spans="1:19" x14ac:dyDescent="0.2">
      <c r="A2424">
        <f t="shared" si="113"/>
        <v>790</v>
      </c>
      <c r="B2424" s="3">
        <v>44043</v>
      </c>
      <c r="C2424" s="3" t="str">
        <f t="shared" si="115"/>
        <v>Friday</v>
      </c>
      <c r="D2424" s="2">
        <v>0.62515046296296295</v>
      </c>
      <c r="E2424" t="s">
        <v>14</v>
      </c>
      <c r="F2424" t="s">
        <v>15</v>
      </c>
      <c r="G2424">
        <v>-2</v>
      </c>
      <c r="H2424" t="s">
        <v>16</v>
      </c>
      <c r="I2424" t="s">
        <v>80</v>
      </c>
      <c r="J2424" s="1">
        <v>44094</v>
      </c>
      <c r="L2424" t="s">
        <v>14</v>
      </c>
      <c r="M2424">
        <v>3238.5</v>
      </c>
      <c r="N2424">
        <v>3238.5</v>
      </c>
      <c r="O2424" t="s">
        <v>21</v>
      </c>
      <c r="P2424">
        <f t="shared" si="114"/>
        <v>2</v>
      </c>
      <c r="Q2424" s="11">
        <f>IF(P2424=0,0,IFERROR(Q2423+G2424*M2424*IF(E2424="FUTURE",VLOOKUP(MID(I2424,2,2),[1]Futures!$A$2:$B$12,2),1),G2424*M2424*IF(E2424="FUTURE",VLOOKUP(MID(I2424,2,2),[1]Futures!$A$2:$B$12,2),1)))</f>
        <v>31921.25</v>
      </c>
      <c r="R2424" s="12">
        <f>IFERROR(Q2424/P2424/IF(E2424="FUTURE",VLOOKUP(MID(I2424,2,2),[1]Futures!$A$2:$B$12,2),1),"")</f>
        <v>3192.125</v>
      </c>
      <c r="S2424" s="13" t="str">
        <f>IF(AND(H2424="TO CLOSE",P2424=0),-G2424*(M2424-R2423)*IF(E2424="FUTURE",VLOOKUP(MID(I2424,2,2),[1]Futures!$A$2:$B$12,2),1),"")</f>
        <v/>
      </c>
    </row>
    <row r="2425" spans="1:19" x14ac:dyDescent="0.2">
      <c r="A2425">
        <f t="shared" si="113"/>
        <v>790</v>
      </c>
      <c r="B2425" s="3">
        <v>44043</v>
      </c>
      <c r="C2425" s="3" t="str">
        <f t="shared" si="115"/>
        <v>Friday</v>
      </c>
      <c r="D2425" s="2">
        <v>0.62810185185185186</v>
      </c>
      <c r="E2425" t="s">
        <v>14</v>
      </c>
      <c r="F2425" t="s">
        <v>15</v>
      </c>
      <c r="G2425">
        <v>-2</v>
      </c>
      <c r="H2425" t="s">
        <v>16</v>
      </c>
      <c r="I2425" t="s">
        <v>80</v>
      </c>
      <c r="J2425" s="1">
        <v>44094</v>
      </c>
      <c r="L2425" t="s">
        <v>14</v>
      </c>
      <c r="M2425">
        <v>3242.5</v>
      </c>
      <c r="N2425">
        <v>3242.5</v>
      </c>
      <c r="O2425" t="s">
        <v>21</v>
      </c>
      <c r="P2425">
        <f t="shared" si="114"/>
        <v>0</v>
      </c>
      <c r="Q2425" s="11">
        <f>IF(P2425=0,0,IFERROR(Q2424+G2425*M2425*IF(E2425="FUTURE",VLOOKUP(MID(I2425,2,2),[1]Futures!$A$2:$B$12,2),1),G2425*M2425*IF(E2425="FUTURE",VLOOKUP(MID(I2425,2,2),[1]Futures!$A$2:$B$12,2),1)))</f>
        <v>0</v>
      </c>
      <c r="R2425" s="12" t="str">
        <f>IFERROR(Q2425/P2425/IF(E2425="FUTURE",VLOOKUP(MID(I2425,2,2),[1]Futures!$A$2:$B$12,2),1),"")</f>
        <v/>
      </c>
      <c r="S2425" s="13">
        <f>IF(AND(H2425="TO CLOSE",P2425=0),-G2425*(M2425-R2424)*IF(E2425="FUTURE",VLOOKUP(MID(I2425,2,2),[1]Futures!$A$2:$B$12,2),1),"")</f>
        <v>503.75</v>
      </c>
    </row>
    <row r="2426" spans="1:19" x14ac:dyDescent="0.2">
      <c r="A2426">
        <f t="shared" si="113"/>
        <v>791</v>
      </c>
      <c r="B2426" s="3">
        <v>44043</v>
      </c>
      <c r="C2426" s="3" t="str">
        <f t="shared" si="115"/>
        <v>Friday</v>
      </c>
      <c r="D2426" s="2">
        <v>0.33333333333333331</v>
      </c>
      <c r="E2426" t="s">
        <v>22</v>
      </c>
      <c r="F2426" t="s">
        <v>15</v>
      </c>
      <c r="G2426">
        <v>-200</v>
      </c>
      <c r="H2426" t="s">
        <v>20</v>
      </c>
      <c r="I2426" t="s">
        <v>23</v>
      </c>
      <c r="J2426" s="1"/>
      <c r="L2426" t="s">
        <v>22</v>
      </c>
      <c r="M2426">
        <v>29.2</v>
      </c>
      <c r="N2426">
        <v>29.2</v>
      </c>
      <c r="O2426" t="s">
        <v>21</v>
      </c>
      <c r="P2426">
        <f t="shared" si="114"/>
        <v>-200</v>
      </c>
      <c r="Q2426" s="11">
        <f>IF(P2426=0,0,IFERROR(Q2425+G2426*M2426*IF(E2426="FUTURE",VLOOKUP(MID(I2426,2,2),[1]Futures!$A$2:$B$12,2),1),G2426*M2426*IF(E2426="FUTURE",VLOOKUP(MID(I2426,2,2),[1]Futures!$A$2:$B$12,2),1)))</f>
        <v>-5840</v>
      </c>
      <c r="R2426" s="12">
        <f>IFERROR(Q2426/P2426/IF(E2426="FUTURE",VLOOKUP(MID(I2426,2,2),[1]Futures!$A$2:$B$12,2),1),"")</f>
        <v>29.2</v>
      </c>
      <c r="S2426" s="13" t="str">
        <f>IF(AND(H2426="TO CLOSE",P2426=0),-G2426*(M2426-R2425)*IF(E2426="FUTURE",VLOOKUP(MID(I2426,2,2),[1]Futures!$A$2:$B$12,2),1),"")</f>
        <v/>
      </c>
    </row>
    <row r="2427" spans="1:19" x14ac:dyDescent="0.2">
      <c r="A2427">
        <f>IF(AND(P2425=0,H2425="TO CLOSE"),IFERROR(A2425+1,1),IFERROR(A2425/1,1))</f>
        <v>791</v>
      </c>
      <c r="B2427" s="3">
        <v>44043</v>
      </c>
      <c r="C2427" s="3" t="str">
        <f t="shared" si="115"/>
        <v>Friday</v>
      </c>
      <c r="D2427" s="2">
        <v>0.45009259259259254</v>
      </c>
      <c r="E2427" t="s">
        <v>22</v>
      </c>
      <c r="F2427" t="s">
        <v>15</v>
      </c>
      <c r="G2427">
        <v>-100</v>
      </c>
      <c r="H2427" t="s">
        <v>20</v>
      </c>
      <c r="I2427" t="s">
        <v>23</v>
      </c>
      <c r="L2427" t="s">
        <v>22</v>
      </c>
      <c r="M2427">
        <v>29.350100000000001</v>
      </c>
      <c r="N2427">
        <v>29.350100000000001</v>
      </c>
      <c r="O2427" t="s">
        <v>24</v>
      </c>
      <c r="P2427">
        <f t="shared" si="114"/>
        <v>-300</v>
      </c>
      <c r="Q2427" s="11">
        <f>IF(P2427=0,0,IFERROR(Q2426+G2427*M2427*IF(E2427="FUTURE",VLOOKUP(MID(I2427,2,2),[1]Futures!$A$2:$B$12,2),1),G2427*M2427*IF(E2427="FUTURE",VLOOKUP(MID(I2427,2,2),[1]Futures!$A$2:$B$12,2),1)))</f>
        <v>-8775.01</v>
      </c>
      <c r="R2427" s="12">
        <f>IFERROR(Q2427/P2427/IF(E2427="FUTURE",VLOOKUP(MID(I2427,2,2),[1]Futures!$A$2:$B$12,2),1),"")</f>
        <v>29.250033333333334</v>
      </c>
      <c r="S2427" s="13" t="str">
        <f>IF(AND(H2427="TO CLOSE",P2427=0),-G2427*(M2427-R2426)*IF(E2427="FUTURE",VLOOKUP(MID(I2427,2,2),[1]Futures!$A$2:$B$12,2),1),"")</f>
        <v/>
      </c>
    </row>
    <row r="2428" spans="1:19" x14ac:dyDescent="0.2">
      <c r="A2428">
        <f t="shared" si="113"/>
        <v>791</v>
      </c>
      <c r="B2428" s="3">
        <v>44043</v>
      </c>
      <c r="C2428" s="3" t="str">
        <f t="shared" si="115"/>
        <v>Friday</v>
      </c>
      <c r="D2428" s="2">
        <v>0.45009259259259254</v>
      </c>
      <c r="E2428" t="s">
        <v>22</v>
      </c>
      <c r="F2428" t="s">
        <v>15</v>
      </c>
      <c r="G2428">
        <v>-100</v>
      </c>
      <c r="H2428" t="s">
        <v>20</v>
      </c>
      <c r="I2428" t="s">
        <v>23</v>
      </c>
      <c r="L2428" t="s">
        <v>22</v>
      </c>
      <c r="M2428">
        <v>29.355</v>
      </c>
      <c r="N2428">
        <v>29.355</v>
      </c>
      <c r="O2428" t="s">
        <v>24</v>
      </c>
      <c r="P2428">
        <f t="shared" si="114"/>
        <v>-400</v>
      </c>
      <c r="Q2428" s="11">
        <f>IF(P2428=0,0,IFERROR(Q2427+G2428*M2428*IF(E2428="FUTURE",VLOOKUP(MID(I2428,2,2),[1]Futures!$A$2:$B$12,2),1),G2428*M2428*IF(E2428="FUTURE",VLOOKUP(MID(I2428,2,2),[1]Futures!$A$2:$B$12,2),1)))</f>
        <v>-11710.51</v>
      </c>
      <c r="R2428" s="12">
        <f>IFERROR(Q2428/P2428/IF(E2428="FUTURE",VLOOKUP(MID(I2428,2,2),[1]Futures!$A$2:$B$12,2),1),"")</f>
        <v>29.276275000000002</v>
      </c>
      <c r="S2428" s="13" t="str">
        <f>IF(AND(H2428="TO CLOSE",P2428=0),-G2428*(M2428-R2427)*IF(E2428="FUTURE",VLOOKUP(MID(I2428,2,2),[1]Futures!$A$2:$B$12,2),1),"")</f>
        <v/>
      </c>
    </row>
    <row r="2429" spans="1:19" x14ac:dyDescent="0.2">
      <c r="A2429">
        <f t="shared" si="113"/>
        <v>791</v>
      </c>
      <c r="B2429" s="3">
        <v>44043</v>
      </c>
      <c r="C2429" s="3" t="str">
        <f t="shared" si="115"/>
        <v>Friday</v>
      </c>
      <c r="D2429" s="2">
        <v>0.47121527777777777</v>
      </c>
      <c r="E2429" t="s">
        <v>22</v>
      </c>
      <c r="F2429" t="s">
        <v>19</v>
      </c>
      <c r="G2429">
        <v>200</v>
      </c>
      <c r="H2429" t="s">
        <v>16</v>
      </c>
      <c r="I2429" t="s">
        <v>23</v>
      </c>
      <c r="L2429" t="s">
        <v>22</v>
      </c>
      <c r="M2429">
        <v>28.87</v>
      </c>
      <c r="N2429">
        <v>28.87</v>
      </c>
      <c r="O2429" t="s">
        <v>21</v>
      </c>
      <c r="P2429">
        <f t="shared" si="114"/>
        <v>-200</v>
      </c>
      <c r="Q2429" s="11">
        <f>IF(P2429=0,0,IFERROR(Q2428+G2429*M2429*IF(E2429="FUTURE",VLOOKUP(MID(I2429,2,2),[1]Futures!$A$2:$B$12,2),1),G2429*M2429*IF(E2429="FUTURE",VLOOKUP(MID(I2429,2,2),[1]Futures!$A$2:$B$12,2),1)))</f>
        <v>-5936.51</v>
      </c>
      <c r="R2429" s="12">
        <f>IFERROR(Q2429/P2429/IF(E2429="FUTURE",VLOOKUP(MID(I2429,2,2),[1]Futures!$A$2:$B$12,2),1),"")</f>
        <v>29.682550000000003</v>
      </c>
      <c r="S2429" s="13" t="str">
        <f>IF(AND(H2429="TO CLOSE",P2429=0),-G2429*(M2429-R2428)*IF(E2429="FUTURE",VLOOKUP(MID(I2429,2,2),[1]Futures!$A$2:$B$12,2),1),"")</f>
        <v/>
      </c>
    </row>
    <row r="2430" spans="1:19" x14ac:dyDescent="0.2">
      <c r="A2430">
        <f t="shared" si="113"/>
        <v>791</v>
      </c>
      <c r="B2430" s="3">
        <v>44043</v>
      </c>
      <c r="C2430" s="3" t="str">
        <f t="shared" si="115"/>
        <v>Friday</v>
      </c>
      <c r="D2430" s="2">
        <v>0.55839120370370365</v>
      </c>
      <c r="E2430" t="s">
        <v>22</v>
      </c>
      <c r="F2430" t="s">
        <v>15</v>
      </c>
      <c r="G2430">
        <v>-200</v>
      </c>
      <c r="H2430" t="s">
        <v>20</v>
      </c>
      <c r="I2430" t="s">
        <v>23</v>
      </c>
      <c r="L2430" t="s">
        <v>22</v>
      </c>
      <c r="M2430">
        <v>29.475000000000001</v>
      </c>
      <c r="N2430">
        <v>29.475000000000001</v>
      </c>
      <c r="O2430" t="s">
        <v>21</v>
      </c>
      <c r="P2430">
        <f t="shared" si="114"/>
        <v>-400</v>
      </c>
      <c r="Q2430" s="11">
        <f>IF(P2430=0,0,IFERROR(Q2429+G2430*M2430*IF(E2430="FUTURE",VLOOKUP(MID(I2430,2,2),[1]Futures!$A$2:$B$12,2),1),G2430*M2430*IF(E2430="FUTURE",VLOOKUP(MID(I2430,2,2),[1]Futures!$A$2:$B$12,2),1)))</f>
        <v>-11831.51</v>
      </c>
      <c r="R2430" s="12">
        <f>IFERROR(Q2430/P2430/IF(E2430="FUTURE",VLOOKUP(MID(I2430,2,2),[1]Futures!$A$2:$B$12,2),1),"")</f>
        <v>29.578775</v>
      </c>
      <c r="S2430" s="13" t="str">
        <f>IF(AND(H2430="TO CLOSE",P2430=0),-G2430*(M2430-R2429)*IF(E2430="FUTURE",VLOOKUP(MID(I2430,2,2),[1]Futures!$A$2:$B$12,2),1),"")</f>
        <v/>
      </c>
    </row>
    <row r="2431" spans="1:19" x14ac:dyDescent="0.2">
      <c r="A2431">
        <f t="shared" si="113"/>
        <v>791</v>
      </c>
      <c r="B2431" s="3">
        <v>44043</v>
      </c>
      <c r="C2431" s="3" t="str">
        <f t="shared" si="115"/>
        <v>Friday</v>
      </c>
      <c r="D2431" s="2">
        <v>0.61494212962962969</v>
      </c>
      <c r="E2431" t="s">
        <v>22</v>
      </c>
      <c r="F2431" t="s">
        <v>19</v>
      </c>
      <c r="G2431">
        <v>100</v>
      </c>
      <c r="H2431" t="s">
        <v>16</v>
      </c>
      <c r="I2431" t="s">
        <v>23</v>
      </c>
      <c r="L2431" t="s">
        <v>22</v>
      </c>
      <c r="M2431">
        <v>29.17</v>
      </c>
      <c r="N2431">
        <v>29.17</v>
      </c>
      <c r="O2431" t="s">
        <v>21</v>
      </c>
      <c r="P2431">
        <f t="shared" si="114"/>
        <v>-300</v>
      </c>
      <c r="Q2431" s="11">
        <f>IF(P2431=0,0,IFERROR(Q2430+G2431*M2431*IF(E2431="FUTURE",VLOOKUP(MID(I2431,2,2),[1]Futures!$A$2:$B$12,2),1),G2431*M2431*IF(E2431="FUTURE",VLOOKUP(MID(I2431,2,2),[1]Futures!$A$2:$B$12,2),1)))</f>
        <v>-8914.51</v>
      </c>
      <c r="R2431" s="12">
        <f>IFERROR(Q2431/P2431/IF(E2431="FUTURE",VLOOKUP(MID(I2431,2,2),[1]Futures!$A$2:$B$12,2),1),"")</f>
        <v>29.715033333333334</v>
      </c>
      <c r="S2431" s="13" t="str">
        <f>IF(AND(H2431="TO CLOSE",P2431=0),-G2431*(M2431-R2430)*IF(E2431="FUTURE",VLOOKUP(MID(I2431,2,2),[1]Futures!$A$2:$B$12,2),1),"")</f>
        <v/>
      </c>
    </row>
    <row r="2432" spans="1:19" x14ac:dyDescent="0.2">
      <c r="A2432">
        <f t="shared" si="113"/>
        <v>791</v>
      </c>
      <c r="B2432" s="3">
        <v>44043</v>
      </c>
      <c r="C2432" s="3" t="str">
        <f t="shared" si="115"/>
        <v>Friday</v>
      </c>
      <c r="D2432" s="2">
        <v>0.62081018518518516</v>
      </c>
      <c r="E2432" t="s">
        <v>22</v>
      </c>
      <c r="F2432" t="s">
        <v>19</v>
      </c>
      <c r="G2432">
        <v>100</v>
      </c>
      <c r="H2432" t="s">
        <v>16</v>
      </c>
      <c r="I2432" t="s">
        <v>23</v>
      </c>
      <c r="L2432" t="s">
        <v>22</v>
      </c>
      <c r="M2432">
        <v>29.08</v>
      </c>
      <c r="N2432">
        <v>29.08</v>
      </c>
      <c r="O2432" t="s">
        <v>21</v>
      </c>
      <c r="P2432">
        <f t="shared" si="114"/>
        <v>-200</v>
      </c>
      <c r="Q2432" s="11">
        <f>IF(P2432=0,0,IFERROR(Q2431+G2432*M2432*IF(E2432="FUTURE",VLOOKUP(MID(I2432,2,2),[1]Futures!$A$2:$B$12,2),1),G2432*M2432*IF(E2432="FUTURE",VLOOKUP(MID(I2432,2,2),[1]Futures!$A$2:$B$12,2),1)))</f>
        <v>-6006.51</v>
      </c>
      <c r="R2432" s="12">
        <f>IFERROR(Q2432/P2432/IF(E2432="FUTURE",VLOOKUP(MID(I2432,2,2),[1]Futures!$A$2:$B$12,2),1),"")</f>
        <v>30.032550000000001</v>
      </c>
      <c r="S2432" s="13" t="str">
        <f>IF(AND(H2432="TO CLOSE",P2432=0),-G2432*(M2432-R2431)*IF(E2432="FUTURE",VLOOKUP(MID(I2432,2,2),[1]Futures!$A$2:$B$12,2),1),"")</f>
        <v/>
      </c>
    </row>
    <row r="2433" spans="1:19" x14ac:dyDescent="0.2">
      <c r="A2433">
        <f t="shared" si="113"/>
        <v>791</v>
      </c>
      <c r="B2433" s="3">
        <v>44043</v>
      </c>
      <c r="C2433" s="3" t="str">
        <f t="shared" si="115"/>
        <v>Friday</v>
      </c>
      <c r="D2433" s="2">
        <v>0.62792824074074072</v>
      </c>
      <c r="E2433" t="s">
        <v>22</v>
      </c>
      <c r="F2433" t="s">
        <v>19</v>
      </c>
      <c r="G2433">
        <v>100</v>
      </c>
      <c r="H2433" t="s">
        <v>16</v>
      </c>
      <c r="I2433" t="s">
        <v>23</v>
      </c>
      <c r="L2433" t="s">
        <v>22</v>
      </c>
      <c r="M2433">
        <v>29.009899999999998</v>
      </c>
      <c r="N2433">
        <v>29.009899999999998</v>
      </c>
      <c r="O2433" t="s">
        <v>24</v>
      </c>
      <c r="P2433">
        <f t="shared" si="114"/>
        <v>-100</v>
      </c>
      <c r="Q2433" s="11">
        <f>IF(P2433=0,0,IFERROR(Q2432+G2433*M2433*IF(E2433="FUTURE",VLOOKUP(MID(I2433,2,2),[1]Futures!$A$2:$B$12,2),1),G2433*M2433*IF(E2433="FUTURE",VLOOKUP(MID(I2433,2,2),[1]Futures!$A$2:$B$12,2),1)))</f>
        <v>-3105.5200000000004</v>
      </c>
      <c r="R2433" s="12">
        <f>IFERROR(Q2433/P2433/IF(E2433="FUTURE",VLOOKUP(MID(I2433,2,2),[1]Futures!$A$2:$B$12,2),1),"")</f>
        <v>31.055200000000003</v>
      </c>
      <c r="S2433" s="13" t="str">
        <f>IF(AND(H2433="TO CLOSE",P2433=0),-G2433*(M2433-R2432)*IF(E2433="FUTURE",VLOOKUP(MID(I2433,2,2),[1]Futures!$A$2:$B$12,2),1),"")</f>
        <v/>
      </c>
    </row>
    <row r="2434" spans="1:19" x14ac:dyDescent="0.2">
      <c r="A2434">
        <f t="shared" ref="A2434:A2497" si="116">IF(AND(P2433=0,H2433="TO CLOSE"),IFERROR(A2433+1,1),IFERROR(A2433/1,1))</f>
        <v>791</v>
      </c>
      <c r="B2434" s="3">
        <v>44043</v>
      </c>
      <c r="C2434" s="3" t="str">
        <f t="shared" si="115"/>
        <v>Friday</v>
      </c>
      <c r="D2434" s="2">
        <v>0.63839120370370372</v>
      </c>
      <c r="E2434" t="s">
        <v>22</v>
      </c>
      <c r="F2434" t="s">
        <v>19</v>
      </c>
      <c r="G2434">
        <v>100</v>
      </c>
      <c r="H2434" t="s">
        <v>16</v>
      </c>
      <c r="I2434" t="s">
        <v>23</v>
      </c>
      <c r="L2434" t="s">
        <v>22</v>
      </c>
      <c r="M2434">
        <v>28.86</v>
      </c>
      <c r="N2434">
        <v>28.86</v>
      </c>
      <c r="O2434" t="s">
        <v>21</v>
      </c>
      <c r="P2434">
        <f t="shared" si="114"/>
        <v>0</v>
      </c>
      <c r="Q2434" s="11">
        <f>IF(P2434=0,0,IFERROR(Q2433+G2434*M2434*IF(E2434="FUTURE",VLOOKUP(MID(I2434,2,2),[1]Futures!$A$2:$B$12,2),1),G2434*M2434*IF(E2434="FUTURE",VLOOKUP(MID(I2434,2,2),[1]Futures!$A$2:$B$12,2),1)))</f>
        <v>0</v>
      </c>
      <c r="R2434" s="12" t="str">
        <f>IFERROR(Q2434/P2434/IF(E2434="FUTURE",VLOOKUP(MID(I2434,2,2),[1]Futures!$A$2:$B$12,2),1),"")</f>
        <v/>
      </c>
      <c r="S2434" s="13">
        <f>IF(AND(H2434="TO CLOSE",P2434=0),-G2434*(M2434-R2433)*IF(E2434="FUTURE",VLOOKUP(MID(I2434,2,2),[1]Futures!$A$2:$B$12,2),1),"")</f>
        <v>219.52000000000032</v>
      </c>
    </row>
    <row r="2435" spans="1:19" x14ac:dyDescent="0.2">
      <c r="A2435">
        <f t="shared" si="116"/>
        <v>792</v>
      </c>
      <c r="B2435" s="3">
        <v>44046</v>
      </c>
      <c r="C2435" s="3" t="str">
        <f t="shared" si="115"/>
        <v>Monday</v>
      </c>
      <c r="D2435" s="2">
        <v>0.41016203703703707</v>
      </c>
      <c r="E2435" t="s">
        <v>14</v>
      </c>
      <c r="F2435" t="s">
        <v>19</v>
      </c>
      <c r="G2435">
        <v>1</v>
      </c>
      <c r="H2435" t="s">
        <v>20</v>
      </c>
      <c r="I2435" t="s">
        <v>81</v>
      </c>
      <c r="J2435" s="1">
        <v>44094</v>
      </c>
      <c r="L2435" t="s">
        <v>14</v>
      </c>
      <c r="M2435">
        <v>40.380000000000003</v>
      </c>
      <c r="N2435">
        <v>40.380000000000003</v>
      </c>
      <c r="O2435" t="s">
        <v>24</v>
      </c>
      <c r="P2435">
        <f t="shared" ref="P2435:P2498" si="117">IF(H2435="TO OPEN",IFERROR(P2434+G2435,0+G2435),IFERROR(P2434+G2435,0+G2435))</f>
        <v>1</v>
      </c>
      <c r="Q2435" s="11">
        <f>IF(P2435=0,0,IFERROR(Q2434+G2435*M2435*IF(E2435="FUTURE",VLOOKUP(MID(I2435,2,2),[1]Futures!$A$2:$B$12,2),1),G2435*M2435*IF(E2435="FUTURE",VLOOKUP(MID(I2435,2,2),[1]Futures!$A$2:$B$12,2),1)))</f>
        <v>40380</v>
      </c>
      <c r="R2435" s="12">
        <f>IFERROR(Q2435/P2435/IF(E2435="FUTURE",VLOOKUP(MID(I2435,2,2),[1]Futures!$A$2:$B$12,2),1),"")</f>
        <v>40.380000000000003</v>
      </c>
      <c r="S2435" s="13" t="str">
        <f>IF(AND(H2435="TO CLOSE",P2435=0),-G2435*(M2435-R2434)*IF(E2435="FUTURE",VLOOKUP(MID(I2435,2,2),[1]Futures!$A$2:$B$12,2),1),"")</f>
        <v/>
      </c>
    </row>
    <row r="2436" spans="1:19" x14ac:dyDescent="0.2">
      <c r="A2436">
        <f t="shared" si="116"/>
        <v>792</v>
      </c>
      <c r="B2436" s="3">
        <v>44046</v>
      </c>
      <c r="C2436" s="3" t="str">
        <f t="shared" si="115"/>
        <v>Monday</v>
      </c>
      <c r="D2436" s="2">
        <v>0.41879629629629633</v>
      </c>
      <c r="E2436" t="s">
        <v>14</v>
      </c>
      <c r="F2436" t="s">
        <v>15</v>
      </c>
      <c r="G2436">
        <v>-1</v>
      </c>
      <c r="H2436" t="s">
        <v>16</v>
      </c>
      <c r="I2436" t="s">
        <v>81</v>
      </c>
      <c r="J2436" s="1">
        <v>44094</v>
      </c>
      <c r="L2436" t="s">
        <v>14</v>
      </c>
      <c r="M2436">
        <v>40.69</v>
      </c>
      <c r="N2436">
        <v>40.69</v>
      </c>
      <c r="O2436" t="s">
        <v>21</v>
      </c>
      <c r="P2436">
        <f t="shared" si="117"/>
        <v>0</v>
      </c>
      <c r="Q2436" s="11">
        <f>IF(P2436=0,0,IFERROR(Q2435+G2436*M2436*IF(E2436="FUTURE",VLOOKUP(MID(I2436,2,2),[1]Futures!$A$2:$B$12,2),1),G2436*M2436*IF(E2436="FUTURE",VLOOKUP(MID(I2436,2,2),[1]Futures!$A$2:$B$12,2),1)))</f>
        <v>0</v>
      </c>
      <c r="R2436" s="12" t="str">
        <f>IFERROR(Q2436/P2436/IF(E2436="FUTURE",VLOOKUP(MID(I2436,2,2),[1]Futures!$A$2:$B$12,2),1),"")</f>
        <v/>
      </c>
      <c r="S2436" s="13">
        <f>IF(AND(H2436="TO CLOSE",P2436=0),-G2436*(M2436-R2435)*IF(E2436="FUTURE",VLOOKUP(MID(I2436,2,2),[1]Futures!$A$2:$B$12,2),1),"")</f>
        <v>309.99999999999517</v>
      </c>
    </row>
    <row r="2437" spans="1:19" x14ac:dyDescent="0.2">
      <c r="A2437">
        <f t="shared" si="116"/>
        <v>793</v>
      </c>
      <c r="B2437" s="3">
        <v>44046</v>
      </c>
      <c r="C2437" s="3" t="str">
        <f t="shared" si="115"/>
        <v>Monday</v>
      </c>
      <c r="D2437" s="2">
        <v>0.48326388888888888</v>
      </c>
      <c r="E2437" t="s">
        <v>14</v>
      </c>
      <c r="F2437" t="s">
        <v>15</v>
      </c>
      <c r="G2437">
        <v>-1</v>
      </c>
      <c r="H2437" t="s">
        <v>20</v>
      </c>
      <c r="I2437" t="s">
        <v>81</v>
      </c>
      <c r="J2437" s="1">
        <v>44094</v>
      </c>
      <c r="L2437" t="s">
        <v>14</v>
      </c>
      <c r="M2437">
        <v>41.09</v>
      </c>
      <c r="N2437">
        <v>41.09</v>
      </c>
      <c r="O2437" t="s">
        <v>21</v>
      </c>
      <c r="P2437">
        <f t="shared" si="117"/>
        <v>-1</v>
      </c>
      <c r="Q2437" s="11">
        <f>IF(P2437=0,0,IFERROR(Q2436+G2437*M2437*IF(E2437="FUTURE",VLOOKUP(MID(I2437,2,2),[1]Futures!$A$2:$B$12,2),1),G2437*M2437*IF(E2437="FUTURE",VLOOKUP(MID(I2437,2,2),[1]Futures!$A$2:$B$12,2),1)))</f>
        <v>-41090</v>
      </c>
      <c r="R2437" s="12">
        <f>IFERROR(Q2437/P2437/IF(E2437="FUTURE",VLOOKUP(MID(I2437,2,2),[1]Futures!$A$2:$B$12,2),1),"")</f>
        <v>41.09</v>
      </c>
      <c r="S2437" s="13" t="str">
        <f>IF(AND(H2437="TO CLOSE",P2437=0),-G2437*(M2437-R2436)*IF(E2437="FUTURE",VLOOKUP(MID(I2437,2,2),[1]Futures!$A$2:$B$12,2),1),"")</f>
        <v/>
      </c>
    </row>
    <row r="2438" spans="1:19" x14ac:dyDescent="0.2">
      <c r="A2438">
        <f t="shared" si="116"/>
        <v>793</v>
      </c>
      <c r="B2438" s="3">
        <v>44046</v>
      </c>
      <c r="C2438" s="3" t="str">
        <f t="shared" si="115"/>
        <v>Monday</v>
      </c>
      <c r="D2438" s="2">
        <v>0.49520833333333331</v>
      </c>
      <c r="E2438" t="s">
        <v>14</v>
      </c>
      <c r="F2438" t="s">
        <v>19</v>
      </c>
      <c r="G2438">
        <v>1</v>
      </c>
      <c r="H2438" t="s">
        <v>16</v>
      </c>
      <c r="I2438" t="s">
        <v>81</v>
      </c>
      <c r="J2438" s="1">
        <v>44094</v>
      </c>
      <c r="L2438" t="s">
        <v>14</v>
      </c>
      <c r="M2438">
        <v>41.04</v>
      </c>
      <c r="N2438">
        <v>41.04</v>
      </c>
      <c r="O2438" t="s">
        <v>21</v>
      </c>
      <c r="P2438">
        <f t="shared" si="117"/>
        <v>0</v>
      </c>
      <c r="Q2438" s="11">
        <f>IF(P2438=0,0,IFERROR(Q2437+G2438*M2438*IF(E2438="FUTURE",VLOOKUP(MID(I2438,2,2),[1]Futures!$A$2:$B$12,2),1),G2438*M2438*IF(E2438="FUTURE",VLOOKUP(MID(I2438,2,2),[1]Futures!$A$2:$B$12,2),1)))</f>
        <v>0</v>
      </c>
      <c r="R2438" s="12" t="str">
        <f>IFERROR(Q2438/P2438/IF(E2438="FUTURE",VLOOKUP(MID(I2438,2,2),[1]Futures!$A$2:$B$12,2),1),"")</f>
        <v/>
      </c>
      <c r="S2438" s="13">
        <f>IF(AND(H2438="TO CLOSE",P2438=0),-G2438*(M2438-R2437)*IF(E2438="FUTURE",VLOOKUP(MID(I2438,2,2),[1]Futures!$A$2:$B$12,2),1),"")</f>
        <v>50.000000000004263</v>
      </c>
    </row>
    <row r="2439" spans="1:19" x14ac:dyDescent="0.2">
      <c r="A2439">
        <f t="shared" si="116"/>
        <v>794</v>
      </c>
      <c r="B2439" s="3">
        <v>44046</v>
      </c>
      <c r="C2439" s="3" t="str">
        <f t="shared" si="115"/>
        <v>Monday</v>
      </c>
      <c r="D2439" s="2">
        <v>0.44280092592592596</v>
      </c>
      <c r="E2439" t="s">
        <v>14</v>
      </c>
      <c r="F2439" t="s">
        <v>15</v>
      </c>
      <c r="G2439">
        <v>-1</v>
      </c>
      <c r="H2439" t="s">
        <v>20</v>
      </c>
      <c r="I2439" t="s">
        <v>79</v>
      </c>
      <c r="J2439" s="1">
        <v>44094</v>
      </c>
      <c r="L2439" t="s">
        <v>14</v>
      </c>
      <c r="M2439">
        <v>3287.5</v>
      </c>
      <c r="N2439">
        <v>3287.5</v>
      </c>
      <c r="O2439" t="s">
        <v>21</v>
      </c>
      <c r="P2439">
        <f t="shared" si="117"/>
        <v>-1</v>
      </c>
      <c r="Q2439" s="11">
        <f>IF(P2439=0,0,IFERROR(Q2438+G2439*M2439*IF(E2439="FUTURE",VLOOKUP(MID(I2439,2,2),[1]Futures!$A$2:$B$12,2),1),G2439*M2439*IF(E2439="FUTURE",VLOOKUP(MID(I2439,2,2),[1]Futures!$A$2:$B$12,2),1)))</f>
        <v>-164375</v>
      </c>
      <c r="R2439" s="12">
        <f>IFERROR(Q2439/P2439/IF(E2439="FUTURE",VLOOKUP(MID(I2439,2,2),[1]Futures!$A$2:$B$12,2),1),"")</f>
        <v>3287.5</v>
      </c>
      <c r="S2439" s="13" t="str">
        <f>IF(AND(H2439="TO CLOSE",P2439=0),-G2439*(M2439-R2438)*IF(E2439="FUTURE",VLOOKUP(MID(I2439,2,2),[1]Futures!$A$2:$B$12,2),1),"")</f>
        <v/>
      </c>
    </row>
    <row r="2440" spans="1:19" x14ac:dyDescent="0.2">
      <c r="A2440">
        <f t="shared" si="116"/>
        <v>794</v>
      </c>
      <c r="B2440" s="3">
        <v>44046</v>
      </c>
      <c r="C2440" s="3" t="str">
        <f t="shared" si="115"/>
        <v>Monday</v>
      </c>
      <c r="D2440" s="2">
        <v>0.4484143518518518</v>
      </c>
      <c r="E2440" t="s">
        <v>14</v>
      </c>
      <c r="F2440" t="s">
        <v>19</v>
      </c>
      <c r="G2440">
        <v>1</v>
      </c>
      <c r="H2440" t="s">
        <v>16</v>
      </c>
      <c r="I2440" t="s">
        <v>79</v>
      </c>
      <c r="J2440" s="1">
        <v>44094</v>
      </c>
      <c r="L2440" t="s">
        <v>14</v>
      </c>
      <c r="M2440">
        <v>3282.75</v>
      </c>
      <c r="N2440">
        <v>3282.75</v>
      </c>
      <c r="O2440" t="s">
        <v>21</v>
      </c>
      <c r="P2440">
        <f t="shared" si="117"/>
        <v>0</v>
      </c>
      <c r="Q2440" s="11">
        <f>IF(P2440=0,0,IFERROR(Q2439+G2440*M2440*IF(E2440="FUTURE",VLOOKUP(MID(I2440,2,2),[1]Futures!$A$2:$B$12,2),1),G2440*M2440*IF(E2440="FUTURE",VLOOKUP(MID(I2440,2,2),[1]Futures!$A$2:$B$12,2),1)))</f>
        <v>0</v>
      </c>
      <c r="R2440" s="12" t="str">
        <f>IFERROR(Q2440/P2440/IF(E2440="FUTURE",VLOOKUP(MID(I2440,2,2),[1]Futures!$A$2:$B$12,2),1),"")</f>
        <v/>
      </c>
      <c r="S2440" s="13">
        <f>IF(AND(H2440="TO CLOSE",P2440=0),-G2440*(M2440-R2439)*IF(E2440="FUTURE",VLOOKUP(MID(I2440,2,2),[1]Futures!$A$2:$B$12,2),1),"")</f>
        <v>237.5</v>
      </c>
    </row>
    <row r="2441" spans="1:19" x14ac:dyDescent="0.2">
      <c r="A2441">
        <f t="shared" si="116"/>
        <v>795</v>
      </c>
      <c r="B2441" s="3">
        <v>44046</v>
      </c>
      <c r="C2441" s="3" t="str">
        <f t="shared" si="115"/>
        <v>Monday</v>
      </c>
      <c r="D2441" s="2">
        <v>0.50424768518518526</v>
      </c>
      <c r="E2441" t="s">
        <v>14</v>
      </c>
      <c r="F2441" t="s">
        <v>15</v>
      </c>
      <c r="G2441">
        <v>-6</v>
      </c>
      <c r="H2441" t="s">
        <v>20</v>
      </c>
      <c r="I2441" t="s">
        <v>80</v>
      </c>
      <c r="J2441" s="1">
        <v>44094</v>
      </c>
      <c r="L2441" t="s">
        <v>14</v>
      </c>
      <c r="M2441">
        <v>3289</v>
      </c>
      <c r="N2441">
        <v>3289</v>
      </c>
      <c r="O2441" t="s">
        <v>21</v>
      </c>
      <c r="P2441">
        <f t="shared" si="117"/>
        <v>-6</v>
      </c>
      <c r="Q2441" s="11">
        <f>IF(P2441=0,0,IFERROR(Q2440+G2441*M2441*IF(E2441="FUTURE",VLOOKUP(MID(I2441,2,2),[1]Futures!$A$2:$B$12,2),1),G2441*M2441*IF(E2441="FUTURE",VLOOKUP(MID(I2441,2,2),[1]Futures!$A$2:$B$12,2),1)))</f>
        <v>-98670</v>
      </c>
      <c r="R2441" s="12">
        <f>IFERROR(Q2441/P2441/IF(E2441="FUTURE",VLOOKUP(MID(I2441,2,2),[1]Futures!$A$2:$B$12,2),1),"")</f>
        <v>3289</v>
      </c>
      <c r="S2441" s="13" t="str">
        <f>IF(AND(H2441="TO CLOSE",P2441=0),-G2441*(M2441-R2440)*IF(E2441="FUTURE",VLOOKUP(MID(I2441,2,2),[1]Futures!$A$2:$B$12,2),1),"")</f>
        <v/>
      </c>
    </row>
    <row r="2442" spans="1:19" x14ac:dyDescent="0.2">
      <c r="A2442">
        <f t="shared" si="116"/>
        <v>795</v>
      </c>
      <c r="B2442" s="3">
        <v>44046</v>
      </c>
      <c r="C2442" s="3" t="str">
        <f t="shared" si="115"/>
        <v>Monday</v>
      </c>
      <c r="D2442" s="2">
        <v>0.52804398148148146</v>
      </c>
      <c r="E2442" t="s">
        <v>14</v>
      </c>
      <c r="F2442" t="s">
        <v>19</v>
      </c>
      <c r="G2442">
        <v>3</v>
      </c>
      <c r="H2442" t="s">
        <v>16</v>
      </c>
      <c r="I2442" t="s">
        <v>80</v>
      </c>
      <c r="J2442" s="1">
        <v>44094</v>
      </c>
      <c r="L2442" t="s">
        <v>14</v>
      </c>
      <c r="M2442">
        <v>3288</v>
      </c>
      <c r="N2442">
        <v>3288</v>
      </c>
      <c r="O2442" t="s">
        <v>21</v>
      </c>
      <c r="P2442">
        <f t="shared" si="117"/>
        <v>-3</v>
      </c>
      <c r="Q2442" s="11">
        <f>IF(P2442=0,0,IFERROR(Q2441+G2442*M2442*IF(E2442="FUTURE",VLOOKUP(MID(I2442,2,2),[1]Futures!$A$2:$B$12,2),1),G2442*M2442*IF(E2442="FUTURE",VLOOKUP(MID(I2442,2,2),[1]Futures!$A$2:$B$12,2),1)))</f>
        <v>-49350</v>
      </c>
      <c r="R2442" s="12">
        <f>IFERROR(Q2442/P2442/IF(E2442="FUTURE",VLOOKUP(MID(I2442,2,2),[1]Futures!$A$2:$B$12,2),1),"")</f>
        <v>3290</v>
      </c>
      <c r="S2442" s="13" t="str">
        <f>IF(AND(H2442="TO CLOSE",P2442=0),-G2442*(M2442-R2441)*IF(E2442="FUTURE",VLOOKUP(MID(I2442,2,2),[1]Futures!$A$2:$B$12,2),1),"")</f>
        <v/>
      </c>
    </row>
    <row r="2443" spans="1:19" x14ac:dyDescent="0.2">
      <c r="A2443">
        <f t="shared" si="116"/>
        <v>795</v>
      </c>
      <c r="B2443" s="3">
        <v>44046</v>
      </c>
      <c r="C2443" s="3" t="str">
        <f t="shared" si="115"/>
        <v>Monday</v>
      </c>
      <c r="D2443" s="2">
        <v>0.52973379629629636</v>
      </c>
      <c r="E2443" t="s">
        <v>14</v>
      </c>
      <c r="F2443" t="s">
        <v>19</v>
      </c>
      <c r="G2443">
        <v>3</v>
      </c>
      <c r="H2443" t="s">
        <v>16</v>
      </c>
      <c r="I2443" t="s">
        <v>80</v>
      </c>
      <c r="J2443" s="1">
        <v>44094</v>
      </c>
      <c r="L2443" t="s">
        <v>14</v>
      </c>
      <c r="M2443">
        <v>3288.5</v>
      </c>
      <c r="N2443">
        <v>3288.5</v>
      </c>
      <c r="O2443" t="s">
        <v>21</v>
      </c>
      <c r="P2443">
        <f t="shared" si="117"/>
        <v>0</v>
      </c>
      <c r="Q2443" s="11">
        <f>IF(P2443=0,0,IFERROR(Q2442+G2443*M2443*IF(E2443="FUTURE",VLOOKUP(MID(I2443,2,2),[1]Futures!$A$2:$B$12,2),1),G2443*M2443*IF(E2443="FUTURE",VLOOKUP(MID(I2443,2,2),[1]Futures!$A$2:$B$12,2),1)))</f>
        <v>0</v>
      </c>
      <c r="R2443" s="12" t="str">
        <f>IFERROR(Q2443/P2443/IF(E2443="FUTURE",VLOOKUP(MID(I2443,2,2),[1]Futures!$A$2:$B$12,2),1),"")</f>
        <v/>
      </c>
      <c r="S2443" s="13">
        <f>IF(AND(H2443="TO CLOSE",P2443=0),-G2443*(M2443-R2442)*IF(E2443="FUTURE",VLOOKUP(MID(I2443,2,2),[1]Futures!$A$2:$B$12,2),1),"")</f>
        <v>22.5</v>
      </c>
    </row>
    <row r="2444" spans="1:19" x14ac:dyDescent="0.2">
      <c r="A2444">
        <f t="shared" si="116"/>
        <v>796</v>
      </c>
      <c r="B2444" s="3">
        <v>44047</v>
      </c>
      <c r="C2444" s="3" t="str">
        <f t="shared" si="115"/>
        <v>Tuesday</v>
      </c>
      <c r="D2444" s="2">
        <v>0.43858796296296299</v>
      </c>
      <c r="E2444" t="s">
        <v>14</v>
      </c>
      <c r="F2444" t="s">
        <v>15</v>
      </c>
      <c r="G2444">
        <v>-1</v>
      </c>
      <c r="H2444" t="s">
        <v>20</v>
      </c>
      <c r="I2444" t="s">
        <v>81</v>
      </c>
      <c r="J2444" s="1">
        <v>44094</v>
      </c>
      <c r="L2444" t="s">
        <v>14</v>
      </c>
      <c r="M2444">
        <v>41.02</v>
      </c>
      <c r="N2444">
        <v>41.02</v>
      </c>
      <c r="O2444" t="s">
        <v>21</v>
      </c>
      <c r="P2444">
        <f t="shared" si="117"/>
        <v>-1</v>
      </c>
      <c r="Q2444" s="11">
        <f>IF(P2444=0,0,IFERROR(Q2443+G2444*M2444*IF(E2444="FUTURE",VLOOKUP(MID(I2444,2,2),[1]Futures!$A$2:$B$12,2),1),G2444*M2444*IF(E2444="FUTURE",VLOOKUP(MID(I2444,2,2),[1]Futures!$A$2:$B$12,2),1)))</f>
        <v>-41020</v>
      </c>
      <c r="R2444" s="12">
        <f>IFERROR(Q2444/P2444/IF(E2444="FUTURE",VLOOKUP(MID(I2444,2,2),[1]Futures!$A$2:$B$12,2),1),"")</f>
        <v>41.02</v>
      </c>
      <c r="S2444" s="13" t="str">
        <f>IF(AND(H2444="TO CLOSE",P2444=0),-G2444*(M2444-R2443)*IF(E2444="FUTURE",VLOOKUP(MID(I2444,2,2),[1]Futures!$A$2:$B$12,2),1),"")</f>
        <v/>
      </c>
    </row>
    <row r="2445" spans="1:19" x14ac:dyDescent="0.2">
      <c r="A2445">
        <f t="shared" si="116"/>
        <v>796</v>
      </c>
      <c r="B2445" s="3">
        <v>44047</v>
      </c>
      <c r="C2445" s="3" t="str">
        <f t="shared" si="115"/>
        <v>Tuesday</v>
      </c>
      <c r="D2445" s="2">
        <v>0.44069444444444444</v>
      </c>
      <c r="E2445" t="s">
        <v>14</v>
      </c>
      <c r="F2445" t="s">
        <v>19</v>
      </c>
      <c r="G2445">
        <v>1</v>
      </c>
      <c r="H2445" t="s">
        <v>16</v>
      </c>
      <c r="I2445" t="s">
        <v>81</v>
      </c>
      <c r="J2445" s="1">
        <v>44094</v>
      </c>
      <c r="L2445" t="s">
        <v>14</v>
      </c>
      <c r="M2445">
        <v>40.99</v>
      </c>
      <c r="N2445">
        <v>40.99</v>
      </c>
      <c r="O2445" t="s">
        <v>21</v>
      </c>
      <c r="P2445">
        <f t="shared" si="117"/>
        <v>0</v>
      </c>
      <c r="Q2445" s="11">
        <f>IF(P2445=0,0,IFERROR(Q2444+G2445*M2445*IF(E2445="FUTURE",VLOOKUP(MID(I2445,2,2),[1]Futures!$A$2:$B$12,2),1),G2445*M2445*IF(E2445="FUTURE",VLOOKUP(MID(I2445,2,2),[1]Futures!$A$2:$B$12,2),1)))</f>
        <v>0</v>
      </c>
      <c r="R2445" s="12" t="str">
        <f>IFERROR(Q2445/P2445/IF(E2445="FUTURE",VLOOKUP(MID(I2445,2,2),[1]Futures!$A$2:$B$12,2),1),"")</f>
        <v/>
      </c>
      <c r="S2445" s="13">
        <f>IF(AND(H2445="TO CLOSE",P2445=0),-G2445*(M2445-R2444)*IF(E2445="FUTURE",VLOOKUP(MID(I2445,2,2),[1]Futures!$A$2:$B$12,2),1),"")</f>
        <v>30.000000000001137</v>
      </c>
    </row>
    <row r="2446" spans="1:19" x14ac:dyDescent="0.2">
      <c r="A2446">
        <f t="shared" si="116"/>
        <v>797</v>
      </c>
      <c r="B2446" s="3">
        <v>44047</v>
      </c>
      <c r="C2446" s="3" t="str">
        <f t="shared" si="115"/>
        <v>Tuesday</v>
      </c>
      <c r="D2446" s="2">
        <v>0.46197916666666666</v>
      </c>
      <c r="E2446" t="s">
        <v>14</v>
      </c>
      <c r="F2446" t="s">
        <v>15</v>
      </c>
      <c r="G2446">
        <v>-1</v>
      </c>
      <c r="H2446" t="s">
        <v>20</v>
      </c>
      <c r="I2446" t="s">
        <v>81</v>
      </c>
      <c r="J2446" s="1">
        <v>44094</v>
      </c>
      <c r="L2446" t="s">
        <v>14</v>
      </c>
      <c r="M2446">
        <v>41.34</v>
      </c>
      <c r="N2446">
        <v>41.34</v>
      </c>
      <c r="O2446" t="s">
        <v>21</v>
      </c>
      <c r="P2446">
        <f t="shared" si="117"/>
        <v>-1</v>
      </c>
      <c r="Q2446" s="11">
        <f>IF(P2446=0,0,IFERROR(Q2445+G2446*M2446*IF(E2446="FUTURE",VLOOKUP(MID(I2446,2,2),[1]Futures!$A$2:$B$12,2),1),G2446*M2446*IF(E2446="FUTURE",VLOOKUP(MID(I2446,2,2),[1]Futures!$A$2:$B$12,2),1)))</f>
        <v>-41340</v>
      </c>
      <c r="R2446" s="12">
        <f>IFERROR(Q2446/P2446/IF(E2446="FUTURE",VLOOKUP(MID(I2446,2,2),[1]Futures!$A$2:$B$12,2),1),"")</f>
        <v>41.34</v>
      </c>
      <c r="S2446" s="13" t="str">
        <f>IF(AND(H2446="TO CLOSE",P2446=0),-G2446*(M2446-R2445)*IF(E2446="FUTURE",VLOOKUP(MID(I2446,2,2),[1]Futures!$A$2:$B$12,2),1),"")</f>
        <v/>
      </c>
    </row>
    <row r="2447" spans="1:19" x14ac:dyDescent="0.2">
      <c r="A2447">
        <f t="shared" si="116"/>
        <v>797</v>
      </c>
      <c r="B2447" s="3">
        <v>44047</v>
      </c>
      <c r="C2447" s="3" t="str">
        <f t="shared" si="115"/>
        <v>Tuesday</v>
      </c>
      <c r="D2447" s="2">
        <v>0.47770833333333335</v>
      </c>
      <c r="E2447" t="s">
        <v>14</v>
      </c>
      <c r="F2447" t="s">
        <v>15</v>
      </c>
      <c r="G2447">
        <v>-1</v>
      </c>
      <c r="H2447" t="s">
        <v>20</v>
      </c>
      <c r="I2447" t="s">
        <v>81</v>
      </c>
      <c r="J2447" s="1">
        <v>44094</v>
      </c>
      <c r="L2447" t="s">
        <v>14</v>
      </c>
      <c r="M2447">
        <v>41.46</v>
      </c>
      <c r="N2447">
        <v>41.46</v>
      </c>
      <c r="O2447" t="s">
        <v>21</v>
      </c>
      <c r="P2447">
        <f t="shared" si="117"/>
        <v>-2</v>
      </c>
      <c r="Q2447" s="11">
        <f>IF(P2447=0,0,IFERROR(Q2446+G2447*M2447*IF(E2447="FUTURE",VLOOKUP(MID(I2447,2,2),[1]Futures!$A$2:$B$12,2),1),G2447*M2447*IF(E2447="FUTURE",VLOOKUP(MID(I2447,2,2),[1]Futures!$A$2:$B$12,2),1)))</f>
        <v>-82800</v>
      </c>
      <c r="R2447" s="12">
        <f>IFERROR(Q2447/P2447/IF(E2447="FUTURE",VLOOKUP(MID(I2447,2,2),[1]Futures!$A$2:$B$12,2),1),"")</f>
        <v>41.4</v>
      </c>
      <c r="S2447" s="13" t="str">
        <f>IF(AND(H2447="TO CLOSE",P2447=0),-G2447*(M2447-R2446)*IF(E2447="FUTURE",VLOOKUP(MID(I2447,2,2),[1]Futures!$A$2:$B$12,2),1),"")</f>
        <v/>
      </c>
    </row>
    <row r="2448" spans="1:19" x14ac:dyDescent="0.2">
      <c r="A2448">
        <f t="shared" si="116"/>
        <v>797</v>
      </c>
      <c r="B2448" s="3">
        <v>44047</v>
      </c>
      <c r="C2448" s="3" t="str">
        <f t="shared" si="115"/>
        <v>Tuesday</v>
      </c>
      <c r="D2448" s="2">
        <v>0.54609953703703706</v>
      </c>
      <c r="E2448" t="s">
        <v>14</v>
      </c>
      <c r="F2448" t="s">
        <v>19</v>
      </c>
      <c r="G2448">
        <v>1</v>
      </c>
      <c r="H2448" t="s">
        <v>16</v>
      </c>
      <c r="I2448" t="s">
        <v>81</v>
      </c>
      <c r="J2448" s="1">
        <v>44094</v>
      </c>
      <c r="L2448" t="s">
        <v>14</v>
      </c>
      <c r="M2448">
        <v>41.4</v>
      </c>
      <c r="N2448">
        <v>41.4</v>
      </c>
      <c r="O2448" t="s">
        <v>21</v>
      </c>
      <c r="P2448">
        <f t="shared" si="117"/>
        <v>-1</v>
      </c>
      <c r="Q2448" s="11">
        <f>IF(P2448=0,0,IFERROR(Q2447+G2448*M2448*IF(E2448="FUTURE",VLOOKUP(MID(I2448,2,2),[1]Futures!$A$2:$B$12,2),1),G2448*M2448*IF(E2448="FUTURE",VLOOKUP(MID(I2448,2,2),[1]Futures!$A$2:$B$12,2),1)))</f>
        <v>-41400</v>
      </c>
      <c r="R2448" s="12">
        <f>IFERROR(Q2448/P2448/IF(E2448="FUTURE",VLOOKUP(MID(I2448,2,2),[1]Futures!$A$2:$B$12,2),1),"")</f>
        <v>41.4</v>
      </c>
      <c r="S2448" s="13" t="str">
        <f>IF(AND(H2448="TO CLOSE",P2448=0),-G2448*(M2448-R2447)*IF(E2448="FUTURE",VLOOKUP(MID(I2448,2,2),[1]Futures!$A$2:$B$12,2),1),"")</f>
        <v/>
      </c>
    </row>
    <row r="2449" spans="1:19" x14ac:dyDescent="0.2">
      <c r="A2449">
        <f t="shared" si="116"/>
        <v>797</v>
      </c>
      <c r="B2449" s="3">
        <v>44047</v>
      </c>
      <c r="C2449" s="3" t="str">
        <f t="shared" si="115"/>
        <v>Tuesday</v>
      </c>
      <c r="D2449" s="2">
        <v>0.57324074074074072</v>
      </c>
      <c r="E2449" t="s">
        <v>14</v>
      </c>
      <c r="F2449" t="s">
        <v>15</v>
      </c>
      <c r="G2449">
        <v>-1</v>
      </c>
      <c r="H2449" t="s">
        <v>20</v>
      </c>
      <c r="I2449" t="s">
        <v>81</v>
      </c>
      <c r="J2449" s="1">
        <v>44094</v>
      </c>
      <c r="L2449" t="s">
        <v>14</v>
      </c>
      <c r="M2449">
        <v>42.02</v>
      </c>
      <c r="N2449">
        <v>42.02</v>
      </c>
      <c r="O2449" t="s">
        <v>21</v>
      </c>
      <c r="P2449">
        <f t="shared" si="117"/>
        <v>-2</v>
      </c>
      <c r="Q2449" s="11">
        <f>IF(P2449=0,0,IFERROR(Q2448+G2449*M2449*IF(E2449="FUTURE",VLOOKUP(MID(I2449,2,2),[1]Futures!$A$2:$B$12,2),1),G2449*M2449*IF(E2449="FUTURE",VLOOKUP(MID(I2449,2,2),[1]Futures!$A$2:$B$12,2),1)))</f>
        <v>-83420</v>
      </c>
      <c r="R2449" s="12">
        <f>IFERROR(Q2449/P2449/IF(E2449="FUTURE",VLOOKUP(MID(I2449,2,2),[1]Futures!$A$2:$B$12,2),1),"")</f>
        <v>41.71</v>
      </c>
      <c r="S2449" s="13" t="str">
        <f>IF(AND(H2449="TO CLOSE",P2449=0),-G2449*(M2449-R2448)*IF(E2449="FUTURE",VLOOKUP(MID(I2449,2,2),[1]Futures!$A$2:$B$12,2),1),"")</f>
        <v/>
      </c>
    </row>
    <row r="2450" spans="1:19" x14ac:dyDescent="0.2">
      <c r="A2450">
        <f t="shared" si="116"/>
        <v>797</v>
      </c>
      <c r="B2450" s="3">
        <v>44047</v>
      </c>
      <c r="C2450" s="3" t="str">
        <f t="shared" si="115"/>
        <v>Tuesday</v>
      </c>
      <c r="D2450" s="2">
        <v>0.60207175925925926</v>
      </c>
      <c r="E2450" t="s">
        <v>14</v>
      </c>
      <c r="F2450" t="s">
        <v>19</v>
      </c>
      <c r="G2450">
        <v>1</v>
      </c>
      <c r="H2450" t="s">
        <v>16</v>
      </c>
      <c r="I2450" t="s">
        <v>81</v>
      </c>
      <c r="J2450" s="1">
        <v>44094</v>
      </c>
      <c r="L2450" t="s">
        <v>14</v>
      </c>
      <c r="M2450">
        <v>41.81</v>
      </c>
      <c r="N2450">
        <v>41.81</v>
      </c>
      <c r="O2450" t="s">
        <v>21</v>
      </c>
      <c r="P2450">
        <f t="shared" si="117"/>
        <v>-1</v>
      </c>
      <c r="Q2450" s="11">
        <f>IF(P2450=0,0,IFERROR(Q2449+G2450*M2450*IF(E2450="FUTURE",VLOOKUP(MID(I2450,2,2),[1]Futures!$A$2:$B$12,2),1),G2450*M2450*IF(E2450="FUTURE",VLOOKUP(MID(I2450,2,2),[1]Futures!$A$2:$B$12,2),1)))</f>
        <v>-41610</v>
      </c>
      <c r="R2450" s="12">
        <f>IFERROR(Q2450/P2450/IF(E2450="FUTURE",VLOOKUP(MID(I2450,2,2),[1]Futures!$A$2:$B$12,2),1),"")</f>
        <v>41.61</v>
      </c>
      <c r="S2450" s="13" t="str">
        <f>IF(AND(H2450="TO CLOSE",P2450=0),-G2450*(M2450-R2449)*IF(E2450="FUTURE",VLOOKUP(MID(I2450,2,2),[1]Futures!$A$2:$B$12,2),1),"")</f>
        <v/>
      </c>
    </row>
    <row r="2451" spans="1:19" x14ac:dyDescent="0.2">
      <c r="A2451">
        <f t="shared" si="116"/>
        <v>797</v>
      </c>
      <c r="B2451" s="3">
        <v>44047</v>
      </c>
      <c r="C2451" s="3" t="str">
        <f t="shared" si="115"/>
        <v>Tuesday</v>
      </c>
      <c r="D2451" s="2">
        <v>0.60887731481481489</v>
      </c>
      <c r="E2451" t="s">
        <v>14</v>
      </c>
      <c r="F2451" t="s">
        <v>19</v>
      </c>
      <c r="G2451">
        <v>1</v>
      </c>
      <c r="H2451" t="s">
        <v>16</v>
      </c>
      <c r="I2451" t="s">
        <v>81</v>
      </c>
      <c r="J2451" s="1">
        <v>44094</v>
      </c>
      <c r="L2451" t="s">
        <v>14</v>
      </c>
      <c r="M2451">
        <v>41.64</v>
      </c>
      <c r="N2451">
        <v>41.64</v>
      </c>
      <c r="O2451" t="s">
        <v>24</v>
      </c>
      <c r="P2451">
        <f t="shared" si="117"/>
        <v>0</v>
      </c>
      <c r="Q2451" s="11">
        <f>IF(P2451=0,0,IFERROR(Q2450+G2451*M2451*IF(E2451="FUTURE",VLOOKUP(MID(I2451,2,2),[1]Futures!$A$2:$B$12,2),1),G2451*M2451*IF(E2451="FUTURE",VLOOKUP(MID(I2451,2,2),[1]Futures!$A$2:$B$12,2),1)))</f>
        <v>0</v>
      </c>
      <c r="R2451" s="12" t="str">
        <f>IFERROR(Q2451/P2451/IF(E2451="FUTURE",VLOOKUP(MID(I2451,2,2),[1]Futures!$A$2:$B$12,2),1),"")</f>
        <v/>
      </c>
      <c r="S2451" s="13">
        <f>IF(AND(H2451="TO CLOSE",P2451=0),-G2451*(M2451-R2450)*IF(E2451="FUTURE",VLOOKUP(MID(I2451,2,2),[1]Futures!$A$2:$B$12,2),1),"")</f>
        <v>-30.000000000001137</v>
      </c>
    </row>
    <row r="2452" spans="1:19" x14ac:dyDescent="0.2">
      <c r="A2452">
        <f t="shared" si="116"/>
        <v>798</v>
      </c>
      <c r="B2452" s="3">
        <v>44047</v>
      </c>
      <c r="C2452" s="3" t="str">
        <f t="shared" si="115"/>
        <v>Tuesday</v>
      </c>
      <c r="D2452" s="2">
        <v>0.41571759259259261</v>
      </c>
      <c r="E2452" t="s">
        <v>14</v>
      </c>
      <c r="F2452" t="s">
        <v>19</v>
      </c>
      <c r="G2452">
        <v>1</v>
      </c>
      <c r="H2452" t="s">
        <v>20</v>
      </c>
      <c r="I2452" t="s">
        <v>79</v>
      </c>
      <c r="J2452" s="1">
        <v>44094</v>
      </c>
      <c r="L2452" t="s">
        <v>14</v>
      </c>
      <c r="M2452">
        <v>3286</v>
      </c>
      <c r="N2452">
        <v>3286</v>
      </c>
      <c r="O2452" t="s">
        <v>24</v>
      </c>
      <c r="P2452">
        <f t="shared" si="117"/>
        <v>1</v>
      </c>
      <c r="Q2452" s="11">
        <f>IF(P2452=0,0,IFERROR(Q2451+G2452*M2452*IF(E2452="FUTURE",VLOOKUP(MID(I2452,2,2),[1]Futures!$A$2:$B$12,2),1),G2452*M2452*IF(E2452="FUTURE",VLOOKUP(MID(I2452,2,2),[1]Futures!$A$2:$B$12,2),1)))</f>
        <v>164300</v>
      </c>
      <c r="R2452" s="12">
        <f>IFERROR(Q2452/P2452/IF(E2452="FUTURE",VLOOKUP(MID(I2452,2,2),[1]Futures!$A$2:$B$12,2),1),"")</f>
        <v>3286</v>
      </c>
      <c r="S2452" s="13" t="str">
        <f>IF(AND(H2452="TO CLOSE",P2452=0),-G2452*(M2452-R2451)*IF(E2452="FUTURE",VLOOKUP(MID(I2452,2,2),[1]Futures!$A$2:$B$12,2),1),"")</f>
        <v/>
      </c>
    </row>
    <row r="2453" spans="1:19" x14ac:dyDescent="0.2">
      <c r="A2453">
        <f t="shared" si="116"/>
        <v>798</v>
      </c>
      <c r="B2453" s="3">
        <v>44047</v>
      </c>
      <c r="C2453" s="3" t="str">
        <f t="shared" si="115"/>
        <v>Tuesday</v>
      </c>
      <c r="D2453" s="2">
        <v>0.41952546296296295</v>
      </c>
      <c r="E2453" t="s">
        <v>14</v>
      </c>
      <c r="F2453" t="s">
        <v>15</v>
      </c>
      <c r="G2453">
        <v>-1</v>
      </c>
      <c r="H2453" t="s">
        <v>16</v>
      </c>
      <c r="I2453" t="s">
        <v>79</v>
      </c>
      <c r="J2453" s="1">
        <v>44094</v>
      </c>
      <c r="L2453" t="s">
        <v>14</v>
      </c>
      <c r="M2453">
        <v>3286.5</v>
      </c>
      <c r="N2453">
        <v>3286.5</v>
      </c>
      <c r="O2453" t="s">
        <v>18</v>
      </c>
      <c r="P2453">
        <f t="shared" si="117"/>
        <v>0</v>
      </c>
      <c r="Q2453" s="11">
        <f>IF(P2453=0,0,IFERROR(Q2452+G2453*M2453*IF(E2453="FUTURE",VLOOKUP(MID(I2453,2,2),[1]Futures!$A$2:$B$12,2),1),G2453*M2453*IF(E2453="FUTURE",VLOOKUP(MID(I2453,2,2),[1]Futures!$A$2:$B$12,2),1)))</f>
        <v>0</v>
      </c>
      <c r="R2453" s="12" t="str">
        <f>IFERROR(Q2453/P2453/IF(E2453="FUTURE",VLOOKUP(MID(I2453,2,2),[1]Futures!$A$2:$B$12,2),1),"")</f>
        <v/>
      </c>
      <c r="S2453" s="13">
        <f>IF(AND(H2453="TO CLOSE",P2453=0),-G2453*(M2453-R2452)*IF(E2453="FUTURE",VLOOKUP(MID(I2453,2,2),[1]Futures!$A$2:$B$12,2),1),"")</f>
        <v>25</v>
      </c>
    </row>
    <row r="2454" spans="1:19" x14ac:dyDescent="0.2">
      <c r="A2454">
        <f t="shared" si="116"/>
        <v>799</v>
      </c>
      <c r="B2454" s="3">
        <v>44047</v>
      </c>
      <c r="C2454" s="3" t="str">
        <f t="shared" si="115"/>
        <v>Tuesday</v>
      </c>
      <c r="D2454" s="2">
        <v>0.44193287037037038</v>
      </c>
      <c r="E2454" t="s">
        <v>14</v>
      </c>
      <c r="F2454" t="s">
        <v>19</v>
      </c>
      <c r="G2454">
        <v>1</v>
      </c>
      <c r="H2454" t="s">
        <v>20</v>
      </c>
      <c r="I2454" t="s">
        <v>79</v>
      </c>
      <c r="J2454" s="1">
        <v>44094</v>
      </c>
      <c r="L2454" t="s">
        <v>14</v>
      </c>
      <c r="M2454">
        <v>3286.75</v>
      </c>
      <c r="N2454">
        <v>3286.75</v>
      </c>
      <c r="O2454" t="s">
        <v>24</v>
      </c>
      <c r="P2454">
        <f t="shared" si="117"/>
        <v>1</v>
      </c>
      <c r="Q2454" s="11">
        <f>IF(P2454=0,0,IFERROR(Q2453+G2454*M2454*IF(E2454="FUTURE",VLOOKUP(MID(I2454,2,2),[1]Futures!$A$2:$B$12,2),1),G2454*M2454*IF(E2454="FUTURE",VLOOKUP(MID(I2454,2,2),[1]Futures!$A$2:$B$12,2),1)))</f>
        <v>164337.5</v>
      </c>
      <c r="R2454" s="12">
        <f>IFERROR(Q2454/P2454/IF(E2454="FUTURE",VLOOKUP(MID(I2454,2,2),[1]Futures!$A$2:$B$12,2),1),"")</f>
        <v>3286.75</v>
      </c>
      <c r="S2454" s="13" t="str">
        <f>IF(AND(H2454="TO CLOSE",P2454=0),-G2454*(M2454-R2453)*IF(E2454="FUTURE",VLOOKUP(MID(I2454,2,2),[1]Futures!$A$2:$B$12,2),1),"")</f>
        <v/>
      </c>
    </row>
    <row r="2455" spans="1:19" x14ac:dyDescent="0.2">
      <c r="A2455">
        <f t="shared" si="116"/>
        <v>799</v>
      </c>
      <c r="B2455" s="3">
        <v>44047</v>
      </c>
      <c r="C2455" s="3" t="str">
        <f t="shared" si="115"/>
        <v>Tuesday</v>
      </c>
      <c r="D2455" s="2">
        <v>0.44348379629629631</v>
      </c>
      <c r="E2455" t="s">
        <v>14</v>
      </c>
      <c r="F2455" t="s">
        <v>15</v>
      </c>
      <c r="G2455">
        <v>-1</v>
      </c>
      <c r="H2455" t="s">
        <v>16</v>
      </c>
      <c r="I2455" t="s">
        <v>79</v>
      </c>
      <c r="J2455" s="1">
        <v>44094</v>
      </c>
      <c r="L2455" t="s">
        <v>14</v>
      </c>
      <c r="M2455">
        <v>3288.75</v>
      </c>
      <c r="N2455">
        <v>3288.75</v>
      </c>
      <c r="O2455" t="s">
        <v>21</v>
      </c>
      <c r="P2455">
        <f t="shared" si="117"/>
        <v>0</v>
      </c>
      <c r="Q2455" s="11">
        <f>IF(P2455=0,0,IFERROR(Q2454+G2455*M2455*IF(E2455="FUTURE",VLOOKUP(MID(I2455,2,2),[1]Futures!$A$2:$B$12,2),1),G2455*M2455*IF(E2455="FUTURE",VLOOKUP(MID(I2455,2,2),[1]Futures!$A$2:$B$12,2),1)))</f>
        <v>0</v>
      </c>
      <c r="R2455" s="12" t="str">
        <f>IFERROR(Q2455/P2455/IF(E2455="FUTURE",VLOOKUP(MID(I2455,2,2),[1]Futures!$A$2:$B$12,2),1),"")</f>
        <v/>
      </c>
      <c r="S2455" s="13">
        <f>IF(AND(H2455="TO CLOSE",P2455=0),-G2455*(M2455-R2454)*IF(E2455="FUTURE",VLOOKUP(MID(I2455,2,2),[1]Futures!$A$2:$B$12,2),1),"")</f>
        <v>100</v>
      </c>
    </row>
    <row r="2456" spans="1:19" x14ac:dyDescent="0.2">
      <c r="A2456">
        <f t="shared" si="116"/>
        <v>800</v>
      </c>
      <c r="B2456" s="3">
        <v>44047</v>
      </c>
      <c r="C2456" s="3" t="str">
        <f t="shared" si="115"/>
        <v>Tuesday</v>
      </c>
      <c r="D2456" s="2">
        <v>0.46501157407407406</v>
      </c>
      <c r="E2456" t="s">
        <v>14</v>
      </c>
      <c r="F2456" t="s">
        <v>15</v>
      </c>
      <c r="G2456">
        <v>-1</v>
      </c>
      <c r="H2456" t="s">
        <v>20</v>
      </c>
      <c r="I2456" t="s">
        <v>79</v>
      </c>
      <c r="J2456" s="1">
        <v>44094</v>
      </c>
      <c r="L2456" t="s">
        <v>14</v>
      </c>
      <c r="M2456">
        <v>3292.25</v>
      </c>
      <c r="N2456">
        <v>3292.25</v>
      </c>
      <c r="O2456" t="s">
        <v>21</v>
      </c>
      <c r="P2456">
        <f t="shared" si="117"/>
        <v>-1</v>
      </c>
      <c r="Q2456" s="11">
        <f>IF(P2456=0,0,IFERROR(Q2455+G2456*M2456*IF(E2456="FUTURE",VLOOKUP(MID(I2456,2,2),[1]Futures!$A$2:$B$12,2),1),G2456*M2456*IF(E2456="FUTURE",VLOOKUP(MID(I2456,2,2),[1]Futures!$A$2:$B$12,2),1)))</f>
        <v>-164612.5</v>
      </c>
      <c r="R2456" s="12">
        <f>IFERROR(Q2456/P2456/IF(E2456="FUTURE",VLOOKUP(MID(I2456,2,2),[1]Futures!$A$2:$B$12,2),1),"")</f>
        <v>3292.25</v>
      </c>
      <c r="S2456" s="13" t="str">
        <f>IF(AND(H2456="TO CLOSE",P2456=0),-G2456*(M2456-R2455)*IF(E2456="FUTURE",VLOOKUP(MID(I2456,2,2),[1]Futures!$A$2:$B$12,2),1),"")</f>
        <v/>
      </c>
    </row>
    <row r="2457" spans="1:19" x14ac:dyDescent="0.2">
      <c r="A2457">
        <f t="shared" si="116"/>
        <v>800</v>
      </c>
      <c r="B2457" s="3">
        <v>44047</v>
      </c>
      <c r="C2457" s="3" t="str">
        <f t="shared" si="115"/>
        <v>Tuesday</v>
      </c>
      <c r="D2457" s="2">
        <v>0.47663194444444446</v>
      </c>
      <c r="E2457" t="s">
        <v>14</v>
      </c>
      <c r="F2457" t="s">
        <v>19</v>
      </c>
      <c r="G2457">
        <v>1</v>
      </c>
      <c r="H2457" t="s">
        <v>16</v>
      </c>
      <c r="I2457" t="s">
        <v>79</v>
      </c>
      <c r="J2457" s="1">
        <v>44094</v>
      </c>
      <c r="L2457" t="s">
        <v>14</v>
      </c>
      <c r="M2457">
        <v>3292</v>
      </c>
      <c r="N2457">
        <v>3292</v>
      </c>
      <c r="O2457" t="s">
        <v>21</v>
      </c>
      <c r="P2457">
        <f t="shared" si="117"/>
        <v>0</v>
      </c>
      <c r="Q2457" s="11">
        <f>IF(P2457=0,0,IFERROR(Q2456+G2457*M2457*IF(E2457="FUTURE",VLOOKUP(MID(I2457,2,2),[1]Futures!$A$2:$B$12,2),1),G2457*M2457*IF(E2457="FUTURE",VLOOKUP(MID(I2457,2,2),[1]Futures!$A$2:$B$12,2),1)))</f>
        <v>0</v>
      </c>
      <c r="R2457" s="12" t="str">
        <f>IFERROR(Q2457/P2457/IF(E2457="FUTURE",VLOOKUP(MID(I2457,2,2),[1]Futures!$A$2:$B$12,2),1),"")</f>
        <v/>
      </c>
      <c r="S2457" s="13">
        <f>IF(AND(H2457="TO CLOSE",P2457=0),-G2457*(M2457-R2456)*IF(E2457="FUTURE",VLOOKUP(MID(I2457,2,2),[1]Futures!$A$2:$B$12,2),1),"")</f>
        <v>12.5</v>
      </c>
    </row>
    <row r="2458" spans="1:19" x14ac:dyDescent="0.2">
      <c r="A2458">
        <f t="shared" si="116"/>
        <v>801</v>
      </c>
      <c r="B2458" s="3">
        <v>44047</v>
      </c>
      <c r="C2458" s="3" t="str">
        <f t="shared" si="115"/>
        <v>Tuesday</v>
      </c>
      <c r="D2458" s="2">
        <v>0.55031249999999998</v>
      </c>
      <c r="E2458" t="s">
        <v>14</v>
      </c>
      <c r="F2458" t="s">
        <v>19</v>
      </c>
      <c r="G2458">
        <v>1</v>
      </c>
      <c r="H2458" t="s">
        <v>20</v>
      </c>
      <c r="I2458" t="s">
        <v>79</v>
      </c>
      <c r="J2458" s="1">
        <v>44094</v>
      </c>
      <c r="L2458" t="s">
        <v>14</v>
      </c>
      <c r="M2458">
        <v>3289.75</v>
      </c>
      <c r="N2458">
        <v>3289.75</v>
      </c>
      <c r="O2458" t="s">
        <v>24</v>
      </c>
      <c r="P2458">
        <f t="shared" si="117"/>
        <v>1</v>
      </c>
      <c r="Q2458" s="11">
        <f>IF(P2458=0,0,IFERROR(Q2457+G2458*M2458*IF(E2458="FUTURE",VLOOKUP(MID(I2458,2,2),[1]Futures!$A$2:$B$12,2),1),G2458*M2458*IF(E2458="FUTURE",VLOOKUP(MID(I2458,2,2),[1]Futures!$A$2:$B$12,2),1)))</f>
        <v>164487.5</v>
      </c>
      <c r="R2458" s="12">
        <f>IFERROR(Q2458/P2458/IF(E2458="FUTURE",VLOOKUP(MID(I2458,2,2),[1]Futures!$A$2:$B$12,2),1),"")</f>
        <v>3289.75</v>
      </c>
      <c r="S2458" s="13" t="str">
        <f>IF(AND(H2458="TO CLOSE",P2458=0),-G2458*(M2458-R2457)*IF(E2458="FUTURE",VLOOKUP(MID(I2458,2,2),[1]Futures!$A$2:$B$12,2),1),"")</f>
        <v/>
      </c>
    </row>
    <row r="2459" spans="1:19" x14ac:dyDescent="0.2">
      <c r="A2459">
        <f t="shared" si="116"/>
        <v>801</v>
      </c>
      <c r="B2459" s="3">
        <v>44047</v>
      </c>
      <c r="C2459" s="3" t="str">
        <f t="shared" si="115"/>
        <v>Tuesday</v>
      </c>
      <c r="D2459" s="2">
        <v>0.55076388888888894</v>
      </c>
      <c r="E2459" t="s">
        <v>14</v>
      </c>
      <c r="F2459" t="s">
        <v>15</v>
      </c>
      <c r="G2459">
        <v>-1</v>
      </c>
      <c r="H2459" t="s">
        <v>16</v>
      </c>
      <c r="I2459" t="s">
        <v>79</v>
      </c>
      <c r="J2459" s="1">
        <v>44094</v>
      </c>
      <c r="L2459" t="s">
        <v>14</v>
      </c>
      <c r="M2459">
        <v>3290.5</v>
      </c>
      <c r="N2459">
        <v>3290.5</v>
      </c>
      <c r="O2459" t="s">
        <v>21</v>
      </c>
      <c r="P2459">
        <f t="shared" si="117"/>
        <v>0</v>
      </c>
      <c r="Q2459" s="11">
        <f>IF(P2459=0,0,IFERROR(Q2458+G2459*M2459*IF(E2459="FUTURE",VLOOKUP(MID(I2459,2,2),[1]Futures!$A$2:$B$12,2),1),G2459*M2459*IF(E2459="FUTURE",VLOOKUP(MID(I2459,2,2),[1]Futures!$A$2:$B$12,2),1)))</f>
        <v>0</v>
      </c>
      <c r="R2459" s="12" t="str">
        <f>IFERROR(Q2459/P2459/IF(E2459="FUTURE",VLOOKUP(MID(I2459,2,2),[1]Futures!$A$2:$B$12,2),1),"")</f>
        <v/>
      </c>
      <c r="S2459" s="13">
        <f>IF(AND(H2459="TO CLOSE",P2459=0),-G2459*(M2459-R2458)*IF(E2459="FUTURE",VLOOKUP(MID(I2459,2,2),[1]Futures!$A$2:$B$12,2),1),"")</f>
        <v>37.5</v>
      </c>
    </row>
    <row r="2460" spans="1:19" x14ac:dyDescent="0.2">
      <c r="A2460">
        <f t="shared" si="116"/>
        <v>802</v>
      </c>
      <c r="B2460" s="3">
        <v>44047</v>
      </c>
      <c r="C2460" s="3" t="str">
        <f t="shared" si="115"/>
        <v>Tuesday</v>
      </c>
      <c r="D2460" s="2">
        <v>0.48979166666666668</v>
      </c>
      <c r="E2460" t="s">
        <v>22</v>
      </c>
      <c r="F2460" t="s">
        <v>19</v>
      </c>
      <c r="G2460">
        <v>400</v>
      </c>
      <c r="H2460" t="s">
        <v>20</v>
      </c>
      <c r="I2460" t="s">
        <v>23</v>
      </c>
      <c r="L2460" t="s">
        <v>22</v>
      </c>
      <c r="M2460">
        <v>27.729900000000001</v>
      </c>
      <c r="N2460">
        <v>27.729900000000001</v>
      </c>
      <c r="O2460" t="s">
        <v>21</v>
      </c>
      <c r="P2460">
        <f t="shared" si="117"/>
        <v>400</v>
      </c>
      <c r="Q2460" s="11">
        <f>IF(P2460=0,0,IFERROR(Q2459+G2460*M2460*IF(E2460="FUTURE",VLOOKUP(MID(I2460,2,2),[1]Futures!$A$2:$B$12,2),1),G2460*M2460*IF(E2460="FUTURE",VLOOKUP(MID(I2460,2,2),[1]Futures!$A$2:$B$12,2),1)))</f>
        <v>11091.960000000001</v>
      </c>
      <c r="R2460" s="12">
        <f>IFERROR(Q2460/P2460/IF(E2460="FUTURE",VLOOKUP(MID(I2460,2,2),[1]Futures!$A$2:$B$12,2),1),"")</f>
        <v>27.729900000000001</v>
      </c>
      <c r="S2460" s="13" t="str">
        <f>IF(AND(H2460="TO CLOSE",P2460=0),-G2460*(M2460-R2459)*IF(E2460="FUTURE",VLOOKUP(MID(I2460,2,2),[1]Futures!$A$2:$B$12,2),1),"")</f>
        <v/>
      </c>
    </row>
    <row r="2461" spans="1:19" x14ac:dyDescent="0.2">
      <c r="A2461">
        <f t="shared" si="116"/>
        <v>802</v>
      </c>
      <c r="B2461" s="3">
        <v>44047</v>
      </c>
      <c r="C2461" s="3" t="str">
        <f t="shared" si="115"/>
        <v>Tuesday</v>
      </c>
      <c r="D2461" s="2">
        <v>0.50656250000000003</v>
      </c>
      <c r="E2461" t="s">
        <v>22</v>
      </c>
      <c r="F2461" t="s">
        <v>15</v>
      </c>
      <c r="G2461">
        <v>-1</v>
      </c>
      <c r="H2461" t="s">
        <v>16</v>
      </c>
      <c r="I2461" t="s">
        <v>23</v>
      </c>
      <c r="L2461" t="s">
        <v>22</v>
      </c>
      <c r="M2461">
        <v>27.87</v>
      </c>
      <c r="N2461">
        <v>27.87</v>
      </c>
      <c r="O2461" t="s">
        <v>21</v>
      </c>
      <c r="P2461">
        <f t="shared" si="117"/>
        <v>399</v>
      </c>
      <c r="Q2461" s="11">
        <f>IF(P2461=0,0,IFERROR(Q2460+G2461*M2461*IF(E2461="FUTURE",VLOOKUP(MID(I2461,2,2),[1]Futures!$A$2:$B$12,2),1),G2461*M2461*IF(E2461="FUTURE",VLOOKUP(MID(I2461,2,2),[1]Futures!$A$2:$B$12,2),1)))</f>
        <v>11064.09</v>
      </c>
      <c r="R2461" s="12">
        <f>IFERROR(Q2461/P2461/IF(E2461="FUTURE",VLOOKUP(MID(I2461,2,2),[1]Futures!$A$2:$B$12,2),1),"")</f>
        <v>27.729548872180452</v>
      </c>
      <c r="S2461" s="13" t="str">
        <f>IF(AND(H2461="TO CLOSE",P2461=0),-G2461*(M2461-R2460)*IF(E2461="FUTURE",VLOOKUP(MID(I2461,2,2),[1]Futures!$A$2:$B$12,2),1),"")</f>
        <v/>
      </c>
    </row>
    <row r="2462" spans="1:19" x14ac:dyDescent="0.2">
      <c r="A2462">
        <f t="shared" si="116"/>
        <v>802</v>
      </c>
      <c r="B2462" s="3">
        <v>44047</v>
      </c>
      <c r="C2462" s="3" t="str">
        <f t="shared" si="115"/>
        <v>Tuesday</v>
      </c>
      <c r="D2462" s="2">
        <v>0.50658564814814822</v>
      </c>
      <c r="E2462" t="s">
        <v>22</v>
      </c>
      <c r="F2462" t="s">
        <v>15</v>
      </c>
      <c r="G2462">
        <v>-20</v>
      </c>
      <c r="H2462" t="s">
        <v>16</v>
      </c>
      <c r="I2462" t="s">
        <v>23</v>
      </c>
      <c r="L2462" t="s">
        <v>22</v>
      </c>
      <c r="M2462">
        <v>27.87</v>
      </c>
      <c r="N2462">
        <v>27.87</v>
      </c>
      <c r="O2462" t="s">
        <v>21</v>
      </c>
      <c r="P2462">
        <f t="shared" si="117"/>
        <v>379</v>
      </c>
      <c r="Q2462" s="11">
        <f>IF(P2462=0,0,IFERROR(Q2461+G2462*M2462*IF(E2462="FUTURE",VLOOKUP(MID(I2462,2,2),[1]Futures!$A$2:$B$12,2),1),G2462*M2462*IF(E2462="FUTURE",VLOOKUP(MID(I2462,2,2),[1]Futures!$A$2:$B$12,2),1)))</f>
        <v>10506.69</v>
      </c>
      <c r="R2462" s="12">
        <f>IFERROR(Q2462/P2462/IF(E2462="FUTURE",VLOOKUP(MID(I2462,2,2),[1]Futures!$A$2:$B$12,2),1),"")</f>
        <v>27.722137203166227</v>
      </c>
      <c r="S2462" s="13" t="str">
        <f>IF(AND(H2462="TO CLOSE",P2462=0),-G2462*(M2462-R2461)*IF(E2462="FUTURE",VLOOKUP(MID(I2462,2,2),[1]Futures!$A$2:$B$12,2),1),"")</f>
        <v/>
      </c>
    </row>
    <row r="2463" spans="1:19" x14ac:dyDescent="0.2">
      <c r="A2463">
        <f t="shared" si="116"/>
        <v>802</v>
      </c>
      <c r="B2463" s="3">
        <v>44047</v>
      </c>
      <c r="C2463" s="3" t="str">
        <f t="shared" si="115"/>
        <v>Tuesday</v>
      </c>
      <c r="D2463" s="2">
        <v>0.50672453703703701</v>
      </c>
      <c r="E2463" t="s">
        <v>22</v>
      </c>
      <c r="F2463" t="s">
        <v>15</v>
      </c>
      <c r="G2463">
        <v>-29</v>
      </c>
      <c r="H2463" t="s">
        <v>16</v>
      </c>
      <c r="I2463" t="s">
        <v>23</v>
      </c>
      <c r="L2463" t="s">
        <v>22</v>
      </c>
      <c r="M2463">
        <v>27.87</v>
      </c>
      <c r="N2463">
        <v>27.87</v>
      </c>
      <c r="O2463" t="s">
        <v>21</v>
      </c>
      <c r="P2463">
        <f t="shared" si="117"/>
        <v>350</v>
      </c>
      <c r="Q2463" s="11">
        <f>IF(P2463=0,0,IFERROR(Q2462+G2463*M2463*IF(E2463="FUTURE",VLOOKUP(MID(I2463,2,2),[1]Futures!$A$2:$B$12,2),1),G2463*M2463*IF(E2463="FUTURE",VLOOKUP(MID(I2463,2,2),[1]Futures!$A$2:$B$12,2),1)))</f>
        <v>9698.4600000000009</v>
      </c>
      <c r="R2463" s="12">
        <f>IFERROR(Q2463/P2463/IF(E2463="FUTURE",VLOOKUP(MID(I2463,2,2),[1]Futures!$A$2:$B$12,2),1),"")</f>
        <v>27.709885714285718</v>
      </c>
      <c r="S2463" s="13" t="str">
        <f>IF(AND(H2463="TO CLOSE",P2463=0),-G2463*(M2463-R2462)*IF(E2463="FUTURE",VLOOKUP(MID(I2463,2,2),[1]Futures!$A$2:$B$12,2),1),"")</f>
        <v/>
      </c>
    </row>
    <row r="2464" spans="1:19" x14ac:dyDescent="0.2">
      <c r="A2464">
        <f t="shared" si="116"/>
        <v>802</v>
      </c>
      <c r="B2464" s="3">
        <v>44047</v>
      </c>
      <c r="C2464" s="3" t="str">
        <f t="shared" si="115"/>
        <v>Tuesday</v>
      </c>
      <c r="D2464" s="2">
        <v>0.50672453703703701</v>
      </c>
      <c r="E2464" t="s">
        <v>22</v>
      </c>
      <c r="F2464" t="s">
        <v>15</v>
      </c>
      <c r="G2464">
        <v>-50</v>
      </c>
      <c r="H2464" t="s">
        <v>16</v>
      </c>
      <c r="I2464" t="s">
        <v>23</v>
      </c>
      <c r="L2464" t="s">
        <v>22</v>
      </c>
      <c r="M2464">
        <v>27.87</v>
      </c>
      <c r="N2464">
        <v>27.87</v>
      </c>
      <c r="O2464" t="s">
        <v>21</v>
      </c>
      <c r="P2464">
        <f t="shared" si="117"/>
        <v>300</v>
      </c>
      <c r="Q2464" s="11">
        <f>IF(P2464=0,0,IFERROR(Q2463+G2464*M2464*IF(E2464="FUTURE",VLOOKUP(MID(I2464,2,2),[1]Futures!$A$2:$B$12,2),1),G2464*M2464*IF(E2464="FUTURE",VLOOKUP(MID(I2464,2,2),[1]Futures!$A$2:$B$12,2),1)))</f>
        <v>8304.9600000000009</v>
      </c>
      <c r="R2464" s="12">
        <f>IFERROR(Q2464/P2464/IF(E2464="FUTURE",VLOOKUP(MID(I2464,2,2),[1]Futures!$A$2:$B$12,2),1),"")</f>
        <v>27.683200000000003</v>
      </c>
      <c r="S2464" s="13" t="str">
        <f>IF(AND(H2464="TO CLOSE",P2464=0),-G2464*(M2464-R2463)*IF(E2464="FUTURE",VLOOKUP(MID(I2464,2,2),[1]Futures!$A$2:$B$12,2),1),"")</f>
        <v/>
      </c>
    </row>
    <row r="2465" spans="1:19" x14ac:dyDescent="0.2">
      <c r="A2465">
        <f t="shared" si="116"/>
        <v>802</v>
      </c>
      <c r="B2465" s="3">
        <v>44047</v>
      </c>
      <c r="C2465" s="3" t="str">
        <f t="shared" si="115"/>
        <v>Tuesday</v>
      </c>
      <c r="D2465" s="2">
        <v>0.51233796296296297</v>
      </c>
      <c r="E2465" t="s">
        <v>22</v>
      </c>
      <c r="F2465" t="s">
        <v>15</v>
      </c>
      <c r="G2465">
        <v>-100</v>
      </c>
      <c r="H2465" t="s">
        <v>16</v>
      </c>
      <c r="I2465" t="s">
        <v>23</v>
      </c>
      <c r="L2465" t="s">
        <v>22</v>
      </c>
      <c r="M2465">
        <v>27.9</v>
      </c>
      <c r="N2465">
        <v>27.9</v>
      </c>
      <c r="O2465" t="s">
        <v>21</v>
      </c>
      <c r="P2465">
        <f t="shared" si="117"/>
        <v>200</v>
      </c>
      <c r="Q2465" s="11">
        <f>IF(P2465=0,0,IFERROR(Q2464+G2465*M2465*IF(E2465="FUTURE",VLOOKUP(MID(I2465,2,2),[1]Futures!$A$2:$B$12,2),1),G2465*M2465*IF(E2465="FUTURE",VLOOKUP(MID(I2465,2,2),[1]Futures!$A$2:$B$12,2),1)))</f>
        <v>5514.9600000000009</v>
      </c>
      <c r="R2465" s="12">
        <f>IFERROR(Q2465/P2465/IF(E2465="FUTURE",VLOOKUP(MID(I2465,2,2),[1]Futures!$A$2:$B$12,2),1),"")</f>
        <v>27.574800000000003</v>
      </c>
      <c r="S2465" s="13" t="str">
        <f>IF(AND(H2465="TO CLOSE",P2465=0),-G2465*(M2465-R2464)*IF(E2465="FUTURE",VLOOKUP(MID(I2465,2,2),[1]Futures!$A$2:$B$12,2),1),"")</f>
        <v/>
      </c>
    </row>
    <row r="2466" spans="1:19" x14ac:dyDescent="0.2">
      <c r="A2466">
        <f t="shared" si="116"/>
        <v>802</v>
      </c>
      <c r="B2466" s="3">
        <v>44047</v>
      </c>
      <c r="C2466" s="3" t="str">
        <f t="shared" ref="C2466:C2529" si="118">IF(WEEKDAY(B2466,2)=1,"Monday",IF(WEEKDAY(B2466,2)=2,"Tuesday",IF(WEEKDAY(B2466,2)=3,"Wednesday",IF(WEEKDAY(B2466,2)=4,"Thursday",IF(WEEKDAY(B2466,2)=5,"Friday","Sunday")))))</f>
        <v>Tuesday</v>
      </c>
      <c r="D2466" s="2">
        <v>0.54037037037037039</v>
      </c>
      <c r="E2466" t="s">
        <v>22</v>
      </c>
      <c r="F2466" t="s">
        <v>15</v>
      </c>
      <c r="G2466">
        <v>-100</v>
      </c>
      <c r="H2466" t="s">
        <v>16</v>
      </c>
      <c r="I2466" t="s">
        <v>23</v>
      </c>
      <c r="L2466" t="s">
        <v>22</v>
      </c>
      <c r="M2466">
        <v>27.770099999999999</v>
      </c>
      <c r="N2466">
        <v>27.770099999999999</v>
      </c>
      <c r="O2466" t="s">
        <v>24</v>
      </c>
      <c r="P2466">
        <f t="shared" si="117"/>
        <v>100</v>
      </c>
      <c r="Q2466" s="11">
        <f>IF(P2466=0,0,IFERROR(Q2465+G2466*M2466*IF(E2466="FUTURE",VLOOKUP(MID(I2466,2,2),[1]Futures!$A$2:$B$12,2),1),G2466*M2466*IF(E2466="FUTURE",VLOOKUP(MID(I2466,2,2),[1]Futures!$A$2:$B$12,2),1)))</f>
        <v>2737.9500000000012</v>
      </c>
      <c r="R2466" s="12">
        <f>IFERROR(Q2466/P2466/IF(E2466="FUTURE",VLOOKUP(MID(I2466,2,2),[1]Futures!$A$2:$B$12,2),1),"")</f>
        <v>27.379500000000011</v>
      </c>
      <c r="S2466" s="13" t="str">
        <f>IF(AND(H2466="TO CLOSE",P2466=0),-G2466*(M2466-R2465)*IF(E2466="FUTURE",VLOOKUP(MID(I2466,2,2),[1]Futures!$A$2:$B$12,2),1),"")</f>
        <v/>
      </c>
    </row>
    <row r="2467" spans="1:19" x14ac:dyDescent="0.2">
      <c r="A2467">
        <f t="shared" si="116"/>
        <v>802</v>
      </c>
      <c r="B2467" s="3">
        <v>44047</v>
      </c>
      <c r="C2467" s="3" t="str">
        <f t="shared" si="118"/>
        <v>Tuesday</v>
      </c>
      <c r="D2467" s="2">
        <v>0.54037037037037039</v>
      </c>
      <c r="E2467" t="s">
        <v>22</v>
      </c>
      <c r="F2467" t="s">
        <v>15</v>
      </c>
      <c r="G2467">
        <v>-100</v>
      </c>
      <c r="H2467" t="s">
        <v>16</v>
      </c>
      <c r="I2467" t="s">
        <v>23</v>
      </c>
      <c r="L2467" t="s">
        <v>22</v>
      </c>
      <c r="M2467">
        <v>27.770099999999999</v>
      </c>
      <c r="N2467">
        <v>27.770099999999999</v>
      </c>
      <c r="O2467" t="s">
        <v>24</v>
      </c>
      <c r="P2467">
        <f t="shared" si="117"/>
        <v>0</v>
      </c>
      <c r="Q2467" s="11">
        <f>IF(P2467=0,0,IFERROR(Q2466+G2467*M2467*IF(E2467="FUTURE",VLOOKUP(MID(I2467,2,2),[1]Futures!$A$2:$B$12,2),1),G2467*M2467*IF(E2467="FUTURE",VLOOKUP(MID(I2467,2,2),[1]Futures!$A$2:$B$12,2),1)))</f>
        <v>0</v>
      </c>
      <c r="R2467" s="12" t="str">
        <f>IFERROR(Q2467/P2467/IF(E2467="FUTURE",VLOOKUP(MID(I2467,2,2),[1]Futures!$A$2:$B$12,2),1),"")</f>
        <v/>
      </c>
      <c r="S2467" s="13">
        <f>IF(AND(H2467="TO CLOSE",P2467=0),-G2467*(M2467-R2466)*IF(E2467="FUTURE",VLOOKUP(MID(I2467,2,2),[1]Futures!$A$2:$B$12,2),1),"")</f>
        <v>39.059999999998851</v>
      </c>
    </row>
    <row r="2468" spans="1:19" x14ac:dyDescent="0.2">
      <c r="A2468">
        <f t="shared" si="116"/>
        <v>803</v>
      </c>
      <c r="B2468" s="3">
        <v>44047</v>
      </c>
      <c r="C2468" s="3" t="str">
        <f t="shared" si="118"/>
        <v>Tuesday</v>
      </c>
      <c r="D2468" s="2">
        <v>0.57350694444444439</v>
      </c>
      <c r="E2468" t="s">
        <v>22</v>
      </c>
      <c r="F2468" t="s">
        <v>19</v>
      </c>
      <c r="G2468">
        <v>200</v>
      </c>
      <c r="H2468" t="s">
        <v>20</v>
      </c>
      <c r="I2468" t="s">
        <v>23</v>
      </c>
      <c r="L2468" t="s">
        <v>22</v>
      </c>
      <c r="M2468">
        <v>27.8171</v>
      </c>
      <c r="N2468">
        <v>27.8171</v>
      </c>
      <c r="O2468" t="s">
        <v>24</v>
      </c>
      <c r="P2468">
        <f t="shared" si="117"/>
        <v>200</v>
      </c>
      <c r="Q2468" s="11">
        <f>IF(P2468=0,0,IFERROR(Q2467+G2468*M2468*IF(E2468="FUTURE",VLOOKUP(MID(I2468,2,2),[1]Futures!$A$2:$B$12,2),1),G2468*M2468*IF(E2468="FUTURE",VLOOKUP(MID(I2468,2,2),[1]Futures!$A$2:$B$12,2),1)))</f>
        <v>5563.42</v>
      </c>
      <c r="R2468" s="12">
        <f>IFERROR(Q2468/P2468/IF(E2468="FUTURE",VLOOKUP(MID(I2468,2,2),[1]Futures!$A$2:$B$12,2),1),"")</f>
        <v>27.8171</v>
      </c>
      <c r="S2468" s="13" t="str">
        <f>IF(AND(H2468="TO CLOSE",P2468=0),-G2468*(M2468-R2467)*IF(E2468="FUTURE",VLOOKUP(MID(I2468,2,2),[1]Futures!$A$2:$B$12,2),1),"")</f>
        <v/>
      </c>
    </row>
    <row r="2469" spans="1:19" x14ac:dyDescent="0.2">
      <c r="A2469">
        <f t="shared" si="116"/>
        <v>803</v>
      </c>
      <c r="B2469" s="3">
        <v>44047</v>
      </c>
      <c r="C2469" s="3" t="str">
        <f t="shared" si="118"/>
        <v>Tuesday</v>
      </c>
      <c r="D2469" s="2">
        <v>0.58743055555555557</v>
      </c>
      <c r="E2469" t="s">
        <v>22</v>
      </c>
      <c r="F2469" t="s">
        <v>19</v>
      </c>
      <c r="G2469">
        <v>100</v>
      </c>
      <c r="H2469" t="s">
        <v>20</v>
      </c>
      <c r="I2469" t="s">
        <v>23</v>
      </c>
      <c r="L2469" t="s">
        <v>22</v>
      </c>
      <c r="M2469">
        <v>27.719899999999999</v>
      </c>
      <c r="N2469">
        <v>27.719899999999999</v>
      </c>
      <c r="O2469" t="s">
        <v>24</v>
      </c>
      <c r="P2469">
        <f t="shared" si="117"/>
        <v>300</v>
      </c>
      <c r="Q2469" s="11">
        <f>IF(P2469=0,0,IFERROR(Q2468+G2469*M2469*IF(E2469="FUTURE",VLOOKUP(MID(I2469,2,2),[1]Futures!$A$2:$B$12,2),1),G2469*M2469*IF(E2469="FUTURE",VLOOKUP(MID(I2469,2,2),[1]Futures!$A$2:$B$12,2),1)))</f>
        <v>8335.41</v>
      </c>
      <c r="R2469" s="12">
        <f>IFERROR(Q2469/P2469/IF(E2469="FUTURE",VLOOKUP(MID(I2469,2,2),[1]Futures!$A$2:$B$12,2),1),"")</f>
        <v>27.784700000000001</v>
      </c>
      <c r="S2469" s="13" t="str">
        <f>IF(AND(H2469="TO CLOSE",P2469=0),-G2469*(M2469-R2468)*IF(E2469="FUTURE",VLOOKUP(MID(I2469,2,2),[1]Futures!$A$2:$B$12,2),1),"")</f>
        <v/>
      </c>
    </row>
    <row r="2470" spans="1:19" x14ac:dyDescent="0.2">
      <c r="A2470">
        <f t="shared" si="116"/>
        <v>803</v>
      </c>
      <c r="B2470" s="3">
        <v>44047</v>
      </c>
      <c r="C2470" s="3" t="str">
        <f t="shared" si="118"/>
        <v>Tuesday</v>
      </c>
      <c r="D2470" s="2">
        <v>0.60468749999999993</v>
      </c>
      <c r="E2470" t="s">
        <v>22</v>
      </c>
      <c r="F2470" t="s">
        <v>15</v>
      </c>
      <c r="G2470">
        <v>-100</v>
      </c>
      <c r="H2470" t="s">
        <v>16</v>
      </c>
      <c r="I2470" t="s">
        <v>23</v>
      </c>
      <c r="L2470" t="s">
        <v>22</v>
      </c>
      <c r="M2470">
        <v>27.8401</v>
      </c>
      <c r="N2470">
        <v>27.8401</v>
      </c>
      <c r="O2470" t="s">
        <v>24</v>
      </c>
      <c r="P2470">
        <f t="shared" si="117"/>
        <v>200</v>
      </c>
      <c r="Q2470" s="11">
        <f>IF(P2470=0,0,IFERROR(Q2469+G2470*M2470*IF(E2470="FUTURE",VLOOKUP(MID(I2470,2,2),[1]Futures!$A$2:$B$12,2),1),G2470*M2470*IF(E2470="FUTURE",VLOOKUP(MID(I2470,2,2),[1]Futures!$A$2:$B$12,2),1)))</f>
        <v>5551.4</v>
      </c>
      <c r="R2470" s="12">
        <f>IFERROR(Q2470/P2470/IF(E2470="FUTURE",VLOOKUP(MID(I2470,2,2),[1]Futures!$A$2:$B$12,2),1),"")</f>
        <v>27.756999999999998</v>
      </c>
      <c r="S2470" s="13" t="str">
        <f>IF(AND(H2470="TO CLOSE",P2470=0),-G2470*(M2470-R2469)*IF(E2470="FUTURE",VLOOKUP(MID(I2470,2,2),[1]Futures!$A$2:$B$12,2),1),"")</f>
        <v/>
      </c>
    </row>
    <row r="2471" spans="1:19" x14ac:dyDescent="0.2">
      <c r="A2471">
        <f t="shared" si="116"/>
        <v>803</v>
      </c>
      <c r="B2471" s="3">
        <v>44047</v>
      </c>
      <c r="C2471" s="3" t="str">
        <f t="shared" si="118"/>
        <v>Tuesday</v>
      </c>
      <c r="D2471" s="2">
        <v>0.60650462962962959</v>
      </c>
      <c r="E2471" t="s">
        <v>22</v>
      </c>
      <c r="F2471" t="s">
        <v>15</v>
      </c>
      <c r="G2471">
        <v>-164</v>
      </c>
      <c r="H2471" t="s">
        <v>16</v>
      </c>
      <c r="I2471" t="s">
        <v>23</v>
      </c>
      <c r="L2471" t="s">
        <v>22</v>
      </c>
      <c r="M2471">
        <v>27.962700000000002</v>
      </c>
      <c r="N2471">
        <v>27.962679999999999</v>
      </c>
      <c r="O2471" t="s">
        <v>24</v>
      </c>
      <c r="P2471">
        <f t="shared" si="117"/>
        <v>36</v>
      </c>
      <c r="Q2471" s="11">
        <f>IF(P2471=0,0,IFERROR(Q2470+G2471*M2471*IF(E2471="FUTURE",VLOOKUP(MID(I2471,2,2),[1]Futures!$A$2:$B$12,2),1),G2471*M2471*IF(E2471="FUTURE",VLOOKUP(MID(I2471,2,2),[1]Futures!$A$2:$B$12,2),1)))</f>
        <v>965.51719999999932</v>
      </c>
      <c r="R2471" s="12">
        <f>IFERROR(Q2471/P2471/IF(E2471="FUTURE",VLOOKUP(MID(I2471,2,2),[1]Futures!$A$2:$B$12,2),1),"")</f>
        <v>26.819922222222203</v>
      </c>
      <c r="S2471" s="13" t="str">
        <f>IF(AND(H2471="TO CLOSE",P2471=0),-G2471*(M2471-R2470)*IF(E2471="FUTURE",VLOOKUP(MID(I2471,2,2),[1]Futures!$A$2:$B$12,2),1),"")</f>
        <v/>
      </c>
    </row>
    <row r="2472" spans="1:19" x14ac:dyDescent="0.2">
      <c r="A2472">
        <f t="shared" si="116"/>
        <v>803</v>
      </c>
      <c r="B2472" s="3">
        <v>44047</v>
      </c>
      <c r="C2472" s="3" t="str">
        <f t="shared" si="118"/>
        <v>Tuesday</v>
      </c>
      <c r="D2472" s="2">
        <v>0.60650462962962959</v>
      </c>
      <c r="E2472" t="s">
        <v>22</v>
      </c>
      <c r="F2472" t="s">
        <v>15</v>
      </c>
      <c r="G2472">
        <v>-36</v>
      </c>
      <c r="H2472" t="s">
        <v>16</v>
      </c>
      <c r="I2472" t="s">
        <v>23</v>
      </c>
      <c r="L2472" t="s">
        <v>22</v>
      </c>
      <c r="M2472">
        <v>27.965</v>
      </c>
      <c r="N2472">
        <v>27.965</v>
      </c>
      <c r="O2472" t="s">
        <v>24</v>
      </c>
      <c r="P2472">
        <f t="shared" si="117"/>
        <v>0</v>
      </c>
      <c r="Q2472" s="11">
        <f>IF(P2472=0,0,IFERROR(Q2471+G2472*M2472*IF(E2472="FUTURE",VLOOKUP(MID(I2472,2,2),[1]Futures!$A$2:$B$12,2),1),G2472*M2472*IF(E2472="FUTURE",VLOOKUP(MID(I2472,2,2),[1]Futures!$A$2:$B$12,2),1)))</f>
        <v>0</v>
      </c>
      <c r="R2472" s="12" t="str">
        <f>IFERROR(Q2472/P2472/IF(E2472="FUTURE",VLOOKUP(MID(I2472,2,2),[1]Futures!$A$2:$B$12,2),1),"")</f>
        <v/>
      </c>
      <c r="S2472" s="13">
        <f>IF(AND(H2472="TO CLOSE",P2472=0),-G2472*(M2472-R2471)*IF(E2472="FUTURE",VLOOKUP(MID(I2472,2,2),[1]Futures!$A$2:$B$12,2),1),"")</f>
        <v>41.222800000000674</v>
      </c>
    </row>
    <row r="2473" spans="1:19" x14ac:dyDescent="0.2">
      <c r="A2473">
        <f t="shared" si="116"/>
        <v>804</v>
      </c>
      <c r="B2473" s="3">
        <v>44048</v>
      </c>
      <c r="C2473" s="3" t="str">
        <f t="shared" si="118"/>
        <v>Wednesday</v>
      </c>
      <c r="D2473" s="2">
        <v>0.40768518518518521</v>
      </c>
      <c r="E2473" t="s">
        <v>14</v>
      </c>
      <c r="F2473" t="s">
        <v>19</v>
      </c>
      <c r="G2473">
        <v>1</v>
      </c>
      <c r="H2473" t="s">
        <v>20</v>
      </c>
      <c r="I2473" t="s">
        <v>81</v>
      </c>
      <c r="J2473" s="1">
        <v>44094</v>
      </c>
      <c r="L2473" t="s">
        <v>14</v>
      </c>
      <c r="M2473">
        <v>43.29</v>
      </c>
      <c r="N2473">
        <v>43.29</v>
      </c>
      <c r="O2473" t="s">
        <v>24</v>
      </c>
      <c r="P2473">
        <f t="shared" si="117"/>
        <v>1</v>
      </c>
      <c r="Q2473" s="11">
        <f>IF(P2473=0,0,IFERROR(Q2472+G2473*M2473*IF(E2473="FUTURE",VLOOKUP(MID(I2473,2,2),[1]Futures!$A$2:$B$12,2),1),G2473*M2473*IF(E2473="FUTURE",VLOOKUP(MID(I2473,2,2),[1]Futures!$A$2:$B$12,2),1)))</f>
        <v>43290</v>
      </c>
      <c r="R2473" s="12">
        <f>IFERROR(Q2473/P2473/IF(E2473="FUTURE",VLOOKUP(MID(I2473,2,2),[1]Futures!$A$2:$B$12,2),1),"")</f>
        <v>43.29</v>
      </c>
      <c r="S2473" s="13" t="str">
        <f>IF(AND(H2473="TO CLOSE",P2473=0),-G2473*(M2473-R2472)*IF(E2473="FUTURE",VLOOKUP(MID(I2473,2,2),[1]Futures!$A$2:$B$12,2),1),"")</f>
        <v/>
      </c>
    </row>
    <row r="2474" spans="1:19" x14ac:dyDescent="0.2">
      <c r="A2474">
        <f t="shared" si="116"/>
        <v>804</v>
      </c>
      <c r="B2474" s="3">
        <v>44048</v>
      </c>
      <c r="C2474" s="3" t="str">
        <f t="shared" si="118"/>
        <v>Wednesday</v>
      </c>
      <c r="D2474" s="2">
        <v>0.40972222222222227</v>
      </c>
      <c r="E2474" t="s">
        <v>14</v>
      </c>
      <c r="F2474" t="s">
        <v>19</v>
      </c>
      <c r="G2474">
        <v>1</v>
      </c>
      <c r="H2474" t="s">
        <v>20</v>
      </c>
      <c r="I2474" t="s">
        <v>81</v>
      </c>
      <c r="J2474" s="1">
        <v>44094</v>
      </c>
      <c r="L2474" t="s">
        <v>14</v>
      </c>
      <c r="M2474">
        <v>43.34</v>
      </c>
      <c r="N2474">
        <v>43.34</v>
      </c>
      <c r="O2474" t="s">
        <v>24</v>
      </c>
      <c r="P2474">
        <f t="shared" si="117"/>
        <v>2</v>
      </c>
      <c r="Q2474" s="11">
        <f>IF(P2474=0,0,IFERROR(Q2473+G2474*M2474*IF(E2474="FUTURE",VLOOKUP(MID(I2474,2,2),[1]Futures!$A$2:$B$12,2),1),G2474*M2474*IF(E2474="FUTURE",VLOOKUP(MID(I2474,2,2),[1]Futures!$A$2:$B$12,2),1)))</f>
        <v>86630</v>
      </c>
      <c r="R2474" s="12">
        <f>IFERROR(Q2474/P2474/IF(E2474="FUTURE",VLOOKUP(MID(I2474,2,2),[1]Futures!$A$2:$B$12,2),1),"")</f>
        <v>43.314999999999998</v>
      </c>
      <c r="S2474" s="13" t="str">
        <f>IF(AND(H2474="TO CLOSE",P2474=0),-G2474*(M2474-R2473)*IF(E2474="FUTURE",VLOOKUP(MID(I2474,2,2),[1]Futures!$A$2:$B$12,2),1),"")</f>
        <v/>
      </c>
    </row>
    <row r="2475" spans="1:19" x14ac:dyDescent="0.2">
      <c r="A2475">
        <f t="shared" si="116"/>
        <v>804</v>
      </c>
      <c r="B2475" s="3">
        <v>44048</v>
      </c>
      <c r="C2475" s="3" t="str">
        <f t="shared" si="118"/>
        <v>Wednesday</v>
      </c>
      <c r="D2475" s="2">
        <v>0.4123263888888889</v>
      </c>
      <c r="E2475" t="s">
        <v>14</v>
      </c>
      <c r="F2475" t="s">
        <v>15</v>
      </c>
      <c r="G2475">
        <v>-1</v>
      </c>
      <c r="H2475" t="s">
        <v>16</v>
      </c>
      <c r="I2475" t="s">
        <v>81</v>
      </c>
      <c r="J2475" s="1">
        <v>44094</v>
      </c>
      <c r="L2475" t="s">
        <v>14</v>
      </c>
      <c r="M2475">
        <v>43.41</v>
      </c>
      <c r="N2475">
        <v>43.41</v>
      </c>
      <c r="O2475" t="s">
        <v>21</v>
      </c>
      <c r="P2475">
        <f t="shared" si="117"/>
        <v>1</v>
      </c>
      <c r="Q2475" s="11">
        <f>IF(P2475=0,0,IFERROR(Q2474+G2475*M2475*IF(E2475="FUTURE",VLOOKUP(MID(I2475,2,2),[1]Futures!$A$2:$B$12,2),1),G2475*M2475*IF(E2475="FUTURE",VLOOKUP(MID(I2475,2,2),[1]Futures!$A$2:$B$12,2),1)))</f>
        <v>43220</v>
      </c>
      <c r="R2475" s="12">
        <f>IFERROR(Q2475/P2475/IF(E2475="FUTURE",VLOOKUP(MID(I2475,2,2),[1]Futures!$A$2:$B$12,2),1),"")</f>
        <v>43.22</v>
      </c>
      <c r="S2475" s="13" t="str">
        <f>IF(AND(H2475="TO CLOSE",P2475=0),-G2475*(M2475-R2474)*IF(E2475="FUTURE",VLOOKUP(MID(I2475,2,2),[1]Futures!$A$2:$B$12,2),1),"")</f>
        <v/>
      </c>
    </row>
    <row r="2476" spans="1:19" x14ac:dyDescent="0.2">
      <c r="A2476">
        <f t="shared" si="116"/>
        <v>804</v>
      </c>
      <c r="B2476" s="3">
        <v>44048</v>
      </c>
      <c r="C2476" s="3" t="str">
        <f t="shared" si="118"/>
        <v>Wednesday</v>
      </c>
      <c r="D2476" s="2">
        <v>0.4169444444444444</v>
      </c>
      <c r="E2476" t="s">
        <v>14</v>
      </c>
      <c r="F2476" t="s">
        <v>15</v>
      </c>
      <c r="G2476">
        <v>-1</v>
      </c>
      <c r="H2476" t="s">
        <v>16</v>
      </c>
      <c r="I2476" t="s">
        <v>81</v>
      </c>
      <c r="J2476" s="1">
        <v>44094</v>
      </c>
      <c r="L2476" t="s">
        <v>14</v>
      </c>
      <c r="M2476">
        <v>43.42</v>
      </c>
      <c r="N2476">
        <v>43.42</v>
      </c>
      <c r="O2476" t="s">
        <v>21</v>
      </c>
      <c r="P2476">
        <f t="shared" si="117"/>
        <v>0</v>
      </c>
      <c r="Q2476" s="11">
        <f>IF(P2476=0,0,IFERROR(Q2475+G2476*M2476*IF(E2476="FUTURE",VLOOKUP(MID(I2476,2,2),[1]Futures!$A$2:$B$12,2),1),G2476*M2476*IF(E2476="FUTURE",VLOOKUP(MID(I2476,2,2),[1]Futures!$A$2:$B$12,2),1)))</f>
        <v>0</v>
      </c>
      <c r="R2476" s="12" t="str">
        <f>IFERROR(Q2476/P2476/IF(E2476="FUTURE",VLOOKUP(MID(I2476,2,2),[1]Futures!$A$2:$B$12,2),1),"")</f>
        <v/>
      </c>
      <c r="S2476" s="13">
        <f>IF(AND(H2476="TO CLOSE",P2476=0),-G2476*(M2476-R2475)*IF(E2476="FUTURE",VLOOKUP(MID(I2476,2,2),[1]Futures!$A$2:$B$12,2),1),"")</f>
        <v>200.00000000000284</v>
      </c>
    </row>
    <row r="2477" spans="1:19" x14ac:dyDescent="0.2">
      <c r="A2477">
        <f t="shared" si="116"/>
        <v>805</v>
      </c>
      <c r="B2477" s="3">
        <v>44048</v>
      </c>
      <c r="C2477" s="3" t="str">
        <f t="shared" si="118"/>
        <v>Wednesday</v>
      </c>
      <c r="D2477" s="2">
        <v>0.43834490740740745</v>
      </c>
      <c r="E2477" t="s">
        <v>14</v>
      </c>
      <c r="F2477" t="s">
        <v>15</v>
      </c>
      <c r="G2477">
        <v>-1</v>
      </c>
      <c r="H2477" t="s">
        <v>20</v>
      </c>
      <c r="I2477" t="s">
        <v>81</v>
      </c>
      <c r="J2477" s="1">
        <v>44094</v>
      </c>
      <c r="L2477" t="s">
        <v>14</v>
      </c>
      <c r="M2477">
        <v>43.28</v>
      </c>
      <c r="N2477">
        <v>43.28</v>
      </c>
      <c r="O2477" t="s">
        <v>24</v>
      </c>
      <c r="P2477">
        <f t="shared" si="117"/>
        <v>-1</v>
      </c>
      <c r="Q2477" s="11">
        <f>IF(P2477=0,0,IFERROR(Q2476+G2477*M2477*IF(E2477="FUTURE",VLOOKUP(MID(I2477,2,2),[1]Futures!$A$2:$B$12,2),1),G2477*M2477*IF(E2477="FUTURE",VLOOKUP(MID(I2477,2,2),[1]Futures!$A$2:$B$12,2),1)))</f>
        <v>-43280</v>
      </c>
      <c r="R2477" s="12">
        <f>IFERROR(Q2477/P2477/IF(E2477="FUTURE",VLOOKUP(MID(I2477,2,2),[1]Futures!$A$2:$B$12,2),1),"")</f>
        <v>43.28</v>
      </c>
      <c r="S2477" s="13" t="str">
        <f>IF(AND(H2477="TO CLOSE",P2477=0),-G2477*(M2477-R2476)*IF(E2477="FUTURE",VLOOKUP(MID(I2477,2,2),[1]Futures!$A$2:$B$12,2),1),"")</f>
        <v/>
      </c>
    </row>
    <row r="2478" spans="1:19" x14ac:dyDescent="0.2">
      <c r="A2478">
        <f t="shared" si="116"/>
        <v>805</v>
      </c>
      <c r="B2478" s="3">
        <v>44048</v>
      </c>
      <c r="C2478" s="3" t="str">
        <f t="shared" si="118"/>
        <v>Wednesday</v>
      </c>
      <c r="D2478" s="2">
        <v>0.44428240740740743</v>
      </c>
      <c r="E2478" t="s">
        <v>14</v>
      </c>
      <c r="F2478" t="s">
        <v>19</v>
      </c>
      <c r="G2478">
        <v>1</v>
      </c>
      <c r="H2478" t="s">
        <v>16</v>
      </c>
      <c r="I2478" t="s">
        <v>81</v>
      </c>
      <c r="J2478" s="1">
        <v>44094</v>
      </c>
      <c r="L2478" t="s">
        <v>14</v>
      </c>
      <c r="M2478">
        <v>43.02</v>
      </c>
      <c r="N2478">
        <v>43.02</v>
      </c>
      <c r="O2478" t="s">
        <v>21</v>
      </c>
      <c r="P2478">
        <f t="shared" si="117"/>
        <v>0</v>
      </c>
      <c r="Q2478" s="11">
        <f>IF(P2478=0,0,IFERROR(Q2477+G2478*M2478*IF(E2478="FUTURE",VLOOKUP(MID(I2478,2,2),[1]Futures!$A$2:$B$12,2),1),G2478*M2478*IF(E2478="FUTURE",VLOOKUP(MID(I2478,2,2),[1]Futures!$A$2:$B$12,2),1)))</f>
        <v>0</v>
      </c>
      <c r="R2478" s="12" t="str">
        <f>IFERROR(Q2478/P2478/IF(E2478="FUTURE",VLOOKUP(MID(I2478,2,2),[1]Futures!$A$2:$B$12,2),1),"")</f>
        <v/>
      </c>
      <c r="S2478" s="13">
        <f>IF(AND(H2478="TO CLOSE",P2478=0),-G2478*(M2478-R2477)*IF(E2478="FUTURE",VLOOKUP(MID(I2478,2,2),[1]Futures!$A$2:$B$12,2),1),"")</f>
        <v>259.99999999999801</v>
      </c>
    </row>
    <row r="2479" spans="1:19" x14ac:dyDescent="0.2">
      <c r="A2479">
        <f t="shared" si="116"/>
        <v>806</v>
      </c>
      <c r="B2479" s="3">
        <v>44048</v>
      </c>
      <c r="C2479" s="3" t="str">
        <f t="shared" si="118"/>
        <v>Wednesday</v>
      </c>
      <c r="D2479" s="2">
        <v>0.46758101851851852</v>
      </c>
      <c r="E2479" t="s">
        <v>14</v>
      </c>
      <c r="F2479" t="s">
        <v>15</v>
      </c>
      <c r="G2479">
        <v>-1</v>
      </c>
      <c r="H2479" t="s">
        <v>20</v>
      </c>
      <c r="I2479" t="s">
        <v>81</v>
      </c>
      <c r="J2479" s="1">
        <v>44094</v>
      </c>
      <c r="L2479" t="s">
        <v>14</v>
      </c>
      <c r="M2479">
        <v>43.24</v>
      </c>
      <c r="N2479">
        <v>43.24</v>
      </c>
      <c r="O2479" t="s">
        <v>21</v>
      </c>
      <c r="P2479">
        <f t="shared" si="117"/>
        <v>-1</v>
      </c>
      <c r="Q2479" s="11">
        <f>IF(P2479=0,0,IFERROR(Q2478+G2479*M2479*IF(E2479="FUTURE",VLOOKUP(MID(I2479,2,2),[1]Futures!$A$2:$B$12,2),1),G2479*M2479*IF(E2479="FUTURE",VLOOKUP(MID(I2479,2,2),[1]Futures!$A$2:$B$12,2),1)))</f>
        <v>-43240</v>
      </c>
      <c r="R2479" s="12">
        <f>IFERROR(Q2479/P2479/IF(E2479="FUTURE",VLOOKUP(MID(I2479,2,2),[1]Futures!$A$2:$B$12,2),1),"")</f>
        <v>43.24</v>
      </c>
      <c r="S2479" s="13" t="str">
        <f>IF(AND(H2479="TO CLOSE",P2479=0),-G2479*(M2479-R2478)*IF(E2479="FUTURE",VLOOKUP(MID(I2479,2,2),[1]Futures!$A$2:$B$12,2),1),"")</f>
        <v/>
      </c>
    </row>
    <row r="2480" spans="1:19" x14ac:dyDescent="0.2">
      <c r="A2480">
        <f t="shared" si="116"/>
        <v>806</v>
      </c>
      <c r="B2480" s="3">
        <v>44048</v>
      </c>
      <c r="C2480" s="3" t="str">
        <f t="shared" si="118"/>
        <v>Wednesday</v>
      </c>
      <c r="D2480" s="2">
        <v>0.47901620370370374</v>
      </c>
      <c r="E2480" t="s">
        <v>14</v>
      </c>
      <c r="F2480" t="s">
        <v>15</v>
      </c>
      <c r="G2480">
        <v>-1</v>
      </c>
      <c r="H2480" t="s">
        <v>20</v>
      </c>
      <c r="I2480" t="s">
        <v>81</v>
      </c>
      <c r="J2480" s="1">
        <v>44094</v>
      </c>
      <c r="L2480" t="s">
        <v>14</v>
      </c>
      <c r="M2480">
        <v>43.34</v>
      </c>
      <c r="N2480">
        <v>43.34</v>
      </c>
      <c r="O2480" t="s">
        <v>21</v>
      </c>
      <c r="P2480">
        <f t="shared" si="117"/>
        <v>-2</v>
      </c>
      <c r="Q2480" s="11">
        <f>IF(P2480=0,0,IFERROR(Q2479+G2480*M2480*IF(E2480="FUTURE",VLOOKUP(MID(I2480,2,2),[1]Futures!$A$2:$B$12,2),1),G2480*M2480*IF(E2480="FUTURE",VLOOKUP(MID(I2480,2,2),[1]Futures!$A$2:$B$12,2),1)))</f>
        <v>-86580</v>
      </c>
      <c r="R2480" s="12">
        <f>IFERROR(Q2480/P2480/IF(E2480="FUTURE",VLOOKUP(MID(I2480,2,2),[1]Futures!$A$2:$B$12,2),1),"")</f>
        <v>43.29</v>
      </c>
      <c r="S2480" s="13" t="str">
        <f>IF(AND(H2480="TO CLOSE",P2480=0),-G2480*(M2480-R2479)*IF(E2480="FUTURE",VLOOKUP(MID(I2480,2,2),[1]Futures!$A$2:$B$12,2),1),"")</f>
        <v/>
      </c>
    </row>
    <row r="2481" spans="1:19" x14ac:dyDescent="0.2">
      <c r="A2481">
        <f t="shared" si="116"/>
        <v>806</v>
      </c>
      <c r="B2481" s="3">
        <v>44048</v>
      </c>
      <c r="C2481" s="3" t="str">
        <f t="shared" si="118"/>
        <v>Wednesday</v>
      </c>
      <c r="D2481" s="2">
        <v>0.48072916666666665</v>
      </c>
      <c r="E2481" t="s">
        <v>14</v>
      </c>
      <c r="F2481" t="s">
        <v>19</v>
      </c>
      <c r="G2481">
        <v>1</v>
      </c>
      <c r="H2481" t="s">
        <v>16</v>
      </c>
      <c r="I2481" t="s">
        <v>81</v>
      </c>
      <c r="J2481" s="1">
        <v>44094</v>
      </c>
      <c r="L2481" t="s">
        <v>14</v>
      </c>
      <c r="M2481">
        <v>43.28</v>
      </c>
      <c r="N2481">
        <v>43.28</v>
      </c>
      <c r="O2481" t="s">
        <v>21</v>
      </c>
      <c r="P2481">
        <f t="shared" si="117"/>
        <v>-1</v>
      </c>
      <c r="Q2481" s="11">
        <f>IF(P2481=0,0,IFERROR(Q2480+G2481*M2481*IF(E2481="FUTURE",VLOOKUP(MID(I2481,2,2),[1]Futures!$A$2:$B$12,2),1),G2481*M2481*IF(E2481="FUTURE",VLOOKUP(MID(I2481,2,2),[1]Futures!$A$2:$B$12,2),1)))</f>
        <v>-43300</v>
      </c>
      <c r="R2481" s="12">
        <f>IFERROR(Q2481/P2481/IF(E2481="FUTURE",VLOOKUP(MID(I2481,2,2),[1]Futures!$A$2:$B$12,2),1),"")</f>
        <v>43.3</v>
      </c>
      <c r="S2481" s="13" t="str">
        <f>IF(AND(H2481="TO CLOSE",P2481=0),-G2481*(M2481-R2480)*IF(E2481="FUTURE",VLOOKUP(MID(I2481,2,2),[1]Futures!$A$2:$B$12,2),1),"")</f>
        <v/>
      </c>
    </row>
    <row r="2482" spans="1:19" x14ac:dyDescent="0.2">
      <c r="A2482">
        <f t="shared" si="116"/>
        <v>806</v>
      </c>
      <c r="B2482" s="3">
        <v>44048</v>
      </c>
      <c r="C2482" s="3" t="str">
        <f t="shared" si="118"/>
        <v>Wednesday</v>
      </c>
      <c r="D2482" s="2">
        <v>0.4834606481481481</v>
      </c>
      <c r="E2482" t="s">
        <v>14</v>
      </c>
      <c r="F2482" t="s">
        <v>19</v>
      </c>
      <c r="G2482">
        <v>1</v>
      </c>
      <c r="H2482" t="s">
        <v>16</v>
      </c>
      <c r="I2482" t="s">
        <v>81</v>
      </c>
      <c r="J2482" s="1">
        <v>44094</v>
      </c>
      <c r="L2482" t="s">
        <v>14</v>
      </c>
      <c r="M2482">
        <v>43.18</v>
      </c>
      <c r="N2482">
        <v>43.18</v>
      </c>
      <c r="O2482" t="s">
        <v>24</v>
      </c>
      <c r="P2482">
        <f t="shared" si="117"/>
        <v>0</v>
      </c>
      <c r="Q2482" s="11">
        <f>IF(P2482=0,0,IFERROR(Q2481+G2482*M2482*IF(E2482="FUTURE",VLOOKUP(MID(I2482,2,2),[1]Futures!$A$2:$B$12,2),1),G2482*M2482*IF(E2482="FUTURE",VLOOKUP(MID(I2482,2,2),[1]Futures!$A$2:$B$12,2),1)))</f>
        <v>0</v>
      </c>
      <c r="R2482" s="12" t="str">
        <f>IFERROR(Q2482/P2482/IF(E2482="FUTURE",VLOOKUP(MID(I2482,2,2),[1]Futures!$A$2:$B$12,2),1),"")</f>
        <v/>
      </c>
      <c r="S2482" s="13">
        <f>IF(AND(H2482="TO CLOSE",P2482=0),-G2482*(M2482-R2481)*IF(E2482="FUTURE",VLOOKUP(MID(I2482,2,2),[1]Futures!$A$2:$B$12,2),1),"")</f>
        <v>119.99999999999744</v>
      </c>
    </row>
    <row r="2483" spans="1:19" x14ac:dyDescent="0.2">
      <c r="A2483">
        <f t="shared" si="116"/>
        <v>807</v>
      </c>
      <c r="B2483" s="3">
        <v>44048</v>
      </c>
      <c r="C2483" s="3" t="str">
        <f t="shared" si="118"/>
        <v>Wednesday</v>
      </c>
      <c r="D2483" s="2">
        <v>0.39604166666666668</v>
      </c>
      <c r="E2483" t="s">
        <v>14</v>
      </c>
      <c r="F2483" t="s">
        <v>19</v>
      </c>
      <c r="G2483">
        <v>1</v>
      </c>
      <c r="H2483" t="s">
        <v>20</v>
      </c>
      <c r="I2483" t="s">
        <v>79</v>
      </c>
      <c r="J2483" s="1">
        <v>44094</v>
      </c>
      <c r="L2483" t="s">
        <v>14</v>
      </c>
      <c r="M2483">
        <v>3312.25</v>
      </c>
      <c r="N2483">
        <v>3312.25</v>
      </c>
      <c r="O2483" t="s">
        <v>21</v>
      </c>
      <c r="P2483">
        <f t="shared" si="117"/>
        <v>1</v>
      </c>
      <c r="Q2483" s="11">
        <f>IF(P2483=0,0,IFERROR(Q2482+G2483*M2483*IF(E2483="FUTURE",VLOOKUP(MID(I2483,2,2),[1]Futures!$A$2:$B$12,2),1),G2483*M2483*IF(E2483="FUTURE",VLOOKUP(MID(I2483,2,2),[1]Futures!$A$2:$B$12,2),1)))</f>
        <v>165612.5</v>
      </c>
      <c r="R2483" s="12">
        <f>IFERROR(Q2483/P2483/IF(E2483="FUTURE",VLOOKUP(MID(I2483,2,2),[1]Futures!$A$2:$B$12,2),1),"")</f>
        <v>3312.25</v>
      </c>
      <c r="S2483" s="13" t="str">
        <f>IF(AND(H2483="TO CLOSE",P2483=0),-G2483*(M2483-R2482)*IF(E2483="FUTURE",VLOOKUP(MID(I2483,2,2),[1]Futures!$A$2:$B$12,2),1),"")</f>
        <v/>
      </c>
    </row>
    <row r="2484" spans="1:19" x14ac:dyDescent="0.2">
      <c r="A2484">
        <f t="shared" si="116"/>
        <v>807</v>
      </c>
      <c r="B2484" s="3">
        <v>44048</v>
      </c>
      <c r="C2484" s="3" t="str">
        <f t="shared" si="118"/>
        <v>Wednesday</v>
      </c>
      <c r="D2484" s="2">
        <v>0.40738425925925931</v>
      </c>
      <c r="E2484" t="s">
        <v>14</v>
      </c>
      <c r="F2484" t="s">
        <v>15</v>
      </c>
      <c r="G2484">
        <v>-1</v>
      </c>
      <c r="H2484" t="s">
        <v>16</v>
      </c>
      <c r="I2484" t="s">
        <v>79</v>
      </c>
      <c r="J2484" s="1">
        <v>44094</v>
      </c>
      <c r="L2484" t="s">
        <v>14</v>
      </c>
      <c r="M2484">
        <v>3313.25</v>
      </c>
      <c r="N2484">
        <v>3313.25</v>
      </c>
      <c r="O2484" t="s">
        <v>18</v>
      </c>
      <c r="P2484">
        <f t="shared" si="117"/>
        <v>0</v>
      </c>
      <c r="Q2484" s="11">
        <f>IF(P2484=0,0,IFERROR(Q2483+G2484*M2484*IF(E2484="FUTURE",VLOOKUP(MID(I2484,2,2),[1]Futures!$A$2:$B$12,2),1),G2484*M2484*IF(E2484="FUTURE",VLOOKUP(MID(I2484,2,2),[1]Futures!$A$2:$B$12,2),1)))</f>
        <v>0</v>
      </c>
      <c r="R2484" s="12" t="str">
        <f>IFERROR(Q2484/P2484/IF(E2484="FUTURE",VLOOKUP(MID(I2484,2,2),[1]Futures!$A$2:$B$12,2),1),"")</f>
        <v/>
      </c>
      <c r="S2484" s="13">
        <f>IF(AND(H2484="TO CLOSE",P2484=0),-G2484*(M2484-R2483)*IF(E2484="FUTURE",VLOOKUP(MID(I2484,2,2),[1]Futures!$A$2:$B$12,2),1),"")</f>
        <v>50</v>
      </c>
    </row>
    <row r="2485" spans="1:19" x14ac:dyDescent="0.2">
      <c r="A2485">
        <f t="shared" si="116"/>
        <v>808</v>
      </c>
      <c r="B2485" s="3">
        <v>44048</v>
      </c>
      <c r="C2485" s="3" t="str">
        <f t="shared" si="118"/>
        <v>Wednesday</v>
      </c>
      <c r="D2485" s="2">
        <v>0.44331018518518522</v>
      </c>
      <c r="E2485" t="s">
        <v>22</v>
      </c>
      <c r="F2485" t="s">
        <v>19</v>
      </c>
      <c r="G2485">
        <v>300</v>
      </c>
      <c r="H2485" t="s">
        <v>20</v>
      </c>
      <c r="I2485" t="s">
        <v>23</v>
      </c>
      <c r="L2485" t="s">
        <v>22</v>
      </c>
      <c r="M2485">
        <v>27.094999999999999</v>
      </c>
      <c r="N2485">
        <v>27.094999999999999</v>
      </c>
      <c r="O2485" t="s">
        <v>24</v>
      </c>
      <c r="P2485">
        <f t="shared" si="117"/>
        <v>300</v>
      </c>
      <c r="Q2485" s="11">
        <f>IF(P2485=0,0,IFERROR(Q2484+G2485*M2485*IF(E2485="FUTURE",VLOOKUP(MID(I2485,2,2),[1]Futures!$A$2:$B$12,2),1),G2485*M2485*IF(E2485="FUTURE",VLOOKUP(MID(I2485,2,2),[1]Futures!$A$2:$B$12,2),1)))</f>
        <v>8128.5</v>
      </c>
      <c r="R2485" s="12">
        <f>IFERROR(Q2485/P2485/IF(E2485="FUTURE",VLOOKUP(MID(I2485,2,2),[1]Futures!$A$2:$B$12,2),1),"")</f>
        <v>27.094999999999999</v>
      </c>
      <c r="S2485" s="13" t="str">
        <f>IF(AND(H2485="TO CLOSE",P2485=0),-G2485*(M2485-R2484)*IF(E2485="FUTURE",VLOOKUP(MID(I2485,2,2),[1]Futures!$A$2:$B$12,2),1),"")</f>
        <v/>
      </c>
    </row>
    <row r="2486" spans="1:19" x14ac:dyDescent="0.2">
      <c r="A2486">
        <f t="shared" si="116"/>
        <v>808</v>
      </c>
      <c r="B2486" s="3">
        <v>44048</v>
      </c>
      <c r="C2486" s="3" t="str">
        <f t="shared" si="118"/>
        <v>Wednesday</v>
      </c>
      <c r="D2486" s="2">
        <v>0.44510416666666663</v>
      </c>
      <c r="E2486" t="s">
        <v>22</v>
      </c>
      <c r="F2486" t="s">
        <v>15</v>
      </c>
      <c r="G2486">
        <v>-300</v>
      </c>
      <c r="H2486" t="s">
        <v>16</v>
      </c>
      <c r="I2486" t="s">
        <v>23</v>
      </c>
      <c r="L2486" t="s">
        <v>22</v>
      </c>
      <c r="M2486">
        <v>27.1</v>
      </c>
      <c r="N2486">
        <v>27.1</v>
      </c>
      <c r="O2486" t="s">
        <v>21</v>
      </c>
      <c r="P2486">
        <f t="shared" si="117"/>
        <v>0</v>
      </c>
      <c r="Q2486" s="11">
        <f>IF(P2486=0,0,IFERROR(Q2485+G2486*M2486*IF(E2486="FUTURE",VLOOKUP(MID(I2486,2,2),[1]Futures!$A$2:$B$12,2),1),G2486*M2486*IF(E2486="FUTURE",VLOOKUP(MID(I2486,2,2),[1]Futures!$A$2:$B$12,2),1)))</f>
        <v>0</v>
      </c>
      <c r="R2486" s="12" t="str">
        <f>IFERROR(Q2486/P2486/IF(E2486="FUTURE",VLOOKUP(MID(I2486,2,2),[1]Futures!$A$2:$B$12,2),1),"")</f>
        <v/>
      </c>
      <c r="S2486" s="13">
        <f>IF(AND(H2486="TO CLOSE",P2486=0),-G2486*(M2486-R2485)*IF(E2486="FUTURE",VLOOKUP(MID(I2486,2,2),[1]Futures!$A$2:$B$12,2),1),"")</f>
        <v>1.5000000000007674</v>
      </c>
    </row>
    <row r="2487" spans="1:19" x14ac:dyDescent="0.2">
      <c r="A2487">
        <f t="shared" si="116"/>
        <v>809</v>
      </c>
      <c r="B2487" s="3">
        <v>44048</v>
      </c>
      <c r="C2487" s="3" t="str">
        <f t="shared" si="118"/>
        <v>Wednesday</v>
      </c>
      <c r="D2487" s="2">
        <v>0.4642013888888889</v>
      </c>
      <c r="E2487" t="s">
        <v>22</v>
      </c>
      <c r="F2487" t="s">
        <v>19</v>
      </c>
      <c r="G2487">
        <v>400</v>
      </c>
      <c r="H2487" t="s">
        <v>20</v>
      </c>
      <c r="I2487" t="s">
        <v>23</v>
      </c>
      <c r="L2487" t="s">
        <v>22</v>
      </c>
      <c r="M2487">
        <v>27.317699999999999</v>
      </c>
      <c r="N2487">
        <v>27.317699999999999</v>
      </c>
      <c r="O2487" t="s">
        <v>21</v>
      </c>
      <c r="P2487">
        <f t="shared" si="117"/>
        <v>400</v>
      </c>
      <c r="Q2487" s="11">
        <f>IF(P2487=0,0,IFERROR(Q2486+G2487*M2487*IF(E2487="FUTURE",VLOOKUP(MID(I2487,2,2),[1]Futures!$A$2:$B$12,2),1),G2487*M2487*IF(E2487="FUTURE",VLOOKUP(MID(I2487,2,2),[1]Futures!$A$2:$B$12,2),1)))</f>
        <v>10927.08</v>
      </c>
      <c r="R2487" s="12">
        <f>IFERROR(Q2487/P2487/IF(E2487="FUTURE",VLOOKUP(MID(I2487,2,2),[1]Futures!$A$2:$B$12,2),1),"")</f>
        <v>27.317699999999999</v>
      </c>
      <c r="S2487" s="13" t="str">
        <f>IF(AND(H2487="TO CLOSE",P2487=0),-G2487*(M2487-R2486)*IF(E2487="FUTURE",VLOOKUP(MID(I2487,2,2),[1]Futures!$A$2:$B$12,2),1),"")</f>
        <v/>
      </c>
    </row>
    <row r="2488" spans="1:19" x14ac:dyDescent="0.2">
      <c r="A2488">
        <f t="shared" si="116"/>
        <v>809</v>
      </c>
      <c r="B2488" s="3">
        <v>44048</v>
      </c>
      <c r="C2488" s="3" t="str">
        <f t="shared" si="118"/>
        <v>Wednesday</v>
      </c>
      <c r="D2488" s="2">
        <v>0.48159722222222223</v>
      </c>
      <c r="E2488" t="s">
        <v>22</v>
      </c>
      <c r="F2488" t="s">
        <v>15</v>
      </c>
      <c r="G2488">
        <v>-200</v>
      </c>
      <c r="H2488" t="s">
        <v>16</v>
      </c>
      <c r="I2488" t="s">
        <v>23</v>
      </c>
      <c r="L2488" t="s">
        <v>22</v>
      </c>
      <c r="M2488">
        <v>27.400099999999998</v>
      </c>
      <c r="N2488">
        <v>27.400099999999998</v>
      </c>
      <c r="O2488" t="s">
        <v>24</v>
      </c>
      <c r="P2488">
        <f t="shared" si="117"/>
        <v>200</v>
      </c>
      <c r="Q2488" s="11">
        <f>IF(P2488=0,0,IFERROR(Q2487+G2488*M2488*IF(E2488="FUTURE",VLOOKUP(MID(I2488,2,2),[1]Futures!$A$2:$B$12,2),1),G2488*M2488*IF(E2488="FUTURE",VLOOKUP(MID(I2488,2,2),[1]Futures!$A$2:$B$12,2),1)))</f>
        <v>5447.06</v>
      </c>
      <c r="R2488" s="12">
        <f>IFERROR(Q2488/P2488/IF(E2488="FUTURE",VLOOKUP(MID(I2488,2,2),[1]Futures!$A$2:$B$12,2),1),"")</f>
        <v>27.235300000000002</v>
      </c>
      <c r="S2488" s="13" t="str">
        <f>IF(AND(H2488="TO CLOSE",P2488=0),-G2488*(M2488-R2487)*IF(E2488="FUTURE",VLOOKUP(MID(I2488,2,2),[1]Futures!$A$2:$B$12,2),1),"")</f>
        <v/>
      </c>
    </row>
    <row r="2489" spans="1:19" x14ac:dyDescent="0.2">
      <c r="A2489">
        <f t="shared" si="116"/>
        <v>809</v>
      </c>
      <c r="B2489" s="3">
        <v>44048</v>
      </c>
      <c r="C2489" s="3" t="str">
        <f t="shared" si="118"/>
        <v>Wednesday</v>
      </c>
      <c r="D2489" s="2">
        <v>0.4835416666666667</v>
      </c>
      <c r="E2489" t="s">
        <v>22</v>
      </c>
      <c r="F2489" t="s">
        <v>15</v>
      </c>
      <c r="G2489">
        <v>-200</v>
      </c>
      <c r="H2489" t="s">
        <v>16</v>
      </c>
      <c r="I2489" t="s">
        <v>23</v>
      </c>
      <c r="L2489" t="s">
        <v>22</v>
      </c>
      <c r="M2489">
        <v>27.375</v>
      </c>
      <c r="N2489">
        <v>27.375</v>
      </c>
      <c r="O2489" t="s">
        <v>24</v>
      </c>
      <c r="P2489">
        <f t="shared" si="117"/>
        <v>0</v>
      </c>
      <c r="Q2489" s="11">
        <f>IF(P2489=0,0,IFERROR(Q2488+G2489*M2489*IF(E2489="FUTURE",VLOOKUP(MID(I2489,2,2),[1]Futures!$A$2:$B$12,2),1),G2489*M2489*IF(E2489="FUTURE",VLOOKUP(MID(I2489,2,2),[1]Futures!$A$2:$B$12,2),1)))</f>
        <v>0</v>
      </c>
      <c r="R2489" s="12" t="str">
        <f>IFERROR(Q2489/P2489/IF(E2489="FUTURE",VLOOKUP(MID(I2489,2,2),[1]Futures!$A$2:$B$12,2),1),"")</f>
        <v/>
      </c>
      <c r="S2489" s="13">
        <f>IF(AND(H2489="TO CLOSE",P2489=0),-G2489*(M2489-R2488)*IF(E2489="FUTURE",VLOOKUP(MID(I2489,2,2),[1]Futures!$A$2:$B$12,2),1),"")</f>
        <v>27.939999999999543</v>
      </c>
    </row>
    <row r="2490" spans="1:19" x14ac:dyDescent="0.2">
      <c r="A2490">
        <f t="shared" si="116"/>
        <v>810</v>
      </c>
      <c r="B2490" s="3">
        <v>44049</v>
      </c>
      <c r="C2490" s="3" t="str">
        <f t="shared" si="118"/>
        <v>Thursday</v>
      </c>
      <c r="D2490" s="2">
        <v>0.39682870370370371</v>
      </c>
      <c r="E2490" t="s">
        <v>14</v>
      </c>
      <c r="F2490" t="s">
        <v>19</v>
      </c>
      <c r="G2490">
        <v>1</v>
      </c>
      <c r="H2490" t="s">
        <v>20</v>
      </c>
      <c r="I2490" t="s">
        <v>81</v>
      </c>
      <c r="J2490" s="1">
        <v>44094</v>
      </c>
      <c r="L2490" t="s">
        <v>14</v>
      </c>
      <c r="M2490">
        <v>42.57</v>
      </c>
      <c r="N2490">
        <v>42.57</v>
      </c>
      <c r="O2490" t="s">
        <v>24</v>
      </c>
      <c r="P2490">
        <f t="shared" si="117"/>
        <v>1</v>
      </c>
      <c r="Q2490" s="11">
        <f>IF(P2490=0,0,IFERROR(Q2489+G2490*M2490*IF(E2490="FUTURE",VLOOKUP(MID(I2490,2,2),[1]Futures!$A$2:$B$12,2),1),G2490*M2490*IF(E2490="FUTURE",VLOOKUP(MID(I2490,2,2),[1]Futures!$A$2:$B$12,2),1)))</f>
        <v>42570</v>
      </c>
      <c r="R2490" s="12">
        <f>IFERROR(Q2490/P2490/IF(E2490="FUTURE",VLOOKUP(MID(I2490,2,2),[1]Futures!$A$2:$B$12,2),1),"")</f>
        <v>42.57</v>
      </c>
      <c r="S2490" s="13" t="str">
        <f>IF(AND(H2490="TO CLOSE",P2490=0),-G2490*(M2490-R2489)*IF(E2490="FUTURE",VLOOKUP(MID(I2490,2,2),[1]Futures!$A$2:$B$12,2),1),"")</f>
        <v/>
      </c>
    </row>
    <row r="2491" spans="1:19" x14ac:dyDescent="0.2">
      <c r="A2491">
        <f t="shared" si="116"/>
        <v>810</v>
      </c>
      <c r="B2491" s="3">
        <v>44049</v>
      </c>
      <c r="C2491" s="3" t="str">
        <f t="shared" si="118"/>
        <v>Thursday</v>
      </c>
      <c r="D2491" s="2">
        <v>0.39881944444444445</v>
      </c>
      <c r="E2491" t="s">
        <v>14</v>
      </c>
      <c r="F2491" t="s">
        <v>15</v>
      </c>
      <c r="G2491">
        <v>-1</v>
      </c>
      <c r="H2491" t="s">
        <v>16</v>
      </c>
      <c r="I2491" t="s">
        <v>81</v>
      </c>
      <c r="J2491" s="1">
        <v>44094</v>
      </c>
      <c r="L2491" t="s">
        <v>14</v>
      </c>
      <c r="M2491">
        <v>42.62</v>
      </c>
      <c r="N2491">
        <v>42.62</v>
      </c>
      <c r="O2491" t="s">
        <v>21</v>
      </c>
      <c r="P2491">
        <f t="shared" si="117"/>
        <v>0</v>
      </c>
      <c r="Q2491" s="11">
        <f>IF(P2491=0,0,IFERROR(Q2490+G2491*M2491*IF(E2491="FUTURE",VLOOKUP(MID(I2491,2,2),[1]Futures!$A$2:$B$12,2),1),G2491*M2491*IF(E2491="FUTURE",VLOOKUP(MID(I2491,2,2),[1]Futures!$A$2:$B$12,2),1)))</f>
        <v>0</v>
      </c>
      <c r="R2491" s="12" t="str">
        <f>IFERROR(Q2491/P2491/IF(E2491="FUTURE",VLOOKUP(MID(I2491,2,2),[1]Futures!$A$2:$B$12,2),1),"")</f>
        <v/>
      </c>
      <c r="S2491" s="13">
        <f>IF(AND(H2491="TO CLOSE",P2491=0),-G2491*(M2491-R2490)*IF(E2491="FUTURE",VLOOKUP(MID(I2491,2,2),[1]Futures!$A$2:$B$12,2),1),"")</f>
        <v>49.999999999997158</v>
      </c>
    </row>
    <row r="2492" spans="1:19" x14ac:dyDescent="0.2">
      <c r="A2492">
        <f t="shared" si="116"/>
        <v>811</v>
      </c>
      <c r="B2492" s="3">
        <v>44049</v>
      </c>
      <c r="C2492" s="3" t="str">
        <f t="shared" si="118"/>
        <v>Thursday</v>
      </c>
      <c r="D2492" s="2">
        <v>0.44810185185185186</v>
      </c>
      <c r="E2492" t="s">
        <v>14</v>
      </c>
      <c r="F2492" t="s">
        <v>19</v>
      </c>
      <c r="G2492">
        <v>1</v>
      </c>
      <c r="H2492" t="s">
        <v>20</v>
      </c>
      <c r="I2492" t="s">
        <v>81</v>
      </c>
      <c r="J2492" s="1">
        <v>44094</v>
      </c>
      <c r="L2492" t="s">
        <v>14</v>
      </c>
      <c r="M2492">
        <v>42</v>
      </c>
      <c r="N2492">
        <v>42</v>
      </c>
      <c r="O2492" t="s">
        <v>24</v>
      </c>
      <c r="P2492">
        <f t="shared" si="117"/>
        <v>1</v>
      </c>
      <c r="Q2492" s="11">
        <f>IF(P2492=0,0,IFERROR(Q2491+G2492*M2492*IF(E2492="FUTURE",VLOOKUP(MID(I2492,2,2),[1]Futures!$A$2:$B$12,2),1),G2492*M2492*IF(E2492="FUTURE",VLOOKUP(MID(I2492,2,2),[1]Futures!$A$2:$B$12,2),1)))</f>
        <v>42000</v>
      </c>
      <c r="R2492" s="12">
        <f>IFERROR(Q2492/P2492/IF(E2492="FUTURE",VLOOKUP(MID(I2492,2,2),[1]Futures!$A$2:$B$12,2),1),"")</f>
        <v>42</v>
      </c>
      <c r="S2492" s="13" t="str">
        <f>IF(AND(H2492="TO CLOSE",P2492=0),-G2492*(M2492-R2491)*IF(E2492="FUTURE",VLOOKUP(MID(I2492,2,2),[1]Futures!$A$2:$B$12,2),1),"")</f>
        <v/>
      </c>
    </row>
    <row r="2493" spans="1:19" x14ac:dyDescent="0.2">
      <c r="A2493">
        <f t="shared" si="116"/>
        <v>811</v>
      </c>
      <c r="B2493" s="3">
        <v>44049</v>
      </c>
      <c r="C2493" s="3" t="str">
        <f t="shared" si="118"/>
        <v>Thursday</v>
      </c>
      <c r="D2493" s="2">
        <v>0.44936342592592587</v>
      </c>
      <c r="E2493" t="s">
        <v>14</v>
      </c>
      <c r="F2493" t="s">
        <v>15</v>
      </c>
      <c r="G2493">
        <v>-1</v>
      </c>
      <c r="H2493" t="s">
        <v>16</v>
      </c>
      <c r="I2493" t="s">
        <v>81</v>
      </c>
      <c r="J2493" s="1">
        <v>44094</v>
      </c>
      <c r="L2493" t="s">
        <v>14</v>
      </c>
      <c r="M2493">
        <v>42.05</v>
      </c>
      <c r="N2493">
        <v>42.05</v>
      </c>
      <c r="O2493" t="s">
        <v>21</v>
      </c>
      <c r="P2493">
        <f t="shared" si="117"/>
        <v>0</v>
      </c>
      <c r="Q2493" s="11">
        <f>IF(P2493=0,0,IFERROR(Q2492+G2493*M2493*IF(E2493="FUTURE",VLOOKUP(MID(I2493,2,2),[1]Futures!$A$2:$B$12,2),1),G2493*M2493*IF(E2493="FUTURE",VLOOKUP(MID(I2493,2,2),[1]Futures!$A$2:$B$12,2),1)))</f>
        <v>0</v>
      </c>
      <c r="R2493" s="12" t="str">
        <f>IFERROR(Q2493/P2493/IF(E2493="FUTURE",VLOOKUP(MID(I2493,2,2),[1]Futures!$A$2:$B$12,2),1),"")</f>
        <v/>
      </c>
      <c r="S2493" s="13">
        <f>IF(AND(H2493="TO CLOSE",P2493=0),-G2493*(M2493-R2492)*IF(E2493="FUTURE",VLOOKUP(MID(I2493,2,2),[1]Futures!$A$2:$B$12,2),1),"")</f>
        <v>49.999999999997158</v>
      </c>
    </row>
    <row r="2494" spans="1:19" x14ac:dyDescent="0.2">
      <c r="A2494">
        <f t="shared" si="116"/>
        <v>812</v>
      </c>
      <c r="B2494" s="3">
        <v>44049</v>
      </c>
      <c r="C2494" s="3" t="str">
        <f t="shared" si="118"/>
        <v>Thursday</v>
      </c>
      <c r="D2494" s="2">
        <v>0.39723379629629635</v>
      </c>
      <c r="E2494" t="s">
        <v>14</v>
      </c>
      <c r="F2494" t="s">
        <v>19</v>
      </c>
      <c r="G2494">
        <v>1</v>
      </c>
      <c r="H2494" t="s">
        <v>20</v>
      </c>
      <c r="I2494" t="s">
        <v>79</v>
      </c>
      <c r="J2494" s="1">
        <v>44094</v>
      </c>
      <c r="L2494" t="s">
        <v>14</v>
      </c>
      <c r="M2494">
        <v>3317.5</v>
      </c>
      <c r="N2494">
        <v>3317.5</v>
      </c>
      <c r="O2494" t="s">
        <v>24</v>
      </c>
      <c r="P2494">
        <f t="shared" si="117"/>
        <v>1</v>
      </c>
      <c r="Q2494" s="11">
        <f>IF(P2494=0,0,IFERROR(Q2493+G2494*M2494*IF(E2494="FUTURE",VLOOKUP(MID(I2494,2,2),[1]Futures!$A$2:$B$12,2),1),G2494*M2494*IF(E2494="FUTURE",VLOOKUP(MID(I2494,2,2),[1]Futures!$A$2:$B$12,2),1)))</f>
        <v>165875</v>
      </c>
      <c r="R2494" s="12">
        <f>IFERROR(Q2494/P2494/IF(E2494="FUTURE",VLOOKUP(MID(I2494,2,2),[1]Futures!$A$2:$B$12,2),1),"")</f>
        <v>3317.5</v>
      </c>
      <c r="S2494" s="13" t="str">
        <f>IF(AND(H2494="TO CLOSE",P2494=0),-G2494*(M2494-R2493)*IF(E2494="FUTURE",VLOOKUP(MID(I2494,2,2),[1]Futures!$A$2:$B$12,2),1),"")</f>
        <v/>
      </c>
    </row>
    <row r="2495" spans="1:19" x14ac:dyDescent="0.2">
      <c r="A2495">
        <f t="shared" si="116"/>
        <v>812</v>
      </c>
      <c r="B2495" s="3">
        <v>44049</v>
      </c>
      <c r="C2495" s="3" t="str">
        <f t="shared" si="118"/>
        <v>Thursday</v>
      </c>
      <c r="D2495" s="2">
        <v>0.39836805555555554</v>
      </c>
      <c r="E2495" t="s">
        <v>14</v>
      </c>
      <c r="F2495" t="s">
        <v>15</v>
      </c>
      <c r="G2495">
        <v>-1</v>
      </c>
      <c r="H2495" t="s">
        <v>16</v>
      </c>
      <c r="I2495" t="s">
        <v>79</v>
      </c>
      <c r="J2495" s="1">
        <v>44094</v>
      </c>
      <c r="L2495" t="s">
        <v>14</v>
      </c>
      <c r="M2495">
        <v>3318.25</v>
      </c>
      <c r="N2495">
        <v>3318.25</v>
      </c>
      <c r="O2495" t="s">
        <v>21</v>
      </c>
      <c r="P2495">
        <f t="shared" si="117"/>
        <v>0</v>
      </c>
      <c r="Q2495" s="11">
        <f>IF(P2495=0,0,IFERROR(Q2494+G2495*M2495*IF(E2495="FUTURE",VLOOKUP(MID(I2495,2,2),[1]Futures!$A$2:$B$12,2),1),G2495*M2495*IF(E2495="FUTURE",VLOOKUP(MID(I2495,2,2),[1]Futures!$A$2:$B$12,2),1)))</f>
        <v>0</v>
      </c>
      <c r="R2495" s="12" t="str">
        <f>IFERROR(Q2495/P2495/IF(E2495="FUTURE",VLOOKUP(MID(I2495,2,2),[1]Futures!$A$2:$B$12,2),1),"")</f>
        <v/>
      </c>
      <c r="S2495" s="13">
        <f>IF(AND(H2495="TO CLOSE",P2495=0),-G2495*(M2495-R2494)*IF(E2495="FUTURE",VLOOKUP(MID(I2495,2,2),[1]Futures!$A$2:$B$12,2),1),"")</f>
        <v>37.5</v>
      </c>
    </row>
    <row r="2496" spans="1:19" x14ac:dyDescent="0.2">
      <c r="A2496">
        <f t="shared" si="116"/>
        <v>813</v>
      </c>
      <c r="B2496" s="3">
        <v>44049</v>
      </c>
      <c r="C2496" s="3" t="str">
        <f t="shared" si="118"/>
        <v>Thursday</v>
      </c>
      <c r="D2496" s="2">
        <v>0.4029861111111111</v>
      </c>
      <c r="E2496" t="s">
        <v>14</v>
      </c>
      <c r="F2496" t="s">
        <v>19</v>
      </c>
      <c r="G2496">
        <v>1</v>
      </c>
      <c r="H2496" t="s">
        <v>20</v>
      </c>
      <c r="I2496" t="s">
        <v>79</v>
      </c>
      <c r="J2496" s="1">
        <v>44094</v>
      </c>
      <c r="L2496" t="s">
        <v>14</v>
      </c>
      <c r="M2496">
        <v>3315.25</v>
      </c>
      <c r="N2496">
        <v>3315.25</v>
      </c>
      <c r="O2496" t="s">
        <v>24</v>
      </c>
      <c r="P2496">
        <f t="shared" si="117"/>
        <v>1</v>
      </c>
      <c r="Q2496" s="11">
        <f>IF(P2496=0,0,IFERROR(Q2495+G2496*M2496*IF(E2496="FUTURE",VLOOKUP(MID(I2496,2,2),[1]Futures!$A$2:$B$12,2),1),G2496*M2496*IF(E2496="FUTURE",VLOOKUP(MID(I2496,2,2),[1]Futures!$A$2:$B$12,2),1)))</f>
        <v>165762.5</v>
      </c>
      <c r="R2496" s="12">
        <f>IFERROR(Q2496/P2496/IF(E2496="FUTURE",VLOOKUP(MID(I2496,2,2),[1]Futures!$A$2:$B$12,2),1),"")</f>
        <v>3315.25</v>
      </c>
      <c r="S2496" s="13" t="str">
        <f>IF(AND(H2496="TO CLOSE",P2496=0),-G2496*(M2496-R2495)*IF(E2496="FUTURE",VLOOKUP(MID(I2496,2,2),[1]Futures!$A$2:$B$12,2),1),"")</f>
        <v/>
      </c>
    </row>
    <row r="2497" spans="1:19" x14ac:dyDescent="0.2">
      <c r="A2497">
        <f t="shared" si="116"/>
        <v>813</v>
      </c>
      <c r="B2497" s="3">
        <v>44049</v>
      </c>
      <c r="C2497" s="3" t="str">
        <f t="shared" si="118"/>
        <v>Thursday</v>
      </c>
      <c r="D2497" s="2">
        <v>0.41208333333333336</v>
      </c>
      <c r="E2497" t="s">
        <v>14</v>
      </c>
      <c r="F2497" t="s">
        <v>15</v>
      </c>
      <c r="G2497">
        <v>-1</v>
      </c>
      <c r="H2497" t="s">
        <v>16</v>
      </c>
      <c r="I2497" t="s">
        <v>79</v>
      </c>
      <c r="J2497" s="1">
        <v>44094</v>
      </c>
      <c r="L2497" t="s">
        <v>14</v>
      </c>
      <c r="M2497">
        <v>3316.25</v>
      </c>
      <c r="N2497">
        <v>3316.25</v>
      </c>
      <c r="O2497" t="s">
        <v>21</v>
      </c>
      <c r="P2497">
        <f t="shared" si="117"/>
        <v>0</v>
      </c>
      <c r="Q2497" s="11">
        <f>IF(P2497=0,0,IFERROR(Q2496+G2497*M2497*IF(E2497="FUTURE",VLOOKUP(MID(I2497,2,2),[1]Futures!$A$2:$B$12,2),1),G2497*M2497*IF(E2497="FUTURE",VLOOKUP(MID(I2497,2,2),[1]Futures!$A$2:$B$12,2),1)))</f>
        <v>0</v>
      </c>
      <c r="R2497" s="12" t="str">
        <f>IFERROR(Q2497/P2497/IF(E2497="FUTURE",VLOOKUP(MID(I2497,2,2),[1]Futures!$A$2:$B$12,2),1),"")</f>
        <v/>
      </c>
      <c r="S2497" s="13">
        <f>IF(AND(H2497="TO CLOSE",P2497=0),-G2497*(M2497-R2496)*IF(E2497="FUTURE",VLOOKUP(MID(I2497,2,2),[1]Futures!$A$2:$B$12,2),1),"")</f>
        <v>50</v>
      </c>
    </row>
    <row r="2498" spans="1:19" x14ac:dyDescent="0.2">
      <c r="A2498">
        <f t="shared" ref="A2498:A2561" si="119">IF(AND(P2497=0,H2497="TO CLOSE"),IFERROR(A2497+1,1),IFERROR(A2497/1,1))</f>
        <v>814</v>
      </c>
      <c r="B2498" s="3">
        <v>44049</v>
      </c>
      <c r="C2498" s="3" t="str">
        <f t="shared" si="118"/>
        <v>Thursday</v>
      </c>
      <c r="D2498" s="2">
        <v>0.44</v>
      </c>
      <c r="E2498" t="s">
        <v>14</v>
      </c>
      <c r="F2498" t="s">
        <v>15</v>
      </c>
      <c r="G2498">
        <v>-1</v>
      </c>
      <c r="H2498" t="s">
        <v>20</v>
      </c>
      <c r="I2498" t="s">
        <v>79</v>
      </c>
      <c r="J2498" s="1">
        <v>44094</v>
      </c>
      <c r="L2498" t="s">
        <v>14</v>
      </c>
      <c r="M2498">
        <v>3324</v>
      </c>
      <c r="N2498">
        <v>3324</v>
      </c>
      <c r="O2498" t="s">
        <v>24</v>
      </c>
      <c r="P2498">
        <f t="shared" si="117"/>
        <v>-1</v>
      </c>
      <c r="Q2498" s="11">
        <f>IF(P2498=0,0,IFERROR(Q2497+G2498*M2498*IF(E2498="FUTURE",VLOOKUP(MID(I2498,2,2),[1]Futures!$A$2:$B$12,2),1),G2498*M2498*IF(E2498="FUTURE",VLOOKUP(MID(I2498,2,2),[1]Futures!$A$2:$B$12,2),1)))</f>
        <v>-166200</v>
      </c>
      <c r="R2498" s="12">
        <f>IFERROR(Q2498/P2498/IF(E2498="FUTURE",VLOOKUP(MID(I2498,2,2),[1]Futures!$A$2:$B$12,2),1),"")</f>
        <v>3324</v>
      </c>
      <c r="S2498" s="13" t="str">
        <f>IF(AND(H2498="TO CLOSE",P2498=0),-G2498*(M2498-R2497)*IF(E2498="FUTURE",VLOOKUP(MID(I2498,2,2),[1]Futures!$A$2:$B$12,2),1),"")</f>
        <v/>
      </c>
    </row>
    <row r="2499" spans="1:19" x14ac:dyDescent="0.2">
      <c r="A2499">
        <f t="shared" si="119"/>
        <v>814</v>
      </c>
      <c r="B2499" s="3">
        <v>44049</v>
      </c>
      <c r="C2499" s="3" t="str">
        <f t="shared" si="118"/>
        <v>Thursday</v>
      </c>
      <c r="D2499" s="2">
        <v>0.44252314814814814</v>
      </c>
      <c r="E2499" t="s">
        <v>14</v>
      </c>
      <c r="F2499" t="s">
        <v>19</v>
      </c>
      <c r="G2499">
        <v>1</v>
      </c>
      <c r="H2499" t="s">
        <v>16</v>
      </c>
      <c r="I2499" t="s">
        <v>79</v>
      </c>
      <c r="J2499" s="1">
        <v>44094</v>
      </c>
      <c r="L2499" t="s">
        <v>14</v>
      </c>
      <c r="M2499">
        <v>3321.75</v>
      </c>
      <c r="N2499">
        <v>3321.75</v>
      </c>
      <c r="O2499" t="s">
        <v>21</v>
      </c>
      <c r="P2499">
        <f t="shared" ref="P2499:P2562" si="120">IF(H2499="TO OPEN",IFERROR(P2498+G2499,0+G2499),IFERROR(P2498+G2499,0+G2499))</f>
        <v>0</v>
      </c>
      <c r="Q2499" s="11">
        <f>IF(P2499=0,0,IFERROR(Q2498+G2499*M2499*IF(E2499="FUTURE",VLOOKUP(MID(I2499,2,2),[1]Futures!$A$2:$B$12,2),1),G2499*M2499*IF(E2499="FUTURE",VLOOKUP(MID(I2499,2,2),[1]Futures!$A$2:$B$12,2),1)))</f>
        <v>0</v>
      </c>
      <c r="R2499" s="12" t="str">
        <f>IFERROR(Q2499/P2499/IF(E2499="FUTURE",VLOOKUP(MID(I2499,2,2),[1]Futures!$A$2:$B$12,2),1),"")</f>
        <v/>
      </c>
      <c r="S2499" s="13">
        <f>IF(AND(H2499="TO CLOSE",P2499=0),-G2499*(M2499-R2498)*IF(E2499="FUTURE",VLOOKUP(MID(I2499,2,2),[1]Futures!$A$2:$B$12,2),1),"")</f>
        <v>112.5</v>
      </c>
    </row>
    <row r="2500" spans="1:19" x14ac:dyDescent="0.2">
      <c r="A2500">
        <f t="shared" si="119"/>
        <v>815</v>
      </c>
      <c r="B2500" s="3">
        <v>44049</v>
      </c>
      <c r="C2500" s="3" t="str">
        <f t="shared" si="118"/>
        <v>Thursday</v>
      </c>
      <c r="D2500" s="2">
        <v>0.63406249999999997</v>
      </c>
      <c r="E2500" t="s">
        <v>14</v>
      </c>
      <c r="F2500" t="s">
        <v>15</v>
      </c>
      <c r="G2500">
        <v>-1</v>
      </c>
      <c r="H2500" t="s">
        <v>20</v>
      </c>
      <c r="I2500" t="s">
        <v>79</v>
      </c>
      <c r="J2500" s="1">
        <v>44094</v>
      </c>
      <c r="L2500" t="s">
        <v>14</v>
      </c>
      <c r="M2500">
        <v>3339.25</v>
      </c>
      <c r="N2500">
        <v>3339.25</v>
      </c>
      <c r="O2500" t="s">
        <v>21</v>
      </c>
      <c r="P2500">
        <f t="shared" si="120"/>
        <v>-1</v>
      </c>
      <c r="Q2500" s="11">
        <f>IF(P2500=0,0,IFERROR(Q2499+G2500*M2500*IF(E2500="FUTURE",VLOOKUP(MID(I2500,2,2),[1]Futures!$A$2:$B$12,2),1),G2500*M2500*IF(E2500="FUTURE",VLOOKUP(MID(I2500,2,2),[1]Futures!$A$2:$B$12,2),1)))</f>
        <v>-166962.5</v>
      </c>
      <c r="R2500" s="12">
        <f>IFERROR(Q2500/P2500/IF(E2500="FUTURE",VLOOKUP(MID(I2500,2,2),[1]Futures!$A$2:$B$12,2),1),"")</f>
        <v>3339.25</v>
      </c>
      <c r="S2500" s="13" t="str">
        <f>IF(AND(H2500="TO CLOSE",P2500=0),-G2500*(M2500-R2499)*IF(E2500="FUTURE",VLOOKUP(MID(I2500,2,2),[1]Futures!$A$2:$B$12,2),1),"")</f>
        <v/>
      </c>
    </row>
    <row r="2501" spans="1:19" x14ac:dyDescent="0.2">
      <c r="A2501">
        <f t="shared" si="119"/>
        <v>815</v>
      </c>
      <c r="B2501" s="3">
        <v>44049</v>
      </c>
      <c r="C2501" s="3" t="str">
        <f t="shared" si="118"/>
        <v>Thursday</v>
      </c>
      <c r="D2501" s="2">
        <v>0.64347222222222222</v>
      </c>
      <c r="E2501" t="s">
        <v>14</v>
      </c>
      <c r="F2501" t="s">
        <v>19</v>
      </c>
      <c r="G2501">
        <v>1</v>
      </c>
      <c r="H2501" t="s">
        <v>16</v>
      </c>
      <c r="I2501" t="s">
        <v>79</v>
      </c>
      <c r="J2501" s="1">
        <v>44094</v>
      </c>
      <c r="L2501" t="s">
        <v>14</v>
      </c>
      <c r="M2501">
        <v>3338.25</v>
      </c>
      <c r="N2501">
        <v>3338.25</v>
      </c>
      <c r="O2501" t="s">
        <v>21</v>
      </c>
      <c r="P2501">
        <f t="shared" si="120"/>
        <v>0</v>
      </c>
      <c r="Q2501" s="11">
        <f>IF(P2501=0,0,IFERROR(Q2500+G2501*M2501*IF(E2501="FUTURE",VLOOKUP(MID(I2501,2,2),[1]Futures!$A$2:$B$12,2),1),G2501*M2501*IF(E2501="FUTURE",VLOOKUP(MID(I2501,2,2),[1]Futures!$A$2:$B$12,2),1)))</f>
        <v>0</v>
      </c>
      <c r="R2501" s="12" t="str">
        <f>IFERROR(Q2501/P2501/IF(E2501="FUTURE",VLOOKUP(MID(I2501,2,2),[1]Futures!$A$2:$B$12,2),1),"")</f>
        <v/>
      </c>
      <c r="S2501" s="13">
        <f>IF(AND(H2501="TO CLOSE",P2501=0),-G2501*(M2501-R2500)*IF(E2501="FUTURE",VLOOKUP(MID(I2501,2,2),[1]Futures!$A$2:$B$12,2),1),"")</f>
        <v>50</v>
      </c>
    </row>
    <row r="2502" spans="1:19" x14ac:dyDescent="0.2">
      <c r="A2502">
        <f t="shared" si="119"/>
        <v>816</v>
      </c>
      <c r="B2502" s="3">
        <v>44050</v>
      </c>
      <c r="C2502" s="3" t="str">
        <f t="shared" si="118"/>
        <v>Friday</v>
      </c>
      <c r="D2502" s="2">
        <v>0.42318287037037039</v>
      </c>
      <c r="E2502" t="s">
        <v>14</v>
      </c>
      <c r="F2502" t="s">
        <v>19</v>
      </c>
      <c r="G2502">
        <v>1</v>
      </c>
      <c r="H2502" t="s">
        <v>20</v>
      </c>
      <c r="I2502" t="s">
        <v>81</v>
      </c>
      <c r="J2502" s="1">
        <v>44094</v>
      </c>
      <c r="L2502" t="s">
        <v>14</v>
      </c>
      <c r="M2502">
        <v>41.34</v>
      </c>
      <c r="N2502">
        <v>41.34</v>
      </c>
      <c r="O2502" t="s">
        <v>21</v>
      </c>
      <c r="P2502">
        <f t="shared" si="120"/>
        <v>1</v>
      </c>
      <c r="Q2502" s="11">
        <f>IF(P2502=0,0,IFERROR(Q2501+G2502*M2502*IF(E2502="FUTURE",VLOOKUP(MID(I2502,2,2),[1]Futures!$A$2:$B$12,2),1),G2502*M2502*IF(E2502="FUTURE",VLOOKUP(MID(I2502,2,2),[1]Futures!$A$2:$B$12,2),1)))</f>
        <v>41340</v>
      </c>
      <c r="R2502" s="12">
        <f>IFERROR(Q2502/P2502/IF(E2502="FUTURE",VLOOKUP(MID(I2502,2,2),[1]Futures!$A$2:$B$12,2),1),"")</f>
        <v>41.34</v>
      </c>
      <c r="S2502" s="13" t="str">
        <f>IF(AND(H2502="TO CLOSE",P2502=0),-G2502*(M2502-R2501)*IF(E2502="FUTURE",VLOOKUP(MID(I2502,2,2),[1]Futures!$A$2:$B$12,2),1),"")</f>
        <v/>
      </c>
    </row>
    <row r="2503" spans="1:19" x14ac:dyDescent="0.2">
      <c r="A2503">
        <f t="shared" si="119"/>
        <v>816</v>
      </c>
      <c r="B2503" s="3">
        <v>44050</v>
      </c>
      <c r="C2503" s="3" t="str">
        <f t="shared" si="118"/>
        <v>Friday</v>
      </c>
      <c r="D2503" s="2">
        <v>0.4288541666666667</v>
      </c>
      <c r="E2503" t="s">
        <v>14</v>
      </c>
      <c r="F2503" t="s">
        <v>15</v>
      </c>
      <c r="G2503">
        <v>-1</v>
      </c>
      <c r="H2503" t="s">
        <v>16</v>
      </c>
      <c r="I2503" t="s">
        <v>81</v>
      </c>
      <c r="J2503" s="1">
        <v>44094</v>
      </c>
      <c r="L2503" t="s">
        <v>14</v>
      </c>
      <c r="M2503">
        <v>41.38</v>
      </c>
      <c r="N2503">
        <v>41.38</v>
      </c>
      <c r="O2503" t="s">
        <v>21</v>
      </c>
      <c r="P2503">
        <f t="shared" si="120"/>
        <v>0</v>
      </c>
      <c r="Q2503" s="11">
        <f>IF(P2503=0,0,IFERROR(Q2502+G2503*M2503*IF(E2503="FUTURE",VLOOKUP(MID(I2503,2,2),[1]Futures!$A$2:$B$12,2),1),G2503*M2503*IF(E2503="FUTURE",VLOOKUP(MID(I2503,2,2),[1]Futures!$A$2:$B$12,2),1)))</f>
        <v>0</v>
      </c>
      <c r="R2503" s="12" t="str">
        <f>IFERROR(Q2503/P2503/IF(E2503="FUTURE",VLOOKUP(MID(I2503,2,2),[1]Futures!$A$2:$B$12,2),1),"")</f>
        <v/>
      </c>
      <c r="S2503" s="13">
        <f>IF(AND(H2503="TO CLOSE",P2503=0),-G2503*(M2503-R2502)*IF(E2503="FUTURE",VLOOKUP(MID(I2503,2,2),[1]Futures!$A$2:$B$12,2),1),"")</f>
        <v>39.999999999999147</v>
      </c>
    </row>
    <row r="2504" spans="1:19" x14ac:dyDescent="0.2">
      <c r="A2504">
        <f t="shared" si="119"/>
        <v>817</v>
      </c>
      <c r="B2504" s="3">
        <v>44050</v>
      </c>
      <c r="C2504" s="3" t="str">
        <f t="shared" si="118"/>
        <v>Friday</v>
      </c>
      <c r="D2504" s="2">
        <v>0.43564814814814817</v>
      </c>
      <c r="E2504" t="s">
        <v>14</v>
      </c>
      <c r="F2504" t="s">
        <v>19</v>
      </c>
      <c r="G2504">
        <v>2</v>
      </c>
      <c r="H2504" t="s">
        <v>20</v>
      </c>
      <c r="I2504" t="s">
        <v>81</v>
      </c>
      <c r="J2504" s="1">
        <v>44094</v>
      </c>
      <c r="L2504" t="s">
        <v>14</v>
      </c>
      <c r="M2504">
        <v>41.35</v>
      </c>
      <c r="N2504">
        <v>41.35</v>
      </c>
      <c r="O2504" t="s">
        <v>24</v>
      </c>
      <c r="P2504">
        <f t="shared" si="120"/>
        <v>2</v>
      </c>
      <c r="Q2504" s="11">
        <f>IF(P2504=0,0,IFERROR(Q2503+G2504*M2504*IF(E2504="FUTURE",VLOOKUP(MID(I2504,2,2),[1]Futures!$A$2:$B$12,2),1),G2504*M2504*IF(E2504="FUTURE",VLOOKUP(MID(I2504,2,2),[1]Futures!$A$2:$B$12,2),1)))</f>
        <v>82700</v>
      </c>
      <c r="R2504" s="12">
        <f>IFERROR(Q2504/P2504/IF(E2504="FUTURE",VLOOKUP(MID(I2504,2,2),[1]Futures!$A$2:$B$12,2),1),"")</f>
        <v>41.35</v>
      </c>
      <c r="S2504" s="13" t="str">
        <f>IF(AND(H2504="TO CLOSE",P2504=0),-G2504*(M2504-R2503)*IF(E2504="FUTURE",VLOOKUP(MID(I2504,2,2),[1]Futures!$A$2:$B$12,2),1),"")</f>
        <v/>
      </c>
    </row>
    <row r="2505" spans="1:19" x14ac:dyDescent="0.2">
      <c r="A2505">
        <f t="shared" si="119"/>
        <v>817</v>
      </c>
      <c r="B2505" s="3">
        <v>44050</v>
      </c>
      <c r="C2505" s="3" t="str">
        <f t="shared" si="118"/>
        <v>Friday</v>
      </c>
      <c r="D2505" s="2">
        <v>0.44084490740740739</v>
      </c>
      <c r="E2505" t="s">
        <v>14</v>
      </c>
      <c r="F2505" t="s">
        <v>19</v>
      </c>
      <c r="G2505">
        <v>1</v>
      </c>
      <c r="H2505" t="s">
        <v>20</v>
      </c>
      <c r="I2505" t="s">
        <v>81</v>
      </c>
      <c r="J2505" s="1">
        <v>44094</v>
      </c>
      <c r="L2505" t="s">
        <v>14</v>
      </c>
      <c r="M2505">
        <v>41.51</v>
      </c>
      <c r="N2505">
        <v>41.51</v>
      </c>
      <c r="O2505" t="s">
        <v>18</v>
      </c>
      <c r="P2505">
        <f t="shared" si="120"/>
        <v>3</v>
      </c>
      <c r="Q2505" s="11">
        <f>IF(P2505=0,0,IFERROR(Q2504+G2505*M2505*IF(E2505="FUTURE",VLOOKUP(MID(I2505,2,2),[1]Futures!$A$2:$B$12,2),1),G2505*M2505*IF(E2505="FUTURE",VLOOKUP(MID(I2505,2,2),[1]Futures!$A$2:$B$12,2),1)))</f>
        <v>124210</v>
      </c>
      <c r="R2505" s="12">
        <f>IFERROR(Q2505/P2505/IF(E2505="FUTURE",VLOOKUP(MID(I2505,2,2),[1]Futures!$A$2:$B$12,2),1),"")</f>
        <v>41.403333333333336</v>
      </c>
      <c r="S2505" s="13" t="str">
        <f>IF(AND(H2505="TO CLOSE",P2505=0),-G2505*(M2505-R2504)*IF(E2505="FUTURE",VLOOKUP(MID(I2505,2,2),[1]Futures!$A$2:$B$12,2),1),"")</f>
        <v/>
      </c>
    </row>
    <row r="2506" spans="1:19" x14ac:dyDescent="0.2">
      <c r="A2506">
        <f t="shared" si="119"/>
        <v>817</v>
      </c>
      <c r="B2506" s="3">
        <v>44050</v>
      </c>
      <c r="C2506" s="3" t="str">
        <f t="shared" si="118"/>
        <v>Friday</v>
      </c>
      <c r="D2506" s="2">
        <v>0.44775462962962959</v>
      </c>
      <c r="E2506" t="s">
        <v>14</v>
      </c>
      <c r="F2506" t="s">
        <v>15</v>
      </c>
      <c r="G2506">
        <v>-1</v>
      </c>
      <c r="H2506" t="s">
        <v>16</v>
      </c>
      <c r="I2506" t="s">
        <v>81</v>
      </c>
      <c r="J2506" s="1">
        <v>44094</v>
      </c>
      <c r="L2506" t="s">
        <v>14</v>
      </c>
      <c r="M2506">
        <v>41.45</v>
      </c>
      <c r="N2506">
        <v>41.45</v>
      </c>
      <c r="O2506" t="s">
        <v>21</v>
      </c>
      <c r="P2506">
        <f t="shared" si="120"/>
        <v>2</v>
      </c>
      <c r="Q2506" s="11">
        <f>IF(P2506=0,0,IFERROR(Q2505+G2506*M2506*IF(E2506="FUTURE",VLOOKUP(MID(I2506,2,2),[1]Futures!$A$2:$B$12,2),1),G2506*M2506*IF(E2506="FUTURE",VLOOKUP(MID(I2506,2,2),[1]Futures!$A$2:$B$12,2),1)))</f>
        <v>82760</v>
      </c>
      <c r="R2506" s="12">
        <f>IFERROR(Q2506/P2506/IF(E2506="FUTURE",VLOOKUP(MID(I2506,2,2),[1]Futures!$A$2:$B$12,2),1),"")</f>
        <v>41.38</v>
      </c>
      <c r="S2506" s="13" t="str">
        <f>IF(AND(H2506="TO CLOSE",P2506=0),-G2506*(M2506-R2505)*IF(E2506="FUTURE",VLOOKUP(MID(I2506,2,2),[1]Futures!$A$2:$B$12,2),1),"")</f>
        <v/>
      </c>
    </row>
    <row r="2507" spans="1:19" x14ac:dyDescent="0.2">
      <c r="A2507">
        <f t="shared" si="119"/>
        <v>817</v>
      </c>
      <c r="B2507" s="3">
        <v>44050</v>
      </c>
      <c r="C2507" s="3" t="str">
        <f t="shared" si="118"/>
        <v>Friday</v>
      </c>
      <c r="D2507" s="2">
        <v>0.45658564814814812</v>
      </c>
      <c r="E2507" t="s">
        <v>14</v>
      </c>
      <c r="F2507" t="s">
        <v>15</v>
      </c>
      <c r="G2507">
        <v>-2</v>
      </c>
      <c r="H2507" t="s">
        <v>16</v>
      </c>
      <c r="I2507" t="s">
        <v>81</v>
      </c>
      <c r="J2507" s="1">
        <v>44094</v>
      </c>
      <c r="L2507" t="s">
        <v>14</v>
      </c>
      <c r="M2507">
        <v>41.39</v>
      </c>
      <c r="N2507">
        <v>41.39</v>
      </c>
      <c r="O2507" t="s">
        <v>18</v>
      </c>
      <c r="P2507">
        <f t="shared" si="120"/>
        <v>0</v>
      </c>
      <c r="Q2507" s="11">
        <f>IF(P2507=0,0,IFERROR(Q2506+G2507*M2507*IF(E2507="FUTURE",VLOOKUP(MID(I2507,2,2),[1]Futures!$A$2:$B$12,2),1),G2507*M2507*IF(E2507="FUTURE",VLOOKUP(MID(I2507,2,2),[1]Futures!$A$2:$B$12,2),1)))</f>
        <v>0</v>
      </c>
      <c r="R2507" s="12" t="str">
        <f>IFERROR(Q2507/P2507/IF(E2507="FUTURE",VLOOKUP(MID(I2507,2,2),[1]Futures!$A$2:$B$12,2),1),"")</f>
        <v/>
      </c>
      <c r="S2507" s="13">
        <f>IF(AND(H2507="TO CLOSE",P2507=0),-G2507*(M2507-R2506)*IF(E2507="FUTURE",VLOOKUP(MID(I2507,2,2),[1]Futures!$A$2:$B$12,2),1),"")</f>
        <v>19.999999999996021</v>
      </c>
    </row>
    <row r="2508" spans="1:19" x14ac:dyDescent="0.2">
      <c r="A2508">
        <f t="shared" si="119"/>
        <v>818</v>
      </c>
      <c r="B2508" s="3">
        <v>44050</v>
      </c>
      <c r="C2508" s="3" t="str">
        <f t="shared" si="118"/>
        <v>Friday</v>
      </c>
      <c r="D2508" s="2">
        <v>0.46438657407407408</v>
      </c>
      <c r="E2508" t="s">
        <v>14</v>
      </c>
      <c r="F2508" t="s">
        <v>19</v>
      </c>
      <c r="G2508">
        <v>3</v>
      </c>
      <c r="H2508" t="s">
        <v>20</v>
      </c>
      <c r="I2508" t="s">
        <v>81</v>
      </c>
      <c r="J2508" s="1">
        <v>44094</v>
      </c>
      <c r="L2508" t="s">
        <v>14</v>
      </c>
      <c r="M2508">
        <v>41.44</v>
      </c>
      <c r="N2508">
        <v>41.44</v>
      </c>
      <c r="O2508" t="s">
        <v>24</v>
      </c>
      <c r="P2508">
        <f t="shared" si="120"/>
        <v>3</v>
      </c>
      <c r="Q2508" s="11">
        <f>IF(P2508=0,0,IFERROR(Q2507+G2508*M2508*IF(E2508="FUTURE",VLOOKUP(MID(I2508,2,2),[1]Futures!$A$2:$B$12,2),1),G2508*M2508*IF(E2508="FUTURE",VLOOKUP(MID(I2508,2,2),[1]Futures!$A$2:$B$12,2),1)))</f>
        <v>124320</v>
      </c>
      <c r="R2508" s="12">
        <f>IFERROR(Q2508/P2508/IF(E2508="FUTURE",VLOOKUP(MID(I2508,2,2),[1]Futures!$A$2:$B$12,2),1),"")</f>
        <v>41.44</v>
      </c>
      <c r="S2508" s="13" t="str">
        <f>IF(AND(H2508="TO CLOSE",P2508=0),-G2508*(M2508-R2507)*IF(E2508="FUTURE",VLOOKUP(MID(I2508,2,2),[1]Futures!$A$2:$B$12,2),1),"")</f>
        <v/>
      </c>
    </row>
    <row r="2509" spans="1:19" x14ac:dyDescent="0.2">
      <c r="A2509">
        <f t="shared" si="119"/>
        <v>818</v>
      </c>
      <c r="B2509" s="3">
        <v>44050</v>
      </c>
      <c r="C2509" s="3" t="str">
        <f t="shared" si="118"/>
        <v>Friday</v>
      </c>
      <c r="D2509" s="2">
        <v>0.60390046296296296</v>
      </c>
      <c r="E2509" t="s">
        <v>14</v>
      </c>
      <c r="F2509" t="s">
        <v>15</v>
      </c>
      <c r="G2509">
        <v>-3</v>
      </c>
      <c r="H2509" t="s">
        <v>16</v>
      </c>
      <c r="I2509" t="s">
        <v>81</v>
      </c>
      <c r="J2509" s="1">
        <v>44094</v>
      </c>
      <c r="L2509" t="s">
        <v>14</v>
      </c>
      <c r="M2509">
        <v>41.17</v>
      </c>
      <c r="N2509">
        <v>41.17</v>
      </c>
      <c r="O2509" t="s">
        <v>21</v>
      </c>
      <c r="P2509">
        <f t="shared" si="120"/>
        <v>0</v>
      </c>
      <c r="Q2509" s="11">
        <f>IF(P2509=0,0,IFERROR(Q2508+G2509*M2509*IF(E2509="FUTURE",VLOOKUP(MID(I2509,2,2),[1]Futures!$A$2:$B$12,2),1),G2509*M2509*IF(E2509="FUTURE",VLOOKUP(MID(I2509,2,2),[1]Futures!$A$2:$B$12,2),1)))</f>
        <v>0</v>
      </c>
      <c r="R2509" s="12" t="str">
        <f>IFERROR(Q2509/P2509/IF(E2509="FUTURE",VLOOKUP(MID(I2509,2,2),[1]Futures!$A$2:$B$12,2),1),"")</f>
        <v/>
      </c>
      <c r="S2509" s="13">
        <f>IF(AND(H2509="TO CLOSE",P2509=0),-G2509*(M2509-R2508)*IF(E2509="FUTURE",VLOOKUP(MID(I2509,2,2),[1]Futures!$A$2:$B$12,2),1),"")</f>
        <v>-809.99999999998806</v>
      </c>
    </row>
    <row r="2510" spans="1:19" x14ac:dyDescent="0.2">
      <c r="A2510">
        <f t="shared" si="119"/>
        <v>819</v>
      </c>
      <c r="B2510" s="3">
        <v>44050</v>
      </c>
      <c r="C2510" s="3" t="str">
        <f t="shared" si="118"/>
        <v>Friday</v>
      </c>
      <c r="D2510" s="2">
        <v>0.43406250000000002</v>
      </c>
      <c r="E2510" t="s">
        <v>14</v>
      </c>
      <c r="F2510" t="s">
        <v>15</v>
      </c>
      <c r="G2510">
        <v>-3</v>
      </c>
      <c r="H2510" t="s">
        <v>20</v>
      </c>
      <c r="I2510" t="s">
        <v>80</v>
      </c>
      <c r="J2510" s="1">
        <v>44094</v>
      </c>
      <c r="L2510" t="s">
        <v>14</v>
      </c>
      <c r="M2510">
        <v>3333.5</v>
      </c>
      <c r="N2510">
        <v>3333.5</v>
      </c>
      <c r="O2510" t="s">
        <v>21</v>
      </c>
      <c r="P2510">
        <f t="shared" si="120"/>
        <v>-3</v>
      </c>
      <c r="Q2510" s="11">
        <f>IF(P2510=0,0,IFERROR(Q2509+G2510*M2510*IF(E2510="FUTURE",VLOOKUP(MID(I2510,2,2),[1]Futures!$A$2:$B$12,2),1),G2510*M2510*IF(E2510="FUTURE",VLOOKUP(MID(I2510,2,2),[1]Futures!$A$2:$B$12,2),1)))</f>
        <v>-50002.5</v>
      </c>
      <c r="R2510" s="12">
        <f>IFERROR(Q2510/P2510/IF(E2510="FUTURE",VLOOKUP(MID(I2510,2,2),[1]Futures!$A$2:$B$12,2),1),"")</f>
        <v>3333.5</v>
      </c>
      <c r="S2510" s="13" t="str">
        <f>IF(AND(H2510="TO CLOSE",P2510=0),-G2510*(M2510-R2509)*IF(E2510="FUTURE",VLOOKUP(MID(I2510,2,2),[1]Futures!$A$2:$B$12,2),1),"")</f>
        <v/>
      </c>
    </row>
    <row r="2511" spans="1:19" x14ac:dyDescent="0.2">
      <c r="A2511">
        <f t="shared" si="119"/>
        <v>819</v>
      </c>
      <c r="B2511" s="3">
        <v>44050</v>
      </c>
      <c r="C2511" s="3" t="str">
        <f t="shared" si="118"/>
        <v>Friday</v>
      </c>
      <c r="D2511" s="2">
        <v>0.43765046296296295</v>
      </c>
      <c r="E2511" t="s">
        <v>14</v>
      </c>
      <c r="F2511" t="s">
        <v>19</v>
      </c>
      <c r="G2511">
        <v>3</v>
      </c>
      <c r="H2511" t="s">
        <v>16</v>
      </c>
      <c r="I2511" t="s">
        <v>80</v>
      </c>
      <c r="J2511" s="1">
        <v>44094</v>
      </c>
      <c r="L2511" t="s">
        <v>14</v>
      </c>
      <c r="M2511">
        <v>3337.5</v>
      </c>
      <c r="N2511">
        <v>3337.5</v>
      </c>
      <c r="O2511" t="s">
        <v>18</v>
      </c>
      <c r="P2511">
        <f t="shared" si="120"/>
        <v>0</v>
      </c>
      <c r="Q2511" s="11">
        <f>IF(P2511=0,0,IFERROR(Q2510+G2511*M2511*IF(E2511="FUTURE",VLOOKUP(MID(I2511,2,2),[1]Futures!$A$2:$B$12,2),1),G2511*M2511*IF(E2511="FUTURE",VLOOKUP(MID(I2511,2,2),[1]Futures!$A$2:$B$12,2),1)))</f>
        <v>0</v>
      </c>
      <c r="R2511" s="12" t="str">
        <f>IFERROR(Q2511/P2511/IF(E2511="FUTURE",VLOOKUP(MID(I2511,2,2),[1]Futures!$A$2:$B$12,2),1),"")</f>
        <v/>
      </c>
      <c r="S2511" s="13">
        <f>IF(AND(H2511="TO CLOSE",P2511=0),-G2511*(M2511-R2510)*IF(E2511="FUTURE",VLOOKUP(MID(I2511,2,2),[1]Futures!$A$2:$B$12,2),1),"")</f>
        <v>-60</v>
      </c>
    </row>
    <row r="2512" spans="1:19" x14ac:dyDescent="0.2">
      <c r="A2512">
        <f t="shared" si="119"/>
        <v>820</v>
      </c>
      <c r="B2512" s="3">
        <v>44050</v>
      </c>
      <c r="C2512" s="3" t="str">
        <f t="shared" si="118"/>
        <v>Friday</v>
      </c>
      <c r="D2512" s="2">
        <v>0.44262731481481482</v>
      </c>
      <c r="E2512" t="s">
        <v>14</v>
      </c>
      <c r="F2512" t="s">
        <v>19</v>
      </c>
      <c r="G2512">
        <v>2</v>
      </c>
      <c r="H2512" t="s">
        <v>20</v>
      </c>
      <c r="I2512" t="s">
        <v>80</v>
      </c>
      <c r="J2512" s="1">
        <v>44094</v>
      </c>
      <c r="L2512" t="s">
        <v>14</v>
      </c>
      <c r="M2512">
        <v>3341.25</v>
      </c>
      <c r="N2512">
        <v>3341.25</v>
      </c>
      <c r="O2512" t="s">
        <v>24</v>
      </c>
      <c r="P2512">
        <f t="shared" si="120"/>
        <v>2</v>
      </c>
      <c r="Q2512" s="11">
        <f>IF(P2512=0,0,IFERROR(Q2511+G2512*M2512*IF(E2512="FUTURE",VLOOKUP(MID(I2512,2,2),[1]Futures!$A$2:$B$12,2),1),G2512*M2512*IF(E2512="FUTURE",VLOOKUP(MID(I2512,2,2),[1]Futures!$A$2:$B$12,2),1)))</f>
        <v>33412.5</v>
      </c>
      <c r="R2512" s="12">
        <f>IFERROR(Q2512/P2512/IF(E2512="FUTURE",VLOOKUP(MID(I2512,2,2),[1]Futures!$A$2:$B$12,2),1),"")</f>
        <v>3341.25</v>
      </c>
      <c r="S2512" s="13" t="str">
        <f>IF(AND(H2512="TO CLOSE",P2512=0),-G2512*(M2512-R2511)*IF(E2512="FUTURE",VLOOKUP(MID(I2512,2,2),[1]Futures!$A$2:$B$12,2),1),"")</f>
        <v/>
      </c>
    </row>
    <row r="2513" spans="1:19" x14ac:dyDescent="0.2">
      <c r="A2513">
        <f t="shared" si="119"/>
        <v>820</v>
      </c>
      <c r="B2513" s="3">
        <v>44050</v>
      </c>
      <c r="C2513" s="3" t="str">
        <f t="shared" si="118"/>
        <v>Friday</v>
      </c>
      <c r="D2513" s="2">
        <v>0.45743055555555556</v>
      </c>
      <c r="E2513" t="s">
        <v>14</v>
      </c>
      <c r="F2513" t="s">
        <v>15</v>
      </c>
      <c r="G2513">
        <v>-2</v>
      </c>
      <c r="H2513" t="s">
        <v>16</v>
      </c>
      <c r="I2513" t="s">
        <v>80</v>
      </c>
      <c r="J2513" s="1">
        <v>44094</v>
      </c>
      <c r="L2513" t="s">
        <v>14</v>
      </c>
      <c r="M2513">
        <v>3342.5</v>
      </c>
      <c r="N2513">
        <v>3342.5</v>
      </c>
      <c r="O2513" t="s">
        <v>21</v>
      </c>
      <c r="P2513">
        <f t="shared" si="120"/>
        <v>0</v>
      </c>
      <c r="Q2513" s="11">
        <f>IF(P2513=0,0,IFERROR(Q2512+G2513*M2513*IF(E2513="FUTURE",VLOOKUP(MID(I2513,2,2),[1]Futures!$A$2:$B$12,2),1),G2513*M2513*IF(E2513="FUTURE",VLOOKUP(MID(I2513,2,2),[1]Futures!$A$2:$B$12,2),1)))</f>
        <v>0</v>
      </c>
      <c r="R2513" s="12" t="str">
        <f>IFERROR(Q2513/P2513/IF(E2513="FUTURE",VLOOKUP(MID(I2513,2,2),[1]Futures!$A$2:$B$12,2),1),"")</f>
        <v/>
      </c>
      <c r="S2513" s="13">
        <f>IF(AND(H2513="TO CLOSE",P2513=0),-G2513*(M2513-R2512)*IF(E2513="FUTURE",VLOOKUP(MID(I2513,2,2),[1]Futures!$A$2:$B$12,2),1),"")</f>
        <v>12.5</v>
      </c>
    </row>
    <row r="2514" spans="1:19" x14ac:dyDescent="0.2">
      <c r="A2514">
        <f t="shared" si="119"/>
        <v>821</v>
      </c>
      <c r="B2514" s="3">
        <v>44050</v>
      </c>
      <c r="C2514" s="3" t="str">
        <f t="shared" si="118"/>
        <v>Friday</v>
      </c>
      <c r="D2514" s="2">
        <v>0.46114583333333337</v>
      </c>
      <c r="E2514" t="s">
        <v>14</v>
      </c>
      <c r="F2514" t="s">
        <v>15</v>
      </c>
      <c r="G2514">
        <v>-4</v>
      </c>
      <c r="H2514" t="s">
        <v>20</v>
      </c>
      <c r="I2514" t="s">
        <v>80</v>
      </c>
      <c r="J2514" s="1">
        <v>44094</v>
      </c>
      <c r="L2514" t="s">
        <v>14</v>
      </c>
      <c r="M2514">
        <v>3342.25</v>
      </c>
      <c r="N2514">
        <v>3342.25</v>
      </c>
      <c r="O2514" t="s">
        <v>21</v>
      </c>
      <c r="P2514">
        <f t="shared" si="120"/>
        <v>-4</v>
      </c>
      <c r="Q2514" s="11">
        <f>IF(P2514=0,0,IFERROR(Q2513+G2514*M2514*IF(E2514="FUTURE",VLOOKUP(MID(I2514,2,2),[1]Futures!$A$2:$B$12,2),1),G2514*M2514*IF(E2514="FUTURE",VLOOKUP(MID(I2514,2,2),[1]Futures!$A$2:$B$12,2),1)))</f>
        <v>-66845</v>
      </c>
      <c r="R2514" s="12">
        <f>IFERROR(Q2514/P2514/IF(E2514="FUTURE",VLOOKUP(MID(I2514,2,2),[1]Futures!$A$2:$B$12,2),1),"")</f>
        <v>3342.25</v>
      </c>
      <c r="S2514" s="13" t="str">
        <f>IF(AND(H2514="TO CLOSE",P2514=0),-G2514*(M2514-R2513)*IF(E2514="FUTURE",VLOOKUP(MID(I2514,2,2),[1]Futures!$A$2:$B$12,2),1),"")</f>
        <v/>
      </c>
    </row>
    <row r="2515" spans="1:19" x14ac:dyDescent="0.2">
      <c r="A2515">
        <f t="shared" si="119"/>
        <v>821</v>
      </c>
      <c r="B2515" s="3">
        <v>44050</v>
      </c>
      <c r="C2515" s="3" t="str">
        <f t="shared" si="118"/>
        <v>Friday</v>
      </c>
      <c r="D2515" s="2">
        <v>0.46429398148148149</v>
      </c>
      <c r="E2515" t="s">
        <v>14</v>
      </c>
      <c r="F2515" t="s">
        <v>19</v>
      </c>
      <c r="G2515">
        <v>4</v>
      </c>
      <c r="H2515" t="s">
        <v>16</v>
      </c>
      <c r="I2515" t="s">
        <v>80</v>
      </c>
      <c r="J2515" s="1">
        <v>44094</v>
      </c>
      <c r="L2515" t="s">
        <v>14</v>
      </c>
      <c r="M2515">
        <v>3344.25</v>
      </c>
      <c r="N2515">
        <v>3344.25</v>
      </c>
      <c r="O2515" t="s">
        <v>18</v>
      </c>
      <c r="P2515">
        <f t="shared" si="120"/>
        <v>0</v>
      </c>
      <c r="Q2515" s="11">
        <f>IF(P2515=0,0,IFERROR(Q2514+G2515*M2515*IF(E2515="FUTURE",VLOOKUP(MID(I2515,2,2),[1]Futures!$A$2:$B$12,2),1),G2515*M2515*IF(E2515="FUTURE",VLOOKUP(MID(I2515,2,2),[1]Futures!$A$2:$B$12,2),1)))</f>
        <v>0</v>
      </c>
      <c r="R2515" s="12" t="str">
        <f>IFERROR(Q2515/P2515/IF(E2515="FUTURE",VLOOKUP(MID(I2515,2,2),[1]Futures!$A$2:$B$12,2),1),"")</f>
        <v/>
      </c>
      <c r="S2515" s="13">
        <f>IF(AND(H2515="TO CLOSE",P2515=0),-G2515*(M2515-R2514)*IF(E2515="FUTURE",VLOOKUP(MID(I2515,2,2),[1]Futures!$A$2:$B$12,2),1),"")</f>
        <v>-40</v>
      </c>
    </row>
    <row r="2516" spans="1:19" x14ac:dyDescent="0.2">
      <c r="A2516">
        <f t="shared" si="119"/>
        <v>822</v>
      </c>
      <c r="B2516" s="3">
        <v>44050</v>
      </c>
      <c r="C2516" s="3" t="str">
        <f t="shared" si="118"/>
        <v>Friday</v>
      </c>
      <c r="D2516" s="2">
        <v>0.48223379629629631</v>
      </c>
      <c r="E2516" t="s">
        <v>14</v>
      </c>
      <c r="F2516" t="s">
        <v>19</v>
      </c>
      <c r="G2516">
        <v>2</v>
      </c>
      <c r="H2516" t="s">
        <v>20</v>
      </c>
      <c r="I2516" t="s">
        <v>80</v>
      </c>
      <c r="J2516" s="1">
        <v>44094</v>
      </c>
      <c r="L2516" t="s">
        <v>14</v>
      </c>
      <c r="M2516">
        <v>3340.5</v>
      </c>
      <c r="N2516">
        <v>3340.5</v>
      </c>
      <c r="O2516" t="s">
        <v>24</v>
      </c>
      <c r="P2516">
        <f t="shared" si="120"/>
        <v>2</v>
      </c>
      <c r="Q2516" s="11">
        <f>IF(P2516=0,0,IFERROR(Q2515+G2516*M2516*IF(E2516="FUTURE",VLOOKUP(MID(I2516,2,2),[1]Futures!$A$2:$B$12,2),1),G2516*M2516*IF(E2516="FUTURE",VLOOKUP(MID(I2516,2,2),[1]Futures!$A$2:$B$12,2),1)))</f>
        <v>33405</v>
      </c>
      <c r="R2516" s="12">
        <f>IFERROR(Q2516/P2516/IF(E2516="FUTURE",VLOOKUP(MID(I2516,2,2),[1]Futures!$A$2:$B$12,2),1),"")</f>
        <v>3340.5</v>
      </c>
      <c r="S2516" s="13" t="str">
        <f>IF(AND(H2516="TO CLOSE",P2516=0),-G2516*(M2516-R2515)*IF(E2516="FUTURE",VLOOKUP(MID(I2516,2,2),[1]Futures!$A$2:$B$12,2),1),"")</f>
        <v/>
      </c>
    </row>
    <row r="2517" spans="1:19" x14ac:dyDescent="0.2">
      <c r="A2517">
        <f t="shared" si="119"/>
        <v>822</v>
      </c>
      <c r="B2517" s="3">
        <v>44050</v>
      </c>
      <c r="C2517" s="3" t="str">
        <f t="shared" si="118"/>
        <v>Friday</v>
      </c>
      <c r="D2517" s="2">
        <v>0.49851851851851853</v>
      </c>
      <c r="E2517" t="s">
        <v>14</v>
      </c>
      <c r="F2517" t="s">
        <v>15</v>
      </c>
      <c r="G2517">
        <v>-2</v>
      </c>
      <c r="H2517" t="s">
        <v>16</v>
      </c>
      <c r="I2517" t="s">
        <v>80</v>
      </c>
      <c r="J2517" s="1">
        <v>44094</v>
      </c>
      <c r="L2517" t="s">
        <v>14</v>
      </c>
      <c r="M2517">
        <v>3335.25</v>
      </c>
      <c r="N2517">
        <v>3335.25</v>
      </c>
      <c r="O2517" t="s">
        <v>18</v>
      </c>
      <c r="P2517">
        <f t="shared" si="120"/>
        <v>0</v>
      </c>
      <c r="Q2517" s="11">
        <f>IF(P2517=0,0,IFERROR(Q2516+G2517*M2517*IF(E2517="FUTURE",VLOOKUP(MID(I2517,2,2),[1]Futures!$A$2:$B$12,2),1),G2517*M2517*IF(E2517="FUTURE",VLOOKUP(MID(I2517,2,2),[1]Futures!$A$2:$B$12,2),1)))</f>
        <v>0</v>
      </c>
      <c r="R2517" s="12" t="str">
        <f>IFERROR(Q2517/P2517/IF(E2517="FUTURE",VLOOKUP(MID(I2517,2,2),[1]Futures!$A$2:$B$12,2),1),"")</f>
        <v/>
      </c>
      <c r="S2517" s="13">
        <f>IF(AND(H2517="TO CLOSE",P2517=0),-G2517*(M2517-R2516)*IF(E2517="FUTURE",VLOOKUP(MID(I2517,2,2),[1]Futures!$A$2:$B$12,2),1),"")</f>
        <v>-52.5</v>
      </c>
    </row>
    <row r="2518" spans="1:19" x14ac:dyDescent="0.2">
      <c r="A2518">
        <f t="shared" si="119"/>
        <v>823</v>
      </c>
      <c r="B2518" s="3">
        <v>44053</v>
      </c>
      <c r="C2518" s="3" t="str">
        <f t="shared" si="118"/>
        <v>Monday</v>
      </c>
      <c r="D2518" s="2">
        <v>0.39160879629629625</v>
      </c>
      <c r="E2518" t="s">
        <v>14</v>
      </c>
      <c r="F2518" t="s">
        <v>19</v>
      </c>
      <c r="G2518">
        <v>2</v>
      </c>
      <c r="H2518" t="s">
        <v>20</v>
      </c>
      <c r="I2518" t="s">
        <v>81</v>
      </c>
      <c r="J2518" s="1">
        <v>44094</v>
      </c>
      <c r="L2518" t="s">
        <v>14</v>
      </c>
      <c r="M2518">
        <v>41.91</v>
      </c>
      <c r="N2518">
        <v>41.91</v>
      </c>
      <c r="O2518" t="s">
        <v>21</v>
      </c>
      <c r="P2518">
        <f t="shared" si="120"/>
        <v>2</v>
      </c>
      <c r="Q2518" s="11">
        <f>IF(P2518=0,0,IFERROR(Q2517+G2518*M2518*IF(E2518="FUTURE",VLOOKUP(MID(I2518,2,2),[1]Futures!$A$2:$B$12,2),1),G2518*M2518*IF(E2518="FUTURE",VLOOKUP(MID(I2518,2,2),[1]Futures!$A$2:$B$12,2),1)))</f>
        <v>83820</v>
      </c>
      <c r="R2518" s="12">
        <f>IFERROR(Q2518/P2518/IF(E2518="FUTURE",VLOOKUP(MID(I2518,2,2),[1]Futures!$A$2:$B$12,2),1),"")</f>
        <v>41.91</v>
      </c>
      <c r="S2518" s="13" t="str">
        <f>IF(AND(H2518="TO CLOSE",P2518=0),-G2518*(M2518-R2517)*IF(E2518="FUTURE",VLOOKUP(MID(I2518,2,2),[1]Futures!$A$2:$B$12,2),1),"")</f>
        <v/>
      </c>
    </row>
    <row r="2519" spans="1:19" x14ac:dyDescent="0.2">
      <c r="A2519">
        <f t="shared" si="119"/>
        <v>823</v>
      </c>
      <c r="B2519" s="3">
        <v>44053</v>
      </c>
      <c r="C2519" s="3" t="str">
        <f t="shared" si="118"/>
        <v>Monday</v>
      </c>
      <c r="D2519" s="2">
        <v>0.39687500000000003</v>
      </c>
      <c r="E2519" t="s">
        <v>14</v>
      </c>
      <c r="F2519" t="s">
        <v>15</v>
      </c>
      <c r="G2519">
        <v>-1</v>
      </c>
      <c r="H2519" t="s">
        <v>16</v>
      </c>
      <c r="I2519" t="s">
        <v>81</v>
      </c>
      <c r="J2519" s="1">
        <v>44094</v>
      </c>
      <c r="L2519" t="s">
        <v>14</v>
      </c>
      <c r="M2519">
        <v>42.07</v>
      </c>
      <c r="N2519">
        <v>42.07</v>
      </c>
      <c r="O2519" t="s">
        <v>21</v>
      </c>
      <c r="P2519">
        <f t="shared" si="120"/>
        <v>1</v>
      </c>
      <c r="Q2519" s="11">
        <f>IF(P2519=0,0,IFERROR(Q2518+G2519*M2519*IF(E2519="FUTURE",VLOOKUP(MID(I2519,2,2),[1]Futures!$A$2:$B$12,2),1),G2519*M2519*IF(E2519="FUTURE",VLOOKUP(MID(I2519,2,2),[1]Futures!$A$2:$B$12,2),1)))</f>
        <v>41750</v>
      </c>
      <c r="R2519" s="12">
        <f>IFERROR(Q2519/P2519/IF(E2519="FUTURE",VLOOKUP(MID(I2519,2,2),[1]Futures!$A$2:$B$12,2),1),"")</f>
        <v>41.75</v>
      </c>
      <c r="S2519" s="13" t="str">
        <f>IF(AND(H2519="TO CLOSE",P2519=0),-G2519*(M2519-R2518)*IF(E2519="FUTURE",VLOOKUP(MID(I2519,2,2),[1]Futures!$A$2:$B$12,2),1),"")</f>
        <v/>
      </c>
    </row>
    <row r="2520" spans="1:19" x14ac:dyDescent="0.2">
      <c r="A2520">
        <f t="shared" si="119"/>
        <v>823</v>
      </c>
      <c r="B2520" s="3">
        <v>44053</v>
      </c>
      <c r="C2520" s="3" t="str">
        <f t="shared" si="118"/>
        <v>Monday</v>
      </c>
      <c r="D2520" s="2">
        <v>0.39835648148148151</v>
      </c>
      <c r="E2520" t="s">
        <v>14</v>
      </c>
      <c r="F2520" t="s">
        <v>15</v>
      </c>
      <c r="G2520">
        <v>-1</v>
      </c>
      <c r="H2520" t="s">
        <v>16</v>
      </c>
      <c r="I2520" t="s">
        <v>81</v>
      </c>
      <c r="J2520" s="1">
        <v>44094</v>
      </c>
      <c r="L2520" t="s">
        <v>14</v>
      </c>
      <c r="M2520">
        <v>42.1</v>
      </c>
      <c r="N2520">
        <v>42.1</v>
      </c>
      <c r="O2520" t="s">
        <v>21</v>
      </c>
      <c r="P2520">
        <f t="shared" si="120"/>
        <v>0</v>
      </c>
      <c r="Q2520" s="11">
        <f>IF(P2520=0,0,IFERROR(Q2519+G2520*M2520*IF(E2520="FUTURE",VLOOKUP(MID(I2520,2,2),[1]Futures!$A$2:$B$12,2),1),G2520*M2520*IF(E2520="FUTURE",VLOOKUP(MID(I2520,2,2),[1]Futures!$A$2:$B$12,2),1)))</f>
        <v>0</v>
      </c>
      <c r="R2520" s="12" t="str">
        <f>IFERROR(Q2520/P2520/IF(E2520="FUTURE",VLOOKUP(MID(I2520,2,2),[1]Futures!$A$2:$B$12,2),1),"")</f>
        <v/>
      </c>
      <c r="S2520" s="13">
        <f>IF(AND(H2520="TO CLOSE",P2520=0),-G2520*(M2520-R2519)*IF(E2520="FUTURE",VLOOKUP(MID(I2520,2,2),[1]Futures!$A$2:$B$12,2),1),"")</f>
        <v>350.00000000000142</v>
      </c>
    </row>
    <row r="2521" spans="1:19" x14ac:dyDescent="0.2">
      <c r="A2521">
        <f t="shared" si="119"/>
        <v>824</v>
      </c>
      <c r="B2521" s="3">
        <v>44053</v>
      </c>
      <c r="C2521" s="3" t="str">
        <f t="shared" si="118"/>
        <v>Monday</v>
      </c>
      <c r="D2521" s="2">
        <v>0.41547453703703702</v>
      </c>
      <c r="E2521" t="s">
        <v>14</v>
      </c>
      <c r="F2521" t="s">
        <v>19</v>
      </c>
      <c r="G2521">
        <v>2</v>
      </c>
      <c r="H2521" t="s">
        <v>20</v>
      </c>
      <c r="I2521" t="s">
        <v>81</v>
      </c>
      <c r="J2521" s="1">
        <v>44094</v>
      </c>
      <c r="L2521" t="s">
        <v>14</v>
      </c>
      <c r="M2521">
        <v>42.07</v>
      </c>
      <c r="N2521">
        <v>42.07</v>
      </c>
      <c r="O2521" t="s">
        <v>21</v>
      </c>
      <c r="P2521">
        <f t="shared" si="120"/>
        <v>2</v>
      </c>
      <c r="Q2521" s="11">
        <f>IF(P2521=0,0,IFERROR(Q2520+G2521*M2521*IF(E2521="FUTURE",VLOOKUP(MID(I2521,2,2),[1]Futures!$A$2:$B$12,2),1),G2521*M2521*IF(E2521="FUTURE",VLOOKUP(MID(I2521,2,2),[1]Futures!$A$2:$B$12,2),1)))</f>
        <v>84140</v>
      </c>
      <c r="R2521" s="12">
        <f>IFERROR(Q2521/P2521/IF(E2521="FUTURE",VLOOKUP(MID(I2521,2,2),[1]Futures!$A$2:$B$12,2),1),"")</f>
        <v>42.07</v>
      </c>
      <c r="S2521" s="13" t="str">
        <f>IF(AND(H2521="TO CLOSE",P2521=0),-G2521*(M2521-R2520)*IF(E2521="FUTURE",VLOOKUP(MID(I2521,2,2),[1]Futures!$A$2:$B$12,2),1),"")</f>
        <v/>
      </c>
    </row>
    <row r="2522" spans="1:19" x14ac:dyDescent="0.2">
      <c r="A2522">
        <f t="shared" si="119"/>
        <v>824</v>
      </c>
      <c r="B2522" s="3">
        <v>44053</v>
      </c>
      <c r="C2522" s="3" t="str">
        <f t="shared" si="118"/>
        <v>Monday</v>
      </c>
      <c r="D2522" s="2">
        <v>0.42251157407407408</v>
      </c>
      <c r="E2522" t="s">
        <v>14</v>
      </c>
      <c r="F2522" t="s">
        <v>15</v>
      </c>
      <c r="G2522">
        <v>-1</v>
      </c>
      <c r="H2522" t="s">
        <v>16</v>
      </c>
      <c r="I2522" t="s">
        <v>81</v>
      </c>
      <c r="J2522" s="1">
        <v>44094</v>
      </c>
      <c r="L2522" t="s">
        <v>14</v>
      </c>
      <c r="M2522">
        <v>42.15</v>
      </c>
      <c r="N2522">
        <v>42.15</v>
      </c>
      <c r="O2522" t="s">
        <v>21</v>
      </c>
      <c r="P2522">
        <f t="shared" si="120"/>
        <v>1</v>
      </c>
      <c r="Q2522" s="11">
        <f>IF(P2522=0,0,IFERROR(Q2521+G2522*M2522*IF(E2522="FUTURE",VLOOKUP(MID(I2522,2,2),[1]Futures!$A$2:$B$12,2),1),G2522*M2522*IF(E2522="FUTURE",VLOOKUP(MID(I2522,2,2),[1]Futures!$A$2:$B$12,2),1)))</f>
        <v>41990</v>
      </c>
      <c r="R2522" s="12">
        <f>IFERROR(Q2522/P2522/IF(E2522="FUTURE",VLOOKUP(MID(I2522,2,2),[1]Futures!$A$2:$B$12,2),1),"")</f>
        <v>41.99</v>
      </c>
      <c r="S2522" s="13" t="str">
        <f>IF(AND(H2522="TO CLOSE",P2522=0),-G2522*(M2522-R2521)*IF(E2522="FUTURE",VLOOKUP(MID(I2522,2,2),[1]Futures!$A$2:$B$12,2),1),"")</f>
        <v/>
      </c>
    </row>
    <row r="2523" spans="1:19" x14ac:dyDescent="0.2">
      <c r="A2523">
        <f t="shared" si="119"/>
        <v>824</v>
      </c>
      <c r="B2523" s="3">
        <v>44053</v>
      </c>
      <c r="C2523" s="3" t="str">
        <f t="shared" si="118"/>
        <v>Monday</v>
      </c>
      <c r="D2523" s="2">
        <v>0.42359953703703707</v>
      </c>
      <c r="E2523" t="s">
        <v>14</v>
      </c>
      <c r="F2523" t="s">
        <v>15</v>
      </c>
      <c r="G2523">
        <v>-1</v>
      </c>
      <c r="H2523" t="s">
        <v>16</v>
      </c>
      <c r="I2523" t="s">
        <v>81</v>
      </c>
      <c r="J2523" s="1">
        <v>44094</v>
      </c>
      <c r="L2523" t="s">
        <v>14</v>
      </c>
      <c r="M2523">
        <v>42.1</v>
      </c>
      <c r="N2523">
        <v>42.1</v>
      </c>
      <c r="O2523" t="s">
        <v>21</v>
      </c>
      <c r="P2523">
        <f t="shared" si="120"/>
        <v>0</v>
      </c>
      <c r="Q2523" s="11">
        <f>IF(P2523=0,0,IFERROR(Q2522+G2523*M2523*IF(E2523="FUTURE",VLOOKUP(MID(I2523,2,2),[1]Futures!$A$2:$B$12,2),1),G2523*M2523*IF(E2523="FUTURE",VLOOKUP(MID(I2523,2,2),[1]Futures!$A$2:$B$12,2),1)))</f>
        <v>0</v>
      </c>
      <c r="R2523" s="12" t="str">
        <f>IFERROR(Q2523/P2523/IF(E2523="FUTURE",VLOOKUP(MID(I2523,2,2),[1]Futures!$A$2:$B$12,2),1),"")</f>
        <v/>
      </c>
      <c r="S2523" s="13">
        <f>IF(AND(H2523="TO CLOSE",P2523=0),-G2523*(M2523-R2522)*IF(E2523="FUTURE",VLOOKUP(MID(I2523,2,2),[1]Futures!$A$2:$B$12,2),1),"")</f>
        <v>109.99999999999943</v>
      </c>
    </row>
    <row r="2524" spans="1:19" x14ac:dyDescent="0.2">
      <c r="A2524">
        <f t="shared" si="119"/>
        <v>825</v>
      </c>
      <c r="B2524" s="3">
        <v>44053</v>
      </c>
      <c r="C2524" s="3" t="str">
        <f t="shared" si="118"/>
        <v>Monday</v>
      </c>
      <c r="D2524" s="2">
        <v>0.44202546296296297</v>
      </c>
      <c r="E2524" t="s">
        <v>14</v>
      </c>
      <c r="F2524" t="s">
        <v>19</v>
      </c>
      <c r="G2524">
        <v>1</v>
      </c>
      <c r="H2524" t="s">
        <v>20</v>
      </c>
      <c r="I2524" t="s">
        <v>81</v>
      </c>
      <c r="J2524" s="1">
        <v>44094</v>
      </c>
      <c r="L2524" t="s">
        <v>14</v>
      </c>
      <c r="M2524">
        <v>42.07</v>
      </c>
      <c r="N2524">
        <v>42.07</v>
      </c>
      <c r="O2524" t="s">
        <v>24</v>
      </c>
      <c r="P2524">
        <f t="shared" si="120"/>
        <v>1</v>
      </c>
      <c r="Q2524" s="11">
        <f>IF(P2524=0,0,IFERROR(Q2523+G2524*M2524*IF(E2524="FUTURE",VLOOKUP(MID(I2524,2,2),[1]Futures!$A$2:$B$12,2),1),G2524*M2524*IF(E2524="FUTURE",VLOOKUP(MID(I2524,2,2),[1]Futures!$A$2:$B$12,2),1)))</f>
        <v>42070</v>
      </c>
      <c r="R2524" s="12">
        <f>IFERROR(Q2524/P2524/IF(E2524="FUTURE",VLOOKUP(MID(I2524,2,2),[1]Futures!$A$2:$B$12,2),1),"")</f>
        <v>42.07</v>
      </c>
      <c r="S2524" s="13" t="str">
        <f>IF(AND(H2524="TO CLOSE",P2524=0),-G2524*(M2524-R2523)*IF(E2524="FUTURE",VLOOKUP(MID(I2524,2,2),[1]Futures!$A$2:$B$12,2),1),"")</f>
        <v/>
      </c>
    </row>
    <row r="2525" spans="1:19" x14ac:dyDescent="0.2">
      <c r="A2525">
        <f t="shared" si="119"/>
        <v>825</v>
      </c>
      <c r="B2525" s="3">
        <v>44053</v>
      </c>
      <c r="C2525" s="3" t="str">
        <f t="shared" si="118"/>
        <v>Monday</v>
      </c>
      <c r="D2525" s="2">
        <v>0.44881944444444444</v>
      </c>
      <c r="E2525" t="s">
        <v>14</v>
      </c>
      <c r="F2525" t="s">
        <v>19</v>
      </c>
      <c r="G2525">
        <v>1</v>
      </c>
      <c r="H2525" t="s">
        <v>20</v>
      </c>
      <c r="I2525" t="s">
        <v>81</v>
      </c>
      <c r="J2525" s="1">
        <v>44094</v>
      </c>
      <c r="L2525" t="s">
        <v>14</v>
      </c>
      <c r="M2525">
        <v>42</v>
      </c>
      <c r="N2525">
        <v>42</v>
      </c>
      <c r="O2525" t="s">
        <v>24</v>
      </c>
      <c r="P2525">
        <f t="shared" si="120"/>
        <v>2</v>
      </c>
      <c r="Q2525" s="11">
        <f>IF(P2525=0,0,IFERROR(Q2524+G2525*M2525*IF(E2525="FUTURE",VLOOKUP(MID(I2525,2,2),[1]Futures!$A$2:$B$12,2),1),G2525*M2525*IF(E2525="FUTURE",VLOOKUP(MID(I2525,2,2),[1]Futures!$A$2:$B$12,2),1)))</f>
        <v>84070</v>
      </c>
      <c r="R2525" s="12">
        <f>IFERROR(Q2525/P2525/IF(E2525="FUTURE",VLOOKUP(MID(I2525,2,2),[1]Futures!$A$2:$B$12,2),1),"")</f>
        <v>42.034999999999997</v>
      </c>
      <c r="S2525" s="13" t="str">
        <f>IF(AND(H2525="TO CLOSE",P2525=0),-G2525*(M2525-R2524)*IF(E2525="FUTURE",VLOOKUP(MID(I2525,2,2),[1]Futures!$A$2:$B$12,2),1),"")</f>
        <v/>
      </c>
    </row>
    <row r="2526" spans="1:19" x14ac:dyDescent="0.2">
      <c r="A2526">
        <f t="shared" si="119"/>
        <v>825</v>
      </c>
      <c r="B2526" s="3">
        <v>44053</v>
      </c>
      <c r="C2526" s="3" t="str">
        <f t="shared" si="118"/>
        <v>Monday</v>
      </c>
      <c r="D2526" s="2">
        <v>0.4912731481481481</v>
      </c>
      <c r="E2526" t="s">
        <v>14</v>
      </c>
      <c r="F2526" t="s">
        <v>15</v>
      </c>
      <c r="G2526">
        <v>-1</v>
      </c>
      <c r="H2526" t="s">
        <v>16</v>
      </c>
      <c r="I2526" t="s">
        <v>81</v>
      </c>
      <c r="J2526" s="1">
        <v>44094</v>
      </c>
      <c r="L2526" t="s">
        <v>14</v>
      </c>
      <c r="M2526">
        <v>42.06</v>
      </c>
      <c r="N2526">
        <v>42.06</v>
      </c>
      <c r="O2526" t="s">
        <v>21</v>
      </c>
      <c r="P2526">
        <f t="shared" si="120"/>
        <v>1</v>
      </c>
      <c r="Q2526" s="11">
        <f>IF(P2526=0,0,IFERROR(Q2525+G2526*M2526*IF(E2526="FUTURE",VLOOKUP(MID(I2526,2,2),[1]Futures!$A$2:$B$12,2),1),G2526*M2526*IF(E2526="FUTURE",VLOOKUP(MID(I2526,2,2),[1]Futures!$A$2:$B$12,2),1)))</f>
        <v>42010</v>
      </c>
      <c r="R2526" s="12">
        <f>IFERROR(Q2526/P2526/IF(E2526="FUTURE",VLOOKUP(MID(I2526,2,2),[1]Futures!$A$2:$B$12,2),1),"")</f>
        <v>42.01</v>
      </c>
      <c r="S2526" s="13" t="str">
        <f>IF(AND(H2526="TO CLOSE",P2526=0),-G2526*(M2526-R2525)*IF(E2526="FUTURE",VLOOKUP(MID(I2526,2,2),[1]Futures!$A$2:$B$12,2),1),"")</f>
        <v/>
      </c>
    </row>
    <row r="2527" spans="1:19" x14ac:dyDescent="0.2">
      <c r="A2527">
        <f t="shared" si="119"/>
        <v>825</v>
      </c>
      <c r="B2527" s="3">
        <v>44053</v>
      </c>
      <c r="C2527" s="3" t="str">
        <f t="shared" si="118"/>
        <v>Monday</v>
      </c>
      <c r="D2527" s="2">
        <v>0.51184027777777785</v>
      </c>
      <c r="E2527" t="s">
        <v>14</v>
      </c>
      <c r="F2527" t="s">
        <v>15</v>
      </c>
      <c r="G2527">
        <v>-1</v>
      </c>
      <c r="H2527" t="s">
        <v>16</v>
      </c>
      <c r="I2527" t="s">
        <v>81</v>
      </c>
      <c r="J2527" s="1">
        <v>44094</v>
      </c>
      <c r="L2527" t="s">
        <v>14</v>
      </c>
      <c r="M2527">
        <v>42.09</v>
      </c>
      <c r="N2527">
        <v>42.09</v>
      </c>
      <c r="O2527" t="s">
        <v>21</v>
      </c>
      <c r="P2527">
        <f t="shared" si="120"/>
        <v>0</v>
      </c>
      <c r="Q2527" s="11">
        <f>IF(P2527=0,0,IFERROR(Q2526+G2527*M2527*IF(E2527="FUTURE",VLOOKUP(MID(I2527,2,2),[1]Futures!$A$2:$B$12,2),1),G2527*M2527*IF(E2527="FUTURE",VLOOKUP(MID(I2527,2,2),[1]Futures!$A$2:$B$12,2),1)))</f>
        <v>0</v>
      </c>
      <c r="R2527" s="12" t="str">
        <f>IFERROR(Q2527/P2527/IF(E2527="FUTURE",VLOOKUP(MID(I2527,2,2),[1]Futures!$A$2:$B$12,2),1),"")</f>
        <v/>
      </c>
      <c r="S2527" s="13">
        <f>IF(AND(H2527="TO CLOSE",P2527=0),-G2527*(M2527-R2526)*IF(E2527="FUTURE",VLOOKUP(MID(I2527,2,2),[1]Futures!$A$2:$B$12,2),1),"")</f>
        <v>80.0000000000054</v>
      </c>
    </row>
    <row r="2528" spans="1:19" x14ac:dyDescent="0.2">
      <c r="A2528">
        <f t="shared" si="119"/>
        <v>826</v>
      </c>
      <c r="B2528" s="3">
        <v>44053</v>
      </c>
      <c r="C2528" s="3" t="str">
        <f t="shared" si="118"/>
        <v>Monday</v>
      </c>
      <c r="D2528" s="2">
        <v>0.39443287037037034</v>
      </c>
      <c r="E2528" t="s">
        <v>14</v>
      </c>
      <c r="F2528" t="s">
        <v>19</v>
      </c>
      <c r="G2528">
        <v>3</v>
      </c>
      <c r="H2528" t="s">
        <v>20</v>
      </c>
      <c r="I2528" t="s">
        <v>80</v>
      </c>
      <c r="J2528" s="1">
        <v>44094</v>
      </c>
      <c r="L2528" t="s">
        <v>14</v>
      </c>
      <c r="M2528">
        <v>3350</v>
      </c>
      <c r="N2528">
        <v>3350</v>
      </c>
      <c r="O2528" t="s">
        <v>24</v>
      </c>
      <c r="P2528">
        <f t="shared" si="120"/>
        <v>3</v>
      </c>
      <c r="Q2528" s="11">
        <f>IF(P2528=0,0,IFERROR(Q2527+G2528*M2528*IF(E2528="FUTURE",VLOOKUP(MID(I2528,2,2),[1]Futures!$A$2:$B$12,2),1),G2528*M2528*IF(E2528="FUTURE",VLOOKUP(MID(I2528,2,2),[1]Futures!$A$2:$B$12,2),1)))</f>
        <v>50250</v>
      </c>
      <c r="R2528" s="12">
        <f>IFERROR(Q2528/P2528/IF(E2528="FUTURE",VLOOKUP(MID(I2528,2,2),[1]Futures!$A$2:$B$12,2),1),"")</f>
        <v>3350</v>
      </c>
      <c r="S2528" s="13" t="str">
        <f>IF(AND(H2528="TO CLOSE",P2528=0),-G2528*(M2528-R2527)*IF(E2528="FUTURE",VLOOKUP(MID(I2528,2,2),[1]Futures!$A$2:$B$12,2),1),"")</f>
        <v/>
      </c>
    </row>
    <row r="2529" spans="1:19" x14ac:dyDescent="0.2">
      <c r="A2529">
        <f t="shared" si="119"/>
        <v>826</v>
      </c>
      <c r="B2529" s="3">
        <v>44053</v>
      </c>
      <c r="C2529" s="3" t="str">
        <f t="shared" si="118"/>
        <v>Monday</v>
      </c>
      <c r="D2529" s="2">
        <v>0.40680555555555559</v>
      </c>
      <c r="E2529" t="s">
        <v>14</v>
      </c>
      <c r="F2529" t="s">
        <v>19</v>
      </c>
      <c r="G2529">
        <v>1</v>
      </c>
      <c r="H2529" t="s">
        <v>20</v>
      </c>
      <c r="I2529" t="s">
        <v>80</v>
      </c>
      <c r="J2529" s="1">
        <v>44094</v>
      </c>
      <c r="L2529" t="s">
        <v>14</v>
      </c>
      <c r="M2529">
        <v>3354</v>
      </c>
      <c r="N2529">
        <v>3354</v>
      </c>
      <c r="O2529" t="s">
        <v>21</v>
      </c>
      <c r="P2529">
        <f t="shared" si="120"/>
        <v>4</v>
      </c>
      <c r="Q2529" s="11">
        <f>IF(P2529=0,0,IFERROR(Q2528+G2529*M2529*IF(E2529="FUTURE",VLOOKUP(MID(I2529,2,2),[1]Futures!$A$2:$B$12,2),1),G2529*M2529*IF(E2529="FUTURE",VLOOKUP(MID(I2529,2,2),[1]Futures!$A$2:$B$12,2),1)))</f>
        <v>67020</v>
      </c>
      <c r="R2529" s="12">
        <f>IFERROR(Q2529/P2529/IF(E2529="FUTURE",VLOOKUP(MID(I2529,2,2),[1]Futures!$A$2:$B$12,2),1),"")</f>
        <v>3351</v>
      </c>
      <c r="S2529" s="13" t="str">
        <f>IF(AND(H2529="TO CLOSE",P2529=0),-G2529*(M2529-R2528)*IF(E2529="FUTURE",VLOOKUP(MID(I2529,2,2),[1]Futures!$A$2:$B$12,2),1),"")</f>
        <v/>
      </c>
    </row>
    <row r="2530" spans="1:19" x14ac:dyDescent="0.2">
      <c r="A2530">
        <f t="shared" si="119"/>
        <v>826</v>
      </c>
      <c r="B2530" s="3">
        <v>44053</v>
      </c>
      <c r="C2530" s="3" t="str">
        <f t="shared" ref="C2530:C2593" si="121">IF(WEEKDAY(B2530,2)=1,"Monday",IF(WEEKDAY(B2530,2)=2,"Tuesday",IF(WEEKDAY(B2530,2)=3,"Wednesday",IF(WEEKDAY(B2530,2)=4,"Thursday",IF(WEEKDAY(B2530,2)=5,"Friday","Sunday")))))</f>
        <v>Monday</v>
      </c>
      <c r="D2530" s="2">
        <v>0.40680555555555559</v>
      </c>
      <c r="E2530" t="s">
        <v>14</v>
      </c>
      <c r="F2530" t="s">
        <v>19</v>
      </c>
      <c r="G2530">
        <v>2</v>
      </c>
      <c r="H2530" t="s">
        <v>20</v>
      </c>
      <c r="I2530" t="s">
        <v>80</v>
      </c>
      <c r="J2530" s="1">
        <v>44094</v>
      </c>
      <c r="L2530" t="s">
        <v>14</v>
      </c>
      <c r="M2530">
        <v>3354</v>
      </c>
      <c r="N2530">
        <v>3354</v>
      </c>
      <c r="O2530" t="s">
        <v>21</v>
      </c>
      <c r="P2530">
        <f t="shared" si="120"/>
        <v>6</v>
      </c>
      <c r="Q2530" s="11">
        <f>IF(P2530=0,0,IFERROR(Q2529+G2530*M2530*IF(E2530="FUTURE",VLOOKUP(MID(I2530,2,2),[1]Futures!$A$2:$B$12,2),1),G2530*M2530*IF(E2530="FUTURE",VLOOKUP(MID(I2530,2,2),[1]Futures!$A$2:$B$12,2),1)))</f>
        <v>100560</v>
      </c>
      <c r="R2530" s="12">
        <f>IFERROR(Q2530/P2530/IF(E2530="FUTURE",VLOOKUP(MID(I2530,2,2),[1]Futures!$A$2:$B$12,2),1),"")</f>
        <v>3352</v>
      </c>
      <c r="S2530" s="13" t="str">
        <f>IF(AND(H2530="TO CLOSE",P2530=0),-G2530*(M2530-R2529)*IF(E2530="FUTURE",VLOOKUP(MID(I2530,2,2),[1]Futures!$A$2:$B$12,2),1),"")</f>
        <v/>
      </c>
    </row>
    <row r="2531" spans="1:19" x14ac:dyDescent="0.2">
      <c r="A2531">
        <f t="shared" si="119"/>
        <v>826</v>
      </c>
      <c r="B2531" s="3">
        <v>44053</v>
      </c>
      <c r="C2531" s="3" t="str">
        <f t="shared" si="121"/>
        <v>Monday</v>
      </c>
      <c r="D2531" s="2">
        <v>0.45853009259259259</v>
      </c>
      <c r="E2531" t="s">
        <v>14</v>
      </c>
      <c r="F2531" t="s">
        <v>19</v>
      </c>
      <c r="G2531">
        <v>3</v>
      </c>
      <c r="H2531" t="s">
        <v>20</v>
      </c>
      <c r="I2531" t="s">
        <v>80</v>
      </c>
      <c r="J2531" s="1">
        <v>44094</v>
      </c>
      <c r="L2531" t="s">
        <v>14</v>
      </c>
      <c r="M2531">
        <v>3331.25</v>
      </c>
      <c r="N2531">
        <v>3331.25</v>
      </c>
      <c r="O2531" t="s">
        <v>24</v>
      </c>
      <c r="P2531">
        <f t="shared" si="120"/>
        <v>9</v>
      </c>
      <c r="Q2531" s="11">
        <f>IF(P2531=0,0,IFERROR(Q2530+G2531*M2531*IF(E2531="FUTURE",VLOOKUP(MID(I2531,2,2),[1]Futures!$A$2:$B$12,2),1),G2531*M2531*IF(E2531="FUTURE",VLOOKUP(MID(I2531,2,2),[1]Futures!$A$2:$B$12,2),1)))</f>
        <v>150528.75</v>
      </c>
      <c r="R2531" s="12">
        <f>IFERROR(Q2531/P2531/IF(E2531="FUTURE",VLOOKUP(MID(I2531,2,2),[1]Futures!$A$2:$B$12,2),1),"")</f>
        <v>3345.0833333333335</v>
      </c>
      <c r="S2531" s="13" t="str">
        <f>IF(AND(H2531="TO CLOSE",P2531=0),-G2531*(M2531-R2530)*IF(E2531="FUTURE",VLOOKUP(MID(I2531,2,2),[1]Futures!$A$2:$B$12,2),1),"")</f>
        <v/>
      </c>
    </row>
    <row r="2532" spans="1:19" x14ac:dyDescent="0.2">
      <c r="A2532">
        <f t="shared" si="119"/>
        <v>826</v>
      </c>
      <c r="B2532" s="3">
        <v>44053</v>
      </c>
      <c r="C2532" s="3" t="str">
        <f t="shared" si="121"/>
        <v>Monday</v>
      </c>
      <c r="D2532" s="2">
        <v>0.46416666666666667</v>
      </c>
      <c r="E2532" t="s">
        <v>14</v>
      </c>
      <c r="F2532" t="s">
        <v>15</v>
      </c>
      <c r="G2532">
        <v>-3</v>
      </c>
      <c r="H2532" t="s">
        <v>16</v>
      </c>
      <c r="I2532" t="s">
        <v>80</v>
      </c>
      <c r="J2532" s="1">
        <v>44094</v>
      </c>
      <c r="L2532" t="s">
        <v>14</v>
      </c>
      <c r="M2532">
        <v>3337.5</v>
      </c>
      <c r="N2532">
        <v>3337.5</v>
      </c>
      <c r="O2532" t="s">
        <v>21</v>
      </c>
      <c r="P2532">
        <f t="shared" si="120"/>
        <v>6</v>
      </c>
      <c r="Q2532" s="11">
        <f>IF(P2532=0,0,IFERROR(Q2531+G2532*M2532*IF(E2532="FUTURE",VLOOKUP(MID(I2532,2,2),[1]Futures!$A$2:$B$12,2),1),G2532*M2532*IF(E2532="FUTURE",VLOOKUP(MID(I2532,2,2),[1]Futures!$A$2:$B$12,2),1)))</f>
        <v>100466.25</v>
      </c>
      <c r="R2532" s="12">
        <f>IFERROR(Q2532/P2532/IF(E2532="FUTURE",VLOOKUP(MID(I2532,2,2),[1]Futures!$A$2:$B$12,2),1),"")</f>
        <v>3348.875</v>
      </c>
      <c r="S2532" s="13" t="str">
        <f>IF(AND(H2532="TO CLOSE",P2532=0),-G2532*(M2532-R2531)*IF(E2532="FUTURE",VLOOKUP(MID(I2532,2,2),[1]Futures!$A$2:$B$12,2),1),"")</f>
        <v/>
      </c>
    </row>
    <row r="2533" spans="1:19" x14ac:dyDescent="0.2">
      <c r="A2533">
        <f t="shared" si="119"/>
        <v>826</v>
      </c>
      <c r="B2533" s="3">
        <v>44053</v>
      </c>
      <c r="C2533" s="3" t="str">
        <f t="shared" si="121"/>
        <v>Monday</v>
      </c>
      <c r="D2533" s="2">
        <v>0.53771990740740738</v>
      </c>
      <c r="E2533" t="s">
        <v>14</v>
      </c>
      <c r="F2533" t="s">
        <v>15</v>
      </c>
      <c r="G2533">
        <v>-3</v>
      </c>
      <c r="H2533" t="s">
        <v>16</v>
      </c>
      <c r="I2533" t="s">
        <v>80</v>
      </c>
      <c r="J2533" s="1">
        <v>44094</v>
      </c>
      <c r="L2533" t="s">
        <v>14</v>
      </c>
      <c r="M2533">
        <v>3350.5</v>
      </c>
      <c r="N2533">
        <v>3350.5</v>
      </c>
      <c r="O2533" t="s">
        <v>24</v>
      </c>
      <c r="P2533">
        <f t="shared" si="120"/>
        <v>3</v>
      </c>
      <c r="Q2533" s="11">
        <f>IF(P2533=0,0,IFERROR(Q2532+G2533*M2533*IF(E2533="FUTURE",VLOOKUP(MID(I2533,2,2),[1]Futures!$A$2:$B$12,2),1),G2533*M2533*IF(E2533="FUTURE",VLOOKUP(MID(I2533,2,2),[1]Futures!$A$2:$B$12,2),1)))</f>
        <v>50208.75</v>
      </c>
      <c r="R2533" s="12">
        <f>IFERROR(Q2533/P2533/IF(E2533="FUTURE",VLOOKUP(MID(I2533,2,2),[1]Futures!$A$2:$B$12,2),1),"")</f>
        <v>3347.25</v>
      </c>
      <c r="S2533" s="13" t="str">
        <f>IF(AND(H2533="TO CLOSE",P2533=0),-G2533*(M2533-R2532)*IF(E2533="FUTURE",VLOOKUP(MID(I2533,2,2),[1]Futures!$A$2:$B$12,2),1),"")</f>
        <v/>
      </c>
    </row>
    <row r="2534" spans="1:19" x14ac:dyDescent="0.2">
      <c r="A2534">
        <f t="shared" si="119"/>
        <v>826</v>
      </c>
      <c r="B2534" s="3">
        <v>44053</v>
      </c>
      <c r="C2534" s="3" t="str">
        <f t="shared" si="121"/>
        <v>Monday</v>
      </c>
      <c r="D2534" s="2">
        <v>0.53909722222222223</v>
      </c>
      <c r="E2534" t="s">
        <v>14</v>
      </c>
      <c r="F2534" t="s">
        <v>15</v>
      </c>
      <c r="G2534">
        <v>-3</v>
      </c>
      <c r="H2534" t="s">
        <v>16</v>
      </c>
      <c r="I2534" t="s">
        <v>80</v>
      </c>
      <c r="J2534" s="1">
        <v>44094</v>
      </c>
      <c r="L2534" t="s">
        <v>14</v>
      </c>
      <c r="M2534">
        <v>3350.5</v>
      </c>
      <c r="N2534">
        <v>3350.5</v>
      </c>
      <c r="O2534" t="s">
        <v>21</v>
      </c>
      <c r="P2534">
        <f t="shared" si="120"/>
        <v>0</v>
      </c>
      <c r="Q2534" s="11">
        <f>IF(P2534=0,0,IFERROR(Q2533+G2534*M2534*IF(E2534="FUTURE",VLOOKUP(MID(I2534,2,2),[1]Futures!$A$2:$B$12,2),1),G2534*M2534*IF(E2534="FUTURE",VLOOKUP(MID(I2534,2,2),[1]Futures!$A$2:$B$12,2),1)))</f>
        <v>0</v>
      </c>
      <c r="R2534" s="12" t="str">
        <f>IFERROR(Q2534/P2534/IF(E2534="FUTURE",VLOOKUP(MID(I2534,2,2),[1]Futures!$A$2:$B$12,2),1),"")</f>
        <v/>
      </c>
      <c r="S2534" s="13">
        <f>IF(AND(H2534="TO CLOSE",P2534=0),-G2534*(M2534-R2533)*IF(E2534="FUTURE",VLOOKUP(MID(I2534,2,2),[1]Futures!$A$2:$B$12,2),1),"")</f>
        <v>48.75</v>
      </c>
    </row>
    <row r="2535" spans="1:19" x14ac:dyDescent="0.2">
      <c r="A2535">
        <f t="shared" si="119"/>
        <v>827</v>
      </c>
      <c r="B2535" s="3">
        <v>44054</v>
      </c>
      <c r="C2535" s="3" t="str">
        <f t="shared" si="121"/>
        <v>Tuesday</v>
      </c>
      <c r="D2535" s="2">
        <v>0.39869212962962958</v>
      </c>
      <c r="E2535" t="s">
        <v>14</v>
      </c>
      <c r="F2535" t="s">
        <v>15</v>
      </c>
      <c r="G2535">
        <v>-2</v>
      </c>
      <c r="H2535" t="s">
        <v>20</v>
      </c>
      <c r="I2535" t="s">
        <v>81</v>
      </c>
      <c r="J2535" s="1">
        <v>44094</v>
      </c>
      <c r="L2535" t="s">
        <v>14</v>
      </c>
      <c r="M2535">
        <v>42.65</v>
      </c>
      <c r="N2535">
        <v>42.65</v>
      </c>
      <c r="O2535" t="s">
        <v>24</v>
      </c>
      <c r="P2535">
        <f t="shared" si="120"/>
        <v>-2</v>
      </c>
      <c r="Q2535" s="11">
        <f>IF(P2535=0,0,IFERROR(Q2534+G2535*M2535*IF(E2535="FUTURE",VLOOKUP(MID(I2535,2,2),[1]Futures!$A$2:$B$12,2),1),G2535*M2535*IF(E2535="FUTURE",VLOOKUP(MID(I2535,2,2),[1]Futures!$A$2:$B$12,2),1)))</f>
        <v>-85300</v>
      </c>
      <c r="R2535" s="12">
        <f>IFERROR(Q2535/P2535/IF(E2535="FUTURE",VLOOKUP(MID(I2535,2,2),[1]Futures!$A$2:$B$12,2),1),"")</f>
        <v>42.65</v>
      </c>
      <c r="S2535" s="13" t="str">
        <f>IF(AND(H2535="TO CLOSE",P2535=0),-G2535*(M2535-R2534)*IF(E2535="FUTURE",VLOOKUP(MID(I2535,2,2),[1]Futures!$A$2:$B$12,2),1),"")</f>
        <v/>
      </c>
    </row>
    <row r="2536" spans="1:19" x14ac:dyDescent="0.2">
      <c r="A2536">
        <f t="shared" si="119"/>
        <v>827</v>
      </c>
      <c r="B2536" s="3">
        <v>44054</v>
      </c>
      <c r="C2536" s="3" t="str">
        <f t="shared" si="121"/>
        <v>Tuesday</v>
      </c>
      <c r="D2536" s="2">
        <v>0.3994328703703704</v>
      </c>
      <c r="E2536" t="s">
        <v>14</v>
      </c>
      <c r="F2536" t="s">
        <v>19</v>
      </c>
      <c r="G2536">
        <v>1</v>
      </c>
      <c r="H2536" t="s">
        <v>16</v>
      </c>
      <c r="I2536" t="s">
        <v>81</v>
      </c>
      <c r="J2536" s="1">
        <v>44094</v>
      </c>
      <c r="L2536" t="s">
        <v>14</v>
      </c>
      <c r="M2536">
        <v>42.55</v>
      </c>
      <c r="N2536">
        <v>42.55</v>
      </c>
      <c r="O2536" t="s">
        <v>21</v>
      </c>
      <c r="P2536">
        <f t="shared" si="120"/>
        <v>-1</v>
      </c>
      <c r="Q2536" s="11">
        <f>IF(P2536=0,0,IFERROR(Q2535+G2536*M2536*IF(E2536="FUTURE",VLOOKUP(MID(I2536,2,2),[1]Futures!$A$2:$B$12,2),1),G2536*M2536*IF(E2536="FUTURE",VLOOKUP(MID(I2536,2,2),[1]Futures!$A$2:$B$12,2),1)))</f>
        <v>-42750</v>
      </c>
      <c r="R2536" s="12">
        <f>IFERROR(Q2536/P2536/IF(E2536="FUTURE",VLOOKUP(MID(I2536,2,2),[1]Futures!$A$2:$B$12,2),1),"")</f>
        <v>42.75</v>
      </c>
      <c r="S2536" s="13" t="str">
        <f>IF(AND(H2536="TO CLOSE",P2536=0),-G2536*(M2536-R2535)*IF(E2536="FUTURE",VLOOKUP(MID(I2536,2,2),[1]Futures!$A$2:$B$12,2),1),"")</f>
        <v/>
      </c>
    </row>
    <row r="2537" spans="1:19" x14ac:dyDescent="0.2">
      <c r="A2537">
        <f t="shared" si="119"/>
        <v>827</v>
      </c>
      <c r="B2537" s="3">
        <v>44054</v>
      </c>
      <c r="C2537" s="3" t="str">
        <f t="shared" si="121"/>
        <v>Tuesday</v>
      </c>
      <c r="D2537" s="2">
        <v>0.41347222222222224</v>
      </c>
      <c r="E2537" t="s">
        <v>14</v>
      </c>
      <c r="F2537" t="s">
        <v>19</v>
      </c>
      <c r="G2537">
        <v>1</v>
      </c>
      <c r="H2537" t="s">
        <v>16</v>
      </c>
      <c r="I2537" t="s">
        <v>81</v>
      </c>
      <c r="J2537" s="1">
        <v>44094</v>
      </c>
      <c r="L2537" t="s">
        <v>14</v>
      </c>
      <c r="M2537">
        <v>42.58</v>
      </c>
      <c r="N2537">
        <v>42.58</v>
      </c>
      <c r="O2537" t="s">
        <v>21</v>
      </c>
      <c r="P2537">
        <f t="shared" si="120"/>
        <v>0</v>
      </c>
      <c r="Q2537" s="11">
        <f>IF(P2537=0,0,IFERROR(Q2536+G2537*M2537*IF(E2537="FUTURE",VLOOKUP(MID(I2537,2,2),[1]Futures!$A$2:$B$12,2),1),G2537*M2537*IF(E2537="FUTURE",VLOOKUP(MID(I2537,2,2),[1]Futures!$A$2:$B$12,2),1)))</f>
        <v>0</v>
      </c>
      <c r="R2537" s="12" t="str">
        <f>IFERROR(Q2537/P2537/IF(E2537="FUTURE",VLOOKUP(MID(I2537,2,2),[1]Futures!$A$2:$B$12,2),1),"")</f>
        <v/>
      </c>
      <c r="S2537" s="13">
        <f>IF(AND(H2537="TO CLOSE",P2537=0),-G2537*(M2537-R2536)*IF(E2537="FUTURE",VLOOKUP(MID(I2537,2,2),[1]Futures!$A$2:$B$12,2),1),"")</f>
        <v>170.00000000000171</v>
      </c>
    </row>
    <row r="2538" spans="1:19" x14ac:dyDescent="0.2">
      <c r="A2538">
        <f t="shared" si="119"/>
        <v>828</v>
      </c>
      <c r="B2538" s="3">
        <v>44054</v>
      </c>
      <c r="C2538" s="3" t="str">
        <f t="shared" si="121"/>
        <v>Tuesday</v>
      </c>
      <c r="D2538" s="2">
        <v>0.42835648148148148</v>
      </c>
      <c r="E2538" t="s">
        <v>14</v>
      </c>
      <c r="F2538" t="s">
        <v>19</v>
      </c>
      <c r="G2538">
        <v>1</v>
      </c>
      <c r="H2538" t="s">
        <v>20</v>
      </c>
      <c r="I2538" t="s">
        <v>81</v>
      </c>
      <c r="J2538" s="1">
        <v>44094</v>
      </c>
      <c r="L2538" t="s">
        <v>14</v>
      </c>
      <c r="M2538">
        <v>42.39</v>
      </c>
      <c r="N2538">
        <v>42.39</v>
      </c>
      <c r="O2538" t="s">
        <v>24</v>
      </c>
      <c r="P2538">
        <f t="shared" si="120"/>
        <v>1</v>
      </c>
      <c r="Q2538" s="11">
        <f>IF(P2538=0,0,IFERROR(Q2537+G2538*M2538*IF(E2538="FUTURE",VLOOKUP(MID(I2538,2,2),[1]Futures!$A$2:$B$12,2),1),G2538*M2538*IF(E2538="FUTURE",VLOOKUP(MID(I2538,2,2),[1]Futures!$A$2:$B$12,2),1)))</f>
        <v>42390</v>
      </c>
      <c r="R2538" s="12">
        <f>IFERROR(Q2538/P2538/IF(E2538="FUTURE",VLOOKUP(MID(I2538,2,2),[1]Futures!$A$2:$B$12,2),1),"")</f>
        <v>42.39</v>
      </c>
      <c r="S2538" s="13" t="str">
        <f>IF(AND(H2538="TO CLOSE",P2538=0),-G2538*(M2538-R2537)*IF(E2538="FUTURE",VLOOKUP(MID(I2538,2,2),[1]Futures!$A$2:$B$12,2),1),"")</f>
        <v/>
      </c>
    </row>
    <row r="2539" spans="1:19" x14ac:dyDescent="0.2">
      <c r="A2539">
        <f t="shared" si="119"/>
        <v>828</v>
      </c>
      <c r="B2539" s="3">
        <v>44054</v>
      </c>
      <c r="C2539" s="3" t="str">
        <f t="shared" si="121"/>
        <v>Tuesday</v>
      </c>
      <c r="D2539" s="2">
        <v>0.4291666666666667</v>
      </c>
      <c r="E2539" t="s">
        <v>14</v>
      </c>
      <c r="F2539" t="s">
        <v>15</v>
      </c>
      <c r="G2539">
        <v>-1</v>
      </c>
      <c r="H2539" t="s">
        <v>16</v>
      </c>
      <c r="I2539" t="s">
        <v>81</v>
      </c>
      <c r="J2539" s="1">
        <v>44094</v>
      </c>
      <c r="L2539" t="s">
        <v>14</v>
      </c>
      <c r="M2539">
        <v>42.44</v>
      </c>
      <c r="N2539">
        <v>42.44</v>
      </c>
      <c r="O2539" t="s">
        <v>21</v>
      </c>
      <c r="P2539">
        <f t="shared" si="120"/>
        <v>0</v>
      </c>
      <c r="Q2539" s="11">
        <f>IF(P2539=0,0,IFERROR(Q2538+G2539*M2539*IF(E2539="FUTURE",VLOOKUP(MID(I2539,2,2),[1]Futures!$A$2:$B$12,2),1),G2539*M2539*IF(E2539="FUTURE",VLOOKUP(MID(I2539,2,2),[1]Futures!$A$2:$B$12,2),1)))</f>
        <v>0</v>
      </c>
      <c r="R2539" s="12" t="str">
        <f>IFERROR(Q2539/P2539/IF(E2539="FUTURE",VLOOKUP(MID(I2539,2,2),[1]Futures!$A$2:$B$12,2),1),"")</f>
        <v/>
      </c>
      <c r="S2539" s="13">
        <f>IF(AND(H2539="TO CLOSE",P2539=0),-G2539*(M2539-R2538)*IF(E2539="FUTURE",VLOOKUP(MID(I2539,2,2),[1]Futures!$A$2:$B$12,2),1),"")</f>
        <v>49.999999999997158</v>
      </c>
    </row>
    <row r="2540" spans="1:19" x14ac:dyDescent="0.2">
      <c r="A2540">
        <f t="shared" si="119"/>
        <v>829</v>
      </c>
      <c r="B2540" s="3">
        <v>44054</v>
      </c>
      <c r="C2540" s="3" t="str">
        <f t="shared" si="121"/>
        <v>Tuesday</v>
      </c>
      <c r="D2540" s="2">
        <v>0.43361111111111111</v>
      </c>
      <c r="E2540" t="s">
        <v>14</v>
      </c>
      <c r="F2540" t="s">
        <v>19</v>
      </c>
      <c r="G2540">
        <v>1</v>
      </c>
      <c r="H2540" t="s">
        <v>20</v>
      </c>
      <c r="I2540" t="s">
        <v>81</v>
      </c>
      <c r="J2540" s="1">
        <v>44094</v>
      </c>
      <c r="L2540" t="s">
        <v>14</v>
      </c>
      <c r="M2540">
        <v>42.41</v>
      </c>
      <c r="N2540">
        <v>42.41</v>
      </c>
      <c r="O2540" t="s">
        <v>24</v>
      </c>
      <c r="P2540">
        <f t="shared" si="120"/>
        <v>1</v>
      </c>
      <c r="Q2540" s="11">
        <f>IF(P2540=0,0,IFERROR(Q2539+G2540*M2540*IF(E2540="FUTURE",VLOOKUP(MID(I2540,2,2),[1]Futures!$A$2:$B$12,2),1),G2540*M2540*IF(E2540="FUTURE",VLOOKUP(MID(I2540,2,2),[1]Futures!$A$2:$B$12,2),1)))</f>
        <v>42410</v>
      </c>
      <c r="R2540" s="12">
        <f>IFERROR(Q2540/P2540/IF(E2540="FUTURE",VLOOKUP(MID(I2540,2,2),[1]Futures!$A$2:$B$12,2),1),"")</f>
        <v>42.41</v>
      </c>
      <c r="S2540" s="13" t="str">
        <f>IF(AND(H2540="TO CLOSE",P2540=0),-G2540*(M2540-R2539)*IF(E2540="FUTURE",VLOOKUP(MID(I2540,2,2),[1]Futures!$A$2:$B$12,2),1),"")</f>
        <v/>
      </c>
    </row>
    <row r="2541" spans="1:19" x14ac:dyDescent="0.2">
      <c r="A2541">
        <f t="shared" si="119"/>
        <v>829</v>
      </c>
      <c r="B2541" s="3">
        <v>44054</v>
      </c>
      <c r="C2541" s="3" t="str">
        <f t="shared" si="121"/>
        <v>Tuesday</v>
      </c>
      <c r="D2541" s="2">
        <v>0.43637731481481484</v>
      </c>
      <c r="E2541" t="s">
        <v>14</v>
      </c>
      <c r="F2541" t="s">
        <v>19</v>
      </c>
      <c r="G2541">
        <v>1</v>
      </c>
      <c r="H2541" t="s">
        <v>20</v>
      </c>
      <c r="I2541" t="s">
        <v>81</v>
      </c>
      <c r="J2541" s="1">
        <v>44094</v>
      </c>
      <c r="L2541" t="s">
        <v>14</v>
      </c>
      <c r="M2541">
        <v>42.48</v>
      </c>
      <c r="N2541">
        <v>42.48</v>
      </c>
      <c r="O2541" t="s">
        <v>18</v>
      </c>
      <c r="P2541">
        <f t="shared" si="120"/>
        <v>2</v>
      </c>
      <c r="Q2541" s="11">
        <f>IF(P2541=0,0,IFERROR(Q2540+G2541*M2541*IF(E2541="FUTURE",VLOOKUP(MID(I2541,2,2),[1]Futures!$A$2:$B$12,2),1),G2541*M2541*IF(E2541="FUTURE",VLOOKUP(MID(I2541,2,2),[1]Futures!$A$2:$B$12,2),1)))</f>
        <v>84890</v>
      </c>
      <c r="R2541" s="12">
        <f>IFERROR(Q2541/P2541/IF(E2541="FUTURE",VLOOKUP(MID(I2541,2,2),[1]Futures!$A$2:$B$12,2),1),"")</f>
        <v>42.445</v>
      </c>
      <c r="S2541" s="13" t="str">
        <f>IF(AND(H2541="TO CLOSE",P2541=0),-G2541*(M2541-R2540)*IF(E2541="FUTURE",VLOOKUP(MID(I2541,2,2),[1]Futures!$A$2:$B$12,2),1),"")</f>
        <v/>
      </c>
    </row>
    <row r="2542" spans="1:19" x14ac:dyDescent="0.2">
      <c r="A2542">
        <f t="shared" si="119"/>
        <v>829</v>
      </c>
      <c r="B2542" s="3">
        <v>44054</v>
      </c>
      <c r="C2542" s="3" t="str">
        <f t="shared" si="121"/>
        <v>Tuesday</v>
      </c>
      <c r="D2542" s="2">
        <v>0.43692129629629628</v>
      </c>
      <c r="E2542" t="s">
        <v>14</v>
      </c>
      <c r="F2542" t="s">
        <v>15</v>
      </c>
      <c r="G2542">
        <v>-1</v>
      </c>
      <c r="H2542" t="s">
        <v>16</v>
      </c>
      <c r="I2542" t="s">
        <v>81</v>
      </c>
      <c r="J2542" s="1">
        <v>44094</v>
      </c>
      <c r="L2542" t="s">
        <v>14</v>
      </c>
      <c r="M2542">
        <v>42.49</v>
      </c>
      <c r="N2542">
        <v>42.49</v>
      </c>
      <c r="O2542" t="s">
        <v>21</v>
      </c>
      <c r="P2542">
        <f t="shared" si="120"/>
        <v>1</v>
      </c>
      <c r="Q2542" s="11">
        <f>IF(P2542=0,0,IFERROR(Q2541+G2542*M2542*IF(E2542="FUTURE",VLOOKUP(MID(I2542,2,2),[1]Futures!$A$2:$B$12,2),1),G2542*M2542*IF(E2542="FUTURE",VLOOKUP(MID(I2542,2,2),[1]Futures!$A$2:$B$12,2),1)))</f>
        <v>42400</v>
      </c>
      <c r="R2542" s="12">
        <f>IFERROR(Q2542/P2542/IF(E2542="FUTURE",VLOOKUP(MID(I2542,2,2),[1]Futures!$A$2:$B$12,2),1),"")</f>
        <v>42.4</v>
      </c>
      <c r="S2542" s="13" t="str">
        <f>IF(AND(H2542="TO CLOSE",P2542=0),-G2542*(M2542-R2541)*IF(E2542="FUTURE",VLOOKUP(MID(I2542,2,2),[1]Futures!$A$2:$B$12,2),1),"")</f>
        <v/>
      </c>
    </row>
    <row r="2543" spans="1:19" x14ac:dyDescent="0.2">
      <c r="A2543">
        <f t="shared" si="119"/>
        <v>829</v>
      </c>
      <c r="B2543" s="3">
        <v>44054</v>
      </c>
      <c r="C2543" s="3" t="str">
        <f t="shared" si="121"/>
        <v>Tuesday</v>
      </c>
      <c r="D2543" s="2">
        <v>0.44429398148148147</v>
      </c>
      <c r="E2543" t="s">
        <v>14</v>
      </c>
      <c r="F2543" t="s">
        <v>19</v>
      </c>
      <c r="G2543">
        <v>1</v>
      </c>
      <c r="H2543" t="s">
        <v>20</v>
      </c>
      <c r="I2543" t="s">
        <v>81</v>
      </c>
      <c r="J2543" s="1">
        <v>44094</v>
      </c>
      <c r="L2543" t="s">
        <v>14</v>
      </c>
      <c r="M2543">
        <v>42.51</v>
      </c>
      <c r="N2543">
        <v>42.51</v>
      </c>
      <c r="O2543" t="s">
        <v>18</v>
      </c>
      <c r="P2543">
        <f t="shared" si="120"/>
        <v>2</v>
      </c>
      <c r="Q2543" s="11">
        <f>IF(P2543=0,0,IFERROR(Q2542+G2543*M2543*IF(E2543="FUTURE",VLOOKUP(MID(I2543,2,2),[1]Futures!$A$2:$B$12,2),1),G2543*M2543*IF(E2543="FUTURE",VLOOKUP(MID(I2543,2,2),[1]Futures!$A$2:$B$12,2),1)))</f>
        <v>84910</v>
      </c>
      <c r="R2543" s="12">
        <f>IFERROR(Q2543/P2543/IF(E2543="FUTURE",VLOOKUP(MID(I2543,2,2),[1]Futures!$A$2:$B$12,2),1),"")</f>
        <v>42.454999999999998</v>
      </c>
      <c r="S2543" s="13" t="str">
        <f>IF(AND(H2543="TO CLOSE",P2543=0),-G2543*(M2543-R2542)*IF(E2543="FUTURE",VLOOKUP(MID(I2543,2,2),[1]Futures!$A$2:$B$12,2),1),"")</f>
        <v/>
      </c>
    </row>
    <row r="2544" spans="1:19" x14ac:dyDescent="0.2">
      <c r="A2544">
        <f t="shared" si="119"/>
        <v>829</v>
      </c>
      <c r="B2544" s="3">
        <v>44054</v>
      </c>
      <c r="C2544" s="3" t="str">
        <f t="shared" si="121"/>
        <v>Tuesday</v>
      </c>
      <c r="D2544" s="2">
        <v>0.44547453703703704</v>
      </c>
      <c r="E2544" t="s">
        <v>14</v>
      </c>
      <c r="F2544" t="s">
        <v>15</v>
      </c>
      <c r="G2544">
        <v>-1</v>
      </c>
      <c r="H2544" t="s">
        <v>16</v>
      </c>
      <c r="I2544" t="s">
        <v>81</v>
      </c>
      <c r="J2544" s="1">
        <v>44094</v>
      </c>
      <c r="L2544" t="s">
        <v>14</v>
      </c>
      <c r="M2544">
        <v>42.53</v>
      </c>
      <c r="N2544">
        <v>42.53</v>
      </c>
      <c r="O2544" t="s">
        <v>21</v>
      </c>
      <c r="P2544">
        <f t="shared" si="120"/>
        <v>1</v>
      </c>
      <c r="Q2544" s="11">
        <f>IF(P2544=0,0,IFERROR(Q2543+G2544*M2544*IF(E2544="FUTURE",VLOOKUP(MID(I2544,2,2),[1]Futures!$A$2:$B$12,2),1),G2544*M2544*IF(E2544="FUTURE",VLOOKUP(MID(I2544,2,2),[1]Futures!$A$2:$B$12,2),1)))</f>
        <v>42380</v>
      </c>
      <c r="R2544" s="12">
        <f>IFERROR(Q2544/P2544/IF(E2544="FUTURE",VLOOKUP(MID(I2544,2,2),[1]Futures!$A$2:$B$12,2),1),"")</f>
        <v>42.38</v>
      </c>
      <c r="S2544" s="13" t="str">
        <f>IF(AND(H2544="TO CLOSE",P2544=0),-G2544*(M2544-R2543)*IF(E2544="FUTURE",VLOOKUP(MID(I2544,2,2),[1]Futures!$A$2:$B$12,2),1),"")</f>
        <v/>
      </c>
    </row>
    <row r="2545" spans="1:19" x14ac:dyDescent="0.2">
      <c r="A2545">
        <f t="shared" si="119"/>
        <v>829</v>
      </c>
      <c r="B2545" s="3">
        <v>44054</v>
      </c>
      <c r="C2545" s="3" t="str">
        <f t="shared" si="121"/>
        <v>Tuesday</v>
      </c>
      <c r="D2545" s="2">
        <v>0.45025462962962964</v>
      </c>
      <c r="E2545" t="s">
        <v>14</v>
      </c>
      <c r="F2545" t="s">
        <v>19</v>
      </c>
      <c r="G2545">
        <v>1</v>
      </c>
      <c r="H2545" t="s">
        <v>20</v>
      </c>
      <c r="I2545" t="s">
        <v>81</v>
      </c>
      <c r="J2545" s="1">
        <v>44094</v>
      </c>
      <c r="L2545" t="s">
        <v>14</v>
      </c>
      <c r="M2545">
        <v>42.5</v>
      </c>
      <c r="N2545">
        <v>42.5</v>
      </c>
      <c r="O2545" t="s">
        <v>24</v>
      </c>
      <c r="P2545">
        <f t="shared" si="120"/>
        <v>2</v>
      </c>
      <c r="Q2545" s="11">
        <f>IF(P2545=0,0,IFERROR(Q2544+G2545*M2545*IF(E2545="FUTURE",VLOOKUP(MID(I2545,2,2),[1]Futures!$A$2:$B$12,2),1),G2545*M2545*IF(E2545="FUTURE",VLOOKUP(MID(I2545,2,2),[1]Futures!$A$2:$B$12,2),1)))</f>
        <v>84880</v>
      </c>
      <c r="R2545" s="12">
        <f>IFERROR(Q2545/P2545/IF(E2545="FUTURE",VLOOKUP(MID(I2545,2,2),[1]Futures!$A$2:$B$12,2),1),"")</f>
        <v>42.44</v>
      </c>
      <c r="S2545" s="13" t="str">
        <f>IF(AND(H2545="TO CLOSE",P2545=0),-G2545*(M2545-R2544)*IF(E2545="FUTURE",VLOOKUP(MID(I2545,2,2),[1]Futures!$A$2:$B$12,2),1),"")</f>
        <v/>
      </c>
    </row>
    <row r="2546" spans="1:19" x14ac:dyDescent="0.2">
      <c r="A2546">
        <f t="shared" si="119"/>
        <v>829</v>
      </c>
      <c r="B2546" s="3">
        <v>44054</v>
      </c>
      <c r="C2546" s="3" t="str">
        <f t="shared" si="121"/>
        <v>Tuesday</v>
      </c>
      <c r="D2546" s="2">
        <v>0.56717592592592592</v>
      </c>
      <c r="E2546" t="s">
        <v>14</v>
      </c>
      <c r="F2546" t="s">
        <v>19</v>
      </c>
      <c r="G2546">
        <v>1</v>
      </c>
      <c r="H2546" t="s">
        <v>20</v>
      </c>
      <c r="I2546" t="s">
        <v>81</v>
      </c>
      <c r="J2546" s="1">
        <v>44094</v>
      </c>
      <c r="L2546" t="s">
        <v>14</v>
      </c>
      <c r="M2546">
        <v>41.87</v>
      </c>
      <c r="N2546">
        <v>41.87</v>
      </c>
      <c r="O2546" t="s">
        <v>24</v>
      </c>
      <c r="P2546">
        <f t="shared" si="120"/>
        <v>3</v>
      </c>
      <c r="Q2546" s="11">
        <f>IF(P2546=0,0,IFERROR(Q2545+G2546*M2546*IF(E2546="FUTURE",VLOOKUP(MID(I2546,2,2),[1]Futures!$A$2:$B$12,2),1),G2546*M2546*IF(E2546="FUTURE",VLOOKUP(MID(I2546,2,2),[1]Futures!$A$2:$B$12,2),1)))</f>
        <v>126750</v>
      </c>
      <c r="R2546" s="12">
        <f>IFERROR(Q2546/P2546/IF(E2546="FUTURE",VLOOKUP(MID(I2546,2,2),[1]Futures!$A$2:$B$12,2),1),"")</f>
        <v>42.25</v>
      </c>
      <c r="S2546" s="13" t="str">
        <f>IF(AND(H2546="TO CLOSE",P2546=0),-G2546*(M2546-R2545)*IF(E2546="FUTURE",VLOOKUP(MID(I2546,2,2),[1]Futures!$A$2:$B$12,2),1),"")</f>
        <v/>
      </c>
    </row>
    <row r="2547" spans="1:19" x14ac:dyDescent="0.2">
      <c r="A2547">
        <f t="shared" si="119"/>
        <v>829</v>
      </c>
      <c r="B2547" s="3">
        <v>44054</v>
      </c>
      <c r="C2547" s="3" t="str">
        <f t="shared" si="121"/>
        <v>Tuesday</v>
      </c>
      <c r="D2547" s="2">
        <v>0.63788194444444446</v>
      </c>
      <c r="E2547" t="s">
        <v>14</v>
      </c>
      <c r="F2547" t="s">
        <v>15</v>
      </c>
      <c r="G2547">
        <v>-3</v>
      </c>
      <c r="H2547" t="s">
        <v>16</v>
      </c>
      <c r="I2547" t="s">
        <v>81</v>
      </c>
      <c r="J2547" s="1">
        <v>44094</v>
      </c>
      <c r="L2547" t="s">
        <v>14</v>
      </c>
      <c r="M2547">
        <v>41.6</v>
      </c>
      <c r="N2547">
        <v>41.6</v>
      </c>
      <c r="O2547" t="s">
        <v>18</v>
      </c>
      <c r="P2547">
        <f t="shared" si="120"/>
        <v>0</v>
      </c>
      <c r="Q2547" s="11">
        <f>IF(P2547=0,0,IFERROR(Q2546+G2547*M2547*IF(E2547="FUTURE",VLOOKUP(MID(I2547,2,2),[1]Futures!$A$2:$B$12,2),1),G2547*M2547*IF(E2547="FUTURE",VLOOKUP(MID(I2547,2,2),[1]Futures!$A$2:$B$12,2),1)))</f>
        <v>0</v>
      </c>
      <c r="R2547" s="12" t="str">
        <f>IFERROR(Q2547/P2547/IF(E2547="FUTURE",VLOOKUP(MID(I2547,2,2),[1]Futures!$A$2:$B$12,2),1),"")</f>
        <v/>
      </c>
      <c r="S2547" s="13">
        <f>IF(AND(H2547="TO CLOSE",P2547=0),-G2547*(M2547-R2546)*IF(E2547="FUTURE",VLOOKUP(MID(I2547,2,2),[1]Futures!$A$2:$B$12,2),1),"")</f>
        <v>-1949.9999999999957</v>
      </c>
    </row>
    <row r="2548" spans="1:19" x14ac:dyDescent="0.2">
      <c r="A2548">
        <f t="shared" si="119"/>
        <v>830</v>
      </c>
      <c r="B2548" s="3">
        <v>44054</v>
      </c>
      <c r="C2548" s="3" t="str">
        <f t="shared" si="121"/>
        <v>Tuesday</v>
      </c>
      <c r="D2548" s="2">
        <v>0.40651620370370373</v>
      </c>
      <c r="E2548" t="s">
        <v>14</v>
      </c>
      <c r="F2548" t="s">
        <v>19</v>
      </c>
      <c r="G2548">
        <v>5</v>
      </c>
      <c r="H2548" t="s">
        <v>20</v>
      </c>
      <c r="I2548" t="s">
        <v>80</v>
      </c>
      <c r="J2548" s="1">
        <v>44094</v>
      </c>
      <c r="L2548" t="s">
        <v>14</v>
      </c>
      <c r="M2548">
        <v>3370.75</v>
      </c>
      <c r="N2548">
        <v>3370.75</v>
      </c>
      <c r="O2548" t="s">
        <v>24</v>
      </c>
      <c r="P2548">
        <f t="shared" si="120"/>
        <v>5</v>
      </c>
      <c r="Q2548" s="11">
        <f>IF(P2548=0,0,IFERROR(Q2547+G2548*M2548*IF(E2548="FUTURE",VLOOKUP(MID(I2548,2,2),[1]Futures!$A$2:$B$12,2),1),G2548*M2548*IF(E2548="FUTURE",VLOOKUP(MID(I2548,2,2),[1]Futures!$A$2:$B$12,2),1)))</f>
        <v>84268.75</v>
      </c>
      <c r="R2548" s="12">
        <f>IFERROR(Q2548/P2548/IF(E2548="FUTURE",VLOOKUP(MID(I2548,2,2),[1]Futures!$A$2:$B$12,2),1),"")</f>
        <v>3370.75</v>
      </c>
      <c r="S2548" s="13" t="str">
        <f>IF(AND(H2548="TO CLOSE",P2548=0),-G2548*(M2548-R2547)*IF(E2548="FUTURE",VLOOKUP(MID(I2548,2,2),[1]Futures!$A$2:$B$12,2),1),"")</f>
        <v/>
      </c>
    </row>
    <row r="2549" spans="1:19" x14ac:dyDescent="0.2">
      <c r="A2549">
        <f t="shared" si="119"/>
        <v>830</v>
      </c>
      <c r="B2549" s="3">
        <v>44054</v>
      </c>
      <c r="C2549" s="3" t="str">
        <f t="shared" si="121"/>
        <v>Tuesday</v>
      </c>
      <c r="D2549" s="2">
        <v>0.4157986111111111</v>
      </c>
      <c r="E2549" t="s">
        <v>14</v>
      </c>
      <c r="F2549" t="s">
        <v>19</v>
      </c>
      <c r="G2549">
        <v>3</v>
      </c>
      <c r="H2549" t="s">
        <v>20</v>
      </c>
      <c r="I2549" t="s">
        <v>80</v>
      </c>
      <c r="J2549" s="1">
        <v>44094</v>
      </c>
      <c r="L2549" t="s">
        <v>14</v>
      </c>
      <c r="M2549">
        <v>3366.25</v>
      </c>
      <c r="N2549">
        <v>3366.25</v>
      </c>
      <c r="O2549" t="s">
        <v>24</v>
      </c>
      <c r="P2549">
        <f t="shared" si="120"/>
        <v>8</v>
      </c>
      <c r="Q2549" s="11">
        <f>IF(P2549=0,0,IFERROR(Q2548+G2549*M2549*IF(E2549="FUTURE",VLOOKUP(MID(I2549,2,2),[1]Futures!$A$2:$B$12,2),1),G2549*M2549*IF(E2549="FUTURE",VLOOKUP(MID(I2549,2,2),[1]Futures!$A$2:$B$12,2),1)))</f>
        <v>134762.5</v>
      </c>
      <c r="R2549" s="12">
        <f>IFERROR(Q2549/P2549/IF(E2549="FUTURE",VLOOKUP(MID(I2549,2,2),[1]Futures!$A$2:$B$12,2),1),"")</f>
        <v>3369.0625</v>
      </c>
      <c r="S2549" s="13" t="str">
        <f>IF(AND(H2549="TO CLOSE",P2549=0),-G2549*(M2549-R2548)*IF(E2549="FUTURE",VLOOKUP(MID(I2549,2,2),[1]Futures!$A$2:$B$12,2),1),"")</f>
        <v/>
      </c>
    </row>
    <row r="2550" spans="1:19" x14ac:dyDescent="0.2">
      <c r="A2550">
        <f t="shared" si="119"/>
        <v>830</v>
      </c>
      <c r="B2550" s="3">
        <v>44054</v>
      </c>
      <c r="C2550" s="3" t="str">
        <f t="shared" si="121"/>
        <v>Tuesday</v>
      </c>
      <c r="D2550" s="2">
        <v>0.52826388888888887</v>
      </c>
      <c r="E2550" t="s">
        <v>14</v>
      </c>
      <c r="F2550" t="s">
        <v>15</v>
      </c>
      <c r="G2550">
        <v>-2</v>
      </c>
      <c r="H2550" t="s">
        <v>16</v>
      </c>
      <c r="I2550" t="s">
        <v>80</v>
      </c>
      <c r="J2550" s="1">
        <v>44094</v>
      </c>
      <c r="L2550" t="s">
        <v>14</v>
      </c>
      <c r="M2550">
        <v>3369.75</v>
      </c>
      <c r="N2550">
        <v>3369.75</v>
      </c>
      <c r="O2550" t="s">
        <v>24</v>
      </c>
      <c r="P2550">
        <f t="shared" si="120"/>
        <v>6</v>
      </c>
      <c r="Q2550" s="11">
        <f>IF(P2550=0,0,IFERROR(Q2549+G2550*M2550*IF(E2550="FUTURE",VLOOKUP(MID(I2550,2,2),[1]Futures!$A$2:$B$12,2),1),G2550*M2550*IF(E2550="FUTURE",VLOOKUP(MID(I2550,2,2),[1]Futures!$A$2:$B$12,2),1)))</f>
        <v>101065</v>
      </c>
      <c r="R2550" s="12">
        <f>IFERROR(Q2550/P2550/IF(E2550="FUTURE",VLOOKUP(MID(I2550,2,2),[1]Futures!$A$2:$B$12,2),1),"")</f>
        <v>3368.8333333333335</v>
      </c>
      <c r="S2550" s="13" t="str">
        <f>IF(AND(H2550="TO CLOSE",P2550=0),-G2550*(M2550-R2549)*IF(E2550="FUTURE",VLOOKUP(MID(I2550,2,2),[1]Futures!$A$2:$B$12,2),1),"")</f>
        <v/>
      </c>
    </row>
    <row r="2551" spans="1:19" x14ac:dyDescent="0.2">
      <c r="A2551">
        <f t="shared" si="119"/>
        <v>830</v>
      </c>
      <c r="B2551" s="3">
        <v>44054</v>
      </c>
      <c r="C2551" s="3" t="str">
        <f t="shared" si="121"/>
        <v>Tuesday</v>
      </c>
      <c r="D2551" s="2">
        <v>0.55807870370370372</v>
      </c>
      <c r="E2551" t="s">
        <v>14</v>
      </c>
      <c r="F2551" t="s">
        <v>15</v>
      </c>
      <c r="G2551">
        <v>-1</v>
      </c>
      <c r="H2551" t="s">
        <v>16</v>
      </c>
      <c r="I2551" t="s">
        <v>80</v>
      </c>
      <c r="J2551" s="1">
        <v>44094</v>
      </c>
      <c r="L2551" t="s">
        <v>14</v>
      </c>
      <c r="M2551">
        <v>3373.75</v>
      </c>
      <c r="N2551">
        <v>3373.75</v>
      </c>
      <c r="O2551" t="s">
        <v>21</v>
      </c>
      <c r="P2551">
        <f t="shared" si="120"/>
        <v>5</v>
      </c>
      <c r="Q2551" s="11">
        <f>IF(P2551=0,0,IFERROR(Q2550+G2551*M2551*IF(E2551="FUTURE",VLOOKUP(MID(I2551,2,2),[1]Futures!$A$2:$B$12,2),1),G2551*M2551*IF(E2551="FUTURE",VLOOKUP(MID(I2551,2,2),[1]Futures!$A$2:$B$12,2),1)))</f>
        <v>84196.25</v>
      </c>
      <c r="R2551" s="12">
        <f>IFERROR(Q2551/P2551/IF(E2551="FUTURE",VLOOKUP(MID(I2551,2,2),[1]Futures!$A$2:$B$12,2),1),"")</f>
        <v>3367.85</v>
      </c>
      <c r="S2551" s="13" t="str">
        <f>IF(AND(H2551="TO CLOSE",P2551=0),-G2551*(M2551-R2550)*IF(E2551="FUTURE",VLOOKUP(MID(I2551,2,2),[1]Futures!$A$2:$B$12,2),1),"")</f>
        <v/>
      </c>
    </row>
    <row r="2552" spans="1:19" x14ac:dyDescent="0.2">
      <c r="A2552">
        <f t="shared" si="119"/>
        <v>830</v>
      </c>
      <c r="B2552" s="3">
        <v>44054</v>
      </c>
      <c r="C2552" s="3" t="str">
        <f t="shared" si="121"/>
        <v>Tuesday</v>
      </c>
      <c r="D2552" s="2">
        <v>0.55807870370370372</v>
      </c>
      <c r="E2552" t="s">
        <v>14</v>
      </c>
      <c r="F2552" t="s">
        <v>15</v>
      </c>
      <c r="G2552">
        <v>-2</v>
      </c>
      <c r="H2552" t="s">
        <v>16</v>
      </c>
      <c r="I2552" t="s">
        <v>80</v>
      </c>
      <c r="J2552" s="1">
        <v>44094</v>
      </c>
      <c r="L2552" t="s">
        <v>14</v>
      </c>
      <c r="M2552">
        <v>3373.75</v>
      </c>
      <c r="N2552">
        <v>3373.75</v>
      </c>
      <c r="O2552" t="s">
        <v>21</v>
      </c>
      <c r="P2552">
        <f t="shared" si="120"/>
        <v>3</v>
      </c>
      <c r="Q2552" s="11">
        <f>IF(P2552=0,0,IFERROR(Q2551+G2552*M2552*IF(E2552="FUTURE",VLOOKUP(MID(I2552,2,2),[1]Futures!$A$2:$B$12,2),1),G2552*M2552*IF(E2552="FUTURE",VLOOKUP(MID(I2552,2,2),[1]Futures!$A$2:$B$12,2),1)))</f>
        <v>50458.75</v>
      </c>
      <c r="R2552" s="12">
        <f>IFERROR(Q2552/P2552/IF(E2552="FUTURE",VLOOKUP(MID(I2552,2,2),[1]Futures!$A$2:$B$12,2),1),"")</f>
        <v>3363.9166666666665</v>
      </c>
      <c r="S2552" s="13" t="str">
        <f>IF(AND(H2552="TO CLOSE",P2552=0),-G2552*(M2552-R2551)*IF(E2552="FUTURE",VLOOKUP(MID(I2552,2,2),[1]Futures!$A$2:$B$12,2),1),"")</f>
        <v/>
      </c>
    </row>
    <row r="2553" spans="1:19" x14ac:dyDescent="0.2">
      <c r="A2553">
        <f t="shared" si="119"/>
        <v>830</v>
      </c>
      <c r="B2553" s="3">
        <v>44054</v>
      </c>
      <c r="C2553" s="3" t="str">
        <f t="shared" si="121"/>
        <v>Tuesday</v>
      </c>
      <c r="D2553" s="2">
        <v>0.56700231481481478</v>
      </c>
      <c r="E2553" t="s">
        <v>14</v>
      </c>
      <c r="F2553" t="s">
        <v>15</v>
      </c>
      <c r="G2553">
        <v>-1</v>
      </c>
      <c r="H2553" t="s">
        <v>16</v>
      </c>
      <c r="I2553" t="s">
        <v>80</v>
      </c>
      <c r="J2553" s="1">
        <v>44094</v>
      </c>
      <c r="L2553" t="s">
        <v>14</v>
      </c>
      <c r="M2553">
        <v>3371</v>
      </c>
      <c r="N2553">
        <v>3371</v>
      </c>
      <c r="O2553" t="s">
        <v>24</v>
      </c>
      <c r="P2553">
        <f t="shared" si="120"/>
        <v>2</v>
      </c>
      <c r="Q2553" s="11">
        <f>IF(P2553=0,0,IFERROR(Q2552+G2553*M2553*IF(E2553="FUTURE",VLOOKUP(MID(I2553,2,2),[1]Futures!$A$2:$B$12,2),1),G2553*M2553*IF(E2553="FUTURE",VLOOKUP(MID(I2553,2,2),[1]Futures!$A$2:$B$12,2),1)))</f>
        <v>33603.75</v>
      </c>
      <c r="R2553" s="12">
        <f>IFERROR(Q2553/P2553/IF(E2553="FUTURE",VLOOKUP(MID(I2553,2,2),[1]Futures!$A$2:$B$12,2),1),"")</f>
        <v>3360.375</v>
      </c>
      <c r="S2553" s="13" t="str">
        <f>IF(AND(H2553="TO CLOSE",P2553=0),-G2553*(M2553-R2552)*IF(E2553="FUTURE",VLOOKUP(MID(I2553,2,2),[1]Futures!$A$2:$B$12,2),1),"")</f>
        <v/>
      </c>
    </row>
    <row r="2554" spans="1:19" x14ac:dyDescent="0.2">
      <c r="A2554">
        <f t="shared" si="119"/>
        <v>830</v>
      </c>
      <c r="B2554" s="3">
        <v>44054</v>
      </c>
      <c r="C2554" s="3" t="str">
        <f t="shared" si="121"/>
        <v>Tuesday</v>
      </c>
      <c r="D2554" s="2">
        <v>0.59288194444444442</v>
      </c>
      <c r="E2554" t="s">
        <v>14</v>
      </c>
      <c r="F2554" t="s">
        <v>15</v>
      </c>
      <c r="G2554">
        <v>-2</v>
      </c>
      <c r="H2554" t="s">
        <v>16</v>
      </c>
      <c r="I2554" t="s">
        <v>80</v>
      </c>
      <c r="J2554" s="1">
        <v>44094</v>
      </c>
      <c r="L2554" t="s">
        <v>14</v>
      </c>
      <c r="M2554">
        <v>3370</v>
      </c>
      <c r="N2554">
        <v>3370</v>
      </c>
      <c r="O2554" t="s">
        <v>21</v>
      </c>
      <c r="P2554">
        <f t="shared" si="120"/>
        <v>0</v>
      </c>
      <c r="Q2554" s="11">
        <f>IF(P2554=0,0,IFERROR(Q2553+G2554*M2554*IF(E2554="FUTURE",VLOOKUP(MID(I2554,2,2),[1]Futures!$A$2:$B$12,2),1),G2554*M2554*IF(E2554="FUTURE",VLOOKUP(MID(I2554,2,2),[1]Futures!$A$2:$B$12,2),1)))</f>
        <v>0</v>
      </c>
      <c r="R2554" s="12" t="str">
        <f>IFERROR(Q2554/P2554/IF(E2554="FUTURE",VLOOKUP(MID(I2554,2,2),[1]Futures!$A$2:$B$12,2),1),"")</f>
        <v/>
      </c>
      <c r="S2554" s="13">
        <f>IF(AND(H2554="TO CLOSE",P2554=0),-G2554*(M2554-R2553)*IF(E2554="FUTURE",VLOOKUP(MID(I2554,2,2),[1]Futures!$A$2:$B$12,2),1),"")</f>
        <v>96.25</v>
      </c>
    </row>
    <row r="2555" spans="1:19" x14ac:dyDescent="0.2">
      <c r="A2555">
        <f t="shared" si="119"/>
        <v>831</v>
      </c>
      <c r="B2555" s="3">
        <v>44055</v>
      </c>
      <c r="C2555" s="3" t="str">
        <f t="shared" si="121"/>
        <v>Wednesday</v>
      </c>
      <c r="D2555" s="2">
        <v>0.41151620370370368</v>
      </c>
      <c r="E2555" t="s">
        <v>14</v>
      </c>
      <c r="F2555" t="s">
        <v>15</v>
      </c>
      <c r="G2555">
        <v>-2</v>
      </c>
      <c r="H2555" t="s">
        <v>20</v>
      </c>
      <c r="I2555" t="s">
        <v>81</v>
      </c>
      <c r="J2555" s="1">
        <v>44094</v>
      </c>
      <c r="L2555" t="s">
        <v>14</v>
      </c>
      <c r="M2555">
        <v>42.37</v>
      </c>
      <c r="N2555">
        <v>42.37</v>
      </c>
      <c r="O2555" t="s">
        <v>21</v>
      </c>
      <c r="P2555">
        <f t="shared" si="120"/>
        <v>-2</v>
      </c>
      <c r="Q2555" s="11">
        <f>IF(P2555=0,0,IFERROR(Q2554+G2555*M2555*IF(E2555="FUTURE",VLOOKUP(MID(I2555,2,2),[1]Futures!$A$2:$B$12,2),1),G2555*M2555*IF(E2555="FUTURE",VLOOKUP(MID(I2555,2,2),[1]Futures!$A$2:$B$12,2),1)))</f>
        <v>-84740</v>
      </c>
      <c r="R2555" s="12">
        <f>IFERROR(Q2555/P2555/IF(E2555="FUTURE",VLOOKUP(MID(I2555,2,2),[1]Futures!$A$2:$B$12,2),1),"")</f>
        <v>42.37</v>
      </c>
      <c r="S2555" s="13" t="str">
        <f>IF(AND(H2555="TO CLOSE",P2555=0),-G2555*(M2555-R2554)*IF(E2555="FUTURE",VLOOKUP(MID(I2555,2,2),[1]Futures!$A$2:$B$12,2),1),"")</f>
        <v/>
      </c>
    </row>
    <row r="2556" spans="1:19" x14ac:dyDescent="0.2">
      <c r="A2556">
        <f t="shared" si="119"/>
        <v>831</v>
      </c>
      <c r="B2556" s="3">
        <v>44055</v>
      </c>
      <c r="C2556" s="3" t="str">
        <f t="shared" si="121"/>
        <v>Wednesday</v>
      </c>
      <c r="D2556" s="2">
        <v>0.4274189814814815</v>
      </c>
      <c r="E2556" t="s">
        <v>14</v>
      </c>
      <c r="F2556" t="s">
        <v>19</v>
      </c>
      <c r="G2556">
        <v>1</v>
      </c>
      <c r="H2556" t="s">
        <v>16</v>
      </c>
      <c r="I2556" t="s">
        <v>81</v>
      </c>
      <c r="J2556" s="1">
        <v>44094</v>
      </c>
      <c r="L2556" t="s">
        <v>14</v>
      </c>
      <c r="M2556">
        <v>42.27</v>
      </c>
      <c r="N2556">
        <v>42.27</v>
      </c>
      <c r="O2556" t="s">
        <v>21</v>
      </c>
      <c r="P2556">
        <f t="shared" si="120"/>
        <v>-1</v>
      </c>
      <c r="Q2556" s="11">
        <f>IF(P2556=0,0,IFERROR(Q2555+G2556*M2556*IF(E2556="FUTURE",VLOOKUP(MID(I2556,2,2),[1]Futures!$A$2:$B$12,2),1),G2556*M2556*IF(E2556="FUTURE",VLOOKUP(MID(I2556,2,2),[1]Futures!$A$2:$B$12,2),1)))</f>
        <v>-42470</v>
      </c>
      <c r="R2556" s="12">
        <f>IFERROR(Q2556/P2556/IF(E2556="FUTURE",VLOOKUP(MID(I2556,2,2),[1]Futures!$A$2:$B$12,2),1),"")</f>
        <v>42.47</v>
      </c>
      <c r="S2556" s="13" t="str">
        <f>IF(AND(H2556="TO CLOSE",P2556=0),-G2556*(M2556-R2555)*IF(E2556="FUTURE",VLOOKUP(MID(I2556,2,2),[1]Futures!$A$2:$B$12,2),1),"")</f>
        <v/>
      </c>
    </row>
    <row r="2557" spans="1:19" x14ac:dyDescent="0.2">
      <c r="A2557">
        <f t="shared" si="119"/>
        <v>831</v>
      </c>
      <c r="B2557" s="3">
        <v>44055</v>
      </c>
      <c r="C2557" s="3" t="str">
        <f t="shared" si="121"/>
        <v>Wednesday</v>
      </c>
      <c r="D2557" s="2">
        <v>0.43917824074074074</v>
      </c>
      <c r="E2557" t="s">
        <v>14</v>
      </c>
      <c r="F2557" t="s">
        <v>15</v>
      </c>
      <c r="G2557">
        <v>-1</v>
      </c>
      <c r="H2557" t="s">
        <v>20</v>
      </c>
      <c r="I2557" t="s">
        <v>81</v>
      </c>
      <c r="J2557" s="1">
        <v>44094</v>
      </c>
      <c r="L2557" t="s">
        <v>14</v>
      </c>
      <c r="M2557">
        <v>42.45</v>
      </c>
      <c r="N2557">
        <v>42.45</v>
      </c>
      <c r="O2557" t="s">
        <v>21</v>
      </c>
      <c r="P2557">
        <f t="shared" si="120"/>
        <v>-2</v>
      </c>
      <c r="Q2557" s="11">
        <f>IF(P2557=0,0,IFERROR(Q2556+G2557*M2557*IF(E2557="FUTURE",VLOOKUP(MID(I2557,2,2),[1]Futures!$A$2:$B$12,2),1),G2557*M2557*IF(E2557="FUTURE",VLOOKUP(MID(I2557,2,2),[1]Futures!$A$2:$B$12,2),1)))</f>
        <v>-84920</v>
      </c>
      <c r="R2557" s="12">
        <f>IFERROR(Q2557/P2557/IF(E2557="FUTURE",VLOOKUP(MID(I2557,2,2),[1]Futures!$A$2:$B$12,2),1),"")</f>
        <v>42.46</v>
      </c>
      <c r="S2557" s="13" t="str">
        <f>IF(AND(H2557="TO CLOSE",P2557=0),-G2557*(M2557-R2556)*IF(E2557="FUTURE",VLOOKUP(MID(I2557,2,2),[1]Futures!$A$2:$B$12,2),1),"")</f>
        <v/>
      </c>
    </row>
    <row r="2558" spans="1:19" x14ac:dyDescent="0.2">
      <c r="A2558">
        <f t="shared" si="119"/>
        <v>831</v>
      </c>
      <c r="B2558" s="3">
        <v>44055</v>
      </c>
      <c r="C2558" s="3" t="str">
        <f t="shared" si="121"/>
        <v>Wednesday</v>
      </c>
      <c r="D2558" s="2">
        <v>0.51354166666666667</v>
      </c>
      <c r="E2558" t="s">
        <v>14</v>
      </c>
      <c r="F2558" t="s">
        <v>19</v>
      </c>
      <c r="G2558">
        <v>2</v>
      </c>
      <c r="H2558" t="s">
        <v>16</v>
      </c>
      <c r="I2558" t="s">
        <v>81</v>
      </c>
      <c r="J2558" s="1">
        <v>44094</v>
      </c>
      <c r="L2558" t="s">
        <v>14</v>
      </c>
      <c r="M2558">
        <v>42.21</v>
      </c>
      <c r="N2558">
        <v>42.21</v>
      </c>
      <c r="O2558" t="s">
        <v>21</v>
      </c>
      <c r="P2558">
        <f t="shared" si="120"/>
        <v>0</v>
      </c>
      <c r="Q2558" s="11">
        <f>IF(P2558=0,0,IFERROR(Q2557+G2558*M2558*IF(E2558="FUTURE",VLOOKUP(MID(I2558,2,2),[1]Futures!$A$2:$B$12,2),1),G2558*M2558*IF(E2558="FUTURE",VLOOKUP(MID(I2558,2,2),[1]Futures!$A$2:$B$12,2),1)))</f>
        <v>0</v>
      </c>
      <c r="R2558" s="12" t="str">
        <f>IFERROR(Q2558/P2558/IF(E2558="FUTURE",VLOOKUP(MID(I2558,2,2),[1]Futures!$A$2:$B$12,2),1),"")</f>
        <v/>
      </c>
      <c r="S2558" s="13">
        <f>IF(AND(H2558="TO CLOSE",P2558=0),-G2558*(M2558-R2557)*IF(E2558="FUTURE",VLOOKUP(MID(I2558,2,2),[1]Futures!$A$2:$B$12,2),1),"")</f>
        <v>500</v>
      </c>
    </row>
    <row r="2559" spans="1:19" x14ac:dyDescent="0.2">
      <c r="A2559">
        <f t="shared" si="119"/>
        <v>832</v>
      </c>
      <c r="B2559" s="3">
        <v>44055</v>
      </c>
      <c r="C2559" s="3" t="str">
        <f t="shared" si="121"/>
        <v>Wednesday</v>
      </c>
      <c r="D2559" s="2">
        <v>0.44991898148148146</v>
      </c>
      <c r="E2559" t="s">
        <v>14</v>
      </c>
      <c r="F2559" t="s">
        <v>15</v>
      </c>
      <c r="G2559">
        <v>-5</v>
      </c>
      <c r="H2559" t="s">
        <v>20</v>
      </c>
      <c r="I2559" t="s">
        <v>80</v>
      </c>
      <c r="J2559" s="1">
        <v>44094</v>
      </c>
      <c r="L2559" t="s">
        <v>14</v>
      </c>
      <c r="M2559">
        <v>3370</v>
      </c>
      <c r="N2559">
        <v>3370</v>
      </c>
      <c r="O2559" t="s">
        <v>24</v>
      </c>
      <c r="P2559">
        <f t="shared" si="120"/>
        <v>-5</v>
      </c>
      <c r="Q2559" s="11">
        <f>IF(P2559=0,0,IFERROR(Q2558+G2559*M2559*IF(E2559="FUTURE",VLOOKUP(MID(I2559,2,2),[1]Futures!$A$2:$B$12,2),1),G2559*M2559*IF(E2559="FUTURE",VLOOKUP(MID(I2559,2,2),[1]Futures!$A$2:$B$12,2),1)))</f>
        <v>-84250</v>
      </c>
      <c r="R2559" s="12">
        <f>IFERROR(Q2559/P2559/IF(E2559="FUTURE",VLOOKUP(MID(I2559,2,2),[1]Futures!$A$2:$B$12,2),1),"")</f>
        <v>3370</v>
      </c>
      <c r="S2559" s="13" t="str">
        <f>IF(AND(H2559="TO CLOSE",P2559=0),-G2559*(M2559-R2558)*IF(E2559="FUTURE",VLOOKUP(MID(I2559,2,2),[1]Futures!$A$2:$B$12,2),1),"")</f>
        <v/>
      </c>
    </row>
    <row r="2560" spans="1:19" x14ac:dyDescent="0.2">
      <c r="A2560">
        <f t="shared" si="119"/>
        <v>832</v>
      </c>
      <c r="B2560" s="3">
        <v>44055</v>
      </c>
      <c r="C2560" s="3" t="str">
        <f t="shared" si="121"/>
        <v>Wednesday</v>
      </c>
      <c r="D2560" s="2">
        <v>0.46143518518518517</v>
      </c>
      <c r="E2560" t="s">
        <v>14</v>
      </c>
      <c r="F2560" t="s">
        <v>15</v>
      </c>
      <c r="G2560">
        <v>-2</v>
      </c>
      <c r="H2560" t="s">
        <v>20</v>
      </c>
      <c r="I2560" t="s">
        <v>80</v>
      </c>
      <c r="J2560" s="1">
        <v>44094</v>
      </c>
      <c r="L2560" t="s">
        <v>14</v>
      </c>
      <c r="M2560">
        <v>3374</v>
      </c>
      <c r="N2560">
        <v>3374</v>
      </c>
      <c r="O2560" t="s">
        <v>21</v>
      </c>
      <c r="P2560">
        <f t="shared" si="120"/>
        <v>-7</v>
      </c>
      <c r="Q2560" s="11">
        <f>IF(P2560=0,0,IFERROR(Q2559+G2560*M2560*IF(E2560="FUTURE",VLOOKUP(MID(I2560,2,2),[1]Futures!$A$2:$B$12,2),1),G2560*M2560*IF(E2560="FUTURE",VLOOKUP(MID(I2560,2,2),[1]Futures!$A$2:$B$12,2),1)))</f>
        <v>-117990</v>
      </c>
      <c r="R2560" s="12">
        <f>IFERROR(Q2560/P2560/IF(E2560="FUTURE",VLOOKUP(MID(I2560,2,2),[1]Futures!$A$2:$B$12,2),1),"")</f>
        <v>3371.1428571428573</v>
      </c>
      <c r="S2560" s="13" t="str">
        <f>IF(AND(H2560="TO CLOSE",P2560=0),-G2560*(M2560-R2559)*IF(E2560="FUTURE",VLOOKUP(MID(I2560,2,2),[1]Futures!$A$2:$B$12,2),1),"")</f>
        <v/>
      </c>
    </row>
    <row r="2561" spans="1:19" x14ac:dyDescent="0.2">
      <c r="A2561">
        <f t="shared" si="119"/>
        <v>832</v>
      </c>
      <c r="B2561" s="3">
        <v>44055</v>
      </c>
      <c r="C2561" s="3" t="str">
        <f t="shared" si="121"/>
        <v>Wednesday</v>
      </c>
      <c r="D2561" s="2">
        <v>0.55457175925925928</v>
      </c>
      <c r="E2561" t="s">
        <v>14</v>
      </c>
      <c r="F2561" t="s">
        <v>19</v>
      </c>
      <c r="G2561">
        <v>2</v>
      </c>
      <c r="H2561" t="s">
        <v>16</v>
      </c>
      <c r="I2561" t="s">
        <v>80</v>
      </c>
      <c r="J2561" s="1">
        <v>44094</v>
      </c>
      <c r="L2561" t="s">
        <v>14</v>
      </c>
      <c r="M2561">
        <v>3366.75</v>
      </c>
      <c r="N2561">
        <v>3366.75</v>
      </c>
      <c r="O2561" t="s">
        <v>21</v>
      </c>
      <c r="P2561">
        <f t="shared" si="120"/>
        <v>-5</v>
      </c>
      <c r="Q2561" s="11">
        <f>IF(P2561=0,0,IFERROR(Q2560+G2561*M2561*IF(E2561="FUTURE",VLOOKUP(MID(I2561,2,2),[1]Futures!$A$2:$B$12,2),1),G2561*M2561*IF(E2561="FUTURE",VLOOKUP(MID(I2561,2,2),[1]Futures!$A$2:$B$12,2),1)))</f>
        <v>-84322.5</v>
      </c>
      <c r="R2561" s="12">
        <f>IFERROR(Q2561/P2561/IF(E2561="FUTURE",VLOOKUP(MID(I2561,2,2),[1]Futures!$A$2:$B$12,2),1),"")</f>
        <v>3372.9</v>
      </c>
      <c r="S2561" s="13" t="str">
        <f>IF(AND(H2561="TO CLOSE",P2561=0),-G2561*(M2561-R2560)*IF(E2561="FUTURE",VLOOKUP(MID(I2561,2,2),[1]Futures!$A$2:$B$12,2),1),"")</f>
        <v/>
      </c>
    </row>
    <row r="2562" spans="1:19" x14ac:dyDescent="0.2">
      <c r="A2562">
        <f t="shared" ref="A2562:A2625" si="122">IF(AND(P2561=0,H2561="TO CLOSE"),IFERROR(A2561+1,1),IFERROR(A2561/1,1))</f>
        <v>832</v>
      </c>
      <c r="B2562" s="3">
        <v>44055</v>
      </c>
      <c r="C2562" s="3" t="str">
        <f t="shared" si="121"/>
        <v>Wednesday</v>
      </c>
      <c r="D2562" s="2">
        <v>0.55906250000000002</v>
      </c>
      <c r="E2562" t="s">
        <v>14</v>
      </c>
      <c r="F2562" t="s">
        <v>19</v>
      </c>
      <c r="G2562">
        <v>3</v>
      </c>
      <c r="H2562" t="s">
        <v>16</v>
      </c>
      <c r="I2562" t="s">
        <v>80</v>
      </c>
      <c r="J2562" s="1">
        <v>44094</v>
      </c>
      <c r="L2562" t="s">
        <v>14</v>
      </c>
      <c r="M2562">
        <v>3367.75</v>
      </c>
      <c r="N2562">
        <v>3367.75</v>
      </c>
      <c r="O2562" t="s">
        <v>24</v>
      </c>
      <c r="P2562">
        <f t="shared" si="120"/>
        <v>-2</v>
      </c>
      <c r="Q2562" s="11">
        <f>IF(P2562=0,0,IFERROR(Q2561+G2562*M2562*IF(E2562="FUTURE",VLOOKUP(MID(I2562,2,2),[1]Futures!$A$2:$B$12,2),1),G2562*M2562*IF(E2562="FUTURE",VLOOKUP(MID(I2562,2,2),[1]Futures!$A$2:$B$12,2),1)))</f>
        <v>-33806.25</v>
      </c>
      <c r="R2562" s="12">
        <f>IFERROR(Q2562/P2562/IF(E2562="FUTURE",VLOOKUP(MID(I2562,2,2),[1]Futures!$A$2:$B$12,2),1),"")</f>
        <v>3380.625</v>
      </c>
      <c r="S2562" s="13" t="str">
        <f>IF(AND(H2562="TO CLOSE",P2562=0),-G2562*(M2562-R2561)*IF(E2562="FUTURE",VLOOKUP(MID(I2562,2,2),[1]Futures!$A$2:$B$12,2),1),"")</f>
        <v/>
      </c>
    </row>
    <row r="2563" spans="1:19" x14ac:dyDescent="0.2">
      <c r="A2563">
        <f t="shared" si="122"/>
        <v>832</v>
      </c>
      <c r="B2563" s="3">
        <v>44055</v>
      </c>
      <c r="C2563" s="3" t="str">
        <f t="shared" si="121"/>
        <v>Wednesday</v>
      </c>
      <c r="D2563" s="2">
        <v>0.56012731481481481</v>
      </c>
      <c r="E2563" t="s">
        <v>14</v>
      </c>
      <c r="F2563" t="s">
        <v>19</v>
      </c>
      <c r="G2563">
        <v>2</v>
      </c>
      <c r="H2563" t="s">
        <v>16</v>
      </c>
      <c r="I2563" t="s">
        <v>80</v>
      </c>
      <c r="J2563" s="1">
        <v>44094</v>
      </c>
      <c r="L2563" t="s">
        <v>14</v>
      </c>
      <c r="M2563">
        <v>3367</v>
      </c>
      <c r="N2563">
        <v>3367</v>
      </c>
      <c r="O2563" t="s">
        <v>24</v>
      </c>
      <c r="P2563">
        <f t="shared" ref="P2563:P2626" si="123">IF(H2563="TO OPEN",IFERROR(P2562+G2563,0+G2563),IFERROR(P2562+G2563,0+G2563))</f>
        <v>0</v>
      </c>
      <c r="Q2563" s="11">
        <f>IF(P2563=0,0,IFERROR(Q2562+G2563*M2563*IF(E2563="FUTURE",VLOOKUP(MID(I2563,2,2),[1]Futures!$A$2:$B$12,2),1),G2563*M2563*IF(E2563="FUTURE",VLOOKUP(MID(I2563,2,2),[1]Futures!$A$2:$B$12,2),1)))</f>
        <v>0</v>
      </c>
      <c r="R2563" s="12" t="str">
        <f>IFERROR(Q2563/P2563/IF(E2563="FUTURE",VLOOKUP(MID(I2563,2,2),[1]Futures!$A$2:$B$12,2),1),"")</f>
        <v/>
      </c>
      <c r="S2563" s="13">
        <f>IF(AND(H2563="TO CLOSE",P2563=0),-G2563*(M2563-R2562)*IF(E2563="FUTURE",VLOOKUP(MID(I2563,2,2),[1]Futures!$A$2:$B$12,2),1),"")</f>
        <v>136.25</v>
      </c>
    </row>
    <row r="2564" spans="1:19" x14ac:dyDescent="0.2">
      <c r="A2564">
        <f t="shared" si="122"/>
        <v>833</v>
      </c>
      <c r="B2564" s="3">
        <v>44056</v>
      </c>
      <c r="C2564" s="3" t="str">
        <f t="shared" si="121"/>
        <v>Thursday</v>
      </c>
      <c r="D2564" s="2">
        <v>0.39427083333333335</v>
      </c>
      <c r="E2564" t="s">
        <v>14</v>
      </c>
      <c r="F2564" t="s">
        <v>15</v>
      </c>
      <c r="G2564">
        <v>-1</v>
      </c>
      <c r="H2564" t="s">
        <v>20</v>
      </c>
      <c r="I2564" t="s">
        <v>81</v>
      </c>
      <c r="J2564" s="1">
        <v>44094</v>
      </c>
      <c r="L2564" t="s">
        <v>14</v>
      </c>
      <c r="M2564">
        <v>42.52</v>
      </c>
      <c r="N2564">
        <v>42.52</v>
      </c>
      <c r="O2564" t="s">
        <v>24</v>
      </c>
      <c r="P2564">
        <f t="shared" si="123"/>
        <v>-1</v>
      </c>
      <c r="Q2564" s="11">
        <f>IF(P2564=0,0,IFERROR(Q2563+G2564*M2564*IF(E2564="FUTURE",VLOOKUP(MID(I2564,2,2),[1]Futures!$A$2:$B$12,2),1),G2564*M2564*IF(E2564="FUTURE",VLOOKUP(MID(I2564,2,2),[1]Futures!$A$2:$B$12,2),1)))</f>
        <v>-42520</v>
      </c>
      <c r="R2564" s="12">
        <f>IFERROR(Q2564/P2564/IF(E2564="FUTURE",VLOOKUP(MID(I2564,2,2),[1]Futures!$A$2:$B$12,2),1),"")</f>
        <v>42.52</v>
      </c>
      <c r="S2564" s="13" t="str">
        <f>IF(AND(H2564="TO CLOSE",P2564=0),-G2564*(M2564-R2563)*IF(E2564="FUTURE",VLOOKUP(MID(I2564,2,2),[1]Futures!$A$2:$B$12,2),1),"")</f>
        <v/>
      </c>
    </row>
    <row r="2565" spans="1:19" x14ac:dyDescent="0.2">
      <c r="A2565">
        <f t="shared" si="122"/>
        <v>833</v>
      </c>
      <c r="B2565" s="3">
        <v>44056</v>
      </c>
      <c r="C2565" s="3" t="str">
        <f t="shared" si="121"/>
        <v>Thursday</v>
      </c>
      <c r="D2565" s="2">
        <v>0.46260416666666665</v>
      </c>
      <c r="E2565" t="s">
        <v>14</v>
      </c>
      <c r="F2565" t="s">
        <v>19</v>
      </c>
      <c r="G2565">
        <v>1</v>
      </c>
      <c r="H2565" t="s">
        <v>16</v>
      </c>
      <c r="I2565" t="s">
        <v>81</v>
      </c>
      <c r="J2565" s="1">
        <v>44094</v>
      </c>
      <c r="L2565" t="s">
        <v>14</v>
      </c>
      <c r="M2565">
        <v>42.26</v>
      </c>
      <c r="N2565">
        <v>42.26</v>
      </c>
      <c r="O2565" t="s">
        <v>21</v>
      </c>
      <c r="P2565">
        <f t="shared" si="123"/>
        <v>0</v>
      </c>
      <c r="Q2565" s="11">
        <f>IF(P2565=0,0,IFERROR(Q2564+G2565*M2565*IF(E2565="FUTURE",VLOOKUP(MID(I2565,2,2),[1]Futures!$A$2:$B$12,2),1),G2565*M2565*IF(E2565="FUTURE",VLOOKUP(MID(I2565,2,2),[1]Futures!$A$2:$B$12,2),1)))</f>
        <v>0</v>
      </c>
      <c r="R2565" s="12" t="str">
        <f>IFERROR(Q2565/P2565/IF(E2565="FUTURE",VLOOKUP(MID(I2565,2,2),[1]Futures!$A$2:$B$12,2),1),"")</f>
        <v/>
      </c>
      <c r="S2565" s="13">
        <f>IF(AND(H2565="TO CLOSE",P2565=0),-G2565*(M2565-R2564)*IF(E2565="FUTURE",VLOOKUP(MID(I2565,2,2),[1]Futures!$A$2:$B$12,2),1),"")</f>
        <v>260.00000000000512</v>
      </c>
    </row>
    <row r="2566" spans="1:19" x14ac:dyDescent="0.2">
      <c r="A2566">
        <f t="shared" si="122"/>
        <v>834</v>
      </c>
      <c r="B2566" s="3">
        <v>44056</v>
      </c>
      <c r="C2566" s="3" t="str">
        <f t="shared" si="121"/>
        <v>Thursday</v>
      </c>
      <c r="D2566" s="2">
        <v>0.39886574074074077</v>
      </c>
      <c r="E2566" t="s">
        <v>14</v>
      </c>
      <c r="F2566" t="s">
        <v>15</v>
      </c>
      <c r="G2566">
        <v>-1</v>
      </c>
      <c r="H2566" t="s">
        <v>20</v>
      </c>
      <c r="I2566" t="s">
        <v>79</v>
      </c>
      <c r="J2566" s="1">
        <v>44094</v>
      </c>
      <c r="L2566" t="s">
        <v>14</v>
      </c>
      <c r="M2566">
        <v>3368</v>
      </c>
      <c r="N2566">
        <v>3368</v>
      </c>
      <c r="O2566" t="s">
        <v>21</v>
      </c>
      <c r="P2566">
        <f t="shared" si="123"/>
        <v>-1</v>
      </c>
      <c r="Q2566" s="11">
        <f>IF(P2566=0,0,IFERROR(Q2565+G2566*M2566*IF(E2566="FUTURE",VLOOKUP(MID(I2566,2,2),[1]Futures!$A$2:$B$12,2),1),G2566*M2566*IF(E2566="FUTURE",VLOOKUP(MID(I2566,2,2),[1]Futures!$A$2:$B$12,2),1)))</f>
        <v>-168400</v>
      </c>
      <c r="R2566" s="12">
        <f>IFERROR(Q2566/P2566/IF(E2566="FUTURE",VLOOKUP(MID(I2566,2,2),[1]Futures!$A$2:$B$12,2),1),"")</f>
        <v>3368</v>
      </c>
      <c r="S2566" s="13" t="str">
        <f>IF(AND(H2566="TO CLOSE",P2566=0),-G2566*(M2566-R2565)*IF(E2566="FUTURE",VLOOKUP(MID(I2566,2,2),[1]Futures!$A$2:$B$12,2),1),"")</f>
        <v/>
      </c>
    </row>
    <row r="2567" spans="1:19" x14ac:dyDescent="0.2">
      <c r="A2567">
        <f t="shared" si="122"/>
        <v>834</v>
      </c>
      <c r="B2567" s="3">
        <v>44056</v>
      </c>
      <c r="C2567" s="3" t="str">
        <f t="shared" si="121"/>
        <v>Thursday</v>
      </c>
      <c r="D2567" s="2">
        <v>0.59658564814814818</v>
      </c>
      <c r="E2567" t="s">
        <v>14</v>
      </c>
      <c r="F2567" t="s">
        <v>19</v>
      </c>
      <c r="G2567">
        <v>1</v>
      </c>
      <c r="H2567" t="s">
        <v>16</v>
      </c>
      <c r="I2567" t="s">
        <v>79</v>
      </c>
      <c r="J2567" s="1">
        <v>44094</v>
      </c>
      <c r="L2567" t="s">
        <v>14</v>
      </c>
      <c r="M2567">
        <v>3368</v>
      </c>
      <c r="N2567">
        <v>3368</v>
      </c>
      <c r="O2567" t="s">
        <v>21</v>
      </c>
      <c r="P2567">
        <f t="shared" si="123"/>
        <v>0</v>
      </c>
      <c r="Q2567" s="11">
        <f>IF(P2567=0,0,IFERROR(Q2566+G2567*M2567*IF(E2567="FUTURE",VLOOKUP(MID(I2567,2,2),[1]Futures!$A$2:$B$12,2),1),G2567*M2567*IF(E2567="FUTURE",VLOOKUP(MID(I2567,2,2),[1]Futures!$A$2:$B$12,2),1)))</f>
        <v>0</v>
      </c>
      <c r="R2567" s="12" t="str">
        <f>IFERROR(Q2567/P2567/IF(E2567="FUTURE",VLOOKUP(MID(I2567,2,2),[1]Futures!$A$2:$B$12,2),1),"")</f>
        <v/>
      </c>
      <c r="S2567" s="13">
        <f>IF(AND(H2567="TO CLOSE",P2567=0),-G2567*(M2567-R2566)*IF(E2567="FUTURE",VLOOKUP(MID(I2567,2,2),[1]Futures!$A$2:$B$12,2),1),"")</f>
        <v>0</v>
      </c>
    </row>
    <row r="2568" spans="1:19" x14ac:dyDescent="0.2">
      <c r="A2568">
        <f t="shared" si="122"/>
        <v>835</v>
      </c>
      <c r="B2568" s="3">
        <v>44056</v>
      </c>
      <c r="C2568" s="3" t="str">
        <f t="shared" si="121"/>
        <v>Thursday</v>
      </c>
      <c r="D2568" s="2">
        <v>0.44149305555555557</v>
      </c>
      <c r="E2568" t="s">
        <v>22</v>
      </c>
      <c r="F2568" t="s">
        <v>19</v>
      </c>
      <c r="G2568">
        <v>400</v>
      </c>
      <c r="H2568" t="s">
        <v>20</v>
      </c>
      <c r="I2568" t="s">
        <v>23</v>
      </c>
      <c r="L2568" t="s">
        <v>22</v>
      </c>
      <c r="M2568">
        <v>25.335000000000001</v>
      </c>
      <c r="N2568">
        <v>25.335000000000001</v>
      </c>
      <c r="O2568" t="s">
        <v>21</v>
      </c>
      <c r="P2568">
        <f t="shared" si="123"/>
        <v>400</v>
      </c>
      <c r="Q2568" s="11">
        <f>IF(P2568=0,0,IFERROR(Q2567+G2568*M2568*IF(E2568="FUTURE",VLOOKUP(MID(I2568,2,2),[1]Futures!$A$2:$B$12,2),1),G2568*M2568*IF(E2568="FUTURE",VLOOKUP(MID(I2568,2,2),[1]Futures!$A$2:$B$12,2),1)))</f>
        <v>10134</v>
      </c>
      <c r="R2568" s="12">
        <f>IFERROR(Q2568/P2568/IF(E2568="FUTURE",VLOOKUP(MID(I2568,2,2),[1]Futures!$A$2:$B$12,2),1),"")</f>
        <v>25.335000000000001</v>
      </c>
      <c r="S2568" s="13" t="str">
        <f>IF(AND(H2568="TO CLOSE",P2568=0),-G2568*(M2568-R2567)*IF(E2568="FUTURE",VLOOKUP(MID(I2568,2,2),[1]Futures!$A$2:$B$12,2),1),"")</f>
        <v/>
      </c>
    </row>
    <row r="2569" spans="1:19" x14ac:dyDescent="0.2">
      <c r="A2569">
        <f t="shared" si="122"/>
        <v>835</v>
      </c>
      <c r="B2569" s="3">
        <v>44056</v>
      </c>
      <c r="C2569" s="3" t="str">
        <f t="shared" si="121"/>
        <v>Thursday</v>
      </c>
      <c r="D2569" s="2">
        <v>0.47100694444444446</v>
      </c>
      <c r="E2569" t="s">
        <v>22</v>
      </c>
      <c r="F2569" t="s">
        <v>19</v>
      </c>
      <c r="G2569">
        <v>140</v>
      </c>
      <c r="H2569" t="s">
        <v>20</v>
      </c>
      <c r="I2569" t="s">
        <v>23</v>
      </c>
      <c r="L2569" t="s">
        <v>22</v>
      </c>
      <c r="M2569">
        <v>25.257100000000001</v>
      </c>
      <c r="N2569">
        <v>25.257069999999999</v>
      </c>
      <c r="O2569" t="s">
        <v>24</v>
      </c>
      <c r="P2569">
        <f t="shared" si="123"/>
        <v>540</v>
      </c>
      <c r="Q2569" s="11">
        <f>IF(P2569=0,0,IFERROR(Q2568+G2569*M2569*IF(E2569="FUTURE",VLOOKUP(MID(I2569,2,2),[1]Futures!$A$2:$B$12,2),1),G2569*M2569*IF(E2569="FUTURE",VLOOKUP(MID(I2569,2,2),[1]Futures!$A$2:$B$12,2),1)))</f>
        <v>13669.994000000001</v>
      </c>
      <c r="R2569" s="12">
        <f>IFERROR(Q2569/P2569/IF(E2569="FUTURE",VLOOKUP(MID(I2569,2,2),[1]Futures!$A$2:$B$12,2),1),"")</f>
        <v>25.314803703703706</v>
      </c>
      <c r="S2569" s="13" t="str">
        <f>IF(AND(H2569="TO CLOSE",P2569=0),-G2569*(M2569-R2568)*IF(E2569="FUTURE",VLOOKUP(MID(I2569,2,2),[1]Futures!$A$2:$B$12,2),1),"")</f>
        <v/>
      </c>
    </row>
    <row r="2570" spans="1:19" x14ac:dyDescent="0.2">
      <c r="A2570">
        <f t="shared" si="122"/>
        <v>835</v>
      </c>
      <c r="B2570" s="3">
        <v>44056</v>
      </c>
      <c r="C2570" s="3" t="str">
        <f t="shared" si="121"/>
        <v>Thursday</v>
      </c>
      <c r="D2570" s="2">
        <v>0.50846064814814818</v>
      </c>
      <c r="E2570" t="s">
        <v>22</v>
      </c>
      <c r="F2570" t="s">
        <v>19</v>
      </c>
      <c r="G2570">
        <v>60</v>
      </c>
      <c r="H2570" t="s">
        <v>20</v>
      </c>
      <c r="I2570" t="s">
        <v>23</v>
      </c>
      <c r="L2570" t="s">
        <v>22</v>
      </c>
      <c r="M2570">
        <v>25.1675</v>
      </c>
      <c r="N2570">
        <v>25.1675</v>
      </c>
      <c r="O2570" t="s">
        <v>21</v>
      </c>
      <c r="P2570">
        <f t="shared" si="123"/>
        <v>600</v>
      </c>
      <c r="Q2570" s="11">
        <f>IF(P2570=0,0,IFERROR(Q2569+G2570*M2570*IF(E2570="FUTURE",VLOOKUP(MID(I2570,2,2),[1]Futures!$A$2:$B$12,2),1),G2570*M2570*IF(E2570="FUTURE",VLOOKUP(MID(I2570,2,2),[1]Futures!$A$2:$B$12,2),1)))</f>
        <v>15180.044</v>
      </c>
      <c r="R2570" s="12">
        <f>IFERROR(Q2570/P2570/IF(E2570="FUTURE",VLOOKUP(MID(I2570,2,2),[1]Futures!$A$2:$B$12,2),1),"")</f>
        <v>25.300073333333334</v>
      </c>
      <c r="S2570" s="13" t="str">
        <f>IF(AND(H2570="TO CLOSE",P2570=0),-G2570*(M2570-R2569)*IF(E2570="FUTURE",VLOOKUP(MID(I2570,2,2),[1]Futures!$A$2:$B$12,2),1),"")</f>
        <v/>
      </c>
    </row>
    <row r="2571" spans="1:19" x14ac:dyDescent="0.2">
      <c r="A2571">
        <f t="shared" si="122"/>
        <v>835</v>
      </c>
      <c r="B2571" s="3">
        <v>44056</v>
      </c>
      <c r="C2571" s="3" t="str">
        <f t="shared" si="121"/>
        <v>Thursday</v>
      </c>
      <c r="D2571" s="2">
        <v>0.59155092592592595</v>
      </c>
      <c r="E2571" t="s">
        <v>22</v>
      </c>
      <c r="F2571" t="s">
        <v>15</v>
      </c>
      <c r="G2571">
        <v>-200</v>
      </c>
      <c r="H2571" t="s">
        <v>16</v>
      </c>
      <c r="I2571" t="s">
        <v>23</v>
      </c>
      <c r="L2571" t="s">
        <v>22</v>
      </c>
      <c r="M2571">
        <v>25.341699999999999</v>
      </c>
      <c r="N2571">
        <v>25.341699999999999</v>
      </c>
      <c r="O2571" t="s">
        <v>21</v>
      </c>
      <c r="P2571">
        <f t="shared" si="123"/>
        <v>400</v>
      </c>
      <c r="Q2571" s="11">
        <f>IF(P2571=0,0,IFERROR(Q2570+G2571*M2571*IF(E2571="FUTURE",VLOOKUP(MID(I2571,2,2),[1]Futures!$A$2:$B$12,2),1),G2571*M2571*IF(E2571="FUTURE",VLOOKUP(MID(I2571,2,2),[1]Futures!$A$2:$B$12,2),1)))</f>
        <v>10111.704</v>
      </c>
      <c r="R2571" s="12">
        <f>IFERROR(Q2571/P2571/IF(E2571="FUTURE",VLOOKUP(MID(I2571,2,2),[1]Futures!$A$2:$B$12,2),1),"")</f>
        <v>25.279260000000001</v>
      </c>
      <c r="S2571" s="13" t="str">
        <f>IF(AND(H2571="TO CLOSE",P2571=0),-G2571*(M2571-R2570)*IF(E2571="FUTURE",VLOOKUP(MID(I2571,2,2),[1]Futures!$A$2:$B$12,2),1),"")</f>
        <v/>
      </c>
    </row>
    <row r="2572" spans="1:19" x14ac:dyDescent="0.2">
      <c r="A2572">
        <f t="shared" si="122"/>
        <v>835</v>
      </c>
      <c r="B2572" s="3">
        <v>44056</v>
      </c>
      <c r="C2572" s="3" t="str">
        <f t="shared" si="121"/>
        <v>Thursday</v>
      </c>
      <c r="D2572" s="2">
        <v>0.5935879629629629</v>
      </c>
      <c r="E2572" t="s">
        <v>22</v>
      </c>
      <c r="F2572" t="s">
        <v>15</v>
      </c>
      <c r="G2572">
        <v>-100</v>
      </c>
      <c r="H2572" t="s">
        <v>16</v>
      </c>
      <c r="I2572" t="s">
        <v>23</v>
      </c>
      <c r="L2572" t="s">
        <v>22</v>
      </c>
      <c r="M2572">
        <v>25.312899999999999</v>
      </c>
      <c r="N2572">
        <v>25.312899999999999</v>
      </c>
      <c r="O2572" t="s">
        <v>24</v>
      </c>
      <c r="P2572">
        <f t="shared" si="123"/>
        <v>300</v>
      </c>
      <c r="Q2572" s="11">
        <f>IF(P2572=0,0,IFERROR(Q2571+G2572*M2572*IF(E2572="FUTURE",VLOOKUP(MID(I2572,2,2),[1]Futures!$A$2:$B$12,2),1),G2572*M2572*IF(E2572="FUTURE",VLOOKUP(MID(I2572,2,2),[1]Futures!$A$2:$B$12,2),1)))</f>
        <v>7580.4139999999998</v>
      </c>
      <c r="R2572" s="12">
        <f>IFERROR(Q2572/P2572/IF(E2572="FUTURE",VLOOKUP(MID(I2572,2,2),[1]Futures!$A$2:$B$12,2),1),"")</f>
        <v>25.268046666666667</v>
      </c>
      <c r="S2572" s="13" t="str">
        <f>IF(AND(H2572="TO CLOSE",P2572=0),-G2572*(M2572-R2571)*IF(E2572="FUTURE",VLOOKUP(MID(I2572,2,2),[1]Futures!$A$2:$B$12,2),1),"")</f>
        <v/>
      </c>
    </row>
    <row r="2573" spans="1:19" x14ac:dyDescent="0.2">
      <c r="A2573">
        <f t="shared" si="122"/>
        <v>835</v>
      </c>
      <c r="B2573" s="3">
        <v>44056</v>
      </c>
      <c r="C2573" s="3" t="str">
        <f t="shared" si="121"/>
        <v>Thursday</v>
      </c>
      <c r="D2573" s="2">
        <v>0.59591435185185182</v>
      </c>
      <c r="E2573" t="s">
        <v>22</v>
      </c>
      <c r="F2573" t="s">
        <v>15</v>
      </c>
      <c r="G2573">
        <v>-100</v>
      </c>
      <c r="H2573" t="s">
        <v>16</v>
      </c>
      <c r="I2573" t="s">
        <v>23</v>
      </c>
      <c r="L2573" t="s">
        <v>22</v>
      </c>
      <c r="M2573">
        <v>25.315000000000001</v>
      </c>
      <c r="N2573">
        <v>25.315000000000001</v>
      </c>
      <c r="O2573" t="s">
        <v>24</v>
      </c>
      <c r="P2573">
        <f t="shared" si="123"/>
        <v>200</v>
      </c>
      <c r="Q2573" s="11">
        <f>IF(P2573=0,0,IFERROR(Q2572+G2573*M2573*IF(E2573="FUTURE",VLOOKUP(MID(I2573,2,2),[1]Futures!$A$2:$B$12,2),1),G2573*M2573*IF(E2573="FUTURE",VLOOKUP(MID(I2573,2,2),[1]Futures!$A$2:$B$12,2),1)))</f>
        <v>5048.9139999999998</v>
      </c>
      <c r="R2573" s="12">
        <f>IFERROR(Q2573/P2573/IF(E2573="FUTURE",VLOOKUP(MID(I2573,2,2),[1]Futures!$A$2:$B$12,2),1),"")</f>
        <v>25.24457</v>
      </c>
      <c r="S2573" s="13" t="str">
        <f>IF(AND(H2573="TO CLOSE",P2573=0),-G2573*(M2573-R2572)*IF(E2573="FUTURE",VLOOKUP(MID(I2573,2,2),[1]Futures!$A$2:$B$12,2),1),"")</f>
        <v/>
      </c>
    </row>
    <row r="2574" spans="1:19" x14ac:dyDescent="0.2">
      <c r="A2574">
        <f t="shared" si="122"/>
        <v>835</v>
      </c>
      <c r="B2574" s="3">
        <v>44056</v>
      </c>
      <c r="C2574" s="3" t="str">
        <f t="shared" si="121"/>
        <v>Thursday</v>
      </c>
      <c r="D2574" s="2">
        <v>0.59700231481481481</v>
      </c>
      <c r="E2574" t="s">
        <v>22</v>
      </c>
      <c r="F2574" t="s">
        <v>15</v>
      </c>
      <c r="G2574">
        <v>-200</v>
      </c>
      <c r="H2574" t="s">
        <v>16</v>
      </c>
      <c r="I2574" t="s">
        <v>23</v>
      </c>
      <c r="L2574" t="s">
        <v>22</v>
      </c>
      <c r="M2574">
        <v>25.372900000000001</v>
      </c>
      <c r="N2574">
        <v>25.372900000000001</v>
      </c>
      <c r="O2574" t="s">
        <v>24</v>
      </c>
      <c r="P2574">
        <f t="shared" si="123"/>
        <v>0</v>
      </c>
      <c r="Q2574" s="11">
        <f>IF(P2574=0,0,IFERROR(Q2573+G2574*M2574*IF(E2574="FUTURE",VLOOKUP(MID(I2574,2,2),[1]Futures!$A$2:$B$12,2),1),G2574*M2574*IF(E2574="FUTURE",VLOOKUP(MID(I2574,2,2),[1]Futures!$A$2:$B$12,2),1)))</f>
        <v>0</v>
      </c>
      <c r="R2574" s="12" t="str">
        <f>IFERROR(Q2574/P2574/IF(E2574="FUTURE",VLOOKUP(MID(I2574,2,2),[1]Futures!$A$2:$B$12,2),1),"")</f>
        <v/>
      </c>
      <c r="S2574" s="13">
        <f>IF(AND(H2574="TO CLOSE",P2574=0),-G2574*(M2574-R2573)*IF(E2574="FUTURE",VLOOKUP(MID(I2574,2,2),[1]Futures!$A$2:$B$12,2),1),"")</f>
        <v>25.666000000000366</v>
      </c>
    </row>
    <row r="2575" spans="1:19" x14ac:dyDescent="0.2">
      <c r="A2575">
        <f t="shared" si="122"/>
        <v>836</v>
      </c>
      <c r="B2575" s="3">
        <v>44057</v>
      </c>
      <c r="C2575" s="3" t="str">
        <f t="shared" si="121"/>
        <v>Friday</v>
      </c>
      <c r="D2575" s="2">
        <v>0.39528935185185188</v>
      </c>
      <c r="E2575" t="s">
        <v>14</v>
      </c>
      <c r="F2575" t="s">
        <v>15</v>
      </c>
      <c r="G2575">
        <v>-1</v>
      </c>
      <c r="H2575" t="s">
        <v>20</v>
      </c>
      <c r="I2575" t="s">
        <v>81</v>
      </c>
      <c r="J2575" s="1">
        <v>44094</v>
      </c>
      <c r="L2575" t="s">
        <v>14</v>
      </c>
      <c r="M2575">
        <v>42.01</v>
      </c>
      <c r="N2575">
        <v>42.01</v>
      </c>
      <c r="O2575" t="s">
        <v>21</v>
      </c>
      <c r="P2575">
        <f t="shared" si="123"/>
        <v>-1</v>
      </c>
      <c r="Q2575" s="11">
        <f>IF(P2575=0,0,IFERROR(Q2574+G2575*M2575*IF(E2575="FUTURE",VLOOKUP(MID(I2575,2,2),[1]Futures!$A$2:$B$12,2),1),G2575*M2575*IF(E2575="FUTURE",VLOOKUP(MID(I2575,2,2),[1]Futures!$A$2:$B$12,2),1)))</f>
        <v>-42010</v>
      </c>
      <c r="R2575" s="12">
        <f>IFERROR(Q2575/P2575/IF(E2575="FUTURE",VLOOKUP(MID(I2575,2,2),[1]Futures!$A$2:$B$12,2),1),"")</f>
        <v>42.01</v>
      </c>
      <c r="S2575" s="13" t="str">
        <f>IF(AND(H2575="TO CLOSE",P2575=0),-G2575*(M2575-R2574)*IF(E2575="FUTURE",VLOOKUP(MID(I2575,2,2),[1]Futures!$A$2:$B$12,2),1),"")</f>
        <v/>
      </c>
    </row>
    <row r="2576" spans="1:19" x14ac:dyDescent="0.2">
      <c r="A2576">
        <f t="shared" si="122"/>
        <v>836</v>
      </c>
      <c r="B2576" s="3">
        <v>44057</v>
      </c>
      <c r="C2576" s="3" t="str">
        <f t="shared" si="121"/>
        <v>Friday</v>
      </c>
      <c r="D2576" s="2">
        <v>0.40599537037037042</v>
      </c>
      <c r="E2576" t="s">
        <v>14</v>
      </c>
      <c r="F2576" t="s">
        <v>19</v>
      </c>
      <c r="G2576">
        <v>1</v>
      </c>
      <c r="H2576" t="s">
        <v>16</v>
      </c>
      <c r="I2576" t="s">
        <v>81</v>
      </c>
      <c r="J2576" s="1">
        <v>44094</v>
      </c>
      <c r="L2576" t="s">
        <v>14</v>
      </c>
      <c r="M2576">
        <v>42.17</v>
      </c>
      <c r="N2576">
        <v>42.17</v>
      </c>
      <c r="O2576" t="s">
        <v>18</v>
      </c>
      <c r="P2576">
        <f t="shared" si="123"/>
        <v>0</v>
      </c>
      <c r="Q2576" s="11">
        <f>IF(P2576=0,0,IFERROR(Q2575+G2576*M2576*IF(E2576="FUTURE",VLOOKUP(MID(I2576,2,2),[1]Futures!$A$2:$B$12,2),1),G2576*M2576*IF(E2576="FUTURE",VLOOKUP(MID(I2576,2,2),[1]Futures!$A$2:$B$12,2),1)))</f>
        <v>0</v>
      </c>
      <c r="R2576" s="12" t="str">
        <f>IFERROR(Q2576/P2576/IF(E2576="FUTURE",VLOOKUP(MID(I2576,2,2),[1]Futures!$A$2:$B$12,2),1),"")</f>
        <v/>
      </c>
      <c r="S2576" s="13">
        <f>IF(AND(H2576="TO CLOSE",P2576=0),-G2576*(M2576-R2575)*IF(E2576="FUTURE",VLOOKUP(MID(I2576,2,2),[1]Futures!$A$2:$B$12,2),1),"")</f>
        <v>-160.00000000000369</v>
      </c>
    </row>
    <row r="2577" spans="1:19" x14ac:dyDescent="0.2">
      <c r="A2577">
        <f t="shared" si="122"/>
        <v>837</v>
      </c>
      <c r="B2577" s="3">
        <v>44057</v>
      </c>
      <c r="C2577" s="3" t="str">
        <f t="shared" si="121"/>
        <v>Friday</v>
      </c>
      <c r="D2577" s="2">
        <v>0.40901620370370373</v>
      </c>
      <c r="E2577" t="s">
        <v>14</v>
      </c>
      <c r="F2577" t="s">
        <v>19</v>
      </c>
      <c r="G2577">
        <v>1</v>
      </c>
      <c r="H2577" t="s">
        <v>20</v>
      </c>
      <c r="I2577" t="s">
        <v>81</v>
      </c>
      <c r="J2577" s="1">
        <v>44094</v>
      </c>
      <c r="L2577" t="s">
        <v>14</v>
      </c>
      <c r="M2577">
        <v>42.19</v>
      </c>
      <c r="N2577">
        <v>42.19</v>
      </c>
      <c r="O2577" t="s">
        <v>24</v>
      </c>
      <c r="P2577">
        <f t="shared" si="123"/>
        <v>1</v>
      </c>
      <c r="Q2577" s="11">
        <f>IF(P2577=0,0,IFERROR(Q2576+G2577*M2577*IF(E2577="FUTURE",VLOOKUP(MID(I2577,2,2),[1]Futures!$A$2:$B$12,2),1),G2577*M2577*IF(E2577="FUTURE",VLOOKUP(MID(I2577,2,2),[1]Futures!$A$2:$B$12,2),1)))</f>
        <v>42190</v>
      </c>
      <c r="R2577" s="12">
        <f>IFERROR(Q2577/P2577/IF(E2577="FUTURE",VLOOKUP(MID(I2577,2,2),[1]Futures!$A$2:$B$12,2),1),"")</f>
        <v>42.19</v>
      </c>
      <c r="S2577" s="13" t="str">
        <f>IF(AND(H2577="TO CLOSE",P2577=0),-G2577*(M2577-R2576)*IF(E2577="FUTURE",VLOOKUP(MID(I2577,2,2),[1]Futures!$A$2:$B$12,2),1),"")</f>
        <v/>
      </c>
    </row>
    <row r="2578" spans="1:19" x14ac:dyDescent="0.2">
      <c r="A2578">
        <f t="shared" si="122"/>
        <v>837</v>
      </c>
      <c r="B2578" s="3">
        <v>44057</v>
      </c>
      <c r="C2578" s="3" t="str">
        <f t="shared" si="121"/>
        <v>Friday</v>
      </c>
      <c r="D2578" s="2">
        <v>0.41792824074074075</v>
      </c>
      <c r="E2578" t="s">
        <v>14</v>
      </c>
      <c r="F2578" t="s">
        <v>15</v>
      </c>
      <c r="G2578">
        <v>-1</v>
      </c>
      <c r="H2578" t="s">
        <v>16</v>
      </c>
      <c r="I2578" t="s">
        <v>81</v>
      </c>
      <c r="J2578" s="1">
        <v>44094</v>
      </c>
      <c r="L2578" t="s">
        <v>14</v>
      </c>
      <c r="M2578">
        <v>42.24</v>
      </c>
      <c r="N2578">
        <v>42.24</v>
      </c>
      <c r="O2578" t="s">
        <v>21</v>
      </c>
      <c r="P2578">
        <f t="shared" si="123"/>
        <v>0</v>
      </c>
      <c r="Q2578" s="11">
        <f>IF(P2578=0,0,IFERROR(Q2577+G2578*M2578*IF(E2578="FUTURE",VLOOKUP(MID(I2578,2,2),[1]Futures!$A$2:$B$12,2),1),G2578*M2578*IF(E2578="FUTURE",VLOOKUP(MID(I2578,2,2),[1]Futures!$A$2:$B$12,2),1)))</f>
        <v>0</v>
      </c>
      <c r="R2578" s="12" t="str">
        <f>IFERROR(Q2578/P2578/IF(E2578="FUTURE",VLOOKUP(MID(I2578,2,2),[1]Futures!$A$2:$B$12,2),1),"")</f>
        <v/>
      </c>
      <c r="S2578" s="13">
        <f>IF(AND(H2578="TO CLOSE",P2578=0),-G2578*(M2578-R2577)*IF(E2578="FUTURE",VLOOKUP(MID(I2578,2,2),[1]Futures!$A$2:$B$12,2),1),"")</f>
        <v>50.000000000004263</v>
      </c>
    </row>
    <row r="2579" spans="1:19" x14ac:dyDescent="0.2">
      <c r="A2579">
        <f t="shared" si="122"/>
        <v>838</v>
      </c>
      <c r="B2579" s="3">
        <v>44057</v>
      </c>
      <c r="C2579" s="3" t="str">
        <f t="shared" si="121"/>
        <v>Friday</v>
      </c>
      <c r="D2579" s="2">
        <v>0.4254398148148148</v>
      </c>
      <c r="E2579" t="s">
        <v>14</v>
      </c>
      <c r="F2579" t="s">
        <v>15</v>
      </c>
      <c r="G2579">
        <v>-1</v>
      </c>
      <c r="H2579" t="s">
        <v>20</v>
      </c>
      <c r="I2579" t="s">
        <v>81</v>
      </c>
      <c r="J2579" s="1">
        <v>44094</v>
      </c>
      <c r="L2579" t="s">
        <v>14</v>
      </c>
      <c r="M2579">
        <v>42.2</v>
      </c>
      <c r="N2579">
        <v>42.2</v>
      </c>
      <c r="O2579" t="s">
        <v>21</v>
      </c>
      <c r="P2579">
        <f t="shared" si="123"/>
        <v>-1</v>
      </c>
      <c r="Q2579" s="11">
        <f>IF(P2579=0,0,IFERROR(Q2578+G2579*M2579*IF(E2579="FUTURE",VLOOKUP(MID(I2579,2,2),[1]Futures!$A$2:$B$12,2),1),G2579*M2579*IF(E2579="FUTURE",VLOOKUP(MID(I2579,2,2),[1]Futures!$A$2:$B$12,2),1)))</f>
        <v>-42200</v>
      </c>
      <c r="R2579" s="12">
        <f>IFERROR(Q2579/P2579/IF(E2579="FUTURE",VLOOKUP(MID(I2579,2,2),[1]Futures!$A$2:$B$12,2),1),"")</f>
        <v>42.2</v>
      </c>
      <c r="S2579" s="13" t="str">
        <f>IF(AND(H2579="TO CLOSE",P2579=0),-G2579*(M2579-R2578)*IF(E2579="FUTURE",VLOOKUP(MID(I2579,2,2),[1]Futures!$A$2:$B$12,2),1),"")</f>
        <v/>
      </c>
    </row>
    <row r="2580" spans="1:19" x14ac:dyDescent="0.2">
      <c r="A2580">
        <f t="shared" si="122"/>
        <v>838</v>
      </c>
      <c r="B2580" s="3">
        <v>44057</v>
      </c>
      <c r="C2580" s="3" t="str">
        <f t="shared" si="121"/>
        <v>Friday</v>
      </c>
      <c r="D2580" s="2">
        <v>0.42796296296296293</v>
      </c>
      <c r="E2580" t="s">
        <v>14</v>
      </c>
      <c r="F2580" t="s">
        <v>19</v>
      </c>
      <c r="G2580">
        <v>1</v>
      </c>
      <c r="H2580" t="s">
        <v>16</v>
      </c>
      <c r="I2580" t="s">
        <v>81</v>
      </c>
      <c r="J2580" s="1">
        <v>44094</v>
      </c>
      <c r="L2580" t="s">
        <v>14</v>
      </c>
      <c r="M2580">
        <v>42.2</v>
      </c>
      <c r="N2580">
        <v>42.2</v>
      </c>
      <c r="O2580" t="s">
        <v>18</v>
      </c>
      <c r="P2580">
        <f t="shared" si="123"/>
        <v>0</v>
      </c>
      <c r="Q2580" s="11">
        <f>IF(P2580=0,0,IFERROR(Q2579+G2580*M2580*IF(E2580="FUTURE",VLOOKUP(MID(I2580,2,2),[1]Futures!$A$2:$B$12,2),1),G2580*M2580*IF(E2580="FUTURE",VLOOKUP(MID(I2580,2,2),[1]Futures!$A$2:$B$12,2),1)))</f>
        <v>0</v>
      </c>
      <c r="R2580" s="12" t="str">
        <f>IFERROR(Q2580/P2580/IF(E2580="FUTURE",VLOOKUP(MID(I2580,2,2),[1]Futures!$A$2:$B$12,2),1),"")</f>
        <v/>
      </c>
      <c r="S2580" s="13">
        <f>IF(AND(H2580="TO CLOSE",P2580=0),-G2580*(M2580-R2579)*IF(E2580="FUTURE",VLOOKUP(MID(I2580,2,2),[1]Futures!$A$2:$B$12,2),1),"")</f>
        <v>0</v>
      </c>
    </row>
    <row r="2581" spans="1:19" x14ac:dyDescent="0.2">
      <c r="A2581">
        <f t="shared" si="122"/>
        <v>839</v>
      </c>
      <c r="B2581" s="3">
        <v>44057</v>
      </c>
      <c r="C2581" s="3" t="str">
        <f t="shared" si="121"/>
        <v>Friday</v>
      </c>
      <c r="D2581" s="2">
        <v>0.42900462962962965</v>
      </c>
      <c r="E2581" t="s">
        <v>14</v>
      </c>
      <c r="F2581" t="s">
        <v>15</v>
      </c>
      <c r="G2581">
        <v>-2</v>
      </c>
      <c r="H2581" t="s">
        <v>20</v>
      </c>
      <c r="I2581" t="s">
        <v>81</v>
      </c>
      <c r="J2581" s="1">
        <v>44094</v>
      </c>
      <c r="L2581" t="s">
        <v>14</v>
      </c>
      <c r="M2581">
        <v>42.15</v>
      </c>
      <c r="N2581">
        <v>42.15</v>
      </c>
      <c r="O2581" t="s">
        <v>21</v>
      </c>
      <c r="P2581">
        <f t="shared" si="123"/>
        <v>-2</v>
      </c>
      <c r="Q2581" s="11">
        <f>IF(P2581=0,0,IFERROR(Q2580+G2581*M2581*IF(E2581="FUTURE",VLOOKUP(MID(I2581,2,2),[1]Futures!$A$2:$B$12,2),1),G2581*M2581*IF(E2581="FUTURE",VLOOKUP(MID(I2581,2,2),[1]Futures!$A$2:$B$12,2),1)))</f>
        <v>-84300</v>
      </c>
      <c r="R2581" s="12">
        <f>IFERROR(Q2581/P2581/IF(E2581="FUTURE",VLOOKUP(MID(I2581,2,2),[1]Futures!$A$2:$B$12,2),1),"")</f>
        <v>42.15</v>
      </c>
      <c r="S2581" s="13" t="str">
        <f>IF(AND(H2581="TO CLOSE",P2581=0),-G2581*(M2581-R2580)*IF(E2581="FUTURE",VLOOKUP(MID(I2581,2,2),[1]Futures!$A$2:$B$12,2),1),"")</f>
        <v/>
      </c>
    </row>
    <row r="2582" spans="1:19" x14ac:dyDescent="0.2">
      <c r="A2582">
        <f t="shared" si="122"/>
        <v>839</v>
      </c>
      <c r="B2582" s="3">
        <v>44057</v>
      </c>
      <c r="C2582" s="3" t="str">
        <f t="shared" si="121"/>
        <v>Friday</v>
      </c>
      <c r="D2582" s="2">
        <v>0.43140046296296292</v>
      </c>
      <c r="E2582" t="s">
        <v>14</v>
      </c>
      <c r="F2582" t="s">
        <v>19</v>
      </c>
      <c r="G2582">
        <v>2</v>
      </c>
      <c r="H2582" t="s">
        <v>16</v>
      </c>
      <c r="I2582" t="s">
        <v>81</v>
      </c>
      <c r="J2582" s="1">
        <v>44094</v>
      </c>
      <c r="L2582" t="s">
        <v>14</v>
      </c>
      <c r="M2582">
        <v>42.14</v>
      </c>
      <c r="N2582">
        <v>42.14</v>
      </c>
      <c r="O2582" t="s">
        <v>21</v>
      </c>
      <c r="P2582">
        <f t="shared" si="123"/>
        <v>0</v>
      </c>
      <c r="Q2582" s="11">
        <f>IF(P2582=0,0,IFERROR(Q2581+G2582*M2582*IF(E2582="FUTURE",VLOOKUP(MID(I2582,2,2),[1]Futures!$A$2:$B$12,2),1),G2582*M2582*IF(E2582="FUTURE",VLOOKUP(MID(I2582,2,2),[1]Futures!$A$2:$B$12,2),1)))</f>
        <v>0</v>
      </c>
      <c r="R2582" s="12" t="str">
        <f>IFERROR(Q2582/P2582/IF(E2582="FUTURE",VLOOKUP(MID(I2582,2,2),[1]Futures!$A$2:$B$12,2),1),"")</f>
        <v/>
      </c>
      <c r="S2582" s="13">
        <f>IF(AND(H2582="TO CLOSE",P2582=0),-G2582*(M2582-R2581)*IF(E2582="FUTURE",VLOOKUP(MID(I2582,2,2),[1]Futures!$A$2:$B$12,2),1),"")</f>
        <v>19.999999999996021</v>
      </c>
    </row>
    <row r="2583" spans="1:19" x14ac:dyDescent="0.2">
      <c r="A2583">
        <f t="shared" si="122"/>
        <v>840</v>
      </c>
      <c r="B2583" s="3">
        <v>44057</v>
      </c>
      <c r="C2583" s="3" t="str">
        <f t="shared" si="121"/>
        <v>Friday</v>
      </c>
      <c r="D2583" s="2">
        <v>0.43664351851851851</v>
      </c>
      <c r="E2583" t="s">
        <v>14</v>
      </c>
      <c r="F2583" t="s">
        <v>15</v>
      </c>
      <c r="G2583">
        <v>-2</v>
      </c>
      <c r="H2583" t="s">
        <v>20</v>
      </c>
      <c r="I2583" t="s">
        <v>81</v>
      </c>
      <c r="J2583" s="1">
        <v>44094</v>
      </c>
      <c r="L2583" t="s">
        <v>14</v>
      </c>
      <c r="M2583">
        <v>42.08</v>
      </c>
      <c r="N2583">
        <v>42.08</v>
      </c>
      <c r="O2583" t="s">
        <v>24</v>
      </c>
      <c r="P2583">
        <f t="shared" si="123"/>
        <v>-2</v>
      </c>
      <c r="Q2583" s="11">
        <f>IF(P2583=0,0,IFERROR(Q2582+G2583*M2583*IF(E2583="FUTURE",VLOOKUP(MID(I2583,2,2),[1]Futures!$A$2:$B$12,2),1),G2583*M2583*IF(E2583="FUTURE",VLOOKUP(MID(I2583,2,2),[1]Futures!$A$2:$B$12,2),1)))</f>
        <v>-84160</v>
      </c>
      <c r="R2583" s="12">
        <f>IFERROR(Q2583/P2583/IF(E2583="FUTURE",VLOOKUP(MID(I2583,2,2),[1]Futures!$A$2:$B$12,2),1),"")</f>
        <v>42.08</v>
      </c>
      <c r="S2583" s="13" t="str">
        <f>IF(AND(H2583="TO CLOSE",P2583=0),-G2583*(M2583-R2582)*IF(E2583="FUTURE",VLOOKUP(MID(I2583,2,2),[1]Futures!$A$2:$B$12,2),1),"")</f>
        <v/>
      </c>
    </row>
    <row r="2584" spans="1:19" x14ac:dyDescent="0.2">
      <c r="A2584">
        <f t="shared" si="122"/>
        <v>840</v>
      </c>
      <c r="B2584" s="3">
        <v>44057</v>
      </c>
      <c r="C2584" s="3" t="str">
        <f t="shared" si="121"/>
        <v>Friday</v>
      </c>
      <c r="D2584" s="2">
        <v>0.43931712962962965</v>
      </c>
      <c r="E2584" t="s">
        <v>14</v>
      </c>
      <c r="F2584" t="s">
        <v>19</v>
      </c>
      <c r="G2584">
        <v>2</v>
      </c>
      <c r="H2584" t="s">
        <v>16</v>
      </c>
      <c r="I2584" t="s">
        <v>81</v>
      </c>
      <c r="J2584" s="1">
        <v>44094</v>
      </c>
      <c r="L2584" t="s">
        <v>14</v>
      </c>
      <c r="M2584">
        <v>42.07</v>
      </c>
      <c r="N2584">
        <v>42.07</v>
      </c>
      <c r="O2584" t="s">
        <v>21</v>
      </c>
      <c r="P2584">
        <f t="shared" si="123"/>
        <v>0</v>
      </c>
      <c r="Q2584" s="11">
        <f>IF(P2584=0,0,IFERROR(Q2583+G2584*M2584*IF(E2584="FUTURE",VLOOKUP(MID(I2584,2,2),[1]Futures!$A$2:$B$12,2),1),G2584*M2584*IF(E2584="FUTURE",VLOOKUP(MID(I2584,2,2),[1]Futures!$A$2:$B$12,2),1)))</f>
        <v>0</v>
      </c>
      <c r="R2584" s="12" t="str">
        <f>IFERROR(Q2584/P2584/IF(E2584="FUTURE",VLOOKUP(MID(I2584,2,2),[1]Futures!$A$2:$B$12,2),1),"")</f>
        <v/>
      </c>
      <c r="S2584" s="13">
        <f>IF(AND(H2584="TO CLOSE",P2584=0),-G2584*(M2584-R2583)*IF(E2584="FUTURE",VLOOKUP(MID(I2584,2,2),[1]Futures!$A$2:$B$12,2),1),"")</f>
        <v>19.999999999996021</v>
      </c>
    </row>
    <row r="2585" spans="1:19" x14ac:dyDescent="0.2">
      <c r="A2585">
        <f t="shared" si="122"/>
        <v>841</v>
      </c>
      <c r="B2585" s="3">
        <v>44057</v>
      </c>
      <c r="C2585" s="3" t="str">
        <f t="shared" si="121"/>
        <v>Friday</v>
      </c>
      <c r="D2585" s="2">
        <v>0.44215277777777778</v>
      </c>
      <c r="E2585" t="s">
        <v>14</v>
      </c>
      <c r="F2585" t="s">
        <v>15</v>
      </c>
      <c r="G2585">
        <v>-1</v>
      </c>
      <c r="H2585" t="s">
        <v>20</v>
      </c>
      <c r="I2585" t="s">
        <v>81</v>
      </c>
      <c r="J2585" s="1">
        <v>44094</v>
      </c>
      <c r="L2585" t="s">
        <v>14</v>
      </c>
      <c r="M2585">
        <v>42.03</v>
      </c>
      <c r="N2585">
        <v>42.03</v>
      </c>
      <c r="O2585" t="s">
        <v>24</v>
      </c>
      <c r="P2585">
        <f t="shared" si="123"/>
        <v>-1</v>
      </c>
      <c r="Q2585" s="11">
        <f>IF(P2585=0,0,IFERROR(Q2584+G2585*M2585*IF(E2585="FUTURE",VLOOKUP(MID(I2585,2,2),[1]Futures!$A$2:$B$12,2),1),G2585*M2585*IF(E2585="FUTURE",VLOOKUP(MID(I2585,2,2),[1]Futures!$A$2:$B$12,2),1)))</f>
        <v>-42030</v>
      </c>
      <c r="R2585" s="12">
        <f>IFERROR(Q2585/P2585/IF(E2585="FUTURE",VLOOKUP(MID(I2585,2,2),[1]Futures!$A$2:$B$12,2),1),"")</f>
        <v>42.03</v>
      </c>
      <c r="S2585" s="13" t="str">
        <f>IF(AND(H2585="TO CLOSE",P2585=0),-G2585*(M2585-R2584)*IF(E2585="FUTURE",VLOOKUP(MID(I2585,2,2),[1]Futures!$A$2:$B$12,2),1),"")</f>
        <v/>
      </c>
    </row>
    <row r="2586" spans="1:19" x14ac:dyDescent="0.2">
      <c r="A2586">
        <f t="shared" si="122"/>
        <v>841</v>
      </c>
      <c r="B2586" s="3">
        <v>44057</v>
      </c>
      <c r="C2586" s="3" t="str">
        <f t="shared" si="121"/>
        <v>Friday</v>
      </c>
      <c r="D2586" s="2">
        <v>0.44386574074074076</v>
      </c>
      <c r="E2586" t="s">
        <v>14</v>
      </c>
      <c r="F2586" t="s">
        <v>19</v>
      </c>
      <c r="G2586">
        <v>1</v>
      </c>
      <c r="H2586" t="s">
        <v>16</v>
      </c>
      <c r="I2586" t="s">
        <v>81</v>
      </c>
      <c r="J2586" s="1">
        <v>44094</v>
      </c>
      <c r="L2586" t="s">
        <v>14</v>
      </c>
      <c r="M2586">
        <v>42.02</v>
      </c>
      <c r="N2586">
        <v>42.02</v>
      </c>
      <c r="O2586" t="s">
        <v>21</v>
      </c>
      <c r="P2586">
        <f t="shared" si="123"/>
        <v>0</v>
      </c>
      <c r="Q2586" s="11">
        <f>IF(P2586=0,0,IFERROR(Q2585+G2586*M2586*IF(E2586="FUTURE",VLOOKUP(MID(I2586,2,2),[1]Futures!$A$2:$B$12,2),1),G2586*M2586*IF(E2586="FUTURE",VLOOKUP(MID(I2586,2,2),[1]Futures!$A$2:$B$12,2),1)))</f>
        <v>0</v>
      </c>
      <c r="R2586" s="12" t="str">
        <f>IFERROR(Q2586/P2586/IF(E2586="FUTURE",VLOOKUP(MID(I2586,2,2),[1]Futures!$A$2:$B$12,2),1),"")</f>
        <v/>
      </c>
      <c r="S2586" s="13">
        <f>IF(AND(H2586="TO CLOSE",P2586=0),-G2586*(M2586-R2585)*IF(E2586="FUTURE",VLOOKUP(MID(I2586,2,2),[1]Futures!$A$2:$B$12,2),1),"")</f>
        <v>9.9999999999980105</v>
      </c>
    </row>
    <row r="2587" spans="1:19" x14ac:dyDescent="0.2">
      <c r="A2587">
        <f t="shared" si="122"/>
        <v>842</v>
      </c>
      <c r="B2587" s="3">
        <v>44057</v>
      </c>
      <c r="C2587" s="3" t="str">
        <f t="shared" si="121"/>
        <v>Friday</v>
      </c>
      <c r="D2587" s="2">
        <v>0.44458333333333333</v>
      </c>
      <c r="E2587" t="s">
        <v>14</v>
      </c>
      <c r="F2587" t="s">
        <v>19</v>
      </c>
      <c r="G2587">
        <v>1</v>
      </c>
      <c r="H2587" t="s">
        <v>20</v>
      </c>
      <c r="I2587" t="s">
        <v>81</v>
      </c>
      <c r="J2587" s="1">
        <v>44094</v>
      </c>
      <c r="L2587" t="s">
        <v>14</v>
      </c>
      <c r="M2587">
        <v>42.05</v>
      </c>
      <c r="N2587">
        <v>42.05</v>
      </c>
      <c r="O2587" t="s">
        <v>24</v>
      </c>
      <c r="P2587">
        <f t="shared" si="123"/>
        <v>1</v>
      </c>
      <c r="Q2587" s="11">
        <f>IF(P2587=0,0,IFERROR(Q2586+G2587*M2587*IF(E2587="FUTURE",VLOOKUP(MID(I2587,2,2),[1]Futures!$A$2:$B$12,2),1),G2587*M2587*IF(E2587="FUTURE",VLOOKUP(MID(I2587,2,2),[1]Futures!$A$2:$B$12,2),1)))</f>
        <v>42050</v>
      </c>
      <c r="R2587" s="12">
        <f>IFERROR(Q2587/P2587/IF(E2587="FUTURE",VLOOKUP(MID(I2587,2,2),[1]Futures!$A$2:$B$12,2),1),"")</f>
        <v>42.05</v>
      </c>
      <c r="S2587" s="13" t="str">
        <f>IF(AND(H2587="TO CLOSE",P2587=0),-G2587*(M2587-R2586)*IF(E2587="FUTURE",VLOOKUP(MID(I2587,2,2),[1]Futures!$A$2:$B$12,2),1),"")</f>
        <v/>
      </c>
    </row>
    <row r="2588" spans="1:19" x14ac:dyDescent="0.2">
      <c r="A2588">
        <f t="shared" si="122"/>
        <v>842</v>
      </c>
      <c r="B2588" s="3">
        <v>44057</v>
      </c>
      <c r="C2588" s="3" t="str">
        <f t="shared" si="121"/>
        <v>Friday</v>
      </c>
      <c r="D2588" s="2">
        <v>0.44952546296296297</v>
      </c>
      <c r="E2588" t="s">
        <v>14</v>
      </c>
      <c r="F2588" t="s">
        <v>15</v>
      </c>
      <c r="G2588">
        <v>-1</v>
      </c>
      <c r="H2588" t="s">
        <v>16</v>
      </c>
      <c r="I2588" t="s">
        <v>81</v>
      </c>
      <c r="J2588" s="1">
        <v>44094</v>
      </c>
      <c r="L2588" t="s">
        <v>14</v>
      </c>
      <c r="M2588">
        <v>42.21</v>
      </c>
      <c r="N2588">
        <v>42.21</v>
      </c>
      <c r="O2588" t="s">
        <v>21</v>
      </c>
      <c r="P2588">
        <f t="shared" si="123"/>
        <v>0</v>
      </c>
      <c r="Q2588" s="11">
        <f>IF(P2588=0,0,IFERROR(Q2587+G2588*M2588*IF(E2588="FUTURE",VLOOKUP(MID(I2588,2,2),[1]Futures!$A$2:$B$12,2),1),G2588*M2588*IF(E2588="FUTURE",VLOOKUP(MID(I2588,2,2),[1]Futures!$A$2:$B$12,2),1)))</f>
        <v>0</v>
      </c>
      <c r="R2588" s="12" t="str">
        <f>IFERROR(Q2588/P2588/IF(E2588="FUTURE",VLOOKUP(MID(I2588,2,2),[1]Futures!$A$2:$B$12,2),1),"")</f>
        <v/>
      </c>
      <c r="S2588" s="13">
        <f>IF(AND(H2588="TO CLOSE",P2588=0),-G2588*(M2588-R2587)*IF(E2588="FUTURE",VLOOKUP(MID(I2588,2,2),[1]Futures!$A$2:$B$12,2),1),"")</f>
        <v>160.00000000000369</v>
      </c>
    </row>
    <row r="2589" spans="1:19" x14ac:dyDescent="0.2">
      <c r="A2589">
        <f t="shared" si="122"/>
        <v>843</v>
      </c>
      <c r="B2589" s="3">
        <v>44057</v>
      </c>
      <c r="C2589" s="3" t="str">
        <f t="shared" si="121"/>
        <v>Friday</v>
      </c>
      <c r="D2589" s="2">
        <v>0.4001851851851852</v>
      </c>
      <c r="E2589" t="s">
        <v>14</v>
      </c>
      <c r="F2589" t="s">
        <v>19</v>
      </c>
      <c r="G2589">
        <v>1</v>
      </c>
      <c r="H2589" t="s">
        <v>20</v>
      </c>
      <c r="I2589" t="s">
        <v>79</v>
      </c>
      <c r="J2589" s="1">
        <v>44094</v>
      </c>
      <c r="L2589" t="s">
        <v>14</v>
      </c>
      <c r="M2589">
        <v>3363.5</v>
      </c>
      <c r="N2589">
        <v>3363.5</v>
      </c>
      <c r="O2589" t="s">
        <v>24</v>
      </c>
      <c r="P2589">
        <f t="shared" si="123"/>
        <v>1</v>
      </c>
      <c r="Q2589" s="11">
        <f>IF(P2589=0,0,IFERROR(Q2588+G2589*M2589*IF(E2589="FUTURE",VLOOKUP(MID(I2589,2,2),[1]Futures!$A$2:$B$12,2),1),G2589*M2589*IF(E2589="FUTURE",VLOOKUP(MID(I2589,2,2),[1]Futures!$A$2:$B$12,2),1)))</f>
        <v>168175</v>
      </c>
      <c r="R2589" s="12">
        <f>IFERROR(Q2589/P2589/IF(E2589="FUTURE",VLOOKUP(MID(I2589,2,2),[1]Futures!$A$2:$B$12,2),1),"")</f>
        <v>3363.5</v>
      </c>
      <c r="S2589" s="13" t="str">
        <f>IF(AND(H2589="TO CLOSE",P2589=0),-G2589*(M2589-R2588)*IF(E2589="FUTURE",VLOOKUP(MID(I2589,2,2),[1]Futures!$A$2:$B$12,2),1),"")</f>
        <v/>
      </c>
    </row>
    <row r="2590" spans="1:19" x14ac:dyDescent="0.2">
      <c r="A2590">
        <f t="shared" si="122"/>
        <v>843</v>
      </c>
      <c r="B2590" s="3">
        <v>44057</v>
      </c>
      <c r="C2590" s="3" t="str">
        <f t="shared" si="121"/>
        <v>Friday</v>
      </c>
      <c r="D2590" s="2">
        <v>0.41697916666666668</v>
      </c>
      <c r="E2590" t="s">
        <v>14</v>
      </c>
      <c r="F2590" t="s">
        <v>15</v>
      </c>
      <c r="G2590">
        <v>-1</v>
      </c>
      <c r="H2590" t="s">
        <v>16</v>
      </c>
      <c r="I2590" t="s">
        <v>79</v>
      </c>
      <c r="J2590" s="1">
        <v>44094</v>
      </c>
      <c r="L2590" t="s">
        <v>14</v>
      </c>
      <c r="M2590">
        <v>3368</v>
      </c>
      <c r="N2590">
        <v>3368</v>
      </c>
      <c r="O2590" t="s">
        <v>21</v>
      </c>
      <c r="P2590">
        <f t="shared" si="123"/>
        <v>0</v>
      </c>
      <c r="Q2590" s="11">
        <f>IF(P2590=0,0,IFERROR(Q2589+G2590*M2590*IF(E2590="FUTURE",VLOOKUP(MID(I2590,2,2),[1]Futures!$A$2:$B$12,2),1),G2590*M2590*IF(E2590="FUTURE",VLOOKUP(MID(I2590,2,2),[1]Futures!$A$2:$B$12,2),1)))</f>
        <v>0</v>
      </c>
      <c r="R2590" s="12" t="str">
        <f>IFERROR(Q2590/P2590/IF(E2590="FUTURE",VLOOKUP(MID(I2590,2,2),[1]Futures!$A$2:$B$12,2),1),"")</f>
        <v/>
      </c>
      <c r="S2590" s="13">
        <f>IF(AND(H2590="TO CLOSE",P2590=0),-G2590*(M2590-R2589)*IF(E2590="FUTURE",VLOOKUP(MID(I2590,2,2),[1]Futures!$A$2:$B$12,2),1),"")</f>
        <v>225</v>
      </c>
    </row>
    <row r="2591" spans="1:19" x14ac:dyDescent="0.2">
      <c r="A2591">
        <f t="shared" si="122"/>
        <v>844</v>
      </c>
      <c r="B2591" s="3">
        <v>44057</v>
      </c>
      <c r="C2591" s="3" t="str">
        <f t="shared" si="121"/>
        <v>Friday</v>
      </c>
      <c r="D2591" s="2">
        <v>0.42101851851851851</v>
      </c>
      <c r="E2591" t="s">
        <v>14</v>
      </c>
      <c r="F2591" t="s">
        <v>19</v>
      </c>
      <c r="G2591">
        <v>1</v>
      </c>
      <c r="H2591" t="s">
        <v>20</v>
      </c>
      <c r="I2591" t="s">
        <v>79</v>
      </c>
      <c r="J2591" s="1">
        <v>44094</v>
      </c>
      <c r="L2591" t="s">
        <v>14</v>
      </c>
      <c r="M2591">
        <v>3366.75</v>
      </c>
      <c r="N2591">
        <v>3366.75</v>
      </c>
      <c r="O2591" t="s">
        <v>21</v>
      </c>
      <c r="P2591">
        <f t="shared" si="123"/>
        <v>1</v>
      </c>
      <c r="Q2591" s="11">
        <f>IF(P2591=0,0,IFERROR(Q2590+G2591*M2591*IF(E2591="FUTURE",VLOOKUP(MID(I2591,2,2),[1]Futures!$A$2:$B$12,2),1),G2591*M2591*IF(E2591="FUTURE",VLOOKUP(MID(I2591,2,2),[1]Futures!$A$2:$B$12,2),1)))</f>
        <v>168337.5</v>
      </c>
      <c r="R2591" s="12">
        <f>IFERROR(Q2591/P2591/IF(E2591="FUTURE",VLOOKUP(MID(I2591,2,2),[1]Futures!$A$2:$B$12,2),1),"")</f>
        <v>3366.75</v>
      </c>
      <c r="S2591" s="13" t="str">
        <f>IF(AND(H2591="TO CLOSE",P2591=0),-G2591*(M2591-R2590)*IF(E2591="FUTURE",VLOOKUP(MID(I2591,2,2),[1]Futures!$A$2:$B$12,2),1),"")</f>
        <v/>
      </c>
    </row>
    <row r="2592" spans="1:19" x14ac:dyDescent="0.2">
      <c r="A2592">
        <f t="shared" si="122"/>
        <v>844</v>
      </c>
      <c r="B2592" s="3">
        <v>44057</v>
      </c>
      <c r="C2592" s="3" t="str">
        <f t="shared" si="121"/>
        <v>Friday</v>
      </c>
      <c r="D2592" s="2">
        <v>0.42443287037037036</v>
      </c>
      <c r="E2592" t="s">
        <v>14</v>
      </c>
      <c r="F2592" t="s">
        <v>15</v>
      </c>
      <c r="G2592">
        <v>-1</v>
      </c>
      <c r="H2592" t="s">
        <v>16</v>
      </c>
      <c r="I2592" t="s">
        <v>79</v>
      </c>
      <c r="J2592" s="1">
        <v>44094</v>
      </c>
      <c r="L2592" t="s">
        <v>14</v>
      </c>
      <c r="M2592">
        <v>3366.75</v>
      </c>
      <c r="N2592">
        <v>3366.75</v>
      </c>
      <c r="O2592" t="s">
        <v>21</v>
      </c>
      <c r="P2592">
        <f t="shared" si="123"/>
        <v>0</v>
      </c>
      <c r="Q2592" s="11">
        <f>IF(P2592=0,0,IFERROR(Q2591+G2592*M2592*IF(E2592="FUTURE",VLOOKUP(MID(I2592,2,2),[1]Futures!$A$2:$B$12,2),1),G2592*M2592*IF(E2592="FUTURE",VLOOKUP(MID(I2592,2,2),[1]Futures!$A$2:$B$12,2),1)))</f>
        <v>0</v>
      </c>
      <c r="R2592" s="12" t="str">
        <f>IFERROR(Q2592/P2592/IF(E2592="FUTURE",VLOOKUP(MID(I2592,2,2),[1]Futures!$A$2:$B$12,2),1),"")</f>
        <v/>
      </c>
      <c r="S2592" s="13">
        <f>IF(AND(H2592="TO CLOSE",P2592=0),-G2592*(M2592-R2591)*IF(E2592="FUTURE",VLOOKUP(MID(I2592,2,2),[1]Futures!$A$2:$B$12,2),1),"")</f>
        <v>0</v>
      </c>
    </row>
    <row r="2593" spans="1:19" x14ac:dyDescent="0.2">
      <c r="A2593">
        <f t="shared" si="122"/>
        <v>845</v>
      </c>
      <c r="B2593" s="3">
        <v>44057</v>
      </c>
      <c r="C2593" s="3" t="str">
        <f t="shared" si="121"/>
        <v>Friday</v>
      </c>
      <c r="D2593" s="2">
        <v>0.46287037037037032</v>
      </c>
      <c r="E2593" t="s">
        <v>14</v>
      </c>
      <c r="F2593" t="s">
        <v>19</v>
      </c>
      <c r="G2593">
        <v>1</v>
      </c>
      <c r="H2593" t="s">
        <v>20</v>
      </c>
      <c r="I2593" t="s">
        <v>79</v>
      </c>
      <c r="J2593" s="1">
        <v>44094</v>
      </c>
      <c r="L2593" t="s">
        <v>14</v>
      </c>
      <c r="M2593">
        <v>3366</v>
      </c>
      <c r="N2593">
        <v>3366</v>
      </c>
      <c r="O2593" t="s">
        <v>24</v>
      </c>
      <c r="P2593">
        <f t="shared" si="123"/>
        <v>1</v>
      </c>
      <c r="Q2593" s="11">
        <f>IF(P2593=0,0,IFERROR(Q2592+G2593*M2593*IF(E2593="FUTURE",VLOOKUP(MID(I2593,2,2),[1]Futures!$A$2:$B$12,2),1),G2593*M2593*IF(E2593="FUTURE",VLOOKUP(MID(I2593,2,2),[1]Futures!$A$2:$B$12,2),1)))</f>
        <v>168300</v>
      </c>
      <c r="R2593" s="12">
        <f>IFERROR(Q2593/P2593/IF(E2593="FUTURE",VLOOKUP(MID(I2593,2,2),[1]Futures!$A$2:$B$12,2),1),"")</f>
        <v>3366</v>
      </c>
      <c r="S2593" s="13" t="str">
        <f>IF(AND(H2593="TO CLOSE",P2593=0),-G2593*(M2593-R2592)*IF(E2593="FUTURE",VLOOKUP(MID(I2593,2,2),[1]Futures!$A$2:$B$12,2),1),"")</f>
        <v/>
      </c>
    </row>
    <row r="2594" spans="1:19" x14ac:dyDescent="0.2">
      <c r="A2594">
        <f t="shared" si="122"/>
        <v>845</v>
      </c>
      <c r="B2594" s="3">
        <v>44057</v>
      </c>
      <c r="C2594" s="3" t="str">
        <f t="shared" ref="C2594:C2657" si="124">IF(WEEKDAY(B2594,2)=1,"Monday",IF(WEEKDAY(B2594,2)=2,"Tuesday",IF(WEEKDAY(B2594,2)=3,"Wednesday",IF(WEEKDAY(B2594,2)=4,"Thursday",IF(WEEKDAY(B2594,2)=5,"Friday","Sunday")))))</f>
        <v>Friday</v>
      </c>
      <c r="D2594" s="2">
        <v>0.46329861111111109</v>
      </c>
      <c r="E2594" t="s">
        <v>14</v>
      </c>
      <c r="F2594" t="s">
        <v>15</v>
      </c>
      <c r="G2594">
        <v>-1</v>
      </c>
      <c r="H2594" t="s">
        <v>16</v>
      </c>
      <c r="I2594" t="s">
        <v>79</v>
      </c>
      <c r="J2594" s="1">
        <v>44094</v>
      </c>
      <c r="L2594" t="s">
        <v>14</v>
      </c>
      <c r="M2594">
        <v>3367</v>
      </c>
      <c r="N2594">
        <v>3367</v>
      </c>
      <c r="O2594" t="s">
        <v>21</v>
      </c>
      <c r="P2594">
        <f t="shared" si="123"/>
        <v>0</v>
      </c>
      <c r="Q2594" s="11">
        <f>IF(P2594=0,0,IFERROR(Q2593+G2594*M2594*IF(E2594="FUTURE",VLOOKUP(MID(I2594,2,2),[1]Futures!$A$2:$B$12,2),1),G2594*M2594*IF(E2594="FUTURE",VLOOKUP(MID(I2594,2,2),[1]Futures!$A$2:$B$12,2),1)))</f>
        <v>0</v>
      </c>
      <c r="R2594" s="12" t="str">
        <f>IFERROR(Q2594/P2594/IF(E2594="FUTURE",VLOOKUP(MID(I2594,2,2),[1]Futures!$A$2:$B$12,2),1),"")</f>
        <v/>
      </c>
      <c r="S2594" s="13">
        <f>IF(AND(H2594="TO CLOSE",P2594=0),-G2594*(M2594-R2593)*IF(E2594="FUTURE",VLOOKUP(MID(I2594,2,2),[1]Futures!$A$2:$B$12,2),1),"")</f>
        <v>50</v>
      </c>
    </row>
    <row r="2595" spans="1:19" x14ac:dyDescent="0.2">
      <c r="A2595">
        <f t="shared" si="122"/>
        <v>846</v>
      </c>
      <c r="B2595" s="3">
        <v>44057</v>
      </c>
      <c r="C2595" s="3" t="str">
        <f t="shared" si="124"/>
        <v>Friday</v>
      </c>
      <c r="D2595" s="2">
        <v>0.47849537037037032</v>
      </c>
      <c r="E2595" t="s">
        <v>14</v>
      </c>
      <c r="F2595" t="s">
        <v>15</v>
      </c>
      <c r="G2595">
        <v>-1</v>
      </c>
      <c r="H2595" t="s">
        <v>20</v>
      </c>
      <c r="I2595" t="s">
        <v>79</v>
      </c>
      <c r="J2595" s="1">
        <v>44094</v>
      </c>
      <c r="L2595" t="s">
        <v>14</v>
      </c>
      <c r="M2595">
        <v>3371.25</v>
      </c>
      <c r="N2595">
        <v>3371.25</v>
      </c>
      <c r="O2595" t="s">
        <v>21</v>
      </c>
      <c r="P2595">
        <f t="shared" si="123"/>
        <v>-1</v>
      </c>
      <c r="Q2595" s="11">
        <f>IF(P2595=0,0,IFERROR(Q2594+G2595*M2595*IF(E2595="FUTURE",VLOOKUP(MID(I2595,2,2),[1]Futures!$A$2:$B$12,2),1),G2595*M2595*IF(E2595="FUTURE",VLOOKUP(MID(I2595,2,2),[1]Futures!$A$2:$B$12,2),1)))</f>
        <v>-168562.5</v>
      </c>
      <c r="R2595" s="12">
        <f>IFERROR(Q2595/P2595/IF(E2595="FUTURE",VLOOKUP(MID(I2595,2,2),[1]Futures!$A$2:$B$12,2),1),"")</f>
        <v>3371.25</v>
      </c>
      <c r="S2595" s="13" t="str">
        <f>IF(AND(H2595="TO CLOSE",P2595=0),-G2595*(M2595-R2594)*IF(E2595="FUTURE",VLOOKUP(MID(I2595,2,2),[1]Futures!$A$2:$B$12,2),1),"")</f>
        <v/>
      </c>
    </row>
    <row r="2596" spans="1:19" x14ac:dyDescent="0.2">
      <c r="A2596">
        <f t="shared" si="122"/>
        <v>846</v>
      </c>
      <c r="B2596" s="3">
        <v>44057</v>
      </c>
      <c r="C2596" s="3" t="str">
        <f t="shared" si="124"/>
        <v>Friday</v>
      </c>
      <c r="D2596" s="2">
        <v>0.48790509259259257</v>
      </c>
      <c r="E2596" t="s">
        <v>14</v>
      </c>
      <c r="F2596" t="s">
        <v>19</v>
      </c>
      <c r="G2596">
        <v>1</v>
      </c>
      <c r="H2596" t="s">
        <v>16</v>
      </c>
      <c r="I2596" t="s">
        <v>79</v>
      </c>
      <c r="J2596" s="1">
        <v>44094</v>
      </c>
      <c r="L2596" t="s">
        <v>14</v>
      </c>
      <c r="M2596">
        <v>3370.25</v>
      </c>
      <c r="N2596">
        <v>3370.25</v>
      </c>
      <c r="O2596" t="s">
        <v>21</v>
      </c>
      <c r="P2596">
        <f t="shared" si="123"/>
        <v>0</v>
      </c>
      <c r="Q2596" s="11">
        <f>IF(P2596=0,0,IFERROR(Q2595+G2596*M2596*IF(E2596="FUTURE",VLOOKUP(MID(I2596,2,2),[1]Futures!$A$2:$B$12,2),1),G2596*M2596*IF(E2596="FUTURE",VLOOKUP(MID(I2596,2,2),[1]Futures!$A$2:$B$12,2),1)))</f>
        <v>0</v>
      </c>
      <c r="R2596" s="12" t="str">
        <f>IFERROR(Q2596/P2596/IF(E2596="FUTURE",VLOOKUP(MID(I2596,2,2),[1]Futures!$A$2:$B$12,2),1),"")</f>
        <v/>
      </c>
      <c r="S2596" s="13">
        <f>IF(AND(H2596="TO CLOSE",P2596=0),-G2596*(M2596-R2595)*IF(E2596="FUTURE",VLOOKUP(MID(I2596,2,2),[1]Futures!$A$2:$B$12,2),1),"")</f>
        <v>50</v>
      </c>
    </row>
    <row r="2597" spans="1:19" x14ac:dyDescent="0.2">
      <c r="A2597">
        <f t="shared" si="122"/>
        <v>847</v>
      </c>
      <c r="B2597" s="3">
        <v>44057</v>
      </c>
      <c r="C2597" s="3" t="str">
        <f t="shared" si="124"/>
        <v>Friday</v>
      </c>
      <c r="D2597" s="2">
        <v>0.57396990740740739</v>
      </c>
      <c r="E2597" t="s">
        <v>14</v>
      </c>
      <c r="F2597" t="s">
        <v>15</v>
      </c>
      <c r="G2597">
        <v>-1</v>
      </c>
      <c r="H2597" t="s">
        <v>20</v>
      </c>
      <c r="I2597" t="s">
        <v>79</v>
      </c>
      <c r="J2597" s="1">
        <v>44094</v>
      </c>
      <c r="L2597" t="s">
        <v>14</v>
      </c>
      <c r="M2597">
        <v>3370.5</v>
      </c>
      <c r="N2597">
        <v>3370.5</v>
      </c>
      <c r="O2597" t="s">
        <v>21</v>
      </c>
      <c r="P2597">
        <f t="shared" si="123"/>
        <v>-1</v>
      </c>
      <c r="Q2597" s="11">
        <f>IF(P2597=0,0,IFERROR(Q2596+G2597*M2597*IF(E2597="FUTURE",VLOOKUP(MID(I2597,2,2),[1]Futures!$A$2:$B$12,2),1),G2597*M2597*IF(E2597="FUTURE",VLOOKUP(MID(I2597,2,2),[1]Futures!$A$2:$B$12,2),1)))</f>
        <v>-168525</v>
      </c>
      <c r="R2597" s="12">
        <f>IFERROR(Q2597/P2597/IF(E2597="FUTURE",VLOOKUP(MID(I2597,2,2),[1]Futures!$A$2:$B$12,2),1),"")</f>
        <v>3370.5</v>
      </c>
      <c r="S2597" s="13" t="str">
        <f>IF(AND(H2597="TO CLOSE",P2597=0),-G2597*(M2597-R2596)*IF(E2597="FUTURE",VLOOKUP(MID(I2597,2,2),[1]Futures!$A$2:$B$12,2),1),"")</f>
        <v/>
      </c>
    </row>
    <row r="2598" spans="1:19" x14ac:dyDescent="0.2">
      <c r="A2598">
        <f t="shared" si="122"/>
        <v>847</v>
      </c>
      <c r="B2598" s="3">
        <v>44057</v>
      </c>
      <c r="C2598" s="3" t="str">
        <f t="shared" si="124"/>
        <v>Friday</v>
      </c>
      <c r="D2598" s="2">
        <v>0.58767361111111105</v>
      </c>
      <c r="E2598" t="s">
        <v>14</v>
      </c>
      <c r="F2598" t="s">
        <v>19</v>
      </c>
      <c r="G2598">
        <v>1</v>
      </c>
      <c r="H2598" t="s">
        <v>16</v>
      </c>
      <c r="I2598" t="s">
        <v>79</v>
      </c>
      <c r="J2598" s="1">
        <v>44094</v>
      </c>
      <c r="L2598" t="s">
        <v>14</v>
      </c>
      <c r="M2598">
        <v>3370.25</v>
      </c>
      <c r="N2598">
        <v>3370.25</v>
      </c>
      <c r="O2598" t="s">
        <v>21</v>
      </c>
      <c r="P2598">
        <f t="shared" si="123"/>
        <v>0</v>
      </c>
      <c r="Q2598" s="11">
        <f>IF(P2598=0,0,IFERROR(Q2597+G2598*M2598*IF(E2598="FUTURE",VLOOKUP(MID(I2598,2,2),[1]Futures!$A$2:$B$12,2),1),G2598*M2598*IF(E2598="FUTURE",VLOOKUP(MID(I2598,2,2),[1]Futures!$A$2:$B$12,2),1)))</f>
        <v>0</v>
      </c>
      <c r="R2598" s="12" t="str">
        <f>IFERROR(Q2598/P2598/IF(E2598="FUTURE",VLOOKUP(MID(I2598,2,2),[1]Futures!$A$2:$B$12,2),1),"")</f>
        <v/>
      </c>
      <c r="S2598" s="13">
        <f>IF(AND(H2598="TO CLOSE",P2598=0),-G2598*(M2598-R2597)*IF(E2598="FUTURE",VLOOKUP(MID(I2598,2,2),[1]Futures!$A$2:$B$12,2),1),"")</f>
        <v>12.5</v>
      </c>
    </row>
    <row r="2599" spans="1:19" x14ac:dyDescent="0.2">
      <c r="A2599">
        <f t="shared" si="122"/>
        <v>848</v>
      </c>
      <c r="B2599" s="3">
        <v>44057</v>
      </c>
      <c r="C2599" s="3" t="str">
        <f t="shared" si="124"/>
        <v>Friday</v>
      </c>
      <c r="D2599" s="2">
        <v>0.42584490740740738</v>
      </c>
      <c r="E2599" t="s">
        <v>22</v>
      </c>
      <c r="F2599" t="s">
        <v>19</v>
      </c>
      <c r="G2599">
        <v>400</v>
      </c>
      <c r="H2599" t="s">
        <v>20</v>
      </c>
      <c r="I2599" t="s">
        <v>23</v>
      </c>
      <c r="L2599" t="s">
        <v>22</v>
      </c>
      <c r="M2599">
        <v>25.675000000000001</v>
      </c>
      <c r="N2599">
        <v>25.675000000000001</v>
      </c>
      <c r="O2599" t="s">
        <v>21</v>
      </c>
      <c r="P2599">
        <f t="shared" si="123"/>
        <v>400</v>
      </c>
      <c r="Q2599" s="11">
        <f>IF(P2599=0,0,IFERROR(Q2598+G2599*M2599*IF(E2599="FUTURE",VLOOKUP(MID(I2599,2,2),[1]Futures!$A$2:$B$12,2),1),G2599*M2599*IF(E2599="FUTURE",VLOOKUP(MID(I2599,2,2),[1]Futures!$A$2:$B$12,2),1)))</f>
        <v>10270</v>
      </c>
      <c r="R2599" s="12">
        <f>IFERROR(Q2599/P2599/IF(E2599="FUTURE",VLOOKUP(MID(I2599,2,2),[1]Futures!$A$2:$B$12,2),1),"")</f>
        <v>25.675000000000001</v>
      </c>
      <c r="S2599" s="13" t="str">
        <f>IF(AND(H2599="TO CLOSE",P2599=0),-G2599*(M2599-R2598)*IF(E2599="FUTURE",VLOOKUP(MID(I2599,2,2),[1]Futures!$A$2:$B$12,2),1),"")</f>
        <v/>
      </c>
    </row>
    <row r="2600" spans="1:19" x14ac:dyDescent="0.2">
      <c r="A2600">
        <f t="shared" si="122"/>
        <v>848</v>
      </c>
      <c r="B2600" s="3">
        <v>44057</v>
      </c>
      <c r="C2600" s="3" t="str">
        <f t="shared" si="124"/>
        <v>Friday</v>
      </c>
      <c r="D2600" s="2">
        <v>0.43229166666666669</v>
      </c>
      <c r="E2600" t="s">
        <v>22</v>
      </c>
      <c r="F2600" t="s">
        <v>15</v>
      </c>
      <c r="G2600">
        <v>-360</v>
      </c>
      <c r="H2600" t="s">
        <v>16</v>
      </c>
      <c r="I2600" t="s">
        <v>23</v>
      </c>
      <c r="L2600" t="s">
        <v>22</v>
      </c>
      <c r="M2600">
        <v>25.690999999999999</v>
      </c>
      <c r="N2600">
        <v>25.690999999999999</v>
      </c>
      <c r="O2600" t="s">
        <v>18</v>
      </c>
      <c r="P2600">
        <f t="shared" si="123"/>
        <v>40</v>
      </c>
      <c r="Q2600" s="11">
        <f>IF(P2600=0,0,IFERROR(Q2599+G2600*M2600*IF(E2600="FUTURE",VLOOKUP(MID(I2600,2,2),[1]Futures!$A$2:$B$12,2),1),G2600*M2600*IF(E2600="FUTURE",VLOOKUP(MID(I2600,2,2),[1]Futures!$A$2:$B$12,2),1)))</f>
        <v>1021.2399999999998</v>
      </c>
      <c r="R2600" s="12">
        <f>IFERROR(Q2600/P2600/IF(E2600="FUTURE",VLOOKUP(MID(I2600,2,2),[1]Futures!$A$2:$B$12,2),1),"")</f>
        <v>25.530999999999995</v>
      </c>
      <c r="S2600" s="13" t="str">
        <f>IF(AND(H2600="TO CLOSE",P2600=0),-G2600*(M2600-R2599)*IF(E2600="FUTURE",VLOOKUP(MID(I2600,2,2),[1]Futures!$A$2:$B$12,2),1),"")</f>
        <v/>
      </c>
    </row>
    <row r="2601" spans="1:19" x14ac:dyDescent="0.2">
      <c r="A2601">
        <f t="shared" si="122"/>
        <v>848</v>
      </c>
      <c r="B2601" s="3">
        <v>44057</v>
      </c>
      <c r="C2601" s="3" t="str">
        <f t="shared" si="124"/>
        <v>Friday</v>
      </c>
      <c r="D2601" s="2">
        <v>0.43229166666666669</v>
      </c>
      <c r="E2601" t="s">
        <v>22</v>
      </c>
      <c r="F2601" t="s">
        <v>15</v>
      </c>
      <c r="G2601">
        <v>-40</v>
      </c>
      <c r="H2601" t="s">
        <v>16</v>
      </c>
      <c r="I2601" t="s">
        <v>23</v>
      </c>
      <c r="L2601" t="s">
        <v>22</v>
      </c>
      <c r="M2601">
        <v>25.690999999999999</v>
      </c>
      <c r="N2601">
        <v>25.690999999999999</v>
      </c>
      <c r="O2601" t="s">
        <v>18</v>
      </c>
      <c r="P2601">
        <f t="shared" si="123"/>
        <v>0</v>
      </c>
      <c r="Q2601" s="11">
        <f>IF(P2601=0,0,IFERROR(Q2600+G2601*M2601*IF(E2601="FUTURE",VLOOKUP(MID(I2601,2,2),[1]Futures!$A$2:$B$12,2),1),G2601*M2601*IF(E2601="FUTURE",VLOOKUP(MID(I2601,2,2),[1]Futures!$A$2:$B$12,2),1)))</f>
        <v>0</v>
      </c>
      <c r="R2601" s="12" t="str">
        <f>IFERROR(Q2601/P2601/IF(E2601="FUTURE",VLOOKUP(MID(I2601,2,2),[1]Futures!$A$2:$B$12,2),1),"")</f>
        <v/>
      </c>
      <c r="S2601" s="13">
        <f>IF(AND(H2601="TO CLOSE",P2601=0),-G2601*(M2601-R2600)*IF(E2601="FUTURE",VLOOKUP(MID(I2601,2,2),[1]Futures!$A$2:$B$12,2),1),"")</f>
        <v>6.4000000000001478</v>
      </c>
    </row>
    <row r="2602" spans="1:19" x14ac:dyDescent="0.2">
      <c r="A2602">
        <f t="shared" si="122"/>
        <v>849</v>
      </c>
      <c r="B2602" s="3">
        <v>44057</v>
      </c>
      <c r="C2602" s="3" t="str">
        <f t="shared" si="124"/>
        <v>Friday</v>
      </c>
      <c r="D2602" s="2">
        <v>0.45871527777777782</v>
      </c>
      <c r="E2602" t="s">
        <v>22</v>
      </c>
      <c r="F2602" t="s">
        <v>19</v>
      </c>
      <c r="G2602">
        <v>300</v>
      </c>
      <c r="H2602" t="s">
        <v>20</v>
      </c>
      <c r="I2602" t="s">
        <v>23</v>
      </c>
      <c r="L2602" t="s">
        <v>22</v>
      </c>
      <c r="M2602">
        <v>25.71</v>
      </c>
      <c r="N2602">
        <v>25.71</v>
      </c>
      <c r="O2602" t="s">
        <v>21</v>
      </c>
      <c r="P2602">
        <f t="shared" si="123"/>
        <v>300</v>
      </c>
      <c r="Q2602" s="11">
        <f>IF(P2602=0,0,IFERROR(Q2601+G2602*M2602*IF(E2602="FUTURE",VLOOKUP(MID(I2602,2,2),[1]Futures!$A$2:$B$12,2),1),G2602*M2602*IF(E2602="FUTURE",VLOOKUP(MID(I2602,2,2),[1]Futures!$A$2:$B$12,2),1)))</f>
        <v>7713</v>
      </c>
      <c r="R2602" s="12">
        <f>IFERROR(Q2602/P2602/IF(E2602="FUTURE",VLOOKUP(MID(I2602,2,2),[1]Futures!$A$2:$B$12,2),1),"")</f>
        <v>25.71</v>
      </c>
      <c r="S2602" s="13" t="str">
        <f>IF(AND(H2602="TO CLOSE",P2602=0),-G2602*(M2602-R2601)*IF(E2602="FUTURE",VLOOKUP(MID(I2602,2,2),[1]Futures!$A$2:$B$12,2),1),"")</f>
        <v/>
      </c>
    </row>
    <row r="2603" spans="1:19" x14ac:dyDescent="0.2">
      <c r="A2603">
        <f t="shared" si="122"/>
        <v>849</v>
      </c>
      <c r="B2603" s="3">
        <v>44057</v>
      </c>
      <c r="C2603" s="3" t="str">
        <f t="shared" si="124"/>
        <v>Friday</v>
      </c>
      <c r="D2603" s="2">
        <v>0.48144675925925928</v>
      </c>
      <c r="E2603" t="s">
        <v>22</v>
      </c>
      <c r="F2603" t="s">
        <v>19</v>
      </c>
      <c r="G2603">
        <v>300</v>
      </c>
      <c r="H2603" t="s">
        <v>20</v>
      </c>
      <c r="I2603" t="s">
        <v>23</v>
      </c>
      <c r="L2603" t="s">
        <v>22</v>
      </c>
      <c r="M2603">
        <v>25.489799999999999</v>
      </c>
      <c r="N2603">
        <v>25.489799999999999</v>
      </c>
      <c r="O2603" t="s">
        <v>24</v>
      </c>
      <c r="P2603">
        <f t="shared" si="123"/>
        <v>600</v>
      </c>
      <c r="Q2603" s="11">
        <f>IF(P2603=0,0,IFERROR(Q2602+G2603*M2603*IF(E2603="FUTURE",VLOOKUP(MID(I2603,2,2),[1]Futures!$A$2:$B$12,2),1),G2603*M2603*IF(E2603="FUTURE",VLOOKUP(MID(I2603,2,2),[1]Futures!$A$2:$B$12,2),1)))</f>
        <v>15359.939999999999</v>
      </c>
      <c r="R2603" s="12">
        <f>IFERROR(Q2603/P2603/IF(E2603="FUTURE",VLOOKUP(MID(I2603,2,2),[1]Futures!$A$2:$B$12,2),1),"")</f>
        <v>25.599899999999998</v>
      </c>
      <c r="S2603" s="13" t="str">
        <f>IF(AND(H2603="TO CLOSE",P2603=0),-G2603*(M2603-R2602)*IF(E2603="FUTURE",VLOOKUP(MID(I2603,2,2),[1]Futures!$A$2:$B$12,2),1),"")</f>
        <v/>
      </c>
    </row>
    <row r="2604" spans="1:19" x14ac:dyDescent="0.2">
      <c r="A2604">
        <f t="shared" si="122"/>
        <v>849</v>
      </c>
      <c r="B2604" s="3">
        <v>44057</v>
      </c>
      <c r="C2604" s="3" t="str">
        <f t="shared" si="124"/>
        <v>Friday</v>
      </c>
      <c r="D2604" s="2">
        <v>0.49589120370370371</v>
      </c>
      <c r="E2604" t="s">
        <v>22</v>
      </c>
      <c r="F2604" t="s">
        <v>15</v>
      </c>
      <c r="G2604">
        <v>-200</v>
      </c>
      <c r="H2604" t="s">
        <v>16</v>
      </c>
      <c r="I2604" t="s">
        <v>23</v>
      </c>
      <c r="L2604" t="s">
        <v>22</v>
      </c>
      <c r="M2604">
        <v>25.6</v>
      </c>
      <c r="N2604">
        <v>25.6</v>
      </c>
      <c r="O2604" t="s">
        <v>21</v>
      </c>
      <c r="P2604">
        <f t="shared" si="123"/>
        <v>400</v>
      </c>
      <c r="Q2604" s="11">
        <f>IF(P2604=0,0,IFERROR(Q2603+G2604*M2604*IF(E2604="FUTURE",VLOOKUP(MID(I2604,2,2),[1]Futures!$A$2:$B$12,2),1),G2604*M2604*IF(E2604="FUTURE",VLOOKUP(MID(I2604,2,2),[1]Futures!$A$2:$B$12,2),1)))</f>
        <v>10239.939999999999</v>
      </c>
      <c r="R2604" s="12">
        <f>IFERROR(Q2604/P2604/IF(E2604="FUTURE",VLOOKUP(MID(I2604,2,2),[1]Futures!$A$2:$B$12,2),1),"")</f>
        <v>25.599849999999996</v>
      </c>
      <c r="S2604" s="13" t="str">
        <f>IF(AND(H2604="TO CLOSE",P2604=0),-G2604*(M2604-R2603)*IF(E2604="FUTURE",VLOOKUP(MID(I2604,2,2),[1]Futures!$A$2:$B$12,2),1),"")</f>
        <v/>
      </c>
    </row>
    <row r="2605" spans="1:19" x14ac:dyDescent="0.2">
      <c r="A2605">
        <f t="shared" si="122"/>
        <v>849</v>
      </c>
      <c r="B2605" s="3">
        <v>44057</v>
      </c>
      <c r="C2605" s="3" t="str">
        <f t="shared" si="124"/>
        <v>Friday</v>
      </c>
      <c r="D2605" s="2">
        <v>0.55069444444444449</v>
      </c>
      <c r="E2605" t="s">
        <v>22</v>
      </c>
      <c r="F2605" t="s">
        <v>15</v>
      </c>
      <c r="G2605">
        <v>-400</v>
      </c>
      <c r="H2605" t="s">
        <v>16</v>
      </c>
      <c r="I2605" t="s">
        <v>23</v>
      </c>
      <c r="L2605" t="s">
        <v>22</v>
      </c>
      <c r="M2605">
        <v>25.602599999999999</v>
      </c>
      <c r="N2605">
        <v>25.602599999999999</v>
      </c>
      <c r="O2605" t="s">
        <v>24</v>
      </c>
      <c r="P2605">
        <f t="shared" si="123"/>
        <v>0</v>
      </c>
      <c r="Q2605" s="11">
        <f>IF(P2605=0,0,IFERROR(Q2604+G2605*M2605*IF(E2605="FUTURE",VLOOKUP(MID(I2605,2,2),[1]Futures!$A$2:$B$12,2),1),G2605*M2605*IF(E2605="FUTURE",VLOOKUP(MID(I2605,2,2),[1]Futures!$A$2:$B$12,2),1)))</f>
        <v>0</v>
      </c>
      <c r="R2605" s="12" t="str">
        <f>IFERROR(Q2605/P2605/IF(E2605="FUTURE",VLOOKUP(MID(I2605,2,2),[1]Futures!$A$2:$B$12,2),1),"")</f>
        <v/>
      </c>
      <c r="S2605" s="13">
        <f>IF(AND(H2605="TO CLOSE",P2605=0),-G2605*(M2605-R2604)*IF(E2605="FUTURE",VLOOKUP(MID(I2605,2,2),[1]Futures!$A$2:$B$12,2),1),"")</f>
        <v>1.1000000000009891</v>
      </c>
    </row>
    <row r="2606" spans="1:19" x14ac:dyDescent="0.2">
      <c r="A2606">
        <f t="shared" si="122"/>
        <v>850</v>
      </c>
      <c r="B2606" s="3">
        <v>44060</v>
      </c>
      <c r="C2606" s="3" t="str">
        <f t="shared" si="124"/>
        <v>Monday</v>
      </c>
      <c r="D2606" s="2">
        <v>0.38611111111111113</v>
      </c>
      <c r="E2606" t="s">
        <v>14</v>
      </c>
      <c r="F2606" t="s">
        <v>19</v>
      </c>
      <c r="G2606">
        <v>4</v>
      </c>
      <c r="H2606" t="s">
        <v>20</v>
      </c>
      <c r="I2606" t="s">
        <v>80</v>
      </c>
      <c r="J2606" s="1">
        <v>44094</v>
      </c>
      <c r="L2606" t="s">
        <v>14</v>
      </c>
      <c r="M2606">
        <v>3378.5</v>
      </c>
      <c r="N2606">
        <v>3378.5</v>
      </c>
      <c r="O2606" t="s">
        <v>24</v>
      </c>
      <c r="P2606">
        <f t="shared" si="123"/>
        <v>4</v>
      </c>
      <c r="Q2606" s="11">
        <f>IF(P2606=0,0,IFERROR(Q2605+G2606*M2606*IF(E2606="FUTURE",VLOOKUP(MID(I2606,2,2),[1]Futures!$A$2:$B$12,2),1),G2606*M2606*IF(E2606="FUTURE",VLOOKUP(MID(I2606,2,2),[1]Futures!$A$2:$B$12,2),1)))</f>
        <v>67570</v>
      </c>
      <c r="R2606" s="12">
        <f>IFERROR(Q2606/P2606/IF(E2606="FUTURE",VLOOKUP(MID(I2606,2,2),[1]Futures!$A$2:$B$12,2),1),"")</f>
        <v>3378.5</v>
      </c>
      <c r="S2606" s="13" t="str">
        <f>IF(AND(H2606="TO CLOSE",P2606=0),-G2606*(M2606-R2605)*IF(E2606="FUTURE",VLOOKUP(MID(I2606,2,2),[1]Futures!$A$2:$B$12,2),1),"")</f>
        <v/>
      </c>
    </row>
    <row r="2607" spans="1:19" x14ac:dyDescent="0.2">
      <c r="A2607">
        <f t="shared" si="122"/>
        <v>850</v>
      </c>
      <c r="B2607" s="3">
        <v>44060</v>
      </c>
      <c r="C2607" s="3" t="str">
        <f t="shared" si="124"/>
        <v>Monday</v>
      </c>
      <c r="D2607" s="2">
        <v>0.42083333333333334</v>
      </c>
      <c r="E2607" t="s">
        <v>14</v>
      </c>
      <c r="F2607" t="s">
        <v>19</v>
      </c>
      <c r="G2607">
        <v>1</v>
      </c>
      <c r="H2607" t="s">
        <v>20</v>
      </c>
      <c r="I2607" t="s">
        <v>80</v>
      </c>
      <c r="J2607" s="1">
        <v>44094</v>
      </c>
      <c r="L2607" t="s">
        <v>14</v>
      </c>
      <c r="M2607">
        <v>3376</v>
      </c>
      <c r="N2607">
        <v>3376</v>
      </c>
      <c r="O2607" t="s">
        <v>21</v>
      </c>
      <c r="P2607">
        <f t="shared" si="123"/>
        <v>5</v>
      </c>
      <c r="Q2607" s="11">
        <f>IF(P2607=0,0,IFERROR(Q2606+G2607*M2607*IF(E2607="FUTURE",VLOOKUP(MID(I2607,2,2),[1]Futures!$A$2:$B$12,2),1),G2607*M2607*IF(E2607="FUTURE",VLOOKUP(MID(I2607,2,2),[1]Futures!$A$2:$B$12,2),1)))</f>
        <v>84450</v>
      </c>
      <c r="R2607" s="12">
        <f>IFERROR(Q2607/P2607/IF(E2607="FUTURE",VLOOKUP(MID(I2607,2,2),[1]Futures!$A$2:$B$12,2),1),"")</f>
        <v>3378</v>
      </c>
      <c r="S2607" s="13" t="str">
        <f>IF(AND(H2607="TO CLOSE",P2607=0),-G2607*(M2607-R2606)*IF(E2607="FUTURE",VLOOKUP(MID(I2607,2,2),[1]Futures!$A$2:$B$12,2),1),"")</f>
        <v/>
      </c>
    </row>
    <row r="2608" spans="1:19" x14ac:dyDescent="0.2">
      <c r="A2608">
        <f t="shared" si="122"/>
        <v>850</v>
      </c>
      <c r="B2608" s="3">
        <v>44060</v>
      </c>
      <c r="C2608" s="3" t="str">
        <f t="shared" si="124"/>
        <v>Monday</v>
      </c>
      <c r="D2608" s="2">
        <v>0.42986111111111108</v>
      </c>
      <c r="E2608" t="s">
        <v>14</v>
      </c>
      <c r="F2608" t="s">
        <v>19</v>
      </c>
      <c r="G2608">
        <v>1</v>
      </c>
      <c r="H2608" t="s">
        <v>20</v>
      </c>
      <c r="I2608" t="s">
        <v>80</v>
      </c>
      <c r="J2608" s="1">
        <v>44094</v>
      </c>
      <c r="L2608" t="s">
        <v>14</v>
      </c>
      <c r="M2608">
        <v>3375</v>
      </c>
      <c r="N2608">
        <v>3375</v>
      </c>
      <c r="O2608" t="s">
        <v>21</v>
      </c>
      <c r="P2608">
        <f t="shared" si="123"/>
        <v>6</v>
      </c>
      <c r="Q2608" s="11">
        <f>IF(P2608=0,0,IFERROR(Q2607+G2608*M2608*IF(E2608="FUTURE",VLOOKUP(MID(I2608,2,2),[1]Futures!$A$2:$B$12,2),1),G2608*M2608*IF(E2608="FUTURE",VLOOKUP(MID(I2608,2,2),[1]Futures!$A$2:$B$12,2),1)))</f>
        <v>101325</v>
      </c>
      <c r="R2608" s="12">
        <f>IFERROR(Q2608/P2608/IF(E2608="FUTURE",VLOOKUP(MID(I2608,2,2),[1]Futures!$A$2:$B$12,2),1),"")</f>
        <v>3377.5</v>
      </c>
      <c r="S2608" s="13" t="str">
        <f>IF(AND(H2608="TO CLOSE",P2608=0),-G2608*(M2608-R2607)*IF(E2608="FUTURE",VLOOKUP(MID(I2608,2,2),[1]Futures!$A$2:$B$12,2),1),"")</f>
        <v/>
      </c>
    </row>
    <row r="2609" spans="1:19" x14ac:dyDescent="0.2">
      <c r="A2609">
        <f t="shared" si="122"/>
        <v>850</v>
      </c>
      <c r="B2609" s="3">
        <v>44060</v>
      </c>
      <c r="C2609" s="3" t="str">
        <f t="shared" si="124"/>
        <v>Monday</v>
      </c>
      <c r="D2609" s="2">
        <v>0.44513888888888892</v>
      </c>
      <c r="E2609" t="s">
        <v>14</v>
      </c>
      <c r="F2609" t="s">
        <v>15</v>
      </c>
      <c r="G2609">
        <v>-6</v>
      </c>
      <c r="H2609" t="s">
        <v>16</v>
      </c>
      <c r="I2609" t="s">
        <v>80</v>
      </c>
      <c r="J2609" s="1">
        <v>44094</v>
      </c>
      <c r="L2609" t="s">
        <v>14</v>
      </c>
      <c r="M2609">
        <v>3378.5</v>
      </c>
      <c r="N2609">
        <v>3378.5</v>
      </c>
      <c r="O2609" t="s">
        <v>24</v>
      </c>
      <c r="P2609">
        <f t="shared" si="123"/>
        <v>0</v>
      </c>
      <c r="Q2609" s="11">
        <f>IF(P2609=0,0,IFERROR(Q2608+G2609*M2609*IF(E2609="FUTURE",VLOOKUP(MID(I2609,2,2),[1]Futures!$A$2:$B$12,2),1),G2609*M2609*IF(E2609="FUTURE",VLOOKUP(MID(I2609,2,2),[1]Futures!$A$2:$B$12,2),1)))</f>
        <v>0</v>
      </c>
      <c r="R2609" s="12" t="str">
        <f>IFERROR(Q2609/P2609/IF(E2609="FUTURE",VLOOKUP(MID(I2609,2,2),[1]Futures!$A$2:$B$12,2),1),"")</f>
        <v/>
      </c>
      <c r="S2609" s="13">
        <f>IF(AND(H2609="TO CLOSE",P2609=0),-G2609*(M2609-R2608)*IF(E2609="FUTURE",VLOOKUP(MID(I2609,2,2),[1]Futures!$A$2:$B$12,2),1),"")</f>
        <v>30</v>
      </c>
    </row>
    <row r="2610" spans="1:19" x14ac:dyDescent="0.2">
      <c r="A2610">
        <f t="shared" si="122"/>
        <v>851</v>
      </c>
      <c r="B2610" s="3">
        <v>44060</v>
      </c>
      <c r="C2610" s="3" t="str">
        <f t="shared" si="124"/>
        <v>Monday</v>
      </c>
      <c r="D2610" s="2">
        <v>0.39652777777777781</v>
      </c>
      <c r="E2610" t="s">
        <v>22</v>
      </c>
      <c r="F2610" t="s">
        <v>15</v>
      </c>
      <c r="G2610">
        <v>-300</v>
      </c>
      <c r="H2610" t="s">
        <v>20</v>
      </c>
      <c r="I2610" t="s">
        <v>23</v>
      </c>
      <c r="L2610" t="s">
        <v>22</v>
      </c>
      <c r="M2610">
        <v>24.94</v>
      </c>
      <c r="N2610">
        <v>24.94</v>
      </c>
      <c r="O2610" t="s">
        <v>21</v>
      </c>
      <c r="P2610">
        <f t="shared" si="123"/>
        <v>-300</v>
      </c>
      <c r="Q2610" s="11">
        <f>IF(P2610=0,0,IFERROR(Q2609+G2610*M2610*IF(E2610="FUTURE",VLOOKUP(MID(I2610,2,2),[1]Futures!$A$2:$B$12,2),1),G2610*M2610*IF(E2610="FUTURE",VLOOKUP(MID(I2610,2,2),[1]Futures!$A$2:$B$12,2),1)))</f>
        <v>-7482</v>
      </c>
      <c r="R2610" s="12">
        <f>IFERROR(Q2610/P2610/IF(E2610="FUTURE",VLOOKUP(MID(I2610,2,2),[1]Futures!$A$2:$B$12,2),1),"")</f>
        <v>24.94</v>
      </c>
      <c r="S2610" s="13" t="str">
        <f>IF(AND(H2610="TO CLOSE",P2610=0),-G2610*(M2610-R2609)*IF(E2610="FUTURE",VLOOKUP(MID(I2610,2,2),[1]Futures!$A$2:$B$12,2),1),"")</f>
        <v/>
      </c>
    </row>
    <row r="2611" spans="1:19" x14ac:dyDescent="0.2">
      <c r="A2611">
        <f t="shared" si="122"/>
        <v>851</v>
      </c>
      <c r="B2611" s="3">
        <v>44060</v>
      </c>
      <c r="C2611" s="3" t="str">
        <f t="shared" si="124"/>
        <v>Monday</v>
      </c>
      <c r="D2611" s="2">
        <v>0.58333333333333337</v>
      </c>
      <c r="E2611" t="s">
        <v>22</v>
      </c>
      <c r="F2611" t="s">
        <v>19</v>
      </c>
      <c r="G2611">
        <v>300</v>
      </c>
      <c r="H2611" t="s">
        <v>16</v>
      </c>
      <c r="I2611" t="s">
        <v>23</v>
      </c>
      <c r="L2611" t="s">
        <v>22</v>
      </c>
      <c r="M2611">
        <v>24.605</v>
      </c>
      <c r="N2611">
        <v>24.605</v>
      </c>
      <c r="O2611" t="s">
        <v>24</v>
      </c>
      <c r="P2611">
        <f t="shared" si="123"/>
        <v>0</v>
      </c>
      <c r="Q2611" s="11">
        <f>IF(P2611=0,0,IFERROR(Q2610+G2611*M2611*IF(E2611="FUTURE",VLOOKUP(MID(I2611,2,2),[1]Futures!$A$2:$B$12,2),1),G2611*M2611*IF(E2611="FUTURE",VLOOKUP(MID(I2611,2,2),[1]Futures!$A$2:$B$12,2),1)))</f>
        <v>0</v>
      </c>
      <c r="R2611" s="12" t="str">
        <f>IFERROR(Q2611/P2611/IF(E2611="FUTURE",VLOOKUP(MID(I2611,2,2),[1]Futures!$A$2:$B$12,2),1),"")</f>
        <v/>
      </c>
      <c r="S2611" s="13">
        <f>IF(AND(H2611="TO CLOSE",P2611=0),-G2611*(M2611-R2610)*IF(E2611="FUTURE",VLOOKUP(MID(I2611,2,2),[1]Futures!$A$2:$B$12,2),1),"")</f>
        <v>100.50000000000026</v>
      </c>
    </row>
    <row r="2612" spans="1:19" x14ac:dyDescent="0.2">
      <c r="A2612">
        <f t="shared" si="122"/>
        <v>852</v>
      </c>
      <c r="B2612" s="3">
        <v>44061</v>
      </c>
      <c r="C2612" s="3" t="str">
        <f t="shared" si="124"/>
        <v>Tuesday</v>
      </c>
      <c r="D2612" s="2">
        <v>0.393587962962963</v>
      </c>
      <c r="E2612" t="s">
        <v>14</v>
      </c>
      <c r="F2612" t="s">
        <v>19</v>
      </c>
      <c r="G2612">
        <v>1</v>
      </c>
      <c r="H2612" t="s">
        <v>20</v>
      </c>
      <c r="I2612" t="s">
        <v>82</v>
      </c>
      <c r="J2612" s="1">
        <v>44124</v>
      </c>
      <c r="L2612" t="s">
        <v>14</v>
      </c>
      <c r="M2612">
        <v>42.49</v>
      </c>
      <c r="N2612">
        <v>42.49</v>
      </c>
      <c r="O2612" t="s">
        <v>24</v>
      </c>
      <c r="P2612">
        <f t="shared" si="123"/>
        <v>1</v>
      </c>
      <c r="Q2612" s="11">
        <f>IF(P2612=0,0,IFERROR(Q2611+G2612*M2612*IF(E2612="FUTURE",VLOOKUP(MID(I2612,2,2),[1]Futures!$A$2:$B$12,2),1),G2612*M2612*IF(E2612="FUTURE",VLOOKUP(MID(I2612,2,2),[1]Futures!$A$2:$B$12,2),1)))</f>
        <v>42490</v>
      </c>
      <c r="R2612" s="12">
        <f>IFERROR(Q2612/P2612/IF(E2612="FUTURE",VLOOKUP(MID(I2612,2,2),[1]Futures!$A$2:$B$12,2),1),"")</f>
        <v>42.49</v>
      </c>
      <c r="S2612" s="13" t="str">
        <f>IF(AND(H2612="TO CLOSE",P2612=0),-G2612*(M2612-R2611)*IF(E2612="FUTURE",VLOOKUP(MID(I2612,2,2),[1]Futures!$A$2:$B$12,2),1),"")</f>
        <v/>
      </c>
    </row>
    <row r="2613" spans="1:19" x14ac:dyDescent="0.2">
      <c r="A2613">
        <f t="shared" si="122"/>
        <v>852</v>
      </c>
      <c r="B2613" s="3">
        <v>44061</v>
      </c>
      <c r="C2613" s="3" t="str">
        <f t="shared" si="124"/>
        <v>Tuesday</v>
      </c>
      <c r="D2613" s="2">
        <v>0.3951736111111111</v>
      </c>
      <c r="E2613" t="s">
        <v>14</v>
      </c>
      <c r="F2613" t="s">
        <v>15</v>
      </c>
      <c r="G2613">
        <v>-1</v>
      </c>
      <c r="H2613" t="s">
        <v>16</v>
      </c>
      <c r="I2613" t="s">
        <v>82</v>
      </c>
      <c r="J2613" s="1">
        <v>44124</v>
      </c>
      <c r="L2613" t="s">
        <v>14</v>
      </c>
      <c r="M2613">
        <v>42.54</v>
      </c>
      <c r="N2613">
        <v>42.54</v>
      </c>
      <c r="O2613" t="s">
        <v>21</v>
      </c>
      <c r="P2613">
        <f t="shared" si="123"/>
        <v>0</v>
      </c>
      <c r="Q2613" s="11">
        <f>IF(P2613=0,0,IFERROR(Q2612+G2613*M2613*IF(E2613="FUTURE",VLOOKUP(MID(I2613,2,2),[1]Futures!$A$2:$B$12,2),1),G2613*M2613*IF(E2613="FUTURE",VLOOKUP(MID(I2613,2,2),[1]Futures!$A$2:$B$12,2),1)))</f>
        <v>0</v>
      </c>
      <c r="R2613" s="12" t="str">
        <f>IFERROR(Q2613/P2613/IF(E2613="FUTURE",VLOOKUP(MID(I2613,2,2),[1]Futures!$A$2:$B$12,2),1),"")</f>
        <v/>
      </c>
      <c r="S2613" s="13">
        <f>IF(AND(H2613="TO CLOSE",P2613=0),-G2613*(M2613-R2612)*IF(E2613="FUTURE",VLOOKUP(MID(I2613,2,2),[1]Futures!$A$2:$B$12,2),1),"")</f>
        <v>49.999999999997158</v>
      </c>
    </row>
    <row r="2614" spans="1:19" x14ac:dyDescent="0.2">
      <c r="A2614">
        <f t="shared" si="122"/>
        <v>853</v>
      </c>
      <c r="B2614" s="3">
        <v>44061</v>
      </c>
      <c r="C2614" s="3" t="str">
        <f t="shared" si="124"/>
        <v>Tuesday</v>
      </c>
      <c r="D2614" s="2">
        <v>0.4147569444444445</v>
      </c>
      <c r="E2614" t="s">
        <v>14</v>
      </c>
      <c r="F2614" t="s">
        <v>15</v>
      </c>
      <c r="G2614">
        <v>-1</v>
      </c>
      <c r="H2614" t="s">
        <v>20</v>
      </c>
      <c r="I2614" t="s">
        <v>82</v>
      </c>
      <c r="J2614" s="1">
        <v>44124</v>
      </c>
      <c r="L2614" t="s">
        <v>14</v>
      </c>
      <c r="M2614">
        <v>42.81</v>
      </c>
      <c r="N2614">
        <v>42.81</v>
      </c>
      <c r="O2614" t="s">
        <v>21</v>
      </c>
      <c r="P2614">
        <f t="shared" si="123"/>
        <v>-1</v>
      </c>
      <c r="Q2614" s="11">
        <f>IF(P2614=0,0,IFERROR(Q2613+G2614*M2614*IF(E2614="FUTURE",VLOOKUP(MID(I2614,2,2),[1]Futures!$A$2:$B$12,2),1),G2614*M2614*IF(E2614="FUTURE",VLOOKUP(MID(I2614,2,2),[1]Futures!$A$2:$B$12,2),1)))</f>
        <v>-42810</v>
      </c>
      <c r="R2614" s="12">
        <f>IFERROR(Q2614/P2614/IF(E2614="FUTURE",VLOOKUP(MID(I2614,2,2),[1]Futures!$A$2:$B$12,2),1),"")</f>
        <v>42.81</v>
      </c>
      <c r="S2614" s="13" t="str">
        <f>IF(AND(H2614="TO CLOSE",P2614=0),-G2614*(M2614-R2613)*IF(E2614="FUTURE",VLOOKUP(MID(I2614,2,2),[1]Futures!$A$2:$B$12,2),1),"")</f>
        <v/>
      </c>
    </row>
    <row r="2615" spans="1:19" x14ac:dyDescent="0.2">
      <c r="A2615">
        <f t="shared" si="122"/>
        <v>853</v>
      </c>
      <c r="B2615" s="3">
        <v>44061</v>
      </c>
      <c r="C2615" s="3" t="str">
        <f t="shared" si="124"/>
        <v>Tuesday</v>
      </c>
      <c r="D2615" s="2">
        <v>0.42184027777777783</v>
      </c>
      <c r="E2615" t="s">
        <v>14</v>
      </c>
      <c r="F2615" t="s">
        <v>15</v>
      </c>
      <c r="G2615">
        <v>-1</v>
      </c>
      <c r="H2615" t="s">
        <v>20</v>
      </c>
      <c r="I2615" t="s">
        <v>82</v>
      </c>
      <c r="J2615" s="1">
        <v>44124</v>
      </c>
      <c r="L2615" t="s">
        <v>14</v>
      </c>
      <c r="M2615">
        <v>42.75</v>
      </c>
      <c r="N2615">
        <v>42.75</v>
      </c>
      <c r="O2615" t="s">
        <v>21</v>
      </c>
      <c r="P2615">
        <f t="shared" si="123"/>
        <v>-2</v>
      </c>
      <c r="Q2615" s="11">
        <f>IF(P2615=0,0,IFERROR(Q2614+G2615*M2615*IF(E2615="FUTURE",VLOOKUP(MID(I2615,2,2),[1]Futures!$A$2:$B$12,2),1),G2615*M2615*IF(E2615="FUTURE",VLOOKUP(MID(I2615,2,2),[1]Futures!$A$2:$B$12,2),1)))</f>
        <v>-85560</v>
      </c>
      <c r="R2615" s="12">
        <f>IFERROR(Q2615/P2615/IF(E2615="FUTURE",VLOOKUP(MID(I2615,2,2),[1]Futures!$A$2:$B$12,2),1),"")</f>
        <v>42.78</v>
      </c>
      <c r="S2615" s="13" t="str">
        <f>IF(AND(H2615="TO CLOSE",P2615=0),-G2615*(M2615-R2614)*IF(E2615="FUTURE",VLOOKUP(MID(I2615,2,2),[1]Futures!$A$2:$B$12,2),1),"")</f>
        <v/>
      </c>
    </row>
    <row r="2616" spans="1:19" x14ac:dyDescent="0.2">
      <c r="A2616">
        <f t="shared" si="122"/>
        <v>853</v>
      </c>
      <c r="B2616" s="3">
        <v>44061</v>
      </c>
      <c r="C2616" s="3" t="str">
        <f t="shared" si="124"/>
        <v>Tuesday</v>
      </c>
      <c r="D2616" s="2">
        <v>0.42244212962962963</v>
      </c>
      <c r="E2616" t="s">
        <v>14</v>
      </c>
      <c r="F2616" t="s">
        <v>19</v>
      </c>
      <c r="G2616">
        <v>1</v>
      </c>
      <c r="H2616" t="s">
        <v>16</v>
      </c>
      <c r="I2616" t="s">
        <v>82</v>
      </c>
      <c r="J2616" s="1">
        <v>44124</v>
      </c>
      <c r="L2616" t="s">
        <v>14</v>
      </c>
      <c r="M2616">
        <v>42.68</v>
      </c>
      <c r="N2616">
        <v>42.68</v>
      </c>
      <c r="O2616" t="s">
        <v>21</v>
      </c>
      <c r="P2616">
        <f t="shared" si="123"/>
        <v>-1</v>
      </c>
      <c r="Q2616" s="11">
        <f>IF(P2616=0,0,IFERROR(Q2615+G2616*M2616*IF(E2616="FUTURE",VLOOKUP(MID(I2616,2,2),[1]Futures!$A$2:$B$12,2),1),G2616*M2616*IF(E2616="FUTURE",VLOOKUP(MID(I2616,2,2),[1]Futures!$A$2:$B$12,2),1)))</f>
        <v>-42880</v>
      </c>
      <c r="R2616" s="12">
        <f>IFERROR(Q2616/P2616/IF(E2616="FUTURE",VLOOKUP(MID(I2616,2,2),[1]Futures!$A$2:$B$12,2),1),"")</f>
        <v>42.88</v>
      </c>
      <c r="S2616" s="13" t="str">
        <f>IF(AND(H2616="TO CLOSE",P2616=0),-G2616*(M2616-R2615)*IF(E2616="FUTURE",VLOOKUP(MID(I2616,2,2),[1]Futures!$A$2:$B$12,2),1),"")</f>
        <v/>
      </c>
    </row>
    <row r="2617" spans="1:19" x14ac:dyDescent="0.2">
      <c r="A2617">
        <f t="shared" si="122"/>
        <v>853</v>
      </c>
      <c r="B2617" s="3">
        <v>44061</v>
      </c>
      <c r="C2617" s="3" t="str">
        <f t="shared" si="124"/>
        <v>Tuesday</v>
      </c>
      <c r="D2617" s="2">
        <v>0.42312499999999997</v>
      </c>
      <c r="E2617" t="s">
        <v>14</v>
      </c>
      <c r="F2617" t="s">
        <v>19</v>
      </c>
      <c r="G2617">
        <v>1</v>
      </c>
      <c r="H2617" t="s">
        <v>16</v>
      </c>
      <c r="I2617" t="s">
        <v>82</v>
      </c>
      <c r="J2617" s="1">
        <v>44124</v>
      </c>
      <c r="L2617" t="s">
        <v>14</v>
      </c>
      <c r="M2617">
        <v>42.62</v>
      </c>
      <c r="N2617">
        <v>42.62</v>
      </c>
      <c r="O2617" t="s">
        <v>21</v>
      </c>
      <c r="P2617">
        <f t="shared" si="123"/>
        <v>0</v>
      </c>
      <c r="Q2617" s="11">
        <f>IF(P2617=0,0,IFERROR(Q2616+G2617*M2617*IF(E2617="FUTURE",VLOOKUP(MID(I2617,2,2),[1]Futures!$A$2:$B$12,2),1),G2617*M2617*IF(E2617="FUTURE",VLOOKUP(MID(I2617,2,2),[1]Futures!$A$2:$B$12,2),1)))</f>
        <v>0</v>
      </c>
      <c r="R2617" s="12" t="str">
        <f>IFERROR(Q2617/P2617/IF(E2617="FUTURE",VLOOKUP(MID(I2617,2,2),[1]Futures!$A$2:$B$12,2),1),"")</f>
        <v/>
      </c>
      <c r="S2617" s="13">
        <f>IF(AND(H2617="TO CLOSE",P2617=0),-G2617*(M2617-R2616)*IF(E2617="FUTURE",VLOOKUP(MID(I2617,2,2),[1]Futures!$A$2:$B$12,2),1),"")</f>
        <v>260.00000000000512</v>
      </c>
    </row>
    <row r="2618" spans="1:19" x14ac:dyDescent="0.2">
      <c r="A2618">
        <f t="shared" si="122"/>
        <v>854</v>
      </c>
      <c r="B2618" s="3">
        <v>44061</v>
      </c>
      <c r="C2618" s="3" t="str">
        <f t="shared" si="124"/>
        <v>Tuesday</v>
      </c>
      <c r="D2618" s="2">
        <v>0.44128472222222226</v>
      </c>
      <c r="E2618" t="s">
        <v>14</v>
      </c>
      <c r="F2618" t="s">
        <v>19</v>
      </c>
      <c r="G2618">
        <v>2</v>
      </c>
      <c r="H2618" t="s">
        <v>20</v>
      </c>
      <c r="I2618" t="s">
        <v>82</v>
      </c>
      <c r="J2618" s="1">
        <v>44124</v>
      </c>
      <c r="L2618" t="s">
        <v>14</v>
      </c>
      <c r="M2618">
        <v>42.62</v>
      </c>
      <c r="N2618">
        <v>42.62</v>
      </c>
      <c r="O2618" t="s">
        <v>21</v>
      </c>
      <c r="P2618">
        <f t="shared" si="123"/>
        <v>2</v>
      </c>
      <c r="Q2618" s="11">
        <f>IF(P2618=0,0,IFERROR(Q2617+G2618*M2618*IF(E2618="FUTURE",VLOOKUP(MID(I2618,2,2),[1]Futures!$A$2:$B$12,2),1),G2618*M2618*IF(E2618="FUTURE",VLOOKUP(MID(I2618,2,2),[1]Futures!$A$2:$B$12,2),1)))</f>
        <v>85240</v>
      </c>
      <c r="R2618" s="12">
        <f>IFERROR(Q2618/P2618/IF(E2618="FUTURE",VLOOKUP(MID(I2618,2,2),[1]Futures!$A$2:$B$12,2),1),"")</f>
        <v>42.62</v>
      </c>
      <c r="S2618" s="13" t="str">
        <f>IF(AND(H2618="TO CLOSE",P2618=0),-G2618*(M2618-R2617)*IF(E2618="FUTURE",VLOOKUP(MID(I2618,2,2),[1]Futures!$A$2:$B$12,2),1),"")</f>
        <v/>
      </c>
    </row>
    <row r="2619" spans="1:19" x14ac:dyDescent="0.2">
      <c r="A2619">
        <f t="shared" si="122"/>
        <v>854</v>
      </c>
      <c r="B2619" s="3">
        <v>44061</v>
      </c>
      <c r="C2619" s="3" t="str">
        <f t="shared" si="124"/>
        <v>Tuesday</v>
      </c>
      <c r="D2619" s="2">
        <v>0.44562499999999999</v>
      </c>
      <c r="E2619" t="s">
        <v>14</v>
      </c>
      <c r="F2619" t="s">
        <v>15</v>
      </c>
      <c r="G2619">
        <v>-2</v>
      </c>
      <c r="H2619" t="s">
        <v>16</v>
      </c>
      <c r="I2619" t="s">
        <v>82</v>
      </c>
      <c r="J2619" s="1">
        <v>44124</v>
      </c>
      <c r="L2619" t="s">
        <v>14</v>
      </c>
      <c r="M2619">
        <v>42.63</v>
      </c>
      <c r="N2619">
        <v>42.63</v>
      </c>
      <c r="O2619" t="s">
        <v>24</v>
      </c>
      <c r="P2619">
        <f t="shared" si="123"/>
        <v>0</v>
      </c>
      <c r="Q2619" s="11">
        <f>IF(P2619=0,0,IFERROR(Q2618+G2619*M2619*IF(E2619="FUTURE",VLOOKUP(MID(I2619,2,2),[1]Futures!$A$2:$B$12,2),1),G2619*M2619*IF(E2619="FUTURE",VLOOKUP(MID(I2619,2,2),[1]Futures!$A$2:$B$12,2),1)))</f>
        <v>0</v>
      </c>
      <c r="R2619" s="12" t="str">
        <f>IFERROR(Q2619/P2619/IF(E2619="FUTURE",VLOOKUP(MID(I2619,2,2),[1]Futures!$A$2:$B$12,2),1),"")</f>
        <v/>
      </c>
      <c r="S2619" s="13">
        <f>IF(AND(H2619="TO CLOSE",P2619=0),-G2619*(M2619-R2618)*IF(E2619="FUTURE",VLOOKUP(MID(I2619,2,2),[1]Futures!$A$2:$B$12,2),1),"")</f>
        <v>20.000000000010232</v>
      </c>
    </row>
    <row r="2620" spans="1:19" x14ac:dyDescent="0.2">
      <c r="A2620">
        <f t="shared" si="122"/>
        <v>855</v>
      </c>
      <c r="B2620" s="3">
        <v>44061</v>
      </c>
      <c r="C2620" s="3" t="str">
        <f t="shared" si="124"/>
        <v>Tuesday</v>
      </c>
      <c r="D2620" s="2">
        <v>0.38496527777777773</v>
      </c>
      <c r="E2620" t="s">
        <v>14</v>
      </c>
      <c r="F2620" t="s">
        <v>15</v>
      </c>
      <c r="G2620">
        <v>-1</v>
      </c>
      <c r="H2620" t="s">
        <v>20</v>
      </c>
      <c r="I2620" t="s">
        <v>79</v>
      </c>
      <c r="J2620" s="1">
        <v>44094</v>
      </c>
      <c r="L2620" t="s">
        <v>14</v>
      </c>
      <c r="M2620">
        <v>3383.75</v>
      </c>
      <c r="N2620">
        <v>3383.75</v>
      </c>
      <c r="O2620" t="s">
        <v>21</v>
      </c>
      <c r="P2620">
        <f t="shared" si="123"/>
        <v>-1</v>
      </c>
      <c r="Q2620" s="11">
        <f>IF(P2620=0,0,IFERROR(Q2619+G2620*M2620*IF(E2620="FUTURE",VLOOKUP(MID(I2620,2,2),[1]Futures!$A$2:$B$12,2),1),G2620*M2620*IF(E2620="FUTURE",VLOOKUP(MID(I2620,2,2),[1]Futures!$A$2:$B$12,2),1)))</f>
        <v>-169187.5</v>
      </c>
      <c r="R2620" s="12">
        <f>IFERROR(Q2620/P2620/IF(E2620="FUTURE",VLOOKUP(MID(I2620,2,2),[1]Futures!$A$2:$B$12,2),1),"")</f>
        <v>3383.75</v>
      </c>
      <c r="S2620" s="13" t="str">
        <f>IF(AND(H2620="TO CLOSE",P2620=0),-G2620*(M2620-R2619)*IF(E2620="FUTURE",VLOOKUP(MID(I2620,2,2),[1]Futures!$A$2:$B$12,2),1),"")</f>
        <v/>
      </c>
    </row>
    <row r="2621" spans="1:19" x14ac:dyDescent="0.2">
      <c r="A2621">
        <f t="shared" si="122"/>
        <v>855</v>
      </c>
      <c r="B2621" s="3">
        <v>44061</v>
      </c>
      <c r="C2621" s="3" t="str">
        <f t="shared" si="124"/>
        <v>Tuesday</v>
      </c>
      <c r="D2621" s="2">
        <v>0.39521990740740742</v>
      </c>
      <c r="E2621" t="s">
        <v>14</v>
      </c>
      <c r="F2621" t="s">
        <v>19</v>
      </c>
      <c r="G2621">
        <v>1</v>
      </c>
      <c r="H2621" t="s">
        <v>16</v>
      </c>
      <c r="I2621" t="s">
        <v>79</v>
      </c>
      <c r="J2621" s="1">
        <v>44094</v>
      </c>
      <c r="L2621" t="s">
        <v>14</v>
      </c>
      <c r="M2621">
        <v>3382.75</v>
      </c>
      <c r="N2621">
        <v>3382.75</v>
      </c>
      <c r="O2621" t="s">
        <v>18</v>
      </c>
      <c r="P2621">
        <f t="shared" si="123"/>
        <v>0</v>
      </c>
      <c r="Q2621" s="11">
        <f>IF(P2621=0,0,IFERROR(Q2620+G2621*M2621*IF(E2621="FUTURE",VLOOKUP(MID(I2621,2,2),[1]Futures!$A$2:$B$12,2),1),G2621*M2621*IF(E2621="FUTURE",VLOOKUP(MID(I2621,2,2),[1]Futures!$A$2:$B$12,2),1)))</f>
        <v>0</v>
      </c>
      <c r="R2621" s="12" t="str">
        <f>IFERROR(Q2621/P2621/IF(E2621="FUTURE",VLOOKUP(MID(I2621,2,2),[1]Futures!$A$2:$B$12,2),1),"")</f>
        <v/>
      </c>
      <c r="S2621" s="13">
        <f>IF(AND(H2621="TO CLOSE",P2621=0),-G2621*(M2621-R2620)*IF(E2621="FUTURE",VLOOKUP(MID(I2621,2,2),[1]Futures!$A$2:$B$12,2),1),"")</f>
        <v>50</v>
      </c>
    </row>
    <row r="2622" spans="1:19" x14ac:dyDescent="0.2">
      <c r="A2622">
        <f t="shared" si="122"/>
        <v>856</v>
      </c>
      <c r="B2622" s="3">
        <v>44061</v>
      </c>
      <c r="C2622" s="3" t="str">
        <f t="shared" si="124"/>
        <v>Tuesday</v>
      </c>
      <c r="D2622" s="2">
        <v>0.4632175925925926</v>
      </c>
      <c r="E2622" t="s">
        <v>14</v>
      </c>
      <c r="F2622" t="s">
        <v>15</v>
      </c>
      <c r="G2622">
        <v>-1</v>
      </c>
      <c r="H2622" t="s">
        <v>20</v>
      </c>
      <c r="I2622" t="s">
        <v>79</v>
      </c>
      <c r="J2622" s="1">
        <v>44094</v>
      </c>
      <c r="L2622" t="s">
        <v>14</v>
      </c>
      <c r="M2622">
        <v>3377.25</v>
      </c>
      <c r="N2622">
        <v>3377.25</v>
      </c>
      <c r="O2622" t="s">
        <v>21</v>
      </c>
      <c r="P2622">
        <f t="shared" si="123"/>
        <v>-1</v>
      </c>
      <c r="Q2622" s="11">
        <f>IF(P2622=0,0,IFERROR(Q2621+G2622*M2622*IF(E2622="FUTURE",VLOOKUP(MID(I2622,2,2),[1]Futures!$A$2:$B$12,2),1),G2622*M2622*IF(E2622="FUTURE",VLOOKUP(MID(I2622,2,2),[1]Futures!$A$2:$B$12,2),1)))</f>
        <v>-168862.5</v>
      </c>
      <c r="R2622" s="12">
        <f>IFERROR(Q2622/P2622/IF(E2622="FUTURE",VLOOKUP(MID(I2622,2,2),[1]Futures!$A$2:$B$12,2),1),"")</f>
        <v>3377.25</v>
      </c>
      <c r="S2622" s="13" t="str">
        <f>IF(AND(H2622="TO CLOSE",P2622=0),-G2622*(M2622-R2621)*IF(E2622="FUTURE",VLOOKUP(MID(I2622,2,2),[1]Futures!$A$2:$B$12,2),1),"")</f>
        <v/>
      </c>
    </row>
    <row r="2623" spans="1:19" x14ac:dyDescent="0.2">
      <c r="A2623">
        <f t="shared" si="122"/>
        <v>856</v>
      </c>
      <c r="B2623" s="3">
        <v>44061</v>
      </c>
      <c r="C2623" s="3" t="str">
        <f t="shared" si="124"/>
        <v>Tuesday</v>
      </c>
      <c r="D2623" s="2">
        <v>0.47627314814814814</v>
      </c>
      <c r="E2623" t="s">
        <v>14</v>
      </c>
      <c r="F2623" t="s">
        <v>15</v>
      </c>
      <c r="G2623">
        <v>-1</v>
      </c>
      <c r="H2623" t="s">
        <v>20</v>
      </c>
      <c r="I2623" t="s">
        <v>79</v>
      </c>
      <c r="J2623" s="1">
        <v>44094</v>
      </c>
      <c r="L2623" t="s">
        <v>14</v>
      </c>
      <c r="M2623">
        <v>3382.25</v>
      </c>
      <c r="N2623">
        <v>3382.25</v>
      </c>
      <c r="O2623" t="s">
        <v>21</v>
      </c>
      <c r="P2623">
        <f t="shared" si="123"/>
        <v>-2</v>
      </c>
      <c r="Q2623" s="11">
        <f>IF(P2623=0,0,IFERROR(Q2622+G2623*M2623*IF(E2623="FUTURE",VLOOKUP(MID(I2623,2,2),[1]Futures!$A$2:$B$12,2),1),G2623*M2623*IF(E2623="FUTURE",VLOOKUP(MID(I2623,2,2),[1]Futures!$A$2:$B$12,2),1)))</f>
        <v>-337975</v>
      </c>
      <c r="R2623" s="12">
        <f>IFERROR(Q2623/P2623/IF(E2623="FUTURE",VLOOKUP(MID(I2623,2,2),[1]Futures!$A$2:$B$12,2),1),"")</f>
        <v>3379.75</v>
      </c>
      <c r="S2623" s="13" t="str">
        <f>IF(AND(H2623="TO CLOSE",P2623=0),-G2623*(M2623-R2622)*IF(E2623="FUTURE",VLOOKUP(MID(I2623,2,2),[1]Futures!$A$2:$B$12,2),1),"")</f>
        <v/>
      </c>
    </row>
    <row r="2624" spans="1:19" x14ac:dyDescent="0.2">
      <c r="A2624">
        <f t="shared" si="122"/>
        <v>856</v>
      </c>
      <c r="B2624" s="3">
        <v>44061</v>
      </c>
      <c r="C2624" s="3" t="str">
        <f t="shared" si="124"/>
        <v>Tuesday</v>
      </c>
      <c r="D2624" s="2">
        <v>0.63542824074074067</v>
      </c>
      <c r="E2624" t="s">
        <v>14</v>
      </c>
      <c r="F2624" t="s">
        <v>19</v>
      </c>
      <c r="G2624">
        <v>2</v>
      </c>
      <c r="H2624" t="s">
        <v>16</v>
      </c>
      <c r="I2624" t="s">
        <v>79</v>
      </c>
      <c r="J2624" s="1">
        <v>44094</v>
      </c>
      <c r="L2624" t="s">
        <v>14</v>
      </c>
      <c r="M2624">
        <v>3390.75</v>
      </c>
      <c r="N2624">
        <v>3390.75</v>
      </c>
      <c r="O2624" t="s">
        <v>18</v>
      </c>
      <c r="P2624">
        <f t="shared" si="123"/>
        <v>0</v>
      </c>
      <c r="Q2624" s="11">
        <f>IF(P2624=0,0,IFERROR(Q2623+G2624*M2624*IF(E2624="FUTURE",VLOOKUP(MID(I2624,2,2),[1]Futures!$A$2:$B$12,2),1),G2624*M2624*IF(E2624="FUTURE",VLOOKUP(MID(I2624,2,2),[1]Futures!$A$2:$B$12,2),1)))</f>
        <v>0</v>
      </c>
      <c r="R2624" s="12" t="str">
        <f>IFERROR(Q2624/P2624/IF(E2624="FUTURE",VLOOKUP(MID(I2624,2,2),[1]Futures!$A$2:$B$12,2),1),"")</f>
        <v/>
      </c>
      <c r="S2624" s="13">
        <f>IF(AND(H2624="TO CLOSE",P2624=0),-G2624*(M2624-R2623)*IF(E2624="FUTURE",VLOOKUP(MID(I2624,2,2),[1]Futures!$A$2:$B$12,2),1),"")</f>
        <v>-1100</v>
      </c>
    </row>
    <row r="2625" spans="1:19" x14ac:dyDescent="0.2">
      <c r="A2625">
        <f t="shared" si="122"/>
        <v>857</v>
      </c>
      <c r="B2625" s="3">
        <v>44062</v>
      </c>
      <c r="C2625" s="3" t="str">
        <f t="shared" si="124"/>
        <v>Wednesday</v>
      </c>
      <c r="D2625" s="2">
        <v>0.37708333333333338</v>
      </c>
      <c r="E2625" t="s">
        <v>14</v>
      </c>
      <c r="F2625" t="s">
        <v>15</v>
      </c>
      <c r="G2625">
        <v>-1</v>
      </c>
      <c r="H2625" t="s">
        <v>20</v>
      </c>
      <c r="I2625" t="s">
        <v>82</v>
      </c>
      <c r="J2625" s="1">
        <v>44124</v>
      </c>
      <c r="L2625" t="s">
        <v>14</v>
      </c>
      <c r="M2625">
        <v>42.6</v>
      </c>
      <c r="N2625">
        <v>42.6</v>
      </c>
      <c r="O2625" t="s">
        <v>21</v>
      </c>
      <c r="P2625">
        <f t="shared" si="123"/>
        <v>-1</v>
      </c>
      <c r="Q2625" s="11">
        <f>IF(P2625=0,0,IFERROR(Q2624+G2625*M2625*IF(E2625="FUTURE",VLOOKUP(MID(I2625,2,2),[1]Futures!$A$2:$B$12,2),1),G2625*M2625*IF(E2625="FUTURE",VLOOKUP(MID(I2625,2,2),[1]Futures!$A$2:$B$12,2),1)))</f>
        <v>-42600</v>
      </c>
      <c r="R2625" s="12">
        <f>IFERROR(Q2625/P2625/IF(E2625="FUTURE",VLOOKUP(MID(I2625,2,2),[1]Futures!$A$2:$B$12,2),1),"")</f>
        <v>42.6</v>
      </c>
      <c r="S2625" s="13" t="str">
        <f>IF(AND(H2625="TO CLOSE",P2625=0),-G2625*(M2625-R2624)*IF(E2625="FUTURE",VLOOKUP(MID(I2625,2,2),[1]Futures!$A$2:$B$12,2),1),"")</f>
        <v/>
      </c>
    </row>
    <row r="2626" spans="1:19" x14ac:dyDescent="0.2">
      <c r="A2626">
        <f t="shared" ref="A2626:A2689" si="125">IF(AND(P2625=0,H2625="TO CLOSE"),IFERROR(A2625+1,1),IFERROR(A2625/1,1))</f>
        <v>857</v>
      </c>
      <c r="B2626" s="3">
        <v>44062</v>
      </c>
      <c r="C2626" s="3" t="str">
        <f t="shared" si="124"/>
        <v>Wednesday</v>
      </c>
      <c r="D2626" s="2">
        <v>0.39444444444444443</v>
      </c>
      <c r="E2626" t="s">
        <v>14</v>
      </c>
      <c r="F2626" t="s">
        <v>19</v>
      </c>
      <c r="G2626">
        <v>2</v>
      </c>
      <c r="H2626" t="s">
        <v>16</v>
      </c>
      <c r="I2626" t="s">
        <v>82</v>
      </c>
      <c r="J2626" s="1">
        <v>44124</v>
      </c>
      <c r="L2626" t="s">
        <v>14</v>
      </c>
      <c r="M2626">
        <v>42.85</v>
      </c>
      <c r="N2626">
        <v>42.85</v>
      </c>
      <c r="O2626" t="s">
        <v>24</v>
      </c>
      <c r="P2626">
        <f t="shared" si="123"/>
        <v>1</v>
      </c>
      <c r="Q2626" s="11">
        <f>IF(P2626=0,0,IFERROR(Q2625+G2626*M2626*IF(E2626="FUTURE",VLOOKUP(MID(I2626,2,2),[1]Futures!$A$2:$B$12,2),1),G2626*M2626*IF(E2626="FUTURE",VLOOKUP(MID(I2626,2,2),[1]Futures!$A$2:$B$12,2),1)))</f>
        <v>43100</v>
      </c>
      <c r="R2626" s="12">
        <f>IFERROR(Q2626/P2626/IF(E2626="FUTURE",VLOOKUP(MID(I2626,2,2),[1]Futures!$A$2:$B$12,2),1),"")</f>
        <v>43.1</v>
      </c>
      <c r="S2626" s="13" t="str">
        <f>IF(AND(H2626="TO CLOSE",P2626=0),-G2626*(M2626-R2625)*IF(E2626="FUTURE",VLOOKUP(MID(I2626,2,2),[1]Futures!$A$2:$B$12,2),1),"")</f>
        <v/>
      </c>
    </row>
    <row r="2627" spans="1:19" x14ac:dyDescent="0.2">
      <c r="A2627">
        <f t="shared" si="125"/>
        <v>857</v>
      </c>
      <c r="B2627" s="3">
        <v>44062</v>
      </c>
      <c r="C2627" s="3" t="str">
        <f t="shared" si="124"/>
        <v>Wednesday</v>
      </c>
      <c r="D2627" s="2">
        <v>0.39583333333333331</v>
      </c>
      <c r="E2627" t="s">
        <v>14</v>
      </c>
      <c r="F2627" t="s">
        <v>19</v>
      </c>
      <c r="G2627">
        <v>1</v>
      </c>
      <c r="H2627" t="s">
        <v>20</v>
      </c>
      <c r="I2627" t="s">
        <v>82</v>
      </c>
      <c r="J2627" s="1">
        <v>44124</v>
      </c>
      <c r="L2627" t="s">
        <v>14</v>
      </c>
      <c r="M2627">
        <v>42.86</v>
      </c>
      <c r="N2627">
        <v>42.86</v>
      </c>
      <c r="O2627" t="s">
        <v>24</v>
      </c>
      <c r="P2627">
        <f t="shared" ref="P2627:P2690" si="126">IF(H2627="TO OPEN",IFERROR(P2626+G2627,0+G2627),IFERROR(P2626+G2627,0+G2627))</f>
        <v>2</v>
      </c>
      <c r="Q2627" s="11">
        <f>IF(P2627=0,0,IFERROR(Q2626+G2627*M2627*IF(E2627="FUTURE",VLOOKUP(MID(I2627,2,2),[1]Futures!$A$2:$B$12,2),1),G2627*M2627*IF(E2627="FUTURE",VLOOKUP(MID(I2627,2,2),[1]Futures!$A$2:$B$12,2),1)))</f>
        <v>85960</v>
      </c>
      <c r="R2627" s="12">
        <f>IFERROR(Q2627/P2627/IF(E2627="FUTURE",VLOOKUP(MID(I2627,2,2),[1]Futures!$A$2:$B$12,2),1),"")</f>
        <v>42.98</v>
      </c>
      <c r="S2627" s="13" t="str">
        <f>IF(AND(H2627="TO CLOSE",P2627=0),-G2627*(M2627-R2626)*IF(E2627="FUTURE",VLOOKUP(MID(I2627,2,2),[1]Futures!$A$2:$B$12,2),1),"")</f>
        <v/>
      </c>
    </row>
    <row r="2628" spans="1:19" x14ac:dyDescent="0.2">
      <c r="A2628">
        <f t="shared" si="125"/>
        <v>857</v>
      </c>
      <c r="B2628" s="3">
        <v>44062</v>
      </c>
      <c r="C2628" s="3" t="str">
        <f t="shared" si="124"/>
        <v>Wednesday</v>
      </c>
      <c r="D2628" s="2">
        <v>0.4152777777777778</v>
      </c>
      <c r="E2628" t="s">
        <v>14</v>
      </c>
      <c r="F2628" t="s">
        <v>19</v>
      </c>
      <c r="G2628">
        <v>1</v>
      </c>
      <c r="H2628" t="s">
        <v>20</v>
      </c>
      <c r="I2628" t="s">
        <v>82</v>
      </c>
      <c r="J2628" s="1">
        <v>44124</v>
      </c>
      <c r="L2628" t="s">
        <v>14</v>
      </c>
      <c r="M2628">
        <v>42.65</v>
      </c>
      <c r="N2628">
        <v>42.65</v>
      </c>
      <c r="O2628" t="s">
        <v>24</v>
      </c>
      <c r="P2628">
        <f t="shared" si="126"/>
        <v>3</v>
      </c>
      <c r="Q2628" s="11">
        <f>IF(P2628=0,0,IFERROR(Q2627+G2628*M2628*IF(E2628="FUTURE",VLOOKUP(MID(I2628,2,2),[1]Futures!$A$2:$B$12,2),1),G2628*M2628*IF(E2628="FUTURE",VLOOKUP(MID(I2628,2,2),[1]Futures!$A$2:$B$12,2),1)))</f>
        <v>128610</v>
      </c>
      <c r="R2628" s="12">
        <f>IFERROR(Q2628/P2628/IF(E2628="FUTURE",VLOOKUP(MID(I2628,2,2),[1]Futures!$A$2:$B$12,2),1),"")</f>
        <v>42.87</v>
      </c>
      <c r="S2628" s="13" t="str">
        <f>IF(AND(H2628="TO CLOSE",P2628=0),-G2628*(M2628-R2627)*IF(E2628="FUTURE",VLOOKUP(MID(I2628,2,2),[1]Futures!$A$2:$B$12,2),1),"")</f>
        <v/>
      </c>
    </row>
    <row r="2629" spans="1:19" x14ac:dyDescent="0.2">
      <c r="A2629">
        <f t="shared" si="125"/>
        <v>857</v>
      </c>
      <c r="B2629" s="3">
        <v>44062</v>
      </c>
      <c r="C2629" s="3" t="str">
        <f t="shared" si="124"/>
        <v>Wednesday</v>
      </c>
      <c r="D2629" s="2">
        <v>0.43055555555555558</v>
      </c>
      <c r="E2629" t="s">
        <v>14</v>
      </c>
      <c r="F2629" t="s">
        <v>15</v>
      </c>
      <c r="G2629">
        <v>-3</v>
      </c>
      <c r="H2629" t="s">
        <v>16</v>
      </c>
      <c r="I2629" t="s">
        <v>82</v>
      </c>
      <c r="J2629" s="1">
        <v>44124</v>
      </c>
      <c r="L2629" t="s">
        <v>14</v>
      </c>
      <c r="M2629">
        <v>42.55</v>
      </c>
      <c r="N2629">
        <v>42.55</v>
      </c>
      <c r="O2629" t="s">
        <v>18</v>
      </c>
      <c r="P2629">
        <f t="shared" si="126"/>
        <v>0</v>
      </c>
      <c r="Q2629" s="11">
        <f>IF(P2629=0,0,IFERROR(Q2628+G2629*M2629*IF(E2629="FUTURE",VLOOKUP(MID(I2629,2,2),[1]Futures!$A$2:$B$12,2),1),G2629*M2629*IF(E2629="FUTURE",VLOOKUP(MID(I2629,2,2),[1]Futures!$A$2:$B$12,2),1)))</f>
        <v>0</v>
      </c>
      <c r="R2629" s="12" t="str">
        <f>IFERROR(Q2629/P2629/IF(E2629="FUTURE",VLOOKUP(MID(I2629,2,2),[1]Futures!$A$2:$B$12,2),1),"")</f>
        <v/>
      </c>
      <c r="S2629" s="13">
        <f>IF(AND(H2629="TO CLOSE",P2629=0),-G2629*(M2629-R2628)*IF(E2629="FUTURE",VLOOKUP(MID(I2629,2,2),[1]Futures!$A$2:$B$12,2),1),"")</f>
        <v>-960.00000000000091</v>
      </c>
    </row>
    <row r="2630" spans="1:19" x14ac:dyDescent="0.2">
      <c r="A2630">
        <f t="shared" si="125"/>
        <v>858</v>
      </c>
      <c r="B2630" s="3">
        <v>44062</v>
      </c>
      <c r="C2630" s="3" t="str">
        <f t="shared" si="124"/>
        <v>Wednesday</v>
      </c>
      <c r="D2630" s="2">
        <v>0.43124999999999997</v>
      </c>
      <c r="E2630" t="s">
        <v>14</v>
      </c>
      <c r="F2630" t="s">
        <v>15</v>
      </c>
      <c r="G2630">
        <v>-2</v>
      </c>
      <c r="H2630" t="s">
        <v>20</v>
      </c>
      <c r="I2630" t="s">
        <v>82</v>
      </c>
      <c r="J2630" s="1">
        <v>44124</v>
      </c>
      <c r="L2630" t="s">
        <v>14</v>
      </c>
      <c r="M2630">
        <v>42.56</v>
      </c>
      <c r="N2630">
        <v>42.56</v>
      </c>
      <c r="O2630" t="s">
        <v>21</v>
      </c>
      <c r="P2630">
        <f t="shared" si="126"/>
        <v>-2</v>
      </c>
      <c r="Q2630" s="11">
        <f>IF(P2630=0,0,IFERROR(Q2629+G2630*M2630*IF(E2630="FUTURE",VLOOKUP(MID(I2630,2,2),[1]Futures!$A$2:$B$12,2),1),G2630*M2630*IF(E2630="FUTURE",VLOOKUP(MID(I2630,2,2),[1]Futures!$A$2:$B$12,2),1)))</f>
        <v>-85120</v>
      </c>
      <c r="R2630" s="12">
        <f>IFERROR(Q2630/P2630/IF(E2630="FUTURE",VLOOKUP(MID(I2630,2,2),[1]Futures!$A$2:$B$12,2),1),"")</f>
        <v>42.56</v>
      </c>
      <c r="S2630" s="13" t="str">
        <f>IF(AND(H2630="TO CLOSE",P2630=0),-G2630*(M2630-R2629)*IF(E2630="FUTURE",VLOOKUP(MID(I2630,2,2),[1]Futures!$A$2:$B$12,2),1),"")</f>
        <v/>
      </c>
    </row>
    <row r="2631" spans="1:19" x14ac:dyDescent="0.2">
      <c r="A2631">
        <f t="shared" si="125"/>
        <v>858</v>
      </c>
      <c r="B2631" s="3">
        <v>44062</v>
      </c>
      <c r="C2631" s="3" t="str">
        <f t="shared" si="124"/>
        <v>Wednesday</v>
      </c>
      <c r="D2631" s="2">
        <v>0.4368055555555555</v>
      </c>
      <c r="E2631" t="s">
        <v>14</v>
      </c>
      <c r="F2631" t="s">
        <v>19</v>
      </c>
      <c r="G2631">
        <v>2</v>
      </c>
      <c r="H2631" t="s">
        <v>16</v>
      </c>
      <c r="I2631" t="s">
        <v>82</v>
      </c>
      <c r="J2631" s="1">
        <v>44124</v>
      </c>
      <c r="L2631" t="s">
        <v>14</v>
      </c>
      <c r="M2631">
        <v>42.61</v>
      </c>
      <c r="N2631">
        <v>42.61</v>
      </c>
      <c r="O2631" t="s">
        <v>21</v>
      </c>
      <c r="P2631">
        <f t="shared" si="126"/>
        <v>0</v>
      </c>
      <c r="Q2631" s="11">
        <f>IF(P2631=0,0,IFERROR(Q2630+G2631*M2631*IF(E2631="FUTURE",VLOOKUP(MID(I2631,2,2),[1]Futures!$A$2:$B$12,2),1),G2631*M2631*IF(E2631="FUTURE",VLOOKUP(MID(I2631,2,2),[1]Futures!$A$2:$B$12,2),1)))</f>
        <v>0</v>
      </c>
      <c r="R2631" s="12" t="str">
        <f>IFERROR(Q2631/P2631/IF(E2631="FUTURE",VLOOKUP(MID(I2631,2,2),[1]Futures!$A$2:$B$12,2),1),"")</f>
        <v/>
      </c>
      <c r="S2631" s="13">
        <f>IF(AND(H2631="TO CLOSE",P2631=0),-G2631*(M2631-R2630)*IF(E2631="FUTURE",VLOOKUP(MID(I2631,2,2),[1]Futures!$A$2:$B$12,2),1),"")</f>
        <v>-99.999999999994316</v>
      </c>
    </row>
    <row r="2632" spans="1:19" x14ac:dyDescent="0.2">
      <c r="A2632">
        <f t="shared" si="125"/>
        <v>859</v>
      </c>
      <c r="B2632" s="3">
        <v>44062</v>
      </c>
      <c r="C2632" s="3" t="str">
        <f t="shared" si="124"/>
        <v>Wednesday</v>
      </c>
      <c r="D2632" s="2">
        <v>0.4381944444444445</v>
      </c>
      <c r="E2632" t="s">
        <v>14</v>
      </c>
      <c r="F2632" t="s">
        <v>19</v>
      </c>
      <c r="G2632">
        <v>2</v>
      </c>
      <c r="H2632" t="s">
        <v>20</v>
      </c>
      <c r="I2632" t="s">
        <v>82</v>
      </c>
      <c r="J2632" s="1">
        <v>44124</v>
      </c>
      <c r="L2632" t="s">
        <v>14</v>
      </c>
      <c r="M2632">
        <v>42.73</v>
      </c>
      <c r="N2632">
        <v>42.73</v>
      </c>
      <c r="O2632" t="s">
        <v>21</v>
      </c>
      <c r="P2632">
        <f t="shared" si="126"/>
        <v>2</v>
      </c>
      <c r="Q2632" s="11">
        <f>IF(P2632=0,0,IFERROR(Q2631+G2632*M2632*IF(E2632="FUTURE",VLOOKUP(MID(I2632,2,2),[1]Futures!$A$2:$B$12,2),1),G2632*M2632*IF(E2632="FUTURE",VLOOKUP(MID(I2632,2,2),[1]Futures!$A$2:$B$12,2),1)))</f>
        <v>85460</v>
      </c>
      <c r="R2632" s="12">
        <f>IFERROR(Q2632/P2632/IF(E2632="FUTURE",VLOOKUP(MID(I2632,2,2),[1]Futures!$A$2:$B$12,2),1),"")</f>
        <v>42.73</v>
      </c>
      <c r="S2632" s="13" t="str">
        <f>IF(AND(H2632="TO CLOSE",P2632=0),-G2632*(M2632-R2631)*IF(E2632="FUTURE",VLOOKUP(MID(I2632,2,2),[1]Futures!$A$2:$B$12,2),1),"")</f>
        <v/>
      </c>
    </row>
    <row r="2633" spans="1:19" x14ac:dyDescent="0.2">
      <c r="A2633">
        <f t="shared" si="125"/>
        <v>859</v>
      </c>
      <c r="B2633" s="3">
        <v>44062</v>
      </c>
      <c r="C2633" s="3" t="str">
        <f t="shared" si="124"/>
        <v>Wednesday</v>
      </c>
      <c r="D2633" s="2">
        <v>0.43888888888888888</v>
      </c>
      <c r="E2633" t="s">
        <v>14</v>
      </c>
      <c r="F2633" t="s">
        <v>19</v>
      </c>
      <c r="G2633">
        <v>1</v>
      </c>
      <c r="H2633" t="s">
        <v>20</v>
      </c>
      <c r="I2633" t="s">
        <v>82</v>
      </c>
      <c r="J2633" s="1">
        <v>44124</v>
      </c>
      <c r="L2633" t="s">
        <v>14</v>
      </c>
      <c r="M2633">
        <v>42.89</v>
      </c>
      <c r="N2633">
        <v>42.89</v>
      </c>
      <c r="O2633" t="s">
        <v>18</v>
      </c>
      <c r="P2633">
        <f t="shared" si="126"/>
        <v>3</v>
      </c>
      <c r="Q2633" s="11">
        <f>IF(P2633=0,0,IFERROR(Q2632+G2633*M2633*IF(E2633="FUTURE",VLOOKUP(MID(I2633,2,2),[1]Futures!$A$2:$B$12,2),1),G2633*M2633*IF(E2633="FUTURE",VLOOKUP(MID(I2633,2,2),[1]Futures!$A$2:$B$12,2),1)))</f>
        <v>128350</v>
      </c>
      <c r="R2633" s="12">
        <f>IFERROR(Q2633/P2633/IF(E2633="FUTURE",VLOOKUP(MID(I2633,2,2),[1]Futures!$A$2:$B$12,2),1),"")</f>
        <v>42.783333333333339</v>
      </c>
      <c r="S2633" s="13" t="str">
        <f>IF(AND(H2633="TO CLOSE",P2633=0),-G2633*(M2633-R2632)*IF(E2633="FUTURE",VLOOKUP(MID(I2633,2,2),[1]Futures!$A$2:$B$12,2),1),"")</f>
        <v/>
      </c>
    </row>
    <row r="2634" spans="1:19" x14ac:dyDescent="0.2">
      <c r="A2634">
        <f t="shared" si="125"/>
        <v>859</v>
      </c>
      <c r="B2634" s="3">
        <v>44062</v>
      </c>
      <c r="C2634" s="3" t="str">
        <f t="shared" si="124"/>
        <v>Wednesday</v>
      </c>
      <c r="D2634" s="2">
        <v>0.43958333333333338</v>
      </c>
      <c r="E2634" t="s">
        <v>14</v>
      </c>
      <c r="F2634" t="s">
        <v>15</v>
      </c>
      <c r="G2634">
        <v>-1</v>
      </c>
      <c r="H2634" t="s">
        <v>16</v>
      </c>
      <c r="I2634" t="s">
        <v>82</v>
      </c>
      <c r="J2634" s="1">
        <v>44124</v>
      </c>
      <c r="L2634" t="s">
        <v>14</v>
      </c>
      <c r="M2634">
        <v>42.96</v>
      </c>
      <c r="N2634">
        <v>42.96</v>
      </c>
      <c r="O2634" t="s">
        <v>21</v>
      </c>
      <c r="P2634">
        <f t="shared" si="126"/>
        <v>2</v>
      </c>
      <c r="Q2634" s="11">
        <f>IF(P2634=0,0,IFERROR(Q2633+G2634*M2634*IF(E2634="FUTURE",VLOOKUP(MID(I2634,2,2),[1]Futures!$A$2:$B$12,2),1),G2634*M2634*IF(E2634="FUTURE",VLOOKUP(MID(I2634,2,2),[1]Futures!$A$2:$B$12,2),1)))</f>
        <v>85390</v>
      </c>
      <c r="R2634" s="12">
        <f>IFERROR(Q2634/P2634/IF(E2634="FUTURE",VLOOKUP(MID(I2634,2,2),[1]Futures!$A$2:$B$12,2),1),"")</f>
        <v>42.695</v>
      </c>
      <c r="S2634" s="13" t="str">
        <f>IF(AND(H2634="TO CLOSE",P2634=0),-G2634*(M2634-R2633)*IF(E2634="FUTURE",VLOOKUP(MID(I2634,2,2),[1]Futures!$A$2:$B$12,2),1),"")</f>
        <v/>
      </c>
    </row>
    <row r="2635" spans="1:19" x14ac:dyDescent="0.2">
      <c r="A2635">
        <f t="shared" si="125"/>
        <v>859</v>
      </c>
      <c r="B2635" s="3">
        <v>44062</v>
      </c>
      <c r="C2635" s="3" t="str">
        <f t="shared" si="124"/>
        <v>Wednesday</v>
      </c>
      <c r="D2635" s="2">
        <v>0.44027777777777777</v>
      </c>
      <c r="E2635" t="s">
        <v>14</v>
      </c>
      <c r="F2635" t="s">
        <v>15</v>
      </c>
      <c r="G2635">
        <v>-1</v>
      </c>
      <c r="H2635" t="s">
        <v>16</v>
      </c>
      <c r="I2635" t="s">
        <v>82</v>
      </c>
      <c r="J2635" s="1">
        <v>44124</v>
      </c>
      <c r="L2635" t="s">
        <v>14</v>
      </c>
      <c r="M2635">
        <v>42.98</v>
      </c>
      <c r="N2635">
        <v>42.98</v>
      </c>
      <c r="O2635" t="s">
        <v>21</v>
      </c>
      <c r="P2635">
        <f t="shared" si="126"/>
        <v>1</v>
      </c>
      <c r="Q2635" s="11">
        <f>IF(P2635=0,0,IFERROR(Q2634+G2635*M2635*IF(E2635="FUTURE",VLOOKUP(MID(I2635,2,2),[1]Futures!$A$2:$B$12,2),1),G2635*M2635*IF(E2635="FUTURE",VLOOKUP(MID(I2635,2,2),[1]Futures!$A$2:$B$12,2),1)))</f>
        <v>42410</v>
      </c>
      <c r="R2635" s="12">
        <f>IFERROR(Q2635/P2635/IF(E2635="FUTURE",VLOOKUP(MID(I2635,2,2),[1]Futures!$A$2:$B$12,2),1),"")</f>
        <v>42.41</v>
      </c>
      <c r="S2635" s="13" t="str">
        <f>IF(AND(H2635="TO CLOSE",P2635=0),-G2635*(M2635-R2634)*IF(E2635="FUTURE",VLOOKUP(MID(I2635,2,2),[1]Futures!$A$2:$B$12,2),1),"")</f>
        <v/>
      </c>
    </row>
    <row r="2636" spans="1:19" x14ac:dyDescent="0.2">
      <c r="A2636">
        <f t="shared" si="125"/>
        <v>859</v>
      </c>
      <c r="B2636" s="3">
        <v>44062</v>
      </c>
      <c r="C2636" s="3" t="str">
        <f t="shared" si="124"/>
        <v>Wednesday</v>
      </c>
      <c r="D2636" s="2">
        <v>0.44097222222222227</v>
      </c>
      <c r="E2636" t="s">
        <v>14</v>
      </c>
      <c r="F2636" t="s">
        <v>15</v>
      </c>
      <c r="G2636">
        <v>-1</v>
      </c>
      <c r="H2636" t="s">
        <v>16</v>
      </c>
      <c r="I2636" t="s">
        <v>82</v>
      </c>
      <c r="J2636" s="1">
        <v>44124</v>
      </c>
      <c r="L2636" t="s">
        <v>14</v>
      </c>
      <c r="M2636">
        <v>42.98</v>
      </c>
      <c r="N2636">
        <v>42.98</v>
      </c>
      <c r="O2636" t="s">
        <v>24</v>
      </c>
      <c r="P2636">
        <f t="shared" si="126"/>
        <v>0</v>
      </c>
      <c r="Q2636" s="11">
        <f>IF(P2636=0,0,IFERROR(Q2635+G2636*M2636*IF(E2636="FUTURE",VLOOKUP(MID(I2636,2,2),[1]Futures!$A$2:$B$12,2),1),G2636*M2636*IF(E2636="FUTURE",VLOOKUP(MID(I2636,2,2),[1]Futures!$A$2:$B$12,2),1)))</f>
        <v>0</v>
      </c>
      <c r="R2636" s="12" t="str">
        <f>IFERROR(Q2636/P2636/IF(E2636="FUTURE",VLOOKUP(MID(I2636,2,2),[1]Futures!$A$2:$B$12,2),1),"")</f>
        <v/>
      </c>
      <c r="S2636" s="13">
        <f>IF(AND(H2636="TO CLOSE",P2636=0),-G2636*(M2636-R2635)*IF(E2636="FUTURE",VLOOKUP(MID(I2636,2,2),[1]Futures!$A$2:$B$12,2),1),"")</f>
        <v>570.00000000000023</v>
      </c>
    </row>
    <row r="2637" spans="1:19" x14ac:dyDescent="0.2">
      <c r="A2637">
        <f t="shared" si="125"/>
        <v>860</v>
      </c>
      <c r="B2637" s="3">
        <v>44062</v>
      </c>
      <c r="C2637" s="3" t="str">
        <f t="shared" si="124"/>
        <v>Wednesday</v>
      </c>
      <c r="D2637" s="2">
        <v>0.44375000000000003</v>
      </c>
      <c r="E2637" t="s">
        <v>14</v>
      </c>
      <c r="F2637" t="s">
        <v>19</v>
      </c>
      <c r="G2637">
        <v>1</v>
      </c>
      <c r="H2637" t="s">
        <v>20</v>
      </c>
      <c r="I2637" t="s">
        <v>82</v>
      </c>
      <c r="J2637" s="1">
        <v>44124</v>
      </c>
      <c r="L2637" t="s">
        <v>14</v>
      </c>
      <c r="M2637">
        <v>42.88</v>
      </c>
      <c r="N2637">
        <v>42.88</v>
      </c>
      <c r="O2637" t="s">
        <v>21</v>
      </c>
      <c r="P2637">
        <f t="shared" si="126"/>
        <v>1</v>
      </c>
      <c r="Q2637" s="11">
        <f>IF(P2637=0,0,IFERROR(Q2636+G2637*M2637*IF(E2637="FUTURE",VLOOKUP(MID(I2637,2,2),[1]Futures!$A$2:$B$12,2),1),G2637*M2637*IF(E2637="FUTURE",VLOOKUP(MID(I2637,2,2),[1]Futures!$A$2:$B$12,2),1)))</f>
        <v>42880</v>
      </c>
      <c r="R2637" s="12">
        <f>IFERROR(Q2637/P2637/IF(E2637="FUTURE",VLOOKUP(MID(I2637,2,2),[1]Futures!$A$2:$B$12,2),1),"")</f>
        <v>42.88</v>
      </c>
      <c r="S2637" s="13" t="str">
        <f>IF(AND(H2637="TO CLOSE",P2637=0),-G2637*(M2637-R2636)*IF(E2637="FUTURE",VLOOKUP(MID(I2637,2,2),[1]Futures!$A$2:$B$12,2),1),"")</f>
        <v/>
      </c>
    </row>
    <row r="2638" spans="1:19" x14ac:dyDescent="0.2">
      <c r="A2638">
        <f t="shared" si="125"/>
        <v>860</v>
      </c>
      <c r="B2638" s="3">
        <v>44062</v>
      </c>
      <c r="C2638" s="3" t="str">
        <f t="shared" si="124"/>
        <v>Wednesday</v>
      </c>
      <c r="D2638" s="2">
        <v>0.4465277777777778</v>
      </c>
      <c r="E2638" t="s">
        <v>14</v>
      </c>
      <c r="F2638" t="s">
        <v>15</v>
      </c>
      <c r="G2638">
        <v>-1</v>
      </c>
      <c r="H2638" t="s">
        <v>16</v>
      </c>
      <c r="I2638" t="s">
        <v>82</v>
      </c>
      <c r="J2638" s="1">
        <v>44124</v>
      </c>
      <c r="L2638" t="s">
        <v>14</v>
      </c>
      <c r="M2638">
        <v>42.9</v>
      </c>
      <c r="N2638">
        <v>42.9</v>
      </c>
      <c r="O2638" t="s">
        <v>21</v>
      </c>
      <c r="P2638">
        <f t="shared" si="126"/>
        <v>0</v>
      </c>
      <c r="Q2638" s="11">
        <f>IF(P2638=0,0,IFERROR(Q2637+G2638*M2638*IF(E2638="FUTURE",VLOOKUP(MID(I2638,2,2),[1]Futures!$A$2:$B$12,2),1),G2638*M2638*IF(E2638="FUTURE",VLOOKUP(MID(I2638,2,2),[1]Futures!$A$2:$B$12,2),1)))</f>
        <v>0</v>
      </c>
      <c r="R2638" s="12" t="str">
        <f>IFERROR(Q2638/P2638/IF(E2638="FUTURE",VLOOKUP(MID(I2638,2,2),[1]Futures!$A$2:$B$12,2),1),"")</f>
        <v/>
      </c>
      <c r="S2638" s="13">
        <f>IF(AND(H2638="TO CLOSE",P2638=0),-G2638*(M2638-R2637)*IF(E2638="FUTURE",VLOOKUP(MID(I2638,2,2),[1]Futures!$A$2:$B$12,2),1),"")</f>
        <v>19.999999999996021</v>
      </c>
    </row>
    <row r="2639" spans="1:19" x14ac:dyDescent="0.2">
      <c r="A2639">
        <f t="shared" si="125"/>
        <v>861</v>
      </c>
      <c r="B2639" s="3">
        <v>44062</v>
      </c>
      <c r="C2639" s="3" t="str">
        <f t="shared" si="124"/>
        <v>Wednesday</v>
      </c>
      <c r="D2639" s="2">
        <v>0.45416666666666666</v>
      </c>
      <c r="E2639" t="s">
        <v>14</v>
      </c>
      <c r="F2639" t="s">
        <v>19</v>
      </c>
      <c r="G2639">
        <v>1</v>
      </c>
      <c r="H2639" t="s">
        <v>20</v>
      </c>
      <c r="I2639" t="s">
        <v>82</v>
      </c>
      <c r="J2639" s="1">
        <v>44124</v>
      </c>
      <c r="L2639" t="s">
        <v>14</v>
      </c>
      <c r="M2639">
        <v>42.73</v>
      </c>
      <c r="N2639">
        <v>42.73</v>
      </c>
      <c r="O2639" t="s">
        <v>24</v>
      </c>
      <c r="P2639">
        <f t="shared" si="126"/>
        <v>1</v>
      </c>
      <c r="Q2639" s="11">
        <f>IF(P2639=0,0,IFERROR(Q2638+G2639*M2639*IF(E2639="FUTURE",VLOOKUP(MID(I2639,2,2),[1]Futures!$A$2:$B$12,2),1),G2639*M2639*IF(E2639="FUTURE",VLOOKUP(MID(I2639,2,2),[1]Futures!$A$2:$B$12,2),1)))</f>
        <v>42730</v>
      </c>
      <c r="R2639" s="12">
        <f>IFERROR(Q2639/P2639/IF(E2639="FUTURE",VLOOKUP(MID(I2639,2,2),[1]Futures!$A$2:$B$12,2),1),"")</f>
        <v>42.73</v>
      </c>
      <c r="S2639" s="13" t="str">
        <f>IF(AND(H2639="TO CLOSE",P2639=0),-G2639*(M2639-R2638)*IF(E2639="FUTURE",VLOOKUP(MID(I2639,2,2),[1]Futures!$A$2:$B$12,2),1),"")</f>
        <v/>
      </c>
    </row>
    <row r="2640" spans="1:19" x14ac:dyDescent="0.2">
      <c r="A2640">
        <f t="shared" si="125"/>
        <v>861</v>
      </c>
      <c r="B2640" s="3">
        <v>44062</v>
      </c>
      <c r="C2640" s="3" t="str">
        <f t="shared" si="124"/>
        <v>Wednesday</v>
      </c>
      <c r="D2640" s="2">
        <v>0.46180555555555558</v>
      </c>
      <c r="E2640" t="s">
        <v>14</v>
      </c>
      <c r="F2640" t="s">
        <v>15</v>
      </c>
      <c r="G2640">
        <v>-1</v>
      </c>
      <c r="H2640" t="s">
        <v>16</v>
      </c>
      <c r="I2640" t="s">
        <v>82</v>
      </c>
      <c r="J2640" s="1">
        <v>44124</v>
      </c>
      <c r="L2640" t="s">
        <v>14</v>
      </c>
      <c r="M2640">
        <v>42.74</v>
      </c>
      <c r="N2640">
        <v>42.74</v>
      </c>
      <c r="O2640" t="s">
        <v>21</v>
      </c>
      <c r="P2640">
        <f t="shared" si="126"/>
        <v>0</v>
      </c>
      <c r="Q2640" s="11">
        <f>IF(P2640=0,0,IFERROR(Q2639+G2640*M2640*IF(E2640="FUTURE",VLOOKUP(MID(I2640,2,2),[1]Futures!$A$2:$B$12,2),1),G2640*M2640*IF(E2640="FUTURE",VLOOKUP(MID(I2640,2,2),[1]Futures!$A$2:$B$12,2),1)))</f>
        <v>0</v>
      </c>
      <c r="R2640" s="12" t="str">
        <f>IFERROR(Q2640/P2640/IF(E2640="FUTURE",VLOOKUP(MID(I2640,2,2),[1]Futures!$A$2:$B$12,2),1),"")</f>
        <v/>
      </c>
      <c r="S2640" s="13">
        <f>IF(AND(H2640="TO CLOSE",P2640=0),-G2640*(M2640-R2639)*IF(E2640="FUTURE",VLOOKUP(MID(I2640,2,2),[1]Futures!$A$2:$B$12,2),1),"")</f>
        <v>10.000000000005116</v>
      </c>
    </row>
    <row r="2641" spans="1:19" x14ac:dyDescent="0.2">
      <c r="A2641">
        <f t="shared" si="125"/>
        <v>862</v>
      </c>
      <c r="B2641" s="3">
        <v>44062</v>
      </c>
      <c r="C2641" s="3" t="str">
        <f t="shared" si="124"/>
        <v>Wednesday</v>
      </c>
      <c r="D2641" s="2">
        <v>0.46458333333333335</v>
      </c>
      <c r="E2641" t="s">
        <v>14</v>
      </c>
      <c r="F2641" t="s">
        <v>15</v>
      </c>
      <c r="G2641">
        <v>-1</v>
      </c>
      <c r="H2641" t="s">
        <v>20</v>
      </c>
      <c r="I2641" t="s">
        <v>82</v>
      </c>
      <c r="J2641" s="1">
        <v>44124</v>
      </c>
      <c r="L2641" t="s">
        <v>14</v>
      </c>
      <c r="M2641">
        <v>42.74</v>
      </c>
      <c r="N2641">
        <v>42.74</v>
      </c>
      <c r="O2641" t="s">
        <v>21</v>
      </c>
      <c r="P2641">
        <f t="shared" si="126"/>
        <v>-1</v>
      </c>
      <c r="Q2641" s="11">
        <f>IF(P2641=0,0,IFERROR(Q2640+G2641*M2641*IF(E2641="FUTURE",VLOOKUP(MID(I2641,2,2),[1]Futures!$A$2:$B$12,2),1),G2641*M2641*IF(E2641="FUTURE",VLOOKUP(MID(I2641,2,2),[1]Futures!$A$2:$B$12,2),1)))</f>
        <v>-42740</v>
      </c>
      <c r="R2641" s="12">
        <f>IFERROR(Q2641/P2641/IF(E2641="FUTURE",VLOOKUP(MID(I2641,2,2),[1]Futures!$A$2:$B$12,2),1),"")</f>
        <v>42.74</v>
      </c>
      <c r="S2641" s="13" t="str">
        <f>IF(AND(H2641="TO CLOSE",P2641=0),-G2641*(M2641-R2640)*IF(E2641="FUTURE",VLOOKUP(MID(I2641,2,2),[1]Futures!$A$2:$B$12,2),1),"")</f>
        <v/>
      </c>
    </row>
    <row r="2642" spans="1:19" x14ac:dyDescent="0.2">
      <c r="A2642">
        <f t="shared" si="125"/>
        <v>862</v>
      </c>
      <c r="B2642" s="3">
        <v>44062</v>
      </c>
      <c r="C2642" s="3" t="str">
        <f t="shared" si="124"/>
        <v>Wednesday</v>
      </c>
      <c r="D2642" s="2">
        <v>0.58402777777777781</v>
      </c>
      <c r="E2642" t="s">
        <v>14</v>
      </c>
      <c r="F2642" t="s">
        <v>19</v>
      </c>
      <c r="G2642">
        <v>1</v>
      </c>
      <c r="H2642" t="s">
        <v>16</v>
      </c>
      <c r="I2642" t="s">
        <v>82</v>
      </c>
      <c r="J2642" s="1">
        <v>44124</v>
      </c>
      <c r="L2642" t="s">
        <v>14</v>
      </c>
      <c r="M2642">
        <v>43.15</v>
      </c>
      <c r="N2642">
        <v>43.15</v>
      </c>
      <c r="O2642" t="s">
        <v>18</v>
      </c>
      <c r="P2642">
        <f t="shared" si="126"/>
        <v>0</v>
      </c>
      <c r="Q2642" s="11">
        <f>IF(P2642=0,0,IFERROR(Q2641+G2642*M2642*IF(E2642="FUTURE",VLOOKUP(MID(I2642,2,2),[1]Futures!$A$2:$B$12,2),1),G2642*M2642*IF(E2642="FUTURE",VLOOKUP(MID(I2642,2,2),[1]Futures!$A$2:$B$12,2),1)))</f>
        <v>0</v>
      </c>
      <c r="R2642" s="12" t="str">
        <f>IFERROR(Q2642/P2642/IF(E2642="FUTURE",VLOOKUP(MID(I2642,2,2),[1]Futures!$A$2:$B$12,2),1),"")</f>
        <v/>
      </c>
      <c r="S2642" s="13">
        <f>IF(AND(H2642="TO CLOSE",P2642=0),-G2642*(M2642-R2641)*IF(E2642="FUTURE",VLOOKUP(MID(I2642,2,2),[1]Futures!$A$2:$B$12,2),1),"")</f>
        <v>-409.99999999999659</v>
      </c>
    </row>
    <row r="2643" spans="1:19" x14ac:dyDescent="0.2">
      <c r="A2643">
        <f t="shared" si="125"/>
        <v>863</v>
      </c>
      <c r="B2643" s="3">
        <v>44062</v>
      </c>
      <c r="C2643" s="3" t="str">
        <f t="shared" si="124"/>
        <v>Wednesday</v>
      </c>
      <c r="D2643" s="2">
        <v>0.59444444444444444</v>
      </c>
      <c r="E2643" t="s">
        <v>14</v>
      </c>
      <c r="F2643" t="s">
        <v>15</v>
      </c>
      <c r="G2643">
        <v>-1</v>
      </c>
      <c r="H2643" t="s">
        <v>20</v>
      </c>
      <c r="I2643" t="s">
        <v>82</v>
      </c>
      <c r="J2643" s="1">
        <v>44124</v>
      </c>
      <c r="L2643" t="s">
        <v>14</v>
      </c>
      <c r="M2643">
        <v>42.97</v>
      </c>
      <c r="N2643">
        <v>42.97</v>
      </c>
      <c r="O2643" t="s">
        <v>21</v>
      </c>
      <c r="P2643">
        <f t="shared" si="126"/>
        <v>-1</v>
      </c>
      <c r="Q2643" s="11">
        <f>IF(P2643=0,0,IFERROR(Q2642+G2643*M2643*IF(E2643="FUTURE",VLOOKUP(MID(I2643,2,2),[1]Futures!$A$2:$B$12,2),1),G2643*M2643*IF(E2643="FUTURE",VLOOKUP(MID(I2643,2,2),[1]Futures!$A$2:$B$12,2),1)))</f>
        <v>-42970</v>
      </c>
      <c r="R2643" s="12">
        <f>IFERROR(Q2643/P2643/IF(E2643="FUTURE",VLOOKUP(MID(I2643,2,2),[1]Futures!$A$2:$B$12,2),1),"")</f>
        <v>42.97</v>
      </c>
      <c r="S2643" s="13" t="str">
        <f>IF(AND(H2643="TO CLOSE",P2643=0),-G2643*(M2643-R2642)*IF(E2643="FUTURE",VLOOKUP(MID(I2643,2,2),[1]Futures!$A$2:$B$12,2),1),"")</f>
        <v/>
      </c>
    </row>
    <row r="2644" spans="1:19" x14ac:dyDescent="0.2">
      <c r="A2644">
        <f t="shared" si="125"/>
        <v>863</v>
      </c>
      <c r="B2644" s="3">
        <v>44062</v>
      </c>
      <c r="C2644" s="3" t="str">
        <f t="shared" si="124"/>
        <v>Wednesday</v>
      </c>
      <c r="D2644" s="2">
        <v>0.6</v>
      </c>
      <c r="E2644" t="s">
        <v>14</v>
      </c>
      <c r="F2644" t="s">
        <v>19</v>
      </c>
      <c r="G2644">
        <v>1</v>
      </c>
      <c r="H2644" t="s">
        <v>16</v>
      </c>
      <c r="I2644" t="s">
        <v>82</v>
      </c>
      <c r="J2644" s="1">
        <v>44124</v>
      </c>
      <c r="L2644" t="s">
        <v>14</v>
      </c>
      <c r="M2644">
        <v>43.07</v>
      </c>
      <c r="N2644">
        <v>43.07</v>
      </c>
      <c r="O2644" t="s">
        <v>24</v>
      </c>
      <c r="P2644">
        <f t="shared" si="126"/>
        <v>0</v>
      </c>
      <c r="Q2644" s="11">
        <f>IF(P2644=0,0,IFERROR(Q2643+G2644*M2644*IF(E2644="FUTURE",VLOOKUP(MID(I2644,2,2),[1]Futures!$A$2:$B$12,2),1),G2644*M2644*IF(E2644="FUTURE",VLOOKUP(MID(I2644,2,2),[1]Futures!$A$2:$B$12,2),1)))</f>
        <v>0</v>
      </c>
      <c r="R2644" s="12" t="str">
        <f>IFERROR(Q2644/P2644/IF(E2644="FUTURE",VLOOKUP(MID(I2644,2,2),[1]Futures!$A$2:$B$12,2),1),"")</f>
        <v/>
      </c>
      <c r="S2644" s="13">
        <f>IF(AND(H2644="TO CLOSE",P2644=0),-G2644*(M2644-R2643)*IF(E2644="FUTURE",VLOOKUP(MID(I2644,2,2),[1]Futures!$A$2:$B$12,2),1),"")</f>
        <v>-100.00000000000142</v>
      </c>
    </row>
    <row r="2645" spans="1:19" x14ac:dyDescent="0.2">
      <c r="A2645">
        <f t="shared" si="125"/>
        <v>864</v>
      </c>
      <c r="B2645" s="3">
        <v>44062</v>
      </c>
      <c r="C2645" s="3" t="str">
        <f t="shared" si="124"/>
        <v>Wednesday</v>
      </c>
      <c r="D2645" s="2">
        <v>0.38194444444444442</v>
      </c>
      <c r="E2645" t="s">
        <v>14</v>
      </c>
      <c r="F2645" t="s">
        <v>19</v>
      </c>
      <c r="G2645">
        <v>1</v>
      </c>
      <c r="H2645" t="s">
        <v>20</v>
      </c>
      <c r="I2645" t="s">
        <v>79</v>
      </c>
      <c r="J2645" s="1">
        <v>44094</v>
      </c>
      <c r="L2645" t="s">
        <v>14</v>
      </c>
      <c r="M2645">
        <v>3388.75</v>
      </c>
      <c r="N2645">
        <v>3388.75</v>
      </c>
      <c r="O2645" t="s">
        <v>24</v>
      </c>
      <c r="P2645">
        <f t="shared" si="126"/>
        <v>1</v>
      </c>
      <c r="Q2645" s="11">
        <f>IF(P2645=0,0,IFERROR(Q2644+G2645*M2645*IF(E2645="FUTURE",VLOOKUP(MID(I2645,2,2),[1]Futures!$A$2:$B$12,2),1),G2645*M2645*IF(E2645="FUTURE",VLOOKUP(MID(I2645,2,2),[1]Futures!$A$2:$B$12,2),1)))</f>
        <v>169437.5</v>
      </c>
      <c r="R2645" s="12">
        <f>IFERROR(Q2645/P2645/IF(E2645="FUTURE",VLOOKUP(MID(I2645,2,2),[1]Futures!$A$2:$B$12,2),1),"")</f>
        <v>3388.75</v>
      </c>
      <c r="S2645" s="13" t="str">
        <f>IF(AND(H2645="TO CLOSE",P2645=0),-G2645*(M2645-R2644)*IF(E2645="FUTURE",VLOOKUP(MID(I2645,2,2),[1]Futures!$A$2:$B$12,2),1),"")</f>
        <v/>
      </c>
    </row>
    <row r="2646" spans="1:19" x14ac:dyDescent="0.2">
      <c r="A2646">
        <f t="shared" si="125"/>
        <v>864</v>
      </c>
      <c r="B2646" s="3">
        <v>44062</v>
      </c>
      <c r="C2646" s="3" t="str">
        <f t="shared" si="124"/>
        <v>Wednesday</v>
      </c>
      <c r="D2646" s="2">
        <v>0.39583333333333331</v>
      </c>
      <c r="E2646" t="s">
        <v>14</v>
      </c>
      <c r="F2646" t="s">
        <v>15</v>
      </c>
      <c r="G2646">
        <v>-1</v>
      </c>
      <c r="H2646" t="s">
        <v>16</v>
      </c>
      <c r="I2646" t="s">
        <v>79</v>
      </c>
      <c r="J2646" s="1">
        <v>44094</v>
      </c>
      <c r="L2646" t="s">
        <v>14</v>
      </c>
      <c r="M2646">
        <v>3389.75</v>
      </c>
      <c r="N2646">
        <v>3389.75</v>
      </c>
      <c r="O2646" t="s">
        <v>18</v>
      </c>
      <c r="P2646">
        <f t="shared" si="126"/>
        <v>0</v>
      </c>
      <c r="Q2646" s="11">
        <f>IF(P2646=0,0,IFERROR(Q2645+G2646*M2646*IF(E2646="FUTURE",VLOOKUP(MID(I2646,2,2),[1]Futures!$A$2:$B$12,2),1),G2646*M2646*IF(E2646="FUTURE",VLOOKUP(MID(I2646,2,2),[1]Futures!$A$2:$B$12,2),1)))</f>
        <v>0</v>
      </c>
      <c r="R2646" s="12" t="str">
        <f>IFERROR(Q2646/P2646/IF(E2646="FUTURE",VLOOKUP(MID(I2646,2,2),[1]Futures!$A$2:$B$12,2),1),"")</f>
        <v/>
      </c>
      <c r="S2646" s="13">
        <f>IF(AND(H2646="TO CLOSE",P2646=0),-G2646*(M2646-R2645)*IF(E2646="FUTURE",VLOOKUP(MID(I2646,2,2),[1]Futures!$A$2:$B$12,2),1),"")</f>
        <v>50</v>
      </c>
    </row>
    <row r="2647" spans="1:19" x14ac:dyDescent="0.2">
      <c r="A2647">
        <f t="shared" si="125"/>
        <v>865</v>
      </c>
      <c r="B2647" s="3">
        <v>44062</v>
      </c>
      <c r="C2647" s="3" t="str">
        <f t="shared" si="124"/>
        <v>Wednesday</v>
      </c>
      <c r="D2647" s="2">
        <v>0.44166666666666665</v>
      </c>
      <c r="E2647" t="s">
        <v>14</v>
      </c>
      <c r="F2647" t="s">
        <v>19</v>
      </c>
      <c r="G2647">
        <v>1</v>
      </c>
      <c r="H2647" t="s">
        <v>20</v>
      </c>
      <c r="I2647" t="s">
        <v>79</v>
      </c>
      <c r="J2647" s="1">
        <v>44094</v>
      </c>
      <c r="L2647" t="s">
        <v>14</v>
      </c>
      <c r="M2647">
        <v>3392</v>
      </c>
      <c r="N2647">
        <v>3392</v>
      </c>
      <c r="O2647" t="s">
        <v>24</v>
      </c>
      <c r="P2647">
        <f t="shared" si="126"/>
        <v>1</v>
      </c>
      <c r="Q2647" s="11">
        <f>IF(P2647=0,0,IFERROR(Q2646+G2647*M2647*IF(E2647="FUTURE",VLOOKUP(MID(I2647,2,2),[1]Futures!$A$2:$B$12,2),1),G2647*M2647*IF(E2647="FUTURE",VLOOKUP(MID(I2647,2,2),[1]Futures!$A$2:$B$12,2),1)))</f>
        <v>169600</v>
      </c>
      <c r="R2647" s="12">
        <f>IFERROR(Q2647/P2647/IF(E2647="FUTURE",VLOOKUP(MID(I2647,2,2),[1]Futures!$A$2:$B$12,2),1),"")</f>
        <v>3392</v>
      </c>
      <c r="S2647" s="13" t="str">
        <f>IF(AND(H2647="TO CLOSE",P2647=0),-G2647*(M2647-R2646)*IF(E2647="FUTURE",VLOOKUP(MID(I2647,2,2),[1]Futures!$A$2:$B$12,2),1),"")</f>
        <v/>
      </c>
    </row>
    <row r="2648" spans="1:19" x14ac:dyDescent="0.2">
      <c r="A2648">
        <f t="shared" si="125"/>
        <v>865</v>
      </c>
      <c r="B2648" s="3">
        <v>44062</v>
      </c>
      <c r="C2648" s="3" t="str">
        <f t="shared" si="124"/>
        <v>Wednesday</v>
      </c>
      <c r="D2648" s="2">
        <v>0.4680555555555555</v>
      </c>
      <c r="E2648" t="s">
        <v>14</v>
      </c>
      <c r="F2648" t="s">
        <v>15</v>
      </c>
      <c r="G2648">
        <v>-1</v>
      </c>
      <c r="H2648" t="s">
        <v>16</v>
      </c>
      <c r="I2648" t="s">
        <v>79</v>
      </c>
      <c r="J2648" s="1">
        <v>44094</v>
      </c>
      <c r="L2648" t="s">
        <v>14</v>
      </c>
      <c r="M2648">
        <v>3389.5</v>
      </c>
      <c r="N2648">
        <v>3389.5</v>
      </c>
      <c r="O2648" t="s">
        <v>18</v>
      </c>
      <c r="P2648">
        <f t="shared" si="126"/>
        <v>0</v>
      </c>
      <c r="Q2648" s="11">
        <f>IF(P2648=0,0,IFERROR(Q2647+G2648*M2648*IF(E2648="FUTURE",VLOOKUP(MID(I2648,2,2),[1]Futures!$A$2:$B$12,2),1),G2648*M2648*IF(E2648="FUTURE",VLOOKUP(MID(I2648,2,2),[1]Futures!$A$2:$B$12,2),1)))</f>
        <v>0</v>
      </c>
      <c r="R2648" s="12" t="str">
        <f>IFERROR(Q2648/P2648/IF(E2648="FUTURE",VLOOKUP(MID(I2648,2,2),[1]Futures!$A$2:$B$12,2),1),"")</f>
        <v/>
      </c>
      <c r="S2648" s="13">
        <f>IF(AND(H2648="TO CLOSE",P2648=0),-G2648*(M2648-R2647)*IF(E2648="FUTURE",VLOOKUP(MID(I2648,2,2),[1]Futures!$A$2:$B$12,2),1),"")</f>
        <v>-125</v>
      </c>
    </row>
    <row r="2649" spans="1:19" x14ac:dyDescent="0.2">
      <c r="A2649">
        <f t="shared" si="125"/>
        <v>866</v>
      </c>
      <c r="B2649" s="3">
        <v>44062</v>
      </c>
      <c r="C2649" s="3" t="str">
        <f t="shared" si="124"/>
        <v>Wednesday</v>
      </c>
      <c r="D2649" s="2">
        <v>0.47430555555555554</v>
      </c>
      <c r="E2649" t="s">
        <v>14</v>
      </c>
      <c r="F2649" t="s">
        <v>15</v>
      </c>
      <c r="G2649">
        <v>-1</v>
      </c>
      <c r="H2649" t="s">
        <v>20</v>
      </c>
      <c r="I2649" t="s">
        <v>79</v>
      </c>
      <c r="J2649" s="1">
        <v>44094</v>
      </c>
      <c r="L2649" t="s">
        <v>14</v>
      </c>
      <c r="M2649">
        <v>3390.75</v>
      </c>
      <c r="N2649">
        <v>3390.75</v>
      </c>
      <c r="O2649" t="s">
        <v>21</v>
      </c>
      <c r="P2649">
        <f t="shared" si="126"/>
        <v>-1</v>
      </c>
      <c r="Q2649" s="11">
        <f>IF(P2649=0,0,IFERROR(Q2648+G2649*M2649*IF(E2649="FUTURE",VLOOKUP(MID(I2649,2,2),[1]Futures!$A$2:$B$12,2),1),G2649*M2649*IF(E2649="FUTURE",VLOOKUP(MID(I2649,2,2),[1]Futures!$A$2:$B$12,2),1)))</f>
        <v>-169537.5</v>
      </c>
      <c r="R2649" s="12">
        <f>IFERROR(Q2649/P2649/IF(E2649="FUTURE",VLOOKUP(MID(I2649,2,2),[1]Futures!$A$2:$B$12,2),1),"")</f>
        <v>3390.75</v>
      </c>
      <c r="S2649" s="13" t="str">
        <f>IF(AND(H2649="TO CLOSE",P2649=0),-G2649*(M2649-R2648)*IF(E2649="FUTURE",VLOOKUP(MID(I2649,2,2),[1]Futures!$A$2:$B$12,2),1),"")</f>
        <v/>
      </c>
    </row>
    <row r="2650" spans="1:19" x14ac:dyDescent="0.2">
      <c r="A2650">
        <f t="shared" si="125"/>
        <v>866</v>
      </c>
      <c r="B2650" s="3">
        <v>44062</v>
      </c>
      <c r="C2650" s="3" t="str">
        <f t="shared" si="124"/>
        <v>Wednesday</v>
      </c>
      <c r="D2650" s="2">
        <v>0.58611111111111114</v>
      </c>
      <c r="E2650" t="s">
        <v>14</v>
      </c>
      <c r="F2650" t="s">
        <v>19</v>
      </c>
      <c r="G2650">
        <v>1</v>
      </c>
      <c r="H2650" t="s">
        <v>16</v>
      </c>
      <c r="I2650" t="s">
        <v>79</v>
      </c>
      <c r="J2650" s="1">
        <v>44094</v>
      </c>
      <c r="L2650" t="s">
        <v>14</v>
      </c>
      <c r="M2650">
        <v>3394.75</v>
      </c>
      <c r="N2650">
        <v>3394.75</v>
      </c>
      <c r="O2650" t="s">
        <v>18</v>
      </c>
      <c r="P2650">
        <f t="shared" si="126"/>
        <v>0</v>
      </c>
      <c r="Q2650" s="11">
        <f>IF(P2650=0,0,IFERROR(Q2649+G2650*M2650*IF(E2650="FUTURE",VLOOKUP(MID(I2650,2,2),[1]Futures!$A$2:$B$12,2),1),G2650*M2650*IF(E2650="FUTURE",VLOOKUP(MID(I2650,2,2),[1]Futures!$A$2:$B$12,2),1)))</f>
        <v>0</v>
      </c>
      <c r="R2650" s="12" t="str">
        <f>IFERROR(Q2650/P2650/IF(E2650="FUTURE",VLOOKUP(MID(I2650,2,2),[1]Futures!$A$2:$B$12,2),1),"")</f>
        <v/>
      </c>
      <c r="S2650" s="13">
        <f>IF(AND(H2650="TO CLOSE",P2650=0),-G2650*(M2650-R2649)*IF(E2650="FUTURE",VLOOKUP(MID(I2650,2,2),[1]Futures!$A$2:$B$12,2),1),"")</f>
        <v>-200</v>
      </c>
    </row>
    <row r="2651" spans="1:19" x14ac:dyDescent="0.2">
      <c r="A2651">
        <f t="shared" si="125"/>
        <v>867</v>
      </c>
      <c r="B2651" s="3">
        <v>44062</v>
      </c>
      <c r="C2651" s="3" t="str">
        <f t="shared" si="124"/>
        <v>Wednesday</v>
      </c>
      <c r="D2651" s="2">
        <v>0.58680555555555558</v>
      </c>
      <c r="E2651" t="s">
        <v>14</v>
      </c>
      <c r="F2651" t="s">
        <v>15</v>
      </c>
      <c r="G2651">
        <v>-2</v>
      </c>
      <c r="H2651" t="s">
        <v>20</v>
      </c>
      <c r="I2651" t="s">
        <v>79</v>
      </c>
      <c r="J2651" s="1">
        <v>44094</v>
      </c>
      <c r="L2651" t="s">
        <v>14</v>
      </c>
      <c r="M2651">
        <v>3391.25</v>
      </c>
      <c r="N2651">
        <v>3391.25</v>
      </c>
      <c r="O2651" t="s">
        <v>24</v>
      </c>
      <c r="P2651">
        <f t="shared" si="126"/>
        <v>-2</v>
      </c>
      <c r="Q2651" s="11">
        <f>IF(P2651=0,0,IFERROR(Q2650+G2651*M2651*IF(E2651="FUTURE",VLOOKUP(MID(I2651,2,2),[1]Futures!$A$2:$B$12,2),1),G2651*M2651*IF(E2651="FUTURE",VLOOKUP(MID(I2651,2,2),[1]Futures!$A$2:$B$12,2),1)))</f>
        <v>-339125</v>
      </c>
      <c r="R2651" s="12">
        <f>IFERROR(Q2651/P2651/IF(E2651="FUTURE",VLOOKUP(MID(I2651,2,2),[1]Futures!$A$2:$B$12,2),1),"")</f>
        <v>3391.25</v>
      </c>
      <c r="S2651" s="13" t="str">
        <f>IF(AND(H2651="TO CLOSE",P2651=0),-G2651*(M2651-R2650)*IF(E2651="FUTURE",VLOOKUP(MID(I2651,2,2),[1]Futures!$A$2:$B$12,2),1),"")</f>
        <v/>
      </c>
    </row>
    <row r="2652" spans="1:19" x14ac:dyDescent="0.2">
      <c r="A2652">
        <f t="shared" si="125"/>
        <v>867</v>
      </c>
      <c r="B2652" s="3">
        <v>44062</v>
      </c>
      <c r="C2652" s="3" t="str">
        <f t="shared" si="124"/>
        <v>Wednesday</v>
      </c>
      <c r="D2652" s="2">
        <v>0.58819444444444446</v>
      </c>
      <c r="E2652" t="s">
        <v>14</v>
      </c>
      <c r="F2652" t="s">
        <v>19</v>
      </c>
      <c r="G2652">
        <v>1</v>
      </c>
      <c r="H2652" t="s">
        <v>16</v>
      </c>
      <c r="I2652" t="s">
        <v>79</v>
      </c>
      <c r="J2652" s="1">
        <v>44094</v>
      </c>
      <c r="L2652" t="s">
        <v>14</v>
      </c>
      <c r="M2652">
        <v>3388.5</v>
      </c>
      <c r="N2652">
        <v>3388.5</v>
      </c>
      <c r="O2652" t="s">
        <v>24</v>
      </c>
      <c r="P2652">
        <f t="shared" si="126"/>
        <v>-1</v>
      </c>
      <c r="Q2652" s="11">
        <f>IF(P2652=0,0,IFERROR(Q2651+G2652*M2652*IF(E2652="FUTURE",VLOOKUP(MID(I2652,2,2),[1]Futures!$A$2:$B$12,2),1),G2652*M2652*IF(E2652="FUTURE",VLOOKUP(MID(I2652,2,2),[1]Futures!$A$2:$B$12,2),1)))</f>
        <v>-169700</v>
      </c>
      <c r="R2652" s="12">
        <f>IFERROR(Q2652/P2652/IF(E2652="FUTURE",VLOOKUP(MID(I2652,2,2),[1]Futures!$A$2:$B$12,2),1),"")</f>
        <v>3394</v>
      </c>
      <c r="S2652" s="13" t="str">
        <f>IF(AND(H2652="TO CLOSE",P2652=0),-G2652*(M2652-R2651)*IF(E2652="FUTURE",VLOOKUP(MID(I2652,2,2),[1]Futures!$A$2:$B$12,2),1),"")</f>
        <v/>
      </c>
    </row>
    <row r="2653" spans="1:19" x14ac:dyDescent="0.2">
      <c r="A2653">
        <f t="shared" si="125"/>
        <v>867</v>
      </c>
      <c r="B2653" s="3">
        <v>44062</v>
      </c>
      <c r="C2653" s="3" t="str">
        <f t="shared" si="124"/>
        <v>Wednesday</v>
      </c>
      <c r="D2653" s="2">
        <v>0.59305555555555556</v>
      </c>
      <c r="E2653" t="s">
        <v>14</v>
      </c>
      <c r="F2653" t="s">
        <v>19</v>
      </c>
      <c r="G2653">
        <v>1</v>
      </c>
      <c r="H2653" t="s">
        <v>16</v>
      </c>
      <c r="I2653" t="s">
        <v>79</v>
      </c>
      <c r="J2653" s="1">
        <v>44094</v>
      </c>
      <c r="L2653" t="s">
        <v>14</v>
      </c>
      <c r="M2653">
        <v>3385.75</v>
      </c>
      <c r="N2653">
        <v>3385.75</v>
      </c>
      <c r="O2653" t="s">
        <v>24</v>
      </c>
      <c r="P2653">
        <f t="shared" si="126"/>
        <v>0</v>
      </c>
      <c r="Q2653" s="11">
        <f>IF(P2653=0,0,IFERROR(Q2652+G2653*M2653*IF(E2653="FUTURE",VLOOKUP(MID(I2653,2,2),[1]Futures!$A$2:$B$12,2),1),G2653*M2653*IF(E2653="FUTURE",VLOOKUP(MID(I2653,2,2),[1]Futures!$A$2:$B$12,2),1)))</f>
        <v>0</v>
      </c>
      <c r="R2653" s="12" t="str">
        <f>IFERROR(Q2653/P2653/IF(E2653="FUTURE",VLOOKUP(MID(I2653,2,2),[1]Futures!$A$2:$B$12,2),1),"")</f>
        <v/>
      </c>
      <c r="S2653" s="13">
        <f>IF(AND(H2653="TO CLOSE",P2653=0),-G2653*(M2653-R2652)*IF(E2653="FUTURE",VLOOKUP(MID(I2653,2,2),[1]Futures!$A$2:$B$12,2),1),"")</f>
        <v>412.5</v>
      </c>
    </row>
    <row r="2654" spans="1:19" x14ac:dyDescent="0.2">
      <c r="A2654">
        <f t="shared" si="125"/>
        <v>868</v>
      </c>
      <c r="B2654" s="3">
        <v>44062</v>
      </c>
      <c r="C2654" s="3" t="str">
        <f t="shared" si="124"/>
        <v>Wednesday</v>
      </c>
      <c r="D2654" s="2">
        <v>0.59652777777777777</v>
      </c>
      <c r="E2654" t="s">
        <v>14</v>
      </c>
      <c r="F2654" t="s">
        <v>19</v>
      </c>
      <c r="G2654">
        <v>1</v>
      </c>
      <c r="H2654" t="s">
        <v>20</v>
      </c>
      <c r="I2654" t="s">
        <v>79</v>
      </c>
      <c r="J2654" s="1">
        <v>44094</v>
      </c>
      <c r="L2654" t="s">
        <v>14</v>
      </c>
      <c r="M2654">
        <v>3382</v>
      </c>
      <c r="N2654">
        <v>3382</v>
      </c>
      <c r="O2654" t="s">
        <v>24</v>
      </c>
      <c r="P2654">
        <f t="shared" si="126"/>
        <v>1</v>
      </c>
      <c r="Q2654" s="11">
        <f>IF(P2654=0,0,IFERROR(Q2653+G2654*M2654*IF(E2654="FUTURE",VLOOKUP(MID(I2654,2,2),[1]Futures!$A$2:$B$12,2),1),G2654*M2654*IF(E2654="FUTURE",VLOOKUP(MID(I2654,2,2),[1]Futures!$A$2:$B$12,2),1)))</f>
        <v>169100</v>
      </c>
      <c r="R2654" s="12">
        <f>IFERROR(Q2654/P2654/IF(E2654="FUTURE",VLOOKUP(MID(I2654,2,2),[1]Futures!$A$2:$B$12,2),1),"")</f>
        <v>3382</v>
      </c>
      <c r="S2654" s="13" t="str">
        <f>IF(AND(H2654="TO CLOSE",P2654=0),-G2654*(M2654-R2653)*IF(E2654="FUTURE",VLOOKUP(MID(I2654,2,2),[1]Futures!$A$2:$B$12,2),1),"")</f>
        <v/>
      </c>
    </row>
    <row r="2655" spans="1:19" x14ac:dyDescent="0.2">
      <c r="A2655">
        <f t="shared" si="125"/>
        <v>868</v>
      </c>
      <c r="B2655" s="3">
        <v>44062</v>
      </c>
      <c r="C2655" s="3" t="str">
        <f t="shared" si="124"/>
        <v>Wednesday</v>
      </c>
      <c r="D2655" s="2">
        <v>0.6</v>
      </c>
      <c r="E2655" t="s">
        <v>14</v>
      </c>
      <c r="F2655" t="s">
        <v>15</v>
      </c>
      <c r="G2655">
        <v>-1</v>
      </c>
      <c r="H2655" t="s">
        <v>16</v>
      </c>
      <c r="I2655" t="s">
        <v>79</v>
      </c>
      <c r="J2655" s="1">
        <v>44094</v>
      </c>
      <c r="L2655" t="s">
        <v>14</v>
      </c>
      <c r="M2655">
        <v>3382.25</v>
      </c>
      <c r="N2655">
        <v>3382.25</v>
      </c>
      <c r="O2655" t="s">
        <v>18</v>
      </c>
      <c r="P2655">
        <f t="shared" si="126"/>
        <v>0</v>
      </c>
      <c r="Q2655" s="11">
        <f>IF(P2655=0,0,IFERROR(Q2654+G2655*M2655*IF(E2655="FUTURE",VLOOKUP(MID(I2655,2,2),[1]Futures!$A$2:$B$12,2),1),G2655*M2655*IF(E2655="FUTURE",VLOOKUP(MID(I2655,2,2),[1]Futures!$A$2:$B$12,2),1)))</f>
        <v>0</v>
      </c>
      <c r="R2655" s="12" t="str">
        <f>IFERROR(Q2655/P2655/IF(E2655="FUTURE",VLOOKUP(MID(I2655,2,2),[1]Futures!$A$2:$B$12,2),1),"")</f>
        <v/>
      </c>
      <c r="S2655" s="13">
        <f>IF(AND(H2655="TO CLOSE",P2655=0),-G2655*(M2655-R2654)*IF(E2655="FUTURE",VLOOKUP(MID(I2655,2,2),[1]Futures!$A$2:$B$12,2),1),"")</f>
        <v>12.5</v>
      </c>
    </row>
    <row r="2656" spans="1:19" x14ac:dyDescent="0.2">
      <c r="A2656">
        <f t="shared" si="125"/>
        <v>869</v>
      </c>
      <c r="B2656" s="3">
        <v>44062</v>
      </c>
      <c r="C2656" s="3" t="str">
        <f t="shared" si="124"/>
        <v>Wednesday</v>
      </c>
      <c r="D2656" s="2">
        <v>0.60138888888888886</v>
      </c>
      <c r="E2656" t="s">
        <v>14</v>
      </c>
      <c r="F2656" t="s">
        <v>19</v>
      </c>
      <c r="G2656">
        <v>1</v>
      </c>
      <c r="H2656" t="s">
        <v>20</v>
      </c>
      <c r="I2656" t="s">
        <v>79</v>
      </c>
      <c r="J2656" s="1">
        <v>44094</v>
      </c>
      <c r="L2656" t="s">
        <v>14</v>
      </c>
      <c r="M2656">
        <v>3384.25</v>
      </c>
      <c r="N2656">
        <v>3384.25</v>
      </c>
      <c r="O2656" t="s">
        <v>24</v>
      </c>
      <c r="P2656">
        <f t="shared" si="126"/>
        <v>1</v>
      </c>
      <c r="Q2656" s="11">
        <f>IF(P2656=0,0,IFERROR(Q2655+G2656*M2656*IF(E2656="FUTURE",VLOOKUP(MID(I2656,2,2),[1]Futures!$A$2:$B$12,2),1),G2656*M2656*IF(E2656="FUTURE",VLOOKUP(MID(I2656,2,2),[1]Futures!$A$2:$B$12,2),1)))</f>
        <v>169212.5</v>
      </c>
      <c r="R2656" s="12">
        <f>IFERROR(Q2656/P2656/IF(E2656="FUTURE",VLOOKUP(MID(I2656,2,2),[1]Futures!$A$2:$B$12,2),1),"")</f>
        <v>3384.25</v>
      </c>
      <c r="S2656" s="13" t="str">
        <f>IF(AND(H2656="TO CLOSE",P2656=0),-G2656*(M2656-R2655)*IF(E2656="FUTURE",VLOOKUP(MID(I2656,2,2),[1]Futures!$A$2:$B$12,2),1),"")</f>
        <v/>
      </c>
    </row>
    <row r="2657" spans="1:19" x14ac:dyDescent="0.2">
      <c r="A2657">
        <f t="shared" si="125"/>
        <v>869</v>
      </c>
      <c r="B2657" s="3">
        <v>44062</v>
      </c>
      <c r="C2657" s="3" t="str">
        <f t="shared" si="124"/>
        <v>Wednesday</v>
      </c>
      <c r="D2657" s="2">
        <v>0.62013888888888891</v>
      </c>
      <c r="E2657" t="s">
        <v>14</v>
      </c>
      <c r="F2657" t="s">
        <v>15</v>
      </c>
      <c r="G2657">
        <v>-1</v>
      </c>
      <c r="H2657" t="s">
        <v>16</v>
      </c>
      <c r="I2657" t="s">
        <v>79</v>
      </c>
      <c r="J2657" s="1">
        <v>44094</v>
      </c>
      <c r="L2657" t="s">
        <v>14</v>
      </c>
      <c r="M2657">
        <v>3384.5</v>
      </c>
      <c r="N2657">
        <v>3384.5</v>
      </c>
      <c r="O2657" t="s">
        <v>18</v>
      </c>
      <c r="P2657">
        <f t="shared" si="126"/>
        <v>0</v>
      </c>
      <c r="Q2657" s="11">
        <f>IF(P2657=0,0,IFERROR(Q2656+G2657*M2657*IF(E2657="FUTURE",VLOOKUP(MID(I2657,2,2),[1]Futures!$A$2:$B$12,2),1),G2657*M2657*IF(E2657="FUTURE",VLOOKUP(MID(I2657,2,2),[1]Futures!$A$2:$B$12,2),1)))</f>
        <v>0</v>
      </c>
      <c r="R2657" s="12" t="str">
        <f>IFERROR(Q2657/P2657/IF(E2657="FUTURE",VLOOKUP(MID(I2657,2,2),[1]Futures!$A$2:$B$12,2),1),"")</f>
        <v/>
      </c>
      <c r="S2657" s="13">
        <f>IF(AND(H2657="TO CLOSE",P2657=0),-G2657*(M2657-R2656)*IF(E2657="FUTURE",VLOOKUP(MID(I2657,2,2),[1]Futures!$A$2:$B$12,2),1),"")</f>
        <v>12.5</v>
      </c>
    </row>
    <row r="2658" spans="1:19" x14ac:dyDescent="0.2">
      <c r="A2658">
        <f t="shared" si="125"/>
        <v>870</v>
      </c>
      <c r="B2658" s="3">
        <v>44062</v>
      </c>
      <c r="C2658" s="3" t="str">
        <f t="shared" ref="C2658:C2721" si="127">IF(WEEKDAY(B2658,2)=1,"Monday",IF(WEEKDAY(B2658,2)=2,"Tuesday",IF(WEEKDAY(B2658,2)=3,"Wednesday",IF(WEEKDAY(B2658,2)=4,"Thursday",IF(WEEKDAY(B2658,2)=5,"Friday","Sunday")))))</f>
        <v>Wednesday</v>
      </c>
      <c r="D2658" s="2">
        <v>0.47291666666666665</v>
      </c>
      <c r="E2658" t="s">
        <v>22</v>
      </c>
      <c r="F2658" t="s">
        <v>19</v>
      </c>
      <c r="G2658">
        <v>400</v>
      </c>
      <c r="H2658" t="s">
        <v>20</v>
      </c>
      <c r="I2658" t="s">
        <v>23</v>
      </c>
      <c r="L2658" t="s">
        <v>22</v>
      </c>
      <c r="M2658">
        <v>24.38</v>
      </c>
      <c r="N2658">
        <v>24.38</v>
      </c>
      <c r="O2658" t="s">
        <v>21</v>
      </c>
      <c r="P2658">
        <f t="shared" si="126"/>
        <v>400</v>
      </c>
      <c r="Q2658" s="11">
        <f>IF(P2658=0,0,IFERROR(Q2657+G2658*M2658*IF(E2658="FUTURE",VLOOKUP(MID(I2658,2,2),[1]Futures!$A$2:$B$12,2),1),G2658*M2658*IF(E2658="FUTURE",VLOOKUP(MID(I2658,2,2),[1]Futures!$A$2:$B$12,2),1)))</f>
        <v>9752</v>
      </c>
      <c r="R2658" s="12">
        <f>IFERROR(Q2658/P2658/IF(E2658="FUTURE",VLOOKUP(MID(I2658,2,2),[1]Futures!$A$2:$B$12,2),1),"")</f>
        <v>24.38</v>
      </c>
      <c r="S2658" s="13" t="str">
        <f>IF(AND(H2658="TO CLOSE",P2658=0),-G2658*(M2658-R2657)*IF(E2658="FUTURE",VLOOKUP(MID(I2658,2,2),[1]Futures!$A$2:$B$12,2),1),"")</f>
        <v/>
      </c>
    </row>
    <row r="2659" spans="1:19" x14ac:dyDescent="0.2">
      <c r="A2659">
        <f t="shared" si="125"/>
        <v>870</v>
      </c>
      <c r="B2659" s="3">
        <v>44062</v>
      </c>
      <c r="C2659" s="3" t="str">
        <f t="shared" si="127"/>
        <v>Wednesday</v>
      </c>
      <c r="D2659" s="2">
        <v>0.50486111111111109</v>
      </c>
      <c r="E2659" t="s">
        <v>22</v>
      </c>
      <c r="F2659" t="s">
        <v>19</v>
      </c>
      <c r="G2659">
        <v>100</v>
      </c>
      <c r="H2659" t="s">
        <v>20</v>
      </c>
      <c r="I2659" t="s">
        <v>23</v>
      </c>
      <c r="L2659" t="s">
        <v>22</v>
      </c>
      <c r="M2659">
        <v>24.275300000000001</v>
      </c>
      <c r="N2659">
        <v>24.275300000000001</v>
      </c>
      <c r="O2659" t="s">
        <v>21</v>
      </c>
      <c r="P2659">
        <f t="shared" si="126"/>
        <v>500</v>
      </c>
      <c r="Q2659" s="11">
        <f>IF(P2659=0,0,IFERROR(Q2658+G2659*M2659*IF(E2659="FUTURE",VLOOKUP(MID(I2659,2,2),[1]Futures!$A$2:$B$12,2),1),G2659*M2659*IF(E2659="FUTURE",VLOOKUP(MID(I2659,2,2),[1]Futures!$A$2:$B$12,2),1)))</f>
        <v>12179.53</v>
      </c>
      <c r="R2659" s="12">
        <f>IFERROR(Q2659/P2659/IF(E2659="FUTURE",VLOOKUP(MID(I2659,2,2),[1]Futures!$A$2:$B$12,2),1),"")</f>
        <v>24.359060000000003</v>
      </c>
      <c r="S2659" s="13" t="str">
        <f>IF(AND(H2659="TO CLOSE",P2659=0),-G2659*(M2659-R2658)*IF(E2659="FUTURE",VLOOKUP(MID(I2659,2,2),[1]Futures!$A$2:$B$12,2),1),"")</f>
        <v/>
      </c>
    </row>
    <row r="2660" spans="1:19" x14ac:dyDescent="0.2">
      <c r="A2660">
        <f t="shared" si="125"/>
        <v>870</v>
      </c>
      <c r="B2660" s="3">
        <v>44062</v>
      </c>
      <c r="C2660" s="3" t="str">
        <f t="shared" si="127"/>
        <v>Wednesday</v>
      </c>
      <c r="D2660" s="2">
        <v>0.58333333333333337</v>
      </c>
      <c r="E2660" t="s">
        <v>22</v>
      </c>
      <c r="F2660" t="s">
        <v>15</v>
      </c>
      <c r="G2660">
        <v>-500</v>
      </c>
      <c r="H2660" t="s">
        <v>16</v>
      </c>
      <c r="I2660" t="s">
        <v>23</v>
      </c>
      <c r="L2660" t="s">
        <v>22</v>
      </c>
      <c r="M2660">
        <v>23.96</v>
      </c>
      <c r="N2660">
        <v>23.96</v>
      </c>
      <c r="O2660" t="s">
        <v>18</v>
      </c>
      <c r="P2660">
        <f t="shared" si="126"/>
        <v>0</v>
      </c>
      <c r="Q2660" s="11">
        <f>IF(P2660=0,0,IFERROR(Q2659+G2660*M2660*IF(E2660="FUTURE",VLOOKUP(MID(I2660,2,2),[1]Futures!$A$2:$B$12,2),1),G2660*M2660*IF(E2660="FUTURE",VLOOKUP(MID(I2660,2,2),[1]Futures!$A$2:$B$12,2),1)))</f>
        <v>0</v>
      </c>
      <c r="R2660" s="12" t="str">
        <f>IFERROR(Q2660/P2660/IF(E2660="FUTURE",VLOOKUP(MID(I2660,2,2),[1]Futures!$A$2:$B$12,2),1),"")</f>
        <v/>
      </c>
      <c r="S2660" s="13">
        <f>IF(AND(H2660="TO CLOSE",P2660=0),-G2660*(M2660-R2659)*IF(E2660="FUTURE",VLOOKUP(MID(I2660,2,2),[1]Futures!$A$2:$B$12,2),1),"")</f>
        <v>-199.53000000000111</v>
      </c>
    </row>
    <row r="2661" spans="1:19" x14ac:dyDescent="0.2">
      <c r="A2661">
        <f t="shared" si="125"/>
        <v>871</v>
      </c>
      <c r="B2661" s="3">
        <v>44062</v>
      </c>
      <c r="C2661" s="3" t="str">
        <f t="shared" si="127"/>
        <v>Wednesday</v>
      </c>
      <c r="D2661" s="2">
        <v>0.59236111111111112</v>
      </c>
      <c r="E2661" t="s">
        <v>22</v>
      </c>
      <c r="F2661" t="s">
        <v>19</v>
      </c>
      <c r="G2661">
        <v>300</v>
      </c>
      <c r="H2661" t="s">
        <v>20</v>
      </c>
      <c r="I2661" t="s">
        <v>23</v>
      </c>
      <c r="L2661" t="s">
        <v>22</v>
      </c>
      <c r="M2661">
        <v>24.145</v>
      </c>
      <c r="N2661">
        <v>24.145</v>
      </c>
      <c r="O2661" t="s">
        <v>21</v>
      </c>
      <c r="P2661">
        <f t="shared" si="126"/>
        <v>300</v>
      </c>
      <c r="Q2661" s="11">
        <f>IF(P2661=0,0,IFERROR(Q2660+G2661*M2661*IF(E2661="FUTURE",VLOOKUP(MID(I2661,2,2),[1]Futures!$A$2:$B$12,2),1),G2661*M2661*IF(E2661="FUTURE",VLOOKUP(MID(I2661,2,2),[1]Futures!$A$2:$B$12,2),1)))</f>
        <v>7243.5</v>
      </c>
      <c r="R2661" s="12">
        <f>IFERROR(Q2661/P2661/IF(E2661="FUTURE",VLOOKUP(MID(I2661,2,2),[1]Futures!$A$2:$B$12,2),1),"")</f>
        <v>24.145</v>
      </c>
      <c r="S2661" s="13" t="str">
        <f>IF(AND(H2661="TO CLOSE",P2661=0),-G2661*(M2661-R2660)*IF(E2661="FUTURE",VLOOKUP(MID(I2661,2,2),[1]Futures!$A$2:$B$12,2),1),"")</f>
        <v/>
      </c>
    </row>
    <row r="2662" spans="1:19" x14ac:dyDescent="0.2">
      <c r="A2662">
        <f t="shared" si="125"/>
        <v>871</v>
      </c>
      <c r="B2662" s="3">
        <v>44062</v>
      </c>
      <c r="C2662" s="3" t="str">
        <f t="shared" si="127"/>
        <v>Wednesday</v>
      </c>
      <c r="D2662" s="2">
        <v>0.59513888888888888</v>
      </c>
      <c r="E2662" t="s">
        <v>22</v>
      </c>
      <c r="F2662" t="s">
        <v>15</v>
      </c>
      <c r="G2662">
        <v>-300</v>
      </c>
      <c r="H2662" t="s">
        <v>16</v>
      </c>
      <c r="I2662" t="s">
        <v>23</v>
      </c>
      <c r="L2662" t="s">
        <v>22</v>
      </c>
      <c r="M2662">
        <v>24.295000000000002</v>
      </c>
      <c r="N2662">
        <v>24.295000000000002</v>
      </c>
      <c r="O2662" t="s">
        <v>21</v>
      </c>
      <c r="P2662">
        <f t="shared" si="126"/>
        <v>0</v>
      </c>
      <c r="Q2662" s="11">
        <f>IF(P2662=0,0,IFERROR(Q2661+G2662*M2662*IF(E2662="FUTURE",VLOOKUP(MID(I2662,2,2),[1]Futures!$A$2:$B$12,2),1),G2662*M2662*IF(E2662="FUTURE",VLOOKUP(MID(I2662,2,2),[1]Futures!$A$2:$B$12,2),1)))</f>
        <v>0</v>
      </c>
      <c r="R2662" s="12" t="str">
        <f>IFERROR(Q2662/P2662/IF(E2662="FUTURE",VLOOKUP(MID(I2662,2,2),[1]Futures!$A$2:$B$12,2),1),"")</f>
        <v/>
      </c>
      <c r="S2662" s="13">
        <f>IF(AND(H2662="TO CLOSE",P2662=0),-G2662*(M2662-R2661)*IF(E2662="FUTURE",VLOOKUP(MID(I2662,2,2),[1]Futures!$A$2:$B$12,2),1),"")</f>
        <v>45.000000000000639</v>
      </c>
    </row>
    <row r="2663" spans="1:19" x14ac:dyDescent="0.2">
      <c r="A2663">
        <f t="shared" si="125"/>
        <v>872</v>
      </c>
      <c r="B2663" s="3">
        <v>44062</v>
      </c>
      <c r="C2663" s="3" t="str">
        <f t="shared" si="127"/>
        <v>Wednesday</v>
      </c>
      <c r="D2663" s="2">
        <v>0.60138888888888886</v>
      </c>
      <c r="E2663" t="s">
        <v>22</v>
      </c>
      <c r="F2663" t="s">
        <v>15</v>
      </c>
      <c r="G2663">
        <v>-400</v>
      </c>
      <c r="H2663" t="s">
        <v>20</v>
      </c>
      <c r="I2663" t="s">
        <v>23</v>
      </c>
      <c r="L2663" t="s">
        <v>22</v>
      </c>
      <c r="M2663">
        <v>24.3126</v>
      </c>
      <c r="N2663">
        <v>24.3126</v>
      </c>
      <c r="O2663" t="s">
        <v>21</v>
      </c>
      <c r="P2663">
        <f t="shared" si="126"/>
        <v>-400</v>
      </c>
      <c r="Q2663" s="11">
        <f>IF(P2663=0,0,IFERROR(Q2662+G2663*M2663*IF(E2663="FUTURE",VLOOKUP(MID(I2663,2,2),[1]Futures!$A$2:$B$12,2),1),G2663*M2663*IF(E2663="FUTURE",VLOOKUP(MID(I2663,2,2),[1]Futures!$A$2:$B$12,2),1)))</f>
        <v>-9725.0399999999991</v>
      </c>
      <c r="R2663" s="12">
        <f>IFERROR(Q2663/P2663/IF(E2663="FUTURE",VLOOKUP(MID(I2663,2,2),[1]Futures!$A$2:$B$12,2),1),"")</f>
        <v>24.312599999999996</v>
      </c>
      <c r="S2663" s="13" t="str">
        <f>IF(AND(H2663="TO CLOSE",P2663=0),-G2663*(M2663-R2662)*IF(E2663="FUTURE",VLOOKUP(MID(I2663,2,2),[1]Futures!$A$2:$B$12,2),1),"")</f>
        <v/>
      </c>
    </row>
    <row r="2664" spans="1:19" x14ac:dyDescent="0.2">
      <c r="A2664">
        <f t="shared" si="125"/>
        <v>872</v>
      </c>
      <c r="B2664" s="3">
        <v>44062</v>
      </c>
      <c r="C2664" s="3" t="str">
        <f t="shared" si="127"/>
        <v>Wednesday</v>
      </c>
      <c r="D2664" s="2">
        <v>0.60277777777777775</v>
      </c>
      <c r="E2664" t="s">
        <v>22</v>
      </c>
      <c r="F2664" t="s">
        <v>19</v>
      </c>
      <c r="G2664">
        <v>400</v>
      </c>
      <c r="H2664" t="s">
        <v>16</v>
      </c>
      <c r="I2664" t="s">
        <v>23</v>
      </c>
      <c r="L2664" t="s">
        <v>22</v>
      </c>
      <c r="M2664">
        <v>24.4495</v>
      </c>
      <c r="N2664">
        <v>24.4495</v>
      </c>
      <c r="O2664" t="s">
        <v>18</v>
      </c>
      <c r="P2664">
        <f t="shared" si="126"/>
        <v>0</v>
      </c>
      <c r="Q2664" s="11">
        <f>IF(P2664=0,0,IFERROR(Q2663+G2664*M2664*IF(E2664="FUTURE",VLOOKUP(MID(I2664,2,2),[1]Futures!$A$2:$B$12,2),1),G2664*M2664*IF(E2664="FUTURE",VLOOKUP(MID(I2664,2,2),[1]Futures!$A$2:$B$12,2),1)))</f>
        <v>0</v>
      </c>
      <c r="R2664" s="12" t="str">
        <f>IFERROR(Q2664/P2664/IF(E2664="FUTURE",VLOOKUP(MID(I2664,2,2),[1]Futures!$A$2:$B$12,2),1),"")</f>
        <v/>
      </c>
      <c r="S2664" s="13">
        <f>IF(AND(H2664="TO CLOSE",P2664=0),-G2664*(M2664-R2663)*IF(E2664="FUTURE",VLOOKUP(MID(I2664,2,2),[1]Futures!$A$2:$B$12,2),1),"")</f>
        <v>-54.760000000001696</v>
      </c>
    </row>
    <row r="2665" spans="1:19" x14ac:dyDescent="0.2">
      <c r="A2665">
        <f t="shared" si="125"/>
        <v>873</v>
      </c>
      <c r="B2665" s="3">
        <v>44062</v>
      </c>
      <c r="C2665" s="3" t="str">
        <f t="shared" si="127"/>
        <v>Wednesday</v>
      </c>
      <c r="D2665" s="2">
        <v>0.60347222222222219</v>
      </c>
      <c r="E2665" t="s">
        <v>22</v>
      </c>
      <c r="F2665" t="s">
        <v>15</v>
      </c>
      <c r="G2665">
        <v>-269</v>
      </c>
      <c r="H2665" t="s">
        <v>20</v>
      </c>
      <c r="I2665" t="s">
        <v>23</v>
      </c>
      <c r="L2665" t="s">
        <v>22</v>
      </c>
      <c r="M2665">
        <v>24.3901</v>
      </c>
      <c r="N2665">
        <v>24.39011</v>
      </c>
      <c r="O2665" t="s">
        <v>24</v>
      </c>
      <c r="P2665">
        <f t="shared" si="126"/>
        <v>-269</v>
      </c>
      <c r="Q2665" s="11">
        <f>IF(P2665=0,0,IFERROR(Q2664+G2665*M2665*IF(E2665="FUTURE",VLOOKUP(MID(I2665,2,2),[1]Futures!$A$2:$B$12,2),1),G2665*M2665*IF(E2665="FUTURE",VLOOKUP(MID(I2665,2,2),[1]Futures!$A$2:$B$12,2),1)))</f>
        <v>-6560.9368999999997</v>
      </c>
      <c r="R2665" s="12">
        <f>IFERROR(Q2665/P2665/IF(E2665="FUTURE",VLOOKUP(MID(I2665,2,2),[1]Futures!$A$2:$B$12,2),1),"")</f>
        <v>24.3901</v>
      </c>
      <c r="S2665" s="13" t="str">
        <f>IF(AND(H2665="TO CLOSE",P2665=0),-G2665*(M2665-R2664)*IF(E2665="FUTURE",VLOOKUP(MID(I2665,2,2),[1]Futures!$A$2:$B$12,2),1),"")</f>
        <v/>
      </c>
    </row>
    <row r="2666" spans="1:19" x14ac:dyDescent="0.2">
      <c r="A2666">
        <f t="shared" si="125"/>
        <v>873</v>
      </c>
      <c r="B2666" s="3">
        <v>44062</v>
      </c>
      <c r="C2666" s="3" t="str">
        <f t="shared" si="127"/>
        <v>Wednesday</v>
      </c>
      <c r="D2666" s="2">
        <v>0.60347222222222219</v>
      </c>
      <c r="E2666" t="s">
        <v>22</v>
      </c>
      <c r="F2666" t="s">
        <v>15</v>
      </c>
      <c r="G2666">
        <v>-31</v>
      </c>
      <c r="H2666" t="s">
        <v>20</v>
      </c>
      <c r="I2666" t="s">
        <v>23</v>
      </c>
      <c r="L2666" t="s">
        <v>22</v>
      </c>
      <c r="M2666">
        <v>24.395</v>
      </c>
      <c r="N2666">
        <v>24.394839999999999</v>
      </c>
      <c r="O2666" t="s">
        <v>24</v>
      </c>
      <c r="P2666">
        <f t="shared" si="126"/>
        <v>-300</v>
      </c>
      <c r="Q2666" s="11">
        <f>IF(P2666=0,0,IFERROR(Q2665+G2666*M2666*IF(E2666="FUTURE",VLOOKUP(MID(I2666,2,2),[1]Futures!$A$2:$B$12,2),1),G2666*M2666*IF(E2666="FUTURE",VLOOKUP(MID(I2666,2,2),[1]Futures!$A$2:$B$12,2),1)))</f>
        <v>-7317.1818999999996</v>
      </c>
      <c r="R2666" s="12">
        <f>IFERROR(Q2666/P2666/IF(E2666="FUTURE",VLOOKUP(MID(I2666,2,2),[1]Futures!$A$2:$B$12,2),1),"")</f>
        <v>24.390606333333331</v>
      </c>
      <c r="S2666" s="13" t="str">
        <f>IF(AND(H2666="TO CLOSE",P2666=0),-G2666*(M2666-R2665)*IF(E2666="FUTURE",VLOOKUP(MID(I2666,2,2),[1]Futures!$A$2:$B$12,2),1),"")</f>
        <v/>
      </c>
    </row>
    <row r="2667" spans="1:19" x14ac:dyDescent="0.2">
      <c r="A2667">
        <f t="shared" si="125"/>
        <v>873</v>
      </c>
      <c r="B2667" s="3">
        <v>44062</v>
      </c>
      <c r="C2667" s="3" t="str">
        <f t="shared" si="127"/>
        <v>Wednesday</v>
      </c>
      <c r="D2667" s="2">
        <v>0.60347222222222219</v>
      </c>
      <c r="E2667" t="s">
        <v>22</v>
      </c>
      <c r="F2667" t="s">
        <v>15</v>
      </c>
      <c r="G2667">
        <v>-100</v>
      </c>
      <c r="H2667" t="s">
        <v>20</v>
      </c>
      <c r="I2667" t="s">
        <v>23</v>
      </c>
      <c r="L2667" t="s">
        <v>22</v>
      </c>
      <c r="M2667">
        <v>24.395</v>
      </c>
      <c r="N2667">
        <v>24.395</v>
      </c>
      <c r="O2667" t="s">
        <v>24</v>
      </c>
      <c r="P2667">
        <f t="shared" si="126"/>
        <v>-400</v>
      </c>
      <c r="Q2667" s="11">
        <f>IF(P2667=0,0,IFERROR(Q2666+G2667*M2667*IF(E2667="FUTURE",VLOOKUP(MID(I2667,2,2),[1]Futures!$A$2:$B$12,2),1),G2667*M2667*IF(E2667="FUTURE",VLOOKUP(MID(I2667,2,2),[1]Futures!$A$2:$B$12,2),1)))</f>
        <v>-9756.6818999999996</v>
      </c>
      <c r="R2667" s="12">
        <f>IFERROR(Q2667/P2667/IF(E2667="FUTURE",VLOOKUP(MID(I2667,2,2),[1]Futures!$A$2:$B$12,2),1),"")</f>
        <v>24.391704749999999</v>
      </c>
      <c r="S2667" s="13" t="str">
        <f>IF(AND(H2667="TO CLOSE",P2667=0),-G2667*(M2667-R2666)*IF(E2667="FUTURE",VLOOKUP(MID(I2667,2,2),[1]Futures!$A$2:$B$12,2),1),"")</f>
        <v/>
      </c>
    </row>
    <row r="2668" spans="1:19" x14ac:dyDescent="0.2">
      <c r="A2668">
        <f t="shared" si="125"/>
        <v>873</v>
      </c>
      <c r="B2668" s="3">
        <v>44062</v>
      </c>
      <c r="C2668" s="3" t="str">
        <f t="shared" si="127"/>
        <v>Wednesday</v>
      </c>
      <c r="D2668" s="2">
        <v>0.60416666666666663</v>
      </c>
      <c r="E2668" t="s">
        <v>22</v>
      </c>
      <c r="F2668" t="s">
        <v>15</v>
      </c>
      <c r="G2668">
        <v>-100</v>
      </c>
      <c r="H2668" t="s">
        <v>20</v>
      </c>
      <c r="I2668" t="s">
        <v>23</v>
      </c>
      <c r="L2668" t="s">
        <v>22</v>
      </c>
      <c r="M2668">
        <v>24.445</v>
      </c>
      <c r="N2668">
        <v>24.445</v>
      </c>
      <c r="O2668" t="s">
        <v>21</v>
      </c>
      <c r="P2668">
        <f t="shared" si="126"/>
        <v>-500</v>
      </c>
      <c r="Q2668" s="11">
        <f>IF(P2668=0,0,IFERROR(Q2667+G2668*M2668*IF(E2668="FUTURE",VLOOKUP(MID(I2668,2,2),[1]Futures!$A$2:$B$12,2),1),G2668*M2668*IF(E2668="FUTURE",VLOOKUP(MID(I2668,2,2),[1]Futures!$A$2:$B$12,2),1)))</f>
        <v>-12201.1819</v>
      </c>
      <c r="R2668" s="12">
        <f>IFERROR(Q2668/P2668/IF(E2668="FUTURE",VLOOKUP(MID(I2668,2,2),[1]Futures!$A$2:$B$12,2),1),"")</f>
        <v>24.4023638</v>
      </c>
      <c r="S2668" s="13" t="str">
        <f>IF(AND(H2668="TO CLOSE",P2668=0),-G2668*(M2668-R2667)*IF(E2668="FUTURE",VLOOKUP(MID(I2668,2,2),[1]Futures!$A$2:$B$12,2),1),"")</f>
        <v/>
      </c>
    </row>
    <row r="2669" spans="1:19" x14ac:dyDescent="0.2">
      <c r="A2669">
        <f t="shared" si="125"/>
        <v>873</v>
      </c>
      <c r="B2669" s="3">
        <v>44062</v>
      </c>
      <c r="C2669" s="3" t="str">
        <f t="shared" si="127"/>
        <v>Wednesday</v>
      </c>
      <c r="D2669" s="2">
        <v>0.63194444444444442</v>
      </c>
      <c r="E2669" t="s">
        <v>22</v>
      </c>
      <c r="F2669" t="s">
        <v>19</v>
      </c>
      <c r="G2669">
        <v>300</v>
      </c>
      <c r="H2669" t="s">
        <v>16</v>
      </c>
      <c r="I2669" t="s">
        <v>23</v>
      </c>
      <c r="L2669" t="s">
        <v>22</v>
      </c>
      <c r="M2669">
        <v>24.129899999999999</v>
      </c>
      <c r="N2669">
        <v>24.129899999999999</v>
      </c>
      <c r="O2669" t="s">
        <v>24</v>
      </c>
      <c r="P2669">
        <f t="shared" si="126"/>
        <v>-200</v>
      </c>
      <c r="Q2669" s="11">
        <f>IF(P2669=0,0,IFERROR(Q2668+G2669*M2669*IF(E2669="FUTURE",VLOOKUP(MID(I2669,2,2),[1]Futures!$A$2:$B$12,2),1),G2669*M2669*IF(E2669="FUTURE",VLOOKUP(MID(I2669,2,2),[1]Futures!$A$2:$B$12,2),1)))</f>
        <v>-4962.2119000000002</v>
      </c>
      <c r="R2669" s="12">
        <f>IFERROR(Q2669/P2669/IF(E2669="FUTURE",VLOOKUP(MID(I2669,2,2),[1]Futures!$A$2:$B$12,2),1),"")</f>
        <v>24.811059500000002</v>
      </c>
      <c r="S2669" s="13" t="str">
        <f>IF(AND(H2669="TO CLOSE",P2669=0),-G2669*(M2669-R2668)*IF(E2669="FUTURE",VLOOKUP(MID(I2669,2,2),[1]Futures!$A$2:$B$12,2),1),"")</f>
        <v/>
      </c>
    </row>
    <row r="2670" spans="1:19" x14ac:dyDescent="0.2">
      <c r="A2670">
        <f t="shared" si="125"/>
        <v>873</v>
      </c>
      <c r="B2670" s="3">
        <v>44062</v>
      </c>
      <c r="C2670" s="3" t="str">
        <f t="shared" si="127"/>
        <v>Wednesday</v>
      </c>
      <c r="D2670" s="2">
        <v>0.63194444444444442</v>
      </c>
      <c r="E2670" t="s">
        <v>22</v>
      </c>
      <c r="F2670" t="s">
        <v>19</v>
      </c>
      <c r="G2670">
        <v>100</v>
      </c>
      <c r="H2670" t="s">
        <v>16</v>
      </c>
      <c r="I2670" t="s">
        <v>23</v>
      </c>
      <c r="L2670" t="s">
        <v>22</v>
      </c>
      <c r="M2670">
        <v>24.12</v>
      </c>
      <c r="N2670">
        <v>24.12</v>
      </c>
      <c r="O2670" t="s">
        <v>21</v>
      </c>
      <c r="P2670">
        <f t="shared" si="126"/>
        <v>-100</v>
      </c>
      <c r="Q2670" s="11">
        <f>IF(P2670=0,0,IFERROR(Q2669+G2670*M2670*IF(E2670="FUTURE",VLOOKUP(MID(I2670,2,2),[1]Futures!$A$2:$B$12,2),1),G2670*M2670*IF(E2670="FUTURE",VLOOKUP(MID(I2670,2,2),[1]Futures!$A$2:$B$12,2),1)))</f>
        <v>-2550.2119000000002</v>
      </c>
      <c r="R2670" s="12">
        <f>IFERROR(Q2670/P2670/IF(E2670="FUTURE",VLOOKUP(MID(I2670,2,2),[1]Futures!$A$2:$B$12,2),1),"")</f>
        <v>25.502119000000004</v>
      </c>
      <c r="S2670" s="13" t="str">
        <f>IF(AND(H2670="TO CLOSE",P2670=0),-G2670*(M2670-R2669)*IF(E2670="FUTURE",VLOOKUP(MID(I2670,2,2),[1]Futures!$A$2:$B$12,2),1),"")</f>
        <v/>
      </c>
    </row>
    <row r="2671" spans="1:19" x14ac:dyDescent="0.2">
      <c r="A2671">
        <f t="shared" si="125"/>
        <v>873</v>
      </c>
      <c r="B2671" s="3">
        <v>44062</v>
      </c>
      <c r="C2671" s="3" t="str">
        <f t="shared" si="127"/>
        <v>Wednesday</v>
      </c>
      <c r="D2671" s="2">
        <v>0.63194444444444442</v>
      </c>
      <c r="E2671" t="s">
        <v>22</v>
      </c>
      <c r="F2671" t="s">
        <v>19</v>
      </c>
      <c r="G2671">
        <v>100</v>
      </c>
      <c r="H2671" t="s">
        <v>16</v>
      </c>
      <c r="I2671" t="s">
        <v>23</v>
      </c>
      <c r="L2671" t="s">
        <v>22</v>
      </c>
      <c r="M2671">
        <v>24.12</v>
      </c>
      <c r="N2671">
        <v>24.12</v>
      </c>
      <c r="O2671" t="s">
        <v>21</v>
      </c>
      <c r="P2671">
        <f t="shared" si="126"/>
        <v>0</v>
      </c>
      <c r="Q2671" s="11">
        <f>IF(P2671=0,0,IFERROR(Q2670+G2671*M2671*IF(E2671="FUTURE",VLOOKUP(MID(I2671,2,2),[1]Futures!$A$2:$B$12,2),1),G2671*M2671*IF(E2671="FUTURE",VLOOKUP(MID(I2671,2,2),[1]Futures!$A$2:$B$12,2),1)))</f>
        <v>0</v>
      </c>
      <c r="R2671" s="12" t="str">
        <f>IFERROR(Q2671/P2671/IF(E2671="FUTURE",VLOOKUP(MID(I2671,2,2),[1]Futures!$A$2:$B$12,2),1),"")</f>
        <v/>
      </c>
      <c r="S2671" s="13">
        <f>IF(AND(H2671="TO CLOSE",P2671=0),-G2671*(M2671-R2670)*IF(E2671="FUTURE",VLOOKUP(MID(I2671,2,2),[1]Futures!$A$2:$B$12,2),1),"")</f>
        <v>138.2119000000003</v>
      </c>
    </row>
    <row r="2672" spans="1:19" x14ac:dyDescent="0.2">
      <c r="A2672">
        <f t="shared" si="125"/>
        <v>874</v>
      </c>
      <c r="B2672" s="3">
        <v>44063</v>
      </c>
      <c r="C2672" s="3" t="str">
        <f t="shared" si="127"/>
        <v>Thursday</v>
      </c>
      <c r="D2672" s="2">
        <v>0.3721990740740741</v>
      </c>
      <c r="E2672" t="s">
        <v>14</v>
      </c>
      <c r="F2672" t="s">
        <v>15</v>
      </c>
      <c r="G2672">
        <v>-1</v>
      </c>
      <c r="H2672" t="s">
        <v>20</v>
      </c>
      <c r="I2672" t="s">
        <v>82</v>
      </c>
      <c r="J2672" s="1">
        <v>44124</v>
      </c>
      <c r="L2672" t="s">
        <v>14</v>
      </c>
      <c r="M2672">
        <v>42.74</v>
      </c>
      <c r="N2672">
        <v>42.74</v>
      </c>
      <c r="O2672" t="s">
        <v>21</v>
      </c>
      <c r="P2672">
        <f t="shared" si="126"/>
        <v>-1</v>
      </c>
      <c r="Q2672" s="11">
        <f>IF(P2672=0,0,IFERROR(Q2671+G2672*M2672*IF(E2672="FUTURE",VLOOKUP(MID(I2672,2,2),[1]Futures!$A$2:$B$12,2),1),G2672*M2672*IF(E2672="FUTURE",VLOOKUP(MID(I2672,2,2),[1]Futures!$A$2:$B$12,2),1)))</f>
        <v>-42740</v>
      </c>
      <c r="R2672" s="12">
        <f>IFERROR(Q2672/P2672/IF(E2672="FUTURE",VLOOKUP(MID(I2672,2,2),[1]Futures!$A$2:$B$12,2),1),"")</f>
        <v>42.74</v>
      </c>
      <c r="S2672" s="13" t="str">
        <f>IF(AND(H2672="TO CLOSE",P2672=0),-G2672*(M2672-R2671)*IF(E2672="FUTURE",VLOOKUP(MID(I2672,2,2),[1]Futures!$A$2:$B$12,2),1),"")</f>
        <v/>
      </c>
    </row>
    <row r="2673" spans="1:19" x14ac:dyDescent="0.2">
      <c r="A2673">
        <f t="shared" si="125"/>
        <v>874</v>
      </c>
      <c r="B2673" s="3">
        <v>44063</v>
      </c>
      <c r="C2673" s="3" t="str">
        <f t="shared" si="127"/>
        <v>Thursday</v>
      </c>
      <c r="D2673" s="2">
        <v>0.3756944444444445</v>
      </c>
      <c r="E2673" t="s">
        <v>14</v>
      </c>
      <c r="F2673" t="s">
        <v>19</v>
      </c>
      <c r="G2673">
        <v>1</v>
      </c>
      <c r="H2673" t="s">
        <v>16</v>
      </c>
      <c r="I2673" t="s">
        <v>82</v>
      </c>
      <c r="J2673" s="1">
        <v>44124</v>
      </c>
      <c r="L2673" t="s">
        <v>14</v>
      </c>
      <c r="M2673">
        <v>42.61</v>
      </c>
      <c r="N2673">
        <v>42.61</v>
      </c>
      <c r="O2673" t="s">
        <v>21</v>
      </c>
      <c r="P2673">
        <f t="shared" si="126"/>
        <v>0</v>
      </c>
      <c r="Q2673" s="11">
        <f>IF(P2673=0,0,IFERROR(Q2672+G2673*M2673*IF(E2673="FUTURE",VLOOKUP(MID(I2673,2,2),[1]Futures!$A$2:$B$12,2),1),G2673*M2673*IF(E2673="FUTURE",VLOOKUP(MID(I2673,2,2),[1]Futures!$A$2:$B$12,2),1)))</f>
        <v>0</v>
      </c>
      <c r="R2673" s="12" t="str">
        <f>IFERROR(Q2673/P2673/IF(E2673="FUTURE",VLOOKUP(MID(I2673,2,2),[1]Futures!$A$2:$B$12,2),1),"")</f>
        <v/>
      </c>
      <c r="S2673" s="13">
        <f>IF(AND(H2673="TO CLOSE",P2673=0),-G2673*(M2673-R2672)*IF(E2673="FUTURE",VLOOKUP(MID(I2673,2,2),[1]Futures!$A$2:$B$12,2),1),"")</f>
        <v>130.00000000000256</v>
      </c>
    </row>
    <row r="2674" spans="1:19" x14ac:dyDescent="0.2">
      <c r="A2674">
        <f t="shared" si="125"/>
        <v>875</v>
      </c>
      <c r="B2674" s="3">
        <v>44063</v>
      </c>
      <c r="C2674" s="3" t="str">
        <f t="shared" si="127"/>
        <v>Thursday</v>
      </c>
      <c r="D2674" s="2">
        <v>0.38126157407407407</v>
      </c>
      <c r="E2674" t="s">
        <v>14</v>
      </c>
      <c r="F2674" t="s">
        <v>19</v>
      </c>
      <c r="G2674">
        <v>1</v>
      </c>
      <c r="H2674" t="s">
        <v>20</v>
      </c>
      <c r="I2674" t="s">
        <v>82</v>
      </c>
      <c r="J2674" s="1">
        <v>44124</v>
      </c>
      <c r="L2674" t="s">
        <v>14</v>
      </c>
      <c r="M2674">
        <v>42.21</v>
      </c>
      <c r="N2674">
        <v>42.21</v>
      </c>
      <c r="O2674" t="s">
        <v>24</v>
      </c>
      <c r="P2674">
        <f t="shared" si="126"/>
        <v>1</v>
      </c>
      <c r="Q2674" s="11">
        <f>IF(P2674=0,0,IFERROR(Q2673+G2674*M2674*IF(E2674="FUTURE",VLOOKUP(MID(I2674,2,2),[1]Futures!$A$2:$B$12,2),1),G2674*M2674*IF(E2674="FUTURE",VLOOKUP(MID(I2674,2,2),[1]Futures!$A$2:$B$12,2),1)))</f>
        <v>42210</v>
      </c>
      <c r="R2674" s="12">
        <f>IFERROR(Q2674/P2674/IF(E2674="FUTURE",VLOOKUP(MID(I2674,2,2),[1]Futures!$A$2:$B$12,2),1),"")</f>
        <v>42.21</v>
      </c>
      <c r="S2674" s="13" t="str">
        <f>IF(AND(H2674="TO CLOSE",P2674=0),-G2674*(M2674-R2673)*IF(E2674="FUTURE",VLOOKUP(MID(I2674,2,2),[1]Futures!$A$2:$B$12,2),1),"")</f>
        <v/>
      </c>
    </row>
    <row r="2675" spans="1:19" x14ac:dyDescent="0.2">
      <c r="A2675">
        <f t="shared" si="125"/>
        <v>875</v>
      </c>
      <c r="B2675" s="3">
        <v>44063</v>
      </c>
      <c r="C2675" s="3" t="str">
        <f t="shared" si="127"/>
        <v>Thursday</v>
      </c>
      <c r="D2675" s="2">
        <v>0.38187499999999996</v>
      </c>
      <c r="E2675" t="s">
        <v>14</v>
      </c>
      <c r="F2675" t="s">
        <v>15</v>
      </c>
      <c r="G2675">
        <v>-1</v>
      </c>
      <c r="H2675" t="s">
        <v>16</v>
      </c>
      <c r="I2675" t="s">
        <v>82</v>
      </c>
      <c r="J2675" s="1">
        <v>44124</v>
      </c>
      <c r="L2675" t="s">
        <v>14</v>
      </c>
      <c r="M2675">
        <v>42.27</v>
      </c>
      <c r="N2675">
        <v>42.27</v>
      </c>
      <c r="O2675" t="s">
        <v>21</v>
      </c>
      <c r="P2675">
        <f t="shared" si="126"/>
        <v>0</v>
      </c>
      <c r="Q2675" s="11">
        <f>IF(P2675=0,0,IFERROR(Q2674+G2675*M2675*IF(E2675="FUTURE",VLOOKUP(MID(I2675,2,2),[1]Futures!$A$2:$B$12,2),1),G2675*M2675*IF(E2675="FUTURE",VLOOKUP(MID(I2675,2,2),[1]Futures!$A$2:$B$12,2),1)))</f>
        <v>0</v>
      </c>
      <c r="R2675" s="12" t="str">
        <f>IFERROR(Q2675/P2675/IF(E2675="FUTURE",VLOOKUP(MID(I2675,2,2),[1]Futures!$A$2:$B$12,2),1),"")</f>
        <v/>
      </c>
      <c r="S2675" s="13">
        <f>IF(AND(H2675="TO CLOSE",P2675=0),-G2675*(M2675-R2674)*IF(E2675="FUTURE",VLOOKUP(MID(I2675,2,2),[1]Futures!$A$2:$B$12,2),1),"")</f>
        <v>60.000000000002274</v>
      </c>
    </row>
    <row r="2676" spans="1:19" x14ac:dyDescent="0.2">
      <c r="A2676">
        <f t="shared" si="125"/>
        <v>876</v>
      </c>
      <c r="B2676" s="3">
        <v>44063</v>
      </c>
      <c r="C2676" s="3" t="str">
        <f t="shared" si="127"/>
        <v>Thursday</v>
      </c>
      <c r="D2676" s="2">
        <v>0.38260416666666663</v>
      </c>
      <c r="E2676" t="s">
        <v>14</v>
      </c>
      <c r="F2676" t="s">
        <v>19</v>
      </c>
      <c r="G2676">
        <v>1</v>
      </c>
      <c r="H2676" t="s">
        <v>20</v>
      </c>
      <c r="I2676" t="s">
        <v>82</v>
      </c>
      <c r="J2676" s="1">
        <v>44124</v>
      </c>
      <c r="L2676" t="s">
        <v>14</v>
      </c>
      <c r="M2676">
        <v>42.21</v>
      </c>
      <c r="N2676">
        <v>42.21</v>
      </c>
      <c r="O2676" t="s">
        <v>24</v>
      </c>
      <c r="P2676">
        <f t="shared" si="126"/>
        <v>1</v>
      </c>
      <c r="Q2676" s="11">
        <f>IF(P2676=0,0,IFERROR(Q2675+G2676*M2676*IF(E2676="FUTURE",VLOOKUP(MID(I2676,2,2),[1]Futures!$A$2:$B$12,2),1),G2676*M2676*IF(E2676="FUTURE",VLOOKUP(MID(I2676,2,2),[1]Futures!$A$2:$B$12,2),1)))</f>
        <v>42210</v>
      </c>
      <c r="R2676" s="12">
        <f>IFERROR(Q2676/P2676/IF(E2676="FUTURE",VLOOKUP(MID(I2676,2,2),[1]Futures!$A$2:$B$12,2),1),"")</f>
        <v>42.21</v>
      </c>
      <c r="S2676" s="13" t="str">
        <f>IF(AND(H2676="TO CLOSE",P2676=0),-G2676*(M2676-R2675)*IF(E2676="FUTURE",VLOOKUP(MID(I2676,2,2),[1]Futures!$A$2:$B$12,2),1),"")</f>
        <v/>
      </c>
    </row>
    <row r="2677" spans="1:19" x14ac:dyDescent="0.2">
      <c r="A2677">
        <f t="shared" si="125"/>
        <v>876</v>
      </c>
      <c r="B2677" s="3">
        <v>44063</v>
      </c>
      <c r="C2677" s="3" t="str">
        <f t="shared" si="127"/>
        <v>Thursday</v>
      </c>
      <c r="D2677" s="2">
        <v>0.38840277777777782</v>
      </c>
      <c r="E2677" t="s">
        <v>14</v>
      </c>
      <c r="F2677" t="s">
        <v>19</v>
      </c>
      <c r="G2677">
        <v>1</v>
      </c>
      <c r="H2677" t="s">
        <v>20</v>
      </c>
      <c r="I2677" t="s">
        <v>82</v>
      </c>
      <c r="J2677" s="1">
        <v>44124</v>
      </c>
      <c r="L2677" t="s">
        <v>14</v>
      </c>
      <c r="M2677">
        <v>42.15</v>
      </c>
      <c r="N2677">
        <v>42.15</v>
      </c>
      <c r="O2677" t="s">
        <v>21</v>
      </c>
      <c r="P2677">
        <f t="shared" si="126"/>
        <v>2</v>
      </c>
      <c r="Q2677" s="11">
        <f>IF(P2677=0,0,IFERROR(Q2676+G2677*M2677*IF(E2677="FUTURE",VLOOKUP(MID(I2677,2,2),[1]Futures!$A$2:$B$12,2),1),G2677*M2677*IF(E2677="FUTURE",VLOOKUP(MID(I2677,2,2),[1]Futures!$A$2:$B$12,2),1)))</f>
        <v>84360</v>
      </c>
      <c r="R2677" s="12">
        <f>IFERROR(Q2677/P2677/IF(E2677="FUTURE",VLOOKUP(MID(I2677,2,2),[1]Futures!$A$2:$B$12,2),1),"")</f>
        <v>42.18</v>
      </c>
      <c r="S2677" s="13" t="str">
        <f>IF(AND(H2677="TO CLOSE",P2677=0),-G2677*(M2677-R2676)*IF(E2677="FUTURE",VLOOKUP(MID(I2677,2,2),[1]Futures!$A$2:$B$12,2),1),"")</f>
        <v/>
      </c>
    </row>
    <row r="2678" spans="1:19" x14ac:dyDescent="0.2">
      <c r="A2678">
        <f t="shared" si="125"/>
        <v>876</v>
      </c>
      <c r="B2678" s="3">
        <v>44063</v>
      </c>
      <c r="C2678" s="3" t="str">
        <f t="shared" si="127"/>
        <v>Thursday</v>
      </c>
      <c r="D2678" s="2">
        <v>0.39262731481481478</v>
      </c>
      <c r="E2678" t="s">
        <v>14</v>
      </c>
      <c r="F2678" t="s">
        <v>19</v>
      </c>
      <c r="G2678">
        <v>1</v>
      </c>
      <c r="H2678" t="s">
        <v>20</v>
      </c>
      <c r="I2678" t="s">
        <v>82</v>
      </c>
      <c r="J2678" s="1">
        <v>44124</v>
      </c>
      <c r="L2678" t="s">
        <v>14</v>
      </c>
      <c r="M2678">
        <v>41.98</v>
      </c>
      <c r="N2678">
        <v>41.98</v>
      </c>
      <c r="O2678" t="s">
        <v>21</v>
      </c>
      <c r="P2678">
        <f t="shared" si="126"/>
        <v>3</v>
      </c>
      <c r="Q2678" s="11">
        <f>IF(P2678=0,0,IFERROR(Q2677+G2678*M2678*IF(E2678="FUTURE",VLOOKUP(MID(I2678,2,2),[1]Futures!$A$2:$B$12,2),1),G2678*M2678*IF(E2678="FUTURE",VLOOKUP(MID(I2678,2,2),[1]Futures!$A$2:$B$12,2),1)))</f>
        <v>126340</v>
      </c>
      <c r="R2678" s="12">
        <f>IFERROR(Q2678/P2678/IF(E2678="FUTURE",VLOOKUP(MID(I2678,2,2),[1]Futures!$A$2:$B$12,2),1),"")</f>
        <v>42.113333333333337</v>
      </c>
      <c r="S2678" s="13" t="str">
        <f>IF(AND(H2678="TO CLOSE",P2678=0),-G2678*(M2678-R2677)*IF(E2678="FUTURE",VLOOKUP(MID(I2678,2,2),[1]Futures!$A$2:$B$12,2),1),"")</f>
        <v/>
      </c>
    </row>
    <row r="2679" spans="1:19" x14ac:dyDescent="0.2">
      <c r="A2679">
        <f t="shared" si="125"/>
        <v>876</v>
      </c>
      <c r="B2679" s="3">
        <v>44063</v>
      </c>
      <c r="C2679" s="3" t="str">
        <f t="shared" si="127"/>
        <v>Thursday</v>
      </c>
      <c r="D2679" s="2">
        <v>0.42930555555555555</v>
      </c>
      <c r="E2679" t="s">
        <v>14</v>
      </c>
      <c r="F2679" t="s">
        <v>15</v>
      </c>
      <c r="G2679">
        <v>-1</v>
      </c>
      <c r="H2679" t="s">
        <v>16</v>
      </c>
      <c r="I2679" t="s">
        <v>82</v>
      </c>
      <c r="J2679" s="1">
        <v>44124</v>
      </c>
      <c r="L2679" t="s">
        <v>14</v>
      </c>
      <c r="M2679">
        <v>42.18</v>
      </c>
      <c r="N2679">
        <v>42.18</v>
      </c>
      <c r="O2679" t="s">
        <v>21</v>
      </c>
      <c r="P2679">
        <f t="shared" si="126"/>
        <v>2</v>
      </c>
      <c r="Q2679" s="11">
        <f>IF(P2679=0,0,IFERROR(Q2678+G2679*M2679*IF(E2679="FUTURE",VLOOKUP(MID(I2679,2,2),[1]Futures!$A$2:$B$12,2),1),G2679*M2679*IF(E2679="FUTURE",VLOOKUP(MID(I2679,2,2),[1]Futures!$A$2:$B$12,2),1)))</f>
        <v>84160</v>
      </c>
      <c r="R2679" s="12">
        <f>IFERROR(Q2679/P2679/IF(E2679="FUTURE",VLOOKUP(MID(I2679,2,2),[1]Futures!$A$2:$B$12,2),1),"")</f>
        <v>42.08</v>
      </c>
      <c r="S2679" s="13" t="str">
        <f>IF(AND(H2679="TO CLOSE",P2679=0),-G2679*(M2679-R2678)*IF(E2679="FUTURE",VLOOKUP(MID(I2679,2,2),[1]Futures!$A$2:$B$12,2),1),"")</f>
        <v/>
      </c>
    </row>
    <row r="2680" spans="1:19" x14ac:dyDescent="0.2">
      <c r="A2680">
        <f t="shared" si="125"/>
        <v>876</v>
      </c>
      <c r="B2680" s="3">
        <v>44063</v>
      </c>
      <c r="C2680" s="3" t="str">
        <f t="shared" si="127"/>
        <v>Thursday</v>
      </c>
      <c r="D2680" s="2">
        <v>0.4302083333333333</v>
      </c>
      <c r="E2680" t="s">
        <v>14</v>
      </c>
      <c r="F2680" t="s">
        <v>15</v>
      </c>
      <c r="G2680">
        <v>-1</v>
      </c>
      <c r="H2680" t="s">
        <v>16</v>
      </c>
      <c r="I2680" t="s">
        <v>82</v>
      </c>
      <c r="J2680" s="1">
        <v>44124</v>
      </c>
      <c r="L2680" t="s">
        <v>14</v>
      </c>
      <c r="M2680">
        <v>42.28</v>
      </c>
      <c r="N2680">
        <v>42.28</v>
      </c>
      <c r="O2680" t="s">
        <v>21</v>
      </c>
      <c r="P2680">
        <f t="shared" si="126"/>
        <v>1</v>
      </c>
      <c r="Q2680" s="11">
        <f>IF(P2680=0,0,IFERROR(Q2679+G2680*M2680*IF(E2680="FUTURE",VLOOKUP(MID(I2680,2,2),[1]Futures!$A$2:$B$12,2),1),G2680*M2680*IF(E2680="FUTURE",VLOOKUP(MID(I2680,2,2),[1]Futures!$A$2:$B$12,2),1)))</f>
        <v>41880</v>
      </c>
      <c r="R2680" s="12">
        <f>IFERROR(Q2680/P2680/IF(E2680="FUTURE",VLOOKUP(MID(I2680,2,2),[1]Futures!$A$2:$B$12,2),1),"")</f>
        <v>41.88</v>
      </c>
      <c r="S2680" s="13" t="str">
        <f>IF(AND(H2680="TO CLOSE",P2680=0),-G2680*(M2680-R2679)*IF(E2680="FUTURE",VLOOKUP(MID(I2680,2,2),[1]Futures!$A$2:$B$12,2),1),"")</f>
        <v/>
      </c>
    </row>
    <row r="2681" spans="1:19" x14ac:dyDescent="0.2">
      <c r="A2681">
        <f t="shared" si="125"/>
        <v>876</v>
      </c>
      <c r="B2681" s="3">
        <v>44063</v>
      </c>
      <c r="C2681" s="3" t="str">
        <f t="shared" si="127"/>
        <v>Thursday</v>
      </c>
      <c r="D2681" s="2">
        <v>0.43096064814814811</v>
      </c>
      <c r="E2681" t="s">
        <v>14</v>
      </c>
      <c r="F2681" t="s">
        <v>15</v>
      </c>
      <c r="G2681">
        <v>-1</v>
      </c>
      <c r="H2681" t="s">
        <v>16</v>
      </c>
      <c r="I2681" t="s">
        <v>82</v>
      </c>
      <c r="J2681" s="1">
        <v>44124</v>
      </c>
      <c r="L2681" t="s">
        <v>14</v>
      </c>
      <c r="M2681">
        <v>42.39</v>
      </c>
      <c r="N2681">
        <v>42.39</v>
      </c>
      <c r="O2681" t="s">
        <v>21</v>
      </c>
      <c r="P2681">
        <f t="shared" si="126"/>
        <v>0</v>
      </c>
      <c r="Q2681" s="11">
        <f>IF(P2681=0,0,IFERROR(Q2680+G2681*M2681*IF(E2681="FUTURE",VLOOKUP(MID(I2681,2,2),[1]Futures!$A$2:$B$12,2),1),G2681*M2681*IF(E2681="FUTURE",VLOOKUP(MID(I2681,2,2),[1]Futures!$A$2:$B$12,2),1)))</f>
        <v>0</v>
      </c>
      <c r="R2681" s="12" t="str">
        <f>IFERROR(Q2681/P2681/IF(E2681="FUTURE",VLOOKUP(MID(I2681,2,2),[1]Futures!$A$2:$B$12,2),1),"")</f>
        <v/>
      </c>
      <c r="S2681" s="13">
        <f>IF(AND(H2681="TO CLOSE",P2681=0),-G2681*(M2681-R2680)*IF(E2681="FUTURE",VLOOKUP(MID(I2681,2,2),[1]Futures!$A$2:$B$12,2),1),"")</f>
        <v>509.99999999999801</v>
      </c>
    </row>
    <row r="2682" spans="1:19" x14ac:dyDescent="0.2">
      <c r="A2682">
        <f t="shared" si="125"/>
        <v>877</v>
      </c>
      <c r="B2682" s="3">
        <v>44063</v>
      </c>
      <c r="C2682" s="3" t="str">
        <f t="shared" si="127"/>
        <v>Thursday</v>
      </c>
      <c r="D2682" s="2">
        <v>0.44974537037037038</v>
      </c>
      <c r="E2682" t="s">
        <v>14</v>
      </c>
      <c r="F2682" t="s">
        <v>15</v>
      </c>
      <c r="G2682">
        <v>-1</v>
      </c>
      <c r="H2682" t="s">
        <v>20</v>
      </c>
      <c r="I2682" t="s">
        <v>82</v>
      </c>
      <c r="J2682" s="1">
        <v>44124</v>
      </c>
      <c r="L2682" t="s">
        <v>14</v>
      </c>
      <c r="M2682">
        <v>42.71</v>
      </c>
      <c r="N2682">
        <v>42.71</v>
      </c>
      <c r="O2682" t="s">
        <v>24</v>
      </c>
      <c r="P2682">
        <f t="shared" si="126"/>
        <v>-1</v>
      </c>
      <c r="Q2682" s="11">
        <f>IF(P2682=0,0,IFERROR(Q2681+G2682*M2682*IF(E2682="FUTURE",VLOOKUP(MID(I2682,2,2),[1]Futures!$A$2:$B$12,2),1),G2682*M2682*IF(E2682="FUTURE",VLOOKUP(MID(I2682,2,2),[1]Futures!$A$2:$B$12,2),1)))</f>
        <v>-42710</v>
      </c>
      <c r="R2682" s="12">
        <f>IFERROR(Q2682/P2682/IF(E2682="FUTURE",VLOOKUP(MID(I2682,2,2),[1]Futures!$A$2:$B$12,2),1),"")</f>
        <v>42.71</v>
      </c>
      <c r="S2682" s="13" t="str">
        <f>IF(AND(H2682="TO CLOSE",P2682=0),-G2682*(M2682-R2681)*IF(E2682="FUTURE",VLOOKUP(MID(I2682,2,2),[1]Futures!$A$2:$B$12,2),1),"")</f>
        <v/>
      </c>
    </row>
    <row r="2683" spans="1:19" x14ac:dyDescent="0.2">
      <c r="A2683">
        <f t="shared" si="125"/>
        <v>877</v>
      </c>
      <c r="B2683" s="3">
        <v>44063</v>
      </c>
      <c r="C2683" s="3" t="str">
        <f t="shared" si="127"/>
        <v>Thursday</v>
      </c>
      <c r="D2683" s="2">
        <v>0.45699074074074075</v>
      </c>
      <c r="E2683" t="s">
        <v>14</v>
      </c>
      <c r="F2683" t="s">
        <v>15</v>
      </c>
      <c r="G2683">
        <v>-1</v>
      </c>
      <c r="H2683" t="s">
        <v>20</v>
      </c>
      <c r="I2683" t="s">
        <v>82</v>
      </c>
      <c r="J2683" s="1">
        <v>44124</v>
      </c>
      <c r="L2683" t="s">
        <v>14</v>
      </c>
      <c r="M2683">
        <v>42.81</v>
      </c>
      <c r="N2683">
        <v>42.81</v>
      </c>
      <c r="O2683" t="s">
        <v>21</v>
      </c>
      <c r="P2683">
        <f t="shared" si="126"/>
        <v>-2</v>
      </c>
      <c r="Q2683" s="11">
        <f>IF(P2683=0,0,IFERROR(Q2682+G2683*M2683*IF(E2683="FUTURE",VLOOKUP(MID(I2683,2,2),[1]Futures!$A$2:$B$12,2),1),G2683*M2683*IF(E2683="FUTURE",VLOOKUP(MID(I2683,2,2),[1]Futures!$A$2:$B$12,2),1)))</f>
        <v>-85520</v>
      </c>
      <c r="R2683" s="12">
        <f>IFERROR(Q2683/P2683/IF(E2683="FUTURE",VLOOKUP(MID(I2683,2,2),[1]Futures!$A$2:$B$12,2),1),"")</f>
        <v>42.76</v>
      </c>
      <c r="S2683" s="13" t="str">
        <f>IF(AND(H2683="TO CLOSE",P2683=0),-G2683*(M2683-R2682)*IF(E2683="FUTURE",VLOOKUP(MID(I2683,2,2),[1]Futures!$A$2:$B$12,2),1),"")</f>
        <v/>
      </c>
    </row>
    <row r="2684" spans="1:19" x14ac:dyDescent="0.2">
      <c r="A2684">
        <f t="shared" si="125"/>
        <v>877</v>
      </c>
      <c r="B2684" s="3">
        <v>44063</v>
      </c>
      <c r="C2684" s="3" t="str">
        <f t="shared" si="127"/>
        <v>Thursday</v>
      </c>
      <c r="D2684" s="2">
        <v>0.46027777777777779</v>
      </c>
      <c r="E2684" t="s">
        <v>14</v>
      </c>
      <c r="F2684" t="s">
        <v>19</v>
      </c>
      <c r="G2684">
        <v>1</v>
      </c>
      <c r="H2684" t="s">
        <v>16</v>
      </c>
      <c r="I2684" t="s">
        <v>82</v>
      </c>
      <c r="J2684" s="1">
        <v>44124</v>
      </c>
      <c r="L2684" t="s">
        <v>14</v>
      </c>
      <c r="M2684">
        <v>42.68</v>
      </c>
      <c r="N2684">
        <v>42.68</v>
      </c>
      <c r="O2684" t="s">
        <v>21</v>
      </c>
      <c r="P2684">
        <f t="shared" si="126"/>
        <v>-1</v>
      </c>
      <c r="Q2684" s="11">
        <f>IF(P2684=0,0,IFERROR(Q2683+G2684*M2684*IF(E2684="FUTURE",VLOOKUP(MID(I2684,2,2),[1]Futures!$A$2:$B$12,2),1),G2684*M2684*IF(E2684="FUTURE",VLOOKUP(MID(I2684,2,2),[1]Futures!$A$2:$B$12,2),1)))</f>
        <v>-42840</v>
      </c>
      <c r="R2684" s="12">
        <f>IFERROR(Q2684/P2684/IF(E2684="FUTURE",VLOOKUP(MID(I2684,2,2),[1]Futures!$A$2:$B$12,2),1),"")</f>
        <v>42.84</v>
      </c>
      <c r="S2684" s="13" t="str">
        <f>IF(AND(H2684="TO CLOSE",P2684=0),-G2684*(M2684-R2683)*IF(E2684="FUTURE",VLOOKUP(MID(I2684,2,2),[1]Futures!$A$2:$B$12,2),1),"")</f>
        <v/>
      </c>
    </row>
    <row r="2685" spans="1:19" x14ac:dyDescent="0.2">
      <c r="A2685">
        <f t="shared" si="125"/>
        <v>877</v>
      </c>
      <c r="B2685" s="3">
        <v>44063</v>
      </c>
      <c r="C2685" s="3" t="str">
        <f t="shared" si="127"/>
        <v>Thursday</v>
      </c>
      <c r="D2685" s="2">
        <v>0.46394675925925927</v>
      </c>
      <c r="E2685" t="s">
        <v>14</v>
      </c>
      <c r="F2685" t="s">
        <v>19</v>
      </c>
      <c r="G2685">
        <v>1</v>
      </c>
      <c r="H2685" t="s">
        <v>16</v>
      </c>
      <c r="I2685" t="s">
        <v>82</v>
      </c>
      <c r="J2685" s="1">
        <v>44124</v>
      </c>
      <c r="L2685" t="s">
        <v>14</v>
      </c>
      <c r="M2685">
        <v>42.6</v>
      </c>
      <c r="N2685">
        <v>42.6</v>
      </c>
      <c r="O2685" t="s">
        <v>24</v>
      </c>
      <c r="P2685">
        <f t="shared" si="126"/>
        <v>0</v>
      </c>
      <c r="Q2685" s="11">
        <f>IF(P2685=0,0,IFERROR(Q2684+G2685*M2685*IF(E2685="FUTURE",VLOOKUP(MID(I2685,2,2),[1]Futures!$A$2:$B$12,2),1),G2685*M2685*IF(E2685="FUTURE",VLOOKUP(MID(I2685,2,2),[1]Futures!$A$2:$B$12,2),1)))</f>
        <v>0</v>
      </c>
      <c r="R2685" s="12" t="str">
        <f>IFERROR(Q2685/P2685/IF(E2685="FUTURE",VLOOKUP(MID(I2685,2,2),[1]Futures!$A$2:$B$12,2),1),"")</f>
        <v/>
      </c>
      <c r="S2685" s="13">
        <f>IF(AND(H2685="TO CLOSE",P2685=0),-G2685*(M2685-R2684)*IF(E2685="FUTURE",VLOOKUP(MID(I2685,2,2),[1]Futures!$A$2:$B$12,2),1),"")</f>
        <v>240.00000000000199</v>
      </c>
    </row>
    <row r="2686" spans="1:19" x14ac:dyDescent="0.2">
      <c r="A2686">
        <f t="shared" si="125"/>
        <v>878</v>
      </c>
      <c r="B2686" s="3">
        <v>44063</v>
      </c>
      <c r="C2686" s="3" t="str">
        <f t="shared" si="127"/>
        <v>Thursday</v>
      </c>
      <c r="D2686" s="2">
        <v>0.45157407407407407</v>
      </c>
      <c r="E2686" t="s">
        <v>14</v>
      </c>
      <c r="F2686" t="s">
        <v>19</v>
      </c>
      <c r="G2686">
        <v>1</v>
      </c>
      <c r="H2686" t="s">
        <v>20</v>
      </c>
      <c r="I2686" t="s">
        <v>79</v>
      </c>
      <c r="J2686" s="1">
        <v>44094</v>
      </c>
      <c r="L2686" t="s">
        <v>14</v>
      </c>
      <c r="M2686">
        <v>3373.25</v>
      </c>
      <c r="N2686">
        <v>3373.25</v>
      </c>
      <c r="O2686" t="s">
        <v>24</v>
      </c>
      <c r="P2686">
        <f t="shared" si="126"/>
        <v>1</v>
      </c>
      <c r="Q2686" s="11">
        <f>IF(P2686=0,0,IFERROR(Q2685+G2686*M2686*IF(E2686="FUTURE",VLOOKUP(MID(I2686,2,2),[1]Futures!$A$2:$B$12,2),1),G2686*M2686*IF(E2686="FUTURE",VLOOKUP(MID(I2686,2,2),[1]Futures!$A$2:$B$12,2),1)))</f>
        <v>168662.5</v>
      </c>
      <c r="R2686" s="12">
        <f>IFERROR(Q2686/P2686/IF(E2686="FUTURE",VLOOKUP(MID(I2686,2,2),[1]Futures!$A$2:$B$12,2),1),"")</f>
        <v>3373.25</v>
      </c>
      <c r="S2686" s="13" t="str">
        <f>IF(AND(H2686="TO CLOSE",P2686=0),-G2686*(M2686-R2685)*IF(E2686="FUTURE",VLOOKUP(MID(I2686,2,2),[1]Futures!$A$2:$B$12,2),1),"")</f>
        <v/>
      </c>
    </row>
    <row r="2687" spans="1:19" x14ac:dyDescent="0.2">
      <c r="A2687">
        <f t="shared" si="125"/>
        <v>878</v>
      </c>
      <c r="B2687" s="3">
        <v>44063</v>
      </c>
      <c r="C2687" s="3" t="str">
        <f t="shared" si="127"/>
        <v>Thursday</v>
      </c>
      <c r="D2687" s="2">
        <v>0.45400462962962962</v>
      </c>
      <c r="E2687" t="s">
        <v>14</v>
      </c>
      <c r="F2687" t="s">
        <v>15</v>
      </c>
      <c r="G2687">
        <v>-1</v>
      </c>
      <c r="H2687" t="s">
        <v>16</v>
      </c>
      <c r="I2687" t="s">
        <v>79</v>
      </c>
      <c r="J2687" s="1">
        <v>44094</v>
      </c>
      <c r="L2687" t="s">
        <v>14</v>
      </c>
      <c r="M2687">
        <v>3373.5</v>
      </c>
      <c r="N2687">
        <v>3373.5</v>
      </c>
      <c r="O2687" t="s">
        <v>21</v>
      </c>
      <c r="P2687">
        <f t="shared" si="126"/>
        <v>0</v>
      </c>
      <c r="Q2687" s="11">
        <f>IF(P2687=0,0,IFERROR(Q2686+G2687*M2687*IF(E2687="FUTURE",VLOOKUP(MID(I2687,2,2),[1]Futures!$A$2:$B$12,2),1),G2687*M2687*IF(E2687="FUTURE",VLOOKUP(MID(I2687,2,2),[1]Futures!$A$2:$B$12,2),1)))</f>
        <v>0</v>
      </c>
      <c r="R2687" s="12" t="str">
        <f>IFERROR(Q2687/P2687/IF(E2687="FUTURE",VLOOKUP(MID(I2687,2,2),[1]Futures!$A$2:$B$12,2),1),"")</f>
        <v/>
      </c>
      <c r="S2687" s="13">
        <f>IF(AND(H2687="TO CLOSE",P2687=0),-G2687*(M2687-R2686)*IF(E2687="FUTURE",VLOOKUP(MID(I2687,2,2),[1]Futures!$A$2:$B$12,2),1),"")</f>
        <v>12.5</v>
      </c>
    </row>
    <row r="2688" spans="1:19" x14ac:dyDescent="0.2">
      <c r="A2688">
        <f t="shared" si="125"/>
        <v>879</v>
      </c>
      <c r="B2688" s="3">
        <v>44064</v>
      </c>
      <c r="C2688" s="3" t="str">
        <f t="shared" si="127"/>
        <v>Friday</v>
      </c>
      <c r="D2688" s="2">
        <v>0.39181712962962961</v>
      </c>
      <c r="E2688" t="s">
        <v>14</v>
      </c>
      <c r="F2688" t="s">
        <v>19</v>
      </c>
      <c r="G2688">
        <v>1</v>
      </c>
      <c r="H2688" t="s">
        <v>20</v>
      </c>
      <c r="I2688" t="s">
        <v>82</v>
      </c>
      <c r="J2688" s="1">
        <v>44124</v>
      </c>
      <c r="L2688" t="s">
        <v>14</v>
      </c>
      <c r="M2688">
        <v>41.99</v>
      </c>
      <c r="N2688">
        <v>41.99</v>
      </c>
      <c r="O2688" t="s">
        <v>21</v>
      </c>
      <c r="P2688">
        <f t="shared" si="126"/>
        <v>1</v>
      </c>
      <c r="Q2688" s="11">
        <f>IF(P2688=0,0,IFERROR(Q2687+G2688*M2688*IF(E2688="FUTURE",VLOOKUP(MID(I2688,2,2),[1]Futures!$A$2:$B$12,2),1),G2688*M2688*IF(E2688="FUTURE",VLOOKUP(MID(I2688,2,2),[1]Futures!$A$2:$B$12,2),1)))</f>
        <v>41990</v>
      </c>
      <c r="R2688" s="12">
        <f>IFERROR(Q2688/P2688/IF(E2688="FUTURE",VLOOKUP(MID(I2688,2,2),[1]Futures!$A$2:$B$12,2),1),"")</f>
        <v>41.99</v>
      </c>
      <c r="S2688" s="13" t="str">
        <f>IF(AND(H2688="TO CLOSE",P2688=0),-G2688*(M2688-R2687)*IF(E2688="FUTURE",VLOOKUP(MID(I2688,2,2),[1]Futures!$A$2:$B$12,2),1),"")</f>
        <v/>
      </c>
    </row>
    <row r="2689" spans="1:19" x14ac:dyDescent="0.2">
      <c r="A2689">
        <f t="shared" si="125"/>
        <v>879</v>
      </c>
      <c r="B2689" s="3">
        <v>44064</v>
      </c>
      <c r="C2689" s="3" t="str">
        <f t="shared" si="127"/>
        <v>Friday</v>
      </c>
      <c r="D2689" s="2">
        <v>0.39885416666666668</v>
      </c>
      <c r="E2689" t="s">
        <v>14</v>
      </c>
      <c r="F2689" t="s">
        <v>19</v>
      </c>
      <c r="G2689">
        <v>1</v>
      </c>
      <c r="H2689" t="s">
        <v>20</v>
      </c>
      <c r="I2689" t="s">
        <v>82</v>
      </c>
      <c r="J2689" s="1">
        <v>44124</v>
      </c>
      <c r="L2689" t="s">
        <v>14</v>
      </c>
      <c r="M2689">
        <v>41.95</v>
      </c>
      <c r="N2689">
        <v>41.95</v>
      </c>
      <c r="O2689" t="s">
        <v>21</v>
      </c>
      <c r="P2689">
        <f t="shared" si="126"/>
        <v>2</v>
      </c>
      <c r="Q2689" s="11">
        <f>IF(P2689=0,0,IFERROR(Q2688+G2689*M2689*IF(E2689="FUTURE",VLOOKUP(MID(I2689,2,2),[1]Futures!$A$2:$B$12,2),1),G2689*M2689*IF(E2689="FUTURE",VLOOKUP(MID(I2689,2,2),[1]Futures!$A$2:$B$12,2),1)))</f>
        <v>83940</v>
      </c>
      <c r="R2689" s="12">
        <f>IFERROR(Q2689/P2689/IF(E2689="FUTURE",VLOOKUP(MID(I2689,2,2),[1]Futures!$A$2:$B$12,2),1),"")</f>
        <v>41.97</v>
      </c>
      <c r="S2689" s="13" t="str">
        <f>IF(AND(H2689="TO CLOSE",P2689=0),-G2689*(M2689-R2688)*IF(E2689="FUTURE",VLOOKUP(MID(I2689,2,2),[1]Futures!$A$2:$B$12,2),1),"")</f>
        <v/>
      </c>
    </row>
    <row r="2690" spans="1:19" x14ac:dyDescent="0.2">
      <c r="A2690">
        <f t="shared" ref="A2690:A2753" si="128">IF(AND(P2689=0,H2689="TO CLOSE"),IFERROR(A2689+1,1),IFERROR(A2689/1,1))</f>
        <v>879</v>
      </c>
      <c r="B2690" s="3">
        <v>44064</v>
      </c>
      <c r="C2690" s="3" t="str">
        <f t="shared" si="127"/>
        <v>Friday</v>
      </c>
      <c r="D2690" s="2">
        <v>0.42099537037037038</v>
      </c>
      <c r="E2690" t="s">
        <v>14</v>
      </c>
      <c r="F2690" t="s">
        <v>19</v>
      </c>
      <c r="G2690">
        <v>1</v>
      </c>
      <c r="H2690" t="s">
        <v>20</v>
      </c>
      <c r="I2690" t="s">
        <v>82</v>
      </c>
      <c r="J2690" s="1">
        <v>44124</v>
      </c>
      <c r="L2690" t="s">
        <v>14</v>
      </c>
      <c r="M2690">
        <v>42.09</v>
      </c>
      <c r="N2690">
        <v>42.09</v>
      </c>
      <c r="O2690" t="s">
        <v>18</v>
      </c>
      <c r="P2690">
        <f t="shared" si="126"/>
        <v>3</v>
      </c>
      <c r="Q2690" s="11">
        <f>IF(P2690=0,0,IFERROR(Q2689+G2690*M2690*IF(E2690="FUTURE",VLOOKUP(MID(I2690,2,2),[1]Futures!$A$2:$B$12,2),1),G2690*M2690*IF(E2690="FUTURE",VLOOKUP(MID(I2690,2,2),[1]Futures!$A$2:$B$12,2),1)))</f>
        <v>126030</v>
      </c>
      <c r="R2690" s="12">
        <f>IFERROR(Q2690/P2690/IF(E2690="FUTURE",VLOOKUP(MID(I2690,2,2),[1]Futures!$A$2:$B$12,2),1),"")</f>
        <v>42.01</v>
      </c>
      <c r="S2690" s="13" t="str">
        <f>IF(AND(H2690="TO CLOSE",P2690=0),-G2690*(M2690-R2689)*IF(E2690="FUTURE",VLOOKUP(MID(I2690,2,2),[1]Futures!$A$2:$B$12,2),1),"")</f>
        <v/>
      </c>
    </row>
    <row r="2691" spans="1:19" x14ac:dyDescent="0.2">
      <c r="A2691">
        <f t="shared" si="128"/>
        <v>879</v>
      </c>
      <c r="B2691" s="3">
        <v>44064</v>
      </c>
      <c r="C2691" s="3" t="str">
        <f t="shared" si="127"/>
        <v>Friday</v>
      </c>
      <c r="D2691" s="2">
        <v>0.42221064814814818</v>
      </c>
      <c r="E2691" t="s">
        <v>14</v>
      </c>
      <c r="F2691" t="s">
        <v>15</v>
      </c>
      <c r="G2691">
        <v>-1</v>
      </c>
      <c r="H2691" t="s">
        <v>16</v>
      </c>
      <c r="I2691" t="s">
        <v>82</v>
      </c>
      <c r="J2691" s="1">
        <v>44124</v>
      </c>
      <c r="L2691" t="s">
        <v>14</v>
      </c>
      <c r="M2691">
        <v>42.13</v>
      </c>
      <c r="N2691">
        <v>42.13</v>
      </c>
      <c r="O2691" t="s">
        <v>21</v>
      </c>
      <c r="P2691">
        <f t="shared" ref="P2691:P2754" si="129">IF(H2691="TO OPEN",IFERROR(P2690+G2691,0+G2691),IFERROR(P2690+G2691,0+G2691))</f>
        <v>2</v>
      </c>
      <c r="Q2691" s="11">
        <f>IF(P2691=0,0,IFERROR(Q2690+G2691*M2691*IF(E2691="FUTURE",VLOOKUP(MID(I2691,2,2),[1]Futures!$A$2:$B$12,2),1),G2691*M2691*IF(E2691="FUTURE",VLOOKUP(MID(I2691,2,2),[1]Futures!$A$2:$B$12,2),1)))</f>
        <v>83900</v>
      </c>
      <c r="R2691" s="12">
        <f>IFERROR(Q2691/P2691/IF(E2691="FUTURE",VLOOKUP(MID(I2691,2,2),[1]Futures!$A$2:$B$12,2),1),"")</f>
        <v>41.95</v>
      </c>
      <c r="S2691" s="13" t="str">
        <f>IF(AND(H2691="TO CLOSE",P2691=0),-G2691*(M2691-R2690)*IF(E2691="FUTURE",VLOOKUP(MID(I2691,2,2),[1]Futures!$A$2:$B$12,2),1),"")</f>
        <v/>
      </c>
    </row>
    <row r="2692" spans="1:19" x14ac:dyDescent="0.2">
      <c r="A2692">
        <f t="shared" si="128"/>
        <v>879</v>
      </c>
      <c r="B2692" s="3">
        <v>44064</v>
      </c>
      <c r="C2692" s="3" t="str">
        <f t="shared" si="127"/>
        <v>Friday</v>
      </c>
      <c r="D2692" s="2">
        <v>0.42267361111111112</v>
      </c>
      <c r="E2692" t="s">
        <v>14</v>
      </c>
      <c r="F2692" t="s">
        <v>15</v>
      </c>
      <c r="G2692">
        <v>-1</v>
      </c>
      <c r="H2692" t="s">
        <v>16</v>
      </c>
      <c r="I2692" t="s">
        <v>82</v>
      </c>
      <c r="J2692" s="1">
        <v>44124</v>
      </c>
      <c r="L2692" t="s">
        <v>14</v>
      </c>
      <c r="M2692">
        <v>42.19</v>
      </c>
      <c r="N2692">
        <v>42.19</v>
      </c>
      <c r="O2692" t="s">
        <v>21</v>
      </c>
      <c r="P2692">
        <f t="shared" si="129"/>
        <v>1</v>
      </c>
      <c r="Q2692" s="11">
        <f>IF(P2692=0,0,IFERROR(Q2691+G2692*M2692*IF(E2692="FUTURE",VLOOKUP(MID(I2692,2,2),[1]Futures!$A$2:$B$12,2),1),G2692*M2692*IF(E2692="FUTURE",VLOOKUP(MID(I2692,2,2),[1]Futures!$A$2:$B$12,2),1)))</f>
        <v>41710</v>
      </c>
      <c r="R2692" s="12">
        <f>IFERROR(Q2692/P2692/IF(E2692="FUTURE",VLOOKUP(MID(I2692,2,2),[1]Futures!$A$2:$B$12,2),1),"")</f>
        <v>41.71</v>
      </c>
      <c r="S2692" s="13" t="str">
        <f>IF(AND(H2692="TO CLOSE",P2692=0),-G2692*(M2692-R2691)*IF(E2692="FUTURE",VLOOKUP(MID(I2692,2,2),[1]Futures!$A$2:$B$12,2),1),"")</f>
        <v/>
      </c>
    </row>
    <row r="2693" spans="1:19" x14ac:dyDescent="0.2">
      <c r="A2693">
        <f t="shared" si="128"/>
        <v>879</v>
      </c>
      <c r="B2693" s="3">
        <v>44064</v>
      </c>
      <c r="C2693" s="3" t="str">
        <f t="shared" si="127"/>
        <v>Friday</v>
      </c>
      <c r="D2693" s="2">
        <v>0.42343749999999997</v>
      </c>
      <c r="E2693" t="s">
        <v>14</v>
      </c>
      <c r="F2693" t="s">
        <v>15</v>
      </c>
      <c r="G2693">
        <v>-1</v>
      </c>
      <c r="H2693" t="s">
        <v>16</v>
      </c>
      <c r="I2693" t="s">
        <v>82</v>
      </c>
      <c r="J2693" s="1">
        <v>44124</v>
      </c>
      <c r="L2693" t="s">
        <v>14</v>
      </c>
      <c r="M2693">
        <v>42.23</v>
      </c>
      <c r="N2693">
        <v>42.23</v>
      </c>
      <c r="O2693" t="s">
        <v>21</v>
      </c>
      <c r="P2693">
        <f t="shared" si="129"/>
        <v>0</v>
      </c>
      <c r="Q2693" s="11">
        <f>IF(P2693=0,0,IFERROR(Q2692+G2693*M2693*IF(E2693="FUTURE",VLOOKUP(MID(I2693,2,2),[1]Futures!$A$2:$B$12,2),1),G2693*M2693*IF(E2693="FUTURE",VLOOKUP(MID(I2693,2,2),[1]Futures!$A$2:$B$12,2),1)))</f>
        <v>0</v>
      </c>
      <c r="R2693" s="12" t="str">
        <f>IFERROR(Q2693/P2693/IF(E2693="FUTURE",VLOOKUP(MID(I2693,2,2),[1]Futures!$A$2:$B$12,2),1),"")</f>
        <v/>
      </c>
      <c r="S2693" s="13">
        <f>IF(AND(H2693="TO CLOSE",P2693=0),-G2693*(M2693-R2692)*IF(E2693="FUTURE",VLOOKUP(MID(I2693,2,2),[1]Futures!$A$2:$B$12,2),1),"")</f>
        <v>519.99999999999602</v>
      </c>
    </row>
    <row r="2694" spans="1:19" x14ac:dyDescent="0.2">
      <c r="A2694">
        <f t="shared" si="128"/>
        <v>880</v>
      </c>
      <c r="B2694" s="3">
        <v>44064</v>
      </c>
      <c r="C2694" s="3" t="str">
        <f t="shared" si="127"/>
        <v>Friday</v>
      </c>
      <c r="D2694" s="2">
        <v>0.47310185185185188</v>
      </c>
      <c r="E2694" t="s">
        <v>14</v>
      </c>
      <c r="F2694" t="s">
        <v>19</v>
      </c>
      <c r="G2694">
        <v>1</v>
      </c>
      <c r="H2694" t="s">
        <v>20</v>
      </c>
      <c r="I2694" t="s">
        <v>82</v>
      </c>
      <c r="J2694" s="1">
        <v>44124</v>
      </c>
      <c r="L2694" t="s">
        <v>14</v>
      </c>
      <c r="M2694">
        <v>41.83</v>
      </c>
      <c r="N2694">
        <v>41.83</v>
      </c>
      <c r="O2694" t="s">
        <v>24</v>
      </c>
      <c r="P2694">
        <f t="shared" si="129"/>
        <v>1</v>
      </c>
      <c r="Q2694" s="11">
        <f>IF(P2694=0,0,IFERROR(Q2693+G2694*M2694*IF(E2694="FUTURE",VLOOKUP(MID(I2694,2,2),[1]Futures!$A$2:$B$12,2),1),G2694*M2694*IF(E2694="FUTURE",VLOOKUP(MID(I2694,2,2),[1]Futures!$A$2:$B$12,2),1)))</f>
        <v>41830</v>
      </c>
      <c r="R2694" s="12">
        <f>IFERROR(Q2694/P2694/IF(E2694="FUTURE",VLOOKUP(MID(I2694,2,2),[1]Futures!$A$2:$B$12,2),1),"")</f>
        <v>41.83</v>
      </c>
      <c r="S2694" s="13" t="str">
        <f>IF(AND(H2694="TO CLOSE",P2694=0),-G2694*(M2694-R2693)*IF(E2694="FUTURE",VLOOKUP(MID(I2694,2,2),[1]Futures!$A$2:$B$12,2),1),"")</f>
        <v/>
      </c>
    </row>
    <row r="2695" spans="1:19" x14ac:dyDescent="0.2">
      <c r="A2695">
        <f t="shared" si="128"/>
        <v>880</v>
      </c>
      <c r="B2695" s="3">
        <v>44064</v>
      </c>
      <c r="C2695" s="3" t="str">
        <f t="shared" si="127"/>
        <v>Friday</v>
      </c>
      <c r="D2695" s="2">
        <v>0.47484953703703708</v>
      </c>
      <c r="E2695" t="s">
        <v>14</v>
      </c>
      <c r="F2695" t="s">
        <v>15</v>
      </c>
      <c r="G2695">
        <v>-1</v>
      </c>
      <c r="H2695" t="s">
        <v>16</v>
      </c>
      <c r="I2695" t="s">
        <v>82</v>
      </c>
      <c r="J2695" s="1">
        <v>44124</v>
      </c>
      <c r="L2695" t="s">
        <v>14</v>
      </c>
      <c r="M2695">
        <v>41.88</v>
      </c>
      <c r="N2695">
        <v>41.88</v>
      </c>
      <c r="O2695" t="s">
        <v>21</v>
      </c>
      <c r="P2695">
        <f t="shared" si="129"/>
        <v>0</v>
      </c>
      <c r="Q2695" s="11">
        <f>IF(P2695=0,0,IFERROR(Q2694+G2695*M2695*IF(E2695="FUTURE",VLOOKUP(MID(I2695,2,2),[1]Futures!$A$2:$B$12,2),1),G2695*M2695*IF(E2695="FUTURE",VLOOKUP(MID(I2695,2,2),[1]Futures!$A$2:$B$12,2),1)))</f>
        <v>0</v>
      </c>
      <c r="R2695" s="12" t="str">
        <f>IFERROR(Q2695/P2695/IF(E2695="FUTURE",VLOOKUP(MID(I2695,2,2),[1]Futures!$A$2:$B$12,2),1),"")</f>
        <v/>
      </c>
      <c r="S2695" s="13">
        <f>IF(AND(H2695="TO CLOSE",P2695=0),-G2695*(M2695-R2694)*IF(E2695="FUTURE",VLOOKUP(MID(I2695,2,2),[1]Futures!$A$2:$B$12,2),1),"")</f>
        <v>50.000000000004263</v>
      </c>
    </row>
    <row r="2696" spans="1:19" x14ac:dyDescent="0.2">
      <c r="A2696">
        <f t="shared" si="128"/>
        <v>881</v>
      </c>
      <c r="B2696" s="3">
        <v>44064</v>
      </c>
      <c r="C2696" s="3" t="str">
        <f t="shared" si="127"/>
        <v>Friday</v>
      </c>
      <c r="D2696" s="2">
        <v>0.49228009259259259</v>
      </c>
      <c r="E2696" t="s">
        <v>14</v>
      </c>
      <c r="F2696" t="s">
        <v>19</v>
      </c>
      <c r="G2696">
        <v>1</v>
      </c>
      <c r="H2696" t="s">
        <v>20</v>
      </c>
      <c r="I2696" t="s">
        <v>82</v>
      </c>
      <c r="J2696" s="1">
        <v>44124</v>
      </c>
      <c r="L2696" t="s">
        <v>14</v>
      </c>
      <c r="M2696">
        <v>41.64</v>
      </c>
      <c r="N2696">
        <v>41.64</v>
      </c>
      <c r="O2696" t="s">
        <v>24</v>
      </c>
      <c r="P2696">
        <f t="shared" si="129"/>
        <v>1</v>
      </c>
      <c r="Q2696" s="11">
        <f>IF(P2696=0,0,IFERROR(Q2695+G2696*M2696*IF(E2696="FUTURE",VLOOKUP(MID(I2696,2,2),[1]Futures!$A$2:$B$12,2),1),G2696*M2696*IF(E2696="FUTURE",VLOOKUP(MID(I2696,2,2),[1]Futures!$A$2:$B$12,2),1)))</f>
        <v>41640</v>
      </c>
      <c r="R2696" s="12">
        <f>IFERROR(Q2696/P2696/IF(E2696="FUTURE",VLOOKUP(MID(I2696,2,2),[1]Futures!$A$2:$B$12,2),1),"")</f>
        <v>41.64</v>
      </c>
      <c r="S2696" s="13" t="str">
        <f>IF(AND(H2696="TO CLOSE",P2696=0),-G2696*(M2696-R2695)*IF(E2696="FUTURE",VLOOKUP(MID(I2696,2,2),[1]Futures!$A$2:$B$12,2),1),"")</f>
        <v/>
      </c>
    </row>
    <row r="2697" spans="1:19" x14ac:dyDescent="0.2">
      <c r="A2697">
        <f t="shared" si="128"/>
        <v>881</v>
      </c>
      <c r="B2697" s="3">
        <v>44064</v>
      </c>
      <c r="C2697" s="3" t="str">
        <f t="shared" si="127"/>
        <v>Friday</v>
      </c>
      <c r="D2697" s="2">
        <v>0.50008101851851849</v>
      </c>
      <c r="E2697" t="s">
        <v>14</v>
      </c>
      <c r="F2697" t="s">
        <v>19</v>
      </c>
      <c r="G2697">
        <v>1</v>
      </c>
      <c r="H2697" t="s">
        <v>20</v>
      </c>
      <c r="I2697" t="s">
        <v>82</v>
      </c>
      <c r="J2697" s="1">
        <v>44124</v>
      </c>
      <c r="L2697" t="s">
        <v>14</v>
      </c>
      <c r="M2697">
        <v>41.53</v>
      </c>
      <c r="N2697">
        <v>41.53</v>
      </c>
      <c r="O2697" t="s">
        <v>24</v>
      </c>
      <c r="P2697">
        <f t="shared" si="129"/>
        <v>2</v>
      </c>
      <c r="Q2697" s="11">
        <f>IF(P2697=0,0,IFERROR(Q2696+G2697*M2697*IF(E2697="FUTURE",VLOOKUP(MID(I2697,2,2),[1]Futures!$A$2:$B$12,2),1),G2697*M2697*IF(E2697="FUTURE",VLOOKUP(MID(I2697,2,2),[1]Futures!$A$2:$B$12,2),1)))</f>
        <v>83170</v>
      </c>
      <c r="R2697" s="12">
        <f>IFERROR(Q2697/P2697/IF(E2697="FUTURE",VLOOKUP(MID(I2697,2,2),[1]Futures!$A$2:$B$12,2),1),"")</f>
        <v>41.585000000000001</v>
      </c>
      <c r="S2697" s="13" t="str">
        <f>IF(AND(H2697="TO CLOSE",P2697=0),-G2697*(M2697-R2696)*IF(E2697="FUTURE",VLOOKUP(MID(I2697,2,2),[1]Futures!$A$2:$B$12,2),1),"")</f>
        <v/>
      </c>
    </row>
    <row r="2698" spans="1:19" x14ac:dyDescent="0.2">
      <c r="A2698">
        <f t="shared" si="128"/>
        <v>881</v>
      </c>
      <c r="B2698" s="3">
        <v>44064</v>
      </c>
      <c r="C2698" s="3" t="str">
        <f t="shared" si="127"/>
        <v>Friday</v>
      </c>
      <c r="D2698" s="2">
        <v>0.52593750000000006</v>
      </c>
      <c r="E2698" t="s">
        <v>14</v>
      </c>
      <c r="F2698" t="s">
        <v>15</v>
      </c>
      <c r="G2698">
        <v>-1</v>
      </c>
      <c r="H2698" t="s">
        <v>16</v>
      </c>
      <c r="I2698" t="s">
        <v>82</v>
      </c>
      <c r="J2698" s="1">
        <v>44124</v>
      </c>
      <c r="L2698" t="s">
        <v>14</v>
      </c>
      <c r="M2698">
        <v>41.6</v>
      </c>
      <c r="N2698">
        <v>41.6</v>
      </c>
      <c r="O2698" t="s">
        <v>21</v>
      </c>
      <c r="P2698">
        <f t="shared" si="129"/>
        <v>1</v>
      </c>
      <c r="Q2698" s="11">
        <f>IF(P2698=0,0,IFERROR(Q2697+G2698*M2698*IF(E2698="FUTURE",VLOOKUP(MID(I2698,2,2),[1]Futures!$A$2:$B$12,2),1),G2698*M2698*IF(E2698="FUTURE",VLOOKUP(MID(I2698,2,2),[1]Futures!$A$2:$B$12,2),1)))</f>
        <v>41570</v>
      </c>
      <c r="R2698" s="12">
        <f>IFERROR(Q2698/P2698/IF(E2698="FUTURE",VLOOKUP(MID(I2698,2,2),[1]Futures!$A$2:$B$12,2),1),"")</f>
        <v>41.57</v>
      </c>
      <c r="S2698" s="13" t="str">
        <f>IF(AND(H2698="TO CLOSE",P2698=0),-G2698*(M2698-R2697)*IF(E2698="FUTURE",VLOOKUP(MID(I2698,2,2),[1]Futures!$A$2:$B$12,2),1),"")</f>
        <v/>
      </c>
    </row>
    <row r="2699" spans="1:19" x14ac:dyDescent="0.2">
      <c r="A2699">
        <f t="shared" si="128"/>
        <v>881</v>
      </c>
      <c r="B2699" s="3">
        <v>44064</v>
      </c>
      <c r="C2699" s="3" t="str">
        <f t="shared" si="127"/>
        <v>Friday</v>
      </c>
      <c r="D2699" s="2">
        <v>0.52760416666666665</v>
      </c>
      <c r="E2699" t="s">
        <v>14</v>
      </c>
      <c r="F2699" t="s">
        <v>15</v>
      </c>
      <c r="G2699">
        <v>-1</v>
      </c>
      <c r="H2699" t="s">
        <v>16</v>
      </c>
      <c r="I2699" t="s">
        <v>82</v>
      </c>
      <c r="J2699" s="1">
        <v>44124</v>
      </c>
      <c r="L2699" t="s">
        <v>14</v>
      </c>
      <c r="M2699">
        <v>41.59</v>
      </c>
      <c r="N2699">
        <v>41.59</v>
      </c>
      <c r="O2699" t="s">
        <v>21</v>
      </c>
      <c r="P2699">
        <f t="shared" si="129"/>
        <v>0</v>
      </c>
      <c r="Q2699" s="11">
        <f>IF(P2699=0,0,IFERROR(Q2698+G2699*M2699*IF(E2699="FUTURE",VLOOKUP(MID(I2699,2,2),[1]Futures!$A$2:$B$12,2),1),G2699*M2699*IF(E2699="FUTURE",VLOOKUP(MID(I2699,2,2),[1]Futures!$A$2:$B$12,2),1)))</f>
        <v>0</v>
      </c>
      <c r="R2699" s="12" t="str">
        <f>IFERROR(Q2699/P2699/IF(E2699="FUTURE",VLOOKUP(MID(I2699,2,2),[1]Futures!$A$2:$B$12,2),1),"")</f>
        <v/>
      </c>
      <c r="S2699" s="13">
        <f>IF(AND(H2699="TO CLOSE",P2699=0),-G2699*(M2699-R2698)*IF(E2699="FUTURE",VLOOKUP(MID(I2699,2,2),[1]Futures!$A$2:$B$12,2),1),"")</f>
        <v>20.000000000003126</v>
      </c>
    </row>
    <row r="2700" spans="1:19" x14ac:dyDescent="0.2">
      <c r="A2700">
        <f t="shared" si="128"/>
        <v>882</v>
      </c>
      <c r="B2700" s="3">
        <v>44064</v>
      </c>
      <c r="C2700" s="3" t="str">
        <f t="shared" si="127"/>
        <v>Friday</v>
      </c>
      <c r="D2700" s="2">
        <v>0.42656250000000001</v>
      </c>
      <c r="E2700" t="s">
        <v>14</v>
      </c>
      <c r="F2700" t="s">
        <v>19</v>
      </c>
      <c r="G2700">
        <v>1</v>
      </c>
      <c r="H2700" t="s">
        <v>20</v>
      </c>
      <c r="I2700" t="s">
        <v>79</v>
      </c>
      <c r="J2700" s="1">
        <v>44094</v>
      </c>
      <c r="L2700" t="s">
        <v>14</v>
      </c>
      <c r="M2700">
        <v>3380.5</v>
      </c>
      <c r="N2700">
        <v>3380.5</v>
      </c>
      <c r="O2700" t="s">
        <v>24</v>
      </c>
      <c r="P2700">
        <f t="shared" si="129"/>
        <v>1</v>
      </c>
      <c r="Q2700" s="11">
        <f>IF(P2700=0,0,IFERROR(Q2699+G2700*M2700*IF(E2700="FUTURE",VLOOKUP(MID(I2700,2,2),[1]Futures!$A$2:$B$12,2),1),G2700*M2700*IF(E2700="FUTURE",VLOOKUP(MID(I2700,2,2),[1]Futures!$A$2:$B$12,2),1)))</f>
        <v>169025</v>
      </c>
      <c r="R2700" s="12">
        <f>IFERROR(Q2700/P2700/IF(E2700="FUTURE",VLOOKUP(MID(I2700,2,2),[1]Futures!$A$2:$B$12,2),1),"")</f>
        <v>3380.5</v>
      </c>
      <c r="S2700" s="13" t="str">
        <f>IF(AND(H2700="TO CLOSE",P2700=0),-G2700*(M2700-R2699)*IF(E2700="FUTURE",VLOOKUP(MID(I2700,2,2),[1]Futures!$A$2:$B$12,2),1),"")</f>
        <v/>
      </c>
    </row>
    <row r="2701" spans="1:19" x14ac:dyDescent="0.2">
      <c r="A2701">
        <f t="shared" si="128"/>
        <v>882</v>
      </c>
      <c r="B2701" s="3">
        <v>44064</v>
      </c>
      <c r="C2701" s="3" t="str">
        <f t="shared" si="127"/>
        <v>Friday</v>
      </c>
      <c r="D2701" s="2">
        <v>0.42748842592592595</v>
      </c>
      <c r="E2701" t="s">
        <v>14</v>
      </c>
      <c r="F2701" t="s">
        <v>15</v>
      </c>
      <c r="G2701">
        <v>-1</v>
      </c>
      <c r="H2701" t="s">
        <v>16</v>
      </c>
      <c r="I2701" t="s">
        <v>79</v>
      </c>
      <c r="J2701" s="1">
        <v>44094</v>
      </c>
      <c r="L2701" t="s">
        <v>14</v>
      </c>
      <c r="M2701">
        <v>3380.75</v>
      </c>
      <c r="N2701">
        <v>3380.75</v>
      </c>
      <c r="O2701" t="s">
        <v>21</v>
      </c>
      <c r="P2701">
        <f t="shared" si="129"/>
        <v>0</v>
      </c>
      <c r="Q2701" s="11">
        <f>IF(P2701=0,0,IFERROR(Q2700+G2701*M2701*IF(E2701="FUTURE",VLOOKUP(MID(I2701,2,2),[1]Futures!$A$2:$B$12,2),1),G2701*M2701*IF(E2701="FUTURE",VLOOKUP(MID(I2701,2,2),[1]Futures!$A$2:$B$12,2),1)))</f>
        <v>0</v>
      </c>
      <c r="R2701" s="12" t="str">
        <f>IFERROR(Q2701/P2701/IF(E2701="FUTURE",VLOOKUP(MID(I2701,2,2),[1]Futures!$A$2:$B$12,2),1),"")</f>
        <v/>
      </c>
      <c r="S2701" s="13">
        <f>IF(AND(H2701="TO CLOSE",P2701=0),-G2701*(M2701-R2700)*IF(E2701="FUTURE",VLOOKUP(MID(I2701,2,2),[1]Futures!$A$2:$B$12,2),1),"")</f>
        <v>12.5</v>
      </c>
    </row>
    <row r="2702" spans="1:19" x14ac:dyDescent="0.2">
      <c r="A2702">
        <f t="shared" si="128"/>
        <v>883</v>
      </c>
      <c r="B2702" s="3">
        <v>44064</v>
      </c>
      <c r="C2702" s="3" t="str">
        <f t="shared" si="127"/>
        <v>Friday</v>
      </c>
      <c r="D2702" s="2">
        <v>0.44792824074074072</v>
      </c>
      <c r="E2702" t="s">
        <v>14</v>
      </c>
      <c r="F2702" t="s">
        <v>15</v>
      </c>
      <c r="G2702">
        <v>-1</v>
      </c>
      <c r="H2702" t="s">
        <v>20</v>
      </c>
      <c r="I2702" t="s">
        <v>79</v>
      </c>
      <c r="J2702" s="1">
        <v>44094</v>
      </c>
      <c r="L2702" t="s">
        <v>14</v>
      </c>
      <c r="M2702">
        <v>3385</v>
      </c>
      <c r="N2702">
        <v>3385</v>
      </c>
      <c r="O2702" t="s">
        <v>21</v>
      </c>
      <c r="P2702">
        <f t="shared" si="129"/>
        <v>-1</v>
      </c>
      <c r="Q2702" s="11">
        <f>IF(P2702=0,0,IFERROR(Q2701+G2702*M2702*IF(E2702="FUTURE",VLOOKUP(MID(I2702,2,2),[1]Futures!$A$2:$B$12,2),1),G2702*M2702*IF(E2702="FUTURE",VLOOKUP(MID(I2702,2,2),[1]Futures!$A$2:$B$12,2),1)))</f>
        <v>-169250</v>
      </c>
      <c r="R2702" s="12">
        <f>IFERROR(Q2702/P2702/IF(E2702="FUTURE",VLOOKUP(MID(I2702,2,2),[1]Futures!$A$2:$B$12,2),1),"")</f>
        <v>3385</v>
      </c>
      <c r="S2702" s="13" t="str">
        <f>IF(AND(H2702="TO CLOSE",P2702=0),-G2702*(M2702-R2701)*IF(E2702="FUTURE",VLOOKUP(MID(I2702,2,2),[1]Futures!$A$2:$B$12,2),1),"")</f>
        <v/>
      </c>
    </row>
    <row r="2703" spans="1:19" x14ac:dyDescent="0.2">
      <c r="A2703">
        <f t="shared" si="128"/>
        <v>883</v>
      </c>
      <c r="B2703" s="3">
        <v>44064</v>
      </c>
      <c r="C2703" s="3" t="str">
        <f t="shared" si="127"/>
        <v>Friday</v>
      </c>
      <c r="D2703" s="2">
        <v>0.450162037037037</v>
      </c>
      <c r="E2703" t="s">
        <v>14</v>
      </c>
      <c r="F2703" t="s">
        <v>19</v>
      </c>
      <c r="G2703">
        <v>1</v>
      </c>
      <c r="H2703" t="s">
        <v>16</v>
      </c>
      <c r="I2703" t="s">
        <v>79</v>
      </c>
      <c r="J2703" s="1">
        <v>44094</v>
      </c>
      <c r="L2703" t="s">
        <v>14</v>
      </c>
      <c r="M2703">
        <v>3384</v>
      </c>
      <c r="N2703">
        <v>3384</v>
      </c>
      <c r="O2703" t="s">
        <v>21</v>
      </c>
      <c r="P2703">
        <f t="shared" si="129"/>
        <v>0</v>
      </c>
      <c r="Q2703" s="11">
        <f>IF(P2703=0,0,IFERROR(Q2702+G2703*M2703*IF(E2703="FUTURE",VLOOKUP(MID(I2703,2,2),[1]Futures!$A$2:$B$12,2),1),G2703*M2703*IF(E2703="FUTURE",VLOOKUP(MID(I2703,2,2),[1]Futures!$A$2:$B$12,2),1)))</f>
        <v>0</v>
      </c>
      <c r="R2703" s="12" t="str">
        <f>IFERROR(Q2703/P2703/IF(E2703="FUTURE",VLOOKUP(MID(I2703,2,2),[1]Futures!$A$2:$B$12,2),1),"")</f>
        <v/>
      </c>
      <c r="S2703" s="13">
        <f>IF(AND(H2703="TO CLOSE",P2703=0),-G2703*(M2703-R2702)*IF(E2703="FUTURE",VLOOKUP(MID(I2703,2,2),[1]Futures!$A$2:$B$12,2),1),"")</f>
        <v>50</v>
      </c>
    </row>
    <row r="2704" spans="1:19" x14ac:dyDescent="0.2">
      <c r="A2704">
        <f t="shared" si="128"/>
        <v>884</v>
      </c>
      <c r="B2704" s="3">
        <v>44064</v>
      </c>
      <c r="C2704" s="3" t="str">
        <f t="shared" si="127"/>
        <v>Friday</v>
      </c>
      <c r="D2704" s="2">
        <v>0.47754629629629625</v>
      </c>
      <c r="E2704" t="s">
        <v>22</v>
      </c>
      <c r="F2704" t="s">
        <v>19</v>
      </c>
      <c r="G2704">
        <v>400</v>
      </c>
      <c r="H2704" t="s">
        <v>20</v>
      </c>
      <c r="I2704" t="s">
        <v>23</v>
      </c>
      <c r="L2704" t="s">
        <v>22</v>
      </c>
      <c r="M2704">
        <v>24.809899999999999</v>
      </c>
      <c r="N2704">
        <v>24.809899999999999</v>
      </c>
      <c r="O2704" t="s">
        <v>24</v>
      </c>
      <c r="P2704">
        <f t="shared" si="129"/>
        <v>400</v>
      </c>
      <c r="Q2704" s="11">
        <f>IF(P2704=0,0,IFERROR(Q2703+G2704*M2704*IF(E2704="FUTURE",VLOOKUP(MID(I2704,2,2),[1]Futures!$A$2:$B$12,2),1),G2704*M2704*IF(E2704="FUTURE",VLOOKUP(MID(I2704,2,2),[1]Futures!$A$2:$B$12,2),1)))</f>
        <v>9923.9599999999991</v>
      </c>
      <c r="R2704" s="12">
        <f>IFERROR(Q2704/P2704/IF(E2704="FUTURE",VLOOKUP(MID(I2704,2,2),[1]Futures!$A$2:$B$12,2),1),"")</f>
        <v>24.809899999999999</v>
      </c>
      <c r="S2704" s="13" t="str">
        <f>IF(AND(H2704="TO CLOSE",P2704=0),-G2704*(M2704-R2703)*IF(E2704="FUTURE",VLOOKUP(MID(I2704,2,2),[1]Futures!$A$2:$B$12,2),1),"")</f>
        <v/>
      </c>
    </row>
    <row r="2705" spans="1:19" x14ac:dyDescent="0.2">
      <c r="A2705">
        <f t="shared" si="128"/>
        <v>884</v>
      </c>
      <c r="B2705" s="3">
        <v>44064</v>
      </c>
      <c r="C2705" s="3" t="str">
        <f t="shared" si="127"/>
        <v>Friday</v>
      </c>
      <c r="D2705" s="2">
        <v>0.49065972222222221</v>
      </c>
      <c r="E2705" t="s">
        <v>22</v>
      </c>
      <c r="F2705" t="s">
        <v>19</v>
      </c>
      <c r="G2705">
        <v>400</v>
      </c>
      <c r="H2705" t="s">
        <v>20</v>
      </c>
      <c r="I2705" t="s">
        <v>23</v>
      </c>
      <c r="L2705" t="s">
        <v>22</v>
      </c>
      <c r="M2705">
        <v>24.905000000000001</v>
      </c>
      <c r="N2705">
        <v>24.905000000000001</v>
      </c>
      <c r="O2705" t="s">
        <v>21</v>
      </c>
      <c r="P2705">
        <f t="shared" si="129"/>
        <v>800</v>
      </c>
      <c r="Q2705" s="11">
        <f>IF(P2705=0,0,IFERROR(Q2704+G2705*M2705*IF(E2705="FUTURE",VLOOKUP(MID(I2705,2,2),[1]Futures!$A$2:$B$12,2),1),G2705*M2705*IF(E2705="FUTURE",VLOOKUP(MID(I2705,2,2),[1]Futures!$A$2:$B$12,2),1)))</f>
        <v>19885.96</v>
      </c>
      <c r="R2705" s="12">
        <f>IFERROR(Q2705/P2705/IF(E2705="FUTURE",VLOOKUP(MID(I2705,2,2),[1]Futures!$A$2:$B$12,2),1),"")</f>
        <v>24.85745</v>
      </c>
      <c r="S2705" s="13" t="str">
        <f>IF(AND(H2705="TO CLOSE",P2705=0),-G2705*(M2705-R2704)*IF(E2705="FUTURE",VLOOKUP(MID(I2705,2,2),[1]Futures!$A$2:$B$12,2),1),"")</f>
        <v/>
      </c>
    </row>
    <row r="2706" spans="1:19" x14ac:dyDescent="0.2">
      <c r="A2706">
        <f t="shared" si="128"/>
        <v>884</v>
      </c>
      <c r="B2706" s="3">
        <v>44064</v>
      </c>
      <c r="C2706" s="3" t="str">
        <f t="shared" si="127"/>
        <v>Friday</v>
      </c>
      <c r="D2706" s="2">
        <v>0.49151620370370369</v>
      </c>
      <c r="E2706" t="s">
        <v>22</v>
      </c>
      <c r="F2706" t="s">
        <v>15</v>
      </c>
      <c r="G2706">
        <v>-400</v>
      </c>
      <c r="H2706" t="s">
        <v>16</v>
      </c>
      <c r="I2706" t="s">
        <v>23</v>
      </c>
      <c r="L2706" t="s">
        <v>22</v>
      </c>
      <c r="M2706">
        <v>24.912600000000001</v>
      </c>
      <c r="N2706">
        <v>24.912600000000001</v>
      </c>
      <c r="O2706" t="s">
        <v>24</v>
      </c>
      <c r="P2706">
        <f t="shared" si="129"/>
        <v>400</v>
      </c>
      <c r="Q2706" s="11">
        <f>IF(P2706=0,0,IFERROR(Q2705+G2706*M2706*IF(E2706="FUTURE",VLOOKUP(MID(I2706,2,2),[1]Futures!$A$2:$B$12,2),1),G2706*M2706*IF(E2706="FUTURE",VLOOKUP(MID(I2706,2,2),[1]Futures!$A$2:$B$12,2),1)))</f>
        <v>9920.9199999999983</v>
      </c>
      <c r="R2706" s="12">
        <f>IFERROR(Q2706/P2706/IF(E2706="FUTURE",VLOOKUP(MID(I2706,2,2),[1]Futures!$A$2:$B$12,2),1),"")</f>
        <v>24.802299999999995</v>
      </c>
      <c r="S2706" s="13" t="str">
        <f>IF(AND(H2706="TO CLOSE",P2706=0),-G2706*(M2706-R2705)*IF(E2706="FUTURE",VLOOKUP(MID(I2706,2,2),[1]Futures!$A$2:$B$12,2),1),"")</f>
        <v/>
      </c>
    </row>
    <row r="2707" spans="1:19" x14ac:dyDescent="0.2">
      <c r="A2707">
        <f t="shared" si="128"/>
        <v>884</v>
      </c>
      <c r="B2707" s="3">
        <v>44064</v>
      </c>
      <c r="C2707" s="3" t="str">
        <f t="shared" si="127"/>
        <v>Friday</v>
      </c>
      <c r="D2707" s="2">
        <v>0.49204861111111109</v>
      </c>
      <c r="E2707" t="s">
        <v>22</v>
      </c>
      <c r="F2707" t="s">
        <v>15</v>
      </c>
      <c r="G2707">
        <v>-400</v>
      </c>
      <c r="H2707" t="s">
        <v>16</v>
      </c>
      <c r="I2707" t="s">
        <v>23</v>
      </c>
      <c r="L2707" t="s">
        <v>22</v>
      </c>
      <c r="M2707">
        <v>24.895</v>
      </c>
      <c r="N2707">
        <v>24.895</v>
      </c>
      <c r="O2707" t="s">
        <v>24</v>
      </c>
      <c r="P2707">
        <f t="shared" si="129"/>
        <v>0</v>
      </c>
      <c r="Q2707" s="11">
        <f>IF(P2707=0,0,IFERROR(Q2706+G2707*M2707*IF(E2707="FUTURE",VLOOKUP(MID(I2707,2,2),[1]Futures!$A$2:$B$12,2),1),G2707*M2707*IF(E2707="FUTURE",VLOOKUP(MID(I2707,2,2),[1]Futures!$A$2:$B$12,2),1)))</f>
        <v>0</v>
      </c>
      <c r="R2707" s="12" t="str">
        <f>IFERROR(Q2707/P2707/IF(E2707="FUTURE",VLOOKUP(MID(I2707,2,2),[1]Futures!$A$2:$B$12,2),1),"")</f>
        <v/>
      </c>
      <c r="S2707" s="13">
        <f>IF(AND(H2707="TO CLOSE",P2707=0),-G2707*(M2707-R2706)*IF(E2707="FUTURE",VLOOKUP(MID(I2707,2,2),[1]Futures!$A$2:$B$12,2),1),"")</f>
        <v>37.080000000001689</v>
      </c>
    </row>
    <row r="2708" spans="1:19" x14ac:dyDescent="0.2">
      <c r="A2708">
        <f t="shared" si="128"/>
        <v>885</v>
      </c>
      <c r="B2708" s="3">
        <v>44064</v>
      </c>
      <c r="C2708" s="3" t="str">
        <f t="shared" si="127"/>
        <v>Friday</v>
      </c>
      <c r="D2708" s="2">
        <v>0.53527777777777774</v>
      </c>
      <c r="E2708" t="s">
        <v>22</v>
      </c>
      <c r="F2708" t="s">
        <v>19</v>
      </c>
      <c r="G2708">
        <v>400</v>
      </c>
      <c r="H2708" t="s">
        <v>20</v>
      </c>
      <c r="I2708" t="s">
        <v>23</v>
      </c>
      <c r="L2708" t="s">
        <v>22</v>
      </c>
      <c r="M2708">
        <v>24.886299999999999</v>
      </c>
      <c r="N2708">
        <v>24.886299999999999</v>
      </c>
      <c r="O2708" t="s">
        <v>24</v>
      </c>
      <c r="P2708">
        <f t="shared" si="129"/>
        <v>400</v>
      </c>
      <c r="Q2708" s="11">
        <f>IF(P2708=0,0,IFERROR(Q2707+G2708*M2708*IF(E2708="FUTURE",VLOOKUP(MID(I2708,2,2),[1]Futures!$A$2:$B$12,2),1),G2708*M2708*IF(E2708="FUTURE",VLOOKUP(MID(I2708,2,2),[1]Futures!$A$2:$B$12,2),1)))</f>
        <v>9954.5199999999986</v>
      </c>
      <c r="R2708" s="12">
        <f>IFERROR(Q2708/P2708/IF(E2708="FUTURE",VLOOKUP(MID(I2708,2,2),[1]Futures!$A$2:$B$12,2),1),"")</f>
        <v>24.886299999999995</v>
      </c>
      <c r="S2708" s="13" t="str">
        <f>IF(AND(H2708="TO CLOSE",P2708=0),-G2708*(M2708-R2707)*IF(E2708="FUTURE",VLOOKUP(MID(I2708,2,2),[1]Futures!$A$2:$B$12,2),1),"")</f>
        <v/>
      </c>
    </row>
    <row r="2709" spans="1:19" x14ac:dyDescent="0.2">
      <c r="A2709">
        <f t="shared" si="128"/>
        <v>885</v>
      </c>
      <c r="B2709" s="3">
        <v>44064</v>
      </c>
      <c r="C2709" s="3" t="str">
        <f t="shared" si="127"/>
        <v>Friday</v>
      </c>
      <c r="D2709" s="2">
        <v>0.54475694444444445</v>
      </c>
      <c r="E2709" t="s">
        <v>22</v>
      </c>
      <c r="F2709" t="s">
        <v>15</v>
      </c>
      <c r="G2709">
        <v>-400</v>
      </c>
      <c r="H2709" t="s">
        <v>16</v>
      </c>
      <c r="I2709" t="s">
        <v>23</v>
      </c>
      <c r="L2709" t="s">
        <v>22</v>
      </c>
      <c r="M2709">
        <v>24.922599999999999</v>
      </c>
      <c r="N2709">
        <v>24.922599999999999</v>
      </c>
      <c r="O2709" t="s">
        <v>24</v>
      </c>
      <c r="P2709">
        <f t="shared" si="129"/>
        <v>0</v>
      </c>
      <c r="Q2709" s="11">
        <f>IF(P2709=0,0,IFERROR(Q2708+G2709*M2709*IF(E2709="FUTURE",VLOOKUP(MID(I2709,2,2),[1]Futures!$A$2:$B$12,2),1),G2709*M2709*IF(E2709="FUTURE",VLOOKUP(MID(I2709,2,2),[1]Futures!$A$2:$B$12,2),1)))</f>
        <v>0</v>
      </c>
      <c r="R2709" s="12" t="str">
        <f>IFERROR(Q2709/P2709/IF(E2709="FUTURE",VLOOKUP(MID(I2709,2,2),[1]Futures!$A$2:$B$12,2),1),"")</f>
        <v/>
      </c>
      <c r="S2709" s="13">
        <f>IF(AND(H2709="TO CLOSE",P2709=0),-G2709*(M2709-R2708)*IF(E2709="FUTURE",VLOOKUP(MID(I2709,2,2),[1]Futures!$A$2:$B$12,2),1),"")</f>
        <v>14.520000000001687</v>
      </c>
    </row>
    <row r="2710" spans="1:19" x14ac:dyDescent="0.2">
      <c r="A2710">
        <f t="shared" si="128"/>
        <v>886</v>
      </c>
      <c r="B2710" s="3">
        <v>44067</v>
      </c>
      <c r="C2710" s="3" t="str">
        <f t="shared" si="127"/>
        <v>Monday</v>
      </c>
      <c r="D2710" s="2">
        <v>0.39605324074074072</v>
      </c>
      <c r="E2710" t="s">
        <v>14</v>
      </c>
      <c r="F2710" t="s">
        <v>19</v>
      </c>
      <c r="G2710">
        <v>1</v>
      </c>
      <c r="H2710" t="s">
        <v>20</v>
      </c>
      <c r="I2710" t="s">
        <v>82</v>
      </c>
      <c r="J2710" s="1">
        <v>44124</v>
      </c>
      <c r="L2710" t="s">
        <v>14</v>
      </c>
      <c r="M2710">
        <v>42.49</v>
      </c>
      <c r="N2710">
        <v>42.49</v>
      </c>
      <c r="O2710" t="s">
        <v>24</v>
      </c>
      <c r="P2710">
        <f t="shared" si="129"/>
        <v>1</v>
      </c>
      <c r="Q2710" s="11">
        <f>IF(P2710=0,0,IFERROR(Q2709+G2710*M2710*IF(E2710="FUTURE",VLOOKUP(MID(I2710,2,2),[1]Futures!$A$2:$B$12,2),1),G2710*M2710*IF(E2710="FUTURE",VLOOKUP(MID(I2710,2,2),[1]Futures!$A$2:$B$12,2),1)))</f>
        <v>42490</v>
      </c>
      <c r="R2710" s="12">
        <f>IFERROR(Q2710/P2710/IF(E2710="FUTURE",VLOOKUP(MID(I2710,2,2),[1]Futures!$A$2:$B$12,2),1),"")</f>
        <v>42.49</v>
      </c>
      <c r="S2710" s="13" t="str">
        <f>IF(AND(H2710="TO CLOSE",P2710=0),-G2710*(M2710-R2709)*IF(E2710="FUTURE",VLOOKUP(MID(I2710,2,2),[1]Futures!$A$2:$B$12,2),1),"")</f>
        <v/>
      </c>
    </row>
    <row r="2711" spans="1:19" x14ac:dyDescent="0.2">
      <c r="A2711">
        <f t="shared" si="128"/>
        <v>886</v>
      </c>
      <c r="B2711" s="3">
        <v>44067</v>
      </c>
      <c r="C2711" s="3" t="str">
        <f t="shared" si="127"/>
        <v>Monday</v>
      </c>
      <c r="D2711" s="2">
        <v>0.3992708333333333</v>
      </c>
      <c r="E2711" t="s">
        <v>14</v>
      </c>
      <c r="F2711" t="s">
        <v>19</v>
      </c>
      <c r="G2711">
        <v>1</v>
      </c>
      <c r="H2711" t="s">
        <v>20</v>
      </c>
      <c r="I2711" t="s">
        <v>82</v>
      </c>
      <c r="J2711" s="1">
        <v>44124</v>
      </c>
      <c r="L2711" t="s">
        <v>14</v>
      </c>
      <c r="M2711">
        <v>42.47</v>
      </c>
      <c r="N2711">
        <v>42.47</v>
      </c>
      <c r="O2711" t="s">
        <v>21</v>
      </c>
      <c r="P2711">
        <f t="shared" si="129"/>
        <v>2</v>
      </c>
      <c r="Q2711" s="11">
        <f>IF(P2711=0,0,IFERROR(Q2710+G2711*M2711*IF(E2711="FUTURE",VLOOKUP(MID(I2711,2,2),[1]Futures!$A$2:$B$12,2),1),G2711*M2711*IF(E2711="FUTURE",VLOOKUP(MID(I2711,2,2),[1]Futures!$A$2:$B$12,2),1)))</f>
        <v>84960</v>
      </c>
      <c r="R2711" s="12">
        <f>IFERROR(Q2711/P2711/IF(E2711="FUTURE",VLOOKUP(MID(I2711,2,2),[1]Futures!$A$2:$B$12,2),1),"")</f>
        <v>42.48</v>
      </c>
      <c r="S2711" s="13" t="str">
        <f>IF(AND(H2711="TO CLOSE",P2711=0),-G2711*(M2711-R2710)*IF(E2711="FUTURE",VLOOKUP(MID(I2711,2,2),[1]Futures!$A$2:$B$12,2),1),"")</f>
        <v/>
      </c>
    </row>
    <row r="2712" spans="1:19" x14ac:dyDescent="0.2">
      <c r="A2712">
        <f t="shared" si="128"/>
        <v>886</v>
      </c>
      <c r="B2712" s="3">
        <v>44067</v>
      </c>
      <c r="C2712" s="3" t="str">
        <f t="shared" si="127"/>
        <v>Monday</v>
      </c>
      <c r="D2712" s="2">
        <v>0.42825231481481479</v>
      </c>
      <c r="E2712" t="s">
        <v>14</v>
      </c>
      <c r="F2712" t="s">
        <v>15</v>
      </c>
      <c r="G2712">
        <v>-1</v>
      </c>
      <c r="H2712" t="s">
        <v>16</v>
      </c>
      <c r="I2712" t="s">
        <v>82</v>
      </c>
      <c r="J2712" s="1">
        <v>44124</v>
      </c>
      <c r="L2712" t="s">
        <v>14</v>
      </c>
      <c r="M2712">
        <v>42.66</v>
      </c>
      <c r="N2712">
        <v>42.66</v>
      </c>
      <c r="O2712" t="s">
        <v>21</v>
      </c>
      <c r="P2712">
        <f t="shared" si="129"/>
        <v>1</v>
      </c>
      <c r="Q2712" s="11">
        <f>IF(P2712=0,0,IFERROR(Q2711+G2712*M2712*IF(E2712="FUTURE",VLOOKUP(MID(I2712,2,2),[1]Futures!$A$2:$B$12,2),1),G2712*M2712*IF(E2712="FUTURE",VLOOKUP(MID(I2712,2,2),[1]Futures!$A$2:$B$12,2),1)))</f>
        <v>42300</v>
      </c>
      <c r="R2712" s="12">
        <f>IFERROR(Q2712/P2712/IF(E2712="FUTURE",VLOOKUP(MID(I2712,2,2),[1]Futures!$A$2:$B$12,2),1),"")</f>
        <v>42.3</v>
      </c>
      <c r="S2712" s="13" t="str">
        <f>IF(AND(H2712="TO CLOSE",P2712=0),-G2712*(M2712-R2711)*IF(E2712="FUTURE",VLOOKUP(MID(I2712,2,2),[1]Futures!$A$2:$B$12,2),1),"")</f>
        <v/>
      </c>
    </row>
    <row r="2713" spans="1:19" x14ac:dyDescent="0.2">
      <c r="A2713">
        <f t="shared" si="128"/>
        <v>886</v>
      </c>
      <c r="B2713" s="3">
        <v>44067</v>
      </c>
      <c r="C2713" s="3" t="str">
        <f t="shared" si="127"/>
        <v>Monday</v>
      </c>
      <c r="D2713" s="2">
        <v>0.43075231481481485</v>
      </c>
      <c r="E2713" t="s">
        <v>14</v>
      </c>
      <c r="F2713" t="s">
        <v>15</v>
      </c>
      <c r="G2713">
        <v>-1</v>
      </c>
      <c r="H2713" t="s">
        <v>16</v>
      </c>
      <c r="I2713" t="s">
        <v>82</v>
      </c>
      <c r="J2713" s="1">
        <v>44124</v>
      </c>
      <c r="L2713" t="s">
        <v>14</v>
      </c>
      <c r="M2713">
        <v>42.72</v>
      </c>
      <c r="N2713">
        <v>42.72</v>
      </c>
      <c r="O2713" t="s">
        <v>24</v>
      </c>
      <c r="P2713">
        <f t="shared" si="129"/>
        <v>0</v>
      </c>
      <c r="Q2713" s="11">
        <f>IF(P2713=0,0,IFERROR(Q2712+G2713*M2713*IF(E2713="FUTURE",VLOOKUP(MID(I2713,2,2),[1]Futures!$A$2:$B$12,2),1),G2713*M2713*IF(E2713="FUTURE",VLOOKUP(MID(I2713,2,2),[1]Futures!$A$2:$B$12,2),1)))</f>
        <v>0</v>
      </c>
      <c r="R2713" s="12" t="str">
        <f>IFERROR(Q2713/P2713/IF(E2713="FUTURE",VLOOKUP(MID(I2713,2,2),[1]Futures!$A$2:$B$12,2),1),"")</f>
        <v/>
      </c>
      <c r="S2713" s="13">
        <f>IF(AND(H2713="TO CLOSE",P2713=0),-G2713*(M2713-R2712)*IF(E2713="FUTURE",VLOOKUP(MID(I2713,2,2),[1]Futures!$A$2:$B$12,2),1),"")</f>
        <v>420.00000000000171</v>
      </c>
    </row>
    <row r="2714" spans="1:19" x14ac:dyDescent="0.2">
      <c r="A2714">
        <f t="shared" si="128"/>
        <v>887</v>
      </c>
      <c r="B2714" s="3">
        <v>44067</v>
      </c>
      <c r="C2714" s="3" t="str">
        <f t="shared" si="127"/>
        <v>Monday</v>
      </c>
      <c r="D2714" s="2">
        <v>0.44703703703703707</v>
      </c>
      <c r="E2714" t="s">
        <v>14</v>
      </c>
      <c r="F2714" t="s">
        <v>15</v>
      </c>
      <c r="G2714">
        <v>-2</v>
      </c>
      <c r="H2714" t="s">
        <v>20</v>
      </c>
      <c r="I2714" t="s">
        <v>82</v>
      </c>
      <c r="J2714" s="1">
        <v>44124</v>
      </c>
      <c r="L2714" t="s">
        <v>14</v>
      </c>
      <c r="M2714">
        <v>42.61</v>
      </c>
      <c r="N2714">
        <v>42.61</v>
      </c>
      <c r="O2714" t="s">
        <v>24</v>
      </c>
      <c r="P2714">
        <f t="shared" si="129"/>
        <v>-2</v>
      </c>
      <c r="Q2714" s="11">
        <f>IF(P2714=0,0,IFERROR(Q2713+G2714*M2714*IF(E2714="FUTURE",VLOOKUP(MID(I2714,2,2),[1]Futures!$A$2:$B$12,2),1),G2714*M2714*IF(E2714="FUTURE",VLOOKUP(MID(I2714,2,2),[1]Futures!$A$2:$B$12,2),1)))</f>
        <v>-85220</v>
      </c>
      <c r="R2714" s="12">
        <f>IFERROR(Q2714/P2714/IF(E2714="FUTURE",VLOOKUP(MID(I2714,2,2),[1]Futures!$A$2:$B$12,2),1),"")</f>
        <v>42.61</v>
      </c>
      <c r="S2714" s="13" t="str">
        <f>IF(AND(H2714="TO CLOSE",P2714=0),-G2714*(M2714-R2713)*IF(E2714="FUTURE",VLOOKUP(MID(I2714,2,2),[1]Futures!$A$2:$B$12,2),1),"")</f>
        <v/>
      </c>
    </row>
    <row r="2715" spans="1:19" x14ac:dyDescent="0.2">
      <c r="A2715">
        <f t="shared" si="128"/>
        <v>887</v>
      </c>
      <c r="B2715" s="3">
        <v>44067</v>
      </c>
      <c r="C2715" s="3" t="str">
        <f t="shared" si="127"/>
        <v>Monday</v>
      </c>
      <c r="D2715" s="2">
        <v>0.4540393518518519</v>
      </c>
      <c r="E2715" t="s">
        <v>14</v>
      </c>
      <c r="F2715" t="s">
        <v>19</v>
      </c>
      <c r="G2715">
        <v>1</v>
      </c>
      <c r="H2715" t="s">
        <v>16</v>
      </c>
      <c r="I2715" t="s">
        <v>82</v>
      </c>
      <c r="J2715" s="1">
        <v>44124</v>
      </c>
      <c r="L2715" t="s">
        <v>14</v>
      </c>
      <c r="M2715">
        <v>42.54</v>
      </c>
      <c r="N2715">
        <v>42.54</v>
      </c>
      <c r="O2715" t="s">
        <v>24</v>
      </c>
      <c r="P2715">
        <f t="shared" si="129"/>
        <v>-1</v>
      </c>
      <c r="Q2715" s="11">
        <f>IF(P2715=0,0,IFERROR(Q2714+G2715*M2715*IF(E2715="FUTURE",VLOOKUP(MID(I2715,2,2),[1]Futures!$A$2:$B$12,2),1),G2715*M2715*IF(E2715="FUTURE",VLOOKUP(MID(I2715,2,2),[1]Futures!$A$2:$B$12,2),1)))</f>
        <v>-42680</v>
      </c>
      <c r="R2715" s="12">
        <f>IFERROR(Q2715/P2715/IF(E2715="FUTURE",VLOOKUP(MID(I2715,2,2),[1]Futures!$A$2:$B$12,2),1),"")</f>
        <v>42.68</v>
      </c>
      <c r="S2715" s="13" t="str">
        <f>IF(AND(H2715="TO CLOSE",P2715=0),-G2715*(M2715-R2714)*IF(E2715="FUTURE",VLOOKUP(MID(I2715,2,2),[1]Futures!$A$2:$B$12,2),1),"")</f>
        <v/>
      </c>
    </row>
    <row r="2716" spans="1:19" x14ac:dyDescent="0.2">
      <c r="A2716">
        <f t="shared" si="128"/>
        <v>887</v>
      </c>
      <c r="B2716" s="3">
        <v>44067</v>
      </c>
      <c r="C2716" s="3" t="str">
        <f t="shared" si="127"/>
        <v>Monday</v>
      </c>
      <c r="D2716" s="2">
        <v>0.45420138888888889</v>
      </c>
      <c r="E2716" t="s">
        <v>14</v>
      </c>
      <c r="F2716" t="s">
        <v>19</v>
      </c>
      <c r="G2716">
        <v>1</v>
      </c>
      <c r="H2716" t="s">
        <v>16</v>
      </c>
      <c r="I2716" t="s">
        <v>82</v>
      </c>
      <c r="J2716" s="1">
        <v>44124</v>
      </c>
      <c r="L2716" t="s">
        <v>14</v>
      </c>
      <c r="M2716">
        <v>42.52</v>
      </c>
      <c r="N2716">
        <v>42.52</v>
      </c>
      <c r="O2716" t="s">
        <v>24</v>
      </c>
      <c r="P2716">
        <f t="shared" si="129"/>
        <v>0</v>
      </c>
      <c r="Q2716" s="11">
        <f>IF(P2716=0,0,IFERROR(Q2715+G2716*M2716*IF(E2716="FUTURE",VLOOKUP(MID(I2716,2,2),[1]Futures!$A$2:$B$12,2),1),G2716*M2716*IF(E2716="FUTURE",VLOOKUP(MID(I2716,2,2),[1]Futures!$A$2:$B$12,2),1)))</f>
        <v>0</v>
      </c>
      <c r="R2716" s="12" t="str">
        <f>IFERROR(Q2716/P2716/IF(E2716="FUTURE",VLOOKUP(MID(I2716,2,2),[1]Futures!$A$2:$B$12,2),1),"")</f>
        <v/>
      </c>
      <c r="S2716" s="13">
        <f>IF(AND(H2716="TO CLOSE",P2716=0),-G2716*(M2716-R2715)*IF(E2716="FUTURE",VLOOKUP(MID(I2716,2,2),[1]Futures!$A$2:$B$12,2),1),"")</f>
        <v>159.99999999999659</v>
      </c>
    </row>
    <row r="2717" spans="1:19" x14ac:dyDescent="0.2">
      <c r="A2717">
        <f t="shared" si="128"/>
        <v>888</v>
      </c>
      <c r="B2717" s="3">
        <v>44067</v>
      </c>
      <c r="C2717" s="3" t="str">
        <f t="shared" si="127"/>
        <v>Monday</v>
      </c>
      <c r="D2717" s="2">
        <v>0.4730671296296296</v>
      </c>
      <c r="E2717" t="s">
        <v>14</v>
      </c>
      <c r="F2717" t="s">
        <v>15</v>
      </c>
      <c r="G2717">
        <v>-2</v>
      </c>
      <c r="H2717" t="s">
        <v>20</v>
      </c>
      <c r="I2717" t="s">
        <v>82</v>
      </c>
      <c r="J2717" s="1">
        <v>44124</v>
      </c>
      <c r="L2717" t="s">
        <v>14</v>
      </c>
      <c r="M2717">
        <v>42.58</v>
      </c>
      <c r="N2717">
        <v>42.58</v>
      </c>
      <c r="O2717" t="s">
        <v>21</v>
      </c>
      <c r="P2717">
        <f t="shared" si="129"/>
        <v>-2</v>
      </c>
      <c r="Q2717" s="11">
        <f>IF(P2717=0,0,IFERROR(Q2716+G2717*M2717*IF(E2717="FUTURE",VLOOKUP(MID(I2717,2,2),[1]Futures!$A$2:$B$12,2),1),G2717*M2717*IF(E2717="FUTURE",VLOOKUP(MID(I2717,2,2),[1]Futures!$A$2:$B$12,2),1)))</f>
        <v>-85160</v>
      </c>
      <c r="R2717" s="12">
        <f>IFERROR(Q2717/P2717/IF(E2717="FUTURE",VLOOKUP(MID(I2717,2,2),[1]Futures!$A$2:$B$12,2),1),"")</f>
        <v>42.58</v>
      </c>
      <c r="S2717" s="13" t="str">
        <f>IF(AND(H2717="TO CLOSE",P2717=0),-G2717*(M2717-R2716)*IF(E2717="FUTURE",VLOOKUP(MID(I2717,2,2),[1]Futures!$A$2:$B$12,2),1),"")</f>
        <v/>
      </c>
    </row>
    <row r="2718" spans="1:19" x14ac:dyDescent="0.2">
      <c r="A2718">
        <f t="shared" si="128"/>
        <v>888</v>
      </c>
      <c r="B2718" s="3">
        <v>44067</v>
      </c>
      <c r="C2718" s="3" t="str">
        <f t="shared" si="127"/>
        <v>Monday</v>
      </c>
      <c r="D2718" s="2">
        <v>0.5020486111111111</v>
      </c>
      <c r="E2718" t="s">
        <v>14</v>
      </c>
      <c r="F2718" t="s">
        <v>19</v>
      </c>
      <c r="G2718">
        <v>1</v>
      </c>
      <c r="H2718" t="s">
        <v>16</v>
      </c>
      <c r="I2718" t="s">
        <v>82</v>
      </c>
      <c r="J2718" s="1">
        <v>44124</v>
      </c>
      <c r="L2718" t="s">
        <v>14</v>
      </c>
      <c r="M2718">
        <v>42.57</v>
      </c>
      <c r="N2718">
        <v>42.57</v>
      </c>
      <c r="O2718" t="s">
        <v>21</v>
      </c>
      <c r="P2718">
        <f t="shared" si="129"/>
        <v>-1</v>
      </c>
      <c r="Q2718" s="11">
        <f>IF(P2718=0,0,IFERROR(Q2717+G2718*M2718*IF(E2718="FUTURE",VLOOKUP(MID(I2718,2,2),[1]Futures!$A$2:$B$12,2),1),G2718*M2718*IF(E2718="FUTURE",VLOOKUP(MID(I2718,2,2),[1]Futures!$A$2:$B$12,2),1)))</f>
        <v>-42590</v>
      </c>
      <c r="R2718" s="12">
        <f>IFERROR(Q2718/P2718/IF(E2718="FUTURE",VLOOKUP(MID(I2718,2,2),[1]Futures!$A$2:$B$12,2),1),"")</f>
        <v>42.59</v>
      </c>
      <c r="S2718" s="13" t="str">
        <f>IF(AND(H2718="TO CLOSE",P2718=0),-G2718*(M2718-R2717)*IF(E2718="FUTURE",VLOOKUP(MID(I2718,2,2),[1]Futures!$A$2:$B$12,2),1),"")</f>
        <v/>
      </c>
    </row>
    <row r="2719" spans="1:19" x14ac:dyDescent="0.2">
      <c r="A2719">
        <f t="shared" si="128"/>
        <v>888</v>
      </c>
      <c r="B2719" s="3">
        <v>44067</v>
      </c>
      <c r="C2719" s="3" t="str">
        <f t="shared" si="127"/>
        <v>Monday</v>
      </c>
      <c r="D2719" s="2">
        <v>0.50240740740740741</v>
      </c>
      <c r="E2719" t="s">
        <v>14</v>
      </c>
      <c r="F2719" t="s">
        <v>19</v>
      </c>
      <c r="G2719">
        <v>1</v>
      </c>
      <c r="H2719" t="s">
        <v>16</v>
      </c>
      <c r="I2719" t="s">
        <v>82</v>
      </c>
      <c r="J2719" s="1">
        <v>44124</v>
      </c>
      <c r="L2719" t="s">
        <v>14</v>
      </c>
      <c r="M2719">
        <v>42.56</v>
      </c>
      <c r="N2719">
        <v>42.56</v>
      </c>
      <c r="O2719" t="s">
        <v>21</v>
      </c>
      <c r="P2719">
        <f t="shared" si="129"/>
        <v>0</v>
      </c>
      <c r="Q2719" s="11">
        <f>IF(P2719=0,0,IFERROR(Q2718+G2719*M2719*IF(E2719="FUTURE",VLOOKUP(MID(I2719,2,2),[1]Futures!$A$2:$B$12,2),1),G2719*M2719*IF(E2719="FUTURE",VLOOKUP(MID(I2719,2,2),[1]Futures!$A$2:$B$12,2),1)))</f>
        <v>0</v>
      </c>
      <c r="R2719" s="12" t="str">
        <f>IFERROR(Q2719/P2719/IF(E2719="FUTURE",VLOOKUP(MID(I2719,2,2),[1]Futures!$A$2:$B$12,2),1),"")</f>
        <v/>
      </c>
      <c r="S2719" s="13">
        <f>IF(AND(H2719="TO CLOSE",P2719=0),-G2719*(M2719-R2718)*IF(E2719="FUTURE",VLOOKUP(MID(I2719,2,2),[1]Futures!$A$2:$B$12,2),1),"")</f>
        <v>30.000000000001137</v>
      </c>
    </row>
    <row r="2720" spans="1:19" x14ac:dyDescent="0.2">
      <c r="A2720">
        <f t="shared" si="128"/>
        <v>889</v>
      </c>
      <c r="B2720" s="3">
        <v>44067</v>
      </c>
      <c r="C2720" s="3" t="str">
        <f t="shared" si="127"/>
        <v>Monday</v>
      </c>
      <c r="D2720" s="2">
        <v>0.57011574074074078</v>
      </c>
      <c r="E2720" t="s">
        <v>14</v>
      </c>
      <c r="F2720" t="s">
        <v>19</v>
      </c>
      <c r="G2720">
        <v>1</v>
      </c>
      <c r="H2720" t="s">
        <v>20</v>
      </c>
      <c r="I2720" t="s">
        <v>79</v>
      </c>
      <c r="J2720" s="1">
        <v>44094</v>
      </c>
      <c r="L2720" t="s">
        <v>14</v>
      </c>
      <c r="M2720">
        <v>3417.5</v>
      </c>
      <c r="N2720">
        <v>3417.5</v>
      </c>
      <c r="O2720" t="s">
        <v>24</v>
      </c>
      <c r="P2720">
        <f t="shared" si="129"/>
        <v>1</v>
      </c>
      <c r="Q2720" s="11">
        <f>IF(P2720=0,0,IFERROR(Q2719+G2720*M2720*IF(E2720="FUTURE",VLOOKUP(MID(I2720,2,2),[1]Futures!$A$2:$B$12,2),1),G2720*M2720*IF(E2720="FUTURE",VLOOKUP(MID(I2720,2,2),[1]Futures!$A$2:$B$12,2),1)))</f>
        <v>170875</v>
      </c>
      <c r="R2720" s="12">
        <f>IFERROR(Q2720/P2720/IF(E2720="FUTURE",VLOOKUP(MID(I2720,2,2),[1]Futures!$A$2:$B$12,2),1),"")</f>
        <v>3417.5</v>
      </c>
      <c r="S2720" s="13" t="str">
        <f>IF(AND(H2720="TO CLOSE",P2720=0),-G2720*(M2720-R2719)*IF(E2720="FUTURE",VLOOKUP(MID(I2720,2,2),[1]Futures!$A$2:$B$12,2),1),"")</f>
        <v/>
      </c>
    </row>
    <row r="2721" spans="1:19" x14ac:dyDescent="0.2">
      <c r="A2721">
        <f t="shared" si="128"/>
        <v>889</v>
      </c>
      <c r="B2721" s="3">
        <v>44067</v>
      </c>
      <c r="C2721" s="3" t="str">
        <f t="shared" si="127"/>
        <v>Monday</v>
      </c>
      <c r="D2721" s="2">
        <v>0.59269675925925924</v>
      </c>
      <c r="E2721" t="s">
        <v>14</v>
      </c>
      <c r="F2721" t="s">
        <v>15</v>
      </c>
      <c r="G2721">
        <v>-1</v>
      </c>
      <c r="H2721" t="s">
        <v>16</v>
      </c>
      <c r="I2721" t="s">
        <v>79</v>
      </c>
      <c r="J2721" s="1">
        <v>44094</v>
      </c>
      <c r="L2721" t="s">
        <v>14</v>
      </c>
      <c r="M2721">
        <v>3417.75</v>
      </c>
      <c r="N2721">
        <v>3417.75</v>
      </c>
      <c r="O2721" t="s">
        <v>21</v>
      </c>
      <c r="P2721">
        <f t="shared" si="129"/>
        <v>0</v>
      </c>
      <c r="Q2721" s="11">
        <f>IF(P2721=0,0,IFERROR(Q2720+G2721*M2721*IF(E2721="FUTURE",VLOOKUP(MID(I2721,2,2),[1]Futures!$A$2:$B$12,2),1),G2721*M2721*IF(E2721="FUTURE",VLOOKUP(MID(I2721,2,2),[1]Futures!$A$2:$B$12,2),1)))</f>
        <v>0</v>
      </c>
      <c r="R2721" s="12" t="str">
        <f>IFERROR(Q2721/P2721/IF(E2721="FUTURE",VLOOKUP(MID(I2721,2,2),[1]Futures!$A$2:$B$12,2),1),"")</f>
        <v/>
      </c>
      <c r="S2721" s="13">
        <f>IF(AND(H2721="TO CLOSE",P2721=0),-G2721*(M2721-R2720)*IF(E2721="FUTURE",VLOOKUP(MID(I2721,2,2),[1]Futures!$A$2:$B$12,2),1),"")</f>
        <v>12.5</v>
      </c>
    </row>
    <row r="2722" spans="1:19" x14ac:dyDescent="0.2">
      <c r="A2722">
        <f t="shared" si="128"/>
        <v>890</v>
      </c>
      <c r="B2722" s="3">
        <v>44067</v>
      </c>
      <c r="C2722" s="3" t="str">
        <f t="shared" ref="C2722:C2785" si="130">IF(WEEKDAY(B2722,2)=1,"Monday",IF(WEEKDAY(B2722,2)=2,"Tuesday",IF(WEEKDAY(B2722,2)=3,"Wednesday",IF(WEEKDAY(B2722,2)=4,"Thursday",IF(WEEKDAY(B2722,2)=5,"Friday","Sunday")))))</f>
        <v>Monday</v>
      </c>
      <c r="D2722" s="2">
        <v>0.41347222222222224</v>
      </c>
      <c r="E2722" t="s">
        <v>14</v>
      </c>
      <c r="F2722" t="s">
        <v>19</v>
      </c>
      <c r="G2722">
        <v>5</v>
      </c>
      <c r="H2722" t="s">
        <v>20</v>
      </c>
      <c r="I2722" t="s">
        <v>80</v>
      </c>
      <c r="J2722" s="1">
        <v>44094</v>
      </c>
      <c r="L2722" t="s">
        <v>14</v>
      </c>
      <c r="M2722">
        <v>3414.75</v>
      </c>
      <c r="N2722">
        <v>3414.75</v>
      </c>
      <c r="O2722" t="s">
        <v>24</v>
      </c>
      <c r="P2722">
        <f t="shared" si="129"/>
        <v>5</v>
      </c>
      <c r="Q2722" s="11">
        <f>IF(P2722=0,0,IFERROR(Q2721+G2722*M2722*IF(E2722="FUTURE",VLOOKUP(MID(I2722,2,2),[1]Futures!$A$2:$B$12,2),1),G2722*M2722*IF(E2722="FUTURE",VLOOKUP(MID(I2722,2,2),[1]Futures!$A$2:$B$12,2),1)))</f>
        <v>85368.75</v>
      </c>
      <c r="R2722" s="12">
        <f>IFERROR(Q2722/P2722/IF(E2722="FUTURE",VLOOKUP(MID(I2722,2,2),[1]Futures!$A$2:$B$12,2),1),"")</f>
        <v>3414.75</v>
      </c>
      <c r="S2722" s="13" t="str">
        <f>IF(AND(H2722="TO CLOSE",P2722=0),-G2722*(M2722-R2721)*IF(E2722="FUTURE",VLOOKUP(MID(I2722,2,2),[1]Futures!$A$2:$B$12,2),1),"")</f>
        <v/>
      </c>
    </row>
    <row r="2723" spans="1:19" x14ac:dyDescent="0.2">
      <c r="A2723">
        <f t="shared" si="128"/>
        <v>890</v>
      </c>
      <c r="B2723" s="3">
        <v>44067</v>
      </c>
      <c r="C2723" s="3" t="str">
        <f t="shared" si="130"/>
        <v>Monday</v>
      </c>
      <c r="D2723" s="2">
        <v>0.42790509259259263</v>
      </c>
      <c r="E2723" t="s">
        <v>14</v>
      </c>
      <c r="F2723" t="s">
        <v>15</v>
      </c>
      <c r="G2723">
        <v>-2</v>
      </c>
      <c r="H2723" t="s">
        <v>16</v>
      </c>
      <c r="I2723" t="s">
        <v>80</v>
      </c>
      <c r="J2723" s="1">
        <v>44094</v>
      </c>
      <c r="L2723" t="s">
        <v>14</v>
      </c>
      <c r="M2723">
        <v>3419.5</v>
      </c>
      <c r="N2723">
        <v>3419.5</v>
      </c>
      <c r="O2723" t="s">
        <v>21</v>
      </c>
      <c r="P2723">
        <f t="shared" si="129"/>
        <v>3</v>
      </c>
      <c r="Q2723" s="11">
        <f>IF(P2723=0,0,IFERROR(Q2722+G2723*M2723*IF(E2723="FUTURE",VLOOKUP(MID(I2723,2,2),[1]Futures!$A$2:$B$12,2),1),G2723*M2723*IF(E2723="FUTURE",VLOOKUP(MID(I2723,2,2),[1]Futures!$A$2:$B$12,2),1)))</f>
        <v>51173.75</v>
      </c>
      <c r="R2723" s="12">
        <f>IFERROR(Q2723/P2723/IF(E2723="FUTURE",VLOOKUP(MID(I2723,2,2),[1]Futures!$A$2:$B$12,2),1),"")</f>
        <v>3411.5833333333335</v>
      </c>
      <c r="S2723" s="13" t="str">
        <f>IF(AND(H2723="TO CLOSE",P2723=0),-G2723*(M2723-R2722)*IF(E2723="FUTURE",VLOOKUP(MID(I2723,2,2),[1]Futures!$A$2:$B$12,2),1),"")</f>
        <v/>
      </c>
    </row>
    <row r="2724" spans="1:19" x14ac:dyDescent="0.2">
      <c r="A2724">
        <f t="shared" si="128"/>
        <v>890</v>
      </c>
      <c r="B2724" s="3">
        <v>44067</v>
      </c>
      <c r="C2724" s="3" t="str">
        <f t="shared" si="130"/>
        <v>Monday</v>
      </c>
      <c r="D2724" s="2">
        <v>0.42927083333333332</v>
      </c>
      <c r="E2724" t="s">
        <v>14</v>
      </c>
      <c r="F2724" t="s">
        <v>15</v>
      </c>
      <c r="G2724">
        <v>-1</v>
      </c>
      <c r="H2724" t="s">
        <v>16</v>
      </c>
      <c r="I2724" t="s">
        <v>80</v>
      </c>
      <c r="J2724" s="1">
        <v>44094</v>
      </c>
      <c r="L2724" t="s">
        <v>14</v>
      </c>
      <c r="M2724">
        <v>3420.75</v>
      </c>
      <c r="N2724">
        <v>3420.75</v>
      </c>
      <c r="O2724" t="s">
        <v>21</v>
      </c>
      <c r="P2724">
        <f t="shared" si="129"/>
        <v>2</v>
      </c>
      <c r="Q2724" s="11">
        <f>IF(P2724=0,0,IFERROR(Q2723+G2724*M2724*IF(E2724="FUTURE",VLOOKUP(MID(I2724,2,2),[1]Futures!$A$2:$B$12,2),1),G2724*M2724*IF(E2724="FUTURE",VLOOKUP(MID(I2724,2,2),[1]Futures!$A$2:$B$12,2),1)))</f>
        <v>34070</v>
      </c>
      <c r="R2724" s="12">
        <f>IFERROR(Q2724/P2724/IF(E2724="FUTURE",VLOOKUP(MID(I2724,2,2),[1]Futures!$A$2:$B$12,2),1),"")</f>
        <v>3407</v>
      </c>
      <c r="S2724" s="13" t="str">
        <f>IF(AND(H2724="TO CLOSE",P2724=0),-G2724*(M2724-R2723)*IF(E2724="FUTURE",VLOOKUP(MID(I2724,2,2),[1]Futures!$A$2:$B$12,2),1),"")</f>
        <v/>
      </c>
    </row>
    <row r="2725" spans="1:19" x14ac:dyDescent="0.2">
      <c r="A2725">
        <f t="shared" si="128"/>
        <v>890</v>
      </c>
      <c r="B2725" s="3">
        <v>44067</v>
      </c>
      <c r="C2725" s="3" t="str">
        <f t="shared" si="130"/>
        <v>Monday</v>
      </c>
      <c r="D2725" s="2">
        <v>0.43024305555555559</v>
      </c>
      <c r="E2725" t="s">
        <v>14</v>
      </c>
      <c r="F2725" t="s">
        <v>15</v>
      </c>
      <c r="G2725">
        <v>-2</v>
      </c>
      <c r="H2725" t="s">
        <v>16</v>
      </c>
      <c r="I2725" t="s">
        <v>80</v>
      </c>
      <c r="J2725" s="1">
        <v>44094</v>
      </c>
      <c r="L2725" t="s">
        <v>14</v>
      </c>
      <c r="M2725">
        <v>3422.25</v>
      </c>
      <c r="N2725">
        <v>3422.25</v>
      </c>
      <c r="O2725" t="s">
        <v>24</v>
      </c>
      <c r="P2725">
        <f t="shared" si="129"/>
        <v>0</v>
      </c>
      <c r="Q2725" s="11">
        <f>IF(P2725=0,0,IFERROR(Q2724+G2725*M2725*IF(E2725="FUTURE",VLOOKUP(MID(I2725,2,2),[1]Futures!$A$2:$B$12,2),1),G2725*M2725*IF(E2725="FUTURE",VLOOKUP(MID(I2725,2,2),[1]Futures!$A$2:$B$12,2),1)))</f>
        <v>0</v>
      </c>
      <c r="R2725" s="12" t="str">
        <f>IFERROR(Q2725/P2725/IF(E2725="FUTURE",VLOOKUP(MID(I2725,2,2),[1]Futures!$A$2:$B$12,2),1),"")</f>
        <v/>
      </c>
      <c r="S2725" s="13">
        <f>IF(AND(H2725="TO CLOSE",P2725=0),-G2725*(M2725-R2724)*IF(E2725="FUTURE",VLOOKUP(MID(I2725,2,2),[1]Futures!$A$2:$B$12,2),1),"")</f>
        <v>152.5</v>
      </c>
    </row>
    <row r="2726" spans="1:19" x14ac:dyDescent="0.2">
      <c r="A2726">
        <f t="shared" si="128"/>
        <v>891</v>
      </c>
      <c r="B2726" s="3">
        <v>44068</v>
      </c>
      <c r="C2726" s="3" t="str">
        <f t="shared" si="130"/>
        <v>Tuesday</v>
      </c>
      <c r="D2726" s="2">
        <v>0.39385416666666667</v>
      </c>
      <c r="E2726" t="s">
        <v>14</v>
      </c>
      <c r="F2726" t="s">
        <v>15</v>
      </c>
      <c r="G2726">
        <v>-1</v>
      </c>
      <c r="H2726" t="s">
        <v>20</v>
      </c>
      <c r="I2726" t="s">
        <v>82</v>
      </c>
      <c r="J2726" s="1">
        <v>44124</v>
      </c>
      <c r="L2726" t="s">
        <v>14</v>
      </c>
      <c r="M2726">
        <v>43.42</v>
      </c>
      <c r="N2726">
        <v>43.42</v>
      </c>
      <c r="O2726" t="s">
        <v>21</v>
      </c>
      <c r="P2726">
        <f t="shared" si="129"/>
        <v>-1</v>
      </c>
      <c r="Q2726" s="11">
        <f>IF(P2726=0,0,IFERROR(Q2725+G2726*M2726*IF(E2726="FUTURE",VLOOKUP(MID(I2726,2,2),[1]Futures!$A$2:$B$12,2),1),G2726*M2726*IF(E2726="FUTURE",VLOOKUP(MID(I2726,2,2),[1]Futures!$A$2:$B$12,2),1)))</f>
        <v>-43420</v>
      </c>
      <c r="R2726" s="12">
        <f>IFERROR(Q2726/P2726/IF(E2726="FUTURE",VLOOKUP(MID(I2726,2,2),[1]Futures!$A$2:$B$12,2),1),"")</f>
        <v>43.42</v>
      </c>
      <c r="S2726" s="13" t="str">
        <f>IF(AND(H2726="TO CLOSE",P2726=0),-G2726*(M2726-R2725)*IF(E2726="FUTURE",VLOOKUP(MID(I2726,2,2),[1]Futures!$A$2:$B$12,2),1),"")</f>
        <v/>
      </c>
    </row>
    <row r="2727" spans="1:19" x14ac:dyDescent="0.2">
      <c r="A2727">
        <f t="shared" si="128"/>
        <v>891</v>
      </c>
      <c r="B2727" s="3">
        <v>44068</v>
      </c>
      <c r="C2727" s="3" t="str">
        <f t="shared" si="130"/>
        <v>Tuesday</v>
      </c>
      <c r="D2727" s="2">
        <v>0.40371527777777777</v>
      </c>
      <c r="E2727" t="s">
        <v>14</v>
      </c>
      <c r="F2727" t="s">
        <v>19</v>
      </c>
      <c r="G2727">
        <v>1</v>
      </c>
      <c r="H2727" t="s">
        <v>16</v>
      </c>
      <c r="I2727" t="s">
        <v>82</v>
      </c>
      <c r="J2727" s="1">
        <v>44124</v>
      </c>
      <c r="L2727" t="s">
        <v>14</v>
      </c>
      <c r="M2727">
        <v>43.4</v>
      </c>
      <c r="N2727">
        <v>43.4</v>
      </c>
      <c r="O2727" t="s">
        <v>21</v>
      </c>
      <c r="P2727">
        <f t="shared" si="129"/>
        <v>0</v>
      </c>
      <c r="Q2727" s="11">
        <f>IF(P2727=0,0,IFERROR(Q2726+G2727*M2727*IF(E2727="FUTURE",VLOOKUP(MID(I2727,2,2),[1]Futures!$A$2:$B$12,2),1),G2727*M2727*IF(E2727="FUTURE",VLOOKUP(MID(I2727,2,2),[1]Futures!$A$2:$B$12,2),1)))</f>
        <v>0</v>
      </c>
      <c r="R2727" s="12" t="str">
        <f>IFERROR(Q2727/P2727/IF(E2727="FUTURE",VLOOKUP(MID(I2727,2,2),[1]Futures!$A$2:$B$12,2),1),"")</f>
        <v/>
      </c>
      <c r="S2727" s="13">
        <f>IF(AND(H2727="TO CLOSE",P2727=0),-G2727*(M2727-R2726)*IF(E2727="FUTURE",VLOOKUP(MID(I2727,2,2),[1]Futures!$A$2:$B$12,2),1),"")</f>
        <v>20.000000000003126</v>
      </c>
    </row>
    <row r="2728" spans="1:19" x14ac:dyDescent="0.2">
      <c r="A2728">
        <f t="shared" si="128"/>
        <v>892</v>
      </c>
      <c r="B2728" s="3">
        <v>44068</v>
      </c>
      <c r="C2728" s="3" t="str">
        <f t="shared" si="130"/>
        <v>Tuesday</v>
      </c>
      <c r="D2728" s="2">
        <v>0.39680555555555558</v>
      </c>
      <c r="E2728" t="s">
        <v>14</v>
      </c>
      <c r="F2728" t="s">
        <v>15</v>
      </c>
      <c r="G2728">
        <v>-1</v>
      </c>
      <c r="H2728" t="s">
        <v>20</v>
      </c>
      <c r="I2728" t="s">
        <v>79</v>
      </c>
      <c r="J2728" s="1">
        <v>44094</v>
      </c>
      <c r="L2728" t="s">
        <v>14</v>
      </c>
      <c r="M2728">
        <v>3433.25</v>
      </c>
      <c r="N2728">
        <v>3433.25</v>
      </c>
      <c r="O2728" t="s">
        <v>21</v>
      </c>
      <c r="P2728">
        <f t="shared" si="129"/>
        <v>-1</v>
      </c>
      <c r="Q2728" s="11">
        <f>IF(P2728=0,0,IFERROR(Q2727+G2728*M2728*IF(E2728="FUTURE",VLOOKUP(MID(I2728,2,2),[1]Futures!$A$2:$B$12,2),1),G2728*M2728*IF(E2728="FUTURE",VLOOKUP(MID(I2728,2,2),[1]Futures!$A$2:$B$12,2),1)))</f>
        <v>-171662.5</v>
      </c>
      <c r="R2728" s="12">
        <f>IFERROR(Q2728/P2728/IF(E2728="FUTURE",VLOOKUP(MID(I2728,2,2),[1]Futures!$A$2:$B$12,2),1),"")</f>
        <v>3433.25</v>
      </c>
      <c r="S2728" s="13" t="str">
        <f>IF(AND(H2728="TO CLOSE",P2728=0),-G2728*(M2728-R2727)*IF(E2728="FUTURE",VLOOKUP(MID(I2728,2,2),[1]Futures!$A$2:$B$12,2),1),"")</f>
        <v/>
      </c>
    </row>
    <row r="2729" spans="1:19" x14ac:dyDescent="0.2">
      <c r="A2729">
        <f t="shared" si="128"/>
        <v>892</v>
      </c>
      <c r="B2729" s="3">
        <v>44068</v>
      </c>
      <c r="C2729" s="3" t="str">
        <f t="shared" si="130"/>
        <v>Tuesday</v>
      </c>
      <c r="D2729" s="2">
        <v>0.39783564814814815</v>
      </c>
      <c r="E2729" t="s">
        <v>14</v>
      </c>
      <c r="F2729" t="s">
        <v>19</v>
      </c>
      <c r="G2729">
        <v>1</v>
      </c>
      <c r="H2729" t="s">
        <v>16</v>
      </c>
      <c r="I2729" t="s">
        <v>79</v>
      </c>
      <c r="J2729" s="1">
        <v>44094</v>
      </c>
      <c r="L2729" t="s">
        <v>14</v>
      </c>
      <c r="M2729">
        <v>3430.25</v>
      </c>
      <c r="N2729">
        <v>3430.25</v>
      </c>
      <c r="O2729" t="s">
        <v>21</v>
      </c>
      <c r="P2729">
        <f t="shared" si="129"/>
        <v>0</v>
      </c>
      <c r="Q2729" s="11">
        <f>IF(P2729=0,0,IFERROR(Q2728+G2729*M2729*IF(E2729="FUTURE",VLOOKUP(MID(I2729,2,2),[1]Futures!$A$2:$B$12,2),1),G2729*M2729*IF(E2729="FUTURE",VLOOKUP(MID(I2729,2,2),[1]Futures!$A$2:$B$12,2),1)))</f>
        <v>0</v>
      </c>
      <c r="R2729" s="12" t="str">
        <f>IFERROR(Q2729/P2729/IF(E2729="FUTURE",VLOOKUP(MID(I2729,2,2),[1]Futures!$A$2:$B$12,2),1),"")</f>
        <v/>
      </c>
      <c r="S2729" s="13">
        <f>IF(AND(H2729="TO CLOSE",P2729=0),-G2729*(M2729-R2728)*IF(E2729="FUTURE",VLOOKUP(MID(I2729,2,2),[1]Futures!$A$2:$B$12,2),1),"")</f>
        <v>150</v>
      </c>
    </row>
    <row r="2730" spans="1:19" x14ac:dyDescent="0.2">
      <c r="A2730">
        <f t="shared" si="128"/>
        <v>893</v>
      </c>
      <c r="B2730" s="3">
        <v>44068</v>
      </c>
      <c r="C2730" s="3" t="str">
        <f t="shared" si="130"/>
        <v>Tuesday</v>
      </c>
      <c r="D2730" s="2">
        <v>0.4065509259259259</v>
      </c>
      <c r="E2730" t="s">
        <v>14</v>
      </c>
      <c r="F2730" t="s">
        <v>19</v>
      </c>
      <c r="G2730">
        <v>1</v>
      </c>
      <c r="H2730" t="s">
        <v>20</v>
      </c>
      <c r="I2730" t="s">
        <v>79</v>
      </c>
      <c r="J2730" s="1">
        <v>44094</v>
      </c>
      <c r="L2730" t="s">
        <v>14</v>
      </c>
      <c r="M2730">
        <v>3431</v>
      </c>
      <c r="N2730">
        <v>3431</v>
      </c>
      <c r="O2730" t="s">
        <v>24</v>
      </c>
      <c r="P2730">
        <f t="shared" si="129"/>
        <v>1</v>
      </c>
      <c r="Q2730" s="11">
        <f>IF(P2730=0,0,IFERROR(Q2729+G2730*M2730*IF(E2730="FUTURE",VLOOKUP(MID(I2730,2,2),[1]Futures!$A$2:$B$12,2),1),G2730*M2730*IF(E2730="FUTURE",VLOOKUP(MID(I2730,2,2),[1]Futures!$A$2:$B$12,2),1)))</f>
        <v>171550</v>
      </c>
      <c r="R2730" s="12">
        <f>IFERROR(Q2730/P2730/IF(E2730="FUTURE",VLOOKUP(MID(I2730,2,2),[1]Futures!$A$2:$B$12,2),1),"")</f>
        <v>3431</v>
      </c>
      <c r="S2730" s="13" t="str">
        <f>IF(AND(H2730="TO CLOSE",P2730=0),-G2730*(M2730-R2729)*IF(E2730="FUTURE",VLOOKUP(MID(I2730,2,2),[1]Futures!$A$2:$B$12,2),1),"")</f>
        <v/>
      </c>
    </row>
    <row r="2731" spans="1:19" x14ac:dyDescent="0.2">
      <c r="A2731">
        <f t="shared" si="128"/>
        <v>893</v>
      </c>
      <c r="B2731" s="3">
        <v>44068</v>
      </c>
      <c r="C2731" s="3" t="str">
        <f t="shared" si="130"/>
        <v>Tuesday</v>
      </c>
      <c r="D2731" s="2">
        <v>0.50015046296296295</v>
      </c>
      <c r="E2731" t="s">
        <v>14</v>
      </c>
      <c r="F2731" t="s">
        <v>19</v>
      </c>
      <c r="G2731">
        <v>1</v>
      </c>
      <c r="H2731" t="s">
        <v>20</v>
      </c>
      <c r="I2731" t="s">
        <v>79</v>
      </c>
      <c r="J2731" s="1">
        <v>44094</v>
      </c>
      <c r="L2731" t="s">
        <v>14</v>
      </c>
      <c r="M2731">
        <v>3427</v>
      </c>
      <c r="N2731">
        <v>3427</v>
      </c>
      <c r="O2731" t="s">
        <v>21</v>
      </c>
      <c r="P2731">
        <f t="shared" si="129"/>
        <v>2</v>
      </c>
      <c r="Q2731" s="11">
        <f>IF(P2731=0,0,IFERROR(Q2730+G2731*M2731*IF(E2731="FUTURE",VLOOKUP(MID(I2731,2,2),[1]Futures!$A$2:$B$12,2),1),G2731*M2731*IF(E2731="FUTURE",VLOOKUP(MID(I2731,2,2),[1]Futures!$A$2:$B$12,2),1)))</f>
        <v>342900</v>
      </c>
      <c r="R2731" s="12">
        <f>IFERROR(Q2731/P2731/IF(E2731="FUTURE",VLOOKUP(MID(I2731,2,2),[1]Futures!$A$2:$B$12,2),1),"")</f>
        <v>3429</v>
      </c>
      <c r="S2731" s="13" t="str">
        <f>IF(AND(H2731="TO CLOSE",P2731=0),-G2731*(M2731-R2730)*IF(E2731="FUTURE",VLOOKUP(MID(I2731,2,2),[1]Futures!$A$2:$B$12,2),1),"")</f>
        <v/>
      </c>
    </row>
    <row r="2732" spans="1:19" x14ac:dyDescent="0.2">
      <c r="A2732">
        <f t="shared" si="128"/>
        <v>893</v>
      </c>
      <c r="B2732" s="3">
        <v>44068</v>
      </c>
      <c r="C2732" s="3" t="str">
        <f t="shared" si="130"/>
        <v>Tuesday</v>
      </c>
      <c r="D2732" s="2">
        <v>0.5053819444444444</v>
      </c>
      <c r="E2732" t="s">
        <v>14</v>
      </c>
      <c r="F2732" t="s">
        <v>15</v>
      </c>
      <c r="G2732">
        <v>-2</v>
      </c>
      <c r="H2732" t="s">
        <v>16</v>
      </c>
      <c r="I2732" t="s">
        <v>79</v>
      </c>
      <c r="J2732" s="1">
        <v>44094</v>
      </c>
      <c r="L2732" t="s">
        <v>14</v>
      </c>
      <c r="M2732">
        <v>3424.25</v>
      </c>
      <c r="N2732">
        <v>3424.25</v>
      </c>
      <c r="O2732" t="s">
        <v>18</v>
      </c>
      <c r="P2732">
        <f t="shared" si="129"/>
        <v>0</v>
      </c>
      <c r="Q2732" s="11">
        <f>IF(P2732=0,0,IFERROR(Q2731+G2732*M2732*IF(E2732="FUTURE",VLOOKUP(MID(I2732,2,2),[1]Futures!$A$2:$B$12,2),1),G2732*M2732*IF(E2732="FUTURE",VLOOKUP(MID(I2732,2,2),[1]Futures!$A$2:$B$12,2),1)))</f>
        <v>0</v>
      </c>
      <c r="R2732" s="12" t="str">
        <f>IFERROR(Q2732/P2732/IF(E2732="FUTURE",VLOOKUP(MID(I2732,2,2),[1]Futures!$A$2:$B$12,2),1),"")</f>
        <v/>
      </c>
      <c r="S2732" s="13">
        <f>IF(AND(H2732="TO CLOSE",P2732=0),-G2732*(M2732-R2731)*IF(E2732="FUTURE",VLOOKUP(MID(I2732,2,2),[1]Futures!$A$2:$B$12,2),1),"")</f>
        <v>-475</v>
      </c>
    </row>
    <row r="2733" spans="1:19" x14ac:dyDescent="0.2">
      <c r="A2733">
        <f t="shared" si="128"/>
        <v>894</v>
      </c>
      <c r="B2733" s="3">
        <v>44068</v>
      </c>
      <c r="C2733" s="3" t="str">
        <f t="shared" si="130"/>
        <v>Tuesday</v>
      </c>
      <c r="D2733" s="2">
        <v>0.50609953703703703</v>
      </c>
      <c r="E2733" t="s">
        <v>14</v>
      </c>
      <c r="F2733" t="s">
        <v>19</v>
      </c>
      <c r="G2733">
        <v>2</v>
      </c>
      <c r="H2733" t="s">
        <v>20</v>
      </c>
      <c r="I2733" t="s">
        <v>79</v>
      </c>
      <c r="J2733" s="1">
        <v>44094</v>
      </c>
      <c r="L2733" t="s">
        <v>14</v>
      </c>
      <c r="M2733">
        <v>3427</v>
      </c>
      <c r="N2733">
        <v>3427</v>
      </c>
      <c r="O2733" t="s">
        <v>24</v>
      </c>
      <c r="P2733">
        <f t="shared" si="129"/>
        <v>2</v>
      </c>
      <c r="Q2733" s="11">
        <f>IF(P2733=0,0,IFERROR(Q2732+G2733*M2733*IF(E2733="FUTURE",VLOOKUP(MID(I2733,2,2),[1]Futures!$A$2:$B$12,2),1),G2733*M2733*IF(E2733="FUTURE",VLOOKUP(MID(I2733,2,2),[1]Futures!$A$2:$B$12,2),1)))</f>
        <v>342700</v>
      </c>
      <c r="R2733" s="12">
        <f>IFERROR(Q2733/P2733/IF(E2733="FUTURE",VLOOKUP(MID(I2733,2,2),[1]Futures!$A$2:$B$12,2),1),"")</f>
        <v>3427</v>
      </c>
      <c r="S2733" s="13" t="str">
        <f>IF(AND(H2733="TO CLOSE",P2733=0),-G2733*(M2733-R2732)*IF(E2733="FUTURE",VLOOKUP(MID(I2733,2,2),[1]Futures!$A$2:$B$12,2),1),"")</f>
        <v/>
      </c>
    </row>
    <row r="2734" spans="1:19" x14ac:dyDescent="0.2">
      <c r="A2734">
        <f t="shared" si="128"/>
        <v>894</v>
      </c>
      <c r="B2734" s="3">
        <v>44068</v>
      </c>
      <c r="C2734" s="3" t="str">
        <f t="shared" si="130"/>
        <v>Tuesday</v>
      </c>
      <c r="D2734" s="2">
        <v>0.53200231481481486</v>
      </c>
      <c r="E2734" t="s">
        <v>14</v>
      </c>
      <c r="F2734" t="s">
        <v>15</v>
      </c>
      <c r="G2734">
        <v>-1</v>
      </c>
      <c r="H2734" t="s">
        <v>16</v>
      </c>
      <c r="I2734" t="s">
        <v>79</v>
      </c>
      <c r="J2734" s="1">
        <v>44094</v>
      </c>
      <c r="L2734" t="s">
        <v>14</v>
      </c>
      <c r="M2734">
        <v>3430.5</v>
      </c>
      <c r="N2734">
        <v>3430.5</v>
      </c>
      <c r="O2734" t="s">
        <v>21</v>
      </c>
      <c r="P2734">
        <f t="shared" si="129"/>
        <v>1</v>
      </c>
      <c r="Q2734" s="11">
        <f>IF(P2734=0,0,IFERROR(Q2733+G2734*M2734*IF(E2734="FUTURE",VLOOKUP(MID(I2734,2,2),[1]Futures!$A$2:$B$12,2),1),G2734*M2734*IF(E2734="FUTURE",VLOOKUP(MID(I2734,2,2),[1]Futures!$A$2:$B$12,2),1)))</f>
        <v>171175</v>
      </c>
      <c r="R2734" s="12">
        <f>IFERROR(Q2734/P2734/IF(E2734="FUTURE",VLOOKUP(MID(I2734,2,2),[1]Futures!$A$2:$B$12,2),1),"")</f>
        <v>3423.5</v>
      </c>
      <c r="S2734" s="13" t="str">
        <f>IF(AND(H2734="TO CLOSE",P2734=0),-G2734*(M2734-R2733)*IF(E2734="FUTURE",VLOOKUP(MID(I2734,2,2),[1]Futures!$A$2:$B$12,2),1),"")</f>
        <v/>
      </c>
    </row>
    <row r="2735" spans="1:19" x14ac:dyDescent="0.2">
      <c r="A2735">
        <f t="shared" si="128"/>
        <v>894</v>
      </c>
      <c r="B2735" s="3">
        <v>44068</v>
      </c>
      <c r="C2735" s="3" t="str">
        <f t="shared" si="130"/>
        <v>Tuesday</v>
      </c>
      <c r="D2735" s="2">
        <v>0.54182870370370373</v>
      </c>
      <c r="E2735" t="s">
        <v>14</v>
      </c>
      <c r="F2735" t="s">
        <v>19</v>
      </c>
      <c r="G2735">
        <v>1</v>
      </c>
      <c r="H2735" t="s">
        <v>20</v>
      </c>
      <c r="I2735" t="s">
        <v>79</v>
      </c>
      <c r="J2735" s="1">
        <v>44094</v>
      </c>
      <c r="L2735" t="s">
        <v>14</v>
      </c>
      <c r="M2735">
        <v>3429.5</v>
      </c>
      <c r="N2735">
        <v>3429.5</v>
      </c>
      <c r="O2735" t="s">
        <v>21</v>
      </c>
      <c r="P2735">
        <f t="shared" si="129"/>
        <v>2</v>
      </c>
      <c r="Q2735" s="11">
        <f>IF(P2735=0,0,IFERROR(Q2734+G2735*M2735*IF(E2735="FUTURE",VLOOKUP(MID(I2735,2,2),[1]Futures!$A$2:$B$12,2),1),G2735*M2735*IF(E2735="FUTURE",VLOOKUP(MID(I2735,2,2),[1]Futures!$A$2:$B$12,2),1)))</f>
        <v>342650</v>
      </c>
      <c r="R2735" s="12">
        <f>IFERROR(Q2735/P2735/IF(E2735="FUTURE",VLOOKUP(MID(I2735,2,2),[1]Futures!$A$2:$B$12,2),1),"")</f>
        <v>3426.5</v>
      </c>
      <c r="S2735" s="13" t="str">
        <f>IF(AND(H2735="TO CLOSE",P2735=0),-G2735*(M2735-R2734)*IF(E2735="FUTURE",VLOOKUP(MID(I2735,2,2),[1]Futures!$A$2:$B$12,2),1),"")</f>
        <v/>
      </c>
    </row>
    <row r="2736" spans="1:19" x14ac:dyDescent="0.2">
      <c r="A2736">
        <f t="shared" si="128"/>
        <v>894</v>
      </c>
      <c r="B2736" s="3">
        <v>44068</v>
      </c>
      <c r="C2736" s="3" t="str">
        <f t="shared" si="130"/>
        <v>Tuesday</v>
      </c>
      <c r="D2736" s="2">
        <v>0.54350694444444447</v>
      </c>
      <c r="E2736" t="s">
        <v>14</v>
      </c>
      <c r="F2736" t="s">
        <v>15</v>
      </c>
      <c r="G2736">
        <v>-2</v>
      </c>
      <c r="H2736" t="s">
        <v>16</v>
      </c>
      <c r="I2736" t="s">
        <v>79</v>
      </c>
      <c r="J2736" s="1">
        <v>44094</v>
      </c>
      <c r="L2736" t="s">
        <v>14</v>
      </c>
      <c r="M2736">
        <v>3430</v>
      </c>
      <c r="N2736">
        <v>3430</v>
      </c>
      <c r="O2736" t="s">
        <v>24</v>
      </c>
      <c r="P2736">
        <f t="shared" si="129"/>
        <v>0</v>
      </c>
      <c r="Q2736" s="11">
        <f>IF(P2736=0,0,IFERROR(Q2735+G2736*M2736*IF(E2736="FUTURE",VLOOKUP(MID(I2736,2,2),[1]Futures!$A$2:$B$12,2),1),G2736*M2736*IF(E2736="FUTURE",VLOOKUP(MID(I2736,2,2),[1]Futures!$A$2:$B$12,2),1)))</f>
        <v>0</v>
      </c>
      <c r="R2736" s="12" t="str">
        <f>IFERROR(Q2736/P2736/IF(E2736="FUTURE",VLOOKUP(MID(I2736,2,2),[1]Futures!$A$2:$B$12,2),1),"")</f>
        <v/>
      </c>
      <c r="S2736" s="13">
        <f>IF(AND(H2736="TO CLOSE",P2736=0),-G2736*(M2736-R2735)*IF(E2736="FUTURE",VLOOKUP(MID(I2736,2,2),[1]Futures!$A$2:$B$12,2),1),"")</f>
        <v>350</v>
      </c>
    </row>
    <row r="2737" spans="1:19" x14ac:dyDescent="0.2">
      <c r="A2737">
        <f t="shared" si="128"/>
        <v>895</v>
      </c>
      <c r="B2737" s="3">
        <v>44068</v>
      </c>
      <c r="C2737" s="3" t="str">
        <f t="shared" si="130"/>
        <v>Tuesday</v>
      </c>
      <c r="D2737" s="2">
        <v>0.40609953703703705</v>
      </c>
      <c r="E2737" t="s">
        <v>22</v>
      </c>
      <c r="F2737" t="s">
        <v>19</v>
      </c>
      <c r="G2737">
        <v>400</v>
      </c>
      <c r="H2737" t="s">
        <v>20</v>
      </c>
      <c r="I2737" t="s">
        <v>23</v>
      </c>
      <c r="L2737" t="s">
        <v>22</v>
      </c>
      <c r="M2737">
        <v>24.767399999999999</v>
      </c>
      <c r="N2737">
        <v>24.767399999999999</v>
      </c>
      <c r="O2737" t="s">
        <v>24</v>
      </c>
      <c r="P2737">
        <f t="shared" si="129"/>
        <v>400</v>
      </c>
      <c r="Q2737" s="11">
        <f>IF(P2737=0,0,IFERROR(Q2736+G2737*M2737*IF(E2737="FUTURE",VLOOKUP(MID(I2737,2,2),[1]Futures!$A$2:$B$12,2),1),G2737*M2737*IF(E2737="FUTURE",VLOOKUP(MID(I2737,2,2),[1]Futures!$A$2:$B$12,2),1)))</f>
        <v>9906.9599999999991</v>
      </c>
      <c r="R2737" s="12">
        <f>IFERROR(Q2737/P2737/IF(E2737="FUTURE",VLOOKUP(MID(I2737,2,2),[1]Futures!$A$2:$B$12,2),1),"")</f>
        <v>24.767399999999999</v>
      </c>
      <c r="S2737" s="13" t="str">
        <f>IF(AND(H2737="TO CLOSE",P2737=0),-G2737*(M2737-R2736)*IF(E2737="FUTURE",VLOOKUP(MID(I2737,2,2),[1]Futures!$A$2:$B$12,2),1),"")</f>
        <v/>
      </c>
    </row>
    <row r="2738" spans="1:19" x14ac:dyDescent="0.2">
      <c r="A2738">
        <f t="shared" si="128"/>
        <v>895</v>
      </c>
      <c r="B2738" s="3">
        <v>44068</v>
      </c>
      <c r="C2738" s="3" t="str">
        <f t="shared" si="130"/>
        <v>Tuesday</v>
      </c>
      <c r="D2738" s="2">
        <v>0.41089120370370374</v>
      </c>
      <c r="E2738" t="s">
        <v>22</v>
      </c>
      <c r="F2738" t="s">
        <v>15</v>
      </c>
      <c r="G2738">
        <v>-400</v>
      </c>
      <c r="H2738" t="s">
        <v>16</v>
      </c>
      <c r="I2738" t="s">
        <v>23</v>
      </c>
      <c r="L2738" t="s">
        <v>22</v>
      </c>
      <c r="M2738">
        <v>24.77</v>
      </c>
      <c r="N2738">
        <v>24.77</v>
      </c>
      <c r="O2738" t="s">
        <v>21</v>
      </c>
      <c r="P2738">
        <f t="shared" si="129"/>
        <v>0</v>
      </c>
      <c r="Q2738" s="11">
        <f>IF(P2738=0,0,IFERROR(Q2737+G2738*M2738*IF(E2738="FUTURE",VLOOKUP(MID(I2738,2,2),[1]Futures!$A$2:$B$12,2),1),G2738*M2738*IF(E2738="FUTURE",VLOOKUP(MID(I2738,2,2),[1]Futures!$A$2:$B$12,2),1)))</f>
        <v>0</v>
      </c>
      <c r="R2738" s="12" t="str">
        <f>IFERROR(Q2738/P2738/IF(E2738="FUTURE",VLOOKUP(MID(I2738,2,2),[1]Futures!$A$2:$B$12,2),1),"")</f>
        <v/>
      </c>
      <c r="S2738" s="13">
        <f>IF(AND(H2738="TO CLOSE",P2738=0),-G2738*(M2738-R2737)*IF(E2738="FUTURE",VLOOKUP(MID(I2738,2,2),[1]Futures!$A$2:$B$12,2),1),"")</f>
        <v>1.0400000000004184</v>
      </c>
    </row>
    <row r="2739" spans="1:19" x14ac:dyDescent="0.2">
      <c r="A2739">
        <f t="shared" si="128"/>
        <v>896</v>
      </c>
      <c r="B2739" s="3">
        <v>44068</v>
      </c>
      <c r="C2739" s="3" t="str">
        <f t="shared" si="130"/>
        <v>Tuesday</v>
      </c>
      <c r="D2739" s="2">
        <v>0.41585648148148152</v>
      </c>
      <c r="E2739" t="s">
        <v>22</v>
      </c>
      <c r="F2739" t="s">
        <v>15</v>
      </c>
      <c r="G2739">
        <v>-400</v>
      </c>
      <c r="H2739" t="s">
        <v>20</v>
      </c>
      <c r="I2739" t="s">
        <v>23</v>
      </c>
      <c r="L2739" t="s">
        <v>22</v>
      </c>
      <c r="M2739">
        <v>24.870100000000001</v>
      </c>
      <c r="N2739">
        <v>24.870100000000001</v>
      </c>
      <c r="O2739" t="s">
        <v>24</v>
      </c>
      <c r="P2739">
        <f t="shared" si="129"/>
        <v>-400</v>
      </c>
      <c r="Q2739" s="11">
        <f>IF(P2739=0,0,IFERROR(Q2738+G2739*M2739*IF(E2739="FUTURE",VLOOKUP(MID(I2739,2,2),[1]Futures!$A$2:$B$12,2),1),G2739*M2739*IF(E2739="FUTURE",VLOOKUP(MID(I2739,2,2),[1]Futures!$A$2:$B$12,2),1)))</f>
        <v>-9948.0400000000009</v>
      </c>
      <c r="R2739" s="12">
        <f>IFERROR(Q2739/P2739/IF(E2739="FUTURE",VLOOKUP(MID(I2739,2,2),[1]Futures!$A$2:$B$12,2),1),"")</f>
        <v>24.870100000000001</v>
      </c>
      <c r="S2739" s="13" t="str">
        <f>IF(AND(H2739="TO CLOSE",P2739=0),-G2739*(M2739-R2738)*IF(E2739="FUTURE",VLOOKUP(MID(I2739,2,2),[1]Futures!$A$2:$B$12,2),1),"")</f>
        <v/>
      </c>
    </row>
    <row r="2740" spans="1:19" x14ac:dyDescent="0.2">
      <c r="A2740">
        <f t="shared" si="128"/>
        <v>896</v>
      </c>
      <c r="B2740" s="3">
        <v>44068</v>
      </c>
      <c r="C2740" s="3" t="str">
        <f t="shared" si="130"/>
        <v>Tuesday</v>
      </c>
      <c r="D2740" s="2">
        <v>0.43677083333333333</v>
      </c>
      <c r="E2740" t="s">
        <v>22</v>
      </c>
      <c r="F2740" t="s">
        <v>15</v>
      </c>
      <c r="G2740">
        <v>-28</v>
      </c>
      <c r="H2740" t="s">
        <v>20</v>
      </c>
      <c r="I2740" t="s">
        <v>23</v>
      </c>
      <c r="L2740" t="s">
        <v>22</v>
      </c>
      <c r="M2740">
        <v>25.06</v>
      </c>
      <c r="N2740">
        <v>25.06</v>
      </c>
      <c r="O2740" t="s">
        <v>21</v>
      </c>
      <c r="P2740">
        <f t="shared" si="129"/>
        <v>-428</v>
      </c>
      <c r="Q2740" s="11">
        <f>IF(P2740=0,0,IFERROR(Q2739+G2740*M2740*IF(E2740="FUTURE",VLOOKUP(MID(I2740,2,2),[1]Futures!$A$2:$B$12,2),1),G2740*M2740*IF(E2740="FUTURE",VLOOKUP(MID(I2740,2,2),[1]Futures!$A$2:$B$12,2),1)))</f>
        <v>-10649.720000000001</v>
      </c>
      <c r="R2740" s="12">
        <f>IFERROR(Q2740/P2740/IF(E2740="FUTURE",VLOOKUP(MID(I2740,2,2),[1]Futures!$A$2:$B$12,2),1),"")</f>
        <v>24.882523364485984</v>
      </c>
      <c r="S2740" s="13" t="str">
        <f>IF(AND(H2740="TO CLOSE",P2740=0),-G2740*(M2740-R2739)*IF(E2740="FUTURE",VLOOKUP(MID(I2740,2,2),[1]Futures!$A$2:$B$12,2),1),"")</f>
        <v/>
      </c>
    </row>
    <row r="2741" spans="1:19" x14ac:dyDescent="0.2">
      <c r="A2741">
        <f t="shared" si="128"/>
        <v>896</v>
      </c>
      <c r="B2741" s="3">
        <v>44068</v>
      </c>
      <c r="C2741" s="3" t="str">
        <f t="shared" si="130"/>
        <v>Tuesday</v>
      </c>
      <c r="D2741" s="2">
        <v>0.43677083333333333</v>
      </c>
      <c r="E2741" t="s">
        <v>22</v>
      </c>
      <c r="F2741" t="s">
        <v>15</v>
      </c>
      <c r="G2741">
        <v>-172</v>
      </c>
      <c r="H2741" t="s">
        <v>20</v>
      </c>
      <c r="I2741" t="s">
        <v>23</v>
      </c>
      <c r="L2741" t="s">
        <v>22</v>
      </c>
      <c r="M2741">
        <v>25.06</v>
      </c>
      <c r="N2741">
        <v>25.06</v>
      </c>
      <c r="O2741" t="s">
        <v>21</v>
      </c>
      <c r="P2741">
        <f t="shared" si="129"/>
        <v>-600</v>
      </c>
      <c r="Q2741" s="11">
        <f>IF(P2741=0,0,IFERROR(Q2740+G2741*M2741*IF(E2741="FUTURE",VLOOKUP(MID(I2741,2,2),[1]Futures!$A$2:$B$12,2),1),G2741*M2741*IF(E2741="FUTURE",VLOOKUP(MID(I2741,2,2),[1]Futures!$A$2:$B$12,2),1)))</f>
        <v>-14960.04</v>
      </c>
      <c r="R2741" s="12">
        <f>IFERROR(Q2741/P2741/IF(E2741="FUTURE",VLOOKUP(MID(I2741,2,2),[1]Futures!$A$2:$B$12,2),1),"")</f>
        <v>24.933400000000002</v>
      </c>
      <c r="S2741" s="13" t="str">
        <f>IF(AND(H2741="TO CLOSE",P2741=0),-G2741*(M2741-R2740)*IF(E2741="FUTURE",VLOOKUP(MID(I2741,2,2),[1]Futures!$A$2:$B$12,2),1),"")</f>
        <v/>
      </c>
    </row>
    <row r="2742" spans="1:19" x14ac:dyDescent="0.2">
      <c r="A2742">
        <f t="shared" si="128"/>
        <v>896</v>
      </c>
      <c r="B2742" s="3">
        <v>44068</v>
      </c>
      <c r="C2742" s="3" t="str">
        <f t="shared" si="130"/>
        <v>Tuesday</v>
      </c>
      <c r="D2742" s="2">
        <v>0.47414351851851855</v>
      </c>
      <c r="E2742" t="s">
        <v>22</v>
      </c>
      <c r="F2742" t="s">
        <v>19</v>
      </c>
      <c r="G2742">
        <v>9</v>
      </c>
      <c r="H2742" t="s">
        <v>16</v>
      </c>
      <c r="I2742" t="s">
        <v>23</v>
      </c>
      <c r="L2742" t="s">
        <v>22</v>
      </c>
      <c r="M2742">
        <v>24.92</v>
      </c>
      <c r="N2742">
        <v>24.92</v>
      </c>
      <c r="O2742" t="s">
        <v>18</v>
      </c>
      <c r="P2742">
        <f t="shared" si="129"/>
        <v>-591</v>
      </c>
      <c r="Q2742" s="11">
        <f>IF(P2742=0,0,IFERROR(Q2741+G2742*M2742*IF(E2742="FUTURE",VLOOKUP(MID(I2742,2,2),[1]Futures!$A$2:$B$12,2),1),G2742*M2742*IF(E2742="FUTURE",VLOOKUP(MID(I2742,2,2),[1]Futures!$A$2:$B$12,2),1)))</f>
        <v>-14735.76</v>
      </c>
      <c r="R2742" s="12">
        <f>IFERROR(Q2742/P2742/IF(E2742="FUTURE",VLOOKUP(MID(I2742,2,2),[1]Futures!$A$2:$B$12,2),1),"")</f>
        <v>24.933604060913705</v>
      </c>
      <c r="S2742" s="13" t="str">
        <f>IF(AND(H2742="TO CLOSE",P2742=0),-G2742*(M2742-R2741)*IF(E2742="FUTURE",VLOOKUP(MID(I2742,2,2),[1]Futures!$A$2:$B$12,2),1),"")</f>
        <v/>
      </c>
    </row>
    <row r="2743" spans="1:19" x14ac:dyDescent="0.2">
      <c r="A2743">
        <f t="shared" si="128"/>
        <v>896</v>
      </c>
      <c r="B2743" s="3">
        <v>44068</v>
      </c>
      <c r="C2743" s="3" t="str">
        <f t="shared" si="130"/>
        <v>Tuesday</v>
      </c>
      <c r="D2743" s="2">
        <v>0.47414351851851855</v>
      </c>
      <c r="E2743" t="s">
        <v>22</v>
      </c>
      <c r="F2743" t="s">
        <v>19</v>
      </c>
      <c r="G2743">
        <v>591</v>
      </c>
      <c r="H2743" t="s">
        <v>16</v>
      </c>
      <c r="I2743" t="s">
        <v>23</v>
      </c>
      <c r="L2743" t="s">
        <v>22</v>
      </c>
      <c r="M2743">
        <v>24.92</v>
      </c>
      <c r="N2743">
        <v>24.92</v>
      </c>
      <c r="O2743" t="s">
        <v>18</v>
      </c>
      <c r="P2743">
        <f t="shared" si="129"/>
        <v>0</v>
      </c>
      <c r="Q2743" s="11">
        <f>IF(P2743=0,0,IFERROR(Q2742+G2743*M2743*IF(E2743="FUTURE",VLOOKUP(MID(I2743,2,2),[1]Futures!$A$2:$B$12,2),1),G2743*M2743*IF(E2743="FUTURE",VLOOKUP(MID(I2743,2,2),[1]Futures!$A$2:$B$12,2),1)))</f>
        <v>0</v>
      </c>
      <c r="R2743" s="12" t="str">
        <f>IFERROR(Q2743/P2743/IF(E2743="FUTURE",VLOOKUP(MID(I2743,2,2),[1]Futures!$A$2:$B$12,2),1),"")</f>
        <v/>
      </c>
      <c r="S2743" s="13">
        <f>IF(AND(H2743="TO CLOSE",P2743=0),-G2743*(M2743-R2742)*IF(E2743="FUTURE",VLOOKUP(MID(I2743,2,2),[1]Futures!$A$2:$B$12,2),1),"")</f>
        <v>8.0399999999986882</v>
      </c>
    </row>
    <row r="2744" spans="1:19" x14ac:dyDescent="0.2">
      <c r="A2744">
        <f t="shared" si="128"/>
        <v>897</v>
      </c>
      <c r="B2744" s="3">
        <v>44068</v>
      </c>
      <c r="C2744" s="3" t="str">
        <f t="shared" si="130"/>
        <v>Tuesday</v>
      </c>
      <c r="D2744" s="2">
        <v>0.49180555555555555</v>
      </c>
      <c r="E2744" t="s">
        <v>22</v>
      </c>
      <c r="F2744" t="s">
        <v>15</v>
      </c>
      <c r="G2744">
        <v>-180</v>
      </c>
      <c r="H2744" t="s">
        <v>20</v>
      </c>
      <c r="I2744" t="s">
        <v>23</v>
      </c>
      <c r="L2744" t="s">
        <v>22</v>
      </c>
      <c r="M2744">
        <v>24.960999999999999</v>
      </c>
      <c r="N2744">
        <v>24.960999999999999</v>
      </c>
      <c r="O2744" t="s">
        <v>24</v>
      </c>
      <c r="P2744">
        <f t="shared" si="129"/>
        <v>-180</v>
      </c>
      <c r="Q2744" s="11">
        <f>IF(P2744=0,0,IFERROR(Q2743+G2744*M2744*IF(E2744="FUTURE",VLOOKUP(MID(I2744,2,2),[1]Futures!$A$2:$B$12,2),1),G2744*M2744*IF(E2744="FUTURE",VLOOKUP(MID(I2744,2,2),[1]Futures!$A$2:$B$12,2),1)))</f>
        <v>-4492.9799999999996</v>
      </c>
      <c r="R2744" s="12">
        <f>IFERROR(Q2744/P2744/IF(E2744="FUTURE",VLOOKUP(MID(I2744,2,2),[1]Futures!$A$2:$B$12,2),1),"")</f>
        <v>24.960999999999999</v>
      </c>
      <c r="S2744" s="13" t="str">
        <f>IF(AND(H2744="TO CLOSE",P2744=0),-G2744*(M2744-R2743)*IF(E2744="FUTURE",VLOOKUP(MID(I2744,2,2),[1]Futures!$A$2:$B$12,2),1),"")</f>
        <v/>
      </c>
    </row>
    <row r="2745" spans="1:19" x14ac:dyDescent="0.2">
      <c r="A2745">
        <f t="shared" si="128"/>
        <v>897</v>
      </c>
      <c r="B2745" s="3">
        <v>44068</v>
      </c>
      <c r="C2745" s="3" t="str">
        <f t="shared" si="130"/>
        <v>Tuesday</v>
      </c>
      <c r="D2745" s="2">
        <v>0.49180555555555555</v>
      </c>
      <c r="E2745" t="s">
        <v>22</v>
      </c>
      <c r="F2745" t="s">
        <v>15</v>
      </c>
      <c r="G2745">
        <v>-20</v>
      </c>
      <c r="H2745" t="s">
        <v>20</v>
      </c>
      <c r="I2745" t="s">
        <v>23</v>
      </c>
      <c r="L2745" t="s">
        <v>22</v>
      </c>
      <c r="M2745">
        <v>24.960999999999999</v>
      </c>
      <c r="N2745">
        <v>24.960999999999999</v>
      </c>
      <c r="O2745" t="s">
        <v>24</v>
      </c>
      <c r="P2745">
        <f t="shared" si="129"/>
        <v>-200</v>
      </c>
      <c r="Q2745" s="11">
        <f>IF(P2745=0,0,IFERROR(Q2744+G2745*M2745*IF(E2745="FUTURE",VLOOKUP(MID(I2745,2,2),[1]Futures!$A$2:$B$12,2),1),G2745*M2745*IF(E2745="FUTURE",VLOOKUP(MID(I2745,2,2),[1]Futures!$A$2:$B$12,2),1)))</f>
        <v>-4992.2</v>
      </c>
      <c r="R2745" s="12">
        <f>IFERROR(Q2745/P2745/IF(E2745="FUTURE",VLOOKUP(MID(I2745,2,2),[1]Futures!$A$2:$B$12,2),1),"")</f>
        <v>24.960999999999999</v>
      </c>
      <c r="S2745" s="13" t="str">
        <f>IF(AND(H2745="TO CLOSE",P2745=0),-G2745*(M2745-R2744)*IF(E2745="FUTURE",VLOOKUP(MID(I2745,2,2),[1]Futures!$A$2:$B$12,2),1),"")</f>
        <v/>
      </c>
    </row>
    <row r="2746" spans="1:19" x14ac:dyDescent="0.2">
      <c r="A2746">
        <f t="shared" si="128"/>
        <v>897</v>
      </c>
      <c r="B2746" s="3">
        <v>44068</v>
      </c>
      <c r="C2746" s="3" t="str">
        <f t="shared" si="130"/>
        <v>Tuesday</v>
      </c>
      <c r="D2746" s="2">
        <v>0.49180555555555555</v>
      </c>
      <c r="E2746" t="s">
        <v>22</v>
      </c>
      <c r="F2746" t="s">
        <v>15</v>
      </c>
      <c r="G2746">
        <v>-200</v>
      </c>
      <c r="H2746" t="s">
        <v>20</v>
      </c>
      <c r="I2746" t="s">
        <v>23</v>
      </c>
      <c r="L2746" t="s">
        <v>22</v>
      </c>
      <c r="M2746">
        <v>24.965</v>
      </c>
      <c r="N2746">
        <v>24.965</v>
      </c>
      <c r="O2746" t="s">
        <v>24</v>
      </c>
      <c r="P2746">
        <f t="shared" si="129"/>
        <v>-400</v>
      </c>
      <c r="Q2746" s="11">
        <f>IF(P2746=0,0,IFERROR(Q2745+G2746*M2746*IF(E2746="FUTURE",VLOOKUP(MID(I2746,2,2),[1]Futures!$A$2:$B$12,2),1),G2746*M2746*IF(E2746="FUTURE",VLOOKUP(MID(I2746,2,2),[1]Futures!$A$2:$B$12,2),1)))</f>
        <v>-9985.2000000000007</v>
      </c>
      <c r="R2746" s="12">
        <f>IFERROR(Q2746/P2746/IF(E2746="FUTURE",VLOOKUP(MID(I2746,2,2),[1]Futures!$A$2:$B$12,2),1),"")</f>
        <v>24.963000000000001</v>
      </c>
      <c r="S2746" s="13" t="str">
        <f>IF(AND(H2746="TO CLOSE",P2746=0),-G2746*(M2746-R2745)*IF(E2746="FUTURE",VLOOKUP(MID(I2746,2,2),[1]Futures!$A$2:$B$12,2),1),"")</f>
        <v/>
      </c>
    </row>
    <row r="2747" spans="1:19" x14ac:dyDescent="0.2">
      <c r="A2747">
        <f t="shared" si="128"/>
        <v>897</v>
      </c>
      <c r="B2747" s="3">
        <v>44068</v>
      </c>
      <c r="C2747" s="3" t="str">
        <f t="shared" si="130"/>
        <v>Tuesday</v>
      </c>
      <c r="D2747" s="2">
        <v>0.49576388888888889</v>
      </c>
      <c r="E2747" t="s">
        <v>22</v>
      </c>
      <c r="F2747" t="s">
        <v>19</v>
      </c>
      <c r="G2747">
        <v>400</v>
      </c>
      <c r="H2747" t="s">
        <v>16</v>
      </c>
      <c r="I2747" t="s">
        <v>23</v>
      </c>
      <c r="L2747" t="s">
        <v>22</v>
      </c>
      <c r="M2747">
        <v>24.908000000000001</v>
      </c>
      <c r="N2747">
        <v>24.908000000000001</v>
      </c>
      <c r="O2747" t="s">
        <v>24</v>
      </c>
      <c r="P2747">
        <f t="shared" si="129"/>
        <v>0</v>
      </c>
      <c r="Q2747" s="11">
        <f>IF(P2747=0,0,IFERROR(Q2746+G2747*M2747*IF(E2747="FUTURE",VLOOKUP(MID(I2747,2,2),[1]Futures!$A$2:$B$12,2),1),G2747*M2747*IF(E2747="FUTURE",VLOOKUP(MID(I2747,2,2),[1]Futures!$A$2:$B$12,2),1)))</f>
        <v>0</v>
      </c>
      <c r="R2747" s="12" t="str">
        <f>IFERROR(Q2747/P2747/IF(E2747="FUTURE",VLOOKUP(MID(I2747,2,2),[1]Futures!$A$2:$B$12,2),1),"")</f>
        <v/>
      </c>
      <c r="S2747" s="13">
        <f>IF(AND(H2747="TO CLOSE",P2747=0),-G2747*(M2747-R2746)*IF(E2747="FUTURE",VLOOKUP(MID(I2747,2,2),[1]Futures!$A$2:$B$12,2),1),"")</f>
        <v>21.999999999999886</v>
      </c>
    </row>
    <row r="2748" spans="1:19" x14ac:dyDescent="0.2">
      <c r="A2748">
        <f t="shared" si="128"/>
        <v>898</v>
      </c>
      <c r="B2748" s="3">
        <v>44069</v>
      </c>
      <c r="C2748" s="3" t="str">
        <f t="shared" si="130"/>
        <v>Wednesday</v>
      </c>
      <c r="D2748" s="2">
        <v>0.36483796296296295</v>
      </c>
      <c r="E2748" t="s">
        <v>14</v>
      </c>
      <c r="F2748" t="s">
        <v>15</v>
      </c>
      <c r="G2748">
        <v>-1</v>
      </c>
      <c r="H2748" t="s">
        <v>20</v>
      </c>
      <c r="I2748" t="s">
        <v>82</v>
      </c>
      <c r="J2748" s="1">
        <v>44124</v>
      </c>
      <c r="L2748" t="s">
        <v>14</v>
      </c>
      <c r="M2748">
        <v>43.2</v>
      </c>
      <c r="N2748">
        <v>43.2</v>
      </c>
      <c r="O2748" t="s">
        <v>21</v>
      </c>
      <c r="P2748">
        <f t="shared" si="129"/>
        <v>-1</v>
      </c>
      <c r="Q2748" s="11">
        <f>IF(P2748=0,0,IFERROR(Q2747+G2748*M2748*IF(E2748="FUTURE",VLOOKUP(MID(I2748,2,2),[1]Futures!$A$2:$B$12,2),1),G2748*M2748*IF(E2748="FUTURE",VLOOKUP(MID(I2748,2,2),[1]Futures!$A$2:$B$12,2),1)))</f>
        <v>-43200</v>
      </c>
      <c r="R2748" s="12">
        <f>IFERROR(Q2748/P2748/IF(E2748="FUTURE",VLOOKUP(MID(I2748,2,2),[1]Futures!$A$2:$B$12,2),1),"")</f>
        <v>43.2</v>
      </c>
      <c r="S2748" s="13" t="str">
        <f>IF(AND(H2748="TO CLOSE",P2748=0),-G2748*(M2748-R2747)*IF(E2748="FUTURE",VLOOKUP(MID(I2748,2,2),[1]Futures!$A$2:$B$12,2),1),"")</f>
        <v/>
      </c>
    </row>
    <row r="2749" spans="1:19" x14ac:dyDescent="0.2">
      <c r="A2749">
        <f t="shared" si="128"/>
        <v>898</v>
      </c>
      <c r="B2749" s="3">
        <v>44069</v>
      </c>
      <c r="C2749" s="3" t="str">
        <f t="shared" si="130"/>
        <v>Wednesday</v>
      </c>
      <c r="D2749" s="2">
        <v>0.38325231481481481</v>
      </c>
      <c r="E2749" t="s">
        <v>14</v>
      </c>
      <c r="F2749" t="s">
        <v>15</v>
      </c>
      <c r="G2749">
        <v>-1</v>
      </c>
      <c r="H2749" t="s">
        <v>20</v>
      </c>
      <c r="I2749" t="s">
        <v>82</v>
      </c>
      <c r="J2749" s="1">
        <v>44124</v>
      </c>
      <c r="L2749" t="s">
        <v>14</v>
      </c>
      <c r="M2749">
        <v>43.42</v>
      </c>
      <c r="N2749">
        <v>43.42</v>
      </c>
      <c r="O2749" t="s">
        <v>21</v>
      </c>
      <c r="P2749">
        <f t="shared" si="129"/>
        <v>-2</v>
      </c>
      <c r="Q2749" s="11">
        <f>IF(P2749=0,0,IFERROR(Q2748+G2749*M2749*IF(E2749="FUTURE",VLOOKUP(MID(I2749,2,2),[1]Futures!$A$2:$B$12,2),1),G2749*M2749*IF(E2749="FUTURE",VLOOKUP(MID(I2749,2,2),[1]Futures!$A$2:$B$12,2),1)))</f>
        <v>-86620</v>
      </c>
      <c r="R2749" s="12">
        <f>IFERROR(Q2749/P2749/IF(E2749="FUTURE",VLOOKUP(MID(I2749,2,2),[1]Futures!$A$2:$B$12,2),1),"")</f>
        <v>43.31</v>
      </c>
      <c r="S2749" s="13" t="str">
        <f>IF(AND(H2749="TO CLOSE",P2749=0),-G2749*(M2749-R2748)*IF(E2749="FUTURE",VLOOKUP(MID(I2749,2,2),[1]Futures!$A$2:$B$12,2),1),"")</f>
        <v/>
      </c>
    </row>
    <row r="2750" spans="1:19" x14ac:dyDescent="0.2">
      <c r="A2750">
        <f t="shared" si="128"/>
        <v>898</v>
      </c>
      <c r="B2750" s="3">
        <v>44069</v>
      </c>
      <c r="C2750" s="3" t="str">
        <f t="shared" si="130"/>
        <v>Wednesday</v>
      </c>
      <c r="D2750" s="2">
        <v>0.39238425925925924</v>
      </c>
      <c r="E2750" t="s">
        <v>14</v>
      </c>
      <c r="F2750" t="s">
        <v>15</v>
      </c>
      <c r="G2750">
        <v>-1</v>
      </c>
      <c r="H2750" t="s">
        <v>20</v>
      </c>
      <c r="I2750" t="s">
        <v>82</v>
      </c>
      <c r="J2750" s="1">
        <v>44124</v>
      </c>
      <c r="L2750" t="s">
        <v>14</v>
      </c>
      <c r="M2750">
        <v>43.63</v>
      </c>
      <c r="N2750">
        <v>43.63</v>
      </c>
      <c r="O2750" t="s">
        <v>21</v>
      </c>
      <c r="P2750">
        <f t="shared" si="129"/>
        <v>-3</v>
      </c>
      <c r="Q2750" s="11">
        <f>IF(P2750=0,0,IFERROR(Q2749+G2750*M2750*IF(E2750="FUTURE",VLOOKUP(MID(I2750,2,2),[1]Futures!$A$2:$B$12,2),1),G2750*M2750*IF(E2750="FUTURE",VLOOKUP(MID(I2750,2,2),[1]Futures!$A$2:$B$12,2),1)))</f>
        <v>-130250</v>
      </c>
      <c r="R2750" s="12">
        <f>IFERROR(Q2750/P2750/IF(E2750="FUTURE",VLOOKUP(MID(I2750,2,2),[1]Futures!$A$2:$B$12,2),1),"")</f>
        <v>43.416666666666664</v>
      </c>
      <c r="S2750" s="13" t="str">
        <f>IF(AND(H2750="TO CLOSE",P2750=0),-G2750*(M2750-R2749)*IF(E2750="FUTURE",VLOOKUP(MID(I2750,2,2),[1]Futures!$A$2:$B$12,2),1),"")</f>
        <v/>
      </c>
    </row>
    <row r="2751" spans="1:19" x14ac:dyDescent="0.2">
      <c r="A2751">
        <f t="shared" si="128"/>
        <v>898</v>
      </c>
      <c r="B2751" s="3">
        <v>44069</v>
      </c>
      <c r="C2751" s="3" t="str">
        <f t="shared" si="130"/>
        <v>Wednesday</v>
      </c>
      <c r="D2751" s="2">
        <v>0.39739583333333334</v>
      </c>
      <c r="E2751" t="s">
        <v>14</v>
      </c>
      <c r="F2751" t="s">
        <v>19</v>
      </c>
      <c r="G2751">
        <v>1</v>
      </c>
      <c r="H2751" t="s">
        <v>16</v>
      </c>
      <c r="I2751" t="s">
        <v>82</v>
      </c>
      <c r="J2751" s="1">
        <v>44124</v>
      </c>
      <c r="L2751" t="s">
        <v>14</v>
      </c>
      <c r="M2751">
        <v>43.51</v>
      </c>
      <c r="N2751">
        <v>43.51</v>
      </c>
      <c r="O2751" t="s">
        <v>21</v>
      </c>
      <c r="P2751">
        <f t="shared" si="129"/>
        <v>-2</v>
      </c>
      <c r="Q2751" s="11">
        <f>IF(P2751=0,0,IFERROR(Q2750+G2751*M2751*IF(E2751="FUTURE",VLOOKUP(MID(I2751,2,2),[1]Futures!$A$2:$B$12,2),1),G2751*M2751*IF(E2751="FUTURE",VLOOKUP(MID(I2751,2,2),[1]Futures!$A$2:$B$12,2),1)))</f>
        <v>-86740</v>
      </c>
      <c r="R2751" s="12">
        <f>IFERROR(Q2751/P2751/IF(E2751="FUTURE",VLOOKUP(MID(I2751,2,2),[1]Futures!$A$2:$B$12,2),1),"")</f>
        <v>43.37</v>
      </c>
      <c r="S2751" s="13" t="str">
        <f>IF(AND(H2751="TO CLOSE",P2751=0),-G2751*(M2751-R2750)*IF(E2751="FUTURE",VLOOKUP(MID(I2751,2,2),[1]Futures!$A$2:$B$12,2),1),"")</f>
        <v/>
      </c>
    </row>
    <row r="2752" spans="1:19" x14ac:dyDescent="0.2">
      <c r="A2752">
        <f t="shared" si="128"/>
        <v>898</v>
      </c>
      <c r="B2752" s="3">
        <v>44069</v>
      </c>
      <c r="C2752" s="3" t="str">
        <f t="shared" si="130"/>
        <v>Wednesday</v>
      </c>
      <c r="D2752" s="2">
        <v>0.42528935185185185</v>
      </c>
      <c r="E2752" t="s">
        <v>14</v>
      </c>
      <c r="F2752" t="s">
        <v>15</v>
      </c>
      <c r="G2752">
        <v>-1</v>
      </c>
      <c r="H2752" t="s">
        <v>20</v>
      </c>
      <c r="I2752" t="s">
        <v>82</v>
      </c>
      <c r="J2752" s="1">
        <v>44124</v>
      </c>
      <c r="L2752" t="s">
        <v>14</v>
      </c>
      <c r="M2752">
        <v>43.72</v>
      </c>
      <c r="N2752">
        <v>43.72</v>
      </c>
      <c r="O2752" t="s">
        <v>21</v>
      </c>
      <c r="P2752">
        <f t="shared" si="129"/>
        <v>-3</v>
      </c>
      <c r="Q2752" s="11">
        <f>IF(P2752=0,0,IFERROR(Q2751+G2752*M2752*IF(E2752="FUTURE",VLOOKUP(MID(I2752,2,2),[1]Futures!$A$2:$B$12,2),1),G2752*M2752*IF(E2752="FUTURE",VLOOKUP(MID(I2752,2,2),[1]Futures!$A$2:$B$12,2),1)))</f>
        <v>-130460</v>
      </c>
      <c r="R2752" s="12">
        <f>IFERROR(Q2752/P2752/IF(E2752="FUTURE",VLOOKUP(MID(I2752,2,2),[1]Futures!$A$2:$B$12,2),1),"")</f>
        <v>43.486666666666665</v>
      </c>
      <c r="S2752" s="13" t="str">
        <f>IF(AND(H2752="TO CLOSE",P2752=0),-G2752*(M2752-R2751)*IF(E2752="FUTURE",VLOOKUP(MID(I2752,2,2),[1]Futures!$A$2:$B$12,2),1),"")</f>
        <v/>
      </c>
    </row>
    <row r="2753" spans="1:19" x14ac:dyDescent="0.2">
      <c r="A2753">
        <f t="shared" si="128"/>
        <v>898</v>
      </c>
      <c r="B2753" s="3">
        <v>44069</v>
      </c>
      <c r="C2753" s="3" t="str">
        <f t="shared" si="130"/>
        <v>Wednesday</v>
      </c>
      <c r="D2753" s="2">
        <v>0.43197916666666664</v>
      </c>
      <c r="E2753" t="s">
        <v>14</v>
      </c>
      <c r="F2753" t="s">
        <v>19</v>
      </c>
      <c r="G2753">
        <v>1</v>
      </c>
      <c r="H2753" t="s">
        <v>16</v>
      </c>
      <c r="I2753" t="s">
        <v>82</v>
      </c>
      <c r="J2753" s="1">
        <v>44124</v>
      </c>
      <c r="L2753" t="s">
        <v>14</v>
      </c>
      <c r="M2753">
        <v>43.59</v>
      </c>
      <c r="N2753">
        <v>43.59</v>
      </c>
      <c r="O2753" t="s">
        <v>21</v>
      </c>
      <c r="P2753">
        <f t="shared" si="129"/>
        <v>-2</v>
      </c>
      <c r="Q2753" s="11">
        <f>IF(P2753=0,0,IFERROR(Q2752+G2753*M2753*IF(E2753="FUTURE",VLOOKUP(MID(I2753,2,2),[1]Futures!$A$2:$B$12,2),1),G2753*M2753*IF(E2753="FUTURE",VLOOKUP(MID(I2753,2,2),[1]Futures!$A$2:$B$12,2),1)))</f>
        <v>-86870</v>
      </c>
      <c r="R2753" s="12">
        <f>IFERROR(Q2753/P2753/IF(E2753="FUTURE",VLOOKUP(MID(I2753,2,2),[1]Futures!$A$2:$B$12,2),1),"")</f>
        <v>43.435000000000002</v>
      </c>
      <c r="S2753" s="13" t="str">
        <f>IF(AND(H2753="TO CLOSE",P2753=0),-G2753*(M2753-R2752)*IF(E2753="FUTURE",VLOOKUP(MID(I2753,2,2),[1]Futures!$A$2:$B$12,2),1),"")</f>
        <v/>
      </c>
    </row>
    <row r="2754" spans="1:19" x14ac:dyDescent="0.2">
      <c r="A2754">
        <f t="shared" ref="A2754:A2817" si="131">IF(AND(P2753=0,H2753="TO CLOSE"),IFERROR(A2753+1,1),IFERROR(A2753/1,1))</f>
        <v>898</v>
      </c>
      <c r="B2754" s="3">
        <v>44069</v>
      </c>
      <c r="C2754" s="3" t="str">
        <f t="shared" si="130"/>
        <v>Wednesday</v>
      </c>
      <c r="D2754" s="2">
        <v>0.46326388888888892</v>
      </c>
      <c r="E2754" t="s">
        <v>14</v>
      </c>
      <c r="F2754" t="s">
        <v>19</v>
      </c>
      <c r="G2754">
        <v>1</v>
      </c>
      <c r="H2754" t="s">
        <v>16</v>
      </c>
      <c r="I2754" t="s">
        <v>82</v>
      </c>
      <c r="J2754" s="1">
        <v>44124</v>
      </c>
      <c r="L2754" t="s">
        <v>14</v>
      </c>
      <c r="M2754">
        <v>43.38</v>
      </c>
      <c r="N2754">
        <v>43.38</v>
      </c>
      <c r="O2754" t="s">
        <v>21</v>
      </c>
      <c r="P2754">
        <f t="shared" si="129"/>
        <v>-1</v>
      </c>
      <c r="Q2754" s="11">
        <f>IF(P2754=0,0,IFERROR(Q2753+G2754*M2754*IF(E2754="FUTURE",VLOOKUP(MID(I2754,2,2),[1]Futures!$A$2:$B$12,2),1),G2754*M2754*IF(E2754="FUTURE",VLOOKUP(MID(I2754,2,2),[1]Futures!$A$2:$B$12,2),1)))</f>
        <v>-43490</v>
      </c>
      <c r="R2754" s="12">
        <f>IFERROR(Q2754/P2754/IF(E2754="FUTURE",VLOOKUP(MID(I2754,2,2),[1]Futures!$A$2:$B$12,2),1),"")</f>
        <v>43.49</v>
      </c>
      <c r="S2754" s="13" t="str">
        <f>IF(AND(H2754="TO CLOSE",P2754=0),-G2754*(M2754-R2753)*IF(E2754="FUTURE",VLOOKUP(MID(I2754,2,2),[1]Futures!$A$2:$B$12,2),1),"")</f>
        <v/>
      </c>
    </row>
    <row r="2755" spans="1:19" x14ac:dyDescent="0.2">
      <c r="A2755">
        <f t="shared" si="131"/>
        <v>898</v>
      </c>
      <c r="B2755" s="3">
        <v>44069</v>
      </c>
      <c r="C2755" s="3" t="str">
        <f t="shared" si="130"/>
        <v>Wednesday</v>
      </c>
      <c r="D2755" s="2">
        <v>0.47099537037037037</v>
      </c>
      <c r="E2755" t="s">
        <v>14</v>
      </c>
      <c r="F2755" t="s">
        <v>19</v>
      </c>
      <c r="G2755">
        <v>1</v>
      </c>
      <c r="H2755" t="s">
        <v>16</v>
      </c>
      <c r="I2755" t="s">
        <v>82</v>
      </c>
      <c r="J2755" s="1">
        <v>44124</v>
      </c>
      <c r="L2755" t="s">
        <v>14</v>
      </c>
      <c r="M2755">
        <v>43.25</v>
      </c>
      <c r="N2755">
        <v>43.25</v>
      </c>
      <c r="O2755" t="s">
        <v>21</v>
      </c>
      <c r="P2755">
        <f t="shared" ref="P2755:P2818" si="132">IF(H2755="TO OPEN",IFERROR(P2754+G2755,0+G2755),IFERROR(P2754+G2755,0+G2755))</f>
        <v>0</v>
      </c>
      <c r="Q2755" s="11">
        <f>IF(P2755=0,0,IFERROR(Q2754+G2755*M2755*IF(E2755="FUTURE",VLOOKUP(MID(I2755,2,2),[1]Futures!$A$2:$B$12,2),1),G2755*M2755*IF(E2755="FUTURE",VLOOKUP(MID(I2755,2,2),[1]Futures!$A$2:$B$12,2),1)))</f>
        <v>0</v>
      </c>
      <c r="R2755" s="12" t="str">
        <f>IFERROR(Q2755/P2755/IF(E2755="FUTURE",VLOOKUP(MID(I2755,2,2),[1]Futures!$A$2:$B$12,2),1),"")</f>
        <v/>
      </c>
      <c r="S2755" s="13">
        <f>IF(AND(H2755="TO CLOSE",P2755=0),-G2755*(M2755-R2754)*IF(E2755="FUTURE",VLOOKUP(MID(I2755,2,2),[1]Futures!$A$2:$B$12,2),1),"")</f>
        <v>240.00000000000199</v>
      </c>
    </row>
    <row r="2756" spans="1:19" x14ac:dyDescent="0.2">
      <c r="A2756">
        <f t="shared" si="131"/>
        <v>899</v>
      </c>
      <c r="B2756" s="3">
        <v>44069</v>
      </c>
      <c r="C2756" s="3" t="str">
        <f t="shared" si="130"/>
        <v>Wednesday</v>
      </c>
      <c r="D2756" s="2">
        <v>0.46466435185185184</v>
      </c>
      <c r="E2756" t="s">
        <v>14</v>
      </c>
      <c r="F2756" t="s">
        <v>15</v>
      </c>
      <c r="G2756">
        <v>-1</v>
      </c>
      <c r="H2756" t="s">
        <v>20</v>
      </c>
      <c r="I2756" t="s">
        <v>79</v>
      </c>
      <c r="J2756" s="1">
        <v>44094</v>
      </c>
      <c r="L2756" t="s">
        <v>14</v>
      </c>
      <c r="M2756">
        <v>3452</v>
      </c>
      <c r="N2756">
        <v>3452</v>
      </c>
      <c r="O2756" t="s">
        <v>24</v>
      </c>
      <c r="P2756">
        <f t="shared" si="132"/>
        <v>-1</v>
      </c>
      <c r="Q2756" s="11">
        <f>IF(P2756=0,0,IFERROR(Q2755+G2756*M2756*IF(E2756="FUTURE",VLOOKUP(MID(I2756,2,2),[1]Futures!$A$2:$B$12,2),1),G2756*M2756*IF(E2756="FUTURE",VLOOKUP(MID(I2756,2,2),[1]Futures!$A$2:$B$12,2),1)))</f>
        <v>-172600</v>
      </c>
      <c r="R2756" s="12">
        <f>IFERROR(Q2756/P2756/IF(E2756="FUTURE",VLOOKUP(MID(I2756,2,2),[1]Futures!$A$2:$B$12,2),1),"")</f>
        <v>3452</v>
      </c>
      <c r="S2756" s="13" t="str">
        <f>IF(AND(H2756="TO CLOSE",P2756=0),-G2756*(M2756-R2755)*IF(E2756="FUTURE",VLOOKUP(MID(I2756,2,2),[1]Futures!$A$2:$B$12,2),1),"")</f>
        <v/>
      </c>
    </row>
    <row r="2757" spans="1:19" x14ac:dyDescent="0.2">
      <c r="A2757">
        <f t="shared" si="131"/>
        <v>899</v>
      </c>
      <c r="B2757" s="3">
        <v>44069</v>
      </c>
      <c r="C2757" s="3" t="str">
        <f t="shared" si="130"/>
        <v>Wednesday</v>
      </c>
      <c r="D2757" s="2">
        <v>0.47487268518518522</v>
      </c>
      <c r="E2757" t="s">
        <v>14</v>
      </c>
      <c r="F2757" t="s">
        <v>19</v>
      </c>
      <c r="G2757">
        <v>1</v>
      </c>
      <c r="H2757" t="s">
        <v>16</v>
      </c>
      <c r="I2757" t="s">
        <v>79</v>
      </c>
      <c r="J2757" s="1">
        <v>44094</v>
      </c>
      <c r="L2757" t="s">
        <v>14</v>
      </c>
      <c r="M2757">
        <v>3451.75</v>
      </c>
      <c r="N2757">
        <v>3451.75</v>
      </c>
      <c r="O2757" t="s">
        <v>21</v>
      </c>
      <c r="P2757">
        <f t="shared" si="132"/>
        <v>0</v>
      </c>
      <c r="Q2757" s="11">
        <f>IF(P2757=0,0,IFERROR(Q2756+G2757*M2757*IF(E2757="FUTURE",VLOOKUP(MID(I2757,2,2),[1]Futures!$A$2:$B$12,2),1),G2757*M2757*IF(E2757="FUTURE",VLOOKUP(MID(I2757,2,2),[1]Futures!$A$2:$B$12,2),1)))</f>
        <v>0</v>
      </c>
      <c r="R2757" s="12" t="str">
        <f>IFERROR(Q2757/P2757/IF(E2757="FUTURE",VLOOKUP(MID(I2757,2,2),[1]Futures!$A$2:$B$12,2),1),"")</f>
        <v/>
      </c>
      <c r="S2757" s="13">
        <f>IF(AND(H2757="TO CLOSE",P2757=0),-G2757*(M2757-R2756)*IF(E2757="FUTURE",VLOOKUP(MID(I2757,2,2),[1]Futures!$A$2:$B$12,2),1),"")</f>
        <v>12.5</v>
      </c>
    </row>
    <row r="2758" spans="1:19" x14ac:dyDescent="0.2">
      <c r="A2758">
        <f t="shared" si="131"/>
        <v>900</v>
      </c>
      <c r="B2758" s="3">
        <v>44069</v>
      </c>
      <c r="C2758" s="3" t="str">
        <f t="shared" si="130"/>
        <v>Wednesday</v>
      </c>
      <c r="D2758" s="2">
        <v>0.57711805555555562</v>
      </c>
      <c r="E2758" t="s">
        <v>14</v>
      </c>
      <c r="F2758" t="s">
        <v>15</v>
      </c>
      <c r="G2758">
        <v>-1</v>
      </c>
      <c r="H2758" t="s">
        <v>20</v>
      </c>
      <c r="I2758" t="s">
        <v>79</v>
      </c>
      <c r="J2758" s="1">
        <v>44094</v>
      </c>
      <c r="L2758" t="s">
        <v>14</v>
      </c>
      <c r="M2758">
        <v>3468.5</v>
      </c>
      <c r="N2758">
        <v>3468.5</v>
      </c>
      <c r="O2758" t="s">
        <v>21</v>
      </c>
      <c r="P2758">
        <f t="shared" si="132"/>
        <v>-1</v>
      </c>
      <c r="Q2758" s="11">
        <f>IF(P2758=0,0,IFERROR(Q2757+G2758*M2758*IF(E2758="FUTURE",VLOOKUP(MID(I2758,2,2),[1]Futures!$A$2:$B$12,2),1),G2758*M2758*IF(E2758="FUTURE",VLOOKUP(MID(I2758,2,2),[1]Futures!$A$2:$B$12,2),1)))</f>
        <v>-173425</v>
      </c>
      <c r="R2758" s="12">
        <f>IFERROR(Q2758/P2758/IF(E2758="FUTURE",VLOOKUP(MID(I2758,2,2),[1]Futures!$A$2:$B$12,2),1),"")</f>
        <v>3468.5</v>
      </c>
      <c r="S2758" s="13" t="str">
        <f>IF(AND(H2758="TO CLOSE",P2758=0),-G2758*(M2758-R2757)*IF(E2758="FUTURE",VLOOKUP(MID(I2758,2,2),[1]Futures!$A$2:$B$12,2),1),"")</f>
        <v/>
      </c>
    </row>
    <row r="2759" spans="1:19" x14ac:dyDescent="0.2">
      <c r="A2759">
        <f t="shared" si="131"/>
        <v>900</v>
      </c>
      <c r="B2759" s="3">
        <v>44069</v>
      </c>
      <c r="C2759" s="3" t="str">
        <f t="shared" si="130"/>
        <v>Wednesday</v>
      </c>
      <c r="D2759" s="2">
        <v>0.57743055555555556</v>
      </c>
      <c r="E2759" t="s">
        <v>14</v>
      </c>
      <c r="F2759" t="s">
        <v>19</v>
      </c>
      <c r="G2759">
        <v>1</v>
      </c>
      <c r="H2759" t="s">
        <v>16</v>
      </c>
      <c r="I2759" t="s">
        <v>79</v>
      </c>
      <c r="J2759" s="1">
        <v>44094</v>
      </c>
      <c r="L2759" t="s">
        <v>14</v>
      </c>
      <c r="M2759">
        <v>3467.5</v>
      </c>
      <c r="N2759">
        <v>3467.5</v>
      </c>
      <c r="O2759" t="s">
        <v>21</v>
      </c>
      <c r="P2759">
        <f t="shared" si="132"/>
        <v>0</v>
      </c>
      <c r="Q2759" s="11">
        <f>IF(P2759=0,0,IFERROR(Q2758+G2759*M2759*IF(E2759="FUTURE",VLOOKUP(MID(I2759,2,2),[1]Futures!$A$2:$B$12,2),1),G2759*M2759*IF(E2759="FUTURE",VLOOKUP(MID(I2759,2,2),[1]Futures!$A$2:$B$12,2),1)))</f>
        <v>0</v>
      </c>
      <c r="R2759" s="12" t="str">
        <f>IFERROR(Q2759/P2759/IF(E2759="FUTURE",VLOOKUP(MID(I2759,2,2),[1]Futures!$A$2:$B$12,2),1),"")</f>
        <v/>
      </c>
      <c r="S2759" s="13">
        <f>IF(AND(H2759="TO CLOSE",P2759=0),-G2759*(M2759-R2758)*IF(E2759="FUTURE",VLOOKUP(MID(I2759,2,2),[1]Futures!$A$2:$B$12,2),1),"")</f>
        <v>50</v>
      </c>
    </row>
    <row r="2760" spans="1:19" x14ac:dyDescent="0.2">
      <c r="A2760">
        <f t="shared" si="131"/>
        <v>901</v>
      </c>
      <c r="B2760" s="3">
        <v>44069</v>
      </c>
      <c r="C2760" s="3" t="str">
        <f t="shared" si="130"/>
        <v>Wednesday</v>
      </c>
      <c r="D2760" s="2">
        <v>0.59332175925925923</v>
      </c>
      <c r="E2760" t="s">
        <v>14</v>
      </c>
      <c r="F2760" t="s">
        <v>15</v>
      </c>
      <c r="G2760">
        <v>-1</v>
      </c>
      <c r="H2760" t="s">
        <v>20</v>
      </c>
      <c r="I2760" t="s">
        <v>79</v>
      </c>
      <c r="J2760" s="1">
        <v>44094</v>
      </c>
      <c r="L2760" t="s">
        <v>14</v>
      </c>
      <c r="M2760">
        <v>3473</v>
      </c>
      <c r="N2760">
        <v>3473</v>
      </c>
      <c r="O2760" t="s">
        <v>21</v>
      </c>
      <c r="P2760">
        <f t="shared" si="132"/>
        <v>-1</v>
      </c>
      <c r="Q2760" s="11">
        <f>IF(P2760=0,0,IFERROR(Q2759+G2760*M2760*IF(E2760="FUTURE",VLOOKUP(MID(I2760,2,2),[1]Futures!$A$2:$B$12,2),1),G2760*M2760*IF(E2760="FUTURE",VLOOKUP(MID(I2760,2,2),[1]Futures!$A$2:$B$12,2),1)))</f>
        <v>-173650</v>
      </c>
      <c r="R2760" s="12">
        <f>IFERROR(Q2760/P2760/IF(E2760="FUTURE",VLOOKUP(MID(I2760,2,2),[1]Futures!$A$2:$B$12,2),1),"")</f>
        <v>3473</v>
      </c>
      <c r="S2760" s="13" t="str">
        <f>IF(AND(H2760="TO CLOSE",P2760=0),-G2760*(M2760-R2759)*IF(E2760="FUTURE",VLOOKUP(MID(I2760,2,2),[1]Futures!$A$2:$B$12,2),1),"")</f>
        <v/>
      </c>
    </row>
    <row r="2761" spans="1:19" x14ac:dyDescent="0.2">
      <c r="A2761">
        <f t="shared" si="131"/>
        <v>901</v>
      </c>
      <c r="B2761" s="3">
        <v>44069</v>
      </c>
      <c r="C2761" s="3" t="str">
        <f t="shared" si="130"/>
        <v>Wednesday</v>
      </c>
      <c r="D2761" s="2">
        <v>0.6072453703703703</v>
      </c>
      <c r="E2761" t="s">
        <v>14</v>
      </c>
      <c r="F2761" t="s">
        <v>19</v>
      </c>
      <c r="G2761">
        <v>1</v>
      </c>
      <c r="H2761" t="s">
        <v>16</v>
      </c>
      <c r="I2761" t="s">
        <v>79</v>
      </c>
      <c r="J2761" s="1">
        <v>44094</v>
      </c>
      <c r="L2761" t="s">
        <v>14</v>
      </c>
      <c r="M2761">
        <v>3472.75</v>
      </c>
      <c r="N2761">
        <v>3472.75</v>
      </c>
      <c r="O2761" t="s">
        <v>21</v>
      </c>
      <c r="P2761">
        <f t="shared" si="132"/>
        <v>0</v>
      </c>
      <c r="Q2761" s="11">
        <f>IF(P2761=0,0,IFERROR(Q2760+G2761*M2761*IF(E2761="FUTURE",VLOOKUP(MID(I2761,2,2),[1]Futures!$A$2:$B$12,2),1),G2761*M2761*IF(E2761="FUTURE",VLOOKUP(MID(I2761,2,2),[1]Futures!$A$2:$B$12,2),1)))</f>
        <v>0</v>
      </c>
      <c r="R2761" s="12" t="str">
        <f>IFERROR(Q2761/P2761/IF(E2761="FUTURE",VLOOKUP(MID(I2761,2,2),[1]Futures!$A$2:$B$12,2),1),"")</f>
        <v/>
      </c>
      <c r="S2761" s="13">
        <f>IF(AND(H2761="TO CLOSE",P2761=0),-G2761*(M2761-R2760)*IF(E2761="FUTURE",VLOOKUP(MID(I2761,2,2),[1]Futures!$A$2:$B$12,2),1),"")</f>
        <v>12.5</v>
      </c>
    </row>
    <row r="2762" spans="1:19" x14ac:dyDescent="0.2">
      <c r="A2762">
        <f t="shared" si="131"/>
        <v>902</v>
      </c>
      <c r="B2762" s="3">
        <v>44069</v>
      </c>
      <c r="C2762" s="3" t="str">
        <f t="shared" si="130"/>
        <v>Wednesday</v>
      </c>
      <c r="D2762" s="2">
        <v>0.4914930555555555</v>
      </c>
      <c r="E2762" t="s">
        <v>22</v>
      </c>
      <c r="F2762" t="s">
        <v>19</v>
      </c>
      <c r="G2762">
        <v>400</v>
      </c>
      <c r="H2762" t="s">
        <v>20</v>
      </c>
      <c r="I2762" t="s">
        <v>23</v>
      </c>
      <c r="L2762" t="s">
        <v>22</v>
      </c>
      <c r="M2762">
        <v>23.899799999999999</v>
      </c>
      <c r="N2762">
        <v>23.899799999999999</v>
      </c>
      <c r="O2762" t="s">
        <v>21</v>
      </c>
      <c r="P2762">
        <f t="shared" si="132"/>
        <v>400</v>
      </c>
      <c r="Q2762" s="11">
        <f>IF(P2762=0,0,IFERROR(Q2761+G2762*M2762*IF(E2762="FUTURE",VLOOKUP(MID(I2762,2,2),[1]Futures!$A$2:$B$12,2),1),G2762*M2762*IF(E2762="FUTURE",VLOOKUP(MID(I2762,2,2),[1]Futures!$A$2:$B$12,2),1)))</f>
        <v>9559.92</v>
      </c>
      <c r="R2762" s="12">
        <f>IFERROR(Q2762/P2762/IF(E2762="FUTURE",VLOOKUP(MID(I2762,2,2),[1]Futures!$A$2:$B$12,2),1),"")</f>
        <v>23.899799999999999</v>
      </c>
      <c r="S2762" s="13" t="str">
        <f>IF(AND(H2762="TO CLOSE",P2762=0),-G2762*(M2762-R2761)*IF(E2762="FUTURE",VLOOKUP(MID(I2762,2,2),[1]Futures!$A$2:$B$12,2),1),"")</f>
        <v/>
      </c>
    </row>
    <row r="2763" spans="1:19" x14ac:dyDescent="0.2">
      <c r="A2763">
        <f t="shared" si="131"/>
        <v>902</v>
      </c>
      <c r="B2763" s="3">
        <v>44069</v>
      </c>
      <c r="C2763" s="3" t="str">
        <f t="shared" si="130"/>
        <v>Wednesday</v>
      </c>
      <c r="D2763" s="2">
        <v>0.57184027777777779</v>
      </c>
      <c r="E2763" t="s">
        <v>22</v>
      </c>
      <c r="F2763" t="s">
        <v>15</v>
      </c>
      <c r="G2763">
        <v>-200</v>
      </c>
      <c r="H2763" t="s">
        <v>16</v>
      </c>
      <c r="I2763" t="s">
        <v>23</v>
      </c>
      <c r="L2763" t="s">
        <v>22</v>
      </c>
      <c r="M2763">
        <v>23.952000000000002</v>
      </c>
      <c r="N2763">
        <v>23.952000000000002</v>
      </c>
      <c r="O2763" t="s">
        <v>24</v>
      </c>
      <c r="P2763">
        <f t="shared" si="132"/>
        <v>200</v>
      </c>
      <c r="Q2763" s="11">
        <f>IF(P2763=0,0,IFERROR(Q2762+G2763*M2763*IF(E2763="FUTURE",VLOOKUP(MID(I2763,2,2),[1]Futures!$A$2:$B$12,2),1),G2763*M2763*IF(E2763="FUTURE",VLOOKUP(MID(I2763,2,2),[1]Futures!$A$2:$B$12,2),1)))</f>
        <v>4769.5199999999995</v>
      </c>
      <c r="R2763" s="12">
        <f>IFERROR(Q2763/P2763/IF(E2763="FUTURE",VLOOKUP(MID(I2763,2,2),[1]Futures!$A$2:$B$12,2),1),"")</f>
        <v>23.847599999999996</v>
      </c>
      <c r="S2763" s="13" t="str">
        <f>IF(AND(H2763="TO CLOSE",P2763=0),-G2763*(M2763-R2762)*IF(E2763="FUTURE",VLOOKUP(MID(I2763,2,2),[1]Futures!$A$2:$B$12,2),1),"")</f>
        <v/>
      </c>
    </row>
    <row r="2764" spans="1:19" x14ac:dyDescent="0.2">
      <c r="A2764">
        <f t="shared" si="131"/>
        <v>902</v>
      </c>
      <c r="B2764" s="3">
        <v>44069</v>
      </c>
      <c r="C2764" s="3" t="str">
        <f t="shared" si="130"/>
        <v>Wednesday</v>
      </c>
      <c r="D2764" s="2">
        <v>0.57784722222222229</v>
      </c>
      <c r="E2764" t="s">
        <v>22</v>
      </c>
      <c r="F2764" t="s">
        <v>15</v>
      </c>
      <c r="G2764">
        <v>-193</v>
      </c>
      <c r="H2764" t="s">
        <v>16</v>
      </c>
      <c r="I2764" t="s">
        <v>23</v>
      </c>
      <c r="L2764" t="s">
        <v>22</v>
      </c>
      <c r="M2764">
        <v>24.01</v>
      </c>
      <c r="N2764">
        <v>24.01</v>
      </c>
      <c r="O2764" t="s">
        <v>21</v>
      </c>
      <c r="P2764">
        <f t="shared" si="132"/>
        <v>7</v>
      </c>
      <c r="Q2764" s="11">
        <f>IF(P2764=0,0,IFERROR(Q2763+G2764*M2764*IF(E2764="FUTURE",VLOOKUP(MID(I2764,2,2),[1]Futures!$A$2:$B$12,2),1),G2764*M2764*IF(E2764="FUTURE",VLOOKUP(MID(I2764,2,2),[1]Futures!$A$2:$B$12,2),1)))</f>
        <v>135.58999999999924</v>
      </c>
      <c r="R2764" s="12">
        <f>IFERROR(Q2764/P2764/IF(E2764="FUTURE",VLOOKUP(MID(I2764,2,2),[1]Futures!$A$2:$B$12,2),1),"")</f>
        <v>19.369999999999891</v>
      </c>
      <c r="S2764" s="13" t="str">
        <f>IF(AND(H2764="TO CLOSE",P2764=0),-G2764*(M2764-R2763)*IF(E2764="FUTURE",VLOOKUP(MID(I2764,2,2),[1]Futures!$A$2:$B$12,2),1),"")</f>
        <v/>
      </c>
    </row>
    <row r="2765" spans="1:19" x14ac:dyDescent="0.2">
      <c r="A2765">
        <f t="shared" si="131"/>
        <v>902</v>
      </c>
      <c r="B2765" s="3">
        <v>44069</v>
      </c>
      <c r="C2765" s="3" t="str">
        <f t="shared" si="130"/>
        <v>Wednesday</v>
      </c>
      <c r="D2765" s="2">
        <v>0.57784722222222229</v>
      </c>
      <c r="E2765" t="s">
        <v>22</v>
      </c>
      <c r="F2765" t="s">
        <v>15</v>
      </c>
      <c r="G2765">
        <v>-7</v>
      </c>
      <c r="H2765" t="s">
        <v>16</v>
      </c>
      <c r="I2765" t="s">
        <v>23</v>
      </c>
      <c r="L2765" t="s">
        <v>22</v>
      </c>
      <c r="M2765">
        <v>24.01</v>
      </c>
      <c r="N2765">
        <v>24.01</v>
      </c>
      <c r="O2765" t="s">
        <v>21</v>
      </c>
      <c r="P2765">
        <f t="shared" si="132"/>
        <v>0</v>
      </c>
      <c r="Q2765" s="11">
        <f>IF(P2765=0,0,IFERROR(Q2764+G2765*M2765*IF(E2765="FUTURE",VLOOKUP(MID(I2765,2,2),[1]Futures!$A$2:$B$12,2),1),G2765*M2765*IF(E2765="FUTURE",VLOOKUP(MID(I2765,2,2),[1]Futures!$A$2:$B$12,2),1)))</f>
        <v>0</v>
      </c>
      <c r="R2765" s="12" t="str">
        <f>IFERROR(Q2765/P2765/IF(E2765="FUTURE",VLOOKUP(MID(I2765,2,2),[1]Futures!$A$2:$B$12,2),1),"")</f>
        <v/>
      </c>
      <c r="S2765" s="13">
        <f>IF(AND(H2765="TO CLOSE",P2765=0),-G2765*(M2765-R2764)*IF(E2765="FUTURE",VLOOKUP(MID(I2765,2,2),[1]Futures!$A$2:$B$12,2),1),"")</f>
        <v>32.480000000000771</v>
      </c>
    </row>
    <row r="2766" spans="1:19" x14ac:dyDescent="0.2">
      <c r="A2766">
        <f t="shared" si="131"/>
        <v>903</v>
      </c>
      <c r="B2766" s="3">
        <v>44070</v>
      </c>
      <c r="C2766" s="3" t="str">
        <f t="shared" si="130"/>
        <v>Thursday</v>
      </c>
      <c r="D2766" s="2">
        <v>0.41780092592592594</v>
      </c>
      <c r="E2766" t="s">
        <v>14</v>
      </c>
      <c r="F2766" t="s">
        <v>15</v>
      </c>
      <c r="G2766">
        <v>-1</v>
      </c>
      <c r="H2766" t="s">
        <v>20</v>
      </c>
      <c r="I2766" t="s">
        <v>82</v>
      </c>
      <c r="J2766" s="1">
        <v>44124</v>
      </c>
      <c r="L2766" t="s">
        <v>14</v>
      </c>
      <c r="M2766">
        <v>42.93</v>
      </c>
      <c r="N2766">
        <v>42.93</v>
      </c>
      <c r="O2766" t="s">
        <v>24</v>
      </c>
      <c r="P2766">
        <f t="shared" si="132"/>
        <v>-1</v>
      </c>
      <c r="Q2766" s="11">
        <f>IF(P2766=0,0,IFERROR(Q2765+G2766*M2766*IF(E2766="FUTURE",VLOOKUP(MID(I2766,2,2),[1]Futures!$A$2:$B$12,2),1),G2766*M2766*IF(E2766="FUTURE",VLOOKUP(MID(I2766,2,2),[1]Futures!$A$2:$B$12,2),1)))</f>
        <v>-42930</v>
      </c>
      <c r="R2766" s="12">
        <f>IFERROR(Q2766/P2766/IF(E2766="FUTURE",VLOOKUP(MID(I2766,2,2),[1]Futures!$A$2:$B$12,2),1),"")</f>
        <v>42.93</v>
      </c>
      <c r="S2766" s="13" t="str">
        <f>IF(AND(H2766="TO CLOSE",P2766=0),-G2766*(M2766-R2765)*IF(E2766="FUTURE",VLOOKUP(MID(I2766,2,2),[1]Futures!$A$2:$B$12,2),1),"")</f>
        <v/>
      </c>
    </row>
    <row r="2767" spans="1:19" x14ac:dyDescent="0.2">
      <c r="A2767">
        <f t="shared" si="131"/>
        <v>903</v>
      </c>
      <c r="B2767" s="3">
        <v>44070</v>
      </c>
      <c r="C2767" s="3" t="str">
        <f t="shared" si="130"/>
        <v>Thursday</v>
      </c>
      <c r="D2767" s="2">
        <v>0.4225694444444445</v>
      </c>
      <c r="E2767" t="s">
        <v>14</v>
      </c>
      <c r="F2767" t="s">
        <v>15</v>
      </c>
      <c r="G2767">
        <v>-1</v>
      </c>
      <c r="H2767" t="s">
        <v>20</v>
      </c>
      <c r="I2767" t="s">
        <v>82</v>
      </c>
      <c r="J2767" s="1">
        <v>44124</v>
      </c>
      <c r="L2767" t="s">
        <v>14</v>
      </c>
      <c r="M2767">
        <v>42.78</v>
      </c>
      <c r="N2767">
        <v>42.78</v>
      </c>
      <c r="O2767" t="s">
        <v>18</v>
      </c>
      <c r="P2767">
        <f t="shared" si="132"/>
        <v>-2</v>
      </c>
      <c r="Q2767" s="11">
        <f>IF(P2767=0,0,IFERROR(Q2766+G2767*M2767*IF(E2767="FUTURE",VLOOKUP(MID(I2767,2,2),[1]Futures!$A$2:$B$12,2),1),G2767*M2767*IF(E2767="FUTURE",VLOOKUP(MID(I2767,2,2),[1]Futures!$A$2:$B$12,2),1)))</f>
        <v>-85710</v>
      </c>
      <c r="R2767" s="12">
        <f>IFERROR(Q2767/P2767/IF(E2767="FUTURE",VLOOKUP(MID(I2767,2,2),[1]Futures!$A$2:$B$12,2),1),"")</f>
        <v>42.854999999999997</v>
      </c>
      <c r="S2767" s="13" t="str">
        <f>IF(AND(H2767="TO CLOSE",P2767=0),-G2767*(M2767-R2766)*IF(E2767="FUTURE",VLOOKUP(MID(I2767,2,2),[1]Futures!$A$2:$B$12,2),1),"")</f>
        <v/>
      </c>
    </row>
    <row r="2768" spans="1:19" x14ac:dyDescent="0.2">
      <c r="A2768">
        <f t="shared" si="131"/>
        <v>903</v>
      </c>
      <c r="B2768" s="3">
        <v>44070</v>
      </c>
      <c r="C2768" s="3" t="str">
        <f t="shared" si="130"/>
        <v>Thursday</v>
      </c>
      <c r="D2768" s="2">
        <v>0.42421296296296296</v>
      </c>
      <c r="E2768" t="s">
        <v>14</v>
      </c>
      <c r="F2768" t="s">
        <v>19</v>
      </c>
      <c r="G2768">
        <v>2</v>
      </c>
      <c r="H2768" t="s">
        <v>16</v>
      </c>
      <c r="I2768" t="s">
        <v>82</v>
      </c>
      <c r="J2768" s="1">
        <v>44124</v>
      </c>
      <c r="L2768" t="s">
        <v>14</v>
      </c>
      <c r="M2768">
        <v>42.79</v>
      </c>
      <c r="N2768">
        <v>42.79</v>
      </c>
      <c r="O2768" t="s">
        <v>24</v>
      </c>
      <c r="P2768">
        <f t="shared" si="132"/>
        <v>0</v>
      </c>
      <c r="Q2768" s="11">
        <f>IF(P2768=0,0,IFERROR(Q2767+G2768*M2768*IF(E2768="FUTURE",VLOOKUP(MID(I2768,2,2),[1]Futures!$A$2:$B$12,2),1),G2768*M2768*IF(E2768="FUTURE",VLOOKUP(MID(I2768,2,2),[1]Futures!$A$2:$B$12,2),1)))</f>
        <v>0</v>
      </c>
      <c r="R2768" s="12" t="str">
        <f>IFERROR(Q2768/P2768/IF(E2768="FUTURE",VLOOKUP(MID(I2768,2,2),[1]Futures!$A$2:$B$12,2),1),"")</f>
        <v/>
      </c>
      <c r="S2768" s="13">
        <f>IF(AND(H2768="TO CLOSE",P2768=0),-G2768*(M2768-R2767)*IF(E2768="FUTURE",VLOOKUP(MID(I2768,2,2),[1]Futures!$A$2:$B$12,2),1),"")</f>
        <v>129.99999999999545</v>
      </c>
    </row>
    <row r="2769" spans="1:19" x14ac:dyDescent="0.2">
      <c r="A2769">
        <f t="shared" si="131"/>
        <v>904</v>
      </c>
      <c r="B2769" s="3">
        <v>44070</v>
      </c>
      <c r="C2769" s="3" t="str">
        <f t="shared" si="130"/>
        <v>Thursday</v>
      </c>
      <c r="D2769" s="2">
        <v>0.45187500000000003</v>
      </c>
      <c r="E2769" t="s">
        <v>14</v>
      </c>
      <c r="F2769" t="s">
        <v>19</v>
      </c>
      <c r="G2769">
        <v>1</v>
      </c>
      <c r="H2769" t="s">
        <v>20</v>
      </c>
      <c r="I2769" t="s">
        <v>82</v>
      </c>
      <c r="J2769" s="1">
        <v>44124</v>
      </c>
      <c r="L2769" t="s">
        <v>14</v>
      </c>
      <c r="M2769">
        <v>42.64</v>
      </c>
      <c r="N2769">
        <v>42.64</v>
      </c>
      <c r="O2769" t="s">
        <v>24</v>
      </c>
      <c r="P2769">
        <f t="shared" si="132"/>
        <v>1</v>
      </c>
      <c r="Q2769" s="11">
        <f>IF(P2769=0,0,IFERROR(Q2768+G2769*M2769*IF(E2769="FUTURE",VLOOKUP(MID(I2769,2,2),[1]Futures!$A$2:$B$12,2),1),G2769*M2769*IF(E2769="FUTURE",VLOOKUP(MID(I2769,2,2),[1]Futures!$A$2:$B$12,2),1)))</f>
        <v>42640</v>
      </c>
      <c r="R2769" s="12">
        <f>IFERROR(Q2769/P2769/IF(E2769="FUTURE",VLOOKUP(MID(I2769,2,2),[1]Futures!$A$2:$B$12,2),1),"")</f>
        <v>42.64</v>
      </c>
      <c r="S2769" s="13" t="str">
        <f>IF(AND(H2769="TO CLOSE",P2769=0),-G2769*(M2769-R2768)*IF(E2769="FUTURE",VLOOKUP(MID(I2769,2,2),[1]Futures!$A$2:$B$12,2),1),"")</f>
        <v/>
      </c>
    </row>
    <row r="2770" spans="1:19" x14ac:dyDescent="0.2">
      <c r="A2770">
        <f t="shared" si="131"/>
        <v>904</v>
      </c>
      <c r="B2770" s="3">
        <v>44070</v>
      </c>
      <c r="C2770" s="3" t="str">
        <f t="shared" si="130"/>
        <v>Thursday</v>
      </c>
      <c r="D2770" s="2">
        <v>0.46222222222222226</v>
      </c>
      <c r="E2770" t="s">
        <v>14</v>
      </c>
      <c r="F2770" t="s">
        <v>19</v>
      </c>
      <c r="G2770">
        <v>1</v>
      </c>
      <c r="H2770" t="s">
        <v>20</v>
      </c>
      <c r="I2770" t="s">
        <v>82</v>
      </c>
      <c r="J2770" s="1">
        <v>44124</v>
      </c>
      <c r="L2770" t="s">
        <v>14</v>
      </c>
      <c r="M2770">
        <v>42.52</v>
      </c>
      <c r="N2770">
        <v>42.52</v>
      </c>
      <c r="O2770" t="s">
        <v>21</v>
      </c>
      <c r="P2770">
        <f t="shared" si="132"/>
        <v>2</v>
      </c>
      <c r="Q2770" s="11">
        <f>IF(P2770=0,0,IFERROR(Q2769+G2770*M2770*IF(E2770="FUTURE",VLOOKUP(MID(I2770,2,2),[1]Futures!$A$2:$B$12,2),1),G2770*M2770*IF(E2770="FUTURE",VLOOKUP(MID(I2770,2,2),[1]Futures!$A$2:$B$12,2),1)))</f>
        <v>85160</v>
      </c>
      <c r="R2770" s="12">
        <f>IFERROR(Q2770/P2770/IF(E2770="FUTURE",VLOOKUP(MID(I2770,2,2),[1]Futures!$A$2:$B$12,2),1),"")</f>
        <v>42.58</v>
      </c>
      <c r="S2770" s="13" t="str">
        <f>IF(AND(H2770="TO CLOSE",P2770=0),-G2770*(M2770-R2769)*IF(E2770="FUTURE",VLOOKUP(MID(I2770,2,2),[1]Futures!$A$2:$B$12,2),1),"")</f>
        <v/>
      </c>
    </row>
    <row r="2771" spans="1:19" x14ac:dyDescent="0.2">
      <c r="A2771">
        <f t="shared" si="131"/>
        <v>904</v>
      </c>
      <c r="B2771" s="3">
        <v>44070</v>
      </c>
      <c r="C2771" s="3" t="str">
        <f t="shared" si="130"/>
        <v>Thursday</v>
      </c>
      <c r="D2771" s="2">
        <v>0.47023148148148147</v>
      </c>
      <c r="E2771" t="s">
        <v>14</v>
      </c>
      <c r="F2771" t="s">
        <v>19</v>
      </c>
      <c r="G2771">
        <v>1</v>
      </c>
      <c r="H2771" t="s">
        <v>20</v>
      </c>
      <c r="I2771" t="s">
        <v>82</v>
      </c>
      <c r="J2771" s="1">
        <v>44124</v>
      </c>
      <c r="L2771" t="s">
        <v>14</v>
      </c>
      <c r="M2771">
        <v>42.39</v>
      </c>
      <c r="N2771">
        <v>42.39</v>
      </c>
      <c r="O2771" t="s">
        <v>21</v>
      </c>
      <c r="P2771">
        <f t="shared" si="132"/>
        <v>3</v>
      </c>
      <c r="Q2771" s="11">
        <f>IF(P2771=0,0,IFERROR(Q2770+G2771*M2771*IF(E2771="FUTURE",VLOOKUP(MID(I2771,2,2),[1]Futures!$A$2:$B$12,2),1),G2771*M2771*IF(E2771="FUTURE",VLOOKUP(MID(I2771,2,2),[1]Futures!$A$2:$B$12,2),1)))</f>
        <v>127550</v>
      </c>
      <c r="R2771" s="12">
        <f>IFERROR(Q2771/P2771/IF(E2771="FUTURE",VLOOKUP(MID(I2771,2,2),[1]Futures!$A$2:$B$12,2),1),"")</f>
        <v>42.516666666666666</v>
      </c>
      <c r="S2771" s="13" t="str">
        <f>IF(AND(H2771="TO CLOSE",P2771=0),-G2771*(M2771-R2770)*IF(E2771="FUTURE",VLOOKUP(MID(I2771,2,2),[1]Futures!$A$2:$B$12,2),1),"")</f>
        <v/>
      </c>
    </row>
    <row r="2772" spans="1:19" x14ac:dyDescent="0.2">
      <c r="A2772">
        <f t="shared" si="131"/>
        <v>904</v>
      </c>
      <c r="B2772" s="3">
        <v>44070</v>
      </c>
      <c r="C2772" s="3" t="str">
        <f t="shared" si="130"/>
        <v>Thursday</v>
      </c>
      <c r="D2772" s="2">
        <v>0.47790509259259256</v>
      </c>
      <c r="E2772" t="s">
        <v>14</v>
      </c>
      <c r="F2772" t="s">
        <v>15</v>
      </c>
      <c r="G2772">
        <v>-1</v>
      </c>
      <c r="H2772" t="s">
        <v>16</v>
      </c>
      <c r="I2772" t="s">
        <v>82</v>
      </c>
      <c r="J2772" s="1">
        <v>44124</v>
      </c>
      <c r="L2772" t="s">
        <v>14</v>
      </c>
      <c r="M2772">
        <v>42.56</v>
      </c>
      <c r="N2772">
        <v>42.56</v>
      </c>
      <c r="O2772" t="s">
        <v>21</v>
      </c>
      <c r="P2772">
        <f t="shared" si="132"/>
        <v>2</v>
      </c>
      <c r="Q2772" s="11">
        <f>IF(P2772=0,0,IFERROR(Q2771+G2772*M2772*IF(E2772="FUTURE",VLOOKUP(MID(I2772,2,2),[1]Futures!$A$2:$B$12,2),1),G2772*M2772*IF(E2772="FUTURE",VLOOKUP(MID(I2772,2,2),[1]Futures!$A$2:$B$12,2),1)))</f>
        <v>84990</v>
      </c>
      <c r="R2772" s="12">
        <f>IFERROR(Q2772/P2772/IF(E2772="FUTURE",VLOOKUP(MID(I2772,2,2),[1]Futures!$A$2:$B$12,2),1),"")</f>
        <v>42.494999999999997</v>
      </c>
      <c r="S2772" s="13" t="str">
        <f>IF(AND(H2772="TO CLOSE",P2772=0),-G2772*(M2772-R2771)*IF(E2772="FUTURE",VLOOKUP(MID(I2772,2,2),[1]Futures!$A$2:$B$12,2),1),"")</f>
        <v/>
      </c>
    </row>
    <row r="2773" spans="1:19" x14ac:dyDescent="0.2">
      <c r="A2773">
        <f t="shared" si="131"/>
        <v>904</v>
      </c>
      <c r="B2773" s="3">
        <v>44070</v>
      </c>
      <c r="C2773" s="3" t="str">
        <f t="shared" si="130"/>
        <v>Thursday</v>
      </c>
      <c r="D2773" s="2">
        <v>0.47817129629629629</v>
      </c>
      <c r="E2773" t="s">
        <v>14</v>
      </c>
      <c r="F2773" t="s">
        <v>15</v>
      </c>
      <c r="G2773">
        <v>-1</v>
      </c>
      <c r="H2773" t="s">
        <v>16</v>
      </c>
      <c r="I2773" t="s">
        <v>82</v>
      </c>
      <c r="J2773" s="1">
        <v>44124</v>
      </c>
      <c r="L2773" t="s">
        <v>14</v>
      </c>
      <c r="M2773">
        <v>42.6</v>
      </c>
      <c r="N2773">
        <v>42.6</v>
      </c>
      <c r="O2773" t="s">
        <v>24</v>
      </c>
      <c r="P2773">
        <f t="shared" si="132"/>
        <v>1</v>
      </c>
      <c r="Q2773" s="11">
        <f>IF(P2773=0,0,IFERROR(Q2772+G2773*M2773*IF(E2773="FUTURE",VLOOKUP(MID(I2773,2,2),[1]Futures!$A$2:$B$12,2),1),G2773*M2773*IF(E2773="FUTURE",VLOOKUP(MID(I2773,2,2),[1]Futures!$A$2:$B$12,2),1)))</f>
        <v>42390</v>
      </c>
      <c r="R2773" s="12">
        <f>IFERROR(Q2773/P2773/IF(E2773="FUTURE",VLOOKUP(MID(I2773,2,2),[1]Futures!$A$2:$B$12,2),1),"")</f>
        <v>42.39</v>
      </c>
      <c r="S2773" s="13" t="str">
        <f>IF(AND(H2773="TO CLOSE",P2773=0),-G2773*(M2773-R2772)*IF(E2773="FUTURE",VLOOKUP(MID(I2773,2,2),[1]Futures!$A$2:$B$12,2),1),"")</f>
        <v/>
      </c>
    </row>
    <row r="2774" spans="1:19" x14ac:dyDescent="0.2">
      <c r="A2774">
        <f t="shared" si="131"/>
        <v>904</v>
      </c>
      <c r="B2774" s="3">
        <v>44070</v>
      </c>
      <c r="C2774" s="3" t="str">
        <f t="shared" si="130"/>
        <v>Thursday</v>
      </c>
      <c r="D2774" s="2">
        <v>0.47837962962962965</v>
      </c>
      <c r="E2774" t="s">
        <v>14</v>
      </c>
      <c r="F2774" t="s">
        <v>15</v>
      </c>
      <c r="G2774">
        <v>-1</v>
      </c>
      <c r="H2774" t="s">
        <v>16</v>
      </c>
      <c r="I2774" t="s">
        <v>82</v>
      </c>
      <c r="J2774" s="1">
        <v>44124</v>
      </c>
      <c r="L2774" t="s">
        <v>14</v>
      </c>
      <c r="M2774">
        <v>42.67</v>
      </c>
      <c r="N2774">
        <v>42.67</v>
      </c>
      <c r="O2774" t="s">
        <v>21</v>
      </c>
      <c r="P2774">
        <f t="shared" si="132"/>
        <v>0</v>
      </c>
      <c r="Q2774" s="11">
        <f>IF(P2774=0,0,IFERROR(Q2773+G2774*M2774*IF(E2774="FUTURE",VLOOKUP(MID(I2774,2,2),[1]Futures!$A$2:$B$12,2),1),G2774*M2774*IF(E2774="FUTURE",VLOOKUP(MID(I2774,2,2),[1]Futures!$A$2:$B$12,2),1)))</f>
        <v>0</v>
      </c>
      <c r="R2774" s="12" t="str">
        <f>IFERROR(Q2774/P2774/IF(E2774="FUTURE",VLOOKUP(MID(I2774,2,2),[1]Futures!$A$2:$B$12,2),1),"")</f>
        <v/>
      </c>
      <c r="S2774" s="13">
        <f>IF(AND(H2774="TO CLOSE",P2774=0),-G2774*(M2774-R2773)*IF(E2774="FUTURE",VLOOKUP(MID(I2774,2,2),[1]Futures!$A$2:$B$12,2),1),"")</f>
        <v>280.00000000000114</v>
      </c>
    </row>
    <row r="2775" spans="1:19" x14ac:dyDescent="0.2">
      <c r="A2775">
        <f t="shared" si="131"/>
        <v>905</v>
      </c>
      <c r="B2775" s="3">
        <v>44070</v>
      </c>
      <c r="C2775" s="3" t="str">
        <f t="shared" si="130"/>
        <v>Thursday</v>
      </c>
      <c r="D2775" s="2">
        <v>0.39876157407407403</v>
      </c>
      <c r="E2775" t="s">
        <v>14</v>
      </c>
      <c r="F2775" t="s">
        <v>19</v>
      </c>
      <c r="G2775">
        <v>1</v>
      </c>
      <c r="H2775" t="s">
        <v>20</v>
      </c>
      <c r="I2775" t="s">
        <v>79</v>
      </c>
      <c r="J2775" s="1">
        <v>44094</v>
      </c>
      <c r="L2775" t="s">
        <v>14</v>
      </c>
      <c r="M2775">
        <v>3478.75</v>
      </c>
      <c r="N2775">
        <v>3478.75</v>
      </c>
      <c r="O2775" t="s">
        <v>24</v>
      </c>
      <c r="P2775">
        <f t="shared" si="132"/>
        <v>1</v>
      </c>
      <c r="Q2775" s="11">
        <f>IF(P2775=0,0,IFERROR(Q2774+G2775*M2775*IF(E2775="FUTURE",VLOOKUP(MID(I2775,2,2),[1]Futures!$A$2:$B$12,2),1),G2775*M2775*IF(E2775="FUTURE",VLOOKUP(MID(I2775,2,2),[1]Futures!$A$2:$B$12,2),1)))</f>
        <v>173937.5</v>
      </c>
      <c r="R2775" s="12">
        <f>IFERROR(Q2775/P2775/IF(E2775="FUTURE",VLOOKUP(MID(I2775,2,2),[1]Futures!$A$2:$B$12,2),1),"")</f>
        <v>3478.75</v>
      </c>
      <c r="S2775" s="13" t="str">
        <f>IF(AND(H2775="TO CLOSE",P2775=0),-G2775*(M2775-R2774)*IF(E2775="FUTURE",VLOOKUP(MID(I2775,2,2),[1]Futures!$A$2:$B$12,2),1),"")</f>
        <v/>
      </c>
    </row>
    <row r="2776" spans="1:19" x14ac:dyDescent="0.2">
      <c r="A2776">
        <f t="shared" si="131"/>
        <v>905</v>
      </c>
      <c r="B2776" s="3">
        <v>44070</v>
      </c>
      <c r="C2776" s="3" t="str">
        <f t="shared" si="130"/>
        <v>Thursday</v>
      </c>
      <c r="D2776" s="2">
        <v>0.41028935185185184</v>
      </c>
      <c r="E2776" t="s">
        <v>14</v>
      </c>
      <c r="F2776" t="s">
        <v>15</v>
      </c>
      <c r="G2776">
        <v>-1</v>
      </c>
      <c r="H2776" t="s">
        <v>16</v>
      </c>
      <c r="I2776" t="s">
        <v>79</v>
      </c>
      <c r="J2776" s="1">
        <v>44094</v>
      </c>
      <c r="L2776" t="s">
        <v>14</v>
      </c>
      <c r="M2776">
        <v>3485.75</v>
      </c>
      <c r="N2776">
        <v>3485.75</v>
      </c>
      <c r="O2776" t="s">
        <v>21</v>
      </c>
      <c r="P2776">
        <f t="shared" si="132"/>
        <v>0</v>
      </c>
      <c r="Q2776" s="11">
        <f>IF(P2776=0,0,IFERROR(Q2775+G2776*M2776*IF(E2776="FUTURE",VLOOKUP(MID(I2776,2,2),[1]Futures!$A$2:$B$12,2),1),G2776*M2776*IF(E2776="FUTURE",VLOOKUP(MID(I2776,2,2),[1]Futures!$A$2:$B$12,2),1)))</f>
        <v>0</v>
      </c>
      <c r="R2776" s="12" t="str">
        <f>IFERROR(Q2776/P2776/IF(E2776="FUTURE",VLOOKUP(MID(I2776,2,2),[1]Futures!$A$2:$B$12,2),1),"")</f>
        <v/>
      </c>
      <c r="S2776" s="13">
        <f>IF(AND(H2776="TO CLOSE",P2776=0),-G2776*(M2776-R2775)*IF(E2776="FUTURE",VLOOKUP(MID(I2776,2,2),[1]Futures!$A$2:$B$12,2),1),"")</f>
        <v>350</v>
      </c>
    </row>
    <row r="2777" spans="1:19" x14ac:dyDescent="0.2">
      <c r="A2777">
        <f t="shared" si="131"/>
        <v>906</v>
      </c>
      <c r="B2777" s="3">
        <v>44071</v>
      </c>
      <c r="C2777" s="3" t="str">
        <f t="shared" si="130"/>
        <v>Friday</v>
      </c>
      <c r="D2777" s="2">
        <v>0.39337962962962963</v>
      </c>
      <c r="E2777" t="s">
        <v>14</v>
      </c>
      <c r="F2777" t="s">
        <v>19</v>
      </c>
      <c r="G2777">
        <v>1</v>
      </c>
      <c r="H2777" t="s">
        <v>20</v>
      </c>
      <c r="I2777" t="s">
        <v>79</v>
      </c>
      <c r="J2777" s="1">
        <v>44094</v>
      </c>
      <c r="L2777" t="s">
        <v>14</v>
      </c>
      <c r="M2777">
        <v>3495</v>
      </c>
      <c r="N2777">
        <v>3495</v>
      </c>
      <c r="O2777" t="s">
        <v>24</v>
      </c>
      <c r="P2777">
        <f t="shared" si="132"/>
        <v>1</v>
      </c>
      <c r="Q2777" s="11">
        <f>IF(P2777=0,0,IFERROR(Q2776+G2777*M2777*IF(E2777="FUTURE",VLOOKUP(MID(I2777,2,2),[1]Futures!$A$2:$B$12,2),1),G2777*M2777*IF(E2777="FUTURE",VLOOKUP(MID(I2777,2,2),[1]Futures!$A$2:$B$12,2),1)))</f>
        <v>174750</v>
      </c>
      <c r="R2777" s="12">
        <f>IFERROR(Q2777/P2777/IF(E2777="FUTURE",VLOOKUP(MID(I2777,2,2),[1]Futures!$A$2:$B$12,2),1),"")</f>
        <v>3495</v>
      </c>
      <c r="S2777" s="13" t="str">
        <f>IF(AND(H2777="TO CLOSE",P2777=0),-G2777*(M2777-R2776)*IF(E2777="FUTURE",VLOOKUP(MID(I2777,2,2),[1]Futures!$A$2:$B$12,2),1),"")</f>
        <v/>
      </c>
    </row>
    <row r="2778" spans="1:19" x14ac:dyDescent="0.2">
      <c r="A2778">
        <f t="shared" si="131"/>
        <v>906</v>
      </c>
      <c r="B2778" s="3">
        <v>44071</v>
      </c>
      <c r="C2778" s="3" t="str">
        <f t="shared" si="130"/>
        <v>Friday</v>
      </c>
      <c r="D2778" s="2">
        <v>0.39726851851851852</v>
      </c>
      <c r="E2778" t="s">
        <v>14</v>
      </c>
      <c r="F2778" t="s">
        <v>19</v>
      </c>
      <c r="G2778">
        <v>1</v>
      </c>
      <c r="H2778" t="s">
        <v>20</v>
      </c>
      <c r="I2778" t="s">
        <v>79</v>
      </c>
      <c r="J2778" s="1">
        <v>44094</v>
      </c>
      <c r="L2778" t="s">
        <v>14</v>
      </c>
      <c r="M2778">
        <v>3489</v>
      </c>
      <c r="N2778">
        <v>3489</v>
      </c>
      <c r="O2778" t="s">
        <v>21</v>
      </c>
      <c r="P2778">
        <f t="shared" si="132"/>
        <v>2</v>
      </c>
      <c r="Q2778" s="11">
        <f>IF(P2778=0,0,IFERROR(Q2777+G2778*M2778*IF(E2778="FUTURE",VLOOKUP(MID(I2778,2,2),[1]Futures!$A$2:$B$12,2),1),G2778*M2778*IF(E2778="FUTURE",VLOOKUP(MID(I2778,2,2),[1]Futures!$A$2:$B$12,2),1)))</f>
        <v>349200</v>
      </c>
      <c r="R2778" s="12">
        <f>IFERROR(Q2778/P2778/IF(E2778="FUTURE",VLOOKUP(MID(I2778,2,2),[1]Futures!$A$2:$B$12,2),1),"")</f>
        <v>3492</v>
      </c>
      <c r="S2778" s="13" t="str">
        <f>IF(AND(H2778="TO CLOSE",P2778=0),-G2778*(M2778-R2777)*IF(E2778="FUTURE",VLOOKUP(MID(I2778,2,2),[1]Futures!$A$2:$B$12,2),1),"")</f>
        <v/>
      </c>
    </row>
    <row r="2779" spans="1:19" x14ac:dyDescent="0.2">
      <c r="A2779">
        <f t="shared" si="131"/>
        <v>906</v>
      </c>
      <c r="B2779" s="3">
        <v>44071</v>
      </c>
      <c r="C2779" s="3" t="str">
        <f t="shared" si="130"/>
        <v>Friday</v>
      </c>
      <c r="D2779" s="2">
        <v>0.39964120370370365</v>
      </c>
      <c r="E2779" t="s">
        <v>14</v>
      </c>
      <c r="F2779" t="s">
        <v>15</v>
      </c>
      <c r="G2779">
        <v>-1</v>
      </c>
      <c r="H2779" t="s">
        <v>16</v>
      </c>
      <c r="I2779" t="s">
        <v>79</v>
      </c>
      <c r="J2779" s="1">
        <v>44094</v>
      </c>
      <c r="L2779" t="s">
        <v>14</v>
      </c>
      <c r="M2779">
        <v>3492</v>
      </c>
      <c r="N2779">
        <v>3492</v>
      </c>
      <c r="O2779" t="s">
        <v>21</v>
      </c>
      <c r="P2779">
        <f t="shared" si="132"/>
        <v>1</v>
      </c>
      <c r="Q2779" s="11">
        <f>IF(P2779=0,0,IFERROR(Q2778+G2779*M2779*IF(E2779="FUTURE",VLOOKUP(MID(I2779,2,2),[1]Futures!$A$2:$B$12,2),1),G2779*M2779*IF(E2779="FUTURE",VLOOKUP(MID(I2779,2,2),[1]Futures!$A$2:$B$12,2),1)))</f>
        <v>174600</v>
      </c>
      <c r="R2779" s="12">
        <f>IFERROR(Q2779/P2779/IF(E2779="FUTURE",VLOOKUP(MID(I2779,2,2),[1]Futures!$A$2:$B$12,2),1),"")</f>
        <v>3492</v>
      </c>
      <c r="S2779" s="13" t="str">
        <f>IF(AND(H2779="TO CLOSE",P2779=0),-G2779*(M2779-R2778)*IF(E2779="FUTURE",VLOOKUP(MID(I2779,2,2),[1]Futures!$A$2:$B$12,2),1),"")</f>
        <v/>
      </c>
    </row>
    <row r="2780" spans="1:19" x14ac:dyDescent="0.2">
      <c r="A2780">
        <f t="shared" si="131"/>
        <v>906</v>
      </c>
      <c r="B2780" s="3">
        <v>44071</v>
      </c>
      <c r="C2780" s="3" t="str">
        <f t="shared" si="130"/>
        <v>Friday</v>
      </c>
      <c r="D2780" s="2">
        <v>0.40840277777777773</v>
      </c>
      <c r="E2780" t="s">
        <v>14</v>
      </c>
      <c r="F2780" t="s">
        <v>19</v>
      </c>
      <c r="G2780">
        <v>1</v>
      </c>
      <c r="H2780" t="s">
        <v>20</v>
      </c>
      <c r="I2780" t="s">
        <v>79</v>
      </c>
      <c r="J2780" s="1">
        <v>44094</v>
      </c>
      <c r="L2780" t="s">
        <v>14</v>
      </c>
      <c r="M2780">
        <v>3489</v>
      </c>
      <c r="N2780">
        <v>3489</v>
      </c>
      <c r="O2780" t="s">
        <v>21</v>
      </c>
      <c r="P2780">
        <f t="shared" si="132"/>
        <v>2</v>
      </c>
      <c r="Q2780" s="11">
        <f>IF(P2780=0,0,IFERROR(Q2779+G2780*M2780*IF(E2780="FUTURE",VLOOKUP(MID(I2780,2,2),[1]Futures!$A$2:$B$12,2),1),G2780*M2780*IF(E2780="FUTURE",VLOOKUP(MID(I2780,2,2),[1]Futures!$A$2:$B$12,2),1)))</f>
        <v>349050</v>
      </c>
      <c r="R2780" s="12">
        <f>IFERROR(Q2780/P2780/IF(E2780="FUTURE",VLOOKUP(MID(I2780,2,2),[1]Futures!$A$2:$B$12,2),1),"")</f>
        <v>3490.5</v>
      </c>
      <c r="S2780" s="13" t="str">
        <f>IF(AND(H2780="TO CLOSE",P2780=0),-G2780*(M2780-R2779)*IF(E2780="FUTURE",VLOOKUP(MID(I2780,2,2),[1]Futures!$A$2:$B$12,2),1),"")</f>
        <v/>
      </c>
    </row>
    <row r="2781" spans="1:19" x14ac:dyDescent="0.2">
      <c r="A2781">
        <f t="shared" si="131"/>
        <v>906</v>
      </c>
      <c r="B2781" s="3">
        <v>44071</v>
      </c>
      <c r="C2781" s="3" t="str">
        <f t="shared" si="130"/>
        <v>Friday</v>
      </c>
      <c r="D2781" s="2">
        <v>0.49664351851851851</v>
      </c>
      <c r="E2781" t="s">
        <v>14</v>
      </c>
      <c r="F2781" t="s">
        <v>15</v>
      </c>
      <c r="G2781">
        <v>-1</v>
      </c>
      <c r="H2781" t="s">
        <v>16</v>
      </c>
      <c r="I2781" t="s">
        <v>79</v>
      </c>
      <c r="J2781" s="1">
        <v>44094</v>
      </c>
      <c r="L2781" t="s">
        <v>14</v>
      </c>
      <c r="M2781">
        <v>3492</v>
      </c>
      <c r="N2781">
        <v>3492</v>
      </c>
      <c r="O2781" t="s">
        <v>21</v>
      </c>
      <c r="P2781">
        <f t="shared" si="132"/>
        <v>1</v>
      </c>
      <c r="Q2781" s="11">
        <f>IF(P2781=0,0,IFERROR(Q2780+G2781*M2781*IF(E2781="FUTURE",VLOOKUP(MID(I2781,2,2),[1]Futures!$A$2:$B$12,2),1),G2781*M2781*IF(E2781="FUTURE",VLOOKUP(MID(I2781,2,2),[1]Futures!$A$2:$B$12,2),1)))</f>
        <v>174450</v>
      </c>
      <c r="R2781" s="12">
        <f>IFERROR(Q2781/P2781/IF(E2781="FUTURE",VLOOKUP(MID(I2781,2,2),[1]Futures!$A$2:$B$12,2),1),"")</f>
        <v>3489</v>
      </c>
      <c r="S2781" s="13" t="str">
        <f>IF(AND(H2781="TO CLOSE",P2781=0),-G2781*(M2781-R2780)*IF(E2781="FUTURE",VLOOKUP(MID(I2781,2,2),[1]Futures!$A$2:$B$12,2),1),"")</f>
        <v/>
      </c>
    </row>
    <row r="2782" spans="1:19" x14ac:dyDescent="0.2">
      <c r="A2782">
        <f t="shared" si="131"/>
        <v>906</v>
      </c>
      <c r="B2782" s="3">
        <v>44071</v>
      </c>
      <c r="C2782" s="3" t="str">
        <f t="shared" si="130"/>
        <v>Friday</v>
      </c>
      <c r="D2782" s="2">
        <v>0.5007638888888889</v>
      </c>
      <c r="E2782" t="s">
        <v>14</v>
      </c>
      <c r="F2782" t="s">
        <v>19</v>
      </c>
      <c r="G2782">
        <v>1</v>
      </c>
      <c r="H2782" t="s">
        <v>20</v>
      </c>
      <c r="I2782" t="s">
        <v>79</v>
      </c>
      <c r="J2782" s="1">
        <v>44094</v>
      </c>
      <c r="L2782" t="s">
        <v>14</v>
      </c>
      <c r="M2782">
        <v>3492</v>
      </c>
      <c r="N2782">
        <v>3492</v>
      </c>
      <c r="O2782" t="s">
        <v>18</v>
      </c>
      <c r="P2782">
        <f t="shared" si="132"/>
        <v>2</v>
      </c>
      <c r="Q2782" s="11">
        <f>IF(P2782=0,0,IFERROR(Q2781+G2782*M2782*IF(E2782="FUTURE",VLOOKUP(MID(I2782,2,2),[1]Futures!$A$2:$B$12,2),1),G2782*M2782*IF(E2782="FUTURE",VLOOKUP(MID(I2782,2,2),[1]Futures!$A$2:$B$12,2),1)))</f>
        <v>349050</v>
      </c>
      <c r="R2782" s="12">
        <f>IFERROR(Q2782/P2782/IF(E2782="FUTURE",VLOOKUP(MID(I2782,2,2),[1]Futures!$A$2:$B$12,2),1),"")</f>
        <v>3490.5</v>
      </c>
      <c r="S2782" s="13" t="str">
        <f>IF(AND(H2782="TO CLOSE",P2782=0),-G2782*(M2782-R2781)*IF(E2782="FUTURE",VLOOKUP(MID(I2782,2,2),[1]Futures!$A$2:$B$12,2),1),"")</f>
        <v/>
      </c>
    </row>
    <row r="2783" spans="1:19" x14ac:dyDescent="0.2">
      <c r="A2783">
        <f t="shared" si="131"/>
        <v>906</v>
      </c>
      <c r="B2783" s="3">
        <v>44071</v>
      </c>
      <c r="C2783" s="3" t="str">
        <f t="shared" si="130"/>
        <v>Friday</v>
      </c>
      <c r="D2783" s="2">
        <v>0.50394675925925925</v>
      </c>
      <c r="E2783" t="s">
        <v>14</v>
      </c>
      <c r="F2783" t="s">
        <v>15</v>
      </c>
      <c r="G2783">
        <v>-1</v>
      </c>
      <c r="H2783" t="s">
        <v>16</v>
      </c>
      <c r="I2783" t="s">
        <v>79</v>
      </c>
      <c r="J2783" s="1">
        <v>44094</v>
      </c>
      <c r="L2783" t="s">
        <v>14</v>
      </c>
      <c r="M2783">
        <v>3493</v>
      </c>
      <c r="N2783">
        <v>3493</v>
      </c>
      <c r="O2783" t="s">
        <v>21</v>
      </c>
      <c r="P2783">
        <f t="shared" si="132"/>
        <v>1</v>
      </c>
      <c r="Q2783" s="11">
        <f>IF(P2783=0,0,IFERROR(Q2782+G2783*M2783*IF(E2783="FUTURE",VLOOKUP(MID(I2783,2,2),[1]Futures!$A$2:$B$12,2),1),G2783*M2783*IF(E2783="FUTURE",VLOOKUP(MID(I2783,2,2),[1]Futures!$A$2:$B$12,2),1)))</f>
        <v>174400</v>
      </c>
      <c r="R2783" s="12">
        <f>IFERROR(Q2783/P2783/IF(E2783="FUTURE",VLOOKUP(MID(I2783,2,2),[1]Futures!$A$2:$B$12,2),1),"")</f>
        <v>3488</v>
      </c>
      <c r="S2783" s="13" t="str">
        <f>IF(AND(H2783="TO CLOSE",P2783=0),-G2783*(M2783-R2782)*IF(E2783="FUTURE",VLOOKUP(MID(I2783,2,2),[1]Futures!$A$2:$B$12,2),1),"")</f>
        <v/>
      </c>
    </row>
    <row r="2784" spans="1:19" x14ac:dyDescent="0.2">
      <c r="A2784">
        <f t="shared" si="131"/>
        <v>906</v>
      </c>
      <c r="B2784" s="3">
        <v>44071</v>
      </c>
      <c r="C2784" s="3" t="str">
        <f t="shared" si="130"/>
        <v>Friday</v>
      </c>
      <c r="D2784" s="2">
        <v>0.50434027777777779</v>
      </c>
      <c r="E2784" t="s">
        <v>14</v>
      </c>
      <c r="F2784" t="s">
        <v>15</v>
      </c>
      <c r="G2784">
        <v>-1</v>
      </c>
      <c r="H2784" t="s">
        <v>16</v>
      </c>
      <c r="I2784" t="s">
        <v>79</v>
      </c>
      <c r="J2784" s="1">
        <v>44094</v>
      </c>
      <c r="L2784" t="s">
        <v>14</v>
      </c>
      <c r="M2784">
        <v>3493</v>
      </c>
      <c r="N2784">
        <v>3493</v>
      </c>
      <c r="O2784" t="s">
        <v>21</v>
      </c>
      <c r="P2784">
        <f t="shared" si="132"/>
        <v>0</v>
      </c>
      <c r="Q2784" s="11">
        <f>IF(P2784=0,0,IFERROR(Q2783+G2784*M2784*IF(E2784="FUTURE",VLOOKUP(MID(I2784,2,2),[1]Futures!$A$2:$B$12,2),1),G2784*M2784*IF(E2784="FUTURE",VLOOKUP(MID(I2784,2,2),[1]Futures!$A$2:$B$12,2),1)))</f>
        <v>0</v>
      </c>
      <c r="R2784" s="12" t="str">
        <f>IFERROR(Q2784/P2784/IF(E2784="FUTURE",VLOOKUP(MID(I2784,2,2),[1]Futures!$A$2:$B$12,2),1),"")</f>
        <v/>
      </c>
      <c r="S2784" s="13">
        <f>IF(AND(H2784="TO CLOSE",P2784=0),-G2784*(M2784-R2783)*IF(E2784="FUTURE",VLOOKUP(MID(I2784,2,2),[1]Futures!$A$2:$B$12,2),1),"")</f>
        <v>250</v>
      </c>
    </row>
    <row r="2785" spans="1:19" x14ac:dyDescent="0.2">
      <c r="A2785">
        <f t="shared" si="131"/>
        <v>907</v>
      </c>
      <c r="B2785" s="3">
        <v>44074</v>
      </c>
      <c r="C2785" s="3" t="str">
        <f t="shared" si="130"/>
        <v>Monday</v>
      </c>
      <c r="D2785" s="2">
        <v>0.39634259259259258</v>
      </c>
      <c r="E2785" t="s">
        <v>14</v>
      </c>
      <c r="F2785" t="s">
        <v>15</v>
      </c>
      <c r="G2785">
        <v>-1</v>
      </c>
      <c r="H2785" t="s">
        <v>20</v>
      </c>
      <c r="I2785" t="s">
        <v>82</v>
      </c>
      <c r="J2785" s="1">
        <v>44124</v>
      </c>
      <c r="L2785" t="s">
        <v>14</v>
      </c>
      <c r="M2785">
        <v>43.22</v>
      </c>
      <c r="N2785">
        <v>43.22</v>
      </c>
      <c r="O2785" t="s">
        <v>24</v>
      </c>
      <c r="P2785">
        <f t="shared" si="132"/>
        <v>-1</v>
      </c>
      <c r="Q2785" s="11">
        <f>IF(P2785=0,0,IFERROR(Q2784+G2785*M2785*IF(E2785="FUTURE",VLOOKUP(MID(I2785,2,2),[1]Futures!$A$2:$B$12,2),1),G2785*M2785*IF(E2785="FUTURE",VLOOKUP(MID(I2785,2,2),[1]Futures!$A$2:$B$12,2),1)))</f>
        <v>-43220</v>
      </c>
      <c r="R2785" s="12">
        <f>IFERROR(Q2785/P2785/IF(E2785="FUTURE",VLOOKUP(MID(I2785,2,2),[1]Futures!$A$2:$B$12,2),1),"")</f>
        <v>43.22</v>
      </c>
      <c r="S2785" s="13" t="str">
        <f>IF(AND(H2785="TO CLOSE",P2785=0),-G2785*(M2785-R2784)*IF(E2785="FUTURE",VLOOKUP(MID(I2785,2,2),[1]Futures!$A$2:$B$12,2),1),"")</f>
        <v/>
      </c>
    </row>
    <row r="2786" spans="1:19" x14ac:dyDescent="0.2">
      <c r="A2786">
        <f t="shared" si="131"/>
        <v>907</v>
      </c>
      <c r="B2786" s="3">
        <v>44074</v>
      </c>
      <c r="C2786" s="3" t="str">
        <f t="shared" ref="C2786:C2849" si="133">IF(WEEKDAY(B2786,2)=1,"Monday",IF(WEEKDAY(B2786,2)=2,"Tuesday",IF(WEEKDAY(B2786,2)=3,"Wednesday",IF(WEEKDAY(B2786,2)=4,"Thursday",IF(WEEKDAY(B2786,2)=5,"Friday","Sunday")))))</f>
        <v>Monday</v>
      </c>
      <c r="D2786" s="2">
        <v>0.39855324074074078</v>
      </c>
      <c r="E2786" t="s">
        <v>14</v>
      </c>
      <c r="F2786" t="s">
        <v>19</v>
      </c>
      <c r="G2786">
        <v>1</v>
      </c>
      <c r="H2786" t="s">
        <v>16</v>
      </c>
      <c r="I2786" t="s">
        <v>82</v>
      </c>
      <c r="J2786" s="1">
        <v>44124</v>
      </c>
      <c r="L2786" t="s">
        <v>14</v>
      </c>
      <c r="M2786">
        <v>43.14</v>
      </c>
      <c r="N2786">
        <v>43.14</v>
      </c>
      <c r="O2786" t="s">
        <v>24</v>
      </c>
      <c r="P2786">
        <f t="shared" si="132"/>
        <v>0</v>
      </c>
      <c r="Q2786" s="11">
        <f>IF(P2786=0,0,IFERROR(Q2785+G2786*M2786*IF(E2786="FUTURE",VLOOKUP(MID(I2786,2,2),[1]Futures!$A$2:$B$12,2),1),G2786*M2786*IF(E2786="FUTURE",VLOOKUP(MID(I2786,2,2),[1]Futures!$A$2:$B$12,2),1)))</f>
        <v>0</v>
      </c>
      <c r="R2786" s="12" t="str">
        <f>IFERROR(Q2786/P2786/IF(E2786="FUTURE",VLOOKUP(MID(I2786,2,2),[1]Futures!$A$2:$B$12,2),1),"")</f>
        <v/>
      </c>
      <c r="S2786" s="13">
        <f>IF(AND(H2786="TO CLOSE",P2786=0),-G2786*(M2786-R2785)*IF(E2786="FUTURE",VLOOKUP(MID(I2786,2,2),[1]Futures!$A$2:$B$12,2),1),"")</f>
        <v>79.999999999998295</v>
      </c>
    </row>
    <row r="2787" spans="1:19" x14ac:dyDescent="0.2">
      <c r="A2787">
        <f t="shared" si="131"/>
        <v>908</v>
      </c>
      <c r="B2787" s="3">
        <v>44074</v>
      </c>
      <c r="C2787" s="3" t="str">
        <f t="shared" si="133"/>
        <v>Monday</v>
      </c>
      <c r="D2787" s="2">
        <v>0.44259259259259259</v>
      </c>
      <c r="E2787" t="s">
        <v>14</v>
      </c>
      <c r="F2787" t="s">
        <v>19</v>
      </c>
      <c r="G2787">
        <v>1</v>
      </c>
      <c r="H2787" t="s">
        <v>20</v>
      </c>
      <c r="I2787" t="s">
        <v>82</v>
      </c>
      <c r="J2787" s="1">
        <v>44124</v>
      </c>
      <c r="L2787" t="s">
        <v>14</v>
      </c>
      <c r="M2787">
        <v>43.15</v>
      </c>
      <c r="N2787">
        <v>43.15</v>
      </c>
      <c r="O2787" t="s">
        <v>24</v>
      </c>
      <c r="P2787">
        <f t="shared" si="132"/>
        <v>1</v>
      </c>
      <c r="Q2787" s="11">
        <f>IF(P2787=0,0,IFERROR(Q2786+G2787*M2787*IF(E2787="FUTURE",VLOOKUP(MID(I2787,2,2),[1]Futures!$A$2:$B$12,2),1),G2787*M2787*IF(E2787="FUTURE",VLOOKUP(MID(I2787,2,2),[1]Futures!$A$2:$B$12,2),1)))</f>
        <v>43150</v>
      </c>
      <c r="R2787" s="12">
        <f>IFERROR(Q2787/P2787/IF(E2787="FUTURE",VLOOKUP(MID(I2787,2,2),[1]Futures!$A$2:$B$12,2),1),"")</f>
        <v>43.15</v>
      </c>
      <c r="S2787" s="13" t="str">
        <f>IF(AND(H2787="TO CLOSE",P2787=0),-G2787*(M2787-R2786)*IF(E2787="FUTURE",VLOOKUP(MID(I2787,2,2),[1]Futures!$A$2:$B$12,2),1),"")</f>
        <v/>
      </c>
    </row>
    <row r="2788" spans="1:19" x14ac:dyDescent="0.2">
      <c r="A2788">
        <f t="shared" si="131"/>
        <v>908</v>
      </c>
      <c r="B2788" s="3">
        <v>44074</v>
      </c>
      <c r="C2788" s="3" t="str">
        <f t="shared" si="133"/>
        <v>Monday</v>
      </c>
      <c r="D2788" s="2">
        <v>0.45275462962962965</v>
      </c>
      <c r="E2788" t="s">
        <v>14</v>
      </c>
      <c r="F2788" t="s">
        <v>15</v>
      </c>
      <c r="G2788">
        <v>-1</v>
      </c>
      <c r="H2788" t="s">
        <v>16</v>
      </c>
      <c r="I2788" t="s">
        <v>82</v>
      </c>
      <c r="J2788" s="1">
        <v>44124</v>
      </c>
      <c r="L2788" t="s">
        <v>14</v>
      </c>
      <c r="M2788">
        <v>43.08</v>
      </c>
      <c r="N2788">
        <v>43.08</v>
      </c>
      <c r="O2788" t="s">
        <v>21</v>
      </c>
      <c r="P2788">
        <f t="shared" si="132"/>
        <v>0</v>
      </c>
      <c r="Q2788" s="11">
        <f>IF(P2788=0,0,IFERROR(Q2787+G2788*M2788*IF(E2788="FUTURE",VLOOKUP(MID(I2788,2,2),[1]Futures!$A$2:$B$12,2),1),G2788*M2788*IF(E2788="FUTURE",VLOOKUP(MID(I2788,2,2),[1]Futures!$A$2:$B$12,2),1)))</f>
        <v>0</v>
      </c>
      <c r="R2788" s="12" t="str">
        <f>IFERROR(Q2788/P2788/IF(E2788="FUTURE",VLOOKUP(MID(I2788,2,2),[1]Futures!$A$2:$B$12,2),1),"")</f>
        <v/>
      </c>
      <c r="S2788" s="13">
        <f>IF(AND(H2788="TO CLOSE",P2788=0),-G2788*(M2788-R2787)*IF(E2788="FUTURE",VLOOKUP(MID(I2788,2,2),[1]Futures!$A$2:$B$12,2),1),"")</f>
        <v>-70.000000000000284</v>
      </c>
    </row>
    <row r="2789" spans="1:19" x14ac:dyDescent="0.2">
      <c r="A2789">
        <f t="shared" si="131"/>
        <v>909</v>
      </c>
      <c r="B2789" s="3">
        <v>44074</v>
      </c>
      <c r="C2789" s="3" t="str">
        <f t="shared" si="133"/>
        <v>Monday</v>
      </c>
      <c r="D2789" s="2">
        <v>0.45488425925925924</v>
      </c>
      <c r="E2789" t="s">
        <v>14</v>
      </c>
      <c r="F2789" t="s">
        <v>19</v>
      </c>
      <c r="G2789">
        <v>2</v>
      </c>
      <c r="H2789" t="s">
        <v>20</v>
      </c>
      <c r="I2789" t="s">
        <v>82</v>
      </c>
      <c r="J2789" s="1">
        <v>44124</v>
      </c>
      <c r="L2789" t="s">
        <v>14</v>
      </c>
      <c r="M2789">
        <v>43.15</v>
      </c>
      <c r="N2789">
        <v>43.15</v>
      </c>
      <c r="O2789" t="s">
        <v>24</v>
      </c>
      <c r="P2789">
        <f t="shared" si="132"/>
        <v>2</v>
      </c>
      <c r="Q2789" s="11">
        <f>IF(P2789=0,0,IFERROR(Q2788+G2789*M2789*IF(E2789="FUTURE",VLOOKUP(MID(I2789,2,2),[1]Futures!$A$2:$B$12,2),1),G2789*M2789*IF(E2789="FUTURE",VLOOKUP(MID(I2789,2,2),[1]Futures!$A$2:$B$12,2),1)))</f>
        <v>86300</v>
      </c>
      <c r="R2789" s="12">
        <f>IFERROR(Q2789/P2789/IF(E2789="FUTURE",VLOOKUP(MID(I2789,2,2),[1]Futures!$A$2:$B$12,2),1),"")</f>
        <v>43.15</v>
      </c>
      <c r="S2789" s="13" t="str">
        <f>IF(AND(H2789="TO CLOSE",P2789=0),-G2789*(M2789-R2788)*IF(E2789="FUTURE",VLOOKUP(MID(I2789,2,2),[1]Futures!$A$2:$B$12,2),1),"")</f>
        <v/>
      </c>
    </row>
    <row r="2790" spans="1:19" x14ac:dyDescent="0.2">
      <c r="A2790">
        <f t="shared" si="131"/>
        <v>909</v>
      </c>
      <c r="B2790" s="3">
        <v>44074</v>
      </c>
      <c r="C2790" s="3" t="str">
        <f t="shared" si="133"/>
        <v>Monday</v>
      </c>
      <c r="D2790" s="2">
        <v>0.45560185185185187</v>
      </c>
      <c r="E2790" t="s">
        <v>14</v>
      </c>
      <c r="F2790" t="s">
        <v>15</v>
      </c>
      <c r="G2790">
        <v>-2</v>
      </c>
      <c r="H2790" t="s">
        <v>16</v>
      </c>
      <c r="I2790" t="s">
        <v>82</v>
      </c>
      <c r="J2790" s="1">
        <v>44124</v>
      </c>
      <c r="L2790" t="s">
        <v>14</v>
      </c>
      <c r="M2790">
        <v>43.17</v>
      </c>
      <c r="N2790">
        <v>43.17</v>
      </c>
      <c r="O2790" t="s">
        <v>21</v>
      </c>
      <c r="P2790">
        <f t="shared" si="132"/>
        <v>0</v>
      </c>
      <c r="Q2790" s="11">
        <f>IF(P2790=0,0,IFERROR(Q2789+G2790*M2790*IF(E2790="FUTURE",VLOOKUP(MID(I2790,2,2),[1]Futures!$A$2:$B$12,2),1),G2790*M2790*IF(E2790="FUTURE",VLOOKUP(MID(I2790,2,2),[1]Futures!$A$2:$B$12,2),1)))</f>
        <v>0</v>
      </c>
      <c r="R2790" s="12" t="str">
        <f>IFERROR(Q2790/P2790/IF(E2790="FUTURE",VLOOKUP(MID(I2790,2,2),[1]Futures!$A$2:$B$12,2),1),"")</f>
        <v/>
      </c>
      <c r="S2790" s="13">
        <f>IF(AND(H2790="TO CLOSE",P2790=0),-G2790*(M2790-R2789)*IF(E2790="FUTURE",VLOOKUP(MID(I2790,2,2),[1]Futures!$A$2:$B$12,2),1),"")</f>
        <v>40.000000000006253</v>
      </c>
    </row>
    <row r="2791" spans="1:19" x14ac:dyDescent="0.2">
      <c r="A2791">
        <f t="shared" si="131"/>
        <v>910</v>
      </c>
      <c r="B2791" s="3">
        <v>44074</v>
      </c>
      <c r="C2791" s="3" t="str">
        <f t="shared" si="133"/>
        <v>Monday</v>
      </c>
      <c r="D2791" s="2">
        <v>0.39466435185185184</v>
      </c>
      <c r="E2791" t="s">
        <v>14</v>
      </c>
      <c r="F2791" t="s">
        <v>15</v>
      </c>
      <c r="G2791">
        <v>-1</v>
      </c>
      <c r="H2791" t="s">
        <v>20</v>
      </c>
      <c r="I2791" t="s">
        <v>79</v>
      </c>
      <c r="J2791" s="1">
        <v>44094</v>
      </c>
      <c r="L2791" t="s">
        <v>14</v>
      </c>
      <c r="M2791">
        <v>3502.25</v>
      </c>
      <c r="N2791">
        <v>3502.25</v>
      </c>
      <c r="O2791" t="s">
        <v>21</v>
      </c>
      <c r="P2791">
        <f t="shared" si="132"/>
        <v>-1</v>
      </c>
      <c r="Q2791" s="11">
        <f>IF(P2791=0,0,IFERROR(Q2790+G2791*M2791*IF(E2791="FUTURE",VLOOKUP(MID(I2791,2,2),[1]Futures!$A$2:$B$12,2),1),G2791*M2791*IF(E2791="FUTURE",VLOOKUP(MID(I2791,2,2),[1]Futures!$A$2:$B$12,2),1)))</f>
        <v>-175112.5</v>
      </c>
      <c r="R2791" s="12">
        <f>IFERROR(Q2791/P2791/IF(E2791="FUTURE",VLOOKUP(MID(I2791,2,2),[1]Futures!$A$2:$B$12,2),1),"")</f>
        <v>3502.25</v>
      </c>
      <c r="S2791" s="13" t="str">
        <f>IF(AND(H2791="TO CLOSE",P2791=0),-G2791*(M2791-R2790)*IF(E2791="FUTURE",VLOOKUP(MID(I2791,2,2),[1]Futures!$A$2:$B$12,2),1),"")</f>
        <v/>
      </c>
    </row>
    <row r="2792" spans="1:19" x14ac:dyDescent="0.2">
      <c r="A2792">
        <f t="shared" si="131"/>
        <v>910</v>
      </c>
      <c r="B2792" s="3">
        <v>44074</v>
      </c>
      <c r="C2792" s="3" t="str">
        <f t="shared" si="133"/>
        <v>Monday</v>
      </c>
      <c r="D2792" s="2">
        <v>0.39991898148148147</v>
      </c>
      <c r="E2792" t="s">
        <v>14</v>
      </c>
      <c r="F2792" t="s">
        <v>19</v>
      </c>
      <c r="G2792">
        <v>1</v>
      </c>
      <c r="H2792" t="s">
        <v>16</v>
      </c>
      <c r="I2792" t="s">
        <v>79</v>
      </c>
      <c r="J2792" s="1">
        <v>44094</v>
      </c>
      <c r="L2792" t="s">
        <v>14</v>
      </c>
      <c r="M2792">
        <v>3499.75</v>
      </c>
      <c r="N2792">
        <v>3499.75</v>
      </c>
      <c r="O2792" t="s">
        <v>24</v>
      </c>
      <c r="P2792">
        <f t="shared" si="132"/>
        <v>0</v>
      </c>
      <c r="Q2792" s="11">
        <f>IF(P2792=0,0,IFERROR(Q2791+G2792*M2792*IF(E2792="FUTURE",VLOOKUP(MID(I2792,2,2),[1]Futures!$A$2:$B$12,2),1),G2792*M2792*IF(E2792="FUTURE",VLOOKUP(MID(I2792,2,2),[1]Futures!$A$2:$B$12,2),1)))</f>
        <v>0</v>
      </c>
      <c r="R2792" s="12" t="str">
        <f>IFERROR(Q2792/P2792/IF(E2792="FUTURE",VLOOKUP(MID(I2792,2,2),[1]Futures!$A$2:$B$12,2),1),"")</f>
        <v/>
      </c>
      <c r="S2792" s="13">
        <f>IF(AND(H2792="TO CLOSE",P2792=0),-G2792*(M2792-R2791)*IF(E2792="FUTURE",VLOOKUP(MID(I2792,2,2),[1]Futures!$A$2:$B$12,2),1),"")</f>
        <v>125</v>
      </c>
    </row>
    <row r="2793" spans="1:19" x14ac:dyDescent="0.2">
      <c r="A2793">
        <f t="shared" si="131"/>
        <v>911</v>
      </c>
      <c r="B2793" s="3">
        <v>44074</v>
      </c>
      <c r="C2793" s="3" t="str">
        <f t="shared" si="133"/>
        <v>Monday</v>
      </c>
      <c r="D2793" s="2">
        <v>0.40570601851851856</v>
      </c>
      <c r="E2793" t="s">
        <v>14</v>
      </c>
      <c r="F2793" t="s">
        <v>19</v>
      </c>
      <c r="G2793">
        <v>1</v>
      </c>
      <c r="H2793" t="s">
        <v>20</v>
      </c>
      <c r="I2793" t="s">
        <v>79</v>
      </c>
      <c r="J2793" s="1">
        <v>44094</v>
      </c>
      <c r="L2793" t="s">
        <v>14</v>
      </c>
      <c r="M2793">
        <v>3504</v>
      </c>
      <c r="N2793">
        <v>3504</v>
      </c>
      <c r="O2793" t="s">
        <v>24</v>
      </c>
      <c r="P2793">
        <f t="shared" si="132"/>
        <v>1</v>
      </c>
      <c r="Q2793" s="11">
        <f>IF(P2793=0,0,IFERROR(Q2792+G2793*M2793*IF(E2793="FUTURE",VLOOKUP(MID(I2793,2,2),[1]Futures!$A$2:$B$12,2),1),G2793*M2793*IF(E2793="FUTURE",VLOOKUP(MID(I2793,2,2),[1]Futures!$A$2:$B$12,2),1)))</f>
        <v>175200</v>
      </c>
      <c r="R2793" s="12">
        <f>IFERROR(Q2793/P2793/IF(E2793="FUTURE",VLOOKUP(MID(I2793,2,2),[1]Futures!$A$2:$B$12,2),1),"")</f>
        <v>3504</v>
      </c>
      <c r="S2793" s="13" t="str">
        <f>IF(AND(H2793="TO CLOSE",P2793=0),-G2793*(M2793-R2792)*IF(E2793="FUTURE",VLOOKUP(MID(I2793,2,2),[1]Futures!$A$2:$B$12,2),1),"")</f>
        <v/>
      </c>
    </row>
    <row r="2794" spans="1:19" x14ac:dyDescent="0.2">
      <c r="A2794">
        <f t="shared" si="131"/>
        <v>911</v>
      </c>
      <c r="B2794" s="3">
        <v>44074</v>
      </c>
      <c r="C2794" s="3" t="str">
        <f t="shared" si="133"/>
        <v>Monday</v>
      </c>
      <c r="D2794" s="2">
        <v>0.42192129629629632</v>
      </c>
      <c r="E2794" t="s">
        <v>14</v>
      </c>
      <c r="F2794" t="s">
        <v>19</v>
      </c>
      <c r="G2794">
        <v>1</v>
      </c>
      <c r="H2794" t="s">
        <v>20</v>
      </c>
      <c r="I2794" t="s">
        <v>79</v>
      </c>
      <c r="J2794" s="1">
        <v>44094</v>
      </c>
      <c r="L2794" t="s">
        <v>14</v>
      </c>
      <c r="M2794">
        <v>3500</v>
      </c>
      <c r="N2794">
        <v>3500</v>
      </c>
      <c r="O2794" t="s">
        <v>21</v>
      </c>
      <c r="P2794">
        <f t="shared" si="132"/>
        <v>2</v>
      </c>
      <c r="Q2794" s="11">
        <f>IF(P2794=0,0,IFERROR(Q2793+G2794*M2794*IF(E2794="FUTURE",VLOOKUP(MID(I2794,2,2),[1]Futures!$A$2:$B$12,2),1),G2794*M2794*IF(E2794="FUTURE",VLOOKUP(MID(I2794,2,2),[1]Futures!$A$2:$B$12,2),1)))</f>
        <v>350200</v>
      </c>
      <c r="R2794" s="12">
        <f>IFERROR(Q2794/P2794/IF(E2794="FUTURE",VLOOKUP(MID(I2794,2,2),[1]Futures!$A$2:$B$12,2),1),"")</f>
        <v>3502</v>
      </c>
      <c r="S2794" s="13" t="str">
        <f>IF(AND(H2794="TO CLOSE",P2794=0),-G2794*(M2794-R2793)*IF(E2794="FUTURE",VLOOKUP(MID(I2794,2,2),[1]Futures!$A$2:$B$12,2),1),"")</f>
        <v/>
      </c>
    </row>
    <row r="2795" spans="1:19" x14ac:dyDescent="0.2">
      <c r="A2795">
        <f t="shared" si="131"/>
        <v>911</v>
      </c>
      <c r="B2795" s="3">
        <v>44074</v>
      </c>
      <c r="C2795" s="3" t="str">
        <f t="shared" si="133"/>
        <v>Monday</v>
      </c>
      <c r="D2795" s="2">
        <v>0.4383333333333333</v>
      </c>
      <c r="E2795" t="s">
        <v>14</v>
      </c>
      <c r="F2795" t="s">
        <v>15</v>
      </c>
      <c r="G2795">
        <v>-1</v>
      </c>
      <c r="H2795" t="s">
        <v>16</v>
      </c>
      <c r="I2795" t="s">
        <v>79</v>
      </c>
      <c r="J2795" s="1">
        <v>44094</v>
      </c>
      <c r="L2795" t="s">
        <v>14</v>
      </c>
      <c r="M2795">
        <v>3502</v>
      </c>
      <c r="N2795">
        <v>3502</v>
      </c>
      <c r="O2795" t="s">
        <v>21</v>
      </c>
      <c r="P2795">
        <f t="shared" si="132"/>
        <v>1</v>
      </c>
      <c r="Q2795" s="11">
        <f>IF(P2795=0,0,IFERROR(Q2794+G2795*M2795*IF(E2795="FUTURE",VLOOKUP(MID(I2795,2,2),[1]Futures!$A$2:$B$12,2),1),G2795*M2795*IF(E2795="FUTURE",VLOOKUP(MID(I2795,2,2),[1]Futures!$A$2:$B$12,2),1)))</f>
        <v>175100</v>
      </c>
      <c r="R2795" s="12">
        <f>IFERROR(Q2795/P2795/IF(E2795="FUTURE",VLOOKUP(MID(I2795,2,2),[1]Futures!$A$2:$B$12,2),1),"")</f>
        <v>3502</v>
      </c>
      <c r="S2795" s="13" t="str">
        <f>IF(AND(H2795="TO CLOSE",P2795=0),-G2795*(M2795-R2794)*IF(E2795="FUTURE",VLOOKUP(MID(I2795,2,2),[1]Futures!$A$2:$B$12,2),1),"")</f>
        <v/>
      </c>
    </row>
    <row r="2796" spans="1:19" x14ac:dyDescent="0.2">
      <c r="A2796">
        <f t="shared" si="131"/>
        <v>911</v>
      </c>
      <c r="B2796" s="3">
        <v>44074</v>
      </c>
      <c r="C2796" s="3" t="str">
        <f t="shared" si="133"/>
        <v>Monday</v>
      </c>
      <c r="D2796" s="2">
        <v>0.44629629629629625</v>
      </c>
      <c r="E2796" t="s">
        <v>14</v>
      </c>
      <c r="F2796" t="s">
        <v>15</v>
      </c>
      <c r="G2796">
        <v>-1</v>
      </c>
      <c r="H2796" t="s">
        <v>16</v>
      </c>
      <c r="I2796" t="s">
        <v>79</v>
      </c>
      <c r="J2796" s="1">
        <v>44094</v>
      </c>
      <c r="L2796" t="s">
        <v>14</v>
      </c>
      <c r="M2796">
        <v>3502.25</v>
      </c>
      <c r="N2796">
        <v>3502.25</v>
      </c>
      <c r="O2796" t="s">
        <v>18</v>
      </c>
      <c r="P2796">
        <f t="shared" si="132"/>
        <v>0</v>
      </c>
      <c r="Q2796" s="11">
        <f>IF(P2796=0,0,IFERROR(Q2795+G2796*M2796*IF(E2796="FUTURE",VLOOKUP(MID(I2796,2,2),[1]Futures!$A$2:$B$12,2),1),G2796*M2796*IF(E2796="FUTURE",VLOOKUP(MID(I2796,2,2),[1]Futures!$A$2:$B$12,2),1)))</f>
        <v>0</v>
      </c>
      <c r="R2796" s="12" t="str">
        <f>IFERROR(Q2796/P2796/IF(E2796="FUTURE",VLOOKUP(MID(I2796,2,2),[1]Futures!$A$2:$B$12,2),1),"")</f>
        <v/>
      </c>
      <c r="S2796" s="13">
        <f>IF(AND(H2796="TO CLOSE",P2796=0),-G2796*(M2796-R2795)*IF(E2796="FUTURE",VLOOKUP(MID(I2796,2,2),[1]Futures!$A$2:$B$12,2),1),"")</f>
        <v>12.5</v>
      </c>
    </row>
    <row r="2797" spans="1:19" x14ac:dyDescent="0.2">
      <c r="A2797">
        <f t="shared" si="131"/>
        <v>912</v>
      </c>
      <c r="B2797" s="3">
        <v>44074</v>
      </c>
      <c r="C2797" s="3" t="str">
        <f t="shared" si="133"/>
        <v>Monday</v>
      </c>
      <c r="D2797" s="2">
        <v>0.45635416666666667</v>
      </c>
      <c r="E2797" t="s">
        <v>14</v>
      </c>
      <c r="F2797" t="s">
        <v>19</v>
      </c>
      <c r="G2797">
        <v>2</v>
      </c>
      <c r="H2797" t="s">
        <v>20</v>
      </c>
      <c r="I2797" t="s">
        <v>79</v>
      </c>
      <c r="J2797" s="1">
        <v>44094</v>
      </c>
      <c r="L2797" t="s">
        <v>14</v>
      </c>
      <c r="M2797">
        <v>3505.5</v>
      </c>
      <c r="N2797">
        <v>3505.5</v>
      </c>
      <c r="O2797" t="s">
        <v>24</v>
      </c>
      <c r="P2797">
        <f t="shared" si="132"/>
        <v>2</v>
      </c>
      <c r="Q2797" s="11">
        <f>IF(P2797=0,0,IFERROR(Q2796+G2797*M2797*IF(E2797="FUTURE",VLOOKUP(MID(I2797,2,2),[1]Futures!$A$2:$B$12,2),1),G2797*M2797*IF(E2797="FUTURE",VLOOKUP(MID(I2797,2,2),[1]Futures!$A$2:$B$12,2),1)))</f>
        <v>350550</v>
      </c>
      <c r="R2797" s="12">
        <f>IFERROR(Q2797/P2797/IF(E2797="FUTURE",VLOOKUP(MID(I2797,2,2),[1]Futures!$A$2:$B$12,2),1),"")</f>
        <v>3505.5</v>
      </c>
      <c r="S2797" s="13" t="str">
        <f>IF(AND(H2797="TO CLOSE",P2797=0),-G2797*(M2797-R2796)*IF(E2797="FUTURE",VLOOKUP(MID(I2797,2,2),[1]Futures!$A$2:$B$12,2),1),"")</f>
        <v/>
      </c>
    </row>
    <row r="2798" spans="1:19" x14ac:dyDescent="0.2">
      <c r="A2798">
        <f t="shared" si="131"/>
        <v>912</v>
      </c>
      <c r="B2798" s="3">
        <v>44074</v>
      </c>
      <c r="C2798" s="3" t="str">
        <f t="shared" si="133"/>
        <v>Monday</v>
      </c>
      <c r="D2798" s="2">
        <v>0.45883101851851849</v>
      </c>
      <c r="E2798" t="s">
        <v>14</v>
      </c>
      <c r="F2798" t="s">
        <v>15</v>
      </c>
      <c r="G2798">
        <v>-1</v>
      </c>
      <c r="H2798" t="s">
        <v>16</v>
      </c>
      <c r="I2798" t="s">
        <v>79</v>
      </c>
      <c r="J2798" s="1">
        <v>44094</v>
      </c>
      <c r="L2798" t="s">
        <v>14</v>
      </c>
      <c r="M2798">
        <v>3506.75</v>
      </c>
      <c r="N2798">
        <v>3506.75</v>
      </c>
      <c r="O2798" t="s">
        <v>21</v>
      </c>
      <c r="P2798">
        <f t="shared" si="132"/>
        <v>1</v>
      </c>
      <c r="Q2798" s="11">
        <f>IF(P2798=0,0,IFERROR(Q2797+G2798*M2798*IF(E2798="FUTURE",VLOOKUP(MID(I2798,2,2),[1]Futures!$A$2:$B$12,2),1),G2798*M2798*IF(E2798="FUTURE",VLOOKUP(MID(I2798,2,2),[1]Futures!$A$2:$B$12,2),1)))</f>
        <v>175212.5</v>
      </c>
      <c r="R2798" s="12">
        <f>IFERROR(Q2798/P2798/IF(E2798="FUTURE",VLOOKUP(MID(I2798,2,2),[1]Futures!$A$2:$B$12,2),1),"")</f>
        <v>3504.25</v>
      </c>
      <c r="S2798" s="13" t="str">
        <f>IF(AND(H2798="TO CLOSE",P2798=0),-G2798*(M2798-R2797)*IF(E2798="FUTURE",VLOOKUP(MID(I2798,2,2),[1]Futures!$A$2:$B$12,2),1),"")</f>
        <v/>
      </c>
    </row>
    <row r="2799" spans="1:19" x14ac:dyDescent="0.2">
      <c r="A2799">
        <f t="shared" si="131"/>
        <v>912</v>
      </c>
      <c r="B2799" s="3">
        <v>44074</v>
      </c>
      <c r="C2799" s="3" t="str">
        <f t="shared" si="133"/>
        <v>Monday</v>
      </c>
      <c r="D2799" s="2">
        <v>0.4596412037037037</v>
      </c>
      <c r="E2799" t="s">
        <v>14</v>
      </c>
      <c r="F2799" t="s">
        <v>15</v>
      </c>
      <c r="G2799">
        <v>-1</v>
      </c>
      <c r="H2799" t="s">
        <v>16</v>
      </c>
      <c r="I2799" t="s">
        <v>79</v>
      </c>
      <c r="J2799" s="1">
        <v>44094</v>
      </c>
      <c r="L2799" t="s">
        <v>14</v>
      </c>
      <c r="M2799">
        <v>3506.75</v>
      </c>
      <c r="N2799">
        <v>3506.75</v>
      </c>
      <c r="O2799" t="s">
        <v>24</v>
      </c>
      <c r="P2799">
        <f t="shared" si="132"/>
        <v>0</v>
      </c>
      <c r="Q2799" s="11">
        <f>IF(P2799=0,0,IFERROR(Q2798+G2799*M2799*IF(E2799="FUTURE",VLOOKUP(MID(I2799,2,2),[1]Futures!$A$2:$B$12,2),1),G2799*M2799*IF(E2799="FUTURE",VLOOKUP(MID(I2799,2,2),[1]Futures!$A$2:$B$12,2),1)))</f>
        <v>0</v>
      </c>
      <c r="R2799" s="12" t="str">
        <f>IFERROR(Q2799/P2799/IF(E2799="FUTURE",VLOOKUP(MID(I2799,2,2),[1]Futures!$A$2:$B$12,2),1),"")</f>
        <v/>
      </c>
      <c r="S2799" s="13">
        <f>IF(AND(H2799="TO CLOSE",P2799=0),-G2799*(M2799-R2798)*IF(E2799="FUTURE",VLOOKUP(MID(I2799,2,2),[1]Futures!$A$2:$B$12,2),1),"")</f>
        <v>125</v>
      </c>
    </row>
    <row r="2800" spans="1:19" x14ac:dyDescent="0.2">
      <c r="A2800">
        <f t="shared" si="131"/>
        <v>913</v>
      </c>
      <c r="B2800" s="3">
        <v>44074</v>
      </c>
      <c r="C2800" s="3" t="str">
        <f t="shared" si="133"/>
        <v>Monday</v>
      </c>
      <c r="D2800" s="2">
        <v>0.59785879629629635</v>
      </c>
      <c r="E2800" t="s">
        <v>14</v>
      </c>
      <c r="F2800" t="s">
        <v>15</v>
      </c>
      <c r="G2800">
        <v>-1</v>
      </c>
      <c r="H2800" t="s">
        <v>20</v>
      </c>
      <c r="I2800" t="s">
        <v>79</v>
      </c>
      <c r="J2800" s="1">
        <v>44094</v>
      </c>
      <c r="L2800" t="s">
        <v>14</v>
      </c>
      <c r="M2800">
        <v>3503.75</v>
      </c>
      <c r="N2800">
        <v>3503.75</v>
      </c>
      <c r="O2800" t="s">
        <v>24</v>
      </c>
      <c r="P2800">
        <f t="shared" si="132"/>
        <v>-1</v>
      </c>
      <c r="Q2800" s="11">
        <f>IF(P2800=0,0,IFERROR(Q2799+G2800*M2800*IF(E2800="FUTURE",VLOOKUP(MID(I2800,2,2),[1]Futures!$A$2:$B$12,2),1),G2800*M2800*IF(E2800="FUTURE",VLOOKUP(MID(I2800,2,2),[1]Futures!$A$2:$B$12,2),1)))</f>
        <v>-175187.5</v>
      </c>
      <c r="R2800" s="12">
        <f>IFERROR(Q2800/P2800/IF(E2800="FUTURE",VLOOKUP(MID(I2800,2,2),[1]Futures!$A$2:$B$12,2),1),"")</f>
        <v>3503.75</v>
      </c>
      <c r="S2800" s="13" t="str">
        <f>IF(AND(H2800="TO CLOSE",P2800=0),-G2800*(M2800-R2799)*IF(E2800="FUTURE",VLOOKUP(MID(I2800,2,2),[1]Futures!$A$2:$B$12,2),1),"")</f>
        <v/>
      </c>
    </row>
    <row r="2801" spans="1:19" x14ac:dyDescent="0.2">
      <c r="A2801">
        <f t="shared" si="131"/>
        <v>913</v>
      </c>
      <c r="B2801" s="3">
        <v>44074</v>
      </c>
      <c r="C2801" s="3" t="str">
        <f t="shared" si="133"/>
        <v>Monday</v>
      </c>
      <c r="D2801" s="2">
        <v>0.59923611111111108</v>
      </c>
      <c r="E2801" t="s">
        <v>14</v>
      </c>
      <c r="F2801" t="s">
        <v>15</v>
      </c>
      <c r="G2801">
        <v>-1</v>
      </c>
      <c r="H2801" t="s">
        <v>20</v>
      </c>
      <c r="I2801" t="s">
        <v>79</v>
      </c>
      <c r="J2801" s="1">
        <v>44094</v>
      </c>
      <c r="L2801" t="s">
        <v>14</v>
      </c>
      <c r="M2801">
        <v>3504.25</v>
      </c>
      <c r="N2801">
        <v>3504.25</v>
      </c>
      <c r="O2801" t="s">
        <v>21</v>
      </c>
      <c r="P2801">
        <f t="shared" si="132"/>
        <v>-2</v>
      </c>
      <c r="Q2801" s="11">
        <f>IF(P2801=0,0,IFERROR(Q2800+G2801*M2801*IF(E2801="FUTURE",VLOOKUP(MID(I2801,2,2),[1]Futures!$A$2:$B$12,2),1),G2801*M2801*IF(E2801="FUTURE",VLOOKUP(MID(I2801,2,2),[1]Futures!$A$2:$B$12,2),1)))</f>
        <v>-350400</v>
      </c>
      <c r="R2801" s="12">
        <f>IFERROR(Q2801/P2801/IF(E2801="FUTURE",VLOOKUP(MID(I2801,2,2),[1]Futures!$A$2:$B$12,2),1),"")</f>
        <v>3504</v>
      </c>
      <c r="S2801" s="13" t="str">
        <f>IF(AND(H2801="TO CLOSE",P2801=0),-G2801*(M2801-R2800)*IF(E2801="FUTURE",VLOOKUP(MID(I2801,2,2),[1]Futures!$A$2:$B$12,2),1),"")</f>
        <v/>
      </c>
    </row>
    <row r="2802" spans="1:19" x14ac:dyDescent="0.2">
      <c r="A2802">
        <f t="shared" si="131"/>
        <v>913</v>
      </c>
      <c r="B2802" s="3">
        <v>44074</v>
      </c>
      <c r="C2802" s="3" t="str">
        <f t="shared" si="133"/>
        <v>Monday</v>
      </c>
      <c r="D2802" s="2">
        <v>0.6033680555555555</v>
      </c>
      <c r="E2802" t="s">
        <v>14</v>
      </c>
      <c r="F2802" t="s">
        <v>19</v>
      </c>
      <c r="G2802">
        <v>1</v>
      </c>
      <c r="H2802" t="s">
        <v>16</v>
      </c>
      <c r="I2802" t="s">
        <v>79</v>
      </c>
      <c r="J2802" s="1">
        <v>44094</v>
      </c>
      <c r="L2802" t="s">
        <v>14</v>
      </c>
      <c r="M2802">
        <v>3503.75</v>
      </c>
      <c r="N2802">
        <v>3503.75</v>
      </c>
      <c r="O2802" t="s">
        <v>21</v>
      </c>
      <c r="P2802">
        <f t="shared" si="132"/>
        <v>-1</v>
      </c>
      <c r="Q2802" s="11">
        <f>IF(P2802=0,0,IFERROR(Q2801+G2802*M2802*IF(E2802="FUTURE",VLOOKUP(MID(I2802,2,2),[1]Futures!$A$2:$B$12,2),1),G2802*M2802*IF(E2802="FUTURE",VLOOKUP(MID(I2802,2,2),[1]Futures!$A$2:$B$12,2),1)))</f>
        <v>-175212.5</v>
      </c>
      <c r="R2802" s="12">
        <f>IFERROR(Q2802/P2802/IF(E2802="FUTURE",VLOOKUP(MID(I2802,2,2),[1]Futures!$A$2:$B$12,2),1),"")</f>
        <v>3504.25</v>
      </c>
      <c r="S2802" s="13" t="str">
        <f>IF(AND(H2802="TO CLOSE",P2802=0),-G2802*(M2802-R2801)*IF(E2802="FUTURE",VLOOKUP(MID(I2802,2,2),[1]Futures!$A$2:$B$12,2),1),"")</f>
        <v/>
      </c>
    </row>
    <row r="2803" spans="1:19" x14ac:dyDescent="0.2">
      <c r="A2803">
        <f t="shared" si="131"/>
        <v>913</v>
      </c>
      <c r="B2803" s="3">
        <v>44074</v>
      </c>
      <c r="C2803" s="3" t="str">
        <f t="shared" si="133"/>
        <v>Monday</v>
      </c>
      <c r="D2803" s="2">
        <v>0.6054166666666666</v>
      </c>
      <c r="E2803" t="s">
        <v>14</v>
      </c>
      <c r="F2803" t="s">
        <v>19</v>
      </c>
      <c r="G2803">
        <v>1</v>
      </c>
      <c r="H2803" t="s">
        <v>16</v>
      </c>
      <c r="I2803" t="s">
        <v>79</v>
      </c>
      <c r="J2803" s="1">
        <v>44094</v>
      </c>
      <c r="L2803" t="s">
        <v>14</v>
      </c>
      <c r="M2803">
        <v>3503.25</v>
      </c>
      <c r="N2803">
        <v>3503.25</v>
      </c>
      <c r="O2803" t="s">
        <v>24</v>
      </c>
      <c r="P2803">
        <f t="shared" si="132"/>
        <v>0</v>
      </c>
      <c r="Q2803" s="11">
        <f>IF(P2803=0,0,IFERROR(Q2802+G2803*M2803*IF(E2803="FUTURE",VLOOKUP(MID(I2803,2,2),[1]Futures!$A$2:$B$12,2),1),G2803*M2803*IF(E2803="FUTURE",VLOOKUP(MID(I2803,2,2),[1]Futures!$A$2:$B$12,2),1)))</f>
        <v>0</v>
      </c>
      <c r="R2803" s="12" t="str">
        <f>IFERROR(Q2803/P2803/IF(E2803="FUTURE",VLOOKUP(MID(I2803,2,2),[1]Futures!$A$2:$B$12,2),1),"")</f>
        <v/>
      </c>
      <c r="S2803" s="13">
        <f>IF(AND(H2803="TO CLOSE",P2803=0),-G2803*(M2803-R2802)*IF(E2803="FUTURE",VLOOKUP(MID(I2803,2,2),[1]Futures!$A$2:$B$12,2),1),"")</f>
        <v>50</v>
      </c>
    </row>
    <row r="2804" spans="1:19" x14ac:dyDescent="0.2">
      <c r="A2804">
        <f t="shared" si="131"/>
        <v>914</v>
      </c>
      <c r="B2804" s="3">
        <v>44075</v>
      </c>
      <c r="C2804" s="3" t="str">
        <f t="shared" si="133"/>
        <v>Tuesday</v>
      </c>
      <c r="D2804" s="2">
        <v>0.40538194444444442</v>
      </c>
      <c r="E2804" t="s">
        <v>14</v>
      </c>
      <c r="F2804" t="s">
        <v>19</v>
      </c>
      <c r="G2804">
        <v>2</v>
      </c>
      <c r="H2804" t="s">
        <v>20</v>
      </c>
      <c r="I2804" t="s">
        <v>82</v>
      </c>
      <c r="J2804" s="1">
        <v>44124</v>
      </c>
      <c r="L2804" t="s">
        <v>14</v>
      </c>
      <c r="M2804">
        <v>43.12</v>
      </c>
      <c r="N2804">
        <v>43.12</v>
      </c>
      <c r="O2804" t="s">
        <v>24</v>
      </c>
      <c r="P2804">
        <f t="shared" si="132"/>
        <v>2</v>
      </c>
      <c r="Q2804" s="11">
        <f>IF(P2804=0,0,IFERROR(Q2803+G2804*M2804*IF(E2804="FUTURE",VLOOKUP(MID(I2804,2,2),[1]Futures!$A$2:$B$12,2),1),G2804*M2804*IF(E2804="FUTURE",VLOOKUP(MID(I2804,2,2),[1]Futures!$A$2:$B$12,2),1)))</f>
        <v>86240</v>
      </c>
      <c r="R2804" s="12">
        <f>IFERROR(Q2804/P2804/IF(E2804="FUTURE",VLOOKUP(MID(I2804,2,2),[1]Futures!$A$2:$B$12,2),1),"")</f>
        <v>43.12</v>
      </c>
      <c r="S2804" s="13" t="str">
        <f>IF(AND(H2804="TO CLOSE",P2804=0),-G2804*(M2804-R2803)*IF(E2804="FUTURE",VLOOKUP(MID(I2804,2,2),[1]Futures!$A$2:$B$12,2),1),"")</f>
        <v/>
      </c>
    </row>
    <row r="2805" spans="1:19" x14ac:dyDescent="0.2">
      <c r="A2805">
        <f t="shared" si="131"/>
        <v>914</v>
      </c>
      <c r="B2805" s="3">
        <v>44075</v>
      </c>
      <c r="C2805" s="3" t="str">
        <f t="shared" si="133"/>
        <v>Tuesday</v>
      </c>
      <c r="D2805" s="2">
        <v>0.40650462962962958</v>
      </c>
      <c r="E2805" t="s">
        <v>14</v>
      </c>
      <c r="F2805" t="s">
        <v>15</v>
      </c>
      <c r="G2805">
        <v>-1</v>
      </c>
      <c r="H2805" t="s">
        <v>16</v>
      </c>
      <c r="I2805" t="s">
        <v>82</v>
      </c>
      <c r="J2805" s="1">
        <v>44124</v>
      </c>
      <c r="L2805" t="s">
        <v>14</v>
      </c>
      <c r="M2805">
        <v>43.24</v>
      </c>
      <c r="N2805">
        <v>43.24</v>
      </c>
      <c r="O2805" t="s">
        <v>21</v>
      </c>
      <c r="P2805">
        <f t="shared" si="132"/>
        <v>1</v>
      </c>
      <c r="Q2805" s="11">
        <f>IF(P2805=0,0,IFERROR(Q2804+G2805*M2805*IF(E2805="FUTURE",VLOOKUP(MID(I2805,2,2),[1]Futures!$A$2:$B$12,2),1),G2805*M2805*IF(E2805="FUTURE",VLOOKUP(MID(I2805,2,2),[1]Futures!$A$2:$B$12,2),1)))</f>
        <v>43000</v>
      </c>
      <c r="R2805" s="12">
        <f>IFERROR(Q2805/P2805/IF(E2805="FUTURE",VLOOKUP(MID(I2805,2,2),[1]Futures!$A$2:$B$12,2),1),"")</f>
        <v>43</v>
      </c>
      <c r="S2805" s="13" t="str">
        <f>IF(AND(H2805="TO CLOSE",P2805=0),-G2805*(M2805-R2804)*IF(E2805="FUTURE",VLOOKUP(MID(I2805,2,2),[1]Futures!$A$2:$B$12,2),1),"")</f>
        <v/>
      </c>
    </row>
    <row r="2806" spans="1:19" x14ac:dyDescent="0.2">
      <c r="A2806">
        <f t="shared" si="131"/>
        <v>914</v>
      </c>
      <c r="B2806" s="3">
        <v>44075</v>
      </c>
      <c r="C2806" s="3" t="str">
        <f t="shared" si="133"/>
        <v>Tuesday</v>
      </c>
      <c r="D2806" s="2">
        <v>0.40688657407407408</v>
      </c>
      <c r="E2806" t="s">
        <v>14</v>
      </c>
      <c r="F2806" t="s">
        <v>15</v>
      </c>
      <c r="G2806">
        <v>-1</v>
      </c>
      <c r="H2806" t="s">
        <v>16</v>
      </c>
      <c r="I2806" t="s">
        <v>82</v>
      </c>
      <c r="J2806" s="1">
        <v>44124</v>
      </c>
      <c r="L2806" t="s">
        <v>14</v>
      </c>
      <c r="M2806">
        <v>43.31</v>
      </c>
      <c r="N2806">
        <v>43.31</v>
      </c>
      <c r="O2806" t="s">
        <v>21</v>
      </c>
      <c r="P2806">
        <f t="shared" si="132"/>
        <v>0</v>
      </c>
      <c r="Q2806" s="11">
        <f>IF(P2806=0,0,IFERROR(Q2805+G2806*M2806*IF(E2806="FUTURE",VLOOKUP(MID(I2806,2,2),[1]Futures!$A$2:$B$12,2),1),G2806*M2806*IF(E2806="FUTURE",VLOOKUP(MID(I2806,2,2),[1]Futures!$A$2:$B$12,2),1)))</f>
        <v>0</v>
      </c>
      <c r="R2806" s="12" t="str">
        <f>IFERROR(Q2806/P2806/IF(E2806="FUTURE",VLOOKUP(MID(I2806,2,2),[1]Futures!$A$2:$B$12,2),1),"")</f>
        <v/>
      </c>
      <c r="S2806" s="13">
        <f>IF(AND(H2806="TO CLOSE",P2806=0),-G2806*(M2806-R2805)*IF(E2806="FUTURE",VLOOKUP(MID(I2806,2,2),[1]Futures!$A$2:$B$12,2),1),"")</f>
        <v>310.00000000000227</v>
      </c>
    </row>
    <row r="2807" spans="1:19" x14ac:dyDescent="0.2">
      <c r="A2807">
        <f t="shared" si="131"/>
        <v>915</v>
      </c>
      <c r="B2807" s="3">
        <v>44075</v>
      </c>
      <c r="C2807" s="3" t="str">
        <f t="shared" si="133"/>
        <v>Tuesday</v>
      </c>
      <c r="D2807" s="2">
        <v>0.42265046296296299</v>
      </c>
      <c r="E2807" t="s">
        <v>14</v>
      </c>
      <c r="F2807" t="s">
        <v>19</v>
      </c>
      <c r="G2807">
        <v>1</v>
      </c>
      <c r="H2807" t="s">
        <v>20</v>
      </c>
      <c r="I2807" t="s">
        <v>79</v>
      </c>
      <c r="J2807" s="1">
        <v>44094</v>
      </c>
      <c r="L2807" t="s">
        <v>14</v>
      </c>
      <c r="M2807">
        <v>3504</v>
      </c>
      <c r="N2807">
        <v>3504</v>
      </c>
      <c r="O2807" t="s">
        <v>24</v>
      </c>
      <c r="P2807">
        <f t="shared" si="132"/>
        <v>1</v>
      </c>
      <c r="Q2807" s="11">
        <f>IF(P2807=0,0,IFERROR(Q2806+G2807*M2807*IF(E2807="FUTURE",VLOOKUP(MID(I2807,2,2),[1]Futures!$A$2:$B$12,2),1),G2807*M2807*IF(E2807="FUTURE",VLOOKUP(MID(I2807,2,2),[1]Futures!$A$2:$B$12,2),1)))</f>
        <v>175200</v>
      </c>
      <c r="R2807" s="12">
        <f>IFERROR(Q2807/P2807/IF(E2807="FUTURE",VLOOKUP(MID(I2807,2,2),[1]Futures!$A$2:$B$12,2),1),"")</f>
        <v>3504</v>
      </c>
      <c r="S2807" s="13" t="str">
        <f>IF(AND(H2807="TO CLOSE",P2807=0),-G2807*(M2807-R2806)*IF(E2807="FUTURE",VLOOKUP(MID(I2807,2,2),[1]Futures!$A$2:$B$12,2),1),"")</f>
        <v/>
      </c>
    </row>
    <row r="2808" spans="1:19" x14ac:dyDescent="0.2">
      <c r="A2808">
        <f t="shared" si="131"/>
        <v>915</v>
      </c>
      <c r="B2808" s="3">
        <v>44075</v>
      </c>
      <c r="C2808" s="3" t="str">
        <f t="shared" si="133"/>
        <v>Tuesday</v>
      </c>
      <c r="D2808" s="2">
        <v>0.42298611111111112</v>
      </c>
      <c r="E2808" t="s">
        <v>14</v>
      </c>
      <c r="F2808" t="s">
        <v>15</v>
      </c>
      <c r="G2808">
        <v>-1</v>
      </c>
      <c r="H2808" t="s">
        <v>16</v>
      </c>
      <c r="I2808" t="s">
        <v>79</v>
      </c>
      <c r="J2808" s="1">
        <v>44094</v>
      </c>
      <c r="L2808" t="s">
        <v>14</v>
      </c>
      <c r="M2808">
        <v>3505</v>
      </c>
      <c r="N2808">
        <v>3505</v>
      </c>
      <c r="O2808" t="s">
        <v>21</v>
      </c>
      <c r="P2808">
        <f t="shared" si="132"/>
        <v>0</v>
      </c>
      <c r="Q2808" s="11">
        <f>IF(P2808=0,0,IFERROR(Q2807+G2808*M2808*IF(E2808="FUTURE",VLOOKUP(MID(I2808,2,2),[1]Futures!$A$2:$B$12,2),1),G2808*M2808*IF(E2808="FUTURE",VLOOKUP(MID(I2808,2,2),[1]Futures!$A$2:$B$12,2),1)))</f>
        <v>0</v>
      </c>
      <c r="R2808" s="12" t="str">
        <f>IFERROR(Q2808/P2808/IF(E2808="FUTURE",VLOOKUP(MID(I2808,2,2),[1]Futures!$A$2:$B$12,2),1),"")</f>
        <v/>
      </c>
      <c r="S2808" s="13">
        <f>IF(AND(H2808="TO CLOSE",P2808=0),-G2808*(M2808-R2807)*IF(E2808="FUTURE",VLOOKUP(MID(I2808,2,2),[1]Futures!$A$2:$B$12,2),1),"")</f>
        <v>50</v>
      </c>
    </row>
    <row r="2809" spans="1:19" x14ac:dyDescent="0.2">
      <c r="A2809">
        <f t="shared" si="131"/>
        <v>916</v>
      </c>
      <c r="B2809" s="3">
        <v>44075</v>
      </c>
      <c r="C2809" s="3" t="str">
        <f t="shared" si="133"/>
        <v>Tuesday</v>
      </c>
      <c r="D2809" s="2">
        <v>0.47311342592592592</v>
      </c>
      <c r="E2809" t="s">
        <v>14</v>
      </c>
      <c r="F2809" t="s">
        <v>15</v>
      </c>
      <c r="G2809">
        <v>-1</v>
      </c>
      <c r="H2809" t="s">
        <v>20</v>
      </c>
      <c r="I2809" t="s">
        <v>79</v>
      </c>
      <c r="J2809" s="1">
        <v>44094</v>
      </c>
      <c r="L2809" t="s">
        <v>14</v>
      </c>
      <c r="M2809">
        <v>3507.75</v>
      </c>
      <c r="N2809">
        <v>3507.75</v>
      </c>
      <c r="O2809" t="s">
        <v>21</v>
      </c>
      <c r="P2809">
        <f t="shared" si="132"/>
        <v>-1</v>
      </c>
      <c r="Q2809" s="11">
        <f>IF(P2809=0,0,IFERROR(Q2808+G2809*M2809*IF(E2809="FUTURE",VLOOKUP(MID(I2809,2,2),[1]Futures!$A$2:$B$12,2),1),G2809*M2809*IF(E2809="FUTURE",VLOOKUP(MID(I2809,2,2),[1]Futures!$A$2:$B$12,2),1)))</f>
        <v>-175387.5</v>
      </c>
      <c r="R2809" s="12">
        <f>IFERROR(Q2809/P2809/IF(E2809="FUTURE",VLOOKUP(MID(I2809,2,2),[1]Futures!$A$2:$B$12,2),1),"")</f>
        <v>3507.75</v>
      </c>
      <c r="S2809" s="13" t="str">
        <f>IF(AND(H2809="TO CLOSE",P2809=0),-G2809*(M2809-R2808)*IF(E2809="FUTURE",VLOOKUP(MID(I2809,2,2),[1]Futures!$A$2:$B$12,2),1),"")</f>
        <v/>
      </c>
    </row>
    <row r="2810" spans="1:19" x14ac:dyDescent="0.2">
      <c r="A2810">
        <f t="shared" si="131"/>
        <v>916</v>
      </c>
      <c r="B2810" s="3">
        <v>44075</v>
      </c>
      <c r="C2810" s="3" t="str">
        <f t="shared" si="133"/>
        <v>Tuesday</v>
      </c>
      <c r="D2810" s="2">
        <v>0.47399305555555554</v>
      </c>
      <c r="E2810" t="s">
        <v>14</v>
      </c>
      <c r="F2810" t="s">
        <v>19</v>
      </c>
      <c r="G2810">
        <v>1</v>
      </c>
      <c r="H2810" t="s">
        <v>16</v>
      </c>
      <c r="I2810" t="s">
        <v>79</v>
      </c>
      <c r="J2810" s="1">
        <v>44094</v>
      </c>
      <c r="L2810" t="s">
        <v>14</v>
      </c>
      <c r="M2810">
        <v>3505</v>
      </c>
      <c r="N2810">
        <v>3505</v>
      </c>
      <c r="O2810" t="s">
        <v>21</v>
      </c>
      <c r="P2810">
        <f t="shared" si="132"/>
        <v>0</v>
      </c>
      <c r="Q2810" s="11">
        <f>IF(P2810=0,0,IFERROR(Q2809+G2810*M2810*IF(E2810="FUTURE",VLOOKUP(MID(I2810,2,2),[1]Futures!$A$2:$B$12,2),1),G2810*M2810*IF(E2810="FUTURE",VLOOKUP(MID(I2810,2,2),[1]Futures!$A$2:$B$12,2),1)))</f>
        <v>0</v>
      </c>
      <c r="R2810" s="12" t="str">
        <f>IFERROR(Q2810/P2810/IF(E2810="FUTURE",VLOOKUP(MID(I2810,2,2),[1]Futures!$A$2:$B$12,2),1),"")</f>
        <v/>
      </c>
      <c r="S2810" s="13">
        <f>IF(AND(H2810="TO CLOSE",P2810=0),-G2810*(M2810-R2809)*IF(E2810="FUTURE",VLOOKUP(MID(I2810,2,2),[1]Futures!$A$2:$B$12,2),1),"")</f>
        <v>137.5</v>
      </c>
    </row>
    <row r="2811" spans="1:19" x14ac:dyDescent="0.2">
      <c r="A2811">
        <f t="shared" si="131"/>
        <v>917</v>
      </c>
      <c r="B2811" s="3">
        <v>44075</v>
      </c>
      <c r="C2811" s="3" t="str">
        <f t="shared" si="133"/>
        <v>Tuesday</v>
      </c>
      <c r="D2811" s="2">
        <v>0.55173611111111109</v>
      </c>
      <c r="E2811" t="s">
        <v>14</v>
      </c>
      <c r="F2811" t="s">
        <v>15</v>
      </c>
      <c r="G2811">
        <v>-1</v>
      </c>
      <c r="H2811" t="s">
        <v>20</v>
      </c>
      <c r="I2811" t="s">
        <v>79</v>
      </c>
      <c r="J2811" s="1">
        <v>44094</v>
      </c>
      <c r="L2811" t="s">
        <v>14</v>
      </c>
      <c r="M2811">
        <v>3508.5</v>
      </c>
      <c r="N2811">
        <v>3508.5</v>
      </c>
      <c r="O2811" t="s">
        <v>21</v>
      </c>
      <c r="P2811">
        <f t="shared" si="132"/>
        <v>-1</v>
      </c>
      <c r="Q2811" s="11">
        <f>IF(P2811=0,0,IFERROR(Q2810+G2811*M2811*IF(E2811="FUTURE",VLOOKUP(MID(I2811,2,2),[1]Futures!$A$2:$B$12,2),1),G2811*M2811*IF(E2811="FUTURE",VLOOKUP(MID(I2811,2,2),[1]Futures!$A$2:$B$12,2),1)))</f>
        <v>-175425</v>
      </c>
      <c r="R2811" s="12">
        <f>IFERROR(Q2811/P2811/IF(E2811="FUTURE",VLOOKUP(MID(I2811,2,2),[1]Futures!$A$2:$B$12,2),1),"")</f>
        <v>3508.5</v>
      </c>
      <c r="S2811" s="13" t="str">
        <f>IF(AND(H2811="TO CLOSE",P2811=0),-G2811*(M2811-R2810)*IF(E2811="FUTURE",VLOOKUP(MID(I2811,2,2),[1]Futures!$A$2:$B$12,2),1),"")</f>
        <v/>
      </c>
    </row>
    <row r="2812" spans="1:19" x14ac:dyDescent="0.2">
      <c r="A2812">
        <f t="shared" si="131"/>
        <v>917</v>
      </c>
      <c r="B2812" s="3">
        <v>44075</v>
      </c>
      <c r="C2812" s="3" t="str">
        <f t="shared" si="133"/>
        <v>Tuesday</v>
      </c>
      <c r="D2812" s="2">
        <v>0.57011574074074078</v>
      </c>
      <c r="E2812" t="s">
        <v>14</v>
      </c>
      <c r="F2812" t="s">
        <v>15</v>
      </c>
      <c r="G2812">
        <v>-1</v>
      </c>
      <c r="H2812" t="s">
        <v>20</v>
      </c>
      <c r="I2812" t="s">
        <v>79</v>
      </c>
      <c r="J2812" s="1">
        <v>44094</v>
      </c>
      <c r="L2812" t="s">
        <v>14</v>
      </c>
      <c r="M2812">
        <v>3511.5</v>
      </c>
      <c r="N2812">
        <v>3511.5</v>
      </c>
      <c r="O2812" t="s">
        <v>21</v>
      </c>
      <c r="P2812">
        <f t="shared" si="132"/>
        <v>-2</v>
      </c>
      <c r="Q2812" s="11">
        <f>IF(P2812=0,0,IFERROR(Q2811+G2812*M2812*IF(E2812="FUTURE",VLOOKUP(MID(I2812,2,2),[1]Futures!$A$2:$B$12,2),1),G2812*M2812*IF(E2812="FUTURE",VLOOKUP(MID(I2812,2,2),[1]Futures!$A$2:$B$12,2),1)))</f>
        <v>-351000</v>
      </c>
      <c r="R2812" s="12">
        <f>IFERROR(Q2812/P2812/IF(E2812="FUTURE",VLOOKUP(MID(I2812,2,2),[1]Futures!$A$2:$B$12,2),1),"")</f>
        <v>3510</v>
      </c>
      <c r="S2812" s="13" t="str">
        <f>IF(AND(H2812="TO CLOSE",P2812=0),-G2812*(M2812-R2811)*IF(E2812="FUTURE",VLOOKUP(MID(I2812,2,2),[1]Futures!$A$2:$B$12,2),1),"")</f>
        <v/>
      </c>
    </row>
    <row r="2813" spans="1:19" x14ac:dyDescent="0.2">
      <c r="A2813">
        <f t="shared" si="131"/>
        <v>917</v>
      </c>
      <c r="B2813" s="3">
        <v>44075</v>
      </c>
      <c r="C2813" s="3" t="str">
        <f t="shared" si="133"/>
        <v>Tuesday</v>
      </c>
      <c r="D2813" s="2">
        <v>0.70401620370370377</v>
      </c>
      <c r="E2813" t="s">
        <v>14</v>
      </c>
      <c r="F2813" t="s">
        <v>19</v>
      </c>
      <c r="G2813">
        <v>2</v>
      </c>
      <c r="H2813" t="s">
        <v>16</v>
      </c>
      <c r="I2813" t="s">
        <v>79</v>
      </c>
      <c r="J2813" s="1">
        <v>44094</v>
      </c>
      <c r="L2813" t="s">
        <v>14</v>
      </c>
      <c r="M2813">
        <v>3530</v>
      </c>
      <c r="N2813">
        <v>3530</v>
      </c>
      <c r="O2813" t="s">
        <v>18</v>
      </c>
      <c r="P2813">
        <f t="shared" si="132"/>
        <v>0</v>
      </c>
      <c r="Q2813" s="11">
        <f>IF(P2813=0,0,IFERROR(Q2812+G2813*M2813*IF(E2813="FUTURE",VLOOKUP(MID(I2813,2,2),[1]Futures!$A$2:$B$12,2),1),G2813*M2813*IF(E2813="FUTURE",VLOOKUP(MID(I2813,2,2),[1]Futures!$A$2:$B$12,2),1)))</f>
        <v>0</v>
      </c>
      <c r="R2813" s="12" t="str">
        <f>IFERROR(Q2813/P2813/IF(E2813="FUTURE",VLOOKUP(MID(I2813,2,2),[1]Futures!$A$2:$B$12,2),1),"")</f>
        <v/>
      </c>
      <c r="S2813" s="13">
        <f>IF(AND(H2813="TO CLOSE",P2813=0),-G2813*(M2813-R2812)*IF(E2813="FUTURE",VLOOKUP(MID(I2813,2,2),[1]Futures!$A$2:$B$12,2),1),"")</f>
        <v>-2000</v>
      </c>
    </row>
    <row r="2814" spans="1:19" x14ac:dyDescent="0.2">
      <c r="A2814">
        <f t="shared" si="131"/>
        <v>918</v>
      </c>
      <c r="B2814" s="3">
        <v>44075</v>
      </c>
      <c r="C2814" s="3" t="str">
        <f t="shared" si="133"/>
        <v>Tuesday</v>
      </c>
      <c r="D2814" s="2">
        <v>0.45930555555555558</v>
      </c>
      <c r="E2814" t="s">
        <v>22</v>
      </c>
      <c r="F2814" t="s">
        <v>19</v>
      </c>
      <c r="G2814">
        <v>200</v>
      </c>
      <c r="H2814" t="s">
        <v>20</v>
      </c>
      <c r="I2814" t="s">
        <v>23</v>
      </c>
      <c r="L2814" t="s">
        <v>22</v>
      </c>
      <c r="M2814">
        <v>27.4</v>
      </c>
      <c r="N2814">
        <v>27.4</v>
      </c>
      <c r="O2814" t="s">
        <v>21</v>
      </c>
      <c r="P2814">
        <f t="shared" si="132"/>
        <v>200</v>
      </c>
      <c r="Q2814" s="11">
        <f>IF(P2814=0,0,IFERROR(Q2813+G2814*M2814*IF(E2814="FUTURE",VLOOKUP(MID(I2814,2,2),[1]Futures!$A$2:$B$12,2),1),G2814*M2814*IF(E2814="FUTURE",VLOOKUP(MID(I2814,2,2),[1]Futures!$A$2:$B$12,2),1)))</f>
        <v>5480</v>
      </c>
      <c r="R2814" s="12">
        <f>IFERROR(Q2814/P2814/IF(E2814="FUTURE",VLOOKUP(MID(I2814,2,2),[1]Futures!$A$2:$B$12,2),1),"")</f>
        <v>27.4</v>
      </c>
      <c r="S2814" s="13" t="str">
        <f>IF(AND(H2814="TO CLOSE",P2814=0),-G2814*(M2814-R2813)*IF(E2814="FUTURE",VLOOKUP(MID(I2814,2,2),[1]Futures!$A$2:$B$12,2),1),"")</f>
        <v/>
      </c>
    </row>
    <row r="2815" spans="1:19" x14ac:dyDescent="0.2">
      <c r="A2815">
        <f t="shared" si="131"/>
        <v>918</v>
      </c>
      <c r="B2815" s="3">
        <v>44075</v>
      </c>
      <c r="C2815" s="3" t="str">
        <f t="shared" si="133"/>
        <v>Tuesday</v>
      </c>
      <c r="D2815" s="2">
        <v>0.45930555555555558</v>
      </c>
      <c r="E2815" t="s">
        <v>22</v>
      </c>
      <c r="F2815" t="s">
        <v>19</v>
      </c>
      <c r="G2815">
        <v>100</v>
      </c>
      <c r="H2815" t="s">
        <v>20</v>
      </c>
      <c r="I2815" t="s">
        <v>23</v>
      </c>
      <c r="L2815" t="s">
        <v>22</v>
      </c>
      <c r="M2815">
        <v>27.4</v>
      </c>
      <c r="N2815">
        <v>27.4</v>
      </c>
      <c r="O2815" t="s">
        <v>21</v>
      </c>
      <c r="P2815">
        <f t="shared" si="132"/>
        <v>300</v>
      </c>
      <c r="Q2815" s="11">
        <f>IF(P2815=0,0,IFERROR(Q2814+G2815*M2815*IF(E2815="FUTURE",VLOOKUP(MID(I2815,2,2),[1]Futures!$A$2:$B$12,2),1),G2815*M2815*IF(E2815="FUTURE",VLOOKUP(MID(I2815,2,2),[1]Futures!$A$2:$B$12,2),1)))</f>
        <v>8220</v>
      </c>
      <c r="R2815" s="12">
        <f>IFERROR(Q2815/P2815/IF(E2815="FUTURE",VLOOKUP(MID(I2815,2,2),[1]Futures!$A$2:$B$12,2),1),"")</f>
        <v>27.4</v>
      </c>
      <c r="S2815" s="13" t="str">
        <f>IF(AND(H2815="TO CLOSE",P2815=0),-G2815*(M2815-R2814)*IF(E2815="FUTURE",VLOOKUP(MID(I2815,2,2),[1]Futures!$A$2:$B$12,2),1),"")</f>
        <v/>
      </c>
    </row>
    <row r="2816" spans="1:19" x14ac:dyDescent="0.2">
      <c r="A2816">
        <f t="shared" si="131"/>
        <v>918</v>
      </c>
      <c r="B2816" s="3">
        <v>44075</v>
      </c>
      <c r="C2816" s="3" t="str">
        <f t="shared" si="133"/>
        <v>Tuesday</v>
      </c>
      <c r="D2816" s="2">
        <v>0.46675925925925926</v>
      </c>
      <c r="E2816" t="s">
        <v>22</v>
      </c>
      <c r="F2816" t="s">
        <v>19</v>
      </c>
      <c r="G2816">
        <v>100</v>
      </c>
      <c r="H2816" t="s">
        <v>20</v>
      </c>
      <c r="I2816" t="s">
        <v>23</v>
      </c>
      <c r="L2816" t="s">
        <v>22</v>
      </c>
      <c r="M2816">
        <v>27.1799</v>
      </c>
      <c r="N2816">
        <v>27.1799</v>
      </c>
      <c r="O2816" t="s">
        <v>24</v>
      </c>
      <c r="P2816">
        <f t="shared" si="132"/>
        <v>400</v>
      </c>
      <c r="Q2816" s="11">
        <f>IF(P2816=0,0,IFERROR(Q2815+G2816*M2816*IF(E2816="FUTURE",VLOOKUP(MID(I2816,2,2),[1]Futures!$A$2:$B$12,2),1),G2816*M2816*IF(E2816="FUTURE",VLOOKUP(MID(I2816,2,2),[1]Futures!$A$2:$B$12,2),1)))</f>
        <v>10937.99</v>
      </c>
      <c r="R2816" s="12">
        <f>IFERROR(Q2816/P2816/IF(E2816="FUTURE",VLOOKUP(MID(I2816,2,2),[1]Futures!$A$2:$B$12,2),1),"")</f>
        <v>27.344974999999998</v>
      </c>
      <c r="S2816" s="13" t="str">
        <f>IF(AND(H2816="TO CLOSE",P2816=0),-G2816*(M2816-R2815)*IF(E2816="FUTURE",VLOOKUP(MID(I2816,2,2),[1]Futures!$A$2:$B$12,2),1),"")</f>
        <v/>
      </c>
    </row>
    <row r="2817" spans="1:19" x14ac:dyDescent="0.2">
      <c r="A2817">
        <f t="shared" si="131"/>
        <v>918</v>
      </c>
      <c r="B2817" s="3">
        <v>44075</v>
      </c>
      <c r="C2817" s="3" t="str">
        <f t="shared" si="133"/>
        <v>Tuesday</v>
      </c>
      <c r="D2817" s="2">
        <v>0.46740740740740744</v>
      </c>
      <c r="E2817" t="s">
        <v>22</v>
      </c>
      <c r="F2817" t="s">
        <v>19</v>
      </c>
      <c r="G2817">
        <v>100</v>
      </c>
      <c r="H2817" t="s">
        <v>20</v>
      </c>
      <c r="I2817" t="s">
        <v>23</v>
      </c>
      <c r="L2817" t="s">
        <v>22</v>
      </c>
      <c r="M2817">
        <v>27.0899</v>
      </c>
      <c r="N2817">
        <v>27.0899</v>
      </c>
      <c r="O2817" t="s">
        <v>24</v>
      </c>
      <c r="P2817">
        <f t="shared" si="132"/>
        <v>500</v>
      </c>
      <c r="Q2817" s="11">
        <f>IF(P2817=0,0,IFERROR(Q2816+G2817*M2817*IF(E2817="FUTURE",VLOOKUP(MID(I2817,2,2),[1]Futures!$A$2:$B$12,2),1),G2817*M2817*IF(E2817="FUTURE",VLOOKUP(MID(I2817,2,2),[1]Futures!$A$2:$B$12,2),1)))</f>
        <v>13646.98</v>
      </c>
      <c r="R2817" s="12">
        <f>IFERROR(Q2817/P2817/IF(E2817="FUTURE",VLOOKUP(MID(I2817,2,2),[1]Futures!$A$2:$B$12,2),1),"")</f>
        <v>27.293959999999998</v>
      </c>
      <c r="S2817" s="13" t="str">
        <f>IF(AND(H2817="TO CLOSE",P2817=0),-G2817*(M2817-R2816)*IF(E2817="FUTURE",VLOOKUP(MID(I2817,2,2),[1]Futures!$A$2:$B$12,2),1),"")</f>
        <v/>
      </c>
    </row>
    <row r="2818" spans="1:19" x14ac:dyDescent="0.2">
      <c r="A2818">
        <f t="shared" ref="A2818:A2881" si="134">IF(AND(P2817=0,H2817="TO CLOSE"),IFERROR(A2817+1,1),IFERROR(A2817/1,1))</f>
        <v>918</v>
      </c>
      <c r="B2818" s="3">
        <v>44075</v>
      </c>
      <c r="C2818" s="3" t="str">
        <f t="shared" si="133"/>
        <v>Tuesday</v>
      </c>
      <c r="D2818" s="2">
        <v>0.47542824074074069</v>
      </c>
      <c r="E2818" t="s">
        <v>22</v>
      </c>
      <c r="F2818" t="s">
        <v>15</v>
      </c>
      <c r="G2818">
        <v>-100</v>
      </c>
      <c r="H2818" t="s">
        <v>16</v>
      </c>
      <c r="I2818" t="s">
        <v>23</v>
      </c>
      <c r="L2818" t="s">
        <v>22</v>
      </c>
      <c r="M2818">
        <v>27.3</v>
      </c>
      <c r="N2818">
        <v>27.3</v>
      </c>
      <c r="O2818" t="s">
        <v>21</v>
      </c>
      <c r="P2818">
        <f t="shared" si="132"/>
        <v>400</v>
      </c>
      <c r="Q2818" s="11">
        <f>IF(P2818=0,0,IFERROR(Q2817+G2818*M2818*IF(E2818="FUTURE",VLOOKUP(MID(I2818,2,2),[1]Futures!$A$2:$B$12,2),1),G2818*M2818*IF(E2818="FUTURE",VLOOKUP(MID(I2818,2,2),[1]Futures!$A$2:$B$12,2),1)))</f>
        <v>10916.98</v>
      </c>
      <c r="R2818" s="12">
        <f>IFERROR(Q2818/P2818/IF(E2818="FUTURE",VLOOKUP(MID(I2818,2,2),[1]Futures!$A$2:$B$12,2),1),"")</f>
        <v>27.292449999999999</v>
      </c>
      <c r="S2818" s="13" t="str">
        <f>IF(AND(H2818="TO CLOSE",P2818=0),-G2818*(M2818-R2817)*IF(E2818="FUTURE",VLOOKUP(MID(I2818,2,2),[1]Futures!$A$2:$B$12,2),1),"")</f>
        <v/>
      </c>
    </row>
    <row r="2819" spans="1:19" x14ac:dyDescent="0.2">
      <c r="A2819">
        <f t="shared" si="134"/>
        <v>918</v>
      </c>
      <c r="B2819" s="3">
        <v>44075</v>
      </c>
      <c r="C2819" s="3" t="str">
        <f t="shared" si="133"/>
        <v>Tuesday</v>
      </c>
      <c r="D2819" s="2">
        <v>0.65025462962962965</v>
      </c>
      <c r="E2819" t="s">
        <v>22</v>
      </c>
      <c r="F2819" t="s">
        <v>15</v>
      </c>
      <c r="G2819">
        <v>-100</v>
      </c>
      <c r="H2819" t="s">
        <v>16</v>
      </c>
      <c r="I2819" t="s">
        <v>23</v>
      </c>
      <c r="L2819" t="s">
        <v>22</v>
      </c>
      <c r="M2819">
        <v>27.18</v>
      </c>
      <c r="N2819">
        <v>27.18</v>
      </c>
      <c r="O2819" t="s">
        <v>21</v>
      </c>
      <c r="P2819">
        <f t="shared" ref="P2819:P2882" si="135">IF(H2819="TO OPEN",IFERROR(P2818+G2819,0+G2819),IFERROR(P2818+G2819,0+G2819))</f>
        <v>300</v>
      </c>
      <c r="Q2819" s="11">
        <f>IF(P2819=0,0,IFERROR(Q2818+G2819*M2819*IF(E2819="FUTURE",VLOOKUP(MID(I2819,2,2),[1]Futures!$A$2:$B$12,2),1),G2819*M2819*IF(E2819="FUTURE",VLOOKUP(MID(I2819,2,2),[1]Futures!$A$2:$B$12,2),1)))</f>
        <v>8198.98</v>
      </c>
      <c r="R2819" s="12">
        <f>IFERROR(Q2819/P2819/IF(E2819="FUTURE",VLOOKUP(MID(I2819,2,2),[1]Futures!$A$2:$B$12,2),1),"")</f>
        <v>27.329933333333333</v>
      </c>
      <c r="S2819" s="13" t="str">
        <f>IF(AND(H2819="TO CLOSE",P2819=0),-G2819*(M2819-R2818)*IF(E2819="FUTURE",VLOOKUP(MID(I2819,2,2),[1]Futures!$A$2:$B$12,2),1),"")</f>
        <v/>
      </c>
    </row>
    <row r="2820" spans="1:19" x14ac:dyDescent="0.2">
      <c r="A2820">
        <f t="shared" si="134"/>
        <v>918</v>
      </c>
      <c r="B2820" s="3">
        <v>44075</v>
      </c>
      <c r="C2820" s="3" t="str">
        <f t="shared" si="133"/>
        <v>Tuesday</v>
      </c>
      <c r="D2820" s="2">
        <v>0.66069444444444447</v>
      </c>
      <c r="E2820" t="s">
        <v>22</v>
      </c>
      <c r="F2820" t="s">
        <v>15</v>
      </c>
      <c r="G2820">
        <v>-100</v>
      </c>
      <c r="H2820" t="s">
        <v>16</v>
      </c>
      <c r="I2820" t="s">
        <v>23</v>
      </c>
      <c r="L2820" t="s">
        <v>22</v>
      </c>
      <c r="M2820">
        <v>27.33</v>
      </c>
      <c r="N2820">
        <v>27.33</v>
      </c>
      <c r="O2820" t="s">
        <v>21</v>
      </c>
      <c r="P2820">
        <f t="shared" si="135"/>
        <v>200</v>
      </c>
      <c r="Q2820" s="11">
        <f>IF(P2820=0,0,IFERROR(Q2819+G2820*M2820*IF(E2820="FUTURE",VLOOKUP(MID(I2820,2,2),[1]Futures!$A$2:$B$12,2),1),G2820*M2820*IF(E2820="FUTURE",VLOOKUP(MID(I2820,2,2),[1]Futures!$A$2:$B$12,2),1)))</f>
        <v>5465.98</v>
      </c>
      <c r="R2820" s="12">
        <f>IFERROR(Q2820/P2820/IF(E2820="FUTURE",VLOOKUP(MID(I2820,2,2),[1]Futures!$A$2:$B$12,2),1),"")</f>
        <v>27.329899999999999</v>
      </c>
      <c r="S2820" s="13" t="str">
        <f>IF(AND(H2820="TO CLOSE",P2820=0),-G2820*(M2820-R2819)*IF(E2820="FUTURE",VLOOKUP(MID(I2820,2,2),[1]Futures!$A$2:$B$12,2),1),"")</f>
        <v/>
      </c>
    </row>
    <row r="2821" spans="1:19" x14ac:dyDescent="0.2">
      <c r="A2821">
        <f t="shared" si="134"/>
        <v>918</v>
      </c>
      <c r="B2821" s="3">
        <v>44075</v>
      </c>
      <c r="C2821" s="3" t="str">
        <f t="shared" si="133"/>
        <v>Tuesday</v>
      </c>
      <c r="D2821" s="2">
        <v>0.66621527777777778</v>
      </c>
      <c r="E2821" t="s">
        <v>22</v>
      </c>
      <c r="F2821" t="s">
        <v>15</v>
      </c>
      <c r="G2821">
        <v>-200</v>
      </c>
      <c r="H2821" t="s">
        <v>16</v>
      </c>
      <c r="I2821" t="s">
        <v>23</v>
      </c>
      <c r="L2821" t="s">
        <v>22</v>
      </c>
      <c r="M2821">
        <v>27.34</v>
      </c>
      <c r="N2821">
        <v>27.34</v>
      </c>
      <c r="O2821" t="s">
        <v>21</v>
      </c>
      <c r="P2821">
        <f t="shared" si="135"/>
        <v>0</v>
      </c>
      <c r="Q2821" s="11">
        <f>IF(P2821=0,0,IFERROR(Q2820+G2821*M2821*IF(E2821="FUTURE",VLOOKUP(MID(I2821,2,2),[1]Futures!$A$2:$B$12,2),1),G2821*M2821*IF(E2821="FUTURE",VLOOKUP(MID(I2821,2,2),[1]Futures!$A$2:$B$12,2),1)))</f>
        <v>0</v>
      </c>
      <c r="R2821" s="12" t="str">
        <f>IFERROR(Q2821/P2821/IF(E2821="FUTURE",VLOOKUP(MID(I2821,2,2),[1]Futures!$A$2:$B$12,2),1),"")</f>
        <v/>
      </c>
      <c r="S2821" s="13">
        <f>IF(AND(H2821="TO CLOSE",P2821=0),-G2821*(M2821-R2820)*IF(E2821="FUTURE",VLOOKUP(MID(I2821,2,2),[1]Futures!$A$2:$B$12,2),1),"")</f>
        <v>2.020000000000266</v>
      </c>
    </row>
    <row r="2822" spans="1:19" x14ac:dyDescent="0.2">
      <c r="A2822">
        <f t="shared" si="134"/>
        <v>919</v>
      </c>
      <c r="B2822" s="3">
        <v>44076</v>
      </c>
      <c r="C2822" s="3" t="str">
        <f t="shared" si="133"/>
        <v>Wednesday</v>
      </c>
      <c r="D2822" s="2">
        <v>0.39711805555555557</v>
      </c>
      <c r="E2822" t="s">
        <v>14</v>
      </c>
      <c r="F2822" t="s">
        <v>15</v>
      </c>
      <c r="G2822">
        <v>-2</v>
      </c>
      <c r="H2822" t="s">
        <v>20</v>
      </c>
      <c r="I2822" t="s">
        <v>82</v>
      </c>
      <c r="J2822" s="1">
        <v>44124</v>
      </c>
      <c r="L2822" t="s">
        <v>14</v>
      </c>
      <c r="M2822">
        <v>42.72</v>
      </c>
      <c r="N2822">
        <v>42.72</v>
      </c>
      <c r="O2822" t="s">
        <v>24</v>
      </c>
      <c r="P2822">
        <f t="shared" si="135"/>
        <v>-2</v>
      </c>
      <c r="Q2822" s="11">
        <f>IF(P2822=0,0,IFERROR(Q2821+G2822*M2822*IF(E2822="FUTURE",VLOOKUP(MID(I2822,2,2),[1]Futures!$A$2:$B$12,2),1),G2822*M2822*IF(E2822="FUTURE",VLOOKUP(MID(I2822,2,2),[1]Futures!$A$2:$B$12,2),1)))</f>
        <v>-85440</v>
      </c>
      <c r="R2822" s="12">
        <f>IFERROR(Q2822/P2822/IF(E2822="FUTURE",VLOOKUP(MID(I2822,2,2),[1]Futures!$A$2:$B$12,2),1),"")</f>
        <v>42.72</v>
      </c>
      <c r="S2822" s="13" t="str">
        <f>IF(AND(H2822="TO CLOSE",P2822=0),-G2822*(M2822-R2821)*IF(E2822="FUTURE",VLOOKUP(MID(I2822,2,2),[1]Futures!$A$2:$B$12,2),1),"")</f>
        <v/>
      </c>
    </row>
    <row r="2823" spans="1:19" x14ac:dyDescent="0.2">
      <c r="A2823">
        <f t="shared" si="134"/>
        <v>919</v>
      </c>
      <c r="B2823" s="3">
        <v>44076</v>
      </c>
      <c r="C2823" s="3" t="str">
        <f t="shared" si="133"/>
        <v>Wednesday</v>
      </c>
      <c r="D2823" s="2">
        <v>0.39967592592592593</v>
      </c>
      <c r="E2823" t="s">
        <v>14</v>
      </c>
      <c r="F2823" t="s">
        <v>19</v>
      </c>
      <c r="G2823">
        <v>1</v>
      </c>
      <c r="H2823" t="s">
        <v>16</v>
      </c>
      <c r="I2823" t="s">
        <v>82</v>
      </c>
      <c r="J2823" s="1">
        <v>44124</v>
      </c>
      <c r="L2823" t="s">
        <v>14</v>
      </c>
      <c r="M2823">
        <v>42.62</v>
      </c>
      <c r="N2823">
        <v>42.62</v>
      </c>
      <c r="O2823" t="s">
        <v>21</v>
      </c>
      <c r="P2823">
        <f t="shared" si="135"/>
        <v>-1</v>
      </c>
      <c r="Q2823" s="11">
        <f>IF(P2823=0,0,IFERROR(Q2822+G2823*M2823*IF(E2823="FUTURE",VLOOKUP(MID(I2823,2,2),[1]Futures!$A$2:$B$12,2),1),G2823*M2823*IF(E2823="FUTURE",VLOOKUP(MID(I2823,2,2),[1]Futures!$A$2:$B$12,2),1)))</f>
        <v>-42820</v>
      </c>
      <c r="R2823" s="12">
        <f>IFERROR(Q2823/P2823/IF(E2823="FUTURE",VLOOKUP(MID(I2823,2,2),[1]Futures!$A$2:$B$12,2),1),"")</f>
        <v>42.82</v>
      </c>
      <c r="S2823" s="13" t="str">
        <f>IF(AND(H2823="TO CLOSE",P2823=0),-G2823*(M2823-R2822)*IF(E2823="FUTURE",VLOOKUP(MID(I2823,2,2),[1]Futures!$A$2:$B$12,2),1),"")</f>
        <v/>
      </c>
    </row>
    <row r="2824" spans="1:19" x14ac:dyDescent="0.2">
      <c r="A2824">
        <f t="shared" si="134"/>
        <v>919</v>
      </c>
      <c r="B2824" s="3">
        <v>44076</v>
      </c>
      <c r="C2824" s="3" t="str">
        <f t="shared" si="133"/>
        <v>Wednesday</v>
      </c>
      <c r="D2824" s="2">
        <v>0.40056712962962965</v>
      </c>
      <c r="E2824" t="s">
        <v>14</v>
      </c>
      <c r="F2824" t="s">
        <v>19</v>
      </c>
      <c r="G2824">
        <v>1</v>
      </c>
      <c r="H2824" t="s">
        <v>16</v>
      </c>
      <c r="I2824" t="s">
        <v>82</v>
      </c>
      <c r="J2824" s="1">
        <v>44124</v>
      </c>
      <c r="L2824" t="s">
        <v>14</v>
      </c>
      <c r="M2824">
        <v>42.63</v>
      </c>
      <c r="N2824">
        <v>42.63</v>
      </c>
      <c r="O2824" t="s">
        <v>21</v>
      </c>
      <c r="P2824">
        <f t="shared" si="135"/>
        <v>0</v>
      </c>
      <c r="Q2824" s="11">
        <f>IF(P2824=0,0,IFERROR(Q2823+G2824*M2824*IF(E2824="FUTURE",VLOOKUP(MID(I2824,2,2),[1]Futures!$A$2:$B$12,2),1),G2824*M2824*IF(E2824="FUTURE",VLOOKUP(MID(I2824,2,2),[1]Futures!$A$2:$B$12,2),1)))</f>
        <v>0</v>
      </c>
      <c r="R2824" s="12" t="str">
        <f>IFERROR(Q2824/P2824/IF(E2824="FUTURE",VLOOKUP(MID(I2824,2,2),[1]Futures!$A$2:$B$12,2),1),"")</f>
        <v/>
      </c>
      <c r="S2824" s="13">
        <f>IF(AND(H2824="TO CLOSE",P2824=0),-G2824*(M2824-R2823)*IF(E2824="FUTURE",VLOOKUP(MID(I2824,2,2),[1]Futures!$A$2:$B$12,2),1),"")</f>
        <v>189.99999999999773</v>
      </c>
    </row>
    <row r="2825" spans="1:19" x14ac:dyDescent="0.2">
      <c r="A2825">
        <f t="shared" si="134"/>
        <v>920</v>
      </c>
      <c r="B2825" s="3">
        <v>44076</v>
      </c>
      <c r="C2825" s="3" t="str">
        <f t="shared" si="133"/>
        <v>Wednesday</v>
      </c>
      <c r="D2825" s="2">
        <v>0.43711805555555555</v>
      </c>
      <c r="E2825" t="s">
        <v>14</v>
      </c>
      <c r="F2825" t="s">
        <v>19</v>
      </c>
      <c r="G2825">
        <v>1</v>
      </c>
      <c r="H2825" t="s">
        <v>20</v>
      </c>
      <c r="I2825" t="s">
        <v>82</v>
      </c>
      <c r="J2825" s="1">
        <v>44124</v>
      </c>
      <c r="L2825" t="s">
        <v>14</v>
      </c>
      <c r="M2825">
        <v>42.35</v>
      </c>
      <c r="N2825">
        <v>42.35</v>
      </c>
      <c r="O2825" t="s">
        <v>24</v>
      </c>
      <c r="P2825">
        <f t="shared" si="135"/>
        <v>1</v>
      </c>
      <c r="Q2825" s="11">
        <f>IF(P2825=0,0,IFERROR(Q2824+G2825*M2825*IF(E2825="FUTURE",VLOOKUP(MID(I2825,2,2),[1]Futures!$A$2:$B$12,2),1),G2825*M2825*IF(E2825="FUTURE",VLOOKUP(MID(I2825,2,2),[1]Futures!$A$2:$B$12,2),1)))</f>
        <v>42350</v>
      </c>
      <c r="R2825" s="12">
        <f>IFERROR(Q2825/P2825/IF(E2825="FUTURE",VLOOKUP(MID(I2825,2,2),[1]Futures!$A$2:$B$12,2),1),"")</f>
        <v>42.35</v>
      </c>
      <c r="S2825" s="13" t="str">
        <f>IF(AND(H2825="TO CLOSE",P2825=0),-G2825*(M2825-R2824)*IF(E2825="FUTURE",VLOOKUP(MID(I2825,2,2),[1]Futures!$A$2:$B$12,2),1),"")</f>
        <v/>
      </c>
    </row>
    <row r="2826" spans="1:19" x14ac:dyDescent="0.2">
      <c r="A2826">
        <f t="shared" si="134"/>
        <v>920</v>
      </c>
      <c r="B2826" s="3">
        <v>44076</v>
      </c>
      <c r="C2826" s="3" t="str">
        <f t="shared" si="133"/>
        <v>Wednesday</v>
      </c>
      <c r="D2826" s="2">
        <v>0.43813657407407408</v>
      </c>
      <c r="E2826" t="s">
        <v>14</v>
      </c>
      <c r="F2826" t="s">
        <v>15</v>
      </c>
      <c r="G2826">
        <v>-1</v>
      </c>
      <c r="H2826" t="s">
        <v>16</v>
      </c>
      <c r="I2826" t="s">
        <v>82</v>
      </c>
      <c r="J2826" s="1">
        <v>44124</v>
      </c>
      <c r="L2826" t="s">
        <v>14</v>
      </c>
      <c r="M2826">
        <v>42.57</v>
      </c>
      <c r="N2826">
        <v>42.57</v>
      </c>
      <c r="O2826" t="s">
        <v>21</v>
      </c>
      <c r="P2826">
        <f t="shared" si="135"/>
        <v>0</v>
      </c>
      <c r="Q2826" s="11">
        <f>IF(P2826=0,0,IFERROR(Q2825+G2826*M2826*IF(E2826="FUTURE",VLOOKUP(MID(I2826,2,2),[1]Futures!$A$2:$B$12,2),1),G2826*M2826*IF(E2826="FUTURE",VLOOKUP(MID(I2826,2,2),[1]Futures!$A$2:$B$12,2),1)))</f>
        <v>0</v>
      </c>
      <c r="R2826" s="12" t="str">
        <f>IFERROR(Q2826/P2826/IF(E2826="FUTURE",VLOOKUP(MID(I2826,2,2),[1]Futures!$A$2:$B$12,2),1),"")</f>
        <v/>
      </c>
      <c r="S2826" s="13">
        <f>IF(AND(H2826="TO CLOSE",P2826=0),-G2826*(M2826-R2825)*IF(E2826="FUTURE",VLOOKUP(MID(I2826,2,2),[1]Futures!$A$2:$B$12,2),1),"")</f>
        <v>219.99999999999886</v>
      </c>
    </row>
    <row r="2827" spans="1:19" x14ac:dyDescent="0.2">
      <c r="A2827">
        <f t="shared" si="134"/>
        <v>921</v>
      </c>
      <c r="B2827" s="3">
        <v>44076</v>
      </c>
      <c r="C2827" s="3" t="str">
        <f t="shared" si="133"/>
        <v>Wednesday</v>
      </c>
      <c r="D2827" s="2">
        <v>0.45700231481481479</v>
      </c>
      <c r="E2827" t="s">
        <v>14</v>
      </c>
      <c r="F2827" t="s">
        <v>19</v>
      </c>
      <c r="G2827">
        <v>1</v>
      </c>
      <c r="H2827" t="s">
        <v>20</v>
      </c>
      <c r="I2827" t="s">
        <v>82</v>
      </c>
      <c r="J2827" s="1">
        <v>44124</v>
      </c>
      <c r="L2827" t="s">
        <v>14</v>
      </c>
      <c r="M2827">
        <v>41.87</v>
      </c>
      <c r="N2827">
        <v>41.87</v>
      </c>
      <c r="O2827" t="s">
        <v>21</v>
      </c>
      <c r="P2827">
        <f t="shared" si="135"/>
        <v>1</v>
      </c>
      <c r="Q2827" s="11">
        <f>IF(P2827=0,0,IFERROR(Q2826+G2827*M2827*IF(E2827="FUTURE",VLOOKUP(MID(I2827,2,2),[1]Futures!$A$2:$B$12,2),1),G2827*M2827*IF(E2827="FUTURE",VLOOKUP(MID(I2827,2,2),[1]Futures!$A$2:$B$12,2),1)))</f>
        <v>41870</v>
      </c>
      <c r="R2827" s="12">
        <f>IFERROR(Q2827/P2827/IF(E2827="FUTURE",VLOOKUP(MID(I2827,2,2),[1]Futures!$A$2:$B$12,2),1),"")</f>
        <v>41.87</v>
      </c>
      <c r="S2827" s="13" t="str">
        <f>IF(AND(H2827="TO CLOSE",P2827=0),-G2827*(M2827-R2826)*IF(E2827="FUTURE",VLOOKUP(MID(I2827,2,2),[1]Futures!$A$2:$B$12,2),1),"")</f>
        <v/>
      </c>
    </row>
    <row r="2828" spans="1:19" x14ac:dyDescent="0.2">
      <c r="A2828">
        <f t="shared" si="134"/>
        <v>921</v>
      </c>
      <c r="B2828" s="3">
        <v>44076</v>
      </c>
      <c r="C2828" s="3" t="str">
        <f t="shared" si="133"/>
        <v>Wednesday</v>
      </c>
      <c r="D2828" s="2">
        <v>0.47530092592592593</v>
      </c>
      <c r="E2828" t="s">
        <v>14</v>
      </c>
      <c r="F2828" t="s">
        <v>19</v>
      </c>
      <c r="G2828">
        <v>1</v>
      </c>
      <c r="H2828" t="s">
        <v>20</v>
      </c>
      <c r="I2828" t="s">
        <v>82</v>
      </c>
      <c r="J2828" s="1">
        <v>44124</v>
      </c>
      <c r="L2828" t="s">
        <v>14</v>
      </c>
      <c r="M2828">
        <v>41.71</v>
      </c>
      <c r="N2828">
        <v>41.71</v>
      </c>
      <c r="O2828" t="s">
        <v>21</v>
      </c>
      <c r="P2828">
        <f t="shared" si="135"/>
        <v>2</v>
      </c>
      <c r="Q2828" s="11">
        <f>IF(P2828=0,0,IFERROR(Q2827+G2828*M2828*IF(E2828="FUTURE",VLOOKUP(MID(I2828,2,2),[1]Futures!$A$2:$B$12,2),1),G2828*M2828*IF(E2828="FUTURE",VLOOKUP(MID(I2828,2,2),[1]Futures!$A$2:$B$12,2),1)))</f>
        <v>83580</v>
      </c>
      <c r="R2828" s="12">
        <f>IFERROR(Q2828/P2828/IF(E2828="FUTURE",VLOOKUP(MID(I2828,2,2),[1]Futures!$A$2:$B$12,2),1),"")</f>
        <v>41.79</v>
      </c>
      <c r="S2828" s="13" t="str">
        <f>IF(AND(H2828="TO CLOSE",P2828=0),-G2828*(M2828-R2827)*IF(E2828="FUTURE",VLOOKUP(MID(I2828,2,2),[1]Futures!$A$2:$B$12,2),1),"")</f>
        <v/>
      </c>
    </row>
    <row r="2829" spans="1:19" x14ac:dyDescent="0.2">
      <c r="A2829">
        <f t="shared" si="134"/>
        <v>921</v>
      </c>
      <c r="B2829" s="3">
        <v>44076</v>
      </c>
      <c r="C2829" s="3" t="str">
        <f t="shared" si="133"/>
        <v>Wednesday</v>
      </c>
      <c r="D2829" s="2">
        <v>0.47940972222222222</v>
      </c>
      <c r="E2829" t="s">
        <v>14</v>
      </c>
      <c r="F2829" t="s">
        <v>19</v>
      </c>
      <c r="G2829">
        <v>1</v>
      </c>
      <c r="H2829" t="s">
        <v>20</v>
      </c>
      <c r="I2829" t="s">
        <v>82</v>
      </c>
      <c r="J2829" s="1">
        <v>44124</v>
      </c>
      <c r="L2829" t="s">
        <v>14</v>
      </c>
      <c r="M2829">
        <v>41.79</v>
      </c>
      <c r="N2829">
        <v>41.79</v>
      </c>
      <c r="O2829" t="s">
        <v>18</v>
      </c>
      <c r="P2829">
        <f t="shared" si="135"/>
        <v>3</v>
      </c>
      <c r="Q2829" s="11">
        <f>IF(P2829=0,0,IFERROR(Q2828+G2829*M2829*IF(E2829="FUTURE",VLOOKUP(MID(I2829,2,2),[1]Futures!$A$2:$B$12,2),1),G2829*M2829*IF(E2829="FUTURE",VLOOKUP(MID(I2829,2,2),[1]Futures!$A$2:$B$12,2),1)))</f>
        <v>125370</v>
      </c>
      <c r="R2829" s="12">
        <f>IFERROR(Q2829/P2829/IF(E2829="FUTURE",VLOOKUP(MID(I2829,2,2),[1]Futures!$A$2:$B$12,2),1),"")</f>
        <v>41.79</v>
      </c>
      <c r="S2829" s="13" t="str">
        <f>IF(AND(H2829="TO CLOSE",P2829=0),-G2829*(M2829-R2828)*IF(E2829="FUTURE",VLOOKUP(MID(I2829,2,2),[1]Futures!$A$2:$B$12,2),1),"")</f>
        <v/>
      </c>
    </row>
    <row r="2830" spans="1:19" x14ac:dyDescent="0.2">
      <c r="A2830">
        <f t="shared" si="134"/>
        <v>921</v>
      </c>
      <c r="B2830" s="3">
        <v>44076</v>
      </c>
      <c r="C2830" s="3" t="str">
        <f t="shared" si="133"/>
        <v>Wednesday</v>
      </c>
      <c r="D2830" s="2">
        <v>0.47996527777777781</v>
      </c>
      <c r="E2830" t="s">
        <v>14</v>
      </c>
      <c r="F2830" t="s">
        <v>15</v>
      </c>
      <c r="G2830">
        <v>-1</v>
      </c>
      <c r="H2830" t="s">
        <v>16</v>
      </c>
      <c r="I2830" t="s">
        <v>82</v>
      </c>
      <c r="J2830" s="1">
        <v>44124</v>
      </c>
      <c r="L2830" t="s">
        <v>14</v>
      </c>
      <c r="M2830">
        <v>41.87</v>
      </c>
      <c r="N2830">
        <v>41.87</v>
      </c>
      <c r="O2830" t="s">
        <v>21</v>
      </c>
      <c r="P2830">
        <f t="shared" si="135"/>
        <v>2</v>
      </c>
      <c r="Q2830" s="11">
        <f>IF(P2830=0,0,IFERROR(Q2829+G2830*M2830*IF(E2830="FUTURE",VLOOKUP(MID(I2830,2,2),[1]Futures!$A$2:$B$12,2),1),G2830*M2830*IF(E2830="FUTURE",VLOOKUP(MID(I2830,2,2),[1]Futures!$A$2:$B$12,2),1)))</f>
        <v>83500</v>
      </c>
      <c r="R2830" s="12">
        <f>IFERROR(Q2830/P2830/IF(E2830="FUTURE",VLOOKUP(MID(I2830,2,2),[1]Futures!$A$2:$B$12,2),1),"")</f>
        <v>41.75</v>
      </c>
      <c r="S2830" s="13" t="str">
        <f>IF(AND(H2830="TO CLOSE",P2830=0),-G2830*(M2830-R2829)*IF(E2830="FUTURE",VLOOKUP(MID(I2830,2,2),[1]Futures!$A$2:$B$12,2),1),"")</f>
        <v/>
      </c>
    </row>
    <row r="2831" spans="1:19" x14ac:dyDescent="0.2">
      <c r="A2831">
        <f t="shared" si="134"/>
        <v>921</v>
      </c>
      <c r="B2831" s="3">
        <v>44076</v>
      </c>
      <c r="C2831" s="3" t="str">
        <f t="shared" si="133"/>
        <v>Wednesday</v>
      </c>
      <c r="D2831" s="2">
        <v>0.48116898148148146</v>
      </c>
      <c r="E2831" t="s">
        <v>14</v>
      </c>
      <c r="F2831" t="s">
        <v>15</v>
      </c>
      <c r="G2831">
        <v>-1</v>
      </c>
      <c r="H2831" t="s">
        <v>16</v>
      </c>
      <c r="I2831" t="s">
        <v>82</v>
      </c>
      <c r="J2831" s="1">
        <v>44124</v>
      </c>
      <c r="L2831" t="s">
        <v>14</v>
      </c>
      <c r="M2831">
        <v>41.96</v>
      </c>
      <c r="N2831">
        <v>41.96</v>
      </c>
      <c r="O2831" t="s">
        <v>21</v>
      </c>
      <c r="P2831">
        <f t="shared" si="135"/>
        <v>1</v>
      </c>
      <c r="Q2831" s="11">
        <f>IF(P2831=0,0,IFERROR(Q2830+G2831*M2831*IF(E2831="FUTURE",VLOOKUP(MID(I2831,2,2),[1]Futures!$A$2:$B$12,2),1),G2831*M2831*IF(E2831="FUTURE",VLOOKUP(MID(I2831,2,2),[1]Futures!$A$2:$B$12,2),1)))</f>
        <v>41540</v>
      </c>
      <c r="R2831" s="12">
        <f>IFERROR(Q2831/P2831/IF(E2831="FUTURE",VLOOKUP(MID(I2831,2,2),[1]Futures!$A$2:$B$12,2),1),"")</f>
        <v>41.54</v>
      </c>
      <c r="S2831" s="13" t="str">
        <f>IF(AND(H2831="TO CLOSE",P2831=0),-G2831*(M2831-R2830)*IF(E2831="FUTURE",VLOOKUP(MID(I2831,2,2),[1]Futures!$A$2:$B$12,2),1),"")</f>
        <v/>
      </c>
    </row>
    <row r="2832" spans="1:19" x14ac:dyDescent="0.2">
      <c r="A2832">
        <f t="shared" si="134"/>
        <v>921</v>
      </c>
      <c r="B2832" s="3">
        <v>44076</v>
      </c>
      <c r="C2832" s="3" t="str">
        <f t="shared" si="133"/>
        <v>Wednesday</v>
      </c>
      <c r="D2832" s="2">
        <v>0.48656250000000001</v>
      </c>
      <c r="E2832" t="s">
        <v>14</v>
      </c>
      <c r="F2832" t="s">
        <v>19</v>
      </c>
      <c r="G2832">
        <v>1</v>
      </c>
      <c r="H2832" t="s">
        <v>20</v>
      </c>
      <c r="I2832" t="s">
        <v>82</v>
      </c>
      <c r="J2832" s="1">
        <v>44124</v>
      </c>
      <c r="L2832" t="s">
        <v>14</v>
      </c>
      <c r="M2832">
        <v>41.73</v>
      </c>
      <c r="N2832">
        <v>41.73</v>
      </c>
      <c r="O2832" t="s">
        <v>18</v>
      </c>
      <c r="P2832">
        <f t="shared" si="135"/>
        <v>2</v>
      </c>
      <c r="Q2832" s="11">
        <f>IF(P2832=0,0,IFERROR(Q2831+G2832*M2832*IF(E2832="FUTURE",VLOOKUP(MID(I2832,2,2),[1]Futures!$A$2:$B$12,2),1),G2832*M2832*IF(E2832="FUTURE",VLOOKUP(MID(I2832,2,2),[1]Futures!$A$2:$B$12,2),1)))</f>
        <v>83270</v>
      </c>
      <c r="R2832" s="12">
        <f>IFERROR(Q2832/P2832/IF(E2832="FUTURE",VLOOKUP(MID(I2832,2,2),[1]Futures!$A$2:$B$12,2),1),"")</f>
        <v>41.634999999999998</v>
      </c>
      <c r="S2832" s="13" t="str">
        <f>IF(AND(H2832="TO CLOSE",P2832=0),-G2832*(M2832-R2831)*IF(E2832="FUTURE",VLOOKUP(MID(I2832,2,2),[1]Futures!$A$2:$B$12,2),1),"")</f>
        <v/>
      </c>
    </row>
    <row r="2833" spans="1:19" x14ac:dyDescent="0.2">
      <c r="A2833">
        <f t="shared" si="134"/>
        <v>921</v>
      </c>
      <c r="B2833" s="3">
        <v>44076</v>
      </c>
      <c r="C2833" s="3" t="str">
        <f t="shared" si="133"/>
        <v>Wednesday</v>
      </c>
      <c r="D2833" s="2">
        <v>0.53943287037037035</v>
      </c>
      <c r="E2833" t="s">
        <v>14</v>
      </c>
      <c r="F2833" t="s">
        <v>19</v>
      </c>
      <c r="G2833">
        <v>1</v>
      </c>
      <c r="H2833" t="s">
        <v>20</v>
      </c>
      <c r="I2833" t="s">
        <v>82</v>
      </c>
      <c r="J2833" s="1">
        <v>44124</v>
      </c>
      <c r="L2833" t="s">
        <v>14</v>
      </c>
      <c r="M2833">
        <v>41.55</v>
      </c>
      <c r="N2833">
        <v>41.55</v>
      </c>
      <c r="O2833" t="s">
        <v>21</v>
      </c>
      <c r="P2833">
        <f t="shared" si="135"/>
        <v>3</v>
      </c>
      <c r="Q2833" s="11">
        <f>IF(P2833=0,0,IFERROR(Q2832+G2833*M2833*IF(E2833="FUTURE",VLOOKUP(MID(I2833,2,2),[1]Futures!$A$2:$B$12,2),1),G2833*M2833*IF(E2833="FUTURE",VLOOKUP(MID(I2833,2,2),[1]Futures!$A$2:$B$12,2),1)))</f>
        <v>124820</v>
      </c>
      <c r="R2833" s="12">
        <f>IFERROR(Q2833/P2833/IF(E2833="FUTURE",VLOOKUP(MID(I2833,2,2),[1]Futures!$A$2:$B$12,2),1),"")</f>
        <v>41.606666666666662</v>
      </c>
      <c r="S2833" s="13" t="str">
        <f>IF(AND(H2833="TO CLOSE",P2833=0),-G2833*(M2833-R2832)*IF(E2833="FUTURE",VLOOKUP(MID(I2833,2,2),[1]Futures!$A$2:$B$12,2),1),"")</f>
        <v/>
      </c>
    </row>
    <row r="2834" spans="1:19" x14ac:dyDescent="0.2">
      <c r="A2834">
        <f t="shared" si="134"/>
        <v>921</v>
      </c>
      <c r="B2834" s="3">
        <v>44076</v>
      </c>
      <c r="C2834" s="3" t="str">
        <f t="shared" si="133"/>
        <v>Wednesday</v>
      </c>
      <c r="D2834" s="2">
        <v>0.54570601851851852</v>
      </c>
      <c r="E2834" t="s">
        <v>14</v>
      </c>
      <c r="F2834" t="s">
        <v>15</v>
      </c>
      <c r="G2834">
        <v>-1</v>
      </c>
      <c r="H2834" t="s">
        <v>16</v>
      </c>
      <c r="I2834" t="s">
        <v>82</v>
      </c>
      <c r="J2834" s="1">
        <v>44124</v>
      </c>
      <c r="L2834" t="s">
        <v>14</v>
      </c>
      <c r="M2834">
        <v>41.77</v>
      </c>
      <c r="N2834">
        <v>41.77</v>
      </c>
      <c r="O2834" t="s">
        <v>21</v>
      </c>
      <c r="P2834">
        <f t="shared" si="135"/>
        <v>2</v>
      </c>
      <c r="Q2834" s="11">
        <f>IF(P2834=0,0,IFERROR(Q2833+G2834*M2834*IF(E2834="FUTURE",VLOOKUP(MID(I2834,2,2),[1]Futures!$A$2:$B$12,2),1),G2834*M2834*IF(E2834="FUTURE",VLOOKUP(MID(I2834,2,2),[1]Futures!$A$2:$B$12,2),1)))</f>
        <v>83050</v>
      </c>
      <c r="R2834" s="12">
        <f>IFERROR(Q2834/P2834/IF(E2834="FUTURE",VLOOKUP(MID(I2834,2,2),[1]Futures!$A$2:$B$12,2),1),"")</f>
        <v>41.524999999999999</v>
      </c>
      <c r="S2834" s="13" t="str">
        <f>IF(AND(H2834="TO CLOSE",P2834=0),-G2834*(M2834-R2833)*IF(E2834="FUTURE",VLOOKUP(MID(I2834,2,2),[1]Futures!$A$2:$B$12,2),1),"")</f>
        <v/>
      </c>
    </row>
    <row r="2835" spans="1:19" x14ac:dyDescent="0.2">
      <c r="A2835">
        <f t="shared" si="134"/>
        <v>921</v>
      </c>
      <c r="B2835" s="3">
        <v>44076</v>
      </c>
      <c r="C2835" s="3" t="str">
        <f t="shared" si="133"/>
        <v>Wednesday</v>
      </c>
      <c r="D2835" s="2">
        <v>0.56449074074074079</v>
      </c>
      <c r="E2835" t="s">
        <v>14</v>
      </c>
      <c r="F2835" t="s">
        <v>15</v>
      </c>
      <c r="G2835">
        <v>-1</v>
      </c>
      <c r="H2835" t="s">
        <v>16</v>
      </c>
      <c r="I2835" t="s">
        <v>82</v>
      </c>
      <c r="J2835" s="1">
        <v>44124</v>
      </c>
      <c r="L2835" t="s">
        <v>14</v>
      </c>
      <c r="M2835">
        <v>41.82</v>
      </c>
      <c r="N2835">
        <v>41.82</v>
      </c>
      <c r="O2835" t="s">
        <v>21</v>
      </c>
      <c r="P2835">
        <f t="shared" si="135"/>
        <v>1</v>
      </c>
      <c r="Q2835" s="11">
        <f>IF(P2835=0,0,IFERROR(Q2834+G2835*M2835*IF(E2835="FUTURE",VLOOKUP(MID(I2835,2,2),[1]Futures!$A$2:$B$12,2),1),G2835*M2835*IF(E2835="FUTURE",VLOOKUP(MID(I2835,2,2),[1]Futures!$A$2:$B$12,2),1)))</f>
        <v>41230</v>
      </c>
      <c r="R2835" s="12">
        <f>IFERROR(Q2835/P2835/IF(E2835="FUTURE",VLOOKUP(MID(I2835,2,2),[1]Futures!$A$2:$B$12,2),1),"")</f>
        <v>41.23</v>
      </c>
      <c r="S2835" s="13" t="str">
        <f>IF(AND(H2835="TO CLOSE",P2835=0),-G2835*(M2835-R2834)*IF(E2835="FUTURE",VLOOKUP(MID(I2835,2,2),[1]Futures!$A$2:$B$12,2),1),"")</f>
        <v/>
      </c>
    </row>
    <row r="2836" spans="1:19" x14ac:dyDescent="0.2">
      <c r="A2836">
        <f t="shared" si="134"/>
        <v>921</v>
      </c>
      <c r="B2836" s="3">
        <v>44076</v>
      </c>
      <c r="C2836" s="3" t="str">
        <f t="shared" si="133"/>
        <v>Wednesday</v>
      </c>
      <c r="D2836" s="2">
        <v>0.56775462962962964</v>
      </c>
      <c r="E2836" t="s">
        <v>14</v>
      </c>
      <c r="F2836" t="s">
        <v>15</v>
      </c>
      <c r="G2836">
        <v>-1</v>
      </c>
      <c r="H2836" t="s">
        <v>16</v>
      </c>
      <c r="I2836" t="s">
        <v>82</v>
      </c>
      <c r="J2836" s="1">
        <v>44124</v>
      </c>
      <c r="L2836" t="s">
        <v>14</v>
      </c>
      <c r="M2836">
        <v>41.78</v>
      </c>
      <c r="N2836">
        <v>41.78</v>
      </c>
      <c r="O2836" t="s">
        <v>21</v>
      </c>
      <c r="P2836">
        <f t="shared" si="135"/>
        <v>0</v>
      </c>
      <c r="Q2836" s="11">
        <f>IF(P2836=0,0,IFERROR(Q2835+G2836*M2836*IF(E2836="FUTURE",VLOOKUP(MID(I2836,2,2),[1]Futures!$A$2:$B$12,2),1),G2836*M2836*IF(E2836="FUTURE",VLOOKUP(MID(I2836,2,2),[1]Futures!$A$2:$B$12,2),1)))</f>
        <v>0</v>
      </c>
      <c r="R2836" s="12" t="str">
        <f>IFERROR(Q2836/P2836/IF(E2836="FUTURE",VLOOKUP(MID(I2836,2,2),[1]Futures!$A$2:$B$12,2),1),"")</f>
        <v/>
      </c>
      <c r="S2836" s="13">
        <f>IF(AND(H2836="TO CLOSE",P2836=0),-G2836*(M2836-R2835)*IF(E2836="FUTURE",VLOOKUP(MID(I2836,2,2),[1]Futures!$A$2:$B$12,2),1),"")</f>
        <v>550.00000000000432</v>
      </c>
    </row>
    <row r="2837" spans="1:19" x14ac:dyDescent="0.2">
      <c r="A2837">
        <f t="shared" si="134"/>
        <v>922</v>
      </c>
      <c r="B2837" s="3">
        <v>44076</v>
      </c>
      <c r="C2837" s="3" t="str">
        <f t="shared" si="133"/>
        <v>Wednesday</v>
      </c>
      <c r="D2837" s="2">
        <v>0.40341435185185182</v>
      </c>
      <c r="E2837" t="s">
        <v>14</v>
      </c>
      <c r="F2837" t="s">
        <v>15</v>
      </c>
      <c r="G2837">
        <v>-1</v>
      </c>
      <c r="H2837" t="s">
        <v>20</v>
      </c>
      <c r="I2837" t="s">
        <v>79</v>
      </c>
      <c r="J2837" s="1">
        <v>44094</v>
      </c>
      <c r="L2837" t="s">
        <v>14</v>
      </c>
      <c r="M2837">
        <v>3538.75</v>
      </c>
      <c r="N2837">
        <v>3538.75</v>
      </c>
      <c r="O2837" t="s">
        <v>24</v>
      </c>
      <c r="P2837">
        <f t="shared" si="135"/>
        <v>-1</v>
      </c>
      <c r="Q2837" s="11">
        <f>IF(P2837=0,0,IFERROR(Q2836+G2837*M2837*IF(E2837="FUTURE",VLOOKUP(MID(I2837,2,2),[1]Futures!$A$2:$B$12,2),1),G2837*M2837*IF(E2837="FUTURE",VLOOKUP(MID(I2837,2,2),[1]Futures!$A$2:$B$12,2),1)))</f>
        <v>-176937.5</v>
      </c>
      <c r="R2837" s="12">
        <f>IFERROR(Q2837/P2837/IF(E2837="FUTURE",VLOOKUP(MID(I2837,2,2),[1]Futures!$A$2:$B$12,2),1),"")</f>
        <v>3538.75</v>
      </c>
      <c r="S2837" s="13" t="str">
        <f>IF(AND(H2837="TO CLOSE",P2837=0),-G2837*(M2837-R2836)*IF(E2837="FUTURE",VLOOKUP(MID(I2837,2,2),[1]Futures!$A$2:$B$12,2),1),"")</f>
        <v/>
      </c>
    </row>
    <row r="2838" spans="1:19" x14ac:dyDescent="0.2">
      <c r="A2838">
        <f t="shared" si="134"/>
        <v>922</v>
      </c>
      <c r="B2838" s="3">
        <v>44076</v>
      </c>
      <c r="C2838" s="3" t="str">
        <f t="shared" si="133"/>
        <v>Wednesday</v>
      </c>
      <c r="D2838" s="2">
        <v>0.40762731481481485</v>
      </c>
      <c r="E2838" t="s">
        <v>14</v>
      </c>
      <c r="F2838" t="s">
        <v>15</v>
      </c>
      <c r="G2838">
        <v>-1</v>
      </c>
      <c r="H2838" t="s">
        <v>20</v>
      </c>
      <c r="I2838" t="s">
        <v>79</v>
      </c>
      <c r="J2838" s="1">
        <v>44094</v>
      </c>
      <c r="L2838" t="s">
        <v>14</v>
      </c>
      <c r="M2838">
        <v>3543.25</v>
      </c>
      <c r="N2838">
        <v>3543.25</v>
      </c>
      <c r="O2838" t="s">
        <v>24</v>
      </c>
      <c r="P2838">
        <f t="shared" si="135"/>
        <v>-2</v>
      </c>
      <c r="Q2838" s="11">
        <f>IF(P2838=0,0,IFERROR(Q2837+G2838*M2838*IF(E2838="FUTURE",VLOOKUP(MID(I2838,2,2),[1]Futures!$A$2:$B$12,2),1),G2838*M2838*IF(E2838="FUTURE",VLOOKUP(MID(I2838,2,2),[1]Futures!$A$2:$B$12,2),1)))</f>
        <v>-354100</v>
      </c>
      <c r="R2838" s="12">
        <f>IFERROR(Q2838/P2838/IF(E2838="FUTURE",VLOOKUP(MID(I2838,2,2),[1]Futures!$A$2:$B$12,2),1),"")</f>
        <v>3541</v>
      </c>
      <c r="S2838" s="13" t="str">
        <f>IF(AND(H2838="TO CLOSE",P2838=0),-G2838*(M2838-R2837)*IF(E2838="FUTURE",VLOOKUP(MID(I2838,2,2),[1]Futures!$A$2:$B$12,2),1),"")</f>
        <v/>
      </c>
    </row>
    <row r="2839" spans="1:19" x14ac:dyDescent="0.2">
      <c r="A2839">
        <f t="shared" si="134"/>
        <v>922</v>
      </c>
      <c r="B2839" s="3">
        <v>44076</v>
      </c>
      <c r="C2839" s="3" t="str">
        <f t="shared" si="133"/>
        <v>Wednesday</v>
      </c>
      <c r="D2839" s="2">
        <v>0.40917824074074072</v>
      </c>
      <c r="E2839" t="s">
        <v>14</v>
      </c>
      <c r="F2839" t="s">
        <v>19</v>
      </c>
      <c r="G2839">
        <v>1</v>
      </c>
      <c r="H2839" t="s">
        <v>16</v>
      </c>
      <c r="I2839" t="s">
        <v>79</v>
      </c>
      <c r="J2839" s="1">
        <v>44094</v>
      </c>
      <c r="L2839" t="s">
        <v>14</v>
      </c>
      <c r="M2839">
        <v>3541</v>
      </c>
      <c r="N2839">
        <v>3541</v>
      </c>
      <c r="O2839" t="s">
        <v>21</v>
      </c>
      <c r="P2839">
        <f t="shared" si="135"/>
        <v>-1</v>
      </c>
      <c r="Q2839" s="11">
        <f>IF(P2839=0,0,IFERROR(Q2838+G2839*M2839*IF(E2839="FUTURE",VLOOKUP(MID(I2839,2,2),[1]Futures!$A$2:$B$12,2),1),G2839*M2839*IF(E2839="FUTURE",VLOOKUP(MID(I2839,2,2),[1]Futures!$A$2:$B$12,2),1)))</f>
        <v>-177050</v>
      </c>
      <c r="R2839" s="12">
        <f>IFERROR(Q2839/P2839/IF(E2839="FUTURE",VLOOKUP(MID(I2839,2,2),[1]Futures!$A$2:$B$12,2),1),"")</f>
        <v>3541</v>
      </c>
      <c r="S2839" s="13" t="str">
        <f>IF(AND(H2839="TO CLOSE",P2839=0),-G2839*(M2839-R2838)*IF(E2839="FUTURE",VLOOKUP(MID(I2839,2,2),[1]Futures!$A$2:$B$12,2),1),"")</f>
        <v/>
      </c>
    </row>
    <row r="2840" spans="1:19" x14ac:dyDescent="0.2">
      <c r="A2840">
        <f t="shared" si="134"/>
        <v>922</v>
      </c>
      <c r="B2840" s="3">
        <v>44076</v>
      </c>
      <c r="C2840" s="3" t="str">
        <f t="shared" si="133"/>
        <v>Wednesday</v>
      </c>
      <c r="D2840" s="2">
        <v>0.41042824074074075</v>
      </c>
      <c r="E2840" t="s">
        <v>14</v>
      </c>
      <c r="F2840" t="s">
        <v>19</v>
      </c>
      <c r="G2840">
        <v>1</v>
      </c>
      <c r="H2840" t="s">
        <v>16</v>
      </c>
      <c r="I2840" t="s">
        <v>79</v>
      </c>
      <c r="J2840" s="1">
        <v>44094</v>
      </c>
      <c r="L2840" t="s">
        <v>14</v>
      </c>
      <c r="M2840">
        <v>3538.25</v>
      </c>
      <c r="N2840">
        <v>3538.25</v>
      </c>
      <c r="O2840" t="s">
        <v>21</v>
      </c>
      <c r="P2840">
        <f t="shared" si="135"/>
        <v>0</v>
      </c>
      <c r="Q2840" s="11">
        <f>IF(P2840=0,0,IFERROR(Q2839+G2840*M2840*IF(E2840="FUTURE",VLOOKUP(MID(I2840,2,2),[1]Futures!$A$2:$B$12,2),1),G2840*M2840*IF(E2840="FUTURE",VLOOKUP(MID(I2840,2,2),[1]Futures!$A$2:$B$12,2),1)))</f>
        <v>0</v>
      </c>
      <c r="R2840" s="12" t="str">
        <f>IFERROR(Q2840/P2840/IF(E2840="FUTURE",VLOOKUP(MID(I2840,2,2),[1]Futures!$A$2:$B$12,2),1),"")</f>
        <v/>
      </c>
      <c r="S2840" s="13">
        <f>IF(AND(H2840="TO CLOSE",P2840=0),-G2840*(M2840-R2839)*IF(E2840="FUTURE",VLOOKUP(MID(I2840,2,2),[1]Futures!$A$2:$B$12,2),1),"")</f>
        <v>137.5</v>
      </c>
    </row>
    <row r="2841" spans="1:19" x14ac:dyDescent="0.2">
      <c r="A2841">
        <f t="shared" si="134"/>
        <v>923</v>
      </c>
      <c r="B2841" s="3">
        <v>44076</v>
      </c>
      <c r="C2841" s="3" t="str">
        <f t="shared" si="133"/>
        <v>Wednesday</v>
      </c>
      <c r="D2841" s="2">
        <v>0.4244560185185185</v>
      </c>
      <c r="E2841" t="s">
        <v>14</v>
      </c>
      <c r="F2841" t="s">
        <v>19</v>
      </c>
      <c r="G2841">
        <v>1</v>
      </c>
      <c r="H2841" t="s">
        <v>20</v>
      </c>
      <c r="I2841" t="s">
        <v>79</v>
      </c>
      <c r="J2841" s="1">
        <v>44094</v>
      </c>
      <c r="L2841" t="s">
        <v>14</v>
      </c>
      <c r="M2841">
        <v>3536.75</v>
      </c>
      <c r="N2841">
        <v>3536.75</v>
      </c>
      <c r="O2841" t="s">
        <v>24</v>
      </c>
      <c r="P2841">
        <f t="shared" si="135"/>
        <v>1</v>
      </c>
      <c r="Q2841" s="11">
        <f>IF(P2841=0,0,IFERROR(Q2840+G2841*M2841*IF(E2841="FUTURE",VLOOKUP(MID(I2841,2,2),[1]Futures!$A$2:$B$12,2),1),G2841*M2841*IF(E2841="FUTURE",VLOOKUP(MID(I2841,2,2),[1]Futures!$A$2:$B$12,2),1)))</f>
        <v>176837.5</v>
      </c>
      <c r="R2841" s="12">
        <f>IFERROR(Q2841/P2841/IF(E2841="FUTURE",VLOOKUP(MID(I2841,2,2),[1]Futures!$A$2:$B$12,2),1),"")</f>
        <v>3536.75</v>
      </c>
      <c r="S2841" s="13" t="str">
        <f>IF(AND(H2841="TO CLOSE",P2841=0),-G2841*(M2841-R2840)*IF(E2841="FUTURE",VLOOKUP(MID(I2841,2,2),[1]Futures!$A$2:$B$12,2),1),"")</f>
        <v/>
      </c>
    </row>
    <row r="2842" spans="1:19" x14ac:dyDescent="0.2">
      <c r="A2842">
        <f t="shared" si="134"/>
        <v>923</v>
      </c>
      <c r="B2842" s="3">
        <v>44076</v>
      </c>
      <c r="C2842" s="3" t="str">
        <f t="shared" si="133"/>
        <v>Wednesday</v>
      </c>
      <c r="D2842" s="2">
        <v>0.4263657407407408</v>
      </c>
      <c r="E2842" t="s">
        <v>14</v>
      </c>
      <c r="F2842" t="s">
        <v>15</v>
      </c>
      <c r="G2842">
        <v>-1</v>
      </c>
      <c r="H2842" t="s">
        <v>16</v>
      </c>
      <c r="I2842" t="s">
        <v>79</v>
      </c>
      <c r="J2842" s="1">
        <v>44094</v>
      </c>
      <c r="L2842" t="s">
        <v>14</v>
      </c>
      <c r="M2842">
        <v>3540.5</v>
      </c>
      <c r="N2842">
        <v>3540.5</v>
      </c>
      <c r="O2842" t="s">
        <v>21</v>
      </c>
      <c r="P2842">
        <f t="shared" si="135"/>
        <v>0</v>
      </c>
      <c r="Q2842" s="11">
        <f>IF(P2842=0,0,IFERROR(Q2841+G2842*M2842*IF(E2842="FUTURE",VLOOKUP(MID(I2842,2,2),[1]Futures!$A$2:$B$12,2),1),G2842*M2842*IF(E2842="FUTURE",VLOOKUP(MID(I2842,2,2),[1]Futures!$A$2:$B$12,2),1)))</f>
        <v>0</v>
      </c>
      <c r="R2842" s="12" t="str">
        <f>IFERROR(Q2842/P2842/IF(E2842="FUTURE",VLOOKUP(MID(I2842,2,2),[1]Futures!$A$2:$B$12,2),1),"")</f>
        <v/>
      </c>
      <c r="S2842" s="13">
        <f>IF(AND(H2842="TO CLOSE",P2842=0),-G2842*(M2842-R2841)*IF(E2842="FUTURE",VLOOKUP(MID(I2842,2,2),[1]Futures!$A$2:$B$12,2),1),"")</f>
        <v>187.5</v>
      </c>
    </row>
    <row r="2843" spans="1:19" x14ac:dyDescent="0.2">
      <c r="A2843">
        <f t="shared" si="134"/>
        <v>924</v>
      </c>
      <c r="B2843" s="3">
        <v>44077</v>
      </c>
      <c r="C2843" s="3" t="str">
        <f t="shared" si="133"/>
        <v>Thursday</v>
      </c>
      <c r="D2843" s="2">
        <v>0.39864583333333337</v>
      </c>
      <c r="E2843" t="s">
        <v>14</v>
      </c>
      <c r="F2843" t="s">
        <v>19</v>
      </c>
      <c r="G2843">
        <v>1</v>
      </c>
      <c r="H2843" t="s">
        <v>20</v>
      </c>
      <c r="I2843" t="s">
        <v>79</v>
      </c>
      <c r="J2843" s="1">
        <v>44094</v>
      </c>
      <c r="L2843" t="s">
        <v>14</v>
      </c>
      <c r="M2843">
        <v>3562.5</v>
      </c>
      <c r="N2843">
        <v>3562.5</v>
      </c>
      <c r="O2843" t="s">
        <v>24</v>
      </c>
      <c r="P2843">
        <f t="shared" si="135"/>
        <v>1</v>
      </c>
      <c r="Q2843" s="11">
        <f>IF(P2843=0,0,IFERROR(Q2842+G2843*M2843*IF(E2843="FUTURE",VLOOKUP(MID(I2843,2,2),[1]Futures!$A$2:$B$12,2),1),G2843*M2843*IF(E2843="FUTURE",VLOOKUP(MID(I2843,2,2),[1]Futures!$A$2:$B$12,2),1)))</f>
        <v>178125</v>
      </c>
      <c r="R2843" s="12">
        <f>IFERROR(Q2843/P2843/IF(E2843="FUTURE",VLOOKUP(MID(I2843,2,2),[1]Futures!$A$2:$B$12,2),1),"")</f>
        <v>3562.5</v>
      </c>
      <c r="S2843" s="13" t="str">
        <f>IF(AND(H2843="TO CLOSE",P2843=0),-G2843*(M2843-R2842)*IF(E2843="FUTURE",VLOOKUP(MID(I2843,2,2),[1]Futures!$A$2:$B$12,2),1),"")</f>
        <v/>
      </c>
    </row>
    <row r="2844" spans="1:19" x14ac:dyDescent="0.2">
      <c r="A2844">
        <f t="shared" si="134"/>
        <v>924</v>
      </c>
      <c r="B2844" s="3">
        <v>44077</v>
      </c>
      <c r="C2844" s="3" t="str">
        <f t="shared" si="133"/>
        <v>Thursday</v>
      </c>
      <c r="D2844" s="2">
        <v>0.40030092592592598</v>
      </c>
      <c r="E2844" t="s">
        <v>14</v>
      </c>
      <c r="F2844" t="s">
        <v>19</v>
      </c>
      <c r="G2844">
        <v>1</v>
      </c>
      <c r="H2844" t="s">
        <v>20</v>
      </c>
      <c r="I2844" t="s">
        <v>79</v>
      </c>
      <c r="J2844" s="1">
        <v>44094</v>
      </c>
      <c r="L2844" t="s">
        <v>14</v>
      </c>
      <c r="M2844">
        <v>3560</v>
      </c>
      <c r="N2844">
        <v>3560</v>
      </c>
      <c r="O2844" t="s">
        <v>24</v>
      </c>
      <c r="P2844">
        <f t="shared" si="135"/>
        <v>2</v>
      </c>
      <c r="Q2844" s="11">
        <f>IF(P2844=0,0,IFERROR(Q2843+G2844*M2844*IF(E2844="FUTURE",VLOOKUP(MID(I2844,2,2),[1]Futures!$A$2:$B$12,2),1),G2844*M2844*IF(E2844="FUTURE",VLOOKUP(MID(I2844,2,2),[1]Futures!$A$2:$B$12,2),1)))</f>
        <v>356125</v>
      </c>
      <c r="R2844" s="12">
        <f>IFERROR(Q2844/P2844/IF(E2844="FUTURE",VLOOKUP(MID(I2844,2,2),[1]Futures!$A$2:$B$12,2),1),"")</f>
        <v>3561.25</v>
      </c>
      <c r="S2844" s="13" t="str">
        <f>IF(AND(H2844="TO CLOSE",P2844=0),-G2844*(M2844-R2843)*IF(E2844="FUTURE",VLOOKUP(MID(I2844,2,2),[1]Futures!$A$2:$B$12,2),1),"")</f>
        <v/>
      </c>
    </row>
    <row r="2845" spans="1:19" x14ac:dyDescent="0.2">
      <c r="A2845">
        <f t="shared" si="134"/>
        <v>924</v>
      </c>
      <c r="B2845" s="3">
        <v>44077</v>
      </c>
      <c r="C2845" s="3" t="str">
        <f>IF(WEEKDAY(B2845,2)=1,"Monday",IF(WEEKDAY(B2845,2)=2,"Tuesday",IF(WEEKDAY(B2845,2)=3,"Wednesday",IF(WEEKDAY(B2845,2)=4,"Thursday",IF(WEEKDAY(B2845,2)=5,"Friday","Sunday")))))</f>
        <v>Thursday</v>
      </c>
      <c r="D2845" s="2">
        <v>0.47027777777777779</v>
      </c>
      <c r="E2845" t="s">
        <v>14</v>
      </c>
      <c r="F2845" t="s">
        <v>15</v>
      </c>
      <c r="G2845">
        <v>-2</v>
      </c>
      <c r="H2845" t="s">
        <v>16</v>
      </c>
      <c r="I2845" t="s">
        <v>79</v>
      </c>
      <c r="J2845" s="1">
        <v>44094</v>
      </c>
      <c r="L2845" t="s">
        <v>14</v>
      </c>
      <c r="M2845">
        <v>3477</v>
      </c>
      <c r="N2845">
        <v>3477</v>
      </c>
      <c r="O2845" t="s">
        <v>21</v>
      </c>
      <c r="P2845">
        <f t="shared" si="135"/>
        <v>0</v>
      </c>
      <c r="Q2845" s="11">
        <f>IF(P2845=0,0,IFERROR(Q2844+G2845*M2845*IF(E2845="FUTURE",VLOOKUP(MID(I2845,2,2),[1]Futures!$A$2:$B$12,2),1),G2845*M2845*IF(E2845="FUTURE",VLOOKUP(MID(I2845,2,2),[1]Futures!$A$2:$B$12,2),1)))</f>
        <v>0</v>
      </c>
      <c r="R2845" s="12" t="str">
        <f>IFERROR(Q2845/P2845/IF(E2845="FUTURE",VLOOKUP(MID(I2845,2,2),[1]Futures!$A$2:$B$12,2),1),"")</f>
        <v/>
      </c>
      <c r="S2845" s="13">
        <f>IF(AND(H2845="TO CLOSE",P2845=0),-G2845*(M2845-R2844)*IF(E2845="FUTURE",VLOOKUP(MID(I2845,2,2),[1]Futures!$A$2:$B$12,2),1),"")</f>
        <v>-8425</v>
      </c>
    </row>
    <row r="2846" spans="1:19" x14ac:dyDescent="0.2">
      <c r="A2846">
        <f t="shared" si="134"/>
        <v>925</v>
      </c>
      <c r="B2846" s="3">
        <v>44077</v>
      </c>
      <c r="C2846" s="3" t="str">
        <f t="shared" si="133"/>
        <v>Thursday</v>
      </c>
      <c r="D2846" s="2">
        <v>0.44116898148148148</v>
      </c>
      <c r="E2846" t="s">
        <v>22</v>
      </c>
      <c r="F2846" t="s">
        <v>15</v>
      </c>
      <c r="G2846">
        <v>-400</v>
      </c>
      <c r="H2846" t="s">
        <v>20</v>
      </c>
      <c r="I2846" t="s">
        <v>23</v>
      </c>
      <c r="L2846" t="s">
        <v>22</v>
      </c>
      <c r="M2846">
        <v>28.192399999999999</v>
      </c>
      <c r="N2846">
        <v>28.192399999999999</v>
      </c>
      <c r="O2846" t="s">
        <v>21</v>
      </c>
      <c r="P2846">
        <f t="shared" si="135"/>
        <v>-400</v>
      </c>
      <c r="Q2846" s="11">
        <f>IF(P2846=0,0,IFERROR(Q2845+G2846*M2846*IF(E2846="FUTURE",VLOOKUP(MID(I2846,2,2),[1]Futures!$A$2:$B$12,2),1),G2846*M2846*IF(E2846="FUTURE",VLOOKUP(MID(I2846,2,2),[1]Futures!$A$2:$B$12,2),1)))</f>
        <v>-11276.96</v>
      </c>
      <c r="R2846" s="12">
        <f>IFERROR(Q2846/P2846/IF(E2846="FUTURE",VLOOKUP(MID(I2846,2,2),[1]Futures!$A$2:$B$12,2),1),"")</f>
        <v>28.192399999999999</v>
      </c>
      <c r="S2846" s="13" t="str">
        <f>IF(AND(H2846="TO CLOSE",P2846=0),-G2846*(M2846-R2845)*IF(E2846="FUTURE",VLOOKUP(MID(I2846,2,2),[1]Futures!$A$2:$B$12,2),1),"")</f>
        <v/>
      </c>
    </row>
    <row r="2847" spans="1:19" x14ac:dyDescent="0.2">
      <c r="A2847">
        <f t="shared" si="134"/>
        <v>925</v>
      </c>
      <c r="B2847" s="3">
        <v>44077</v>
      </c>
      <c r="C2847" s="3" t="str">
        <f t="shared" si="133"/>
        <v>Thursday</v>
      </c>
      <c r="D2847" s="2">
        <v>0.47034722222222225</v>
      </c>
      <c r="E2847" t="s">
        <v>22</v>
      </c>
      <c r="F2847" t="s">
        <v>19</v>
      </c>
      <c r="G2847">
        <v>100</v>
      </c>
      <c r="H2847" t="s">
        <v>16</v>
      </c>
      <c r="I2847" t="s">
        <v>23</v>
      </c>
      <c r="L2847" t="s">
        <v>22</v>
      </c>
      <c r="M2847">
        <v>29.274999999999999</v>
      </c>
      <c r="N2847">
        <v>29.274999999999999</v>
      </c>
      <c r="O2847" t="s">
        <v>24</v>
      </c>
      <c r="P2847">
        <f t="shared" si="135"/>
        <v>-300</v>
      </c>
      <c r="Q2847" s="11">
        <f>IF(P2847=0,0,IFERROR(Q2846+G2847*M2847*IF(E2847="FUTURE",VLOOKUP(MID(I2847,2,2),[1]Futures!$A$2:$B$12,2),1),G2847*M2847*IF(E2847="FUTURE",VLOOKUP(MID(I2847,2,2),[1]Futures!$A$2:$B$12,2),1)))</f>
        <v>-8349.4599999999991</v>
      </c>
      <c r="R2847" s="12">
        <f>IFERROR(Q2847/P2847/IF(E2847="FUTURE",VLOOKUP(MID(I2847,2,2),[1]Futures!$A$2:$B$12,2),1),"")</f>
        <v>27.831533333333329</v>
      </c>
      <c r="S2847" s="13" t="str">
        <f>IF(AND(H2847="TO CLOSE",P2847=0),-G2847*(M2847-R2846)*IF(E2847="FUTURE",VLOOKUP(MID(I2847,2,2),[1]Futures!$A$2:$B$12,2),1),"")</f>
        <v/>
      </c>
    </row>
    <row r="2848" spans="1:19" x14ac:dyDescent="0.2">
      <c r="A2848">
        <f t="shared" si="134"/>
        <v>925</v>
      </c>
      <c r="B2848" s="3">
        <v>44077</v>
      </c>
      <c r="C2848" s="3" t="str">
        <f t="shared" si="133"/>
        <v>Thursday</v>
      </c>
      <c r="D2848" s="2">
        <v>0.47034722222222225</v>
      </c>
      <c r="E2848" t="s">
        <v>22</v>
      </c>
      <c r="F2848" t="s">
        <v>19</v>
      </c>
      <c r="G2848">
        <v>300</v>
      </c>
      <c r="H2848" t="s">
        <v>16</v>
      </c>
      <c r="I2848" t="s">
        <v>23</v>
      </c>
      <c r="L2848" t="s">
        <v>22</v>
      </c>
      <c r="M2848">
        <v>29.279</v>
      </c>
      <c r="N2848">
        <v>29.279</v>
      </c>
      <c r="O2848" t="s">
        <v>24</v>
      </c>
      <c r="P2848">
        <f t="shared" si="135"/>
        <v>0</v>
      </c>
      <c r="Q2848" s="11">
        <f>IF(P2848=0,0,IFERROR(Q2847+G2848*M2848*IF(E2848="FUTURE",VLOOKUP(MID(I2848,2,2),[1]Futures!$A$2:$B$12,2),1),G2848*M2848*IF(E2848="FUTURE",VLOOKUP(MID(I2848,2,2),[1]Futures!$A$2:$B$12,2),1)))</f>
        <v>0</v>
      </c>
      <c r="R2848" s="12" t="str">
        <f>IFERROR(Q2848/P2848/IF(E2848="FUTURE",VLOOKUP(MID(I2848,2,2),[1]Futures!$A$2:$B$12,2),1),"")</f>
        <v/>
      </c>
      <c r="S2848" s="13">
        <f>IF(AND(H2848="TO CLOSE",P2848=0),-G2848*(M2848-R2847)*IF(E2848="FUTURE",VLOOKUP(MID(I2848,2,2),[1]Futures!$A$2:$B$12,2),1),"")</f>
        <v>-434.2400000000012</v>
      </c>
    </row>
    <row r="2849" spans="1:19" x14ac:dyDescent="0.2">
      <c r="A2849">
        <f t="shared" si="134"/>
        <v>926</v>
      </c>
      <c r="B2849" s="3">
        <v>44123</v>
      </c>
      <c r="C2849" s="3" t="str">
        <f t="shared" si="133"/>
        <v>Monday</v>
      </c>
      <c r="D2849" s="2">
        <v>0.37620370370370365</v>
      </c>
      <c r="E2849" t="s">
        <v>22</v>
      </c>
      <c r="F2849" t="s">
        <v>15</v>
      </c>
      <c r="G2849">
        <v>-400</v>
      </c>
      <c r="H2849" t="s">
        <v>20</v>
      </c>
      <c r="I2849" t="s">
        <v>23</v>
      </c>
      <c r="L2849" t="s">
        <v>22</v>
      </c>
      <c r="M2849">
        <v>22.11</v>
      </c>
      <c r="N2849">
        <v>22.11</v>
      </c>
      <c r="O2849" t="s">
        <v>21</v>
      </c>
      <c r="P2849">
        <f t="shared" si="135"/>
        <v>-400</v>
      </c>
      <c r="Q2849" s="11">
        <f>IF(P2849=0,0,IFERROR(Q2848+G2849*M2849*IF(E2849="FUTURE",VLOOKUP(MID(I2849,2,2),[1]Futures!$A$2:$B$12,2),1),G2849*M2849*IF(E2849="FUTURE",VLOOKUP(MID(I2849,2,2),[1]Futures!$A$2:$B$12,2),1)))</f>
        <v>-8844</v>
      </c>
      <c r="R2849" s="12">
        <f>IFERROR(Q2849/P2849/IF(E2849="FUTURE",VLOOKUP(MID(I2849,2,2),[1]Futures!$A$2:$B$12,2),1),"")</f>
        <v>22.11</v>
      </c>
      <c r="S2849" s="13" t="str">
        <f>IF(AND(H2849="TO CLOSE",P2849=0),-G2849*(M2849-R2848)*IF(E2849="FUTURE",VLOOKUP(MID(I2849,2,2),[1]Futures!$A$2:$B$12,2),1),"")</f>
        <v/>
      </c>
    </row>
    <row r="2850" spans="1:19" x14ac:dyDescent="0.2">
      <c r="A2850">
        <f t="shared" si="134"/>
        <v>926</v>
      </c>
      <c r="B2850" s="3">
        <v>44123</v>
      </c>
      <c r="C2850" s="3" t="str">
        <f t="shared" ref="C2850:C2913" si="136">IF(WEEKDAY(B2850,2)=1,"Monday",IF(WEEKDAY(B2850,2)=2,"Tuesday",IF(WEEKDAY(B2850,2)=3,"Wednesday",IF(WEEKDAY(B2850,2)=4,"Thursday",IF(WEEKDAY(B2850,2)=5,"Friday","Sunday")))))</f>
        <v>Monday</v>
      </c>
      <c r="D2850" s="2">
        <v>0.37630787037037039</v>
      </c>
      <c r="E2850" t="s">
        <v>22</v>
      </c>
      <c r="F2850" t="s">
        <v>15</v>
      </c>
      <c r="G2850">
        <v>-100</v>
      </c>
      <c r="H2850" t="s">
        <v>20</v>
      </c>
      <c r="I2850" t="s">
        <v>23</v>
      </c>
      <c r="L2850" t="s">
        <v>22</v>
      </c>
      <c r="M2850">
        <v>22.11</v>
      </c>
      <c r="N2850">
        <v>22.11</v>
      </c>
      <c r="O2850" t="s">
        <v>21</v>
      </c>
      <c r="P2850">
        <f t="shared" si="135"/>
        <v>-500</v>
      </c>
      <c r="Q2850" s="11">
        <f>IF(P2850=0,0,IFERROR(Q2849+G2850*M2850*IF(E2850="FUTURE",VLOOKUP(MID(I2850,2,2),[1]Futures!$A$2:$B$12,2),1),G2850*M2850*IF(E2850="FUTURE",VLOOKUP(MID(I2850,2,2),[1]Futures!$A$2:$B$12,2),1)))</f>
        <v>-11055</v>
      </c>
      <c r="R2850" s="12">
        <f>IFERROR(Q2850/P2850/IF(E2850="FUTURE",VLOOKUP(MID(I2850,2,2),[1]Futures!$A$2:$B$12,2),1),"")</f>
        <v>22.11</v>
      </c>
      <c r="S2850" s="13" t="str">
        <f>IF(AND(H2850="TO CLOSE",P2850=0),-G2850*(M2850-R2849)*IF(E2850="FUTURE",VLOOKUP(MID(I2850,2,2),[1]Futures!$A$2:$B$12,2),1),"")</f>
        <v/>
      </c>
    </row>
    <row r="2851" spans="1:19" x14ac:dyDescent="0.2">
      <c r="A2851">
        <f t="shared" si="134"/>
        <v>926</v>
      </c>
      <c r="B2851" s="3">
        <v>44123</v>
      </c>
      <c r="C2851" s="3" t="str">
        <f t="shared" si="136"/>
        <v>Monday</v>
      </c>
      <c r="D2851" s="2">
        <v>0.42131944444444441</v>
      </c>
      <c r="E2851" t="s">
        <v>22</v>
      </c>
      <c r="F2851" t="s">
        <v>19</v>
      </c>
      <c r="G2851">
        <v>500</v>
      </c>
      <c r="H2851" t="s">
        <v>16</v>
      </c>
      <c r="I2851" t="s">
        <v>23</v>
      </c>
      <c r="L2851" t="s">
        <v>22</v>
      </c>
      <c r="M2851">
        <v>22.569600000000001</v>
      </c>
      <c r="N2851">
        <v>22.569600000000001</v>
      </c>
      <c r="O2851" t="s">
        <v>18</v>
      </c>
      <c r="P2851">
        <f t="shared" si="135"/>
        <v>0</v>
      </c>
      <c r="Q2851" s="11">
        <f>IF(P2851=0,0,IFERROR(Q2850+G2851*M2851*IF(E2851="FUTURE",VLOOKUP(MID(I2851,2,2),[1]Futures!$A$2:$B$12,2),1),G2851*M2851*IF(E2851="FUTURE",VLOOKUP(MID(I2851,2,2),[1]Futures!$A$2:$B$12,2),1)))</f>
        <v>0</v>
      </c>
      <c r="R2851" s="12" t="str">
        <f>IFERROR(Q2851/P2851/IF(E2851="FUTURE",VLOOKUP(MID(I2851,2,2),[1]Futures!$A$2:$B$12,2),1),"")</f>
        <v/>
      </c>
      <c r="S2851" s="13">
        <f>IF(AND(H2851="TO CLOSE",P2851=0),-G2851*(M2851-R2850)*IF(E2851="FUTURE",VLOOKUP(MID(I2851,2,2),[1]Futures!$A$2:$B$12,2),1),"")</f>
        <v>-229.80000000000089</v>
      </c>
    </row>
    <row r="2852" spans="1:19" x14ac:dyDescent="0.2">
      <c r="A2852">
        <f t="shared" si="134"/>
        <v>927</v>
      </c>
      <c r="B2852" s="3">
        <v>44123</v>
      </c>
      <c r="C2852" s="3" t="str">
        <f t="shared" si="136"/>
        <v>Monday</v>
      </c>
      <c r="D2852" s="2">
        <v>0.44774305555555555</v>
      </c>
      <c r="E2852" t="s">
        <v>22</v>
      </c>
      <c r="F2852" t="s">
        <v>15</v>
      </c>
      <c r="G2852">
        <v>-500</v>
      </c>
      <c r="H2852" t="s">
        <v>20</v>
      </c>
      <c r="I2852" t="s">
        <v>23</v>
      </c>
      <c r="L2852" t="s">
        <v>22</v>
      </c>
      <c r="M2852">
        <v>22.5014</v>
      </c>
      <c r="N2852">
        <v>22.5014</v>
      </c>
      <c r="O2852" t="s">
        <v>21</v>
      </c>
      <c r="P2852">
        <f t="shared" si="135"/>
        <v>-500</v>
      </c>
      <c r="Q2852" s="11">
        <f>IF(P2852=0,0,IFERROR(Q2851+G2852*M2852*IF(E2852="FUTURE",VLOOKUP(MID(I2852,2,2),[1]Futures!$A$2:$B$12,2),1),G2852*M2852*IF(E2852="FUTURE",VLOOKUP(MID(I2852,2,2),[1]Futures!$A$2:$B$12,2),1)))</f>
        <v>-11250.7</v>
      </c>
      <c r="R2852" s="12">
        <f>IFERROR(Q2852/P2852/IF(E2852="FUTURE",VLOOKUP(MID(I2852,2,2),[1]Futures!$A$2:$B$12,2),1),"")</f>
        <v>22.5014</v>
      </c>
      <c r="S2852" s="13" t="str">
        <f>IF(AND(H2852="TO CLOSE",P2852=0),-G2852*(M2852-R2851)*IF(E2852="FUTURE",VLOOKUP(MID(I2852,2,2),[1]Futures!$A$2:$B$12,2),1),"")</f>
        <v/>
      </c>
    </row>
    <row r="2853" spans="1:19" x14ac:dyDescent="0.2">
      <c r="A2853">
        <f t="shared" si="134"/>
        <v>927</v>
      </c>
      <c r="B2853" s="3">
        <v>44123</v>
      </c>
      <c r="C2853" s="3" t="str">
        <f t="shared" si="136"/>
        <v>Monday</v>
      </c>
      <c r="D2853" s="2">
        <v>0.54342592592592587</v>
      </c>
      <c r="E2853" t="s">
        <v>22</v>
      </c>
      <c r="F2853" t="s">
        <v>19</v>
      </c>
      <c r="G2853">
        <v>500</v>
      </c>
      <c r="H2853" t="s">
        <v>16</v>
      </c>
      <c r="I2853" t="s">
        <v>23</v>
      </c>
      <c r="L2853" t="s">
        <v>22</v>
      </c>
      <c r="M2853">
        <v>22.368600000000001</v>
      </c>
      <c r="N2853">
        <v>22.368600000000001</v>
      </c>
      <c r="O2853" t="s">
        <v>24</v>
      </c>
      <c r="P2853">
        <f t="shared" si="135"/>
        <v>0</v>
      </c>
      <c r="Q2853" s="11">
        <f>IF(P2853=0,0,IFERROR(Q2852+G2853*M2853*IF(E2853="FUTURE",VLOOKUP(MID(I2853,2,2),[1]Futures!$A$2:$B$12,2),1),G2853*M2853*IF(E2853="FUTURE",VLOOKUP(MID(I2853,2,2),[1]Futures!$A$2:$B$12,2),1)))</f>
        <v>0</v>
      </c>
      <c r="R2853" s="12" t="str">
        <f>IFERROR(Q2853/P2853/IF(E2853="FUTURE",VLOOKUP(MID(I2853,2,2),[1]Futures!$A$2:$B$12,2),1),"")</f>
        <v/>
      </c>
      <c r="S2853" s="13">
        <f>IF(AND(H2853="TO CLOSE",P2853=0),-G2853*(M2853-R2852)*IF(E2853="FUTURE",VLOOKUP(MID(I2853,2,2),[1]Futures!$A$2:$B$12,2),1),"")</f>
        <v>66.399999999999793</v>
      </c>
    </row>
    <row r="2854" spans="1:19" x14ac:dyDescent="0.2">
      <c r="A2854">
        <f t="shared" si="134"/>
        <v>928</v>
      </c>
      <c r="B2854" s="3">
        <v>44123</v>
      </c>
      <c r="C2854" s="3" t="str">
        <f t="shared" si="136"/>
        <v>Monday</v>
      </c>
      <c r="D2854" s="2">
        <v>0.58885416666666668</v>
      </c>
      <c r="E2854" t="s">
        <v>22</v>
      </c>
      <c r="F2854" t="s">
        <v>15</v>
      </c>
      <c r="G2854">
        <v>-500</v>
      </c>
      <c r="H2854" t="s">
        <v>20</v>
      </c>
      <c r="I2854" t="s">
        <v>23</v>
      </c>
      <c r="L2854" t="s">
        <v>22</v>
      </c>
      <c r="M2854">
        <v>22.57</v>
      </c>
      <c r="N2854">
        <v>22.57</v>
      </c>
      <c r="O2854" t="s">
        <v>21</v>
      </c>
      <c r="P2854">
        <f t="shared" si="135"/>
        <v>-500</v>
      </c>
      <c r="Q2854" s="11">
        <f>IF(P2854=0,0,IFERROR(Q2853+G2854*M2854*IF(E2854="FUTURE",VLOOKUP(MID(I2854,2,2),[1]Futures!$A$2:$B$12,2),1),G2854*M2854*IF(E2854="FUTURE",VLOOKUP(MID(I2854,2,2),[1]Futures!$A$2:$B$12,2),1)))</f>
        <v>-11285</v>
      </c>
      <c r="R2854" s="12">
        <f>IFERROR(Q2854/P2854/IF(E2854="FUTURE",VLOOKUP(MID(I2854,2,2),[1]Futures!$A$2:$B$12,2),1),"")</f>
        <v>22.57</v>
      </c>
      <c r="S2854" s="13" t="str">
        <f>IF(AND(H2854="TO CLOSE",P2854=0),-G2854*(M2854-R2853)*IF(E2854="FUTURE",VLOOKUP(MID(I2854,2,2),[1]Futures!$A$2:$B$12,2),1),"")</f>
        <v/>
      </c>
    </row>
    <row r="2855" spans="1:19" x14ac:dyDescent="0.2">
      <c r="A2855">
        <f t="shared" si="134"/>
        <v>928</v>
      </c>
      <c r="B2855" s="3">
        <v>44123</v>
      </c>
      <c r="C2855" s="3" t="str">
        <f t="shared" si="136"/>
        <v>Monday</v>
      </c>
      <c r="D2855" s="2">
        <v>0.62629629629629624</v>
      </c>
      <c r="E2855" t="s">
        <v>22</v>
      </c>
      <c r="F2855" t="s">
        <v>19</v>
      </c>
      <c r="G2855">
        <v>500</v>
      </c>
      <c r="H2855" t="s">
        <v>16</v>
      </c>
      <c r="I2855" t="s">
        <v>23</v>
      </c>
      <c r="L2855" t="s">
        <v>22</v>
      </c>
      <c r="M2855">
        <v>23.24</v>
      </c>
      <c r="N2855">
        <v>23.24</v>
      </c>
      <c r="O2855" t="s">
        <v>18</v>
      </c>
      <c r="P2855">
        <f t="shared" si="135"/>
        <v>0</v>
      </c>
      <c r="Q2855" s="11">
        <f>IF(P2855=0,0,IFERROR(Q2854+G2855*M2855*IF(E2855="FUTURE",VLOOKUP(MID(I2855,2,2),[1]Futures!$A$2:$B$12,2),1),G2855*M2855*IF(E2855="FUTURE",VLOOKUP(MID(I2855,2,2),[1]Futures!$A$2:$B$12,2),1)))</f>
        <v>0</v>
      </c>
      <c r="R2855" s="12" t="str">
        <f>IFERROR(Q2855/P2855/IF(E2855="FUTURE",VLOOKUP(MID(I2855,2,2),[1]Futures!$A$2:$B$12,2),1),"")</f>
        <v/>
      </c>
      <c r="S2855" s="13">
        <f>IF(AND(H2855="TO CLOSE",P2855=0),-G2855*(M2855-R2854)*IF(E2855="FUTURE",VLOOKUP(MID(I2855,2,2),[1]Futures!$A$2:$B$12,2),1),"")</f>
        <v>-334.99999999999909</v>
      </c>
    </row>
    <row r="2856" spans="1:19" x14ac:dyDescent="0.2">
      <c r="A2856">
        <f t="shared" si="134"/>
        <v>929</v>
      </c>
      <c r="B2856" s="3">
        <v>44124</v>
      </c>
      <c r="C2856" s="3" t="str">
        <f t="shared" si="136"/>
        <v>Tuesday</v>
      </c>
      <c r="D2856" s="2">
        <v>0.34296296296296297</v>
      </c>
      <c r="E2856" t="s">
        <v>22</v>
      </c>
      <c r="F2856" t="s">
        <v>19</v>
      </c>
      <c r="G2856">
        <v>500</v>
      </c>
      <c r="H2856" t="s">
        <v>20</v>
      </c>
      <c r="I2856" t="s">
        <v>23</v>
      </c>
      <c r="L2856" t="s">
        <v>22</v>
      </c>
      <c r="M2856">
        <v>22.99</v>
      </c>
      <c r="N2856">
        <v>22.99</v>
      </c>
      <c r="O2856" t="s">
        <v>21</v>
      </c>
      <c r="P2856">
        <f t="shared" si="135"/>
        <v>500</v>
      </c>
      <c r="Q2856" s="11">
        <f>IF(P2856=0,0,IFERROR(Q2855+G2856*M2856*IF(E2856="FUTURE",VLOOKUP(MID(I2856,2,2),[1]Futures!$A$2:$B$12,2),1),G2856*M2856*IF(E2856="FUTURE",VLOOKUP(MID(I2856,2,2),[1]Futures!$A$2:$B$12,2),1)))</f>
        <v>11495</v>
      </c>
      <c r="R2856" s="12">
        <f>IFERROR(Q2856/P2856/IF(E2856="FUTURE",VLOOKUP(MID(I2856,2,2),[1]Futures!$A$2:$B$12,2),1),"")</f>
        <v>22.99</v>
      </c>
      <c r="S2856" s="13" t="str">
        <f>IF(AND(H2856="TO CLOSE",P2856=0),-G2856*(M2856-R2855)*IF(E2856="FUTURE",VLOOKUP(MID(I2856,2,2),[1]Futures!$A$2:$B$12,2),1),"")</f>
        <v/>
      </c>
    </row>
    <row r="2857" spans="1:19" x14ac:dyDescent="0.2">
      <c r="A2857">
        <f t="shared" si="134"/>
        <v>929</v>
      </c>
      <c r="B2857" s="3">
        <v>44124</v>
      </c>
      <c r="C2857" s="3" t="str">
        <f t="shared" si="136"/>
        <v>Tuesday</v>
      </c>
      <c r="D2857" s="2">
        <v>0.36034722222222221</v>
      </c>
      <c r="E2857" t="s">
        <v>22</v>
      </c>
      <c r="F2857" t="s">
        <v>15</v>
      </c>
      <c r="G2857">
        <v>-500</v>
      </c>
      <c r="H2857" t="s">
        <v>16</v>
      </c>
      <c r="I2857" t="s">
        <v>23</v>
      </c>
      <c r="L2857" t="s">
        <v>22</v>
      </c>
      <c r="M2857">
        <v>23.03</v>
      </c>
      <c r="N2857">
        <v>23.03</v>
      </c>
      <c r="O2857" t="s">
        <v>21</v>
      </c>
      <c r="P2857">
        <f t="shared" si="135"/>
        <v>0</v>
      </c>
      <c r="Q2857" s="11">
        <f>IF(P2857=0,0,IFERROR(Q2856+G2857*M2857*IF(E2857="FUTURE",VLOOKUP(MID(I2857,2,2),[1]Futures!$A$2:$B$12,2),1),G2857*M2857*IF(E2857="FUTURE",VLOOKUP(MID(I2857,2,2),[1]Futures!$A$2:$B$12,2),1)))</f>
        <v>0</v>
      </c>
      <c r="R2857" s="12" t="str">
        <f>IFERROR(Q2857/P2857/IF(E2857="FUTURE",VLOOKUP(MID(I2857,2,2),[1]Futures!$A$2:$B$12,2),1),"")</f>
        <v/>
      </c>
      <c r="S2857" s="13">
        <f>IF(AND(H2857="TO CLOSE",P2857=0),-G2857*(M2857-R2856)*IF(E2857="FUTURE",VLOOKUP(MID(I2857,2,2),[1]Futures!$A$2:$B$12,2),1),"")</f>
        <v>20.00000000000135</v>
      </c>
    </row>
    <row r="2858" spans="1:19" x14ac:dyDescent="0.2">
      <c r="A2858">
        <f t="shared" si="134"/>
        <v>930</v>
      </c>
      <c r="B2858" s="3">
        <v>44124</v>
      </c>
      <c r="C2858" s="3" t="str">
        <f t="shared" si="136"/>
        <v>Tuesday</v>
      </c>
      <c r="D2858" s="2">
        <v>0.40656249999999999</v>
      </c>
      <c r="E2858" t="s">
        <v>22</v>
      </c>
      <c r="F2858" t="s">
        <v>15</v>
      </c>
      <c r="G2858">
        <v>-500</v>
      </c>
      <c r="H2858" t="s">
        <v>20</v>
      </c>
      <c r="I2858" t="s">
        <v>23</v>
      </c>
      <c r="L2858" t="s">
        <v>22</v>
      </c>
      <c r="M2858">
        <v>22.9513</v>
      </c>
      <c r="N2858">
        <v>22.9513</v>
      </c>
      <c r="O2858" t="s">
        <v>24</v>
      </c>
      <c r="P2858">
        <f t="shared" si="135"/>
        <v>-500</v>
      </c>
      <c r="Q2858" s="11">
        <f>IF(P2858=0,0,IFERROR(Q2857+G2858*M2858*IF(E2858="FUTURE",VLOOKUP(MID(I2858,2,2),[1]Futures!$A$2:$B$12,2),1),G2858*M2858*IF(E2858="FUTURE",VLOOKUP(MID(I2858,2,2),[1]Futures!$A$2:$B$12,2),1)))</f>
        <v>-11475.65</v>
      </c>
      <c r="R2858" s="12">
        <f>IFERROR(Q2858/P2858/IF(E2858="FUTURE",VLOOKUP(MID(I2858,2,2),[1]Futures!$A$2:$B$12,2),1),"")</f>
        <v>22.9513</v>
      </c>
      <c r="S2858" s="13" t="str">
        <f>IF(AND(H2858="TO CLOSE",P2858=0),-G2858*(M2858-R2857)*IF(E2858="FUTURE",VLOOKUP(MID(I2858,2,2),[1]Futures!$A$2:$B$12,2),1),"")</f>
        <v/>
      </c>
    </row>
    <row r="2859" spans="1:19" x14ac:dyDescent="0.2">
      <c r="A2859">
        <f t="shared" si="134"/>
        <v>930</v>
      </c>
      <c r="B2859" s="3">
        <v>44124</v>
      </c>
      <c r="C2859" s="3" t="str">
        <f t="shared" si="136"/>
        <v>Tuesday</v>
      </c>
      <c r="D2859" s="2">
        <v>0.4255902777777778</v>
      </c>
      <c r="E2859" t="s">
        <v>22</v>
      </c>
      <c r="F2859" t="s">
        <v>19</v>
      </c>
      <c r="G2859">
        <v>500</v>
      </c>
      <c r="H2859" t="s">
        <v>16</v>
      </c>
      <c r="I2859" t="s">
        <v>23</v>
      </c>
      <c r="L2859" t="s">
        <v>22</v>
      </c>
      <c r="M2859">
        <v>23.148599999999998</v>
      </c>
      <c r="N2859">
        <v>23.148599999999998</v>
      </c>
      <c r="O2859" t="s">
        <v>24</v>
      </c>
      <c r="P2859">
        <f t="shared" si="135"/>
        <v>0</v>
      </c>
      <c r="Q2859" s="11">
        <f>IF(P2859=0,0,IFERROR(Q2858+G2859*M2859*IF(E2859="FUTURE",VLOOKUP(MID(I2859,2,2),[1]Futures!$A$2:$B$12,2),1),G2859*M2859*IF(E2859="FUTURE",VLOOKUP(MID(I2859,2,2),[1]Futures!$A$2:$B$12,2),1)))</f>
        <v>0</v>
      </c>
      <c r="R2859" s="12" t="str">
        <f>IFERROR(Q2859/P2859/IF(E2859="FUTURE",VLOOKUP(MID(I2859,2,2),[1]Futures!$A$2:$B$12,2),1),"")</f>
        <v/>
      </c>
      <c r="S2859" s="13">
        <f>IF(AND(H2859="TO CLOSE",P2859=0),-G2859*(M2859-R2858)*IF(E2859="FUTURE",VLOOKUP(MID(I2859,2,2),[1]Futures!$A$2:$B$12,2),1),"")</f>
        <v>-98.649999999999238</v>
      </c>
    </row>
    <row r="2860" spans="1:19" x14ac:dyDescent="0.2">
      <c r="A2860">
        <f t="shared" si="134"/>
        <v>931</v>
      </c>
      <c r="B2860" s="3">
        <v>44124</v>
      </c>
      <c r="C2860" s="3" t="str">
        <f t="shared" si="136"/>
        <v>Tuesday</v>
      </c>
      <c r="D2860" s="2">
        <v>0.4255902777777778</v>
      </c>
      <c r="E2860" t="s">
        <v>22</v>
      </c>
      <c r="F2860" t="s">
        <v>19</v>
      </c>
      <c r="G2860">
        <v>500</v>
      </c>
      <c r="H2860" t="s">
        <v>20</v>
      </c>
      <c r="I2860" t="s">
        <v>23</v>
      </c>
      <c r="L2860" t="s">
        <v>22</v>
      </c>
      <c r="M2860">
        <v>23.148599999999998</v>
      </c>
      <c r="N2860">
        <v>23.148599999999998</v>
      </c>
      <c r="O2860" t="s">
        <v>24</v>
      </c>
      <c r="P2860">
        <f t="shared" si="135"/>
        <v>500</v>
      </c>
      <c r="Q2860" s="11">
        <f>IF(P2860=0,0,IFERROR(Q2859+G2860*M2860*IF(E2860="FUTURE",VLOOKUP(MID(I2860,2,2),[1]Futures!$A$2:$B$12,2),1),G2860*M2860*IF(E2860="FUTURE",VLOOKUP(MID(I2860,2,2),[1]Futures!$A$2:$B$12,2),1)))</f>
        <v>11574.3</v>
      </c>
      <c r="R2860" s="12">
        <f>IFERROR(Q2860/P2860/IF(E2860="FUTURE",VLOOKUP(MID(I2860,2,2),[1]Futures!$A$2:$B$12,2),1),"")</f>
        <v>23.148599999999998</v>
      </c>
      <c r="S2860" s="13" t="str">
        <f>IF(AND(H2860="TO CLOSE",P2860=0),-G2860*(M2860-R2859)*IF(E2860="FUTURE",VLOOKUP(MID(I2860,2,2),[1]Futures!$A$2:$B$12,2),1),"")</f>
        <v/>
      </c>
    </row>
    <row r="2861" spans="1:19" x14ac:dyDescent="0.2">
      <c r="A2861">
        <f t="shared" si="134"/>
        <v>931</v>
      </c>
      <c r="B2861" s="3">
        <v>44124</v>
      </c>
      <c r="C2861" s="3" t="str">
        <f t="shared" si="136"/>
        <v>Tuesday</v>
      </c>
      <c r="D2861" s="2">
        <v>0.43146990740740737</v>
      </c>
      <c r="E2861" t="s">
        <v>22</v>
      </c>
      <c r="F2861" t="s">
        <v>15</v>
      </c>
      <c r="G2861">
        <v>-200</v>
      </c>
      <c r="H2861" t="s">
        <v>16</v>
      </c>
      <c r="I2861" t="s">
        <v>23</v>
      </c>
      <c r="L2861" t="s">
        <v>22</v>
      </c>
      <c r="M2861">
        <v>23.26</v>
      </c>
      <c r="N2861">
        <v>23.26</v>
      </c>
      <c r="O2861" t="s">
        <v>21</v>
      </c>
      <c r="P2861">
        <f t="shared" si="135"/>
        <v>300</v>
      </c>
      <c r="Q2861" s="11">
        <f>IF(P2861=0,0,IFERROR(Q2860+G2861*M2861*IF(E2861="FUTURE",VLOOKUP(MID(I2861,2,2),[1]Futures!$A$2:$B$12,2),1),G2861*M2861*IF(E2861="FUTURE",VLOOKUP(MID(I2861,2,2),[1]Futures!$A$2:$B$12,2),1)))</f>
        <v>6922.2999999999993</v>
      </c>
      <c r="R2861" s="12">
        <f>IFERROR(Q2861/P2861/IF(E2861="FUTURE",VLOOKUP(MID(I2861,2,2),[1]Futures!$A$2:$B$12,2),1),"")</f>
        <v>23.074333333333332</v>
      </c>
      <c r="S2861" s="13" t="str">
        <f>IF(AND(H2861="TO CLOSE",P2861=0),-G2861*(M2861-R2860)*IF(E2861="FUTURE",VLOOKUP(MID(I2861,2,2),[1]Futures!$A$2:$B$12,2),1),"")</f>
        <v/>
      </c>
    </row>
    <row r="2862" spans="1:19" x14ac:dyDescent="0.2">
      <c r="A2862">
        <f t="shared" si="134"/>
        <v>931</v>
      </c>
      <c r="B2862" s="3">
        <v>44124</v>
      </c>
      <c r="C2862" s="3" t="str">
        <f t="shared" si="136"/>
        <v>Tuesday</v>
      </c>
      <c r="D2862" s="2">
        <v>0.44840277777777776</v>
      </c>
      <c r="E2862" t="s">
        <v>22</v>
      </c>
      <c r="F2862" t="s">
        <v>15</v>
      </c>
      <c r="G2862">
        <v>-300</v>
      </c>
      <c r="H2862" t="s">
        <v>16</v>
      </c>
      <c r="I2862" t="s">
        <v>23</v>
      </c>
      <c r="L2862" t="s">
        <v>22</v>
      </c>
      <c r="M2862">
        <v>23.150099999999998</v>
      </c>
      <c r="N2862">
        <v>23.150099999999998</v>
      </c>
      <c r="O2862" t="s">
        <v>21</v>
      </c>
      <c r="P2862">
        <f t="shared" si="135"/>
        <v>0</v>
      </c>
      <c r="Q2862" s="11">
        <f>IF(P2862=0,0,IFERROR(Q2861+G2862*M2862*IF(E2862="FUTURE",VLOOKUP(MID(I2862,2,2),[1]Futures!$A$2:$B$12,2),1),G2862*M2862*IF(E2862="FUTURE",VLOOKUP(MID(I2862,2,2),[1]Futures!$A$2:$B$12,2),1)))</f>
        <v>0</v>
      </c>
      <c r="R2862" s="12" t="str">
        <f>IFERROR(Q2862/P2862/IF(E2862="FUTURE",VLOOKUP(MID(I2862,2,2),[1]Futures!$A$2:$B$12,2),1),"")</f>
        <v/>
      </c>
      <c r="S2862" s="13">
        <f>IF(AND(H2862="TO CLOSE",P2862=0),-G2862*(M2862-R2861)*IF(E2862="FUTURE",VLOOKUP(MID(I2862,2,2),[1]Futures!$A$2:$B$12,2),1),"")</f>
        <v>22.729999999999961</v>
      </c>
    </row>
    <row r="2863" spans="1:19" x14ac:dyDescent="0.2">
      <c r="A2863">
        <f t="shared" si="134"/>
        <v>932</v>
      </c>
      <c r="B2863" s="3">
        <v>44124</v>
      </c>
      <c r="C2863" s="3" t="str">
        <f t="shared" si="136"/>
        <v>Tuesday</v>
      </c>
      <c r="D2863" s="2">
        <v>0.45285879629629627</v>
      </c>
      <c r="E2863" t="s">
        <v>22</v>
      </c>
      <c r="F2863" t="s">
        <v>15</v>
      </c>
      <c r="G2863">
        <v>-430</v>
      </c>
      <c r="H2863" t="s">
        <v>20</v>
      </c>
      <c r="I2863" t="s">
        <v>23</v>
      </c>
      <c r="L2863" t="s">
        <v>22</v>
      </c>
      <c r="M2863">
        <v>23.17</v>
      </c>
      <c r="N2863">
        <v>23.17</v>
      </c>
      <c r="O2863" t="s">
        <v>21</v>
      </c>
      <c r="P2863">
        <f t="shared" si="135"/>
        <v>-430</v>
      </c>
      <c r="Q2863" s="11">
        <f>IF(P2863=0,0,IFERROR(Q2862+G2863*M2863*IF(E2863="FUTURE",VLOOKUP(MID(I2863,2,2),[1]Futures!$A$2:$B$12,2),1),G2863*M2863*IF(E2863="FUTURE",VLOOKUP(MID(I2863,2,2),[1]Futures!$A$2:$B$12,2),1)))</f>
        <v>-9963.1</v>
      </c>
      <c r="R2863" s="12">
        <f>IFERROR(Q2863/P2863/IF(E2863="FUTURE",VLOOKUP(MID(I2863,2,2),[1]Futures!$A$2:$B$12,2),1),"")</f>
        <v>23.17</v>
      </c>
      <c r="S2863" s="13" t="str">
        <f>IF(AND(H2863="TO CLOSE",P2863=0),-G2863*(M2863-R2862)*IF(E2863="FUTURE",VLOOKUP(MID(I2863,2,2),[1]Futures!$A$2:$B$12,2),1),"")</f>
        <v/>
      </c>
    </row>
    <row r="2864" spans="1:19" x14ac:dyDescent="0.2">
      <c r="A2864">
        <f t="shared" si="134"/>
        <v>932</v>
      </c>
      <c r="B2864" s="3">
        <v>44124</v>
      </c>
      <c r="C2864" s="3" t="str">
        <f t="shared" si="136"/>
        <v>Tuesday</v>
      </c>
      <c r="D2864" s="2">
        <v>0.45287037037037042</v>
      </c>
      <c r="E2864" t="s">
        <v>22</v>
      </c>
      <c r="F2864" t="s">
        <v>15</v>
      </c>
      <c r="G2864">
        <v>-70</v>
      </c>
      <c r="H2864" t="s">
        <v>20</v>
      </c>
      <c r="I2864" t="s">
        <v>23</v>
      </c>
      <c r="L2864" t="s">
        <v>22</v>
      </c>
      <c r="M2864">
        <v>23.17</v>
      </c>
      <c r="N2864">
        <v>23.17</v>
      </c>
      <c r="O2864" t="s">
        <v>21</v>
      </c>
      <c r="P2864">
        <f t="shared" si="135"/>
        <v>-500</v>
      </c>
      <c r="Q2864" s="11">
        <f>IF(P2864=0,0,IFERROR(Q2863+G2864*M2864*IF(E2864="FUTURE",VLOOKUP(MID(I2864,2,2),[1]Futures!$A$2:$B$12,2),1),G2864*M2864*IF(E2864="FUTURE",VLOOKUP(MID(I2864,2,2),[1]Futures!$A$2:$B$12,2),1)))</f>
        <v>-11585</v>
      </c>
      <c r="R2864" s="12">
        <f>IFERROR(Q2864/P2864/IF(E2864="FUTURE",VLOOKUP(MID(I2864,2,2),[1]Futures!$A$2:$B$12,2),1),"")</f>
        <v>23.17</v>
      </c>
      <c r="S2864" s="13" t="str">
        <f>IF(AND(H2864="TO CLOSE",P2864=0),-G2864*(M2864-R2863)*IF(E2864="FUTURE",VLOOKUP(MID(I2864,2,2),[1]Futures!$A$2:$B$12,2),1),"")</f>
        <v/>
      </c>
    </row>
    <row r="2865" spans="1:19" x14ac:dyDescent="0.2">
      <c r="A2865">
        <f t="shared" si="134"/>
        <v>932</v>
      </c>
      <c r="B2865" s="3">
        <v>44124</v>
      </c>
      <c r="C2865" s="3" t="str">
        <f t="shared" si="136"/>
        <v>Tuesday</v>
      </c>
      <c r="D2865" s="2">
        <v>0.45825231481481482</v>
      </c>
      <c r="E2865" t="s">
        <v>22</v>
      </c>
      <c r="F2865" t="s">
        <v>19</v>
      </c>
      <c r="G2865">
        <v>500</v>
      </c>
      <c r="H2865" t="s">
        <v>16</v>
      </c>
      <c r="I2865" t="s">
        <v>23</v>
      </c>
      <c r="L2865" t="s">
        <v>22</v>
      </c>
      <c r="M2865">
        <v>23.1586</v>
      </c>
      <c r="N2865">
        <v>23.1586</v>
      </c>
      <c r="O2865" t="s">
        <v>21</v>
      </c>
      <c r="P2865">
        <f t="shared" si="135"/>
        <v>0</v>
      </c>
      <c r="Q2865" s="11">
        <f>IF(P2865=0,0,IFERROR(Q2864+G2865*M2865*IF(E2865="FUTURE",VLOOKUP(MID(I2865,2,2),[1]Futures!$A$2:$B$12,2),1),G2865*M2865*IF(E2865="FUTURE",VLOOKUP(MID(I2865,2,2),[1]Futures!$A$2:$B$12,2),1)))</f>
        <v>0</v>
      </c>
      <c r="R2865" s="12" t="str">
        <f>IFERROR(Q2865/P2865/IF(E2865="FUTURE",VLOOKUP(MID(I2865,2,2),[1]Futures!$A$2:$B$12,2),1),"")</f>
        <v/>
      </c>
      <c r="S2865" s="13">
        <f>IF(AND(H2865="TO CLOSE",P2865=0),-G2865*(M2865-R2864)*IF(E2865="FUTURE",VLOOKUP(MID(I2865,2,2),[1]Futures!$A$2:$B$12,2),1),"")</f>
        <v>5.7000000000009265</v>
      </c>
    </row>
    <row r="2866" spans="1:19" x14ac:dyDescent="0.2">
      <c r="A2866">
        <f t="shared" si="134"/>
        <v>933</v>
      </c>
      <c r="B2866" s="3">
        <v>44124</v>
      </c>
      <c r="C2866" s="3" t="str">
        <f t="shared" si="136"/>
        <v>Tuesday</v>
      </c>
      <c r="D2866" s="2">
        <v>0.46672453703703703</v>
      </c>
      <c r="E2866" t="s">
        <v>22</v>
      </c>
      <c r="F2866" t="s">
        <v>15</v>
      </c>
      <c r="G2866">
        <v>-291</v>
      </c>
      <c r="H2866" t="s">
        <v>20</v>
      </c>
      <c r="I2866" t="s">
        <v>23</v>
      </c>
      <c r="L2866" t="s">
        <v>22</v>
      </c>
      <c r="M2866">
        <v>23.19</v>
      </c>
      <c r="N2866">
        <v>23.19</v>
      </c>
      <c r="O2866" t="s">
        <v>21</v>
      </c>
      <c r="P2866">
        <f t="shared" si="135"/>
        <v>-291</v>
      </c>
      <c r="Q2866" s="11">
        <f>IF(P2866=0,0,IFERROR(Q2865+G2866*M2866*IF(E2866="FUTURE",VLOOKUP(MID(I2866,2,2),[1]Futures!$A$2:$B$12,2),1),G2866*M2866*IF(E2866="FUTURE",VLOOKUP(MID(I2866,2,2),[1]Futures!$A$2:$B$12,2),1)))</f>
        <v>-6748.29</v>
      </c>
      <c r="R2866" s="12">
        <f>IFERROR(Q2866/P2866/IF(E2866="FUTURE",VLOOKUP(MID(I2866,2,2),[1]Futures!$A$2:$B$12,2),1),"")</f>
        <v>23.19</v>
      </c>
      <c r="S2866" s="13" t="str">
        <f>IF(AND(H2866="TO CLOSE",P2866=0),-G2866*(M2866-R2865)*IF(E2866="FUTURE",VLOOKUP(MID(I2866,2,2),[1]Futures!$A$2:$B$12,2),1),"")</f>
        <v/>
      </c>
    </row>
    <row r="2867" spans="1:19" x14ac:dyDescent="0.2">
      <c r="A2867">
        <f t="shared" si="134"/>
        <v>933</v>
      </c>
      <c r="B2867" s="3">
        <v>44124</v>
      </c>
      <c r="C2867" s="3" t="str">
        <f t="shared" si="136"/>
        <v>Tuesday</v>
      </c>
      <c r="D2867" s="2">
        <v>0.46672453703703703</v>
      </c>
      <c r="E2867" t="s">
        <v>22</v>
      </c>
      <c r="F2867" t="s">
        <v>15</v>
      </c>
      <c r="G2867">
        <v>-209</v>
      </c>
      <c r="H2867" t="s">
        <v>20</v>
      </c>
      <c r="I2867" t="s">
        <v>23</v>
      </c>
      <c r="L2867" t="s">
        <v>22</v>
      </c>
      <c r="M2867">
        <v>23.19</v>
      </c>
      <c r="N2867">
        <v>23.19</v>
      </c>
      <c r="O2867" t="s">
        <v>21</v>
      </c>
      <c r="P2867">
        <f t="shared" si="135"/>
        <v>-500</v>
      </c>
      <c r="Q2867" s="11">
        <f>IF(P2867=0,0,IFERROR(Q2866+G2867*M2867*IF(E2867="FUTURE",VLOOKUP(MID(I2867,2,2),[1]Futures!$A$2:$B$12,2),1),G2867*M2867*IF(E2867="FUTURE",VLOOKUP(MID(I2867,2,2),[1]Futures!$A$2:$B$12,2),1)))</f>
        <v>-11595</v>
      </c>
      <c r="R2867" s="12">
        <f>IFERROR(Q2867/P2867/IF(E2867="FUTURE",VLOOKUP(MID(I2867,2,2),[1]Futures!$A$2:$B$12,2),1),"")</f>
        <v>23.19</v>
      </c>
      <c r="S2867" s="13" t="str">
        <f>IF(AND(H2867="TO CLOSE",P2867=0),-G2867*(M2867-R2866)*IF(E2867="FUTURE",VLOOKUP(MID(I2867,2,2),[1]Futures!$A$2:$B$12,2),1),"")</f>
        <v/>
      </c>
    </row>
    <row r="2868" spans="1:19" x14ac:dyDescent="0.2">
      <c r="A2868">
        <f t="shared" si="134"/>
        <v>933</v>
      </c>
      <c r="B2868" s="3">
        <v>44124</v>
      </c>
      <c r="C2868" s="3" t="str">
        <f t="shared" si="136"/>
        <v>Tuesday</v>
      </c>
      <c r="D2868" s="2">
        <v>0.48254629629629631</v>
      </c>
      <c r="E2868" t="s">
        <v>22</v>
      </c>
      <c r="F2868" t="s">
        <v>19</v>
      </c>
      <c r="G2868">
        <v>500</v>
      </c>
      <c r="H2868" t="s">
        <v>16</v>
      </c>
      <c r="I2868" t="s">
        <v>23</v>
      </c>
      <c r="L2868" t="s">
        <v>22</v>
      </c>
      <c r="M2868">
        <v>23.19</v>
      </c>
      <c r="N2868">
        <v>23.19</v>
      </c>
      <c r="O2868" t="s">
        <v>18</v>
      </c>
      <c r="P2868">
        <f t="shared" si="135"/>
        <v>0</v>
      </c>
      <c r="Q2868" s="11">
        <f>IF(P2868=0,0,IFERROR(Q2867+G2868*M2868*IF(E2868="FUTURE",VLOOKUP(MID(I2868,2,2),[1]Futures!$A$2:$B$12,2),1),G2868*M2868*IF(E2868="FUTURE",VLOOKUP(MID(I2868,2,2),[1]Futures!$A$2:$B$12,2),1)))</f>
        <v>0</v>
      </c>
      <c r="R2868" s="12" t="str">
        <f>IFERROR(Q2868/P2868/IF(E2868="FUTURE",VLOOKUP(MID(I2868,2,2),[1]Futures!$A$2:$B$12,2),1),"")</f>
        <v/>
      </c>
      <c r="S2868" s="13">
        <f>IF(AND(H2868="TO CLOSE",P2868=0),-G2868*(M2868-R2867)*IF(E2868="FUTURE",VLOOKUP(MID(I2868,2,2),[1]Futures!$A$2:$B$12,2),1),"")</f>
        <v>0</v>
      </c>
    </row>
    <row r="2869" spans="1:19" x14ac:dyDescent="0.2">
      <c r="A2869">
        <f t="shared" si="134"/>
        <v>934</v>
      </c>
      <c r="B2869" s="3">
        <v>44125</v>
      </c>
      <c r="C2869" s="3" t="str">
        <f t="shared" si="136"/>
        <v>Wednesday</v>
      </c>
      <c r="D2869" s="2">
        <v>0.3989583333333333</v>
      </c>
      <c r="E2869" t="s">
        <v>22</v>
      </c>
      <c r="F2869" t="s">
        <v>15</v>
      </c>
      <c r="G2869">
        <v>-500</v>
      </c>
      <c r="H2869" t="s">
        <v>20</v>
      </c>
      <c r="I2869" t="s">
        <v>23</v>
      </c>
      <c r="L2869" t="s">
        <v>22</v>
      </c>
      <c r="M2869">
        <v>23.05</v>
      </c>
      <c r="N2869">
        <v>23.05</v>
      </c>
      <c r="O2869" t="s">
        <v>21</v>
      </c>
      <c r="P2869">
        <f t="shared" si="135"/>
        <v>-500</v>
      </c>
      <c r="Q2869" s="11">
        <f>IF(P2869=0,0,IFERROR(Q2868+G2869*M2869*IF(E2869="FUTURE",VLOOKUP(MID(I2869,2,2),[1]Futures!$A$2:$B$12,2),1),G2869*M2869*IF(E2869="FUTURE",VLOOKUP(MID(I2869,2,2),[1]Futures!$A$2:$B$12,2),1)))</f>
        <v>-11525</v>
      </c>
      <c r="R2869" s="12">
        <f>IFERROR(Q2869/P2869/IF(E2869="FUTURE",VLOOKUP(MID(I2869,2,2),[1]Futures!$A$2:$B$12,2),1),"")</f>
        <v>23.05</v>
      </c>
      <c r="S2869" s="13" t="str">
        <f>IF(AND(H2869="TO CLOSE",P2869=0),-G2869*(M2869-R2868)*IF(E2869="FUTURE",VLOOKUP(MID(I2869,2,2),[1]Futures!$A$2:$B$12,2),1),"")</f>
        <v/>
      </c>
    </row>
    <row r="2870" spans="1:19" x14ac:dyDescent="0.2">
      <c r="A2870">
        <f t="shared" si="134"/>
        <v>934</v>
      </c>
      <c r="B2870" s="3">
        <v>44125</v>
      </c>
      <c r="C2870" s="3" t="str">
        <f t="shared" si="136"/>
        <v>Wednesday</v>
      </c>
      <c r="D2870" s="2">
        <v>0.40863425925925928</v>
      </c>
      <c r="E2870" t="s">
        <v>22</v>
      </c>
      <c r="F2870" t="s">
        <v>19</v>
      </c>
      <c r="G2870">
        <v>200</v>
      </c>
      <c r="H2870" t="s">
        <v>16</v>
      </c>
      <c r="I2870" t="s">
        <v>23</v>
      </c>
      <c r="L2870" t="s">
        <v>22</v>
      </c>
      <c r="M2870">
        <v>22.95</v>
      </c>
      <c r="N2870">
        <v>22.95</v>
      </c>
      <c r="O2870" t="s">
        <v>21</v>
      </c>
      <c r="P2870">
        <f t="shared" si="135"/>
        <v>-300</v>
      </c>
      <c r="Q2870" s="11">
        <f>IF(P2870=0,0,IFERROR(Q2869+G2870*M2870*IF(E2870="FUTURE",VLOOKUP(MID(I2870,2,2),[1]Futures!$A$2:$B$12,2),1),G2870*M2870*IF(E2870="FUTURE",VLOOKUP(MID(I2870,2,2),[1]Futures!$A$2:$B$12,2),1)))</f>
        <v>-6935</v>
      </c>
      <c r="R2870" s="12">
        <f>IFERROR(Q2870/P2870/IF(E2870="FUTURE",VLOOKUP(MID(I2870,2,2),[1]Futures!$A$2:$B$12,2),1),"")</f>
        <v>23.116666666666667</v>
      </c>
      <c r="S2870" s="13" t="str">
        <f>IF(AND(H2870="TO CLOSE",P2870=0),-G2870*(M2870-R2869)*IF(E2870="FUTURE",VLOOKUP(MID(I2870,2,2),[1]Futures!$A$2:$B$12,2),1),"")</f>
        <v/>
      </c>
    </row>
    <row r="2871" spans="1:19" x14ac:dyDescent="0.2">
      <c r="A2871">
        <f t="shared" si="134"/>
        <v>934</v>
      </c>
      <c r="B2871" s="3">
        <v>44125</v>
      </c>
      <c r="C2871" s="3" t="str">
        <f t="shared" si="136"/>
        <v>Wednesday</v>
      </c>
      <c r="D2871" s="2">
        <v>0.41321759259259255</v>
      </c>
      <c r="E2871" t="s">
        <v>22</v>
      </c>
      <c r="F2871" t="s">
        <v>19</v>
      </c>
      <c r="G2871">
        <v>100</v>
      </c>
      <c r="H2871" t="s">
        <v>16</v>
      </c>
      <c r="I2871" t="s">
        <v>23</v>
      </c>
      <c r="L2871" t="s">
        <v>22</v>
      </c>
      <c r="M2871">
        <v>22.85</v>
      </c>
      <c r="N2871">
        <v>22.85</v>
      </c>
      <c r="O2871" t="s">
        <v>21</v>
      </c>
      <c r="P2871">
        <f t="shared" si="135"/>
        <v>-200</v>
      </c>
      <c r="Q2871" s="11">
        <f>IF(P2871=0,0,IFERROR(Q2870+G2871*M2871*IF(E2871="FUTURE",VLOOKUP(MID(I2871,2,2),[1]Futures!$A$2:$B$12,2),1),G2871*M2871*IF(E2871="FUTURE",VLOOKUP(MID(I2871,2,2),[1]Futures!$A$2:$B$12,2),1)))</f>
        <v>-4650</v>
      </c>
      <c r="R2871" s="12">
        <f>IFERROR(Q2871/P2871/IF(E2871="FUTURE",VLOOKUP(MID(I2871,2,2),[1]Futures!$A$2:$B$12,2),1),"")</f>
        <v>23.25</v>
      </c>
      <c r="S2871" s="13" t="str">
        <f>IF(AND(H2871="TO CLOSE",P2871=0),-G2871*(M2871-R2870)*IF(E2871="FUTURE",VLOOKUP(MID(I2871,2,2),[1]Futures!$A$2:$B$12,2),1),"")</f>
        <v/>
      </c>
    </row>
    <row r="2872" spans="1:19" x14ac:dyDescent="0.2">
      <c r="A2872">
        <f t="shared" si="134"/>
        <v>934</v>
      </c>
      <c r="B2872" s="3">
        <v>44125</v>
      </c>
      <c r="C2872" s="3" t="str">
        <f t="shared" si="136"/>
        <v>Wednesday</v>
      </c>
      <c r="D2872" s="2">
        <v>0.41324074074074074</v>
      </c>
      <c r="E2872" t="s">
        <v>22</v>
      </c>
      <c r="F2872" t="s">
        <v>19</v>
      </c>
      <c r="G2872">
        <v>50</v>
      </c>
      <c r="H2872" t="s">
        <v>16</v>
      </c>
      <c r="I2872" t="s">
        <v>23</v>
      </c>
      <c r="L2872" t="s">
        <v>22</v>
      </c>
      <c r="M2872">
        <v>22.85</v>
      </c>
      <c r="N2872">
        <v>22.85</v>
      </c>
      <c r="O2872" t="s">
        <v>21</v>
      </c>
      <c r="P2872">
        <f t="shared" si="135"/>
        <v>-150</v>
      </c>
      <c r="Q2872" s="11">
        <f>IF(P2872=0,0,IFERROR(Q2871+G2872*M2872*IF(E2872="FUTURE",VLOOKUP(MID(I2872,2,2),[1]Futures!$A$2:$B$12,2),1),G2872*M2872*IF(E2872="FUTURE",VLOOKUP(MID(I2872,2,2),[1]Futures!$A$2:$B$12,2),1)))</f>
        <v>-3507.5</v>
      </c>
      <c r="R2872" s="12">
        <f>IFERROR(Q2872/P2872/IF(E2872="FUTURE",VLOOKUP(MID(I2872,2,2),[1]Futures!$A$2:$B$12,2),1),"")</f>
        <v>23.383333333333333</v>
      </c>
      <c r="S2872" s="13" t="str">
        <f>IF(AND(H2872="TO CLOSE",P2872=0),-G2872*(M2872-R2871)*IF(E2872="FUTURE",VLOOKUP(MID(I2872,2,2),[1]Futures!$A$2:$B$12,2),1),"")</f>
        <v/>
      </c>
    </row>
    <row r="2873" spans="1:19" x14ac:dyDescent="0.2">
      <c r="A2873">
        <f t="shared" si="134"/>
        <v>934</v>
      </c>
      <c r="B2873" s="3">
        <v>44125</v>
      </c>
      <c r="C2873" s="3" t="str">
        <f t="shared" si="136"/>
        <v>Wednesday</v>
      </c>
      <c r="D2873" s="2">
        <v>0.41665509259259265</v>
      </c>
      <c r="E2873" t="s">
        <v>22</v>
      </c>
      <c r="F2873" t="s">
        <v>19</v>
      </c>
      <c r="G2873">
        <v>150</v>
      </c>
      <c r="H2873" t="s">
        <v>16</v>
      </c>
      <c r="I2873" t="s">
        <v>23</v>
      </c>
      <c r="L2873" t="s">
        <v>22</v>
      </c>
      <c r="M2873">
        <v>22.849900000000002</v>
      </c>
      <c r="N2873">
        <v>22.849869999999999</v>
      </c>
      <c r="O2873" t="s">
        <v>24</v>
      </c>
      <c r="P2873">
        <f t="shared" si="135"/>
        <v>0</v>
      </c>
      <c r="Q2873" s="11">
        <f>IF(P2873=0,0,IFERROR(Q2872+G2873*M2873*IF(E2873="FUTURE",VLOOKUP(MID(I2873,2,2),[1]Futures!$A$2:$B$12,2),1),G2873*M2873*IF(E2873="FUTURE",VLOOKUP(MID(I2873,2,2),[1]Futures!$A$2:$B$12,2),1)))</f>
        <v>0</v>
      </c>
      <c r="R2873" s="12" t="str">
        <f>IFERROR(Q2873/P2873/IF(E2873="FUTURE",VLOOKUP(MID(I2873,2,2),[1]Futures!$A$2:$B$12,2),1),"")</f>
        <v/>
      </c>
      <c r="S2873" s="13">
        <f>IF(AND(H2873="TO CLOSE",P2873=0),-G2873*(M2873-R2872)*IF(E2873="FUTURE",VLOOKUP(MID(I2873,2,2),[1]Futures!$A$2:$B$12,2),1),"")</f>
        <v>80.014999999999674</v>
      </c>
    </row>
    <row r="2874" spans="1:19" x14ac:dyDescent="0.2">
      <c r="A2874">
        <f t="shared" si="134"/>
        <v>935</v>
      </c>
      <c r="B2874" s="3">
        <v>44126</v>
      </c>
      <c r="C2874" s="3" t="str">
        <f t="shared" si="136"/>
        <v>Thursday</v>
      </c>
      <c r="D2874" s="2">
        <v>0.39504629629629634</v>
      </c>
      <c r="E2874" t="s">
        <v>14</v>
      </c>
      <c r="F2874" t="s">
        <v>19</v>
      </c>
      <c r="G2874">
        <v>1</v>
      </c>
      <c r="H2874" t="s">
        <v>20</v>
      </c>
      <c r="I2874" t="s">
        <v>86</v>
      </c>
      <c r="J2874" s="1">
        <v>44185</v>
      </c>
      <c r="L2874" t="s">
        <v>14</v>
      </c>
      <c r="M2874">
        <v>40.340000000000003</v>
      </c>
      <c r="N2874">
        <v>40.340000000000003</v>
      </c>
      <c r="O2874" t="s">
        <v>21</v>
      </c>
      <c r="P2874">
        <f t="shared" si="135"/>
        <v>1</v>
      </c>
      <c r="Q2874" s="11">
        <f>IF(P2874=0,0,IFERROR(Q2873+G2874*M2874*IF(E2874="FUTURE",VLOOKUP(MID(I2874,2,2),[1]Futures!$A$2:$B$12,2),1),G2874*M2874*IF(E2874="FUTURE",VLOOKUP(MID(I2874,2,2),[1]Futures!$A$2:$B$12,2),1)))</f>
        <v>40340</v>
      </c>
      <c r="R2874" s="12">
        <f>IFERROR(Q2874/P2874/IF(E2874="FUTURE",VLOOKUP(MID(I2874,2,2),[1]Futures!$A$2:$B$12,2),1),"")</f>
        <v>40.340000000000003</v>
      </c>
      <c r="S2874" s="13" t="str">
        <f>IF(AND(H2874="TO CLOSE",P2874=0),-G2874*(M2874-R2873)*IF(E2874="FUTURE",VLOOKUP(MID(I2874,2,2),[1]Futures!$A$2:$B$12,2),1),"")</f>
        <v/>
      </c>
    </row>
    <row r="2875" spans="1:19" x14ac:dyDescent="0.2">
      <c r="A2875">
        <f t="shared" si="134"/>
        <v>935</v>
      </c>
      <c r="B2875" s="3">
        <v>44126</v>
      </c>
      <c r="C2875" s="3" t="str">
        <f t="shared" si="136"/>
        <v>Thursday</v>
      </c>
      <c r="D2875" s="2">
        <v>0.39932870370370371</v>
      </c>
      <c r="E2875" t="s">
        <v>14</v>
      </c>
      <c r="F2875" t="s">
        <v>19</v>
      </c>
      <c r="G2875">
        <v>1</v>
      </c>
      <c r="H2875" t="s">
        <v>20</v>
      </c>
      <c r="I2875" t="s">
        <v>86</v>
      </c>
      <c r="J2875" s="1">
        <v>44185</v>
      </c>
      <c r="L2875" t="s">
        <v>14</v>
      </c>
      <c r="M2875">
        <v>40.44</v>
      </c>
      <c r="N2875">
        <v>40.44</v>
      </c>
      <c r="O2875" t="s">
        <v>18</v>
      </c>
      <c r="P2875">
        <f t="shared" si="135"/>
        <v>2</v>
      </c>
      <c r="Q2875" s="11">
        <f>IF(P2875=0,0,IFERROR(Q2874+G2875*M2875*IF(E2875="FUTURE",VLOOKUP(MID(I2875,2,2),[1]Futures!$A$2:$B$12,2),1),G2875*M2875*IF(E2875="FUTURE",VLOOKUP(MID(I2875,2,2),[1]Futures!$A$2:$B$12,2),1)))</f>
        <v>80780</v>
      </c>
      <c r="R2875" s="12">
        <f>IFERROR(Q2875/P2875/IF(E2875="FUTURE",VLOOKUP(MID(I2875,2,2),[1]Futures!$A$2:$B$12,2),1),"")</f>
        <v>40.39</v>
      </c>
      <c r="S2875" s="13" t="str">
        <f>IF(AND(H2875="TO CLOSE",P2875=0),-G2875*(M2875-R2874)*IF(E2875="FUTURE",VLOOKUP(MID(I2875,2,2),[1]Futures!$A$2:$B$12,2),1),"")</f>
        <v/>
      </c>
    </row>
    <row r="2876" spans="1:19" x14ac:dyDescent="0.2">
      <c r="A2876">
        <f t="shared" si="134"/>
        <v>935</v>
      </c>
      <c r="B2876" s="3">
        <v>44126</v>
      </c>
      <c r="C2876" s="3" t="str">
        <f t="shared" si="136"/>
        <v>Thursday</v>
      </c>
      <c r="D2876" s="2">
        <v>0.40222222222222226</v>
      </c>
      <c r="E2876" t="s">
        <v>14</v>
      </c>
      <c r="F2876" t="s">
        <v>15</v>
      </c>
      <c r="G2876">
        <v>-1</v>
      </c>
      <c r="H2876" t="s">
        <v>16</v>
      </c>
      <c r="I2876" t="s">
        <v>86</v>
      </c>
      <c r="J2876" s="1">
        <v>44185</v>
      </c>
      <c r="L2876" t="s">
        <v>14</v>
      </c>
      <c r="M2876">
        <v>40.46</v>
      </c>
      <c r="N2876">
        <v>40.46</v>
      </c>
      <c r="O2876" t="s">
        <v>21</v>
      </c>
      <c r="P2876">
        <f t="shared" si="135"/>
        <v>1</v>
      </c>
      <c r="Q2876" s="11">
        <f>IF(P2876=0,0,IFERROR(Q2875+G2876*M2876*IF(E2876="FUTURE",VLOOKUP(MID(I2876,2,2),[1]Futures!$A$2:$B$12,2),1),G2876*M2876*IF(E2876="FUTURE",VLOOKUP(MID(I2876,2,2),[1]Futures!$A$2:$B$12,2),1)))</f>
        <v>40320</v>
      </c>
      <c r="R2876" s="12">
        <f>IFERROR(Q2876/P2876/IF(E2876="FUTURE",VLOOKUP(MID(I2876,2,2),[1]Futures!$A$2:$B$12,2),1),"")</f>
        <v>40.32</v>
      </c>
      <c r="S2876" s="13" t="str">
        <f>IF(AND(H2876="TO CLOSE",P2876=0),-G2876*(M2876-R2875)*IF(E2876="FUTURE",VLOOKUP(MID(I2876,2,2),[1]Futures!$A$2:$B$12,2),1),"")</f>
        <v/>
      </c>
    </row>
    <row r="2877" spans="1:19" x14ac:dyDescent="0.2">
      <c r="A2877">
        <f t="shared" si="134"/>
        <v>935</v>
      </c>
      <c r="B2877" s="3">
        <v>44126</v>
      </c>
      <c r="C2877" s="3" t="str">
        <f t="shared" si="136"/>
        <v>Thursday</v>
      </c>
      <c r="D2877" s="2">
        <v>0.40570601851851856</v>
      </c>
      <c r="E2877" t="s">
        <v>14</v>
      </c>
      <c r="F2877" t="s">
        <v>15</v>
      </c>
      <c r="G2877">
        <v>-1</v>
      </c>
      <c r="H2877" t="s">
        <v>16</v>
      </c>
      <c r="I2877" t="s">
        <v>86</v>
      </c>
      <c r="J2877" s="1">
        <v>44185</v>
      </c>
      <c r="L2877" t="s">
        <v>14</v>
      </c>
      <c r="M2877">
        <v>40.479999999999997</v>
      </c>
      <c r="N2877">
        <v>40.479999999999997</v>
      </c>
      <c r="O2877" t="s">
        <v>21</v>
      </c>
      <c r="P2877">
        <f t="shared" si="135"/>
        <v>0</v>
      </c>
      <c r="Q2877" s="11">
        <f>IF(P2877=0,0,IFERROR(Q2876+G2877*M2877*IF(E2877="FUTURE",VLOOKUP(MID(I2877,2,2),[1]Futures!$A$2:$B$12,2),1),G2877*M2877*IF(E2877="FUTURE",VLOOKUP(MID(I2877,2,2),[1]Futures!$A$2:$B$12,2),1)))</f>
        <v>0</v>
      </c>
      <c r="R2877" s="12" t="str">
        <f>IFERROR(Q2877/P2877/IF(E2877="FUTURE",VLOOKUP(MID(I2877,2,2),[1]Futures!$A$2:$B$12,2),1),"")</f>
        <v/>
      </c>
      <c r="S2877" s="13">
        <f>IF(AND(H2877="TO CLOSE",P2877=0),-G2877*(M2877-R2876)*IF(E2877="FUTURE",VLOOKUP(MID(I2877,2,2),[1]Futures!$A$2:$B$12,2),1),"")</f>
        <v>159.99999999999659</v>
      </c>
    </row>
    <row r="2878" spans="1:19" x14ac:dyDescent="0.2">
      <c r="A2878">
        <f t="shared" si="134"/>
        <v>936</v>
      </c>
      <c r="B2878" s="3">
        <v>44126</v>
      </c>
      <c r="C2878" s="3" t="str">
        <f t="shared" si="136"/>
        <v>Thursday</v>
      </c>
      <c r="D2878" s="2">
        <v>0.44039351851851855</v>
      </c>
      <c r="E2878" t="s">
        <v>14</v>
      </c>
      <c r="F2878" t="s">
        <v>15</v>
      </c>
      <c r="G2878">
        <v>-1</v>
      </c>
      <c r="H2878" t="s">
        <v>20</v>
      </c>
      <c r="I2878" t="s">
        <v>86</v>
      </c>
      <c r="J2878" s="1">
        <v>44185</v>
      </c>
      <c r="L2878" t="s">
        <v>14</v>
      </c>
      <c r="M2878">
        <v>40.53</v>
      </c>
      <c r="N2878">
        <v>40.53</v>
      </c>
      <c r="O2878" t="s">
        <v>21</v>
      </c>
      <c r="P2878">
        <f t="shared" si="135"/>
        <v>-1</v>
      </c>
      <c r="Q2878" s="11">
        <f>IF(P2878=0,0,IFERROR(Q2877+G2878*M2878*IF(E2878="FUTURE",VLOOKUP(MID(I2878,2,2),[1]Futures!$A$2:$B$12,2),1),G2878*M2878*IF(E2878="FUTURE",VLOOKUP(MID(I2878,2,2),[1]Futures!$A$2:$B$12,2),1)))</f>
        <v>-40530</v>
      </c>
      <c r="R2878" s="12">
        <f>IFERROR(Q2878/P2878/IF(E2878="FUTURE",VLOOKUP(MID(I2878,2,2),[1]Futures!$A$2:$B$12,2),1),"")</f>
        <v>40.53</v>
      </c>
      <c r="S2878" s="13" t="str">
        <f>IF(AND(H2878="TO CLOSE",P2878=0),-G2878*(M2878-R2877)*IF(E2878="FUTURE",VLOOKUP(MID(I2878,2,2),[1]Futures!$A$2:$B$12,2),1),"")</f>
        <v/>
      </c>
    </row>
    <row r="2879" spans="1:19" x14ac:dyDescent="0.2">
      <c r="A2879">
        <f t="shared" si="134"/>
        <v>936</v>
      </c>
      <c r="B2879" s="3">
        <v>44126</v>
      </c>
      <c r="C2879" s="3" t="str">
        <f t="shared" si="136"/>
        <v>Thursday</v>
      </c>
      <c r="D2879" s="2">
        <v>0.4455439814814815</v>
      </c>
      <c r="E2879" t="s">
        <v>14</v>
      </c>
      <c r="F2879" t="s">
        <v>19</v>
      </c>
      <c r="G2879">
        <v>3</v>
      </c>
      <c r="H2879" t="s">
        <v>16</v>
      </c>
      <c r="I2879" t="s">
        <v>86</v>
      </c>
      <c r="J2879" s="1">
        <v>44185</v>
      </c>
      <c r="L2879" t="s">
        <v>14</v>
      </c>
      <c r="M2879">
        <v>40.61</v>
      </c>
      <c r="N2879">
        <v>40.61</v>
      </c>
      <c r="O2879" t="s">
        <v>24</v>
      </c>
      <c r="P2879">
        <f t="shared" si="135"/>
        <v>2</v>
      </c>
      <c r="Q2879" s="11">
        <f>IF(P2879=0,0,IFERROR(Q2878+G2879*M2879*IF(E2879="FUTURE",VLOOKUP(MID(I2879,2,2),[1]Futures!$A$2:$B$12,2),1),G2879*M2879*IF(E2879="FUTURE",VLOOKUP(MID(I2879,2,2),[1]Futures!$A$2:$B$12,2),1)))</f>
        <v>81300</v>
      </c>
      <c r="R2879" s="12">
        <f>IFERROR(Q2879/P2879/IF(E2879="FUTURE",VLOOKUP(MID(I2879,2,2),[1]Futures!$A$2:$B$12,2),1),"")</f>
        <v>40.65</v>
      </c>
      <c r="S2879" s="13" t="str">
        <f>IF(AND(H2879="TO CLOSE",P2879=0),-G2879*(M2879-R2878)*IF(E2879="FUTURE",VLOOKUP(MID(I2879,2,2),[1]Futures!$A$2:$B$12,2),1),"")</f>
        <v/>
      </c>
    </row>
    <row r="2880" spans="1:19" x14ac:dyDescent="0.2">
      <c r="A2880">
        <f t="shared" si="134"/>
        <v>936</v>
      </c>
      <c r="B2880" s="3">
        <v>44126</v>
      </c>
      <c r="C2880" s="3" t="str">
        <f t="shared" si="136"/>
        <v>Thursday</v>
      </c>
      <c r="D2880" s="2">
        <v>0.44665509259259256</v>
      </c>
      <c r="E2880" t="s">
        <v>14</v>
      </c>
      <c r="F2880" t="s">
        <v>15</v>
      </c>
      <c r="G2880">
        <v>-4</v>
      </c>
      <c r="H2880" t="s">
        <v>16</v>
      </c>
      <c r="I2880" t="s">
        <v>86</v>
      </c>
      <c r="J2880" s="1">
        <v>44185</v>
      </c>
      <c r="L2880" t="s">
        <v>14</v>
      </c>
      <c r="M2880">
        <v>40.53</v>
      </c>
      <c r="N2880">
        <v>40.53</v>
      </c>
      <c r="O2880" t="s">
        <v>24</v>
      </c>
      <c r="P2880">
        <f t="shared" si="135"/>
        <v>-2</v>
      </c>
      <c r="Q2880" s="11">
        <f>IF(P2880=0,0,IFERROR(Q2879+G2880*M2880*IF(E2880="FUTURE",VLOOKUP(MID(I2880,2,2),[1]Futures!$A$2:$B$12,2),1),G2880*M2880*IF(E2880="FUTURE",VLOOKUP(MID(I2880,2,2),[1]Futures!$A$2:$B$12,2),1)))</f>
        <v>-80820</v>
      </c>
      <c r="R2880" s="12">
        <f>IFERROR(Q2880/P2880/IF(E2880="FUTURE",VLOOKUP(MID(I2880,2,2),[1]Futures!$A$2:$B$12,2),1),"")</f>
        <v>40.409999999999997</v>
      </c>
      <c r="S2880" s="13" t="str">
        <f>IF(AND(H2880="TO CLOSE",P2880=0),-G2880*(M2880-R2879)*IF(E2880="FUTURE",VLOOKUP(MID(I2880,2,2),[1]Futures!$A$2:$B$12,2),1),"")</f>
        <v/>
      </c>
    </row>
    <row r="2881" spans="1:19" x14ac:dyDescent="0.2">
      <c r="A2881">
        <f t="shared" si="134"/>
        <v>936</v>
      </c>
      <c r="B2881" s="3">
        <v>44126</v>
      </c>
      <c r="C2881" s="3" t="str">
        <f t="shared" si="136"/>
        <v>Thursday</v>
      </c>
      <c r="D2881" s="2">
        <v>0.45127314814814817</v>
      </c>
      <c r="E2881" t="s">
        <v>14</v>
      </c>
      <c r="F2881" t="s">
        <v>19</v>
      </c>
      <c r="G2881">
        <v>2</v>
      </c>
      <c r="H2881" t="s">
        <v>16</v>
      </c>
      <c r="I2881" t="s">
        <v>86</v>
      </c>
      <c r="J2881" s="1">
        <v>44185</v>
      </c>
      <c r="L2881" t="s">
        <v>14</v>
      </c>
      <c r="M2881">
        <v>40.630000000000003</v>
      </c>
      <c r="N2881">
        <v>40.630000000000003</v>
      </c>
      <c r="O2881" t="s">
        <v>18</v>
      </c>
      <c r="P2881">
        <f t="shared" si="135"/>
        <v>0</v>
      </c>
      <c r="Q2881" s="11">
        <f>IF(P2881=0,0,IFERROR(Q2880+G2881*M2881*IF(E2881="FUTURE",VLOOKUP(MID(I2881,2,2),[1]Futures!$A$2:$B$12,2),1),G2881*M2881*IF(E2881="FUTURE",VLOOKUP(MID(I2881,2,2),[1]Futures!$A$2:$B$12,2),1)))</f>
        <v>0</v>
      </c>
      <c r="R2881" s="12" t="str">
        <f>IFERROR(Q2881/P2881/IF(E2881="FUTURE",VLOOKUP(MID(I2881,2,2),[1]Futures!$A$2:$B$12,2),1),"")</f>
        <v/>
      </c>
      <c r="S2881" s="13">
        <f>IF(AND(H2881="TO CLOSE",P2881=0),-G2881*(M2881-R2880)*IF(E2881="FUTURE",VLOOKUP(MID(I2881,2,2),[1]Futures!$A$2:$B$12,2),1),"")</f>
        <v>-440.00000000001194</v>
      </c>
    </row>
    <row r="2882" spans="1:19" x14ac:dyDescent="0.2">
      <c r="A2882">
        <f t="shared" ref="A2882:A2945" si="137">IF(AND(P2881=0,H2881="TO CLOSE"),IFERROR(A2881+1,1),IFERROR(A2881/1,1))</f>
        <v>937</v>
      </c>
      <c r="B2882" s="3">
        <v>44126</v>
      </c>
      <c r="C2882" s="3" t="str">
        <f t="shared" si="136"/>
        <v>Thursday</v>
      </c>
      <c r="D2882" s="2">
        <v>0.45142361111111112</v>
      </c>
      <c r="E2882" t="s">
        <v>14</v>
      </c>
      <c r="F2882" t="s">
        <v>19</v>
      </c>
      <c r="G2882">
        <v>1</v>
      </c>
      <c r="H2882" t="s">
        <v>20</v>
      </c>
      <c r="I2882" t="s">
        <v>86</v>
      </c>
      <c r="J2882" s="1">
        <v>44185</v>
      </c>
      <c r="L2882" t="s">
        <v>14</v>
      </c>
      <c r="M2882">
        <v>40.659999999999997</v>
      </c>
      <c r="N2882">
        <v>40.659999999999997</v>
      </c>
      <c r="O2882" t="s">
        <v>24</v>
      </c>
      <c r="P2882">
        <f t="shared" si="135"/>
        <v>1</v>
      </c>
      <c r="Q2882" s="11">
        <f>IF(P2882=0,0,IFERROR(Q2881+G2882*M2882*IF(E2882="FUTURE",VLOOKUP(MID(I2882,2,2),[1]Futures!$A$2:$B$12,2),1),G2882*M2882*IF(E2882="FUTURE",VLOOKUP(MID(I2882,2,2),[1]Futures!$A$2:$B$12,2),1)))</f>
        <v>40660</v>
      </c>
      <c r="R2882" s="12">
        <f>IFERROR(Q2882/P2882/IF(E2882="FUTURE",VLOOKUP(MID(I2882,2,2),[1]Futures!$A$2:$B$12,2),1),"")</f>
        <v>40.659999999999997</v>
      </c>
      <c r="S2882" s="13" t="str">
        <f>IF(AND(H2882="TO CLOSE",P2882=0),-G2882*(M2882-R2881)*IF(E2882="FUTURE",VLOOKUP(MID(I2882,2,2),[1]Futures!$A$2:$B$12,2),1),"")</f>
        <v/>
      </c>
    </row>
    <row r="2883" spans="1:19" x14ac:dyDescent="0.2">
      <c r="A2883">
        <f t="shared" si="137"/>
        <v>937</v>
      </c>
      <c r="B2883" s="3">
        <v>44126</v>
      </c>
      <c r="C2883" s="3" t="str">
        <f t="shared" si="136"/>
        <v>Thursday</v>
      </c>
      <c r="D2883" s="2">
        <v>0.4528240740740741</v>
      </c>
      <c r="E2883" t="s">
        <v>14</v>
      </c>
      <c r="F2883" t="s">
        <v>15</v>
      </c>
      <c r="G2883">
        <v>-1</v>
      </c>
      <c r="H2883" t="s">
        <v>16</v>
      </c>
      <c r="I2883" t="s">
        <v>86</v>
      </c>
      <c r="J2883" s="1">
        <v>44185</v>
      </c>
      <c r="L2883" t="s">
        <v>14</v>
      </c>
      <c r="M2883">
        <v>40.82</v>
      </c>
      <c r="N2883">
        <v>40.82</v>
      </c>
      <c r="O2883" t="s">
        <v>21</v>
      </c>
      <c r="P2883">
        <f t="shared" ref="P2883:P2946" si="138">IF(H2883="TO OPEN",IFERROR(P2882+G2883,0+G2883),IFERROR(P2882+G2883,0+G2883))</f>
        <v>0</v>
      </c>
      <c r="Q2883" s="11">
        <f>IF(P2883=0,0,IFERROR(Q2882+G2883*M2883*IF(E2883="FUTURE",VLOOKUP(MID(I2883,2,2),[1]Futures!$A$2:$B$12,2),1),G2883*M2883*IF(E2883="FUTURE",VLOOKUP(MID(I2883,2,2),[1]Futures!$A$2:$B$12,2),1)))</f>
        <v>0</v>
      </c>
      <c r="R2883" s="12" t="str">
        <f>IFERROR(Q2883/P2883/IF(E2883="FUTURE",VLOOKUP(MID(I2883,2,2),[1]Futures!$A$2:$B$12,2),1),"")</f>
        <v/>
      </c>
      <c r="S2883" s="13">
        <f>IF(AND(H2883="TO CLOSE",P2883=0),-G2883*(M2883-R2882)*IF(E2883="FUTURE",VLOOKUP(MID(I2883,2,2),[1]Futures!$A$2:$B$12,2),1),"")</f>
        <v>160.00000000000369</v>
      </c>
    </row>
    <row r="2884" spans="1:19" x14ac:dyDescent="0.2">
      <c r="A2884">
        <f t="shared" si="137"/>
        <v>938</v>
      </c>
      <c r="B2884" s="3">
        <v>44126</v>
      </c>
      <c r="C2884" s="3" t="str">
        <f t="shared" si="136"/>
        <v>Thursday</v>
      </c>
      <c r="D2884" s="2">
        <v>0.48018518518518521</v>
      </c>
      <c r="E2884" t="s">
        <v>14</v>
      </c>
      <c r="F2884" t="s">
        <v>15</v>
      </c>
      <c r="G2884">
        <v>-1</v>
      </c>
      <c r="H2884" t="s">
        <v>20</v>
      </c>
      <c r="I2884" t="s">
        <v>86</v>
      </c>
      <c r="J2884" s="1">
        <v>44185</v>
      </c>
      <c r="L2884" t="s">
        <v>14</v>
      </c>
      <c r="M2884">
        <v>40.93</v>
      </c>
      <c r="N2884">
        <v>40.93</v>
      </c>
      <c r="O2884" t="s">
        <v>21</v>
      </c>
      <c r="P2884">
        <f t="shared" si="138"/>
        <v>-1</v>
      </c>
      <c r="Q2884" s="11">
        <f>IF(P2884=0,0,IFERROR(Q2883+G2884*M2884*IF(E2884="FUTURE",VLOOKUP(MID(I2884,2,2),[1]Futures!$A$2:$B$12,2),1),G2884*M2884*IF(E2884="FUTURE",VLOOKUP(MID(I2884,2,2),[1]Futures!$A$2:$B$12,2),1)))</f>
        <v>-40930</v>
      </c>
      <c r="R2884" s="12">
        <f>IFERROR(Q2884/P2884/IF(E2884="FUTURE",VLOOKUP(MID(I2884,2,2),[1]Futures!$A$2:$B$12,2),1),"")</f>
        <v>40.93</v>
      </c>
      <c r="S2884" s="13" t="str">
        <f>IF(AND(H2884="TO CLOSE",P2884=0),-G2884*(M2884-R2883)*IF(E2884="FUTURE",VLOOKUP(MID(I2884,2,2),[1]Futures!$A$2:$B$12,2),1),"")</f>
        <v/>
      </c>
    </row>
    <row r="2885" spans="1:19" x14ac:dyDescent="0.2">
      <c r="A2885">
        <f t="shared" si="137"/>
        <v>938</v>
      </c>
      <c r="B2885" s="3">
        <v>44126</v>
      </c>
      <c r="C2885" s="3" t="str">
        <f t="shared" si="136"/>
        <v>Thursday</v>
      </c>
      <c r="D2885" s="2">
        <v>0.48269675925925926</v>
      </c>
      <c r="E2885" t="s">
        <v>14</v>
      </c>
      <c r="F2885" t="s">
        <v>19</v>
      </c>
      <c r="G2885">
        <v>1</v>
      </c>
      <c r="H2885" t="s">
        <v>16</v>
      </c>
      <c r="I2885" t="s">
        <v>86</v>
      </c>
      <c r="J2885" s="1">
        <v>44185</v>
      </c>
      <c r="L2885" t="s">
        <v>14</v>
      </c>
      <c r="M2885">
        <v>40.89</v>
      </c>
      <c r="N2885">
        <v>40.89</v>
      </c>
      <c r="O2885" t="s">
        <v>24</v>
      </c>
      <c r="P2885">
        <f t="shared" si="138"/>
        <v>0</v>
      </c>
      <c r="Q2885" s="11">
        <f>IF(P2885=0,0,IFERROR(Q2884+G2885*M2885*IF(E2885="FUTURE",VLOOKUP(MID(I2885,2,2),[1]Futures!$A$2:$B$12,2),1),G2885*M2885*IF(E2885="FUTURE",VLOOKUP(MID(I2885,2,2),[1]Futures!$A$2:$B$12,2),1)))</f>
        <v>0</v>
      </c>
      <c r="R2885" s="12" t="str">
        <f>IFERROR(Q2885/P2885/IF(E2885="FUTURE",VLOOKUP(MID(I2885,2,2),[1]Futures!$A$2:$B$12,2),1),"")</f>
        <v/>
      </c>
      <c r="S2885" s="13">
        <f>IF(AND(H2885="TO CLOSE",P2885=0),-G2885*(M2885-R2884)*IF(E2885="FUTURE",VLOOKUP(MID(I2885,2,2),[1]Futures!$A$2:$B$12,2),1),"")</f>
        <v>39.999999999999147</v>
      </c>
    </row>
    <row r="2886" spans="1:19" x14ac:dyDescent="0.2">
      <c r="A2886">
        <f t="shared" si="137"/>
        <v>939</v>
      </c>
      <c r="B2886" s="3">
        <v>44126</v>
      </c>
      <c r="C2886" s="3" t="str">
        <f t="shared" si="136"/>
        <v>Thursday</v>
      </c>
      <c r="D2886" s="2">
        <v>0.49461805555555555</v>
      </c>
      <c r="E2886" t="s">
        <v>14</v>
      </c>
      <c r="F2886" t="s">
        <v>15</v>
      </c>
      <c r="G2886">
        <v>-2</v>
      </c>
      <c r="H2886" t="s">
        <v>20</v>
      </c>
      <c r="I2886" t="s">
        <v>86</v>
      </c>
      <c r="J2886" s="1">
        <v>44185</v>
      </c>
      <c r="L2886" t="s">
        <v>14</v>
      </c>
      <c r="M2886">
        <v>40.840000000000003</v>
      </c>
      <c r="N2886">
        <v>40.840000000000003</v>
      </c>
      <c r="O2886" t="s">
        <v>21</v>
      </c>
      <c r="P2886">
        <f t="shared" si="138"/>
        <v>-2</v>
      </c>
      <c r="Q2886" s="11">
        <f>IF(P2886=0,0,IFERROR(Q2885+G2886*M2886*IF(E2886="FUTURE",VLOOKUP(MID(I2886,2,2),[1]Futures!$A$2:$B$12,2),1),G2886*M2886*IF(E2886="FUTURE",VLOOKUP(MID(I2886,2,2),[1]Futures!$A$2:$B$12,2),1)))</f>
        <v>-81680</v>
      </c>
      <c r="R2886" s="12">
        <f>IFERROR(Q2886/P2886/IF(E2886="FUTURE",VLOOKUP(MID(I2886,2,2),[1]Futures!$A$2:$B$12,2),1),"")</f>
        <v>40.840000000000003</v>
      </c>
      <c r="S2886" s="13" t="str">
        <f>IF(AND(H2886="TO CLOSE",P2886=0),-G2886*(M2886-R2885)*IF(E2886="FUTURE",VLOOKUP(MID(I2886,2,2),[1]Futures!$A$2:$B$12,2),1),"")</f>
        <v/>
      </c>
    </row>
    <row r="2887" spans="1:19" x14ac:dyDescent="0.2">
      <c r="A2887">
        <f t="shared" si="137"/>
        <v>939</v>
      </c>
      <c r="B2887" s="3">
        <v>44126</v>
      </c>
      <c r="C2887" s="3" t="str">
        <f t="shared" si="136"/>
        <v>Thursday</v>
      </c>
      <c r="D2887" s="2">
        <v>0.49517361111111113</v>
      </c>
      <c r="E2887" t="s">
        <v>14</v>
      </c>
      <c r="F2887" t="s">
        <v>19</v>
      </c>
      <c r="G2887">
        <v>2</v>
      </c>
      <c r="H2887" t="s">
        <v>16</v>
      </c>
      <c r="I2887" t="s">
        <v>86</v>
      </c>
      <c r="J2887" s="1">
        <v>44185</v>
      </c>
      <c r="L2887" t="s">
        <v>14</v>
      </c>
      <c r="M2887">
        <v>40.83</v>
      </c>
      <c r="N2887">
        <v>40.83</v>
      </c>
      <c r="O2887" t="s">
        <v>21</v>
      </c>
      <c r="P2887">
        <f t="shared" si="138"/>
        <v>0</v>
      </c>
      <c r="Q2887" s="11">
        <f>IF(P2887=0,0,IFERROR(Q2886+G2887*M2887*IF(E2887="FUTURE",VLOOKUP(MID(I2887,2,2),[1]Futures!$A$2:$B$12,2),1),G2887*M2887*IF(E2887="FUTURE",VLOOKUP(MID(I2887,2,2),[1]Futures!$A$2:$B$12,2),1)))</f>
        <v>0</v>
      </c>
      <c r="R2887" s="12" t="str">
        <f>IFERROR(Q2887/P2887/IF(E2887="FUTURE",VLOOKUP(MID(I2887,2,2),[1]Futures!$A$2:$B$12,2),1),"")</f>
        <v/>
      </c>
      <c r="S2887" s="13">
        <f>IF(AND(H2887="TO CLOSE",P2887=0),-G2887*(M2887-R2886)*IF(E2887="FUTURE",VLOOKUP(MID(I2887,2,2),[1]Futures!$A$2:$B$12,2),1),"")</f>
        <v>20.000000000010232</v>
      </c>
    </row>
    <row r="2888" spans="1:19" x14ac:dyDescent="0.2">
      <c r="A2888">
        <f t="shared" si="137"/>
        <v>940</v>
      </c>
      <c r="B2888" s="3">
        <v>44126</v>
      </c>
      <c r="C2888" s="3" t="str">
        <f t="shared" si="136"/>
        <v>Thursday</v>
      </c>
      <c r="D2888" s="2">
        <v>0.45454861111111106</v>
      </c>
      <c r="E2888" t="s">
        <v>14</v>
      </c>
      <c r="F2888" t="s">
        <v>19</v>
      </c>
      <c r="G2888">
        <v>1</v>
      </c>
      <c r="H2888" t="s">
        <v>20</v>
      </c>
      <c r="I2888" t="s">
        <v>85</v>
      </c>
      <c r="J2888" s="1">
        <v>44185</v>
      </c>
      <c r="L2888" t="s">
        <v>14</v>
      </c>
      <c r="M2888">
        <v>3420.75</v>
      </c>
      <c r="N2888">
        <v>3420.75</v>
      </c>
      <c r="O2888" t="s">
        <v>21</v>
      </c>
      <c r="P2888">
        <f t="shared" si="138"/>
        <v>1</v>
      </c>
      <c r="Q2888" s="11">
        <f>IF(P2888=0,0,IFERROR(Q2887+G2888*M2888*IF(E2888="FUTURE",VLOOKUP(MID(I2888,2,2),[1]Futures!$A$2:$B$12,2),1),G2888*M2888*IF(E2888="FUTURE",VLOOKUP(MID(I2888,2,2),[1]Futures!$A$2:$B$12,2),1)))</f>
        <v>171037.5</v>
      </c>
      <c r="R2888" s="12">
        <f>IFERROR(Q2888/P2888/IF(E2888="FUTURE",VLOOKUP(MID(I2888,2,2),[1]Futures!$A$2:$B$12,2),1),"")</f>
        <v>3420.75</v>
      </c>
      <c r="S2888" s="13" t="str">
        <f>IF(AND(H2888="TO CLOSE",P2888=0),-G2888*(M2888-R2887)*IF(E2888="FUTURE",VLOOKUP(MID(I2888,2,2),[1]Futures!$A$2:$B$12,2),1),"")</f>
        <v/>
      </c>
    </row>
    <row r="2889" spans="1:19" x14ac:dyDescent="0.2">
      <c r="A2889">
        <f t="shared" si="137"/>
        <v>940</v>
      </c>
      <c r="B2889" s="3">
        <v>44126</v>
      </c>
      <c r="C2889" s="3" t="str">
        <f t="shared" si="136"/>
        <v>Thursday</v>
      </c>
      <c r="D2889" s="2">
        <v>0.45891203703703703</v>
      </c>
      <c r="E2889" t="s">
        <v>14</v>
      </c>
      <c r="F2889" t="s">
        <v>15</v>
      </c>
      <c r="G2889">
        <v>-1</v>
      </c>
      <c r="H2889" t="s">
        <v>16</v>
      </c>
      <c r="I2889" t="s">
        <v>85</v>
      </c>
      <c r="J2889" s="1">
        <v>44185</v>
      </c>
      <c r="L2889" t="s">
        <v>14</v>
      </c>
      <c r="M2889">
        <v>3426.75</v>
      </c>
      <c r="N2889">
        <v>3426.75</v>
      </c>
      <c r="O2889" t="s">
        <v>21</v>
      </c>
      <c r="P2889">
        <f t="shared" si="138"/>
        <v>0</v>
      </c>
      <c r="Q2889" s="11">
        <f>IF(P2889=0,0,IFERROR(Q2888+G2889*M2889*IF(E2889="FUTURE",VLOOKUP(MID(I2889,2,2),[1]Futures!$A$2:$B$12,2),1),G2889*M2889*IF(E2889="FUTURE",VLOOKUP(MID(I2889,2,2),[1]Futures!$A$2:$B$12,2),1)))</f>
        <v>0</v>
      </c>
      <c r="R2889" s="12" t="str">
        <f>IFERROR(Q2889/P2889/IF(E2889="FUTURE",VLOOKUP(MID(I2889,2,2),[1]Futures!$A$2:$B$12,2),1),"")</f>
        <v/>
      </c>
      <c r="S2889" s="13">
        <f>IF(AND(H2889="TO CLOSE",P2889=0),-G2889*(M2889-R2888)*IF(E2889="FUTURE",VLOOKUP(MID(I2889,2,2),[1]Futures!$A$2:$B$12,2),1),"")</f>
        <v>300</v>
      </c>
    </row>
    <row r="2890" spans="1:19" x14ac:dyDescent="0.2">
      <c r="A2890">
        <f t="shared" si="137"/>
        <v>941</v>
      </c>
      <c r="B2890" s="3">
        <v>44126</v>
      </c>
      <c r="C2890" s="3" t="str">
        <f t="shared" si="136"/>
        <v>Thursday</v>
      </c>
      <c r="D2890" s="2">
        <v>0.52094907407407409</v>
      </c>
      <c r="E2890" t="s">
        <v>14</v>
      </c>
      <c r="F2890" t="s">
        <v>19</v>
      </c>
      <c r="G2890">
        <v>1</v>
      </c>
      <c r="H2890" t="s">
        <v>20</v>
      </c>
      <c r="I2890" t="s">
        <v>85</v>
      </c>
      <c r="J2890" s="1">
        <v>44185</v>
      </c>
      <c r="L2890" t="s">
        <v>14</v>
      </c>
      <c r="M2890">
        <v>3426</v>
      </c>
      <c r="N2890">
        <v>3426</v>
      </c>
      <c r="O2890" t="s">
        <v>21</v>
      </c>
      <c r="P2890">
        <f t="shared" si="138"/>
        <v>1</v>
      </c>
      <c r="Q2890" s="11">
        <f>IF(P2890=0,0,IFERROR(Q2889+G2890*M2890*IF(E2890="FUTURE",VLOOKUP(MID(I2890,2,2),[1]Futures!$A$2:$B$12,2),1),G2890*M2890*IF(E2890="FUTURE",VLOOKUP(MID(I2890,2,2),[1]Futures!$A$2:$B$12,2),1)))</f>
        <v>171300</v>
      </c>
      <c r="R2890" s="12">
        <f>IFERROR(Q2890/P2890/IF(E2890="FUTURE",VLOOKUP(MID(I2890,2,2),[1]Futures!$A$2:$B$12,2),1),"")</f>
        <v>3426</v>
      </c>
      <c r="S2890" s="13" t="str">
        <f>IF(AND(H2890="TO CLOSE",P2890=0),-G2890*(M2890-R2889)*IF(E2890="FUTURE",VLOOKUP(MID(I2890,2,2),[1]Futures!$A$2:$B$12,2),1),"")</f>
        <v/>
      </c>
    </row>
    <row r="2891" spans="1:19" x14ac:dyDescent="0.2">
      <c r="A2891">
        <f t="shared" si="137"/>
        <v>941</v>
      </c>
      <c r="B2891" s="3">
        <v>44126</v>
      </c>
      <c r="C2891" s="3" t="str">
        <f t="shared" si="136"/>
        <v>Thursday</v>
      </c>
      <c r="D2891" s="2">
        <v>0.53874999999999995</v>
      </c>
      <c r="E2891" t="s">
        <v>14</v>
      </c>
      <c r="F2891" t="s">
        <v>15</v>
      </c>
      <c r="G2891">
        <v>-1</v>
      </c>
      <c r="H2891" t="s">
        <v>16</v>
      </c>
      <c r="I2891" t="s">
        <v>85</v>
      </c>
      <c r="J2891" s="1">
        <v>44185</v>
      </c>
      <c r="L2891" t="s">
        <v>14</v>
      </c>
      <c r="M2891">
        <v>3430</v>
      </c>
      <c r="N2891">
        <v>3430</v>
      </c>
      <c r="O2891" t="s">
        <v>21</v>
      </c>
      <c r="P2891">
        <f t="shared" si="138"/>
        <v>0</v>
      </c>
      <c r="Q2891" s="11">
        <f>IF(P2891=0,0,IFERROR(Q2890+G2891*M2891*IF(E2891="FUTURE",VLOOKUP(MID(I2891,2,2),[1]Futures!$A$2:$B$12,2),1),G2891*M2891*IF(E2891="FUTURE",VLOOKUP(MID(I2891,2,2),[1]Futures!$A$2:$B$12,2),1)))</f>
        <v>0</v>
      </c>
      <c r="R2891" s="12" t="str">
        <f>IFERROR(Q2891/P2891/IF(E2891="FUTURE",VLOOKUP(MID(I2891,2,2),[1]Futures!$A$2:$B$12,2),1),"")</f>
        <v/>
      </c>
      <c r="S2891" s="13">
        <f>IF(AND(H2891="TO CLOSE",P2891=0),-G2891*(M2891-R2890)*IF(E2891="FUTURE",VLOOKUP(MID(I2891,2,2),[1]Futures!$A$2:$B$12,2),1),"")</f>
        <v>200</v>
      </c>
    </row>
    <row r="2892" spans="1:19" x14ac:dyDescent="0.2">
      <c r="A2892">
        <f t="shared" si="137"/>
        <v>942</v>
      </c>
      <c r="B2892" s="3">
        <v>44126</v>
      </c>
      <c r="C2892" s="3" t="str">
        <f t="shared" si="136"/>
        <v>Thursday</v>
      </c>
      <c r="D2892" s="2">
        <v>0.39515046296296297</v>
      </c>
      <c r="E2892" t="s">
        <v>22</v>
      </c>
      <c r="F2892" t="s">
        <v>15</v>
      </c>
      <c r="G2892">
        <v>-400</v>
      </c>
      <c r="H2892" t="s">
        <v>20</v>
      </c>
      <c r="I2892" t="s">
        <v>23</v>
      </c>
      <c r="L2892" t="s">
        <v>22</v>
      </c>
      <c r="M2892">
        <v>22.63</v>
      </c>
      <c r="N2892">
        <v>22.63</v>
      </c>
      <c r="O2892" t="s">
        <v>21</v>
      </c>
      <c r="P2892">
        <f t="shared" si="138"/>
        <v>-400</v>
      </c>
      <c r="Q2892" s="11">
        <f>IF(P2892=0,0,IFERROR(Q2891+G2892*M2892*IF(E2892="FUTURE",VLOOKUP(MID(I2892,2,2),[1]Futures!$A$2:$B$12,2),1),G2892*M2892*IF(E2892="FUTURE",VLOOKUP(MID(I2892,2,2),[1]Futures!$A$2:$B$12,2),1)))</f>
        <v>-9052</v>
      </c>
      <c r="R2892" s="12">
        <f>IFERROR(Q2892/P2892/IF(E2892="FUTURE",VLOOKUP(MID(I2892,2,2),[1]Futures!$A$2:$B$12,2),1),"")</f>
        <v>22.63</v>
      </c>
      <c r="S2892" s="13" t="str">
        <f>IF(AND(H2892="TO CLOSE",P2892=0),-G2892*(M2892-R2891)*IF(E2892="FUTURE",VLOOKUP(MID(I2892,2,2),[1]Futures!$A$2:$B$12,2),1),"")</f>
        <v/>
      </c>
    </row>
    <row r="2893" spans="1:19" x14ac:dyDescent="0.2">
      <c r="A2893">
        <f t="shared" si="137"/>
        <v>942</v>
      </c>
      <c r="B2893" s="3">
        <v>44126</v>
      </c>
      <c r="C2893" s="3" t="str">
        <f t="shared" si="136"/>
        <v>Thursday</v>
      </c>
      <c r="D2893" s="2">
        <v>0.40703703703703703</v>
      </c>
      <c r="E2893" t="s">
        <v>22</v>
      </c>
      <c r="F2893" t="s">
        <v>19</v>
      </c>
      <c r="G2893">
        <v>400</v>
      </c>
      <c r="H2893" t="s">
        <v>16</v>
      </c>
      <c r="I2893" t="s">
        <v>23</v>
      </c>
      <c r="L2893" t="s">
        <v>22</v>
      </c>
      <c r="M2893">
        <v>22.6099</v>
      </c>
      <c r="N2893">
        <v>22.6099</v>
      </c>
      <c r="O2893" t="s">
        <v>21</v>
      </c>
      <c r="P2893">
        <f t="shared" si="138"/>
        <v>0</v>
      </c>
      <c r="Q2893" s="11">
        <f>IF(P2893=0,0,IFERROR(Q2892+G2893*M2893*IF(E2893="FUTURE",VLOOKUP(MID(I2893,2,2),[1]Futures!$A$2:$B$12,2),1),G2893*M2893*IF(E2893="FUTURE",VLOOKUP(MID(I2893,2,2),[1]Futures!$A$2:$B$12,2),1)))</f>
        <v>0</v>
      </c>
      <c r="R2893" s="12" t="str">
        <f>IFERROR(Q2893/P2893/IF(E2893="FUTURE",VLOOKUP(MID(I2893,2,2),[1]Futures!$A$2:$B$12,2),1),"")</f>
        <v/>
      </c>
      <c r="S2893" s="13">
        <f>IF(AND(H2893="TO CLOSE",P2893=0),-G2893*(M2893-R2892)*IF(E2893="FUTURE",VLOOKUP(MID(I2893,2,2),[1]Futures!$A$2:$B$12,2),1),"")</f>
        <v>8.0399999999997362</v>
      </c>
    </row>
    <row r="2894" spans="1:19" x14ac:dyDescent="0.2">
      <c r="A2894">
        <f t="shared" si="137"/>
        <v>943</v>
      </c>
      <c r="B2894" s="3">
        <v>44127</v>
      </c>
      <c r="C2894" s="3" t="str">
        <f t="shared" si="136"/>
        <v>Friday</v>
      </c>
      <c r="D2894" s="2">
        <v>0.37829861111111113</v>
      </c>
      <c r="E2894" t="s">
        <v>14</v>
      </c>
      <c r="F2894" t="s">
        <v>19</v>
      </c>
      <c r="G2894">
        <v>1</v>
      </c>
      <c r="H2894" t="s">
        <v>20</v>
      </c>
      <c r="I2894" t="s">
        <v>86</v>
      </c>
      <c r="J2894" s="1">
        <v>44185</v>
      </c>
      <c r="L2894" t="s">
        <v>14</v>
      </c>
      <c r="M2894">
        <v>40.880000000000003</v>
      </c>
      <c r="N2894">
        <v>40.880000000000003</v>
      </c>
      <c r="O2894" t="s">
        <v>21</v>
      </c>
      <c r="P2894">
        <f t="shared" si="138"/>
        <v>1</v>
      </c>
      <c r="Q2894" s="11">
        <f>IF(P2894=0,0,IFERROR(Q2893+G2894*M2894*IF(E2894="FUTURE",VLOOKUP(MID(I2894,2,2),[1]Futures!$A$2:$B$12,2),1),G2894*M2894*IF(E2894="FUTURE",VLOOKUP(MID(I2894,2,2),[1]Futures!$A$2:$B$12,2),1)))</f>
        <v>40880</v>
      </c>
      <c r="R2894" s="12">
        <f>IFERROR(Q2894/P2894/IF(E2894="FUTURE",VLOOKUP(MID(I2894,2,2),[1]Futures!$A$2:$B$12,2),1),"")</f>
        <v>40.880000000000003</v>
      </c>
      <c r="S2894" s="13" t="str">
        <f>IF(AND(H2894="TO CLOSE",P2894=0),-G2894*(M2894-R2893)*IF(E2894="FUTURE",VLOOKUP(MID(I2894,2,2),[1]Futures!$A$2:$B$12,2),1),"")</f>
        <v/>
      </c>
    </row>
    <row r="2895" spans="1:19" x14ac:dyDescent="0.2">
      <c r="A2895">
        <f t="shared" si="137"/>
        <v>943</v>
      </c>
      <c r="B2895" s="3">
        <v>44127</v>
      </c>
      <c r="C2895" s="3" t="str">
        <f t="shared" si="136"/>
        <v>Friday</v>
      </c>
      <c r="D2895" s="2">
        <v>0.37829861111111113</v>
      </c>
      <c r="E2895" t="s">
        <v>14</v>
      </c>
      <c r="F2895" t="s">
        <v>19</v>
      </c>
      <c r="G2895">
        <v>1</v>
      </c>
      <c r="H2895" t="s">
        <v>20</v>
      </c>
      <c r="I2895" t="s">
        <v>86</v>
      </c>
      <c r="J2895" s="1">
        <v>44185</v>
      </c>
      <c r="L2895" t="s">
        <v>14</v>
      </c>
      <c r="M2895">
        <v>40.880000000000003</v>
      </c>
      <c r="N2895">
        <v>40.880000000000003</v>
      </c>
      <c r="O2895" t="s">
        <v>21</v>
      </c>
      <c r="P2895">
        <f t="shared" si="138"/>
        <v>2</v>
      </c>
      <c r="Q2895" s="11">
        <f>IF(P2895=0,0,IFERROR(Q2894+G2895*M2895*IF(E2895="FUTURE",VLOOKUP(MID(I2895,2,2),[1]Futures!$A$2:$B$12,2),1),G2895*M2895*IF(E2895="FUTURE",VLOOKUP(MID(I2895,2,2),[1]Futures!$A$2:$B$12,2),1)))</f>
        <v>81760</v>
      </c>
      <c r="R2895" s="12">
        <f>IFERROR(Q2895/P2895/IF(E2895="FUTURE",VLOOKUP(MID(I2895,2,2),[1]Futures!$A$2:$B$12,2),1),"")</f>
        <v>40.880000000000003</v>
      </c>
      <c r="S2895" s="13" t="str">
        <f>IF(AND(H2895="TO CLOSE",P2895=0),-G2895*(M2895-R2894)*IF(E2895="FUTURE",VLOOKUP(MID(I2895,2,2),[1]Futures!$A$2:$B$12,2),1),"")</f>
        <v/>
      </c>
    </row>
    <row r="2896" spans="1:19" x14ac:dyDescent="0.2">
      <c r="A2896">
        <f t="shared" si="137"/>
        <v>943</v>
      </c>
      <c r="B2896" s="3">
        <v>44127</v>
      </c>
      <c r="C2896" s="3" t="str">
        <f t="shared" si="136"/>
        <v>Friday</v>
      </c>
      <c r="D2896" s="2">
        <v>0.49738425925925928</v>
      </c>
      <c r="E2896" t="s">
        <v>14</v>
      </c>
      <c r="F2896" t="s">
        <v>15</v>
      </c>
      <c r="G2896">
        <v>-1</v>
      </c>
      <c r="H2896" t="s">
        <v>16</v>
      </c>
      <c r="I2896" t="s">
        <v>86</v>
      </c>
      <c r="J2896" s="1">
        <v>44185</v>
      </c>
      <c r="L2896" t="s">
        <v>14</v>
      </c>
      <c r="M2896">
        <v>40.1</v>
      </c>
      <c r="N2896">
        <v>40.1</v>
      </c>
      <c r="O2896" t="s">
        <v>21</v>
      </c>
      <c r="P2896">
        <f t="shared" si="138"/>
        <v>1</v>
      </c>
      <c r="Q2896" s="11">
        <f>IF(P2896=0,0,IFERROR(Q2895+G2896*M2896*IF(E2896="FUTURE",VLOOKUP(MID(I2896,2,2),[1]Futures!$A$2:$B$12,2),1),G2896*M2896*IF(E2896="FUTURE",VLOOKUP(MID(I2896,2,2),[1]Futures!$A$2:$B$12,2),1)))</f>
        <v>41660</v>
      </c>
      <c r="R2896" s="12">
        <f>IFERROR(Q2896/P2896/IF(E2896="FUTURE",VLOOKUP(MID(I2896,2,2),[1]Futures!$A$2:$B$12,2),1),"")</f>
        <v>41.66</v>
      </c>
      <c r="S2896" s="13" t="str">
        <f>IF(AND(H2896="TO CLOSE",P2896=0),-G2896*(M2896-R2895)*IF(E2896="FUTURE",VLOOKUP(MID(I2896,2,2),[1]Futures!$A$2:$B$12,2),1),"")</f>
        <v/>
      </c>
    </row>
    <row r="2897" spans="1:19" x14ac:dyDescent="0.2">
      <c r="A2897">
        <f t="shared" si="137"/>
        <v>943</v>
      </c>
      <c r="B2897" s="3">
        <v>44127</v>
      </c>
      <c r="C2897" s="3" t="str">
        <f t="shared" si="136"/>
        <v>Friday</v>
      </c>
      <c r="D2897" s="2">
        <v>0.49783564814814812</v>
      </c>
      <c r="E2897" t="s">
        <v>14</v>
      </c>
      <c r="F2897" t="s">
        <v>15</v>
      </c>
      <c r="G2897">
        <v>-1</v>
      </c>
      <c r="H2897" t="s">
        <v>16</v>
      </c>
      <c r="I2897" t="s">
        <v>86</v>
      </c>
      <c r="J2897" s="1">
        <v>44185</v>
      </c>
      <c r="L2897" t="s">
        <v>14</v>
      </c>
      <c r="M2897">
        <v>40.159999999999997</v>
      </c>
      <c r="N2897">
        <v>40.159999999999997</v>
      </c>
      <c r="O2897" t="s">
        <v>21</v>
      </c>
      <c r="P2897">
        <f t="shared" si="138"/>
        <v>0</v>
      </c>
      <c r="Q2897" s="11">
        <f>IF(P2897=0,0,IFERROR(Q2896+G2897*M2897*IF(E2897="FUTURE",VLOOKUP(MID(I2897,2,2),[1]Futures!$A$2:$B$12,2),1),G2897*M2897*IF(E2897="FUTURE",VLOOKUP(MID(I2897,2,2),[1]Futures!$A$2:$B$12,2),1)))</f>
        <v>0</v>
      </c>
      <c r="R2897" s="12" t="str">
        <f>IFERROR(Q2897/P2897/IF(E2897="FUTURE",VLOOKUP(MID(I2897,2,2),[1]Futures!$A$2:$B$12,2),1),"")</f>
        <v/>
      </c>
      <c r="S2897" s="13">
        <f>IF(AND(H2897="TO CLOSE",P2897=0),-G2897*(M2897-R2896)*IF(E2897="FUTURE",VLOOKUP(MID(I2897,2,2),[1]Futures!$A$2:$B$12,2),1),"")</f>
        <v>-1500</v>
      </c>
    </row>
    <row r="2898" spans="1:19" x14ac:dyDescent="0.2">
      <c r="A2898">
        <f t="shared" si="137"/>
        <v>944</v>
      </c>
      <c r="B2898" s="3">
        <v>44127</v>
      </c>
      <c r="C2898" s="3" t="str">
        <f t="shared" si="136"/>
        <v>Friday</v>
      </c>
      <c r="D2898" s="2">
        <v>0.50031250000000005</v>
      </c>
      <c r="E2898" t="s">
        <v>14</v>
      </c>
      <c r="F2898" t="s">
        <v>19</v>
      </c>
      <c r="G2898">
        <v>1</v>
      </c>
      <c r="H2898" t="s">
        <v>20</v>
      </c>
      <c r="I2898" t="s">
        <v>85</v>
      </c>
      <c r="J2898" s="1">
        <v>44185</v>
      </c>
      <c r="L2898" t="s">
        <v>14</v>
      </c>
      <c r="M2898">
        <v>3441.25</v>
      </c>
      <c r="N2898">
        <v>3441.25</v>
      </c>
      <c r="O2898" t="s">
        <v>24</v>
      </c>
      <c r="P2898">
        <f t="shared" si="138"/>
        <v>1</v>
      </c>
      <c r="Q2898" s="11">
        <f>IF(P2898=0,0,IFERROR(Q2897+G2898*M2898*IF(E2898="FUTURE",VLOOKUP(MID(I2898,2,2),[1]Futures!$A$2:$B$12,2),1),G2898*M2898*IF(E2898="FUTURE",VLOOKUP(MID(I2898,2,2),[1]Futures!$A$2:$B$12,2),1)))</f>
        <v>172062.5</v>
      </c>
      <c r="R2898" s="12">
        <f>IFERROR(Q2898/P2898/IF(E2898="FUTURE",VLOOKUP(MID(I2898,2,2),[1]Futures!$A$2:$B$12,2),1),"")</f>
        <v>3441.25</v>
      </c>
      <c r="S2898" s="13" t="str">
        <f>IF(AND(H2898="TO CLOSE",P2898=0),-G2898*(M2898-R2897)*IF(E2898="FUTURE",VLOOKUP(MID(I2898,2,2),[1]Futures!$A$2:$B$12,2),1),"")</f>
        <v/>
      </c>
    </row>
    <row r="2899" spans="1:19" x14ac:dyDescent="0.2">
      <c r="A2899">
        <f t="shared" si="137"/>
        <v>944</v>
      </c>
      <c r="B2899" s="3">
        <v>44127</v>
      </c>
      <c r="C2899" s="3" t="str">
        <f t="shared" si="136"/>
        <v>Friday</v>
      </c>
      <c r="D2899" s="2">
        <v>0.58224537037037039</v>
      </c>
      <c r="E2899" t="s">
        <v>14</v>
      </c>
      <c r="F2899" t="s">
        <v>15</v>
      </c>
      <c r="G2899">
        <v>-1</v>
      </c>
      <c r="H2899" t="s">
        <v>16</v>
      </c>
      <c r="I2899" t="s">
        <v>85</v>
      </c>
      <c r="J2899" s="1">
        <v>44185</v>
      </c>
      <c r="L2899" t="s">
        <v>14</v>
      </c>
      <c r="M2899">
        <v>3445.25</v>
      </c>
      <c r="N2899">
        <v>3445.25</v>
      </c>
      <c r="O2899" t="s">
        <v>21</v>
      </c>
      <c r="P2899">
        <f t="shared" si="138"/>
        <v>0</v>
      </c>
      <c r="Q2899" s="11">
        <f>IF(P2899=0,0,IFERROR(Q2898+G2899*M2899*IF(E2899="FUTURE",VLOOKUP(MID(I2899,2,2),[1]Futures!$A$2:$B$12,2),1),G2899*M2899*IF(E2899="FUTURE",VLOOKUP(MID(I2899,2,2),[1]Futures!$A$2:$B$12,2),1)))</f>
        <v>0</v>
      </c>
      <c r="R2899" s="12" t="str">
        <f>IFERROR(Q2899/P2899/IF(E2899="FUTURE",VLOOKUP(MID(I2899,2,2),[1]Futures!$A$2:$B$12,2),1),"")</f>
        <v/>
      </c>
      <c r="S2899" s="13">
        <f>IF(AND(H2899="TO CLOSE",P2899=0),-G2899*(M2899-R2898)*IF(E2899="FUTURE",VLOOKUP(MID(I2899,2,2),[1]Futures!$A$2:$B$12,2),1),"")</f>
        <v>200</v>
      </c>
    </row>
    <row r="2900" spans="1:19" x14ac:dyDescent="0.2">
      <c r="A2900">
        <f t="shared" si="137"/>
        <v>945</v>
      </c>
      <c r="B2900" s="3">
        <v>44127</v>
      </c>
      <c r="C2900" s="3" t="str">
        <f t="shared" si="136"/>
        <v>Friday</v>
      </c>
      <c r="D2900" s="2">
        <v>0.4291550925925926</v>
      </c>
      <c r="E2900" t="s">
        <v>22</v>
      </c>
      <c r="F2900" t="s">
        <v>15</v>
      </c>
      <c r="G2900">
        <v>-400</v>
      </c>
      <c r="H2900" t="s">
        <v>20</v>
      </c>
      <c r="I2900" t="s">
        <v>23</v>
      </c>
      <c r="L2900" t="s">
        <v>22</v>
      </c>
      <c r="M2900">
        <v>22.385000000000002</v>
      </c>
      <c r="N2900">
        <v>22.385000000000002</v>
      </c>
      <c r="O2900" t="s">
        <v>21</v>
      </c>
      <c r="P2900">
        <f t="shared" si="138"/>
        <v>-400</v>
      </c>
      <c r="Q2900" s="11">
        <f>IF(P2900=0,0,IFERROR(Q2899+G2900*M2900*IF(E2900="FUTURE",VLOOKUP(MID(I2900,2,2),[1]Futures!$A$2:$B$12,2),1),G2900*M2900*IF(E2900="FUTURE",VLOOKUP(MID(I2900,2,2),[1]Futures!$A$2:$B$12,2),1)))</f>
        <v>-8954</v>
      </c>
      <c r="R2900" s="12">
        <f>IFERROR(Q2900/P2900/IF(E2900="FUTURE",VLOOKUP(MID(I2900,2,2),[1]Futures!$A$2:$B$12,2),1),"")</f>
        <v>22.385000000000002</v>
      </c>
      <c r="S2900" s="13" t="str">
        <f>IF(AND(H2900="TO CLOSE",P2900=0),-G2900*(M2900-R2899)*IF(E2900="FUTURE",VLOOKUP(MID(I2900,2,2),[1]Futures!$A$2:$B$12,2),1),"")</f>
        <v/>
      </c>
    </row>
    <row r="2901" spans="1:19" x14ac:dyDescent="0.2">
      <c r="A2901">
        <f t="shared" si="137"/>
        <v>945</v>
      </c>
      <c r="B2901" s="3">
        <v>44127</v>
      </c>
      <c r="C2901" s="3" t="str">
        <f t="shared" si="136"/>
        <v>Friday</v>
      </c>
      <c r="D2901" s="2">
        <v>0.43464120370370374</v>
      </c>
      <c r="E2901" t="s">
        <v>22</v>
      </c>
      <c r="F2901" t="s">
        <v>15</v>
      </c>
      <c r="G2901">
        <v>-100</v>
      </c>
      <c r="H2901" t="s">
        <v>20</v>
      </c>
      <c r="I2901" t="s">
        <v>23</v>
      </c>
      <c r="L2901" t="s">
        <v>22</v>
      </c>
      <c r="M2901">
        <v>22.524999999999999</v>
      </c>
      <c r="N2901">
        <v>22.524999999999999</v>
      </c>
      <c r="O2901" t="s">
        <v>21</v>
      </c>
      <c r="P2901">
        <f t="shared" si="138"/>
        <v>-500</v>
      </c>
      <c r="Q2901" s="11">
        <f>IF(P2901=0,0,IFERROR(Q2900+G2901*M2901*IF(E2901="FUTURE",VLOOKUP(MID(I2901,2,2),[1]Futures!$A$2:$B$12,2),1),G2901*M2901*IF(E2901="FUTURE",VLOOKUP(MID(I2901,2,2),[1]Futures!$A$2:$B$12,2),1)))</f>
        <v>-11206.5</v>
      </c>
      <c r="R2901" s="12">
        <f>IFERROR(Q2901/P2901/IF(E2901="FUTURE",VLOOKUP(MID(I2901,2,2),[1]Futures!$A$2:$B$12,2),1),"")</f>
        <v>22.413</v>
      </c>
      <c r="S2901" s="13" t="str">
        <f>IF(AND(H2901="TO CLOSE",P2901=0),-G2901*(M2901-R2900)*IF(E2901="FUTURE",VLOOKUP(MID(I2901,2,2),[1]Futures!$A$2:$B$12,2),1),"")</f>
        <v/>
      </c>
    </row>
    <row r="2902" spans="1:19" x14ac:dyDescent="0.2">
      <c r="A2902">
        <f t="shared" si="137"/>
        <v>945</v>
      </c>
      <c r="B2902" s="3">
        <v>44127</v>
      </c>
      <c r="C2902" s="3" t="str">
        <f t="shared" si="136"/>
        <v>Friday</v>
      </c>
      <c r="D2902" s="2">
        <v>0.56444444444444442</v>
      </c>
      <c r="E2902" t="s">
        <v>22</v>
      </c>
      <c r="F2902" t="s">
        <v>19</v>
      </c>
      <c r="G2902">
        <v>100</v>
      </c>
      <c r="H2902" t="s">
        <v>16</v>
      </c>
      <c r="I2902" t="s">
        <v>23</v>
      </c>
      <c r="L2902" t="s">
        <v>22</v>
      </c>
      <c r="M2902">
        <v>22.32</v>
      </c>
      <c r="N2902">
        <v>22.32</v>
      </c>
      <c r="O2902" t="s">
        <v>21</v>
      </c>
      <c r="P2902">
        <f t="shared" si="138"/>
        <v>-400</v>
      </c>
      <c r="Q2902" s="11">
        <f>IF(P2902=0,0,IFERROR(Q2901+G2902*M2902*IF(E2902="FUTURE",VLOOKUP(MID(I2902,2,2),[1]Futures!$A$2:$B$12,2),1),G2902*M2902*IF(E2902="FUTURE",VLOOKUP(MID(I2902,2,2),[1]Futures!$A$2:$B$12,2),1)))</f>
        <v>-8974.5</v>
      </c>
      <c r="R2902" s="12">
        <f>IFERROR(Q2902/P2902/IF(E2902="FUTURE",VLOOKUP(MID(I2902,2,2),[1]Futures!$A$2:$B$12,2),1),"")</f>
        <v>22.436250000000001</v>
      </c>
      <c r="S2902" s="13" t="str">
        <f>IF(AND(H2902="TO CLOSE",P2902=0),-G2902*(M2902-R2901)*IF(E2902="FUTURE",VLOOKUP(MID(I2902,2,2),[1]Futures!$A$2:$B$12,2),1),"")</f>
        <v/>
      </c>
    </row>
    <row r="2903" spans="1:19" x14ac:dyDescent="0.2">
      <c r="A2903">
        <f t="shared" si="137"/>
        <v>945</v>
      </c>
      <c r="B2903" s="3">
        <v>44127</v>
      </c>
      <c r="C2903" s="3" t="str">
        <f t="shared" si="136"/>
        <v>Friday</v>
      </c>
      <c r="D2903" s="2">
        <v>0.56444444444444442</v>
      </c>
      <c r="E2903" t="s">
        <v>22</v>
      </c>
      <c r="F2903" t="s">
        <v>19</v>
      </c>
      <c r="G2903">
        <v>100</v>
      </c>
      <c r="H2903" t="s">
        <v>16</v>
      </c>
      <c r="I2903" t="s">
        <v>23</v>
      </c>
      <c r="L2903" t="s">
        <v>22</v>
      </c>
      <c r="M2903">
        <v>22.32</v>
      </c>
      <c r="N2903">
        <v>22.32</v>
      </c>
      <c r="O2903" t="s">
        <v>21</v>
      </c>
      <c r="P2903">
        <f t="shared" si="138"/>
        <v>-300</v>
      </c>
      <c r="Q2903" s="11">
        <f>IF(P2903=0,0,IFERROR(Q2902+G2903*M2903*IF(E2903="FUTURE",VLOOKUP(MID(I2903,2,2),[1]Futures!$A$2:$B$12,2),1),G2903*M2903*IF(E2903="FUTURE",VLOOKUP(MID(I2903,2,2),[1]Futures!$A$2:$B$12,2),1)))</f>
        <v>-6742.5</v>
      </c>
      <c r="R2903" s="12">
        <f>IFERROR(Q2903/P2903/IF(E2903="FUTURE",VLOOKUP(MID(I2903,2,2),[1]Futures!$A$2:$B$12,2),1),"")</f>
        <v>22.475000000000001</v>
      </c>
      <c r="S2903" s="13" t="str">
        <f>IF(AND(H2903="TO CLOSE",P2903=0),-G2903*(M2903-R2902)*IF(E2903="FUTURE",VLOOKUP(MID(I2903,2,2),[1]Futures!$A$2:$B$12,2),1),"")</f>
        <v/>
      </c>
    </row>
    <row r="2904" spans="1:19" x14ac:dyDescent="0.2">
      <c r="A2904">
        <f t="shared" si="137"/>
        <v>945</v>
      </c>
      <c r="B2904" s="3">
        <v>44127</v>
      </c>
      <c r="C2904" s="3" t="str">
        <f t="shared" si="136"/>
        <v>Friday</v>
      </c>
      <c r="D2904" s="2">
        <v>0.57406250000000003</v>
      </c>
      <c r="E2904" t="s">
        <v>22</v>
      </c>
      <c r="F2904" t="s">
        <v>19</v>
      </c>
      <c r="G2904">
        <v>100</v>
      </c>
      <c r="H2904" t="s">
        <v>16</v>
      </c>
      <c r="I2904" t="s">
        <v>23</v>
      </c>
      <c r="L2904" t="s">
        <v>22</v>
      </c>
      <c r="M2904">
        <v>22.27</v>
      </c>
      <c r="N2904">
        <v>22.27</v>
      </c>
      <c r="O2904" t="s">
        <v>21</v>
      </c>
      <c r="P2904">
        <f t="shared" si="138"/>
        <v>-200</v>
      </c>
      <c r="Q2904" s="11">
        <f>IF(P2904=0,0,IFERROR(Q2903+G2904*M2904*IF(E2904="FUTURE",VLOOKUP(MID(I2904,2,2),[1]Futures!$A$2:$B$12,2),1),G2904*M2904*IF(E2904="FUTURE",VLOOKUP(MID(I2904,2,2),[1]Futures!$A$2:$B$12,2),1)))</f>
        <v>-4515.5</v>
      </c>
      <c r="R2904" s="12">
        <f>IFERROR(Q2904/P2904/IF(E2904="FUTURE",VLOOKUP(MID(I2904,2,2),[1]Futures!$A$2:$B$12,2),1),"")</f>
        <v>22.577500000000001</v>
      </c>
      <c r="S2904" s="13" t="str">
        <f>IF(AND(H2904="TO CLOSE",P2904=0),-G2904*(M2904-R2903)*IF(E2904="FUTURE",VLOOKUP(MID(I2904,2,2),[1]Futures!$A$2:$B$12,2),1),"")</f>
        <v/>
      </c>
    </row>
    <row r="2905" spans="1:19" x14ac:dyDescent="0.2">
      <c r="A2905">
        <f t="shared" si="137"/>
        <v>945</v>
      </c>
      <c r="B2905" s="3">
        <v>44127</v>
      </c>
      <c r="C2905" s="3" t="str">
        <f t="shared" si="136"/>
        <v>Friday</v>
      </c>
      <c r="D2905" s="2">
        <v>0.57743055555555556</v>
      </c>
      <c r="E2905" t="s">
        <v>22</v>
      </c>
      <c r="F2905" t="s">
        <v>19</v>
      </c>
      <c r="G2905">
        <v>100</v>
      </c>
      <c r="H2905" t="s">
        <v>16</v>
      </c>
      <c r="I2905" t="s">
        <v>23</v>
      </c>
      <c r="L2905" t="s">
        <v>22</v>
      </c>
      <c r="M2905">
        <v>22.23</v>
      </c>
      <c r="N2905">
        <v>22.23</v>
      </c>
      <c r="O2905" t="s">
        <v>21</v>
      </c>
      <c r="P2905">
        <f t="shared" si="138"/>
        <v>-100</v>
      </c>
      <c r="Q2905" s="11">
        <f>IF(P2905=0,0,IFERROR(Q2904+G2905*M2905*IF(E2905="FUTURE",VLOOKUP(MID(I2905,2,2),[1]Futures!$A$2:$B$12,2),1),G2905*M2905*IF(E2905="FUTURE",VLOOKUP(MID(I2905,2,2),[1]Futures!$A$2:$B$12,2),1)))</f>
        <v>-2292.5</v>
      </c>
      <c r="R2905" s="12">
        <f>IFERROR(Q2905/P2905/IF(E2905="FUTURE",VLOOKUP(MID(I2905,2,2),[1]Futures!$A$2:$B$12,2),1),"")</f>
        <v>22.925000000000001</v>
      </c>
      <c r="S2905" s="13" t="str">
        <f>IF(AND(H2905="TO CLOSE",P2905=0),-G2905*(M2905-R2904)*IF(E2905="FUTURE",VLOOKUP(MID(I2905,2,2),[1]Futures!$A$2:$B$12,2),1),"")</f>
        <v/>
      </c>
    </row>
    <row r="2906" spans="1:19" x14ac:dyDescent="0.2">
      <c r="A2906">
        <f t="shared" si="137"/>
        <v>945</v>
      </c>
      <c r="B2906" s="3">
        <v>44127</v>
      </c>
      <c r="C2906" s="3" t="str">
        <f t="shared" si="136"/>
        <v>Friday</v>
      </c>
      <c r="D2906" s="2">
        <v>0.58253472222222225</v>
      </c>
      <c r="E2906" t="s">
        <v>22</v>
      </c>
      <c r="F2906" t="s">
        <v>19</v>
      </c>
      <c r="G2906">
        <v>100</v>
      </c>
      <c r="H2906" t="s">
        <v>16</v>
      </c>
      <c r="I2906" t="s">
        <v>23</v>
      </c>
      <c r="L2906" t="s">
        <v>22</v>
      </c>
      <c r="M2906">
        <v>22.239899999999999</v>
      </c>
      <c r="N2906">
        <v>22.239899999999999</v>
      </c>
      <c r="O2906" t="s">
        <v>24</v>
      </c>
      <c r="P2906">
        <f t="shared" si="138"/>
        <v>0</v>
      </c>
      <c r="Q2906" s="11">
        <f>IF(P2906=0,0,IFERROR(Q2905+G2906*M2906*IF(E2906="FUTURE",VLOOKUP(MID(I2906,2,2),[1]Futures!$A$2:$B$12,2),1),G2906*M2906*IF(E2906="FUTURE",VLOOKUP(MID(I2906,2,2),[1]Futures!$A$2:$B$12,2),1)))</f>
        <v>0</v>
      </c>
      <c r="R2906" s="12" t="str">
        <f>IFERROR(Q2906/P2906/IF(E2906="FUTURE",VLOOKUP(MID(I2906,2,2),[1]Futures!$A$2:$B$12,2),1),"")</f>
        <v/>
      </c>
      <c r="S2906" s="13">
        <f>IF(AND(H2906="TO CLOSE",P2906=0),-G2906*(M2906-R2905)*IF(E2906="FUTURE",VLOOKUP(MID(I2906,2,2),[1]Futures!$A$2:$B$12,2),1),"")</f>
        <v>68.510000000000204</v>
      </c>
    </row>
    <row r="2907" spans="1:19" x14ac:dyDescent="0.2">
      <c r="A2907">
        <f t="shared" si="137"/>
        <v>946</v>
      </c>
      <c r="B2907" s="3">
        <v>44130</v>
      </c>
      <c r="C2907" s="3" t="str">
        <f t="shared" si="136"/>
        <v>Monday</v>
      </c>
      <c r="D2907" s="2">
        <v>0.38026620370370368</v>
      </c>
      <c r="E2907" t="s">
        <v>14</v>
      </c>
      <c r="F2907" t="s">
        <v>15</v>
      </c>
      <c r="G2907">
        <v>-1</v>
      </c>
      <c r="H2907" t="s">
        <v>20</v>
      </c>
      <c r="I2907" t="s">
        <v>86</v>
      </c>
      <c r="J2907" s="1">
        <v>44185</v>
      </c>
      <c r="L2907" t="s">
        <v>14</v>
      </c>
      <c r="M2907">
        <v>38.78</v>
      </c>
      <c r="N2907">
        <v>38.78</v>
      </c>
      <c r="O2907" t="s">
        <v>21</v>
      </c>
      <c r="P2907">
        <f t="shared" si="138"/>
        <v>-1</v>
      </c>
      <c r="Q2907" s="11">
        <f>IF(P2907=0,0,IFERROR(Q2906+G2907*M2907*IF(E2907="FUTURE",VLOOKUP(MID(I2907,2,2),[1]Futures!$A$2:$B$12,2),1),G2907*M2907*IF(E2907="FUTURE",VLOOKUP(MID(I2907,2,2),[1]Futures!$A$2:$B$12,2),1)))</f>
        <v>-38780</v>
      </c>
      <c r="R2907" s="12">
        <f>IFERROR(Q2907/P2907/IF(E2907="FUTURE",VLOOKUP(MID(I2907,2,2),[1]Futures!$A$2:$B$12,2),1),"")</f>
        <v>38.78</v>
      </c>
      <c r="S2907" s="13" t="str">
        <f>IF(AND(H2907="TO CLOSE",P2907=0),-G2907*(M2907-R2906)*IF(E2907="FUTURE",VLOOKUP(MID(I2907,2,2),[1]Futures!$A$2:$B$12,2),1),"")</f>
        <v/>
      </c>
    </row>
    <row r="2908" spans="1:19" x14ac:dyDescent="0.2">
      <c r="A2908">
        <f t="shared" si="137"/>
        <v>946</v>
      </c>
      <c r="B2908" s="3">
        <v>44130</v>
      </c>
      <c r="C2908" s="3" t="str">
        <f t="shared" si="136"/>
        <v>Monday</v>
      </c>
      <c r="D2908" s="2">
        <v>0.38497685185185188</v>
      </c>
      <c r="E2908" t="s">
        <v>14</v>
      </c>
      <c r="F2908" t="s">
        <v>15</v>
      </c>
      <c r="G2908">
        <v>-1</v>
      </c>
      <c r="H2908" t="s">
        <v>20</v>
      </c>
      <c r="I2908" t="s">
        <v>86</v>
      </c>
      <c r="J2908" s="1">
        <v>44185</v>
      </c>
      <c r="L2908" t="s">
        <v>14</v>
      </c>
      <c r="M2908">
        <v>38.96</v>
      </c>
      <c r="N2908">
        <v>38.96</v>
      </c>
      <c r="O2908" t="s">
        <v>21</v>
      </c>
      <c r="P2908">
        <f t="shared" si="138"/>
        <v>-2</v>
      </c>
      <c r="Q2908" s="11">
        <f>IF(P2908=0,0,IFERROR(Q2907+G2908*M2908*IF(E2908="FUTURE",VLOOKUP(MID(I2908,2,2),[1]Futures!$A$2:$B$12,2),1),G2908*M2908*IF(E2908="FUTURE",VLOOKUP(MID(I2908,2,2),[1]Futures!$A$2:$B$12,2),1)))</f>
        <v>-77740</v>
      </c>
      <c r="R2908" s="12">
        <f>IFERROR(Q2908/P2908/IF(E2908="FUTURE",VLOOKUP(MID(I2908,2,2),[1]Futures!$A$2:$B$12,2),1),"")</f>
        <v>38.869999999999997</v>
      </c>
      <c r="S2908" s="13" t="str">
        <f>IF(AND(H2908="TO CLOSE",P2908=0),-G2908*(M2908-R2907)*IF(E2908="FUTURE",VLOOKUP(MID(I2908,2,2),[1]Futures!$A$2:$B$12,2),1),"")</f>
        <v/>
      </c>
    </row>
    <row r="2909" spans="1:19" x14ac:dyDescent="0.2">
      <c r="A2909">
        <f t="shared" si="137"/>
        <v>946</v>
      </c>
      <c r="B2909" s="3">
        <v>44130</v>
      </c>
      <c r="C2909" s="3" t="str">
        <f t="shared" si="136"/>
        <v>Monday</v>
      </c>
      <c r="D2909" s="2">
        <v>0.39253472222222219</v>
      </c>
      <c r="E2909" t="s">
        <v>14</v>
      </c>
      <c r="F2909" t="s">
        <v>19</v>
      </c>
      <c r="G2909">
        <v>1</v>
      </c>
      <c r="H2909" t="s">
        <v>16</v>
      </c>
      <c r="I2909" t="s">
        <v>86</v>
      </c>
      <c r="J2909" s="1">
        <v>44185</v>
      </c>
      <c r="L2909" t="s">
        <v>14</v>
      </c>
      <c r="M2909">
        <v>38.85</v>
      </c>
      <c r="N2909">
        <v>38.85</v>
      </c>
      <c r="O2909" t="s">
        <v>21</v>
      </c>
      <c r="P2909">
        <f t="shared" si="138"/>
        <v>-1</v>
      </c>
      <c r="Q2909" s="11">
        <f>IF(P2909=0,0,IFERROR(Q2908+G2909*M2909*IF(E2909="FUTURE",VLOOKUP(MID(I2909,2,2),[1]Futures!$A$2:$B$12,2),1),G2909*M2909*IF(E2909="FUTURE",VLOOKUP(MID(I2909,2,2),[1]Futures!$A$2:$B$12,2),1)))</f>
        <v>-38890</v>
      </c>
      <c r="R2909" s="12">
        <f>IFERROR(Q2909/P2909/IF(E2909="FUTURE",VLOOKUP(MID(I2909,2,2),[1]Futures!$A$2:$B$12,2),1),"")</f>
        <v>38.89</v>
      </c>
      <c r="S2909" s="13" t="str">
        <f>IF(AND(H2909="TO CLOSE",P2909=0),-G2909*(M2909-R2908)*IF(E2909="FUTURE",VLOOKUP(MID(I2909,2,2),[1]Futures!$A$2:$B$12,2),1),"")</f>
        <v/>
      </c>
    </row>
    <row r="2910" spans="1:19" x14ac:dyDescent="0.2">
      <c r="A2910">
        <f t="shared" si="137"/>
        <v>946</v>
      </c>
      <c r="B2910" s="3">
        <v>44130</v>
      </c>
      <c r="C2910" s="3" t="str">
        <f t="shared" si="136"/>
        <v>Monday</v>
      </c>
      <c r="D2910" s="2">
        <v>0.40086805555555555</v>
      </c>
      <c r="E2910" t="s">
        <v>14</v>
      </c>
      <c r="F2910" t="s">
        <v>15</v>
      </c>
      <c r="G2910">
        <v>-1</v>
      </c>
      <c r="H2910" t="s">
        <v>20</v>
      </c>
      <c r="I2910" t="s">
        <v>86</v>
      </c>
      <c r="J2910" s="1">
        <v>44185</v>
      </c>
      <c r="L2910" t="s">
        <v>14</v>
      </c>
      <c r="M2910">
        <v>39.04</v>
      </c>
      <c r="N2910">
        <v>39.04</v>
      </c>
      <c r="O2910" t="s">
        <v>21</v>
      </c>
      <c r="P2910">
        <f t="shared" si="138"/>
        <v>-2</v>
      </c>
      <c r="Q2910" s="11">
        <f>IF(P2910=0,0,IFERROR(Q2909+G2910*M2910*IF(E2910="FUTURE",VLOOKUP(MID(I2910,2,2),[1]Futures!$A$2:$B$12,2),1),G2910*M2910*IF(E2910="FUTURE",VLOOKUP(MID(I2910,2,2),[1]Futures!$A$2:$B$12,2),1)))</f>
        <v>-77930</v>
      </c>
      <c r="R2910" s="12">
        <f>IFERROR(Q2910/P2910/IF(E2910="FUTURE",VLOOKUP(MID(I2910,2,2),[1]Futures!$A$2:$B$12,2),1),"")</f>
        <v>38.965000000000003</v>
      </c>
      <c r="S2910" s="13" t="str">
        <f>IF(AND(H2910="TO CLOSE",P2910=0),-G2910*(M2910-R2909)*IF(E2910="FUTURE",VLOOKUP(MID(I2910,2,2),[1]Futures!$A$2:$B$12,2),1),"")</f>
        <v/>
      </c>
    </row>
    <row r="2911" spans="1:19" x14ac:dyDescent="0.2">
      <c r="A2911">
        <f t="shared" si="137"/>
        <v>946</v>
      </c>
      <c r="B2911" s="3">
        <v>44130</v>
      </c>
      <c r="C2911" s="3" t="str">
        <f t="shared" si="136"/>
        <v>Monday</v>
      </c>
      <c r="D2911" s="2">
        <v>0.4026851851851852</v>
      </c>
      <c r="E2911" t="s">
        <v>14</v>
      </c>
      <c r="F2911" t="s">
        <v>19</v>
      </c>
      <c r="G2911">
        <v>1</v>
      </c>
      <c r="H2911" t="s">
        <v>16</v>
      </c>
      <c r="I2911" t="s">
        <v>86</v>
      </c>
      <c r="J2911" s="1">
        <v>44185</v>
      </c>
      <c r="L2911" t="s">
        <v>14</v>
      </c>
      <c r="M2911">
        <v>38.909999999999997</v>
      </c>
      <c r="N2911">
        <v>38.909999999999997</v>
      </c>
      <c r="O2911" t="s">
        <v>21</v>
      </c>
      <c r="P2911">
        <f t="shared" si="138"/>
        <v>-1</v>
      </c>
      <c r="Q2911" s="11">
        <f>IF(P2911=0,0,IFERROR(Q2910+G2911*M2911*IF(E2911="FUTURE",VLOOKUP(MID(I2911,2,2),[1]Futures!$A$2:$B$12,2),1),G2911*M2911*IF(E2911="FUTURE",VLOOKUP(MID(I2911,2,2),[1]Futures!$A$2:$B$12,2),1)))</f>
        <v>-39020</v>
      </c>
      <c r="R2911" s="12">
        <f>IFERROR(Q2911/P2911/IF(E2911="FUTURE",VLOOKUP(MID(I2911,2,2),[1]Futures!$A$2:$B$12,2),1),"")</f>
        <v>39.020000000000003</v>
      </c>
      <c r="S2911" s="13" t="str">
        <f>IF(AND(H2911="TO CLOSE",P2911=0),-G2911*(M2911-R2910)*IF(E2911="FUTURE",VLOOKUP(MID(I2911,2,2),[1]Futures!$A$2:$B$12,2),1),"")</f>
        <v/>
      </c>
    </row>
    <row r="2912" spans="1:19" x14ac:dyDescent="0.2">
      <c r="A2912">
        <f t="shared" si="137"/>
        <v>946</v>
      </c>
      <c r="B2912" s="3">
        <v>44130</v>
      </c>
      <c r="C2912" s="3" t="str">
        <f t="shared" si="136"/>
        <v>Monday</v>
      </c>
      <c r="D2912" s="2">
        <v>0.40805555555555556</v>
      </c>
      <c r="E2912" t="s">
        <v>14</v>
      </c>
      <c r="F2912" t="s">
        <v>19</v>
      </c>
      <c r="G2912">
        <v>1</v>
      </c>
      <c r="H2912" t="s">
        <v>16</v>
      </c>
      <c r="I2912" t="s">
        <v>86</v>
      </c>
      <c r="J2912" s="1">
        <v>44185</v>
      </c>
      <c r="L2912" t="s">
        <v>14</v>
      </c>
      <c r="M2912">
        <v>38.74</v>
      </c>
      <c r="N2912">
        <v>38.74</v>
      </c>
      <c r="O2912" t="s">
        <v>24</v>
      </c>
      <c r="P2912">
        <f t="shared" si="138"/>
        <v>0</v>
      </c>
      <c r="Q2912" s="11">
        <f>IF(P2912=0,0,IFERROR(Q2911+G2912*M2912*IF(E2912="FUTURE",VLOOKUP(MID(I2912,2,2),[1]Futures!$A$2:$B$12,2),1),G2912*M2912*IF(E2912="FUTURE",VLOOKUP(MID(I2912,2,2),[1]Futures!$A$2:$B$12,2),1)))</f>
        <v>0</v>
      </c>
      <c r="R2912" s="12" t="str">
        <f>IFERROR(Q2912/P2912/IF(E2912="FUTURE",VLOOKUP(MID(I2912,2,2),[1]Futures!$A$2:$B$12,2),1),"")</f>
        <v/>
      </c>
      <c r="S2912" s="13">
        <f>IF(AND(H2912="TO CLOSE",P2912=0),-G2912*(M2912-R2911)*IF(E2912="FUTURE",VLOOKUP(MID(I2912,2,2),[1]Futures!$A$2:$B$12,2),1),"")</f>
        <v>280.00000000000114</v>
      </c>
    </row>
    <row r="2913" spans="1:19" x14ac:dyDescent="0.2">
      <c r="A2913">
        <f t="shared" si="137"/>
        <v>947</v>
      </c>
      <c r="B2913" s="3">
        <v>44130</v>
      </c>
      <c r="C2913" s="3" t="str">
        <f t="shared" si="136"/>
        <v>Monday</v>
      </c>
      <c r="D2913" s="2">
        <v>0.44953703703703707</v>
      </c>
      <c r="E2913" t="s">
        <v>14</v>
      </c>
      <c r="F2913" t="s">
        <v>19</v>
      </c>
      <c r="G2913">
        <v>1</v>
      </c>
      <c r="H2913" t="s">
        <v>20</v>
      </c>
      <c r="I2913" t="s">
        <v>86</v>
      </c>
      <c r="J2913" s="1">
        <v>44185</v>
      </c>
      <c r="L2913" t="s">
        <v>14</v>
      </c>
      <c r="M2913">
        <v>38.67</v>
      </c>
      <c r="N2913">
        <v>38.67</v>
      </c>
      <c r="O2913" t="s">
        <v>21</v>
      </c>
      <c r="P2913">
        <f t="shared" si="138"/>
        <v>1</v>
      </c>
      <c r="Q2913" s="11">
        <f>IF(P2913=0,0,IFERROR(Q2912+G2913*M2913*IF(E2913="FUTURE",VLOOKUP(MID(I2913,2,2),[1]Futures!$A$2:$B$12,2),1),G2913*M2913*IF(E2913="FUTURE",VLOOKUP(MID(I2913,2,2),[1]Futures!$A$2:$B$12,2),1)))</f>
        <v>38670</v>
      </c>
      <c r="R2913" s="12">
        <f>IFERROR(Q2913/P2913/IF(E2913="FUTURE",VLOOKUP(MID(I2913,2,2),[1]Futures!$A$2:$B$12,2),1),"")</f>
        <v>38.67</v>
      </c>
      <c r="S2913" s="13" t="str">
        <f>IF(AND(H2913="TO CLOSE",P2913=0),-G2913*(M2913-R2912)*IF(E2913="FUTURE",VLOOKUP(MID(I2913,2,2),[1]Futures!$A$2:$B$12,2),1),"")</f>
        <v/>
      </c>
    </row>
    <row r="2914" spans="1:19" x14ac:dyDescent="0.2">
      <c r="A2914">
        <f t="shared" si="137"/>
        <v>947</v>
      </c>
      <c r="B2914" s="3">
        <v>44130</v>
      </c>
      <c r="C2914" s="3" t="str">
        <f t="shared" ref="C2914:C2977" si="139">IF(WEEKDAY(B2914,2)=1,"Monday",IF(WEEKDAY(B2914,2)=2,"Tuesday",IF(WEEKDAY(B2914,2)=3,"Wednesday",IF(WEEKDAY(B2914,2)=4,"Thursday",IF(WEEKDAY(B2914,2)=5,"Friday","Sunday")))))</f>
        <v>Monday</v>
      </c>
      <c r="D2914" s="2">
        <v>0.45393518518518516</v>
      </c>
      <c r="E2914" t="s">
        <v>14</v>
      </c>
      <c r="F2914" t="s">
        <v>19</v>
      </c>
      <c r="G2914">
        <v>1</v>
      </c>
      <c r="H2914" t="s">
        <v>20</v>
      </c>
      <c r="I2914" t="s">
        <v>86</v>
      </c>
      <c r="J2914" s="1">
        <v>44185</v>
      </c>
      <c r="L2914" t="s">
        <v>14</v>
      </c>
      <c r="M2914">
        <v>38.549999999999997</v>
      </c>
      <c r="N2914">
        <v>38.549999999999997</v>
      </c>
      <c r="O2914" t="s">
        <v>21</v>
      </c>
      <c r="P2914">
        <f t="shared" si="138"/>
        <v>2</v>
      </c>
      <c r="Q2914" s="11">
        <f>IF(P2914=0,0,IFERROR(Q2913+G2914*M2914*IF(E2914="FUTURE",VLOOKUP(MID(I2914,2,2),[1]Futures!$A$2:$B$12,2),1),G2914*M2914*IF(E2914="FUTURE",VLOOKUP(MID(I2914,2,2),[1]Futures!$A$2:$B$12,2),1)))</f>
        <v>77220</v>
      </c>
      <c r="R2914" s="12">
        <f>IFERROR(Q2914/P2914/IF(E2914="FUTURE",VLOOKUP(MID(I2914,2,2),[1]Futures!$A$2:$B$12,2),1),"")</f>
        <v>38.61</v>
      </c>
      <c r="S2914" s="13" t="str">
        <f>IF(AND(H2914="TO CLOSE",P2914=0),-G2914*(M2914-R2913)*IF(E2914="FUTURE",VLOOKUP(MID(I2914,2,2),[1]Futures!$A$2:$B$12,2),1),"")</f>
        <v/>
      </c>
    </row>
    <row r="2915" spans="1:19" x14ac:dyDescent="0.2">
      <c r="A2915">
        <f t="shared" si="137"/>
        <v>947</v>
      </c>
      <c r="B2915" s="3">
        <v>44130</v>
      </c>
      <c r="C2915" s="3" t="str">
        <f t="shared" si="139"/>
        <v>Monday</v>
      </c>
      <c r="D2915" s="2">
        <v>0.49891203703703701</v>
      </c>
      <c r="E2915" t="s">
        <v>14</v>
      </c>
      <c r="F2915" t="s">
        <v>15</v>
      </c>
      <c r="G2915">
        <v>-1</v>
      </c>
      <c r="H2915" t="s">
        <v>16</v>
      </c>
      <c r="I2915" t="s">
        <v>86</v>
      </c>
      <c r="J2915" s="1">
        <v>44185</v>
      </c>
      <c r="L2915" t="s">
        <v>14</v>
      </c>
      <c r="M2915">
        <v>38.72</v>
      </c>
      <c r="N2915">
        <v>38.72</v>
      </c>
      <c r="O2915" t="s">
        <v>21</v>
      </c>
      <c r="P2915">
        <f t="shared" si="138"/>
        <v>1</v>
      </c>
      <c r="Q2915" s="11">
        <f>IF(P2915=0,0,IFERROR(Q2914+G2915*M2915*IF(E2915="FUTURE",VLOOKUP(MID(I2915,2,2),[1]Futures!$A$2:$B$12,2),1),G2915*M2915*IF(E2915="FUTURE",VLOOKUP(MID(I2915,2,2),[1]Futures!$A$2:$B$12,2),1)))</f>
        <v>38500</v>
      </c>
      <c r="R2915" s="12">
        <f>IFERROR(Q2915/P2915/IF(E2915="FUTURE",VLOOKUP(MID(I2915,2,2),[1]Futures!$A$2:$B$12,2),1),"")</f>
        <v>38.5</v>
      </c>
      <c r="S2915" s="13" t="str">
        <f>IF(AND(H2915="TO CLOSE",P2915=0),-G2915*(M2915-R2914)*IF(E2915="FUTURE",VLOOKUP(MID(I2915,2,2),[1]Futures!$A$2:$B$12,2),1),"")</f>
        <v/>
      </c>
    </row>
    <row r="2916" spans="1:19" x14ac:dyDescent="0.2">
      <c r="A2916">
        <f t="shared" si="137"/>
        <v>947</v>
      </c>
      <c r="B2916" s="3">
        <v>44130</v>
      </c>
      <c r="C2916" s="3" t="str">
        <f t="shared" si="139"/>
        <v>Monday</v>
      </c>
      <c r="D2916" s="2">
        <v>0.51398148148148148</v>
      </c>
      <c r="E2916" t="s">
        <v>14</v>
      </c>
      <c r="F2916" t="s">
        <v>19</v>
      </c>
      <c r="G2916">
        <v>1</v>
      </c>
      <c r="H2916" t="s">
        <v>20</v>
      </c>
      <c r="I2916" t="s">
        <v>86</v>
      </c>
      <c r="J2916" s="1">
        <v>44185</v>
      </c>
      <c r="L2916" t="s">
        <v>14</v>
      </c>
      <c r="M2916">
        <v>38.520000000000003</v>
      </c>
      <c r="N2916">
        <v>38.520000000000003</v>
      </c>
      <c r="O2916" t="s">
        <v>21</v>
      </c>
      <c r="P2916">
        <f t="shared" si="138"/>
        <v>2</v>
      </c>
      <c r="Q2916" s="11">
        <f>IF(P2916=0,0,IFERROR(Q2915+G2916*M2916*IF(E2916="FUTURE",VLOOKUP(MID(I2916,2,2),[1]Futures!$A$2:$B$12,2),1),G2916*M2916*IF(E2916="FUTURE",VLOOKUP(MID(I2916,2,2),[1]Futures!$A$2:$B$12,2),1)))</f>
        <v>77020</v>
      </c>
      <c r="R2916" s="12">
        <f>IFERROR(Q2916/P2916/IF(E2916="FUTURE",VLOOKUP(MID(I2916,2,2),[1]Futures!$A$2:$B$12,2),1),"")</f>
        <v>38.51</v>
      </c>
      <c r="S2916" s="13" t="str">
        <f>IF(AND(H2916="TO CLOSE",P2916=0),-G2916*(M2916-R2915)*IF(E2916="FUTURE",VLOOKUP(MID(I2916,2,2),[1]Futures!$A$2:$B$12,2),1),"")</f>
        <v/>
      </c>
    </row>
    <row r="2917" spans="1:19" x14ac:dyDescent="0.2">
      <c r="A2917">
        <f t="shared" si="137"/>
        <v>947</v>
      </c>
      <c r="B2917" s="3">
        <v>44130</v>
      </c>
      <c r="C2917" s="3" t="str">
        <f t="shared" si="139"/>
        <v>Monday</v>
      </c>
      <c r="D2917" s="2">
        <v>0.51760416666666664</v>
      </c>
      <c r="E2917" t="s">
        <v>14</v>
      </c>
      <c r="F2917" t="s">
        <v>15</v>
      </c>
      <c r="G2917">
        <v>-1</v>
      </c>
      <c r="H2917" t="s">
        <v>16</v>
      </c>
      <c r="I2917" t="s">
        <v>86</v>
      </c>
      <c r="J2917" s="1">
        <v>44185</v>
      </c>
      <c r="L2917" t="s">
        <v>14</v>
      </c>
      <c r="M2917">
        <v>38.630000000000003</v>
      </c>
      <c r="N2917">
        <v>38.630000000000003</v>
      </c>
      <c r="O2917" t="s">
        <v>21</v>
      </c>
      <c r="P2917">
        <f t="shared" si="138"/>
        <v>1</v>
      </c>
      <c r="Q2917" s="11">
        <f>IF(P2917=0,0,IFERROR(Q2916+G2917*M2917*IF(E2917="FUTURE",VLOOKUP(MID(I2917,2,2),[1]Futures!$A$2:$B$12,2),1),G2917*M2917*IF(E2917="FUTURE",VLOOKUP(MID(I2917,2,2),[1]Futures!$A$2:$B$12,2),1)))</f>
        <v>38390</v>
      </c>
      <c r="R2917" s="12">
        <f>IFERROR(Q2917/P2917/IF(E2917="FUTURE",VLOOKUP(MID(I2917,2,2),[1]Futures!$A$2:$B$12,2),1),"")</f>
        <v>38.39</v>
      </c>
      <c r="S2917" s="13" t="str">
        <f>IF(AND(H2917="TO CLOSE",P2917=0),-G2917*(M2917-R2916)*IF(E2917="FUTURE",VLOOKUP(MID(I2917,2,2),[1]Futures!$A$2:$B$12,2),1),"")</f>
        <v/>
      </c>
    </row>
    <row r="2918" spans="1:19" x14ac:dyDescent="0.2">
      <c r="A2918">
        <f t="shared" si="137"/>
        <v>947</v>
      </c>
      <c r="B2918" s="3">
        <v>44130</v>
      </c>
      <c r="C2918" s="3" t="str">
        <f t="shared" si="139"/>
        <v>Monday</v>
      </c>
      <c r="D2918" s="2">
        <v>0.5625</v>
      </c>
      <c r="E2918" t="s">
        <v>14</v>
      </c>
      <c r="F2918" t="s">
        <v>19</v>
      </c>
      <c r="G2918">
        <v>1</v>
      </c>
      <c r="H2918" t="s">
        <v>20</v>
      </c>
      <c r="I2918" t="s">
        <v>86</v>
      </c>
      <c r="J2918" s="1">
        <v>44185</v>
      </c>
      <c r="L2918" t="s">
        <v>14</v>
      </c>
      <c r="M2918">
        <v>38.42</v>
      </c>
      <c r="N2918">
        <v>38.42</v>
      </c>
      <c r="O2918" t="s">
        <v>21</v>
      </c>
      <c r="P2918">
        <f t="shared" si="138"/>
        <v>2</v>
      </c>
      <c r="Q2918" s="11">
        <f>IF(P2918=0,0,IFERROR(Q2917+G2918*M2918*IF(E2918="FUTURE",VLOOKUP(MID(I2918,2,2),[1]Futures!$A$2:$B$12,2),1),G2918*M2918*IF(E2918="FUTURE",VLOOKUP(MID(I2918,2,2),[1]Futures!$A$2:$B$12,2),1)))</f>
        <v>76810</v>
      </c>
      <c r="R2918" s="12">
        <f>IFERROR(Q2918/P2918/IF(E2918="FUTURE",VLOOKUP(MID(I2918,2,2),[1]Futures!$A$2:$B$12,2),1),"")</f>
        <v>38.405000000000001</v>
      </c>
      <c r="S2918" s="13" t="str">
        <f>IF(AND(H2918="TO CLOSE",P2918=0),-G2918*(M2918-R2917)*IF(E2918="FUTURE",VLOOKUP(MID(I2918,2,2),[1]Futures!$A$2:$B$12,2),1),"")</f>
        <v/>
      </c>
    </row>
    <row r="2919" spans="1:19" x14ac:dyDescent="0.2">
      <c r="A2919">
        <f t="shared" si="137"/>
        <v>947</v>
      </c>
      <c r="B2919" s="3">
        <v>44130</v>
      </c>
      <c r="C2919" s="3" t="str">
        <f t="shared" si="139"/>
        <v>Monday</v>
      </c>
      <c r="D2919" s="2">
        <v>0.59744212962962961</v>
      </c>
      <c r="E2919" t="s">
        <v>14</v>
      </c>
      <c r="F2919" t="s">
        <v>15</v>
      </c>
      <c r="G2919">
        <v>-1</v>
      </c>
      <c r="H2919" t="s">
        <v>16</v>
      </c>
      <c r="I2919" t="s">
        <v>86</v>
      </c>
      <c r="J2919" s="1">
        <v>44185</v>
      </c>
      <c r="L2919" t="s">
        <v>14</v>
      </c>
      <c r="M2919">
        <v>38.520000000000003</v>
      </c>
      <c r="N2919">
        <v>38.520000000000003</v>
      </c>
      <c r="O2919" t="s">
        <v>21</v>
      </c>
      <c r="P2919">
        <f t="shared" si="138"/>
        <v>1</v>
      </c>
      <c r="Q2919" s="11">
        <f>IF(P2919=0,0,IFERROR(Q2918+G2919*M2919*IF(E2919="FUTURE",VLOOKUP(MID(I2919,2,2),[1]Futures!$A$2:$B$12,2),1),G2919*M2919*IF(E2919="FUTURE",VLOOKUP(MID(I2919,2,2),[1]Futures!$A$2:$B$12,2),1)))</f>
        <v>38290</v>
      </c>
      <c r="R2919" s="12">
        <f>IFERROR(Q2919/P2919/IF(E2919="FUTURE",VLOOKUP(MID(I2919,2,2),[1]Futures!$A$2:$B$12,2),1),"")</f>
        <v>38.29</v>
      </c>
      <c r="S2919" s="13" t="str">
        <f>IF(AND(H2919="TO CLOSE",P2919=0),-G2919*(M2919-R2918)*IF(E2919="FUTURE",VLOOKUP(MID(I2919,2,2),[1]Futures!$A$2:$B$12,2),1),"")</f>
        <v/>
      </c>
    </row>
    <row r="2920" spans="1:19" x14ac:dyDescent="0.2">
      <c r="A2920">
        <f t="shared" si="137"/>
        <v>947</v>
      </c>
      <c r="B2920" s="3">
        <v>44130</v>
      </c>
      <c r="C2920" s="3" t="str">
        <f t="shared" si="139"/>
        <v>Monday</v>
      </c>
      <c r="D2920" s="2">
        <v>0.61041666666666672</v>
      </c>
      <c r="E2920" t="s">
        <v>14</v>
      </c>
      <c r="F2920" t="s">
        <v>15</v>
      </c>
      <c r="G2920">
        <v>-1</v>
      </c>
      <c r="H2920" t="s">
        <v>16</v>
      </c>
      <c r="I2920" t="s">
        <v>86</v>
      </c>
      <c r="J2920" s="1">
        <v>44185</v>
      </c>
      <c r="L2920" t="s">
        <v>14</v>
      </c>
      <c r="M2920">
        <v>38.549999999999997</v>
      </c>
      <c r="N2920">
        <v>38.549999999999997</v>
      </c>
      <c r="O2920" t="s">
        <v>21</v>
      </c>
      <c r="P2920">
        <f t="shared" si="138"/>
        <v>0</v>
      </c>
      <c r="Q2920" s="11">
        <f>IF(P2920=0,0,IFERROR(Q2919+G2920*M2920*IF(E2920="FUTURE",VLOOKUP(MID(I2920,2,2),[1]Futures!$A$2:$B$12,2),1),G2920*M2920*IF(E2920="FUTURE",VLOOKUP(MID(I2920,2,2),[1]Futures!$A$2:$B$12,2),1)))</f>
        <v>0</v>
      </c>
      <c r="R2920" s="12" t="str">
        <f>IFERROR(Q2920/P2920/IF(E2920="FUTURE",VLOOKUP(MID(I2920,2,2),[1]Futures!$A$2:$B$12,2),1),"")</f>
        <v/>
      </c>
      <c r="S2920" s="13">
        <f>IF(AND(H2920="TO CLOSE",P2920=0),-G2920*(M2920-R2919)*IF(E2920="FUTURE",VLOOKUP(MID(I2920,2,2),[1]Futures!$A$2:$B$12,2),1),"")</f>
        <v>259.99999999999801</v>
      </c>
    </row>
    <row r="2921" spans="1:19" x14ac:dyDescent="0.2">
      <c r="A2921">
        <f t="shared" si="137"/>
        <v>948</v>
      </c>
      <c r="B2921" s="3">
        <v>44130</v>
      </c>
      <c r="C2921" s="3" t="str">
        <f t="shared" si="139"/>
        <v>Monday</v>
      </c>
      <c r="D2921" s="2">
        <v>0.38336805555555559</v>
      </c>
      <c r="E2921" t="s">
        <v>22</v>
      </c>
      <c r="F2921" t="s">
        <v>19</v>
      </c>
      <c r="G2921">
        <v>200</v>
      </c>
      <c r="H2921" t="s">
        <v>20</v>
      </c>
      <c r="I2921" t="s">
        <v>23</v>
      </c>
      <c r="L2921" t="s">
        <v>22</v>
      </c>
      <c r="M2921">
        <v>22.77</v>
      </c>
      <c r="N2921">
        <v>22.77</v>
      </c>
      <c r="O2921" t="s">
        <v>21</v>
      </c>
      <c r="P2921">
        <f t="shared" si="138"/>
        <v>200</v>
      </c>
      <c r="Q2921" s="11">
        <f>IF(P2921=0,0,IFERROR(Q2920+G2921*M2921*IF(E2921="FUTURE",VLOOKUP(MID(I2921,2,2),[1]Futures!$A$2:$B$12,2),1),G2921*M2921*IF(E2921="FUTURE",VLOOKUP(MID(I2921,2,2),[1]Futures!$A$2:$B$12,2),1)))</f>
        <v>4554</v>
      </c>
      <c r="R2921" s="12">
        <f>IFERROR(Q2921/P2921/IF(E2921="FUTURE",VLOOKUP(MID(I2921,2,2),[1]Futures!$A$2:$B$12,2),1),"")</f>
        <v>22.77</v>
      </c>
      <c r="S2921" s="13" t="str">
        <f>IF(AND(H2921="TO CLOSE",P2921=0),-G2921*(M2921-R2920)*IF(E2921="FUTURE",VLOOKUP(MID(I2921,2,2),[1]Futures!$A$2:$B$12,2),1),"")</f>
        <v/>
      </c>
    </row>
    <row r="2922" spans="1:19" x14ac:dyDescent="0.2">
      <c r="A2922">
        <f t="shared" si="137"/>
        <v>948</v>
      </c>
      <c r="B2922" s="3">
        <v>44130</v>
      </c>
      <c r="C2922" s="3" t="str">
        <f t="shared" si="139"/>
        <v>Monday</v>
      </c>
      <c r="D2922" s="2">
        <v>0.38336805555555559</v>
      </c>
      <c r="E2922" t="s">
        <v>22</v>
      </c>
      <c r="F2922" t="s">
        <v>19</v>
      </c>
      <c r="G2922">
        <v>200</v>
      </c>
      <c r="H2922" t="s">
        <v>20</v>
      </c>
      <c r="I2922" t="s">
        <v>23</v>
      </c>
      <c r="L2922" t="s">
        <v>22</v>
      </c>
      <c r="M2922">
        <v>22.77</v>
      </c>
      <c r="N2922">
        <v>22.77</v>
      </c>
      <c r="O2922" t="s">
        <v>21</v>
      </c>
      <c r="P2922">
        <f t="shared" si="138"/>
        <v>400</v>
      </c>
      <c r="Q2922" s="11">
        <f>IF(P2922=0,0,IFERROR(Q2921+G2922*M2922*IF(E2922="FUTURE",VLOOKUP(MID(I2922,2,2),[1]Futures!$A$2:$B$12,2),1),G2922*M2922*IF(E2922="FUTURE",VLOOKUP(MID(I2922,2,2),[1]Futures!$A$2:$B$12,2),1)))</f>
        <v>9108</v>
      </c>
      <c r="R2922" s="12">
        <f>IFERROR(Q2922/P2922/IF(E2922="FUTURE",VLOOKUP(MID(I2922,2,2),[1]Futures!$A$2:$B$12,2),1),"")</f>
        <v>22.77</v>
      </c>
      <c r="S2922" s="13" t="str">
        <f>IF(AND(H2922="TO CLOSE",P2922=0),-G2922*(M2922-R2921)*IF(E2922="FUTURE",VLOOKUP(MID(I2922,2,2),[1]Futures!$A$2:$B$12,2),1),"")</f>
        <v/>
      </c>
    </row>
    <row r="2923" spans="1:19" x14ac:dyDescent="0.2">
      <c r="A2923">
        <f t="shared" si="137"/>
        <v>948</v>
      </c>
      <c r="B2923" s="3">
        <v>44130</v>
      </c>
      <c r="C2923" s="3" t="str">
        <f t="shared" si="139"/>
        <v>Monday</v>
      </c>
      <c r="D2923" s="2">
        <v>0.39732638888888888</v>
      </c>
      <c r="E2923" t="s">
        <v>22</v>
      </c>
      <c r="F2923" t="s">
        <v>19</v>
      </c>
      <c r="G2923">
        <v>100</v>
      </c>
      <c r="H2923" t="s">
        <v>20</v>
      </c>
      <c r="I2923" t="s">
        <v>23</v>
      </c>
      <c r="L2923" t="s">
        <v>22</v>
      </c>
      <c r="M2923">
        <v>22.62</v>
      </c>
      <c r="N2923">
        <v>22.62</v>
      </c>
      <c r="O2923" t="s">
        <v>21</v>
      </c>
      <c r="P2923">
        <f t="shared" si="138"/>
        <v>500</v>
      </c>
      <c r="Q2923" s="11">
        <f>IF(P2923=0,0,IFERROR(Q2922+G2923*M2923*IF(E2923="FUTURE",VLOOKUP(MID(I2923,2,2),[1]Futures!$A$2:$B$12,2),1),G2923*M2923*IF(E2923="FUTURE",VLOOKUP(MID(I2923,2,2),[1]Futures!$A$2:$B$12,2),1)))</f>
        <v>11370</v>
      </c>
      <c r="R2923" s="12">
        <f>IFERROR(Q2923/P2923/IF(E2923="FUTURE",VLOOKUP(MID(I2923,2,2),[1]Futures!$A$2:$B$12,2),1),"")</f>
        <v>22.74</v>
      </c>
      <c r="S2923" s="13" t="str">
        <f>IF(AND(H2923="TO CLOSE",P2923=0),-G2923*(M2923-R2922)*IF(E2923="FUTURE",VLOOKUP(MID(I2923,2,2),[1]Futures!$A$2:$B$12,2),1),"")</f>
        <v/>
      </c>
    </row>
    <row r="2924" spans="1:19" x14ac:dyDescent="0.2">
      <c r="A2924">
        <f t="shared" si="137"/>
        <v>948</v>
      </c>
      <c r="B2924" s="3">
        <v>44130</v>
      </c>
      <c r="C2924" s="3" t="str">
        <f t="shared" si="139"/>
        <v>Monday</v>
      </c>
      <c r="D2924" s="2">
        <v>0.43810185185185185</v>
      </c>
      <c r="E2924" t="s">
        <v>22</v>
      </c>
      <c r="F2924" t="s">
        <v>15</v>
      </c>
      <c r="G2924">
        <v>-100</v>
      </c>
      <c r="H2924" t="s">
        <v>16</v>
      </c>
      <c r="I2924" t="s">
        <v>23</v>
      </c>
      <c r="L2924" t="s">
        <v>22</v>
      </c>
      <c r="M2924">
        <v>22.84</v>
      </c>
      <c r="N2924">
        <v>22.84</v>
      </c>
      <c r="O2924" t="s">
        <v>21</v>
      </c>
      <c r="P2924">
        <f t="shared" si="138"/>
        <v>400</v>
      </c>
      <c r="Q2924" s="11">
        <f>IF(P2924=0,0,IFERROR(Q2923+G2924*M2924*IF(E2924="FUTURE",VLOOKUP(MID(I2924,2,2),[1]Futures!$A$2:$B$12,2),1),G2924*M2924*IF(E2924="FUTURE",VLOOKUP(MID(I2924,2,2),[1]Futures!$A$2:$B$12,2),1)))</f>
        <v>9086</v>
      </c>
      <c r="R2924" s="12">
        <f>IFERROR(Q2924/P2924/IF(E2924="FUTURE",VLOOKUP(MID(I2924,2,2),[1]Futures!$A$2:$B$12,2),1),"")</f>
        <v>22.715</v>
      </c>
      <c r="S2924" s="13" t="str">
        <f>IF(AND(H2924="TO CLOSE",P2924=0),-G2924*(M2924-R2923)*IF(E2924="FUTURE",VLOOKUP(MID(I2924,2,2),[1]Futures!$A$2:$B$12,2),1),"")</f>
        <v/>
      </c>
    </row>
    <row r="2925" spans="1:19" x14ac:dyDescent="0.2">
      <c r="A2925">
        <f t="shared" si="137"/>
        <v>948</v>
      </c>
      <c r="B2925" s="3">
        <v>44130</v>
      </c>
      <c r="C2925" s="3" t="str">
        <f t="shared" si="139"/>
        <v>Monday</v>
      </c>
      <c r="D2925" s="2">
        <v>0.43913194444444442</v>
      </c>
      <c r="E2925" t="s">
        <v>22</v>
      </c>
      <c r="F2925" t="s">
        <v>15</v>
      </c>
      <c r="G2925">
        <v>-10</v>
      </c>
      <c r="H2925" t="s">
        <v>16</v>
      </c>
      <c r="I2925" t="s">
        <v>23</v>
      </c>
      <c r="L2925" t="s">
        <v>22</v>
      </c>
      <c r="M2925">
        <v>22.95</v>
      </c>
      <c r="N2925">
        <v>22.95</v>
      </c>
      <c r="O2925" t="s">
        <v>21</v>
      </c>
      <c r="P2925">
        <f t="shared" si="138"/>
        <v>390</v>
      </c>
      <c r="Q2925" s="11">
        <f>IF(P2925=0,0,IFERROR(Q2924+G2925*M2925*IF(E2925="FUTURE",VLOOKUP(MID(I2925,2,2),[1]Futures!$A$2:$B$12,2),1),G2925*M2925*IF(E2925="FUTURE",VLOOKUP(MID(I2925,2,2),[1]Futures!$A$2:$B$12,2),1)))</f>
        <v>8856.5</v>
      </c>
      <c r="R2925" s="12">
        <f>IFERROR(Q2925/P2925/IF(E2925="FUTURE",VLOOKUP(MID(I2925,2,2),[1]Futures!$A$2:$B$12,2),1),"")</f>
        <v>22.708974358974359</v>
      </c>
      <c r="S2925" s="13" t="str">
        <f>IF(AND(H2925="TO CLOSE",P2925=0),-G2925*(M2925-R2924)*IF(E2925="FUTURE",VLOOKUP(MID(I2925,2,2),[1]Futures!$A$2:$B$12,2),1),"")</f>
        <v/>
      </c>
    </row>
    <row r="2926" spans="1:19" x14ac:dyDescent="0.2">
      <c r="A2926">
        <f t="shared" si="137"/>
        <v>948</v>
      </c>
      <c r="B2926" s="3">
        <v>44130</v>
      </c>
      <c r="C2926" s="3" t="str">
        <f t="shared" si="139"/>
        <v>Monday</v>
      </c>
      <c r="D2926" s="2">
        <v>0.43930555555555556</v>
      </c>
      <c r="E2926" t="s">
        <v>22</v>
      </c>
      <c r="F2926" t="s">
        <v>15</v>
      </c>
      <c r="G2926">
        <v>-190</v>
      </c>
      <c r="H2926" t="s">
        <v>16</v>
      </c>
      <c r="I2926" t="s">
        <v>23</v>
      </c>
      <c r="L2926" t="s">
        <v>22</v>
      </c>
      <c r="M2926">
        <v>22.95</v>
      </c>
      <c r="N2926">
        <v>22.95</v>
      </c>
      <c r="O2926" t="s">
        <v>21</v>
      </c>
      <c r="P2926">
        <f t="shared" si="138"/>
        <v>200</v>
      </c>
      <c r="Q2926" s="11">
        <f>IF(P2926=0,0,IFERROR(Q2925+G2926*M2926*IF(E2926="FUTURE",VLOOKUP(MID(I2926,2,2),[1]Futures!$A$2:$B$12,2),1),G2926*M2926*IF(E2926="FUTURE",VLOOKUP(MID(I2926,2,2),[1]Futures!$A$2:$B$12,2),1)))</f>
        <v>4496</v>
      </c>
      <c r="R2926" s="12">
        <f>IFERROR(Q2926/P2926/IF(E2926="FUTURE",VLOOKUP(MID(I2926,2,2),[1]Futures!$A$2:$B$12,2),1),"")</f>
        <v>22.48</v>
      </c>
      <c r="S2926" s="13" t="str">
        <f>IF(AND(H2926="TO CLOSE",P2926=0),-G2926*(M2926-R2925)*IF(E2926="FUTURE",VLOOKUP(MID(I2926,2,2),[1]Futures!$A$2:$B$12,2),1),"")</f>
        <v/>
      </c>
    </row>
    <row r="2927" spans="1:19" x14ac:dyDescent="0.2">
      <c r="A2927">
        <f t="shared" si="137"/>
        <v>948</v>
      </c>
      <c r="B2927" s="3">
        <v>44130</v>
      </c>
      <c r="C2927" s="3" t="str">
        <f t="shared" si="139"/>
        <v>Monday</v>
      </c>
      <c r="D2927" s="2">
        <v>0.44142361111111111</v>
      </c>
      <c r="E2927" t="s">
        <v>22</v>
      </c>
      <c r="F2927" t="s">
        <v>15</v>
      </c>
      <c r="G2927">
        <v>-87</v>
      </c>
      <c r="H2927" t="s">
        <v>16</v>
      </c>
      <c r="I2927" t="s">
        <v>23</v>
      </c>
      <c r="L2927" t="s">
        <v>22</v>
      </c>
      <c r="M2927">
        <v>23.01</v>
      </c>
      <c r="N2927">
        <v>23.01</v>
      </c>
      <c r="O2927" t="s">
        <v>21</v>
      </c>
      <c r="P2927">
        <f t="shared" si="138"/>
        <v>113</v>
      </c>
      <c r="Q2927" s="11">
        <f>IF(P2927=0,0,IFERROR(Q2926+G2927*M2927*IF(E2927="FUTURE",VLOOKUP(MID(I2927,2,2),[1]Futures!$A$2:$B$12,2),1),G2927*M2927*IF(E2927="FUTURE",VLOOKUP(MID(I2927,2,2),[1]Futures!$A$2:$B$12,2),1)))</f>
        <v>2494.13</v>
      </c>
      <c r="R2927" s="12">
        <f>IFERROR(Q2927/P2927/IF(E2927="FUTURE",VLOOKUP(MID(I2927,2,2),[1]Futures!$A$2:$B$12,2),1),"")</f>
        <v>22.071946902654869</v>
      </c>
      <c r="S2927" s="13" t="str">
        <f>IF(AND(H2927="TO CLOSE",P2927=0),-G2927*(M2927-R2926)*IF(E2927="FUTURE",VLOOKUP(MID(I2927,2,2),[1]Futures!$A$2:$B$12,2),1),"")</f>
        <v/>
      </c>
    </row>
    <row r="2928" spans="1:19" x14ac:dyDescent="0.2">
      <c r="A2928">
        <f t="shared" si="137"/>
        <v>948</v>
      </c>
      <c r="B2928" s="3">
        <v>44130</v>
      </c>
      <c r="C2928" s="3" t="str">
        <f t="shared" si="139"/>
        <v>Monday</v>
      </c>
      <c r="D2928" s="2">
        <v>0.44142361111111111</v>
      </c>
      <c r="E2928" t="s">
        <v>22</v>
      </c>
      <c r="F2928" t="s">
        <v>15</v>
      </c>
      <c r="G2928">
        <v>-13</v>
      </c>
      <c r="H2928" t="s">
        <v>16</v>
      </c>
      <c r="I2928" t="s">
        <v>23</v>
      </c>
      <c r="L2928" t="s">
        <v>22</v>
      </c>
      <c r="M2928">
        <v>23.01</v>
      </c>
      <c r="N2928">
        <v>23.01</v>
      </c>
      <c r="O2928" t="s">
        <v>21</v>
      </c>
      <c r="P2928">
        <f t="shared" si="138"/>
        <v>100</v>
      </c>
      <c r="Q2928" s="11">
        <f>IF(P2928=0,0,IFERROR(Q2927+G2928*M2928*IF(E2928="FUTURE",VLOOKUP(MID(I2928,2,2),[1]Futures!$A$2:$B$12,2),1),G2928*M2928*IF(E2928="FUTURE",VLOOKUP(MID(I2928,2,2),[1]Futures!$A$2:$B$12,2),1)))</f>
        <v>2195</v>
      </c>
      <c r="R2928" s="12">
        <f>IFERROR(Q2928/P2928/IF(E2928="FUTURE",VLOOKUP(MID(I2928,2,2),[1]Futures!$A$2:$B$12,2),1),"")</f>
        <v>21.95</v>
      </c>
      <c r="S2928" s="13" t="str">
        <f>IF(AND(H2928="TO CLOSE",P2928=0),-G2928*(M2928-R2927)*IF(E2928="FUTURE",VLOOKUP(MID(I2928,2,2),[1]Futures!$A$2:$B$12,2),1),"")</f>
        <v/>
      </c>
    </row>
    <row r="2929" spans="1:19" x14ac:dyDescent="0.2">
      <c r="A2929">
        <f t="shared" si="137"/>
        <v>948</v>
      </c>
      <c r="B2929" s="3">
        <v>44130</v>
      </c>
      <c r="C2929" s="3" t="str">
        <f t="shared" si="139"/>
        <v>Monday</v>
      </c>
      <c r="D2929" s="2">
        <v>0.44782407407407404</v>
      </c>
      <c r="E2929" t="s">
        <v>22</v>
      </c>
      <c r="F2929" t="s">
        <v>15</v>
      </c>
      <c r="G2929">
        <v>-100</v>
      </c>
      <c r="H2929" t="s">
        <v>16</v>
      </c>
      <c r="I2929" t="s">
        <v>23</v>
      </c>
      <c r="L2929" t="s">
        <v>22</v>
      </c>
      <c r="M2929">
        <v>23.040099999999999</v>
      </c>
      <c r="N2929">
        <v>23.040099999999999</v>
      </c>
      <c r="O2929" t="s">
        <v>24</v>
      </c>
      <c r="P2929">
        <f t="shared" si="138"/>
        <v>0</v>
      </c>
      <c r="Q2929" s="11">
        <f>IF(P2929=0,0,IFERROR(Q2928+G2929*M2929*IF(E2929="FUTURE",VLOOKUP(MID(I2929,2,2),[1]Futures!$A$2:$B$12,2),1),G2929*M2929*IF(E2929="FUTURE",VLOOKUP(MID(I2929,2,2),[1]Futures!$A$2:$B$12,2),1)))</f>
        <v>0</v>
      </c>
      <c r="R2929" s="12" t="str">
        <f>IFERROR(Q2929/P2929/IF(E2929="FUTURE",VLOOKUP(MID(I2929,2,2),[1]Futures!$A$2:$B$12,2),1),"")</f>
        <v/>
      </c>
      <c r="S2929" s="13">
        <f>IF(AND(H2929="TO CLOSE",P2929=0),-G2929*(M2929-R2928)*IF(E2929="FUTURE",VLOOKUP(MID(I2929,2,2),[1]Futures!$A$2:$B$12,2),1),"")</f>
        <v>109.00999999999996</v>
      </c>
    </row>
    <row r="2930" spans="1:19" x14ac:dyDescent="0.2">
      <c r="A2930">
        <f t="shared" si="137"/>
        <v>949</v>
      </c>
      <c r="B2930" s="3">
        <v>44130</v>
      </c>
      <c r="C2930" s="3" t="str">
        <f t="shared" si="139"/>
        <v>Monday</v>
      </c>
      <c r="D2930" s="2">
        <v>0.55190972222222223</v>
      </c>
      <c r="E2930" t="s">
        <v>22</v>
      </c>
      <c r="F2930" t="s">
        <v>15</v>
      </c>
      <c r="G2930">
        <v>-400</v>
      </c>
      <c r="H2930" t="s">
        <v>20</v>
      </c>
      <c r="I2930" t="s">
        <v>23</v>
      </c>
      <c r="L2930" t="s">
        <v>22</v>
      </c>
      <c r="M2930">
        <v>23.84</v>
      </c>
      <c r="N2930">
        <v>23.84</v>
      </c>
      <c r="O2930" t="s">
        <v>21</v>
      </c>
      <c r="P2930">
        <f t="shared" si="138"/>
        <v>-400</v>
      </c>
      <c r="Q2930" s="11">
        <f>IF(P2930=0,0,IFERROR(Q2929+G2930*M2930*IF(E2930="FUTURE",VLOOKUP(MID(I2930,2,2),[1]Futures!$A$2:$B$12,2),1),G2930*M2930*IF(E2930="FUTURE",VLOOKUP(MID(I2930,2,2),[1]Futures!$A$2:$B$12,2),1)))</f>
        <v>-9536</v>
      </c>
      <c r="R2930" s="12">
        <f>IFERROR(Q2930/P2930/IF(E2930="FUTURE",VLOOKUP(MID(I2930,2,2),[1]Futures!$A$2:$B$12,2),1),"")</f>
        <v>23.84</v>
      </c>
      <c r="S2930" s="13" t="str">
        <f>IF(AND(H2930="TO CLOSE",P2930=0),-G2930*(M2930-R2929)*IF(E2930="FUTURE",VLOOKUP(MID(I2930,2,2),[1]Futures!$A$2:$B$12,2),1),"")</f>
        <v/>
      </c>
    </row>
    <row r="2931" spans="1:19" x14ac:dyDescent="0.2">
      <c r="A2931">
        <f t="shared" si="137"/>
        <v>949</v>
      </c>
      <c r="B2931" s="3">
        <v>44130</v>
      </c>
      <c r="C2931" s="3" t="str">
        <f t="shared" si="139"/>
        <v>Monday</v>
      </c>
      <c r="D2931" s="2">
        <v>0.5553703703703704</v>
      </c>
      <c r="E2931" t="s">
        <v>22</v>
      </c>
      <c r="F2931" t="s">
        <v>15</v>
      </c>
      <c r="G2931">
        <v>-100</v>
      </c>
      <c r="H2931" t="s">
        <v>20</v>
      </c>
      <c r="I2931" t="s">
        <v>23</v>
      </c>
      <c r="L2931" t="s">
        <v>22</v>
      </c>
      <c r="M2931">
        <v>23.99</v>
      </c>
      <c r="N2931">
        <v>23.99</v>
      </c>
      <c r="O2931" t="s">
        <v>21</v>
      </c>
      <c r="P2931">
        <f t="shared" si="138"/>
        <v>-500</v>
      </c>
      <c r="Q2931" s="11">
        <f>IF(P2931=0,0,IFERROR(Q2930+G2931*M2931*IF(E2931="FUTURE",VLOOKUP(MID(I2931,2,2),[1]Futures!$A$2:$B$12,2),1),G2931*M2931*IF(E2931="FUTURE",VLOOKUP(MID(I2931,2,2),[1]Futures!$A$2:$B$12,2),1)))</f>
        <v>-11935</v>
      </c>
      <c r="R2931" s="12">
        <f>IFERROR(Q2931/P2931/IF(E2931="FUTURE",VLOOKUP(MID(I2931,2,2),[1]Futures!$A$2:$B$12,2),1),"")</f>
        <v>23.87</v>
      </c>
      <c r="S2931" s="13" t="str">
        <f>IF(AND(H2931="TO CLOSE",P2931=0),-G2931*(M2931-R2930)*IF(E2931="FUTURE",VLOOKUP(MID(I2931,2,2),[1]Futures!$A$2:$B$12,2),1),"")</f>
        <v/>
      </c>
    </row>
    <row r="2932" spans="1:19" x14ac:dyDescent="0.2">
      <c r="A2932">
        <f t="shared" si="137"/>
        <v>949</v>
      </c>
      <c r="B2932" s="3">
        <v>44130</v>
      </c>
      <c r="C2932" s="3" t="str">
        <f t="shared" si="139"/>
        <v>Monday</v>
      </c>
      <c r="D2932" s="2">
        <v>0.55996527777777783</v>
      </c>
      <c r="E2932" t="s">
        <v>22</v>
      </c>
      <c r="F2932" t="s">
        <v>15</v>
      </c>
      <c r="G2932">
        <v>-100</v>
      </c>
      <c r="H2932" t="s">
        <v>20</v>
      </c>
      <c r="I2932" t="s">
        <v>23</v>
      </c>
      <c r="L2932" t="s">
        <v>22</v>
      </c>
      <c r="M2932">
        <v>24.180099999999999</v>
      </c>
      <c r="N2932">
        <v>24.180099999999999</v>
      </c>
      <c r="O2932" t="s">
        <v>21</v>
      </c>
      <c r="P2932">
        <f t="shared" si="138"/>
        <v>-600</v>
      </c>
      <c r="Q2932" s="11">
        <f>IF(P2932=0,0,IFERROR(Q2931+G2932*M2932*IF(E2932="FUTURE",VLOOKUP(MID(I2932,2,2),[1]Futures!$A$2:$B$12,2),1),G2932*M2932*IF(E2932="FUTURE",VLOOKUP(MID(I2932,2,2),[1]Futures!$A$2:$B$12,2),1)))</f>
        <v>-14353.01</v>
      </c>
      <c r="R2932" s="12">
        <f>IFERROR(Q2932/P2932/IF(E2932="FUTURE",VLOOKUP(MID(I2932,2,2),[1]Futures!$A$2:$B$12,2),1),"")</f>
        <v>23.921683333333334</v>
      </c>
      <c r="S2932" s="13" t="str">
        <f>IF(AND(H2932="TO CLOSE",P2932=0),-G2932*(M2932-R2931)*IF(E2932="FUTURE",VLOOKUP(MID(I2932,2,2),[1]Futures!$A$2:$B$12,2),1),"")</f>
        <v/>
      </c>
    </row>
    <row r="2933" spans="1:19" x14ac:dyDescent="0.2">
      <c r="A2933">
        <f t="shared" si="137"/>
        <v>949</v>
      </c>
      <c r="B2933" s="3">
        <v>44130</v>
      </c>
      <c r="C2933" s="3" t="str">
        <f t="shared" si="139"/>
        <v>Monday</v>
      </c>
      <c r="D2933" s="2">
        <v>0.56559027777777782</v>
      </c>
      <c r="E2933" t="s">
        <v>22</v>
      </c>
      <c r="F2933" t="s">
        <v>15</v>
      </c>
      <c r="G2933">
        <v>-95</v>
      </c>
      <c r="H2933" t="s">
        <v>20</v>
      </c>
      <c r="I2933" t="s">
        <v>23</v>
      </c>
      <c r="L2933" t="s">
        <v>22</v>
      </c>
      <c r="M2933">
        <v>24.38</v>
      </c>
      <c r="N2933">
        <v>24.38</v>
      </c>
      <c r="O2933" t="s">
        <v>21</v>
      </c>
      <c r="P2933">
        <f t="shared" si="138"/>
        <v>-695</v>
      </c>
      <c r="Q2933" s="11">
        <f>IF(P2933=0,0,IFERROR(Q2932+G2933*M2933*IF(E2933="FUTURE",VLOOKUP(MID(I2933,2,2),[1]Futures!$A$2:$B$12,2),1),G2933*M2933*IF(E2933="FUTURE",VLOOKUP(MID(I2933,2,2),[1]Futures!$A$2:$B$12,2),1)))</f>
        <v>-16669.11</v>
      </c>
      <c r="R2933" s="12">
        <f>IFERROR(Q2933/P2933/IF(E2933="FUTURE",VLOOKUP(MID(I2933,2,2),[1]Futures!$A$2:$B$12,2),1),"")</f>
        <v>23.984330935251798</v>
      </c>
      <c r="S2933" s="13" t="str">
        <f>IF(AND(H2933="TO CLOSE",P2933=0),-G2933*(M2933-R2932)*IF(E2933="FUTURE",VLOOKUP(MID(I2933,2,2),[1]Futures!$A$2:$B$12,2),1),"")</f>
        <v/>
      </c>
    </row>
    <row r="2934" spans="1:19" x14ac:dyDescent="0.2">
      <c r="A2934">
        <f t="shared" si="137"/>
        <v>949</v>
      </c>
      <c r="B2934" s="3">
        <v>44130</v>
      </c>
      <c r="C2934" s="3" t="str">
        <f t="shared" si="139"/>
        <v>Monday</v>
      </c>
      <c r="D2934" s="2">
        <v>0.56561342592592589</v>
      </c>
      <c r="E2934" t="s">
        <v>22</v>
      </c>
      <c r="F2934" t="s">
        <v>15</v>
      </c>
      <c r="G2934">
        <v>-5</v>
      </c>
      <c r="H2934" t="s">
        <v>20</v>
      </c>
      <c r="I2934" t="s">
        <v>23</v>
      </c>
      <c r="L2934" t="s">
        <v>22</v>
      </c>
      <c r="M2934">
        <v>24.38</v>
      </c>
      <c r="N2934">
        <v>24.38</v>
      </c>
      <c r="O2934" t="s">
        <v>21</v>
      </c>
      <c r="P2934">
        <f t="shared" si="138"/>
        <v>-700</v>
      </c>
      <c r="Q2934" s="11">
        <f>IF(P2934=0,0,IFERROR(Q2933+G2934*M2934*IF(E2934="FUTURE",VLOOKUP(MID(I2934,2,2),[1]Futures!$A$2:$B$12,2),1),G2934*M2934*IF(E2934="FUTURE",VLOOKUP(MID(I2934,2,2),[1]Futures!$A$2:$B$12,2),1)))</f>
        <v>-16791.010000000002</v>
      </c>
      <c r="R2934" s="12">
        <f>IFERROR(Q2934/P2934/IF(E2934="FUTURE",VLOOKUP(MID(I2934,2,2),[1]Futures!$A$2:$B$12,2),1),"")</f>
        <v>23.987157142857146</v>
      </c>
      <c r="S2934" s="13" t="str">
        <f>IF(AND(H2934="TO CLOSE",P2934=0),-G2934*(M2934-R2933)*IF(E2934="FUTURE",VLOOKUP(MID(I2934,2,2),[1]Futures!$A$2:$B$12,2),1),"")</f>
        <v/>
      </c>
    </row>
    <row r="2935" spans="1:19" x14ac:dyDescent="0.2">
      <c r="A2935">
        <f t="shared" si="137"/>
        <v>949</v>
      </c>
      <c r="B2935" s="3">
        <v>44130</v>
      </c>
      <c r="C2935" s="3" t="str">
        <f t="shared" si="139"/>
        <v>Monday</v>
      </c>
      <c r="D2935" s="2">
        <v>0.56917824074074075</v>
      </c>
      <c r="E2935" t="s">
        <v>22</v>
      </c>
      <c r="F2935" t="s">
        <v>19</v>
      </c>
      <c r="G2935">
        <v>200</v>
      </c>
      <c r="H2935" t="s">
        <v>16</v>
      </c>
      <c r="I2935" t="s">
        <v>23</v>
      </c>
      <c r="L2935" t="s">
        <v>22</v>
      </c>
      <c r="M2935">
        <v>24.13</v>
      </c>
      <c r="N2935">
        <v>24.13</v>
      </c>
      <c r="O2935" t="s">
        <v>21</v>
      </c>
      <c r="P2935">
        <f t="shared" si="138"/>
        <v>-500</v>
      </c>
      <c r="Q2935" s="11">
        <f>IF(P2935=0,0,IFERROR(Q2934+G2935*M2935*IF(E2935="FUTURE",VLOOKUP(MID(I2935,2,2),[1]Futures!$A$2:$B$12,2),1),G2935*M2935*IF(E2935="FUTURE",VLOOKUP(MID(I2935,2,2),[1]Futures!$A$2:$B$12,2),1)))</f>
        <v>-11965.010000000002</v>
      </c>
      <c r="R2935" s="12">
        <f>IFERROR(Q2935/P2935/IF(E2935="FUTURE",VLOOKUP(MID(I2935,2,2),[1]Futures!$A$2:$B$12,2),1),"")</f>
        <v>23.930020000000003</v>
      </c>
      <c r="S2935" s="13" t="str">
        <f>IF(AND(H2935="TO CLOSE",P2935=0),-G2935*(M2935-R2934)*IF(E2935="FUTURE",VLOOKUP(MID(I2935,2,2),[1]Futures!$A$2:$B$12,2),1),"")</f>
        <v/>
      </c>
    </row>
    <row r="2936" spans="1:19" x14ac:dyDescent="0.2">
      <c r="A2936">
        <f t="shared" si="137"/>
        <v>949</v>
      </c>
      <c r="B2936" s="3">
        <v>44130</v>
      </c>
      <c r="C2936" s="3" t="str">
        <f t="shared" si="139"/>
        <v>Monday</v>
      </c>
      <c r="D2936" s="2">
        <v>0.58326388888888892</v>
      </c>
      <c r="E2936" t="s">
        <v>22</v>
      </c>
      <c r="F2936" t="s">
        <v>19</v>
      </c>
      <c r="G2936">
        <v>200</v>
      </c>
      <c r="H2936" t="s">
        <v>16</v>
      </c>
      <c r="I2936" t="s">
        <v>23</v>
      </c>
      <c r="L2936" t="s">
        <v>22</v>
      </c>
      <c r="M2936">
        <v>23.91</v>
      </c>
      <c r="N2936">
        <v>23.91</v>
      </c>
      <c r="O2936" t="s">
        <v>21</v>
      </c>
      <c r="P2936">
        <f t="shared" si="138"/>
        <v>-300</v>
      </c>
      <c r="Q2936" s="11">
        <f>IF(P2936=0,0,IFERROR(Q2935+G2936*M2936*IF(E2936="FUTURE",VLOOKUP(MID(I2936,2,2),[1]Futures!$A$2:$B$12,2),1),G2936*M2936*IF(E2936="FUTURE",VLOOKUP(MID(I2936,2,2),[1]Futures!$A$2:$B$12,2),1)))</f>
        <v>-7183.010000000002</v>
      </c>
      <c r="R2936" s="12">
        <f>IFERROR(Q2936/P2936/IF(E2936="FUTURE",VLOOKUP(MID(I2936,2,2),[1]Futures!$A$2:$B$12,2),1),"")</f>
        <v>23.943366666666673</v>
      </c>
      <c r="S2936" s="13" t="str">
        <f>IF(AND(H2936="TO CLOSE",P2936=0),-G2936*(M2936-R2935)*IF(E2936="FUTURE",VLOOKUP(MID(I2936,2,2),[1]Futures!$A$2:$B$12,2),1),"")</f>
        <v/>
      </c>
    </row>
    <row r="2937" spans="1:19" x14ac:dyDescent="0.2">
      <c r="A2937">
        <f t="shared" si="137"/>
        <v>949</v>
      </c>
      <c r="B2937" s="3">
        <v>44130</v>
      </c>
      <c r="C2937" s="3" t="str">
        <f t="shared" si="139"/>
        <v>Monday</v>
      </c>
      <c r="D2937" s="2">
        <v>0.59841435185185188</v>
      </c>
      <c r="E2937" t="s">
        <v>22</v>
      </c>
      <c r="F2937" t="s">
        <v>15</v>
      </c>
      <c r="G2937">
        <v>-100</v>
      </c>
      <c r="H2937" t="s">
        <v>20</v>
      </c>
      <c r="I2937" t="s">
        <v>23</v>
      </c>
      <c r="L2937" t="s">
        <v>22</v>
      </c>
      <c r="M2937">
        <v>24.035</v>
      </c>
      <c r="N2937">
        <v>24.035</v>
      </c>
      <c r="O2937" t="s">
        <v>24</v>
      </c>
      <c r="P2937">
        <f t="shared" si="138"/>
        <v>-400</v>
      </c>
      <c r="Q2937" s="11">
        <f>IF(P2937=0,0,IFERROR(Q2936+G2937*M2937*IF(E2937="FUTURE",VLOOKUP(MID(I2937,2,2),[1]Futures!$A$2:$B$12,2),1),G2937*M2937*IF(E2937="FUTURE",VLOOKUP(MID(I2937,2,2),[1]Futures!$A$2:$B$12,2),1)))</f>
        <v>-9586.510000000002</v>
      </c>
      <c r="R2937" s="12">
        <f>IFERROR(Q2937/P2937/IF(E2937="FUTURE",VLOOKUP(MID(I2937,2,2),[1]Futures!$A$2:$B$12,2),1),"")</f>
        <v>23.966275000000007</v>
      </c>
      <c r="S2937" s="13" t="str">
        <f>IF(AND(H2937="TO CLOSE",P2937=0),-G2937*(M2937-R2936)*IF(E2937="FUTURE",VLOOKUP(MID(I2937,2,2),[1]Futures!$A$2:$B$12,2),1),"")</f>
        <v/>
      </c>
    </row>
    <row r="2938" spans="1:19" x14ac:dyDescent="0.2">
      <c r="A2938">
        <f t="shared" si="137"/>
        <v>949</v>
      </c>
      <c r="B2938" s="3">
        <v>44130</v>
      </c>
      <c r="C2938" s="3" t="str">
        <f t="shared" si="139"/>
        <v>Monday</v>
      </c>
      <c r="D2938" s="2">
        <v>0.60064814814814815</v>
      </c>
      <c r="E2938" t="s">
        <v>22</v>
      </c>
      <c r="F2938" t="s">
        <v>19</v>
      </c>
      <c r="G2938">
        <v>100</v>
      </c>
      <c r="H2938" t="s">
        <v>16</v>
      </c>
      <c r="I2938" t="s">
        <v>23</v>
      </c>
      <c r="L2938" t="s">
        <v>22</v>
      </c>
      <c r="M2938">
        <v>23.925000000000001</v>
      </c>
      <c r="N2938">
        <v>23.925000000000001</v>
      </c>
      <c r="O2938" t="s">
        <v>21</v>
      </c>
      <c r="P2938">
        <f t="shared" si="138"/>
        <v>-300</v>
      </c>
      <c r="Q2938" s="11">
        <f>IF(P2938=0,0,IFERROR(Q2937+G2938*M2938*IF(E2938="FUTURE",VLOOKUP(MID(I2938,2,2),[1]Futures!$A$2:$B$12,2),1),G2938*M2938*IF(E2938="FUTURE",VLOOKUP(MID(I2938,2,2),[1]Futures!$A$2:$B$12,2),1)))</f>
        <v>-7194.010000000002</v>
      </c>
      <c r="R2938" s="12">
        <f>IFERROR(Q2938/P2938/IF(E2938="FUTURE",VLOOKUP(MID(I2938,2,2),[1]Futures!$A$2:$B$12,2),1),"")</f>
        <v>23.980033333333338</v>
      </c>
      <c r="S2938" s="13" t="str">
        <f>IF(AND(H2938="TO CLOSE",P2938=0),-G2938*(M2938-R2937)*IF(E2938="FUTURE",VLOOKUP(MID(I2938,2,2),[1]Futures!$A$2:$B$12,2),1),"")</f>
        <v/>
      </c>
    </row>
    <row r="2939" spans="1:19" x14ac:dyDescent="0.2">
      <c r="A2939">
        <f t="shared" si="137"/>
        <v>949</v>
      </c>
      <c r="B2939" s="3">
        <v>44130</v>
      </c>
      <c r="C2939" s="3" t="str">
        <f t="shared" si="139"/>
        <v>Monday</v>
      </c>
      <c r="D2939" s="2">
        <v>0.60180555555555559</v>
      </c>
      <c r="E2939" t="s">
        <v>22</v>
      </c>
      <c r="F2939" t="s">
        <v>19</v>
      </c>
      <c r="G2939">
        <v>100</v>
      </c>
      <c r="H2939" t="s">
        <v>16</v>
      </c>
      <c r="I2939" t="s">
        <v>23</v>
      </c>
      <c r="L2939" t="s">
        <v>22</v>
      </c>
      <c r="M2939">
        <v>23.64</v>
      </c>
      <c r="N2939">
        <v>23.64</v>
      </c>
      <c r="O2939" t="s">
        <v>21</v>
      </c>
      <c r="P2939">
        <f t="shared" si="138"/>
        <v>-200</v>
      </c>
      <c r="Q2939" s="11">
        <f>IF(P2939=0,0,IFERROR(Q2938+G2939*M2939*IF(E2939="FUTURE",VLOOKUP(MID(I2939,2,2),[1]Futures!$A$2:$B$12,2),1),G2939*M2939*IF(E2939="FUTURE",VLOOKUP(MID(I2939,2,2),[1]Futures!$A$2:$B$12,2),1)))</f>
        <v>-4830.010000000002</v>
      </c>
      <c r="R2939" s="12">
        <f>IFERROR(Q2939/P2939/IF(E2939="FUTURE",VLOOKUP(MID(I2939,2,2),[1]Futures!$A$2:$B$12,2),1),"")</f>
        <v>24.150050000000011</v>
      </c>
      <c r="S2939" s="13" t="str">
        <f>IF(AND(H2939="TO CLOSE",P2939=0),-G2939*(M2939-R2938)*IF(E2939="FUTURE",VLOOKUP(MID(I2939,2,2),[1]Futures!$A$2:$B$12,2),1),"")</f>
        <v/>
      </c>
    </row>
    <row r="2940" spans="1:19" x14ac:dyDescent="0.2">
      <c r="A2940">
        <f t="shared" si="137"/>
        <v>949</v>
      </c>
      <c r="B2940" s="3">
        <v>44130</v>
      </c>
      <c r="C2940" s="3" t="str">
        <f t="shared" si="139"/>
        <v>Monday</v>
      </c>
      <c r="D2940" s="2">
        <v>0.60903935185185187</v>
      </c>
      <c r="E2940" t="s">
        <v>22</v>
      </c>
      <c r="F2940" t="s">
        <v>19</v>
      </c>
      <c r="G2940">
        <v>100</v>
      </c>
      <c r="H2940" t="s">
        <v>16</v>
      </c>
      <c r="I2940" t="s">
        <v>23</v>
      </c>
      <c r="L2940" t="s">
        <v>22</v>
      </c>
      <c r="M2940">
        <v>23.7698</v>
      </c>
      <c r="N2940">
        <v>23.7698</v>
      </c>
      <c r="O2940" t="s">
        <v>21</v>
      </c>
      <c r="P2940">
        <f t="shared" si="138"/>
        <v>-100</v>
      </c>
      <c r="Q2940" s="11">
        <f>IF(P2940=0,0,IFERROR(Q2939+G2940*M2940*IF(E2940="FUTURE",VLOOKUP(MID(I2940,2,2),[1]Futures!$A$2:$B$12,2),1),G2940*M2940*IF(E2940="FUTURE",VLOOKUP(MID(I2940,2,2),[1]Futures!$A$2:$B$12,2),1)))</f>
        <v>-2453.030000000002</v>
      </c>
      <c r="R2940" s="12">
        <f>IFERROR(Q2940/P2940/IF(E2940="FUTURE",VLOOKUP(MID(I2940,2,2),[1]Futures!$A$2:$B$12,2),1),"")</f>
        <v>24.530300000000022</v>
      </c>
      <c r="S2940" s="13" t="str">
        <f>IF(AND(H2940="TO CLOSE",P2940=0),-G2940*(M2940-R2939)*IF(E2940="FUTURE",VLOOKUP(MID(I2940,2,2),[1]Futures!$A$2:$B$12,2),1),"")</f>
        <v/>
      </c>
    </row>
    <row r="2941" spans="1:19" x14ac:dyDescent="0.2">
      <c r="A2941">
        <f t="shared" si="137"/>
        <v>949</v>
      </c>
      <c r="B2941" s="3">
        <v>44130</v>
      </c>
      <c r="C2941" s="3" t="str">
        <f t="shared" si="139"/>
        <v>Monday</v>
      </c>
      <c r="D2941" s="2">
        <v>0.61478009259259259</v>
      </c>
      <c r="E2941" t="s">
        <v>22</v>
      </c>
      <c r="F2941" t="s">
        <v>19</v>
      </c>
      <c r="G2941">
        <v>100</v>
      </c>
      <c r="H2941" t="s">
        <v>16</v>
      </c>
      <c r="I2941" t="s">
        <v>23</v>
      </c>
      <c r="L2941" t="s">
        <v>22</v>
      </c>
      <c r="M2941">
        <v>23.94</v>
      </c>
      <c r="N2941">
        <v>23.94</v>
      </c>
      <c r="O2941" t="s">
        <v>18</v>
      </c>
      <c r="P2941">
        <f t="shared" si="138"/>
        <v>0</v>
      </c>
      <c r="Q2941" s="11">
        <f>IF(P2941=0,0,IFERROR(Q2940+G2941*M2941*IF(E2941="FUTURE",VLOOKUP(MID(I2941,2,2),[1]Futures!$A$2:$B$12,2),1),G2941*M2941*IF(E2941="FUTURE",VLOOKUP(MID(I2941,2,2),[1]Futures!$A$2:$B$12,2),1)))</f>
        <v>0</v>
      </c>
      <c r="R2941" s="12" t="str">
        <f>IFERROR(Q2941/P2941/IF(E2941="FUTURE",VLOOKUP(MID(I2941,2,2),[1]Futures!$A$2:$B$12,2),1),"")</f>
        <v/>
      </c>
      <c r="S2941" s="13">
        <f>IF(AND(H2941="TO CLOSE",P2941=0),-G2941*(M2941-R2940)*IF(E2941="FUTURE",VLOOKUP(MID(I2941,2,2),[1]Futures!$A$2:$B$12,2),1),"")</f>
        <v>59.030000000002047</v>
      </c>
    </row>
    <row r="2942" spans="1:19" x14ac:dyDescent="0.2">
      <c r="A2942">
        <f t="shared" si="137"/>
        <v>950</v>
      </c>
      <c r="B2942" s="3">
        <v>44131</v>
      </c>
      <c r="C2942" s="3" t="str">
        <f t="shared" si="139"/>
        <v>Tuesday</v>
      </c>
      <c r="D2942" s="2">
        <v>0.39359953703703704</v>
      </c>
      <c r="E2942" t="s">
        <v>14</v>
      </c>
      <c r="F2942" t="s">
        <v>19</v>
      </c>
      <c r="G2942">
        <v>1</v>
      </c>
      <c r="H2942" t="s">
        <v>20</v>
      </c>
      <c r="I2942" t="s">
        <v>86</v>
      </c>
      <c r="J2942" s="1">
        <v>44185</v>
      </c>
      <c r="L2942" t="s">
        <v>14</v>
      </c>
      <c r="M2942">
        <v>38.79</v>
      </c>
      <c r="N2942">
        <v>38.79</v>
      </c>
      <c r="O2942" t="s">
        <v>21</v>
      </c>
      <c r="P2942">
        <f t="shared" si="138"/>
        <v>1</v>
      </c>
      <c r="Q2942" s="11">
        <f>IF(P2942=0,0,IFERROR(Q2941+G2942*M2942*IF(E2942="FUTURE",VLOOKUP(MID(I2942,2,2),[1]Futures!$A$2:$B$12,2),1),G2942*M2942*IF(E2942="FUTURE",VLOOKUP(MID(I2942,2,2),[1]Futures!$A$2:$B$12,2),1)))</f>
        <v>38790</v>
      </c>
      <c r="R2942" s="12">
        <f>IFERROR(Q2942/P2942/IF(E2942="FUTURE",VLOOKUP(MID(I2942,2,2),[1]Futures!$A$2:$B$12,2),1),"")</f>
        <v>38.79</v>
      </c>
      <c r="S2942" s="13" t="str">
        <f>IF(AND(H2942="TO CLOSE",P2942=0),-G2942*(M2942-R2941)*IF(E2942="FUTURE",VLOOKUP(MID(I2942,2,2),[1]Futures!$A$2:$B$12,2),1),"")</f>
        <v/>
      </c>
    </row>
    <row r="2943" spans="1:19" x14ac:dyDescent="0.2">
      <c r="A2943">
        <f t="shared" si="137"/>
        <v>950</v>
      </c>
      <c r="B2943" s="3">
        <v>44131</v>
      </c>
      <c r="C2943" s="3" t="str">
        <f t="shared" si="139"/>
        <v>Tuesday</v>
      </c>
      <c r="D2943" s="2">
        <v>0.40322916666666669</v>
      </c>
      <c r="E2943" t="s">
        <v>14</v>
      </c>
      <c r="F2943" t="s">
        <v>15</v>
      </c>
      <c r="G2943">
        <v>-1</v>
      </c>
      <c r="H2943" t="s">
        <v>16</v>
      </c>
      <c r="I2943" t="s">
        <v>86</v>
      </c>
      <c r="J2943" s="1">
        <v>44185</v>
      </c>
      <c r="L2943" t="s">
        <v>14</v>
      </c>
      <c r="M2943">
        <v>38.82</v>
      </c>
      <c r="N2943">
        <v>38.82</v>
      </c>
      <c r="O2943" t="s">
        <v>24</v>
      </c>
      <c r="P2943">
        <f t="shared" si="138"/>
        <v>0</v>
      </c>
      <c r="Q2943" s="11">
        <f>IF(P2943=0,0,IFERROR(Q2942+G2943*M2943*IF(E2943="FUTURE",VLOOKUP(MID(I2943,2,2),[1]Futures!$A$2:$B$12,2),1),G2943*M2943*IF(E2943="FUTURE",VLOOKUP(MID(I2943,2,2),[1]Futures!$A$2:$B$12,2),1)))</f>
        <v>0</v>
      </c>
      <c r="R2943" s="12" t="str">
        <f>IFERROR(Q2943/P2943/IF(E2943="FUTURE",VLOOKUP(MID(I2943,2,2),[1]Futures!$A$2:$B$12,2),1),"")</f>
        <v/>
      </c>
      <c r="S2943" s="13">
        <f>IF(AND(H2943="TO CLOSE",P2943=0),-G2943*(M2943-R2942)*IF(E2943="FUTURE",VLOOKUP(MID(I2943,2,2),[1]Futures!$A$2:$B$12,2),1),"")</f>
        <v>30.000000000001137</v>
      </c>
    </row>
    <row r="2944" spans="1:19" x14ac:dyDescent="0.2">
      <c r="A2944">
        <f t="shared" si="137"/>
        <v>951</v>
      </c>
      <c r="B2944" s="3">
        <v>44131</v>
      </c>
      <c r="C2944" s="3" t="str">
        <f t="shared" si="139"/>
        <v>Tuesday</v>
      </c>
      <c r="D2944" s="2">
        <v>0.45165509259259262</v>
      </c>
      <c r="E2944" t="s">
        <v>14</v>
      </c>
      <c r="F2944" t="s">
        <v>19</v>
      </c>
      <c r="G2944">
        <v>2</v>
      </c>
      <c r="H2944" t="s">
        <v>20</v>
      </c>
      <c r="I2944" t="s">
        <v>86</v>
      </c>
      <c r="J2944" s="1">
        <v>44185</v>
      </c>
      <c r="L2944" t="s">
        <v>14</v>
      </c>
      <c r="M2944">
        <v>38.94</v>
      </c>
      <c r="N2944">
        <v>38.94</v>
      </c>
      <c r="O2944" t="s">
        <v>24</v>
      </c>
      <c r="P2944">
        <f t="shared" si="138"/>
        <v>2</v>
      </c>
      <c r="Q2944" s="11">
        <f>IF(P2944=0,0,IFERROR(Q2943+G2944*M2944*IF(E2944="FUTURE",VLOOKUP(MID(I2944,2,2),[1]Futures!$A$2:$B$12,2),1),G2944*M2944*IF(E2944="FUTURE",VLOOKUP(MID(I2944,2,2),[1]Futures!$A$2:$B$12,2),1)))</f>
        <v>77880</v>
      </c>
      <c r="R2944" s="12">
        <f>IFERROR(Q2944/P2944/IF(E2944="FUTURE",VLOOKUP(MID(I2944,2,2),[1]Futures!$A$2:$B$12,2),1),"")</f>
        <v>38.94</v>
      </c>
      <c r="S2944" s="13" t="str">
        <f>IF(AND(H2944="TO CLOSE",P2944=0),-G2944*(M2944-R2943)*IF(E2944="FUTURE",VLOOKUP(MID(I2944,2,2),[1]Futures!$A$2:$B$12,2),1),"")</f>
        <v/>
      </c>
    </row>
    <row r="2945" spans="1:19" x14ac:dyDescent="0.2">
      <c r="A2945">
        <f t="shared" si="137"/>
        <v>951</v>
      </c>
      <c r="B2945" s="3">
        <v>44131</v>
      </c>
      <c r="C2945" s="3" t="str">
        <f t="shared" si="139"/>
        <v>Tuesday</v>
      </c>
      <c r="D2945" s="2">
        <v>0.45467592592592593</v>
      </c>
      <c r="E2945" t="s">
        <v>14</v>
      </c>
      <c r="F2945" t="s">
        <v>15</v>
      </c>
      <c r="G2945">
        <v>-1</v>
      </c>
      <c r="H2945" t="s">
        <v>16</v>
      </c>
      <c r="I2945" t="s">
        <v>86</v>
      </c>
      <c r="J2945" s="1">
        <v>44185</v>
      </c>
      <c r="L2945" t="s">
        <v>14</v>
      </c>
      <c r="M2945">
        <v>38.96</v>
      </c>
      <c r="N2945">
        <v>38.96</v>
      </c>
      <c r="O2945" t="s">
        <v>21</v>
      </c>
      <c r="P2945">
        <f t="shared" si="138"/>
        <v>1</v>
      </c>
      <c r="Q2945" s="11">
        <f>IF(P2945=0,0,IFERROR(Q2944+G2945*M2945*IF(E2945="FUTURE",VLOOKUP(MID(I2945,2,2),[1]Futures!$A$2:$B$12,2),1),G2945*M2945*IF(E2945="FUTURE",VLOOKUP(MID(I2945,2,2),[1]Futures!$A$2:$B$12,2),1)))</f>
        <v>38920</v>
      </c>
      <c r="R2945" s="12">
        <f>IFERROR(Q2945/P2945/IF(E2945="FUTURE",VLOOKUP(MID(I2945,2,2),[1]Futures!$A$2:$B$12,2),1),"")</f>
        <v>38.92</v>
      </c>
      <c r="S2945" s="13" t="str">
        <f>IF(AND(H2945="TO CLOSE",P2945=0),-G2945*(M2945-R2944)*IF(E2945="FUTURE",VLOOKUP(MID(I2945,2,2),[1]Futures!$A$2:$B$12,2),1),"")</f>
        <v/>
      </c>
    </row>
    <row r="2946" spans="1:19" x14ac:dyDescent="0.2">
      <c r="A2946">
        <f t="shared" ref="A2946:A3009" si="140">IF(AND(P2945=0,H2945="TO CLOSE"),IFERROR(A2945+1,1),IFERROR(A2945/1,1))</f>
        <v>951</v>
      </c>
      <c r="B2946" s="3">
        <v>44131</v>
      </c>
      <c r="C2946" s="3" t="str">
        <f t="shared" si="139"/>
        <v>Tuesday</v>
      </c>
      <c r="D2946" s="2">
        <v>0.45631944444444444</v>
      </c>
      <c r="E2946" t="s">
        <v>14</v>
      </c>
      <c r="F2946" t="s">
        <v>15</v>
      </c>
      <c r="G2946">
        <v>-1</v>
      </c>
      <c r="H2946" t="s">
        <v>16</v>
      </c>
      <c r="I2946" t="s">
        <v>86</v>
      </c>
      <c r="J2946" s="1">
        <v>44185</v>
      </c>
      <c r="L2946" t="s">
        <v>14</v>
      </c>
      <c r="M2946">
        <v>38.94</v>
      </c>
      <c r="N2946">
        <v>38.94</v>
      </c>
      <c r="O2946" t="s">
        <v>21</v>
      </c>
      <c r="P2946">
        <f t="shared" si="138"/>
        <v>0</v>
      </c>
      <c r="Q2946" s="11">
        <f>IF(P2946=0,0,IFERROR(Q2945+G2946*M2946*IF(E2946="FUTURE",VLOOKUP(MID(I2946,2,2),[1]Futures!$A$2:$B$12,2),1),G2946*M2946*IF(E2946="FUTURE",VLOOKUP(MID(I2946,2,2),[1]Futures!$A$2:$B$12,2),1)))</f>
        <v>0</v>
      </c>
      <c r="R2946" s="12" t="str">
        <f>IFERROR(Q2946/P2946/IF(E2946="FUTURE",VLOOKUP(MID(I2946,2,2),[1]Futures!$A$2:$B$12,2),1),"")</f>
        <v/>
      </c>
      <c r="S2946" s="13">
        <f>IF(AND(H2946="TO CLOSE",P2946=0),-G2946*(M2946-R2945)*IF(E2946="FUTURE",VLOOKUP(MID(I2946,2,2),[1]Futures!$A$2:$B$12,2),1),"")</f>
        <v>19.999999999996021</v>
      </c>
    </row>
    <row r="2947" spans="1:19" x14ac:dyDescent="0.2">
      <c r="A2947">
        <f t="shared" si="140"/>
        <v>952</v>
      </c>
      <c r="B2947" s="3">
        <v>44131</v>
      </c>
      <c r="C2947" s="3" t="str">
        <f t="shared" si="139"/>
        <v>Tuesday</v>
      </c>
      <c r="D2947" s="2">
        <v>0.41402777777777783</v>
      </c>
      <c r="E2947" t="s">
        <v>14</v>
      </c>
      <c r="F2947" t="s">
        <v>19</v>
      </c>
      <c r="G2947">
        <v>1</v>
      </c>
      <c r="H2947" t="s">
        <v>20</v>
      </c>
      <c r="I2947" t="s">
        <v>85</v>
      </c>
      <c r="J2947" s="1">
        <v>44185</v>
      </c>
      <c r="L2947" t="s">
        <v>14</v>
      </c>
      <c r="M2947">
        <v>3394.25</v>
      </c>
      <c r="N2947">
        <v>3394.25</v>
      </c>
      <c r="O2947" t="s">
        <v>21</v>
      </c>
      <c r="P2947">
        <f t="shared" ref="P2947:P3010" si="141">IF(H2947="TO OPEN",IFERROR(P2946+G2947,0+G2947),IFERROR(P2946+G2947,0+G2947))</f>
        <v>1</v>
      </c>
      <c r="Q2947" s="11">
        <f>IF(P2947=0,0,IFERROR(Q2946+G2947*M2947*IF(E2947="FUTURE",VLOOKUP(MID(I2947,2,2),[1]Futures!$A$2:$B$12,2),1),G2947*M2947*IF(E2947="FUTURE",VLOOKUP(MID(I2947,2,2),[1]Futures!$A$2:$B$12,2),1)))</f>
        <v>169712.5</v>
      </c>
      <c r="R2947" s="12">
        <f>IFERROR(Q2947/P2947/IF(E2947="FUTURE",VLOOKUP(MID(I2947,2,2),[1]Futures!$A$2:$B$12,2),1),"")</f>
        <v>3394.25</v>
      </c>
      <c r="S2947" s="13" t="str">
        <f>IF(AND(H2947="TO CLOSE",P2947=0),-G2947*(M2947-R2946)*IF(E2947="FUTURE",VLOOKUP(MID(I2947,2,2),[1]Futures!$A$2:$B$12,2),1),"")</f>
        <v/>
      </c>
    </row>
    <row r="2948" spans="1:19" x14ac:dyDescent="0.2">
      <c r="A2948">
        <f t="shared" si="140"/>
        <v>952</v>
      </c>
      <c r="B2948" s="3">
        <v>44131</v>
      </c>
      <c r="C2948" s="3" t="str">
        <f t="shared" si="139"/>
        <v>Tuesday</v>
      </c>
      <c r="D2948" s="2">
        <v>0.41802083333333334</v>
      </c>
      <c r="E2948" t="s">
        <v>14</v>
      </c>
      <c r="F2948" t="s">
        <v>15</v>
      </c>
      <c r="G2948">
        <v>-1</v>
      </c>
      <c r="H2948" t="s">
        <v>16</v>
      </c>
      <c r="I2948" t="s">
        <v>85</v>
      </c>
      <c r="J2948" s="1">
        <v>44185</v>
      </c>
      <c r="L2948" t="s">
        <v>14</v>
      </c>
      <c r="M2948">
        <v>3396.25</v>
      </c>
      <c r="N2948">
        <v>3396.25</v>
      </c>
      <c r="O2948" t="s">
        <v>21</v>
      </c>
      <c r="P2948">
        <f t="shared" si="141"/>
        <v>0</v>
      </c>
      <c r="Q2948" s="11">
        <f>IF(P2948=0,0,IFERROR(Q2947+G2948*M2948*IF(E2948="FUTURE",VLOOKUP(MID(I2948,2,2),[1]Futures!$A$2:$B$12,2),1),G2948*M2948*IF(E2948="FUTURE",VLOOKUP(MID(I2948,2,2),[1]Futures!$A$2:$B$12,2),1)))</f>
        <v>0</v>
      </c>
      <c r="R2948" s="12" t="str">
        <f>IFERROR(Q2948/P2948/IF(E2948="FUTURE",VLOOKUP(MID(I2948,2,2),[1]Futures!$A$2:$B$12,2),1),"")</f>
        <v/>
      </c>
      <c r="S2948" s="13">
        <f>IF(AND(H2948="TO CLOSE",P2948=0),-G2948*(M2948-R2947)*IF(E2948="FUTURE",VLOOKUP(MID(I2948,2,2),[1]Futures!$A$2:$B$12,2),1),"")</f>
        <v>100</v>
      </c>
    </row>
    <row r="2949" spans="1:19" x14ac:dyDescent="0.2">
      <c r="A2949">
        <f t="shared" si="140"/>
        <v>953</v>
      </c>
      <c r="B2949" s="3">
        <v>44131</v>
      </c>
      <c r="C2949" s="3" t="str">
        <f t="shared" si="139"/>
        <v>Tuesday</v>
      </c>
      <c r="D2949" s="2">
        <v>0.44548611111111108</v>
      </c>
      <c r="E2949" t="s">
        <v>14</v>
      </c>
      <c r="F2949" t="s">
        <v>19</v>
      </c>
      <c r="G2949">
        <v>1</v>
      </c>
      <c r="H2949" t="s">
        <v>20</v>
      </c>
      <c r="I2949" t="s">
        <v>85</v>
      </c>
      <c r="J2949" s="1">
        <v>44185</v>
      </c>
      <c r="L2949" t="s">
        <v>14</v>
      </c>
      <c r="M2949">
        <v>3388.25</v>
      </c>
      <c r="N2949">
        <v>3388.25</v>
      </c>
      <c r="O2949" t="s">
        <v>21</v>
      </c>
      <c r="P2949">
        <f t="shared" si="141"/>
        <v>1</v>
      </c>
      <c r="Q2949" s="11">
        <f>IF(P2949=0,0,IFERROR(Q2948+G2949*M2949*IF(E2949="FUTURE",VLOOKUP(MID(I2949,2,2),[1]Futures!$A$2:$B$12,2),1),G2949*M2949*IF(E2949="FUTURE",VLOOKUP(MID(I2949,2,2),[1]Futures!$A$2:$B$12,2),1)))</f>
        <v>169412.5</v>
      </c>
      <c r="R2949" s="12">
        <f>IFERROR(Q2949/P2949/IF(E2949="FUTURE",VLOOKUP(MID(I2949,2,2),[1]Futures!$A$2:$B$12,2),1),"")</f>
        <v>3388.25</v>
      </c>
      <c r="S2949" s="13" t="str">
        <f>IF(AND(H2949="TO CLOSE",P2949=0),-G2949*(M2949-R2948)*IF(E2949="FUTURE",VLOOKUP(MID(I2949,2,2),[1]Futures!$A$2:$B$12,2),1),"")</f>
        <v/>
      </c>
    </row>
    <row r="2950" spans="1:19" x14ac:dyDescent="0.2">
      <c r="A2950">
        <f t="shared" si="140"/>
        <v>953</v>
      </c>
      <c r="B2950" s="3">
        <v>44131</v>
      </c>
      <c r="C2950" s="3" t="str">
        <f t="shared" si="139"/>
        <v>Tuesday</v>
      </c>
      <c r="D2950" s="2">
        <v>0.45</v>
      </c>
      <c r="E2950" t="s">
        <v>14</v>
      </c>
      <c r="F2950" t="s">
        <v>15</v>
      </c>
      <c r="G2950">
        <v>-1</v>
      </c>
      <c r="H2950" t="s">
        <v>16</v>
      </c>
      <c r="I2950" t="s">
        <v>85</v>
      </c>
      <c r="J2950" s="1">
        <v>44185</v>
      </c>
      <c r="L2950" t="s">
        <v>14</v>
      </c>
      <c r="M2950">
        <v>3393.75</v>
      </c>
      <c r="N2950">
        <v>3393.75</v>
      </c>
      <c r="O2950" t="s">
        <v>21</v>
      </c>
      <c r="P2950">
        <f t="shared" si="141"/>
        <v>0</v>
      </c>
      <c r="Q2950" s="11">
        <f>IF(P2950=0,0,IFERROR(Q2949+G2950*M2950*IF(E2950="FUTURE",VLOOKUP(MID(I2950,2,2),[1]Futures!$A$2:$B$12,2),1),G2950*M2950*IF(E2950="FUTURE",VLOOKUP(MID(I2950,2,2),[1]Futures!$A$2:$B$12,2),1)))</f>
        <v>0</v>
      </c>
      <c r="R2950" s="12" t="str">
        <f>IFERROR(Q2950/P2950/IF(E2950="FUTURE",VLOOKUP(MID(I2950,2,2),[1]Futures!$A$2:$B$12,2),1),"")</f>
        <v/>
      </c>
      <c r="S2950" s="13">
        <f>IF(AND(H2950="TO CLOSE",P2950=0),-G2950*(M2950-R2949)*IF(E2950="FUTURE",VLOOKUP(MID(I2950,2,2),[1]Futures!$A$2:$B$12,2),1),"")</f>
        <v>275</v>
      </c>
    </row>
    <row r="2951" spans="1:19" x14ac:dyDescent="0.2">
      <c r="A2951">
        <f t="shared" si="140"/>
        <v>954</v>
      </c>
      <c r="B2951" s="3">
        <v>44131</v>
      </c>
      <c r="C2951" s="3" t="str">
        <f t="shared" si="139"/>
        <v>Tuesday</v>
      </c>
      <c r="D2951" s="2">
        <v>0.46560185185185188</v>
      </c>
      <c r="E2951" t="s">
        <v>14</v>
      </c>
      <c r="F2951" t="s">
        <v>19</v>
      </c>
      <c r="G2951">
        <v>1</v>
      </c>
      <c r="H2951" t="s">
        <v>20</v>
      </c>
      <c r="I2951" t="s">
        <v>85</v>
      </c>
      <c r="J2951" s="1">
        <v>44185</v>
      </c>
      <c r="L2951" t="s">
        <v>14</v>
      </c>
      <c r="M2951">
        <v>3392</v>
      </c>
      <c r="N2951">
        <v>3392</v>
      </c>
      <c r="O2951" t="s">
        <v>24</v>
      </c>
      <c r="P2951">
        <f t="shared" si="141"/>
        <v>1</v>
      </c>
      <c r="Q2951" s="11">
        <f>IF(P2951=0,0,IFERROR(Q2950+G2951*M2951*IF(E2951="FUTURE",VLOOKUP(MID(I2951,2,2),[1]Futures!$A$2:$B$12,2),1),G2951*M2951*IF(E2951="FUTURE",VLOOKUP(MID(I2951,2,2),[1]Futures!$A$2:$B$12,2),1)))</f>
        <v>169600</v>
      </c>
      <c r="R2951" s="12">
        <f>IFERROR(Q2951/P2951/IF(E2951="FUTURE",VLOOKUP(MID(I2951,2,2),[1]Futures!$A$2:$B$12,2),1),"")</f>
        <v>3392</v>
      </c>
      <c r="S2951" s="13" t="str">
        <f>IF(AND(H2951="TO CLOSE",P2951=0),-G2951*(M2951-R2950)*IF(E2951="FUTURE",VLOOKUP(MID(I2951,2,2),[1]Futures!$A$2:$B$12,2),1),"")</f>
        <v/>
      </c>
    </row>
    <row r="2952" spans="1:19" x14ac:dyDescent="0.2">
      <c r="A2952">
        <f t="shared" si="140"/>
        <v>954</v>
      </c>
      <c r="B2952" s="3">
        <v>44131</v>
      </c>
      <c r="C2952" s="3" t="str">
        <f t="shared" si="139"/>
        <v>Tuesday</v>
      </c>
      <c r="D2952" s="2">
        <v>0.516087962962963</v>
      </c>
      <c r="E2952" t="s">
        <v>14</v>
      </c>
      <c r="F2952" t="s">
        <v>15</v>
      </c>
      <c r="G2952">
        <v>-1</v>
      </c>
      <c r="H2952" t="s">
        <v>16</v>
      </c>
      <c r="I2952" t="s">
        <v>85</v>
      </c>
      <c r="J2952" s="1">
        <v>44185</v>
      </c>
      <c r="L2952" t="s">
        <v>14</v>
      </c>
      <c r="M2952">
        <v>3397.5</v>
      </c>
      <c r="N2952">
        <v>3397.5</v>
      </c>
      <c r="O2952" t="s">
        <v>21</v>
      </c>
      <c r="P2952">
        <f t="shared" si="141"/>
        <v>0</v>
      </c>
      <c r="Q2952" s="11">
        <f>IF(P2952=0,0,IFERROR(Q2951+G2952*M2952*IF(E2952="FUTURE",VLOOKUP(MID(I2952,2,2),[1]Futures!$A$2:$B$12,2),1),G2952*M2952*IF(E2952="FUTURE",VLOOKUP(MID(I2952,2,2),[1]Futures!$A$2:$B$12,2),1)))</f>
        <v>0</v>
      </c>
      <c r="R2952" s="12" t="str">
        <f>IFERROR(Q2952/P2952/IF(E2952="FUTURE",VLOOKUP(MID(I2952,2,2),[1]Futures!$A$2:$B$12,2),1),"")</f>
        <v/>
      </c>
      <c r="S2952" s="13">
        <f>IF(AND(H2952="TO CLOSE",P2952=0),-G2952*(M2952-R2951)*IF(E2952="FUTURE",VLOOKUP(MID(I2952,2,2),[1]Futures!$A$2:$B$12,2),1),"")</f>
        <v>275</v>
      </c>
    </row>
    <row r="2953" spans="1:19" x14ac:dyDescent="0.2">
      <c r="A2953">
        <f t="shared" si="140"/>
        <v>955</v>
      </c>
      <c r="B2953" s="3">
        <v>44132</v>
      </c>
      <c r="C2953" s="3" t="str">
        <f t="shared" si="139"/>
        <v>Wednesday</v>
      </c>
      <c r="D2953" s="2">
        <v>0.42568287037037034</v>
      </c>
      <c r="E2953" t="s">
        <v>14</v>
      </c>
      <c r="F2953" t="s">
        <v>19</v>
      </c>
      <c r="G2953">
        <v>1</v>
      </c>
      <c r="H2953" t="s">
        <v>20</v>
      </c>
      <c r="I2953" t="s">
        <v>85</v>
      </c>
      <c r="J2953" s="1">
        <v>44185</v>
      </c>
      <c r="L2953" t="s">
        <v>14</v>
      </c>
      <c r="M2953">
        <v>3308.75</v>
      </c>
      <c r="N2953">
        <v>3308.75</v>
      </c>
      <c r="O2953" t="s">
        <v>24</v>
      </c>
      <c r="P2953">
        <f t="shared" si="141"/>
        <v>1</v>
      </c>
      <c r="Q2953" s="11">
        <f>IF(P2953=0,0,IFERROR(Q2952+G2953*M2953*IF(E2953="FUTURE",VLOOKUP(MID(I2953,2,2),[1]Futures!$A$2:$B$12,2),1),G2953*M2953*IF(E2953="FUTURE",VLOOKUP(MID(I2953,2,2),[1]Futures!$A$2:$B$12,2),1)))</f>
        <v>165437.5</v>
      </c>
      <c r="R2953" s="12">
        <f>IFERROR(Q2953/P2953/IF(E2953="FUTURE",VLOOKUP(MID(I2953,2,2),[1]Futures!$A$2:$B$12,2),1),"")</f>
        <v>3308.75</v>
      </c>
      <c r="S2953" s="13" t="str">
        <f>IF(AND(H2953="TO CLOSE",P2953=0),-G2953*(M2953-R2952)*IF(E2953="FUTURE",VLOOKUP(MID(I2953,2,2),[1]Futures!$A$2:$B$12,2),1),"")</f>
        <v/>
      </c>
    </row>
    <row r="2954" spans="1:19" x14ac:dyDescent="0.2">
      <c r="A2954">
        <f t="shared" si="140"/>
        <v>955</v>
      </c>
      <c r="B2954" s="3">
        <v>44132</v>
      </c>
      <c r="C2954" s="3" t="str">
        <f t="shared" si="139"/>
        <v>Wednesday</v>
      </c>
      <c r="D2954" s="2">
        <v>0.70621527777777782</v>
      </c>
      <c r="E2954" t="s">
        <v>14</v>
      </c>
      <c r="F2954" t="s">
        <v>15</v>
      </c>
      <c r="G2954">
        <v>-1</v>
      </c>
      <c r="H2954" t="s">
        <v>16</v>
      </c>
      <c r="I2954" t="s">
        <v>85</v>
      </c>
      <c r="J2954" s="1">
        <v>44185</v>
      </c>
      <c r="L2954" t="s">
        <v>14</v>
      </c>
      <c r="M2954">
        <v>3274.75</v>
      </c>
      <c r="N2954">
        <v>3274.75</v>
      </c>
      <c r="O2954" t="s">
        <v>21</v>
      </c>
      <c r="P2954">
        <f t="shared" si="141"/>
        <v>0</v>
      </c>
      <c r="Q2954" s="11">
        <f>IF(P2954=0,0,IFERROR(Q2953+G2954*M2954*IF(E2954="FUTURE",VLOOKUP(MID(I2954,2,2),[1]Futures!$A$2:$B$12,2),1),G2954*M2954*IF(E2954="FUTURE",VLOOKUP(MID(I2954,2,2),[1]Futures!$A$2:$B$12,2),1)))</f>
        <v>0</v>
      </c>
      <c r="R2954" s="12" t="str">
        <f>IFERROR(Q2954/P2954/IF(E2954="FUTURE",VLOOKUP(MID(I2954,2,2),[1]Futures!$A$2:$B$12,2),1),"")</f>
        <v/>
      </c>
      <c r="S2954" s="13">
        <f>IF(AND(H2954="TO CLOSE",P2954=0),-G2954*(M2954-R2953)*IF(E2954="FUTURE",VLOOKUP(MID(I2954,2,2),[1]Futures!$A$2:$B$12,2),1),"")</f>
        <v>-1700</v>
      </c>
    </row>
    <row r="2955" spans="1:19" x14ac:dyDescent="0.2">
      <c r="A2955">
        <f t="shared" si="140"/>
        <v>956</v>
      </c>
      <c r="B2955" s="3">
        <v>44132</v>
      </c>
      <c r="C2955" s="3" t="str">
        <f t="shared" si="139"/>
        <v>Wednesday</v>
      </c>
      <c r="D2955" s="2">
        <v>0.43784722222222222</v>
      </c>
      <c r="E2955" t="s">
        <v>22</v>
      </c>
      <c r="F2955" t="s">
        <v>15</v>
      </c>
      <c r="G2955">
        <v>-200</v>
      </c>
      <c r="H2955" t="s">
        <v>20</v>
      </c>
      <c r="I2955" t="s">
        <v>23</v>
      </c>
      <c r="L2955" t="s">
        <v>22</v>
      </c>
      <c r="M2955">
        <v>27.42</v>
      </c>
      <c r="N2955">
        <v>27.42</v>
      </c>
      <c r="O2955" t="s">
        <v>21</v>
      </c>
      <c r="P2955">
        <f t="shared" si="141"/>
        <v>-200</v>
      </c>
      <c r="Q2955" s="11">
        <f>IF(P2955=0,0,IFERROR(Q2954+G2955*M2955*IF(E2955="FUTURE",VLOOKUP(MID(I2955,2,2),[1]Futures!$A$2:$B$12,2),1),G2955*M2955*IF(E2955="FUTURE",VLOOKUP(MID(I2955,2,2),[1]Futures!$A$2:$B$12,2),1)))</f>
        <v>-5484</v>
      </c>
      <c r="R2955" s="12">
        <f>IFERROR(Q2955/P2955/IF(E2955="FUTURE",VLOOKUP(MID(I2955,2,2),[1]Futures!$A$2:$B$12,2),1),"")</f>
        <v>27.42</v>
      </c>
      <c r="S2955" s="13" t="str">
        <f>IF(AND(H2955="TO CLOSE",P2955=0),-G2955*(M2955-R2954)*IF(E2955="FUTURE",VLOOKUP(MID(I2955,2,2),[1]Futures!$A$2:$B$12,2),1),"")</f>
        <v/>
      </c>
    </row>
    <row r="2956" spans="1:19" x14ac:dyDescent="0.2">
      <c r="A2956">
        <f t="shared" si="140"/>
        <v>956</v>
      </c>
      <c r="B2956" s="3">
        <v>44132</v>
      </c>
      <c r="C2956" s="3" t="str">
        <f t="shared" si="139"/>
        <v>Wednesday</v>
      </c>
      <c r="D2956" s="2">
        <v>0.43912037037037038</v>
      </c>
      <c r="E2956" t="s">
        <v>22</v>
      </c>
      <c r="F2956" t="s">
        <v>19</v>
      </c>
      <c r="G2956">
        <v>10</v>
      </c>
      <c r="H2956" t="s">
        <v>16</v>
      </c>
      <c r="I2956" t="s">
        <v>23</v>
      </c>
      <c r="L2956" t="s">
        <v>22</v>
      </c>
      <c r="M2956">
        <v>27.14</v>
      </c>
      <c r="N2956">
        <v>27.14</v>
      </c>
      <c r="O2956" t="s">
        <v>21</v>
      </c>
      <c r="P2956">
        <f t="shared" si="141"/>
        <v>-190</v>
      </c>
      <c r="Q2956" s="11">
        <f>IF(P2956=0,0,IFERROR(Q2955+G2956*M2956*IF(E2956="FUTURE",VLOOKUP(MID(I2956,2,2),[1]Futures!$A$2:$B$12,2),1),G2956*M2956*IF(E2956="FUTURE",VLOOKUP(MID(I2956,2,2),[1]Futures!$A$2:$B$12,2),1)))</f>
        <v>-5212.6000000000004</v>
      </c>
      <c r="R2956" s="12">
        <f>IFERROR(Q2956/P2956/IF(E2956="FUTURE",VLOOKUP(MID(I2956,2,2),[1]Futures!$A$2:$B$12,2),1),"")</f>
        <v>27.434736842105266</v>
      </c>
      <c r="S2956" s="13" t="str">
        <f>IF(AND(H2956="TO CLOSE",P2956=0),-G2956*(M2956-R2955)*IF(E2956="FUTURE",VLOOKUP(MID(I2956,2,2),[1]Futures!$A$2:$B$12,2),1),"")</f>
        <v/>
      </c>
    </row>
    <row r="2957" spans="1:19" x14ac:dyDescent="0.2">
      <c r="A2957">
        <f t="shared" si="140"/>
        <v>956</v>
      </c>
      <c r="B2957" s="3">
        <v>44132</v>
      </c>
      <c r="C2957" s="3" t="str">
        <f t="shared" si="139"/>
        <v>Wednesday</v>
      </c>
      <c r="D2957" s="2">
        <v>0.43912037037037038</v>
      </c>
      <c r="E2957" t="s">
        <v>22</v>
      </c>
      <c r="F2957" t="s">
        <v>19</v>
      </c>
      <c r="G2957">
        <v>90</v>
      </c>
      <c r="H2957" t="s">
        <v>16</v>
      </c>
      <c r="I2957" t="s">
        <v>23</v>
      </c>
      <c r="L2957" t="s">
        <v>22</v>
      </c>
      <c r="M2957">
        <v>27.14</v>
      </c>
      <c r="N2957">
        <v>27.14</v>
      </c>
      <c r="O2957" t="s">
        <v>21</v>
      </c>
      <c r="P2957">
        <f t="shared" si="141"/>
        <v>-100</v>
      </c>
      <c r="Q2957" s="11">
        <f>IF(P2957=0,0,IFERROR(Q2956+G2957*M2957*IF(E2957="FUTURE",VLOOKUP(MID(I2957,2,2),[1]Futures!$A$2:$B$12,2),1),G2957*M2957*IF(E2957="FUTURE",VLOOKUP(MID(I2957,2,2),[1]Futures!$A$2:$B$12,2),1)))</f>
        <v>-2770.0000000000005</v>
      </c>
      <c r="R2957" s="12">
        <f>IFERROR(Q2957/P2957/IF(E2957="FUTURE",VLOOKUP(MID(I2957,2,2),[1]Futures!$A$2:$B$12,2),1),"")</f>
        <v>27.700000000000003</v>
      </c>
      <c r="S2957" s="13" t="str">
        <f>IF(AND(H2957="TO CLOSE",P2957=0),-G2957*(M2957-R2956)*IF(E2957="FUTURE",VLOOKUP(MID(I2957,2,2),[1]Futures!$A$2:$B$12,2),1),"")</f>
        <v/>
      </c>
    </row>
    <row r="2958" spans="1:19" x14ac:dyDescent="0.2">
      <c r="A2958">
        <f t="shared" si="140"/>
        <v>956</v>
      </c>
      <c r="B2958" s="3">
        <v>44132</v>
      </c>
      <c r="C2958" s="3" t="str">
        <f t="shared" si="139"/>
        <v>Wednesday</v>
      </c>
      <c r="D2958" s="2">
        <v>0.43967592592592591</v>
      </c>
      <c r="E2958" t="s">
        <v>22</v>
      </c>
      <c r="F2958" t="s">
        <v>19</v>
      </c>
      <c r="G2958">
        <v>22</v>
      </c>
      <c r="H2958" t="s">
        <v>16</v>
      </c>
      <c r="I2958" t="s">
        <v>23</v>
      </c>
      <c r="L2958" t="s">
        <v>22</v>
      </c>
      <c r="M2958">
        <v>27.01</v>
      </c>
      <c r="N2958">
        <v>27.01</v>
      </c>
      <c r="O2958" t="s">
        <v>21</v>
      </c>
      <c r="P2958">
        <f t="shared" si="141"/>
        <v>-78</v>
      </c>
      <c r="Q2958" s="11">
        <f>IF(P2958=0,0,IFERROR(Q2957+G2958*M2958*IF(E2958="FUTURE",VLOOKUP(MID(I2958,2,2),[1]Futures!$A$2:$B$12,2),1),G2958*M2958*IF(E2958="FUTURE",VLOOKUP(MID(I2958,2,2),[1]Futures!$A$2:$B$12,2),1)))</f>
        <v>-2175.7800000000007</v>
      </c>
      <c r="R2958" s="12">
        <f>IFERROR(Q2958/P2958/IF(E2958="FUTURE",VLOOKUP(MID(I2958,2,2),[1]Futures!$A$2:$B$12,2),1),"")</f>
        <v>27.894615384615392</v>
      </c>
      <c r="S2958" s="13" t="str">
        <f>IF(AND(H2958="TO CLOSE",P2958=0),-G2958*(M2958-R2957)*IF(E2958="FUTURE",VLOOKUP(MID(I2958,2,2),[1]Futures!$A$2:$B$12,2),1),"")</f>
        <v/>
      </c>
    </row>
    <row r="2959" spans="1:19" x14ac:dyDescent="0.2">
      <c r="A2959">
        <f t="shared" si="140"/>
        <v>956</v>
      </c>
      <c r="B2959" s="3">
        <v>44132</v>
      </c>
      <c r="C2959" s="3" t="str">
        <f t="shared" si="139"/>
        <v>Wednesday</v>
      </c>
      <c r="D2959" s="2">
        <v>0.43967592592592591</v>
      </c>
      <c r="E2959" t="s">
        <v>22</v>
      </c>
      <c r="F2959" t="s">
        <v>19</v>
      </c>
      <c r="G2959">
        <v>78</v>
      </c>
      <c r="H2959" t="s">
        <v>16</v>
      </c>
      <c r="I2959" t="s">
        <v>23</v>
      </c>
      <c r="L2959" t="s">
        <v>22</v>
      </c>
      <c r="M2959">
        <v>27.01</v>
      </c>
      <c r="N2959">
        <v>27.01</v>
      </c>
      <c r="O2959" t="s">
        <v>21</v>
      </c>
      <c r="P2959">
        <f t="shared" si="141"/>
        <v>0</v>
      </c>
      <c r="Q2959" s="11">
        <f>IF(P2959=0,0,IFERROR(Q2958+G2959*M2959*IF(E2959="FUTURE",VLOOKUP(MID(I2959,2,2),[1]Futures!$A$2:$B$12,2),1),G2959*M2959*IF(E2959="FUTURE",VLOOKUP(MID(I2959,2,2),[1]Futures!$A$2:$B$12,2),1)))</f>
        <v>0</v>
      </c>
      <c r="R2959" s="12" t="str">
        <f>IFERROR(Q2959/P2959/IF(E2959="FUTURE",VLOOKUP(MID(I2959,2,2),[1]Futures!$A$2:$B$12,2),1),"")</f>
        <v/>
      </c>
      <c r="S2959" s="13">
        <f>IF(AND(H2959="TO CLOSE",P2959=0),-G2959*(M2959-R2958)*IF(E2959="FUTURE",VLOOKUP(MID(I2959,2,2),[1]Futures!$A$2:$B$12,2),1),"")</f>
        <v>69.000000000000455</v>
      </c>
    </row>
    <row r="2960" spans="1:19" x14ac:dyDescent="0.2">
      <c r="A2960">
        <f t="shared" si="140"/>
        <v>957</v>
      </c>
      <c r="B2960" s="3">
        <v>44132</v>
      </c>
      <c r="C2960" s="3" t="str">
        <f t="shared" si="139"/>
        <v>Wednesday</v>
      </c>
      <c r="D2960" s="2">
        <v>0.4516087962962963</v>
      </c>
      <c r="E2960" t="s">
        <v>22</v>
      </c>
      <c r="F2960" t="s">
        <v>15</v>
      </c>
      <c r="G2960">
        <v>-200</v>
      </c>
      <c r="H2960" t="s">
        <v>20</v>
      </c>
      <c r="I2960" t="s">
        <v>23</v>
      </c>
      <c r="L2960" t="s">
        <v>22</v>
      </c>
      <c r="M2960">
        <v>27.26</v>
      </c>
      <c r="N2960">
        <v>27.26</v>
      </c>
      <c r="O2960" t="s">
        <v>21</v>
      </c>
      <c r="P2960">
        <f t="shared" si="141"/>
        <v>-200</v>
      </c>
      <c r="Q2960" s="11">
        <f>IF(P2960=0,0,IFERROR(Q2959+G2960*M2960*IF(E2960="FUTURE",VLOOKUP(MID(I2960,2,2),[1]Futures!$A$2:$B$12,2),1),G2960*M2960*IF(E2960="FUTURE",VLOOKUP(MID(I2960,2,2),[1]Futures!$A$2:$B$12,2),1)))</f>
        <v>-5452</v>
      </c>
      <c r="R2960" s="12">
        <f>IFERROR(Q2960/P2960/IF(E2960="FUTURE",VLOOKUP(MID(I2960,2,2),[1]Futures!$A$2:$B$12,2),1),"")</f>
        <v>27.26</v>
      </c>
      <c r="S2960" s="13" t="str">
        <f>IF(AND(H2960="TO CLOSE",P2960=0),-G2960*(M2960-R2959)*IF(E2960="FUTURE",VLOOKUP(MID(I2960,2,2),[1]Futures!$A$2:$B$12,2),1),"")</f>
        <v/>
      </c>
    </row>
    <row r="2961" spans="1:19" x14ac:dyDescent="0.2">
      <c r="A2961">
        <f t="shared" si="140"/>
        <v>957</v>
      </c>
      <c r="B2961" s="3">
        <v>44132</v>
      </c>
      <c r="C2961" s="3" t="str">
        <f t="shared" si="139"/>
        <v>Wednesday</v>
      </c>
      <c r="D2961" s="2">
        <v>0.46428240740740739</v>
      </c>
      <c r="E2961" t="s">
        <v>22</v>
      </c>
      <c r="F2961" t="s">
        <v>19</v>
      </c>
      <c r="G2961">
        <v>74</v>
      </c>
      <c r="H2961" t="s">
        <v>16</v>
      </c>
      <c r="I2961" t="s">
        <v>23</v>
      </c>
      <c r="L2961" t="s">
        <v>22</v>
      </c>
      <c r="M2961">
        <v>26.81</v>
      </c>
      <c r="N2961">
        <v>26.81</v>
      </c>
      <c r="O2961" t="s">
        <v>21</v>
      </c>
      <c r="P2961">
        <f t="shared" si="141"/>
        <v>-126</v>
      </c>
      <c r="Q2961" s="11">
        <f>IF(P2961=0,0,IFERROR(Q2960+G2961*M2961*IF(E2961="FUTURE",VLOOKUP(MID(I2961,2,2),[1]Futures!$A$2:$B$12,2),1),G2961*M2961*IF(E2961="FUTURE",VLOOKUP(MID(I2961,2,2),[1]Futures!$A$2:$B$12,2),1)))</f>
        <v>-3468.0600000000004</v>
      </c>
      <c r="R2961" s="12">
        <f>IFERROR(Q2961/P2961/IF(E2961="FUTURE",VLOOKUP(MID(I2961,2,2),[1]Futures!$A$2:$B$12,2),1),"")</f>
        <v>27.524285714285718</v>
      </c>
      <c r="S2961" s="13" t="str">
        <f>IF(AND(H2961="TO CLOSE",P2961=0),-G2961*(M2961-R2960)*IF(E2961="FUTURE",VLOOKUP(MID(I2961,2,2),[1]Futures!$A$2:$B$12,2),1),"")</f>
        <v/>
      </c>
    </row>
    <row r="2962" spans="1:19" x14ac:dyDescent="0.2">
      <c r="A2962">
        <f t="shared" si="140"/>
        <v>957</v>
      </c>
      <c r="B2962" s="3">
        <v>44132</v>
      </c>
      <c r="C2962" s="3" t="str">
        <f t="shared" si="139"/>
        <v>Wednesday</v>
      </c>
      <c r="D2962" s="2">
        <v>0.46428240740740739</v>
      </c>
      <c r="E2962" t="s">
        <v>22</v>
      </c>
      <c r="F2962" t="s">
        <v>19</v>
      </c>
      <c r="G2962">
        <v>26</v>
      </c>
      <c r="H2962" t="s">
        <v>16</v>
      </c>
      <c r="I2962" t="s">
        <v>23</v>
      </c>
      <c r="L2962" t="s">
        <v>22</v>
      </c>
      <c r="M2962">
        <v>26.81</v>
      </c>
      <c r="N2962">
        <v>26.81</v>
      </c>
      <c r="O2962" t="s">
        <v>21</v>
      </c>
      <c r="P2962">
        <f t="shared" si="141"/>
        <v>-100</v>
      </c>
      <c r="Q2962" s="11">
        <f>IF(P2962=0,0,IFERROR(Q2961+G2962*M2962*IF(E2962="FUTURE",VLOOKUP(MID(I2962,2,2),[1]Futures!$A$2:$B$12,2),1),G2962*M2962*IF(E2962="FUTURE",VLOOKUP(MID(I2962,2,2),[1]Futures!$A$2:$B$12,2),1)))</f>
        <v>-2771.0000000000005</v>
      </c>
      <c r="R2962" s="12">
        <f>IFERROR(Q2962/P2962/IF(E2962="FUTURE",VLOOKUP(MID(I2962,2,2),[1]Futures!$A$2:$B$12,2),1),"")</f>
        <v>27.710000000000004</v>
      </c>
      <c r="S2962" s="13" t="str">
        <f>IF(AND(H2962="TO CLOSE",P2962=0),-G2962*(M2962-R2961)*IF(E2962="FUTURE",VLOOKUP(MID(I2962,2,2),[1]Futures!$A$2:$B$12,2),1),"")</f>
        <v/>
      </c>
    </row>
    <row r="2963" spans="1:19" x14ac:dyDescent="0.2">
      <c r="A2963">
        <f t="shared" si="140"/>
        <v>957</v>
      </c>
      <c r="B2963" s="3">
        <v>44132</v>
      </c>
      <c r="C2963" s="3" t="str">
        <f t="shared" si="139"/>
        <v>Wednesday</v>
      </c>
      <c r="D2963" s="2">
        <v>0.48369212962962965</v>
      </c>
      <c r="E2963" t="s">
        <v>22</v>
      </c>
      <c r="F2963" t="s">
        <v>15</v>
      </c>
      <c r="G2963">
        <v>-100</v>
      </c>
      <c r="H2963" t="s">
        <v>20</v>
      </c>
      <c r="I2963" t="s">
        <v>23</v>
      </c>
      <c r="L2963" t="s">
        <v>22</v>
      </c>
      <c r="M2963">
        <v>27.11</v>
      </c>
      <c r="N2963">
        <v>27.11</v>
      </c>
      <c r="O2963" t="s">
        <v>21</v>
      </c>
      <c r="P2963">
        <f t="shared" si="141"/>
        <v>-200</v>
      </c>
      <c r="Q2963" s="11">
        <f>IF(P2963=0,0,IFERROR(Q2962+G2963*M2963*IF(E2963="FUTURE",VLOOKUP(MID(I2963,2,2),[1]Futures!$A$2:$B$12,2),1),G2963*M2963*IF(E2963="FUTURE",VLOOKUP(MID(I2963,2,2),[1]Futures!$A$2:$B$12,2),1)))</f>
        <v>-5482</v>
      </c>
      <c r="R2963" s="12">
        <f>IFERROR(Q2963/P2963/IF(E2963="FUTURE",VLOOKUP(MID(I2963,2,2),[1]Futures!$A$2:$B$12,2),1),"")</f>
        <v>27.41</v>
      </c>
      <c r="S2963" s="13" t="str">
        <f>IF(AND(H2963="TO CLOSE",P2963=0),-G2963*(M2963-R2962)*IF(E2963="FUTURE",VLOOKUP(MID(I2963,2,2),[1]Futures!$A$2:$B$12,2),1),"")</f>
        <v/>
      </c>
    </row>
    <row r="2964" spans="1:19" x14ac:dyDescent="0.2">
      <c r="A2964">
        <f t="shared" si="140"/>
        <v>957</v>
      </c>
      <c r="B2964" s="3">
        <v>44132</v>
      </c>
      <c r="C2964" s="3" t="str">
        <f t="shared" si="139"/>
        <v>Wednesday</v>
      </c>
      <c r="D2964" s="2">
        <v>0.48929398148148145</v>
      </c>
      <c r="E2964" t="s">
        <v>22</v>
      </c>
      <c r="F2964" t="s">
        <v>19</v>
      </c>
      <c r="G2964">
        <v>50</v>
      </c>
      <c r="H2964" t="s">
        <v>16</v>
      </c>
      <c r="I2964" t="s">
        <v>23</v>
      </c>
      <c r="L2964" t="s">
        <v>22</v>
      </c>
      <c r="M2964">
        <v>26.6098</v>
      </c>
      <c r="N2964">
        <v>26.6098</v>
      </c>
      <c r="O2964" t="s">
        <v>21</v>
      </c>
      <c r="P2964">
        <f t="shared" si="141"/>
        <v>-150</v>
      </c>
      <c r="Q2964" s="11">
        <f>IF(P2964=0,0,IFERROR(Q2963+G2964*M2964*IF(E2964="FUTURE",VLOOKUP(MID(I2964,2,2),[1]Futures!$A$2:$B$12,2),1),G2964*M2964*IF(E2964="FUTURE",VLOOKUP(MID(I2964,2,2),[1]Futures!$A$2:$B$12,2),1)))</f>
        <v>-4151.51</v>
      </c>
      <c r="R2964" s="12">
        <f>IFERROR(Q2964/P2964/IF(E2964="FUTURE",VLOOKUP(MID(I2964,2,2),[1]Futures!$A$2:$B$12,2),1),"")</f>
        <v>27.676733333333335</v>
      </c>
      <c r="S2964" s="13" t="str">
        <f>IF(AND(H2964="TO CLOSE",P2964=0),-G2964*(M2964-R2963)*IF(E2964="FUTURE",VLOOKUP(MID(I2964,2,2),[1]Futures!$A$2:$B$12,2),1),"")</f>
        <v/>
      </c>
    </row>
    <row r="2965" spans="1:19" x14ac:dyDescent="0.2">
      <c r="A2965">
        <f t="shared" si="140"/>
        <v>957</v>
      </c>
      <c r="B2965" s="3">
        <v>44132</v>
      </c>
      <c r="C2965" s="3" t="str">
        <f t="shared" si="139"/>
        <v>Wednesday</v>
      </c>
      <c r="D2965" s="2">
        <v>0.49042824074074076</v>
      </c>
      <c r="E2965" t="s">
        <v>22</v>
      </c>
      <c r="F2965" t="s">
        <v>19</v>
      </c>
      <c r="G2965">
        <v>50</v>
      </c>
      <c r="H2965" t="s">
        <v>16</v>
      </c>
      <c r="I2965" t="s">
        <v>23</v>
      </c>
      <c r="L2965" t="s">
        <v>22</v>
      </c>
      <c r="M2965">
        <v>26.55</v>
      </c>
      <c r="N2965">
        <v>26.55</v>
      </c>
      <c r="O2965" t="s">
        <v>21</v>
      </c>
      <c r="P2965">
        <f t="shared" si="141"/>
        <v>-100</v>
      </c>
      <c r="Q2965" s="11">
        <f>IF(P2965=0,0,IFERROR(Q2964+G2965*M2965*IF(E2965="FUTURE",VLOOKUP(MID(I2965,2,2),[1]Futures!$A$2:$B$12,2),1),G2965*M2965*IF(E2965="FUTURE",VLOOKUP(MID(I2965,2,2),[1]Futures!$A$2:$B$12,2),1)))</f>
        <v>-2824.01</v>
      </c>
      <c r="R2965" s="12">
        <f>IFERROR(Q2965/P2965/IF(E2965="FUTURE",VLOOKUP(MID(I2965,2,2),[1]Futures!$A$2:$B$12,2),1),"")</f>
        <v>28.240100000000002</v>
      </c>
      <c r="S2965" s="13" t="str">
        <f>IF(AND(H2965="TO CLOSE",P2965=0),-G2965*(M2965-R2964)*IF(E2965="FUTURE",VLOOKUP(MID(I2965,2,2),[1]Futures!$A$2:$B$12,2),1),"")</f>
        <v/>
      </c>
    </row>
    <row r="2966" spans="1:19" x14ac:dyDescent="0.2">
      <c r="A2966">
        <f t="shared" si="140"/>
        <v>957</v>
      </c>
      <c r="B2966" s="3">
        <v>44132</v>
      </c>
      <c r="C2966" s="3" t="str">
        <f t="shared" si="139"/>
        <v>Wednesday</v>
      </c>
      <c r="D2966" s="2">
        <v>0.49182870370370368</v>
      </c>
      <c r="E2966" t="s">
        <v>22</v>
      </c>
      <c r="F2966" t="s">
        <v>19</v>
      </c>
      <c r="G2966">
        <v>50</v>
      </c>
      <c r="H2966" t="s">
        <v>16</v>
      </c>
      <c r="I2966" t="s">
        <v>23</v>
      </c>
      <c r="L2966" t="s">
        <v>22</v>
      </c>
      <c r="M2966">
        <v>26.44</v>
      </c>
      <c r="N2966">
        <v>26.44</v>
      </c>
      <c r="O2966" t="s">
        <v>21</v>
      </c>
      <c r="P2966">
        <f t="shared" si="141"/>
        <v>-50</v>
      </c>
      <c r="Q2966" s="11">
        <f>IF(P2966=0,0,IFERROR(Q2965+G2966*M2966*IF(E2966="FUTURE",VLOOKUP(MID(I2966,2,2),[1]Futures!$A$2:$B$12,2),1),G2966*M2966*IF(E2966="FUTURE",VLOOKUP(MID(I2966,2,2),[1]Futures!$A$2:$B$12,2),1)))</f>
        <v>-1502.0100000000002</v>
      </c>
      <c r="R2966" s="12">
        <f>IFERROR(Q2966/P2966/IF(E2966="FUTURE",VLOOKUP(MID(I2966,2,2),[1]Futures!$A$2:$B$12,2),1),"")</f>
        <v>30.040200000000006</v>
      </c>
      <c r="S2966" s="13" t="str">
        <f>IF(AND(H2966="TO CLOSE",P2966=0),-G2966*(M2966-R2965)*IF(E2966="FUTURE",VLOOKUP(MID(I2966,2,2),[1]Futures!$A$2:$B$12,2),1),"")</f>
        <v/>
      </c>
    </row>
    <row r="2967" spans="1:19" x14ac:dyDescent="0.2">
      <c r="A2967">
        <f t="shared" si="140"/>
        <v>957</v>
      </c>
      <c r="B2967" s="3">
        <v>44132</v>
      </c>
      <c r="C2967" s="3" t="str">
        <f t="shared" si="139"/>
        <v>Wednesday</v>
      </c>
      <c r="D2967" s="2">
        <v>0.49464120370370374</v>
      </c>
      <c r="E2967" t="s">
        <v>22</v>
      </c>
      <c r="F2967" t="s">
        <v>19</v>
      </c>
      <c r="G2967">
        <v>50</v>
      </c>
      <c r="H2967" t="s">
        <v>16</v>
      </c>
      <c r="I2967" t="s">
        <v>23</v>
      </c>
      <c r="L2967" t="s">
        <v>22</v>
      </c>
      <c r="M2967">
        <v>26.418099999999999</v>
      </c>
      <c r="N2967">
        <v>26.417999999999999</v>
      </c>
      <c r="O2967" t="s">
        <v>24</v>
      </c>
      <c r="P2967">
        <f t="shared" si="141"/>
        <v>0</v>
      </c>
      <c r="Q2967" s="11">
        <f>IF(P2967=0,0,IFERROR(Q2966+G2967*M2967*IF(E2967="FUTURE",VLOOKUP(MID(I2967,2,2),[1]Futures!$A$2:$B$12,2),1),G2967*M2967*IF(E2967="FUTURE",VLOOKUP(MID(I2967,2,2),[1]Futures!$A$2:$B$12,2),1)))</f>
        <v>0</v>
      </c>
      <c r="R2967" s="12" t="str">
        <f>IFERROR(Q2967/P2967/IF(E2967="FUTURE",VLOOKUP(MID(I2967,2,2),[1]Futures!$A$2:$B$12,2),1),"")</f>
        <v/>
      </c>
      <c r="S2967" s="13">
        <f>IF(AND(H2967="TO CLOSE",P2967=0),-G2967*(M2967-R2966)*IF(E2967="FUTURE",VLOOKUP(MID(I2967,2,2),[1]Futures!$A$2:$B$12,2),1),"")</f>
        <v>181.10500000000033</v>
      </c>
    </row>
    <row r="2968" spans="1:19" x14ac:dyDescent="0.2">
      <c r="A2968">
        <f t="shared" si="140"/>
        <v>958</v>
      </c>
      <c r="B2968" s="3">
        <v>44132</v>
      </c>
      <c r="C2968" s="3" t="str">
        <f t="shared" si="139"/>
        <v>Wednesday</v>
      </c>
      <c r="D2968" s="2">
        <v>0.54105324074074079</v>
      </c>
      <c r="E2968" t="s">
        <v>22</v>
      </c>
      <c r="F2968" t="s">
        <v>15</v>
      </c>
      <c r="G2968">
        <v>-200</v>
      </c>
      <c r="H2968" t="s">
        <v>20</v>
      </c>
      <c r="I2968" t="s">
        <v>23</v>
      </c>
      <c r="L2968" t="s">
        <v>22</v>
      </c>
      <c r="M2968">
        <v>26.91</v>
      </c>
      <c r="N2968">
        <v>26.91</v>
      </c>
      <c r="O2968" t="s">
        <v>21</v>
      </c>
      <c r="P2968">
        <f t="shared" si="141"/>
        <v>-200</v>
      </c>
      <c r="Q2968" s="11">
        <f>IF(P2968=0,0,IFERROR(Q2967+G2968*M2968*IF(E2968="FUTURE",VLOOKUP(MID(I2968,2,2),[1]Futures!$A$2:$B$12,2),1),G2968*M2968*IF(E2968="FUTURE",VLOOKUP(MID(I2968,2,2),[1]Futures!$A$2:$B$12,2),1)))</f>
        <v>-5382</v>
      </c>
      <c r="R2968" s="12">
        <f>IFERROR(Q2968/P2968/IF(E2968="FUTURE",VLOOKUP(MID(I2968,2,2),[1]Futures!$A$2:$B$12,2),1),"")</f>
        <v>26.91</v>
      </c>
      <c r="S2968" s="13" t="str">
        <f>IF(AND(H2968="TO CLOSE",P2968=0),-G2968*(M2968-R2967)*IF(E2968="FUTURE",VLOOKUP(MID(I2968,2,2),[1]Futures!$A$2:$B$12,2),1),"")</f>
        <v/>
      </c>
    </row>
    <row r="2969" spans="1:19" x14ac:dyDescent="0.2">
      <c r="A2969">
        <f t="shared" si="140"/>
        <v>958</v>
      </c>
      <c r="B2969" s="3">
        <v>44132</v>
      </c>
      <c r="C2969" s="3" t="str">
        <f t="shared" si="139"/>
        <v>Wednesday</v>
      </c>
      <c r="D2969" s="2">
        <v>0.54826388888888888</v>
      </c>
      <c r="E2969" t="s">
        <v>22</v>
      </c>
      <c r="F2969" t="s">
        <v>15</v>
      </c>
      <c r="G2969">
        <v>-100</v>
      </c>
      <c r="H2969" t="s">
        <v>20</v>
      </c>
      <c r="I2969" t="s">
        <v>23</v>
      </c>
      <c r="L2969" t="s">
        <v>22</v>
      </c>
      <c r="M2969">
        <v>27.211099999999998</v>
      </c>
      <c r="N2969">
        <v>27.211099999999998</v>
      </c>
      <c r="O2969" t="s">
        <v>21</v>
      </c>
      <c r="P2969">
        <f t="shared" si="141"/>
        <v>-300</v>
      </c>
      <c r="Q2969" s="11">
        <f>IF(P2969=0,0,IFERROR(Q2968+G2969*M2969*IF(E2969="FUTURE",VLOOKUP(MID(I2969,2,2),[1]Futures!$A$2:$B$12,2),1),G2969*M2969*IF(E2969="FUTURE",VLOOKUP(MID(I2969,2,2),[1]Futures!$A$2:$B$12,2),1)))</f>
        <v>-8103.11</v>
      </c>
      <c r="R2969" s="12">
        <f>IFERROR(Q2969/P2969/IF(E2969="FUTURE",VLOOKUP(MID(I2969,2,2),[1]Futures!$A$2:$B$12,2),1),"")</f>
        <v>27.010366666666666</v>
      </c>
      <c r="S2969" s="13" t="str">
        <f>IF(AND(H2969="TO CLOSE",P2969=0),-G2969*(M2969-R2968)*IF(E2969="FUTURE",VLOOKUP(MID(I2969,2,2),[1]Futures!$A$2:$B$12,2),1),"")</f>
        <v/>
      </c>
    </row>
    <row r="2970" spans="1:19" x14ac:dyDescent="0.2">
      <c r="A2970">
        <f t="shared" si="140"/>
        <v>958</v>
      </c>
      <c r="B2970" s="3">
        <v>44132</v>
      </c>
      <c r="C2970" s="3" t="str">
        <f t="shared" si="139"/>
        <v>Wednesday</v>
      </c>
      <c r="D2970" s="2">
        <v>0.55249999999999999</v>
      </c>
      <c r="E2970" t="s">
        <v>22</v>
      </c>
      <c r="F2970" t="s">
        <v>15</v>
      </c>
      <c r="G2970">
        <v>-100</v>
      </c>
      <c r="H2970" t="s">
        <v>20</v>
      </c>
      <c r="I2970" t="s">
        <v>23</v>
      </c>
      <c r="L2970" t="s">
        <v>22</v>
      </c>
      <c r="M2970">
        <v>27.42</v>
      </c>
      <c r="N2970">
        <v>27.42</v>
      </c>
      <c r="O2970" t="s">
        <v>21</v>
      </c>
      <c r="P2970">
        <f t="shared" si="141"/>
        <v>-400</v>
      </c>
      <c r="Q2970" s="11">
        <f>IF(P2970=0,0,IFERROR(Q2969+G2970*M2970*IF(E2970="FUTURE",VLOOKUP(MID(I2970,2,2),[1]Futures!$A$2:$B$12,2),1),G2970*M2970*IF(E2970="FUTURE",VLOOKUP(MID(I2970,2,2),[1]Futures!$A$2:$B$12,2),1)))</f>
        <v>-10845.11</v>
      </c>
      <c r="R2970" s="12">
        <f>IFERROR(Q2970/P2970/IF(E2970="FUTURE",VLOOKUP(MID(I2970,2,2),[1]Futures!$A$2:$B$12,2),1),"")</f>
        <v>27.112775000000003</v>
      </c>
      <c r="S2970" s="13" t="str">
        <f>IF(AND(H2970="TO CLOSE",P2970=0),-G2970*(M2970-R2969)*IF(E2970="FUTURE",VLOOKUP(MID(I2970,2,2),[1]Futures!$A$2:$B$12,2),1),"")</f>
        <v/>
      </c>
    </row>
    <row r="2971" spans="1:19" x14ac:dyDescent="0.2">
      <c r="A2971">
        <f t="shared" si="140"/>
        <v>958</v>
      </c>
      <c r="B2971" s="3">
        <v>44132</v>
      </c>
      <c r="C2971" s="3" t="str">
        <f t="shared" si="139"/>
        <v>Wednesday</v>
      </c>
      <c r="D2971" s="2">
        <v>0.56482638888888892</v>
      </c>
      <c r="E2971" t="s">
        <v>22</v>
      </c>
      <c r="F2971" t="s">
        <v>19</v>
      </c>
      <c r="G2971">
        <v>100</v>
      </c>
      <c r="H2971" t="s">
        <v>16</v>
      </c>
      <c r="I2971" t="s">
        <v>23</v>
      </c>
      <c r="L2971" t="s">
        <v>22</v>
      </c>
      <c r="M2971">
        <v>27.099</v>
      </c>
      <c r="N2971">
        <v>27.099</v>
      </c>
      <c r="O2971" t="s">
        <v>21</v>
      </c>
      <c r="P2971">
        <f t="shared" si="141"/>
        <v>-300</v>
      </c>
      <c r="Q2971" s="11">
        <f>IF(P2971=0,0,IFERROR(Q2970+G2971*M2971*IF(E2971="FUTURE",VLOOKUP(MID(I2971,2,2),[1]Futures!$A$2:$B$12,2),1),G2971*M2971*IF(E2971="FUTURE",VLOOKUP(MID(I2971,2,2),[1]Futures!$A$2:$B$12,2),1)))</f>
        <v>-8135.2100000000009</v>
      </c>
      <c r="R2971" s="12">
        <f>IFERROR(Q2971/P2971/IF(E2971="FUTURE",VLOOKUP(MID(I2971,2,2),[1]Futures!$A$2:$B$12,2),1),"")</f>
        <v>27.117366666666669</v>
      </c>
      <c r="S2971" s="13" t="str">
        <f>IF(AND(H2971="TO CLOSE",P2971=0),-G2971*(M2971-R2970)*IF(E2971="FUTURE",VLOOKUP(MID(I2971,2,2),[1]Futures!$A$2:$B$12,2),1),"")</f>
        <v/>
      </c>
    </row>
    <row r="2972" spans="1:19" x14ac:dyDescent="0.2">
      <c r="A2972">
        <f t="shared" si="140"/>
        <v>958</v>
      </c>
      <c r="B2972" s="3">
        <v>44132</v>
      </c>
      <c r="C2972" s="3" t="str">
        <f t="shared" si="139"/>
        <v>Wednesday</v>
      </c>
      <c r="D2972" s="2">
        <v>0.56630787037037034</v>
      </c>
      <c r="E2972" t="s">
        <v>22</v>
      </c>
      <c r="F2972" t="s">
        <v>19</v>
      </c>
      <c r="G2972">
        <v>100</v>
      </c>
      <c r="H2972" t="s">
        <v>16</v>
      </c>
      <c r="I2972" t="s">
        <v>23</v>
      </c>
      <c r="L2972" t="s">
        <v>22</v>
      </c>
      <c r="M2972">
        <v>26.91</v>
      </c>
      <c r="N2972">
        <v>26.91</v>
      </c>
      <c r="O2972" t="s">
        <v>21</v>
      </c>
      <c r="P2972">
        <f t="shared" si="141"/>
        <v>-200</v>
      </c>
      <c r="Q2972" s="11">
        <f>IF(P2972=0,0,IFERROR(Q2971+G2972*M2972*IF(E2972="FUTURE",VLOOKUP(MID(I2972,2,2),[1]Futures!$A$2:$B$12,2),1),G2972*M2972*IF(E2972="FUTURE",VLOOKUP(MID(I2972,2,2),[1]Futures!$A$2:$B$12,2),1)))</f>
        <v>-5444.2100000000009</v>
      </c>
      <c r="R2972" s="12">
        <f>IFERROR(Q2972/P2972/IF(E2972="FUTURE",VLOOKUP(MID(I2972,2,2),[1]Futures!$A$2:$B$12,2),1),"")</f>
        <v>27.221050000000005</v>
      </c>
      <c r="S2972" s="13" t="str">
        <f>IF(AND(H2972="TO CLOSE",P2972=0),-G2972*(M2972-R2971)*IF(E2972="FUTURE",VLOOKUP(MID(I2972,2,2),[1]Futures!$A$2:$B$12,2),1),"")</f>
        <v/>
      </c>
    </row>
    <row r="2973" spans="1:19" x14ac:dyDescent="0.2">
      <c r="A2973">
        <f t="shared" si="140"/>
        <v>958</v>
      </c>
      <c r="B2973" s="3">
        <v>44132</v>
      </c>
      <c r="C2973" s="3" t="str">
        <f t="shared" si="139"/>
        <v>Wednesday</v>
      </c>
      <c r="D2973" s="2">
        <v>0.58714120370370371</v>
      </c>
      <c r="E2973" t="s">
        <v>22</v>
      </c>
      <c r="F2973" t="s">
        <v>15</v>
      </c>
      <c r="G2973">
        <v>-19</v>
      </c>
      <c r="H2973" t="s">
        <v>20</v>
      </c>
      <c r="I2973" t="s">
        <v>23</v>
      </c>
      <c r="L2973" t="s">
        <v>22</v>
      </c>
      <c r="M2973">
        <v>27.36</v>
      </c>
      <c r="N2973">
        <v>27.36</v>
      </c>
      <c r="O2973" t="s">
        <v>21</v>
      </c>
      <c r="P2973">
        <f t="shared" si="141"/>
        <v>-219</v>
      </c>
      <c r="Q2973" s="11">
        <f>IF(P2973=0,0,IFERROR(Q2972+G2973*M2973*IF(E2973="FUTURE",VLOOKUP(MID(I2973,2,2),[1]Futures!$A$2:$B$12,2),1),G2973*M2973*IF(E2973="FUTURE",VLOOKUP(MID(I2973,2,2),[1]Futures!$A$2:$B$12,2),1)))</f>
        <v>-5964.0500000000011</v>
      </c>
      <c r="R2973" s="12">
        <f>IFERROR(Q2973/P2973/IF(E2973="FUTURE",VLOOKUP(MID(I2973,2,2),[1]Futures!$A$2:$B$12,2),1),"")</f>
        <v>27.233105022831054</v>
      </c>
      <c r="S2973" s="13" t="str">
        <f>IF(AND(H2973="TO CLOSE",P2973=0),-G2973*(M2973-R2972)*IF(E2973="FUTURE",VLOOKUP(MID(I2973,2,2),[1]Futures!$A$2:$B$12,2),1),"")</f>
        <v/>
      </c>
    </row>
    <row r="2974" spans="1:19" x14ac:dyDescent="0.2">
      <c r="A2974">
        <f t="shared" si="140"/>
        <v>958</v>
      </c>
      <c r="B2974" s="3">
        <v>44132</v>
      </c>
      <c r="C2974" s="3" t="str">
        <f t="shared" si="139"/>
        <v>Wednesday</v>
      </c>
      <c r="D2974" s="2">
        <v>0.58714120370370371</v>
      </c>
      <c r="E2974" t="s">
        <v>22</v>
      </c>
      <c r="F2974" t="s">
        <v>15</v>
      </c>
      <c r="G2974">
        <v>-81</v>
      </c>
      <c r="H2974" t="s">
        <v>20</v>
      </c>
      <c r="I2974" t="s">
        <v>23</v>
      </c>
      <c r="L2974" t="s">
        <v>22</v>
      </c>
      <c r="M2974">
        <v>27.36</v>
      </c>
      <c r="N2974">
        <v>27.36</v>
      </c>
      <c r="O2974" t="s">
        <v>21</v>
      </c>
      <c r="P2974">
        <f t="shared" si="141"/>
        <v>-300</v>
      </c>
      <c r="Q2974" s="11">
        <f>IF(P2974=0,0,IFERROR(Q2973+G2974*M2974*IF(E2974="FUTURE",VLOOKUP(MID(I2974,2,2),[1]Futures!$A$2:$B$12,2),1),G2974*M2974*IF(E2974="FUTURE",VLOOKUP(MID(I2974,2,2),[1]Futures!$A$2:$B$12,2),1)))</f>
        <v>-8180.2100000000009</v>
      </c>
      <c r="R2974" s="12">
        <f>IFERROR(Q2974/P2974/IF(E2974="FUTURE",VLOOKUP(MID(I2974,2,2),[1]Futures!$A$2:$B$12,2),1),"")</f>
        <v>27.267366666666671</v>
      </c>
      <c r="S2974" s="13" t="str">
        <f>IF(AND(H2974="TO CLOSE",P2974=0),-G2974*(M2974-R2973)*IF(E2974="FUTURE",VLOOKUP(MID(I2974,2,2),[1]Futures!$A$2:$B$12,2),1),"")</f>
        <v/>
      </c>
    </row>
    <row r="2975" spans="1:19" x14ac:dyDescent="0.2">
      <c r="A2975">
        <f t="shared" si="140"/>
        <v>958</v>
      </c>
      <c r="B2975" s="3">
        <v>44132</v>
      </c>
      <c r="C2975" s="3" t="str">
        <f t="shared" si="139"/>
        <v>Wednesday</v>
      </c>
      <c r="D2975" s="2">
        <v>0.5955555555555555</v>
      </c>
      <c r="E2975" t="s">
        <v>22</v>
      </c>
      <c r="F2975" t="s">
        <v>15</v>
      </c>
      <c r="G2975">
        <v>-2</v>
      </c>
      <c r="H2975" t="s">
        <v>20</v>
      </c>
      <c r="I2975" t="s">
        <v>23</v>
      </c>
      <c r="L2975" t="s">
        <v>22</v>
      </c>
      <c r="M2975">
        <v>27.66</v>
      </c>
      <c r="N2975">
        <v>27.66</v>
      </c>
      <c r="O2975" t="s">
        <v>21</v>
      </c>
      <c r="P2975">
        <f t="shared" si="141"/>
        <v>-302</v>
      </c>
      <c r="Q2975" s="11">
        <f>IF(P2975=0,0,IFERROR(Q2974+G2975*M2975*IF(E2975="FUTURE",VLOOKUP(MID(I2975,2,2),[1]Futures!$A$2:$B$12,2),1),G2975*M2975*IF(E2975="FUTURE",VLOOKUP(MID(I2975,2,2),[1]Futures!$A$2:$B$12,2),1)))</f>
        <v>-8235.5300000000007</v>
      </c>
      <c r="R2975" s="12">
        <f>IFERROR(Q2975/P2975/IF(E2975="FUTURE",VLOOKUP(MID(I2975,2,2),[1]Futures!$A$2:$B$12,2),1),"")</f>
        <v>27.269966887417219</v>
      </c>
      <c r="S2975" s="13" t="str">
        <f>IF(AND(H2975="TO CLOSE",P2975=0),-G2975*(M2975-R2974)*IF(E2975="FUTURE",VLOOKUP(MID(I2975,2,2),[1]Futures!$A$2:$B$12,2),1),"")</f>
        <v/>
      </c>
    </row>
    <row r="2976" spans="1:19" x14ac:dyDescent="0.2">
      <c r="A2976">
        <f t="shared" si="140"/>
        <v>958</v>
      </c>
      <c r="B2976" s="3">
        <v>44132</v>
      </c>
      <c r="C2976" s="3" t="str">
        <f t="shared" si="139"/>
        <v>Wednesday</v>
      </c>
      <c r="D2976" s="2">
        <v>0.5955555555555555</v>
      </c>
      <c r="E2976" t="s">
        <v>22</v>
      </c>
      <c r="F2976" t="s">
        <v>15</v>
      </c>
      <c r="G2976">
        <v>-98</v>
      </c>
      <c r="H2976" t="s">
        <v>20</v>
      </c>
      <c r="I2976" t="s">
        <v>23</v>
      </c>
      <c r="L2976" t="s">
        <v>22</v>
      </c>
      <c r="M2976">
        <v>27.66</v>
      </c>
      <c r="N2976">
        <v>27.66</v>
      </c>
      <c r="O2976" t="s">
        <v>21</v>
      </c>
      <c r="P2976">
        <f t="shared" si="141"/>
        <v>-400</v>
      </c>
      <c r="Q2976" s="11">
        <f>IF(P2976=0,0,IFERROR(Q2975+G2976*M2976*IF(E2976="FUTURE",VLOOKUP(MID(I2976,2,2),[1]Futures!$A$2:$B$12,2),1),G2976*M2976*IF(E2976="FUTURE",VLOOKUP(MID(I2976,2,2),[1]Futures!$A$2:$B$12,2),1)))</f>
        <v>-10946.210000000001</v>
      </c>
      <c r="R2976" s="12">
        <f>IFERROR(Q2976/P2976/IF(E2976="FUTURE",VLOOKUP(MID(I2976,2,2),[1]Futures!$A$2:$B$12,2),1),"")</f>
        <v>27.365525000000002</v>
      </c>
      <c r="S2976" s="13" t="str">
        <f>IF(AND(H2976="TO CLOSE",P2976=0),-G2976*(M2976-R2975)*IF(E2976="FUTURE",VLOOKUP(MID(I2976,2,2),[1]Futures!$A$2:$B$12,2),1),"")</f>
        <v/>
      </c>
    </row>
    <row r="2977" spans="1:19" x14ac:dyDescent="0.2">
      <c r="A2977">
        <f t="shared" si="140"/>
        <v>958</v>
      </c>
      <c r="B2977" s="3">
        <v>44132</v>
      </c>
      <c r="C2977" s="3" t="str">
        <f t="shared" si="139"/>
        <v>Wednesday</v>
      </c>
      <c r="D2977" s="2">
        <v>0.5990509259259259</v>
      </c>
      <c r="E2977" t="s">
        <v>22</v>
      </c>
      <c r="F2977" t="s">
        <v>19</v>
      </c>
      <c r="G2977">
        <v>95</v>
      </c>
      <c r="H2977" t="s">
        <v>16</v>
      </c>
      <c r="I2977" t="s">
        <v>23</v>
      </c>
      <c r="L2977" t="s">
        <v>22</v>
      </c>
      <c r="M2977">
        <v>27.38</v>
      </c>
      <c r="N2977">
        <v>27.38</v>
      </c>
      <c r="O2977" t="s">
        <v>21</v>
      </c>
      <c r="P2977">
        <f t="shared" si="141"/>
        <v>-305</v>
      </c>
      <c r="Q2977" s="11">
        <f>IF(P2977=0,0,IFERROR(Q2976+G2977*M2977*IF(E2977="FUTURE",VLOOKUP(MID(I2977,2,2),[1]Futures!$A$2:$B$12,2),1),G2977*M2977*IF(E2977="FUTURE",VLOOKUP(MID(I2977,2,2),[1]Futures!$A$2:$B$12,2),1)))</f>
        <v>-8345.11</v>
      </c>
      <c r="R2977" s="12">
        <f>IFERROR(Q2977/P2977/IF(E2977="FUTURE",VLOOKUP(MID(I2977,2,2),[1]Futures!$A$2:$B$12,2),1),"")</f>
        <v>27.361016393442625</v>
      </c>
      <c r="S2977" s="13" t="str">
        <f>IF(AND(H2977="TO CLOSE",P2977=0),-G2977*(M2977-R2976)*IF(E2977="FUTURE",VLOOKUP(MID(I2977,2,2),[1]Futures!$A$2:$B$12,2),1),"")</f>
        <v/>
      </c>
    </row>
    <row r="2978" spans="1:19" x14ac:dyDescent="0.2">
      <c r="A2978">
        <f t="shared" si="140"/>
        <v>958</v>
      </c>
      <c r="B2978" s="3">
        <v>44132</v>
      </c>
      <c r="C2978" s="3" t="str">
        <f t="shared" ref="C2978:C3041" si="142">IF(WEEKDAY(B2978,2)=1,"Monday",IF(WEEKDAY(B2978,2)=2,"Tuesday",IF(WEEKDAY(B2978,2)=3,"Wednesday",IF(WEEKDAY(B2978,2)=4,"Thursday",IF(WEEKDAY(B2978,2)=5,"Friday","Sunday")))))</f>
        <v>Wednesday</v>
      </c>
      <c r="D2978" s="2">
        <v>0.59906249999999994</v>
      </c>
      <c r="E2978" t="s">
        <v>22</v>
      </c>
      <c r="F2978" t="s">
        <v>19</v>
      </c>
      <c r="G2978">
        <v>5</v>
      </c>
      <c r="H2978" t="s">
        <v>16</v>
      </c>
      <c r="I2978" t="s">
        <v>23</v>
      </c>
      <c r="L2978" t="s">
        <v>22</v>
      </c>
      <c r="M2978">
        <v>27.38</v>
      </c>
      <c r="N2978">
        <v>27.38</v>
      </c>
      <c r="O2978" t="s">
        <v>21</v>
      </c>
      <c r="P2978">
        <f t="shared" si="141"/>
        <v>-300</v>
      </c>
      <c r="Q2978" s="11">
        <f>IF(P2978=0,0,IFERROR(Q2977+G2978*M2978*IF(E2978="FUTURE",VLOOKUP(MID(I2978,2,2),[1]Futures!$A$2:$B$12,2),1),G2978*M2978*IF(E2978="FUTURE",VLOOKUP(MID(I2978,2,2),[1]Futures!$A$2:$B$12,2),1)))</f>
        <v>-8208.2100000000009</v>
      </c>
      <c r="R2978" s="12">
        <f>IFERROR(Q2978/P2978/IF(E2978="FUTURE",VLOOKUP(MID(I2978,2,2),[1]Futures!$A$2:$B$12,2),1),"")</f>
        <v>27.360700000000005</v>
      </c>
      <c r="S2978" s="13" t="str">
        <f>IF(AND(H2978="TO CLOSE",P2978=0),-G2978*(M2978-R2977)*IF(E2978="FUTURE",VLOOKUP(MID(I2978,2,2),[1]Futures!$A$2:$B$12,2),1),"")</f>
        <v/>
      </c>
    </row>
    <row r="2979" spans="1:19" x14ac:dyDescent="0.2">
      <c r="A2979">
        <f t="shared" si="140"/>
        <v>958</v>
      </c>
      <c r="B2979" s="3">
        <v>44132</v>
      </c>
      <c r="C2979" s="3" t="str">
        <f t="shared" si="142"/>
        <v>Wednesday</v>
      </c>
      <c r="D2979" s="2">
        <v>0.60099537037037043</v>
      </c>
      <c r="E2979" t="s">
        <v>22</v>
      </c>
      <c r="F2979" t="s">
        <v>19</v>
      </c>
      <c r="G2979">
        <v>100</v>
      </c>
      <c r="H2979" t="s">
        <v>16</v>
      </c>
      <c r="I2979" t="s">
        <v>23</v>
      </c>
      <c r="L2979" t="s">
        <v>22</v>
      </c>
      <c r="M2979">
        <v>27.16</v>
      </c>
      <c r="N2979">
        <v>27.16</v>
      </c>
      <c r="O2979" t="s">
        <v>21</v>
      </c>
      <c r="P2979">
        <f t="shared" si="141"/>
        <v>-200</v>
      </c>
      <c r="Q2979" s="11">
        <f>IF(P2979=0,0,IFERROR(Q2978+G2979*M2979*IF(E2979="FUTURE",VLOOKUP(MID(I2979,2,2),[1]Futures!$A$2:$B$12,2),1),G2979*M2979*IF(E2979="FUTURE",VLOOKUP(MID(I2979,2,2),[1]Futures!$A$2:$B$12,2),1)))</f>
        <v>-5492.2100000000009</v>
      </c>
      <c r="R2979" s="12">
        <f>IFERROR(Q2979/P2979/IF(E2979="FUTURE",VLOOKUP(MID(I2979,2,2),[1]Futures!$A$2:$B$12,2),1),"")</f>
        <v>27.461050000000004</v>
      </c>
      <c r="S2979" s="13" t="str">
        <f>IF(AND(H2979="TO CLOSE",P2979=0),-G2979*(M2979-R2978)*IF(E2979="FUTURE",VLOOKUP(MID(I2979,2,2),[1]Futures!$A$2:$B$12,2),1),"")</f>
        <v/>
      </c>
    </row>
    <row r="2980" spans="1:19" x14ac:dyDescent="0.2">
      <c r="A2980">
        <f t="shared" si="140"/>
        <v>958</v>
      </c>
      <c r="B2980" s="3">
        <v>44132</v>
      </c>
      <c r="C2980" s="3" t="str">
        <f t="shared" si="142"/>
        <v>Wednesday</v>
      </c>
      <c r="D2980" s="2">
        <v>0.62556712962962957</v>
      </c>
      <c r="E2980" t="s">
        <v>22</v>
      </c>
      <c r="F2980" t="s">
        <v>19</v>
      </c>
      <c r="G2980">
        <v>100</v>
      </c>
      <c r="H2980" t="s">
        <v>16</v>
      </c>
      <c r="I2980" t="s">
        <v>23</v>
      </c>
      <c r="L2980" t="s">
        <v>22</v>
      </c>
      <c r="M2980">
        <v>26.9283</v>
      </c>
      <c r="N2980">
        <v>26.9283</v>
      </c>
      <c r="O2980" t="s">
        <v>24</v>
      </c>
      <c r="P2980">
        <f t="shared" si="141"/>
        <v>-100</v>
      </c>
      <c r="Q2980" s="11">
        <f>IF(P2980=0,0,IFERROR(Q2979+G2980*M2980*IF(E2980="FUTURE",VLOOKUP(MID(I2980,2,2),[1]Futures!$A$2:$B$12,2),1),G2980*M2980*IF(E2980="FUTURE",VLOOKUP(MID(I2980,2,2),[1]Futures!$A$2:$B$12,2),1)))</f>
        <v>-2799.380000000001</v>
      </c>
      <c r="R2980" s="12">
        <f>IFERROR(Q2980/P2980/IF(E2980="FUTURE",VLOOKUP(MID(I2980,2,2),[1]Futures!$A$2:$B$12,2),1),"")</f>
        <v>27.993800000000011</v>
      </c>
      <c r="S2980" s="13" t="str">
        <f>IF(AND(H2980="TO CLOSE",P2980=0),-G2980*(M2980-R2979)*IF(E2980="FUTURE",VLOOKUP(MID(I2980,2,2),[1]Futures!$A$2:$B$12,2),1),"")</f>
        <v/>
      </c>
    </row>
    <row r="2981" spans="1:19" x14ac:dyDescent="0.2">
      <c r="A2981">
        <f t="shared" si="140"/>
        <v>958</v>
      </c>
      <c r="B2981" s="3">
        <v>44132</v>
      </c>
      <c r="C2981" s="3" t="str">
        <f t="shared" si="142"/>
        <v>Wednesday</v>
      </c>
      <c r="D2981" s="2">
        <v>0.64358796296296295</v>
      </c>
      <c r="E2981" t="s">
        <v>22</v>
      </c>
      <c r="F2981" t="s">
        <v>19</v>
      </c>
      <c r="G2981">
        <v>50</v>
      </c>
      <c r="H2981" t="s">
        <v>16</v>
      </c>
      <c r="I2981" t="s">
        <v>23</v>
      </c>
      <c r="L2981" t="s">
        <v>22</v>
      </c>
      <c r="M2981">
        <v>26.598099999999999</v>
      </c>
      <c r="N2981">
        <v>26.597999999999999</v>
      </c>
      <c r="O2981" t="s">
        <v>21</v>
      </c>
      <c r="P2981">
        <f t="shared" si="141"/>
        <v>-50</v>
      </c>
      <c r="Q2981" s="11">
        <f>IF(P2981=0,0,IFERROR(Q2980+G2981*M2981*IF(E2981="FUTURE",VLOOKUP(MID(I2981,2,2),[1]Futures!$A$2:$B$12,2),1),G2981*M2981*IF(E2981="FUTURE",VLOOKUP(MID(I2981,2,2),[1]Futures!$A$2:$B$12,2),1)))</f>
        <v>-1469.475000000001</v>
      </c>
      <c r="R2981" s="12">
        <f>IFERROR(Q2981/P2981/IF(E2981="FUTURE",VLOOKUP(MID(I2981,2,2),[1]Futures!$A$2:$B$12,2),1),"")</f>
        <v>29.389500000000019</v>
      </c>
      <c r="S2981" s="13" t="str">
        <f>IF(AND(H2981="TO CLOSE",P2981=0),-G2981*(M2981-R2980)*IF(E2981="FUTURE",VLOOKUP(MID(I2981,2,2),[1]Futures!$A$2:$B$12,2),1),"")</f>
        <v/>
      </c>
    </row>
    <row r="2982" spans="1:19" x14ac:dyDescent="0.2">
      <c r="A2982">
        <f t="shared" si="140"/>
        <v>958</v>
      </c>
      <c r="B2982" s="3">
        <v>44132</v>
      </c>
      <c r="C2982" s="3" t="str">
        <f t="shared" si="142"/>
        <v>Wednesday</v>
      </c>
      <c r="D2982" s="2">
        <v>0.64964120370370371</v>
      </c>
      <c r="E2982" t="s">
        <v>22</v>
      </c>
      <c r="F2982" t="s">
        <v>19</v>
      </c>
      <c r="G2982">
        <v>50</v>
      </c>
      <c r="H2982" t="s">
        <v>16</v>
      </c>
      <c r="I2982" t="s">
        <v>23</v>
      </c>
      <c r="L2982" t="s">
        <v>22</v>
      </c>
      <c r="M2982">
        <v>26.605</v>
      </c>
      <c r="N2982">
        <v>26.605</v>
      </c>
      <c r="O2982" t="s">
        <v>24</v>
      </c>
      <c r="P2982">
        <f t="shared" si="141"/>
        <v>0</v>
      </c>
      <c r="Q2982" s="11">
        <f>IF(P2982=0,0,IFERROR(Q2981+G2982*M2982*IF(E2982="FUTURE",VLOOKUP(MID(I2982,2,2),[1]Futures!$A$2:$B$12,2),1),G2982*M2982*IF(E2982="FUTURE",VLOOKUP(MID(I2982,2,2),[1]Futures!$A$2:$B$12,2),1)))</f>
        <v>0</v>
      </c>
      <c r="R2982" s="12" t="str">
        <f>IFERROR(Q2982/P2982/IF(E2982="FUTURE",VLOOKUP(MID(I2982,2,2),[1]Futures!$A$2:$B$12,2),1),"")</f>
        <v/>
      </c>
      <c r="S2982" s="13">
        <f>IF(AND(H2982="TO CLOSE",P2982=0),-G2982*(M2982-R2981)*IF(E2982="FUTURE",VLOOKUP(MID(I2982,2,2),[1]Futures!$A$2:$B$12,2),1),"")</f>
        <v>139.22500000000096</v>
      </c>
    </row>
    <row r="2983" spans="1:19" x14ac:dyDescent="0.2">
      <c r="A2983">
        <f t="shared" si="140"/>
        <v>959</v>
      </c>
      <c r="B2983" s="3">
        <v>44133</v>
      </c>
      <c r="C2983" s="3" t="str">
        <f t="shared" si="142"/>
        <v>Thursday</v>
      </c>
      <c r="D2983" s="2">
        <v>0.36895833333333333</v>
      </c>
      <c r="E2983" t="s">
        <v>14</v>
      </c>
      <c r="F2983" t="s">
        <v>19</v>
      </c>
      <c r="G2983">
        <v>1</v>
      </c>
      <c r="H2983" t="s">
        <v>20</v>
      </c>
      <c r="I2983" t="s">
        <v>85</v>
      </c>
      <c r="J2983" s="1">
        <v>44185</v>
      </c>
      <c r="L2983" t="s">
        <v>14</v>
      </c>
      <c r="M2983">
        <v>3274.25</v>
      </c>
      <c r="N2983">
        <v>3274.25</v>
      </c>
      <c r="O2983" t="s">
        <v>21</v>
      </c>
      <c r="P2983">
        <f t="shared" si="141"/>
        <v>1</v>
      </c>
      <c r="Q2983" s="11">
        <f>IF(P2983=0,0,IFERROR(Q2982+G2983*M2983*IF(E2983="FUTURE",VLOOKUP(MID(I2983,2,2),[1]Futures!$A$2:$B$12,2),1),G2983*M2983*IF(E2983="FUTURE",VLOOKUP(MID(I2983,2,2),[1]Futures!$A$2:$B$12,2),1)))</f>
        <v>163712.5</v>
      </c>
      <c r="R2983" s="12">
        <f>IFERROR(Q2983/P2983/IF(E2983="FUTURE",VLOOKUP(MID(I2983,2,2),[1]Futures!$A$2:$B$12,2),1),"")</f>
        <v>3274.25</v>
      </c>
      <c r="S2983" s="13" t="str">
        <f>IF(AND(H2983="TO CLOSE",P2983=0),-G2983*(M2983-R2982)*IF(E2983="FUTURE",VLOOKUP(MID(I2983,2,2),[1]Futures!$A$2:$B$12,2),1),"")</f>
        <v/>
      </c>
    </row>
    <row r="2984" spans="1:19" x14ac:dyDescent="0.2">
      <c r="A2984">
        <f t="shared" si="140"/>
        <v>959</v>
      </c>
      <c r="B2984" s="3">
        <v>44133</v>
      </c>
      <c r="C2984" s="3" t="str">
        <f t="shared" si="142"/>
        <v>Thursday</v>
      </c>
      <c r="D2984" s="2">
        <v>0.43234953703703699</v>
      </c>
      <c r="E2984" t="s">
        <v>14</v>
      </c>
      <c r="F2984" t="s">
        <v>15</v>
      </c>
      <c r="G2984">
        <v>-1</v>
      </c>
      <c r="H2984" t="s">
        <v>16</v>
      </c>
      <c r="I2984" t="s">
        <v>85</v>
      </c>
      <c r="J2984" s="1">
        <v>44185</v>
      </c>
      <c r="L2984" t="s">
        <v>14</v>
      </c>
      <c r="M2984">
        <v>3288.75</v>
      </c>
      <c r="N2984">
        <v>3288.75</v>
      </c>
      <c r="O2984" t="s">
        <v>21</v>
      </c>
      <c r="P2984">
        <f t="shared" si="141"/>
        <v>0</v>
      </c>
      <c r="Q2984" s="11">
        <f>IF(P2984=0,0,IFERROR(Q2983+G2984*M2984*IF(E2984="FUTURE",VLOOKUP(MID(I2984,2,2),[1]Futures!$A$2:$B$12,2),1),G2984*M2984*IF(E2984="FUTURE",VLOOKUP(MID(I2984,2,2),[1]Futures!$A$2:$B$12,2),1)))</f>
        <v>0</v>
      </c>
      <c r="R2984" s="12" t="str">
        <f>IFERROR(Q2984/P2984/IF(E2984="FUTURE",VLOOKUP(MID(I2984,2,2),[1]Futures!$A$2:$B$12,2),1),"")</f>
        <v/>
      </c>
      <c r="S2984" s="13">
        <f>IF(AND(H2984="TO CLOSE",P2984=0),-G2984*(M2984-R2983)*IF(E2984="FUTURE",VLOOKUP(MID(I2984,2,2),[1]Futures!$A$2:$B$12,2),1),"")</f>
        <v>725</v>
      </c>
    </row>
    <row r="2985" spans="1:19" x14ac:dyDescent="0.2">
      <c r="A2985">
        <f t="shared" si="140"/>
        <v>960</v>
      </c>
      <c r="B2985" s="3">
        <v>44133</v>
      </c>
      <c r="C2985" s="3" t="str">
        <f t="shared" si="142"/>
        <v>Thursday</v>
      </c>
      <c r="D2985" s="2">
        <v>0.43517361111111108</v>
      </c>
      <c r="E2985" t="s">
        <v>14</v>
      </c>
      <c r="F2985" t="s">
        <v>15</v>
      </c>
      <c r="G2985">
        <v>-1</v>
      </c>
      <c r="H2985" t="s">
        <v>20</v>
      </c>
      <c r="I2985" t="s">
        <v>85</v>
      </c>
      <c r="J2985" s="1">
        <v>44185</v>
      </c>
      <c r="L2985" t="s">
        <v>14</v>
      </c>
      <c r="M2985">
        <v>3284.75</v>
      </c>
      <c r="N2985">
        <v>3284.75</v>
      </c>
      <c r="O2985" t="s">
        <v>21</v>
      </c>
      <c r="P2985">
        <f t="shared" si="141"/>
        <v>-1</v>
      </c>
      <c r="Q2985" s="11">
        <f>IF(P2985=0,0,IFERROR(Q2984+G2985*M2985*IF(E2985="FUTURE",VLOOKUP(MID(I2985,2,2),[1]Futures!$A$2:$B$12,2),1),G2985*M2985*IF(E2985="FUTURE",VLOOKUP(MID(I2985,2,2),[1]Futures!$A$2:$B$12,2),1)))</f>
        <v>-164237.5</v>
      </c>
      <c r="R2985" s="12">
        <f>IFERROR(Q2985/P2985/IF(E2985="FUTURE",VLOOKUP(MID(I2985,2,2),[1]Futures!$A$2:$B$12,2),1),"")</f>
        <v>3284.75</v>
      </c>
      <c r="S2985" s="13" t="str">
        <f>IF(AND(H2985="TO CLOSE",P2985=0),-G2985*(M2985-R2984)*IF(E2985="FUTURE",VLOOKUP(MID(I2985,2,2),[1]Futures!$A$2:$B$12,2),1),"")</f>
        <v/>
      </c>
    </row>
    <row r="2986" spans="1:19" x14ac:dyDescent="0.2">
      <c r="A2986">
        <f t="shared" si="140"/>
        <v>960</v>
      </c>
      <c r="B2986" s="3">
        <v>44133</v>
      </c>
      <c r="C2986" s="3" t="str">
        <f t="shared" si="142"/>
        <v>Thursday</v>
      </c>
      <c r="D2986" s="2">
        <v>0.46262731481481478</v>
      </c>
      <c r="E2986" t="s">
        <v>14</v>
      </c>
      <c r="F2986" t="s">
        <v>19</v>
      </c>
      <c r="G2986">
        <v>1</v>
      </c>
      <c r="H2986" t="s">
        <v>16</v>
      </c>
      <c r="I2986" t="s">
        <v>85</v>
      </c>
      <c r="J2986" s="1">
        <v>44185</v>
      </c>
      <c r="L2986" t="s">
        <v>14</v>
      </c>
      <c r="M2986">
        <v>3284.5</v>
      </c>
      <c r="N2986">
        <v>3284.5</v>
      </c>
      <c r="O2986" t="s">
        <v>21</v>
      </c>
      <c r="P2986">
        <f t="shared" si="141"/>
        <v>0</v>
      </c>
      <c r="Q2986" s="11">
        <f>IF(P2986=0,0,IFERROR(Q2985+G2986*M2986*IF(E2986="FUTURE",VLOOKUP(MID(I2986,2,2),[1]Futures!$A$2:$B$12,2),1),G2986*M2986*IF(E2986="FUTURE",VLOOKUP(MID(I2986,2,2),[1]Futures!$A$2:$B$12,2),1)))</f>
        <v>0</v>
      </c>
      <c r="R2986" s="12" t="str">
        <f>IFERROR(Q2986/P2986/IF(E2986="FUTURE",VLOOKUP(MID(I2986,2,2),[1]Futures!$A$2:$B$12,2),1),"")</f>
        <v/>
      </c>
      <c r="S2986" s="13">
        <f>IF(AND(H2986="TO CLOSE",P2986=0),-G2986*(M2986-R2985)*IF(E2986="FUTURE",VLOOKUP(MID(I2986,2,2),[1]Futures!$A$2:$B$12,2),1),"")</f>
        <v>12.5</v>
      </c>
    </row>
    <row r="2987" spans="1:19" x14ac:dyDescent="0.2">
      <c r="A2987">
        <f t="shared" si="140"/>
        <v>961</v>
      </c>
      <c r="B2987" s="3">
        <v>44133</v>
      </c>
      <c r="C2987" s="3" t="str">
        <f t="shared" si="142"/>
        <v>Thursday</v>
      </c>
      <c r="D2987" s="2">
        <v>0.48181712962962964</v>
      </c>
      <c r="E2987" t="s">
        <v>14</v>
      </c>
      <c r="F2987" t="s">
        <v>15</v>
      </c>
      <c r="G2987">
        <v>-1</v>
      </c>
      <c r="H2987" t="s">
        <v>20</v>
      </c>
      <c r="I2987" t="s">
        <v>85</v>
      </c>
      <c r="J2987" s="1">
        <v>44185</v>
      </c>
      <c r="L2987" t="s">
        <v>14</v>
      </c>
      <c r="M2987">
        <v>3286.75</v>
      </c>
      <c r="N2987">
        <v>3286.75</v>
      </c>
      <c r="O2987" t="s">
        <v>21</v>
      </c>
      <c r="P2987">
        <f t="shared" si="141"/>
        <v>-1</v>
      </c>
      <c r="Q2987" s="11">
        <f>IF(P2987=0,0,IFERROR(Q2986+G2987*M2987*IF(E2987="FUTURE",VLOOKUP(MID(I2987,2,2),[1]Futures!$A$2:$B$12,2),1),G2987*M2987*IF(E2987="FUTURE",VLOOKUP(MID(I2987,2,2),[1]Futures!$A$2:$B$12,2),1)))</f>
        <v>-164337.5</v>
      </c>
      <c r="R2987" s="12">
        <f>IFERROR(Q2987/P2987/IF(E2987="FUTURE",VLOOKUP(MID(I2987,2,2),[1]Futures!$A$2:$B$12,2),1),"")</f>
        <v>3286.75</v>
      </c>
      <c r="S2987" s="13" t="str">
        <f>IF(AND(H2987="TO CLOSE",P2987=0),-G2987*(M2987-R2986)*IF(E2987="FUTURE",VLOOKUP(MID(I2987,2,2),[1]Futures!$A$2:$B$12,2),1),"")</f>
        <v/>
      </c>
    </row>
    <row r="2988" spans="1:19" x14ac:dyDescent="0.2">
      <c r="A2988">
        <f t="shared" si="140"/>
        <v>961</v>
      </c>
      <c r="B2988" s="3">
        <v>44133</v>
      </c>
      <c r="C2988" s="3" t="str">
        <f t="shared" si="142"/>
        <v>Thursday</v>
      </c>
      <c r="D2988" s="2">
        <v>0.48881944444444447</v>
      </c>
      <c r="E2988" t="s">
        <v>14</v>
      </c>
      <c r="F2988" t="s">
        <v>19</v>
      </c>
      <c r="G2988">
        <v>1</v>
      </c>
      <c r="H2988" t="s">
        <v>16</v>
      </c>
      <c r="I2988" t="s">
        <v>85</v>
      </c>
      <c r="J2988" s="1">
        <v>44185</v>
      </c>
      <c r="L2988" t="s">
        <v>14</v>
      </c>
      <c r="M2988">
        <v>3282.75</v>
      </c>
      <c r="N2988">
        <v>3282.75</v>
      </c>
      <c r="O2988" t="s">
        <v>24</v>
      </c>
      <c r="P2988">
        <f t="shared" si="141"/>
        <v>0</v>
      </c>
      <c r="Q2988" s="11">
        <f>IF(P2988=0,0,IFERROR(Q2987+G2988*M2988*IF(E2988="FUTURE",VLOOKUP(MID(I2988,2,2),[1]Futures!$A$2:$B$12,2),1),G2988*M2988*IF(E2988="FUTURE",VLOOKUP(MID(I2988,2,2),[1]Futures!$A$2:$B$12,2),1)))</f>
        <v>0</v>
      </c>
      <c r="R2988" s="12" t="str">
        <f>IFERROR(Q2988/P2988/IF(E2988="FUTURE",VLOOKUP(MID(I2988,2,2),[1]Futures!$A$2:$B$12,2),1),"")</f>
        <v/>
      </c>
      <c r="S2988" s="13">
        <f>IF(AND(H2988="TO CLOSE",P2988=0),-G2988*(M2988-R2987)*IF(E2988="FUTURE",VLOOKUP(MID(I2988,2,2),[1]Futures!$A$2:$B$12,2),1),"")</f>
        <v>200</v>
      </c>
    </row>
    <row r="2989" spans="1:19" x14ac:dyDescent="0.2">
      <c r="A2989">
        <f t="shared" si="140"/>
        <v>962</v>
      </c>
      <c r="B2989" s="3">
        <v>44133</v>
      </c>
      <c r="C2989" s="3" t="str">
        <f t="shared" si="142"/>
        <v>Thursday</v>
      </c>
      <c r="D2989" s="2">
        <v>0.51096064814814812</v>
      </c>
      <c r="E2989" t="s">
        <v>14</v>
      </c>
      <c r="F2989" t="s">
        <v>19</v>
      </c>
      <c r="G2989">
        <v>1</v>
      </c>
      <c r="H2989" t="s">
        <v>20</v>
      </c>
      <c r="I2989" t="s">
        <v>85</v>
      </c>
      <c r="J2989" s="1">
        <v>44185</v>
      </c>
      <c r="L2989" t="s">
        <v>14</v>
      </c>
      <c r="M2989">
        <v>3287.5</v>
      </c>
      <c r="N2989">
        <v>3287.5</v>
      </c>
      <c r="O2989" t="s">
        <v>21</v>
      </c>
      <c r="P2989">
        <f t="shared" si="141"/>
        <v>1</v>
      </c>
      <c r="Q2989" s="11">
        <f>IF(P2989=0,0,IFERROR(Q2988+G2989*M2989*IF(E2989="FUTURE",VLOOKUP(MID(I2989,2,2),[1]Futures!$A$2:$B$12,2),1),G2989*M2989*IF(E2989="FUTURE",VLOOKUP(MID(I2989,2,2),[1]Futures!$A$2:$B$12,2),1)))</f>
        <v>164375</v>
      </c>
      <c r="R2989" s="12">
        <f>IFERROR(Q2989/P2989/IF(E2989="FUTURE",VLOOKUP(MID(I2989,2,2),[1]Futures!$A$2:$B$12,2),1),"")</f>
        <v>3287.5</v>
      </c>
      <c r="S2989" s="13" t="str">
        <f>IF(AND(H2989="TO CLOSE",P2989=0),-G2989*(M2989-R2988)*IF(E2989="FUTURE",VLOOKUP(MID(I2989,2,2),[1]Futures!$A$2:$B$12,2),1),"")</f>
        <v/>
      </c>
    </row>
    <row r="2990" spans="1:19" x14ac:dyDescent="0.2">
      <c r="A2990">
        <f t="shared" si="140"/>
        <v>962</v>
      </c>
      <c r="B2990" s="3">
        <v>44133</v>
      </c>
      <c r="C2990" s="3" t="str">
        <f t="shared" si="142"/>
        <v>Thursday</v>
      </c>
      <c r="D2990" s="2">
        <v>0.51300925925925933</v>
      </c>
      <c r="E2990" t="s">
        <v>14</v>
      </c>
      <c r="F2990" t="s">
        <v>15</v>
      </c>
      <c r="G2990">
        <v>-1</v>
      </c>
      <c r="H2990" t="s">
        <v>16</v>
      </c>
      <c r="I2990" t="s">
        <v>85</v>
      </c>
      <c r="J2990" s="1">
        <v>44185</v>
      </c>
      <c r="L2990" t="s">
        <v>14</v>
      </c>
      <c r="M2990">
        <v>3288</v>
      </c>
      <c r="N2990">
        <v>3288</v>
      </c>
      <c r="O2990" t="s">
        <v>18</v>
      </c>
      <c r="P2990">
        <f t="shared" si="141"/>
        <v>0</v>
      </c>
      <c r="Q2990" s="11">
        <f>IF(P2990=0,0,IFERROR(Q2989+G2990*M2990*IF(E2990="FUTURE",VLOOKUP(MID(I2990,2,2),[1]Futures!$A$2:$B$12,2),1),G2990*M2990*IF(E2990="FUTURE",VLOOKUP(MID(I2990,2,2),[1]Futures!$A$2:$B$12,2),1)))</f>
        <v>0</v>
      </c>
      <c r="R2990" s="12" t="str">
        <f>IFERROR(Q2990/P2990/IF(E2990="FUTURE",VLOOKUP(MID(I2990,2,2),[1]Futures!$A$2:$B$12,2),1),"")</f>
        <v/>
      </c>
      <c r="S2990" s="13">
        <f>IF(AND(H2990="TO CLOSE",P2990=0),-G2990*(M2990-R2989)*IF(E2990="FUTURE",VLOOKUP(MID(I2990,2,2),[1]Futures!$A$2:$B$12,2),1),"")</f>
        <v>25</v>
      </c>
    </row>
    <row r="2991" spans="1:19" x14ac:dyDescent="0.2">
      <c r="A2991">
        <f t="shared" si="140"/>
        <v>963</v>
      </c>
      <c r="B2991" s="3">
        <v>44134</v>
      </c>
      <c r="C2991" s="3" t="str">
        <f t="shared" si="142"/>
        <v>Friday</v>
      </c>
      <c r="D2991" s="2">
        <v>0.4107986111111111</v>
      </c>
      <c r="E2991" t="s">
        <v>14</v>
      </c>
      <c r="F2991" t="s">
        <v>15</v>
      </c>
      <c r="G2991">
        <v>-1</v>
      </c>
      <c r="H2991" t="s">
        <v>20</v>
      </c>
      <c r="I2991" t="s">
        <v>85</v>
      </c>
      <c r="J2991" s="1">
        <v>44185</v>
      </c>
      <c r="L2991" t="s">
        <v>14</v>
      </c>
      <c r="M2991">
        <v>3269.5</v>
      </c>
      <c r="N2991">
        <v>3269.5</v>
      </c>
      <c r="O2991" t="s">
        <v>21</v>
      </c>
      <c r="P2991">
        <f t="shared" si="141"/>
        <v>-1</v>
      </c>
      <c r="Q2991" s="11">
        <f>IF(P2991=0,0,IFERROR(Q2990+G2991*M2991*IF(E2991="FUTURE",VLOOKUP(MID(I2991,2,2),[1]Futures!$A$2:$B$12,2),1),G2991*M2991*IF(E2991="FUTURE",VLOOKUP(MID(I2991,2,2),[1]Futures!$A$2:$B$12,2),1)))</f>
        <v>-163475</v>
      </c>
      <c r="R2991" s="12">
        <f>IFERROR(Q2991/P2991/IF(E2991="FUTURE",VLOOKUP(MID(I2991,2,2),[1]Futures!$A$2:$B$12,2),1),"")</f>
        <v>3269.5</v>
      </c>
      <c r="S2991" s="13" t="str">
        <f>IF(AND(H2991="TO CLOSE",P2991=0),-G2991*(M2991-R2990)*IF(E2991="FUTURE",VLOOKUP(MID(I2991,2,2),[1]Futures!$A$2:$B$12,2),1),"")</f>
        <v/>
      </c>
    </row>
    <row r="2992" spans="1:19" x14ac:dyDescent="0.2">
      <c r="A2992">
        <f t="shared" si="140"/>
        <v>963</v>
      </c>
      <c r="B2992" s="3">
        <v>44134</v>
      </c>
      <c r="C2992" s="3" t="str">
        <f t="shared" si="142"/>
        <v>Friday</v>
      </c>
      <c r="D2992" s="2">
        <v>0.41932870370370368</v>
      </c>
      <c r="E2992" t="s">
        <v>14</v>
      </c>
      <c r="F2992" t="s">
        <v>19</v>
      </c>
      <c r="G2992">
        <v>1</v>
      </c>
      <c r="H2992" t="s">
        <v>16</v>
      </c>
      <c r="I2992" t="s">
        <v>85</v>
      </c>
      <c r="J2992" s="1">
        <v>44185</v>
      </c>
      <c r="L2992" t="s">
        <v>14</v>
      </c>
      <c r="M2992">
        <v>3279.5</v>
      </c>
      <c r="N2992">
        <v>3279.5</v>
      </c>
      <c r="O2992" t="s">
        <v>18</v>
      </c>
      <c r="P2992">
        <f t="shared" si="141"/>
        <v>0</v>
      </c>
      <c r="Q2992" s="11">
        <f>IF(P2992=0,0,IFERROR(Q2991+G2992*M2992*IF(E2992="FUTURE",VLOOKUP(MID(I2992,2,2),[1]Futures!$A$2:$B$12,2),1),G2992*M2992*IF(E2992="FUTURE",VLOOKUP(MID(I2992,2,2),[1]Futures!$A$2:$B$12,2),1)))</f>
        <v>0</v>
      </c>
      <c r="R2992" s="12" t="str">
        <f>IFERROR(Q2992/P2992/IF(E2992="FUTURE",VLOOKUP(MID(I2992,2,2),[1]Futures!$A$2:$B$12,2),1),"")</f>
        <v/>
      </c>
      <c r="S2992" s="13">
        <f>IF(AND(H2992="TO CLOSE",P2992=0),-G2992*(M2992-R2991)*IF(E2992="FUTURE",VLOOKUP(MID(I2992,2,2),[1]Futures!$A$2:$B$12,2),1),"")</f>
        <v>-500</v>
      </c>
    </row>
    <row r="2993" spans="1:19" x14ac:dyDescent="0.2">
      <c r="A2993">
        <f t="shared" si="140"/>
        <v>964</v>
      </c>
      <c r="B2993" s="3">
        <v>44134</v>
      </c>
      <c r="C2993" s="3" t="str">
        <f t="shared" si="142"/>
        <v>Friday</v>
      </c>
      <c r="D2993" s="2">
        <v>0.41964120370370367</v>
      </c>
      <c r="E2993" t="s">
        <v>14</v>
      </c>
      <c r="F2993" t="s">
        <v>15</v>
      </c>
      <c r="G2993">
        <v>-1</v>
      </c>
      <c r="H2993" t="s">
        <v>20</v>
      </c>
      <c r="I2993" t="s">
        <v>85</v>
      </c>
      <c r="J2993" s="1">
        <v>44185</v>
      </c>
      <c r="L2993" t="s">
        <v>14</v>
      </c>
      <c r="M2993">
        <v>3276.75</v>
      </c>
      <c r="N2993">
        <v>3276.75</v>
      </c>
      <c r="O2993" t="s">
        <v>24</v>
      </c>
      <c r="P2993">
        <f t="shared" si="141"/>
        <v>-1</v>
      </c>
      <c r="Q2993" s="11">
        <f>IF(P2993=0,0,IFERROR(Q2992+G2993*M2993*IF(E2993="FUTURE",VLOOKUP(MID(I2993,2,2),[1]Futures!$A$2:$B$12,2),1),G2993*M2993*IF(E2993="FUTURE",VLOOKUP(MID(I2993,2,2),[1]Futures!$A$2:$B$12,2),1)))</f>
        <v>-163837.5</v>
      </c>
      <c r="R2993" s="12">
        <f>IFERROR(Q2993/P2993/IF(E2993="FUTURE",VLOOKUP(MID(I2993,2,2),[1]Futures!$A$2:$B$12,2),1),"")</f>
        <v>3276.75</v>
      </c>
      <c r="S2993" s="13" t="str">
        <f>IF(AND(H2993="TO CLOSE",P2993=0),-G2993*(M2993-R2992)*IF(E2993="FUTURE",VLOOKUP(MID(I2993,2,2),[1]Futures!$A$2:$B$12,2),1),"")</f>
        <v/>
      </c>
    </row>
    <row r="2994" spans="1:19" x14ac:dyDescent="0.2">
      <c r="A2994">
        <f t="shared" si="140"/>
        <v>964</v>
      </c>
      <c r="B2994" s="3">
        <v>44134</v>
      </c>
      <c r="C2994" s="3" t="str">
        <f t="shared" si="142"/>
        <v>Friday</v>
      </c>
      <c r="D2994" s="2">
        <v>0.42137731481481483</v>
      </c>
      <c r="E2994" t="s">
        <v>14</v>
      </c>
      <c r="F2994" t="s">
        <v>19</v>
      </c>
      <c r="G2994">
        <v>2</v>
      </c>
      <c r="H2994" t="s">
        <v>16</v>
      </c>
      <c r="I2994" t="s">
        <v>85</v>
      </c>
      <c r="J2994" s="1">
        <v>44185</v>
      </c>
      <c r="L2994" t="s">
        <v>14</v>
      </c>
      <c r="M2994">
        <v>3284.25</v>
      </c>
      <c r="N2994">
        <v>3284.25</v>
      </c>
      <c r="O2994" t="s">
        <v>24</v>
      </c>
      <c r="P2994">
        <f t="shared" si="141"/>
        <v>1</v>
      </c>
      <c r="Q2994" s="11">
        <f>IF(P2994=0,0,IFERROR(Q2993+G2994*M2994*IF(E2994="FUTURE",VLOOKUP(MID(I2994,2,2),[1]Futures!$A$2:$B$12,2),1),G2994*M2994*IF(E2994="FUTURE",VLOOKUP(MID(I2994,2,2),[1]Futures!$A$2:$B$12,2),1)))</f>
        <v>164587.5</v>
      </c>
      <c r="R2994" s="12">
        <f>IFERROR(Q2994/P2994/IF(E2994="FUTURE",VLOOKUP(MID(I2994,2,2),[1]Futures!$A$2:$B$12,2),1),"")</f>
        <v>3291.75</v>
      </c>
      <c r="S2994" s="13" t="str">
        <f>IF(AND(H2994="TO CLOSE",P2994=0),-G2994*(M2994-R2993)*IF(E2994="FUTURE",VLOOKUP(MID(I2994,2,2),[1]Futures!$A$2:$B$12,2),1),"")</f>
        <v/>
      </c>
    </row>
    <row r="2995" spans="1:19" x14ac:dyDescent="0.2">
      <c r="A2995">
        <f t="shared" si="140"/>
        <v>964</v>
      </c>
      <c r="B2995" s="3">
        <v>44134</v>
      </c>
      <c r="C2995" s="3" t="str">
        <f t="shared" si="142"/>
        <v>Friday</v>
      </c>
      <c r="D2995" s="2">
        <v>0.42530092592592594</v>
      </c>
      <c r="E2995" t="s">
        <v>14</v>
      </c>
      <c r="F2995" t="s">
        <v>15</v>
      </c>
      <c r="G2995">
        <v>-1</v>
      </c>
      <c r="H2995" t="s">
        <v>16</v>
      </c>
      <c r="I2995" t="s">
        <v>85</v>
      </c>
      <c r="J2995" s="1">
        <v>44185</v>
      </c>
      <c r="L2995" t="s">
        <v>14</v>
      </c>
      <c r="M2995">
        <v>3274.25</v>
      </c>
      <c r="N2995">
        <v>3274.25</v>
      </c>
      <c r="O2995" t="s">
        <v>18</v>
      </c>
      <c r="P2995">
        <f t="shared" si="141"/>
        <v>0</v>
      </c>
      <c r="Q2995" s="11">
        <f>IF(P2995=0,0,IFERROR(Q2994+G2995*M2995*IF(E2995="FUTURE",VLOOKUP(MID(I2995,2,2),[1]Futures!$A$2:$B$12,2),1),G2995*M2995*IF(E2995="FUTURE",VLOOKUP(MID(I2995,2,2),[1]Futures!$A$2:$B$12,2),1)))</f>
        <v>0</v>
      </c>
      <c r="R2995" s="12" t="str">
        <f>IFERROR(Q2995/P2995/IF(E2995="FUTURE",VLOOKUP(MID(I2995,2,2),[1]Futures!$A$2:$B$12,2),1),"")</f>
        <v/>
      </c>
      <c r="S2995" s="13">
        <f>IF(AND(H2995="TO CLOSE",P2995=0),-G2995*(M2995-R2994)*IF(E2995="FUTURE",VLOOKUP(MID(I2995,2,2),[1]Futures!$A$2:$B$12,2),1),"")</f>
        <v>-875</v>
      </c>
    </row>
    <row r="2996" spans="1:19" x14ac:dyDescent="0.2">
      <c r="A2996">
        <f t="shared" si="140"/>
        <v>965</v>
      </c>
      <c r="B2996" s="3">
        <v>44134</v>
      </c>
      <c r="C2996" s="3" t="str">
        <f t="shared" si="142"/>
        <v>Friday</v>
      </c>
      <c r="D2996" s="2">
        <v>0.42541666666666672</v>
      </c>
      <c r="E2996" t="s">
        <v>14</v>
      </c>
      <c r="F2996" t="s">
        <v>15</v>
      </c>
      <c r="G2996">
        <v>-1</v>
      </c>
      <c r="H2996" t="s">
        <v>20</v>
      </c>
      <c r="I2996" t="s">
        <v>85</v>
      </c>
      <c r="J2996" s="1">
        <v>44185</v>
      </c>
      <c r="L2996" t="s">
        <v>14</v>
      </c>
      <c r="M2996">
        <v>3274</v>
      </c>
      <c r="N2996">
        <v>3274</v>
      </c>
      <c r="O2996" t="s">
        <v>24</v>
      </c>
      <c r="P2996">
        <f t="shared" si="141"/>
        <v>-1</v>
      </c>
      <c r="Q2996" s="11">
        <f>IF(P2996=0,0,IFERROR(Q2995+G2996*M2996*IF(E2996="FUTURE",VLOOKUP(MID(I2996,2,2),[1]Futures!$A$2:$B$12,2),1),G2996*M2996*IF(E2996="FUTURE",VLOOKUP(MID(I2996,2,2),[1]Futures!$A$2:$B$12,2),1)))</f>
        <v>-163700</v>
      </c>
      <c r="R2996" s="12">
        <f>IFERROR(Q2996/P2996/IF(E2996="FUTURE",VLOOKUP(MID(I2996,2,2),[1]Futures!$A$2:$B$12,2),1),"")</f>
        <v>3274</v>
      </c>
      <c r="S2996" s="13" t="str">
        <f>IF(AND(H2996="TO CLOSE",P2996=0),-G2996*(M2996-R2995)*IF(E2996="FUTURE",VLOOKUP(MID(I2996,2,2),[1]Futures!$A$2:$B$12,2),1),"")</f>
        <v/>
      </c>
    </row>
    <row r="2997" spans="1:19" x14ac:dyDescent="0.2">
      <c r="A2997">
        <f t="shared" si="140"/>
        <v>965</v>
      </c>
      <c r="B2997" s="3">
        <v>44134</v>
      </c>
      <c r="C2997" s="3" t="str">
        <f t="shared" si="142"/>
        <v>Friday</v>
      </c>
      <c r="D2997" s="2">
        <v>0.43194444444444446</v>
      </c>
      <c r="E2997" t="s">
        <v>14</v>
      </c>
      <c r="F2997" t="s">
        <v>19</v>
      </c>
      <c r="G2997">
        <v>1</v>
      </c>
      <c r="H2997" t="s">
        <v>16</v>
      </c>
      <c r="I2997" t="s">
        <v>85</v>
      </c>
      <c r="J2997" s="1">
        <v>44185</v>
      </c>
      <c r="L2997" t="s">
        <v>14</v>
      </c>
      <c r="M2997">
        <v>3266.25</v>
      </c>
      <c r="N2997">
        <v>3266.25</v>
      </c>
      <c r="O2997" t="s">
        <v>24</v>
      </c>
      <c r="P2997">
        <f t="shared" si="141"/>
        <v>0</v>
      </c>
      <c r="Q2997" s="11">
        <f>IF(P2997=0,0,IFERROR(Q2996+G2997*M2997*IF(E2997="FUTURE",VLOOKUP(MID(I2997,2,2),[1]Futures!$A$2:$B$12,2),1),G2997*M2997*IF(E2997="FUTURE",VLOOKUP(MID(I2997,2,2),[1]Futures!$A$2:$B$12,2),1)))</f>
        <v>0</v>
      </c>
      <c r="R2997" s="12" t="str">
        <f>IFERROR(Q2997/P2997/IF(E2997="FUTURE",VLOOKUP(MID(I2997,2,2),[1]Futures!$A$2:$B$12,2),1),"")</f>
        <v/>
      </c>
      <c r="S2997" s="13">
        <f>IF(AND(H2997="TO CLOSE",P2997=0),-G2997*(M2997-R2996)*IF(E2997="FUTURE",VLOOKUP(MID(I2997,2,2),[1]Futures!$A$2:$B$12,2),1),"")</f>
        <v>387.5</v>
      </c>
    </row>
    <row r="2998" spans="1:19" x14ac:dyDescent="0.2">
      <c r="A2998">
        <f t="shared" si="140"/>
        <v>966</v>
      </c>
      <c r="B2998" s="3">
        <v>44134</v>
      </c>
      <c r="C2998" s="3" t="str">
        <f t="shared" si="142"/>
        <v>Friday</v>
      </c>
      <c r="D2998" s="2">
        <v>0.43268518518518517</v>
      </c>
      <c r="E2998" t="s">
        <v>14</v>
      </c>
      <c r="F2998" t="s">
        <v>19</v>
      </c>
      <c r="G2998">
        <v>1</v>
      </c>
      <c r="H2998" t="s">
        <v>20</v>
      </c>
      <c r="I2998" t="s">
        <v>85</v>
      </c>
      <c r="J2998" s="1">
        <v>44185</v>
      </c>
      <c r="L2998" t="s">
        <v>14</v>
      </c>
      <c r="M2998">
        <v>3267</v>
      </c>
      <c r="N2998">
        <v>3267</v>
      </c>
      <c r="O2998" t="s">
        <v>24</v>
      </c>
      <c r="P2998">
        <f t="shared" si="141"/>
        <v>1</v>
      </c>
      <c r="Q2998" s="11">
        <f>IF(P2998=0,0,IFERROR(Q2997+G2998*M2998*IF(E2998="FUTURE",VLOOKUP(MID(I2998,2,2),[1]Futures!$A$2:$B$12,2),1),G2998*M2998*IF(E2998="FUTURE",VLOOKUP(MID(I2998,2,2),[1]Futures!$A$2:$B$12,2),1)))</f>
        <v>163350</v>
      </c>
      <c r="R2998" s="12">
        <f>IFERROR(Q2998/P2998/IF(E2998="FUTURE",VLOOKUP(MID(I2998,2,2),[1]Futures!$A$2:$B$12,2),1),"")</f>
        <v>3267</v>
      </c>
      <c r="S2998" s="13" t="str">
        <f>IF(AND(H2998="TO CLOSE",P2998=0),-G2998*(M2998-R2997)*IF(E2998="FUTURE",VLOOKUP(MID(I2998,2,2),[1]Futures!$A$2:$B$12,2),1),"")</f>
        <v/>
      </c>
    </row>
    <row r="2999" spans="1:19" x14ac:dyDescent="0.2">
      <c r="A2999">
        <f t="shared" si="140"/>
        <v>966</v>
      </c>
      <c r="B2999" s="3">
        <v>44134</v>
      </c>
      <c r="C2999" s="3" t="str">
        <f t="shared" si="142"/>
        <v>Friday</v>
      </c>
      <c r="D2999" s="2">
        <v>0.54953703703703705</v>
      </c>
      <c r="E2999" t="s">
        <v>14</v>
      </c>
      <c r="F2999" t="s">
        <v>15</v>
      </c>
      <c r="G2999">
        <v>-2</v>
      </c>
      <c r="H2999" t="s">
        <v>16</v>
      </c>
      <c r="I2999" t="s">
        <v>85</v>
      </c>
      <c r="J2999" s="1">
        <v>44185</v>
      </c>
      <c r="L2999" t="s">
        <v>14</v>
      </c>
      <c r="M2999">
        <v>3243.75</v>
      </c>
      <c r="N2999">
        <v>3243.75</v>
      </c>
      <c r="O2999" t="s">
        <v>24</v>
      </c>
      <c r="P2999">
        <f t="shared" si="141"/>
        <v>-1</v>
      </c>
      <c r="Q2999" s="11">
        <f>IF(P2999=0,0,IFERROR(Q2998+G2999*M2999*IF(E2999="FUTURE",VLOOKUP(MID(I2999,2,2),[1]Futures!$A$2:$B$12,2),1),G2999*M2999*IF(E2999="FUTURE",VLOOKUP(MID(I2999,2,2),[1]Futures!$A$2:$B$12,2),1)))</f>
        <v>-161025</v>
      </c>
      <c r="R2999" s="12">
        <f>IFERROR(Q2999/P2999/IF(E2999="FUTURE",VLOOKUP(MID(I2999,2,2),[1]Futures!$A$2:$B$12,2),1),"")</f>
        <v>3220.5</v>
      </c>
      <c r="S2999" s="13" t="str">
        <f>IF(AND(H2999="TO CLOSE",P2999=0),-G2999*(M2999-R2998)*IF(E2999="FUTURE",VLOOKUP(MID(I2999,2,2),[1]Futures!$A$2:$B$12,2),1),"")</f>
        <v/>
      </c>
    </row>
    <row r="3000" spans="1:19" x14ac:dyDescent="0.2">
      <c r="A3000">
        <f t="shared" si="140"/>
        <v>966</v>
      </c>
      <c r="B3000" s="3">
        <v>44134</v>
      </c>
      <c r="C3000" s="3" t="str">
        <f t="shared" si="142"/>
        <v>Friday</v>
      </c>
      <c r="D3000" s="2">
        <v>0.55435185185185187</v>
      </c>
      <c r="E3000" t="s">
        <v>14</v>
      </c>
      <c r="F3000" t="s">
        <v>19</v>
      </c>
      <c r="G3000">
        <v>2</v>
      </c>
      <c r="H3000" t="s">
        <v>16</v>
      </c>
      <c r="I3000" t="s">
        <v>85</v>
      </c>
      <c r="J3000" s="1">
        <v>44185</v>
      </c>
      <c r="L3000" t="s">
        <v>14</v>
      </c>
      <c r="M3000">
        <v>3243.25</v>
      </c>
      <c r="N3000">
        <v>3243.25</v>
      </c>
      <c r="O3000" t="s">
        <v>24</v>
      </c>
      <c r="P3000">
        <f t="shared" si="141"/>
        <v>1</v>
      </c>
      <c r="Q3000" s="11">
        <f>IF(P3000=0,0,IFERROR(Q2999+G3000*M3000*IF(E3000="FUTURE",VLOOKUP(MID(I3000,2,2),[1]Futures!$A$2:$B$12,2),1),G3000*M3000*IF(E3000="FUTURE",VLOOKUP(MID(I3000,2,2),[1]Futures!$A$2:$B$12,2),1)))</f>
        <v>163300</v>
      </c>
      <c r="R3000" s="12">
        <f>IFERROR(Q3000/P3000/IF(E3000="FUTURE",VLOOKUP(MID(I3000,2,2),[1]Futures!$A$2:$B$12,2),1),"")</f>
        <v>3266</v>
      </c>
      <c r="S3000" s="13" t="str">
        <f>IF(AND(H3000="TO CLOSE",P3000=0),-G3000*(M3000-R2999)*IF(E3000="FUTURE",VLOOKUP(MID(I3000,2,2),[1]Futures!$A$2:$B$12,2),1),"")</f>
        <v/>
      </c>
    </row>
    <row r="3001" spans="1:19" x14ac:dyDescent="0.2">
      <c r="A3001">
        <f t="shared" si="140"/>
        <v>966</v>
      </c>
      <c r="B3001" s="3">
        <v>44134</v>
      </c>
      <c r="C3001" s="3" t="str">
        <f t="shared" si="142"/>
        <v>Friday</v>
      </c>
      <c r="D3001" s="2">
        <v>0.64666666666666661</v>
      </c>
      <c r="E3001" t="s">
        <v>14</v>
      </c>
      <c r="F3001" t="s">
        <v>15</v>
      </c>
      <c r="G3001">
        <v>-1</v>
      </c>
      <c r="H3001" t="s">
        <v>16</v>
      </c>
      <c r="I3001" t="s">
        <v>85</v>
      </c>
      <c r="J3001" s="1">
        <v>44185</v>
      </c>
      <c r="L3001" t="s">
        <v>14</v>
      </c>
      <c r="M3001">
        <v>3236</v>
      </c>
      <c r="N3001">
        <v>3236</v>
      </c>
      <c r="O3001" t="s">
        <v>18</v>
      </c>
      <c r="P3001">
        <f t="shared" si="141"/>
        <v>0</v>
      </c>
      <c r="Q3001" s="11">
        <f>IF(P3001=0,0,IFERROR(Q3000+G3001*M3001*IF(E3001="FUTURE",VLOOKUP(MID(I3001,2,2),[1]Futures!$A$2:$B$12,2),1),G3001*M3001*IF(E3001="FUTURE",VLOOKUP(MID(I3001,2,2),[1]Futures!$A$2:$B$12,2),1)))</f>
        <v>0</v>
      </c>
      <c r="R3001" s="12" t="str">
        <f>IFERROR(Q3001/P3001/IF(E3001="FUTURE",VLOOKUP(MID(I3001,2,2),[1]Futures!$A$2:$B$12,2),1),"")</f>
        <v/>
      </c>
      <c r="S3001" s="13">
        <f>IF(AND(H3001="TO CLOSE",P3001=0),-G3001*(M3001-R3000)*IF(E3001="FUTURE",VLOOKUP(MID(I3001,2,2),[1]Futures!$A$2:$B$12,2),1),"")</f>
        <v>-1500</v>
      </c>
    </row>
    <row r="3002" spans="1:19" x14ac:dyDescent="0.2">
      <c r="A3002">
        <f t="shared" si="140"/>
        <v>967</v>
      </c>
      <c r="B3002" s="3">
        <v>44134</v>
      </c>
      <c r="C3002" s="3" t="str">
        <f t="shared" si="142"/>
        <v>Friday</v>
      </c>
      <c r="D3002" s="2">
        <v>0.42241898148148144</v>
      </c>
      <c r="E3002" t="s">
        <v>22</v>
      </c>
      <c r="F3002" t="s">
        <v>15</v>
      </c>
      <c r="G3002">
        <v>-200</v>
      </c>
      <c r="H3002" t="s">
        <v>20</v>
      </c>
      <c r="I3002" t="s">
        <v>23</v>
      </c>
      <c r="L3002" t="s">
        <v>22</v>
      </c>
      <c r="M3002">
        <v>25.84</v>
      </c>
      <c r="N3002">
        <v>25.84</v>
      </c>
      <c r="O3002" t="s">
        <v>21</v>
      </c>
      <c r="P3002">
        <f t="shared" si="141"/>
        <v>-200</v>
      </c>
      <c r="Q3002" s="11">
        <f>IF(P3002=0,0,IFERROR(Q3001+G3002*M3002*IF(E3002="FUTURE",VLOOKUP(MID(I3002,2,2),[1]Futures!$A$2:$B$12,2),1),G3002*M3002*IF(E3002="FUTURE",VLOOKUP(MID(I3002,2,2),[1]Futures!$A$2:$B$12,2),1)))</f>
        <v>-5168</v>
      </c>
      <c r="R3002" s="12">
        <f>IFERROR(Q3002/P3002/IF(E3002="FUTURE",VLOOKUP(MID(I3002,2,2),[1]Futures!$A$2:$B$12,2),1),"")</f>
        <v>25.84</v>
      </c>
      <c r="S3002" s="13" t="str">
        <f>IF(AND(H3002="TO CLOSE",P3002=0),-G3002*(M3002-R3001)*IF(E3002="FUTURE",VLOOKUP(MID(I3002,2,2),[1]Futures!$A$2:$B$12,2),1),"")</f>
        <v/>
      </c>
    </row>
    <row r="3003" spans="1:19" x14ac:dyDescent="0.2">
      <c r="A3003">
        <f t="shared" si="140"/>
        <v>967</v>
      </c>
      <c r="B3003" s="3">
        <v>44134</v>
      </c>
      <c r="C3003" s="3" t="str">
        <f t="shared" si="142"/>
        <v>Friday</v>
      </c>
      <c r="D3003" s="2">
        <v>0.42241898148148144</v>
      </c>
      <c r="E3003" t="s">
        <v>22</v>
      </c>
      <c r="F3003" t="s">
        <v>15</v>
      </c>
      <c r="G3003">
        <v>-200</v>
      </c>
      <c r="H3003" t="s">
        <v>20</v>
      </c>
      <c r="I3003" t="s">
        <v>23</v>
      </c>
      <c r="L3003" t="s">
        <v>22</v>
      </c>
      <c r="M3003">
        <v>25.84</v>
      </c>
      <c r="N3003">
        <v>25.84</v>
      </c>
      <c r="O3003" t="s">
        <v>21</v>
      </c>
      <c r="P3003">
        <f t="shared" si="141"/>
        <v>-400</v>
      </c>
      <c r="Q3003" s="11">
        <f>IF(P3003=0,0,IFERROR(Q3002+G3003*M3003*IF(E3003="FUTURE",VLOOKUP(MID(I3003,2,2),[1]Futures!$A$2:$B$12,2),1),G3003*M3003*IF(E3003="FUTURE",VLOOKUP(MID(I3003,2,2),[1]Futures!$A$2:$B$12,2),1)))</f>
        <v>-10336</v>
      </c>
      <c r="R3003" s="12">
        <f>IFERROR(Q3003/P3003/IF(E3003="FUTURE",VLOOKUP(MID(I3003,2,2),[1]Futures!$A$2:$B$12,2),1),"")</f>
        <v>25.84</v>
      </c>
      <c r="S3003" s="13" t="str">
        <f>IF(AND(H3003="TO CLOSE",P3003=0),-G3003*(M3003-R3002)*IF(E3003="FUTURE",VLOOKUP(MID(I3003,2,2),[1]Futures!$A$2:$B$12,2),1),"")</f>
        <v/>
      </c>
    </row>
    <row r="3004" spans="1:19" x14ac:dyDescent="0.2">
      <c r="A3004">
        <f t="shared" si="140"/>
        <v>967</v>
      </c>
      <c r="B3004" s="3">
        <v>44134</v>
      </c>
      <c r="C3004" s="3" t="str">
        <f t="shared" si="142"/>
        <v>Friday</v>
      </c>
      <c r="D3004" s="2">
        <v>0.4253587962962963</v>
      </c>
      <c r="E3004" t="s">
        <v>22</v>
      </c>
      <c r="F3004" t="s">
        <v>19</v>
      </c>
      <c r="G3004">
        <v>100</v>
      </c>
      <c r="H3004" t="s">
        <v>16</v>
      </c>
      <c r="I3004" t="s">
        <v>23</v>
      </c>
      <c r="L3004" t="s">
        <v>22</v>
      </c>
      <c r="M3004">
        <v>26.114999999999998</v>
      </c>
      <c r="N3004">
        <v>26.114999999999998</v>
      </c>
      <c r="O3004" t="s">
        <v>24</v>
      </c>
      <c r="P3004">
        <f t="shared" si="141"/>
        <v>-300</v>
      </c>
      <c r="Q3004" s="11">
        <f>IF(P3004=0,0,IFERROR(Q3003+G3004*M3004*IF(E3004="FUTURE",VLOOKUP(MID(I3004,2,2),[1]Futures!$A$2:$B$12,2),1),G3004*M3004*IF(E3004="FUTURE",VLOOKUP(MID(I3004,2,2),[1]Futures!$A$2:$B$12,2),1)))</f>
        <v>-7724.5</v>
      </c>
      <c r="R3004" s="12">
        <f>IFERROR(Q3004/P3004/IF(E3004="FUTURE",VLOOKUP(MID(I3004,2,2),[1]Futures!$A$2:$B$12,2),1),"")</f>
        <v>25.748333333333335</v>
      </c>
      <c r="S3004" s="13" t="str">
        <f>IF(AND(H3004="TO CLOSE",P3004=0),-G3004*(M3004-R3003)*IF(E3004="FUTURE",VLOOKUP(MID(I3004,2,2),[1]Futures!$A$2:$B$12,2),1),"")</f>
        <v/>
      </c>
    </row>
    <row r="3005" spans="1:19" x14ac:dyDescent="0.2">
      <c r="A3005">
        <f t="shared" si="140"/>
        <v>967</v>
      </c>
      <c r="B3005" s="3">
        <v>44134</v>
      </c>
      <c r="C3005" s="3" t="str">
        <f t="shared" si="142"/>
        <v>Friday</v>
      </c>
      <c r="D3005" s="2">
        <v>0.4253587962962963</v>
      </c>
      <c r="E3005" t="s">
        <v>22</v>
      </c>
      <c r="F3005" t="s">
        <v>19</v>
      </c>
      <c r="G3005">
        <v>200</v>
      </c>
      <c r="H3005" t="s">
        <v>16</v>
      </c>
      <c r="I3005" t="s">
        <v>23</v>
      </c>
      <c r="L3005" t="s">
        <v>22</v>
      </c>
      <c r="M3005">
        <v>26.114999999999998</v>
      </c>
      <c r="N3005">
        <v>26.114999999999998</v>
      </c>
      <c r="O3005" t="s">
        <v>24</v>
      </c>
      <c r="P3005">
        <f t="shared" si="141"/>
        <v>-100</v>
      </c>
      <c r="Q3005" s="11">
        <f>IF(P3005=0,0,IFERROR(Q3004+G3005*M3005*IF(E3005="FUTURE",VLOOKUP(MID(I3005,2,2),[1]Futures!$A$2:$B$12,2),1),G3005*M3005*IF(E3005="FUTURE",VLOOKUP(MID(I3005,2,2),[1]Futures!$A$2:$B$12,2),1)))</f>
        <v>-2501.5</v>
      </c>
      <c r="R3005" s="12">
        <f>IFERROR(Q3005/P3005/IF(E3005="FUTURE",VLOOKUP(MID(I3005,2,2),[1]Futures!$A$2:$B$12,2),1),"")</f>
        <v>25.015000000000001</v>
      </c>
      <c r="S3005" s="13" t="str">
        <f>IF(AND(H3005="TO CLOSE",P3005=0),-G3005*(M3005-R3004)*IF(E3005="FUTURE",VLOOKUP(MID(I3005,2,2),[1]Futures!$A$2:$B$12,2),1),"")</f>
        <v/>
      </c>
    </row>
    <row r="3006" spans="1:19" x14ac:dyDescent="0.2">
      <c r="A3006">
        <f t="shared" si="140"/>
        <v>967</v>
      </c>
      <c r="B3006" s="3">
        <v>44134</v>
      </c>
      <c r="C3006" s="3" t="str">
        <f t="shared" si="142"/>
        <v>Friday</v>
      </c>
      <c r="D3006" s="2">
        <v>0.4253587962962963</v>
      </c>
      <c r="E3006" t="s">
        <v>22</v>
      </c>
      <c r="F3006" t="s">
        <v>19</v>
      </c>
      <c r="G3006">
        <v>100</v>
      </c>
      <c r="H3006" t="s">
        <v>16</v>
      </c>
      <c r="I3006" t="s">
        <v>23</v>
      </c>
      <c r="L3006" t="s">
        <v>22</v>
      </c>
      <c r="M3006">
        <v>26.114999999999998</v>
      </c>
      <c r="N3006">
        <v>26.114999999999998</v>
      </c>
      <c r="O3006" t="s">
        <v>24</v>
      </c>
      <c r="P3006">
        <f t="shared" si="141"/>
        <v>0</v>
      </c>
      <c r="Q3006" s="11">
        <f>IF(P3006=0,0,IFERROR(Q3005+G3006*M3006*IF(E3006="FUTURE",VLOOKUP(MID(I3006,2,2),[1]Futures!$A$2:$B$12,2),1),G3006*M3006*IF(E3006="FUTURE",VLOOKUP(MID(I3006,2,2),[1]Futures!$A$2:$B$12,2),1)))</f>
        <v>0</v>
      </c>
      <c r="R3006" s="12" t="str">
        <f>IFERROR(Q3006/P3006/IF(E3006="FUTURE",VLOOKUP(MID(I3006,2,2),[1]Futures!$A$2:$B$12,2),1),"")</f>
        <v/>
      </c>
      <c r="S3006" s="13">
        <f>IF(AND(H3006="TO CLOSE",P3006=0),-G3006*(M3006-R3005)*IF(E3006="FUTURE",VLOOKUP(MID(I3006,2,2),[1]Futures!$A$2:$B$12,2),1),"")</f>
        <v>-109.99999999999979</v>
      </c>
    </row>
    <row r="3007" spans="1:19" x14ac:dyDescent="0.2">
      <c r="A3007">
        <f t="shared" si="140"/>
        <v>968</v>
      </c>
      <c r="B3007" s="3">
        <v>44134</v>
      </c>
      <c r="C3007" s="3" t="str">
        <f t="shared" si="142"/>
        <v>Friday</v>
      </c>
      <c r="D3007" s="2">
        <v>0.42562499999999998</v>
      </c>
      <c r="E3007" t="s">
        <v>22</v>
      </c>
      <c r="F3007" t="s">
        <v>19</v>
      </c>
      <c r="G3007">
        <v>100</v>
      </c>
      <c r="H3007" t="s">
        <v>20</v>
      </c>
      <c r="I3007" t="s">
        <v>23</v>
      </c>
      <c r="L3007" t="s">
        <v>22</v>
      </c>
      <c r="M3007">
        <v>26.145</v>
      </c>
      <c r="N3007">
        <v>26.145</v>
      </c>
      <c r="O3007" t="s">
        <v>24</v>
      </c>
      <c r="P3007">
        <f t="shared" si="141"/>
        <v>100</v>
      </c>
      <c r="Q3007" s="11">
        <f>IF(P3007=0,0,IFERROR(Q3006+G3007*M3007*IF(E3007="FUTURE",VLOOKUP(MID(I3007,2,2),[1]Futures!$A$2:$B$12,2),1),G3007*M3007*IF(E3007="FUTURE",VLOOKUP(MID(I3007,2,2),[1]Futures!$A$2:$B$12,2),1)))</f>
        <v>2614.5</v>
      </c>
      <c r="R3007" s="12">
        <f>IFERROR(Q3007/P3007/IF(E3007="FUTURE",VLOOKUP(MID(I3007,2,2),[1]Futures!$A$2:$B$12,2),1),"")</f>
        <v>26.145</v>
      </c>
      <c r="S3007" s="13" t="str">
        <f>IF(AND(H3007="TO CLOSE",P3007=0),-G3007*(M3007-R3006)*IF(E3007="FUTURE",VLOOKUP(MID(I3007,2,2),[1]Futures!$A$2:$B$12,2),1),"")</f>
        <v/>
      </c>
    </row>
    <row r="3008" spans="1:19" x14ac:dyDescent="0.2">
      <c r="A3008">
        <f t="shared" si="140"/>
        <v>968</v>
      </c>
      <c r="B3008" s="3">
        <v>44134</v>
      </c>
      <c r="C3008" s="3" t="str">
        <f t="shared" si="142"/>
        <v>Friday</v>
      </c>
      <c r="D3008" s="2">
        <v>0.42562499999999998</v>
      </c>
      <c r="E3008" t="s">
        <v>22</v>
      </c>
      <c r="F3008" t="s">
        <v>19</v>
      </c>
      <c r="G3008">
        <v>100</v>
      </c>
      <c r="H3008" t="s">
        <v>20</v>
      </c>
      <c r="I3008" t="s">
        <v>23</v>
      </c>
      <c r="L3008" t="s">
        <v>22</v>
      </c>
      <c r="M3008">
        <v>26.145</v>
      </c>
      <c r="N3008">
        <v>26.145</v>
      </c>
      <c r="O3008" t="s">
        <v>24</v>
      </c>
      <c r="P3008">
        <f t="shared" si="141"/>
        <v>200</v>
      </c>
      <c r="Q3008" s="11">
        <f>IF(P3008=0,0,IFERROR(Q3007+G3008*M3008*IF(E3008="FUTURE",VLOOKUP(MID(I3008,2,2),[1]Futures!$A$2:$B$12,2),1),G3008*M3008*IF(E3008="FUTURE",VLOOKUP(MID(I3008,2,2),[1]Futures!$A$2:$B$12,2),1)))</f>
        <v>5229</v>
      </c>
      <c r="R3008" s="12">
        <f>IFERROR(Q3008/P3008/IF(E3008="FUTURE",VLOOKUP(MID(I3008,2,2),[1]Futures!$A$2:$B$12,2),1),"")</f>
        <v>26.145</v>
      </c>
      <c r="S3008" s="13" t="str">
        <f>IF(AND(H3008="TO CLOSE",P3008=0),-G3008*(M3008-R3007)*IF(E3008="FUTURE",VLOOKUP(MID(I3008,2,2),[1]Futures!$A$2:$B$12,2),1),"")</f>
        <v/>
      </c>
    </row>
    <row r="3009" spans="1:19" x14ac:dyDescent="0.2">
      <c r="A3009">
        <f t="shared" si="140"/>
        <v>968</v>
      </c>
      <c r="B3009" s="3">
        <v>44134</v>
      </c>
      <c r="C3009" s="3" t="str">
        <f t="shared" si="142"/>
        <v>Friday</v>
      </c>
      <c r="D3009" s="2">
        <v>0.42562499999999998</v>
      </c>
      <c r="E3009" t="s">
        <v>22</v>
      </c>
      <c r="F3009" t="s">
        <v>19</v>
      </c>
      <c r="G3009">
        <v>100</v>
      </c>
      <c r="H3009" t="s">
        <v>20</v>
      </c>
      <c r="I3009" t="s">
        <v>23</v>
      </c>
      <c r="L3009" t="s">
        <v>22</v>
      </c>
      <c r="M3009">
        <v>26.145</v>
      </c>
      <c r="N3009">
        <v>26.145</v>
      </c>
      <c r="O3009" t="s">
        <v>24</v>
      </c>
      <c r="P3009">
        <f t="shared" si="141"/>
        <v>300</v>
      </c>
      <c r="Q3009" s="11">
        <f>IF(P3009=0,0,IFERROR(Q3008+G3009*M3009*IF(E3009="FUTURE",VLOOKUP(MID(I3009,2,2),[1]Futures!$A$2:$B$12,2),1),G3009*M3009*IF(E3009="FUTURE",VLOOKUP(MID(I3009,2,2),[1]Futures!$A$2:$B$12,2),1)))</f>
        <v>7843.5</v>
      </c>
      <c r="R3009" s="12">
        <f>IFERROR(Q3009/P3009/IF(E3009="FUTURE",VLOOKUP(MID(I3009,2,2),[1]Futures!$A$2:$B$12,2),1),"")</f>
        <v>26.145</v>
      </c>
      <c r="S3009" s="13" t="str">
        <f>IF(AND(H3009="TO CLOSE",P3009=0),-G3009*(M3009-R3008)*IF(E3009="FUTURE",VLOOKUP(MID(I3009,2,2),[1]Futures!$A$2:$B$12,2),1),"")</f>
        <v/>
      </c>
    </row>
    <row r="3010" spans="1:19" x14ac:dyDescent="0.2">
      <c r="A3010">
        <f t="shared" ref="A3010:A3073" si="143">IF(AND(P3009=0,H3009="TO CLOSE"),IFERROR(A3009+1,1),IFERROR(A3009/1,1))</f>
        <v>968</v>
      </c>
      <c r="B3010" s="3">
        <v>44134</v>
      </c>
      <c r="C3010" s="3" t="str">
        <f t="shared" si="142"/>
        <v>Friday</v>
      </c>
      <c r="D3010" s="2">
        <v>0.42562499999999998</v>
      </c>
      <c r="E3010" t="s">
        <v>22</v>
      </c>
      <c r="F3010" t="s">
        <v>19</v>
      </c>
      <c r="G3010">
        <v>100</v>
      </c>
      <c r="H3010" t="s">
        <v>20</v>
      </c>
      <c r="I3010" t="s">
        <v>23</v>
      </c>
      <c r="L3010" t="s">
        <v>22</v>
      </c>
      <c r="M3010">
        <v>26.145</v>
      </c>
      <c r="N3010">
        <v>26.145</v>
      </c>
      <c r="O3010" t="s">
        <v>24</v>
      </c>
      <c r="P3010">
        <f t="shared" si="141"/>
        <v>400</v>
      </c>
      <c r="Q3010" s="11">
        <f>IF(P3010=0,0,IFERROR(Q3009+G3010*M3010*IF(E3010="FUTURE",VLOOKUP(MID(I3010,2,2),[1]Futures!$A$2:$B$12,2),1),G3010*M3010*IF(E3010="FUTURE",VLOOKUP(MID(I3010,2,2),[1]Futures!$A$2:$B$12,2),1)))</f>
        <v>10458</v>
      </c>
      <c r="R3010" s="12">
        <f>IFERROR(Q3010/P3010/IF(E3010="FUTURE",VLOOKUP(MID(I3010,2,2),[1]Futures!$A$2:$B$12,2),1),"")</f>
        <v>26.145</v>
      </c>
      <c r="S3010" s="13" t="str">
        <f>IF(AND(H3010="TO CLOSE",P3010=0),-G3010*(M3010-R3009)*IF(E3010="FUTURE",VLOOKUP(MID(I3010,2,2),[1]Futures!$A$2:$B$12,2),1),"")</f>
        <v/>
      </c>
    </row>
    <row r="3011" spans="1:19" x14ac:dyDescent="0.2">
      <c r="A3011">
        <f t="shared" si="143"/>
        <v>968</v>
      </c>
      <c r="B3011" s="3">
        <v>44134</v>
      </c>
      <c r="C3011" s="3" t="str">
        <f t="shared" si="142"/>
        <v>Friday</v>
      </c>
      <c r="D3011" s="2">
        <v>0.42876157407407406</v>
      </c>
      <c r="E3011" t="s">
        <v>22</v>
      </c>
      <c r="F3011" t="s">
        <v>15</v>
      </c>
      <c r="G3011">
        <v>-100</v>
      </c>
      <c r="H3011" t="s">
        <v>16</v>
      </c>
      <c r="I3011" t="s">
        <v>23</v>
      </c>
      <c r="L3011" t="s">
        <v>22</v>
      </c>
      <c r="M3011">
        <v>26.44</v>
      </c>
      <c r="N3011">
        <v>26.44</v>
      </c>
      <c r="O3011" t="s">
        <v>21</v>
      </c>
      <c r="P3011">
        <f t="shared" ref="P3011:P3074" si="144">IF(H3011="TO OPEN",IFERROR(P3010+G3011,0+G3011),IFERROR(P3010+G3011,0+G3011))</f>
        <v>300</v>
      </c>
      <c r="Q3011" s="11">
        <f>IF(P3011=0,0,IFERROR(Q3010+G3011*M3011*IF(E3011="FUTURE",VLOOKUP(MID(I3011,2,2),[1]Futures!$A$2:$B$12,2),1),G3011*M3011*IF(E3011="FUTURE",VLOOKUP(MID(I3011,2,2),[1]Futures!$A$2:$B$12,2),1)))</f>
        <v>7814</v>
      </c>
      <c r="R3011" s="12">
        <f>IFERROR(Q3011/P3011/IF(E3011="FUTURE",VLOOKUP(MID(I3011,2,2),[1]Futures!$A$2:$B$12,2),1),"")</f>
        <v>26.046666666666667</v>
      </c>
      <c r="S3011" s="13" t="str">
        <f>IF(AND(H3011="TO CLOSE",P3011=0),-G3011*(M3011-R3010)*IF(E3011="FUTURE",VLOOKUP(MID(I3011,2,2),[1]Futures!$A$2:$B$12,2),1),"")</f>
        <v/>
      </c>
    </row>
    <row r="3012" spans="1:19" x14ac:dyDescent="0.2">
      <c r="A3012">
        <f t="shared" si="143"/>
        <v>968</v>
      </c>
      <c r="B3012" s="3">
        <v>44134</v>
      </c>
      <c r="C3012" s="3" t="str">
        <f t="shared" si="142"/>
        <v>Friday</v>
      </c>
      <c r="D3012" s="2">
        <v>0.43297453703703703</v>
      </c>
      <c r="E3012" t="s">
        <v>22</v>
      </c>
      <c r="F3012" t="s">
        <v>15</v>
      </c>
      <c r="G3012">
        <v>-100</v>
      </c>
      <c r="H3012" t="s">
        <v>16</v>
      </c>
      <c r="I3012" t="s">
        <v>23</v>
      </c>
      <c r="L3012" t="s">
        <v>22</v>
      </c>
      <c r="M3012">
        <v>26.36</v>
      </c>
      <c r="N3012">
        <v>26.36</v>
      </c>
      <c r="O3012" t="s">
        <v>21</v>
      </c>
      <c r="P3012">
        <f t="shared" si="144"/>
        <v>200</v>
      </c>
      <c r="Q3012" s="11">
        <f>IF(P3012=0,0,IFERROR(Q3011+G3012*M3012*IF(E3012="FUTURE",VLOOKUP(MID(I3012,2,2),[1]Futures!$A$2:$B$12,2),1),G3012*M3012*IF(E3012="FUTURE",VLOOKUP(MID(I3012,2,2),[1]Futures!$A$2:$B$12,2),1)))</f>
        <v>5178</v>
      </c>
      <c r="R3012" s="12">
        <f>IFERROR(Q3012/P3012/IF(E3012="FUTURE",VLOOKUP(MID(I3012,2,2),[1]Futures!$A$2:$B$12,2),1),"")</f>
        <v>25.89</v>
      </c>
      <c r="S3012" s="13" t="str">
        <f>IF(AND(H3012="TO CLOSE",P3012=0),-G3012*(M3012-R3011)*IF(E3012="FUTURE",VLOOKUP(MID(I3012,2,2),[1]Futures!$A$2:$B$12,2),1),"")</f>
        <v/>
      </c>
    </row>
    <row r="3013" spans="1:19" x14ac:dyDescent="0.2">
      <c r="A3013">
        <f t="shared" si="143"/>
        <v>968</v>
      </c>
      <c r="B3013" s="3">
        <v>44134</v>
      </c>
      <c r="C3013" s="3" t="str">
        <f t="shared" si="142"/>
        <v>Friday</v>
      </c>
      <c r="D3013" s="2">
        <v>0.43344907407407413</v>
      </c>
      <c r="E3013" t="s">
        <v>22</v>
      </c>
      <c r="F3013" t="s">
        <v>15</v>
      </c>
      <c r="G3013">
        <v>-200</v>
      </c>
      <c r="H3013" t="s">
        <v>16</v>
      </c>
      <c r="I3013" t="s">
        <v>23</v>
      </c>
      <c r="L3013" t="s">
        <v>22</v>
      </c>
      <c r="M3013">
        <v>26.352</v>
      </c>
      <c r="N3013">
        <v>26.352</v>
      </c>
      <c r="O3013" t="s">
        <v>24</v>
      </c>
      <c r="P3013">
        <f t="shared" si="144"/>
        <v>0</v>
      </c>
      <c r="Q3013" s="11">
        <f>IF(P3013=0,0,IFERROR(Q3012+G3013*M3013*IF(E3013="FUTURE",VLOOKUP(MID(I3013,2,2),[1]Futures!$A$2:$B$12,2),1),G3013*M3013*IF(E3013="FUTURE",VLOOKUP(MID(I3013,2,2),[1]Futures!$A$2:$B$12,2),1)))</f>
        <v>0</v>
      </c>
      <c r="R3013" s="12" t="str">
        <f>IFERROR(Q3013/P3013/IF(E3013="FUTURE",VLOOKUP(MID(I3013,2,2),[1]Futures!$A$2:$B$12,2),1),"")</f>
        <v/>
      </c>
      <c r="S3013" s="13">
        <f>IF(AND(H3013="TO CLOSE",P3013=0),-G3013*(M3013-R3012)*IF(E3013="FUTURE",VLOOKUP(MID(I3013,2,2),[1]Futures!$A$2:$B$12,2),1),"")</f>
        <v>92.399999999999949</v>
      </c>
    </row>
    <row r="3014" spans="1:19" x14ac:dyDescent="0.2">
      <c r="A3014">
        <f t="shared" si="143"/>
        <v>969</v>
      </c>
      <c r="B3014" s="3">
        <v>44134</v>
      </c>
      <c r="C3014" s="3" t="str">
        <f t="shared" si="142"/>
        <v>Friday</v>
      </c>
      <c r="D3014" s="2">
        <v>0.43362268518518521</v>
      </c>
      <c r="E3014" t="s">
        <v>22</v>
      </c>
      <c r="F3014" t="s">
        <v>15</v>
      </c>
      <c r="G3014">
        <v>-300</v>
      </c>
      <c r="H3014" t="s">
        <v>20</v>
      </c>
      <c r="I3014" t="s">
        <v>23</v>
      </c>
      <c r="L3014" t="s">
        <v>22</v>
      </c>
      <c r="M3014">
        <v>26.41</v>
      </c>
      <c r="N3014">
        <v>26.41</v>
      </c>
      <c r="O3014" t="s">
        <v>21</v>
      </c>
      <c r="P3014">
        <f t="shared" si="144"/>
        <v>-300</v>
      </c>
      <c r="Q3014" s="11">
        <f>IF(P3014=0,0,IFERROR(Q3013+G3014*M3014*IF(E3014="FUTURE",VLOOKUP(MID(I3014,2,2),[1]Futures!$A$2:$B$12,2),1),G3014*M3014*IF(E3014="FUTURE",VLOOKUP(MID(I3014,2,2),[1]Futures!$A$2:$B$12,2),1)))</f>
        <v>-7923</v>
      </c>
      <c r="R3014" s="12">
        <f>IFERROR(Q3014/P3014/IF(E3014="FUTURE",VLOOKUP(MID(I3014,2,2),[1]Futures!$A$2:$B$12,2),1),"")</f>
        <v>26.41</v>
      </c>
      <c r="S3014" s="13" t="str">
        <f>IF(AND(H3014="TO CLOSE",P3014=0),-G3014*(M3014-R3013)*IF(E3014="FUTURE",VLOOKUP(MID(I3014,2,2),[1]Futures!$A$2:$B$12,2),1),"")</f>
        <v/>
      </c>
    </row>
    <row r="3015" spans="1:19" x14ac:dyDescent="0.2">
      <c r="A3015">
        <f t="shared" si="143"/>
        <v>969</v>
      </c>
      <c r="B3015" s="3">
        <v>44134</v>
      </c>
      <c r="C3015" s="3" t="str">
        <f t="shared" si="142"/>
        <v>Friday</v>
      </c>
      <c r="D3015" s="2">
        <v>0.43516203703703704</v>
      </c>
      <c r="E3015" t="s">
        <v>22</v>
      </c>
      <c r="F3015" t="s">
        <v>15</v>
      </c>
      <c r="G3015">
        <v>-100</v>
      </c>
      <c r="H3015" t="s">
        <v>20</v>
      </c>
      <c r="I3015" t="s">
        <v>23</v>
      </c>
      <c r="L3015" t="s">
        <v>22</v>
      </c>
      <c r="M3015">
        <v>26.581900000000001</v>
      </c>
      <c r="N3015">
        <v>26.581900000000001</v>
      </c>
      <c r="O3015" t="s">
        <v>24</v>
      </c>
      <c r="P3015">
        <f t="shared" si="144"/>
        <v>-400</v>
      </c>
      <c r="Q3015" s="11">
        <f>IF(P3015=0,0,IFERROR(Q3014+G3015*M3015*IF(E3015="FUTURE",VLOOKUP(MID(I3015,2,2),[1]Futures!$A$2:$B$12,2),1),G3015*M3015*IF(E3015="FUTURE",VLOOKUP(MID(I3015,2,2),[1]Futures!$A$2:$B$12,2),1)))</f>
        <v>-10581.19</v>
      </c>
      <c r="R3015" s="12">
        <f>IFERROR(Q3015/P3015/IF(E3015="FUTURE",VLOOKUP(MID(I3015,2,2),[1]Futures!$A$2:$B$12,2),1),"")</f>
        <v>26.452975000000002</v>
      </c>
      <c r="S3015" s="13" t="str">
        <f>IF(AND(H3015="TO CLOSE",P3015=0),-G3015*(M3015-R3014)*IF(E3015="FUTURE",VLOOKUP(MID(I3015,2,2),[1]Futures!$A$2:$B$12,2),1),"")</f>
        <v/>
      </c>
    </row>
    <row r="3016" spans="1:19" x14ac:dyDescent="0.2">
      <c r="A3016">
        <f t="shared" si="143"/>
        <v>969</v>
      </c>
      <c r="B3016" s="3">
        <v>44134</v>
      </c>
      <c r="C3016" s="3" t="str">
        <f t="shared" si="142"/>
        <v>Friday</v>
      </c>
      <c r="D3016" s="2">
        <v>0.43733796296296296</v>
      </c>
      <c r="E3016" t="s">
        <v>22</v>
      </c>
      <c r="F3016" t="s">
        <v>19</v>
      </c>
      <c r="G3016">
        <v>400</v>
      </c>
      <c r="H3016" t="s">
        <v>16</v>
      </c>
      <c r="I3016" t="s">
        <v>23</v>
      </c>
      <c r="L3016" t="s">
        <v>22</v>
      </c>
      <c r="M3016">
        <v>26.75</v>
      </c>
      <c r="N3016">
        <v>26.75</v>
      </c>
      <c r="O3016" t="s">
        <v>24</v>
      </c>
      <c r="P3016">
        <f t="shared" si="144"/>
        <v>0</v>
      </c>
      <c r="Q3016" s="11">
        <f>IF(P3016=0,0,IFERROR(Q3015+G3016*M3016*IF(E3016="FUTURE",VLOOKUP(MID(I3016,2,2),[1]Futures!$A$2:$B$12,2),1),G3016*M3016*IF(E3016="FUTURE",VLOOKUP(MID(I3016,2,2),[1]Futures!$A$2:$B$12,2),1)))</f>
        <v>0</v>
      </c>
      <c r="R3016" s="12" t="str">
        <f>IFERROR(Q3016/P3016/IF(E3016="FUTURE",VLOOKUP(MID(I3016,2,2),[1]Futures!$A$2:$B$12,2),1),"")</f>
        <v/>
      </c>
      <c r="S3016" s="13">
        <f>IF(AND(H3016="TO CLOSE",P3016=0),-G3016*(M3016-R3015)*IF(E3016="FUTURE",VLOOKUP(MID(I3016,2,2),[1]Futures!$A$2:$B$12,2),1),"")</f>
        <v>-118.80999999999915</v>
      </c>
    </row>
    <row r="3017" spans="1:19" x14ac:dyDescent="0.2">
      <c r="A3017">
        <f t="shared" si="143"/>
        <v>970</v>
      </c>
      <c r="B3017" s="3">
        <v>44134</v>
      </c>
      <c r="C3017" s="3" t="str">
        <f t="shared" si="142"/>
        <v>Friday</v>
      </c>
      <c r="D3017" s="2">
        <v>0.43768518518518523</v>
      </c>
      <c r="E3017" t="s">
        <v>22</v>
      </c>
      <c r="F3017" t="s">
        <v>15</v>
      </c>
      <c r="G3017">
        <v>-400</v>
      </c>
      <c r="H3017" t="s">
        <v>20</v>
      </c>
      <c r="I3017" t="s">
        <v>23</v>
      </c>
      <c r="L3017" t="s">
        <v>22</v>
      </c>
      <c r="M3017">
        <v>26.711500000000001</v>
      </c>
      <c r="N3017">
        <v>26.711500000000001</v>
      </c>
      <c r="O3017" t="s">
        <v>24</v>
      </c>
      <c r="P3017">
        <f t="shared" si="144"/>
        <v>-400</v>
      </c>
      <c r="Q3017" s="11">
        <f>IF(P3017=0,0,IFERROR(Q3016+G3017*M3017*IF(E3017="FUTURE",VLOOKUP(MID(I3017,2,2),[1]Futures!$A$2:$B$12,2),1),G3017*M3017*IF(E3017="FUTURE",VLOOKUP(MID(I3017,2,2),[1]Futures!$A$2:$B$12,2),1)))</f>
        <v>-10684.6</v>
      </c>
      <c r="R3017" s="12">
        <f>IFERROR(Q3017/P3017/IF(E3017="FUTURE",VLOOKUP(MID(I3017,2,2),[1]Futures!$A$2:$B$12,2),1),"")</f>
        <v>26.711500000000001</v>
      </c>
      <c r="S3017" s="13" t="str">
        <f>IF(AND(H3017="TO CLOSE",P3017=0),-G3017*(M3017-R3016)*IF(E3017="FUTURE",VLOOKUP(MID(I3017,2,2),[1]Futures!$A$2:$B$12,2),1),"")</f>
        <v/>
      </c>
    </row>
    <row r="3018" spans="1:19" x14ac:dyDescent="0.2">
      <c r="A3018">
        <f t="shared" si="143"/>
        <v>970</v>
      </c>
      <c r="B3018" s="3">
        <v>44134</v>
      </c>
      <c r="C3018" s="3" t="str">
        <f t="shared" si="142"/>
        <v>Friday</v>
      </c>
      <c r="D3018" s="2">
        <v>0.44760416666666664</v>
      </c>
      <c r="E3018" t="s">
        <v>22</v>
      </c>
      <c r="F3018" t="s">
        <v>15</v>
      </c>
      <c r="G3018">
        <v>-25</v>
      </c>
      <c r="H3018" t="s">
        <v>20</v>
      </c>
      <c r="I3018" t="s">
        <v>23</v>
      </c>
      <c r="L3018" t="s">
        <v>22</v>
      </c>
      <c r="M3018">
        <v>26.67</v>
      </c>
      <c r="N3018">
        <v>26.67</v>
      </c>
      <c r="O3018" t="s">
        <v>24</v>
      </c>
      <c r="P3018">
        <f t="shared" si="144"/>
        <v>-425</v>
      </c>
      <c r="Q3018" s="11">
        <f>IF(P3018=0,0,IFERROR(Q3017+G3018*M3018*IF(E3018="FUTURE",VLOOKUP(MID(I3018,2,2),[1]Futures!$A$2:$B$12,2),1),G3018*M3018*IF(E3018="FUTURE",VLOOKUP(MID(I3018,2,2),[1]Futures!$A$2:$B$12,2),1)))</f>
        <v>-11351.35</v>
      </c>
      <c r="R3018" s="12">
        <f>IFERROR(Q3018/P3018/IF(E3018="FUTURE",VLOOKUP(MID(I3018,2,2),[1]Futures!$A$2:$B$12,2),1),"")</f>
        <v>26.709058823529414</v>
      </c>
      <c r="S3018" s="13" t="str">
        <f>IF(AND(H3018="TO CLOSE",P3018=0),-G3018*(M3018-R3017)*IF(E3018="FUTURE",VLOOKUP(MID(I3018,2,2),[1]Futures!$A$2:$B$12,2),1),"")</f>
        <v/>
      </c>
    </row>
    <row r="3019" spans="1:19" x14ac:dyDescent="0.2">
      <c r="A3019">
        <f t="shared" si="143"/>
        <v>970</v>
      </c>
      <c r="B3019" s="3">
        <v>44134</v>
      </c>
      <c r="C3019" s="3" t="str">
        <f t="shared" si="142"/>
        <v>Friday</v>
      </c>
      <c r="D3019" s="2">
        <v>0.44765046296296296</v>
      </c>
      <c r="E3019" t="s">
        <v>22</v>
      </c>
      <c r="F3019" t="s">
        <v>15</v>
      </c>
      <c r="G3019">
        <v>-75</v>
      </c>
      <c r="H3019" t="s">
        <v>20</v>
      </c>
      <c r="I3019" t="s">
        <v>23</v>
      </c>
      <c r="L3019" t="s">
        <v>22</v>
      </c>
      <c r="M3019">
        <v>26.684999999999999</v>
      </c>
      <c r="N3019">
        <v>26.68507</v>
      </c>
      <c r="O3019" t="s">
        <v>24</v>
      </c>
      <c r="P3019">
        <f t="shared" si="144"/>
        <v>-500</v>
      </c>
      <c r="Q3019" s="11">
        <f>IF(P3019=0,0,IFERROR(Q3018+G3019*M3019*IF(E3019="FUTURE",VLOOKUP(MID(I3019,2,2),[1]Futures!$A$2:$B$12,2),1),G3019*M3019*IF(E3019="FUTURE",VLOOKUP(MID(I3019,2,2),[1]Futures!$A$2:$B$12,2),1)))</f>
        <v>-13352.725</v>
      </c>
      <c r="R3019" s="12">
        <f>IFERROR(Q3019/P3019/IF(E3019="FUTURE",VLOOKUP(MID(I3019,2,2),[1]Futures!$A$2:$B$12,2),1),"")</f>
        <v>26.705449999999999</v>
      </c>
      <c r="S3019" s="13" t="str">
        <f>IF(AND(H3019="TO CLOSE",P3019=0),-G3019*(M3019-R3018)*IF(E3019="FUTURE",VLOOKUP(MID(I3019,2,2),[1]Futures!$A$2:$B$12,2),1),"")</f>
        <v/>
      </c>
    </row>
    <row r="3020" spans="1:19" x14ac:dyDescent="0.2">
      <c r="A3020">
        <f t="shared" si="143"/>
        <v>970</v>
      </c>
      <c r="B3020" s="3">
        <v>44134</v>
      </c>
      <c r="C3020" s="3" t="str">
        <f t="shared" si="142"/>
        <v>Friday</v>
      </c>
      <c r="D3020" s="2">
        <v>0.49857638888888894</v>
      </c>
      <c r="E3020" t="s">
        <v>22</v>
      </c>
      <c r="F3020" t="s">
        <v>19</v>
      </c>
      <c r="G3020">
        <v>200</v>
      </c>
      <c r="H3020" t="s">
        <v>16</v>
      </c>
      <c r="I3020" t="s">
        <v>23</v>
      </c>
      <c r="L3020" t="s">
        <v>22</v>
      </c>
      <c r="M3020">
        <v>26.29</v>
      </c>
      <c r="N3020">
        <v>26.29</v>
      </c>
      <c r="O3020" t="s">
        <v>21</v>
      </c>
      <c r="P3020">
        <f t="shared" si="144"/>
        <v>-300</v>
      </c>
      <c r="Q3020" s="11">
        <f>IF(P3020=0,0,IFERROR(Q3019+G3020*M3020*IF(E3020="FUTURE",VLOOKUP(MID(I3020,2,2),[1]Futures!$A$2:$B$12,2),1),G3020*M3020*IF(E3020="FUTURE",VLOOKUP(MID(I3020,2,2),[1]Futures!$A$2:$B$12,2),1)))</f>
        <v>-8094.7250000000004</v>
      </c>
      <c r="R3020" s="12">
        <f>IFERROR(Q3020/P3020/IF(E3020="FUTURE",VLOOKUP(MID(I3020,2,2),[1]Futures!$A$2:$B$12,2),1),"")</f>
        <v>26.982416666666669</v>
      </c>
      <c r="S3020" s="13" t="str">
        <f>IF(AND(H3020="TO CLOSE",P3020=0),-G3020*(M3020-R3019)*IF(E3020="FUTURE",VLOOKUP(MID(I3020,2,2),[1]Futures!$A$2:$B$12,2),1),"")</f>
        <v/>
      </c>
    </row>
    <row r="3021" spans="1:19" x14ac:dyDescent="0.2">
      <c r="A3021">
        <f t="shared" si="143"/>
        <v>970</v>
      </c>
      <c r="B3021" s="3">
        <v>44134</v>
      </c>
      <c r="C3021" s="3" t="str">
        <f t="shared" si="142"/>
        <v>Friday</v>
      </c>
      <c r="D3021" s="2">
        <v>0.50032407407407409</v>
      </c>
      <c r="E3021" t="s">
        <v>22</v>
      </c>
      <c r="F3021" t="s">
        <v>19</v>
      </c>
      <c r="G3021">
        <v>100</v>
      </c>
      <c r="H3021" t="s">
        <v>16</v>
      </c>
      <c r="I3021" t="s">
        <v>23</v>
      </c>
      <c r="L3021" t="s">
        <v>22</v>
      </c>
      <c r="M3021">
        <v>26.308900000000001</v>
      </c>
      <c r="N3021">
        <v>26.308900000000001</v>
      </c>
      <c r="O3021" t="s">
        <v>21</v>
      </c>
      <c r="P3021">
        <f t="shared" si="144"/>
        <v>-200</v>
      </c>
      <c r="Q3021" s="11">
        <f>IF(P3021=0,0,IFERROR(Q3020+G3021*M3021*IF(E3021="FUTURE",VLOOKUP(MID(I3021,2,2),[1]Futures!$A$2:$B$12,2),1),G3021*M3021*IF(E3021="FUTURE",VLOOKUP(MID(I3021,2,2),[1]Futures!$A$2:$B$12,2),1)))</f>
        <v>-5463.835</v>
      </c>
      <c r="R3021" s="12">
        <f>IFERROR(Q3021/P3021/IF(E3021="FUTURE",VLOOKUP(MID(I3021,2,2),[1]Futures!$A$2:$B$12,2),1),"")</f>
        <v>27.319175000000001</v>
      </c>
      <c r="S3021" s="13" t="str">
        <f>IF(AND(H3021="TO CLOSE",P3021=0),-G3021*(M3021-R3020)*IF(E3021="FUTURE",VLOOKUP(MID(I3021,2,2),[1]Futures!$A$2:$B$12,2),1),"")</f>
        <v/>
      </c>
    </row>
    <row r="3022" spans="1:19" x14ac:dyDescent="0.2">
      <c r="A3022">
        <f t="shared" si="143"/>
        <v>970</v>
      </c>
      <c r="B3022" s="3">
        <v>44134</v>
      </c>
      <c r="C3022" s="3" t="str">
        <f t="shared" si="142"/>
        <v>Friday</v>
      </c>
      <c r="D3022" s="2">
        <v>0.50131944444444443</v>
      </c>
      <c r="E3022" t="s">
        <v>22</v>
      </c>
      <c r="F3022" t="s">
        <v>19</v>
      </c>
      <c r="G3022">
        <v>100</v>
      </c>
      <c r="H3022" t="s">
        <v>16</v>
      </c>
      <c r="I3022" t="s">
        <v>23</v>
      </c>
      <c r="L3022" t="s">
        <v>22</v>
      </c>
      <c r="M3022">
        <v>26.2</v>
      </c>
      <c r="N3022">
        <v>26.2</v>
      </c>
      <c r="O3022" t="s">
        <v>21</v>
      </c>
      <c r="P3022">
        <f t="shared" si="144"/>
        <v>-100</v>
      </c>
      <c r="Q3022" s="11">
        <f>IF(P3022=0,0,IFERROR(Q3021+G3022*M3022*IF(E3022="FUTURE",VLOOKUP(MID(I3022,2,2),[1]Futures!$A$2:$B$12,2),1),G3022*M3022*IF(E3022="FUTURE",VLOOKUP(MID(I3022,2,2),[1]Futures!$A$2:$B$12,2),1)))</f>
        <v>-2843.835</v>
      </c>
      <c r="R3022" s="12">
        <f>IFERROR(Q3022/P3022/IF(E3022="FUTURE",VLOOKUP(MID(I3022,2,2),[1]Futures!$A$2:$B$12,2),1),"")</f>
        <v>28.43835</v>
      </c>
      <c r="S3022" s="13" t="str">
        <f>IF(AND(H3022="TO CLOSE",P3022=0),-G3022*(M3022-R3021)*IF(E3022="FUTURE",VLOOKUP(MID(I3022,2,2),[1]Futures!$A$2:$B$12,2),1),"")</f>
        <v/>
      </c>
    </row>
    <row r="3023" spans="1:19" x14ac:dyDescent="0.2">
      <c r="A3023">
        <f t="shared" si="143"/>
        <v>970</v>
      </c>
      <c r="B3023" s="3">
        <v>44134</v>
      </c>
      <c r="C3023" s="3" t="str">
        <f t="shared" si="142"/>
        <v>Friday</v>
      </c>
      <c r="D3023" s="2">
        <v>0.50505787037037042</v>
      </c>
      <c r="E3023" t="s">
        <v>22</v>
      </c>
      <c r="F3023" t="s">
        <v>19</v>
      </c>
      <c r="G3023">
        <v>100</v>
      </c>
      <c r="H3023" t="s">
        <v>16</v>
      </c>
      <c r="I3023" t="s">
        <v>23</v>
      </c>
      <c r="L3023" t="s">
        <v>22</v>
      </c>
      <c r="M3023">
        <v>26.07</v>
      </c>
      <c r="N3023">
        <v>26.07</v>
      </c>
      <c r="O3023" t="s">
        <v>21</v>
      </c>
      <c r="P3023">
        <f t="shared" si="144"/>
        <v>0</v>
      </c>
      <c r="Q3023" s="11">
        <f>IF(P3023=0,0,IFERROR(Q3022+G3023*M3023*IF(E3023="FUTURE",VLOOKUP(MID(I3023,2,2),[1]Futures!$A$2:$B$12,2),1),G3023*M3023*IF(E3023="FUTURE",VLOOKUP(MID(I3023,2,2),[1]Futures!$A$2:$B$12,2),1)))</f>
        <v>0</v>
      </c>
      <c r="R3023" s="12" t="str">
        <f>IFERROR(Q3023/P3023/IF(E3023="FUTURE",VLOOKUP(MID(I3023,2,2),[1]Futures!$A$2:$B$12,2),1),"")</f>
        <v/>
      </c>
      <c r="S3023" s="13">
        <f>IF(AND(H3023="TO CLOSE",P3023=0),-G3023*(M3023-R3022)*IF(E3023="FUTURE",VLOOKUP(MID(I3023,2,2),[1]Futures!$A$2:$B$12,2),1),"")</f>
        <v>236.83499999999995</v>
      </c>
    </row>
    <row r="3024" spans="1:19" x14ac:dyDescent="0.2">
      <c r="A3024">
        <f t="shared" si="143"/>
        <v>971</v>
      </c>
      <c r="B3024" s="3">
        <v>44134</v>
      </c>
      <c r="C3024" s="3" t="str">
        <f t="shared" si="142"/>
        <v>Friday</v>
      </c>
      <c r="D3024" s="2">
        <v>0.55799768518518522</v>
      </c>
      <c r="E3024" t="s">
        <v>22</v>
      </c>
      <c r="F3024" t="s">
        <v>15</v>
      </c>
      <c r="G3024">
        <v>-200</v>
      </c>
      <c r="H3024" t="s">
        <v>20</v>
      </c>
      <c r="I3024" t="s">
        <v>23</v>
      </c>
      <c r="L3024" t="s">
        <v>22</v>
      </c>
      <c r="M3024">
        <v>26.45</v>
      </c>
      <c r="N3024">
        <v>26.45</v>
      </c>
      <c r="O3024" t="s">
        <v>21</v>
      </c>
      <c r="P3024">
        <f t="shared" si="144"/>
        <v>-200</v>
      </c>
      <c r="Q3024" s="11">
        <f>IF(P3024=0,0,IFERROR(Q3023+G3024*M3024*IF(E3024="FUTURE",VLOOKUP(MID(I3024,2,2),[1]Futures!$A$2:$B$12,2),1),G3024*M3024*IF(E3024="FUTURE",VLOOKUP(MID(I3024,2,2),[1]Futures!$A$2:$B$12,2),1)))</f>
        <v>-5290</v>
      </c>
      <c r="R3024" s="12">
        <f>IFERROR(Q3024/P3024/IF(E3024="FUTURE",VLOOKUP(MID(I3024,2,2),[1]Futures!$A$2:$B$12,2),1),"")</f>
        <v>26.45</v>
      </c>
      <c r="S3024" s="13" t="str">
        <f>IF(AND(H3024="TO CLOSE",P3024=0),-G3024*(M3024-R3023)*IF(E3024="FUTURE",VLOOKUP(MID(I3024,2,2),[1]Futures!$A$2:$B$12,2),1),"")</f>
        <v/>
      </c>
    </row>
    <row r="3025" spans="1:19" x14ac:dyDescent="0.2">
      <c r="A3025">
        <f t="shared" si="143"/>
        <v>971</v>
      </c>
      <c r="B3025" s="3">
        <v>44134</v>
      </c>
      <c r="C3025" s="3" t="str">
        <f t="shared" si="142"/>
        <v>Friday</v>
      </c>
      <c r="D3025" s="2">
        <v>0.56582175925925926</v>
      </c>
      <c r="E3025" t="s">
        <v>22</v>
      </c>
      <c r="F3025" t="s">
        <v>15</v>
      </c>
      <c r="G3025">
        <v>-100</v>
      </c>
      <c r="H3025" t="s">
        <v>20</v>
      </c>
      <c r="I3025" t="s">
        <v>23</v>
      </c>
      <c r="L3025" t="s">
        <v>22</v>
      </c>
      <c r="M3025">
        <v>26.6</v>
      </c>
      <c r="N3025">
        <v>26.6</v>
      </c>
      <c r="O3025" t="s">
        <v>21</v>
      </c>
      <c r="P3025">
        <f t="shared" si="144"/>
        <v>-300</v>
      </c>
      <c r="Q3025" s="11">
        <f>IF(P3025=0,0,IFERROR(Q3024+G3025*M3025*IF(E3025="FUTURE",VLOOKUP(MID(I3025,2,2),[1]Futures!$A$2:$B$12,2),1),G3025*M3025*IF(E3025="FUTURE",VLOOKUP(MID(I3025,2,2),[1]Futures!$A$2:$B$12,2),1)))</f>
        <v>-7950</v>
      </c>
      <c r="R3025" s="12">
        <f>IFERROR(Q3025/P3025/IF(E3025="FUTURE",VLOOKUP(MID(I3025,2,2),[1]Futures!$A$2:$B$12,2),1),"")</f>
        <v>26.5</v>
      </c>
      <c r="S3025" s="13" t="str">
        <f>IF(AND(H3025="TO CLOSE",P3025=0),-G3025*(M3025-R3024)*IF(E3025="FUTURE",VLOOKUP(MID(I3025,2,2),[1]Futures!$A$2:$B$12,2),1),"")</f>
        <v/>
      </c>
    </row>
    <row r="3026" spans="1:19" x14ac:dyDescent="0.2">
      <c r="A3026">
        <f t="shared" si="143"/>
        <v>971</v>
      </c>
      <c r="B3026" s="3">
        <v>44134</v>
      </c>
      <c r="C3026" s="3" t="str">
        <f t="shared" si="142"/>
        <v>Friday</v>
      </c>
      <c r="D3026" s="2">
        <v>0.58333333333333337</v>
      </c>
      <c r="E3026" t="s">
        <v>22</v>
      </c>
      <c r="F3026" t="s">
        <v>19</v>
      </c>
      <c r="G3026">
        <v>100</v>
      </c>
      <c r="H3026" t="s">
        <v>16</v>
      </c>
      <c r="I3026" t="s">
        <v>23</v>
      </c>
      <c r="L3026" t="s">
        <v>22</v>
      </c>
      <c r="M3026">
        <v>26.365500000000001</v>
      </c>
      <c r="N3026">
        <v>26.365500000000001</v>
      </c>
      <c r="O3026" t="s">
        <v>24</v>
      </c>
      <c r="P3026">
        <f t="shared" si="144"/>
        <v>-200</v>
      </c>
      <c r="Q3026" s="11">
        <f>IF(P3026=0,0,IFERROR(Q3025+G3026*M3026*IF(E3026="FUTURE",VLOOKUP(MID(I3026,2,2),[1]Futures!$A$2:$B$12,2),1),G3026*M3026*IF(E3026="FUTURE",VLOOKUP(MID(I3026,2,2),[1]Futures!$A$2:$B$12,2),1)))</f>
        <v>-5313.45</v>
      </c>
      <c r="R3026" s="12">
        <f>IFERROR(Q3026/P3026/IF(E3026="FUTURE",VLOOKUP(MID(I3026,2,2),[1]Futures!$A$2:$B$12,2),1),"")</f>
        <v>26.567249999999998</v>
      </c>
      <c r="S3026" s="13" t="str">
        <f>IF(AND(H3026="TO CLOSE",P3026=0),-G3026*(M3026-R3025)*IF(E3026="FUTURE",VLOOKUP(MID(I3026,2,2),[1]Futures!$A$2:$B$12,2),1),"")</f>
        <v/>
      </c>
    </row>
    <row r="3027" spans="1:19" x14ac:dyDescent="0.2">
      <c r="A3027">
        <f t="shared" si="143"/>
        <v>971</v>
      </c>
      <c r="B3027" s="3">
        <v>44134</v>
      </c>
      <c r="C3027" s="3" t="str">
        <f t="shared" si="142"/>
        <v>Friday</v>
      </c>
      <c r="D3027" s="2">
        <v>0.60431712962962958</v>
      </c>
      <c r="E3027" t="s">
        <v>22</v>
      </c>
      <c r="F3027" t="s">
        <v>15</v>
      </c>
      <c r="G3027">
        <v>-100</v>
      </c>
      <c r="H3027" t="s">
        <v>20</v>
      </c>
      <c r="I3027" t="s">
        <v>23</v>
      </c>
      <c r="L3027" t="s">
        <v>22</v>
      </c>
      <c r="M3027">
        <v>26.83</v>
      </c>
      <c r="N3027">
        <v>26.83</v>
      </c>
      <c r="O3027" t="s">
        <v>21</v>
      </c>
      <c r="P3027">
        <f t="shared" si="144"/>
        <v>-300</v>
      </c>
      <c r="Q3027" s="11">
        <f>IF(P3027=0,0,IFERROR(Q3026+G3027*M3027*IF(E3027="FUTURE",VLOOKUP(MID(I3027,2,2),[1]Futures!$A$2:$B$12,2),1),G3027*M3027*IF(E3027="FUTURE",VLOOKUP(MID(I3027,2,2),[1]Futures!$A$2:$B$12,2),1)))</f>
        <v>-7996.45</v>
      </c>
      <c r="R3027" s="12">
        <f>IFERROR(Q3027/P3027/IF(E3027="FUTURE",VLOOKUP(MID(I3027,2,2),[1]Futures!$A$2:$B$12,2),1),"")</f>
        <v>26.654833333333332</v>
      </c>
      <c r="S3027" s="13" t="str">
        <f>IF(AND(H3027="TO CLOSE",P3027=0),-G3027*(M3027-R3026)*IF(E3027="FUTURE",VLOOKUP(MID(I3027,2,2),[1]Futures!$A$2:$B$12,2),1),"")</f>
        <v/>
      </c>
    </row>
    <row r="3028" spans="1:19" x14ac:dyDescent="0.2">
      <c r="A3028">
        <f t="shared" si="143"/>
        <v>971</v>
      </c>
      <c r="B3028" s="3">
        <v>44134</v>
      </c>
      <c r="C3028" s="3" t="str">
        <f t="shared" si="142"/>
        <v>Friday</v>
      </c>
      <c r="D3028" s="2">
        <v>0.61020833333333335</v>
      </c>
      <c r="E3028" t="s">
        <v>22</v>
      </c>
      <c r="F3028" t="s">
        <v>19</v>
      </c>
      <c r="G3028">
        <v>99</v>
      </c>
      <c r="H3028" t="s">
        <v>16</v>
      </c>
      <c r="I3028" t="s">
        <v>23</v>
      </c>
      <c r="L3028" t="s">
        <v>22</v>
      </c>
      <c r="M3028">
        <v>26.67</v>
      </c>
      <c r="N3028">
        <v>26.67</v>
      </c>
      <c r="O3028" t="s">
        <v>21</v>
      </c>
      <c r="P3028">
        <f t="shared" si="144"/>
        <v>-201</v>
      </c>
      <c r="Q3028" s="11">
        <f>IF(P3028=0,0,IFERROR(Q3027+G3028*M3028*IF(E3028="FUTURE",VLOOKUP(MID(I3028,2,2),[1]Futures!$A$2:$B$12,2),1),G3028*M3028*IF(E3028="FUTURE",VLOOKUP(MID(I3028,2,2),[1]Futures!$A$2:$B$12,2),1)))</f>
        <v>-5356.119999999999</v>
      </c>
      <c r="R3028" s="12">
        <f>IFERROR(Q3028/P3028/IF(E3028="FUTURE",VLOOKUP(MID(I3028,2,2),[1]Futures!$A$2:$B$12,2),1),"")</f>
        <v>26.647363184079598</v>
      </c>
      <c r="S3028" s="13" t="str">
        <f>IF(AND(H3028="TO CLOSE",P3028=0),-G3028*(M3028-R3027)*IF(E3028="FUTURE",VLOOKUP(MID(I3028,2,2),[1]Futures!$A$2:$B$12,2),1),"")</f>
        <v/>
      </c>
    </row>
    <row r="3029" spans="1:19" x14ac:dyDescent="0.2">
      <c r="A3029">
        <f t="shared" si="143"/>
        <v>971</v>
      </c>
      <c r="B3029" s="3">
        <v>44134</v>
      </c>
      <c r="C3029" s="3" t="str">
        <f t="shared" si="142"/>
        <v>Friday</v>
      </c>
      <c r="D3029" s="2">
        <v>0.61020833333333335</v>
      </c>
      <c r="E3029" t="s">
        <v>22</v>
      </c>
      <c r="F3029" t="s">
        <v>19</v>
      </c>
      <c r="G3029">
        <v>1</v>
      </c>
      <c r="H3029" t="s">
        <v>16</v>
      </c>
      <c r="I3029" t="s">
        <v>23</v>
      </c>
      <c r="L3029" t="s">
        <v>22</v>
      </c>
      <c r="M3029">
        <v>26.67</v>
      </c>
      <c r="N3029">
        <v>26.67</v>
      </c>
      <c r="O3029" t="s">
        <v>21</v>
      </c>
      <c r="P3029">
        <f t="shared" si="144"/>
        <v>-200</v>
      </c>
      <c r="Q3029" s="11">
        <f>IF(P3029=0,0,IFERROR(Q3028+G3029*M3029*IF(E3029="FUTURE",VLOOKUP(MID(I3029,2,2),[1]Futures!$A$2:$B$12,2),1),G3029*M3029*IF(E3029="FUTURE",VLOOKUP(MID(I3029,2,2),[1]Futures!$A$2:$B$12,2),1)))</f>
        <v>-5329.4499999999989</v>
      </c>
      <c r="R3029" s="12">
        <f>IFERROR(Q3029/P3029/IF(E3029="FUTURE",VLOOKUP(MID(I3029,2,2),[1]Futures!$A$2:$B$12,2),1),"")</f>
        <v>26.647249999999996</v>
      </c>
      <c r="S3029" s="13" t="str">
        <f>IF(AND(H3029="TO CLOSE",P3029=0),-G3029*(M3029-R3028)*IF(E3029="FUTURE",VLOOKUP(MID(I3029,2,2),[1]Futures!$A$2:$B$12,2),1),"")</f>
        <v/>
      </c>
    </row>
    <row r="3030" spans="1:19" x14ac:dyDescent="0.2">
      <c r="A3030">
        <f t="shared" si="143"/>
        <v>971</v>
      </c>
      <c r="B3030" s="3">
        <v>44134</v>
      </c>
      <c r="C3030" s="3" t="str">
        <f t="shared" si="142"/>
        <v>Friday</v>
      </c>
      <c r="D3030" s="2">
        <v>0.61195601851851855</v>
      </c>
      <c r="E3030" t="s">
        <v>22</v>
      </c>
      <c r="F3030" t="s">
        <v>15</v>
      </c>
      <c r="G3030">
        <v>-100</v>
      </c>
      <c r="H3030" t="s">
        <v>20</v>
      </c>
      <c r="I3030" t="s">
        <v>23</v>
      </c>
      <c r="L3030" t="s">
        <v>22</v>
      </c>
      <c r="M3030">
        <v>26.830100000000002</v>
      </c>
      <c r="N3030">
        <v>26.830100000000002</v>
      </c>
      <c r="O3030" t="s">
        <v>24</v>
      </c>
      <c r="P3030">
        <f t="shared" si="144"/>
        <v>-300</v>
      </c>
      <c r="Q3030" s="11">
        <f>IF(P3030=0,0,IFERROR(Q3029+G3030*M3030*IF(E3030="FUTURE",VLOOKUP(MID(I3030,2,2),[1]Futures!$A$2:$B$12,2),1),G3030*M3030*IF(E3030="FUTURE",VLOOKUP(MID(I3030,2,2),[1]Futures!$A$2:$B$12,2),1)))</f>
        <v>-8012.4599999999991</v>
      </c>
      <c r="R3030" s="12">
        <f>IFERROR(Q3030/P3030/IF(E3030="FUTURE",VLOOKUP(MID(I3030,2,2),[1]Futures!$A$2:$B$12,2),1),"")</f>
        <v>26.708199999999998</v>
      </c>
      <c r="S3030" s="13" t="str">
        <f>IF(AND(H3030="TO CLOSE",P3030=0),-G3030*(M3030-R3029)*IF(E3030="FUTURE",VLOOKUP(MID(I3030,2,2),[1]Futures!$A$2:$B$12,2),1),"")</f>
        <v/>
      </c>
    </row>
    <row r="3031" spans="1:19" x14ac:dyDescent="0.2">
      <c r="A3031">
        <f t="shared" si="143"/>
        <v>971</v>
      </c>
      <c r="B3031" s="3">
        <v>44134</v>
      </c>
      <c r="C3031" s="3" t="str">
        <f t="shared" si="142"/>
        <v>Friday</v>
      </c>
      <c r="D3031" s="2">
        <v>0.61732638888888891</v>
      </c>
      <c r="E3031" t="s">
        <v>22</v>
      </c>
      <c r="F3031" t="s">
        <v>19</v>
      </c>
      <c r="G3031">
        <v>100</v>
      </c>
      <c r="H3031" t="s">
        <v>16</v>
      </c>
      <c r="I3031" t="s">
        <v>23</v>
      </c>
      <c r="L3031" t="s">
        <v>22</v>
      </c>
      <c r="M3031">
        <v>26.58</v>
      </c>
      <c r="N3031">
        <v>26.58</v>
      </c>
      <c r="O3031" t="s">
        <v>21</v>
      </c>
      <c r="P3031">
        <f t="shared" si="144"/>
        <v>-200</v>
      </c>
      <c r="Q3031" s="11">
        <f>IF(P3031=0,0,IFERROR(Q3030+G3031*M3031*IF(E3031="FUTURE",VLOOKUP(MID(I3031,2,2),[1]Futures!$A$2:$B$12,2),1),G3031*M3031*IF(E3031="FUTURE",VLOOKUP(MID(I3031,2,2),[1]Futures!$A$2:$B$12,2),1)))</f>
        <v>-5354.4599999999991</v>
      </c>
      <c r="R3031" s="12">
        <f>IFERROR(Q3031/P3031/IF(E3031="FUTURE",VLOOKUP(MID(I3031,2,2),[1]Futures!$A$2:$B$12,2),1),"")</f>
        <v>26.772299999999994</v>
      </c>
      <c r="S3031" s="13" t="str">
        <f>IF(AND(H3031="TO CLOSE",P3031=0),-G3031*(M3031-R3030)*IF(E3031="FUTURE",VLOOKUP(MID(I3031,2,2),[1]Futures!$A$2:$B$12,2),1),"")</f>
        <v/>
      </c>
    </row>
    <row r="3032" spans="1:19" x14ac:dyDescent="0.2">
      <c r="A3032">
        <f t="shared" si="143"/>
        <v>971</v>
      </c>
      <c r="B3032" s="3">
        <v>44134</v>
      </c>
      <c r="C3032" s="3" t="str">
        <f t="shared" si="142"/>
        <v>Friday</v>
      </c>
      <c r="D3032" s="2">
        <v>0.63137731481481485</v>
      </c>
      <c r="E3032" t="s">
        <v>22</v>
      </c>
      <c r="F3032" t="s">
        <v>19</v>
      </c>
      <c r="G3032">
        <v>200</v>
      </c>
      <c r="H3032" t="s">
        <v>16</v>
      </c>
      <c r="I3032" t="s">
        <v>23</v>
      </c>
      <c r="L3032" t="s">
        <v>22</v>
      </c>
      <c r="M3032">
        <v>26.71</v>
      </c>
      <c r="N3032">
        <v>26.71</v>
      </c>
      <c r="O3032" t="s">
        <v>18</v>
      </c>
      <c r="P3032">
        <f t="shared" si="144"/>
        <v>0</v>
      </c>
      <c r="Q3032" s="11">
        <f>IF(P3032=0,0,IFERROR(Q3031+G3032*M3032*IF(E3032="FUTURE",VLOOKUP(MID(I3032,2,2),[1]Futures!$A$2:$B$12,2),1),G3032*M3032*IF(E3032="FUTURE",VLOOKUP(MID(I3032,2,2),[1]Futures!$A$2:$B$12,2),1)))</f>
        <v>0</v>
      </c>
      <c r="R3032" s="12" t="str">
        <f>IFERROR(Q3032/P3032/IF(E3032="FUTURE",VLOOKUP(MID(I3032,2,2),[1]Futures!$A$2:$B$12,2),1),"")</f>
        <v/>
      </c>
      <c r="S3032" s="13">
        <f>IF(AND(H3032="TO CLOSE",P3032=0),-G3032*(M3032-R3031)*IF(E3032="FUTURE",VLOOKUP(MID(I3032,2,2),[1]Futures!$A$2:$B$12,2),1),"")</f>
        <v>12.459999999998672</v>
      </c>
    </row>
    <row r="3033" spans="1:19" x14ac:dyDescent="0.2">
      <c r="A3033">
        <f t="shared" si="143"/>
        <v>972</v>
      </c>
      <c r="B3033" s="3">
        <v>44137</v>
      </c>
      <c r="C3033" s="3" t="str">
        <f t="shared" si="142"/>
        <v>Monday</v>
      </c>
      <c r="D3033" s="2">
        <v>0.35865740740740742</v>
      </c>
      <c r="E3033" t="s">
        <v>14</v>
      </c>
      <c r="F3033" t="s">
        <v>15</v>
      </c>
      <c r="G3033">
        <v>-2</v>
      </c>
      <c r="H3033" t="s">
        <v>20</v>
      </c>
      <c r="I3033" t="s">
        <v>86</v>
      </c>
      <c r="J3033" s="1">
        <v>44185</v>
      </c>
      <c r="L3033" t="s">
        <v>14</v>
      </c>
      <c r="M3033">
        <v>35.71</v>
      </c>
      <c r="N3033">
        <v>35.71</v>
      </c>
      <c r="O3033" t="s">
        <v>21</v>
      </c>
      <c r="P3033">
        <f t="shared" si="144"/>
        <v>-2</v>
      </c>
      <c r="Q3033" s="11">
        <f>IF(P3033=0,0,IFERROR(Q3032+G3033*M3033*IF(E3033="FUTURE",VLOOKUP(MID(I3033,2,2),[1]Futures!$A$2:$B$12,2),1),G3033*M3033*IF(E3033="FUTURE",VLOOKUP(MID(I3033,2,2),[1]Futures!$A$2:$B$12,2),1)))</f>
        <v>-71420</v>
      </c>
      <c r="R3033" s="12">
        <f>IFERROR(Q3033/P3033/IF(E3033="FUTURE",VLOOKUP(MID(I3033,2,2),[1]Futures!$A$2:$B$12,2),1),"")</f>
        <v>35.71</v>
      </c>
      <c r="S3033" s="13" t="str">
        <f>IF(AND(H3033="TO CLOSE",P3033=0),-G3033*(M3033-R3032)*IF(E3033="FUTURE",VLOOKUP(MID(I3033,2,2),[1]Futures!$A$2:$B$12,2),1),"")</f>
        <v/>
      </c>
    </row>
    <row r="3034" spans="1:19" x14ac:dyDescent="0.2">
      <c r="A3034">
        <f t="shared" si="143"/>
        <v>972</v>
      </c>
      <c r="B3034" s="3">
        <v>44137</v>
      </c>
      <c r="C3034" s="3" t="str">
        <f t="shared" si="142"/>
        <v>Monday</v>
      </c>
      <c r="D3034" s="2">
        <v>0.36168981481481483</v>
      </c>
      <c r="E3034" t="s">
        <v>14</v>
      </c>
      <c r="F3034" t="s">
        <v>19</v>
      </c>
      <c r="G3034">
        <v>1</v>
      </c>
      <c r="H3034" t="s">
        <v>16</v>
      </c>
      <c r="I3034" t="s">
        <v>86</v>
      </c>
      <c r="J3034" s="1">
        <v>44185</v>
      </c>
      <c r="L3034" t="s">
        <v>14</v>
      </c>
      <c r="M3034">
        <v>35.590000000000003</v>
      </c>
      <c r="N3034">
        <v>35.590000000000003</v>
      </c>
      <c r="O3034" t="s">
        <v>21</v>
      </c>
      <c r="P3034">
        <f t="shared" si="144"/>
        <v>-1</v>
      </c>
      <c r="Q3034" s="11">
        <f>IF(P3034=0,0,IFERROR(Q3033+G3034*M3034*IF(E3034="FUTURE",VLOOKUP(MID(I3034,2,2),[1]Futures!$A$2:$B$12,2),1),G3034*M3034*IF(E3034="FUTURE",VLOOKUP(MID(I3034,2,2),[1]Futures!$A$2:$B$12,2),1)))</f>
        <v>-35830</v>
      </c>
      <c r="R3034" s="12">
        <f>IFERROR(Q3034/P3034/IF(E3034="FUTURE",VLOOKUP(MID(I3034,2,2),[1]Futures!$A$2:$B$12,2),1),"")</f>
        <v>35.83</v>
      </c>
      <c r="S3034" s="13" t="str">
        <f>IF(AND(H3034="TO CLOSE",P3034=0),-G3034*(M3034-R3033)*IF(E3034="FUTURE",VLOOKUP(MID(I3034,2,2),[1]Futures!$A$2:$B$12,2),1),"")</f>
        <v/>
      </c>
    </row>
    <row r="3035" spans="1:19" x14ac:dyDescent="0.2">
      <c r="A3035">
        <f t="shared" si="143"/>
        <v>972</v>
      </c>
      <c r="B3035" s="3">
        <v>44137</v>
      </c>
      <c r="C3035" s="3" t="str">
        <f t="shared" si="142"/>
        <v>Monday</v>
      </c>
      <c r="D3035" s="2">
        <v>0.36260416666666667</v>
      </c>
      <c r="E3035" t="s">
        <v>14</v>
      </c>
      <c r="F3035" t="s">
        <v>19</v>
      </c>
      <c r="G3035">
        <v>1</v>
      </c>
      <c r="H3035" t="s">
        <v>16</v>
      </c>
      <c r="I3035" t="s">
        <v>86</v>
      </c>
      <c r="J3035" s="1">
        <v>44185</v>
      </c>
      <c r="L3035" t="s">
        <v>14</v>
      </c>
      <c r="M3035">
        <v>35.590000000000003</v>
      </c>
      <c r="N3035">
        <v>35.590000000000003</v>
      </c>
      <c r="O3035" t="s">
        <v>24</v>
      </c>
      <c r="P3035">
        <f t="shared" si="144"/>
        <v>0</v>
      </c>
      <c r="Q3035" s="11">
        <f>IF(P3035=0,0,IFERROR(Q3034+G3035*M3035*IF(E3035="FUTURE",VLOOKUP(MID(I3035,2,2),[1]Futures!$A$2:$B$12,2),1),G3035*M3035*IF(E3035="FUTURE",VLOOKUP(MID(I3035,2,2),[1]Futures!$A$2:$B$12,2),1)))</f>
        <v>0</v>
      </c>
      <c r="R3035" s="12" t="str">
        <f>IFERROR(Q3035/P3035/IF(E3035="FUTURE",VLOOKUP(MID(I3035,2,2),[1]Futures!$A$2:$B$12,2),1),"")</f>
        <v/>
      </c>
      <c r="S3035" s="13">
        <f>IF(AND(H3035="TO CLOSE",P3035=0),-G3035*(M3035-R3034)*IF(E3035="FUTURE",VLOOKUP(MID(I3035,2,2),[1]Futures!$A$2:$B$12,2),1),"")</f>
        <v>239.99999999999488</v>
      </c>
    </row>
    <row r="3036" spans="1:19" x14ac:dyDescent="0.2">
      <c r="A3036">
        <f t="shared" si="143"/>
        <v>973</v>
      </c>
      <c r="B3036" s="3">
        <v>44137</v>
      </c>
      <c r="C3036" s="3" t="str">
        <f t="shared" si="142"/>
        <v>Monday</v>
      </c>
      <c r="D3036" s="2">
        <v>0.38202546296296297</v>
      </c>
      <c r="E3036" t="s">
        <v>14</v>
      </c>
      <c r="F3036" t="s">
        <v>19</v>
      </c>
      <c r="G3036">
        <v>1</v>
      </c>
      <c r="H3036" t="s">
        <v>20</v>
      </c>
      <c r="I3036" t="s">
        <v>86</v>
      </c>
      <c r="J3036" s="1">
        <v>44185</v>
      </c>
      <c r="L3036" t="s">
        <v>14</v>
      </c>
      <c r="M3036">
        <v>35.299999999999997</v>
      </c>
      <c r="N3036">
        <v>35.299999999999997</v>
      </c>
      <c r="O3036" t="s">
        <v>24</v>
      </c>
      <c r="P3036">
        <f t="shared" si="144"/>
        <v>1</v>
      </c>
      <c r="Q3036" s="11">
        <f>IF(P3036=0,0,IFERROR(Q3035+G3036*M3036*IF(E3036="FUTURE",VLOOKUP(MID(I3036,2,2),[1]Futures!$A$2:$B$12,2),1),G3036*M3036*IF(E3036="FUTURE",VLOOKUP(MID(I3036,2,2),[1]Futures!$A$2:$B$12,2),1)))</f>
        <v>35300</v>
      </c>
      <c r="R3036" s="12">
        <f>IFERROR(Q3036/P3036/IF(E3036="FUTURE",VLOOKUP(MID(I3036,2,2),[1]Futures!$A$2:$B$12,2),1),"")</f>
        <v>35.299999999999997</v>
      </c>
      <c r="S3036" s="13" t="str">
        <f>IF(AND(H3036="TO CLOSE",P3036=0),-G3036*(M3036-R3035)*IF(E3036="FUTURE",VLOOKUP(MID(I3036,2,2),[1]Futures!$A$2:$B$12,2),1),"")</f>
        <v/>
      </c>
    </row>
    <row r="3037" spans="1:19" x14ac:dyDescent="0.2">
      <c r="A3037">
        <f t="shared" si="143"/>
        <v>973</v>
      </c>
      <c r="B3037" s="3">
        <v>44137</v>
      </c>
      <c r="C3037" s="3" t="str">
        <f t="shared" si="142"/>
        <v>Monday</v>
      </c>
      <c r="D3037" s="2">
        <v>0.39620370370370367</v>
      </c>
      <c r="E3037" t="s">
        <v>14</v>
      </c>
      <c r="F3037" t="s">
        <v>15</v>
      </c>
      <c r="G3037">
        <v>-1</v>
      </c>
      <c r="H3037" t="s">
        <v>16</v>
      </c>
      <c r="I3037" t="s">
        <v>86</v>
      </c>
      <c r="J3037" s="1">
        <v>44185</v>
      </c>
      <c r="L3037" t="s">
        <v>14</v>
      </c>
      <c r="M3037">
        <v>35.520000000000003</v>
      </c>
      <c r="N3037">
        <v>35.520000000000003</v>
      </c>
      <c r="O3037" t="s">
        <v>21</v>
      </c>
      <c r="P3037">
        <f t="shared" si="144"/>
        <v>0</v>
      </c>
      <c r="Q3037" s="11">
        <f>IF(P3037=0,0,IFERROR(Q3036+G3037*M3037*IF(E3037="FUTURE",VLOOKUP(MID(I3037,2,2),[1]Futures!$A$2:$B$12,2),1),G3037*M3037*IF(E3037="FUTURE",VLOOKUP(MID(I3037,2,2),[1]Futures!$A$2:$B$12,2),1)))</f>
        <v>0</v>
      </c>
      <c r="R3037" s="12" t="str">
        <f>IFERROR(Q3037/P3037/IF(E3037="FUTURE",VLOOKUP(MID(I3037,2,2),[1]Futures!$A$2:$B$12,2),1),"")</f>
        <v/>
      </c>
      <c r="S3037" s="13">
        <f>IF(AND(H3037="TO CLOSE",P3037=0),-G3037*(M3037-R3036)*IF(E3037="FUTURE",VLOOKUP(MID(I3037,2,2),[1]Futures!$A$2:$B$12,2),1),"")</f>
        <v>220.00000000000597</v>
      </c>
    </row>
    <row r="3038" spans="1:19" x14ac:dyDescent="0.2">
      <c r="A3038">
        <f t="shared" si="143"/>
        <v>974</v>
      </c>
      <c r="B3038" s="3">
        <v>44137</v>
      </c>
      <c r="C3038" s="3" t="str">
        <f t="shared" si="142"/>
        <v>Monday</v>
      </c>
      <c r="D3038" s="2">
        <v>0.42224537037037035</v>
      </c>
      <c r="E3038" t="s">
        <v>14</v>
      </c>
      <c r="F3038" t="s">
        <v>15</v>
      </c>
      <c r="G3038">
        <v>-1</v>
      </c>
      <c r="H3038" t="s">
        <v>20</v>
      </c>
      <c r="I3038" t="s">
        <v>86</v>
      </c>
      <c r="J3038" s="1">
        <v>44185</v>
      </c>
      <c r="L3038" t="s">
        <v>14</v>
      </c>
      <c r="M3038">
        <v>36.06</v>
      </c>
      <c r="N3038">
        <v>36.06</v>
      </c>
      <c r="O3038" t="s">
        <v>21</v>
      </c>
      <c r="P3038">
        <f t="shared" si="144"/>
        <v>-1</v>
      </c>
      <c r="Q3038" s="11">
        <f>IF(P3038=0,0,IFERROR(Q3037+G3038*M3038*IF(E3038="FUTURE",VLOOKUP(MID(I3038,2,2),[1]Futures!$A$2:$B$12,2),1),G3038*M3038*IF(E3038="FUTURE",VLOOKUP(MID(I3038,2,2),[1]Futures!$A$2:$B$12,2),1)))</f>
        <v>-36060</v>
      </c>
      <c r="R3038" s="12">
        <f>IFERROR(Q3038/P3038/IF(E3038="FUTURE",VLOOKUP(MID(I3038,2,2),[1]Futures!$A$2:$B$12,2),1),"")</f>
        <v>36.06</v>
      </c>
      <c r="S3038" s="13" t="str">
        <f>IF(AND(H3038="TO CLOSE",P3038=0),-G3038*(M3038-R3037)*IF(E3038="FUTURE",VLOOKUP(MID(I3038,2,2),[1]Futures!$A$2:$B$12,2),1),"")</f>
        <v/>
      </c>
    </row>
    <row r="3039" spans="1:19" x14ac:dyDescent="0.2">
      <c r="A3039">
        <f t="shared" si="143"/>
        <v>974</v>
      </c>
      <c r="B3039" s="3">
        <v>44137</v>
      </c>
      <c r="C3039" s="3" t="str">
        <f t="shared" si="142"/>
        <v>Monday</v>
      </c>
      <c r="D3039" s="2">
        <v>0.42746527777777782</v>
      </c>
      <c r="E3039" t="s">
        <v>14</v>
      </c>
      <c r="F3039" t="s">
        <v>19</v>
      </c>
      <c r="G3039">
        <v>1</v>
      </c>
      <c r="H3039" t="s">
        <v>16</v>
      </c>
      <c r="I3039" t="s">
        <v>86</v>
      </c>
      <c r="J3039" s="1">
        <v>44185</v>
      </c>
      <c r="L3039" t="s">
        <v>14</v>
      </c>
      <c r="M3039">
        <v>35.94</v>
      </c>
      <c r="N3039">
        <v>35.94</v>
      </c>
      <c r="O3039" t="s">
        <v>21</v>
      </c>
      <c r="P3039">
        <f t="shared" si="144"/>
        <v>0</v>
      </c>
      <c r="Q3039" s="11">
        <f>IF(P3039=0,0,IFERROR(Q3038+G3039*M3039*IF(E3039="FUTURE",VLOOKUP(MID(I3039,2,2),[1]Futures!$A$2:$B$12,2),1),G3039*M3039*IF(E3039="FUTURE",VLOOKUP(MID(I3039,2,2),[1]Futures!$A$2:$B$12,2),1)))</f>
        <v>0</v>
      </c>
      <c r="R3039" s="12" t="str">
        <f>IFERROR(Q3039/P3039/IF(E3039="FUTURE",VLOOKUP(MID(I3039,2,2),[1]Futures!$A$2:$B$12,2),1),"")</f>
        <v/>
      </c>
      <c r="S3039" s="13">
        <f>IF(AND(H3039="TO CLOSE",P3039=0),-G3039*(M3039-R3038)*IF(E3039="FUTURE",VLOOKUP(MID(I3039,2,2),[1]Futures!$A$2:$B$12,2),1),"")</f>
        <v>120.00000000000455</v>
      </c>
    </row>
    <row r="3040" spans="1:19" x14ac:dyDescent="0.2">
      <c r="A3040">
        <f t="shared" si="143"/>
        <v>975</v>
      </c>
      <c r="B3040" s="3">
        <v>44137</v>
      </c>
      <c r="C3040" s="3" t="str">
        <f t="shared" si="142"/>
        <v>Monday</v>
      </c>
      <c r="D3040" s="2">
        <v>0.43042824074074071</v>
      </c>
      <c r="E3040" t="s">
        <v>14</v>
      </c>
      <c r="F3040" t="s">
        <v>15</v>
      </c>
      <c r="G3040">
        <v>-1</v>
      </c>
      <c r="H3040" t="s">
        <v>20</v>
      </c>
      <c r="I3040" t="s">
        <v>86</v>
      </c>
      <c r="J3040" s="1">
        <v>44185</v>
      </c>
      <c r="L3040" t="s">
        <v>14</v>
      </c>
      <c r="M3040">
        <v>36.17</v>
      </c>
      <c r="N3040">
        <v>36.17</v>
      </c>
      <c r="O3040" t="s">
        <v>21</v>
      </c>
      <c r="P3040">
        <f t="shared" si="144"/>
        <v>-1</v>
      </c>
      <c r="Q3040" s="11">
        <f>IF(P3040=0,0,IFERROR(Q3039+G3040*M3040*IF(E3040="FUTURE",VLOOKUP(MID(I3040,2,2),[1]Futures!$A$2:$B$12,2),1),G3040*M3040*IF(E3040="FUTURE",VLOOKUP(MID(I3040,2,2),[1]Futures!$A$2:$B$12,2),1)))</f>
        <v>-36170</v>
      </c>
      <c r="R3040" s="12">
        <f>IFERROR(Q3040/P3040/IF(E3040="FUTURE",VLOOKUP(MID(I3040,2,2),[1]Futures!$A$2:$B$12,2),1),"")</f>
        <v>36.17</v>
      </c>
      <c r="S3040" s="13" t="str">
        <f>IF(AND(H3040="TO CLOSE",P3040=0),-G3040*(M3040-R3039)*IF(E3040="FUTURE",VLOOKUP(MID(I3040,2,2),[1]Futures!$A$2:$B$12,2),1),"")</f>
        <v/>
      </c>
    </row>
    <row r="3041" spans="1:19" x14ac:dyDescent="0.2">
      <c r="A3041">
        <f t="shared" si="143"/>
        <v>975</v>
      </c>
      <c r="B3041" s="3">
        <v>44137</v>
      </c>
      <c r="C3041" s="3" t="str">
        <f t="shared" si="142"/>
        <v>Monday</v>
      </c>
      <c r="D3041" s="2">
        <v>0.4387152777777778</v>
      </c>
      <c r="E3041" t="s">
        <v>14</v>
      </c>
      <c r="F3041" t="s">
        <v>19</v>
      </c>
      <c r="G3041">
        <v>1</v>
      </c>
      <c r="H3041" t="s">
        <v>16</v>
      </c>
      <c r="I3041" t="s">
        <v>86</v>
      </c>
      <c r="J3041" s="1">
        <v>44185</v>
      </c>
      <c r="L3041" t="s">
        <v>14</v>
      </c>
      <c r="M3041">
        <v>35.97</v>
      </c>
      <c r="N3041">
        <v>35.97</v>
      </c>
      <c r="O3041" t="s">
        <v>21</v>
      </c>
      <c r="P3041">
        <f t="shared" si="144"/>
        <v>0</v>
      </c>
      <c r="Q3041" s="11">
        <f>IF(P3041=0,0,IFERROR(Q3040+G3041*M3041*IF(E3041="FUTURE",VLOOKUP(MID(I3041,2,2),[1]Futures!$A$2:$B$12,2),1),G3041*M3041*IF(E3041="FUTURE",VLOOKUP(MID(I3041,2,2),[1]Futures!$A$2:$B$12,2),1)))</f>
        <v>0</v>
      </c>
      <c r="R3041" s="12" t="str">
        <f>IFERROR(Q3041/P3041/IF(E3041="FUTURE",VLOOKUP(MID(I3041,2,2),[1]Futures!$A$2:$B$12,2),1),"")</f>
        <v/>
      </c>
      <c r="S3041" s="13">
        <f>IF(AND(H3041="TO CLOSE",P3041=0),-G3041*(M3041-R3040)*IF(E3041="FUTURE",VLOOKUP(MID(I3041,2,2),[1]Futures!$A$2:$B$12,2),1),"")</f>
        <v>200.00000000000284</v>
      </c>
    </row>
    <row r="3042" spans="1:19" x14ac:dyDescent="0.2">
      <c r="A3042">
        <f t="shared" si="143"/>
        <v>976</v>
      </c>
      <c r="B3042" s="3">
        <v>44137</v>
      </c>
      <c r="C3042" s="3" t="str">
        <f t="shared" ref="C3042:C3105" si="145">IF(WEEKDAY(B3042,2)=1,"Monday",IF(WEEKDAY(B3042,2)=2,"Tuesday",IF(WEEKDAY(B3042,2)=3,"Wednesday",IF(WEEKDAY(B3042,2)=4,"Thursday",IF(WEEKDAY(B3042,2)=5,"Friday","Sunday")))))</f>
        <v>Monday</v>
      </c>
      <c r="D3042" s="2">
        <v>0.36350694444444448</v>
      </c>
      <c r="E3042" t="s">
        <v>14</v>
      </c>
      <c r="F3042" t="s">
        <v>19</v>
      </c>
      <c r="G3042">
        <v>1</v>
      </c>
      <c r="H3042" t="s">
        <v>20</v>
      </c>
      <c r="I3042" t="s">
        <v>85</v>
      </c>
      <c r="J3042" s="1">
        <v>44185</v>
      </c>
      <c r="L3042" t="s">
        <v>14</v>
      </c>
      <c r="M3042">
        <v>3304.25</v>
      </c>
      <c r="N3042">
        <v>3304.25</v>
      </c>
      <c r="O3042" t="s">
        <v>24</v>
      </c>
      <c r="P3042">
        <f t="shared" si="144"/>
        <v>1</v>
      </c>
      <c r="Q3042" s="11">
        <f>IF(P3042=0,0,IFERROR(Q3041+G3042*M3042*IF(E3042="FUTURE",VLOOKUP(MID(I3042,2,2),[1]Futures!$A$2:$B$12,2),1),G3042*M3042*IF(E3042="FUTURE",VLOOKUP(MID(I3042,2,2),[1]Futures!$A$2:$B$12,2),1)))</f>
        <v>165212.5</v>
      </c>
      <c r="R3042" s="12">
        <f>IFERROR(Q3042/P3042/IF(E3042="FUTURE",VLOOKUP(MID(I3042,2,2),[1]Futures!$A$2:$B$12,2),1),"")</f>
        <v>3304.25</v>
      </c>
      <c r="S3042" s="13" t="str">
        <f>IF(AND(H3042="TO CLOSE",P3042=0),-G3042*(M3042-R3041)*IF(E3042="FUTURE",VLOOKUP(MID(I3042,2,2),[1]Futures!$A$2:$B$12,2),1),"")</f>
        <v/>
      </c>
    </row>
    <row r="3043" spans="1:19" x14ac:dyDescent="0.2">
      <c r="A3043">
        <f t="shared" si="143"/>
        <v>976</v>
      </c>
      <c r="B3043" s="3">
        <v>44137</v>
      </c>
      <c r="C3043" s="3" t="str">
        <f t="shared" si="145"/>
        <v>Monday</v>
      </c>
      <c r="D3043" s="2">
        <v>0.36811342592592594</v>
      </c>
      <c r="E3043" t="s">
        <v>14</v>
      </c>
      <c r="F3043" t="s">
        <v>15</v>
      </c>
      <c r="G3043">
        <v>-1</v>
      </c>
      <c r="H3043" t="s">
        <v>16</v>
      </c>
      <c r="I3043" t="s">
        <v>85</v>
      </c>
      <c r="J3043" s="1">
        <v>44185</v>
      </c>
      <c r="L3043" t="s">
        <v>14</v>
      </c>
      <c r="M3043">
        <v>3299.5</v>
      </c>
      <c r="N3043">
        <v>3299.5</v>
      </c>
      <c r="O3043" t="s">
        <v>24</v>
      </c>
      <c r="P3043">
        <f t="shared" si="144"/>
        <v>0</v>
      </c>
      <c r="Q3043" s="11">
        <f>IF(P3043=0,0,IFERROR(Q3042+G3043*M3043*IF(E3043="FUTURE",VLOOKUP(MID(I3043,2,2),[1]Futures!$A$2:$B$12,2),1),G3043*M3043*IF(E3043="FUTURE",VLOOKUP(MID(I3043,2,2),[1]Futures!$A$2:$B$12,2),1)))</f>
        <v>0</v>
      </c>
      <c r="R3043" s="12" t="str">
        <f>IFERROR(Q3043/P3043/IF(E3043="FUTURE",VLOOKUP(MID(I3043,2,2),[1]Futures!$A$2:$B$12,2),1),"")</f>
        <v/>
      </c>
      <c r="S3043" s="13">
        <f>IF(AND(H3043="TO CLOSE",P3043=0),-G3043*(M3043-R3042)*IF(E3043="FUTURE",VLOOKUP(MID(I3043,2,2),[1]Futures!$A$2:$B$12,2),1),"")</f>
        <v>-237.5</v>
      </c>
    </row>
    <row r="3044" spans="1:19" x14ac:dyDescent="0.2">
      <c r="A3044">
        <f t="shared" si="143"/>
        <v>977</v>
      </c>
      <c r="B3044" s="3">
        <v>44137</v>
      </c>
      <c r="C3044" s="3" t="str">
        <f t="shared" si="145"/>
        <v>Monday</v>
      </c>
      <c r="D3044" s="2">
        <v>0.36829861111111112</v>
      </c>
      <c r="E3044" t="s">
        <v>14</v>
      </c>
      <c r="F3044" t="s">
        <v>15</v>
      </c>
      <c r="G3044">
        <v>-1</v>
      </c>
      <c r="H3044" t="s">
        <v>20</v>
      </c>
      <c r="I3044" t="s">
        <v>85</v>
      </c>
      <c r="J3044" s="1">
        <v>44185</v>
      </c>
      <c r="L3044" t="s">
        <v>14</v>
      </c>
      <c r="M3044">
        <v>3300.75</v>
      </c>
      <c r="N3044">
        <v>3300.75</v>
      </c>
      <c r="O3044" t="s">
        <v>21</v>
      </c>
      <c r="P3044">
        <f t="shared" si="144"/>
        <v>-1</v>
      </c>
      <c r="Q3044" s="11">
        <f>IF(P3044=0,0,IFERROR(Q3043+G3044*M3044*IF(E3044="FUTURE",VLOOKUP(MID(I3044,2,2),[1]Futures!$A$2:$B$12,2),1),G3044*M3044*IF(E3044="FUTURE",VLOOKUP(MID(I3044,2,2),[1]Futures!$A$2:$B$12,2),1)))</f>
        <v>-165037.5</v>
      </c>
      <c r="R3044" s="12">
        <f>IFERROR(Q3044/P3044/IF(E3044="FUTURE",VLOOKUP(MID(I3044,2,2),[1]Futures!$A$2:$B$12,2),1),"")</f>
        <v>3300.75</v>
      </c>
      <c r="S3044" s="13" t="str">
        <f>IF(AND(H3044="TO CLOSE",P3044=0),-G3044*(M3044-R3043)*IF(E3044="FUTURE",VLOOKUP(MID(I3044,2,2),[1]Futures!$A$2:$B$12,2),1),"")</f>
        <v/>
      </c>
    </row>
    <row r="3045" spans="1:19" x14ac:dyDescent="0.2">
      <c r="A3045">
        <f t="shared" si="143"/>
        <v>977</v>
      </c>
      <c r="B3045" s="3">
        <v>44137</v>
      </c>
      <c r="C3045" s="3" t="str">
        <f t="shared" si="145"/>
        <v>Monday</v>
      </c>
      <c r="D3045" s="2">
        <v>0.3775810185185185</v>
      </c>
      <c r="E3045" t="s">
        <v>14</v>
      </c>
      <c r="F3045" t="s">
        <v>19</v>
      </c>
      <c r="G3045">
        <v>1</v>
      </c>
      <c r="H3045" t="s">
        <v>16</v>
      </c>
      <c r="I3045" t="s">
        <v>85</v>
      </c>
      <c r="J3045" s="1">
        <v>44185</v>
      </c>
      <c r="L3045" t="s">
        <v>14</v>
      </c>
      <c r="M3045">
        <v>3295</v>
      </c>
      <c r="N3045">
        <v>3295</v>
      </c>
      <c r="O3045" t="s">
        <v>21</v>
      </c>
      <c r="P3045">
        <f t="shared" si="144"/>
        <v>0</v>
      </c>
      <c r="Q3045" s="11">
        <f>IF(P3045=0,0,IFERROR(Q3044+G3045*M3045*IF(E3045="FUTURE",VLOOKUP(MID(I3045,2,2),[1]Futures!$A$2:$B$12,2),1),G3045*M3045*IF(E3045="FUTURE",VLOOKUP(MID(I3045,2,2),[1]Futures!$A$2:$B$12,2),1)))</f>
        <v>0</v>
      </c>
      <c r="R3045" s="12" t="str">
        <f>IFERROR(Q3045/P3045/IF(E3045="FUTURE",VLOOKUP(MID(I3045,2,2),[1]Futures!$A$2:$B$12,2),1),"")</f>
        <v/>
      </c>
      <c r="S3045" s="13">
        <f>IF(AND(H3045="TO CLOSE",P3045=0),-G3045*(M3045-R3044)*IF(E3045="FUTURE",VLOOKUP(MID(I3045,2,2),[1]Futures!$A$2:$B$12,2),1),"")</f>
        <v>287.5</v>
      </c>
    </row>
    <row r="3046" spans="1:19" x14ac:dyDescent="0.2">
      <c r="A3046">
        <f t="shared" si="143"/>
        <v>978</v>
      </c>
      <c r="B3046" s="3">
        <v>44137</v>
      </c>
      <c r="C3046" s="3" t="str">
        <f t="shared" si="145"/>
        <v>Monday</v>
      </c>
      <c r="D3046" s="2">
        <v>0.39806712962962965</v>
      </c>
      <c r="E3046" t="s">
        <v>14</v>
      </c>
      <c r="F3046" t="s">
        <v>19</v>
      </c>
      <c r="G3046">
        <v>1</v>
      </c>
      <c r="H3046" t="s">
        <v>20</v>
      </c>
      <c r="I3046" t="s">
        <v>85</v>
      </c>
      <c r="J3046" s="1">
        <v>44185</v>
      </c>
      <c r="L3046" t="s">
        <v>14</v>
      </c>
      <c r="M3046">
        <v>3302.75</v>
      </c>
      <c r="N3046">
        <v>3302.75</v>
      </c>
      <c r="O3046" t="s">
        <v>24</v>
      </c>
      <c r="P3046">
        <f t="shared" si="144"/>
        <v>1</v>
      </c>
      <c r="Q3046" s="11">
        <f>IF(P3046=0,0,IFERROR(Q3045+G3046*M3046*IF(E3046="FUTURE",VLOOKUP(MID(I3046,2,2),[1]Futures!$A$2:$B$12,2),1),G3046*M3046*IF(E3046="FUTURE",VLOOKUP(MID(I3046,2,2),[1]Futures!$A$2:$B$12,2),1)))</f>
        <v>165137.5</v>
      </c>
      <c r="R3046" s="12">
        <f>IFERROR(Q3046/P3046/IF(E3046="FUTURE",VLOOKUP(MID(I3046,2,2),[1]Futures!$A$2:$B$12,2),1),"")</f>
        <v>3302.75</v>
      </c>
      <c r="S3046" s="13" t="str">
        <f>IF(AND(H3046="TO CLOSE",P3046=0),-G3046*(M3046-R3045)*IF(E3046="FUTURE",VLOOKUP(MID(I3046,2,2),[1]Futures!$A$2:$B$12,2),1),"")</f>
        <v/>
      </c>
    </row>
    <row r="3047" spans="1:19" x14ac:dyDescent="0.2">
      <c r="A3047">
        <f t="shared" si="143"/>
        <v>978</v>
      </c>
      <c r="B3047" s="3">
        <v>44137</v>
      </c>
      <c r="C3047" s="3" t="str">
        <f t="shared" si="145"/>
        <v>Monday</v>
      </c>
      <c r="D3047" s="2">
        <v>0.41684027777777777</v>
      </c>
      <c r="E3047" t="s">
        <v>14</v>
      </c>
      <c r="F3047" t="s">
        <v>15</v>
      </c>
      <c r="G3047">
        <v>-1</v>
      </c>
      <c r="H3047" t="s">
        <v>16</v>
      </c>
      <c r="I3047" t="s">
        <v>85</v>
      </c>
      <c r="J3047" s="1">
        <v>44185</v>
      </c>
      <c r="L3047" t="s">
        <v>14</v>
      </c>
      <c r="M3047">
        <v>3312.5</v>
      </c>
      <c r="N3047">
        <v>3312.5</v>
      </c>
      <c r="O3047" t="s">
        <v>18</v>
      </c>
      <c r="P3047">
        <f t="shared" si="144"/>
        <v>0</v>
      </c>
      <c r="Q3047" s="11">
        <f>IF(P3047=0,0,IFERROR(Q3046+G3047*M3047*IF(E3047="FUTURE",VLOOKUP(MID(I3047,2,2),[1]Futures!$A$2:$B$12,2),1),G3047*M3047*IF(E3047="FUTURE",VLOOKUP(MID(I3047,2,2),[1]Futures!$A$2:$B$12,2),1)))</f>
        <v>0</v>
      </c>
      <c r="R3047" s="12" t="str">
        <f>IFERROR(Q3047/P3047/IF(E3047="FUTURE",VLOOKUP(MID(I3047,2,2),[1]Futures!$A$2:$B$12,2),1),"")</f>
        <v/>
      </c>
      <c r="S3047" s="13">
        <f>IF(AND(H3047="TO CLOSE",P3047=0),-G3047*(M3047-R3046)*IF(E3047="FUTURE",VLOOKUP(MID(I3047,2,2),[1]Futures!$A$2:$B$12,2),1),"")</f>
        <v>487.5</v>
      </c>
    </row>
    <row r="3048" spans="1:19" x14ac:dyDescent="0.2">
      <c r="A3048">
        <f t="shared" si="143"/>
        <v>979</v>
      </c>
      <c r="B3048" s="3">
        <v>44138</v>
      </c>
      <c r="C3048" s="3" t="str">
        <f t="shared" si="145"/>
        <v>Tuesday</v>
      </c>
      <c r="D3048" s="2">
        <v>0.39456018518518521</v>
      </c>
      <c r="E3048" t="s">
        <v>14</v>
      </c>
      <c r="F3048" t="s">
        <v>15</v>
      </c>
      <c r="G3048">
        <v>-1</v>
      </c>
      <c r="H3048" t="s">
        <v>20</v>
      </c>
      <c r="I3048" t="s">
        <v>86</v>
      </c>
      <c r="J3048" s="1">
        <v>44185</v>
      </c>
      <c r="L3048" t="s">
        <v>14</v>
      </c>
      <c r="M3048">
        <v>38.119999999999997</v>
      </c>
      <c r="N3048">
        <v>38.119999999999997</v>
      </c>
      <c r="O3048" t="s">
        <v>21</v>
      </c>
      <c r="P3048">
        <f t="shared" si="144"/>
        <v>-1</v>
      </c>
      <c r="Q3048" s="11">
        <f>IF(P3048=0,0,IFERROR(Q3047+G3048*M3048*IF(E3048="FUTURE",VLOOKUP(MID(I3048,2,2),[1]Futures!$A$2:$B$12,2),1),G3048*M3048*IF(E3048="FUTURE",VLOOKUP(MID(I3048,2,2),[1]Futures!$A$2:$B$12,2),1)))</f>
        <v>-38120</v>
      </c>
      <c r="R3048" s="12">
        <f>IFERROR(Q3048/P3048/IF(E3048="FUTURE",VLOOKUP(MID(I3048,2,2),[1]Futures!$A$2:$B$12,2),1),"")</f>
        <v>38.119999999999997</v>
      </c>
      <c r="S3048" s="13" t="str">
        <f>IF(AND(H3048="TO CLOSE",P3048=0),-G3048*(M3048-R3047)*IF(E3048="FUTURE",VLOOKUP(MID(I3048,2,2),[1]Futures!$A$2:$B$12,2),1),"")</f>
        <v/>
      </c>
    </row>
    <row r="3049" spans="1:19" x14ac:dyDescent="0.2">
      <c r="A3049">
        <f t="shared" si="143"/>
        <v>979</v>
      </c>
      <c r="B3049" s="3">
        <v>44138</v>
      </c>
      <c r="C3049" s="3" t="str">
        <f t="shared" si="145"/>
        <v>Tuesday</v>
      </c>
      <c r="D3049" s="2">
        <v>0.39614583333333336</v>
      </c>
      <c r="E3049" t="s">
        <v>14</v>
      </c>
      <c r="F3049" t="s">
        <v>15</v>
      </c>
      <c r="G3049">
        <v>-1</v>
      </c>
      <c r="H3049" t="s">
        <v>20</v>
      </c>
      <c r="I3049" t="s">
        <v>86</v>
      </c>
      <c r="J3049" s="1">
        <v>44185</v>
      </c>
      <c r="L3049" t="s">
        <v>14</v>
      </c>
      <c r="M3049">
        <v>38.18</v>
      </c>
      <c r="N3049">
        <v>38.18</v>
      </c>
      <c r="O3049" t="s">
        <v>21</v>
      </c>
      <c r="P3049">
        <f t="shared" si="144"/>
        <v>-2</v>
      </c>
      <c r="Q3049" s="11">
        <f>IF(P3049=0,0,IFERROR(Q3048+G3049*M3049*IF(E3049="FUTURE",VLOOKUP(MID(I3049,2,2),[1]Futures!$A$2:$B$12,2),1),G3049*M3049*IF(E3049="FUTURE",VLOOKUP(MID(I3049,2,2),[1]Futures!$A$2:$B$12,2),1)))</f>
        <v>-76300</v>
      </c>
      <c r="R3049" s="12">
        <f>IFERROR(Q3049/P3049/IF(E3049="FUTURE",VLOOKUP(MID(I3049,2,2),[1]Futures!$A$2:$B$12,2),1),"")</f>
        <v>38.15</v>
      </c>
      <c r="S3049" s="13" t="str">
        <f>IF(AND(H3049="TO CLOSE",P3049=0),-G3049*(M3049-R3048)*IF(E3049="FUTURE",VLOOKUP(MID(I3049,2,2),[1]Futures!$A$2:$B$12,2),1),"")</f>
        <v/>
      </c>
    </row>
    <row r="3050" spans="1:19" x14ac:dyDescent="0.2">
      <c r="A3050">
        <f t="shared" si="143"/>
        <v>979</v>
      </c>
      <c r="B3050" s="3">
        <v>44138</v>
      </c>
      <c r="C3050" s="3" t="str">
        <f t="shared" si="145"/>
        <v>Tuesday</v>
      </c>
      <c r="D3050" s="2">
        <v>0.39771990740740742</v>
      </c>
      <c r="E3050" t="s">
        <v>14</v>
      </c>
      <c r="F3050" t="s">
        <v>19</v>
      </c>
      <c r="G3050">
        <v>1</v>
      </c>
      <c r="H3050" t="s">
        <v>16</v>
      </c>
      <c r="I3050" t="s">
        <v>86</v>
      </c>
      <c r="J3050" s="1">
        <v>44185</v>
      </c>
      <c r="L3050" t="s">
        <v>14</v>
      </c>
      <c r="M3050">
        <v>38.03</v>
      </c>
      <c r="N3050">
        <v>38.03</v>
      </c>
      <c r="O3050" t="s">
        <v>21</v>
      </c>
      <c r="P3050">
        <f t="shared" si="144"/>
        <v>-1</v>
      </c>
      <c r="Q3050" s="11">
        <f>IF(P3050=0,0,IFERROR(Q3049+G3050*M3050*IF(E3050="FUTURE",VLOOKUP(MID(I3050,2,2),[1]Futures!$A$2:$B$12,2),1),G3050*M3050*IF(E3050="FUTURE",VLOOKUP(MID(I3050,2,2),[1]Futures!$A$2:$B$12,2),1)))</f>
        <v>-38270</v>
      </c>
      <c r="R3050" s="12">
        <f>IFERROR(Q3050/P3050/IF(E3050="FUTURE",VLOOKUP(MID(I3050,2,2),[1]Futures!$A$2:$B$12,2),1),"")</f>
        <v>38.270000000000003</v>
      </c>
      <c r="S3050" s="13" t="str">
        <f>IF(AND(H3050="TO CLOSE",P3050=0),-G3050*(M3050-R3049)*IF(E3050="FUTURE",VLOOKUP(MID(I3050,2,2),[1]Futures!$A$2:$B$12,2),1),"")</f>
        <v/>
      </c>
    </row>
    <row r="3051" spans="1:19" x14ac:dyDescent="0.2">
      <c r="A3051">
        <f t="shared" si="143"/>
        <v>979</v>
      </c>
      <c r="B3051" s="3">
        <v>44138</v>
      </c>
      <c r="C3051" s="3" t="str">
        <f t="shared" si="145"/>
        <v>Tuesday</v>
      </c>
      <c r="D3051" s="2">
        <v>0.40565972222222224</v>
      </c>
      <c r="E3051" t="s">
        <v>14</v>
      </c>
      <c r="F3051" t="s">
        <v>19</v>
      </c>
      <c r="G3051">
        <v>1</v>
      </c>
      <c r="H3051" t="s">
        <v>16</v>
      </c>
      <c r="I3051" t="s">
        <v>86</v>
      </c>
      <c r="J3051" s="1">
        <v>44185</v>
      </c>
      <c r="L3051" t="s">
        <v>14</v>
      </c>
      <c r="M3051">
        <v>38.1</v>
      </c>
      <c r="N3051">
        <v>38.1</v>
      </c>
      <c r="O3051" t="s">
        <v>24</v>
      </c>
      <c r="P3051">
        <f t="shared" si="144"/>
        <v>0</v>
      </c>
      <c r="Q3051" s="11">
        <f>IF(P3051=0,0,IFERROR(Q3050+G3051*M3051*IF(E3051="FUTURE",VLOOKUP(MID(I3051,2,2),[1]Futures!$A$2:$B$12,2),1),G3051*M3051*IF(E3051="FUTURE",VLOOKUP(MID(I3051,2,2),[1]Futures!$A$2:$B$12,2),1)))</f>
        <v>0</v>
      </c>
      <c r="R3051" s="12" t="str">
        <f>IFERROR(Q3051/P3051/IF(E3051="FUTURE",VLOOKUP(MID(I3051,2,2),[1]Futures!$A$2:$B$12,2),1),"")</f>
        <v/>
      </c>
      <c r="S3051" s="13">
        <f>IF(AND(H3051="TO CLOSE",P3051=0),-G3051*(M3051-R3050)*IF(E3051="FUTURE",VLOOKUP(MID(I3051,2,2),[1]Futures!$A$2:$B$12,2),1),"")</f>
        <v>170.00000000000171</v>
      </c>
    </row>
    <row r="3052" spans="1:19" x14ac:dyDescent="0.2">
      <c r="A3052">
        <f t="shared" si="143"/>
        <v>980</v>
      </c>
      <c r="B3052" s="3">
        <v>44138</v>
      </c>
      <c r="C3052" s="3" t="str">
        <f t="shared" si="145"/>
        <v>Tuesday</v>
      </c>
      <c r="D3052" s="2">
        <v>0.41439814814814818</v>
      </c>
      <c r="E3052" t="s">
        <v>14</v>
      </c>
      <c r="F3052" t="s">
        <v>15</v>
      </c>
      <c r="G3052">
        <v>-1</v>
      </c>
      <c r="H3052" t="s">
        <v>20</v>
      </c>
      <c r="I3052" t="s">
        <v>86</v>
      </c>
      <c r="J3052" s="1">
        <v>44185</v>
      </c>
      <c r="L3052" t="s">
        <v>14</v>
      </c>
      <c r="M3052">
        <v>38.17</v>
      </c>
      <c r="N3052">
        <v>38.17</v>
      </c>
      <c r="O3052" t="s">
        <v>21</v>
      </c>
      <c r="P3052">
        <f t="shared" si="144"/>
        <v>-1</v>
      </c>
      <c r="Q3052" s="11">
        <f>IF(P3052=0,0,IFERROR(Q3051+G3052*M3052*IF(E3052="FUTURE",VLOOKUP(MID(I3052,2,2),[1]Futures!$A$2:$B$12,2),1),G3052*M3052*IF(E3052="FUTURE",VLOOKUP(MID(I3052,2,2),[1]Futures!$A$2:$B$12,2),1)))</f>
        <v>-38170</v>
      </c>
      <c r="R3052" s="12">
        <f>IFERROR(Q3052/P3052/IF(E3052="FUTURE",VLOOKUP(MID(I3052,2,2),[1]Futures!$A$2:$B$12,2),1),"")</f>
        <v>38.17</v>
      </c>
      <c r="S3052" s="13" t="str">
        <f>IF(AND(H3052="TO CLOSE",P3052=0),-G3052*(M3052-R3051)*IF(E3052="FUTURE",VLOOKUP(MID(I3052,2,2),[1]Futures!$A$2:$B$12,2),1),"")</f>
        <v/>
      </c>
    </row>
    <row r="3053" spans="1:19" x14ac:dyDescent="0.2">
      <c r="A3053">
        <f t="shared" si="143"/>
        <v>980</v>
      </c>
      <c r="B3053" s="3">
        <v>44138</v>
      </c>
      <c r="C3053" s="3" t="str">
        <f t="shared" si="145"/>
        <v>Tuesday</v>
      </c>
      <c r="D3053" s="2">
        <v>0.43247685185185186</v>
      </c>
      <c r="E3053" t="s">
        <v>14</v>
      </c>
      <c r="F3053" t="s">
        <v>19</v>
      </c>
      <c r="G3053">
        <v>1</v>
      </c>
      <c r="H3053" t="s">
        <v>16</v>
      </c>
      <c r="I3053" t="s">
        <v>86</v>
      </c>
      <c r="J3053" s="1">
        <v>44185</v>
      </c>
      <c r="L3053" t="s">
        <v>14</v>
      </c>
      <c r="M3053">
        <v>37.94</v>
      </c>
      <c r="N3053">
        <v>37.94</v>
      </c>
      <c r="O3053" t="s">
        <v>21</v>
      </c>
      <c r="P3053">
        <f t="shared" si="144"/>
        <v>0</v>
      </c>
      <c r="Q3053" s="11">
        <f>IF(P3053=0,0,IFERROR(Q3052+G3053*M3053*IF(E3053="FUTURE",VLOOKUP(MID(I3053,2,2),[1]Futures!$A$2:$B$12,2),1),G3053*M3053*IF(E3053="FUTURE",VLOOKUP(MID(I3053,2,2),[1]Futures!$A$2:$B$12,2),1)))</f>
        <v>0</v>
      </c>
      <c r="R3053" s="12" t="str">
        <f>IFERROR(Q3053/P3053/IF(E3053="FUTURE",VLOOKUP(MID(I3053,2,2),[1]Futures!$A$2:$B$12,2),1),"")</f>
        <v/>
      </c>
      <c r="S3053" s="13">
        <f>IF(AND(H3053="TO CLOSE",P3053=0),-G3053*(M3053-R3052)*IF(E3053="FUTURE",VLOOKUP(MID(I3053,2,2),[1]Futures!$A$2:$B$12,2),1),"")</f>
        <v>230.00000000000398</v>
      </c>
    </row>
    <row r="3054" spans="1:19" x14ac:dyDescent="0.2">
      <c r="A3054">
        <f t="shared" si="143"/>
        <v>981</v>
      </c>
      <c r="B3054" s="3">
        <v>44138</v>
      </c>
      <c r="C3054" s="3" t="str">
        <f t="shared" si="145"/>
        <v>Tuesday</v>
      </c>
      <c r="D3054" s="2">
        <v>0.43785879629629632</v>
      </c>
      <c r="E3054" t="s">
        <v>14</v>
      </c>
      <c r="F3054" t="s">
        <v>15</v>
      </c>
      <c r="G3054">
        <v>-1</v>
      </c>
      <c r="H3054" t="s">
        <v>20</v>
      </c>
      <c r="I3054" t="s">
        <v>85</v>
      </c>
      <c r="J3054" s="1">
        <v>44185</v>
      </c>
      <c r="L3054" t="s">
        <v>14</v>
      </c>
      <c r="M3054">
        <v>3375</v>
      </c>
      <c r="N3054">
        <v>3375</v>
      </c>
      <c r="O3054" t="s">
        <v>21</v>
      </c>
      <c r="P3054">
        <f t="shared" si="144"/>
        <v>-1</v>
      </c>
      <c r="Q3054" s="11">
        <f>IF(P3054=0,0,IFERROR(Q3053+G3054*M3054*IF(E3054="FUTURE",VLOOKUP(MID(I3054,2,2),[1]Futures!$A$2:$B$12,2),1),G3054*M3054*IF(E3054="FUTURE",VLOOKUP(MID(I3054,2,2),[1]Futures!$A$2:$B$12,2),1)))</f>
        <v>-168750</v>
      </c>
      <c r="R3054" s="12">
        <f>IFERROR(Q3054/P3054/IF(E3054="FUTURE",VLOOKUP(MID(I3054,2,2),[1]Futures!$A$2:$B$12,2),1),"")</f>
        <v>3375</v>
      </c>
      <c r="S3054" s="13" t="str">
        <f>IF(AND(H3054="TO CLOSE",P3054=0),-G3054*(M3054-R3053)*IF(E3054="FUTURE",VLOOKUP(MID(I3054,2,2),[1]Futures!$A$2:$B$12,2),1),"")</f>
        <v/>
      </c>
    </row>
    <row r="3055" spans="1:19" x14ac:dyDescent="0.2">
      <c r="A3055">
        <f t="shared" si="143"/>
        <v>981</v>
      </c>
      <c r="B3055" s="3">
        <v>44138</v>
      </c>
      <c r="C3055" s="3" t="str">
        <f t="shared" si="145"/>
        <v>Tuesday</v>
      </c>
      <c r="D3055" s="2">
        <v>0.44114583333333335</v>
      </c>
      <c r="E3055" t="s">
        <v>14</v>
      </c>
      <c r="F3055" t="s">
        <v>19</v>
      </c>
      <c r="G3055">
        <v>1</v>
      </c>
      <c r="H3055" t="s">
        <v>16</v>
      </c>
      <c r="I3055" t="s">
        <v>85</v>
      </c>
      <c r="J3055" s="1">
        <v>44185</v>
      </c>
      <c r="L3055" t="s">
        <v>14</v>
      </c>
      <c r="M3055">
        <v>3369.25</v>
      </c>
      <c r="N3055">
        <v>3369.25</v>
      </c>
      <c r="O3055" t="s">
        <v>21</v>
      </c>
      <c r="P3055">
        <f t="shared" si="144"/>
        <v>0</v>
      </c>
      <c r="Q3055" s="11">
        <f>IF(P3055=0,0,IFERROR(Q3054+G3055*M3055*IF(E3055="FUTURE",VLOOKUP(MID(I3055,2,2),[1]Futures!$A$2:$B$12,2),1),G3055*M3055*IF(E3055="FUTURE",VLOOKUP(MID(I3055,2,2),[1]Futures!$A$2:$B$12,2),1)))</f>
        <v>0</v>
      </c>
      <c r="R3055" s="12" t="str">
        <f>IFERROR(Q3055/P3055/IF(E3055="FUTURE",VLOOKUP(MID(I3055,2,2),[1]Futures!$A$2:$B$12,2),1),"")</f>
        <v/>
      </c>
      <c r="S3055" s="13">
        <f>IF(AND(H3055="TO CLOSE",P3055=0),-G3055*(M3055-R3054)*IF(E3055="FUTURE",VLOOKUP(MID(I3055,2,2),[1]Futures!$A$2:$B$12,2),1),"")</f>
        <v>287.5</v>
      </c>
    </row>
    <row r="3056" spans="1:19" x14ac:dyDescent="0.2">
      <c r="A3056">
        <f t="shared" si="143"/>
        <v>982</v>
      </c>
      <c r="B3056" s="3">
        <v>44138</v>
      </c>
      <c r="C3056" s="3" t="str">
        <f t="shared" si="145"/>
        <v>Tuesday</v>
      </c>
      <c r="D3056" s="2">
        <v>0.45613425925925927</v>
      </c>
      <c r="E3056" t="s">
        <v>14</v>
      </c>
      <c r="F3056" t="s">
        <v>15</v>
      </c>
      <c r="G3056">
        <v>-1</v>
      </c>
      <c r="H3056" t="s">
        <v>20</v>
      </c>
      <c r="I3056" t="s">
        <v>85</v>
      </c>
      <c r="J3056" s="1">
        <v>44185</v>
      </c>
      <c r="L3056" t="s">
        <v>14</v>
      </c>
      <c r="M3056">
        <v>3373.5</v>
      </c>
      <c r="N3056">
        <v>3373.5</v>
      </c>
      <c r="O3056" t="s">
        <v>24</v>
      </c>
      <c r="P3056">
        <f t="shared" si="144"/>
        <v>-1</v>
      </c>
      <c r="Q3056" s="11">
        <f>IF(P3056=0,0,IFERROR(Q3055+G3056*M3056*IF(E3056="FUTURE",VLOOKUP(MID(I3056,2,2),[1]Futures!$A$2:$B$12,2),1),G3056*M3056*IF(E3056="FUTURE",VLOOKUP(MID(I3056,2,2),[1]Futures!$A$2:$B$12,2),1)))</f>
        <v>-168675</v>
      </c>
      <c r="R3056" s="12">
        <f>IFERROR(Q3056/P3056/IF(E3056="FUTURE",VLOOKUP(MID(I3056,2,2),[1]Futures!$A$2:$B$12,2),1),"")</f>
        <v>3373.5</v>
      </c>
      <c r="S3056" s="13" t="str">
        <f>IF(AND(H3056="TO CLOSE",P3056=0),-G3056*(M3056-R3055)*IF(E3056="FUTURE",VLOOKUP(MID(I3056,2,2),[1]Futures!$A$2:$B$12,2),1),"")</f>
        <v/>
      </c>
    </row>
    <row r="3057" spans="1:19" x14ac:dyDescent="0.2">
      <c r="A3057">
        <f t="shared" si="143"/>
        <v>982</v>
      </c>
      <c r="B3057" s="3">
        <v>44138</v>
      </c>
      <c r="C3057" s="3" t="str">
        <f t="shared" si="145"/>
        <v>Tuesday</v>
      </c>
      <c r="D3057" s="2">
        <v>0.49700231481481483</v>
      </c>
      <c r="E3057" t="s">
        <v>14</v>
      </c>
      <c r="F3057" t="s">
        <v>19</v>
      </c>
      <c r="G3057">
        <v>1</v>
      </c>
      <c r="H3057" t="s">
        <v>16</v>
      </c>
      <c r="I3057" t="s">
        <v>85</v>
      </c>
      <c r="J3057" s="1">
        <v>44185</v>
      </c>
      <c r="L3057" t="s">
        <v>14</v>
      </c>
      <c r="M3057">
        <v>3370.25</v>
      </c>
      <c r="N3057">
        <v>3370.25</v>
      </c>
      <c r="O3057" t="s">
        <v>21</v>
      </c>
      <c r="P3057">
        <f t="shared" si="144"/>
        <v>0</v>
      </c>
      <c r="Q3057" s="11">
        <f>IF(P3057=0,0,IFERROR(Q3056+G3057*M3057*IF(E3057="FUTURE",VLOOKUP(MID(I3057,2,2),[1]Futures!$A$2:$B$12,2),1),G3057*M3057*IF(E3057="FUTURE",VLOOKUP(MID(I3057,2,2),[1]Futures!$A$2:$B$12,2),1)))</f>
        <v>0</v>
      </c>
      <c r="R3057" s="12" t="str">
        <f>IFERROR(Q3057/P3057/IF(E3057="FUTURE",VLOOKUP(MID(I3057,2,2),[1]Futures!$A$2:$B$12,2),1),"")</f>
        <v/>
      </c>
      <c r="S3057" s="13">
        <f>IF(AND(H3057="TO CLOSE",P3057=0),-G3057*(M3057-R3056)*IF(E3057="FUTURE",VLOOKUP(MID(I3057,2,2),[1]Futures!$A$2:$B$12,2),1),"")</f>
        <v>162.5</v>
      </c>
    </row>
    <row r="3058" spans="1:19" x14ac:dyDescent="0.2">
      <c r="A3058">
        <f t="shared" si="143"/>
        <v>983</v>
      </c>
      <c r="B3058" s="3">
        <v>44138</v>
      </c>
      <c r="C3058" s="3" t="str">
        <f t="shared" si="145"/>
        <v>Tuesday</v>
      </c>
      <c r="D3058" s="2">
        <v>0.38780092592592591</v>
      </c>
      <c r="E3058" t="s">
        <v>22</v>
      </c>
      <c r="F3058" t="s">
        <v>15</v>
      </c>
      <c r="G3058">
        <v>-300</v>
      </c>
      <c r="H3058" t="s">
        <v>20</v>
      </c>
      <c r="I3058" t="s">
        <v>23</v>
      </c>
      <c r="L3058" t="s">
        <v>22</v>
      </c>
      <c r="M3058">
        <v>25</v>
      </c>
      <c r="N3058">
        <v>25</v>
      </c>
      <c r="O3058" t="s">
        <v>21</v>
      </c>
      <c r="P3058">
        <f t="shared" si="144"/>
        <v>-300</v>
      </c>
      <c r="Q3058" s="11">
        <f>IF(P3058=0,0,IFERROR(Q3057+G3058*M3058*IF(E3058="FUTURE",VLOOKUP(MID(I3058,2,2),[1]Futures!$A$2:$B$12,2),1),G3058*M3058*IF(E3058="FUTURE",VLOOKUP(MID(I3058,2,2),[1]Futures!$A$2:$B$12,2),1)))</f>
        <v>-7500</v>
      </c>
      <c r="R3058" s="12">
        <f>IFERROR(Q3058/P3058/IF(E3058="FUTURE",VLOOKUP(MID(I3058,2,2),[1]Futures!$A$2:$B$12,2),1),"")</f>
        <v>25</v>
      </c>
      <c r="S3058" s="13" t="str">
        <f>IF(AND(H3058="TO CLOSE",P3058=0),-G3058*(M3058-R3057)*IF(E3058="FUTURE",VLOOKUP(MID(I3058,2,2),[1]Futures!$A$2:$B$12,2),1),"")</f>
        <v/>
      </c>
    </row>
    <row r="3059" spans="1:19" x14ac:dyDescent="0.2">
      <c r="A3059">
        <f t="shared" si="143"/>
        <v>983</v>
      </c>
      <c r="B3059" s="3">
        <v>44138</v>
      </c>
      <c r="C3059" s="3" t="str">
        <f t="shared" si="145"/>
        <v>Tuesday</v>
      </c>
      <c r="D3059" s="2">
        <v>0.39931712962962962</v>
      </c>
      <c r="E3059" t="s">
        <v>22</v>
      </c>
      <c r="F3059" t="s">
        <v>15</v>
      </c>
      <c r="G3059">
        <v>-50</v>
      </c>
      <c r="H3059" t="s">
        <v>20</v>
      </c>
      <c r="I3059" t="s">
        <v>23</v>
      </c>
      <c r="L3059" t="s">
        <v>22</v>
      </c>
      <c r="M3059">
        <v>25.3</v>
      </c>
      <c r="N3059">
        <v>25.3</v>
      </c>
      <c r="O3059" t="s">
        <v>21</v>
      </c>
      <c r="P3059">
        <f t="shared" si="144"/>
        <v>-350</v>
      </c>
      <c r="Q3059" s="11">
        <f>IF(P3059=0,0,IFERROR(Q3058+G3059*M3059*IF(E3059="FUTURE",VLOOKUP(MID(I3059,2,2),[1]Futures!$A$2:$B$12,2),1),G3059*M3059*IF(E3059="FUTURE",VLOOKUP(MID(I3059,2,2),[1]Futures!$A$2:$B$12,2),1)))</f>
        <v>-8765</v>
      </c>
      <c r="R3059" s="12">
        <f>IFERROR(Q3059/P3059/IF(E3059="FUTURE",VLOOKUP(MID(I3059,2,2),[1]Futures!$A$2:$B$12,2),1),"")</f>
        <v>25.042857142857144</v>
      </c>
      <c r="S3059" s="13" t="str">
        <f>IF(AND(H3059="TO CLOSE",P3059=0),-G3059*(M3059-R3058)*IF(E3059="FUTURE",VLOOKUP(MID(I3059,2,2),[1]Futures!$A$2:$B$12,2),1),"")</f>
        <v/>
      </c>
    </row>
    <row r="3060" spans="1:19" x14ac:dyDescent="0.2">
      <c r="A3060">
        <f t="shared" si="143"/>
        <v>983</v>
      </c>
      <c r="B3060" s="3">
        <v>44138</v>
      </c>
      <c r="C3060" s="3" t="str">
        <f t="shared" si="145"/>
        <v>Tuesday</v>
      </c>
      <c r="D3060" s="2">
        <v>0.39931712962962962</v>
      </c>
      <c r="E3060" t="s">
        <v>22</v>
      </c>
      <c r="F3060" t="s">
        <v>15</v>
      </c>
      <c r="G3060">
        <v>-50</v>
      </c>
      <c r="H3060" t="s">
        <v>20</v>
      </c>
      <c r="I3060" t="s">
        <v>23</v>
      </c>
      <c r="L3060" t="s">
        <v>22</v>
      </c>
      <c r="M3060">
        <v>25.3</v>
      </c>
      <c r="N3060">
        <v>25.3</v>
      </c>
      <c r="O3060" t="s">
        <v>21</v>
      </c>
      <c r="P3060">
        <f t="shared" si="144"/>
        <v>-400</v>
      </c>
      <c r="Q3060" s="11">
        <f>IF(P3060=0,0,IFERROR(Q3059+G3060*M3060*IF(E3060="FUTURE",VLOOKUP(MID(I3060,2,2),[1]Futures!$A$2:$B$12,2),1),G3060*M3060*IF(E3060="FUTURE",VLOOKUP(MID(I3060,2,2),[1]Futures!$A$2:$B$12,2),1)))</f>
        <v>-10030</v>
      </c>
      <c r="R3060" s="12">
        <f>IFERROR(Q3060/P3060/IF(E3060="FUTURE",VLOOKUP(MID(I3060,2,2),[1]Futures!$A$2:$B$12,2),1),"")</f>
        <v>25.074999999999999</v>
      </c>
      <c r="S3060" s="13" t="str">
        <f>IF(AND(H3060="TO CLOSE",P3060=0),-G3060*(M3060-R3059)*IF(E3060="FUTURE",VLOOKUP(MID(I3060,2,2),[1]Futures!$A$2:$B$12,2),1),"")</f>
        <v/>
      </c>
    </row>
    <row r="3061" spans="1:19" x14ac:dyDescent="0.2">
      <c r="A3061">
        <f t="shared" si="143"/>
        <v>983</v>
      </c>
      <c r="B3061" s="3">
        <v>44138</v>
      </c>
      <c r="C3061" s="3" t="str">
        <f t="shared" si="145"/>
        <v>Tuesday</v>
      </c>
      <c r="D3061" s="2">
        <v>0.40582175925925923</v>
      </c>
      <c r="E3061" t="s">
        <v>22</v>
      </c>
      <c r="F3061" t="s">
        <v>19</v>
      </c>
      <c r="G3061">
        <v>100</v>
      </c>
      <c r="H3061" t="s">
        <v>16</v>
      </c>
      <c r="I3061" t="s">
        <v>23</v>
      </c>
      <c r="L3061" t="s">
        <v>22</v>
      </c>
      <c r="M3061">
        <v>25.07</v>
      </c>
      <c r="N3061">
        <v>25.07</v>
      </c>
      <c r="O3061" t="s">
        <v>21</v>
      </c>
      <c r="P3061">
        <f t="shared" si="144"/>
        <v>-300</v>
      </c>
      <c r="Q3061" s="11">
        <f>IF(P3061=0,0,IFERROR(Q3060+G3061*M3061*IF(E3061="FUTURE",VLOOKUP(MID(I3061,2,2),[1]Futures!$A$2:$B$12,2),1),G3061*M3061*IF(E3061="FUTURE",VLOOKUP(MID(I3061,2,2),[1]Futures!$A$2:$B$12,2),1)))</f>
        <v>-7523</v>
      </c>
      <c r="R3061" s="12">
        <f>IFERROR(Q3061/P3061/IF(E3061="FUTURE",VLOOKUP(MID(I3061,2,2),[1]Futures!$A$2:$B$12,2),1),"")</f>
        <v>25.076666666666668</v>
      </c>
      <c r="S3061" s="13" t="str">
        <f>IF(AND(H3061="TO CLOSE",P3061=0),-G3061*(M3061-R3060)*IF(E3061="FUTURE",VLOOKUP(MID(I3061,2,2),[1]Futures!$A$2:$B$12,2),1),"")</f>
        <v/>
      </c>
    </row>
    <row r="3062" spans="1:19" x14ac:dyDescent="0.2">
      <c r="A3062">
        <f t="shared" si="143"/>
        <v>983</v>
      </c>
      <c r="B3062" s="3">
        <v>44138</v>
      </c>
      <c r="C3062" s="3" t="str">
        <f t="shared" si="145"/>
        <v>Tuesday</v>
      </c>
      <c r="D3062" s="2">
        <v>0.41064814814814815</v>
      </c>
      <c r="E3062" t="s">
        <v>22</v>
      </c>
      <c r="F3062" t="s">
        <v>19</v>
      </c>
      <c r="G3062">
        <v>100</v>
      </c>
      <c r="H3062" t="s">
        <v>16</v>
      </c>
      <c r="I3062" t="s">
        <v>23</v>
      </c>
      <c r="L3062" t="s">
        <v>22</v>
      </c>
      <c r="M3062">
        <v>25.01</v>
      </c>
      <c r="N3062">
        <v>25.01</v>
      </c>
      <c r="O3062" t="s">
        <v>21</v>
      </c>
      <c r="P3062">
        <f t="shared" si="144"/>
        <v>-200</v>
      </c>
      <c r="Q3062" s="11">
        <f>IF(P3062=0,0,IFERROR(Q3061+G3062*M3062*IF(E3062="FUTURE",VLOOKUP(MID(I3062,2,2),[1]Futures!$A$2:$B$12,2),1),G3062*M3062*IF(E3062="FUTURE",VLOOKUP(MID(I3062,2,2),[1]Futures!$A$2:$B$12,2),1)))</f>
        <v>-5022</v>
      </c>
      <c r="R3062" s="12">
        <f>IFERROR(Q3062/P3062/IF(E3062="FUTURE",VLOOKUP(MID(I3062,2,2),[1]Futures!$A$2:$B$12,2),1),"")</f>
        <v>25.11</v>
      </c>
      <c r="S3062" s="13" t="str">
        <f>IF(AND(H3062="TO CLOSE",P3062=0),-G3062*(M3062-R3061)*IF(E3062="FUTURE",VLOOKUP(MID(I3062,2,2),[1]Futures!$A$2:$B$12,2),1),"")</f>
        <v/>
      </c>
    </row>
    <row r="3063" spans="1:19" x14ac:dyDescent="0.2">
      <c r="A3063">
        <f t="shared" si="143"/>
        <v>983</v>
      </c>
      <c r="B3063" s="3">
        <v>44138</v>
      </c>
      <c r="C3063" s="3" t="str">
        <f t="shared" si="145"/>
        <v>Tuesday</v>
      </c>
      <c r="D3063" s="2">
        <v>0.41253472222222221</v>
      </c>
      <c r="E3063" t="s">
        <v>22</v>
      </c>
      <c r="F3063" t="s">
        <v>19</v>
      </c>
      <c r="G3063">
        <v>50</v>
      </c>
      <c r="H3063" t="s">
        <v>16</v>
      </c>
      <c r="I3063" t="s">
        <v>23</v>
      </c>
      <c r="L3063" t="s">
        <v>22</v>
      </c>
      <c r="M3063">
        <v>24.895</v>
      </c>
      <c r="N3063">
        <v>24.895</v>
      </c>
      <c r="O3063" t="s">
        <v>21</v>
      </c>
      <c r="P3063">
        <f t="shared" si="144"/>
        <v>-150</v>
      </c>
      <c r="Q3063" s="11">
        <f>IF(P3063=0,0,IFERROR(Q3062+G3063*M3063*IF(E3063="FUTURE",VLOOKUP(MID(I3063,2,2),[1]Futures!$A$2:$B$12,2),1),G3063*M3063*IF(E3063="FUTURE",VLOOKUP(MID(I3063,2,2),[1]Futures!$A$2:$B$12,2),1)))</f>
        <v>-3777.25</v>
      </c>
      <c r="R3063" s="12">
        <f>IFERROR(Q3063/P3063/IF(E3063="FUTURE",VLOOKUP(MID(I3063,2,2),[1]Futures!$A$2:$B$12,2),1),"")</f>
        <v>25.181666666666668</v>
      </c>
      <c r="S3063" s="13" t="str">
        <f>IF(AND(H3063="TO CLOSE",P3063=0),-G3063*(M3063-R3062)*IF(E3063="FUTURE",VLOOKUP(MID(I3063,2,2),[1]Futures!$A$2:$B$12,2),1),"")</f>
        <v/>
      </c>
    </row>
    <row r="3064" spans="1:19" x14ac:dyDescent="0.2">
      <c r="A3064">
        <f t="shared" si="143"/>
        <v>983</v>
      </c>
      <c r="B3064" s="3">
        <v>44138</v>
      </c>
      <c r="C3064" s="3" t="str">
        <f t="shared" si="145"/>
        <v>Tuesday</v>
      </c>
      <c r="D3064" s="2">
        <v>0.41334490740740742</v>
      </c>
      <c r="E3064" t="s">
        <v>22</v>
      </c>
      <c r="F3064" t="s">
        <v>19</v>
      </c>
      <c r="G3064">
        <v>50</v>
      </c>
      <c r="H3064" t="s">
        <v>16</v>
      </c>
      <c r="I3064" t="s">
        <v>23</v>
      </c>
      <c r="L3064" t="s">
        <v>22</v>
      </c>
      <c r="M3064">
        <v>24.855</v>
      </c>
      <c r="N3064">
        <v>24.855</v>
      </c>
      <c r="O3064" t="s">
        <v>21</v>
      </c>
      <c r="P3064">
        <f t="shared" si="144"/>
        <v>-100</v>
      </c>
      <c r="Q3064" s="11">
        <f>IF(P3064=0,0,IFERROR(Q3063+G3064*M3064*IF(E3064="FUTURE",VLOOKUP(MID(I3064,2,2),[1]Futures!$A$2:$B$12,2),1),G3064*M3064*IF(E3064="FUTURE",VLOOKUP(MID(I3064,2,2),[1]Futures!$A$2:$B$12,2),1)))</f>
        <v>-2534.5</v>
      </c>
      <c r="R3064" s="12">
        <f>IFERROR(Q3064/P3064/IF(E3064="FUTURE",VLOOKUP(MID(I3064,2,2),[1]Futures!$A$2:$B$12,2),1),"")</f>
        <v>25.344999999999999</v>
      </c>
      <c r="S3064" s="13" t="str">
        <f>IF(AND(H3064="TO CLOSE",P3064=0),-G3064*(M3064-R3063)*IF(E3064="FUTURE",VLOOKUP(MID(I3064,2,2),[1]Futures!$A$2:$B$12,2),1),"")</f>
        <v/>
      </c>
    </row>
    <row r="3065" spans="1:19" x14ac:dyDescent="0.2">
      <c r="A3065">
        <f t="shared" si="143"/>
        <v>983</v>
      </c>
      <c r="B3065" s="3">
        <v>44138</v>
      </c>
      <c r="C3065" s="3" t="str">
        <f t="shared" si="145"/>
        <v>Tuesday</v>
      </c>
      <c r="D3065" s="2">
        <v>0.42163194444444446</v>
      </c>
      <c r="E3065" t="s">
        <v>22</v>
      </c>
      <c r="F3065" t="s">
        <v>19</v>
      </c>
      <c r="G3065">
        <v>50</v>
      </c>
      <c r="H3065" t="s">
        <v>16</v>
      </c>
      <c r="I3065" t="s">
        <v>23</v>
      </c>
      <c r="L3065" t="s">
        <v>22</v>
      </c>
      <c r="M3065">
        <v>24.7881</v>
      </c>
      <c r="N3065">
        <v>24.788</v>
      </c>
      <c r="O3065" t="s">
        <v>21</v>
      </c>
      <c r="P3065">
        <f t="shared" si="144"/>
        <v>-50</v>
      </c>
      <c r="Q3065" s="11">
        <f>IF(P3065=0,0,IFERROR(Q3064+G3065*M3065*IF(E3065="FUTURE",VLOOKUP(MID(I3065,2,2),[1]Futures!$A$2:$B$12,2),1),G3065*M3065*IF(E3065="FUTURE",VLOOKUP(MID(I3065,2,2),[1]Futures!$A$2:$B$12,2),1)))</f>
        <v>-1295.095</v>
      </c>
      <c r="R3065" s="12">
        <f>IFERROR(Q3065/P3065/IF(E3065="FUTURE",VLOOKUP(MID(I3065,2,2),[1]Futures!$A$2:$B$12,2),1),"")</f>
        <v>25.901900000000001</v>
      </c>
      <c r="S3065" s="13" t="str">
        <f>IF(AND(H3065="TO CLOSE",P3065=0),-G3065*(M3065-R3064)*IF(E3065="FUTURE",VLOOKUP(MID(I3065,2,2),[1]Futures!$A$2:$B$12,2),1),"")</f>
        <v/>
      </c>
    </row>
    <row r="3066" spans="1:19" x14ac:dyDescent="0.2">
      <c r="A3066">
        <f t="shared" si="143"/>
        <v>983</v>
      </c>
      <c r="B3066" s="3">
        <v>44138</v>
      </c>
      <c r="C3066" s="3" t="str">
        <f t="shared" si="145"/>
        <v>Tuesday</v>
      </c>
      <c r="D3066" s="2">
        <v>0.42776620370370372</v>
      </c>
      <c r="E3066" t="s">
        <v>22</v>
      </c>
      <c r="F3066" t="s">
        <v>19</v>
      </c>
      <c r="G3066">
        <v>50</v>
      </c>
      <c r="H3066" t="s">
        <v>16</v>
      </c>
      <c r="I3066" t="s">
        <v>23</v>
      </c>
      <c r="L3066" t="s">
        <v>22</v>
      </c>
      <c r="M3066">
        <v>24.655000000000001</v>
      </c>
      <c r="N3066">
        <v>24.655000000000001</v>
      </c>
      <c r="O3066" t="s">
        <v>24</v>
      </c>
      <c r="P3066">
        <f t="shared" si="144"/>
        <v>0</v>
      </c>
      <c r="Q3066" s="11">
        <f>IF(P3066=0,0,IFERROR(Q3065+G3066*M3066*IF(E3066="FUTURE",VLOOKUP(MID(I3066,2,2),[1]Futures!$A$2:$B$12,2),1),G3066*M3066*IF(E3066="FUTURE",VLOOKUP(MID(I3066,2,2),[1]Futures!$A$2:$B$12,2),1)))</f>
        <v>0</v>
      </c>
      <c r="R3066" s="12" t="str">
        <f>IFERROR(Q3066/P3066/IF(E3066="FUTURE",VLOOKUP(MID(I3066,2,2),[1]Futures!$A$2:$B$12,2),1),"")</f>
        <v/>
      </c>
      <c r="S3066" s="13">
        <f>IF(AND(H3066="TO CLOSE",P3066=0),-G3066*(M3066-R3065)*IF(E3066="FUTURE",VLOOKUP(MID(I3066,2,2),[1]Futures!$A$2:$B$12,2),1),"")</f>
        <v>62.345000000000006</v>
      </c>
    </row>
    <row r="3067" spans="1:19" x14ac:dyDescent="0.2">
      <c r="A3067">
        <f t="shared" si="143"/>
        <v>984</v>
      </c>
      <c r="B3067" s="3">
        <v>44138</v>
      </c>
      <c r="C3067" s="3" t="str">
        <f t="shared" si="145"/>
        <v>Tuesday</v>
      </c>
      <c r="D3067" s="2">
        <v>0.48622685185185183</v>
      </c>
      <c r="E3067" t="s">
        <v>22</v>
      </c>
      <c r="F3067" t="s">
        <v>19</v>
      </c>
      <c r="G3067">
        <v>200</v>
      </c>
      <c r="H3067" t="s">
        <v>20</v>
      </c>
      <c r="I3067" t="s">
        <v>23</v>
      </c>
      <c r="L3067" t="s">
        <v>22</v>
      </c>
      <c r="M3067">
        <v>24.847999999999999</v>
      </c>
      <c r="N3067">
        <v>24.847999999999999</v>
      </c>
      <c r="O3067" t="s">
        <v>24</v>
      </c>
      <c r="P3067">
        <f t="shared" si="144"/>
        <v>200</v>
      </c>
      <c r="Q3067" s="11">
        <f>IF(P3067=0,0,IFERROR(Q3066+G3067*M3067*IF(E3067="FUTURE",VLOOKUP(MID(I3067,2,2),[1]Futures!$A$2:$B$12,2),1),G3067*M3067*IF(E3067="FUTURE",VLOOKUP(MID(I3067,2,2),[1]Futures!$A$2:$B$12,2),1)))</f>
        <v>4969.5999999999995</v>
      </c>
      <c r="R3067" s="12">
        <f>IFERROR(Q3067/P3067/IF(E3067="FUTURE",VLOOKUP(MID(I3067,2,2),[1]Futures!$A$2:$B$12,2),1),"")</f>
        <v>24.847999999999999</v>
      </c>
      <c r="S3067" s="13" t="str">
        <f>IF(AND(H3067="TO CLOSE",P3067=0),-G3067*(M3067-R3066)*IF(E3067="FUTURE",VLOOKUP(MID(I3067,2,2),[1]Futures!$A$2:$B$12,2),1),"")</f>
        <v/>
      </c>
    </row>
    <row r="3068" spans="1:19" x14ac:dyDescent="0.2">
      <c r="A3068">
        <f t="shared" si="143"/>
        <v>984</v>
      </c>
      <c r="B3068" s="3">
        <v>44138</v>
      </c>
      <c r="C3068" s="3" t="str">
        <f t="shared" si="145"/>
        <v>Tuesday</v>
      </c>
      <c r="D3068" s="2">
        <v>0.48622685185185183</v>
      </c>
      <c r="E3068" t="s">
        <v>22</v>
      </c>
      <c r="F3068" t="s">
        <v>19</v>
      </c>
      <c r="G3068">
        <v>100</v>
      </c>
      <c r="H3068" t="s">
        <v>20</v>
      </c>
      <c r="I3068" t="s">
        <v>23</v>
      </c>
      <c r="L3068" t="s">
        <v>22</v>
      </c>
      <c r="M3068">
        <v>24.847999999999999</v>
      </c>
      <c r="N3068">
        <v>24.847999999999999</v>
      </c>
      <c r="O3068" t="s">
        <v>24</v>
      </c>
      <c r="P3068">
        <f t="shared" si="144"/>
        <v>300</v>
      </c>
      <c r="Q3068" s="11">
        <f>IF(P3068=0,0,IFERROR(Q3067+G3068*M3068*IF(E3068="FUTURE",VLOOKUP(MID(I3068,2,2),[1]Futures!$A$2:$B$12,2),1),G3068*M3068*IF(E3068="FUTURE",VLOOKUP(MID(I3068,2,2),[1]Futures!$A$2:$B$12,2),1)))</f>
        <v>7454.4</v>
      </c>
      <c r="R3068" s="12">
        <f>IFERROR(Q3068/P3068/IF(E3068="FUTURE",VLOOKUP(MID(I3068,2,2),[1]Futures!$A$2:$B$12,2),1),"")</f>
        <v>24.847999999999999</v>
      </c>
      <c r="S3068" s="13" t="str">
        <f>IF(AND(H3068="TO CLOSE",P3068=0),-G3068*(M3068-R3067)*IF(E3068="FUTURE",VLOOKUP(MID(I3068,2,2),[1]Futures!$A$2:$B$12,2),1),"")</f>
        <v/>
      </c>
    </row>
    <row r="3069" spans="1:19" x14ac:dyDescent="0.2">
      <c r="A3069">
        <f t="shared" si="143"/>
        <v>984</v>
      </c>
      <c r="B3069" s="3">
        <v>44138</v>
      </c>
      <c r="C3069" s="3" t="str">
        <f t="shared" si="145"/>
        <v>Tuesday</v>
      </c>
      <c r="D3069" s="2">
        <v>0.49490740740740741</v>
      </c>
      <c r="E3069" t="s">
        <v>22</v>
      </c>
      <c r="F3069" t="s">
        <v>15</v>
      </c>
      <c r="G3069">
        <v>-300</v>
      </c>
      <c r="H3069" t="s">
        <v>16</v>
      </c>
      <c r="I3069" t="s">
        <v>23</v>
      </c>
      <c r="L3069" t="s">
        <v>22</v>
      </c>
      <c r="M3069">
        <v>24.864999999999998</v>
      </c>
      <c r="N3069">
        <v>24.864999999999998</v>
      </c>
      <c r="O3069" t="s">
        <v>21</v>
      </c>
      <c r="P3069">
        <f t="shared" si="144"/>
        <v>0</v>
      </c>
      <c r="Q3069" s="11">
        <f>IF(P3069=0,0,IFERROR(Q3068+G3069*M3069*IF(E3069="FUTURE",VLOOKUP(MID(I3069,2,2),[1]Futures!$A$2:$B$12,2),1),G3069*M3069*IF(E3069="FUTURE",VLOOKUP(MID(I3069,2,2),[1]Futures!$A$2:$B$12,2),1)))</f>
        <v>0</v>
      </c>
      <c r="R3069" s="12" t="str">
        <f>IFERROR(Q3069/P3069/IF(E3069="FUTURE",VLOOKUP(MID(I3069,2,2),[1]Futures!$A$2:$B$12,2),1),"")</f>
        <v/>
      </c>
      <c r="S3069" s="13">
        <f>IF(AND(H3069="TO CLOSE",P3069=0),-G3069*(M3069-R3068)*IF(E3069="FUTURE",VLOOKUP(MID(I3069,2,2),[1]Futures!$A$2:$B$12,2),1),"")</f>
        <v>5.099999999999838</v>
      </c>
    </row>
    <row r="3070" spans="1:19" x14ac:dyDescent="0.2">
      <c r="A3070">
        <f t="shared" si="143"/>
        <v>985</v>
      </c>
      <c r="B3070" s="3">
        <v>44139</v>
      </c>
      <c r="C3070" s="3" t="str">
        <f t="shared" si="145"/>
        <v>Wednesday</v>
      </c>
      <c r="D3070" s="2">
        <v>0.39679398148148143</v>
      </c>
      <c r="E3070" t="s">
        <v>14</v>
      </c>
      <c r="F3070" t="s">
        <v>15</v>
      </c>
      <c r="G3070">
        <v>-1</v>
      </c>
      <c r="H3070" t="s">
        <v>20</v>
      </c>
      <c r="I3070" t="s">
        <v>86</v>
      </c>
      <c r="J3070" s="1">
        <v>44185</v>
      </c>
      <c r="L3070" t="s">
        <v>14</v>
      </c>
      <c r="M3070">
        <v>38.51</v>
      </c>
      <c r="N3070">
        <v>38.51</v>
      </c>
      <c r="O3070" t="s">
        <v>21</v>
      </c>
      <c r="P3070">
        <f t="shared" si="144"/>
        <v>-1</v>
      </c>
      <c r="Q3070" s="11">
        <f>IF(P3070=0,0,IFERROR(Q3069+G3070*M3070*IF(E3070="FUTURE",VLOOKUP(MID(I3070,2,2),[1]Futures!$A$2:$B$12,2),1),G3070*M3070*IF(E3070="FUTURE",VLOOKUP(MID(I3070,2,2),[1]Futures!$A$2:$B$12,2),1)))</f>
        <v>-38510</v>
      </c>
      <c r="R3070" s="12">
        <f>IFERROR(Q3070/P3070/IF(E3070="FUTURE",VLOOKUP(MID(I3070,2,2),[1]Futures!$A$2:$B$12,2),1),"")</f>
        <v>38.51</v>
      </c>
      <c r="S3070" s="13" t="str">
        <f>IF(AND(H3070="TO CLOSE",P3070=0),-G3070*(M3070-R3069)*IF(E3070="FUTURE",VLOOKUP(MID(I3070,2,2),[1]Futures!$A$2:$B$12,2),1),"")</f>
        <v/>
      </c>
    </row>
    <row r="3071" spans="1:19" x14ac:dyDescent="0.2">
      <c r="A3071">
        <f t="shared" si="143"/>
        <v>985</v>
      </c>
      <c r="B3071" s="3">
        <v>44139</v>
      </c>
      <c r="C3071" s="3" t="str">
        <f t="shared" si="145"/>
        <v>Wednesday</v>
      </c>
      <c r="D3071" s="2">
        <v>0.39925925925925926</v>
      </c>
      <c r="E3071" t="s">
        <v>14</v>
      </c>
      <c r="F3071" t="s">
        <v>19</v>
      </c>
      <c r="G3071">
        <v>1</v>
      </c>
      <c r="H3071" t="s">
        <v>16</v>
      </c>
      <c r="I3071" t="s">
        <v>86</v>
      </c>
      <c r="J3071" s="1">
        <v>44185</v>
      </c>
      <c r="L3071" t="s">
        <v>14</v>
      </c>
      <c r="M3071">
        <v>38.270000000000003</v>
      </c>
      <c r="N3071">
        <v>38.270000000000003</v>
      </c>
      <c r="O3071" t="s">
        <v>21</v>
      </c>
      <c r="P3071">
        <f t="shared" si="144"/>
        <v>0</v>
      </c>
      <c r="Q3071" s="11">
        <f>IF(P3071=0,0,IFERROR(Q3070+G3071*M3071*IF(E3071="FUTURE",VLOOKUP(MID(I3071,2,2),[1]Futures!$A$2:$B$12,2),1),G3071*M3071*IF(E3071="FUTURE",VLOOKUP(MID(I3071,2,2),[1]Futures!$A$2:$B$12,2),1)))</f>
        <v>0</v>
      </c>
      <c r="R3071" s="12" t="str">
        <f>IFERROR(Q3071/P3071/IF(E3071="FUTURE",VLOOKUP(MID(I3071,2,2),[1]Futures!$A$2:$B$12,2),1),"")</f>
        <v/>
      </c>
      <c r="S3071" s="13">
        <f>IF(AND(H3071="TO CLOSE",P3071=0),-G3071*(M3071-R3070)*IF(E3071="FUTURE",VLOOKUP(MID(I3071,2,2),[1]Futures!$A$2:$B$12,2),1),"")</f>
        <v>239.99999999999488</v>
      </c>
    </row>
    <row r="3072" spans="1:19" x14ac:dyDescent="0.2">
      <c r="A3072">
        <f t="shared" si="143"/>
        <v>986</v>
      </c>
      <c r="B3072" s="3">
        <v>44139</v>
      </c>
      <c r="C3072" s="3" t="str">
        <f t="shared" si="145"/>
        <v>Wednesday</v>
      </c>
      <c r="D3072" s="2">
        <v>0.41270833333333329</v>
      </c>
      <c r="E3072" t="s">
        <v>14</v>
      </c>
      <c r="F3072" t="s">
        <v>15</v>
      </c>
      <c r="G3072">
        <v>-1</v>
      </c>
      <c r="H3072" t="s">
        <v>20</v>
      </c>
      <c r="I3072" t="s">
        <v>85</v>
      </c>
      <c r="J3072" s="1">
        <v>44185</v>
      </c>
      <c r="L3072" t="s">
        <v>14</v>
      </c>
      <c r="M3072">
        <v>3407.25</v>
      </c>
      <c r="N3072">
        <v>3407.25</v>
      </c>
      <c r="O3072" t="s">
        <v>21</v>
      </c>
      <c r="P3072">
        <f t="shared" si="144"/>
        <v>-1</v>
      </c>
      <c r="Q3072" s="11">
        <f>IF(P3072=0,0,IFERROR(Q3071+G3072*M3072*IF(E3072="FUTURE",VLOOKUP(MID(I3072,2,2),[1]Futures!$A$2:$B$12,2),1),G3072*M3072*IF(E3072="FUTURE",VLOOKUP(MID(I3072,2,2),[1]Futures!$A$2:$B$12,2),1)))</f>
        <v>-170362.5</v>
      </c>
      <c r="R3072" s="12">
        <f>IFERROR(Q3072/P3072/IF(E3072="FUTURE",VLOOKUP(MID(I3072,2,2),[1]Futures!$A$2:$B$12,2),1),"")</f>
        <v>3407.25</v>
      </c>
      <c r="S3072" s="13" t="str">
        <f>IF(AND(H3072="TO CLOSE",P3072=0),-G3072*(M3072-R3071)*IF(E3072="FUTURE",VLOOKUP(MID(I3072,2,2),[1]Futures!$A$2:$B$12,2),1),"")</f>
        <v/>
      </c>
    </row>
    <row r="3073" spans="1:19" x14ac:dyDescent="0.2">
      <c r="A3073">
        <f t="shared" si="143"/>
        <v>986</v>
      </c>
      <c r="B3073" s="3">
        <v>44139</v>
      </c>
      <c r="C3073" s="3" t="str">
        <f t="shared" si="145"/>
        <v>Wednesday</v>
      </c>
      <c r="D3073" s="2">
        <v>0.60373842592592586</v>
      </c>
      <c r="E3073" t="s">
        <v>14</v>
      </c>
      <c r="F3073" t="s">
        <v>19</v>
      </c>
      <c r="G3073">
        <v>1</v>
      </c>
      <c r="H3073" t="s">
        <v>16</v>
      </c>
      <c r="I3073" t="s">
        <v>85</v>
      </c>
      <c r="J3073" s="1">
        <v>44185</v>
      </c>
      <c r="L3073" t="s">
        <v>14</v>
      </c>
      <c r="M3073">
        <v>3461.75</v>
      </c>
      <c r="N3073">
        <v>3461.75</v>
      </c>
      <c r="O3073" t="s">
        <v>18</v>
      </c>
      <c r="P3073">
        <f t="shared" si="144"/>
        <v>0</v>
      </c>
      <c r="Q3073" s="11">
        <f>IF(P3073=0,0,IFERROR(Q3072+G3073*M3073*IF(E3073="FUTURE",VLOOKUP(MID(I3073,2,2),[1]Futures!$A$2:$B$12,2),1),G3073*M3073*IF(E3073="FUTURE",VLOOKUP(MID(I3073,2,2),[1]Futures!$A$2:$B$12,2),1)))</f>
        <v>0</v>
      </c>
      <c r="R3073" s="12" t="str">
        <f>IFERROR(Q3073/P3073/IF(E3073="FUTURE",VLOOKUP(MID(I3073,2,2),[1]Futures!$A$2:$B$12,2),1),"")</f>
        <v/>
      </c>
      <c r="S3073" s="13">
        <f>IF(AND(H3073="TO CLOSE",P3073=0),-G3073*(M3073-R3072)*IF(E3073="FUTURE",VLOOKUP(MID(I3073,2,2),[1]Futures!$A$2:$B$12,2),1),"")</f>
        <v>-2725</v>
      </c>
    </row>
    <row r="3074" spans="1:19" x14ac:dyDescent="0.2">
      <c r="A3074">
        <f t="shared" ref="A3074:A3137" si="146">IF(AND(P3073=0,H3073="TO CLOSE"),IFERROR(A3073+1,1),IFERROR(A3073/1,1))</f>
        <v>987</v>
      </c>
      <c r="B3074" s="3">
        <v>44139</v>
      </c>
      <c r="C3074" s="3" t="str">
        <f t="shared" si="145"/>
        <v>Wednesday</v>
      </c>
      <c r="D3074" s="2">
        <v>0.60854166666666665</v>
      </c>
      <c r="E3074" t="s">
        <v>14</v>
      </c>
      <c r="F3074" t="s">
        <v>19</v>
      </c>
      <c r="G3074">
        <v>1</v>
      </c>
      <c r="H3074" t="s">
        <v>20</v>
      </c>
      <c r="I3074" t="s">
        <v>85</v>
      </c>
      <c r="J3074" s="1">
        <v>44185</v>
      </c>
      <c r="L3074" t="s">
        <v>14</v>
      </c>
      <c r="M3074">
        <v>3460.5</v>
      </c>
      <c r="N3074">
        <v>3460.5</v>
      </c>
      <c r="O3074" t="s">
        <v>24</v>
      </c>
      <c r="P3074">
        <f t="shared" si="144"/>
        <v>1</v>
      </c>
      <c r="Q3074" s="11">
        <f>IF(P3074=0,0,IFERROR(Q3073+G3074*M3074*IF(E3074="FUTURE",VLOOKUP(MID(I3074,2,2),[1]Futures!$A$2:$B$12,2),1),G3074*M3074*IF(E3074="FUTURE",VLOOKUP(MID(I3074,2,2),[1]Futures!$A$2:$B$12,2),1)))</f>
        <v>173025</v>
      </c>
      <c r="R3074" s="12">
        <f>IFERROR(Q3074/P3074/IF(E3074="FUTURE",VLOOKUP(MID(I3074,2,2),[1]Futures!$A$2:$B$12,2),1),"")</f>
        <v>3460.5</v>
      </c>
      <c r="S3074" s="13" t="str">
        <f>IF(AND(H3074="TO CLOSE",P3074=0),-G3074*(M3074-R3073)*IF(E3074="FUTURE",VLOOKUP(MID(I3074,2,2),[1]Futures!$A$2:$B$12,2),1),"")</f>
        <v/>
      </c>
    </row>
    <row r="3075" spans="1:19" x14ac:dyDescent="0.2">
      <c r="A3075">
        <f t="shared" si="146"/>
        <v>987</v>
      </c>
      <c r="B3075" s="3">
        <v>44139</v>
      </c>
      <c r="C3075" s="3" t="str">
        <f t="shared" si="145"/>
        <v>Wednesday</v>
      </c>
      <c r="D3075" s="2">
        <v>0.61141203703703706</v>
      </c>
      <c r="E3075" t="s">
        <v>14</v>
      </c>
      <c r="F3075" t="s">
        <v>15</v>
      </c>
      <c r="G3075">
        <v>-1</v>
      </c>
      <c r="H3075" t="s">
        <v>16</v>
      </c>
      <c r="I3075" t="s">
        <v>85</v>
      </c>
      <c r="J3075" s="1">
        <v>44185</v>
      </c>
      <c r="L3075" t="s">
        <v>14</v>
      </c>
      <c r="M3075">
        <v>3453.25</v>
      </c>
      <c r="N3075">
        <v>3453.25</v>
      </c>
      <c r="O3075" t="s">
        <v>18</v>
      </c>
      <c r="P3075">
        <f t="shared" ref="P3075:P3138" si="147">IF(H3075="TO OPEN",IFERROR(P3074+G3075,0+G3075),IFERROR(P3074+G3075,0+G3075))</f>
        <v>0</v>
      </c>
      <c r="Q3075" s="11">
        <f>IF(P3075=0,0,IFERROR(Q3074+G3075*M3075*IF(E3075="FUTURE",VLOOKUP(MID(I3075,2,2),[1]Futures!$A$2:$B$12,2),1),G3075*M3075*IF(E3075="FUTURE",VLOOKUP(MID(I3075,2,2),[1]Futures!$A$2:$B$12,2),1)))</f>
        <v>0</v>
      </c>
      <c r="R3075" s="12" t="str">
        <f>IFERROR(Q3075/P3075/IF(E3075="FUTURE",VLOOKUP(MID(I3075,2,2),[1]Futures!$A$2:$B$12,2),1),"")</f>
        <v/>
      </c>
      <c r="S3075" s="13">
        <f>IF(AND(H3075="TO CLOSE",P3075=0),-G3075*(M3075-R3074)*IF(E3075="FUTURE",VLOOKUP(MID(I3075,2,2),[1]Futures!$A$2:$B$12,2),1),"")</f>
        <v>-362.5</v>
      </c>
    </row>
    <row r="3076" spans="1:19" x14ac:dyDescent="0.2">
      <c r="A3076">
        <f t="shared" si="146"/>
        <v>988</v>
      </c>
      <c r="B3076" s="3">
        <v>44139</v>
      </c>
      <c r="C3076" s="3" t="str">
        <f t="shared" si="145"/>
        <v>Wednesday</v>
      </c>
      <c r="D3076" s="2">
        <v>0.61298611111111112</v>
      </c>
      <c r="E3076" t="s">
        <v>14</v>
      </c>
      <c r="F3076" t="s">
        <v>19</v>
      </c>
      <c r="G3076">
        <v>1</v>
      </c>
      <c r="H3076" t="s">
        <v>20</v>
      </c>
      <c r="I3076" t="s">
        <v>85</v>
      </c>
      <c r="J3076" s="1">
        <v>44185</v>
      </c>
      <c r="L3076" t="s">
        <v>14</v>
      </c>
      <c r="M3076">
        <v>3453.25</v>
      </c>
      <c r="N3076">
        <v>3453.25</v>
      </c>
      <c r="O3076" t="s">
        <v>18</v>
      </c>
      <c r="P3076">
        <f t="shared" si="147"/>
        <v>1</v>
      </c>
      <c r="Q3076" s="11">
        <f>IF(P3076=0,0,IFERROR(Q3075+G3076*M3076*IF(E3076="FUTURE",VLOOKUP(MID(I3076,2,2),[1]Futures!$A$2:$B$12,2),1),G3076*M3076*IF(E3076="FUTURE",VLOOKUP(MID(I3076,2,2),[1]Futures!$A$2:$B$12,2),1)))</f>
        <v>172662.5</v>
      </c>
      <c r="R3076" s="12">
        <f>IFERROR(Q3076/P3076/IF(E3076="FUTURE",VLOOKUP(MID(I3076,2,2),[1]Futures!$A$2:$B$12,2),1),"")</f>
        <v>3453.25</v>
      </c>
      <c r="S3076" s="13" t="str">
        <f>IF(AND(H3076="TO CLOSE",P3076=0),-G3076*(M3076-R3075)*IF(E3076="FUTURE",VLOOKUP(MID(I3076,2,2),[1]Futures!$A$2:$B$12,2),1),"")</f>
        <v/>
      </c>
    </row>
    <row r="3077" spans="1:19" x14ac:dyDescent="0.2">
      <c r="A3077">
        <f t="shared" si="146"/>
        <v>988</v>
      </c>
      <c r="B3077" s="3">
        <v>44139</v>
      </c>
      <c r="C3077" s="3" t="str">
        <f t="shared" si="145"/>
        <v>Wednesday</v>
      </c>
      <c r="D3077" s="2">
        <v>0.62494212962962969</v>
      </c>
      <c r="E3077" t="s">
        <v>14</v>
      </c>
      <c r="F3077" t="s">
        <v>15</v>
      </c>
      <c r="G3077">
        <v>-1</v>
      </c>
      <c r="H3077" t="s">
        <v>16</v>
      </c>
      <c r="I3077" t="s">
        <v>85</v>
      </c>
      <c r="J3077" s="1">
        <v>44185</v>
      </c>
      <c r="L3077" t="s">
        <v>14</v>
      </c>
      <c r="M3077">
        <v>3453.5</v>
      </c>
      <c r="N3077">
        <v>3453.5</v>
      </c>
      <c r="O3077" t="s">
        <v>18</v>
      </c>
      <c r="P3077">
        <f t="shared" si="147"/>
        <v>0</v>
      </c>
      <c r="Q3077" s="11">
        <f>IF(P3077=0,0,IFERROR(Q3076+G3077*M3077*IF(E3077="FUTURE",VLOOKUP(MID(I3077,2,2),[1]Futures!$A$2:$B$12,2),1),G3077*M3077*IF(E3077="FUTURE",VLOOKUP(MID(I3077,2,2),[1]Futures!$A$2:$B$12,2),1)))</f>
        <v>0</v>
      </c>
      <c r="R3077" s="12" t="str">
        <f>IFERROR(Q3077/P3077/IF(E3077="FUTURE",VLOOKUP(MID(I3077,2,2),[1]Futures!$A$2:$B$12,2),1),"")</f>
        <v/>
      </c>
      <c r="S3077" s="13">
        <f>IF(AND(H3077="TO CLOSE",P3077=0),-G3077*(M3077-R3076)*IF(E3077="FUTURE",VLOOKUP(MID(I3077,2,2),[1]Futures!$A$2:$B$12,2),1),"")</f>
        <v>12.5</v>
      </c>
    </row>
    <row r="3078" spans="1:19" x14ac:dyDescent="0.2">
      <c r="A3078">
        <f t="shared" si="146"/>
        <v>989</v>
      </c>
      <c r="B3078" s="3">
        <v>44139</v>
      </c>
      <c r="C3078" s="3" t="str">
        <f t="shared" si="145"/>
        <v>Wednesday</v>
      </c>
      <c r="D3078" s="2">
        <v>0.62688657407407411</v>
      </c>
      <c r="E3078" t="s">
        <v>14</v>
      </c>
      <c r="F3078" t="s">
        <v>19</v>
      </c>
      <c r="G3078">
        <v>1</v>
      </c>
      <c r="H3078" t="s">
        <v>20</v>
      </c>
      <c r="I3078" t="s">
        <v>85</v>
      </c>
      <c r="J3078" s="1">
        <v>44185</v>
      </c>
      <c r="L3078" t="s">
        <v>14</v>
      </c>
      <c r="M3078">
        <v>3453.75</v>
      </c>
      <c r="N3078">
        <v>3453.75</v>
      </c>
      <c r="O3078" t="s">
        <v>24</v>
      </c>
      <c r="P3078">
        <f t="shared" si="147"/>
        <v>1</v>
      </c>
      <c r="Q3078" s="11">
        <f>IF(P3078=0,0,IFERROR(Q3077+G3078*M3078*IF(E3078="FUTURE",VLOOKUP(MID(I3078,2,2),[1]Futures!$A$2:$B$12,2),1),G3078*M3078*IF(E3078="FUTURE",VLOOKUP(MID(I3078,2,2),[1]Futures!$A$2:$B$12,2),1)))</f>
        <v>172687.5</v>
      </c>
      <c r="R3078" s="12">
        <f>IFERROR(Q3078/P3078/IF(E3078="FUTURE",VLOOKUP(MID(I3078,2,2),[1]Futures!$A$2:$B$12,2),1),"")</f>
        <v>3453.75</v>
      </c>
      <c r="S3078" s="13" t="str">
        <f>IF(AND(H3078="TO CLOSE",P3078=0),-G3078*(M3078-R3077)*IF(E3078="FUTURE",VLOOKUP(MID(I3078,2,2),[1]Futures!$A$2:$B$12,2),1),"")</f>
        <v/>
      </c>
    </row>
    <row r="3079" spans="1:19" x14ac:dyDescent="0.2">
      <c r="A3079">
        <f t="shared" si="146"/>
        <v>989</v>
      </c>
      <c r="B3079" s="3">
        <v>44139</v>
      </c>
      <c r="C3079" s="3" t="str">
        <f t="shared" si="145"/>
        <v>Wednesday</v>
      </c>
      <c r="D3079" s="2">
        <v>0.62920138888888888</v>
      </c>
      <c r="E3079" t="s">
        <v>14</v>
      </c>
      <c r="F3079" t="s">
        <v>15</v>
      </c>
      <c r="G3079">
        <v>-1</v>
      </c>
      <c r="H3079" t="s">
        <v>16</v>
      </c>
      <c r="I3079" t="s">
        <v>85</v>
      </c>
      <c r="J3079" s="1">
        <v>44185</v>
      </c>
      <c r="L3079" t="s">
        <v>14</v>
      </c>
      <c r="M3079">
        <v>3443.75</v>
      </c>
      <c r="N3079">
        <v>3443.75</v>
      </c>
      <c r="O3079" t="s">
        <v>18</v>
      </c>
      <c r="P3079">
        <f t="shared" si="147"/>
        <v>0</v>
      </c>
      <c r="Q3079" s="11">
        <f>IF(P3079=0,0,IFERROR(Q3078+G3079*M3079*IF(E3079="FUTURE",VLOOKUP(MID(I3079,2,2),[1]Futures!$A$2:$B$12,2),1),G3079*M3079*IF(E3079="FUTURE",VLOOKUP(MID(I3079,2,2),[1]Futures!$A$2:$B$12,2),1)))</f>
        <v>0</v>
      </c>
      <c r="R3079" s="12" t="str">
        <f>IFERROR(Q3079/P3079/IF(E3079="FUTURE",VLOOKUP(MID(I3079,2,2),[1]Futures!$A$2:$B$12,2),1),"")</f>
        <v/>
      </c>
      <c r="S3079" s="13">
        <f>IF(AND(H3079="TO CLOSE",P3079=0),-G3079*(M3079-R3078)*IF(E3079="FUTURE",VLOOKUP(MID(I3079,2,2),[1]Futures!$A$2:$B$12,2),1),"")</f>
        <v>-500</v>
      </c>
    </row>
    <row r="3080" spans="1:19" x14ac:dyDescent="0.2">
      <c r="A3080">
        <f t="shared" si="146"/>
        <v>990</v>
      </c>
      <c r="B3080" s="3">
        <v>44139</v>
      </c>
      <c r="C3080" s="3" t="str">
        <f t="shared" si="145"/>
        <v>Wednesday</v>
      </c>
      <c r="D3080" s="2">
        <v>0.64689814814814817</v>
      </c>
      <c r="E3080" t="s">
        <v>14</v>
      </c>
      <c r="F3080" t="s">
        <v>19</v>
      </c>
      <c r="G3080">
        <v>1</v>
      </c>
      <c r="H3080" t="s">
        <v>20</v>
      </c>
      <c r="I3080" t="s">
        <v>85</v>
      </c>
      <c r="J3080" s="1">
        <v>44185</v>
      </c>
      <c r="L3080" t="s">
        <v>14</v>
      </c>
      <c r="M3080">
        <v>3441.25</v>
      </c>
      <c r="N3080">
        <v>3441.25</v>
      </c>
      <c r="O3080" t="s">
        <v>18</v>
      </c>
      <c r="P3080">
        <f t="shared" si="147"/>
        <v>1</v>
      </c>
      <c r="Q3080" s="11">
        <f>IF(P3080=0,0,IFERROR(Q3079+G3080*M3080*IF(E3080="FUTURE",VLOOKUP(MID(I3080,2,2),[1]Futures!$A$2:$B$12,2),1),G3080*M3080*IF(E3080="FUTURE",VLOOKUP(MID(I3080,2,2),[1]Futures!$A$2:$B$12,2),1)))</f>
        <v>172062.5</v>
      </c>
      <c r="R3080" s="12">
        <f>IFERROR(Q3080/P3080/IF(E3080="FUTURE",VLOOKUP(MID(I3080,2,2),[1]Futures!$A$2:$B$12,2),1),"")</f>
        <v>3441.25</v>
      </c>
      <c r="S3080" s="13" t="str">
        <f>IF(AND(H3080="TO CLOSE",P3080=0),-G3080*(M3080-R3079)*IF(E3080="FUTURE",VLOOKUP(MID(I3080,2,2),[1]Futures!$A$2:$B$12,2),1),"")</f>
        <v/>
      </c>
    </row>
    <row r="3081" spans="1:19" x14ac:dyDescent="0.2">
      <c r="A3081">
        <f t="shared" si="146"/>
        <v>990</v>
      </c>
      <c r="B3081" s="3">
        <v>44139</v>
      </c>
      <c r="C3081" s="3" t="str">
        <f t="shared" si="145"/>
        <v>Wednesday</v>
      </c>
      <c r="D3081" s="2">
        <v>0.69366898148148148</v>
      </c>
      <c r="E3081" t="s">
        <v>14</v>
      </c>
      <c r="F3081" t="s">
        <v>15</v>
      </c>
      <c r="G3081">
        <v>-1</v>
      </c>
      <c r="H3081" t="s">
        <v>16</v>
      </c>
      <c r="I3081" t="s">
        <v>85</v>
      </c>
      <c r="J3081" s="1">
        <v>44185</v>
      </c>
      <c r="L3081" t="s">
        <v>14</v>
      </c>
      <c r="M3081">
        <v>3447.75</v>
      </c>
      <c r="N3081">
        <v>3447.75</v>
      </c>
      <c r="O3081" t="s">
        <v>21</v>
      </c>
      <c r="P3081">
        <f t="shared" si="147"/>
        <v>0</v>
      </c>
      <c r="Q3081" s="11">
        <f>IF(P3081=0,0,IFERROR(Q3080+G3081*M3081*IF(E3081="FUTURE",VLOOKUP(MID(I3081,2,2),[1]Futures!$A$2:$B$12,2),1),G3081*M3081*IF(E3081="FUTURE",VLOOKUP(MID(I3081,2,2),[1]Futures!$A$2:$B$12,2),1)))</f>
        <v>0</v>
      </c>
      <c r="R3081" s="12" t="str">
        <f>IFERROR(Q3081/P3081/IF(E3081="FUTURE",VLOOKUP(MID(I3081,2,2),[1]Futures!$A$2:$B$12,2),1),"")</f>
        <v/>
      </c>
      <c r="S3081" s="13">
        <f>IF(AND(H3081="TO CLOSE",P3081=0),-G3081*(M3081-R3080)*IF(E3081="FUTURE",VLOOKUP(MID(I3081,2,2),[1]Futures!$A$2:$B$12,2),1),"")</f>
        <v>325</v>
      </c>
    </row>
    <row r="3082" spans="1:19" x14ac:dyDescent="0.2">
      <c r="A3082">
        <f t="shared" si="146"/>
        <v>991</v>
      </c>
      <c r="B3082" s="3">
        <v>44139</v>
      </c>
      <c r="C3082" s="3" t="str">
        <f t="shared" si="145"/>
        <v>Wednesday</v>
      </c>
      <c r="D3082" s="2">
        <v>0.45758101851851851</v>
      </c>
      <c r="E3082" t="s">
        <v>22</v>
      </c>
      <c r="F3082" t="s">
        <v>19</v>
      </c>
      <c r="G3082">
        <v>500</v>
      </c>
      <c r="H3082" t="s">
        <v>20</v>
      </c>
      <c r="I3082" t="s">
        <v>23</v>
      </c>
      <c r="L3082" t="s">
        <v>22</v>
      </c>
      <c r="M3082">
        <v>22.498899999999999</v>
      </c>
      <c r="N3082">
        <v>22.498899999999999</v>
      </c>
      <c r="O3082" t="s">
        <v>24</v>
      </c>
      <c r="P3082">
        <f t="shared" si="147"/>
        <v>500</v>
      </c>
      <c r="Q3082" s="11">
        <f>IF(P3082=0,0,IFERROR(Q3081+G3082*M3082*IF(E3082="FUTURE",VLOOKUP(MID(I3082,2,2),[1]Futures!$A$2:$B$12,2),1),G3082*M3082*IF(E3082="FUTURE",VLOOKUP(MID(I3082,2,2),[1]Futures!$A$2:$B$12,2),1)))</f>
        <v>11249.449999999999</v>
      </c>
      <c r="R3082" s="12">
        <f>IFERROR(Q3082/P3082/IF(E3082="FUTURE",VLOOKUP(MID(I3082,2,2),[1]Futures!$A$2:$B$12,2),1),"")</f>
        <v>22.498899999999999</v>
      </c>
      <c r="S3082" s="13" t="str">
        <f>IF(AND(H3082="TO CLOSE",P3082=0),-G3082*(M3082-R3081)*IF(E3082="FUTURE",VLOOKUP(MID(I3082,2,2),[1]Futures!$A$2:$B$12,2),1),"")</f>
        <v/>
      </c>
    </row>
    <row r="3083" spans="1:19" x14ac:dyDescent="0.2">
      <c r="A3083">
        <f t="shared" si="146"/>
        <v>991</v>
      </c>
      <c r="B3083" s="3">
        <v>44139</v>
      </c>
      <c r="C3083" s="3" t="str">
        <f t="shared" si="145"/>
        <v>Wednesday</v>
      </c>
      <c r="D3083" s="2">
        <v>0.46665509259259258</v>
      </c>
      <c r="E3083" t="s">
        <v>22</v>
      </c>
      <c r="F3083" t="s">
        <v>15</v>
      </c>
      <c r="G3083">
        <v>-100</v>
      </c>
      <c r="H3083" t="s">
        <v>16</v>
      </c>
      <c r="I3083" t="s">
        <v>23</v>
      </c>
      <c r="L3083" t="s">
        <v>22</v>
      </c>
      <c r="M3083">
        <v>22.62</v>
      </c>
      <c r="N3083">
        <v>22.62</v>
      </c>
      <c r="O3083" t="s">
        <v>21</v>
      </c>
      <c r="P3083">
        <f t="shared" si="147"/>
        <v>400</v>
      </c>
      <c r="Q3083" s="11">
        <f>IF(P3083=0,0,IFERROR(Q3082+G3083*M3083*IF(E3083="FUTURE",VLOOKUP(MID(I3083,2,2),[1]Futures!$A$2:$B$12,2),1),G3083*M3083*IF(E3083="FUTURE",VLOOKUP(MID(I3083,2,2),[1]Futures!$A$2:$B$12,2),1)))</f>
        <v>8987.4499999999989</v>
      </c>
      <c r="R3083" s="12">
        <f>IFERROR(Q3083/P3083/IF(E3083="FUTURE",VLOOKUP(MID(I3083,2,2),[1]Futures!$A$2:$B$12,2),1),"")</f>
        <v>22.468624999999996</v>
      </c>
      <c r="S3083" s="13" t="str">
        <f>IF(AND(H3083="TO CLOSE",P3083=0),-G3083*(M3083-R3082)*IF(E3083="FUTURE",VLOOKUP(MID(I3083,2,2),[1]Futures!$A$2:$B$12,2),1),"")</f>
        <v/>
      </c>
    </row>
    <row r="3084" spans="1:19" x14ac:dyDescent="0.2">
      <c r="A3084">
        <f t="shared" si="146"/>
        <v>991</v>
      </c>
      <c r="B3084" s="3">
        <v>44139</v>
      </c>
      <c r="C3084" s="3" t="str">
        <f t="shared" si="145"/>
        <v>Wednesday</v>
      </c>
      <c r="D3084" s="2">
        <v>0.47827546296296292</v>
      </c>
      <c r="E3084" t="s">
        <v>22</v>
      </c>
      <c r="F3084" t="s">
        <v>15</v>
      </c>
      <c r="G3084">
        <v>-100</v>
      </c>
      <c r="H3084" t="s">
        <v>16</v>
      </c>
      <c r="I3084" t="s">
        <v>23</v>
      </c>
      <c r="L3084" t="s">
        <v>22</v>
      </c>
      <c r="M3084">
        <v>22.642299999999999</v>
      </c>
      <c r="N3084">
        <v>22.642299999999999</v>
      </c>
      <c r="O3084" t="s">
        <v>21</v>
      </c>
      <c r="P3084">
        <f t="shared" si="147"/>
        <v>300</v>
      </c>
      <c r="Q3084" s="11">
        <f>IF(P3084=0,0,IFERROR(Q3083+G3084*M3084*IF(E3084="FUTURE",VLOOKUP(MID(I3084,2,2),[1]Futures!$A$2:$B$12,2),1),G3084*M3084*IF(E3084="FUTURE",VLOOKUP(MID(I3084,2,2),[1]Futures!$A$2:$B$12,2),1)))</f>
        <v>6723.2199999999993</v>
      </c>
      <c r="R3084" s="12">
        <f>IFERROR(Q3084/P3084/IF(E3084="FUTURE",VLOOKUP(MID(I3084,2,2),[1]Futures!$A$2:$B$12,2),1),"")</f>
        <v>22.410733333333329</v>
      </c>
      <c r="S3084" s="13" t="str">
        <f>IF(AND(H3084="TO CLOSE",P3084=0),-G3084*(M3084-R3083)*IF(E3084="FUTURE",VLOOKUP(MID(I3084,2,2),[1]Futures!$A$2:$B$12,2),1),"")</f>
        <v/>
      </c>
    </row>
    <row r="3085" spans="1:19" x14ac:dyDescent="0.2">
      <c r="A3085">
        <f t="shared" si="146"/>
        <v>991</v>
      </c>
      <c r="B3085" s="3">
        <v>44139</v>
      </c>
      <c r="C3085" s="3" t="str">
        <f t="shared" si="145"/>
        <v>Wednesday</v>
      </c>
      <c r="D3085" s="2">
        <v>0.49543981481481486</v>
      </c>
      <c r="E3085" t="s">
        <v>22</v>
      </c>
      <c r="F3085" t="s">
        <v>15</v>
      </c>
      <c r="G3085">
        <v>-50</v>
      </c>
      <c r="H3085" t="s">
        <v>16</v>
      </c>
      <c r="I3085" t="s">
        <v>23</v>
      </c>
      <c r="L3085" t="s">
        <v>22</v>
      </c>
      <c r="M3085">
        <v>22.79</v>
      </c>
      <c r="N3085">
        <v>22.79</v>
      </c>
      <c r="O3085" t="s">
        <v>21</v>
      </c>
      <c r="P3085">
        <f t="shared" si="147"/>
        <v>250</v>
      </c>
      <c r="Q3085" s="11">
        <f>IF(P3085=0,0,IFERROR(Q3084+G3085*M3085*IF(E3085="FUTURE",VLOOKUP(MID(I3085,2,2),[1]Futures!$A$2:$B$12,2),1),G3085*M3085*IF(E3085="FUTURE",VLOOKUP(MID(I3085,2,2),[1]Futures!$A$2:$B$12,2),1)))</f>
        <v>5583.7199999999993</v>
      </c>
      <c r="R3085" s="12">
        <f>IFERROR(Q3085/P3085/IF(E3085="FUTURE",VLOOKUP(MID(I3085,2,2),[1]Futures!$A$2:$B$12,2),1),"")</f>
        <v>22.334879999999998</v>
      </c>
      <c r="S3085" s="13" t="str">
        <f>IF(AND(H3085="TO CLOSE",P3085=0),-G3085*(M3085-R3084)*IF(E3085="FUTURE",VLOOKUP(MID(I3085,2,2),[1]Futures!$A$2:$B$12,2),1),"")</f>
        <v/>
      </c>
    </row>
    <row r="3086" spans="1:19" x14ac:dyDescent="0.2">
      <c r="A3086">
        <f t="shared" si="146"/>
        <v>991</v>
      </c>
      <c r="B3086" s="3">
        <v>44139</v>
      </c>
      <c r="C3086" s="3" t="str">
        <f t="shared" si="145"/>
        <v>Wednesday</v>
      </c>
      <c r="D3086" s="2">
        <v>0.49746527777777777</v>
      </c>
      <c r="E3086" t="s">
        <v>22</v>
      </c>
      <c r="F3086" t="s">
        <v>15</v>
      </c>
      <c r="G3086">
        <v>-50</v>
      </c>
      <c r="H3086" t="s">
        <v>16</v>
      </c>
      <c r="I3086" t="s">
        <v>23</v>
      </c>
      <c r="L3086" t="s">
        <v>22</v>
      </c>
      <c r="M3086">
        <v>22.92</v>
      </c>
      <c r="N3086">
        <v>22.92</v>
      </c>
      <c r="O3086" t="s">
        <v>21</v>
      </c>
      <c r="P3086">
        <f t="shared" si="147"/>
        <v>200</v>
      </c>
      <c r="Q3086" s="11">
        <f>IF(P3086=0,0,IFERROR(Q3085+G3086*M3086*IF(E3086="FUTURE",VLOOKUP(MID(I3086,2,2),[1]Futures!$A$2:$B$12,2),1),G3086*M3086*IF(E3086="FUTURE",VLOOKUP(MID(I3086,2,2),[1]Futures!$A$2:$B$12,2),1)))</f>
        <v>4437.7199999999993</v>
      </c>
      <c r="R3086" s="12">
        <f>IFERROR(Q3086/P3086/IF(E3086="FUTURE",VLOOKUP(MID(I3086,2,2),[1]Futures!$A$2:$B$12,2),1),"")</f>
        <v>22.188599999999997</v>
      </c>
      <c r="S3086" s="13" t="str">
        <f>IF(AND(H3086="TO CLOSE",P3086=0),-G3086*(M3086-R3085)*IF(E3086="FUTURE",VLOOKUP(MID(I3086,2,2),[1]Futures!$A$2:$B$12,2),1),"")</f>
        <v/>
      </c>
    </row>
    <row r="3087" spans="1:19" x14ac:dyDescent="0.2">
      <c r="A3087">
        <f t="shared" si="146"/>
        <v>991</v>
      </c>
      <c r="B3087" s="3">
        <v>44139</v>
      </c>
      <c r="C3087" s="3" t="str">
        <f t="shared" si="145"/>
        <v>Wednesday</v>
      </c>
      <c r="D3087" s="2">
        <v>0.50008101851851849</v>
      </c>
      <c r="E3087" t="s">
        <v>22</v>
      </c>
      <c r="F3087" t="s">
        <v>15</v>
      </c>
      <c r="G3087">
        <v>-50</v>
      </c>
      <c r="H3087" t="s">
        <v>16</v>
      </c>
      <c r="I3087" t="s">
        <v>23</v>
      </c>
      <c r="L3087" t="s">
        <v>22</v>
      </c>
      <c r="M3087">
        <v>23</v>
      </c>
      <c r="N3087">
        <v>23</v>
      </c>
      <c r="O3087" t="s">
        <v>21</v>
      </c>
      <c r="P3087">
        <f t="shared" si="147"/>
        <v>150</v>
      </c>
      <c r="Q3087" s="11">
        <f>IF(P3087=0,0,IFERROR(Q3086+G3087*M3087*IF(E3087="FUTURE",VLOOKUP(MID(I3087,2,2),[1]Futures!$A$2:$B$12,2),1),G3087*M3087*IF(E3087="FUTURE",VLOOKUP(MID(I3087,2,2),[1]Futures!$A$2:$B$12,2),1)))</f>
        <v>3287.7199999999993</v>
      </c>
      <c r="R3087" s="12">
        <f>IFERROR(Q3087/P3087/IF(E3087="FUTURE",VLOOKUP(MID(I3087,2,2),[1]Futures!$A$2:$B$12,2),1),"")</f>
        <v>21.91813333333333</v>
      </c>
      <c r="S3087" s="13" t="str">
        <f>IF(AND(H3087="TO CLOSE",P3087=0),-G3087*(M3087-R3086)*IF(E3087="FUTURE",VLOOKUP(MID(I3087,2,2),[1]Futures!$A$2:$B$12,2),1),"")</f>
        <v/>
      </c>
    </row>
    <row r="3088" spans="1:19" x14ac:dyDescent="0.2">
      <c r="A3088">
        <f t="shared" si="146"/>
        <v>991</v>
      </c>
      <c r="B3088" s="3">
        <v>44139</v>
      </c>
      <c r="C3088" s="3" t="str">
        <f t="shared" si="145"/>
        <v>Wednesday</v>
      </c>
      <c r="D3088" s="2">
        <v>0.50233796296296296</v>
      </c>
      <c r="E3088" t="s">
        <v>22</v>
      </c>
      <c r="F3088" t="s">
        <v>15</v>
      </c>
      <c r="G3088">
        <v>-50</v>
      </c>
      <c r="H3088" t="s">
        <v>16</v>
      </c>
      <c r="I3088" t="s">
        <v>23</v>
      </c>
      <c r="L3088" t="s">
        <v>22</v>
      </c>
      <c r="M3088">
        <v>23.011099999999999</v>
      </c>
      <c r="N3088">
        <v>23.011199999999999</v>
      </c>
      <c r="O3088" t="s">
        <v>21</v>
      </c>
      <c r="P3088">
        <f t="shared" si="147"/>
        <v>100</v>
      </c>
      <c r="Q3088" s="11">
        <f>IF(P3088=0,0,IFERROR(Q3087+G3088*M3088*IF(E3088="FUTURE",VLOOKUP(MID(I3088,2,2),[1]Futures!$A$2:$B$12,2),1),G3088*M3088*IF(E3088="FUTURE",VLOOKUP(MID(I3088,2,2),[1]Futures!$A$2:$B$12,2),1)))</f>
        <v>2137.1649999999995</v>
      </c>
      <c r="R3088" s="12">
        <f>IFERROR(Q3088/P3088/IF(E3088="FUTURE",VLOOKUP(MID(I3088,2,2),[1]Futures!$A$2:$B$12,2),1),"")</f>
        <v>21.371649999999995</v>
      </c>
      <c r="S3088" s="13" t="str">
        <f>IF(AND(H3088="TO CLOSE",P3088=0),-G3088*(M3088-R3087)*IF(E3088="FUTURE",VLOOKUP(MID(I3088,2,2),[1]Futures!$A$2:$B$12,2),1),"")</f>
        <v/>
      </c>
    </row>
    <row r="3089" spans="1:19" x14ac:dyDescent="0.2">
      <c r="A3089">
        <f t="shared" si="146"/>
        <v>991</v>
      </c>
      <c r="B3089" s="3">
        <v>44139</v>
      </c>
      <c r="C3089" s="3" t="str">
        <f t="shared" si="145"/>
        <v>Wednesday</v>
      </c>
      <c r="D3089" s="2">
        <v>0.50520833333333337</v>
      </c>
      <c r="E3089" t="s">
        <v>22</v>
      </c>
      <c r="F3089" t="s">
        <v>15</v>
      </c>
      <c r="G3089">
        <v>-84</v>
      </c>
      <c r="H3089" t="s">
        <v>16</v>
      </c>
      <c r="I3089" t="s">
        <v>23</v>
      </c>
      <c r="L3089" t="s">
        <v>22</v>
      </c>
      <c r="M3089">
        <v>22.77</v>
      </c>
      <c r="N3089">
        <v>22.77</v>
      </c>
      <c r="O3089" t="s">
        <v>18</v>
      </c>
      <c r="P3089">
        <f t="shared" si="147"/>
        <v>16</v>
      </c>
      <c r="Q3089" s="11">
        <f>IF(P3089=0,0,IFERROR(Q3088+G3089*M3089*IF(E3089="FUTURE",VLOOKUP(MID(I3089,2,2),[1]Futures!$A$2:$B$12,2),1),G3089*M3089*IF(E3089="FUTURE",VLOOKUP(MID(I3089,2,2),[1]Futures!$A$2:$B$12,2),1)))</f>
        <v>224.48499999999945</v>
      </c>
      <c r="R3089" s="12">
        <f>IFERROR(Q3089/P3089/IF(E3089="FUTURE",VLOOKUP(MID(I3089,2,2),[1]Futures!$A$2:$B$12,2),1),"")</f>
        <v>14.030312499999965</v>
      </c>
      <c r="S3089" s="13" t="str">
        <f>IF(AND(H3089="TO CLOSE",P3089=0),-G3089*(M3089-R3088)*IF(E3089="FUTURE",VLOOKUP(MID(I3089,2,2),[1]Futures!$A$2:$B$12,2),1),"")</f>
        <v/>
      </c>
    </row>
    <row r="3090" spans="1:19" x14ac:dyDescent="0.2">
      <c r="A3090">
        <f t="shared" si="146"/>
        <v>991</v>
      </c>
      <c r="B3090" s="3">
        <v>44139</v>
      </c>
      <c r="C3090" s="3" t="str">
        <f t="shared" si="145"/>
        <v>Wednesday</v>
      </c>
      <c r="D3090" s="2">
        <v>0.50520833333333337</v>
      </c>
      <c r="E3090" t="s">
        <v>22</v>
      </c>
      <c r="F3090" t="s">
        <v>15</v>
      </c>
      <c r="G3090">
        <v>-11</v>
      </c>
      <c r="H3090" t="s">
        <v>16</v>
      </c>
      <c r="I3090" t="s">
        <v>23</v>
      </c>
      <c r="L3090" t="s">
        <v>22</v>
      </c>
      <c r="M3090">
        <v>22.77</v>
      </c>
      <c r="N3090">
        <v>22.77</v>
      </c>
      <c r="O3090" t="s">
        <v>18</v>
      </c>
      <c r="P3090">
        <f t="shared" si="147"/>
        <v>5</v>
      </c>
      <c r="Q3090" s="11">
        <f>IF(P3090=0,0,IFERROR(Q3089+G3090*M3090*IF(E3090="FUTURE",VLOOKUP(MID(I3090,2,2),[1]Futures!$A$2:$B$12,2),1),G3090*M3090*IF(E3090="FUTURE",VLOOKUP(MID(I3090,2,2),[1]Futures!$A$2:$B$12,2),1)))</f>
        <v>-25.985000000000554</v>
      </c>
      <c r="R3090" s="12">
        <f>IFERROR(Q3090/P3090/IF(E3090="FUTURE",VLOOKUP(MID(I3090,2,2),[1]Futures!$A$2:$B$12,2),1),"")</f>
        <v>-5.1970000000001111</v>
      </c>
      <c r="S3090" s="13" t="str">
        <f>IF(AND(H3090="TO CLOSE",P3090=0),-G3090*(M3090-R3089)*IF(E3090="FUTURE",VLOOKUP(MID(I3090,2,2),[1]Futures!$A$2:$B$12,2),1),"")</f>
        <v/>
      </c>
    </row>
    <row r="3091" spans="1:19" x14ac:dyDescent="0.2">
      <c r="A3091">
        <f t="shared" si="146"/>
        <v>991</v>
      </c>
      <c r="B3091" s="3">
        <v>44139</v>
      </c>
      <c r="C3091" s="3" t="str">
        <f t="shared" si="145"/>
        <v>Wednesday</v>
      </c>
      <c r="D3091" s="2">
        <v>0.50520833333333337</v>
      </c>
      <c r="E3091" t="s">
        <v>22</v>
      </c>
      <c r="F3091" t="s">
        <v>15</v>
      </c>
      <c r="G3091">
        <v>-5</v>
      </c>
      <c r="H3091" t="s">
        <v>16</v>
      </c>
      <c r="I3091" t="s">
        <v>23</v>
      </c>
      <c r="L3091" t="s">
        <v>22</v>
      </c>
      <c r="M3091">
        <v>22.77</v>
      </c>
      <c r="N3091">
        <v>22.77</v>
      </c>
      <c r="O3091" t="s">
        <v>18</v>
      </c>
      <c r="P3091">
        <f t="shared" si="147"/>
        <v>0</v>
      </c>
      <c r="Q3091" s="11">
        <f>IF(P3091=0,0,IFERROR(Q3090+G3091*M3091*IF(E3091="FUTURE",VLOOKUP(MID(I3091,2,2),[1]Futures!$A$2:$B$12,2),1),G3091*M3091*IF(E3091="FUTURE",VLOOKUP(MID(I3091,2,2),[1]Futures!$A$2:$B$12,2),1)))</f>
        <v>0</v>
      </c>
      <c r="R3091" s="12" t="str">
        <f>IFERROR(Q3091/P3091/IF(E3091="FUTURE",VLOOKUP(MID(I3091,2,2),[1]Futures!$A$2:$B$12,2),1),"")</f>
        <v/>
      </c>
      <c r="S3091" s="13">
        <f>IF(AND(H3091="TO CLOSE",P3091=0),-G3091*(M3091-R3090)*IF(E3091="FUTURE",VLOOKUP(MID(I3091,2,2),[1]Futures!$A$2:$B$12,2),1),"")</f>
        <v>139.83500000000055</v>
      </c>
    </row>
    <row r="3092" spans="1:19" x14ac:dyDescent="0.2">
      <c r="A3092">
        <f t="shared" si="146"/>
        <v>992</v>
      </c>
      <c r="B3092" s="3">
        <v>44139</v>
      </c>
      <c r="C3092" s="3" t="str">
        <f t="shared" si="145"/>
        <v>Wednesday</v>
      </c>
      <c r="D3092" s="2">
        <v>0.52545138888888887</v>
      </c>
      <c r="E3092" t="s">
        <v>22</v>
      </c>
      <c r="F3092" t="s">
        <v>19</v>
      </c>
      <c r="G3092">
        <v>400</v>
      </c>
      <c r="H3092" t="s">
        <v>20</v>
      </c>
      <c r="I3092" t="s">
        <v>23</v>
      </c>
      <c r="L3092" t="s">
        <v>22</v>
      </c>
      <c r="M3092">
        <v>22.614999999999998</v>
      </c>
      <c r="N3092">
        <v>22.614999999999998</v>
      </c>
      <c r="O3092" t="s">
        <v>24</v>
      </c>
      <c r="P3092">
        <f t="shared" si="147"/>
        <v>400</v>
      </c>
      <c r="Q3092" s="11">
        <f>IF(P3092=0,0,IFERROR(Q3091+G3092*M3092*IF(E3092="FUTURE",VLOOKUP(MID(I3092,2,2),[1]Futures!$A$2:$B$12,2),1),G3092*M3092*IF(E3092="FUTURE",VLOOKUP(MID(I3092,2,2),[1]Futures!$A$2:$B$12,2),1)))</f>
        <v>9046</v>
      </c>
      <c r="R3092" s="12">
        <f>IFERROR(Q3092/P3092/IF(E3092="FUTURE",VLOOKUP(MID(I3092,2,2),[1]Futures!$A$2:$B$12,2),1),"")</f>
        <v>22.614999999999998</v>
      </c>
      <c r="S3092" s="13" t="str">
        <f>IF(AND(H3092="TO CLOSE",P3092=0),-G3092*(M3092-R3091)*IF(E3092="FUTURE",VLOOKUP(MID(I3092,2,2),[1]Futures!$A$2:$B$12,2),1),"")</f>
        <v/>
      </c>
    </row>
    <row r="3093" spans="1:19" x14ac:dyDescent="0.2">
      <c r="A3093">
        <f t="shared" si="146"/>
        <v>992</v>
      </c>
      <c r="B3093" s="3">
        <v>44139</v>
      </c>
      <c r="C3093" s="3" t="str">
        <f t="shared" si="145"/>
        <v>Wednesday</v>
      </c>
      <c r="D3093" s="2">
        <v>0.5315509259259259</v>
      </c>
      <c r="E3093" t="s">
        <v>22</v>
      </c>
      <c r="F3093" t="s">
        <v>19</v>
      </c>
      <c r="G3093">
        <v>100</v>
      </c>
      <c r="H3093" t="s">
        <v>20</v>
      </c>
      <c r="I3093" t="s">
        <v>23</v>
      </c>
      <c r="L3093" t="s">
        <v>22</v>
      </c>
      <c r="M3093">
        <v>22.49</v>
      </c>
      <c r="N3093">
        <v>22.49</v>
      </c>
      <c r="O3093" t="s">
        <v>21</v>
      </c>
      <c r="P3093">
        <f t="shared" si="147"/>
        <v>500</v>
      </c>
      <c r="Q3093" s="11">
        <f>IF(P3093=0,0,IFERROR(Q3092+G3093*M3093*IF(E3093="FUTURE",VLOOKUP(MID(I3093,2,2),[1]Futures!$A$2:$B$12,2),1),G3093*M3093*IF(E3093="FUTURE",VLOOKUP(MID(I3093,2,2),[1]Futures!$A$2:$B$12,2),1)))</f>
        <v>11295</v>
      </c>
      <c r="R3093" s="12">
        <f>IFERROR(Q3093/P3093/IF(E3093="FUTURE",VLOOKUP(MID(I3093,2,2),[1]Futures!$A$2:$B$12,2),1),"")</f>
        <v>22.59</v>
      </c>
      <c r="S3093" s="13" t="str">
        <f>IF(AND(H3093="TO CLOSE",P3093=0),-G3093*(M3093-R3092)*IF(E3093="FUTURE",VLOOKUP(MID(I3093,2,2),[1]Futures!$A$2:$B$12,2),1),"")</f>
        <v/>
      </c>
    </row>
    <row r="3094" spans="1:19" x14ac:dyDescent="0.2">
      <c r="A3094">
        <f t="shared" si="146"/>
        <v>992</v>
      </c>
      <c r="B3094" s="3">
        <v>44139</v>
      </c>
      <c r="C3094" s="3" t="str">
        <f t="shared" si="145"/>
        <v>Wednesday</v>
      </c>
      <c r="D3094" s="2">
        <v>0.57218749999999996</v>
      </c>
      <c r="E3094" t="s">
        <v>22</v>
      </c>
      <c r="F3094" t="s">
        <v>15</v>
      </c>
      <c r="G3094">
        <v>-100</v>
      </c>
      <c r="H3094" t="s">
        <v>16</v>
      </c>
      <c r="I3094" t="s">
        <v>23</v>
      </c>
      <c r="L3094" t="s">
        <v>22</v>
      </c>
      <c r="M3094">
        <v>22.751100000000001</v>
      </c>
      <c r="N3094">
        <v>22.751100000000001</v>
      </c>
      <c r="O3094" t="s">
        <v>21</v>
      </c>
      <c r="P3094">
        <f t="shared" si="147"/>
        <v>400</v>
      </c>
      <c r="Q3094" s="11">
        <f>IF(P3094=0,0,IFERROR(Q3093+G3094*M3094*IF(E3094="FUTURE",VLOOKUP(MID(I3094,2,2),[1]Futures!$A$2:$B$12,2),1),G3094*M3094*IF(E3094="FUTURE",VLOOKUP(MID(I3094,2,2),[1]Futures!$A$2:$B$12,2),1)))</f>
        <v>9019.89</v>
      </c>
      <c r="R3094" s="12">
        <f>IFERROR(Q3094/P3094/IF(E3094="FUTURE",VLOOKUP(MID(I3094,2,2),[1]Futures!$A$2:$B$12,2),1),"")</f>
        <v>22.549724999999999</v>
      </c>
      <c r="S3094" s="13" t="str">
        <f>IF(AND(H3094="TO CLOSE",P3094=0),-G3094*(M3094-R3093)*IF(E3094="FUTURE",VLOOKUP(MID(I3094,2,2),[1]Futures!$A$2:$B$12,2),1),"")</f>
        <v/>
      </c>
    </row>
    <row r="3095" spans="1:19" x14ac:dyDescent="0.2">
      <c r="A3095">
        <f t="shared" si="146"/>
        <v>992</v>
      </c>
      <c r="B3095" s="3">
        <v>44139</v>
      </c>
      <c r="C3095" s="3" t="str">
        <f t="shared" si="145"/>
        <v>Wednesday</v>
      </c>
      <c r="D3095" s="2">
        <v>0.57611111111111113</v>
      </c>
      <c r="E3095" t="s">
        <v>22</v>
      </c>
      <c r="F3095" t="s">
        <v>15</v>
      </c>
      <c r="G3095">
        <v>-100</v>
      </c>
      <c r="H3095" t="s">
        <v>16</v>
      </c>
      <c r="I3095" t="s">
        <v>23</v>
      </c>
      <c r="L3095" t="s">
        <v>22</v>
      </c>
      <c r="M3095">
        <v>22.68</v>
      </c>
      <c r="N3095">
        <v>22.68</v>
      </c>
      <c r="O3095" t="s">
        <v>21</v>
      </c>
      <c r="P3095">
        <f t="shared" si="147"/>
        <v>300</v>
      </c>
      <c r="Q3095" s="11">
        <f>IF(P3095=0,0,IFERROR(Q3094+G3095*M3095*IF(E3095="FUTURE",VLOOKUP(MID(I3095,2,2),[1]Futures!$A$2:$B$12,2),1),G3095*M3095*IF(E3095="FUTURE",VLOOKUP(MID(I3095,2,2),[1]Futures!$A$2:$B$12,2),1)))</f>
        <v>6751.8899999999994</v>
      </c>
      <c r="R3095" s="12">
        <f>IFERROR(Q3095/P3095/IF(E3095="FUTURE",VLOOKUP(MID(I3095,2,2),[1]Futures!$A$2:$B$12,2),1),"")</f>
        <v>22.5063</v>
      </c>
      <c r="S3095" s="13" t="str">
        <f>IF(AND(H3095="TO CLOSE",P3095=0),-G3095*(M3095-R3094)*IF(E3095="FUTURE",VLOOKUP(MID(I3095,2,2),[1]Futures!$A$2:$B$12,2),1),"")</f>
        <v/>
      </c>
    </row>
    <row r="3096" spans="1:19" x14ac:dyDescent="0.2">
      <c r="A3096">
        <f t="shared" si="146"/>
        <v>992</v>
      </c>
      <c r="B3096" s="3">
        <v>44139</v>
      </c>
      <c r="C3096" s="3" t="str">
        <f t="shared" si="145"/>
        <v>Wednesday</v>
      </c>
      <c r="D3096" s="2">
        <v>0.5841319444444445</v>
      </c>
      <c r="E3096" t="s">
        <v>22</v>
      </c>
      <c r="F3096" t="s">
        <v>15</v>
      </c>
      <c r="G3096">
        <v>-300</v>
      </c>
      <c r="H3096" t="s">
        <v>16</v>
      </c>
      <c r="I3096" t="s">
        <v>23</v>
      </c>
      <c r="L3096" t="s">
        <v>22</v>
      </c>
      <c r="M3096">
        <v>22.591100000000001</v>
      </c>
      <c r="N3096">
        <v>22.591100000000001</v>
      </c>
      <c r="O3096" t="s">
        <v>24</v>
      </c>
      <c r="P3096">
        <f t="shared" si="147"/>
        <v>0</v>
      </c>
      <c r="Q3096" s="11">
        <f>IF(P3096=0,0,IFERROR(Q3095+G3096*M3096*IF(E3096="FUTURE",VLOOKUP(MID(I3096,2,2),[1]Futures!$A$2:$B$12,2),1),G3096*M3096*IF(E3096="FUTURE",VLOOKUP(MID(I3096,2,2),[1]Futures!$A$2:$B$12,2),1)))</f>
        <v>0</v>
      </c>
      <c r="R3096" s="12" t="str">
        <f>IFERROR(Q3096/P3096/IF(E3096="FUTURE",VLOOKUP(MID(I3096,2,2),[1]Futures!$A$2:$B$12,2),1),"")</f>
        <v/>
      </c>
      <c r="S3096" s="13">
        <f>IF(AND(H3096="TO CLOSE",P3096=0),-G3096*(M3096-R3095)*IF(E3096="FUTURE",VLOOKUP(MID(I3096,2,2),[1]Futures!$A$2:$B$12,2),1),"")</f>
        <v>25.440000000000396</v>
      </c>
    </row>
    <row r="3097" spans="1:19" x14ac:dyDescent="0.2">
      <c r="A3097">
        <f t="shared" si="146"/>
        <v>993</v>
      </c>
      <c r="B3097" s="3">
        <v>44140</v>
      </c>
      <c r="C3097" s="3" t="str">
        <f t="shared" si="145"/>
        <v>Thursday</v>
      </c>
      <c r="D3097" s="2">
        <v>0.37515046296296295</v>
      </c>
      <c r="E3097" t="s">
        <v>14</v>
      </c>
      <c r="F3097" t="s">
        <v>15</v>
      </c>
      <c r="G3097">
        <v>-1</v>
      </c>
      <c r="H3097" t="s">
        <v>20</v>
      </c>
      <c r="I3097" t="s">
        <v>86</v>
      </c>
      <c r="J3097" s="1">
        <v>44185</v>
      </c>
      <c r="L3097" t="s">
        <v>14</v>
      </c>
      <c r="M3097">
        <v>39</v>
      </c>
      <c r="N3097">
        <v>39</v>
      </c>
      <c r="O3097" t="s">
        <v>21</v>
      </c>
      <c r="P3097">
        <f t="shared" si="147"/>
        <v>-1</v>
      </c>
      <c r="Q3097" s="11">
        <f>IF(P3097=0,0,IFERROR(Q3096+G3097*M3097*IF(E3097="FUTURE",VLOOKUP(MID(I3097,2,2),[1]Futures!$A$2:$B$12,2),1),G3097*M3097*IF(E3097="FUTURE",VLOOKUP(MID(I3097,2,2),[1]Futures!$A$2:$B$12,2),1)))</f>
        <v>-39000</v>
      </c>
      <c r="R3097" s="12">
        <f>IFERROR(Q3097/P3097/IF(E3097="FUTURE",VLOOKUP(MID(I3097,2,2),[1]Futures!$A$2:$B$12,2),1),"")</f>
        <v>39</v>
      </c>
      <c r="S3097" s="13" t="str">
        <f>IF(AND(H3097="TO CLOSE",P3097=0),-G3097*(M3097-R3096)*IF(E3097="FUTURE",VLOOKUP(MID(I3097,2,2),[1]Futures!$A$2:$B$12,2),1),"")</f>
        <v/>
      </c>
    </row>
    <row r="3098" spans="1:19" x14ac:dyDescent="0.2">
      <c r="A3098">
        <f t="shared" si="146"/>
        <v>993</v>
      </c>
      <c r="B3098" s="3">
        <v>44140</v>
      </c>
      <c r="C3098" s="3" t="str">
        <f t="shared" si="145"/>
        <v>Thursday</v>
      </c>
      <c r="D3098" s="2">
        <v>0.39186342592592593</v>
      </c>
      <c r="E3098" t="s">
        <v>14</v>
      </c>
      <c r="F3098" t="s">
        <v>19</v>
      </c>
      <c r="G3098">
        <v>1</v>
      </c>
      <c r="H3098" t="s">
        <v>16</v>
      </c>
      <c r="I3098" t="s">
        <v>86</v>
      </c>
      <c r="J3098" s="1">
        <v>44185</v>
      </c>
      <c r="L3098" t="s">
        <v>14</v>
      </c>
      <c r="M3098">
        <v>38.89</v>
      </c>
      <c r="N3098">
        <v>38.89</v>
      </c>
      <c r="O3098" t="s">
        <v>21</v>
      </c>
      <c r="P3098">
        <f t="shared" si="147"/>
        <v>0</v>
      </c>
      <c r="Q3098" s="11">
        <f>IF(P3098=0,0,IFERROR(Q3097+G3098*M3098*IF(E3098="FUTURE",VLOOKUP(MID(I3098,2,2),[1]Futures!$A$2:$B$12,2),1),G3098*M3098*IF(E3098="FUTURE",VLOOKUP(MID(I3098,2,2),[1]Futures!$A$2:$B$12,2),1)))</f>
        <v>0</v>
      </c>
      <c r="R3098" s="12" t="str">
        <f>IFERROR(Q3098/P3098/IF(E3098="FUTURE",VLOOKUP(MID(I3098,2,2),[1]Futures!$A$2:$B$12,2),1),"")</f>
        <v/>
      </c>
      <c r="S3098" s="13">
        <f>IF(AND(H3098="TO CLOSE",P3098=0),-G3098*(M3098-R3097)*IF(E3098="FUTURE",VLOOKUP(MID(I3098,2,2),[1]Futures!$A$2:$B$12,2),1),"")</f>
        <v>109.99999999999943</v>
      </c>
    </row>
    <row r="3099" spans="1:19" x14ac:dyDescent="0.2">
      <c r="A3099">
        <f t="shared" si="146"/>
        <v>994</v>
      </c>
      <c r="B3099" s="3">
        <v>44140</v>
      </c>
      <c r="C3099" s="3" t="str">
        <f t="shared" si="145"/>
        <v>Thursday</v>
      </c>
      <c r="D3099" s="2">
        <v>0.51458333333333328</v>
      </c>
      <c r="E3099" t="s">
        <v>14</v>
      </c>
      <c r="F3099" t="s">
        <v>19</v>
      </c>
      <c r="G3099">
        <v>1</v>
      </c>
      <c r="H3099" t="s">
        <v>20</v>
      </c>
      <c r="I3099" t="s">
        <v>86</v>
      </c>
      <c r="J3099" s="1">
        <v>44185</v>
      </c>
      <c r="L3099" t="s">
        <v>14</v>
      </c>
      <c r="M3099">
        <v>38.590000000000003</v>
      </c>
      <c r="N3099">
        <v>38.590000000000003</v>
      </c>
      <c r="O3099" t="s">
        <v>21</v>
      </c>
      <c r="P3099">
        <f t="shared" si="147"/>
        <v>1</v>
      </c>
      <c r="Q3099" s="11">
        <f>IF(P3099=0,0,IFERROR(Q3098+G3099*M3099*IF(E3099="FUTURE",VLOOKUP(MID(I3099,2,2),[1]Futures!$A$2:$B$12,2),1),G3099*M3099*IF(E3099="FUTURE",VLOOKUP(MID(I3099,2,2),[1]Futures!$A$2:$B$12,2),1)))</f>
        <v>38590</v>
      </c>
      <c r="R3099" s="12">
        <f>IFERROR(Q3099/P3099/IF(E3099="FUTURE",VLOOKUP(MID(I3099,2,2),[1]Futures!$A$2:$B$12,2),1),"")</f>
        <v>38.590000000000003</v>
      </c>
      <c r="S3099" s="13" t="str">
        <f>IF(AND(H3099="TO CLOSE",P3099=0),-G3099*(M3099-R3098)*IF(E3099="FUTURE",VLOOKUP(MID(I3099,2,2),[1]Futures!$A$2:$B$12,2),1),"")</f>
        <v/>
      </c>
    </row>
    <row r="3100" spans="1:19" x14ac:dyDescent="0.2">
      <c r="A3100">
        <f t="shared" si="146"/>
        <v>994</v>
      </c>
      <c r="B3100" s="3">
        <v>44140</v>
      </c>
      <c r="C3100" s="3" t="str">
        <f t="shared" si="145"/>
        <v>Thursday</v>
      </c>
      <c r="D3100" s="2">
        <v>0.51565972222222223</v>
      </c>
      <c r="E3100" t="s">
        <v>14</v>
      </c>
      <c r="F3100" t="s">
        <v>15</v>
      </c>
      <c r="G3100">
        <v>-1</v>
      </c>
      <c r="H3100" t="s">
        <v>16</v>
      </c>
      <c r="I3100" t="s">
        <v>86</v>
      </c>
      <c r="J3100" s="1">
        <v>44185</v>
      </c>
      <c r="L3100" t="s">
        <v>14</v>
      </c>
      <c r="M3100">
        <v>38.64</v>
      </c>
      <c r="N3100">
        <v>38.64</v>
      </c>
      <c r="O3100" t="s">
        <v>21</v>
      </c>
      <c r="P3100">
        <f t="shared" si="147"/>
        <v>0</v>
      </c>
      <c r="Q3100" s="11">
        <f>IF(P3100=0,0,IFERROR(Q3099+G3100*M3100*IF(E3100="FUTURE",VLOOKUP(MID(I3100,2,2),[1]Futures!$A$2:$B$12,2),1),G3100*M3100*IF(E3100="FUTURE",VLOOKUP(MID(I3100,2,2),[1]Futures!$A$2:$B$12,2),1)))</f>
        <v>0</v>
      </c>
      <c r="R3100" s="12" t="str">
        <f>IFERROR(Q3100/P3100/IF(E3100="FUTURE",VLOOKUP(MID(I3100,2,2),[1]Futures!$A$2:$B$12,2),1),"")</f>
        <v/>
      </c>
      <c r="S3100" s="13">
        <f>IF(AND(H3100="TO CLOSE",P3100=0),-G3100*(M3100-R3099)*IF(E3100="FUTURE",VLOOKUP(MID(I3100,2,2),[1]Futures!$A$2:$B$12,2),1),"")</f>
        <v>49.999999999997158</v>
      </c>
    </row>
    <row r="3101" spans="1:19" x14ac:dyDescent="0.2">
      <c r="A3101">
        <f t="shared" si="146"/>
        <v>995</v>
      </c>
      <c r="B3101" s="3">
        <v>44140</v>
      </c>
      <c r="C3101" s="3" t="str">
        <f t="shared" si="145"/>
        <v>Thursday</v>
      </c>
      <c r="D3101" s="2">
        <v>0.5194212962962963</v>
      </c>
      <c r="E3101" t="s">
        <v>14</v>
      </c>
      <c r="F3101" t="s">
        <v>19</v>
      </c>
      <c r="G3101">
        <v>1</v>
      </c>
      <c r="H3101" t="s">
        <v>20</v>
      </c>
      <c r="I3101" t="s">
        <v>86</v>
      </c>
      <c r="J3101" s="1">
        <v>44185</v>
      </c>
      <c r="L3101" t="s">
        <v>14</v>
      </c>
      <c r="M3101">
        <v>38.619999999999997</v>
      </c>
      <c r="N3101">
        <v>38.619999999999997</v>
      </c>
      <c r="O3101" t="s">
        <v>24</v>
      </c>
      <c r="P3101">
        <f t="shared" si="147"/>
        <v>1</v>
      </c>
      <c r="Q3101" s="11">
        <f>IF(P3101=0,0,IFERROR(Q3100+G3101*M3101*IF(E3101="FUTURE",VLOOKUP(MID(I3101,2,2),[1]Futures!$A$2:$B$12,2),1),G3101*M3101*IF(E3101="FUTURE",VLOOKUP(MID(I3101,2,2),[1]Futures!$A$2:$B$12,2),1)))</f>
        <v>38620</v>
      </c>
      <c r="R3101" s="12">
        <f>IFERROR(Q3101/P3101/IF(E3101="FUTURE",VLOOKUP(MID(I3101,2,2),[1]Futures!$A$2:$B$12,2),1),"")</f>
        <v>38.619999999999997</v>
      </c>
      <c r="S3101" s="13" t="str">
        <f>IF(AND(H3101="TO CLOSE",P3101=0),-G3101*(M3101-R3100)*IF(E3101="FUTURE",VLOOKUP(MID(I3101,2,2),[1]Futures!$A$2:$B$12,2),1),"")</f>
        <v/>
      </c>
    </row>
    <row r="3102" spans="1:19" x14ac:dyDescent="0.2">
      <c r="A3102">
        <f t="shared" si="146"/>
        <v>995</v>
      </c>
      <c r="B3102" s="3">
        <v>44140</v>
      </c>
      <c r="C3102" s="3" t="str">
        <f t="shared" si="145"/>
        <v>Thursday</v>
      </c>
      <c r="D3102" s="2">
        <v>0.52494212962962961</v>
      </c>
      <c r="E3102" t="s">
        <v>14</v>
      </c>
      <c r="F3102" t="s">
        <v>19</v>
      </c>
      <c r="G3102">
        <v>1</v>
      </c>
      <c r="H3102" t="s">
        <v>20</v>
      </c>
      <c r="I3102" t="s">
        <v>86</v>
      </c>
      <c r="J3102" s="1">
        <v>44185</v>
      </c>
      <c r="L3102" t="s">
        <v>14</v>
      </c>
      <c r="M3102">
        <v>38.5</v>
      </c>
      <c r="N3102">
        <v>38.5</v>
      </c>
      <c r="O3102" t="s">
        <v>21</v>
      </c>
      <c r="P3102">
        <f t="shared" si="147"/>
        <v>2</v>
      </c>
      <c r="Q3102" s="11">
        <f>IF(P3102=0,0,IFERROR(Q3101+G3102*M3102*IF(E3102="FUTURE",VLOOKUP(MID(I3102,2,2),[1]Futures!$A$2:$B$12,2),1),G3102*M3102*IF(E3102="FUTURE",VLOOKUP(MID(I3102,2,2),[1]Futures!$A$2:$B$12,2),1)))</f>
        <v>77120</v>
      </c>
      <c r="R3102" s="12">
        <f>IFERROR(Q3102/P3102/IF(E3102="FUTURE",VLOOKUP(MID(I3102,2,2),[1]Futures!$A$2:$B$12,2),1),"")</f>
        <v>38.56</v>
      </c>
      <c r="S3102" s="13" t="str">
        <f>IF(AND(H3102="TO CLOSE",P3102=0),-G3102*(M3102-R3101)*IF(E3102="FUTURE",VLOOKUP(MID(I3102,2,2),[1]Futures!$A$2:$B$12,2),1),"")</f>
        <v/>
      </c>
    </row>
    <row r="3103" spans="1:19" x14ac:dyDescent="0.2">
      <c r="A3103">
        <f t="shared" si="146"/>
        <v>995</v>
      </c>
      <c r="B3103" s="3">
        <v>44140</v>
      </c>
      <c r="C3103" s="3" t="str">
        <f t="shared" si="145"/>
        <v>Thursday</v>
      </c>
      <c r="D3103" s="2">
        <v>0.52601851851851855</v>
      </c>
      <c r="E3103" t="s">
        <v>14</v>
      </c>
      <c r="F3103" t="s">
        <v>15</v>
      </c>
      <c r="G3103">
        <v>-1</v>
      </c>
      <c r="H3103" t="s">
        <v>16</v>
      </c>
      <c r="I3103" t="s">
        <v>86</v>
      </c>
      <c r="J3103" s="1">
        <v>44185</v>
      </c>
      <c r="L3103" t="s">
        <v>14</v>
      </c>
      <c r="M3103">
        <v>38.58</v>
      </c>
      <c r="N3103">
        <v>38.58</v>
      </c>
      <c r="O3103" t="s">
        <v>21</v>
      </c>
      <c r="P3103">
        <f t="shared" si="147"/>
        <v>1</v>
      </c>
      <c r="Q3103" s="11">
        <f>IF(P3103=0,0,IFERROR(Q3102+G3103*M3103*IF(E3103="FUTURE",VLOOKUP(MID(I3103,2,2),[1]Futures!$A$2:$B$12,2),1),G3103*M3103*IF(E3103="FUTURE",VLOOKUP(MID(I3103,2,2),[1]Futures!$A$2:$B$12,2),1)))</f>
        <v>38540</v>
      </c>
      <c r="R3103" s="12">
        <f>IFERROR(Q3103/P3103/IF(E3103="FUTURE",VLOOKUP(MID(I3103,2,2),[1]Futures!$A$2:$B$12,2),1),"")</f>
        <v>38.54</v>
      </c>
      <c r="S3103" s="13" t="str">
        <f>IF(AND(H3103="TO CLOSE",P3103=0),-G3103*(M3103-R3102)*IF(E3103="FUTURE",VLOOKUP(MID(I3103,2,2),[1]Futures!$A$2:$B$12,2),1),"")</f>
        <v/>
      </c>
    </row>
    <row r="3104" spans="1:19" x14ac:dyDescent="0.2">
      <c r="A3104">
        <f t="shared" si="146"/>
        <v>995</v>
      </c>
      <c r="B3104" s="3">
        <v>44140</v>
      </c>
      <c r="C3104" s="3" t="str">
        <f t="shared" si="145"/>
        <v>Thursday</v>
      </c>
      <c r="D3104" s="2">
        <v>0.52732638888888894</v>
      </c>
      <c r="E3104" t="s">
        <v>14</v>
      </c>
      <c r="F3104" t="s">
        <v>15</v>
      </c>
      <c r="G3104">
        <v>-1</v>
      </c>
      <c r="H3104" t="s">
        <v>16</v>
      </c>
      <c r="I3104" t="s">
        <v>86</v>
      </c>
      <c r="J3104" s="1">
        <v>44185</v>
      </c>
      <c r="L3104" t="s">
        <v>14</v>
      </c>
      <c r="M3104">
        <v>38.61</v>
      </c>
      <c r="N3104">
        <v>38.61</v>
      </c>
      <c r="O3104" t="s">
        <v>24</v>
      </c>
      <c r="P3104">
        <f t="shared" si="147"/>
        <v>0</v>
      </c>
      <c r="Q3104" s="11">
        <f>IF(P3104=0,0,IFERROR(Q3103+G3104*M3104*IF(E3104="FUTURE",VLOOKUP(MID(I3104,2,2),[1]Futures!$A$2:$B$12,2),1),G3104*M3104*IF(E3104="FUTURE",VLOOKUP(MID(I3104,2,2),[1]Futures!$A$2:$B$12,2),1)))</f>
        <v>0</v>
      </c>
      <c r="R3104" s="12" t="str">
        <f>IFERROR(Q3104/P3104/IF(E3104="FUTURE",VLOOKUP(MID(I3104,2,2),[1]Futures!$A$2:$B$12,2),1),"")</f>
        <v/>
      </c>
      <c r="S3104" s="13">
        <f>IF(AND(H3104="TO CLOSE",P3104=0),-G3104*(M3104-R3103)*IF(E3104="FUTURE",VLOOKUP(MID(I3104,2,2),[1]Futures!$A$2:$B$12,2),1),"")</f>
        <v>70.000000000000284</v>
      </c>
    </row>
    <row r="3105" spans="1:19" x14ac:dyDescent="0.2">
      <c r="A3105">
        <f t="shared" si="146"/>
        <v>996</v>
      </c>
      <c r="B3105" s="3">
        <v>44140</v>
      </c>
      <c r="C3105" s="3" t="str">
        <f t="shared" si="145"/>
        <v>Thursday</v>
      </c>
      <c r="D3105" s="2">
        <v>0.36439814814814814</v>
      </c>
      <c r="E3105" t="s">
        <v>14</v>
      </c>
      <c r="F3105" t="s">
        <v>15</v>
      </c>
      <c r="G3105">
        <v>-1</v>
      </c>
      <c r="H3105" t="s">
        <v>20</v>
      </c>
      <c r="I3105" t="s">
        <v>85</v>
      </c>
      <c r="J3105" s="1">
        <v>44185</v>
      </c>
      <c r="L3105" t="s">
        <v>14</v>
      </c>
      <c r="M3105">
        <v>3495.75</v>
      </c>
      <c r="N3105">
        <v>3495.75</v>
      </c>
      <c r="O3105" t="s">
        <v>24</v>
      </c>
      <c r="P3105">
        <f t="shared" si="147"/>
        <v>-1</v>
      </c>
      <c r="Q3105" s="11">
        <f>IF(P3105=0,0,IFERROR(Q3104+G3105*M3105*IF(E3105="FUTURE",VLOOKUP(MID(I3105,2,2),[1]Futures!$A$2:$B$12,2),1),G3105*M3105*IF(E3105="FUTURE",VLOOKUP(MID(I3105,2,2),[1]Futures!$A$2:$B$12,2),1)))</f>
        <v>-174787.5</v>
      </c>
      <c r="R3105" s="12">
        <f>IFERROR(Q3105/P3105/IF(E3105="FUTURE",VLOOKUP(MID(I3105,2,2),[1]Futures!$A$2:$B$12,2),1),"")</f>
        <v>3495.75</v>
      </c>
      <c r="S3105" s="13" t="str">
        <f>IF(AND(H3105="TO CLOSE",P3105=0),-G3105*(M3105-R3104)*IF(E3105="FUTURE",VLOOKUP(MID(I3105,2,2),[1]Futures!$A$2:$B$12,2),1),"")</f>
        <v/>
      </c>
    </row>
    <row r="3106" spans="1:19" x14ac:dyDescent="0.2">
      <c r="A3106">
        <f t="shared" si="146"/>
        <v>996</v>
      </c>
      <c r="B3106" s="3">
        <v>44140</v>
      </c>
      <c r="C3106" s="3" t="str">
        <f t="shared" ref="C3106:C3169" si="148">IF(WEEKDAY(B3106,2)=1,"Monday",IF(WEEKDAY(B3106,2)=2,"Tuesday",IF(WEEKDAY(B3106,2)=3,"Wednesday",IF(WEEKDAY(B3106,2)=4,"Thursday",IF(WEEKDAY(B3106,2)=5,"Friday","Sunday")))))</f>
        <v>Thursday</v>
      </c>
      <c r="D3106" s="2">
        <v>0.37432870370370369</v>
      </c>
      <c r="E3106" t="s">
        <v>14</v>
      </c>
      <c r="F3106" t="s">
        <v>19</v>
      </c>
      <c r="G3106">
        <v>1</v>
      </c>
      <c r="H3106" t="s">
        <v>16</v>
      </c>
      <c r="I3106" t="s">
        <v>85</v>
      </c>
      <c r="J3106" s="1">
        <v>44185</v>
      </c>
      <c r="L3106" t="s">
        <v>14</v>
      </c>
      <c r="M3106">
        <v>3495.5</v>
      </c>
      <c r="N3106">
        <v>3495.5</v>
      </c>
      <c r="O3106" t="s">
        <v>18</v>
      </c>
      <c r="P3106">
        <f t="shared" si="147"/>
        <v>0</v>
      </c>
      <c r="Q3106" s="11">
        <f>IF(P3106=0,0,IFERROR(Q3105+G3106*M3106*IF(E3106="FUTURE",VLOOKUP(MID(I3106,2,2),[1]Futures!$A$2:$B$12,2),1),G3106*M3106*IF(E3106="FUTURE",VLOOKUP(MID(I3106,2,2),[1]Futures!$A$2:$B$12,2),1)))</f>
        <v>0</v>
      </c>
      <c r="R3106" s="12" t="str">
        <f>IFERROR(Q3106/P3106/IF(E3106="FUTURE",VLOOKUP(MID(I3106,2,2),[1]Futures!$A$2:$B$12,2),1),"")</f>
        <v/>
      </c>
      <c r="S3106" s="13">
        <f>IF(AND(H3106="TO CLOSE",P3106=0),-G3106*(M3106-R3105)*IF(E3106="FUTURE",VLOOKUP(MID(I3106,2,2),[1]Futures!$A$2:$B$12,2),1),"")</f>
        <v>12.5</v>
      </c>
    </row>
    <row r="3107" spans="1:19" x14ac:dyDescent="0.2">
      <c r="A3107">
        <f t="shared" si="146"/>
        <v>997</v>
      </c>
      <c r="B3107" s="3">
        <v>44140</v>
      </c>
      <c r="C3107" s="3" t="str">
        <f t="shared" si="148"/>
        <v>Thursday</v>
      </c>
      <c r="D3107" s="2">
        <v>0.41696759259259258</v>
      </c>
      <c r="E3107" t="s">
        <v>14</v>
      </c>
      <c r="F3107" t="s">
        <v>15</v>
      </c>
      <c r="G3107">
        <v>-1</v>
      </c>
      <c r="H3107" t="s">
        <v>20</v>
      </c>
      <c r="I3107" t="s">
        <v>85</v>
      </c>
      <c r="J3107" s="1">
        <v>44185</v>
      </c>
      <c r="L3107" t="s">
        <v>14</v>
      </c>
      <c r="M3107">
        <v>3499.25</v>
      </c>
      <c r="N3107">
        <v>3499.25</v>
      </c>
      <c r="O3107" t="s">
        <v>21</v>
      </c>
      <c r="P3107">
        <f t="shared" si="147"/>
        <v>-1</v>
      </c>
      <c r="Q3107" s="11">
        <f>IF(P3107=0,0,IFERROR(Q3106+G3107*M3107*IF(E3107="FUTURE",VLOOKUP(MID(I3107,2,2),[1]Futures!$A$2:$B$12,2),1),G3107*M3107*IF(E3107="FUTURE",VLOOKUP(MID(I3107,2,2),[1]Futures!$A$2:$B$12,2),1)))</f>
        <v>-174962.5</v>
      </c>
      <c r="R3107" s="12">
        <f>IFERROR(Q3107/P3107/IF(E3107="FUTURE",VLOOKUP(MID(I3107,2,2),[1]Futures!$A$2:$B$12,2),1),"")</f>
        <v>3499.25</v>
      </c>
      <c r="S3107" s="13" t="str">
        <f>IF(AND(H3107="TO CLOSE",P3107=0),-G3107*(M3107-R3106)*IF(E3107="FUTURE",VLOOKUP(MID(I3107,2,2),[1]Futures!$A$2:$B$12,2),1),"")</f>
        <v/>
      </c>
    </row>
    <row r="3108" spans="1:19" x14ac:dyDescent="0.2">
      <c r="A3108">
        <f t="shared" si="146"/>
        <v>997</v>
      </c>
      <c r="B3108" s="3">
        <v>44140</v>
      </c>
      <c r="C3108" s="3" t="str">
        <f t="shared" si="148"/>
        <v>Thursday</v>
      </c>
      <c r="D3108" s="2">
        <v>0.5120717592592593</v>
      </c>
      <c r="E3108" t="s">
        <v>14</v>
      </c>
      <c r="F3108" t="s">
        <v>19</v>
      </c>
      <c r="G3108">
        <v>1</v>
      </c>
      <c r="H3108" t="s">
        <v>16</v>
      </c>
      <c r="I3108" t="s">
        <v>85</v>
      </c>
      <c r="J3108" s="1">
        <v>44185</v>
      </c>
      <c r="L3108" t="s">
        <v>14</v>
      </c>
      <c r="M3108">
        <v>3499</v>
      </c>
      <c r="N3108">
        <v>3499</v>
      </c>
      <c r="O3108" t="s">
        <v>21</v>
      </c>
      <c r="P3108">
        <f t="shared" si="147"/>
        <v>0</v>
      </c>
      <c r="Q3108" s="11">
        <f>IF(P3108=0,0,IFERROR(Q3107+G3108*M3108*IF(E3108="FUTURE",VLOOKUP(MID(I3108,2,2),[1]Futures!$A$2:$B$12,2),1),G3108*M3108*IF(E3108="FUTURE",VLOOKUP(MID(I3108,2,2),[1]Futures!$A$2:$B$12,2),1)))</f>
        <v>0</v>
      </c>
      <c r="R3108" s="12" t="str">
        <f>IFERROR(Q3108/P3108/IF(E3108="FUTURE",VLOOKUP(MID(I3108,2,2),[1]Futures!$A$2:$B$12,2),1),"")</f>
        <v/>
      </c>
      <c r="S3108" s="13">
        <f>IF(AND(H3108="TO CLOSE",P3108=0),-G3108*(M3108-R3107)*IF(E3108="FUTURE",VLOOKUP(MID(I3108,2,2),[1]Futures!$A$2:$B$12,2),1),"")</f>
        <v>12.5</v>
      </c>
    </row>
    <row r="3109" spans="1:19" x14ac:dyDescent="0.2">
      <c r="A3109">
        <f t="shared" si="146"/>
        <v>998</v>
      </c>
      <c r="B3109" s="3">
        <v>44140</v>
      </c>
      <c r="C3109" s="3" t="str">
        <f t="shared" si="148"/>
        <v>Thursday</v>
      </c>
      <c r="D3109" s="2">
        <v>0.62711805555555555</v>
      </c>
      <c r="E3109" t="s">
        <v>14</v>
      </c>
      <c r="F3109" t="s">
        <v>15</v>
      </c>
      <c r="G3109">
        <v>-1</v>
      </c>
      <c r="H3109" t="s">
        <v>20</v>
      </c>
      <c r="I3109" t="s">
        <v>85</v>
      </c>
      <c r="J3109" s="1">
        <v>44185</v>
      </c>
      <c r="L3109" t="s">
        <v>14</v>
      </c>
      <c r="M3109">
        <v>3517.5</v>
      </c>
      <c r="N3109">
        <v>3517.5</v>
      </c>
      <c r="O3109" t="s">
        <v>21</v>
      </c>
      <c r="P3109">
        <f t="shared" si="147"/>
        <v>-1</v>
      </c>
      <c r="Q3109" s="11">
        <f>IF(P3109=0,0,IFERROR(Q3108+G3109*M3109*IF(E3109="FUTURE",VLOOKUP(MID(I3109,2,2),[1]Futures!$A$2:$B$12,2),1),G3109*M3109*IF(E3109="FUTURE",VLOOKUP(MID(I3109,2,2),[1]Futures!$A$2:$B$12,2),1)))</f>
        <v>-175875</v>
      </c>
      <c r="R3109" s="12">
        <f>IFERROR(Q3109/P3109/IF(E3109="FUTURE",VLOOKUP(MID(I3109,2,2),[1]Futures!$A$2:$B$12,2),1),"")</f>
        <v>3517.5</v>
      </c>
      <c r="S3109" s="13" t="str">
        <f>IF(AND(H3109="TO CLOSE",P3109=0),-G3109*(M3109-R3108)*IF(E3109="FUTURE",VLOOKUP(MID(I3109,2,2),[1]Futures!$A$2:$B$12,2),1),"")</f>
        <v/>
      </c>
    </row>
    <row r="3110" spans="1:19" x14ac:dyDescent="0.2">
      <c r="A3110">
        <f t="shared" si="146"/>
        <v>998</v>
      </c>
      <c r="B3110" s="3">
        <v>44140</v>
      </c>
      <c r="C3110" s="3" t="str">
        <f t="shared" si="148"/>
        <v>Thursday</v>
      </c>
      <c r="D3110" s="2">
        <v>0.63104166666666661</v>
      </c>
      <c r="E3110" t="s">
        <v>14</v>
      </c>
      <c r="F3110" t="s">
        <v>19</v>
      </c>
      <c r="G3110">
        <v>1</v>
      </c>
      <c r="H3110" t="s">
        <v>16</v>
      </c>
      <c r="I3110" t="s">
        <v>85</v>
      </c>
      <c r="J3110" s="1">
        <v>44185</v>
      </c>
      <c r="L3110" t="s">
        <v>14</v>
      </c>
      <c r="M3110">
        <v>3513.75</v>
      </c>
      <c r="N3110">
        <v>3513.75</v>
      </c>
      <c r="O3110" t="s">
        <v>21</v>
      </c>
      <c r="P3110">
        <f t="shared" si="147"/>
        <v>0</v>
      </c>
      <c r="Q3110" s="11">
        <f>IF(P3110=0,0,IFERROR(Q3109+G3110*M3110*IF(E3110="FUTURE",VLOOKUP(MID(I3110,2,2),[1]Futures!$A$2:$B$12,2),1),G3110*M3110*IF(E3110="FUTURE",VLOOKUP(MID(I3110,2,2),[1]Futures!$A$2:$B$12,2),1)))</f>
        <v>0</v>
      </c>
      <c r="R3110" s="12" t="str">
        <f>IFERROR(Q3110/P3110/IF(E3110="FUTURE",VLOOKUP(MID(I3110,2,2),[1]Futures!$A$2:$B$12,2),1),"")</f>
        <v/>
      </c>
      <c r="S3110" s="13">
        <f>IF(AND(H3110="TO CLOSE",P3110=0),-G3110*(M3110-R3109)*IF(E3110="FUTURE",VLOOKUP(MID(I3110,2,2),[1]Futures!$A$2:$B$12,2),1),"")</f>
        <v>187.5</v>
      </c>
    </row>
    <row r="3111" spans="1:19" x14ac:dyDescent="0.2">
      <c r="A3111">
        <f t="shared" si="146"/>
        <v>999</v>
      </c>
      <c r="B3111" s="3">
        <v>44140</v>
      </c>
      <c r="C3111" s="3" t="str">
        <f t="shared" si="148"/>
        <v>Thursday</v>
      </c>
      <c r="D3111" s="2">
        <v>0.40991898148148148</v>
      </c>
      <c r="E3111" t="s">
        <v>22</v>
      </c>
      <c r="F3111" t="s">
        <v>19</v>
      </c>
      <c r="G3111">
        <v>200</v>
      </c>
      <c r="H3111" t="s">
        <v>20</v>
      </c>
      <c r="I3111" t="s">
        <v>23</v>
      </c>
      <c r="L3111" t="s">
        <v>22</v>
      </c>
      <c r="M3111">
        <v>21.618099999999998</v>
      </c>
      <c r="N3111">
        <v>21.618099999999998</v>
      </c>
      <c r="O3111" t="s">
        <v>24</v>
      </c>
      <c r="P3111">
        <f t="shared" si="147"/>
        <v>200</v>
      </c>
      <c r="Q3111" s="11">
        <f>IF(P3111=0,0,IFERROR(Q3110+G3111*M3111*IF(E3111="FUTURE",VLOOKUP(MID(I3111,2,2),[1]Futures!$A$2:$B$12,2),1),G3111*M3111*IF(E3111="FUTURE",VLOOKUP(MID(I3111,2,2),[1]Futures!$A$2:$B$12,2),1)))</f>
        <v>4323.62</v>
      </c>
      <c r="R3111" s="12">
        <f>IFERROR(Q3111/P3111/IF(E3111="FUTURE",VLOOKUP(MID(I3111,2,2),[1]Futures!$A$2:$B$12,2),1),"")</f>
        <v>21.618099999999998</v>
      </c>
      <c r="S3111" s="13" t="str">
        <f>IF(AND(H3111="TO CLOSE",P3111=0),-G3111*(M3111-R3110)*IF(E3111="FUTURE",VLOOKUP(MID(I3111,2,2),[1]Futures!$A$2:$B$12,2),1),"")</f>
        <v/>
      </c>
    </row>
    <row r="3112" spans="1:19" x14ac:dyDescent="0.2">
      <c r="A3112">
        <f t="shared" si="146"/>
        <v>999</v>
      </c>
      <c r="B3112" s="3">
        <v>44140</v>
      </c>
      <c r="C3112" s="3" t="str">
        <f t="shared" si="148"/>
        <v>Thursday</v>
      </c>
      <c r="D3112" s="2">
        <v>0.41715277777777776</v>
      </c>
      <c r="E3112" t="s">
        <v>22</v>
      </c>
      <c r="F3112" t="s">
        <v>19</v>
      </c>
      <c r="G3112">
        <v>100</v>
      </c>
      <c r="H3112" t="s">
        <v>20</v>
      </c>
      <c r="I3112" t="s">
        <v>23</v>
      </c>
      <c r="L3112" t="s">
        <v>22</v>
      </c>
      <c r="M3112">
        <v>21.5</v>
      </c>
      <c r="N3112">
        <v>21.5</v>
      </c>
      <c r="O3112" t="s">
        <v>21</v>
      </c>
      <c r="P3112">
        <f t="shared" si="147"/>
        <v>300</v>
      </c>
      <c r="Q3112" s="11">
        <f>IF(P3112=0,0,IFERROR(Q3111+G3112*M3112*IF(E3112="FUTURE",VLOOKUP(MID(I3112,2,2),[1]Futures!$A$2:$B$12,2),1),G3112*M3112*IF(E3112="FUTURE",VLOOKUP(MID(I3112,2,2),[1]Futures!$A$2:$B$12,2),1)))</f>
        <v>6473.62</v>
      </c>
      <c r="R3112" s="12">
        <f>IFERROR(Q3112/P3112/IF(E3112="FUTURE",VLOOKUP(MID(I3112,2,2),[1]Futures!$A$2:$B$12,2),1),"")</f>
        <v>21.578733333333332</v>
      </c>
      <c r="S3112" s="13" t="str">
        <f>IF(AND(H3112="TO CLOSE",P3112=0),-G3112*(M3112-R3111)*IF(E3112="FUTURE",VLOOKUP(MID(I3112,2,2),[1]Futures!$A$2:$B$12,2),1),"")</f>
        <v/>
      </c>
    </row>
    <row r="3113" spans="1:19" x14ac:dyDescent="0.2">
      <c r="A3113">
        <f t="shared" si="146"/>
        <v>999</v>
      </c>
      <c r="B3113" s="3">
        <v>44140</v>
      </c>
      <c r="C3113" s="3" t="str">
        <f t="shared" si="148"/>
        <v>Thursday</v>
      </c>
      <c r="D3113" s="2">
        <v>0.44020833333333331</v>
      </c>
      <c r="E3113" t="s">
        <v>22</v>
      </c>
      <c r="F3113" t="s">
        <v>15</v>
      </c>
      <c r="G3113">
        <v>-100</v>
      </c>
      <c r="H3113" t="s">
        <v>16</v>
      </c>
      <c r="I3113" t="s">
        <v>23</v>
      </c>
      <c r="L3113" t="s">
        <v>22</v>
      </c>
      <c r="M3113">
        <v>21.64</v>
      </c>
      <c r="N3113">
        <v>21.64</v>
      </c>
      <c r="O3113" t="s">
        <v>21</v>
      </c>
      <c r="P3113">
        <f t="shared" si="147"/>
        <v>200</v>
      </c>
      <c r="Q3113" s="11">
        <f>IF(P3113=0,0,IFERROR(Q3112+G3113*M3113*IF(E3113="FUTURE",VLOOKUP(MID(I3113,2,2),[1]Futures!$A$2:$B$12,2),1),G3113*M3113*IF(E3113="FUTURE",VLOOKUP(MID(I3113,2,2),[1]Futures!$A$2:$B$12,2),1)))</f>
        <v>4309.62</v>
      </c>
      <c r="R3113" s="12">
        <f>IFERROR(Q3113/P3113/IF(E3113="FUTURE",VLOOKUP(MID(I3113,2,2),[1]Futures!$A$2:$B$12,2),1),"")</f>
        <v>21.548099999999998</v>
      </c>
      <c r="S3113" s="13" t="str">
        <f>IF(AND(H3113="TO CLOSE",P3113=0),-G3113*(M3113-R3112)*IF(E3113="FUTURE",VLOOKUP(MID(I3113,2,2),[1]Futures!$A$2:$B$12,2),1),"")</f>
        <v/>
      </c>
    </row>
    <row r="3114" spans="1:19" x14ac:dyDescent="0.2">
      <c r="A3114">
        <f t="shared" si="146"/>
        <v>999</v>
      </c>
      <c r="B3114" s="3">
        <v>44140</v>
      </c>
      <c r="C3114" s="3" t="str">
        <f t="shared" si="148"/>
        <v>Thursday</v>
      </c>
      <c r="D3114" s="2">
        <v>0.44275462962962964</v>
      </c>
      <c r="E3114" t="s">
        <v>22</v>
      </c>
      <c r="F3114" t="s">
        <v>15</v>
      </c>
      <c r="G3114">
        <v>-50</v>
      </c>
      <c r="H3114" t="s">
        <v>16</v>
      </c>
      <c r="I3114" t="s">
        <v>23</v>
      </c>
      <c r="L3114" t="s">
        <v>22</v>
      </c>
      <c r="M3114">
        <v>21.68</v>
      </c>
      <c r="N3114">
        <v>21.68</v>
      </c>
      <c r="O3114" t="s">
        <v>21</v>
      </c>
      <c r="P3114">
        <f t="shared" si="147"/>
        <v>150</v>
      </c>
      <c r="Q3114" s="11">
        <f>IF(P3114=0,0,IFERROR(Q3113+G3114*M3114*IF(E3114="FUTURE",VLOOKUP(MID(I3114,2,2),[1]Futures!$A$2:$B$12,2),1),G3114*M3114*IF(E3114="FUTURE",VLOOKUP(MID(I3114,2,2),[1]Futures!$A$2:$B$12,2),1)))</f>
        <v>3225.62</v>
      </c>
      <c r="R3114" s="12">
        <f>IFERROR(Q3114/P3114/IF(E3114="FUTURE",VLOOKUP(MID(I3114,2,2),[1]Futures!$A$2:$B$12,2),1),"")</f>
        <v>21.504133333333332</v>
      </c>
      <c r="S3114" s="13" t="str">
        <f>IF(AND(H3114="TO CLOSE",P3114=0),-G3114*(M3114-R3113)*IF(E3114="FUTURE",VLOOKUP(MID(I3114,2,2),[1]Futures!$A$2:$B$12,2),1),"")</f>
        <v/>
      </c>
    </row>
    <row r="3115" spans="1:19" x14ac:dyDescent="0.2">
      <c r="A3115">
        <f t="shared" si="146"/>
        <v>999</v>
      </c>
      <c r="B3115" s="3">
        <v>44140</v>
      </c>
      <c r="C3115" s="3" t="str">
        <f t="shared" si="148"/>
        <v>Thursday</v>
      </c>
      <c r="D3115" s="2">
        <v>0.44305555555555554</v>
      </c>
      <c r="E3115" t="s">
        <v>22</v>
      </c>
      <c r="F3115" t="s">
        <v>15</v>
      </c>
      <c r="G3115">
        <v>-50</v>
      </c>
      <c r="H3115" t="s">
        <v>16</v>
      </c>
      <c r="I3115" t="s">
        <v>23</v>
      </c>
      <c r="L3115" t="s">
        <v>22</v>
      </c>
      <c r="M3115">
        <v>21.7</v>
      </c>
      <c r="N3115">
        <v>21.7</v>
      </c>
      <c r="O3115" t="s">
        <v>21</v>
      </c>
      <c r="P3115">
        <f t="shared" si="147"/>
        <v>100</v>
      </c>
      <c r="Q3115" s="11">
        <f>IF(P3115=0,0,IFERROR(Q3114+G3115*M3115*IF(E3115="FUTURE",VLOOKUP(MID(I3115,2,2),[1]Futures!$A$2:$B$12,2),1),G3115*M3115*IF(E3115="FUTURE",VLOOKUP(MID(I3115,2,2),[1]Futures!$A$2:$B$12,2),1)))</f>
        <v>2140.62</v>
      </c>
      <c r="R3115" s="12">
        <f>IFERROR(Q3115/P3115/IF(E3115="FUTURE",VLOOKUP(MID(I3115,2,2),[1]Futures!$A$2:$B$12,2),1),"")</f>
        <v>21.406199999999998</v>
      </c>
      <c r="S3115" s="13" t="str">
        <f>IF(AND(H3115="TO CLOSE",P3115=0),-G3115*(M3115-R3114)*IF(E3115="FUTURE",VLOOKUP(MID(I3115,2,2),[1]Futures!$A$2:$B$12,2),1),"")</f>
        <v/>
      </c>
    </row>
    <row r="3116" spans="1:19" x14ac:dyDescent="0.2">
      <c r="A3116">
        <f t="shared" si="146"/>
        <v>999</v>
      </c>
      <c r="B3116" s="3">
        <v>44140</v>
      </c>
      <c r="C3116" s="3" t="str">
        <f t="shared" si="148"/>
        <v>Thursday</v>
      </c>
      <c r="D3116" s="2">
        <v>0.44361111111111112</v>
      </c>
      <c r="E3116" t="s">
        <v>22</v>
      </c>
      <c r="F3116" t="s">
        <v>15</v>
      </c>
      <c r="G3116">
        <v>-50</v>
      </c>
      <c r="H3116" t="s">
        <v>16</v>
      </c>
      <c r="I3116" t="s">
        <v>23</v>
      </c>
      <c r="L3116" t="s">
        <v>22</v>
      </c>
      <c r="M3116">
        <v>21.7319</v>
      </c>
      <c r="N3116">
        <v>21.731999999999999</v>
      </c>
      <c r="O3116" t="s">
        <v>24</v>
      </c>
      <c r="P3116">
        <f t="shared" si="147"/>
        <v>50</v>
      </c>
      <c r="Q3116" s="11">
        <f>IF(P3116=0,0,IFERROR(Q3115+G3116*M3116*IF(E3116="FUTURE",VLOOKUP(MID(I3116,2,2),[1]Futures!$A$2:$B$12,2),1),G3116*M3116*IF(E3116="FUTURE",VLOOKUP(MID(I3116,2,2),[1]Futures!$A$2:$B$12,2),1)))</f>
        <v>1054.0249999999999</v>
      </c>
      <c r="R3116" s="12">
        <f>IFERROR(Q3116/P3116/IF(E3116="FUTURE",VLOOKUP(MID(I3116,2,2),[1]Futures!$A$2:$B$12,2),1),"")</f>
        <v>21.080499999999997</v>
      </c>
      <c r="S3116" s="13" t="str">
        <f>IF(AND(H3116="TO CLOSE",P3116=0),-G3116*(M3116-R3115)*IF(E3116="FUTURE",VLOOKUP(MID(I3116,2,2),[1]Futures!$A$2:$B$12,2),1),"")</f>
        <v/>
      </c>
    </row>
    <row r="3117" spans="1:19" x14ac:dyDescent="0.2">
      <c r="A3117">
        <f t="shared" si="146"/>
        <v>999</v>
      </c>
      <c r="B3117" s="3">
        <v>44140</v>
      </c>
      <c r="C3117" s="3" t="str">
        <f t="shared" si="148"/>
        <v>Thursday</v>
      </c>
      <c r="D3117" s="2">
        <v>0.44399305555555557</v>
      </c>
      <c r="E3117" t="s">
        <v>22</v>
      </c>
      <c r="F3117" t="s">
        <v>15</v>
      </c>
      <c r="G3117">
        <v>-50</v>
      </c>
      <c r="H3117" t="s">
        <v>16</v>
      </c>
      <c r="I3117" t="s">
        <v>23</v>
      </c>
      <c r="L3117" t="s">
        <v>22</v>
      </c>
      <c r="M3117">
        <v>21.7501</v>
      </c>
      <c r="N3117">
        <v>21.75</v>
      </c>
      <c r="O3117" t="s">
        <v>24</v>
      </c>
      <c r="P3117">
        <f t="shared" si="147"/>
        <v>0</v>
      </c>
      <c r="Q3117" s="11">
        <f>IF(P3117=0,0,IFERROR(Q3116+G3117*M3117*IF(E3117="FUTURE",VLOOKUP(MID(I3117,2,2),[1]Futures!$A$2:$B$12,2),1),G3117*M3117*IF(E3117="FUTURE",VLOOKUP(MID(I3117,2,2),[1]Futures!$A$2:$B$12,2),1)))</f>
        <v>0</v>
      </c>
      <c r="R3117" s="12" t="str">
        <f>IFERROR(Q3117/P3117/IF(E3117="FUTURE",VLOOKUP(MID(I3117,2,2),[1]Futures!$A$2:$B$12,2),1),"")</f>
        <v/>
      </c>
      <c r="S3117" s="13">
        <f>IF(AND(H3117="TO CLOSE",P3117=0),-G3117*(M3117-R3116)*IF(E3117="FUTURE",VLOOKUP(MID(I3117,2,2),[1]Futures!$A$2:$B$12,2),1),"")</f>
        <v>33.480000000000132</v>
      </c>
    </row>
    <row r="3118" spans="1:19" x14ac:dyDescent="0.2">
      <c r="A3118">
        <f t="shared" si="146"/>
        <v>1000</v>
      </c>
      <c r="B3118" s="3">
        <v>44140</v>
      </c>
      <c r="C3118" s="3" t="str">
        <f t="shared" si="148"/>
        <v>Thursday</v>
      </c>
      <c r="D3118" s="2">
        <v>0.4491087962962963</v>
      </c>
      <c r="E3118" t="s">
        <v>22</v>
      </c>
      <c r="F3118" t="s">
        <v>19</v>
      </c>
      <c r="G3118">
        <v>200</v>
      </c>
      <c r="H3118" t="s">
        <v>20</v>
      </c>
      <c r="I3118" t="s">
        <v>23</v>
      </c>
      <c r="L3118" t="s">
        <v>22</v>
      </c>
      <c r="M3118">
        <v>21.658100000000001</v>
      </c>
      <c r="N3118">
        <v>21.658100000000001</v>
      </c>
      <c r="O3118" t="s">
        <v>24</v>
      </c>
      <c r="P3118">
        <f t="shared" si="147"/>
        <v>200</v>
      </c>
      <c r="Q3118" s="11">
        <f>IF(P3118=0,0,IFERROR(Q3117+G3118*M3118*IF(E3118="FUTURE",VLOOKUP(MID(I3118,2,2),[1]Futures!$A$2:$B$12,2),1),G3118*M3118*IF(E3118="FUTURE",VLOOKUP(MID(I3118,2,2),[1]Futures!$A$2:$B$12,2),1)))</f>
        <v>4331.62</v>
      </c>
      <c r="R3118" s="12">
        <f>IFERROR(Q3118/P3118/IF(E3118="FUTURE",VLOOKUP(MID(I3118,2,2),[1]Futures!$A$2:$B$12,2),1),"")</f>
        <v>21.658100000000001</v>
      </c>
      <c r="S3118" s="13" t="str">
        <f>IF(AND(H3118="TO CLOSE",P3118=0),-G3118*(M3118-R3117)*IF(E3118="FUTURE",VLOOKUP(MID(I3118,2,2),[1]Futures!$A$2:$B$12,2),1),"")</f>
        <v/>
      </c>
    </row>
    <row r="3119" spans="1:19" x14ac:dyDescent="0.2">
      <c r="A3119">
        <f t="shared" si="146"/>
        <v>1000</v>
      </c>
      <c r="B3119" s="3">
        <v>44140</v>
      </c>
      <c r="C3119" s="3" t="str">
        <f t="shared" si="148"/>
        <v>Thursday</v>
      </c>
      <c r="D3119" s="2">
        <v>0.47012731481481485</v>
      </c>
      <c r="E3119" t="s">
        <v>22</v>
      </c>
      <c r="F3119" t="s">
        <v>15</v>
      </c>
      <c r="G3119">
        <v>-100</v>
      </c>
      <c r="H3119" t="s">
        <v>16</v>
      </c>
      <c r="I3119" t="s">
        <v>23</v>
      </c>
      <c r="L3119" t="s">
        <v>22</v>
      </c>
      <c r="M3119">
        <v>21.831900000000001</v>
      </c>
      <c r="N3119">
        <v>21.831900000000001</v>
      </c>
      <c r="O3119" t="s">
        <v>21</v>
      </c>
      <c r="P3119">
        <f t="shared" si="147"/>
        <v>100</v>
      </c>
      <c r="Q3119" s="11">
        <f>IF(P3119=0,0,IFERROR(Q3118+G3119*M3119*IF(E3119="FUTURE",VLOOKUP(MID(I3119,2,2),[1]Futures!$A$2:$B$12,2),1),G3119*M3119*IF(E3119="FUTURE",VLOOKUP(MID(I3119,2,2),[1]Futures!$A$2:$B$12,2),1)))</f>
        <v>2148.4299999999998</v>
      </c>
      <c r="R3119" s="12">
        <f>IFERROR(Q3119/P3119/IF(E3119="FUTURE",VLOOKUP(MID(I3119,2,2),[1]Futures!$A$2:$B$12,2),1),"")</f>
        <v>21.484299999999998</v>
      </c>
      <c r="S3119" s="13" t="str">
        <f>IF(AND(H3119="TO CLOSE",P3119=0),-G3119*(M3119-R3118)*IF(E3119="FUTURE",VLOOKUP(MID(I3119,2,2),[1]Futures!$A$2:$B$12,2),1),"")</f>
        <v/>
      </c>
    </row>
    <row r="3120" spans="1:19" x14ac:dyDescent="0.2">
      <c r="A3120">
        <f t="shared" si="146"/>
        <v>1000</v>
      </c>
      <c r="B3120" s="3">
        <v>44140</v>
      </c>
      <c r="C3120" s="3" t="str">
        <f t="shared" si="148"/>
        <v>Thursday</v>
      </c>
      <c r="D3120" s="2">
        <v>0.47172453703703704</v>
      </c>
      <c r="E3120" t="s">
        <v>22</v>
      </c>
      <c r="F3120" t="s">
        <v>15</v>
      </c>
      <c r="G3120">
        <v>-50</v>
      </c>
      <c r="H3120" t="s">
        <v>16</v>
      </c>
      <c r="I3120" t="s">
        <v>23</v>
      </c>
      <c r="L3120" t="s">
        <v>22</v>
      </c>
      <c r="M3120">
        <v>21.86</v>
      </c>
      <c r="N3120">
        <v>21.86</v>
      </c>
      <c r="O3120" t="s">
        <v>21</v>
      </c>
      <c r="P3120">
        <f t="shared" si="147"/>
        <v>50</v>
      </c>
      <c r="Q3120" s="11">
        <f>IF(P3120=0,0,IFERROR(Q3119+G3120*M3120*IF(E3120="FUTURE",VLOOKUP(MID(I3120,2,2),[1]Futures!$A$2:$B$12,2),1),G3120*M3120*IF(E3120="FUTURE",VLOOKUP(MID(I3120,2,2),[1]Futures!$A$2:$B$12,2),1)))</f>
        <v>1055.4299999999998</v>
      </c>
      <c r="R3120" s="12">
        <f>IFERROR(Q3120/P3120/IF(E3120="FUTURE",VLOOKUP(MID(I3120,2,2),[1]Futures!$A$2:$B$12,2),1),"")</f>
        <v>21.108599999999996</v>
      </c>
      <c r="S3120" s="13" t="str">
        <f>IF(AND(H3120="TO CLOSE",P3120=0),-G3120*(M3120-R3119)*IF(E3120="FUTURE",VLOOKUP(MID(I3120,2,2),[1]Futures!$A$2:$B$12,2),1),"")</f>
        <v/>
      </c>
    </row>
    <row r="3121" spans="1:19" x14ac:dyDescent="0.2">
      <c r="A3121">
        <f t="shared" si="146"/>
        <v>1000</v>
      </c>
      <c r="B3121" s="3">
        <v>44140</v>
      </c>
      <c r="C3121" s="3" t="str">
        <f t="shared" si="148"/>
        <v>Thursday</v>
      </c>
      <c r="D3121" s="2">
        <v>0.48880787037037038</v>
      </c>
      <c r="E3121" t="s">
        <v>22</v>
      </c>
      <c r="F3121" t="s">
        <v>15</v>
      </c>
      <c r="G3121">
        <v>-50</v>
      </c>
      <c r="H3121" t="s">
        <v>16</v>
      </c>
      <c r="I3121" t="s">
        <v>23</v>
      </c>
      <c r="L3121" t="s">
        <v>22</v>
      </c>
      <c r="M3121">
        <v>21.960100000000001</v>
      </c>
      <c r="N3121">
        <v>21.96</v>
      </c>
      <c r="O3121" t="s">
        <v>24</v>
      </c>
      <c r="P3121">
        <f t="shared" si="147"/>
        <v>0</v>
      </c>
      <c r="Q3121" s="11">
        <f>IF(P3121=0,0,IFERROR(Q3120+G3121*M3121*IF(E3121="FUTURE",VLOOKUP(MID(I3121,2,2),[1]Futures!$A$2:$B$12,2),1),G3121*M3121*IF(E3121="FUTURE",VLOOKUP(MID(I3121,2,2),[1]Futures!$A$2:$B$12,2),1)))</f>
        <v>0</v>
      </c>
      <c r="R3121" s="12" t="str">
        <f>IFERROR(Q3121/P3121/IF(E3121="FUTURE",VLOOKUP(MID(I3121,2,2),[1]Futures!$A$2:$B$12,2),1),"")</f>
        <v/>
      </c>
      <c r="S3121" s="13">
        <f>IF(AND(H3121="TO CLOSE",P3121=0),-G3121*(M3121-R3120)*IF(E3121="FUTURE",VLOOKUP(MID(I3121,2,2),[1]Futures!$A$2:$B$12,2),1),"")</f>
        <v>42.575000000000252</v>
      </c>
    </row>
    <row r="3122" spans="1:19" x14ac:dyDescent="0.2">
      <c r="A3122">
        <f t="shared" si="146"/>
        <v>1001</v>
      </c>
      <c r="B3122" s="3">
        <v>44141</v>
      </c>
      <c r="C3122" s="3" t="str">
        <f t="shared" si="148"/>
        <v>Friday</v>
      </c>
      <c r="D3122" s="2">
        <v>0.43177083333333338</v>
      </c>
      <c r="E3122" t="s">
        <v>14</v>
      </c>
      <c r="F3122" t="s">
        <v>19</v>
      </c>
      <c r="G3122">
        <v>2</v>
      </c>
      <c r="H3122" t="s">
        <v>20</v>
      </c>
      <c r="I3122" t="s">
        <v>86</v>
      </c>
      <c r="J3122" s="1">
        <v>44185</v>
      </c>
      <c r="L3122" t="s">
        <v>14</v>
      </c>
      <c r="M3122">
        <v>37.86</v>
      </c>
      <c r="N3122">
        <v>37.86</v>
      </c>
      <c r="O3122" t="s">
        <v>24</v>
      </c>
      <c r="P3122">
        <f t="shared" si="147"/>
        <v>2</v>
      </c>
      <c r="Q3122" s="11">
        <f>IF(P3122=0,0,IFERROR(Q3121+G3122*M3122*IF(E3122="FUTURE",VLOOKUP(MID(I3122,2,2),[1]Futures!$A$2:$B$12,2),1),G3122*M3122*IF(E3122="FUTURE",VLOOKUP(MID(I3122,2,2),[1]Futures!$A$2:$B$12,2),1)))</f>
        <v>75720</v>
      </c>
      <c r="R3122" s="12">
        <f>IFERROR(Q3122/P3122/IF(E3122="FUTURE",VLOOKUP(MID(I3122,2,2),[1]Futures!$A$2:$B$12,2),1),"")</f>
        <v>37.86</v>
      </c>
      <c r="S3122" s="13" t="str">
        <f>IF(AND(H3122="TO CLOSE",P3122=0),-G3122*(M3122-R3121)*IF(E3122="FUTURE",VLOOKUP(MID(I3122,2,2),[1]Futures!$A$2:$B$12,2),1),"")</f>
        <v/>
      </c>
    </row>
    <row r="3123" spans="1:19" x14ac:dyDescent="0.2">
      <c r="A3123">
        <f t="shared" si="146"/>
        <v>1001</v>
      </c>
      <c r="B3123" s="3">
        <v>44141</v>
      </c>
      <c r="C3123" s="3" t="str">
        <f t="shared" si="148"/>
        <v>Friday</v>
      </c>
      <c r="D3123" s="2">
        <v>0.43193287037037037</v>
      </c>
      <c r="E3123" t="s">
        <v>14</v>
      </c>
      <c r="F3123" t="s">
        <v>15</v>
      </c>
      <c r="G3123">
        <v>-1</v>
      </c>
      <c r="H3123" t="s">
        <v>16</v>
      </c>
      <c r="I3123" t="s">
        <v>86</v>
      </c>
      <c r="J3123" s="1">
        <v>44185</v>
      </c>
      <c r="L3123" t="s">
        <v>14</v>
      </c>
      <c r="M3123">
        <v>37.89</v>
      </c>
      <c r="N3123">
        <v>37.89</v>
      </c>
      <c r="O3123" t="s">
        <v>21</v>
      </c>
      <c r="P3123">
        <f t="shared" si="147"/>
        <v>1</v>
      </c>
      <c r="Q3123" s="11">
        <f>IF(P3123=0,0,IFERROR(Q3122+G3123*M3123*IF(E3123="FUTURE",VLOOKUP(MID(I3123,2,2),[1]Futures!$A$2:$B$12,2),1),G3123*M3123*IF(E3123="FUTURE",VLOOKUP(MID(I3123,2,2),[1]Futures!$A$2:$B$12,2),1)))</f>
        <v>37830</v>
      </c>
      <c r="R3123" s="12">
        <f>IFERROR(Q3123/P3123/IF(E3123="FUTURE",VLOOKUP(MID(I3123,2,2),[1]Futures!$A$2:$B$12,2),1),"")</f>
        <v>37.83</v>
      </c>
      <c r="S3123" s="13" t="str">
        <f>IF(AND(H3123="TO CLOSE",P3123=0),-G3123*(M3123-R3122)*IF(E3123="FUTURE",VLOOKUP(MID(I3123,2,2),[1]Futures!$A$2:$B$12,2),1),"")</f>
        <v/>
      </c>
    </row>
    <row r="3124" spans="1:19" x14ac:dyDescent="0.2">
      <c r="A3124">
        <f t="shared" si="146"/>
        <v>1001</v>
      </c>
      <c r="B3124" s="3">
        <v>44141</v>
      </c>
      <c r="C3124" s="3" t="str">
        <f t="shared" si="148"/>
        <v>Friday</v>
      </c>
      <c r="D3124" s="2">
        <v>0.43510416666666668</v>
      </c>
      <c r="E3124" t="s">
        <v>14</v>
      </c>
      <c r="F3124" t="s">
        <v>15</v>
      </c>
      <c r="G3124">
        <v>-1</v>
      </c>
      <c r="H3124" t="s">
        <v>16</v>
      </c>
      <c r="I3124" t="s">
        <v>86</v>
      </c>
      <c r="J3124" s="1">
        <v>44185</v>
      </c>
      <c r="L3124" t="s">
        <v>14</v>
      </c>
      <c r="M3124">
        <v>37.9</v>
      </c>
      <c r="N3124">
        <v>37.9</v>
      </c>
      <c r="O3124" t="s">
        <v>21</v>
      </c>
      <c r="P3124">
        <f t="shared" si="147"/>
        <v>0</v>
      </c>
      <c r="Q3124" s="11">
        <f>IF(P3124=0,0,IFERROR(Q3123+G3124*M3124*IF(E3124="FUTURE",VLOOKUP(MID(I3124,2,2),[1]Futures!$A$2:$B$12,2),1),G3124*M3124*IF(E3124="FUTURE",VLOOKUP(MID(I3124,2,2),[1]Futures!$A$2:$B$12,2),1)))</f>
        <v>0</v>
      </c>
      <c r="R3124" s="12" t="str">
        <f>IFERROR(Q3124/P3124/IF(E3124="FUTURE",VLOOKUP(MID(I3124,2,2),[1]Futures!$A$2:$B$12,2),1),"")</f>
        <v/>
      </c>
      <c r="S3124" s="13">
        <f>IF(AND(H3124="TO CLOSE",P3124=0),-G3124*(M3124-R3123)*IF(E3124="FUTURE",VLOOKUP(MID(I3124,2,2),[1]Futures!$A$2:$B$12,2),1),"")</f>
        <v>70.000000000000284</v>
      </c>
    </row>
    <row r="3125" spans="1:19" x14ac:dyDescent="0.2">
      <c r="A3125">
        <f t="shared" si="146"/>
        <v>1002</v>
      </c>
      <c r="B3125" s="3">
        <v>44141</v>
      </c>
      <c r="C3125" s="3" t="str">
        <f t="shared" si="148"/>
        <v>Friday</v>
      </c>
      <c r="D3125" s="2">
        <v>0.35350694444444447</v>
      </c>
      <c r="E3125" t="s">
        <v>14</v>
      </c>
      <c r="F3125" t="s">
        <v>19</v>
      </c>
      <c r="G3125">
        <v>1</v>
      </c>
      <c r="H3125" t="s">
        <v>20</v>
      </c>
      <c r="I3125" t="s">
        <v>85</v>
      </c>
      <c r="J3125" s="1">
        <v>44185</v>
      </c>
      <c r="L3125" t="s">
        <v>14</v>
      </c>
      <c r="M3125">
        <v>3476</v>
      </c>
      <c r="N3125">
        <v>3476</v>
      </c>
      <c r="O3125" t="s">
        <v>21</v>
      </c>
      <c r="P3125">
        <f t="shared" si="147"/>
        <v>1</v>
      </c>
      <c r="Q3125" s="11">
        <f>IF(P3125=0,0,IFERROR(Q3124+G3125*M3125*IF(E3125="FUTURE",VLOOKUP(MID(I3125,2,2),[1]Futures!$A$2:$B$12,2),1),G3125*M3125*IF(E3125="FUTURE",VLOOKUP(MID(I3125,2,2),[1]Futures!$A$2:$B$12,2),1)))</f>
        <v>173800</v>
      </c>
      <c r="R3125" s="12">
        <f>IFERROR(Q3125/P3125/IF(E3125="FUTURE",VLOOKUP(MID(I3125,2,2),[1]Futures!$A$2:$B$12,2),1),"")</f>
        <v>3476</v>
      </c>
      <c r="S3125" s="13" t="str">
        <f>IF(AND(H3125="TO CLOSE",P3125=0),-G3125*(M3125-R3124)*IF(E3125="FUTURE",VLOOKUP(MID(I3125,2,2),[1]Futures!$A$2:$B$12,2),1),"")</f>
        <v/>
      </c>
    </row>
    <row r="3126" spans="1:19" x14ac:dyDescent="0.2">
      <c r="A3126">
        <f t="shared" si="146"/>
        <v>1002</v>
      </c>
      <c r="B3126" s="3">
        <v>44141</v>
      </c>
      <c r="C3126" s="3" t="str">
        <f t="shared" si="148"/>
        <v>Friday</v>
      </c>
      <c r="D3126" s="2">
        <v>0.35440972222222222</v>
      </c>
      <c r="E3126" t="s">
        <v>14</v>
      </c>
      <c r="F3126" t="s">
        <v>15</v>
      </c>
      <c r="G3126">
        <v>-1</v>
      </c>
      <c r="H3126" t="s">
        <v>16</v>
      </c>
      <c r="I3126" t="s">
        <v>85</v>
      </c>
      <c r="J3126" s="1">
        <v>44185</v>
      </c>
      <c r="L3126" t="s">
        <v>14</v>
      </c>
      <c r="M3126">
        <v>3482</v>
      </c>
      <c r="N3126">
        <v>3482</v>
      </c>
      <c r="O3126" t="s">
        <v>21</v>
      </c>
      <c r="P3126">
        <f t="shared" si="147"/>
        <v>0</v>
      </c>
      <c r="Q3126" s="11">
        <f>IF(P3126=0,0,IFERROR(Q3125+G3126*M3126*IF(E3126="FUTURE",VLOOKUP(MID(I3126,2,2),[1]Futures!$A$2:$B$12,2),1),G3126*M3126*IF(E3126="FUTURE",VLOOKUP(MID(I3126,2,2),[1]Futures!$A$2:$B$12,2),1)))</f>
        <v>0</v>
      </c>
      <c r="R3126" s="12" t="str">
        <f>IFERROR(Q3126/P3126/IF(E3126="FUTURE",VLOOKUP(MID(I3126,2,2),[1]Futures!$A$2:$B$12,2),1),"")</f>
        <v/>
      </c>
      <c r="S3126" s="13">
        <f>IF(AND(H3126="TO CLOSE",P3126=0),-G3126*(M3126-R3125)*IF(E3126="FUTURE",VLOOKUP(MID(I3126,2,2),[1]Futures!$A$2:$B$12,2),1),"")</f>
        <v>300</v>
      </c>
    </row>
    <row r="3127" spans="1:19" x14ac:dyDescent="0.2">
      <c r="A3127">
        <f t="shared" si="146"/>
        <v>1003</v>
      </c>
      <c r="B3127" s="3">
        <v>44141</v>
      </c>
      <c r="C3127" s="3" t="str">
        <f t="shared" si="148"/>
        <v>Friday</v>
      </c>
      <c r="D3127" s="2">
        <v>0.37990740740740742</v>
      </c>
      <c r="E3127" t="s">
        <v>14</v>
      </c>
      <c r="F3127" t="s">
        <v>19</v>
      </c>
      <c r="G3127">
        <v>1</v>
      </c>
      <c r="H3127" t="s">
        <v>20</v>
      </c>
      <c r="I3127" t="s">
        <v>85</v>
      </c>
      <c r="J3127" s="1">
        <v>44185</v>
      </c>
      <c r="L3127" t="s">
        <v>14</v>
      </c>
      <c r="M3127">
        <v>3496</v>
      </c>
      <c r="N3127">
        <v>3496</v>
      </c>
      <c r="O3127" t="s">
        <v>21</v>
      </c>
      <c r="P3127">
        <f t="shared" si="147"/>
        <v>1</v>
      </c>
      <c r="Q3127" s="11">
        <f>IF(P3127=0,0,IFERROR(Q3126+G3127*M3127*IF(E3127="FUTURE",VLOOKUP(MID(I3127,2,2),[1]Futures!$A$2:$B$12,2),1),G3127*M3127*IF(E3127="FUTURE",VLOOKUP(MID(I3127,2,2),[1]Futures!$A$2:$B$12,2),1)))</f>
        <v>174800</v>
      </c>
      <c r="R3127" s="12">
        <f>IFERROR(Q3127/P3127/IF(E3127="FUTURE",VLOOKUP(MID(I3127,2,2),[1]Futures!$A$2:$B$12,2),1),"")</f>
        <v>3496</v>
      </c>
      <c r="S3127" s="13" t="str">
        <f>IF(AND(H3127="TO CLOSE",P3127=0),-G3127*(M3127-R3126)*IF(E3127="FUTURE",VLOOKUP(MID(I3127,2,2),[1]Futures!$A$2:$B$12,2),1),"")</f>
        <v/>
      </c>
    </row>
    <row r="3128" spans="1:19" x14ac:dyDescent="0.2">
      <c r="A3128">
        <f t="shared" si="146"/>
        <v>1003</v>
      </c>
      <c r="B3128" s="3">
        <v>44141</v>
      </c>
      <c r="C3128" s="3" t="str">
        <f t="shared" si="148"/>
        <v>Friday</v>
      </c>
      <c r="D3128" s="2">
        <v>0.38033564814814813</v>
      </c>
      <c r="E3128" t="s">
        <v>14</v>
      </c>
      <c r="F3128" t="s">
        <v>15</v>
      </c>
      <c r="G3128">
        <v>-1</v>
      </c>
      <c r="H3128" t="s">
        <v>16</v>
      </c>
      <c r="I3128" t="s">
        <v>85</v>
      </c>
      <c r="J3128" s="1">
        <v>44185</v>
      </c>
      <c r="L3128" t="s">
        <v>14</v>
      </c>
      <c r="M3128">
        <v>3497</v>
      </c>
      <c r="N3128">
        <v>3497</v>
      </c>
      <c r="O3128" t="s">
        <v>21</v>
      </c>
      <c r="P3128">
        <f t="shared" si="147"/>
        <v>0</v>
      </c>
      <c r="Q3128" s="11">
        <f>IF(P3128=0,0,IFERROR(Q3127+G3128*M3128*IF(E3128="FUTURE",VLOOKUP(MID(I3128,2,2),[1]Futures!$A$2:$B$12,2),1),G3128*M3128*IF(E3128="FUTURE",VLOOKUP(MID(I3128,2,2),[1]Futures!$A$2:$B$12,2),1)))</f>
        <v>0</v>
      </c>
      <c r="R3128" s="12" t="str">
        <f>IFERROR(Q3128/P3128/IF(E3128="FUTURE",VLOOKUP(MID(I3128,2,2),[1]Futures!$A$2:$B$12,2),1),"")</f>
        <v/>
      </c>
      <c r="S3128" s="13">
        <f>IF(AND(H3128="TO CLOSE",P3128=0),-G3128*(M3128-R3127)*IF(E3128="FUTURE",VLOOKUP(MID(I3128,2,2),[1]Futures!$A$2:$B$12,2),1),"")</f>
        <v>50</v>
      </c>
    </row>
    <row r="3129" spans="1:19" x14ac:dyDescent="0.2">
      <c r="A3129">
        <f t="shared" si="146"/>
        <v>1004</v>
      </c>
      <c r="B3129" s="3">
        <v>44141</v>
      </c>
      <c r="C3129" s="3" t="str">
        <f t="shared" si="148"/>
        <v>Friday</v>
      </c>
      <c r="D3129" s="2">
        <v>0.41065972222222219</v>
      </c>
      <c r="E3129" t="s">
        <v>14</v>
      </c>
      <c r="F3129" t="s">
        <v>19</v>
      </c>
      <c r="G3129">
        <v>1</v>
      </c>
      <c r="H3129" t="s">
        <v>20</v>
      </c>
      <c r="I3129" t="s">
        <v>85</v>
      </c>
      <c r="J3129" s="1">
        <v>44185</v>
      </c>
      <c r="L3129" t="s">
        <v>14</v>
      </c>
      <c r="M3129">
        <v>3486.5</v>
      </c>
      <c r="N3129">
        <v>3486.5</v>
      </c>
      <c r="O3129" t="s">
        <v>24</v>
      </c>
      <c r="P3129">
        <f t="shared" si="147"/>
        <v>1</v>
      </c>
      <c r="Q3129" s="11">
        <f>IF(P3129=0,0,IFERROR(Q3128+G3129*M3129*IF(E3129="FUTURE",VLOOKUP(MID(I3129,2,2),[1]Futures!$A$2:$B$12,2),1),G3129*M3129*IF(E3129="FUTURE",VLOOKUP(MID(I3129,2,2),[1]Futures!$A$2:$B$12,2),1)))</f>
        <v>174325</v>
      </c>
      <c r="R3129" s="12">
        <f>IFERROR(Q3129/P3129/IF(E3129="FUTURE",VLOOKUP(MID(I3129,2,2),[1]Futures!$A$2:$B$12,2),1),"")</f>
        <v>3486.5</v>
      </c>
      <c r="S3129" s="13" t="str">
        <f>IF(AND(H3129="TO CLOSE",P3129=0),-G3129*(M3129-R3128)*IF(E3129="FUTURE",VLOOKUP(MID(I3129,2,2),[1]Futures!$A$2:$B$12,2),1),"")</f>
        <v/>
      </c>
    </row>
    <row r="3130" spans="1:19" x14ac:dyDescent="0.2">
      <c r="A3130">
        <f t="shared" si="146"/>
        <v>1004</v>
      </c>
      <c r="B3130" s="3">
        <v>44141</v>
      </c>
      <c r="C3130" s="3" t="str">
        <f t="shared" si="148"/>
        <v>Friday</v>
      </c>
      <c r="D3130" s="2">
        <v>0.41688657407407409</v>
      </c>
      <c r="E3130" t="s">
        <v>14</v>
      </c>
      <c r="F3130" t="s">
        <v>15</v>
      </c>
      <c r="G3130">
        <v>-1</v>
      </c>
      <c r="H3130" t="s">
        <v>16</v>
      </c>
      <c r="I3130" t="s">
        <v>85</v>
      </c>
      <c r="J3130" s="1">
        <v>44185</v>
      </c>
      <c r="L3130" t="s">
        <v>14</v>
      </c>
      <c r="M3130">
        <v>3486.75</v>
      </c>
      <c r="N3130">
        <v>3486.75</v>
      </c>
      <c r="O3130" t="s">
        <v>18</v>
      </c>
      <c r="P3130">
        <f t="shared" si="147"/>
        <v>0</v>
      </c>
      <c r="Q3130" s="11">
        <f>IF(P3130=0,0,IFERROR(Q3129+G3130*M3130*IF(E3130="FUTURE",VLOOKUP(MID(I3130,2,2),[1]Futures!$A$2:$B$12,2),1),G3130*M3130*IF(E3130="FUTURE",VLOOKUP(MID(I3130,2,2),[1]Futures!$A$2:$B$12,2),1)))</f>
        <v>0</v>
      </c>
      <c r="R3130" s="12" t="str">
        <f>IFERROR(Q3130/P3130/IF(E3130="FUTURE",VLOOKUP(MID(I3130,2,2),[1]Futures!$A$2:$B$12,2),1),"")</f>
        <v/>
      </c>
      <c r="S3130" s="13">
        <f>IF(AND(H3130="TO CLOSE",P3130=0),-G3130*(M3130-R3129)*IF(E3130="FUTURE",VLOOKUP(MID(I3130,2,2),[1]Futures!$A$2:$B$12,2),1),"")</f>
        <v>12.5</v>
      </c>
    </row>
    <row r="3131" spans="1:19" x14ac:dyDescent="0.2">
      <c r="A3131">
        <f t="shared" si="146"/>
        <v>1005</v>
      </c>
      <c r="B3131" s="3">
        <v>44141</v>
      </c>
      <c r="C3131" s="3" t="str">
        <f t="shared" si="148"/>
        <v>Friday</v>
      </c>
      <c r="D3131" s="2">
        <v>0.41780092592592594</v>
      </c>
      <c r="E3131" t="s">
        <v>14</v>
      </c>
      <c r="F3131" t="s">
        <v>19</v>
      </c>
      <c r="G3131">
        <v>1</v>
      </c>
      <c r="H3131" t="s">
        <v>20</v>
      </c>
      <c r="I3131" t="s">
        <v>85</v>
      </c>
      <c r="J3131" s="1">
        <v>44185</v>
      </c>
      <c r="L3131" t="s">
        <v>14</v>
      </c>
      <c r="M3131">
        <v>3485</v>
      </c>
      <c r="N3131">
        <v>3485</v>
      </c>
      <c r="O3131" t="s">
        <v>18</v>
      </c>
      <c r="P3131">
        <f t="shared" si="147"/>
        <v>1</v>
      </c>
      <c r="Q3131" s="11">
        <f>IF(P3131=0,0,IFERROR(Q3130+G3131*M3131*IF(E3131="FUTURE",VLOOKUP(MID(I3131,2,2),[1]Futures!$A$2:$B$12,2),1),G3131*M3131*IF(E3131="FUTURE",VLOOKUP(MID(I3131,2,2),[1]Futures!$A$2:$B$12,2),1)))</f>
        <v>174250</v>
      </c>
      <c r="R3131" s="12">
        <f>IFERROR(Q3131/P3131/IF(E3131="FUTURE",VLOOKUP(MID(I3131,2,2),[1]Futures!$A$2:$B$12,2),1),"")</f>
        <v>3485</v>
      </c>
      <c r="S3131" s="13" t="str">
        <f>IF(AND(H3131="TO CLOSE",P3131=0),-G3131*(M3131-R3130)*IF(E3131="FUTURE",VLOOKUP(MID(I3131,2,2),[1]Futures!$A$2:$B$12,2),1),"")</f>
        <v/>
      </c>
    </row>
    <row r="3132" spans="1:19" x14ac:dyDescent="0.2">
      <c r="A3132">
        <f t="shared" si="146"/>
        <v>1005</v>
      </c>
      <c r="B3132" s="3">
        <v>44141</v>
      </c>
      <c r="C3132" s="3" t="str">
        <f t="shared" si="148"/>
        <v>Friday</v>
      </c>
      <c r="D3132" s="2">
        <v>0.42283564814814811</v>
      </c>
      <c r="E3132" t="s">
        <v>14</v>
      </c>
      <c r="F3132" t="s">
        <v>15</v>
      </c>
      <c r="G3132">
        <v>-1</v>
      </c>
      <c r="H3132" t="s">
        <v>16</v>
      </c>
      <c r="I3132" t="s">
        <v>85</v>
      </c>
      <c r="J3132" s="1">
        <v>44185</v>
      </c>
      <c r="L3132" t="s">
        <v>14</v>
      </c>
      <c r="M3132">
        <v>3492.5</v>
      </c>
      <c r="N3132">
        <v>3492.5</v>
      </c>
      <c r="O3132" t="s">
        <v>21</v>
      </c>
      <c r="P3132">
        <f t="shared" si="147"/>
        <v>0</v>
      </c>
      <c r="Q3132" s="11">
        <f>IF(P3132=0,0,IFERROR(Q3131+G3132*M3132*IF(E3132="FUTURE",VLOOKUP(MID(I3132,2,2),[1]Futures!$A$2:$B$12,2),1),G3132*M3132*IF(E3132="FUTURE",VLOOKUP(MID(I3132,2,2),[1]Futures!$A$2:$B$12,2),1)))</f>
        <v>0</v>
      </c>
      <c r="R3132" s="12" t="str">
        <f>IFERROR(Q3132/P3132/IF(E3132="FUTURE",VLOOKUP(MID(I3132,2,2),[1]Futures!$A$2:$B$12,2),1),"")</f>
        <v/>
      </c>
      <c r="S3132" s="13">
        <f>IF(AND(H3132="TO CLOSE",P3132=0),-G3132*(M3132-R3131)*IF(E3132="FUTURE",VLOOKUP(MID(I3132,2,2),[1]Futures!$A$2:$B$12,2),1),"")</f>
        <v>375</v>
      </c>
    </row>
    <row r="3133" spans="1:19" x14ac:dyDescent="0.2">
      <c r="A3133">
        <f t="shared" si="146"/>
        <v>1006</v>
      </c>
      <c r="B3133" s="3">
        <v>44141</v>
      </c>
      <c r="C3133" s="3" t="str">
        <f t="shared" si="148"/>
        <v>Friday</v>
      </c>
      <c r="D3133" s="2">
        <v>0.44523148148148151</v>
      </c>
      <c r="E3133" t="s">
        <v>14</v>
      </c>
      <c r="F3133" t="s">
        <v>15</v>
      </c>
      <c r="G3133">
        <v>-1</v>
      </c>
      <c r="H3133" t="s">
        <v>20</v>
      </c>
      <c r="I3133" t="s">
        <v>85</v>
      </c>
      <c r="J3133" s="1">
        <v>44185</v>
      </c>
      <c r="L3133" t="s">
        <v>14</v>
      </c>
      <c r="M3133">
        <v>3495</v>
      </c>
      <c r="N3133">
        <v>3495</v>
      </c>
      <c r="O3133" t="s">
        <v>21</v>
      </c>
      <c r="P3133">
        <f t="shared" si="147"/>
        <v>-1</v>
      </c>
      <c r="Q3133" s="11">
        <f>IF(P3133=0,0,IFERROR(Q3132+G3133*M3133*IF(E3133="FUTURE",VLOOKUP(MID(I3133,2,2),[1]Futures!$A$2:$B$12,2),1),G3133*M3133*IF(E3133="FUTURE",VLOOKUP(MID(I3133,2,2),[1]Futures!$A$2:$B$12,2),1)))</f>
        <v>-174750</v>
      </c>
      <c r="R3133" s="12">
        <f>IFERROR(Q3133/P3133/IF(E3133="FUTURE",VLOOKUP(MID(I3133,2,2),[1]Futures!$A$2:$B$12,2),1),"")</f>
        <v>3495</v>
      </c>
      <c r="S3133" s="13" t="str">
        <f>IF(AND(H3133="TO CLOSE",P3133=0),-G3133*(M3133-R3132)*IF(E3133="FUTURE",VLOOKUP(MID(I3133,2,2),[1]Futures!$A$2:$B$12,2),1),"")</f>
        <v/>
      </c>
    </row>
    <row r="3134" spans="1:19" x14ac:dyDescent="0.2">
      <c r="A3134">
        <f t="shared" si="146"/>
        <v>1006</v>
      </c>
      <c r="B3134" s="3">
        <v>44141</v>
      </c>
      <c r="C3134" s="3" t="str">
        <f t="shared" si="148"/>
        <v>Friday</v>
      </c>
      <c r="D3134" s="2">
        <v>0.45756944444444447</v>
      </c>
      <c r="E3134" t="s">
        <v>14</v>
      </c>
      <c r="F3134" t="s">
        <v>19</v>
      </c>
      <c r="G3134">
        <v>1</v>
      </c>
      <c r="H3134" t="s">
        <v>16</v>
      </c>
      <c r="I3134" t="s">
        <v>85</v>
      </c>
      <c r="J3134" s="1">
        <v>44185</v>
      </c>
      <c r="L3134" t="s">
        <v>14</v>
      </c>
      <c r="M3134">
        <v>3491</v>
      </c>
      <c r="N3134">
        <v>3491</v>
      </c>
      <c r="O3134" t="s">
        <v>21</v>
      </c>
      <c r="P3134">
        <f t="shared" si="147"/>
        <v>0</v>
      </c>
      <c r="Q3134" s="11">
        <f>IF(P3134=0,0,IFERROR(Q3133+G3134*M3134*IF(E3134="FUTURE",VLOOKUP(MID(I3134,2,2),[1]Futures!$A$2:$B$12,2),1),G3134*M3134*IF(E3134="FUTURE",VLOOKUP(MID(I3134,2,2),[1]Futures!$A$2:$B$12,2),1)))</f>
        <v>0</v>
      </c>
      <c r="R3134" s="12" t="str">
        <f>IFERROR(Q3134/P3134/IF(E3134="FUTURE",VLOOKUP(MID(I3134,2,2),[1]Futures!$A$2:$B$12,2),1),"")</f>
        <v/>
      </c>
      <c r="S3134" s="13">
        <f>IF(AND(H3134="TO CLOSE",P3134=0),-G3134*(M3134-R3133)*IF(E3134="FUTURE",VLOOKUP(MID(I3134,2,2),[1]Futures!$A$2:$B$12,2),1),"")</f>
        <v>200</v>
      </c>
    </row>
    <row r="3135" spans="1:19" x14ac:dyDescent="0.2">
      <c r="A3135">
        <f t="shared" si="146"/>
        <v>1007</v>
      </c>
      <c r="B3135" s="3">
        <v>44144</v>
      </c>
      <c r="C3135" s="3" t="str">
        <f t="shared" si="148"/>
        <v>Monday</v>
      </c>
      <c r="D3135" s="2">
        <v>0.37870370370370371</v>
      </c>
      <c r="E3135" t="s">
        <v>14</v>
      </c>
      <c r="F3135" t="s">
        <v>15</v>
      </c>
      <c r="G3135">
        <v>-1</v>
      </c>
      <c r="H3135" t="s">
        <v>20</v>
      </c>
      <c r="I3135" t="s">
        <v>85</v>
      </c>
      <c r="J3135" s="1">
        <v>44185</v>
      </c>
      <c r="L3135" t="s">
        <v>14</v>
      </c>
      <c r="M3135">
        <v>3658</v>
      </c>
      <c r="N3135">
        <v>3658</v>
      </c>
      <c r="O3135" t="s">
        <v>21</v>
      </c>
      <c r="P3135">
        <f t="shared" si="147"/>
        <v>-1</v>
      </c>
      <c r="Q3135" s="11">
        <f>IF(P3135=0,0,IFERROR(Q3134+G3135*M3135*IF(E3135="FUTURE",VLOOKUP(MID(I3135,2,2),[1]Futures!$A$2:$B$12,2),1),G3135*M3135*IF(E3135="FUTURE",VLOOKUP(MID(I3135,2,2),[1]Futures!$A$2:$B$12,2),1)))</f>
        <v>-182900</v>
      </c>
      <c r="R3135" s="12">
        <f>IFERROR(Q3135/P3135/IF(E3135="FUTURE",VLOOKUP(MID(I3135,2,2),[1]Futures!$A$2:$B$12,2),1),"")</f>
        <v>3658</v>
      </c>
      <c r="S3135" s="13" t="str">
        <f>IF(AND(H3135="TO CLOSE",P3135=0),-G3135*(M3135-R3134)*IF(E3135="FUTURE",VLOOKUP(MID(I3135,2,2),[1]Futures!$A$2:$B$12,2),1),"")</f>
        <v/>
      </c>
    </row>
    <row r="3136" spans="1:19" x14ac:dyDescent="0.2">
      <c r="A3136">
        <f t="shared" si="146"/>
        <v>1007</v>
      </c>
      <c r="B3136" s="3">
        <v>44144</v>
      </c>
      <c r="C3136" s="3" t="str">
        <f t="shared" si="148"/>
        <v>Monday</v>
      </c>
      <c r="D3136" s="2">
        <v>0.38392361111111112</v>
      </c>
      <c r="E3136" t="s">
        <v>14</v>
      </c>
      <c r="F3136" t="s">
        <v>19</v>
      </c>
      <c r="G3136">
        <v>1</v>
      </c>
      <c r="H3136" t="s">
        <v>16</v>
      </c>
      <c r="I3136" t="s">
        <v>85</v>
      </c>
      <c r="J3136" s="1">
        <v>44185</v>
      </c>
      <c r="L3136" t="s">
        <v>14</v>
      </c>
      <c r="M3136">
        <v>3657.5</v>
      </c>
      <c r="N3136">
        <v>3657.5</v>
      </c>
      <c r="O3136" t="s">
        <v>18</v>
      </c>
      <c r="P3136">
        <f t="shared" si="147"/>
        <v>0</v>
      </c>
      <c r="Q3136" s="11">
        <f>IF(P3136=0,0,IFERROR(Q3135+G3136*M3136*IF(E3136="FUTURE",VLOOKUP(MID(I3136,2,2),[1]Futures!$A$2:$B$12,2),1),G3136*M3136*IF(E3136="FUTURE",VLOOKUP(MID(I3136,2,2),[1]Futures!$A$2:$B$12,2),1)))</f>
        <v>0</v>
      </c>
      <c r="R3136" s="12" t="str">
        <f>IFERROR(Q3136/P3136/IF(E3136="FUTURE",VLOOKUP(MID(I3136,2,2),[1]Futures!$A$2:$B$12,2),1),"")</f>
        <v/>
      </c>
      <c r="S3136" s="13">
        <f>IF(AND(H3136="TO CLOSE",P3136=0),-G3136*(M3136-R3135)*IF(E3136="FUTURE",VLOOKUP(MID(I3136,2,2),[1]Futures!$A$2:$B$12,2),1),"")</f>
        <v>25</v>
      </c>
    </row>
    <row r="3137" spans="1:19" x14ac:dyDescent="0.2">
      <c r="A3137">
        <f t="shared" si="146"/>
        <v>1008</v>
      </c>
      <c r="B3137" s="3">
        <v>44144</v>
      </c>
      <c r="C3137" s="3" t="str">
        <f t="shared" si="148"/>
        <v>Monday</v>
      </c>
      <c r="D3137" s="2">
        <v>0.39596064814814813</v>
      </c>
      <c r="E3137" t="s">
        <v>14</v>
      </c>
      <c r="F3137" t="s">
        <v>19</v>
      </c>
      <c r="G3137">
        <v>1</v>
      </c>
      <c r="H3137" t="s">
        <v>20</v>
      </c>
      <c r="I3137" t="s">
        <v>85</v>
      </c>
      <c r="J3137" s="1">
        <v>44185</v>
      </c>
      <c r="L3137" t="s">
        <v>14</v>
      </c>
      <c r="M3137">
        <v>3636.25</v>
      </c>
      <c r="N3137">
        <v>3636.25</v>
      </c>
      <c r="O3137" t="s">
        <v>24</v>
      </c>
      <c r="P3137">
        <f t="shared" si="147"/>
        <v>1</v>
      </c>
      <c r="Q3137" s="11">
        <f>IF(P3137=0,0,IFERROR(Q3136+G3137*M3137*IF(E3137="FUTURE",VLOOKUP(MID(I3137,2,2),[1]Futures!$A$2:$B$12,2),1),G3137*M3137*IF(E3137="FUTURE",VLOOKUP(MID(I3137,2,2),[1]Futures!$A$2:$B$12,2),1)))</f>
        <v>181812.5</v>
      </c>
      <c r="R3137" s="12">
        <f>IFERROR(Q3137/P3137/IF(E3137="FUTURE",VLOOKUP(MID(I3137,2,2),[1]Futures!$A$2:$B$12,2),1),"")</f>
        <v>3636.25</v>
      </c>
      <c r="S3137" s="13" t="str">
        <f>IF(AND(H3137="TO CLOSE",P3137=0),-G3137*(M3137-R3136)*IF(E3137="FUTURE",VLOOKUP(MID(I3137,2,2),[1]Futures!$A$2:$B$12,2),1),"")</f>
        <v/>
      </c>
    </row>
    <row r="3138" spans="1:19" x14ac:dyDescent="0.2">
      <c r="A3138">
        <f t="shared" ref="A3138:A3201" si="149">IF(AND(P3137=0,H3137="TO CLOSE"),IFERROR(A3137+1,1),IFERROR(A3137/1,1))</f>
        <v>1008</v>
      </c>
      <c r="B3138" s="3">
        <v>44144</v>
      </c>
      <c r="C3138" s="3" t="str">
        <f t="shared" si="148"/>
        <v>Monday</v>
      </c>
      <c r="D3138" s="2">
        <v>0.55406250000000001</v>
      </c>
      <c r="E3138" t="s">
        <v>14</v>
      </c>
      <c r="F3138" t="s">
        <v>15</v>
      </c>
      <c r="G3138">
        <v>-1</v>
      </c>
      <c r="H3138" t="s">
        <v>16</v>
      </c>
      <c r="I3138" t="s">
        <v>85</v>
      </c>
      <c r="J3138" s="1">
        <v>44185</v>
      </c>
      <c r="L3138" t="s">
        <v>14</v>
      </c>
      <c r="M3138">
        <v>3619.25</v>
      </c>
      <c r="N3138">
        <v>3619.25</v>
      </c>
      <c r="O3138" t="s">
        <v>24</v>
      </c>
      <c r="P3138">
        <f t="shared" si="147"/>
        <v>0</v>
      </c>
      <c r="Q3138" s="11">
        <f>IF(P3138=0,0,IFERROR(Q3137+G3138*M3138*IF(E3138="FUTURE",VLOOKUP(MID(I3138,2,2),[1]Futures!$A$2:$B$12,2),1),G3138*M3138*IF(E3138="FUTURE",VLOOKUP(MID(I3138,2,2),[1]Futures!$A$2:$B$12,2),1)))</f>
        <v>0</v>
      </c>
      <c r="R3138" s="12" t="str">
        <f>IFERROR(Q3138/P3138/IF(E3138="FUTURE",VLOOKUP(MID(I3138,2,2),[1]Futures!$A$2:$B$12,2),1),"")</f>
        <v/>
      </c>
      <c r="S3138" s="13">
        <f>IF(AND(H3138="TO CLOSE",P3138=0),-G3138*(M3138-R3137)*IF(E3138="FUTURE",VLOOKUP(MID(I3138,2,2),[1]Futures!$A$2:$B$12,2),1),"")</f>
        <v>-850</v>
      </c>
    </row>
    <row r="3139" spans="1:19" x14ac:dyDescent="0.2">
      <c r="A3139">
        <f t="shared" si="149"/>
        <v>1009</v>
      </c>
      <c r="B3139" s="3">
        <v>44144</v>
      </c>
      <c r="C3139" s="3" t="str">
        <f t="shared" si="148"/>
        <v>Monday</v>
      </c>
      <c r="D3139" s="2">
        <v>0.55584490740740744</v>
      </c>
      <c r="E3139" t="s">
        <v>14</v>
      </c>
      <c r="F3139" t="s">
        <v>15</v>
      </c>
      <c r="G3139">
        <v>-1</v>
      </c>
      <c r="H3139" t="s">
        <v>20</v>
      </c>
      <c r="I3139" t="s">
        <v>85</v>
      </c>
      <c r="J3139" s="1">
        <v>44185</v>
      </c>
      <c r="L3139" t="s">
        <v>14</v>
      </c>
      <c r="M3139">
        <v>3617.25</v>
      </c>
      <c r="N3139">
        <v>3617.25</v>
      </c>
      <c r="O3139" t="s">
        <v>21</v>
      </c>
      <c r="P3139">
        <f t="shared" ref="P3139:P3202" si="150">IF(H3139="TO OPEN",IFERROR(P3138+G3139,0+G3139),IFERROR(P3138+G3139,0+G3139))</f>
        <v>-1</v>
      </c>
      <c r="Q3139" s="11">
        <f>IF(P3139=0,0,IFERROR(Q3138+G3139*M3139*IF(E3139="FUTURE",VLOOKUP(MID(I3139,2,2),[1]Futures!$A$2:$B$12,2),1),G3139*M3139*IF(E3139="FUTURE",VLOOKUP(MID(I3139,2,2),[1]Futures!$A$2:$B$12,2),1)))</f>
        <v>-180862.5</v>
      </c>
      <c r="R3139" s="12">
        <f>IFERROR(Q3139/P3139/IF(E3139="FUTURE",VLOOKUP(MID(I3139,2,2),[1]Futures!$A$2:$B$12,2),1),"")</f>
        <v>3617.25</v>
      </c>
      <c r="S3139" s="13" t="str">
        <f>IF(AND(H3139="TO CLOSE",P3139=0),-G3139*(M3139-R3138)*IF(E3139="FUTURE",VLOOKUP(MID(I3139,2,2),[1]Futures!$A$2:$B$12,2),1),"")</f>
        <v/>
      </c>
    </row>
    <row r="3140" spans="1:19" x14ac:dyDescent="0.2">
      <c r="A3140">
        <f t="shared" si="149"/>
        <v>1009</v>
      </c>
      <c r="B3140" s="3">
        <v>44144</v>
      </c>
      <c r="C3140" s="3" t="str">
        <f t="shared" si="148"/>
        <v>Monday</v>
      </c>
      <c r="D3140" s="2">
        <v>0.55843750000000003</v>
      </c>
      <c r="E3140" t="s">
        <v>14</v>
      </c>
      <c r="F3140" t="s">
        <v>19</v>
      </c>
      <c r="G3140">
        <v>1</v>
      </c>
      <c r="H3140" t="s">
        <v>16</v>
      </c>
      <c r="I3140" t="s">
        <v>85</v>
      </c>
      <c r="J3140" s="1">
        <v>44185</v>
      </c>
      <c r="L3140" t="s">
        <v>14</v>
      </c>
      <c r="M3140">
        <v>3617</v>
      </c>
      <c r="N3140">
        <v>3617</v>
      </c>
      <c r="O3140" t="s">
        <v>18</v>
      </c>
      <c r="P3140">
        <f t="shared" si="150"/>
        <v>0</v>
      </c>
      <c r="Q3140" s="11">
        <f>IF(P3140=0,0,IFERROR(Q3139+G3140*M3140*IF(E3140="FUTURE",VLOOKUP(MID(I3140,2,2),[1]Futures!$A$2:$B$12,2),1),G3140*M3140*IF(E3140="FUTURE",VLOOKUP(MID(I3140,2,2),[1]Futures!$A$2:$B$12,2),1)))</f>
        <v>0</v>
      </c>
      <c r="R3140" s="12" t="str">
        <f>IFERROR(Q3140/P3140/IF(E3140="FUTURE",VLOOKUP(MID(I3140,2,2),[1]Futures!$A$2:$B$12,2),1),"")</f>
        <v/>
      </c>
      <c r="S3140" s="13">
        <f>IF(AND(H3140="TO CLOSE",P3140=0),-G3140*(M3140-R3139)*IF(E3140="FUTURE",VLOOKUP(MID(I3140,2,2),[1]Futures!$A$2:$B$12,2),1),"")</f>
        <v>12.5</v>
      </c>
    </row>
    <row r="3141" spans="1:19" x14ac:dyDescent="0.2">
      <c r="A3141">
        <f t="shared" si="149"/>
        <v>1010</v>
      </c>
      <c r="B3141" s="3">
        <v>44144</v>
      </c>
      <c r="C3141" s="3" t="str">
        <f t="shared" si="148"/>
        <v>Monday</v>
      </c>
      <c r="D3141" s="2">
        <v>0.55942129629629633</v>
      </c>
      <c r="E3141" t="s">
        <v>14</v>
      </c>
      <c r="F3141" t="s">
        <v>15</v>
      </c>
      <c r="G3141">
        <v>-1</v>
      </c>
      <c r="H3141" t="s">
        <v>20</v>
      </c>
      <c r="I3141" t="s">
        <v>85</v>
      </c>
      <c r="J3141" s="1">
        <v>44185</v>
      </c>
      <c r="L3141" t="s">
        <v>14</v>
      </c>
      <c r="M3141">
        <v>3616.25</v>
      </c>
      <c r="N3141">
        <v>3616.25</v>
      </c>
      <c r="O3141" t="s">
        <v>21</v>
      </c>
      <c r="P3141">
        <f t="shared" si="150"/>
        <v>-1</v>
      </c>
      <c r="Q3141" s="11">
        <f>IF(P3141=0,0,IFERROR(Q3140+G3141*M3141*IF(E3141="FUTURE",VLOOKUP(MID(I3141,2,2),[1]Futures!$A$2:$B$12,2),1),G3141*M3141*IF(E3141="FUTURE",VLOOKUP(MID(I3141,2,2),[1]Futures!$A$2:$B$12,2),1)))</f>
        <v>-180812.5</v>
      </c>
      <c r="R3141" s="12">
        <f>IFERROR(Q3141/P3141/IF(E3141="FUTURE",VLOOKUP(MID(I3141,2,2),[1]Futures!$A$2:$B$12,2),1),"")</f>
        <v>3616.25</v>
      </c>
      <c r="S3141" s="13" t="str">
        <f>IF(AND(H3141="TO CLOSE",P3141=0),-G3141*(M3141-R3140)*IF(E3141="FUTURE",VLOOKUP(MID(I3141,2,2),[1]Futures!$A$2:$B$12,2),1),"")</f>
        <v/>
      </c>
    </row>
    <row r="3142" spans="1:19" x14ac:dyDescent="0.2">
      <c r="A3142">
        <f t="shared" si="149"/>
        <v>1010</v>
      </c>
      <c r="B3142" s="3">
        <v>44144</v>
      </c>
      <c r="C3142" s="3" t="str">
        <f t="shared" si="148"/>
        <v>Monday</v>
      </c>
      <c r="D3142" s="2">
        <v>0.57337962962962963</v>
      </c>
      <c r="E3142" t="s">
        <v>14</v>
      </c>
      <c r="F3142" t="s">
        <v>19</v>
      </c>
      <c r="G3142">
        <v>1</v>
      </c>
      <c r="H3142" t="s">
        <v>16</v>
      </c>
      <c r="I3142" t="s">
        <v>85</v>
      </c>
      <c r="J3142" s="1">
        <v>44185</v>
      </c>
      <c r="L3142" t="s">
        <v>14</v>
      </c>
      <c r="M3142">
        <v>3615</v>
      </c>
      <c r="N3142">
        <v>3615</v>
      </c>
      <c r="O3142" t="s">
        <v>24</v>
      </c>
      <c r="P3142">
        <f t="shared" si="150"/>
        <v>0</v>
      </c>
      <c r="Q3142" s="11">
        <f>IF(P3142=0,0,IFERROR(Q3141+G3142*M3142*IF(E3142="FUTURE",VLOOKUP(MID(I3142,2,2),[1]Futures!$A$2:$B$12,2),1),G3142*M3142*IF(E3142="FUTURE",VLOOKUP(MID(I3142,2,2),[1]Futures!$A$2:$B$12,2),1)))</f>
        <v>0</v>
      </c>
      <c r="R3142" s="12" t="str">
        <f>IFERROR(Q3142/P3142/IF(E3142="FUTURE",VLOOKUP(MID(I3142,2,2),[1]Futures!$A$2:$B$12,2),1),"")</f>
        <v/>
      </c>
      <c r="S3142" s="13">
        <f>IF(AND(H3142="TO CLOSE",P3142=0),-G3142*(M3142-R3141)*IF(E3142="FUTURE",VLOOKUP(MID(I3142,2,2),[1]Futures!$A$2:$B$12,2),1),"")</f>
        <v>62.5</v>
      </c>
    </row>
    <row r="3143" spans="1:19" x14ac:dyDescent="0.2">
      <c r="A3143">
        <f t="shared" si="149"/>
        <v>1011</v>
      </c>
      <c r="B3143" s="3">
        <v>44144</v>
      </c>
      <c r="C3143" s="3" t="str">
        <f t="shared" si="148"/>
        <v>Monday</v>
      </c>
      <c r="D3143" s="2">
        <v>0.57473379629629628</v>
      </c>
      <c r="E3143" t="s">
        <v>14</v>
      </c>
      <c r="F3143" t="s">
        <v>19</v>
      </c>
      <c r="G3143">
        <v>1</v>
      </c>
      <c r="H3143" t="s">
        <v>20</v>
      </c>
      <c r="I3143" t="s">
        <v>85</v>
      </c>
      <c r="J3143" s="1">
        <v>44185</v>
      </c>
      <c r="L3143" t="s">
        <v>14</v>
      </c>
      <c r="M3143">
        <v>3614.5</v>
      </c>
      <c r="N3143">
        <v>3614.5</v>
      </c>
      <c r="O3143" t="s">
        <v>24</v>
      </c>
      <c r="P3143">
        <f t="shared" si="150"/>
        <v>1</v>
      </c>
      <c r="Q3143" s="11">
        <f>IF(P3143=0,0,IFERROR(Q3142+G3143*M3143*IF(E3143="FUTURE",VLOOKUP(MID(I3143,2,2),[1]Futures!$A$2:$B$12,2),1),G3143*M3143*IF(E3143="FUTURE",VLOOKUP(MID(I3143,2,2),[1]Futures!$A$2:$B$12,2),1)))</f>
        <v>180725</v>
      </c>
      <c r="R3143" s="12">
        <f>IFERROR(Q3143/P3143/IF(E3143="FUTURE",VLOOKUP(MID(I3143,2,2),[1]Futures!$A$2:$B$12,2),1),"")</f>
        <v>3614.5</v>
      </c>
      <c r="S3143" s="13" t="str">
        <f>IF(AND(H3143="TO CLOSE",P3143=0),-G3143*(M3143-R3142)*IF(E3143="FUTURE",VLOOKUP(MID(I3143,2,2),[1]Futures!$A$2:$B$12,2),1),"")</f>
        <v/>
      </c>
    </row>
    <row r="3144" spans="1:19" x14ac:dyDescent="0.2">
      <c r="A3144">
        <f t="shared" si="149"/>
        <v>1011</v>
      </c>
      <c r="B3144" s="3">
        <v>44144</v>
      </c>
      <c r="C3144" s="3" t="str">
        <f t="shared" si="148"/>
        <v>Monday</v>
      </c>
      <c r="D3144" s="2">
        <v>0.59961805555555558</v>
      </c>
      <c r="E3144" t="s">
        <v>14</v>
      </c>
      <c r="F3144" t="s">
        <v>15</v>
      </c>
      <c r="G3144">
        <v>-1</v>
      </c>
      <c r="H3144" t="s">
        <v>16</v>
      </c>
      <c r="I3144" t="s">
        <v>85</v>
      </c>
      <c r="J3144" s="1">
        <v>44185</v>
      </c>
      <c r="L3144" t="s">
        <v>14</v>
      </c>
      <c r="M3144">
        <v>3594</v>
      </c>
      <c r="N3144">
        <v>3594</v>
      </c>
      <c r="O3144" t="s">
        <v>18</v>
      </c>
      <c r="P3144">
        <f t="shared" si="150"/>
        <v>0</v>
      </c>
      <c r="Q3144" s="11">
        <f>IF(P3144=0,0,IFERROR(Q3143+G3144*M3144*IF(E3144="FUTURE",VLOOKUP(MID(I3144,2,2),[1]Futures!$A$2:$B$12,2),1),G3144*M3144*IF(E3144="FUTURE",VLOOKUP(MID(I3144,2,2),[1]Futures!$A$2:$B$12,2),1)))</f>
        <v>0</v>
      </c>
      <c r="R3144" s="12" t="str">
        <f>IFERROR(Q3144/P3144/IF(E3144="FUTURE",VLOOKUP(MID(I3144,2,2),[1]Futures!$A$2:$B$12,2),1),"")</f>
        <v/>
      </c>
      <c r="S3144" s="13">
        <f>IF(AND(H3144="TO CLOSE",P3144=0),-G3144*(M3144-R3143)*IF(E3144="FUTURE",VLOOKUP(MID(I3144,2,2),[1]Futures!$A$2:$B$12,2),1),"")</f>
        <v>-1025</v>
      </c>
    </row>
    <row r="3145" spans="1:19" x14ac:dyDescent="0.2">
      <c r="A3145">
        <f t="shared" si="149"/>
        <v>1012</v>
      </c>
      <c r="B3145" s="3">
        <v>44144</v>
      </c>
      <c r="C3145" s="3" t="str">
        <f t="shared" si="148"/>
        <v>Monday</v>
      </c>
      <c r="D3145" s="2">
        <v>0.599675925925926</v>
      </c>
      <c r="E3145" t="s">
        <v>14</v>
      </c>
      <c r="F3145" t="s">
        <v>15</v>
      </c>
      <c r="G3145">
        <v>-1</v>
      </c>
      <c r="H3145" t="s">
        <v>20</v>
      </c>
      <c r="I3145" t="s">
        <v>85</v>
      </c>
      <c r="J3145" s="1">
        <v>44185</v>
      </c>
      <c r="L3145" t="s">
        <v>14</v>
      </c>
      <c r="M3145">
        <v>3594.5</v>
      </c>
      <c r="N3145">
        <v>3594.5</v>
      </c>
      <c r="O3145" t="s">
        <v>24</v>
      </c>
      <c r="P3145">
        <f t="shared" si="150"/>
        <v>-1</v>
      </c>
      <c r="Q3145" s="11">
        <f>IF(P3145=0,0,IFERROR(Q3144+G3145*M3145*IF(E3145="FUTURE",VLOOKUP(MID(I3145,2,2),[1]Futures!$A$2:$B$12,2),1),G3145*M3145*IF(E3145="FUTURE",VLOOKUP(MID(I3145,2,2),[1]Futures!$A$2:$B$12,2),1)))</f>
        <v>-179725</v>
      </c>
      <c r="R3145" s="12">
        <f>IFERROR(Q3145/P3145/IF(E3145="FUTURE",VLOOKUP(MID(I3145,2,2),[1]Futures!$A$2:$B$12,2),1),"")</f>
        <v>3594.5</v>
      </c>
      <c r="S3145" s="13" t="str">
        <f>IF(AND(H3145="TO CLOSE",P3145=0),-G3145*(M3145-R3144)*IF(E3145="FUTURE",VLOOKUP(MID(I3145,2,2),[1]Futures!$A$2:$B$12,2),1),"")</f>
        <v/>
      </c>
    </row>
    <row r="3146" spans="1:19" x14ac:dyDescent="0.2">
      <c r="A3146">
        <f t="shared" si="149"/>
        <v>1012</v>
      </c>
      <c r="B3146" s="3">
        <v>44144</v>
      </c>
      <c r="C3146" s="3" t="str">
        <f t="shared" si="148"/>
        <v>Monday</v>
      </c>
      <c r="D3146" s="2">
        <v>0.60252314814814811</v>
      </c>
      <c r="E3146" t="s">
        <v>14</v>
      </c>
      <c r="F3146" t="s">
        <v>19</v>
      </c>
      <c r="G3146">
        <v>1</v>
      </c>
      <c r="H3146" t="s">
        <v>16</v>
      </c>
      <c r="I3146" t="s">
        <v>85</v>
      </c>
      <c r="J3146" s="1">
        <v>44185</v>
      </c>
      <c r="L3146" t="s">
        <v>14</v>
      </c>
      <c r="M3146">
        <v>3601</v>
      </c>
      <c r="N3146">
        <v>3601</v>
      </c>
      <c r="O3146" t="s">
        <v>18</v>
      </c>
      <c r="P3146">
        <f t="shared" si="150"/>
        <v>0</v>
      </c>
      <c r="Q3146" s="11">
        <f>IF(P3146=0,0,IFERROR(Q3145+G3146*M3146*IF(E3146="FUTURE",VLOOKUP(MID(I3146,2,2),[1]Futures!$A$2:$B$12,2),1),G3146*M3146*IF(E3146="FUTURE",VLOOKUP(MID(I3146,2,2),[1]Futures!$A$2:$B$12,2),1)))</f>
        <v>0</v>
      </c>
      <c r="R3146" s="12" t="str">
        <f>IFERROR(Q3146/P3146/IF(E3146="FUTURE",VLOOKUP(MID(I3146,2,2),[1]Futures!$A$2:$B$12,2),1),"")</f>
        <v/>
      </c>
      <c r="S3146" s="13">
        <f>IF(AND(H3146="TO CLOSE",P3146=0),-G3146*(M3146-R3145)*IF(E3146="FUTURE",VLOOKUP(MID(I3146,2,2),[1]Futures!$A$2:$B$12,2),1),"")</f>
        <v>-325</v>
      </c>
    </row>
    <row r="3147" spans="1:19" x14ac:dyDescent="0.2">
      <c r="A3147">
        <f t="shared" si="149"/>
        <v>1013</v>
      </c>
      <c r="B3147" s="3">
        <v>44144</v>
      </c>
      <c r="C3147" s="3" t="str">
        <f t="shared" si="148"/>
        <v>Monday</v>
      </c>
      <c r="D3147" s="2">
        <v>0.60320601851851852</v>
      </c>
      <c r="E3147" t="s">
        <v>14</v>
      </c>
      <c r="F3147" t="s">
        <v>19</v>
      </c>
      <c r="G3147">
        <v>1</v>
      </c>
      <c r="H3147" t="s">
        <v>20</v>
      </c>
      <c r="I3147" t="s">
        <v>85</v>
      </c>
      <c r="J3147" s="1">
        <v>44185</v>
      </c>
      <c r="L3147" t="s">
        <v>14</v>
      </c>
      <c r="M3147">
        <v>3598.5</v>
      </c>
      <c r="N3147">
        <v>3598.5</v>
      </c>
      <c r="O3147" t="s">
        <v>24</v>
      </c>
      <c r="P3147">
        <f t="shared" si="150"/>
        <v>1</v>
      </c>
      <c r="Q3147" s="11">
        <f>IF(P3147=0,0,IFERROR(Q3146+G3147*M3147*IF(E3147="FUTURE",VLOOKUP(MID(I3147,2,2),[1]Futures!$A$2:$B$12,2),1),G3147*M3147*IF(E3147="FUTURE",VLOOKUP(MID(I3147,2,2),[1]Futures!$A$2:$B$12,2),1)))</f>
        <v>179925</v>
      </c>
      <c r="R3147" s="12">
        <f>IFERROR(Q3147/P3147/IF(E3147="FUTURE",VLOOKUP(MID(I3147,2,2),[1]Futures!$A$2:$B$12,2),1),"")</f>
        <v>3598.5</v>
      </c>
      <c r="S3147" s="13" t="str">
        <f>IF(AND(H3147="TO CLOSE",P3147=0),-G3147*(M3147-R3146)*IF(E3147="FUTURE",VLOOKUP(MID(I3147,2,2),[1]Futures!$A$2:$B$12,2),1),"")</f>
        <v/>
      </c>
    </row>
    <row r="3148" spans="1:19" x14ac:dyDescent="0.2">
      <c r="A3148">
        <f t="shared" si="149"/>
        <v>1013</v>
      </c>
      <c r="B3148" s="3">
        <v>44144</v>
      </c>
      <c r="C3148" s="3" t="str">
        <f t="shared" si="148"/>
        <v>Monday</v>
      </c>
      <c r="D3148" s="2">
        <v>0.60506944444444444</v>
      </c>
      <c r="E3148" t="s">
        <v>14</v>
      </c>
      <c r="F3148" t="s">
        <v>15</v>
      </c>
      <c r="G3148">
        <v>-1</v>
      </c>
      <c r="H3148" t="s">
        <v>16</v>
      </c>
      <c r="I3148" t="s">
        <v>85</v>
      </c>
      <c r="J3148" s="1">
        <v>44185</v>
      </c>
      <c r="L3148" t="s">
        <v>14</v>
      </c>
      <c r="M3148">
        <v>3592.25</v>
      </c>
      <c r="N3148">
        <v>3592.25</v>
      </c>
      <c r="O3148" t="s">
        <v>18</v>
      </c>
      <c r="P3148">
        <f t="shared" si="150"/>
        <v>0</v>
      </c>
      <c r="Q3148" s="11">
        <f>IF(P3148=0,0,IFERROR(Q3147+G3148*M3148*IF(E3148="FUTURE",VLOOKUP(MID(I3148,2,2),[1]Futures!$A$2:$B$12,2),1),G3148*M3148*IF(E3148="FUTURE",VLOOKUP(MID(I3148,2,2),[1]Futures!$A$2:$B$12,2),1)))</f>
        <v>0</v>
      </c>
      <c r="R3148" s="12" t="str">
        <f>IFERROR(Q3148/P3148/IF(E3148="FUTURE",VLOOKUP(MID(I3148,2,2),[1]Futures!$A$2:$B$12,2),1),"")</f>
        <v/>
      </c>
      <c r="S3148" s="13">
        <f>IF(AND(H3148="TO CLOSE",P3148=0),-G3148*(M3148-R3147)*IF(E3148="FUTURE",VLOOKUP(MID(I3148,2,2),[1]Futures!$A$2:$B$12,2),1),"")</f>
        <v>-312.5</v>
      </c>
    </row>
    <row r="3149" spans="1:19" x14ac:dyDescent="0.2">
      <c r="A3149">
        <f t="shared" si="149"/>
        <v>1014</v>
      </c>
      <c r="B3149" s="3">
        <v>44144</v>
      </c>
      <c r="C3149" s="3" t="str">
        <f t="shared" si="148"/>
        <v>Monday</v>
      </c>
      <c r="D3149" s="2">
        <v>0.63045138888888885</v>
      </c>
      <c r="E3149" t="s">
        <v>14</v>
      </c>
      <c r="F3149" t="s">
        <v>19</v>
      </c>
      <c r="G3149">
        <v>1</v>
      </c>
      <c r="H3149" t="s">
        <v>20</v>
      </c>
      <c r="I3149" t="s">
        <v>85</v>
      </c>
      <c r="J3149" s="1">
        <v>44185</v>
      </c>
      <c r="L3149" t="s">
        <v>14</v>
      </c>
      <c r="M3149">
        <v>3600.25</v>
      </c>
      <c r="N3149">
        <v>3600.25</v>
      </c>
      <c r="O3149" t="s">
        <v>21</v>
      </c>
      <c r="P3149">
        <f t="shared" si="150"/>
        <v>1</v>
      </c>
      <c r="Q3149" s="11">
        <f>IF(P3149=0,0,IFERROR(Q3148+G3149*M3149*IF(E3149="FUTURE",VLOOKUP(MID(I3149,2,2),[1]Futures!$A$2:$B$12,2),1),G3149*M3149*IF(E3149="FUTURE",VLOOKUP(MID(I3149,2,2),[1]Futures!$A$2:$B$12,2),1)))</f>
        <v>180012.5</v>
      </c>
      <c r="R3149" s="12">
        <f>IFERROR(Q3149/P3149/IF(E3149="FUTURE",VLOOKUP(MID(I3149,2,2),[1]Futures!$A$2:$B$12,2),1),"")</f>
        <v>3600.25</v>
      </c>
      <c r="S3149" s="13" t="str">
        <f>IF(AND(H3149="TO CLOSE",P3149=0),-G3149*(M3149-R3148)*IF(E3149="FUTURE",VLOOKUP(MID(I3149,2,2),[1]Futures!$A$2:$B$12,2),1),"")</f>
        <v/>
      </c>
    </row>
    <row r="3150" spans="1:19" x14ac:dyDescent="0.2">
      <c r="A3150">
        <f t="shared" si="149"/>
        <v>1014</v>
      </c>
      <c r="B3150" s="3">
        <v>44144</v>
      </c>
      <c r="C3150" s="3" t="str">
        <f t="shared" si="148"/>
        <v>Monday</v>
      </c>
      <c r="D3150" s="2">
        <v>0.67185185185185192</v>
      </c>
      <c r="E3150" t="s">
        <v>14</v>
      </c>
      <c r="F3150" t="s">
        <v>15</v>
      </c>
      <c r="G3150">
        <v>-1</v>
      </c>
      <c r="H3150" t="s">
        <v>16</v>
      </c>
      <c r="I3150" t="s">
        <v>85</v>
      </c>
      <c r="J3150" s="1">
        <v>44185</v>
      </c>
      <c r="L3150" t="s">
        <v>14</v>
      </c>
      <c r="M3150">
        <v>3550.25</v>
      </c>
      <c r="N3150">
        <v>3550.25</v>
      </c>
      <c r="O3150" t="s">
        <v>21</v>
      </c>
      <c r="P3150">
        <f t="shared" si="150"/>
        <v>0</v>
      </c>
      <c r="Q3150" s="11">
        <f>IF(P3150=0,0,IFERROR(Q3149+G3150*M3150*IF(E3150="FUTURE",VLOOKUP(MID(I3150,2,2),[1]Futures!$A$2:$B$12,2),1),G3150*M3150*IF(E3150="FUTURE",VLOOKUP(MID(I3150,2,2),[1]Futures!$A$2:$B$12,2),1)))</f>
        <v>0</v>
      </c>
      <c r="R3150" s="12" t="str">
        <f>IFERROR(Q3150/P3150/IF(E3150="FUTURE",VLOOKUP(MID(I3150,2,2),[1]Futures!$A$2:$B$12,2),1),"")</f>
        <v/>
      </c>
      <c r="S3150" s="13">
        <f>IF(AND(H3150="TO CLOSE",P3150=0),-G3150*(M3150-R3149)*IF(E3150="FUTURE",VLOOKUP(MID(I3150,2,2),[1]Futures!$A$2:$B$12,2),1),"")</f>
        <v>-2500</v>
      </c>
    </row>
    <row r="3151" spans="1:19" x14ac:dyDescent="0.2">
      <c r="A3151">
        <f t="shared" si="149"/>
        <v>1015</v>
      </c>
      <c r="B3151" s="3">
        <v>44144</v>
      </c>
      <c r="C3151" s="3" t="str">
        <f t="shared" si="148"/>
        <v>Monday</v>
      </c>
      <c r="D3151" s="2">
        <v>0.81413194444444448</v>
      </c>
      <c r="E3151" t="s">
        <v>14</v>
      </c>
      <c r="F3151" t="s">
        <v>19</v>
      </c>
      <c r="G3151">
        <v>1</v>
      </c>
      <c r="H3151" t="s">
        <v>20</v>
      </c>
      <c r="I3151" t="s">
        <v>85</v>
      </c>
      <c r="J3151" s="1">
        <v>44185</v>
      </c>
      <c r="L3151" t="s">
        <v>14</v>
      </c>
      <c r="M3151">
        <v>3535.25</v>
      </c>
      <c r="N3151">
        <v>3535.25</v>
      </c>
      <c r="O3151" t="s">
        <v>21</v>
      </c>
      <c r="P3151">
        <f t="shared" si="150"/>
        <v>1</v>
      </c>
      <c r="Q3151" s="11">
        <f>IF(P3151=0,0,IFERROR(Q3150+G3151*M3151*IF(E3151="FUTURE",VLOOKUP(MID(I3151,2,2),[1]Futures!$A$2:$B$12,2),1),G3151*M3151*IF(E3151="FUTURE",VLOOKUP(MID(I3151,2,2),[1]Futures!$A$2:$B$12,2),1)))</f>
        <v>176762.5</v>
      </c>
      <c r="R3151" s="12">
        <f>IFERROR(Q3151/P3151/IF(E3151="FUTURE",VLOOKUP(MID(I3151,2,2),[1]Futures!$A$2:$B$12,2),1),"")</f>
        <v>3535.25</v>
      </c>
      <c r="S3151" s="13" t="str">
        <f>IF(AND(H3151="TO CLOSE",P3151=0),-G3151*(M3151-R3150)*IF(E3151="FUTURE",VLOOKUP(MID(I3151,2,2),[1]Futures!$A$2:$B$12,2),1),"")</f>
        <v/>
      </c>
    </row>
    <row r="3152" spans="1:19" x14ac:dyDescent="0.2">
      <c r="A3152">
        <f t="shared" si="149"/>
        <v>1015</v>
      </c>
      <c r="B3152" s="3">
        <v>44144</v>
      </c>
      <c r="C3152" s="3" t="str">
        <f t="shared" si="148"/>
        <v>Monday</v>
      </c>
      <c r="D3152" s="2">
        <v>0.84094907407407404</v>
      </c>
      <c r="E3152" t="s">
        <v>14</v>
      </c>
      <c r="F3152" t="s">
        <v>15</v>
      </c>
      <c r="G3152">
        <v>-1</v>
      </c>
      <c r="H3152" t="s">
        <v>16</v>
      </c>
      <c r="I3152" t="s">
        <v>85</v>
      </c>
      <c r="J3152" s="1">
        <v>44185</v>
      </c>
      <c r="L3152" t="s">
        <v>14</v>
      </c>
      <c r="M3152">
        <v>3541.25</v>
      </c>
      <c r="N3152">
        <v>3541.25</v>
      </c>
      <c r="O3152" t="s">
        <v>18</v>
      </c>
      <c r="P3152">
        <f t="shared" si="150"/>
        <v>0</v>
      </c>
      <c r="Q3152" s="11">
        <f>IF(P3152=0,0,IFERROR(Q3151+G3152*M3152*IF(E3152="FUTURE",VLOOKUP(MID(I3152,2,2),[1]Futures!$A$2:$B$12,2),1),G3152*M3152*IF(E3152="FUTURE",VLOOKUP(MID(I3152,2,2),[1]Futures!$A$2:$B$12,2),1)))</f>
        <v>0</v>
      </c>
      <c r="R3152" s="12" t="str">
        <f>IFERROR(Q3152/P3152/IF(E3152="FUTURE",VLOOKUP(MID(I3152,2,2),[1]Futures!$A$2:$B$12,2),1),"")</f>
        <v/>
      </c>
      <c r="S3152" s="13">
        <f>IF(AND(H3152="TO CLOSE",P3152=0),-G3152*(M3152-R3151)*IF(E3152="FUTURE",VLOOKUP(MID(I3152,2,2),[1]Futures!$A$2:$B$12,2),1),"")</f>
        <v>300</v>
      </c>
    </row>
    <row r="3153" spans="1:19" x14ac:dyDescent="0.2">
      <c r="A3153">
        <f t="shared" si="149"/>
        <v>1016</v>
      </c>
      <c r="B3153" s="3">
        <v>44144</v>
      </c>
      <c r="C3153" s="3" t="str">
        <f t="shared" si="148"/>
        <v>Monday</v>
      </c>
      <c r="D3153" s="2">
        <v>0.41471064814814818</v>
      </c>
      <c r="E3153" t="s">
        <v>22</v>
      </c>
      <c r="F3153" t="s">
        <v>15</v>
      </c>
      <c r="G3153">
        <v>-300</v>
      </c>
      <c r="H3153" t="s">
        <v>20</v>
      </c>
      <c r="I3153" t="s">
        <v>23</v>
      </c>
      <c r="L3153" t="s">
        <v>22</v>
      </c>
      <c r="M3153">
        <v>19.344999999999999</v>
      </c>
      <c r="N3153">
        <v>19.344999999999999</v>
      </c>
      <c r="O3153" t="s">
        <v>21</v>
      </c>
      <c r="P3153">
        <f t="shared" si="150"/>
        <v>-300</v>
      </c>
      <c r="Q3153" s="11">
        <f>IF(P3153=0,0,IFERROR(Q3152+G3153*M3153*IF(E3153="FUTURE",VLOOKUP(MID(I3153,2,2),[1]Futures!$A$2:$B$12,2),1),G3153*M3153*IF(E3153="FUTURE",VLOOKUP(MID(I3153,2,2),[1]Futures!$A$2:$B$12,2),1)))</f>
        <v>-5803.5</v>
      </c>
      <c r="R3153" s="12">
        <f>IFERROR(Q3153/P3153/IF(E3153="FUTURE",VLOOKUP(MID(I3153,2,2),[1]Futures!$A$2:$B$12,2),1),"")</f>
        <v>19.344999999999999</v>
      </c>
      <c r="S3153" s="13" t="str">
        <f>IF(AND(H3153="TO CLOSE",P3153=0),-G3153*(M3153-R3152)*IF(E3153="FUTURE",VLOOKUP(MID(I3153,2,2),[1]Futures!$A$2:$B$12,2),1),"")</f>
        <v/>
      </c>
    </row>
    <row r="3154" spans="1:19" x14ac:dyDescent="0.2">
      <c r="A3154">
        <f t="shared" si="149"/>
        <v>1016</v>
      </c>
      <c r="B3154" s="3">
        <v>44144</v>
      </c>
      <c r="C3154" s="3" t="str">
        <f t="shared" si="148"/>
        <v>Monday</v>
      </c>
      <c r="D3154" s="2">
        <v>0.41934027777777777</v>
      </c>
      <c r="E3154" t="s">
        <v>22</v>
      </c>
      <c r="F3154" t="s">
        <v>19</v>
      </c>
      <c r="G3154">
        <v>100</v>
      </c>
      <c r="H3154" t="s">
        <v>16</v>
      </c>
      <c r="I3154" t="s">
        <v>23</v>
      </c>
      <c r="L3154" t="s">
        <v>22</v>
      </c>
      <c r="M3154">
        <v>19.16</v>
      </c>
      <c r="N3154">
        <v>19.16</v>
      </c>
      <c r="O3154" t="s">
        <v>21</v>
      </c>
      <c r="P3154">
        <f t="shared" si="150"/>
        <v>-200</v>
      </c>
      <c r="Q3154" s="11">
        <f>IF(P3154=0,0,IFERROR(Q3153+G3154*M3154*IF(E3154="FUTURE",VLOOKUP(MID(I3154,2,2),[1]Futures!$A$2:$B$12,2),1),G3154*M3154*IF(E3154="FUTURE",VLOOKUP(MID(I3154,2,2),[1]Futures!$A$2:$B$12,2),1)))</f>
        <v>-3887.5</v>
      </c>
      <c r="R3154" s="12">
        <f>IFERROR(Q3154/P3154/IF(E3154="FUTURE",VLOOKUP(MID(I3154,2,2),[1]Futures!$A$2:$B$12,2),1),"")</f>
        <v>19.4375</v>
      </c>
      <c r="S3154" s="13" t="str">
        <f>IF(AND(H3154="TO CLOSE",P3154=0),-G3154*(M3154-R3153)*IF(E3154="FUTURE",VLOOKUP(MID(I3154,2,2),[1]Futures!$A$2:$B$12,2),1),"")</f>
        <v/>
      </c>
    </row>
    <row r="3155" spans="1:19" x14ac:dyDescent="0.2">
      <c r="A3155">
        <f t="shared" si="149"/>
        <v>1016</v>
      </c>
      <c r="B3155" s="3">
        <v>44144</v>
      </c>
      <c r="C3155" s="3" t="str">
        <f t="shared" si="148"/>
        <v>Monday</v>
      </c>
      <c r="D3155" s="2">
        <v>0.42042824074074076</v>
      </c>
      <c r="E3155" t="s">
        <v>22</v>
      </c>
      <c r="F3155" t="s">
        <v>19</v>
      </c>
      <c r="G3155">
        <v>100</v>
      </c>
      <c r="H3155" t="s">
        <v>16</v>
      </c>
      <c r="I3155" t="s">
        <v>23</v>
      </c>
      <c r="L3155" t="s">
        <v>22</v>
      </c>
      <c r="M3155">
        <v>19.100000000000001</v>
      </c>
      <c r="N3155">
        <v>19.100000000000001</v>
      </c>
      <c r="O3155" t="s">
        <v>21</v>
      </c>
      <c r="P3155">
        <f t="shared" si="150"/>
        <v>-100</v>
      </c>
      <c r="Q3155" s="11">
        <f>IF(P3155=0,0,IFERROR(Q3154+G3155*M3155*IF(E3155="FUTURE",VLOOKUP(MID(I3155,2,2),[1]Futures!$A$2:$B$12,2),1),G3155*M3155*IF(E3155="FUTURE",VLOOKUP(MID(I3155,2,2),[1]Futures!$A$2:$B$12,2),1)))</f>
        <v>-1977.4999999999998</v>
      </c>
      <c r="R3155" s="12">
        <f>IFERROR(Q3155/P3155/IF(E3155="FUTURE",VLOOKUP(MID(I3155,2,2),[1]Futures!$A$2:$B$12,2),1),"")</f>
        <v>19.774999999999999</v>
      </c>
      <c r="S3155" s="13" t="str">
        <f>IF(AND(H3155="TO CLOSE",P3155=0),-G3155*(M3155-R3154)*IF(E3155="FUTURE",VLOOKUP(MID(I3155,2,2),[1]Futures!$A$2:$B$12,2),1),"")</f>
        <v/>
      </c>
    </row>
    <row r="3156" spans="1:19" x14ac:dyDescent="0.2">
      <c r="A3156">
        <f t="shared" si="149"/>
        <v>1016</v>
      </c>
      <c r="B3156" s="3">
        <v>44144</v>
      </c>
      <c r="C3156" s="3" t="str">
        <f t="shared" si="148"/>
        <v>Monday</v>
      </c>
      <c r="D3156" s="2">
        <v>0.42207175925925927</v>
      </c>
      <c r="E3156" t="s">
        <v>22</v>
      </c>
      <c r="F3156" t="s">
        <v>19</v>
      </c>
      <c r="G3156">
        <v>100</v>
      </c>
      <c r="H3156" t="s">
        <v>16</v>
      </c>
      <c r="I3156" t="s">
        <v>23</v>
      </c>
      <c r="L3156" t="s">
        <v>22</v>
      </c>
      <c r="M3156">
        <v>19.059999999999999</v>
      </c>
      <c r="N3156">
        <v>19.059999999999999</v>
      </c>
      <c r="O3156" t="s">
        <v>21</v>
      </c>
      <c r="P3156">
        <f t="shared" si="150"/>
        <v>0</v>
      </c>
      <c r="Q3156" s="11">
        <f>IF(P3156=0,0,IFERROR(Q3155+G3156*M3156*IF(E3156="FUTURE",VLOOKUP(MID(I3156,2,2),[1]Futures!$A$2:$B$12,2),1),G3156*M3156*IF(E3156="FUTURE",VLOOKUP(MID(I3156,2,2),[1]Futures!$A$2:$B$12,2),1)))</f>
        <v>0</v>
      </c>
      <c r="R3156" s="12" t="str">
        <f>IFERROR(Q3156/P3156/IF(E3156="FUTURE",VLOOKUP(MID(I3156,2,2),[1]Futures!$A$2:$B$12,2),1),"")</f>
        <v/>
      </c>
      <c r="S3156" s="13">
        <f>IF(AND(H3156="TO CLOSE",P3156=0),-G3156*(M3156-R3155)*IF(E3156="FUTURE",VLOOKUP(MID(I3156,2,2),[1]Futures!$A$2:$B$12,2),1),"")</f>
        <v>71.499999999999986</v>
      </c>
    </row>
    <row r="3157" spans="1:19" x14ac:dyDescent="0.2">
      <c r="A3157">
        <f t="shared" si="149"/>
        <v>1017</v>
      </c>
      <c r="B3157" s="3">
        <v>44144</v>
      </c>
      <c r="C3157" s="3" t="str">
        <f t="shared" si="148"/>
        <v>Monday</v>
      </c>
      <c r="D3157" s="2">
        <v>0.90792824074074074</v>
      </c>
      <c r="E3157" t="s">
        <v>14</v>
      </c>
      <c r="F3157" t="s">
        <v>19</v>
      </c>
      <c r="G3157">
        <v>1</v>
      </c>
      <c r="H3157" t="s">
        <v>20</v>
      </c>
      <c r="I3157" t="s">
        <v>85</v>
      </c>
      <c r="J3157" s="1">
        <v>44185</v>
      </c>
      <c r="L3157" t="s">
        <v>14</v>
      </c>
      <c r="M3157">
        <v>3534.25</v>
      </c>
      <c r="N3157">
        <v>3534.25</v>
      </c>
      <c r="O3157" t="s">
        <v>21</v>
      </c>
      <c r="P3157">
        <f t="shared" si="150"/>
        <v>1</v>
      </c>
      <c r="Q3157" s="11">
        <f>IF(P3157=0,0,IFERROR(Q3156+G3157*M3157*IF(E3157="FUTURE",VLOOKUP(MID(I3157,2,2),[1]Futures!$A$2:$B$12,2),1),G3157*M3157*IF(E3157="FUTURE",VLOOKUP(MID(I3157,2,2),[1]Futures!$A$2:$B$12,2),1)))</f>
        <v>176712.5</v>
      </c>
      <c r="R3157" s="12">
        <f>IFERROR(Q3157/P3157/IF(E3157="FUTURE",VLOOKUP(MID(I3157,2,2),[1]Futures!$A$2:$B$12,2),1),"")</f>
        <v>3534.25</v>
      </c>
      <c r="S3157" s="13" t="str">
        <f>IF(AND(H3157="TO CLOSE",P3157=0),-G3157*(M3157-R3156)*IF(E3157="FUTURE",VLOOKUP(MID(I3157,2,2),[1]Futures!$A$2:$B$12,2),1),"")</f>
        <v/>
      </c>
    </row>
    <row r="3158" spans="1:19" x14ac:dyDescent="0.2">
      <c r="A3158">
        <f t="shared" si="149"/>
        <v>1017</v>
      </c>
      <c r="B3158" s="3">
        <v>44145</v>
      </c>
      <c r="C3158" s="3" t="str">
        <f t="shared" si="148"/>
        <v>Tuesday</v>
      </c>
      <c r="D3158" s="2">
        <v>7.6689814814814808E-2</v>
      </c>
      <c r="E3158" t="s">
        <v>14</v>
      </c>
      <c r="F3158" t="s">
        <v>15</v>
      </c>
      <c r="G3158">
        <v>-1</v>
      </c>
      <c r="H3158" t="s">
        <v>16</v>
      </c>
      <c r="I3158" t="s">
        <v>85</v>
      </c>
      <c r="J3158" s="1">
        <v>44185</v>
      </c>
      <c r="L3158" t="s">
        <v>14</v>
      </c>
      <c r="M3158">
        <v>3534.75</v>
      </c>
      <c r="N3158">
        <v>3534.75</v>
      </c>
      <c r="O3158" t="s">
        <v>18</v>
      </c>
      <c r="P3158">
        <f t="shared" si="150"/>
        <v>0</v>
      </c>
      <c r="Q3158" s="11">
        <f>IF(P3158=0,0,IFERROR(Q3157+G3158*M3158*IF(E3158="FUTURE",VLOOKUP(MID(I3158,2,2),[1]Futures!$A$2:$B$12,2),1),G3158*M3158*IF(E3158="FUTURE",VLOOKUP(MID(I3158,2,2),[1]Futures!$A$2:$B$12,2),1)))</f>
        <v>0</v>
      </c>
      <c r="R3158" s="12" t="str">
        <f>IFERROR(Q3158/P3158/IF(E3158="FUTURE",VLOOKUP(MID(I3158,2,2),[1]Futures!$A$2:$B$12,2),1),"")</f>
        <v/>
      </c>
      <c r="S3158" s="13">
        <f>IF(AND(H3158="TO CLOSE",P3158=0),-G3158*(M3158-R3157)*IF(E3158="FUTURE",VLOOKUP(MID(I3158,2,2),[1]Futures!$A$2:$B$12,2),1),"")</f>
        <v>25</v>
      </c>
    </row>
    <row r="3159" spans="1:19" x14ac:dyDescent="0.2">
      <c r="A3159">
        <f t="shared" si="149"/>
        <v>1018</v>
      </c>
      <c r="B3159" s="3">
        <v>44145</v>
      </c>
      <c r="C3159" s="3" t="str">
        <f t="shared" si="148"/>
        <v>Tuesday</v>
      </c>
      <c r="D3159" s="2">
        <v>0.34239583333333329</v>
      </c>
      <c r="E3159" t="s">
        <v>14</v>
      </c>
      <c r="F3159" t="s">
        <v>15</v>
      </c>
      <c r="G3159">
        <v>-1</v>
      </c>
      <c r="H3159" t="s">
        <v>20</v>
      </c>
      <c r="I3159" t="s">
        <v>86</v>
      </c>
      <c r="J3159" s="1">
        <v>44185</v>
      </c>
      <c r="L3159" t="s">
        <v>14</v>
      </c>
      <c r="M3159">
        <v>40.479999999999997</v>
      </c>
      <c r="N3159">
        <v>40.479999999999997</v>
      </c>
      <c r="O3159" t="s">
        <v>24</v>
      </c>
      <c r="P3159">
        <f t="shared" si="150"/>
        <v>-1</v>
      </c>
      <c r="Q3159" s="11">
        <f>IF(P3159=0,0,IFERROR(Q3158+G3159*M3159*IF(E3159="FUTURE",VLOOKUP(MID(I3159,2,2),[1]Futures!$A$2:$B$12,2),1),G3159*M3159*IF(E3159="FUTURE",VLOOKUP(MID(I3159,2,2),[1]Futures!$A$2:$B$12,2),1)))</f>
        <v>-40480</v>
      </c>
      <c r="R3159" s="12">
        <f>IFERROR(Q3159/P3159/IF(E3159="FUTURE",VLOOKUP(MID(I3159,2,2),[1]Futures!$A$2:$B$12,2),1),"")</f>
        <v>40.479999999999997</v>
      </c>
      <c r="S3159" s="13" t="str">
        <f>IF(AND(H3159="TO CLOSE",P3159=0),-G3159*(M3159-R3158)*IF(E3159="FUTURE",VLOOKUP(MID(I3159,2,2),[1]Futures!$A$2:$B$12,2),1),"")</f>
        <v/>
      </c>
    </row>
    <row r="3160" spans="1:19" x14ac:dyDescent="0.2">
      <c r="A3160">
        <f t="shared" si="149"/>
        <v>1018</v>
      </c>
      <c r="B3160" s="3">
        <v>44145</v>
      </c>
      <c r="C3160" s="3" t="str">
        <f t="shared" si="148"/>
        <v>Tuesday</v>
      </c>
      <c r="D3160" s="2">
        <v>0.34567129629629628</v>
      </c>
      <c r="E3160" t="s">
        <v>14</v>
      </c>
      <c r="F3160" t="s">
        <v>19</v>
      </c>
      <c r="G3160">
        <v>1</v>
      </c>
      <c r="H3160" t="s">
        <v>16</v>
      </c>
      <c r="I3160" t="s">
        <v>86</v>
      </c>
      <c r="J3160" s="1">
        <v>44185</v>
      </c>
      <c r="L3160" t="s">
        <v>14</v>
      </c>
      <c r="M3160">
        <v>40.36</v>
      </c>
      <c r="N3160">
        <v>40.36</v>
      </c>
      <c r="O3160" t="s">
        <v>21</v>
      </c>
      <c r="P3160">
        <f t="shared" si="150"/>
        <v>0</v>
      </c>
      <c r="Q3160" s="11">
        <f>IF(P3160=0,0,IFERROR(Q3159+G3160*M3160*IF(E3160="FUTURE",VLOOKUP(MID(I3160,2,2),[1]Futures!$A$2:$B$12,2),1),G3160*M3160*IF(E3160="FUTURE",VLOOKUP(MID(I3160,2,2),[1]Futures!$A$2:$B$12,2),1)))</f>
        <v>0</v>
      </c>
      <c r="R3160" s="12" t="str">
        <f>IFERROR(Q3160/P3160/IF(E3160="FUTURE",VLOOKUP(MID(I3160,2,2),[1]Futures!$A$2:$B$12,2),1),"")</f>
        <v/>
      </c>
      <c r="S3160" s="13">
        <f>IF(AND(H3160="TO CLOSE",P3160=0),-G3160*(M3160-R3159)*IF(E3160="FUTURE",VLOOKUP(MID(I3160,2,2),[1]Futures!$A$2:$B$12,2),1),"")</f>
        <v>119.99999999999744</v>
      </c>
    </row>
    <row r="3161" spans="1:19" x14ac:dyDescent="0.2">
      <c r="A3161">
        <f t="shared" si="149"/>
        <v>1019</v>
      </c>
      <c r="B3161" s="3">
        <v>44145</v>
      </c>
      <c r="C3161" s="3" t="str">
        <f t="shared" si="148"/>
        <v>Tuesday</v>
      </c>
      <c r="D3161" s="2">
        <v>0.34894675925925928</v>
      </c>
      <c r="E3161" t="s">
        <v>14</v>
      </c>
      <c r="F3161" t="s">
        <v>19</v>
      </c>
      <c r="G3161">
        <v>1</v>
      </c>
      <c r="H3161" t="s">
        <v>20</v>
      </c>
      <c r="I3161" t="s">
        <v>85</v>
      </c>
      <c r="J3161" s="1">
        <v>44185</v>
      </c>
      <c r="L3161" t="s">
        <v>14</v>
      </c>
      <c r="M3161">
        <v>3538.75</v>
      </c>
      <c r="N3161">
        <v>3538.75</v>
      </c>
      <c r="O3161" t="s">
        <v>21</v>
      </c>
      <c r="P3161">
        <f t="shared" si="150"/>
        <v>1</v>
      </c>
      <c r="Q3161" s="11">
        <f>IF(P3161=0,0,IFERROR(Q3160+G3161*M3161*IF(E3161="FUTURE",VLOOKUP(MID(I3161,2,2),[1]Futures!$A$2:$B$12,2),1),G3161*M3161*IF(E3161="FUTURE",VLOOKUP(MID(I3161,2,2),[1]Futures!$A$2:$B$12,2),1)))</f>
        <v>176937.5</v>
      </c>
      <c r="R3161" s="12">
        <f>IFERROR(Q3161/P3161/IF(E3161="FUTURE",VLOOKUP(MID(I3161,2,2),[1]Futures!$A$2:$B$12,2),1),"")</f>
        <v>3538.75</v>
      </c>
      <c r="S3161" s="13" t="str">
        <f>IF(AND(H3161="TO CLOSE",P3161=0),-G3161*(M3161-R3160)*IF(E3161="FUTURE",VLOOKUP(MID(I3161,2,2),[1]Futures!$A$2:$B$12,2),1),"")</f>
        <v/>
      </c>
    </row>
    <row r="3162" spans="1:19" x14ac:dyDescent="0.2">
      <c r="A3162">
        <f t="shared" si="149"/>
        <v>1019</v>
      </c>
      <c r="B3162" s="3">
        <v>44145</v>
      </c>
      <c r="C3162" s="3" t="str">
        <f t="shared" si="148"/>
        <v>Tuesday</v>
      </c>
      <c r="D3162" s="2">
        <v>0.39335648148148145</v>
      </c>
      <c r="E3162" t="s">
        <v>14</v>
      </c>
      <c r="F3162" t="s">
        <v>15</v>
      </c>
      <c r="G3162">
        <v>-2</v>
      </c>
      <c r="H3162" t="s">
        <v>16</v>
      </c>
      <c r="I3162" t="s">
        <v>85</v>
      </c>
      <c r="J3162" s="1">
        <v>44185</v>
      </c>
      <c r="L3162" t="s">
        <v>14</v>
      </c>
      <c r="M3162">
        <v>3529.5</v>
      </c>
      <c r="N3162">
        <v>3529.5</v>
      </c>
      <c r="O3162" t="s">
        <v>24</v>
      </c>
      <c r="P3162">
        <f t="shared" si="150"/>
        <v>-1</v>
      </c>
      <c r="Q3162" s="11">
        <f>IF(P3162=0,0,IFERROR(Q3161+G3162*M3162*IF(E3162="FUTURE",VLOOKUP(MID(I3162,2,2),[1]Futures!$A$2:$B$12,2),1),G3162*M3162*IF(E3162="FUTURE",VLOOKUP(MID(I3162,2,2),[1]Futures!$A$2:$B$12,2),1)))</f>
        <v>-176012.5</v>
      </c>
      <c r="R3162" s="12">
        <f>IFERROR(Q3162/P3162/IF(E3162="FUTURE",VLOOKUP(MID(I3162,2,2),[1]Futures!$A$2:$B$12,2),1),"")</f>
        <v>3520.25</v>
      </c>
      <c r="S3162" s="13" t="str">
        <f>IF(AND(H3162="TO CLOSE",P3162=0),-G3162*(M3162-R3161)*IF(E3162="FUTURE",VLOOKUP(MID(I3162,2,2),[1]Futures!$A$2:$B$12,2),1),"")</f>
        <v/>
      </c>
    </row>
    <row r="3163" spans="1:19" x14ac:dyDescent="0.2">
      <c r="A3163">
        <f t="shared" si="149"/>
        <v>1019</v>
      </c>
      <c r="B3163" s="3">
        <v>44145</v>
      </c>
      <c r="C3163" s="3" t="str">
        <f t="shared" si="148"/>
        <v>Tuesday</v>
      </c>
      <c r="D3163" s="2">
        <v>0.39579861111111114</v>
      </c>
      <c r="E3163" t="s">
        <v>14</v>
      </c>
      <c r="F3163" t="s">
        <v>19</v>
      </c>
      <c r="G3163">
        <v>2</v>
      </c>
      <c r="H3163" t="s">
        <v>16</v>
      </c>
      <c r="I3163" t="s">
        <v>85</v>
      </c>
      <c r="J3163" s="1">
        <v>44185</v>
      </c>
      <c r="L3163" t="s">
        <v>14</v>
      </c>
      <c r="M3163">
        <v>3535.25</v>
      </c>
      <c r="N3163">
        <v>3535.25</v>
      </c>
      <c r="O3163" t="s">
        <v>24</v>
      </c>
      <c r="P3163">
        <f t="shared" si="150"/>
        <v>1</v>
      </c>
      <c r="Q3163" s="11">
        <f>IF(P3163=0,0,IFERROR(Q3162+G3163*M3163*IF(E3163="FUTURE",VLOOKUP(MID(I3163,2,2),[1]Futures!$A$2:$B$12,2),1),G3163*M3163*IF(E3163="FUTURE",VLOOKUP(MID(I3163,2,2),[1]Futures!$A$2:$B$12,2),1)))</f>
        <v>177512.5</v>
      </c>
      <c r="R3163" s="12">
        <f>IFERROR(Q3163/P3163/IF(E3163="FUTURE",VLOOKUP(MID(I3163,2,2),[1]Futures!$A$2:$B$12,2),1),"")</f>
        <v>3550.25</v>
      </c>
      <c r="S3163" s="13" t="str">
        <f>IF(AND(H3163="TO CLOSE",P3163=0),-G3163*(M3163-R3162)*IF(E3163="FUTURE",VLOOKUP(MID(I3163,2,2),[1]Futures!$A$2:$B$12,2),1),"")</f>
        <v/>
      </c>
    </row>
    <row r="3164" spans="1:19" x14ac:dyDescent="0.2">
      <c r="A3164">
        <f t="shared" si="149"/>
        <v>1019</v>
      </c>
      <c r="B3164" s="3">
        <v>44145</v>
      </c>
      <c r="C3164" s="3" t="str">
        <f t="shared" si="148"/>
        <v>Tuesday</v>
      </c>
      <c r="D3164" s="2">
        <v>0.44153935185185184</v>
      </c>
      <c r="E3164" t="s">
        <v>14</v>
      </c>
      <c r="F3164" t="s">
        <v>15</v>
      </c>
      <c r="G3164">
        <v>-1</v>
      </c>
      <c r="H3164" t="s">
        <v>16</v>
      </c>
      <c r="I3164" t="s">
        <v>85</v>
      </c>
      <c r="J3164" s="1">
        <v>44185</v>
      </c>
      <c r="L3164" t="s">
        <v>14</v>
      </c>
      <c r="M3164">
        <v>3518.75</v>
      </c>
      <c r="N3164">
        <v>3518.75</v>
      </c>
      <c r="O3164" t="s">
        <v>18</v>
      </c>
      <c r="P3164">
        <f t="shared" si="150"/>
        <v>0</v>
      </c>
      <c r="Q3164" s="11">
        <f>IF(P3164=0,0,IFERROR(Q3163+G3164*M3164*IF(E3164="FUTURE",VLOOKUP(MID(I3164,2,2),[1]Futures!$A$2:$B$12,2),1),G3164*M3164*IF(E3164="FUTURE",VLOOKUP(MID(I3164,2,2),[1]Futures!$A$2:$B$12,2),1)))</f>
        <v>0</v>
      </c>
      <c r="R3164" s="12" t="str">
        <f>IFERROR(Q3164/P3164/IF(E3164="FUTURE",VLOOKUP(MID(I3164,2,2),[1]Futures!$A$2:$B$12,2),1),"")</f>
        <v/>
      </c>
      <c r="S3164" s="13">
        <f>IF(AND(H3164="TO CLOSE",P3164=0),-G3164*(M3164-R3163)*IF(E3164="FUTURE",VLOOKUP(MID(I3164,2,2),[1]Futures!$A$2:$B$12,2),1),"")</f>
        <v>-1575</v>
      </c>
    </row>
    <row r="3165" spans="1:19" x14ac:dyDescent="0.2">
      <c r="A3165">
        <f t="shared" si="149"/>
        <v>1020</v>
      </c>
      <c r="B3165" s="3">
        <v>44145</v>
      </c>
      <c r="C3165" s="3" t="str">
        <f t="shared" si="148"/>
        <v>Tuesday</v>
      </c>
      <c r="D3165" s="2">
        <v>0.46638888888888891</v>
      </c>
      <c r="E3165" t="s">
        <v>14</v>
      </c>
      <c r="F3165" t="s">
        <v>19</v>
      </c>
      <c r="G3165">
        <v>1</v>
      </c>
      <c r="H3165" t="s">
        <v>20</v>
      </c>
      <c r="I3165" t="s">
        <v>85</v>
      </c>
      <c r="J3165" s="1">
        <v>44185</v>
      </c>
      <c r="L3165" t="s">
        <v>14</v>
      </c>
      <c r="M3165">
        <v>3530.25</v>
      </c>
      <c r="N3165">
        <v>3530.25</v>
      </c>
      <c r="O3165" t="s">
        <v>21</v>
      </c>
      <c r="P3165">
        <f t="shared" si="150"/>
        <v>1</v>
      </c>
      <c r="Q3165" s="11">
        <f>IF(P3165=0,0,IFERROR(Q3164+G3165*M3165*IF(E3165="FUTURE",VLOOKUP(MID(I3165,2,2),[1]Futures!$A$2:$B$12,2),1),G3165*M3165*IF(E3165="FUTURE",VLOOKUP(MID(I3165,2,2),[1]Futures!$A$2:$B$12,2),1)))</f>
        <v>176512.5</v>
      </c>
      <c r="R3165" s="12">
        <f>IFERROR(Q3165/P3165/IF(E3165="FUTURE",VLOOKUP(MID(I3165,2,2),[1]Futures!$A$2:$B$12,2),1),"")</f>
        <v>3530.25</v>
      </c>
      <c r="S3165" s="13" t="str">
        <f>IF(AND(H3165="TO CLOSE",P3165=0),-G3165*(M3165-R3164)*IF(E3165="FUTURE",VLOOKUP(MID(I3165,2,2),[1]Futures!$A$2:$B$12,2),1),"")</f>
        <v/>
      </c>
    </row>
    <row r="3166" spans="1:19" x14ac:dyDescent="0.2">
      <c r="A3166">
        <f t="shared" si="149"/>
        <v>1020</v>
      </c>
      <c r="B3166" s="3">
        <v>44145</v>
      </c>
      <c r="C3166" s="3" t="str">
        <f t="shared" si="148"/>
        <v>Tuesday</v>
      </c>
      <c r="D3166" s="2">
        <v>0.48292824074074076</v>
      </c>
      <c r="E3166" t="s">
        <v>14</v>
      </c>
      <c r="F3166" t="s">
        <v>15</v>
      </c>
      <c r="G3166">
        <v>-1</v>
      </c>
      <c r="H3166" t="s">
        <v>16</v>
      </c>
      <c r="I3166" t="s">
        <v>85</v>
      </c>
      <c r="J3166" s="1">
        <v>44185</v>
      </c>
      <c r="L3166" t="s">
        <v>14</v>
      </c>
      <c r="M3166">
        <v>3530.75</v>
      </c>
      <c r="N3166">
        <v>3530.75</v>
      </c>
      <c r="O3166" t="s">
        <v>18</v>
      </c>
      <c r="P3166">
        <f t="shared" si="150"/>
        <v>0</v>
      </c>
      <c r="Q3166" s="11">
        <f>IF(P3166=0,0,IFERROR(Q3165+G3166*M3166*IF(E3166="FUTURE",VLOOKUP(MID(I3166,2,2),[1]Futures!$A$2:$B$12,2),1),G3166*M3166*IF(E3166="FUTURE",VLOOKUP(MID(I3166,2,2),[1]Futures!$A$2:$B$12,2),1)))</f>
        <v>0</v>
      </c>
      <c r="R3166" s="12" t="str">
        <f>IFERROR(Q3166/P3166/IF(E3166="FUTURE",VLOOKUP(MID(I3166,2,2),[1]Futures!$A$2:$B$12,2),1),"")</f>
        <v/>
      </c>
      <c r="S3166" s="13">
        <f>IF(AND(H3166="TO CLOSE",P3166=0),-G3166*(M3166-R3165)*IF(E3166="FUTURE",VLOOKUP(MID(I3166,2,2),[1]Futures!$A$2:$B$12,2),1),"")</f>
        <v>25</v>
      </c>
    </row>
    <row r="3167" spans="1:19" x14ac:dyDescent="0.2">
      <c r="A3167">
        <f t="shared" si="149"/>
        <v>1021</v>
      </c>
      <c r="B3167" s="3">
        <v>44146</v>
      </c>
      <c r="C3167" s="3" t="str">
        <f t="shared" si="148"/>
        <v>Wednesday</v>
      </c>
      <c r="D3167" s="2">
        <v>0.44915509259259262</v>
      </c>
      <c r="E3167" t="s">
        <v>14</v>
      </c>
      <c r="F3167" t="s">
        <v>15</v>
      </c>
      <c r="G3167">
        <v>-1</v>
      </c>
      <c r="H3167" t="s">
        <v>20</v>
      </c>
      <c r="I3167" t="s">
        <v>86</v>
      </c>
      <c r="J3167" s="1">
        <v>44185</v>
      </c>
      <c r="L3167" t="s">
        <v>14</v>
      </c>
      <c r="M3167">
        <v>42.27</v>
      </c>
      <c r="N3167">
        <v>42.27</v>
      </c>
      <c r="O3167" t="s">
        <v>21</v>
      </c>
      <c r="P3167">
        <f t="shared" si="150"/>
        <v>-1</v>
      </c>
      <c r="Q3167" s="11">
        <f>IF(P3167=0,0,IFERROR(Q3166+G3167*M3167*IF(E3167="FUTURE",VLOOKUP(MID(I3167,2,2),[1]Futures!$A$2:$B$12,2),1),G3167*M3167*IF(E3167="FUTURE",VLOOKUP(MID(I3167,2,2),[1]Futures!$A$2:$B$12,2),1)))</f>
        <v>-42270</v>
      </c>
      <c r="R3167" s="12">
        <f>IFERROR(Q3167/P3167/IF(E3167="FUTURE",VLOOKUP(MID(I3167,2,2),[1]Futures!$A$2:$B$12,2),1),"")</f>
        <v>42.27</v>
      </c>
      <c r="S3167" s="13" t="str">
        <f>IF(AND(H3167="TO CLOSE",P3167=0),-G3167*(M3167-R3166)*IF(E3167="FUTURE",VLOOKUP(MID(I3167,2,2),[1]Futures!$A$2:$B$12,2),1),"")</f>
        <v/>
      </c>
    </row>
    <row r="3168" spans="1:19" x14ac:dyDescent="0.2">
      <c r="A3168">
        <f t="shared" si="149"/>
        <v>1021</v>
      </c>
      <c r="B3168" s="3">
        <v>44146</v>
      </c>
      <c r="C3168" s="3" t="str">
        <f t="shared" si="148"/>
        <v>Wednesday</v>
      </c>
      <c r="D3168" s="2">
        <v>0.45708333333333334</v>
      </c>
      <c r="E3168" t="s">
        <v>14</v>
      </c>
      <c r="F3168" t="s">
        <v>19</v>
      </c>
      <c r="G3168">
        <v>1</v>
      </c>
      <c r="H3168" t="s">
        <v>16</v>
      </c>
      <c r="I3168" t="s">
        <v>86</v>
      </c>
      <c r="J3168" s="1">
        <v>44185</v>
      </c>
      <c r="L3168" t="s">
        <v>14</v>
      </c>
      <c r="M3168">
        <v>42.25</v>
      </c>
      <c r="N3168">
        <v>42.25</v>
      </c>
      <c r="O3168" t="s">
        <v>21</v>
      </c>
      <c r="P3168">
        <f t="shared" si="150"/>
        <v>0</v>
      </c>
      <c r="Q3168" s="11">
        <f>IF(P3168=0,0,IFERROR(Q3167+G3168*M3168*IF(E3168="FUTURE",VLOOKUP(MID(I3168,2,2),[1]Futures!$A$2:$B$12,2),1),G3168*M3168*IF(E3168="FUTURE",VLOOKUP(MID(I3168,2,2),[1]Futures!$A$2:$B$12,2),1)))</f>
        <v>0</v>
      </c>
      <c r="R3168" s="12" t="str">
        <f>IFERROR(Q3168/P3168/IF(E3168="FUTURE",VLOOKUP(MID(I3168,2,2),[1]Futures!$A$2:$B$12,2),1),"")</f>
        <v/>
      </c>
      <c r="S3168" s="13">
        <f>IF(AND(H3168="TO CLOSE",P3168=0),-G3168*(M3168-R3167)*IF(E3168="FUTURE",VLOOKUP(MID(I3168,2,2),[1]Futures!$A$2:$B$12,2),1),"")</f>
        <v>20.000000000003126</v>
      </c>
    </row>
    <row r="3169" spans="1:19" x14ac:dyDescent="0.2">
      <c r="A3169">
        <f t="shared" si="149"/>
        <v>1022</v>
      </c>
      <c r="B3169" s="3">
        <v>44146</v>
      </c>
      <c r="C3169" s="3" t="str">
        <f t="shared" si="148"/>
        <v>Wednesday</v>
      </c>
      <c r="D3169" s="2">
        <v>0.47187499999999999</v>
      </c>
      <c r="E3169" t="s">
        <v>14</v>
      </c>
      <c r="F3169" t="s">
        <v>19</v>
      </c>
      <c r="G3169">
        <v>1</v>
      </c>
      <c r="H3169" t="s">
        <v>20</v>
      </c>
      <c r="I3169" t="s">
        <v>86</v>
      </c>
      <c r="J3169" s="1">
        <v>44185</v>
      </c>
      <c r="L3169" t="s">
        <v>14</v>
      </c>
      <c r="M3169">
        <v>42.24</v>
      </c>
      <c r="N3169">
        <v>42.24</v>
      </c>
      <c r="O3169" t="s">
        <v>21</v>
      </c>
      <c r="P3169">
        <f t="shared" si="150"/>
        <v>1</v>
      </c>
      <c r="Q3169" s="11">
        <f>IF(P3169=0,0,IFERROR(Q3168+G3169*M3169*IF(E3169="FUTURE",VLOOKUP(MID(I3169,2,2),[1]Futures!$A$2:$B$12,2),1),G3169*M3169*IF(E3169="FUTURE",VLOOKUP(MID(I3169,2,2),[1]Futures!$A$2:$B$12,2),1)))</f>
        <v>42240</v>
      </c>
      <c r="R3169" s="12">
        <f>IFERROR(Q3169/P3169/IF(E3169="FUTURE",VLOOKUP(MID(I3169,2,2),[1]Futures!$A$2:$B$12,2),1),"")</f>
        <v>42.24</v>
      </c>
      <c r="S3169" s="13" t="str">
        <f>IF(AND(H3169="TO CLOSE",P3169=0),-G3169*(M3169-R3168)*IF(E3169="FUTURE",VLOOKUP(MID(I3169,2,2),[1]Futures!$A$2:$B$12,2),1),"")</f>
        <v/>
      </c>
    </row>
    <row r="3170" spans="1:19" x14ac:dyDescent="0.2">
      <c r="A3170">
        <f t="shared" si="149"/>
        <v>1022</v>
      </c>
      <c r="B3170" s="3">
        <v>44146</v>
      </c>
      <c r="C3170" s="3" t="str">
        <f t="shared" ref="C3170:C3233" si="151">IF(WEEKDAY(B3170,2)=1,"Monday",IF(WEEKDAY(B3170,2)=2,"Tuesday",IF(WEEKDAY(B3170,2)=3,"Wednesday",IF(WEEKDAY(B3170,2)=4,"Thursday",IF(WEEKDAY(B3170,2)=5,"Friday","Sunday")))))</f>
        <v>Wednesday</v>
      </c>
      <c r="D3170" s="2">
        <v>0.47949074074074072</v>
      </c>
      <c r="E3170" t="s">
        <v>14</v>
      </c>
      <c r="F3170" t="s">
        <v>15</v>
      </c>
      <c r="G3170">
        <v>-1</v>
      </c>
      <c r="H3170" t="s">
        <v>16</v>
      </c>
      <c r="I3170" t="s">
        <v>86</v>
      </c>
      <c r="J3170" s="1">
        <v>44185</v>
      </c>
      <c r="L3170" t="s">
        <v>14</v>
      </c>
      <c r="M3170">
        <v>42.26</v>
      </c>
      <c r="N3170">
        <v>42.26</v>
      </c>
      <c r="O3170" t="s">
        <v>21</v>
      </c>
      <c r="P3170">
        <f t="shared" si="150"/>
        <v>0</v>
      </c>
      <c r="Q3170" s="11">
        <f>IF(P3170=0,0,IFERROR(Q3169+G3170*M3170*IF(E3170="FUTURE",VLOOKUP(MID(I3170,2,2),[1]Futures!$A$2:$B$12,2),1),G3170*M3170*IF(E3170="FUTURE",VLOOKUP(MID(I3170,2,2),[1]Futures!$A$2:$B$12,2),1)))</f>
        <v>0</v>
      </c>
      <c r="R3170" s="12" t="str">
        <f>IFERROR(Q3170/P3170/IF(E3170="FUTURE",VLOOKUP(MID(I3170,2,2),[1]Futures!$A$2:$B$12,2),1),"")</f>
        <v/>
      </c>
      <c r="S3170" s="13">
        <f>IF(AND(H3170="TO CLOSE",P3170=0),-G3170*(M3170-R3169)*IF(E3170="FUTURE",VLOOKUP(MID(I3170,2,2),[1]Futures!$A$2:$B$12,2),1),"")</f>
        <v>19.999999999996021</v>
      </c>
    </row>
    <row r="3171" spans="1:19" x14ac:dyDescent="0.2">
      <c r="A3171">
        <f t="shared" si="149"/>
        <v>1023</v>
      </c>
      <c r="B3171" s="3">
        <v>44146</v>
      </c>
      <c r="C3171" s="3" t="str">
        <f t="shared" si="151"/>
        <v>Wednesday</v>
      </c>
      <c r="D3171" s="2">
        <v>0.49680555555555556</v>
      </c>
      <c r="E3171" t="s">
        <v>14</v>
      </c>
      <c r="F3171" t="s">
        <v>19</v>
      </c>
      <c r="G3171">
        <v>1</v>
      </c>
      <c r="H3171" t="s">
        <v>20</v>
      </c>
      <c r="I3171" t="s">
        <v>86</v>
      </c>
      <c r="J3171" s="1">
        <v>44185</v>
      </c>
      <c r="L3171" t="s">
        <v>14</v>
      </c>
      <c r="M3171">
        <v>42.23</v>
      </c>
      <c r="N3171">
        <v>42.23</v>
      </c>
      <c r="O3171" t="s">
        <v>24</v>
      </c>
      <c r="P3171">
        <f t="shared" si="150"/>
        <v>1</v>
      </c>
      <c r="Q3171" s="11">
        <f>IF(P3171=0,0,IFERROR(Q3170+G3171*M3171*IF(E3171="FUTURE",VLOOKUP(MID(I3171,2,2),[1]Futures!$A$2:$B$12,2),1),G3171*M3171*IF(E3171="FUTURE",VLOOKUP(MID(I3171,2,2),[1]Futures!$A$2:$B$12,2),1)))</f>
        <v>42230</v>
      </c>
      <c r="R3171" s="12">
        <f>IFERROR(Q3171/P3171/IF(E3171="FUTURE",VLOOKUP(MID(I3171,2,2),[1]Futures!$A$2:$B$12,2),1),"")</f>
        <v>42.23</v>
      </c>
      <c r="S3171" s="13" t="str">
        <f>IF(AND(H3171="TO CLOSE",P3171=0),-G3171*(M3171-R3170)*IF(E3171="FUTURE",VLOOKUP(MID(I3171,2,2),[1]Futures!$A$2:$B$12,2),1),"")</f>
        <v/>
      </c>
    </row>
    <row r="3172" spans="1:19" x14ac:dyDescent="0.2">
      <c r="A3172">
        <f t="shared" si="149"/>
        <v>1023</v>
      </c>
      <c r="B3172" s="3">
        <v>44146</v>
      </c>
      <c r="C3172" s="3" t="str">
        <f t="shared" si="151"/>
        <v>Wednesday</v>
      </c>
      <c r="D3172" s="2">
        <v>0.50635416666666666</v>
      </c>
      <c r="E3172" t="s">
        <v>14</v>
      </c>
      <c r="F3172" t="s">
        <v>15</v>
      </c>
      <c r="G3172">
        <v>-1</v>
      </c>
      <c r="H3172" t="s">
        <v>16</v>
      </c>
      <c r="I3172" t="s">
        <v>86</v>
      </c>
      <c r="J3172" s="1">
        <v>44185</v>
      </c>
      <c r="L3172" t="s">
        <v>14</v>
      </c>
      <c r="M3172">
        <v>42.24</v>
      </c>
      <c r="N3172">
        <v>42.24</v>
      </c>
      <c r="O3172" t="s">
        <v>21</v>
      </c>
      <c r="P3172">
        <f t="shared" si="150"/>
        <v>0</v>
      </c>
      <c r="Q3172" s="11">
        <f>IF(P3172=0,0,IFERROR(Q3171+G3172*M3172*IF(E3172="FUTURE",VLOOKUP(MID(I3172,2,2),[1]Futures!$A$2:$B$12,2),1),G3172*M3172*IF(E3172="FUTURE",VLOOKUP(MID(I3172,2,2),[1]Futures!$A$2:$B$12,2),1)))</f>
        <v>0</v>
      </c>
      <c r="R3172" s="12" t="str">
        <f>IFERROR(Q3172/P3172/IF(E3172="FUTURE",VLOOKUP(MID(I3172,2,2),[1]Futures!$A$2:$B$12,2),1),"")</f>
        <v/>
      </c>
      <c r="S3172" s="13">
        <f>IF(AND(H3172="TO CLOSE",P3172=0),-G3172*(M3172-R3171)*IF(E3172="FUTURE",VLOOKUP(MID(I3172,2,2),[1]Futures!$A$2:$B$12,2),1),"")</f>
        <v>10.000000000005116</v>
      </c>
    </row>
    <row r="3173" spans="1:19" x14ac:dyDescent="0.2">
      <c r="A3173">
        <f t="shared" si="149"/>
        <v>1024</v>
      </c>
      <c r="B3173" s="3">
        <v>44146</v>
      </c>
      <c r="C3173" s="3" t="str">
        <f t="shared" si="151"/>
        <v>Wednesday</v>
      </c>
      <c r="D3173" s="2">
        <v>0.39874999999999999</v>
      </c>
      <c r="E3173" t="s">
        <v>14</v>
      </c>
      <c r="F3173" t="s">
        <v>19</v>
      </c>
      <c r="G3173">
        <v>1</v>
      </c>
      <c r="H3173" t="s">
        <v>20</v>
      </c>
      <c r="I3173" t="s">
        <v>85</v>
      </c>
      <c r="J3173" s="1">
        <v>44185</v>
      </c>
      <c r="L3173" t="s">
        <v>14</v>
      </c>
      <c r="M3173">
        <v>3560</v>
      </c>
      <c r="N3173">
        <v>3560</v>
      </c>
      <c r="O3173" t="s">
        <v>21</v>
      </c>
      <c r="P3173">
        <f t="shared" si="150"/>
        <v>1</v>
      </c>
      <c r="Q3173" s="11">
        <f>IF(P3173=0,0,IFERROR(Q3172+G3173*M3173*IF(E3173="FUTURE",VLOOKUP(MID(I3173,2,2),[1]Futures!$A$2:$B$12,2),1),G3173*M3173*IF(E3173="FUTURE",VLOOKUP(MID(I3173,2,2),[1]Futures!$A$2:$B$12,2),1)))</f>
        <v>178000</v>
      </c>
      <c r="R3173" s="12">
        <f>IFERROR(Q3173/P3173/IF(E3173="FUTURE",VLOOKUP(MID(I3173,2,2),[1]Futures!$A$2:$B$12,2),1),"")</f>
        <v>3560</v>
      </c>
      <c r="S3173" s="13" t="str">
        <f>IF(AND(H3173="TO CLOSE",P3173=0),-G3173*(M3173-R3172)*IF(E3173="FUTURE",VLOOKUP(MID(I3173,2,2),[1]Futures!$A$2:$B$12,2),1),"")</f>
        <v/>
      </c>
    </row>
    <row r="3174" spans="1:19" x14ac:dyDescent="0.2">
      <c r="A3174">
        <f t="shared" si="149"/>
        <v>1024</v>
      </c>
      <c r="B3174" s="3">
        <v>44146</v>
      </c>
      <c r="C3174" s="3" t="str">
        <f t="shared" si="151"/>
        <v>Wednesday</v>
      </c>
      <c r="D3174" s="2">
        <v>0.40583333333333332</v>
      </c>
      <c r="E3174" t="s">
        <v>14</v>
      </c>
      <c r="F3174" t="s">
        <v>15</v>
      </c>
      <c r="G3174">
        <v>-1</v>
      </c>
      <c r="H3174" t="s">
        <v>16</v>
      </c>
      <c r="I3174" t="s">
        <v>85</v>
      </c>
      <c r="J3174" s="1">
        <v>44185</v>
      </c>
      <c r="L3174" t="s">
        <v>14</v>
      </c>
      <c r="M3174">
        <v>3564</v>
      </c>
      <c r="N3174">
        <v>3564</v>
      </c>
      <c r="O3174" t="s">
        <v>24</v>
      </c>
      <c r="P3174">
        <f t="shared" si="150"/>
        <v>0</v>
      </c>
      <c r="Q3174" s="11">
        <f>IF(P3174=0,0,IFERROR(Q3173+G3174*M3174*IF(E3174="FUTURE",VLOOKUP(MID(I3174,2,2),[1]Futures!$A$2:$B$12,2),1),G3174*M3174*IF(E3174="FUTURE",VLOOKUP(MID(I3174,2,2),[1]Futures!$A$2:$B$12,2),1)))</f>
        <v>0</v>
      </c>
      <c r="R3174" s="12" t="str">
        <f>IFERROR(Q3174/P3174/IF(E3174="FUTURE",VLOOKUP(MID(I3174,2,2),[1]Futures!$A$2:$B$12,2),1),"")</f>
        <v/>
      </c>
      <c r="S3174" s="13">
        <f>IF(AND(H3174="TO CLOSE",P3174=0),-G3174*(M3174-R3173)*IF(E3174="FUTURE",VLOOKUP(MID(I3174,2,2),[1]Futures!$A$2:$B$12,2),1),"")</f>
        <v>200</v>
      </c>
    </row>
    <row r="3175" spans="1:19" x14ac:dyDescent="0.2">
      <c r="A3175">
        <f t="shared" si="149"/>
        <v>1025</v>
      </c>
      <c r="B3175" s="3">
        <v>44147</v>
      </c>
      <c r="C3175" s="3" t="str">
        <f t="shared" si="151"/>
        <v>Thursday</v>
      </c>
      <c r="D3175" s="2">
        <v>0.44687499999999997</v>
      </c>
      <c r="E3175" t="s">
        <v>14</v>
      </c>
      <c r="F3175" t="s">
        <v>15</v>
      </c>
      <c r="G3175">
        <v>-1</v>
      </c>
      <c r="H3175" t="s">
        <v>20</v>
      </c>
      <c r="I3175" t="s">
        <v>86</v>
      </c>
      <c r="J3175" s="1">
        <v>44185</v>
      </c>
      <c r="L3175" t="s">
        <v>14</v>
      </c>
      <c r="M3175">
        <v>42.08</v>
      </c>
      <c r="N3175">
        <v>42.08</v>
      </c>
      <c r="O3175" t="s">
        <v>24</v>
      </c>
      <c r="P3175">
        <f t="shared" si="150"/>
        <v>-1</v>
      </c>
      <c r="Q3175" s="11">
        <f>IF(P3175=0,0,IFERROR(Q3174+G3175*M3175*IF(E3175="FUTURE",VLOOKUP(MID(I3175,2,2),[1]Futures!$A$2:$B$12,2),1),G3175*M3175*IF(E3175="FUTURE",VLOOKUP(MID(I3175,2,2),[1]Futures!$A$2:$B$12,2),1)))</f>
        <v>-42080</v>
      </c>
      <c r="R3175" s="12">
        <f>IFERROR(Q3175/P3175/IF(E3175="FUTURE",VLOOKUP(MID(I3175,2,2),[1]Futures!$A$2:$B$12,2),1),"")</f>
        <v>42.08</v>
      </c>
      <c r="S3175" s="13" t="str">
        <f>IF(AND(H3175="TO CLOSE",P3175=0),-G3175*(M3175-R3174)*IF(E3175="FUTURE",VLOOKUP(MID(I3175,2,2),[1]Futures!$A$2:$B$12,2),1),"")</f>
        <v/>
      </c>
    </row>
    <row r="3176" spans="1:19" x14ac:dyDescent="0.2">
      <c r="A3176">
        <f t="shared" si="149"/>
        <v>1025</v>
      </c>
      <c r="B3176" s="3">
        <v>44147</v>
      </c>
      <c r="C3176" s="3" t="str">
        <f t="shared" si="151"/>
        <v>Thursday</v>
      </c>
      <c r="D3176" s="2">
        <v>0.45833333333333331</v>
      </c>
      <c r="E3176" t="s">
        <v>14</v>
      </c>
      <c r="F3176" t="s">
        <v>19</v>
      </c>
      <c r="G3176">
        <v>1</v>
      </c>
      <c r="H3176" t="s">
        <v>16</v>
      </c>
      <c r="I3176" t="s">
        <v>86</v>
      </c>
      <c r="J3176" s="1">
        <v>44185</v>
      </c>
      <c r="L3176" t="s">
        <v>14</v>
      </c>
      <c r="M3176">
        <v>41.92</v>
      </c>
      <c r="N3176">
        <v>41.92</v>
      </c>
      <c r="O3176" t="s">
        <v>21</v>
      </c>
      <c r="P3176">
        <f t="shared" si="150"/>
        <v>0</v>
      </c>
      <c r="Q3176" s="11">
        <f>IF(P3176=0,0,IFERROR(Q3175+G3176*M3176*IF(E3176="FUTURE",VLOOKUP(MID(I3176,2,2),[1]Futures!$A$2:$B$12,2),1),G3176*M3176*IF(E3176="FUTURE",VLOOKUP(MID(I3176,2,2),[1]Futures!$A$2:$B$12,2),1)))</f>
        <v>0</v>
      </c>
      <c r="R3176" s="12" t="str">
        <f>IFERROR(Q3176/P3176/IF(E3176="FUTURE",VLOOKUP(MID(I3176,2,2),[1]Futures!$A$2:$B$12,2),1),"")</f>
        <v/>
      </c>
      <c r="S3176" s="13">
        <f>IF(AND(H3176="TO CLOSE",P3176=0),-G3176*(M3176-R3175)*IF(E3176="FUTURE",VLOOKUP(MID(I3176,2,2),[1]Futures!$A$2:$B$12,2),1),"")</f>
        <v>159.99999999999659</v>
      </c>
    </row>
    <row r="3177" spans="1:19" x14ac:dyDescent="0.2">
      <c r="A3177">
        <f t="shared" si="149"/>
        <v>1026</v>
      </c>
      <c r="B3177" s="3">
        <v>44147</v>
      </c>
      <c r="C3177" s="3" t="str">
        <f t="shared" si="151"/>
        <v>Thursday</v>
      </c>
      <c r="D3177" s="2">
        <v>0.5189583333333333</v>
      </c>
      <c r="E3177" t="s">
        <v>14</v>
      </c>
      <c r="F3177" t="s">
        <v>15</v>
      </c>
      <c r="G3177">
        <v>-1</v>
      </c>
      <c r="H3177" t="s">
        <v>20</v>
      </c>
      <c r="I3177" t="s">
        <v>86</v>
      </c>
      <c r="J3177" s="1">
        <v>44185</v>
      </c>
      <c r="L3177" t="s">
        <v>14</v>
      </c>
      <c r="M3177">
        <v>42.07</v>
      </c>
      <c r="N3177">
        <v>42.07</v>
      </c>
      <c r="O3177" t="s">
        <v>21</v>
      </c>
      <c r="P3177">
        <f t="shared" si="150"/>
        <v>-1</v>
      </c>
      <c r="Q3177" s="11">
        <f>IF(P3177=0,0,IFERROR(Q3176+G3177*M3177*IF(E3177="FUTURE",VLOOKUP(MID(I3177,2,2),[1]Futures!$A$2:$B$12,2),1),G3177*M3177*IF(E3177="FUTURE",VLOOKUP(MID(I3177,2,2),[1]Futures!$A$2:$B$12,2),1)))</f>
        <v>-42070</v>
      </c>
      <c r="R3177" s="12">
        <f>IFERROR(Q3177/P3177/IF(E3177="FUTURE",VLOOKUP(MID(I3177,2,2),[1]Futures!$A$2:$B$12,2),1),"")</f>
        <v>42.07</v>
      </c>
      <c r="S3177" s="13" t="str">
        <f>IF(AND(H3177="TO CLOSE",P3177=0),-G3177*(M3177-R3176)*IF(E3177="FUTURE",VLOOKUP(MID(I3177,2,2),[1]Futures!$A$2:$B$12,2),1),"")</f>
        <v/>
      </c>
    </row>
    <row r="3178" spans="1:19" x14ac:dyDescent="0.2">
      <c r="A3178">
        <f t="shared" si="149"/>
        <v>1026</v>
      </c>
      <c r="B3178" s="3">
        <v>44147</v>
      </c>
      <c r="C3178" s="3" t="str">
        <f t="shared" si="151"/>
        <v>Thursday</v>
      </c>
      <c r="D3178" s="2">
        <v>0.52978009259259262</v>
      </c>
      <c r="E3178" t="s">
        <v>14</v>
      </c>
      <c r="F3178" t="s">
        <v>19</v>
      </c>
      <c r="G3178">
        <v>1</v>
      </c>
      <c r="H3178" t="s">
        <v>16</v>
      </c>
      <c r="I3178" t="s">
        <v>86</v>
      </c>
      <c r="J3178" s="1">
        <v>44185</v>
      </c>
      <c r="L3178" t="s">
        <v>14</v>
      </c>
      <c r="M3178">
        <v>41.89</v>
      </c>
      <c r="N3178">
        <v>41.89</v>
      </c>
      <c r="O3178" t="s">
        <v>21</v>
      </c>
      <c r="P3178">
        <f t="shared" si="150"/>
        <v>0</v>
      </c>
      <c r="Q3178" s="11">
        <f>IF(P3178=0,0,IFERROR(Q3177+G3178*M3178*IF(E3178="FUTURE",VLOOKUP(MID(I3178,2,2),[1]Futures!$A$2:$B$12,2),1),G3178*M3178*IF(E3178="FUTURE",VLOOKUP(MID(I3178,2,2),[1]Futures!$A$2:$B$12,2),1)))</f>
        <v>0</v>
      </c>
      <c r="R3178" s="12" t="str">
        <f>IFERROR(Q3178/P3178/IF(E3178="FUTURE",VLOOKUP(MID(I3178,2,2),[1]Futures!$A$2:$B$12,2),1),"")</f>
        <v/>
      </c>
      <c r="S3178" s="13">
        <f>IF(AND(H3178="TO CLOSE",P3178=0),-G3178*(M3178-R3177)*IF(E3178="FUTURE",VLOOKUP(MID(I3178,2,2),[1]Futures!$A$2:$B$12,2),1),"")</f>
        <v>179.99999999999972</v>
      </c>
    </row>
    <row r="3179" spans="1:19" x14ac:dyDescent="0.2">
      <c r="A3179">
        <f t="shared" si="149"/>
        <v>1027</v>
      </c>
      <c r="B3179" s="3">
        <v>44147</v>
      </c>
      <c r="C3179" s="3" t="str">
        <f t="shared" si="151"/>
        <v>Thursday</v>
      </c>
      <c r="D3179" s="2">
        <v>0.41553240740740738</v>
      </c>
      <c r="E3179" t="s">
        <v>14</v>
      </c>
      <c r="F3179" t="s">
        <v>19</v>
      </c>
      <c r="G3179">
        <v>1</v>
      </c>
      <c r="H3179" t="s">
        <v>20</v>
      </c>
      <c r="I3179" t="s">
        <v>85</v>
      </c>
      <c r="J3179" s="1">
        <v>44185</v>
      </c>
      <c r="L3179" t="s">
        <v>14</v>
      </c>
      <c r="M3179">
        <v>3553.25</v>
      </c>
      <c r="N3179">
        <v>3553.25</v>
      </c>
      <c r="O3179" t="s">
        <v>21</v>
      </c>
      <c r="P3179">
        <f t="shared" si="150"/>
        <v>1</v>
      </c>
      <c r="Q3179" s="11">
        <f>IF(P3179=0,0,IFERROR(Q3178+G3179*M3179*IF(E3179="FUTURE",VLOOKUP(MID(I3179,2,2),[1]Futures!$A$2:$B$12,2),1),G3179*M3179*IF(E3179="FUTURE",VLOOKUP(MID(I3179,2,2),[1]Futures!$A$2:$B$12,2),1)))</f>
        <v>177662.5</v>
      </c>
      <c r="R3179" s="12">
        <f>IFERROR(Q3179/P3179/IF(E3179="FUTURE",VLOOKUP(MID(I3179,2,2),[1]Futures!$A$2:$B$12,2),1),"")</f>
        <v>3553.25</v>
      </c>
      <c r="S3179" s="13" t="str">
        <f>IF(AND(H3179="TO CLOSE",P3179=0),-G3179*(M3179-R3178)*IF(E3179="FUTURE",VLOOKUP(MID(I3179,2,2),[1]Futures!$A$2:$B$12,2),1),"")</f>
        <v/>
      </c>
    </row>
    <row r="3180" spans="1:19" x14ac:dyDescent="0.2">
      <c r="A3180">
        <f t="shared" si="149"/>
        <v>1027</v>
      </c>
      <c r="B3180" s="3">
        <v>44147</v>
      </c>
      <c r="C3180" s="3" t="str">
        <f t="shared" si="151"/>
        <v>Thursday</v>
      </c>
      <c r="D3180" s="2">
        <v>0.42525462962962962</v>
      </c>
      <c r="E3180" t="s">
        <v>14</v>
      </c>
      <c r="F3180" t="s">
        <v>15</v>
      </c>
      <c r="G3180">
        <v>-1</v>
      </c>
      <c r="H3180" t="s">
        <v>16</v>
      </c>
      <c r="I3180" t="s">
        <v>85</v>
      </c>
      <c r="J3180" s="1">
        <v>44185</v>
      </c>
      <c r="L3180" t="s">
        <v>14</v>
      </c>
      <c r="M3180">
        <v>3558.25</v>
      </c>
      <c r="N3180">
        <v>3558.25</v>
      </c>
      <c r="O3180" t="s">
        <v>21</v>
      </c>
      <c r="P3180">
        <f t="shared" si="150"/>
        <v>0</v>
      </c>
      <c r="Q3180" s="11">
        <f>IF(P3180=0,0,IFERROR(Q3179+G3180*M3180*IF(E3180="FUTURE",VLOOKUP(MID(I3180,2,2),[1]Futures!$A$2:$B$12,2),1),G3180*M3180*IF(E3180="FUTURE",VLOOKUP(MID(I3180,2,2),[1]Futures!$A$2:$B$12,2),1)))</f>
        <v>0</v>
      </c>
      <c r="R3180" s="12" t="str">
        <f>IFERROR(Q3180/P3180/IF(E3180="FUTURE",VLOOKUP(MID(I3180,2,2),[1]Futures!$A$2:$B$12,2),1),"")</f>
        <v/>
      </c>
      <c r="S3180" s="13">
        <f>IF(AND(H3180="TO CLOSE",P3180=0),-G3180*(M3180-R3179)*IF(E3180="FUTURE",VLOOKUP(MID(I3180,2,2),[1]Futures!$A$2:$B$12,2),1),"")</f>
        <v>250</v>
      </c>
    </row>
    <row r="3181" spans="1:19" x14ac:dyDescent="0.2">
      <c r="A3181">
        <f t="shared" si="149"/>
        <v>1028</v>
      </c>
      <c r="B3181" s="3">
        <v>44148</v>
      </c>
      <c r="C3181" s="3" t="str">
        <f t="shared" si="151"/>
        <v>Friday</v>
      </c>
      <c r="D3181" s="2">
        <v>0.38914351851851853</v>
      </c>
      <c r="E3181" t="s">
        <v>14</v>
      </c>
      <c r="F3181" t="s">
        <v>19</v>
      </c>
      <c r="G3181">
        <v>1</v>
      </c>
      <c r="H3181" t="s">
        <v>20</v>
      </c>
      <c r="I3181" t="s">
        <v>86</v>
      </c>
      <c r="J3181" s="1">
        <v>44185</v>
      </c>
      <c r="L3181" t="s">
        <v>14</v>
      </c>
      <c r="M3181">
        <v>40.74</v>
      </c>
      <c r="N3181">
        <v>40.74</v>
      </c>
      <c r="O3181" t="s">
        <v>24</v>
      </c>
      <c r="P3181">
        <f t="shared" si="150"/>
        <v>1</v>
      </c>
      <c r="Q3181" s="11">
        <f>IF(P3181=0,0,IFERROR(Q3180+G3181*M3181*IF(E3181="FUTURE",VLOOKUP(MID(I3181,2,2),[1]Futures!$A$2:$B$12,2),1),G3181*M3181*IF(E3181="FUTURE",VLOOKUP(MID(I3181,2,2),[1]Futures!$A$2:$B$12,2),1)))</f>
        <v>40740</v>
      </c>
      <c r="R3181" s="12">
        <f>IFERROR(Q3181/P3181/IF(E3181="FUTURE",VLOOKUP(MID(I3181,2,2),[1]Futures!$A$2:$B$12,2),1),"")</f>
        <v>40.74</v>
      </c>
      <c r="S3181" s="13" t="str">
        <f>IF(AND(H3181="TO CLOSE",P3181=0),-G3181*(M3181-R3180)*IF(E3181="FUTURE",VLOOKUP(MID(I3181,2,2),[1]Futures!$A$2:$B$12,2),1),"")</f>
        <v/>
      </c>
    </row>
    <row r="3182" spans="1:19" x14ac:dyDescent="0.2">
      <c r="A3182">
        <f t="shared" si="149"/>
        <v>1028</v>
      </c>
      <c r="B3182" s="3">
        <v>44148</v>
      </c>
      <c r="C3182" s="3" t="str">
        <f t="shared" si="151"/>
        <v>Friday</v>
      </c>
      <c r="D3182" s="2">
        <v>0.40111111111111114</v>
      </c>
      <c r="E3182" t="s">
        <v>14</v>
      </c>
      <c r="F3182" t="s">
        <v>19</v>
      </c>
      <c r="G3182">
        <v>1</v>
      </c>
      <c r="H3182" t="s">
        <v>20</v>
      </c>
      <c r="I3182" t="s">
        <v>86</v>
      </c>
      <c r="J3182" s="1">
        <v>44185</v>
      </c>
      <c r="L3182" t="s">
        <v>14</v>
      </c>
      <c r="M3182">
        <v>40.54</v>
      </c>
      <c r="N3182">
        <v>40.54</v>
      </c>
      <c r="O3182" t="s">
        <v>21</v>
      </c>
      <c r="P3182">
        <f t="shared" si="150"/>
        <v>2</v>
      </c>
      <c r="Q3182" s="11">
        <f>IF(P3182=0,0,IFERROR(Q3181+G3182*M3182*IF(E3182="FUTURE",VLOOKUP(MID(I3182,2,2),[1]Futures!$A$2:$B$12,2),1),G3182*M3182*IF(E3182="FUTURE",VLOOKUP(MID(I3182,2,2),[1]Futures!$A$2:$B$12,2),1)))</f>
        <v>81280</v>
      </c>
      <c r="R3182" s="12">
        <f>IFERROR(Q3182/P3182/IF(E3182="FUTURE",VLOOKUP(MID(I3182,2,2),[1]Futures!$A$2:$B$12,2),1),"")</f>
        <v>40.64</v>
      </c>
      <c r="S3182" s="13" t="str">
        <f>IF(AND(H3182="TO CLOSE",P3182=0),-G3182*(M3182-R3181)*IF(E3182="FUTURE",VLOOKUP(MID(I3182,2,2),[1]Futures!$A$2:$B$12,2),1),"")</f>
        <v/>
      </c>
    </row>
    <row r="3183" spans="1:19" x14ac:dyDescent="0.2">
      <c r="A3183">
        <f t="shared" si="149"/>
        <v>1028</v>
      </c>
      <c r="B3183" s="3">
        <v>44148</v>
      </c>
      <c r="C3183" s="3" t="str">
        <f t="shared" si="151"/>
        <v>Friday</v>
      </c>
      <c r="D3183" s="2">
        <v>0.70613425925925932</v>
      </c>
      <c r="E3183" t="s">
        <v>14</v>
      </c>
      <c r="F3183" t="s">
        <v>15</v>
      </c>
      <c r="G3183">
        <v>-1</v>
      </c>
      <c r="H3183" t="s">
        <v>16</v>
      </c>
      <c r="I3183" t="s">
        <v>86</v>
      </c>
      <c r="J3183" s="1">
        <v>44185</v>
      </c>
      <c r="L3183" t="s">
        <v>14</v>
      </c>
      <c r="M3183">
        <v>40.14</v>
      </c>
      <c r="N3183">
        <v>40.14</v>
      </c>
      <c r="O3183" t="s">
        <v>21</v>
      </c>
      <c r="P3183">
        <f t="shared" si="150"/>
        <v>1</v>
      </c>
      <c r="Q3183" s="11">
        <f>IF(P3183=0,0,IFERROR(Q3182+G3183*M3183*IF(E3183="FUTURE",VLOOKUP(MID(I3183,2,2),[1]Futures!$A$2:$B$12,2),1),G3183*M3183*IF(E3183="FUTURE",VLOOKUP(MID(I3183,2,2),[1]Futures!$A$2:$B$12,2),1)))</f>
        <v>41140</v>
      </c>
      <c r="R3183" s="12">
        <f>IFERROR(Q3183/P3183/IF(E3183="FUTURE",VLOOKUP(MID(I3183,2,2),[1]Futures!$A$2:$B$12,2),1),"")</f>
        <v>41.14</v>
      </c>
      <c r="S3183" s="13" t="str">
        <f>IF(AND(H3183="TO CLOSE",P3183=0),-G3183*(M3183-R3182)*IF(E3183="FUTURE",VLOOKUP(MID(I3183,2,2),[1]Futures!$A$2:$B$12,2),1),"")</f>
        <v/>
      </c>
    </row>
    <row r="3184" spans="1:19" x14ac:dyDescent="0.2">
      <c r="A3184">
        <f t="shared" si="149"/>
        <v>1028</v>
      </c>
      <c r="B3184" s="3">
        <v>44148</v>
      </c>
      <c r="C3184" s="3" t="str">
        <f t="shared" si="151"/>
        <v>Friday</v>
      </c>
      <c r="D3184" s="2">
        <v>0.70711805555555562</v>
      </c>
      <c r="E3184" t="s">
        <v>14</v>
      </c>
      <c r="F3184" t="s">
        <v>15</v>
      </c>
      <c r="G3184">
        <v>-1</v>
      </c>
      <c r="H3184" t="s">
        <v>16</v>
      </c>
      <c r="I3184" t="s">
        <v>86</v>
      </c>
      <c r="J3184" s="1">
        <v>44185</v>
      </c>
      <c r="L3184" t="s">
        <v>14</v>
      </c>
      <c r="M3184">
        <v>40.14</v>
      </c>
      <c r="N3184">
        <v>40.14</v>
      </c>
      <c r="O3184" t="s">
        <v>21</v>
      </c>
      <c r="P3184">
        <f t="shared" si="150"/>
        <v>0</v>
      </c>
      <c r="Q3184" s="11">
        <f>IF(P3184=0,0,IFERROR(Q3183+G3184*M3184*IF(E3184="FUTURE",VLOOKUP(MID(I3184,2,2),[1]Futures!$A$2:$B$12,2),1),G3184*M3184*IF(E3184="FUTURE",VLOOKUP(MID(I3184,2,2),[1]Futures!$A$2:$B$12,2),1)))</f>
        <v>0</v>
      </c>
      <c r="R3184" s="12" t="str">
        <f>IFERROR(Q3184/P3184/IF(E3184="FUTURE",VLOOKUP(MID(I3184,2,2),[1]Futures!$A$2:$B$12,2),1),"")</f>
        <v/>
      </c>
      <c r="S3184" s="13">
        <f>IF(AND(H3184="TO CLOSE",P3184=0),-G3184*(M3184-R3183)*IF(E3184="FUTURE",VLOOKUP(MID(I3184,2,2),[1]Futures!$A$2:$B$12,2),1),"")</f>
        <v>-1000</v>
      </c>
    </row>
    <row r="3185" spans="1:19" x14ac:dyDescent="0.2">
      <c r="A3185">
        <f t="shared" si="149"/>
        <v>1029</v>
      </c>
      <c r="B3185" s="3">
        <v>44151</v>
      </c>
      <c r="C3185" s="3" t="str">
        <f t="shared" si="151"/>
        <v>Monday</v>
      </c>
      <c r="D3185" s="2">
        <v>0.40189814814814812</v>
      </c>
      <c r="E3185" t="s">
        <v>14</v>
      </c>
      <c r="F3185" t="s">
        <v>15</v>
      </c>
      <c r="G3185">
        <v>-2</v>
      </c>
      <c r="H3185" t="s">
        <v>20</v>
      </c>
      <c r="I3185" t="s">
        <v>86</v>
      </c>
      <c r="J3185" s="1">
        <v>44185</v>
      </c>
      <c r="L3185" t="s">
        <v>14</v>
      </c>
      <c r="M3185">
        <v>41.72</v>
      </c>
      <c r="N3185">
        <v>41.72</v>
      </c>
      <c r="O3185" t="s">
        <v>21</v>
      </c>
      <c r="P3185">
        <f t="shared" si="150"/>
        <v>-2</v>
      </c>
      <c r="Q3185" s="11">
        <f>IF(P3185=0,0,IFERROR(Q3184+G3185*M3185*IF(E3185="FUTURE",VLOOKUP(MID(I3185,2,2),[1]Futures!$A$2:$B$12,2),1),G3185*M3185*IF(E3185="FUTURE",VLOOKUP(MID(I3185,2,2),[1]Futures!$A$2:$B$12,2),1)))</f>
        <v>-83440</v>
      </c>
      <c r="R3185" s="12">
        <f>IFERROR(Q3185/P3185/IF(E3185="FUTURE",VLOOKUP(MID(I3185,2,2),[1]Futures!$A$2:$B$12,2),1),"")</f>
        <v>41.72</v>
      </c>
      <c r="S3185" s="13" t="str">
        <f>IF(AND(H3185="TO CLOSE",P3185=0),-G3185*(M3185-R3184)*IF(E3185="FUTURE",VLOOKUP(MID(I3185,2,2),[1]Futures!$A$2:$B$12,2),1),"")</f>
        <v/>
      </c>
    </row>
    <row r="3186" spans="1:19" x14ac:dyDescent="0.2">
      <c r="A3186">
        <f t="shared" si="149"/>
        <v>1029</v>
      </c>
      <c r="B3186" s="3">
        <v>44151</v>
      </c>
      <c r="C3186" s="3" t="str">
        <f t="shared" si="151"/>
        <v>Monday</v>
      </c>
      <c r="D3186" s="2">
        <v>0.4034490740740741</v>
      </c>
      <c r="E3186" t="s">
        <v>14</v>
      </c>
      <c r="F3186" t="s">
        <v>19</v>
      </c>
      <c r="G3186">
        <v>1</v>
      </c>
      <c r="H3186" t="s">
        <v>16</v>
      </c>
      <c r="I3186" t="s">
        <v>86</v>
      </c>
      <c r="J3186" s="1">
        <v>44185</v>
      </c>
      <c r="L3186" t="s">
        <v>14</v>
      </c>
      <c r="M3186">
        <v>41.61</v>
      </c>
      <c r="N3186">
        <v>41.61</v>
      </c>
      <c r="O3186" t="s">
        <v>18</v>
      </c>
      <c r="P3186">
        <f t="shared" si="150"/>
        <v>-1</v>
      </c>
      <c r="Q3186" s="11">
        <f>IF(P3186=0,0,IFERROR(Q3185+G3186*M3186*IF(E3186="FUTURE",VLOOKUP(MID(I3186,2,2),[1]Futures!$A$2:$B$12,2),1),G3186*M3186*IF(E3186="FUTURE",VLOOKUP(MID(I3186,2,2),[1]Futures!$A$2:$B$12,2),1)))</f>
        <v>-41830</v>
      </c>
      <c r="R3186" s="12">
        <f>IFERROR(Q3186/P3186/IF(E3186="FUTURE",VLOOKUP(MID(I3186,2,2),[1]Futures!$A$2:$B$12,2),1),"")</f>
        <v>41.83</v>
      </c>
      <c r="S3186" s="13" t="str">
        <f>IF(AND(H3186="TO CLOSE",P3186=0),-G3186*(M3186-R3185)*IF(E3186="FUTURE",VLOOKUP(MID(I3186,2,2),[1]Futures!$A$2:$B$12,2),1),"")</f>
        <v/>
      </c>
    </row>
    <row r="3187" spans="1:19" x14ac:dyDescent="0.2">
      <c r="A3187">
        <f t="shared" si="149"/>
        <v>1029</v>
      </c>
      <c r="B3187" s="3">
        <v>44151</v>
      </c>
      <c r="C3187" s="3" t="str">
        <f t="shared" si="151"/>
        <v>Monday</v>
      </c>
      <c r="D3187" s="2">
        <v>0.40737268518518516</v>
      </c>
      <c r="E3187" t="s">
        <v>14</v>
      </c>
      <c r="F3187" t="s">
        <v>19</v>
      </c>
      <c r="G3187">
        <v>1</v>
      </c>
      <c r="H3187" t="s">
        <v>16</v>
      </c>
      <c r="I3187" t="s">
        <v>86</v>
      </c>
      <c r="J3187" s="1">
        <v>44185</v>
      </c>
      <c r="L3187" t="s">
        <v>14</v>
      </c>
      <c r="M3187">
        <v>41.55</v>
      </c>
      <c r="N3187">
        <v>41.55</v>
      </c>
      <c r="O3187" t="s">
        <v>21</v>
      </c>
      <c r="P3187">
        <f t="shared" si="150"/>
        <v>0</v>
      </c>
      <c r="Q3187" s="11">
        <f>IF(P3187=0,0,IFERROR(Q3186+G3187*M3187*IF(E3187="FUTURE",VLOOKUP(MID(I3187,2,2),[1]Futures!$A$2:$B$12,2),1),G3187*M3187*IF(E3187="FUTURE",VLOOKUP(MID(I3187,2,2),[1]Futures!$A$2:$B$12,2),1)))</f>
        <v>0</v>
      </c>
      <c r="R3187" s="12" t="str">
        <f>IFERROR(Q3187/P3187/IF(E3187="FUTURE",VLOOKUP(MID(I3187,2,2),[1]Futures!$A$2:$B$12,2),1),"")</f>
        <v/>
      </c>
      <c r="S3187" s="13">
        <f>IF(AND(H3187="TO CLOSE",P3187=0),-G3187*(M3187-R3186)*IF(E3187="FUTURE",VLOOKUP(MID(I3187,2,2),[1]Futures!$A$2:$B$12,2),1),"")</f>
        <v>280.00000000000114</v>
      </c>
    </row>
    <row r="3188" spans="1:19" x14ac:dyDescent="0.2">
      <c r="A3188">
        <f t="shared" si="149"/>
        <v>1030</v>
      </c>
      <c r="B3188" s="3">
        <v>44151</v>
      </c>
      <c r="C3188" s="3" t="str">
        <f t="shared" si="151"/>
        <v>Monday</v>
      </c>
      <c r="D3188" s="2">
        <v>0.41037037037037033</v>
      </c>
      <c r="E3188" t="s">
        <v>14</v>
      </c>
      <c r="F3188" t="s">
        <v>19</v>
      </c>
      <c r="G3188">
        <v>1</v>
      </c>
      <c r="H3188" t="s">
        <v>20</v>
      </c>
      <c r="I3188" t="s">
        <v>86</v>
      </c>
      <c r="J3188" s="1">
        <v>44185</v>
      </c>
      <c r="L3188" t="s">
        <v>14</v>
      </c>
      <c r="M3188">
        <v>41.46</v>
      </c>
      <c r="N3188">
        <v>41.46</v>
      </c>
      <c r="O3188" t="s">
        <v>24</v>
      </c>
      <c r="P3188">
        <f t="shared" si="150"/>
        <v>1</v>
      </c>
      <c r="Q3188" s="11">
        <f>IF(P3188=0,0,IFERROR(Q3187+G3188*M3188*IF(E3188="FUTURE",VLOOKUP(MID(I3188,2,2),[1]Futures!$A$2:$B$12,2),1),G3188*M3188*IF(E3188="FUTURE",VLOOKUP(MID(I3188,2,2),[1]Futures!$A$2:$B$12,2),1)))</f>
        <v>41460</v>
      </c>
      <c r="R3188" s="12">
        <f>IFERROR(Q3188/P3188/IF(E3188="FUTURE",VLOOKUP(MID(I3188,2,2),[1]Futures!$A$2:$B$12,2),1),"")</f>
        <v>41.46</v>
      </c>
      <c r="S3188" s="13" t="str">
        <f>IF(AND(H3188="TO CLOSE",P3188=0),-G3188*(M3188-R3187)*IF(E3188="FUTURE",VLOOKUP(MID(I3188,2,2),[1]Futures!$A$2:$B$12,2),1),"")</f>
        <v/>
      </c>
    </row>
    <row r="3189" spans="1:19" x14ac:dyDescent="0.2">
      <c r="A3189">
        <f t="shared" si="149"/>
        <v>1030</v>
      </c>
      <c r="B3189" s="3">
        <v>44151</v>
      </c>
      <c r="C3189" s="3" t="str">
        <f t="shared" si="151"/>
        <v>Monday</v>
      </c>
      <c r="D3189" s="2">
        <v>0.41326388888888888</v>
      </c>
      <c r="E3189" t="s">
        <v>14</v>
      </c>
      <c r="F3189" t="s">
        <v>19</v>
      </c>
      <c r="G3189">
        <v>1</v>
      </c>
      <c r="H3189" t="s">
        <v>20</v>
      </c>
      <c r="I3189" t="s">
        <v>86</v>
      </c>
      <c r="J3189" s="1">
        <v>44185</v>
      </c>
      <c r="L3189" t="s">
        <v>14</v>
      </c>
      <c r="M3189">
        <v>41.26</v>
      </c>
      <c r="N3189">
        <v>41.26</v>
      </c>
      <c r="O3189" t="s">
        <v>21</v>
      </c>
      <c r="P3189">
        <f t="shared" si="150"/>
        <v>2</v>
      </c>
      <c r="Q3189" s="11">
        <f>IF(P3189=0,0,IFERROR(Q3188+G3189*M3189*IF(E3189="FUTURE",VLOOKUP(MID(I3189,2,2),[1]Futures!$A$2:$B$12,2),1),G3189*M3189*IF(E3189="FUTURE",VLOOKUP(MID(I3189,2,2),[1]Futures!$A$2:$B$12,2),1)))</f>
        <v>82720</v>
      </c>
      <c r="R3189" s="12">
        <f>IFERROR(Q3189/P3189/IF(E3189="FUTURE",VLOOKUP(MID(I3189,2,2),[1]Futures!$A$2:$B$12,2),1),"")</f>
        <v>41.36</v>
      </c>
      <c r="S3189" s="13" t="str">
        <f>IF(AND(H3189="TO CLOSE",P3189=0),-G3189*(M3189-R3188)*IF(E3189="FUTURE",VLOOKUP(MID(I3189,2,2),[1]Futures!$A$2:$B$12,2),1),"")</f>
        <v/>
      </c>
    </row>
    <row r="3190" spans="1:19" x14ac:dyDescent="0.2">
      <c r="A3190">
        <f t="shared" si="149"/>
        <v>1030</v>
      </c>
      <c r="B3190" s="3">
        <v>44151</v>
      </c>
      <c r="C3190" s="3" t="str">
        <f t="shared" si="151"/>
        <v>Monday</v>
      </c>
      <c r="D3190" s="2">
        <v>0.41584490740740737</v>
      </c>
      <c r="E3190" t="s">
        <v>14</v>
      </c>
      <c r="F3190" t="s">
        <v>15</v>
      </c>
      <c r="G3190">
        <v>-1</v>
      </c>
      <c r="H3190" t="s">
        <v>16</v>
      </c>
      <c r="I3190" t="s">
        <v>86</v>
      </c>
      <c r="J3190" s="1">
        <v>44185</v>
      </c>
      <c r="L3190" t="s">
        <v>14</v>
      </c>
      <c r="M3190">
        <v>41.42</v>
      </c>
      <c r="N3190">
        <v>41.42</v>
      </c>
      <c r="O3190" t="s">
        <v>21</v>
      </c>
      <c r="P3190">
        <f t="shared" si="150"/>
        <v>1</v>
      </c>
      <c r="Q3190" s="11">
        <f>IF(P3190=0,0,IFERROR(Q3189+G3190*M3190*IF(E3190="FUTURE",VLOOKUP(MID(I3190,2,2),[1]Futures!$A$2:$B$12,2),1),G3190*M3190*IF(E3190="FUTURE",VLOOKUP(MID(I3190,2,2),[1]Futures!$A$2:$B$12,2),1)))</f>
        <v>41300</v>
      </c>
      <c r="R3190" s="12">
        <f>IFERROR(Q3190/P3190/IF(E3190="FUTURE",VLOOKUP(MID(I3190,2,2),[1]Futures!$A$2:$B$12,2),1),"")</f>
        <v>41.3</v>
      </c>
      <c r="S3190" s="13" t="str">
        <f>IF(AND(H3190="TO CLOSE",P3190=0),-G3190*(M3190-R3189)*IF(E3190="FUTURE",VLOOKUP(MID(I3190,2,2),[1]Futures!$A$2:$B$12,2),1),"")</f>
        <v/>
      </c>
    </row>
    <row r="3191" spans="1:19" x14ac:dyDescent="0.2">
      <c r="A3191">
        <f t="shared" si="149"/>
        <v>1030</v>
      </c>
      <c r="B3191" s="3">
        <v>44151</v>
      </c>
      <c r="C3191" s="3" t="str">
        <f t="shared" si="151"/>
        <v>Monday</v>
      </c>
      <c r="D3191" s="2">
        <v>0.41980324074074077</v>
      </c>
      <c r="E3191" t="s">
        <v>14</v>
      </c>
      <c r="F3191" t="s">
        <v>15</v>
      </c>
      <c r="G3191">
        <v>-1</v>
      </c>
      <c r="H3191" t="s">
        <v>16</v>
      </c>
      <c r="I3191" t="s">
        <v>86</v>
      </c>
      <c r="J3191" s="1">
        <v>44185</v>
      </c>
      <c r="L3191" t="s">
        <v>14</v>
      </c>
      <c r="M3191">
        <v>41.54</v>
      </c>
      <c r="N3191">
        <v>41.54</v>
      </c>
      <c r="O3191" t="s">
        <v>21</v>
      </c>
      <c r="P3191">
        <f t="shared" si="150"/>
        <v>0</v>
      </c>
      <c r="Q3191" s="11">
        <f>IF(P3191=0,0,IFERROR(Q3190+G3191*M3191*IF(E3191="FUTURE",VLOOKUP(MID(I3191,2,2),[1]Futures!$A$2:$B$12,2),1),G3191*M3191*IF(E3191="FUTURE",VLOOKUP(MID(I3191,2,2),[1]Futures!$A$2:$B$12,2),1)))</f>
        <v>0</v>
      </c>
      <c r="R3191" s="12" t="str">
        <f>IFERROR(Q3191/P3191/IF(E3191="FUTURE",VLOOKUP(MID(I3191,2,2),[1]Futures!$A$2:$B$12,2),1),"")</f>
        <v/>
      </c>
      <c r="S3191" s="13">
        <f>IF(AND(H3191="TO CLOSE",P3191=0),-G3191*(M3191-R3190)*IF(E3191="FUTURE",VLOOKUP(MID(I3191,2,2),[1]Futures!$A$2:$B$12,2),1),"")</f>
        <v>240.00000000000199</v>
      </c>
    </row>
    <row r="3192" spans="1:19" x14ac:dyDescent="0.2">
      <c r="A3192">
        <f t="shared" si="149"/>
        <v>1031</v>
      </c>
      <c r="B3192" s="3">
        <v>44151</v>
      </c>
      <c r="C3192" s="3" t="str">
        <f t="shared" si="151"/>
        <v>Monday</v>
      </c>
      <c r="D3192" s="2">
        <v>0.45101851851851849</v>
      </c>
      <c r="E3192" t="s">
        <v>14</v>
      </c>
      <c r="F3192" t="s">
        <v>15</v>
      </c>
      <c r="G3192">
        <v>-1</v>
      </c>
      <c r="H3192" t="s">
        <v>20</v>
      </c>
      <c r="I3192" t="s">
        <v>86</v>
      </c>
      <c r="J3192" s="1">
        <v>44185</v>
      </c>
      <c r="L3192" t="s">
        <v>14</v>
      </c>
      <c r="M3192">
        <v>41.65</v>
      </c>
      <c r="N3192">
        <v>41.65</v>
      </c>
      <c r="O3192" t="s">
        <v>24</v>
      </c>
      <c r="P3192">
        <f t="shared" si="150"/>
        <v>-1</v>
      </c>
      <c r="Q3192" s="11">
        <f>IF(P3192=0,0,IFERROR(Q3191+G3192*M3192*IF(E3192="FUTURE",VLOOKUP(MID(I3192,2,2),[1]Futures!$A$2:$B$12,2),1),G3192*M3192*IF(E3192="FUTURE",VLOOKUP(MID(I3192,2,2),[1]Futures!$A$2:$B$12,2),1)))</f>
        <v>-41650</v>
      </c>
      <c r="R3192" s="12">
        <f>IFERROR(Q3192/P3192/IF(E3192="FUTURE",VLOOKUP(MID(I3192,2,2),[1]Futures!$A$2:$B$12,2),1),"")</f>
        <v>41.65</v>
      </c>
      <c r="S3192" s="13" t="str">
        <f>IF(AND(H3192="TO CLOSE",P3192=0),-G3192*(M3192-R3191)*IF(E3192="FUTURE",VLOOKUP(MID(I3192,2,2),[1]Futures!$A$2:$B$12,2),1),"")</f>
        <v/>
      </c>
    </row>
    <row r="3193" spans="1:19" x14ac:dyDescent="0.2">
      <c r="A3193">
        <f t="shared" si="149"/>
        <v>1031</v>
      </c>
      <c r="B3193" s="3">
        <v>44151</v>
      </c>
      <c r="C3193" s="3" t="str">
        <f t="shared" si="151"/>
        <v>Monday</v>
      </c>
      <c r="D3193" s="2">
        <v>0.46696759259259263</v>
      </c>
      <c r="E3193" t="s">
        <v>14</v>
      </c>
      <c r="F3193" t="s">
        <v>19</v>
      </c>
      <c r="G3193">
        <v>1</v>
      </c>
      <c r="H3193" t="s">
        <v>16</v>
      </c>
      <c r="I3193" t="s">
        <v>86</v>
      </c>
      <c r="J3193" s="1">
        <v>44185</v>
      </c>
      <c r="L3193" t="s">
        <v>14</v>
      </c>
      <c r="M3193">
        <v>41.52</v>
      </c>
      <c r="N3193">
        <v>41.52</v>
      </c>
      <c r="O3193" t="s">
        <v>24</v>
      </c>
      <c r="P3193">
        <f t="shared" si="150"/>
        <v>0</v>
      </c>
      <c r="Q3193" s="11">
        <f>IF(P3193=0,0,IFERROR(Q3192+G3193*M3193*IF(E3193="FUTURE",VLOOKUP(MID(I3193,2,2),[1]Futures!$A$2:$B$12,2),1),G3193*M3193*IF(E3193="FUTURE",VLOOKUP(MID(I3193,2,2),[1]Futures!$A$2:$B$12,2),1)))</f>
        <v>0</v>
      </c>
      <c r="R3193" s="12" t="str">
        <f>IFERROR(Q3193/P3193/IF(E3193="FUTURE",VLOOKUP(MID(I3193,2,2),[1]Futures!$A$2:$B$12,2),1),"")</f>
        <v/>
      </c>
      <c r="S3193" s="13">
        <f>IF(AND(H3193="TO CLOSE",P3193=0),-G3193*(M3193-R3192)*IF(E3193="FUTURE",VLOOKUP(MID(I3193,2,2),[1]Futures!$A$2:$B$12,2),1),"")</f>
        <v>129.99999999999545</v>
      </c>
    </row>
    <row r="3194" spans="1:19" x14ac:dyDescent="0.2">
      <c r="A3194">
        <f t="shared" si="149"/>
        <v>1032</v>
      </c>
      <c r="B3194" s="3">
        <v>44151</v>
      </c>
      <c r="C3194" s="3" t="str">
        <f t="shared" si="151"/>
        <v>Monday</v>
      </c>
      <c r="D3194" s="2">
        <v>0.47569444444444442</v>
      </c>
      <c r="E3194" t="s">
        <v>14</v>
      </c>
      <c r="F3194" t="s">
        <v>15</v>
      </c>
      <c r="G3194">
        <v>-1</v>
      </c>
      <c r="H3194" t="s">
        <v>20</v>
      </c>
      <c r="I3194" t="s">
        <v>85</v>
      </c>
      <c r="J3194" s="1">
        <v>44185</v>
      </c>
      <c r="L3194" t="s">
        <v>14</v>
      </c>
      <c r="M3194">
        <v>3621.75</v>
      </c>
      <c r="N3194">
        <v>3621.75</v>
      </c>
      <c r="O3194" t="s">
        <v>21</v>
      </c>
      <c r="P3194">
        <f t="shared" si="150"/>
        <v>-1</v>
      </c>
      <c r="Q3194" s="11">
        <f>IF(P3194=0,0,IFERROR(Q3193+G3194*M3194*IF(E3194="FUTURE",VLOOKUP(MID(I3194,2,2),[1]Futures!$A$2:$B$12,2),1),G3194*M3194*IF(E3194="FUTURE",VLOOKUP(MID(I3194,2,2),[1]Futures!$A$2:$B$12,2),1)))</f>
        <v>-181087.5</v>
      </c>
      <c r="R3194" s="12">
        <f>IFERROR(Q3194/P3194/IF(E3194="FUTURE",VLOOKUP(MID(I3194,2,2),[1]Futures!$A$2:$B$12,2),1),"")</f>
        <v>3621.75</v>
      </c>
      <c r="S3194" s="13" t="str">
        <f>IF(AND(H3194="TO CLOSE",P3194=0),-G3194*(M3194-R3193)*IF(E3194="FUTURE",VLOOKUP(MID(I3194,2,2),[1]Futures!$A$2:$B$12,2),1),"")</f>
        <v/>
      </c>
    </row>
    <row r="3195" spans="1:19" x14ac:dyDescent="0.2">
      <c r="A3195">
        <f t="shared" si="149"/>
        <v>1032</v>
      </c>
      <c r="B3195" s="3">
        <v>44151</v>
      </c>
      <c r="C3195" s="3" t="str">
        <f t="shared" si="151"/>
        <v>Monday</v>
      </c>
      <c r="D3195" s="2">
        <v>0.47987268518518517</v>
      </c>
      <c r="E3195" t="s">
        <v>14</v>
      </c>
      <c r="F3195" t="s">
        <v>19</v>
      </c>
      <c r="G3195">
        <v>1</v>
      </c>
      <c r="H3195" t="s">
        <v>16</v>
      </c>
      <c r="I3195" t="s">
        <v>85</v>
      </c>
      <c r="J3195" s="1">
        <v>44185</v>
      </c>
      <c r="L3195" t="s">
        <v>14</v>
      </c>
      <c r="M3195">
        <v>3619.75</v>
      </c>
      <c r="N3195">
        <v>3619.75</v>
      </c>
      <c r="O3195" t="s">
        <v>21</v>
      </c>
      <c r="P3195">
        <f t="shared" si="150"/>
        <v>0</v>
      </c>
      <c r="Q3195" s="11">
        <f>IF(P3195=0,0,IFERROR(Q3194+G3195*M3195*IF(E3195="FUTURE",VLOOKUP(MID(I3195,2,2),[1]Futures!$A$2:$B$12,2),1),G3195*M3195*IF(E3195="FUTURE",VLOOKUP(MID(I3195,2,2),[1]Futures!$A$2:$B$12,2),1)))</f>
        <v>0</v>
      </c>
      <c r="R3195" s="12" t="str">
        <f>IFERROR(Q3195/P3195/IF(E3195="FUTURE",VLOOKUP(MID(I3195,2,2),[1]Futures!$A$2:$B$12,2),1),"")</f>
        <v/>
      </c>
      <c r="S3195" s="13">
        <f>IF(AND(H3195="TO CLOSE",P3195=0),-G3195*(M3195-R3194)*IF(E3195="FUTURE",VLOOKUP(MID(I3195,2,2),[1]Futures!$A$2:$B$12,2),1),"")</f>
        <v>100</v>
      </c>
    </row>
    <row r="3196" spans="1:19" x14ac:dyDescent="0.2">
      <c r="A3196">
        <f t="shared" si="149"/>
        <v>1033</v>
      </c>
      <c r="B3196" s="3">
        <v>44152</v>
      </c>
      <c r="C3196" s="3" t="str">
        <f t="shared" si="151"/>
        <v>Tuesday</v>
      </c>
      <c r="D3196" s="2">
        <v>0.43688657407407411</v>
      </c>
      <c r="E3196" t="s">
        <v>14</v>
      </c>
      <c r="F3196" t="s">
        <v>15</v>
      </c>
      <c r="G3196">
        <v>-1</v>
      </c>
      <c r="H3196" t="s">
        <v>20</v>
      </c>
      <c r="I3196" t="s">
        <v>86</v>
      </c>
      <c r="J3196" s="1">
        <v>44185</v>
      </c>
      <c r="L3196" t="s">
        <v>14</v>
      </c>
      <c r="M3196">
        <v>41.18</v>
      </c>
      <c r="N3196">
        <v>41.18</v>
      </c>
      <c r="O3196" t="s">
        <v>21</v>
      </c>
      <c r="P3196">
        <f t="shared" si="150"/>
        <v>-1</v>
      </c>
      <c r="Q3196" s="11">
        <f>IF(P3196=0,0,IFERROR(Q3195+G3196*M3196*IF(E3196="FUTURE",VLOOKUP(MID(I3196,2,2),[1]Futures!$A$2:$B$12,2),1),G3196*M3196*IF(E3196="FUTURE",VLOOKUP(MID(I3196,2,2),[1]Futures!$A$2:$B$12,2),1)))</f>
        <v>-41180</v>
      </c>
      <c r="R3196" s="12">
        <f>IFERROR(Q3196/P3196/IF(E3196="FUTURE",VLOOKUP(MID(I3196,2,2),[1]Futures!$A$2:$B$12,2),1),"")</f>
        <v>41.18</v>
      </c>
      <c r="S3196" s="13" t="str">
        <f>IF(AND(H3196="TO CLOSE",P3196=0),-G3196*(M3196-R3195)*IF(E3196="FUTURE",VLOOKUP(MID(I3196,2,2),[1]Futures!$A$2:$B$12,2),1),"")</f>
        <v/>
      </c>
    </row>
    <row r="3197" spans="1:19" x14ac:dyDescent="0.2">
      <c r="A3197">
        <f t="shared" si="149"/>
        <v>1033</v>
      </c>
      <c r="B3197" s="3">
        <v>44152</v>
      </c>
      <c r="C3197" s="3" t="str">
        <f t="shared" si="151"/>
        <v>Tuesday</v>
      </c>
      <c r="D3197" s="2">
        <v>0.44133101851851847</v>
      </c>
      <c r="E3197" t="s">
        <v>14</v>
      </c>
      <c r="F3197" t="s">
        <v>19</v>
      </c>
      <c r="G3197">
        <v>1</v>
      </c>
      <c r="H3197" t="s">
        <v>16</v>
      </c>
      <c r="I3197" t="s">
        <v>86</v>
      </c>
      <c r="J3197" s="1">
        <v>44185</v>
      </c>
      <c r="L3197" t="s">
        <v>14</v>
      </c>
      <c r="M3197">
        <v>41.08</v>
      </c>
      <c r="N3197">
        <v>41.08</v>
      </c>
      <c r="O3197" t="s">
        <v>21</v>
      </c>
      <c r="P3197">
        <f t="shared" si="150"/>
        <v>0</v>
      </c>
      <c r="Q3197" s="11">
        <f>IF(P3197=0,0,IFERROR(Q3196+G3197*M3197*IF(E3197="FUTURE",VLOOKUP(MID(I3197,2,2),[1]Futures!$A$2:$B$12,2),1),G3197*M3197*IF(E3197="FUTURE",VLOOKUP(MID(I3197,2,2),[1]Futures!$A$2:$B$12,2),1)))</f>
        <v>0</v>
      </c>
      <c r="R3197" s="12" t="str">
        <f>IFERROR(Q3197/P3197/IF(E3197="FUTURE",VLOOKUP(MID(I3197,2,2),[1]Futures!$A$2:$B$12,2),1),"")</f>
        <v/>
      </c>
      <c r="S3197" s="13">
        <f>IF(AND(H3197="TO CLOSE",P3197=0),-G3197*(M3197-R3196)*IF(E3197="FUTURE",VLOOKUP(MID(I3197,2,2),[1]Futures!$A$2:$B$12,2),1),"")</f>
        <v>100.00000000000142</v>
      </c>
    </row>
    <row r="3198" spans="1:19" x14ac:dyDescent="0.2">
      <c r="A3198">
        <f t="shared" si="149"/>
        <v>1034</v>
      </c>
      <c r="B3198" s="3">
        <v>44152</v>
      </c>
      <c r="C3198" s="3" t="str">
        <f t="shared" si="151"/>
        <v>Tuesday</v>
      </c>
      <c r="D3198" s="2">
        <v>0.39804398148148151</v>
      </c>
      <c r="E3198" t="s">
        <v>14</v>
      </c>
      <c r="F3198" t="s">
        <v>19</v>
      </c>
      <c r="G3198">
        <v>1</v>
      </c>
      <c r="H3198" t="s">
        <v>20</v>
      </c>
      <c r="I3198" t="s">
        <v>85</v>
      </c>
      <c r="J3198" s="1">
        <v>44185</v>
      </c>
      <c r="L3198" t="s">
        <v>14</v>
      </c>
      <c r="M3198">
        <v>3601.25</v>
      </c>
      <c r="N3198">
        <v>3601.25</v>
      </c>
      <c r="O3198" t="s">
        <v>21</v>
      </c>
      <c r="P3198">
        <f t="shared" si="150"/>
        <v>1</v>
      </c>
      <c r="Q3198" s="11">
        <f>IF(P3198=0,0,IFERROR(Q3197+G3198*M3198*IF(E3198="FUTURE",VLOOKUP(MID(I3198,2,2),[1]Futures!$A$2:$B$12,2),1),G3198*M3198*IF(E3198="FUTURE",VLOOKUP(MID(I3198,2,2),[1]Futures!$A$2:$B$12,2),1)))</f>
        <v>180062.5</v>
      </c>
      <c r="R3198" s="12">
        <f>IFERROR(Q3198/P3198/IF(E3198="FUTURE",VLOOKUP(MID(I3198,2,2),[1]Futures!$A$2:$B$12,2),1),"")</f>
        <v>3601.25</v>
      </c>
      <c r="S3198" s="13" t="str">
        <f>IF(AND(H3198="TO CLOSE",P3198=0),-G3198*(M3198-R3197)*IF(E3198="FUTURE",VLOOKUP(MID(I3198,2,2),[1]Futures!$A$2:$B$12,2),1),"")</f>
        <v/>
      </c>
    </row>
    <row r="3199" spans="1:19" x14ac:dyDescent="0.2">
      <c r="A3199">
        <f t="shared" si="149"/>
        <v>1034</v>
      </c>
      <c r="B3199" s="3">
        <v>44152</v>
      </c>
      <c r="C3199" s="3" t="str">
        <f t="shared" si="151"/>
        <v>Tuesday</v>
      </c>
      <c r="D3199" s="2">
        <v>0.43599537037037034</v>
      </c>
      <c r="E3199" t="s">
        <v>14</v>
      </c>
      <c r="F3199" t="s">
        <v>15</v>
      </c>
      <c r="G3199">
        <v>-1</v>
      </c>
      <c r="H3199" t="s">
        <v>16</v>
      </c>
      <c r="I3199" t="s">
        <v>85</v>
      </c>
      <c r="J3199" s="1">
        <v>44185</v>
      </c>
      <c r="L3199" t="s">
        <v>14</v>
      </c>
      <c r="M3199">
        <v>3596.25</v>
      </c>
      <c r="N3199">
        <v>3596.25</v>
      </c>
      <c r="O3199" t="s">
        <v>21</v>
      </c>
      <c r="P3199">
        <f t="shared" si="150"/>
        <v>0</v>
      </c>
      <c r="Q3199" s="11">
        <f>IF(P3199=0,0,IFERROR(Q3198+G3199*M3199*IF(E3199="FUTURE",VLOOKUP(MID(I3199,2,2),[1]Futures!$A$2:$B$12,2),1),G3199*M3199*IF(E3199="FUTURE",VLOOKUP(MID(I3199,2,2),[1]Futures!$A$2:$B$12,2),1)))</f>
        <v>0</v>
      </c>
      <c r="R3199" s="12" t="str">
        <f>IFERROR(Q3199/P3199/IF(E3199="FUTURE",VLOOKUP(MID(I3199,2,2),[1]Futures!$A$2:$B$12,2),1),"")</f>
        <v/>
      </c>
      <c r="S3199" s="13">
        <f>IF(AND(H3199="TO CLOSE",P3199=0),-G3199*(M3199-R3198)*IF(E3199="FUTURE",VLOOKUP(MID(I3199,2,2),[1]Futures!$A$2:$B$12,2),1),"")</f>
        <v>-250</v>
      </c>
    </row>
    <row r="3200" spans="1:19" x14ac:dyDescent="0.2">
      <c r="A3200">
        <f t="shared" si="149"/>
        <v>1035</v>
      </c>
      <c r="B3200" s="3">
        <v>44152</v>
      </c>
      <c r="C3200" s="3" t="str">
        <f t="shared" si="151"/>
        <v>Tuesday</v>
      </c>
      <c r="D3200" s="2">
        <v>0.44605324074074071</v>
      </c>
      <c r="E3200" t="s">
        <v>14</v>
      </c>
      <c r="F3200" t="s">
        <v>15</v>
      </c>
      <c r="G3200">
        <v>-1</v>
      </c>
      <c r="H3200" t="s">
        <v>20</v>
      </c>
      <c r="I3200" t="s">
        <v>85</v>
      </c>
      <c r="J3200" s="1">
        <v>44185</v>
      </c>
      <c r="L3200" t="s">
        <v>14</v>
      </c>
      <c r="M3200">
        <v>3599.5</v>
      </c>
      <c r="N3200">
        <v>3599.5</v>
      </c>
      <c r="O3200" t="s">
        <v>24</v>
      </c>
      <c r="P3200">
        <f t="shared" si="150"/>
        <v>-1</v>
      </c>
      <c r="Q3200" s="11">
        <f>IF(P3200=0,0,IFERROR(Q3199+G3200*M3200*IF(E3200="FUTURE",VLOOKUP(MID(I3200,2,2),[1]Futures!$A$2:$B$12,2),1),G3200*M3200*IF(E3200="FUTURE",VLOOKUP(MID(I3200,2,2),[1]Futures!$A$2:$B$12,2),1)))</f>
        <v>-179975</v>
      </c>
      <c r="R3200" s="12">
        <f>IFERROR(Q3200/P3200/IF(E3200="FUTURE",VLOOKUP(MID(I3200,2,2),[1]Futures!$A$2:$B$12,2),1),"")</f>
        <v>3599.5</v>
      </c>
      <c r="S3200" s="13" t="str">
        <f>IF(AND(H3200="TO CLOSE",P3200=0),-G3200*(M3200-R3199)*IF(E3200="FUTURE",VLOOKUP(MID(I3200,2,2),[1]Futures!$A$2:$B$12,2),1),"")</f>
        <v/>
      </c>
    </row>
    <row r="3201" spans="1:19" x14ac:dyDescent="0.2">
      <c r="A3201">
        <f t="shared" si="149"/>
        <v>1035</v>
      </c>
      <c r="B3201" s="3">
        <v>44152</v>
      </c>
      <c r="C3201" s="3" t="str">
        <f t="shared" si="151"/>
        <v>Tuesday</v>
      </c>
      <c r="D3201" s="2">
        <v>0.64995370370370364</v>
      </c>
      <c r="E3201" t="s">
        <v>14</v>
      </c>
      <c r="F3201" t="s">
        <v>19</v>
      </c>
      <c r="G3201">
        <v>1</v>
      </c>
      <c r="H3201" t="s">
        <v>16</v>
      </c>
      <c r="I3201" t="s">
        <v>85</v>
      </c>
      <c r="J3201" s="1">
        <v>44185</v>
      </c>
      <c r="L3201" t="s">
        <v>14</v>
      </c>
      <c r="M3201">
        <v>3603.5</v>
      </c>
      <c r="N3201">
        <v>3603.5</v>
      </c>
      <c r="O3201" t="s">
        <v>21</v>
      </c>
      <c r="P3201">
        <f t="shared" si="150"/>
        <v>0</v>
      </c>
      <c r="Q3201" s="11">
        <f>IF(P3201=0,0,IFERROR(Q3200+G3201*M3201*IF(E3201="FUTURE",VLOOKUP(MID(I3201,2,2),[1]Futures!$A$2:$B$12,2),1),G3201*M3201*IF(E3201="FUTURE",VLOOKUP(MID(I3201,2,2),[1]Futures!$A$2:$B$12,2),1)))</f>
        <v>0</v>
      </c>
      <c r="R3201" s="12" t="str">
        <f>IFERROR(Q3201/P3201/IF(E3201="FUTURE",VLOOKUP(MID(I3201,2,2),[1]Futures!$A$2:$B$12,2),1),"")</f>
        <v/>
      </c>
      <c r="S3201" s="13">
        <f>IF(AND(H3201="TO CLOSE",P3201=0),-G3201*(M3201-R3200)*IF(E3201="FUTURE",VLOOKUP(MID(I3201,2,2),[1]Futures!$A$2:$B$12,2),1),"")</f>
        <v>-200</v>
      </c>
    </row>
    <row r="3202" spans="1:19" x14ac:dyDescent="0.2">
      <c r="A3202">
        <f t="shared" ref="A3202:A3265" si="152">IF(AND(P3201=0,H3201="TO CLOSE"),IFERROR(A3201+1,1),IFERROR(A3201/1,1))</f>
        <v>1036</v>
      </c>
      <c r="B3202" s="3">
        <v>44152</v>
      </c>
      <c r="C3202" s="3" t="str">
        <f t="shared" si="151"/>
        <v>Tuesday</v>
      </c>
      <c r="D3202" s="2">
        <v>0.65167824074074077</v>
      </c>
      <c r="E3202" t="s">
        <v>14</v>
      </c>
      <c r="F3202" t="s">
        <v>15</v>
      </c>
      <c r="G3202">
        <v>-1</v>
      </c>
      <c r="H3202" t="s">
        <v>20</v>
      </c>
      <c r="I3202" t="s">
        <v>85</v>
      </c>
      <c r="J3202" s="1">
        <v>44185</v>
      </c>
      <c r="L3202" t="s">
        <v>14</v>
      </c>
      <c r="M3202">
        <v>3606.5</v>
      </c>
      <c r="N3202">
        <v>3606.5</v>
      </c>
      <c r="O3202" t="s">
        <v>21</v>
      </c>
      <c r="P3202">
        <f t="shared" si="150"/>
        <v>-1</v>
      </c>
      <c r="Q3202" s="11">
        <f>IF(P3202=0,0,IFERROR(Q3201+G3202*M3202*IF(E3202="FUTURE",VLOOKUP(MID(I3202,2,2),[1]Futures!$A$2:$B$12,2),1),G3202*M3202*IF(E3202="FUTURE",VLOOKUP(MID(I3202,2,2),[1]Futures!$A$2:$B$12,2),1)))</f>
        <v>-180325</v>
      </c>
      <c r="R3202" s="12">
        <f>IFERROR(Q3202/P3202/IF(E3202="FUTURE",VLOOKUP(MID(I3202,2,2),[1]Futures!$A$2:$B$12,2),1),"")</f>
        <v>3606.5</v>
      </c>
      <c r="S3202" s="13" t="str">
        <f>IF(AND(H3202="TO CLOSE",P3202=0),-G3202*(M3202-R3201)*IF(E3202="FUTURE",VLOOKUP(MID(I3202,2,2),[1]Futures!$A$2:$B$12,2),1),"")</f>
        <v/>
      </c>
    </row>
    <row r="3203" spans="1:19" x14ac:dyDescent="0.2">
      <c r="A3203">
        <f t="shared" si="152"/>
        <v>1036</v>
      </c>
      <c r="B3203" s="3">
        <v>44152</v>
      </c>
      <c r="C3203" s="3" t="str">
        <f t="shared" si="151"/>
        <v>Tuesday</v>
      </c>
      <c r="D3203" s="2">
        <v>0.65248842592592593</v>
      </c>
      <c r="E3203" t="s">
        <v>14</v>
      </c>
      <c r="F3203" t="s">
        <v>19</v>
      </c>
      <c r="G3203">
        <v>1</v>
      </c>
      <c r="H3203" t="s">
        <v>16</v>
      </c>
      <c r="I3203" t="s">
        <v>85</v>
      </c>
      <c r="J3203" s="1">
        <v>44185</v>
      </c>
      <c r="L3203" t="s">
        <v>14</v>
      </c>
      <c r="M3203">
        <v>3605.5</v>
      </c>
      <c r="N3203">
        <v>3605.5</v>
      </c>
      <c r="O3203" t="s">
        <v>18</v>
      </c>
      <c r="P3203">
        <f t="shared" ref="P3203:P3266" si="153">IF(H3203="TO OPEN",IFERROR(P3202+G3203,0+G3203),IFERROR(P3202+G3203,0+G3203))</f>
        <v>0</v>
      </c>
      <c r="Q3203" s="11">
        <f>IF(P3203=0,0,IFERROR(Q3202+G3203*M3203*IF(E3203="FUTURE",VLOOKUP(MID(I3203,2,2),[1]Futures!$A$2:$B$12,2),1),G3203*M3203*IF(E3203="FUTURE",VLOOKUP(MID(I3203,2,2),[1]Futures!$A$2:$B$12,2),1)))</f>
        <v>0</v>
      </c>
      <c r="R3203" s="12" t="str">
        <f>IFERROR(Q3203/P3203/IF(E3203="FUTURE",VLOOKUP(MID(I3203,2,2),[1]Futures!$A$2:$B$12,2),1),"")</f>
        <v/>
      </c>
      <c r="S3203" s="13">
        <f>IF(AND(H3203="TO CLOSE",P3203=0),-G3203*(M3203-R3202)*IF(E3203="FUTURE",VLOOKUP(MID(I3203,2,2),[1]Futures!$A$2:$B$12,2),1),"")</f>
        <v>50</v>
      </c>
    </row>
    <row r="3204" spans="1:19" x14ac:dyDescent="0.2">
      <c r="A3204">
        <f t="shared" si="152"/>
        <v>1037</v>
      </c>
      <c r="B3204" s="3">
        <v>44152</v>
      </c>
      <c r="C3204" s="3" t="str">
        <f t="shared" si="151"/>
        <v>Tuesday</v>
      </c>
      <c r="D3204" s="2">
        <v>0.47337962962962959</v>
      </c>
      <c r="E3204" t="s">
        <v>22</v>
      </c>
      <c r="F3204" t="s">
        <v>19</v>
      </c>
      <c r="G3204">
        <v>300</v>
      </c>
      <c r="H3204" t="s">
        <v>20</v>
      </c>
      <c r="I3204" t="s">
        <v>23</v>
      </c>
      <c r="L3204" t="s">
        <v>22</v>
      </c>
      <c r="M3204">
        <v>18.594999999999999</v>
      </c>
      <c r="N3204">
        <v>18.594999999999999</v>
      </c>
      <c r="O3204" t="s">
        <v>21</v>
      </c>
      <c r="P3204">
        <f t="shared" si="153"/>
        <v>300</v>
      </c>
      <c r="Q3204" s="11">
        <f>IF(P3204=0,0,IFERROR(Q3203+G3204*M3204*IF(E3204="FUTURE",VLOOKUP(MID(I3204,2,2),[1]Futures!$A$2:$B$12,2),1),G3204*M3204*IF(E3204="FUTURE",VLOOKUP(MID(I3204,2,2),[1]Futures!$A$2:$B$12,2),1)))</f>
        <v>5578.5</v>
      </c>
      <c r="R3204" s="12">
        <f>IFERROR(Q3204/P3204/IF(E3204="FUTURE",VLOOKUP(MID(I3204,2,2),[1]Futures!$A$2:$B$12,2),1),"")</f>
        <v>18.594999999999999</v>
      </c>
      <c r="S3204" s="13" t="str">
        <f>IF(AND(H3204="TO CLOSE",P3204=0),-G3204*(M3204-R3203)*IF(E3204="FUTURE",VLOOKUP(MID(I3204,2,2),[1]Futures!$A$2:$B$12,2),1),"")</f>
        <v/>
      </c>
    </row>
    <row r="3205" spans="1:19" x14ac:dyDescent="0.2">
      <c r="A3205">
        <f t="shared" si="152"/>
        <v>1037</v>
      </c>
      <c r="B3205" s="3">
        <v>44152</v>
      </c>
      <c r="C3205" s="3" t="str">
        <f t="shared" si="151"/>
        <v>Tuesday</v>
      </c>
      <c r="D3205" s="2">
        <v>0.47418981481481487</v>
      </c>
      <c r="E3205" t="s">
        <v>22</v>
      </c>
      <c r="F3205" t="s">
        <v>15</v>
      </c>
      <c r="G3205">
        <v>-300</v>
      </c>
      <c r="H3205" t="s">
        <v>16</v>
      </c>
      <c r="I3205" t="s">
        <v>23</v>
      </c>
      <c r="L3205" t="s">
        <v>22</v>
      </c>
      <c r="M3205">
        <v>18.61</v>
      </c>
      <c r="N3205">
        <v>18.61</v>
      </c>
      <c r="O3205" t="s">
        <v>21</v>
      </c>
      <c r="P3205">
        <f t="shared" si="153"/>
        <v>0</v>
      </c>
      <c r="Q3205" s="11">
        <f>IF(P3205=0,0,IFERROR(Q3204+G3205*M3205*IF(E3205="FUTURE",VLOOKUP(MID(I3205,2,2),[1]Futures!$A$2:$B$12,2),1),G3205*M3205*IF(E3205="FUTURE",VLOOKUP(MID(I3205,2,2),[1]Futures!$A$2:$B$12,2),1)))</f>
        <v>0</v>
      </c>
      <c r="R3205" s="12" t="str">
        <f>IFERROR(Q3205/P3205/IF(E3205="FUTURE",VLOOKUP(MID(I3205,2,2),[1]Futures!$A$2:$B$12,2),1),"")</f>
        <v/>
      </c>
      <c r="S3205" s="13">
        <f>IF(AND(H3205="TO CLOSE",P3205=0),-G3205*(M3205-R3204)*IF(E3205="FUTURE",VLOOKUP(MID(I3205,2,2),[1]Futures!$A$2:$B$12,2),1),"")</f>
        <v>4.5000000000001705</v>
      </c>
    </row>
    <row r="3206" spans="1:19" x14ac:dyDescent="0.2">
      <c r="A3206">
        <f t="shared" si="152"/>
        <v>1038</v>
      </c>
      <c r="B3206" s="3">
        <v>44153</v>
      </c>
      <c r="C3206" s="3" t="str">
        <f t="shared" si="151"/>
        <v>Wednesday</v>
      </c>
      <c r="D3206" s="2">
        <v>0.41152777777777777</v>
      </c>
      <c r="E3206" t="s">
        <v>14</v>
      </c>
      <c r="F3206" t="s">
        <v>15</v>
      </c>
      <c r="G3206">
        <v>-2</v>
      </c>
      <c r="H3206" t="s">
        <v>20</v>
      </c>
      <c r="I3206" t="s">
        <v>88</v>
      </c>
      <c r="J3206" s="1">
        <v>43851</v>
      </c>
      <c r="L3206" t="s">
        <v>14</v>
      </c>
      <c r="M3206">
        <v>42.14</v>
      </c>
      <c r="N3206">
        <v>42.14</v>
      </c>
      <c r="O3206" t="s">
        <v>24</v>
      </c>
      <c r="P3206">
        <f t="shared" si="153"/>
        <v>-2</v>
      </c>
      <c r="Q3206" s="11">
        <f>IF(P3206=0,0,IFERROR(Q3205+G3206*M3206*IF(E3206="FUTURE",VLOOKUP(MID(I3206,2,2),[1]Futures!$A$2:$B$12,2),1),G3206*M3206*IF(E3206="FUTURE",VLOOKUP(MID(I3206,2,2),[1]Futures!$A$2:$B$12,2),1)))</f>
        <v>-84280</v>
      </c>
      <c r="R3206" s="12">
        <f>IFERROR(Q3206/P3206/IF(E3206="FUTURE",VLOOKUP(MID(I3206,2,2),[1]Futures!$A$2:$B$12,2),1),"")</f>
        <v>42.14</v>
      </c>
      <c r="S3206" s="13" t="str">
        <f>IF(AND(H3206="TO CLOSE",P3206=0),-G3206*(M3206-R3205)*IF(E3206="FUTURE",VLOOKUP(MID(I3206,2,2),[1]Futures!$A$2:$B$12,2),1),"")</f>
        <v/>
      </c>
    </row>
    <row r="3207" spans="1:19" x14ac:dyDescent="0.2">
      <c r="A3207">
        <f t="shared" si="152"/>
        <v>1038</v>
      </c>
      <c r="B3207" s="3">
        <v>44153</v>
      </c>
      <c r="C3207" s="3" t="str">
        <f t="shared" si="151"/>
        <v>Wednesday</v>
      </c>
      <c r="D3207" s="2">
        <v>0.4135416666666667</v>
      </c>
      <c r="E3207" t="s">
        <v>14</v>
      </c>
      <c r="F3207" t="s">
        <v>19</v>
      </c>
      <c r="G3207">
        <v>1</v>
      </c>
      <c r="H3207" t="s">
        <v>16</v>
      </c>
      <c r="I3207" t="s">
        <v>88</v>
      </c>
      <c r="J3207" s="1">
        <v>43851</v>
      </c>
      <c r="L3207" t="s">
        <v>14</v>
      </c>
      <c r="M3207">
        <v>42.05</v>
      </c>
      <c r="N3207">
        <v>42.05</v>
      </c>
      <c r="O3207" t="s">
        <v>21</v>
      </c>
      <c r="P3207">
        <f t="shared" si="153"/>
        <v>-1</v>
      </c>
      <c r="Q3207" s="11">
        <f>IF(P3207=0,0,IFERROR(Q3206+G3207*M3207*IF(E3207="FUTURE",VLOOKUP(MID(I3207,2,2),[1]Futures!$A$2:$B$12,2),1),G3207*M3207*IF(E3207="FUTURE",VLOOKUP(MID(I3207,2,2),[1]Futures!$A$2:$B$12,2),1)))</f>
        <v>-42230</v>
      </c>
      <c r="R3207" s="12">
        <f>IFERROR(Q3207/P3207/IF(E3207="FUTURE",VLOOKUP(MID(I3207,2,2),[1]Futures!$A$2:$B$12,2),1),"")</f>
        <v>42.23</v>
      </c>
      <c r="S3207" s="13" t="str">
        <f>IF(AND(H3207="TO CLOSE",P3207=0),-G3207*(M3207-R3206)*IF(E3207="FUTURE",VLOOKUP(MID(I3207,2,2),[1]Futures!$A$2:$B$12,2),1),"")</f>
        <v/>
      </c>
    </row>
    <row r="3208" spans="1:19" x14ac:dyDescent="0.2">
      <c r="A3208">
        <f t="shared" si="152"/>
        <v>1038</v>
      </c>
      <c r="B3208" s="3">
        <v>44153</v>
      </c>
      <c r="C3208" s="3" t="str">
        <f t="shared" si="151"/>
        <v>Wednesday</v>
      </c>
      <c r="D3208" s="2">
        <v>0.41484953703703703</v>
      </c>
      <c r="E3208" t="s">
        <v>14</v>
      </c>
      <c r="F3208" t="s">
        <v>19</v>
      </c>
      <c r="G3208">
        <v>1</v>
      </c>
      <c r="H3208" t="s">
        <v>16</v>
      </c>
      <c r="I3208" t="s">
        <v>88</v>
      </c>
      <c r="J3208" s="1">
        <v>43851</v>
      </c>
      <c r="L3208" t="s">
        <v>14</v>
      </c>
      <c r="M3208">
        <v>42.1</v>
      </c>
      <c r="N3208">
        <v>42.1</v>
      </c>
      <c r="O3208" t="s">
        <v>24</v>
      </c>
      <c r="P3208">
        <f t="shared" si="153"/>
        <v>0</v>
      </c>
      <c r="Q3208" s="11">
        <f>IF(P3208=0,0,IFERROR(Q3207+G3208*M3208*IF(E3208="FUTURE",VLOOKUP(MID(I3208,2,2),[1]Futures!$A$2:$B$12,2),1),G3208*M3208*IF(E3208="FUTURE",VLOOKUP(MID(I3208,2,2),[1]Futures!$A$2:$B$12,2),1)))</f>
        <v>0</v>
      </c>
      <c r="R3208" s="12" t="str">
        <f>IFERROR(Q3208/P3208/IF(E3208="FUTURE",VLOOKUP(MID(I3208,2,2),[1]Futures!$A$2:$B$12,2),1),"")</f>
        <v/>
      </c>
      <c r="S3208" s="13">
        <f>IF(AND(H3208="TO CLOSE",P3208=0),-G3208*(M3208-R3207)*IF(E3208="FUTURE",VLOOKUP(MID(I3208,2,2),[1]Futures!$A$2:$B$12,2),1),"")</f>
        <v>129.99999999999545</v>
      </c>
    </row>
    <row r="3209" spans="1:19" x14ac:dyDescent="0.2">
      <c r="A3209">
        <f t="shared" si="152"/>
        <v>1039</v>
      </c>
      <c r="B3209" s="3">
        <v>44153</v>
      </c>
      <c r="C3209" s="3" t="str">
        <f t="shared" si="151"/>
        <v>Wednesday</v>
      </c>
      <c r="D3209" s="2">
        <v>0.43506944444444445</v>
      </c>
      <c r="E3209" t="s">
        <v>14</v>
      </c>
      <c r="F3209" t="s">
        <v>15</v>
      </c>
      <c r="G3209">
        <v>-1</v>
      </c>
      <c r="H3209" t="s">
        <v>20</v>
      </c>
      <c r="I3209" t="s">
        <v>88</v>
      </c>
      <c r="J3209" s="1">
        <v>43851</v>
      </c>
      <c r="L3209" t="s">
        <v>14</v>
      </c>
      <c r="M3209">
        <v>42.1</v>
      </c>
      <c r="N3209">
        <v>42.1</v>
      </c>
      <c r="O3209" t="s">
        <v>21</v>
      </c>
      <c r="P3209">
        <f t="shared" si="153"/>
        <v>-1</v>
      </c>
      <c r="Q3209" s="11">
        <f>IF(P3209=0,0,IFERROR(Q3208+G3209*M3209*IF(E3209="FUTURE",VLOOKUP(MID(I3209,2,2),[1]Futures!$A$2:$B$12,2),1),G3209*M3209*IF(E3209="FUTURE",VLOOKUP(MID(I3209,2,2),[1]Futures!$A$2:$B$12,2),1)))</f>
        <v>-42100</v>
      </c>
      <c r="R3209" s="12">
        <f>IFERROR(Q3209/P3209/IF(E3209="FUTURE",VLOOKUP(MID(I3209,2,2),[1]Futures!$A$2:$B$12,2),1),"")</f>
        <v>42.1</v>
      </c>
      <c r="S3209" s="13" t="str">
        <f>IF(AND(H3209="TO CLOSE",P3209=0),-G3209*(M3209-R3208)*IF(E3209="FUTURE",VLOOKUP(MID(I3209,2,2),[1]Futures!$A$2:$B$12,2),1),"")</f>
        <v/>
      </c>
    </row>
    <row r="3210" spans="1:19" x14ac:dyDescent="0.2">
      <c r="A3210">
        <f t="shared" si="152"/>
        <v>1039</v>
      </c>
      <c r="B3210" s="3">
        <v>44153</v>
      </c>
      <c r="C3210" s="3" t="str">
        <f t="shared" si="151"/>
        <v>Wednesday</v>
      </c>
      <c r="D3210" s="2">
        <v>0.43939814814814815</v>
      </c>
      <c r="E3210" t="s">
        <v>14</v>
      </c>
      <c r="F3210" t="s">
        <v>15</v>
      </c>
      <c r="G3210">
        <v>-1</v>
      </c>
      <c r="H3210" t="s">
        <v>20</v>
      </c>
      <c r="I3210" t="s">
        <v>88</v>
      </c>
      <c r="J3210" s="1">
        <v>43851</v>
      </c>
      <c r="L3210" t="s">
        <v>14</v>
      </c>
      <c r="M3210">
        <v>42</v>
      </c>
      <c r="N3210">
        <v>42</v>
      </c>
      <c r="O3210" t="s">
        <v>18</v>
      </c>
      <c r="P3210">
        <f t="shared" si="153"/>
        <v>-2</v>
      </c>
      <c r="Q3210" s="11">
        <f>IF(P3210=0,0,IFERROR(Q3209+G3210*M3210*IF(E3210="FUTURE",VLOOKUP(MID(I3210,2,2),[1]Futures!$A$2:$B$12,2),1),G3210*M3210*IF(E3210="FUTURE",VLOOKUP(MID(I3210,2,2),[1]Futures!$A$2:$B$12,2),1)))</f>
        <v>-84100</v>
      </c>
      <c r="R3210" s="12">
        <f>IFERROR(Q3210/P3210/IF(E3210="FUTURE",VLOOKUP(MID(I3210,2,2),[1]Futures!$A$2:$B$12,2),1),"")</f>
        <v>42.05</v>
      </c>
      <c r="S3210" s="13" t="str">
        <f>IF(AND(H3210="TO CLOSE",P3210=0),-G3210*(M3210-R3209)*IF(E3210="FUTURE",VLOOKUP(MID(I3210,2,2),[1]Futures!$A$2:$B$12,2),1),"")</f>
        <v/>
      </c>
    </row>
    <row r="3211" spans="1:19" x14ac:dyDescent="0.2">
      <c r="A3211">
        <f t="shared" si="152"/>
        <v>1039</v>
      </c>
      <c r="B3211" s="3">
        <v>44153</v>
      </c>
      <c r="C3211" s="3" t="str">
        <f t="shared" si="151"/>
        <v>Wednesday</v>
      </c>
      <c r="D3211" s="2">
        <v>0.44005787037037036</v>
      </c>
      <c r="E3211" t="s">
        <v>14</v>
      </c>
      <c r="F3211" t="s">
        <v>19</v>
      </c>
      <c r="G3211">
        <v>1</v>
      </c>
      <c r="H3211" t="s">
        <v>16</v>
      </c>
      <c r="I3211" t="s">
        <v>88</v>
      </c>
      <c r="J3211" s="1">
        <v>43851</v>
      </c>
      <c r="L3211" t="s">
        <v>14</v>
      </c>
      <c r="M3211">
        <v>41.99</v>
      </c>
      <c r="N3211">
        <v>41.99</v>
      </c>
      <c r="O3211" t="s">
        <v>21</v>
      </c>
      <c r="P3211">
        <f t="shared" si="153"/>
        <v>-1</v>
      </c>
      <c r="Q3211" s="11">
        <f>IF(P3211=0,0,IFERROR(Q3210+G3211*M3211*IF(E3211="FUTURE",VLOOKUP(MID(I3211,2,2),[1]Futures!$A$2:$B$12,2),1),G3211*M3211*IF(E3211="FUTURE",VLOOKUP(MID(I3211,2,2),[1]Futures!$A$2:$B$12,2),1)))</f>
        <v>-42110</v>
      </c>
      <c r="R3211" s="12">
        <f>IFERROR(Q3211/P3211/IF(E3211="FUTURE",VLOOKUP(MID(I3211,2,2),[1]Futures!$A$2:$B$12,2),1),"")</f>
        <v>42.11</v>
      </c>
      <c r="S3211" s="13" t="str">
        <f>IF(AND(H3211="TO CLOSE",P3211=0),-G3211*(M3211-R3210)*IF(E3211="FUTURE",VLOOKUP(MID(I3211,2,2),[1]Futures!$A$2:$B$12,2),1),"")</f>
        <v/>
      </c>
    </row>
    <row r="3212" spans="1:19" x14ac:dyDescent="0.2">
      <c r="A3212">
        <f t="shared" si="152"/>
        <v>1039</v>
      </c>
      <c r="B3212" s="3">
        <v>44153</v>
      </c>
      <c r="C3212" s="3" t="str">
        <f t="shared" si="151"/>
        <v>Wednesday</v>
      </c>
      <c r="D3212" s="2">
        <v>0.44091435185185185</v>
      </c>
      <c r="E3212" t="s">
        <v>14</v>
      </c>
      <c r="F3212" t="s">
        <v>19</v>
      </c>
      <c r="G3212">
        <v>1</v>
      </c>
      <c r="H3212" t="s">
        <v>16</v>
      </c>
      <c r="I3212" t="s">
        <v>88</v>
      </c>
      <c r="J3212" s="1">
        <v>43851</v>
      </c>
      <c r="L3212" t="s">
        <v>14</v>
      </c>
      <c r="M3212">
        <v>42.04</v>
      </c>
      <c r="N3212">
        <v>42.04</v>
      </c>
      <c r="O3212" t="s">
        <v>18</v>
      </c>
      <c r="P3212">
        <f t="shared" si="153"/>
        <v>0</v>
      </c>
      <c r="Q3212" s="11">
        <f>IF(P3212=0,0,IFERROR(Q3211+G3212*M3212*IF(E3212="FUTURE",VLOOKUP(MID(I3212,2,2),[1]Futures!$A$2:$B$12,2),1),G3212*M3212*IF(E3212="FUTURE",VLOOKUP(MID(I3212,2,2),[1]Futures!$A$2:$B$12,2),1)))</f>
        <v>0</v>
      </c>
      <c r="R3212" s="12" t="str">
        <f>IFERROR(Q3212/P3212/IF(E3212="FUTURE",VLOOKUP(MID(I3212,2,2),[1]Futures!$A$2:$B$12,2),1),"")</f>
        <v/>
      </c>
      <c r="S3212" s="13">
        <f>IF(AND(H3212="TO CLOSE",P3212=0),-G3212*(M3212-R3211)*IF(E3212="FUTURE",VLOOKUP(MID(I3212,2,2),[1]Futures!$A$2:$B$12,2),1),"")</f>
        <v>70.000000000000284</v>
      </c>
    </row>
    <row r="3213" spans="1:19" x14ac:dyDescent="0.2">
      <c r="A3213">
        <f t="shared" si="152"/>
        <v>1040</v>
      </c>
      <c r="B3213" s="3">
        <v>44153</v>
      </c>
      <c r="C3213" s="3" t="str">
        <f t="shared" si="151"/>
        <v>Wednesday</v>
      </c>
      <c r="D3213" s="2">
        <v>0.46377314814814818</v>
      </c>
      <c r="E3213" t="s">
        <v>14</v>
      </c>
      <c r="F3213" t="s">
        <v>19</v>
      </c>
      <c r="G3213">
        <v>1</v>
      </c>
      <c r="H3213" t="s">
        <v>20</v>
      </c>
      <c r="I3213" t="s">
        <v>88</v>
      </c>
      <c r="J3213" s="1">
        <v>43851</v>
      </c>
      <c r="L3213" t="s">
        <v>14</v>
      </c>
      <c r="M3213">
        <v>42.22</v>
      </c>
      <c r="N3213">
        <v>42.22</v>
      </c>
      <c r="O3213" t="s">
        <v>24</v>
      </c>
      <c r="P3213">
        <f t="shared" si="153"/>
        <v>1</v>
      </c>
      <c r="Q3213" s="11">
        <f>IF(P3213=0,0,IFERROR(Q3212+G3213*M3213*IF(E3213="FUTURE",VLOOKUP(MID(I3213,2,2),[1]Futures!$A$2:$B$12,2),1),G3213*M3213*IF(E3213="FUTURE",VLOOKUP(MID(I3213,2,2),[1]Futures!$A$2:$B$12,2),1)))</f>
        <v>42220</v>
      </c>
      <c r="R3213" s="12">
        <f>IFERROR(Q3213/P3213/IF(E3213="FUTURE",VLOOKUP(MID(I3213,2,2),[1]Futures!$A$2:$B$12,2),1),"")</f>
        <v>42.22</v>
      </c>
      <c r="S3213" s="13" t="str">
        <f>IF(AND(H3213="TO CLOSE",P3213=0),-G3213*(M3213-R3212)*IF(E3213="FUTURE",VLOOKUP(MID(I3213,2,2),[1]Futures!$A$2:$B$12,2),1),"")</f>
        <v/>
      </c>
    </row>
    <row r="3214" spans="1:19" x14ac:dyDescent="0.2">
      <c r="A3214">
        <f t="shared" si="152"/>
        <v>1040</v>
      </c>
      <c r="B3214" s="3">
        <v>44153</v>
      </c>
      <c r="C3214" s="3" t="str">
        <f t="shared" si="151"/>
        <v>Wednesday</v>
      </c>
      <c r="D3214" s="2">
        <v>0.46815972222222224</v>
      </c>
      <c r="E3214" t="s">
        <v>14</v>
      </c>
      <c r="F3214" t="s">
        <v>19</v>
      </c>
      <c r="G3214">
        <v>1</v>
      </c>
      <c r="H3214" t="s">
        <v>20</v>
      </c>
      <c r="I3214" t="s">
        <v>88</v>
      </c>
      <c r="J3214" s="1">
        <v>43851</v>
      </c>
      <c r="L3214" t="s">
        <v>14</v>
      </c>
      <c r="M3214">
        <v>42.1</v>
      </c>
      <c r="N3214">
        <v>42.1</v>
      </c>
      <c r="O3214" t="s">
        <v>21</v>
      </c>
      <c r="P3214">
        <f t="shared" si="153"/>
        <v>2</v>
      </c>
      <c r="Q3214" s="11">
        <f>IF(P3214=0,0,IFERROR(Q3213+G3214*M3214*IF(E3214="FUTURE",VLOOKUP(MID(I3214,2,2),[1]Futures!$A$2:$B$12,2),1),G3214*M3214*IF(E3214="FUTURE",VLOOKUP(MID(I3214,2,2),[1]Futures!$A$2:$B$12,2),1)))</f>
        <v>84320</v>
      </c>
      <c r="R3214" s="12">
        <f>IFERROR(Q3214/P3214/IF(E3214="FUTURE",VLOOKUP(MID(I3214,2,2),[1]Futures!$A$2:$B$12,2),1),"")</f>
        <v>42.16</v>
      </c>
      <c r="S3214" s="13" t="str">
        <f>IF(AND(H3214="TO CLOSE",P3214=0),-G3214*(M3214-R3213)*IF(E3214="FUTURE",VLOOKUP(MID(I3214,2,2),[1]Futures!$A$2:$B$12,2),1),"")</f>
        <v/>
      </c>
    </row>
    <row r="3215" spans="1:19" x14ac:dyDescent="0.2">
      <c r="A3215">
        <f t="shared" si="152"/>
        <v>1040</v>
      </c>
      <c r="B3215" s="3">
        <v>44153</v>
      </c>
      <c r="C3215" s="3" t="str">
        <f t="shared" si="151"/>
        <v>Wednesday</v>
      </c>
      <c r="D3215" s="2">
        <v>0.48324074074074069</v>
      </c>
      <c r="E3215" t="s">
        <v>14</v>
      </c>
      <c r="F3215" t="s">
        <v>15</v>
      </c>
      <c r="G3215">
        <v>-1</v>
      </c>
      <c r="H3215" t="s">
        <v>16</v>
      </c>
      <c r="I3215" t="s">
        <v>88</v>
      </c>
      <c r="J3215" s="1">
        <v>43851</v>
      </c>
      <c r="L3215" t="s">
        <v>14</v>
      </c>
      <c r="M3215">
        <v>42.17</v>
      </c>
      <c r="N3215">
        <v>42.17</v>
      </c>
      <c r="O3215" t="s">
        <v>21</v>
      </c>
      <c r="P3215">
        <f t="shared" si="153"/>
        <v>1</v>
      </c>
      <c r="Q3215" s="11">
        <f>IF(P3215=0,0,IFERROR(Q3214+G3215*M3215*IF(E3215="FUTURE",VLOOKUP(MID(I3215,2,2),[1]Futures!$A$2:$B$12,2),1),G3215*M3215*IF(E3215="FUTURE",VLOOKUP(MID(I3215,2,2),[1]Futures!$A$2:$B$12,2),1)))</f>
        <v>42150</v>
      </c>
      <c r="R3215" s="12">
        <f>IFERROR(Q3215/P3215/IF(E3215="FUTURE",VLOOKUP(MID(I3215,2,2),[1]Futures!$A$2:$B$12,2),1),"")</f>
        <v>42.15</v>
      </c>
      <c r="S3215" s="13" t="str">
        <f>IF(AND(H3215="TO CLOSE",P3215=0),-G3215*(M3215-R3214)*IF(E3215="FUTURE",VLOOKUP(MID(I3215,2,2),[1]Futures!$A$2:$B$12,2),1),"")</f>
        <v/>
      </c>
    </row>
    <row r="3216" spans="1:19" x14ac:dyDescent="0.2">
      <c r="A3216">
        <f t="shared" si="152"/>
        <v>1040</v>
      </c>
      <c r="B3216" s="3">
        <v>44153</v>
      </c>
      <c r="C3216" s="3" t="str">
        <f t="shared" si="151"/>
        <v>Wednesday</v>
      </c>
      <c r="D3216" s="2">
        <v>0.4849074074074074</v>
      </c>
      <c r="E3216" t="s">
        <v>14</v>
      </c>
      <c r="F3216" t="s">
        <v>15</v>
      </c>
      <c r="G3216">
        <v>-1</v>
      </c>
      <c r="H3216" t="s">
        <v>16</v>
      </c>
      <c r="I3216" t="s">
        <v>88</v>
      </c>
      <c r="J3216" s="1">
        <v>43851</v>
      </c>
      <c r="L3216" t="s">
        <v>14</v>
      </c>
      <c r="M3216">
        <v>42.26</v>
      </c>
      <c r="N3216">
        <v>42.26</v>
      </c>
      <c r="O3216" t="s">
        <v>21</v>
      </c>
      <c r="P3216">
        <f t="shared" si="153"/>
        <v>0</v>
      </c>
      <c r="Q3216" s="11">
        <f>IF(P3216=0,0,IFERROR(Q3215+G3216*M3216*IF(E3216="FUTURE",VLOOKUP(MID(I3216,2,2),[1]Futures!$A$2:$B$12,2),1),G3216*M3216*IF(E3216="FUTURE",VLOOKUP(MID(I3216,2,2),[1]Futures!$A$2:$B$12,2),1)))</f>
        <v>0</v>
      </c>
      <c r="R3216" s="12" t="str">
        <f>IFERROR(Q3216/P3216/IF(E3216="FUTURE",VLOOKUP(MID(I3216,2,2),[1]Futures!$A$2:$B$12,2),1),"")</f>
        <v/>
      </c>
      <c r="S3216" s="13">
        <f>IF(AND(H3216="TO CLOSE",P3216=0),-G3216*(M3216-R3215)*IF(E3216="FUTURE",VLOOKUP(MID(I3216,2,2),[1]Futures!$A$2:$B$12,2),1),"")</f>
        <v>109.99999999999943</v>
      </c>
    </row>
    <row r="3217" spans="1:19" x14ac:dyDescent="0.2">
      <c r="A3217">
        <f t="shared" si="152"/>
        <v>1041</v>
      </c>
      <c r="B3217" s="3">
        <v>44153</v>
      </c>
      <c r="C3217" s="3" t="str">
        <f t="shared" si="151"/>
        <v>Wednesday</v>
      </c>
      <c r="D3217" s="2">
        <v>0.3848611111111111</v>
      </c>
      <c r="E3217" t="s">
        <v>14</v>
      </c>
      <c r="F3217" t="s">
        <v>15</v>
      </c>
      <c r="G3217">
        <v>-1</v>
      </c>
      <c r="H3217" t="s">
        <v>20</v>
      </c>
      <c r="I3217" t="s">
        <v>85</v>
      </c>
      <c r="J3217" s="1">
        <v>44185</v>
      </c>
      <c r="L3217" t="s">
        <v>14</v>
      </c>
      <c r="M3217">
        <v>3611.5</v>
      </c>
      <c r="N3217">
        <v>3611.5</v>
      </c>
      <c r="O3217" t="s">
        <v>21</v>
      </c>
      <c r="P3217">
        <f t="shared" si="153"/>
        <v>-1</v>
      </c>
      <c r="Q3217" s="11">
        <f>IF(P3217=0,0,IFERROR(Q3216+G3217*M3217*IF(E3217="FUTURE",VLOOKUP(MID(I3217,2,2),[1]Futures!$A$2:$B$12,2),1),G3217*M3217*IF(E3217="FUTURE",VLOOKUP(MID(I3217,2,2),[1]Futures!$A$2:$B$12,2),1)))</f>
        <v>-180575</v>
      </c>
      <c r="R3217" s="12">
        <f>IFERROR(Q3217/P3217/IF(E3217="FUTURE",VLOOKUP(MID(I3217,2,2),[1]Futures!$A$2:$B$12,2),1),"")</f>
        <v>3611.5</v>
      </c>
      <c r="S3217" s="13" t="str">
        <f>IF(AND(H3217="TO CLOSE",P3217=0),-G3217*(M3217-R3216)*IF(E3217="FUTURE",VLOOKUP(MID(I3217,2,2),[1]Futures!$A$2:$B$12,2),1),"")</f>
        <v/>
      </c>
    </row>
    <row r="3218" spans="1:19" x14ac:dyDescent="0.2">
      <c r="A3218">
        <f t="shared" si="152"/>
        <v>1041</v>
      </c>
      <c r="B3218" s="3">
        <v>44153</v>
      </c>
      <c r="C3218" s="3" t="str">
        <f t="shared" si="151"/>
        <v>Wednesday</v>
      </c>
      <c r="D3218" s="2">
        <v>0.38879629629629631</v>
      </c>
      <c r="E3218" t="s">
        <v>14</v>
      </c>
      <c r="F3218" t="s">
        <v>19</v>
      </c>
      <c r="G3218">
        <v>1</v>
      </c>
      <c r="H3218" t="s">
        <v>16</v>
      </c>
      <c r="I3218" t="s">
        <v>85</v>
      </c>
      <c r="J3218" s="1">
        <v>44185</v>
      </c>
      <c r="L3218" t="s">
        <v>14</v>
      </c>
      <c r="M3218">
        <v>3609.5</v>
      </c>
      <c r="N3218">
        <v>3609.5</v>
      </c>
      <c r="O3218" t="s">
        <v>21</v>
      </c>
      <c r="P3218">
        <f t="shared" si="153"/>
        <v>0</v>
      </c>
      <c r="Q3218" s="11">
        <f>IF(P3218=0,0,IFERROR(Q3217+G3218*M3218*IF(E3218="FUTURE",VLOOKUP(MID(I3218,2,2),[1]Futures!$A$2:$B$12,2),1),G3218*M3218*IF(E3218="FUTURE",VLOOKUP(MID(I3218,2,2),[1]Futures!$A$2:$B$12,2),1)))</f>
        <v>0</v>
      </c>
      <c r="R3218" s="12" t="str">
        <f>IFERROR(Q3218/P3218/IF(E3218="FUTURE",VLOOKUP(MID(I3218,2,2),[1]Futures!$A$2:$B$12,2),1),"")</f>
        <v/>
      </c>
      <c r="S3218" s="13">
        <f>IF(AND(H3218="TO CLOSE",P3218=0),-G3218*(M3218-R3217)*IF(E3218="FUTURE",VLOOKUP(MID(I3218,2,2),[1]Futures!$A$2:$B$12,2),1),"")</f>
        <v>100</v>
      </c>
    </row>
    <row r="3219" spans="1:19" x14ac:dyDescent="0.2">
      <c r="A3219">
        <f t="shared" si="152"/>
        <v>1042</v>
      </c>
      <c r="B3219" s="3">
        <v>44153</v>
      </c>
      <c r="C3219" s="3" t="str">
        <f t="shared" si="151"/>
        <v>Wednesday</v>
      </c>
      <c r="D3219" s="2">
        <v>0.48843750000000002</v>
      </c>
      <c r="E3219" t="s">
        <v>14</v>
      </c>
      <c r="F3219" t="s">
        <v>15</v>
      </c>
      <c r="G3219">
        <v>-1</v>
      </c>
      <c r="H3219" t="s">
        <v>20</v>
      </c>
      <c r="I3219" t="s">
        <v>85</v>
      </c>
      <c r="J3219" s="1">
        <v>44185</v>
      </c>
      <c r="L3219" t="s">
        <v>14</v>
      </c>
      <c r="M3219">
        <v>3611.5</v>
      </c>
      <c r="N3219">
        <v>3611.5</v>
      </c>
      <c r="O3219" t="s">
        <v>21</v>
      </c>
      <c r="P3219">
        <f t="shared" si="153"/>
        <v>-1</v>
      </c>
      <c r="Q3219" s="11">
        <f>IF(P3219=0,0,IFERROR(Q3218+G3219*M3219*IF(E3219="FUTURE",VLOOKUP(MID(I3219,2,2),[1]Futures!$A$2:$B$12,2),1),G3219*M3219*IF(E3219="FUTURE",VLOOKUP(MID(I3219,2,2),[1]Futures!$A$2:$B$12,2),1)))</f>
        <v>-180575</v>
      </c>
      <c r="R3219" s="12">
        <f>IFERROR(Q3219/P3219/IF(E3219="FUTURE",VLOOKUP(MID(I3219,2,2),[1]Futures!$A$2:$B$12,2),1),"")</f>
        <v>3611.5</v>
      </c>
      <c r="S3219" s="13" t="str">
        <f>IF(AND(H3219="TO CLOSE",P3219=0),-G3219*(M3219-R3218)*IF(E3219="FUTURE",VLOOKUP(MID(I3219,2,2),[1]Futures!$A$2:$B$12,2),1),"")</f>
        <v/>
      </c>
    </row>
    <row r="3220" spans="1:19" x14ac:dyDescent="0.2">
      <c r="A3220">
        <f t="shared" si="152"/>
        <v>1042</v>
      </c>
      <c r="B3220" s="3">
        <v>44153</v>
      </c>
      <c r="C3220" s="3" t="str">
        <f t="shared" si="151"/>
        <v>Wednesday</v>
      </c>
      <c r="D3220" s="2">
        <v>0.48974537037037041</v>
      </c>
      <c r="E3220" t="s">
        <v>14</v>
      </c>
      <c r="F3220" t="s">
        <v>19</v>
      </c>
      <c r="G3220">
        <v>1</v>
      </c>
      <c r="H3220" t="s">
        <v>16</v>
      </c>
      <c r="I3220" t="s">
        <v>85</v>
      </c>
      <c r="J3220" s="1">
        <v>44185</v>
      </c>
      <c r="L3220" t="s">
        <v>14</v>
      </c>
      <c r="M3220">
        <v>3611.25</v>
      </c>
      <c r="N3220">
        <v>3611.25</v>
      </c>
      <c r="O3220" t="s">
        <v>18</v>
      </c>
      <c r="P3220">
        <f t="shared" si="153"/>
        <v>0</v>
      </c>
      <c r="Q3220" s="11">
        <f>IF(P3220=0,0,IFERROR(Q3219+G3220*M3220*IF(E3220="FUTURE",VLOOKUP(MID(I3220,2,2),[1]Futures!$A$2:$B$12,2),1),G3220*M3220*IF(E3220="FUTURE",VLOOKUP(MID(I3220,2,2),[1]Futures!$A$2:$B$12,2),1)))</f>
        <v>0</v>
      </c>
      <c r="R3220" s="12" t="str">
        <f>IFERROR(Q3220/P3220/IF(E3220="FUTURE",VLOOKUP(MID(I3220,2,2),[1]Futures!$A$2:$B$12,2),1),"")</f>
        <v/>
      </c>
      <c r="S3220" s="13">
        <f>IF(AND(H3220="TO CLOSE",P3220=0),-G3220*(M3220-R3219)*IF(E3220="FUTURE",VLOOKUP(MID(I3220,2,2),[1]Futures!$A$2:$B$12,2),1),"")</f>
        <v>12.5</v>
      </c>
    </row>
    <row r="3221" spans="1:19" x14ac:dyDescent="0.2">
      <c r="A3221">
        <f t="shared" si="152"/>
        <v>1043</v>
      </c>
      <c r="B3221" s="3">
        <v>44153</v>
      </c>
      <c r="C3221" s="3" t="str">
        <f t="shared" si="151"/>
        <v>Wednesday</v>
      </c>
      <c r="D3221" s="2">
        <v>0.38355324074074071</v>
      </c>
      <c r="E3221" t="s">
        <v>22</v>
      </c>
      <c r="F3221" t="s">
        <v>19</v>
      </c>
      <c r="G3221">
        <v>246</v>
      </c>
      <c r="H3221" t="s">
        <v>20</v>
      </c>
      <c r="I3221" t="s">
        <v>23</v>
      </c>
      <c r="L3221" t="s">
        <v>22</v>
      </c>
      <c r="M3221">
        <v>18.09</v>
      </c>
      <c r="N3221">
        <v>18.09</v>
      </c>
      <c r="O3221" t="s">
        <v>21</v>
      </c>
      <c r="P3221">
        <f t="shared" si="153"/>
        <v>246</v>
      </c>
      <c r="Q3221" s="11">
        <f>IF(P3221=0,0,IFERROR(Q3220+G3221*M3221*IF(E3221="FUTURE",VLOOKUP(MID(I3221,2,2),[1]Futures!$A$2:$B$12,2),1),G3221*M3221*IF(E3221="FUTURE",VLOOKUP(MID(I3221,2,2),[1]Futures!$A$2:$B$12,2),1)))</f>
        <v>4450.1400000000003</v>
      </c>
      <c r="R3221" s="12">
        <f>IFERROR(Q3221/P3221/IF(E3221="FUTURE",VLOOKUP(MID(I3221,2,2),[1]Futures!$A$2:$B$12,2),1),"")</f>
        <v>18.09</v>
      </c>
      <c r="S3221" s="13" t="str">
        <f>IF(AND(H3221="TO CLOSE",P3221=0),-G3221*(M3221-R3220)*IF(E3221="FUTURE",VLOOKUP(MID(I3221,2,2),[1]Futures!$A$2:$B$12,2),1),"")</f>
        <v/>
      </c>
    </row>
    <row r="3222" spans="1:19" x14ac:dyDescent="0.2">
      <c r="A3222">
        <f t="shared" si="152"/>
        <v>1043</v>
      </c>
      <c r="B3222" s="3">
        <v>44153</v>
      </c>
      <c r="C3222" s="3" t="str">
        <f t="shared" si="151"/>
        <v>Wednesday</v>
      </c>
      <c r="D3222" s="2">
        <v>0.38355324074074071</v>
      </c>
      <c r="E3222" t="s">
        <v>22</v>
      </c>
      <c r="F3222" t="s">
        <v>19</v>
      </c>
      <c r="G3222">
        <v>54</v>
      </c>
      <c r="H3222" t="s">
        <v>20</v>
      </c>
      <c r="I3222" t="s">
        <v>23</v>
      </c>
      <c r="L3222" t="s">
        <v>22</v>
      </c>
      <c r="M3222">
        <v>18.09</v>
      </c>
      <c r="N3222">
        <v>18.09</v>
      </c>
      <c r="O3222" t="s">
        <v>21</v>
      </c>
      <c r="P3222">
        <f t="shared" si="153"/>
        <v>300</v>
      </c>
      <c r="Q3222" s="11">
        <f>IF(P3222=0,0,IFERROR(Q3221+G3222*M3222*IF(E3222="FUTURE",VLOOKUP(MID(I3222,2,2),[1]Futures!$A$2:$B$12,2),1),G3222*M3222*IF(E3222="FUTURE",VLOOKUP(MID(I3222,2,2),[1]Futures!$A$2:$B$12,2),1)))</f>
        <v>5427</v>
      </c>
      <c r="R3222" s="12">
        <f>IFERROR(Q3222/P3222/IF(E3222="FUTURE",VLOOKUP(MID(I3222,2,2),[1]Futures!$A$2:$B$12,2),1),"")</f>
        <v>18.09</v>
      </c>
      <c r="S3222" s="13" t="str">
        <f>IF(AND(H3222="TO CLOSE",P3222=0),-G3222*(M3222-R3221)*IF(E3222="FUTURE",VLOOKUP(MID(I3222,2,2),[1]Futures!$A$2:$B$12,2),1),"")</f>
        <v/>
      </c>
    </row>
    <row r="3223" spans="1:19" x14ac:dyDescent="0.2">
      <c r="A3223">
        <f t="shared" si="152"/>
        <v>1043</v>
      </c>
      <c r="B3223" s="3">
        <v>44153</v>
      </c>
      <c r="C3223" s="3" t="str">
        <f t="shared" si="151"/>
        <v>Wednesday</v>
      </c>
      <c r="D3223" s="2">
        <v>0.41046296296296297</v>
      </c>
      <c r="E3223" t="s">
        <v>22</v>
      </c>
      <c r="F3223" t="s">
        <v>15</v>
      </c>
      <c r="G3223">
        <v>-50</v>
      </c>
      <c r="H3223" t="s">
        <v>16</v>
      </c>
      <c r="I3223" t="s">
        <v>23</v>
      </c>
      <c r="L3223" t="s">
        <v>22</v>
      </c>
      <c r="M3223">
        <v>18.225000000000001</v>
      </c>
      <c r="N3223">
        <v>18.225000000000001</v>
      </c>
      <c r="O3223" t="s">
        <v>24</v>
      </c>
      <c r="P3223">
        <f t="shared" si="153"/>
        <v>250</v>
      </c>
      <c r="Q3223" s="11">
        <f>IF(P3223=0,0,IFERROR(Q3222+G3223*M3223*IF(E3223="FUTURE",VLOOKUP(MID(I3223,2,2),[1]Futures!$A$2:$B$12,2),1),G3223*M3223*IF(E3223="FUTURE",VLOOKUP(MID(I3223,2,2),[1]Futures!$A$2:$B$12,2),1)))</f>
        <v>4515.75</v>
      </c>
      <c r="R3223" s="12">
        <f>IFERROR(Q3223/P3223/IF(E3223="FUTURE",VLOOKUP(MID(I3223,2,2),[1]Futures!$A$2:$B$12,2),1),"")</f>
        <v>18.062999999999999</v>
      </c>
      <c r="S3223" s="13" t="str">
        <f>IF(AND(H3223="TO CLOSE",P3223=0),-G3223*(M3223-R3222)*IF(E3223="FUTURE",VLOOKUP(MID(I3223,2,2),[1]Futures!$A$2:$B$12,2),1),"")</f>
        <v/>
      </c>
    </row>
    <row r="3224" spans="1:19" x14ac:dyDescent="0.2">
      <c r="A3224">
        <f t="shared" si="152"/>
        <v>1043</v>
      </c>
      <c r="B3224" s="3">
        <v>44153</v>
      </c>
      <c r="C3224" s="3" t="str">
        <f t="shared" si="151"/>
        <v>Wednesday</v>
      </c>
      <c r="D3224" s="2">
        <v>0.41152777777777777</v>
      </c>
      <c r="E3224" t="s">
        <v>22</v>
      </c>
      <c r="F3224" t="s">
        <v>15</v>
      </c>
      <c r="G3224">
        <v>-50</v>
      </c>
      <c r="H3224" t="s">
        <v>16</v>
      </c>
      <c r="I3224" t="s">
        <v>23</v>
      </c>
      <c r="L3224" t="s">
        <v>22</v>
      </c>
      <c r="M3224">
        <v>18.29</v>
      </c>
      <c r="N3224">
        <v>18.29</v>
      </c>
      <c r="O3224" t="s">
        <v>21</v>
      </c>
      <c r="P3224">
        <f t="shared" si="153"/>
        <v>200</v>
      </c>
      <c r="Q3224" s="11">
        <f>IF(P3224=0,0,IFERROR(Q3223+G3224*M3224*IF(E3224="FUTURE",VLOOKUP(MID(I3224,2,2),[1]Futures!$A$2:$B$12,2),1),G3224*M3224*IF(E3224="FUTURE",VLOOKUP(MID(I3224,2,2),[1]Futures!$A$2:$B$12,2),1)))</f>
        <v>3601.25</v>
      </c>
      <c r="R3224" s="12">
        <f>IFERROR(Q3224/P3224/IF(E3224="FUTURE",VLOOKUP(MID(I3224,2,2),[1]Futures!$A$2:$B$12,2),1),"")</f>
        <v>18.006250000000001</v>
      </c>
      <c r="S3224" s="13" t="str">
        <f>IF(AND(H3224="TO CLOSE",P3224=0),-G3224*(M3224-R3223)*IF(E3224="FUTURE",VLOOKUP(MID(I3224,2,2),[1]Futures!$A$2:$B$12,2),1),"")</f>
        <v/>
      </c>
    </row>
    <row r="3225" spans="1:19" x14ac:dyDescent="0.2">
      <c r="A3225">
        <f t="shared" si="152"/>
        <v>1043</v>
      </c>
      <c r="B3225" s="3">
        <v>44153</v>
      </c>
      <c r="C3225" s="3" t="str">
        <f t="shared" si="151"/>
        <v>Wednesday</v>
      </c>
      <c r="D3225" s="2">
        <v>0.41288194444444443</v>
      </c>
      <c r="E3225" t="s">
        <v>22</v>
      </c>
      <c r="F3225" t="s">
        <v>15</v>
      </c>
      <c r="G3225">
        <v>-50</v>
      </c>
      <c r="H3225" t="s">
        <v>16</v>
      </c>
      <c r="I3225" t="s">
        <v>23</v>
      </c>
      <c r="L3225" t="s">
        <v>22</v>
      </c>
      <c r="M3225">
        <v>18.321899999999999</v>
      </c>
      <c r="N3225">
        <v>18.321999999999999</v>
      </c>
      <c r="O3225" t="s">
        <v>21</v>
      </c>
      <c r="P3225">
        <f t="shared" si="153"/>
        <v>150</v>
      </c>
      <c r="Q3225" s="11">
        <f>IF(P3225=0,0,IFERROR(Q3224+G3225*M3225*IF(E3225="FUTURE",VLOOKUP(MID(I3225,2,2),[1]Futures!$A$2:$B$12,2),1),G3225*M3225*IF(E3225="FUTURE",VLOOKUP(MID(I3225,2,2),[1]Futures!$A$2:$B$12,2),1)))</f>
        <v>2685.1549999999997</v>
      </c>
      <c r="R3225" s="12">
        <f>IFERROR(Q3225/P3225/IF(E3225="FUTURE",VLOOKUP(MID(I3225,2,2),[1]Futures!$A$2:$B$12,2),1),"")</f>
        <v>17.901033333333331</v>
      </c>
      <c r="S3225" s="13" t="str">
        <f>IF(AND(H3225="TO CLOSE",P3225=0),-G3225*(M3225-R3224)*IF(E3225="FUTURE",VLOOKUP(MID(I3225,2,2),[1]Futures!$A$2:$B$12,2),1),"")</f>
        <v/>
      </c>
    </row>
    <row r="3226" spans="1:19" x14ac:dyDescent="0.2">
      <c r="A3226">
        <f t="shared" si="152"/>
        <v>1043</v>
      </c>
      <c r="B3226" s="3">
        <v>44153</v>
      </c>
      <c r="C3226" s="3" t="str">
        <f t="shared" si="151"/>
        <v>Wednesday</v>
      </c>
      <c r="D3226" s="2">
        <v>0.41547453703703702</v>
      </c>
      <c r="E3226" t="s">
        <v>22</v>
      </c>
      <c r="F3226" t="s">
        <v>15</v>
      </c>
      <c r="G3226">
        <v>-50</v>
      </c>
      <c r="H3226" t="s">
        <v>16</v>
      </c>
      <c r="I3226" t="s">
        <v>23</v>
      </c>
      <c r="L3226" t="s">
        <v>22</v>
      </c>
      <c r="M3226">
        <v>18.310099999999998</v>
      </c>
      <c r="N3226">
        <v>18.309999999999999</v>
      </c>
      <c r="O3226" t="s">
        <v>21</v>
      </c>
      <c r="P3226">
        <f t="shared" si="153"/>
        <v>100</v>
      </c>
      <c r="Q3226" s="11">
        <f>IF(P3226=0,0,IFERROR(Q3225+G3226*M3226*IF(E3226="FUTURE",VLOOKUP(MID(I3226,2,2),[1]Futures!$A$2:$B$12,2),1),G3226*M3226*IF(E3226="FUTURE",VLOOKUP(MID(I3226,2,2),[1]Futures!$A$2:$B$12,2),1)))</f>
        <v>1769.6499999999999</v>
      </c>
      <c r="R3226" s="12">
        <f>IFERROR(Q3226/P3226/IF(E3226="FUTURE",VLOOKUP(MID(I3226,2,2),[1]Futures!$A$2:$B$12,2),1),"")</f>
        <v>17.6965</v>
      </c>
      <c r="S3226" s="13" t="str">
        <f>IF(AND(H3226="TO CLOSE",P3226=0),-G3226*(M3226-R3225)*IF(E3226="FUTURE",VLOOKUP(MID(I3226,2,2),[1]Futures!$A$2:$B$12,2),1),"")</f>
        <v/>
      </c>
    </row>
    <row r="3227" spans="1:19" x14ac:dyDescent="0.2">
      <c r="A3227">
        <f t="shared" si="152"/>
        <v>1043</v>
      </c>
      <c r="B3227" s="3">
        <v>44153</v>
      </c>
      <c r="C3227" s="3" t="str">
        <f t="shared" si="151"/>
        <v>Wednesday</v>
      </c>
      <c r="D3227" s="2">
        <v>0.41662037037037036</v>
      </c>
      <c r="E3227" t="s">
        <v>22</v>
      </c>
      <c r="F3227" t="s">
        <v>15</v>
      </c>
      <c r="G3227">
        <v>-100</v>
      </c>
      <c r="H3227" t="s">
        <v>16</v>
      </c>
      <c r="I3227" t="s">
        <v>23</v>
      </c>
      <c r="L3227" t="s">
        <v>22</v>
      </c>
      <c r="M3227">
        <v>18.210100000000001</v>
      </c>
      <c r="N3227">
        <v>18.210100000000001</v>
      </c>
      <c r="O3227" t="s">
        <v>18</v>
      </c>
      <c r="P3227">
        <f t="shared" si="153"/>
        <v>0</v>
      </c>
      <c r="Q3227" s="11">
        <f>IF(P3227=0,0,IFERROR(Q3226+G3227*M3227*IF(E3227="FUTURE",VLOOKUP(MID(I3227,2,2),[1]Futures!$A$2:$B$12,2),1),G3227*M3227*IF(E3227="FUTURE",VLOOKUP(MID(I3227,2,2),[1]Futures!$A$2:$B$12,2),1)))</f>
        <v>0</v>
      </c>
      <c r="R3227" s="12" t="str">
        <f>IFERROR(Q3227/P3227/IF(E3227="FUTURE",VLOOKUP(MID(I3227,2,2),[1]Futures!$A$2:$B$12,2),1),"")</f>
        <v/>
      </c>
      <c r="S3227" s="13">
        <f>IF(AND(H3227="TO CLOSE",P3227=0),-G3227*(M3227-R3226)*IF(E3227="FUTURE",VLOOKUP(MID(I3227,2,2),[1]Futures!$A$2:$B$12,2),1),"")</f>
        <v>51.360000000000028</v>
      </c>
    </row>
    <row r="3228" spans="1:19" x14ac:dyDescent="0.2">
      <c r="A3228">
        <f t="shared" si="152"/>
        <v>1044</v>
      </c>
      <c r="B3228" s="3">
        <v>44153</v>
      </c>
      <c r="C3228" s="3" t="str">
        <f t="shared" si="151"/>
        <v>Wednesday</v>
      </c>
      <c r="D3228" s="2">
        <v>0.44353009259259263</v>
      </c>
      <c r="E3228" t="s">
        <v>22</v>
      </c>
      <c r="F3228" t="s">
        <v>19</v>
      </c>
      <c r="G3228">
        <v>200</v>
      </c>
      <c r="H3228" t="s">
        <v>20</v>
      </c>
      <c r="I3228" t="s">
        <v>23</v>
      </c>
      <c r="L3228" t="s">
        <v>22</v>
      </c>
      <c r="M3228">
        <v>18.1799</v>
      </c>
      <c r="N3228">
        <v>18.1799</v>
      </c>
      <c r="O3228" t="s">
        <v>21</v>
      </c>
      <c r="P3228">
        <f t="shared" si="153"/>
        <v>200</v>
      </c>
      <c r="Q3228" s="11">
        <f>IF(P3228=0,0,IFERROR(Q3227+G3228*M3228*IF(E3228="FUTURE",VLOOKUP(MID(I3228,2,2),[1]Futures!$A$2:$B$12,2),1),G3228*M3228*IF(E3228="FUTURE",VLOOKUP(MID(I3228,2,2),[1]Futures!$A$2:$B$12,2),1)))</f>
        <v>3635.98</v>
      </c>
      <c r="R3228" s="12">
        <f>IFERROR(Q3228/P3228/IF(E3228="FUTURE",VLOOKUP(MID(I3228,2,2),[1]Futures!$A$2:$B$12,2),1),"")</f>
        <v>18.1799</v>
      </c>
      <c r="S3228" s="13" t="str">
        <f>IF(AND(H3228="TO CLOSE",P3228=0),-G3228*(M3228-R3227)*IF(E3228="FUTURE",VLOOKUP(MID(I3228,2,2),[1]Futures!$A$2:$B$12,2),1),"")</f>
        <v/>
      </c>
    </row>
    <row r="3229" spans="1:19" x14ac:dyDescent="0.2">
      <c r="A3229">
        <f t="shared" si="152"/>
        <v>1044</v>
      </c>
      <c r="B3229" s="3">
        <v>44153</v>
      </c>
      <c r="C3229" s="3" t="str">
        <f t="shared" si="151"/>
        <v>Wednesday</v>
      </c>
      <c r="D3229" s="2">
        <v>0.49834490740740739</v>
      </c>
      <c r="E3229" t="s">
        <v>22</v>
      </c>
      <c r="F3229" t="s">
        <v>15</v>
      </c>
      <c r="G3229">
        <v>-200</v>
      </c>
      <c r="H3229" t="s">
        <v>16</v>
      </c>
      <c r="I3229" t="s">
        <v>23</v>
      </c>
      <c r="L3229" t="s">
        <v>22</v>
      </c>
      <c r="M3229">
        <v>18.071899999999999</v>
      </c>
      <c r="N3229">
        <v>18.071899999999999</v>
      </c>
      <c r="O3229" t="s">
        <v>24</v>
      </c>
      <c r="P3229">
        <f t="shared" si="153"/>
        <v>0</v>
      </c>
      <c r="Q3229" s="11">
        <f>IF(P3229=0,0,IFERROR(Q3228+G3229*M3229*IF(E3229="FUTURE",VLOOKUP(MID(I3229,2,2),[1]Futures!$A$2:$B$12,2),1),G3229*M3229*IF(E3229="FUTURE",VLOOKUP(MID(I3229,2,2),[1]Futures!$A$2:$B$12,2),1)))</f>
        <v>0</v>
      </c>
      <c r="R3229" s="12" t="str">
        <f>IFERROR(Q3229/P3229/IF(E3229="FUTURE",VLOOKUP(MID(I3229,2,2),[1]Futures!$A$2:$B$12,2),1),"")</f>
        <v/>
      </c>
      <c r="S3229" s="13">
        <f>IF(AND(H3229="TO CLOSE",P3229=0),-G3229*(M3229-R3228)*IF(E3229="FUTURE",VLOOKUP(MID(I3229,2,2),[1]Futures!$A$2:$B$12,2),1),"")</f>
        <v>-21.600000000000108</v>
      </c>
    </row>
    <row r="3230" spans="1:19" x14ac:dyDescent="0.2">
      <c r="A3230">
        <f t="shared" si="152"/>
        <v>1045</v>
      </c>
      <c r="B3230" s="3">
        <v>44154</v>
      </c>
      <c r="C3230" s="3" t="str">
        <f t="shared" si="151"/>
        <v>Thursday</v>
      </c>
      <c r="D3230" s="2">
        <v>0.42108796296296297</v>
      </c>
      <c r="E3230" t="s">
        <v>14</v>
      </c>
      <c r="F3230" t="s">
        <v>19</v>
      </c>
      <c r="G3230">
        <v>1</v>
      </c>
      <c r="H3230" t="s">
        <v>20</v>
      </c>
      <c r="I3230" t="s">
        <v>85</v>
      </c>
      <c r="J3230" s="1">
        <v>44185</v>
      </c>
      <c r="L3230" t="s">
        <v>14</v>
      </c>
      <c r="M3230">
        <v>3561.25</v>
      </c>
      <c r="N3230">
        <v>3561.25</v>
      </c>
      <c r="O3230" t="s">
        <v>24</v>
      </c>
      <c r="P3230">
        <f t="shared" si="153"/>
        <v>1</v>
      </c>
      <c r="Q3230" s="11">
        <f>IF(P3230=0,0,IFERROR(Q3229+G3230*M3230*IF(E3230="FUTURE",VLOOKUP(MID(I3230,2,2),[1]Futures!$A$2:$B$12,2),1),G3230*M3230*IF(E3230="FUTURE",VLOOKUP(MID(I3230,2,2),[1]Futures!$A$2:$B$12,2),1)))</f>
        <v>178062.5</v>
      </c>
      <c r="R3230" s="12">
        <f>IFERROR(Q3230/P3230/IF(E3230="FUTURE",VLOOKUP(MID(I3230,2,2),[1]Futures!$A$2:$B$12,2),1),"")</f>
        <v>3561.25</v>
      </c>
      <c r="S3230" s="13" t="str">
        <f>IF(AND(H3230="TO CLOSE",P3230=0),-G3230*(M3230-R3229)*IF(E3230="FUTURE",VLOOKUP(MID(I3230,2,2),[1]Futures!$A$2:$B$12,2),1),"")</f>
        <v/>
      </c>
    </row>
    <row r="3231" spans="1:19" x14ac:dyDescent="0.2">
      <c r="A3231">
        <f t="shared" si="152"/>
        <v>1045</v>
      </c>
      <c r="B3231" s="3">
        <v>44154</v>
      </c>
      <c r="C3231" s="3" t="str">
        <f t="shared" si="151"/>
        <v>Thursday</v>
      </c>
      <c r="D3231" s="2">
        <v>0.44834490740740746</v>
      </c>
      <c r="E3231" t="s">
        <v>14</v>
      </c>
      <c r="F3231" t="s">
        <v>15</v>
      </c>
      <c r="G3231">
        <v>-1</v>
      </c>
      <c r="H3231" t="s">
        <v>16</v>
      </c>
      <c r="I3231" t="s">
        <v>85</v>
      </c>
      <c r="J3231" s="1">
        <v>44185</v>
      </c>
      <c r="L3231" t="s">
        <v>14</v>
      </c>
      <c r="M3231">
        <v>3565.25</v>
      </c>
      <c r="N3231">
        <v>3565.25</v>
      </c>
      <c r="O3231" t="s">
        <v>21</v>
      </c>
      <c r="P3231">
        <f t="shared" si="153"/>
        <v>0</v>
      </c>
      <c r="Q3231" s="11">
        <f>IF(P3231=0,0,IFERROR(Q3230+G3231*M3231*IF(E3231="FUTURE",VLOOKUP(MID(I3231,2,2),[1]Futures!$A$2:$B$12,2),1),G3231*M3231*IF(E3231="FUTURE",VLOOKUP(MID(I3231,2,2),[1]Futures!$A$2:$B$12,2),1)))</f>
        <v>0</v>
      </c>
      <c r="R3231" s="12" t="str">
        <f>IFERROR(Q3231/P3231/IF(E3231="FUTURE",VLOOKUP(MID(I3231,2,2),[1]Futures!$A$2:$B$12,2),1),"")</f>
        <v/>
      </c>
      <c r="S3231" s="13">
        <f>IF(AND(H3231="TO CLOSE",P3231=0),-G3231*(M3231-R3230)*IF(E3231="FUTURE",VLOOKUP(MID(I3231,2,2),[1]Futures!$A$2:$B$12,2),1),"")</f>
        <v>200</v>
      </c>
    </row>
    <row r="3232" spans="1:19" x14ac:dyDescent="0.2">
      <c r="A3232">
        <f t="shared" si="152"/>
        <v>1046</v>
      </c>
      <c r="B3232" s="3">
        <v>44154</v>
      </c>
      <c r="C3232" s="3" t="str">
        <f t="shared" si="151"/>
        <v>Thursday</v>
      </c>
      <c r="D3232" s="2">
        <v>0.40627314814814813</v>
      </c>
      <c r="E3232" t="s">
        <v>22</v>
      </c>
      <c r="F3232" t="s">
        <v>15</v>
      </c>
      <c r="G3232">
        <v>-400</v>
      </c>
      <c r="H3232" t="s">
        <v>20</v>
      </c>
      <c r="I3232" t="s">
        <v>23</v>
      </c>
      <c r="L3232" t="s">
        <v>22</v>
      </c>
      <c r="M3232">
        <v>18.811900000000001</v>
      </c>
      <c r="N3232">
        <v>18.811900000000001</v>
      </c>
      <c r="O3232" t="s">
        <v>24</v>
      </c>
      <c r="P3232">
        <f t="shared" si="153"/>
        <v>-400</v>
      </c>
      <c r="Q3232" s="11">
        <f>IF(P3232=0,0,IFERROR(Q3231+G3232*M3232*IF(E3232="FUTURE",VLOOKUP(MID(I3232,2,2),[1]Futures!$A$2:$B$12,2),1),G3232*M3232*IF(E3232="FUTURE",VLOOKUP(MID(I3232,2,2),[1]Futures!$A$2:$B$12,2),1)))</f>
        <v>-7524.76</v>
      </c>
      <c r="R3232" s="12">
        <f>IFERROR(Q3232/P3232/IF(E3232="FUTURE",VLOOKUP(MID(I3232,2,2),[1]Futures!$A$2:$B$12,2),1),"")</f>
        <v>18.811900000000001</v>
      </c>
      <c r="S3232" s="13" t="str">
        <f>IF(AND(H3232="TO CLOSE",P3232=0),-G3232*(M3232-R3231)*IF(E3232="FUTURE",VLOOKUP(MID(I3232,2,2),[1]Futures!$A$2:$B$12,2),1),"")</f>
        <v/>
      </c>
    </row>
    <row r="3233" spans="1:19" x14ac:dyDescent="0.2">
      <c r="A3233">
        <f t="shared" si="152"/>
        <v>1046</v>
      </c>
      <c r="B3233" s="3">
        <v>44154</v>
      </c>
      <c r="C3233" s="3" t="str">
        <f t="shared" si="151"/>
        <v>Thursday</v>
      </c>
      <c r="D3233" s="2">
        <v>0.4097453703703704</v>
      </c>
      <c r="E3233" t="s">
        <v>22</v>
      </c>
      <c r="F3233" t="s">
        <v>19</v>
      </c>
      <c r="G3233">
        <v>100</v>
      </c>
      <c r="H3233" t="s">
        <v>16</v>
      </c>
      <c r="I3233" t="s">
        <v>23</v>
      </c>
      <c r="L3233" t="s">
        <v>22</v>
      </c>
      <c r="M3233">
        <v>18.690000000000001</v>
      </c>
      <c r="N3233">
        <v>18.690000000000001</v>
      </c>
      <c r="O3233" t="s">
        <v>21</v>
      </c>
      <c r="P3233">
        <f t="shared" si="153"/>
        <v>-300</v>
      </c>
      <c r="Q3233" s="11">
        <f>IF(P3233=0,0,IFERROR(Q3232+G3233*M3233*IF(E3233="FUTURE",VLOOKUP(MID(I3233,2,2),[1]Futures!$A$2:$B$12,2),1),G3233*M3233*IF(E3233="FUTURE",VLOOKUP(MID(I3233,2,2),[1]Futures!$A$2:$B$12,2),1)))</f>
        <v>-5655.76</v>
      </c>
      <c r="R3233" s="12">
        <f>IFERROR(Q3233/P3233/IF(E3233="FUTURE",VLOOKUP(MID(I3233,2,2),[1]Futures!$A$2:$B$12,2),1),"")</f>
        <v>18.852533333333334</v>
      </c>
      <c r="S3233" s="13" t="str">
        <f>IF(AND(H3233="TO CLOSE",P3233=0),-G3233*(M3233-R3232)*IF(E3233="FUTURE",VLOOKUP(MID(I3233,2,2),[1]Futures!$A$2:$B$12,2),1),"")</f>
        <v/>
      </c>
    </row>
    <row r="3234" spans="1:19" x14ac:dyDescent="0.2">
      <c r="A3234">
        <f t="shared" si="152"/>
        <v>1046</v>
      </c>
      <c r="B3234" s="3">
        <v>44154</v>
      </c>
      <c r="C3234" s="3" t="str">
        <f t="shared" ref="C3234:C3297" si="154">IF(WEEKDAY(B3234,2)=1,"Monday",IF(WEEKDAY(B3234,2)=2,"Tuesday",IF(WEEKDAY(B3234,2)=3,"Wednesday",IF(WEEKDAY(B3234,2)=4,"Thursday",IF(WEEKDAY(B3234,2)=5,"Friday","Sunday")))))</f>
        <v>Thursday</v>
      </c>
      <c r="D3234" s="2">
        <v>0.44959490740740743</v>
      </c>
      <c r="E3234" t="s">
        <v>22</v>
      </c>
      <c r="F3234" t="s">
        <v>19</v>
      </c>
      <c r="G3234">
        <v>100</v>
      </c>
      <c r="H3234" t="s">
        <v>16</v>
      </c>
      <c r="I3234" t="s">
        <v>23</v>
      </c>
      <c r="L3234" t="s">
        <v>22</v>
      </c>
      <c r="M3234">
        <v>18.745000000000001</v>
      </c>
      <c r="N3234">
        <v>18.745000000000001</v>
      </c>
      <c r="O3234" t="s">
        <v>21</v>
      </c>
      <c r="P3234">
        <f t="shared" si="153"/>
        <v>-200</v>
      </c>
      <c r="Q3234" s="11">
        <f>IF(P3234=0,0,IFERROR(Q3233+G3234*M3234*IF(E3234="FUTURE",VLOOKUP(MID(I3234,2,2),[1]Futures!$A$2:$B$12,2),1),G3234*M3234*IF(E3234="FUTURE",VLOOKUP(MID(I3234,2,2),[1]Futures!$A$2:$B$12,2),1)))</f>
        <v>-3781.26</v>
      </c>
      <c r="R3234" s="12">
        <f>IFERROR(Q3234/P3234/IF(E3234="FUTURE",VLOOKUP(MID(I3234,2,2),[1]Futures!$A$2:$B$12,2),1),"")</f>
        <v>18.906300000000002</v>
      </c>
      <c r="S3234" s="13" t="str">
        <f>IF(AND(H3234="TO CLOSE",P3234=0),-G3234*(M3234-R3233)*IF(E3234="FUTURE",VLOOKUP(MID(I3234,2,2),[1]Futures!$A$2:$B$12,2),1),"")</f>
        <v/>
      </c>
    </row>
    <row r="3235" spans="1:19" x14ac:dyDescent="0.2">
      <c r="A3235">
        <f t="shared" si="152"/>
        <v>1046</v>
      </c>
      <c r="B3235" s="3">
        <v>44154</v>
      </c>
      <c r="C3235" s="3" t="str">
        <f t="shared" si="154"/>
        <v>Thursday</v>
      </c>
      <c r="D3235" s="2">
        <v>0.45280092592592597</v>
      </c>
      <c r="E3235" t="s">
        <v>22</v>
      </c>
      <c r="F3235" t="s">
        <v>19</v>
      </c>
      <c r="G3235">
        <v>200</v>
      </c>
      <c r="H3235" t="s">
        <v>16</v>
      </c>
      <c r="I3235" t="s">
        <v>23</v>
      </c>
      <c r="L3235" t="s">
        <v>22</v>
      </c>
      <c r="M3235">
        <v>18.8</v>
      </c>
      <c r="N3235">
        <v>18.8</v>
      </c>
      <c r="O3235" t="s">
        <v>18</v>
      </c>
      <c r="P3235">
        <f t="shared" si="153"/>
        <v>0</v>
      </c>
      <c r="Q3235" s="11">
        <f>IF(P3235=0,0,IFERROR(Q3234+G3235*M3235*IF(E3235="FUTURE",VLOOKUP(MID(I3235,2,2),[1]Futures!$A$2:$B$12,2),1),G3235*M3235*IF(E3235="FUTURE",VLOOKUP(MID(I3235,2,2),[1]Futures!$A$2:$B$12,2),1)))</f>
        <v>0</v>
      </c>
      <c r="R3235" s="12" t="str">
        <f>IFERROR(Q3235/P3235/IF(E3235="FUTURE",VLOOKUP(MID(I3235,2,2),[1]Futures!$A$2:$B$12,2),1),"")</f>
        <v/>
      </c>
      <c r="S3235" s="13">
        <f>IF(AND(H3235="TO CLOSE",P3235=0),-G3235*(M3235-R3234)*IF(E3235="FUTURE",VLOOKUP(MID(I3235,2,2),[1]Futures!$A$2:$B$12,2),1),"")</f>
        <v>21.26000000000019</v>
      </c>
    </row>
    <row r="3236" spans="1:19" x14ac:dyDescent="0.2">
      <c r="A3236">
        <f t="shared" si="152"/>
        <v>1047</v>
      </c>
      <c r="B3236" s="3">
        <v>44155</v>
      </c>
      <c r="C3236" s="3" t="str">
        <f t="shared" si="154"/>
        <v>Friday</v>
      </c>
      <c r="D3236" s="2">
        <v>0.42880787037037038</v>
      </c>
      <c r="E3236" t="s">
        <v>14</v>
      </c>
      <c r="F3236" t="s">
        <v>15</v>
      </c>
      <c r="G3236">
        <v>-1</v>
      </c>
      <c r="H3236" t="s">
        <v>20</v>
      </c>
      <c r="I3236" t="s">
        <v>85</v>
      </c>
      <c r="J3236" s="1">
        <v>44185</v>
      </c>
      <c r="L3236" t="s">
        <v>14</v>
      </c>
      <c r="M3236">
        <v>3563.5</v>
      </c>
      <c r="N3236">
        <v>3563.5</v>
      </c>
      <c r="O3236" t="s">
        <v>21</v>
      </c>
      <c r="P3236">
        <f t="shared" si="153"/>
        <v>-1</v>
      </c>
      <c r="Q3236" s="11">
        <f>IF(P3236=0,0,IFERROR(Q3235+G3236*M3236*IF(E3236="FUTURE",VLOOKUP(MID(I3236,2,2),[1]Futures!$A$2:$B$12,2),1),G3236*M3236*IF(E3236="FUTURE",VLOOKUP(MID(I3236,2,2),[1]Futures!$A$2:$B$12,2),1)))</f>
        <v>-178175</v>
      </c>
      <c r="R3236" s="12">
        <f>IFERROR(Q3236/P3236/IF(E3236="FUTURE",VLOOKUP(MID(I3236,2,2),[1]Futures!$A$2:$B$12,2),1),"")</f>
        <v>3563.5</v>
      </c>
      <c r="S3236" s="13" t="str">
        <f>IF(AND(H3236="TO CLOSE",P3236=0),-G3236*(M3236-R3235)*IF(E3236="FUTURE",VLOOKUP(MID(I3236,2,2),[1]Futures!$A$2:$B$12,2),1),"")</f>
        <v/>
      </c>
    </row>
    <row r="3237" spans="1:19" x14ac:dyDescent="0.2">
      <c r="A3237">
        <f t="shared" si="152"/>
        <v>1047</v>
      </c>
      <c r="B3237" s="3">
        <v>44155</v>
      </c>
      <c r="C3237" s="3" t="str">
        <f t="shared" si="154"/>
        <v>Friday</v>
      </c>
      <c r="D3237" s="2">
        <v>0.44238425925925928</v>
      </c>
      <c r="E3237" t="s">
        <v>14</v>
      </c>
      <c r="F3237" t="s">
        <v>19</v>
      </c>
      <c r="G3237">
        <v>1</v>
      </c>
      <c r="H3237" t="s">
        <v>16</v>
      </c>
      <c r="I3237" t="s">
        <v>85</v>
      </c>
      <c r="J3237" s="1">
        <v>44185</v>
      </c>
      <c r="L3237" t="s">
        <v>14</v>
      </c>
      <c r="M3237">
        <v>3568.5</v>
      </c>
      <c r="N3237">
        <v>3568.5</v>
      </c>
      <c r="O3237" t="s">
        <v>18</v>
      </c>
      <c r="P3237">
        <f t="shared" si="153"/>
        <v>0</v>
      </c>
      <c r="Q3237" s="11">
        <f>IF(P3237=0,0,IFERROR(Q3236+G3237*M3237*IF(E3237="FUTURE",VLOOKUP(MID(I3237,2,2),[1]Futures!$A$2:$B$12,2),1),G3237*M3237*IF(E3237="FUTURE",VLOOKUP(MID(I3237,2,2),[1]Futures!$A$2:$B$12,2),1)))</f>
        <v>0</v>
      </c>
      <c r="R3237" s="12" t="str">
        <f>IFERROR(Q3237/P3237/IF(E3237="FUTURE",VLOOKUP(MID(I3237,2,2),[1]Futures!$A$2:$B$12,2),1),"")</f>
        <v/>
      </c>
      <c r="S3237" s="13">
        <f>IF(AND(H3237="TO CLOSE",P3237=0),-G3237*(M3237-R3236)*IF(E3237="FUTURE",VLOOKUP(MID(I3237,2,2),[1]Futures!$A$2:$B$12,2),1),"")</f>
        <v>-250</v>
      </c>
    </row>
    <row r="3238" spans="1:19" x14ac:dyDescent="0.2">
      <c r="A3238">
        <f t="shared" si="152"/>
        <v>1048</v>
      </c>
      <c r="B3238" s="3">
        <v>44155</v>
      </c>
      <c r="C3238" s="3" t="str">
        <f t="shared" si="154"/>
        <v>Friday</v>
      </c>
      <c r="D3238" s="2">
        <v>0.44305555555555554</v>
      </c>
      <c r="E3238" t="s">
        <v>14</v>
      </c>
      <c r="F3238" t="s">
        <v>19</v>
      </c>
      <c r="G3238">
        <v>1</v>
      </c>
      <c r="H3238" t="s">
        <v>20</v>
      </c>
      <c r="I3238" t="s">
        <v>85</v>
      </c>
      <c r="J3238" s="1">
        <v>44185</v>
      </c>
      <c r="L3238" t="s">
        <v>14</v>
      </c>
      <c r="M3238">
        <v>3569.75</v>
      </c>
      <c r="N3238">
        <v>3569.75</v>
      </c>
      <c r="O3238" t="s">
        <v>21</v>
      </c>
      <c r="P3238">
        <f t="shared" si="153"/>
        <v>1</v>
      </c>
      <c r="Q3238" s="11">
        <f>IF(P3238=0,0,IFERROR(Q3237+G3238*M3238*IF(E3238="FUTURE",VLOOKUP(MID(I3238,2,2),[1]Futures!$A$2:$B$12,2),1),G3238*M3238*IF(E3238="FUTURE",VLOOKUP(MID(I3238,2,2),[1]Futures!$A$2:$B$12,2),1)))</f>
        <v>178487.5</v>
      </c>
      <c r="R3238" s="12">
        <f>IFERROR(Q3238/P3238/IF(E3238="FUTURE",VLOOKUP(MID(I3238,2,2),[1]Futures!$A$2:$B$12,2),1),"")</f>
        <v>3569.75</v>
      </c>
      <c r="S3238" s="13" t="str">
        <f>IF(AND(H3238="TO CLOSE",P3238=0),-G3238*(M3238-R3237)*IF(E3238="FUTURE",VLOOKUP(MID(I3238,2,2),[1]Futures!$A$2:$B$12,2),1),"")</f>
        <v/>
      </c>
    </row>
    <row r="3239" spans="1:19" x14ac:dyDescent="0.2">
      <c r="A3239">
        <f t="shared" si="152"/>
        <v>1048</v>
      </c>
      <c r="B3239" s="3">
        <v>44155</v>
      </c>
      <c r="C3239" s="3" t="str">
        <f t="shared" si="154"/>
        <v>Friday</v>
      </c>
      <c r="D3239" s="2">
        <v>0.46395833333333331</v>
      </c>
      <c r="E3239" t="s">
        <v>14</v>
      </c>
      <c r="F3239" t="s">
        <v>15</v>
      </c>
      <c r="G3239">
        <v>-1</v>
      </c>
      <c r="H3239" t="s">
        <v>16</v>
      </c>
      <c r="I3239" t="s">
        <v>85</v>
      </c>
      <c r="J3239" s="1">
        <v>44185</v>
      </c>
      <c r="L3239" t="s">
        <v>14</v>
      </c>
      <c r="M3239">
        <v>3570</v>
      </c>
      <c r="N3239">
        <v>3570</v>
      </c>
      <c r="O3239" t="s">
        <v>18</v>
      </c>
      <c r="P3239">
        <f t="shared" si="153"/>
        <v>0</v>
      </c>
      <c r="Q3239" s="11">
        <f>IF(P3239=0,0,IFERROR(Q3238+G3239*M3239*IF(E3239="FUTURE",VLOOKUP(MID(I3239,2,2),[1]Futures!$A$2:$B$12,2),1),G3239*M3239*IF(E3239="FUTURE",VLOOKUP(MID(I3239,2,2),[1]Futures!$A$2:$B$12,2),1)))</f>
        <v>0</v>
      </c>
      <c r="R3239" s="12" t="str">
        <f>IFERROR(Q3239/P3239/IF(E3239="FUTURE",VLOOKUP(MID(I3239,2,2),[1]Futures!$A$2:$B$12,2),1),"")</f>
        <v/>
      </c>
      <c r="S3239" s="13">
        <f>IF(AND(H3239="TO CLOSE",P3239=0),-G3239*(M3239-R3238)*IF(E3239="FUTURE",VLOOKUP(MID(I3239,2,2),[1]Futures!$A$2:$B$12,2),1),"")</f>
        <v>12.5</v>
      </c>
    </row>
    <row r="3240" spans="1:19" x14ac:dyDescent="0.2">
      <c r="A3240">
        <f t="shared" si="152"/>
        <v>1049</v>
      </c>
      <c r="B3240" s="3">
        <v>44155</v>
      </c>
      <c r="C3240" s="3" t="str">
        <f t="shared" si="154"/>
        <v>Friday</v>
      </c>
      <c r="D3240" s="2">
        <v>0.49041666666666667</v>
      </c>
      <c r="E3240" t="s">
        <v>14</v>
      </c>
      <c r="F3240" t="s">
        <v>15</v>
      </c>
      <c r="G3240">
        <v>-1</v>
      </c>
      <c r="H3240" t="s">
        <v>20</v>
      </c>
      <c r="I3240" t="s">
        <v>85</v>
      </c>
      <c r="J3240" s="1">
        <v>44185</v>
      </c>
      <c r="L3240" t="s">
        <v>14</v>
      </c>
      <c r="M3240">
        <v>3572.75</v>
      </c>
      <c r="N3240">
        <v>3572.75</v>
      </c>
      <c r="O3240" t="s">
        <v>21</v>
      </c>
      <c r="P3240">
        <f t="shared" si="153"/>
        <v>-1</v>
      </c>
      <c r="Q3240" s="11">
        <f>IF(P3240=0,0,IFERROR(Q3239+G3240*M3240*IF(E3240="FUTURE",VLOOKUP(MID(I3240,2,2),[1]Futures!$A$2:$B$12,2),1),G3240*M3240*IF(E3240="FUTURE",VLOOKUP(MID(I3240,2,2),[1]Futures!$A$2:$B$12,2),1)))</f>
        <v>-178637.5</v>
      </c>
      <c r="R3240" s="12">
        <f>IFERROR(Q3240/P3240/IF(E3240="FUTURE",VLOOKUP(MID(I3240,2,2),[1]Futures!$A$2:$B$12,2),1),"")</f>
        <v>3572.75</v>
      </c>
      <c r="S3240" s="13" t="str">
        <f>IF(AND(H3240="TO CLOSE",P3240=0),-G3240*(M3240-R3239)*IF(E3240="FUTURE",VLOOKUP(MID(I3240,2,2),[1]Futures!$A$2:$B$12,2),1),"")</f>
        <v/>
      </c>
    </row>
    <row r="3241" spans="1:19" x14ac:dyDescent="0.2">
      <c r="A3241">
        <f t="shared" si="152"/>
        <v>1049</v>
      </c>
      <c r="B3241" s="3">
        <v>44155</v>
      </c>
      <c r="C3241" s="3" t="str">
        <f t="shared" si="154"/>
        <v>Friday</v>
      </c>
      <c r="D3241" s="2">
        <v>0.49192129629629627</v>
      </c>
      <c r="E3241" t="s">
        <v>14</v>
      </c>
      <c r="F3241" t="s">
        <v>19</v>
      </c>
      <c r="G3241">
        <v>1</v>
      </c>
      <c r="H3241" t="s">
        <v>16</v>
      </c>
      <c r="I3241" t="s">
        <v>85</v>
      </c>
      <c r="J3241" s="1">
        <v>44185</v>
      </c>
      <c r="L3241" t="s">
        <v>14</v>
      </c>
      <c r="M3241">
        <v>3568.75</v>
      </c>
      <c r="N3241">
        <v>3568.75</v>
      </c>
      <c r="O3241" t="s">
        <v>21</v>
      </c>
      <c r="P3241">
        <f t="shared" si="153"/>
        <v>0</v>
      </c>
      <c r="Q3241" s="11">
        <f>IF(P3241=0,0,IFERROR(Q3240+G3241*M3241*IF(E3241="FUTURE",VLOOKUP(MID(I3241,2,2),[1]Futures!$A$2:$B$12,2),1),G3241*M3241*IF(E3241="FUTURE",VLOOKUP(MID(I3241,2,2),[1]Futures!$A$2:$B$12,2),1)))</f>
        <v>0</v>
      </c>
      <c r="R3241" s="12" t="str">
        <f>IFERROR(Q3241/P3241/IF(E3241="FUTURE",VLOOKUP(MID(I3241,2,2),[1]Futures!$A$2:$B$12,2),1),"")</f>
        <v/>
      </c>
      <c r="S3241" s="13">
        <f>IF(AND(H3241="TO CLOSE",P3241=0),-G3241*(M3241-R3240)*IF(E3241="FUTURE",VLOOKUP(MID(I3241,2,2),[1]Futures!$A$2:$B$12,2),1),"")</f>
        <v>200</v>
      </c>
    </row>
    <row r="3242" spans="1:19" x14ac:dyDescent="0.2">
      <c r="A3242">
        <f t="shared" si="152"/>
        <v>1050</v>
      </c>
      <c r="B3242" s="3">
        <v>44155</v>
      </c>
      <c r="C3242" s="3" t="str">
        <f t="shared" si="154"/>
        <v>Friday</v>
      </c>
      <c r="D3242" s="2">
        <v>0.49299768518518516</v>
      </c>
      <c r="E3242" t="s">
        <v>14</v>
      </c>
      <c r="F3242" t="s">
        <v>15</v>
      </c>
      <c r="G3242">
        <v>-1</v>
      </c>
      <c r="H3242" t="s">
        <v>20</v>
      </c>
      <c r="I3242" t="s">
        <v>85</v>
      </c>
      <c r="J3242" s="1">
        <v>44185</v>
      </c>
      <c r="L3242" t="s">
        <v>14</v>
      </c>
      <c r="M3242">
        <v>3565.5</v>
      </c>
      <c r="N3242">
        <v>3565.5</v>
      </c>
      <c r="O3242" t="s">
        <v>24</v>
      </c>
      <c r="P3242">
        <f t="shared" si="153"/>
        <v>-1</v>
      </c>
      <c r="Q3242" s="11">
        <f>IF(P3242=0,0,IFERROR(Q3241+G3242*M3242*IF(E3242="FUTURE",VLOOKUP(MID(I3242,2,2),[1]Futures!$A$2:$B$12,2),1),G3242*M3242*IF(E3242="FUTURE",VLOOKUP(MID(I3242,2,2),[1]Futures!$A$2:$B$12,2),1)))</f>
        <v>-178275</v>
      </c>
      <c r="R3242" s="12">
        <f>IFERROR(Q3242/P3242/IF(E3242="FUTURE",VLOOKUP(MID(I3242,2,2),[1]Futures!$A$2:$B$12,2),1),"")</f>
        <v>3565.5</v>
      </c>
      <c r="S3242" s="13" t="str">
        <f>IF(AND(H3242="TO CLOSE",P3242=0),-G3242*(M3242-R3241)*IF(E3242="FUTURE",VLOOKUP(MID(I3242,2,2),[1]Futures!$A$2:$B$12,2),1),"")</f>
        <v/>
      </c>
    </row>
    <row r="3243" spans="1:19" x14ac:dyDescent="0.2">
      <c r="A3243">
        <f t="shared" si="152"/>
        <v>1050</v>
      </c>
      <c r="B3243" s="3">
        <v>44155</v>
      </c>
      <c r="C3243" s="3" t="str">
        <f t="shared" si="154"/>
        <v>Friday</v>
      </c>
      <c r="D3243" s="2">
        <v>0.50195601851851845</v>
      </c>
      <c r="E3243" t="s">
        <v>14</v>
      </c>
      <c r="F3243" t="s">
        <v>19</v>
      </c>
      <c r="G3243">
        <v>1</v>
      </c>
      <c r="H3243" t="s">
        <v>16</v>
      </c>
      <c r="I3243" t="s">
        <v>85</v>
      </c>
      <c r="J3243" s="1">
        <v>44185</v>
      </c>
      <c r="L3243" t="s">
        <v>14</v>
      </c>
      <c r="M3243">
        <v>3570.5</v>
      </c>
      <c r="N3243">
        <v>3570.5</v>
      </c>
      <c r="O3243" t="s">
        <v>18</v>
      </c>
      <c r="P3243">
        <f t="shared" si="153"/>
        <v>0</v>
      </c>
      <c r="Q3243" s="11">
        <f>IF(P3243=0,0,IFERROR(Q3242+G3243*M3243*IF(E3243="FUTURE",VLOOKUP(MID(I3243,2,2),[1]Futures!$A$2:$B$12,2),1),G3243*M3243*IF(E3243="FUTURE",VLOOKUP(MID(I3243,2,2),[1]Futures!$A$2:$B$12,2),1)))</f>
        <v>0</v>
      </c>
      <c r="R3243" s="12" t="str">
        <f>IFERROR(Q3243/P3243/IF(E3243="FUTURE",VLOOKUP(MID(I3243,2,2),[1]Futures!$A$2:$B$12,2),1),"")</f>
        <v/>
      </c>
      <c r="S3243" s="13">
        <f>IF(AND(H3243="TO CLOSE",P3243=0),-G3243*(M3243-R3242)*IF(E3243="FUTURE",VLOOKUP(MID(I3243,2,2),[1]Futures!$A$2:$B$12,2),1),"")</f>
        <v>-250</v>
      </c>
    </row>
    <row r="3244" spans="1:19" x14ac:dyDescent="0.2">
      <c r="A3244">
        <f t="shared" si="152"/>
        <v>1051</v>
      </c>
      <c r="B3244" s="3">
        <v>44155</v>
      </c>
      <c r="C3244" s="3" t="str">
        <f t="shared" si="154"/>
        <v>Friday</v>
      </c>
      <c r="D3244" s="2">
        <v>0.50268518518518512</v>
      </c>
      <c r="E3244" t="s">
        <v>14</v>
      </c>
      <c r="F3244" t="s">
        <v>15</v>
      </c>
      <c r="G3244">
        <v>-1</v>
      </c>
      <c r="H3244" t="s">
        <v>20</v>
      </c>
      <c r="I3244" t="s">
        <v>85</v>
      </c>
      <c r="J3244" s="1">
        <v>44185</v>
      </c>
      <c r="L3244" t="s">
        <v>14</v>
      </c>
      <c r="M3244">
        <v>3569.25</v>
      </c>
      <c r="N3244">
        <v>3569.25</v>
      </c>
      <c r="O3244" t="s">
        <v>24</v>
      </c>
      <c r="P3244">
        <f t="shared" si="153"/>
        <v>-1</v>
      </c>
      <c r="Q3244" s="11">
        <f>IF(P3244=0,0,IFERROR(Q3243+G3244*M3244*IF(E3244="FUTURE",VLOOKUP(MID(I3244,2,2),[1]Futures!$A$2:$B$12,2),1),G3244*M3244*IF(E3244="FUTURE",VLOOKUP(MID(I3244,2,2),[1]Futures!$A$2:$B$12,2),1)))</f>
        <v>-178462.5</v>
      </c>
      <c r="R3244" s="12">
        <f>IFERROR(Q3244/P3244/IF(E3244="FUTURE",VLOOKUP(MID(I3244,2,2),[1]Futures!$A$2:$B$12,2),1),"")</f>
        <v>3569.25</v>
      </c>
      <c r="S3244" s="13" t="str">
        <f>IF(AND(H3244="TO CLOSE",P3244=0),-G3244*(M3244-R3243)*IF(E3244="FUTURE",VLOOKUP(MID(I3244,2,2),[1]Futures!$A$2:$B$12,2),1),"")</f>
        <v/>
      </c>
    </row>
    <row r="3245" spans="1:19" x14ac:dyDescent="0.2">
      <c r="A3245">
        <f t="shared" si="152"/>
        <v>1051</v>
      </c>
      <c r="B3245" s="3">
        <v>44155</v>
      </c>
      <c r="C3245" s="3" t="str">
        <f t="shared" si="154"/>
        <v>Friday</v>
      </c>
      <c r="D3245" s="2">
        <v>0.50967592592592592</v>
      </c>
      <c r="E3245" t="s">
        <v>14</v>
      </c>
      <c r="F3245" t="s">
        <v>19</v>
      </c>
      <c r="G3245">
        <v>1</v>
      </c>
      <c r="H3245" t="s">
        <v>16</v>
      </c>
      <c r="I3245" t="s">
        <v>85</v>
      </c>
      <c r="J3245" s="1">
        <v>44185</v>
      </c>
      <c r="L3245" t="s">
        <v>14</v>
      </c>
      <c r="M3245">
        <v>3569</v>
      </c>
      <c r="N3245">
        <v>3569</v>
      </c>
      <c r="O3245" t="s">
        <v>21</v>
      </c>
      <c r="P3245">
        <f t="shared" si="153"/>
        <v>0</v>
      </c>
      <c r="Q3245" s="11">
        <f>IF(P3245=0,0,IFERROR(Q3244+G3245*M3245*IF(E3245="FUTURE",VLOOKUP(MID(I3245,2,2),[1]Futures!$A$2:$B$12,2),1),G3245*M3245*IF(E3245="FUTURE",VLOOKUP(MID(I3245,2,2),[1]Futures!$A$2:$B$12,2),1)))</f>
        <v>0</v>
      </c>
      <c r="R3245" s="12" t="str">
        <f>IFERROR(Q3245/P3245/IF(E3245="FUTURE",VLOOKUP(MID(I3245,2,2),[1]Futures!$A$2:$B$12,2),1),"")</f>
        <v/>
      </c>
      <c r="S3245" s="13">
        <f>IF(AND(H3245="TO CLOSE",P3245=0),-G3245*(M3245-R3244)*IF(E3245="FUTURE",VLOOKUP(MID(I3245,2,2),[1]Futures!$A$2:$B$12,2),1),"")</f>
        <v>12.5</v>
      </c>
    </row>
    <row r="3246" spans="1:19" x14ac:dyDescent="0.2">
      <c r="A3246">
        <f t="shared" si="152"/>
        <v>1052</v>
      </c>
      <c r="B3246" s="3">
        <v>44155</v>
      </c>
      <c r="C3246" s="3" t="str">
        <f t="shared" si="154"/>
        <v>Friday</v>
      </c>
      <c r="D3246" s="2">
        <v>0.51228009259259266</v>
      </c>
      <c r="E3246" t="s">
        <v>14</v>
      </c>
      <c r="F3246" t="s">
        <v>15</v>
      </c>
      <c r="G3246">
        <v>-1</v>
      </c>
      <c r="H3246" t="s">
        <v>20</v>
      </c>
      <c r="I3246" t="s">
        <v>85</v>
      </c>
      <c r="J3246" s="1">
        <v>44185</v>
      </c>
      <c r="L3246" t="s">
        <v>14</v>
      </c>
      <c r="M3246">
        <v>3567.5</v>
      </c>
      <c r="N3246">
        <v>3567.5</v>
      </c>
      <c r="O3246" t="s">
        <v>21</v>
      </c>
      <c r="P3246">
        <f t="shared" si="153"/>
        <v>-1</v>
      </c>
      <c r="Q3246" s="11">
        <f>IF(P3246=0,0,IFERROR(Q3245+G3246*M3246*IF(E3246="FUTURE",VLOOKUP(MID(I3246,2,2),[1]Futures!$A$2:$B$12,2),1),G3246*M3246*IF(E3246="FUTURE",VLOOKUP(MID(I3246,2,2),[1]Futures!$A$2:$B$12,2),1)))</f>
        <v>-178375</v>
      </c>
      <c r="R3246" s="12">
        <f>IFERROR(Q3246/P3246/IF(E3246="FUTURE",VLOOKUP(MID(I3246,2,2),[1]Futures!$A$2:$B$12,2),1),"")</f>
        <v>3567.5</v>
      </c>
      <c r="S3246" s="13" t="str">
        <f>IF(AND(H3246="TO CLOSE",P3246=0),-G3246*(M3246-R3245)*IF(E3246="FUTURE",VLOOKUP(MID(I3246,2,2),[1]Futures!$A$2:$B$12,2),1),"")</f>
        <v/>
      </c>
    </row>
    <row r="3247" spans="1:19" x14ac:dyDescent="0.2">
      <c r="A3247">
        <f t="shared" si="152"/>
        <v>1052</v>
      </c>
      <c r="B3247" s="3">
        <v>44155</v>
      </c>
      <c r="C3247" s="3" t="str">
        <f t="shared" si="154"/>
        <v>Friday</v>
      </c>
      <c r="D3247" s="2">
        <v>0.51758101851851845</v>
      </c>
      <c r="E3247" t="s">
        <v>14</v>
      </c>
      <c r="F3247" t="s">
        <v>19</v>
      </c>
      <c r="G3247">
        <v>2</v>
      </c>
      <c r="H3247" t="s">
        <v>16</v>
      </c>
      <c r="I3247" t="s">
        <v>85</v>
      </c>
      <c r="J3247" s="1">
        <v>44185</v>
      </c>
      <c r="L3247" t="s">
        <v>14</v>
      </c>
      <c r="M3247">
        <v>3568.5</v>
      </c>
      <c r="N3247">
        <v>3568.5</v>
      </c>
      <c r="O3247" t="s">
        <v>24</v>
      </c>
      <c r="P3247">
        <f t="shared" si="153"/>
        <v>1</v>
      </c>
      <c r="Q3247" s="11">
        <f>IF(P3247=0,0,IFERROR(Q3246+G3247*M3247*IF(E3247="FUTURE",VLOOKUP(MID(I3247,2,2),[1]Futures!$A$2:$B$12,2),1),G3247*M3247*IF(E3247="FUTURE",VLOOKUP(MID(I3247,2,2),[1]Futures!$A$2:$B$12,2),1)))</f>
        <v>178475</v>
      </c>
      <c r="R3247" s="12">
        <f>IFERROR(Q3247/P3247/IF(E3247="FUTURE",VLOOKUP(MID(I3247,2,2),[1]Futures!$A$2:$B$12,2),1),"")</f>
        <v>3569.5</v>
      </c>
      <c r="S3247" s="13" t="str">
        <f>IF(AND(H3247="TO CLOSE",P3247=0),-G3247*(M3247-R3246)*IF(E3247="FUTURE",VLOOKUP(MID(I3247,2,2),[1]Futures!$A$2:$B$12,2),1),"")</f>
        <v/>
      </c>
    </row>
    <row r="3248" spans="1:19" x14ac:dyDescent="0.2">
      <c r="A3248">
        <f t="shared" si="152"/>
        <v>1052</v>
      </c>
      <c r="B3248" s="3">
        <v>44155</v>
      </c>
      <c r="C3248" s="3" t="str">
        <f t="shared" si="154"/>
        <v>Friday</v>
      </c>
      <c r="D3248" s="2">
        <v>0.52849537037037042</v>
      </c>
      <c r="E3248" t="s">
        <v>14</v>
      </c>
      <c r="F3248" t="s">
        <v>15</v>
      </c>
      <c r="G3248">
        <v>-2</v>
      </c>
      <c r="H3248" t="s">
        <v>16</v>
      </c>
      <c r="I3248" t="s">
        <v>85</v>
      </c>
      <c r="J3248" s="1">
        <v>44185</v>
      </c>
      <c r="L3248" t="s">
        <v>14</v>
      </c>
      <c r="M3248">
        <v>3567</v>
      </c>
      <c r="N3248">
        <v>3567</v>
      </c>
      <c r="O3248" t="s">
        <v>24</v>
      </c>
      <c r="P3248">
        <f t="shared" si="153"/>
        <v>-1</v>
      </c>
      <c r="Q3248" s="11">
        <f>IF(P3248=0,0,IFERROR(Q3247+G3248*M3248*IF(E3248="FUTURE",VLOOKUP(MID(I3248,2,2),[1]Futures!$A$2:$B$12,2),1),G3248*M3248*IF(E3248="FUTURE",VLOOKUP(MID(I3248,2,2),[1]Futures!$A$2:$B$12,2),1)))</f>
        <v>-178225</v>
      </c>
      <c r="R3248" s="12">
        <f>IFERROR(Q3248/P3248/IF(E3248="FUTURE",VLOOKUP(MID(I3248,2,2),[1]Futures!$A$2:$B$12,2),1),"")</f>
        <v>3564.5</v>
      </c>
      <c r="S3248" s="13" t="str">
        <f>IF(AND(H3248="TO CLOSE",P3248=0),-G3248*(M3248-R3247)*IF(E3248="FUTURE",VLOOKUP(MID(I3248,2,2),[1]Futures!$A$2:$B$12,2),1),"")</f>
        <v/>
      </c>
    </row>
    <row r="3249" spans="1:19" x14ac:dyDescent="0.2">
      <c r="A3249">
        <f t="shared" si="152"/>
        <v>1052</v>
      </c>
      <c r="B3249" s="3">
        <v>44155</v>
      </c>
      <c r="C3249" s="3" t="str">
        <f t="shared" si="154"/>
        <v>Friday</v>
      </c>
      <c r="D3249" s="2">
        <v>0.52953703703703703</v>
      </c>
      <c r="E3249" t="s">
        <v>14</v>
      </c>
      <c r="F3249" t="s">
        <v>19</v>
      </c>
      <c r="G3249">
        <v>2</v>
      </c>
      <c r="H3249" t="s">
        <v>16</v>
      </c>
      <c r="I3249" t="s">
        <v>85</v>
      </c>
      <c r="J3249" s="1">
        <v>44185</v>
      </c>
      <c r="L3249" t="s">
        <v>14</v>
      </c>
      <c r="M3249">
        <v>3569.5</v>
      </c>
      <c r="N3249">
        <v>3569.5</v>
      </c>
      <c r="O3249" t="s">
        <v>24</v>
      </c>
      <c r="P3249">
        <f t="shared" si="153"/>
        <v>1</v>
      </c>
      <c r="Q3249" s="11">
        <f>IF(P3249=0,0,IFERROR(Q3248+G3249*M3249*IF(E3249="FUTURE",VLOOKUP(MID(I3249,2,2),[1]Futures!$A$2:$B$12,2),1),G3249*M3249*IF(E3249="FUTURE",VLOOKUP(MID(I3249,2,2),[1]Futures!$A$2:$B$12,2),1)))</f>
        <v>178725</v>
      </c>
      <c r="R3249" s="12">
        <f>IFERROR(Q3249/P3249/IF(E3249="FUTURE",VLOOKUP(MID(I3249,2,2),[1]Futures!$A$2:$B$12,2),1),"")</f>
        <v>3574.5</v>
      </c>
      <c r="S3249" s="13" t="str">
        <f>IF(AND(H3249="TO CLOSE",P3249=0),-G3249*(M3249-R3248)*IF(E3249="FUTURE",VLOOKUP(MID(I3249,2,2),[1]Futures!$A$2:$B$12,2),1),"")</f>
        <v/>
      </c>
    </row>
    <row r="3250" spans="1:19" x14ac:dyDescent="0.2">
      <c r="A3250">
        <f t="shared" si="152"/>
        <v>1052</v>
      </c>
      <c r="B3250" s="3">
        <v>44155</v>
      </c>
      <c r="C3250" s="3" t="str">
        <f t="shared" si="154"/>
        <v>Friday</v>
      </c>
      <c r="D3250" s="2">
        <v>0.53442129629629631</v>
      </c>
      <c r="E3250" t="s">
        <v>14</v>
      </c>
      <c r="F3250" t="s">
        <v>15</v>
      </c>
      <c r="G3250">
        <v>-1</v>
      </c>
      <c r="H3250" t="s">
        <v>16</v>
      </c>
      <c r="I3250" t="s">
        <v>85</v>
      </c>
      <c r="J3250" s="1">
        <v>44185</v>
      </c>
      <c r="L3250" t="s">
        <v>14</v>
      </c>
      <c r="M3250">
        <v>3566.5</v>
      </c>
      <c r="N3250">
        <v>3566.5</v>
      </c>
      <c r="O3250" t="s">
        <v>18</v>
      </c>
      <c r="P3250">
        <f t="shared" si="153"/>
        <v>0</v>
      </c>
      <c r="Q3250" s="11">
        <f>IF(P3250=0,0,IFERROR(Q3249+G3250*M3250*IF(E3250="FUTURE",VLOOKUP(MID(I3250,2,2),[1]Futures!$A$2:$B$12,2),1),G3250*M3250*IF(E3250="FUTURE",VLOOKUP(MID(I3250,2,2),[1]Futures!$A$2:$B$12,2),1)))</f>
        <v>0</v>
      </c>
      <c r="R3250" s="12" t="str">
        <f>IFERROR(Q3250/P3250/IF(E3250="FUTURE",VLOOKUP(MID(I3250,2,2),[1]Futures!$A$2:$B$12,2),1),"")</f>
        <v/>
      </c>
      <c r="S3250" s="13">
        <f>IF(AND(H3250="TO CLOSE",P3250=0),-G3250*(M3250-R3249)*IF(E3250="FUTURE",VLOOKUP(MID(I3250,2,2),[1]Futures!$A$2:$B$12,2),1),"")</f>
        <v>-400</v>
      </c>
    </row>
    <row r="3251" spans="1:19" x14ac:dyDescent="0.2">
      <c r="A3251">
        <f t="shared" si="152"/>
        <v>1053</v>
      </c>
      <c r="B3251" s="3">
        <v>44155</v>
      </c>
      <c r="C3251" s="3" t="str">
        <f t="shared" si="154"/>
        <v>Friday</v>
      </c>
      <c r="D3251" s="2">
        <v>0.53452546296296299</v>
      </c>
      <c r="E3251" t="s">
        <v>14</v>
      </c>
      <c r="F3251" t="s">
        <v>15</v>
      </c>
      <c r="G3251">
        <v>-1</v>
      </c>
      <c r="H3251" t="s">
        <v>20</v>
      </c>
      <c r="I3251" t="s">
        <v>85</v>
      </c>
      <c r="J3251" s="1">
        <v>44185</v>
      </c>
      <c r="L3251" t="s">
        <v>14</v>
      </c>
      <c r="M3251">
        <v>3566</v>
      </c>
      <c r="N3251">
        <v>3566</v>
      </c>
      <c r="O3251" t="s">
        <v>24</v>
      </c>
      <c r="P3251">
        <f t="shared" si="153"/>
        <v>-1</v>
      </c>
      <c r="Q3251" s="11">
        <f>IF(P3251=0,0,IFERROR(Q3250+G3251*M3251*IF(E3251="FUTURE",VLOOKUP(MID(I3251,2,2),[1]Futures!$A$2:$B$12,2),1),G3251*M3251*IF(E3251="FUTURE",VLOOKUP(MID(I3251,2,2),[1]Futures!$A$2:$B$12,2),1)))</f>
        <v>-178300</v>
      </c>
      <c r="R3251" s="12">
        <f>IFERROR(Q3251/P3251/IF(E3251="FUTURE",VLOOKUP(MID(I3251,2,2),[1]Futures!$A$2:$B$12,2),1),"")</f>
        <v>3566</v>
      </c>
      <c r="S3251" s="13" t="str">
        <f>IF(AND(H3251="TO CLOSE",P3251=0),-G3251*(M3251-R3250)*IF(E3251="FUTURE",VLOOKUP(MID(I3251,2,2),[1]Futures!$A$2:$B$12,2),1),"")</f>
        <v/>
      </c>
    </row>
    <row r="3252" spans="1:19" x14ac:dyDescent="0.2">
      <c r="A3252">
        <f t="shared" si="152"/>
        <v>1053</v>
      </c>
      <c r="B3252" s="3">
        <v>44155</v>
      </c>
      <c r="C3252" s="3" t="str">
        <f t="shared" si="154"/>
        <v>Friday</v>
      </c>
      <c r="D3252" s="2">
        <v>0.53762731481481485</v>
      </c>
      <c r="E3252" t="s">
        <v>14</v>
      </c>
      <c r="F3252" t="s">
        <v>19</v>
      </c>
      <c r="G3252">
        <v>2</v>
      </c>
      <c r="H3252" t="s">
        <v>16</v>
      </c>
      <c r="I3252" t="s">
        <v>85</v>
      </c>
      <c r="J3252" s="1">
        <v>44185</v>
      </c>
      <c r="L3252" t="s">
        <v>14</v>
      </c>
      <c r="M3252">
        <v>3567.75</v>
      </c>
      <c r="N3252">
        <v>3567.75</v>
      </c>
      <c r="O3252" t="s">
        <v>24</v>
      </c>
      <c r="P3252">
        <f t="shared" si="153"/>
        <v>1</v>
      </c>
      <c r="Q3252" s="11">
        <f>IF(P3252=0,0,IFERROR(Q3251+G3252*M3252*IF(E3252="FUTURE",VLOOKUP(MID(I3252,2,2),[1]Futures!$A$2:$B$12,2),1),G3252*M3252*IF(E3252="FUTURE",VLOOKUP(MID(I3252,2,2),[1]Futures!$A$2:$B$12,2),1)))</f>
        <v>178475</v>
      </c>
      <c r="R3252" s="12">
        <f>IFERROR(Q3252/P3252/IF(E3252="FUTURE",VLOOKUP(MID(I3252,2,2),[1]Futures!$A$2:$B$12,2),1),"")</f>
        <v>3569.5</v>
      </c>
      <c r="S3252" s="13" t="str">
        <f>IF(AND(H3252="TO CLOSE",P3252=0),-G3252*(M3252-R3251)*IF(E3252="FUTURE",VLOOKUP(MID(I3252,2,2),[1]Futures!$A$2:$B$12,2),1),"")</f>
        <v/>
      </c>
    </row>
    <row r="3253" spans="1:19" x14ac:dyDescent="0.2">
      <c r="A3253">
        <f t="shared" si="152"/>
        <v>1053</v>
      </c>
      <c r="B3253" s="3">
        <v>44155</v>
      </c>
      <c r="C3253" s="3" t="str">
        <f t="shared" si="154"/>
        <v>Friday</v>
      </c>
      <c r="D3253" s="2">
        <v>0.54074074074074074</v>
      </c>
      <c r="E3253" t="s">
        <v>14</v>
      </c>
      <c r="F3253" t="s">
        <v>15</v>
      </c>
      <c r="G3253">
        <v>-1</v>
      </c>
      <c r="H3253" t="s">
        <v>16</v>
      </c>
      <c r="I3253" t="s">
        <v>85</v>
      </c>
      <c r="J3253" s="1">
        <v>44185</v>
      </c>
      <c r="L3253" t="s">
        <v>14</v>
      </c>
      <c r="M3253">
        <v>3569.75</v>
      </c>
      <c r="N3253">
        <v>3569.75</v>
      </c>
      <c r="O3253" t="s">
        <v>21</v>
      </c>
      <c r="P3253">
        <f t="shared" si="153"/>
        <v>0</v>
      </c>
      <c r="Q3253" s="11">
        <f>IF(P3253=0,0,IFERROR(Q3252+G3253*M3253*IF(E3253="FUTURE",VLOOKUP(MID(I3253,2,2),[1]Futures!$A$2:$B$12,2),1),G3253*M3253*IF(E3253="FUTURE",VLOOKUP(MID(I3253,2,2),[1]Futures!$A$2:$B$12,2),1)))</f>
        <v>0</v>
      </c>
      <c r="R3253" s="12" t="str">
        <f>IFERROR(Q3253/P3253/IF(E3253="FUTURE",VLOOKUP(MID(I3253,2,2),[1]Futures!$A$2:$B$12,2),1),"")</f>
        <v/>
      </c>
      <c r="S3253" s="13">
        <f>IF(AND(H3253="TO CLOSE",P3253=0),-G3253*(M3253-R3252)*IF(E3253="FUTURE",VLOOKUP(MID(I3253,2,2),[1]Futures!$A$2:$B$12,2),1),"")</f>
        <v>12.5</v>
      </c>
    </row>
    <row r="3254" spans="1:19" x14ac:dyDescent="0.2">
      <c r="A3254">
        <f t="shared" si="152"/>
        <v>1054</v>
      </c>
      <c r="B3254" s="3">
        <v>44155</v>
      </c>
      <c r="C3254" s="3" t="str">
        <f t="shared" si="154"/>
        <v>Friday</v>
      </c>
      <c r="D3254" s="2">
        <v>0.54449074074074078</v>
      </c>
      <c r="E3254" t="s">
        <v>14</v>
      </c>
      <c r="F3254" t="s">
        <v>19</v>
      </c>
      <c r="G3254">
        <v>1</v>
      </c>
      <c r="H3254" t="s">
        <v>20</v>
      </c>
      <c r="I3254" t="s">
        <v>85</v>
      </c>
      <c r="J3254" s="1">
        <v>44185</v>
      </c>
      <c r="L3254" t="s">
        <v>14</v>
      </c>
      <c r="M3254">
        <v>3568.75</v>
      </c>
      <c r="N3254">
        <v>3568.75</v>
      </c>
      <c r="O3254" t="s">
        <v>21</v>
      </c>
      <c r="P3254">
        <f t="shared" si="153"/>
        <v>1</v>
      </c>
      <c r="Q3254" s="11">
        <f>IF(P3254=0,0,IFERROR(Q3253+G3254*M3254*IF(E3254="FUTURE",VLOOKUP(MID(I3254,2,2),[1]Futures!$A$2:$B$12,2),1),G3254*M3254*IF(E3254="FUTURE",VLOOKUP(MID(I3254,2,2),[1]Futures!$A$2:$B$12,2),1)))</f>
        <v>178437.5</v>
      </c>
      <c r="R3254" s="12">
        <f>IFERROR(Q3254/P3254/IF(E3254="FUTURE",VLOOKUP(MID(I3254,2,2),[1]Futures!$A$2:$B$12,2),1),"")</f>
        <v>3568.75</v>
      </c>
      <c r="S3254" s="13" t="str">
        <f>IF(AND(H3254="TO CLOSE",P3254=0),-G3254*(M3254-R3253)*IF(E3254="FUTURE",VLOOKUP(MID(I3254,2,2),[1]Futures!$A$2:$B$12,2),1),"")</f>
        <v/>
      </c>
    </row>
    <row r="3255" spans="1:19" x14ac:dyDescent="0.2">
      <c r="A3255">
        <f t="shared" si="152"/>
        <v>1054</v>
      </c>
      <c r="B3255" s="3">
        <v>44155</v>
      </c>
      <c r="C3255" s="3" t="str">
        <f t="shared" si="154"/>
        <v>Friday</v>
      </c>
      <c r="D3255" s="2">
        <v>0.54672453703703705</v>
      </c>
      <c r="E3255" t="s">
        <v>14</v>
      </c>
      <c r="F3255" t="s">
        <v>15</v>
      </c>
      <c r="G3255">
        <v>-2</v>
      </c>
      <c r="H3255" t="s">
        <v>16</v>
      </c>
      <c r="I3255" t="s">
        <v>85</v>
      </c>
      <c r="J3255" s="1">
        <v>44185</v>
      </c>
      <c r="L3255" t="s">
        <v>14</v>
      </c>
      <c r="M3255">
        <v>3566.75</v>
      </c>
      <c r="N3255">
        <v>3566.75</v>
      </c>
      <c r="O3255" t="s">
        <v>24</v>
      </c>
      <c r="P3255">
        <f t="shared" si="153"/>
        <v>-1</v>
      </c>
      <c r="Q3255" s="11">
        <f>IF(P3255=0,0,IFERROR(Q3254+G3255*M3255*IF(E3255="FUTURE",VLOOKUP(MID(I3255,2,2),[1]Futures!$A$2:$B$12,2),1),G3255*M3255*IF(E3255="FUTURE",VLOOKUP(MID(I3255,2,2),[1]Futures!$A$2:$B$12,2),1)))</f>
        <v>-178237.5</v>
      </c>
      <c r="R3255" s="12">
        <f>IFERROR(Q3255/P3255/IF(E3255="FUTURE",VLOOKUP(MID(I3255,2,2),[1]Futures!$A$2:$B$12,2),1),"")</f>
        <v>3564.75</v>
      </c>
      <c r="S3255" s="13" t="str">
        <f>IF(AND(H3255="TO CLOSE",P3255=0),-G3255*(M3255-R3254)*IF(E3255="FUTURE",VLOOKUP(MID(I3255,2,2),[1]Futures!$A$2:$B$12,2),1),"")</f>
        <v/>
      </c>
    </row>
    <row r="3256" spans="1:19" x14ac:dyDescent="0.2">
      <c r="A3256">
        <f t="shared" si="152"/>
        <v>1054</v>
      </c>
      <c r="B3256" s="3">
        <v>44155</v>
      </c>
      <c r="C3256" s="3" t="str">
        <f t="shared" si="154"/>
        <v>Friday</v>
      </c>
      <c r="D3256" s="2">
        <v>0.54702546296296295</v>
      </c>
      <c r="E3256" t="s">
        <v>14</v>
      </c>
      <c r="F3256" t="s">
        <v>19</v>
      </c>
      <c r="G3256">
        <v>1</v>
      </c>
      <c r="H3256" t="s">
        <v>16</v>
      </c>
      <c r="I3256" t="s">
        <v>85</v>
      </c>
      <c r="J3256" s="1">
        <v>44185</v>
      </c>
      <c r="L3256" t="s">
        <v>14</v>
      </c>
      <c r="M3256">
        <v>3567.75</v>
      </c>
      <c r="N3256">
        <v>3567.75</v>
      </c>
      <c r="O3256" t="s">
        <v>24</v>
      </c>
      <c r="P3256">
        <f t="shared" si="153"/>
        <v>0</v>
      </c>
      <c r="Q3256" s="11">
        <f>IF(P3256=0,0,IFERROR(Q3255+G3256*M3256*IF(E3256="FUTURE",VLOOKUP(MID(I3256,2,2),[1]Futures!$A$2:$B$12,2),1),G3256*M3256*IF(E3256="FUTURE",VLOOKUP(MID(I3256,2,2),[1]Futures!$A$2:$B$12,2),1)))</f>
        <v>0</v>
      </c>
      <c r="R3256" s="12" t="str">
        <f>IFERROR(Q3256/P3256/IF(E3256="FUTURE",VLOOKUP(MID(I3256,2,2),[1]Futures!$A$2:$B$12,2),1),"")</f>
        <v/>
      </c>
      <c r="S3256" s="13">
        <f>IF(AND(H3256="TO CLOSE",P3256=0),-G3256*(M3256-R3255)*IF(E3256="FUTURE",VLOOKUP(MID(I3256,2,2),[1]Futures!$A$2:$B$12,2),1),"")</f>
        <v>-150</v>
      </c>
    </row>
    <row r="3257" spans="1:19" x14ac:dyDescent="0.2">
      <c r="A3257">
        <f t="shared" si="152"/>
        <v>1055</v>
      </c>
      <c r="B3257" s="3">
        <v>44155</v>
      </c>
      <c r="C3257" s="3" t="str">
        <f t="shared" si="154"/>
        <v>Friday</v>
      </c>
      <c r="D3257" s="2">
        <v>0.54843750000000002</v>
      </c>
      <c r="E3257" t="s">
        <v>14</v>
      </c>
      <c r="F3257" t="s">
        <v>19</v>
      </c>
      <c r="G3257">
        <v>1</v>
      </c>
      <c r="H3257" t="s">
        <v>20</v>
      </c>
      <c r="I3257" t="s">
        <v>85</v>
      </c>
      <c r="J3257" s="1">
        <v>44185</v>
      </c>
      <c r="L3257" t="s">
        <v>14</v>
      </c>
      <c r="M3257">
        <v>3568.25</v>
      </c>
      <c r="N3257">
        <v>3568.25</v>
      </c>
      <c r="O3257" t="s">
        <v>24</v>
      </c>
      <c r="P3257">
        <f t="shared" si="153"/>
        <v>1</v>
      </c>
      <c r="Q3257" s="11">
        <f>IF(P3257=0,0,IFERROR(Q3256+G3257*M3257*IF(E3257="FUTURE",VLOOKUP(MID(I3257,2,2),[1]Futures!$A$2:$B$12,2),1),G3257*M3257*IF(E3257="FUTURE",VLOOKUP(MID(I3257,2,2),[1]Futures!$A$2:$B$12,2),1)))</f>
        <v>178412.5</v>
      </c>
      <c r="R3257" s="12">
        <f>IFERROR(Q3257/P3257/IF(E3257="FUTURE",VLOOKUP(MID(I3257,2,2),[1]Futures!$A$2:$B$12,2),1),"")</f>
        <v>3568.25</v>
      </c>
      <c r="S3257" s="13" t="str">
        <f>IF(AND(H3257="TO CLOSE",P3257=0),-G3257*(M3257-R3256)*IF(E3257="FUTURE",VLOOKUP(MID(I3257,2,2),[1]Futures!$A$2:$B$12,2),1),"")</f>
        <v/>
      </c>
    </row>
    <row r="3258" spans="1:19" x14ac:dyDescent="0.2">
      <c r="A3258">
        <f t="shared" si="152"/>
        <v>1055</v>
      </c>
      <c r="B3258" s="3">
        <v>44155</v>
      </c>
      <c r="C3258" s="3" t="str">
        <f t="shared" si="154"/>
        <v>Friday</v>
      </c>
      <c r="D3258" s="2">
        <v>0.54891203703703706</v>
      </c>
      <c r="E3258" t="s">
        <v>14</v>
      </c>
      <c r="F3258" t="s">
        <v>15</v>
      </c>
      <c r="G3258">
        <v>-1</v>
      </c>
      <c r="H3258" t="s">
        <v>16</v>
      </c>
      <c r="I3258" t="s">
        <v>85</v>
      </c>
      <c r="J3258" s="1">
        <v>44185</v>
      </c>
      <c r="L3258" t="s">
        <v>14</v>
      </c>
      <c r="M3258">
        <v>3567</v>
      </c>
      <c r="N3258">
        <v>3567</v>
      </c>
      <c r="O3258" t="s">
        <v>24</v>
      </c>
      <c r="P3258">
        <f t="shared" si="153"/>
        <v>0</v>
      </c>
      <c r="Q3258" s="11">
        <f>IF(P3258=0,0,IFERROR(Q3257+G3258*M3258*IF(E3258="FUTURE",VLOOKUP(MID(I3258,2,2),[1]Futures!$A$2:$B$12,2),1),G3258*M3258*IF(E3258="FUTURE",VLOOKUP(MID(I3258,2,2),[1]Futures!$A$2:$B$12,2),1)))</f>
        <v>0</v>
      </c>
      <c r="R3258" s="12" t="str">
        <f>IFERROR(Q3258/P3258/IF(E3258="FUTURE",VLOOKUP(MID(I3258,2,2),[1]Futures!$A$2:$B$12,2),1),"")</f>
        <v/>
      </c>
      <c r="S3258" s="13">
        <f>IF(AND(H3258="TO CLOSE",P3258=0),-G3258*(M3258-R3257)*IF(E3258="FUTURE",VLOOKUP(MID(I3258,2,2),[1]Futures!$A$2:$B$12,2),1),"")</f>
        <v>-62.5</v>
      </c>
    </row>
    <row r="3259" spans="1:19" x14ac:dyDescent="0.2">
      <c r="A3259">
        <f t="shared" si="152"/>
        <v>1056</v>
      </c>
      <c r="B3259" s="3">
        <v>44158</v>
      </c>
      <c r="C3259" s="3" t="str">
        <f t="shared" si="154"/>
        <v>Monday</v>
      </c>
      <c r="D3259" s="2">
        <v>0.39538194444444441</v>
      </c>
      <c r="E3259" t="s">
        <v>14</v>
      </c>
      <c r="F3259" t="s">
        <v>15</v>
      </c>
      <c r="G3259">
        <v>-1</v>
      </c>
      <c r="H3259" t="s">
        <v>20</v>
      </c>
      <c r="I3259" t="s">
        <v>88</v>
      </c>
      <c r="J3259" s="1">
        <v>43851</v>
      </c>
      <c r="L3259" t="s">
        <v>14</v>
      </c>
      <c r="M3259">
        <v>42.83</v>
      </c>
      <c r="N3259">
        <v>42.83</v>
      </c>
      <c r="O3259" t="s">
        <v>21</v>
      </c>
      <c r="P3259">
        <f t="shared" si="153"/>
        <v>-1</v>
      </c>
      <c r="Q3259" s="11">
        <f>IF(P3259=0,0,IFERROR(Q3258+G3259*M3259*IF(E3259="FUTURE",VLOOKUP(MID(I3259,2,2),[1]Futures!$A$2:$B$12,2),1),G3259*M3259*IF(E3259="FUTURE",VLOOKUP(MID(I3259,2,2),[1]Futures!$A$2:$B$12,2),1)))</f>
        <v>-42830</v>
      </c>
      <c r="R3259" s="12">
        <f>IFERROR(Q3259/P3259/IF(E3259="FUTURE",VLOOKUP(MID(I3259,2,2),[1]Futures!$A$2:$B$12,2),1),"")</f>
        <v>42.83</v>
      </c>
      <c r="S3259" s="13" t="str">
        <f>IF(AND(H3259="TO CLOSE",P3259=0),-G3259*(M3259-R3258)*IF(E3259="FUTURE",VLOOKUP(MID(I3259,2,2),[1]Futures!$A$2:$B$12,2),1),"")</f>
        <v/>
      </c>
    </row>
    <row r="3260" spans="1:19" x14ac:dyDescent="0.2">
      <c r="A3260">
        <f t="shared" si="152"/>
        <v>1056</v>
      </c>
      <c r="B3260" s="3">
        <v>44158</v>
      </c>
      <c r="C3260" s="3" t="str">
        <f t="shared" si="154"/>
        <v>Monday</v>
      </c>
      <c r="D3260" s="2">
        <v>0.40672453703703698</v>
      </c>
      <c r="E3260" t="s">
        <v>14</v>
      </c>
      <c r="F3260" t="s">
        <v>19</v>
      </c>
      <c r="G3260">
        <v>1</v>
      </c>
      <c r="H3260" t="s">
        <v>16</v>
      </c>
      <c r="I3260" t="s">
        <v>88</v>
      </c>
      <c r="J3260" s="1">
        <v>43851</v>
      </c>
      <c r="L3260" t="s">
        <v>14</v>
      </c>
      <c r="M3260">
        <v>42.82</v>
      </c>
      <c r="N3260">
        <v>42.82</v>
      </c>
      <c r="O3260" t="s">
        <v>18</v>
      </c>
      <c r="P3260">
        <f t="shared" si="153"/>
        <v>0</v>
      </c>
      <c r="Q3260" s="11">
        <f>IF(P3260=0,0,IFERROR(Q3259+G3260*M3260*IF(E3260="FUTURE",VLOOKUP(MID(I3260,2,2),[1]Futures!$A$2:$B$12,2),1),G3260*M3260*IF(E3260="FUTURE",VLOOKUP(MID(I3260,2,2),[1]Futures!$A$2:$B$12,2),1)))</f>
        <v>0</v>
      </c>
      <c r="R3260" s="12" t="str">
        <f>IFERROR(Q3260/P3260/IF(E3260="FUTURE",VLOOKUP(MID(I3260,2,2),[1]Futures!$A$2:$B$12,2),1),"")</f>
        <v/>
      </c>
      <c r="S3260" s="13">
        <f>IF(AND(H3260="TO CLOSE",P3260=0),-G3260*(M3260-R3259)*IF(E3260="FUTURE",VLOOKUP(MID(I3260,2,2),[1]Futures!$A$2:$B$12,2),1),"")</f>
        <v>9.9999999999980105</v>
      </c>
    </row>
    <row r="3261" spans="1:19" x14ac:dyDescent="0.2">
      <c r="A3261">
        <f t="shared" si="152"/>
        <v>1057</v>
      </c>
      <c r="B3261" s="3">
        <v>44158</v>
      </c>
      <c r="C3261" s="3" t="str">
        <f t="shared" si="154"/>
        <v>Monday</v>
      </c>
      <c r="D3261" s="2">
        <v>0.40810185185185183</v>
      </c>
      <c r="E3261" t="s">
        <v>14</v>
      </c>
      <c r="F3261" t="s">
        <v>15</v>
      </c>
      <c r="G3261">
        <v>-2</v>
      </c>
      <c r="H3261" t="s">
        <v>20</v>
      </c>
      <c r="I3261" t="s">
        <v>88</v>
      </c>
      <c r="J3261" s="1">
        <v>43851</v>
      </c>
      <c r="L3261" t="s">
        <v>14</v>
      </c>
      <c r="M3261">
        <v>42.74</v>
      </c>
      <c r="N3261">
        <v>42.74</v>
      </c>
      <c r="O3261" t="s">
        <v>24</v>
      </c>
      <c r="P3261">
        <f t="shared" si="153"/>
        <v>-2</v>
      </c>
      <c r="Q3261" s="11">
        <f>IF(P3261=0,0,IFERROR(Q3260+G3261*M3261*IF(E3261="FUTURE",VLOOKUP(MID(I3261,2,2),[1]Futures!$A$2:$B$12,2),1),G3261*M3261*IF(E3261="FUTURE",VLOOKUP(MID(I3261,2,2),[1]Futures!$A$2:$B$12,2),1)))</f>
        <v>-85480</v>
      </c>
      <c r="R3261" s="12">
        <f>IFERROR(Q3261/P3261/IF(E3261="FUTURE",VLOOKUP(MID(I3261,2,2),[1]Futures!$A$2:$B$12,2),1),"")</f>
        <v>42.74</v>
      </c>
      <c r="S3261" s="13" t="str">
        <f>IF(AND(H3261="TO CLOSE",P3261=0),-G3261*(M3261-R3260)*IF(E3261="FUTURE",VLOOKUP(MID(I3261,2,2),[1]Futures!$A$2:$B$12,2),1),"")</f>
        <v/>
      </c>
    </row>
    <row r="3262" spans="1:19" x14ac:dyDescent="0.2">
      <c r="A3262">
        <f t="shared" si="152"/>
        <v>1057</v>
      </c>
      <c r="B3262" s="3">
        <v>44158</v>
      </c>
      <c r="C3262" s="3" t="str">
        <f t="shared" si="154"/>
        <v>Monday</v>
      </c>
      <c r="D3262" s="2">
        <v>0.42116898148148146</v>
      </c>
      <c r="E3262" t="s">
        <v>14</v>
      </c>
      <c r="F3262" t="s">
        <v>19</v>
      </c>
      <c r="G3262">
        <v>1</v>
      </c>
      <c r="H3262" t="s">
        <v>16</v>
      </c>
      <c r="I3262" t="s">
        <v>88</v>
      </c>
      <c r="J3262" s="1">
        <v>43851</v>
      </c>
      <c r="L3262" t="s">
        <v>14</v>
      </c>
      <c r="M3262">
        <v>42.7</v>
      </c>
      <c r="N3262">
        <v>42.7</v>
      </c>
      <c r="O3262" t="s">
        <v>21</v>
      </c>
      <c r="P3262">
        <f t="shared" si="153"/>
        <v>-1</v>
      </c>
      <c r="Q3262" s="11">
        <f>IF(P3262=0,0,IFERROR(Q3261+G3262*M3262*IF(E3262="FUTURE",VLOOKUP(MID(I3262,2,2),[1]Futures!$A$2:$B$12,2),1),G3262*M3262*IF(E3262="FUTURE",VLOOKUP(MID(I3262,2,2),[1]Futures!$A$2:$B$12,2),1)))</f>
        <v>-42780</v>
      </c>
      <c r="R3262" s="12">
        <f>IFERROR(Q3262/P3262/IF(E3262="FUTURE",VLOOKUP(MID(I3262,2,2),[1]Futures!$A$2:$B$12,2),1),"")</f>
        <v>42.78</v>
      </c>
      <c r="S3262" s="13" t="str">
        <f>IF(AND(H3262="TO CLOSE",P3262=0),-G3262*(M3262-R3261)*IF(E3262="FUTURE",VLOOKUP(MID(I3262,2,2),[1]Futures!$A$2:$B$12,2),1),"")</f>
        <v/>
      </c>
    </row>
    <row r="3263" spans="1:19" x14ac:dyDescent="0.2">
      <c r="A3263">
        <f t="shared" si="152"/>
        <v>1057</v>
      </c>
      <c r="B3263" s="3">
        <v>44158</v>
      </c>
      <c r="C3263" s="3" t="str">
        <f t="shared" si="154"/>
        <v>Monday</v>
      </c>
      <c r="D3263" s="2">
        <v>0.42153935185185182</v>
      </c>
      <c r="E3263" t="s">
        <v>14</v>
      </c>
      <c r="F3263" t="s">
        <v>19</v>
      </c>
      <c r="G3263">
        <v>1</v>
      </c>
      <c r="H3263" t="s">
        <v>16</v>
      </c>
      <c r="I3263" t="s">
        <v>88</v>
      </c>
      <c r="J3263" s="1">
        <v>43851</v>
      </c>
      <c r="L3263" t="s">
        <v>14</v>
      </c>
      <c r="M3263">
        <v>42.63</v>
      </c>
      <c r="N3263">
        <v>42.63</v>
      </c>
      <c r="O3263" t="s">
        <v>21</v>
      </c>
      <c r="P3263">
        <f t="shared" si="153"/>
        <v>0</v>
      </c>
      <c r="Q3263" s="11">
        <f>IF(P3263=0,0,IFERROR(Q3262+G3263*M3263*IF(E3263="FUTURE",VLOOKUP(MID(I3263,2,2),[1]Futures!$A$2:$B$12,2),1),G3263*M3263*IF(E3263="FUTURE",VLOOKUP(MID(I3263,2,2),[1]Futures!$A$2:$B$12,2),1)))</f>
        <v>0</v>
      </c>
      <c r="R3263" s="12" t="str">
        <f>IFERROR(Q3263/P3263/IF(E3263="FUTURE",VLOOKUP(MID(I3263,2,2),[1]Futures!$A$2:$B$12,2),1),"")</f>
        <v/>
      </c>
      <c r="S3263" s="13">
        <f>IF(AND(H3263="TO CLOSE",P3263=0),-G3263*(M3263-R3262)*IF(E3263="FUTURE",VLOOKUP(MID(I3263,2,2),[1]Futures!$A$2:$B$12,2),1),"")</f>
        <v>149.99999999999858</v>
      </c>
    </row>
    <row r="3264" spans="1:19" x14ac:dyDescent="0.2">
      <c r="A3264">
        <f t="shared" si="152"/>
        <v>1058</v>
      </c>
      <c r="B3264" s="3">
        <v>44158</v>
      </c>
      <c r="C3264" s="3" t="str">
        <f t="shared" si="154"/>
        <v>Monday</v>
      </c>
      <c r="D3264" s="2">
        <v>0.43481481481481482</v>
      </c>
      <c r="E3264" t="s">
        <v>14</v>
      </c>
      <c r="F3264" t="s">
        <v>15</v>
      </c>
      <c r="G3264">
        <v>-1</v>
      </c>
      <c r="H3264" t="s">
        <v>20</v>
      </c>
      <c r="I3264" t="s">
        <v>88</v>
      </c>
      <c r="J3264" s="1">
        <v>43851</v>
      </c>
      <c r="L3264" t="s">
        <v>14</v>
      </c>
      <c r="M3264">
        <v>42.76</v>
      </c>
      <c r="N3264">
        <v>42.76</v>
      </c>
      <c r="O3264" t="s">
        <v>21</v>
      </c>
      <c r="P3264">
        <f t="shared" si="153"/>
        <v>-1</v>
      </c>
      <c r="Q3264" s="11">
        <f>IF(P3264=0,0,IFERROR(Q3263+G3264*M3264*IF(E3264="FUTURE",VLOOKUP(MID(I3264,2,2),[1]Futures!$A$2:$B$12,2),1),G3264*M3264*IF(E3264="FUTURE",VLOOKUP(MID(I3264,2,2),[1]Futures!$A$2:$B$12,2),1)))</f>
        <v>-42760</v>
      </c>
      <c r="R3264" s="12">
        <f>IFERROR(Q3264/P3264/IF(E3264="FUTURE",VLOOKUP(MID(I3264,2,2),[1]Futures!$A$2:$B$12,2),1),"")</f>
        <v>42.76</v>
      </c>
      <c r="S3264" s="13" t="str">
        <f>IF(AND(H3264="TO CLOSE",P3264=0),-G3264*(M3264-R3263)*IF(E3264="FUTURE",VLOOKUP(MID(I3264,2,2),[1]Futures!$A$2:$B$12,2),1),"")</f>
        <v/>
      </c>
    </row>
    <row r="3265" spans="1:19" x14ac:dyDescent="0.2">
      <c r="A3265">
        <f t="shared" si="152"/>
        <v>1058</v>
      </c>
      <c r="B3265" s="3">
        <v>44158</v>
      </c>
      <c r="C3265" s="3" t="str">
        <f t="shared" si="154"/>
        <v>Monday</v>
      </c>
      <c r="D3265" s="2">
        <v>0.43718750000000001</v>
      </c>
      <c r="E3265" t="s">
        <v>14</v>
      </c>
      <c r="F3265" t="s">
        <v>19</v>
      </c>
      <c r="G3265">
        <v>1</v>
      </c>
      <c r="H3265" t="s">
        <v>16</v>
      </c>
      <c r="I3265" t="s">
        <v>88</v>
      </c>
      <c r="J3265" s="1">
        <v>43851</v>
      </c>
      <c r="L3265" t="s">
        <v>14</v>
      </c>
      <c r="M3265">
        <v>42.68</v>
      </c>
      <c r="N3265">
        <v>42.68</v>
      </c>
      <c r="O3265" t="s">
        <v>21</v>
      </c>
      <c r="P3265">
        <f t="shared" si="153"/>
        <v>0</v>
      </c>
      <c r="Q3265" s="11">
        <f>IF(P3265=0,0,IFERROR(Q3264+G3265*M3265*IF(E3265="FUTURE",VLOOKUP(MID(I3265,2,2),[1]Futures!$A$2:$B$12,2),1),G3265*M3265*IF(E3265="FUTURE",VLOOKUP(MID(I3265,2,2),[1]Futures!$A$2:$B$12,2),1)))</f>
        <v>0</v>
      </c>
      <c r="R3265" s="12" t="str">
        <f>IFERROR(Q3265/P3265/IF(E3265="FUTURE",VLOOKUP(MID(I3265,2,2),[1]Futures!$A$2:$B$12,2),1),"")</f>
        <v/>
      </c>
      <c r="S3265" s="13">
        <f>IF(AND(H3265="TO CLOSE",P3265=0),-G3265*(M3265-R3264)*IF(E3265="FUTURE",VLOOKUP(MID(I3265,2,2),[1]Futures!$A$2:$B$12,2),1),"")</f>
        <v>79.999999999998295</v>
      </c>
    </row>
    <row r="3266" spans="1:19" x14ac:dyDescent="0.2">
      <c r="A3266">
        <f t="shared" ref="A3266:A3329" si="155">IF(AND(P3265=0,H3265="TO CLOSE"),IFERROR(A3265+1,1),IFERROR(A3265/1,1))</f>
        <v>1059</v>
      </c>
      <c r="B3266" s="3">
        <v>44158</v>
      </c>
      <c r="C3266" s="3" t="str">
        <f t="shared" si="154"/>
        <v>Monday</v>
      </c>
      <c r="D3266" s="2">
        <v>0.44394675925925925</v>
      </c>
      <c r="E3266" t="s">
        <v>14</v>
      </c>
      <c r="F3266" t="s">
        <v>19</v>
      </c>
      <c r="G3266">
        <v>1</v>
      </c>
      <c r="H3266" t="s">
        <v>20</v>
      </c>
      <c r="I3266" t="s">
        <v>88</v>
      </c>
      <c r="J3266" s="1">
        <v>43851</v>
      </c>
      <c r="L3266" t="s">
        <v>14</v>
      </c>
      <c r="M3266">
        <v>42.89</v>
      </c>
      <c r="N3266">
        <v>42.89</v>
      </c>
      <c r="O3266" t="s">
        <v>24</v>
      </c>
      <c r="P3266">
        <f t="shared" si="153"/>
        <v>1</v>
      </c>
      <c r="Q3266" s="11">
        <f>IF(P3266=0,0,IFERROR(Q3265+G3266*M3266*IF(E3266="FUTURE",VLOOKUP(MID(I3266,2,2),[1]Futures!$A$2:$B$12,2),1),G3266*M3266*IF(E3266="FUTURE",VLOOKUP(MID(I3266,2,2),[1]Futures!$A$2:$B$12,2),1)))</f>
        <v>42890</v>
      </c>
      <c r="R3266" s="12">
        <f>IFERROR(Q3266/P3266/IF(E3266="FUTURE",VLOOKUP(MID(I3266,2,2),[1]Futures!$A$2:$B$12,2),1),"")</f>
        <v>42.89</v>
      </c>
      <c r="S3266" s="13" t="str">
        <f>IF(AND(H3266="TO CLOSE",P3266=0),-G3266*(M3266-R3265)*IF(E3266="FUTURE",VLOOKUP(MID(I3266,2,2),[1]Futures!$A$2:$B$12,2),1),"")</f>
        <v/>
      </c>
    </row>
    <row r="3267" spans="1:19" x14ac:dyDescent="0.2">
      <c r="A3267">
        <f t="shared" si="155"/>
        <v>1059</v>
      </c>
      <c r="B3267" s="3">
        <v>44158</v>
      </c>
      <c r="C3267" s="3" t="str">
        <f t="shared" si="154"/>
        <v>Monday</v>
      </c>
      <c r="D3267" s="2">
        <v>0.44763888888888892</v>
      </c>
      <c r="E3267" t="s">
        <v>14</v>
      </c>
      <c r="F3267" t="s">
        <v>15</v>
      </c>
      <c r="G3267">
        <v>-1</v>
      </c>
      <c r="H3267" t="s">
        <v>16</v>
      </c>
      <c r="I3267" t="s">
        <v>88</v>
      </c>
      <c r="J3267" s="1">
        <v>43851</v>
      </c>
      <c r="L3267" t="s">
        <v>14</v>
      </c>
      <c r="M3267">
        <v>42.9</v>
      </c>
      <c r="N3267">
        <v>42.9</v>
      </c>
      <c r="O3267" t="s">
        <v>21</v>
      </c>
      <c r="P3267">
        <f t="shared" ref="P3267:P3330" si="156">IF(H3267="TO OPEN",IFERROR(P3266+G3267,0+G3267),IFERROR(P3266+G3267,0+G3267))</f>
        <v>0</v>
      </c>
      <c r="Q3267" s="11">
        <f>IF(P3267=0,0,IFERROR(Q3266+G3267*M3267*IF(E3267="FUTURE",VLOOKUP(MID(I3267,2,2),[1]Futures!$A$2:$B$12,2),1),G3267*M3267*IF(E3267="FUTURE",VLOOKUP(MID(I3267,2,2),[1]Futures!$A$2:$B$12,2),1)))</f>
        <v>0</v>
      </c>
      <c r="R3267" s="12" t="str">
        <f>IFERROR(Q3267/P3267/IF(E3267="FUTURE",VLOOKUP(MID(I3267,2,2),[1]Futures!$A$2:$B$12,2),1),"")</f>
        <v/>
      </c>
      <c r="S3267" s="13">
        <f>IF(AND(H3267="TO CLOSE",P3267=0),-G3267*(M3267-R3266)*IF(E3267="FUTURE",VLOOKUP(MID(I3267,2,2),[1]Futures!$A$2:$B$12,2),1),"")</f>
        <v>9.9999999999980105</v>
      </c>
    </row>
    <row r="3268" spans="1:19" x14ac:dyDescent="0.2">
      <c r="A3268">
        <f t="shared" si="155"/>
        <v>1060</v>
      </c>
      <c r="B3268" s="3">
        <v>44158</v>
      </c>
      <c r="C3268" s="3" t="str">
        <f t="shared" si="154"/>
        <v>Monday</v>
      </c>
      <c r="D3268" s="2">
        <v>0.48376157407407411</v>
      </c>
      <c r="E3268" t="s">
        <v>14</v>
      </c>
      <c r="F3268" t="s">
        <v>19</v>
      </c>
      <c r="G3268">
        <v>1</v>
      </c>
      <c r="H3268" t="s">
        <v>20</v>
      </c>
      <c r="I3268" t="s">
        <v>88</v>
      </c>
      <c r="J3268" s="1">
        <v>43851</v>
      </c>
      <c r="L3268" t="s">
        <v>14</v>
      </c>
      <c r="M3268">
        <v>42.94</v>
      </c>
      <c r="N3268">
        <v>42.94</v>
      </c>
      <c r="O3268" t="s">
        <v>21</v>
      </c>
      <c r="P3268">
        <f t="shared" si="156"/>
        <v>1</v>
      </c>
      <c r="Q3268" s="11">
        <f>IF(P3268=0,0,IFERROR(Q3267+G3268*M3268*IF(E3268="FUTURE",VLOOKUP(MID(I3268,2,2),[1]Futures!$A$2:$B$12,2),1),G3268*M3268*IF(E3268="FUTURE",VLOOKUP(MID(I3268,2,2),[1]Futures!$A$2:$B$12,2),1)))</f>
        <v>42940</v>
      </c>
      <c r="R3268" s="12">
        <f>IFERROR(Q3268/P3268/IF(E3268="FUTURE",VLOOKUP(MID(I3268,2,2),[1]Futures!$A$2:$B$12,2),1),"")</f>
        <v>42.94</v>
      </c>
      <c r="S3268" s="13" t="str">
        <f>IF(AND(H3268="TO CLOSE",P3268=0),-G3268*(M3268-R3267)*IF(E3268="FUTURE",VLOOKUP(MID(I3268,2,2),[1]Futures!$A$2:$B$12,2),1),"")</f>
        <v/>
      </c>
    </row>
    <row r="3269" spans="1:19" x14ac:dyDescent="0.2">
      <c r="A3269">
        <f t="shared" si="155"/>
        <v>1060</v>
      </c>
      <c r="B3269" s="3">
        <v>44158</v>
      </c>
      <c r="C3269" s="3" t="str">
        <f t="shared" si="154"/>
        <v>Monday</v>
      </c>
      <c r="D3269" s="2">
        <v>0.48594907407407412</v>
      </c>
      <c r="E3269" t="s">
        <v>14</v>
      </c>
      <c r="F3269" t="s">
        <v>15</v>
      </c>
      <c r="G3269">
        <v>-1</v>
      </c>
      <c r="H3269" t="s">
        <v>16</v>
      </c>
      <c r="I3269" t="s">
        <v>88</v>
      </c>
      <c r="J3269" s="1">
        <v>43851</v>
      </c>
      <c r="L3269" t="s">
        <v>14</v>
      </c>
      <c r="M3269">
        <v>42.96</v>
      </c>
      <c r="N3269">
        <v>42.96</v>
      </c>
      <c r="O3269" t="s">
        <v>21</v>
      </c>
      <c r="P3269">
        <f t="shared" si="156"/>
        <v>0</v>
      </c>
      <c r="Q3269" s="11">
        <f>IF(P3269=0,0,IFERROR(Q3268+G3269*M3269*IF(E3269="FUTURE",VLOOKUP(MID(I3269,2,2),[1]Futures!$A$2:$B$12,2),1),G3269*M3269*IF(E3269="FUTURE",VLOOKUP(MID(I3269,2,2),[1]Futures!$A$2:$B$12,2),1)))</f>
        <v>0</v>
      </c>
      <c r="R3269" s="12" t="str">
        <f>IFERROR(Q3269/P3269/IF(E3269="FUTURE",VLOOKUP(MID(I3269,2,2),[1]Futures!$A$2:$B$12,2),1),"")</f>
        <v/>
      </c>
      <c r="S3269" s="13">
        <f>IF(AND(H3269="TO CLOSE",P3269=0),-G3269*(M3269-R3268)*IF(E3269="FUTURE",VLOOKUP(MID(I3269,2,2),[1]Futures!$A$2:$B$12,2),1),"")</f>
        <v>20.000000000003126</v>
      </c>
    </row>
    <row r="3270" spans="1:19" x14ac:dyDescent="0.2">
      <c r="A3270">
        <f t="shared" si="155"/>
        <v>1061</v>
      </c>
      <c r="B3270" s="3">
        <v>44158</v>
      </c>
      <c r="C3270" s="3" t="str">
        <f t="shared" si="154"/>
        <v>Monday</v>
      </c>
      <c r="D3270" s="2">
        <v>0.45784722222222224</v>
      </c>
      <c r="E3270" t="s">
        <v>14</v>
      </c>
      <c r="F3270" t="s">
        <v>15</v>
      </c>
      <c r="G3270">
        <v>-1</v>
      </c>
      <c r="H3270" t="s">
        <v>20</v>
      </c>
      <c r="I3270" t="s">
        <v>85</v>
      </c>
      <c r="J3270" s="1">
        <v>44185</v>
      </c>
      <c r="L3270" t="s">
        <v>14</v>
      </c>
      <c r="M3270">
        <v>3571.75</v>
      </c>
      <c r="N3270">
        <v>3571.75</v>
      </c>
      <c r="O3270" t="s">
        <v>24</v>
      </c>
      <c r="P3270">
        <f t="shared" si="156"/>
        <v>-1</v>
      </c>
      <c r="Q3270" s="11">
        <f>IF(P3270=0,0,IFERROR(Q3269+G3270*M3270*IF(E3270="FUTURE",VLOOKUP(MID(I3270,2,2),[1]Futures!$A$2:$B$12,2),1),G3270*M3270*IF(E3270="FUTURE",VLOOKUP(MID(I3270,2,2),[1]Futures!$A$2:$B$12,2),1)))</f>
        <v>-178587.5</v>
      </c>
      <c r="R3270" s="12">
        <f>IFERROR(Q3270/P3270/IF(E3270="FUTURE",VLOOKUP(MID(I3270,2,2),[1]Futures!$A$2:$B$12,2),1),"")</f>
        <v>3571.75</v>
      </c>
      <c r="S3270" s="13" t="str">
        <f>IF(AND(H3270="TO CLOSE",P3270=0),-G3270*(M3270-R3269)*IF(E3270="FUTURE",VLOOKUP(MID(I3270,2,2),[1]Futures!$A$2:$B$12,2),1),"")</f>
        <v/>
      </c>
    </row>
    <row r="3271" spans="1:19" x14ac:dyDescent="0.2">
      <c r="A3271">
        <f t="shared" si="155"/>
        <v>1061</v>
      </c>
      <c r="B3271" s="3">
        <v>44158</v>
      </c>
      <c r="C3271" s="3" t="str">
        <f t="shared" si="154"/>
        <v>Monday</v>
      </c>
      <c r="D3271" s="2">
        <v>0.46012731481481484</v>
      </c>
      <c r="E3271" t="s">
        <v>14</v>
      </c>
      <c r="F3271" t="s">
        <v>19</v>
      </c>
      <c r="G3271">
        <v>1</v>
      </c>
      <c r="H3271" t="s">
        <v>16</v>
      </c>
      <c r="I3271" t="s">
        <v>85</v>
      </c>
      <c r="J3271" s="1">
        <v>44185</v>
      </c>
      <c r="L3271" t="s">
        <v>14</v>
      </c>
      <c r="M3271">
        <v>3570.75</v>
      </c>
      <c r="N3271">
        <v>3570.75</v>
      </c>
      <c r="O3271" t="s">
        <v>21</v>
      </c>
      <c r="P3271">
        <f t="shared" si="156"/>
        <v>0</v>
      </c>
      <c r="Q3271" s="11">
        <f>IF(P3271=0,0,IFERROR(Q3270+G3271*M3271*IF(E3271="FUTURE",VLOOKUP(MID(I3271,2,2),[1]Futures!$A$2:$B$12,2),1),G3271*M3271*IF(E3271="FUTURE",VLOOKUP(MID(I3271,2,2),[1]Futures!$A$2:$B$12,2),1)))</f>
        <v>0</v>
      </c>
      <c r="R3271" s="12" t="str">
        <f>IFERROR(Q3271/P3271/IF(E3271="FUTURE",VLOOKUP(MID(I3271,2,2),[1]Futures!$A$2:$B$12,2),1),"")</f>
        <v/>
      </c>
      <c r="S3271" s="13">
        <f>IF(AND(H3271="TO CLOSE",P3271=0),-G3271*(M3271-R3270)*IF(E3271="FUTURE",VLOOKUP(MID(I3271,2,2),[1]Futures!$A$2:$B$12,2),1),"")</f>
        <v>50</v>
      </c>
    </row>
    <row r="3272" spans="1:19" x14ac:dyDescent="0.2">
      <c r="A3272">
        <f t="shared" si="155"/>
        <v>1062</v>
      </c>
      <c r="B3272" s="3">
        <v>44158</v>
      </c>
      <c r="C3272" s="3" t="str">
        <f t="shared" si="154"/>
        <v>Monday</v>
      </c>
      <c r="D3272" s="2">
        <v>0.49082175925925925</v>
      </c>
      <c r="E3272" t="s">
        <v>14</v>
      </c>
      <c r="F3272" t="s">
        <v>19</v>
      </c>
      <c r="G3272">
        <v>1</v>
      </c>
      <c r="H3272" t="s">
        <v>20</v>
      </c>
      <c r="I3272" t="s">
        <v>85</v>
      </c>
      <c r="J3272" s="1">
        <v>44185</v>
      </c>
      <c r="L3272" t="s">
        <v>14</v>
      </c>
      <c r="M3272">
        <v>3554.5</v>
      </c>
      <c r="N3272">
        <v>3554.5</v>
      </c>
      <c r="O3272" t="s">
        <v>21</v>
      </c>
      <c r="P3272">
        <f t="shared" si="156"/>
        <v>1</v>
      </c>
      <c r="Q3272" s="11">
        <f>IF(P3272=0,0,IFERROR(Q3271+G3272*M3272*IF(E3272="FUTURE",VLOOKUP(MID(I3272,2,2),[1]Futures!$A$2:$B$12,2),1),G3272*M3272*IF(E3272="FUTURE",VLOOKUP(MID(I3272,2,2),[1]Futures!$A$2:$B$12,2),1)))</f>
        <v>177725</v>
      </c>
      <c r="R3272" s="12">
        <f>IFERROR(Q3272/P3272/IF(E3272="FUTURE",VLOOKUP(MID(I3272,2,2),[1]Futures!$A$2:$B$12,2),1),"")</f>
        <v>3554.5</v>
      </c>
      <c r="S3272" s="13" t="str">
        <f>IF(AND(H3272="TO CLOSE",P3272=0),-G3272*(M3272-R3271)*IF(E3272="FUTURE",VLOOKUP(MID(I3272,2,2),[1]Futures!$A$2:$B$12,2),1),"")</f>
        <v/>
      </c>
    </row>
    <row r="3273" spans="1:19" x14ac:dyDescent="0.2">
      <c r="A3273">
        <f t="shared" si="155"/>
        <v>1062</v>
      </c>
      <c r="B3273" s="3">
        <v>44158</v>
      </c>
      <c r="C3273" s="3" t="str">
        <f t="shared" si="154"/>
        <v>Monday</v>
      </c>
      <c r="D3273" s="2">
        <v>0.4926388888888889</v>
      </c>
      <c r="E3273" t="s">
        <v>14</v>
      </c>
      <c r="F3273" t="s">
        <v>15</v>
      </c>
      <c r="G3273">
        <v>-1</v>
      </c>
      <c r="H3273" t="s">
        <v>16</v>
      </c>
      <c r="I3273" t="s">
        <v>85</v>
      </c>
      <c r="J3273" s="1">
        <v>44185</v>
      </c>
      <c r="L3273" t="s">
        <v>14</v>
      </c>
      <c r="M3273">
        <v>3557</v>
      </c>
      <c r="N3273">
        <v>3557</v>
      </c>
      <c r="O3273" t="s">
        <v>21</v>
      </c>
      <c r="P3273">
        <f t="shared" si="156"/>
        <v>0</v>
      </c>
      <c r="Q3273" s="11">
        <f>IF(P3273=0,0,IFERROR(Q3272+G3273*M3273*IF(E3273="FUTURE",VLOOKUP(MID(I3273,2,2),[1]Futures!$A$2:$B$12,2),1),G3273*M3273*IF(E3273="FUTURE",VLOOKUP(MID(I3273,2,2),[1]Futures!$A$2:$B$12,2),1)))</f>
        <v>0</v>
      </c>
      <c r="R3273" s="12" t="str">
        <f>IFERROR(Q3273/P3273/IF(E3273="FUTURE",VLOOKUP(MID(I3273,2,2),[1]Futures!$A$2:$B$12,2),1),"")</f>
        <v/>
      </c>
      <c r="S3273" s="13">
        <f>IF(AND(H3273="TO CLOSE",P3273=0),-G3273*(M3273-R3272)*IF(E3273="FUTURE",VLOOKUP(MID(I3273,2,2),[1]Futures!$A$2:$B$12,2),1),"")</f>
        <v>125</v>
      </c>
    </row>
    <row r="3274" spans="1:19" x14ac:dyDescent="0.2">
      <c r="A3274">
        <f t="shared" si="155"/>
        <v>1063</v>
      </c>
      <c r="B3274" s="3">
        <v>44158</v>
      </c>
      <c r="C3274" s="3" t="str">
        <f t="shared" si="154"/>
        <v>Monday</v>
      </c>
      <c r="D3274" s="2">
        <v>0.46150462962962963</v>
      </c>
      <c r="E3274" t="s">
        <v>14</v>
      </c>
      <c r="F3274" t="s">
        <v>15</v>
      </c>
      <c r="G3274">
        <v>-3</v>
      </c>
      <c r="H3274" t="s">
        <v>20</v>
      </c>
      <c r="I3274" t="s">
        <v>87</v>
      </c>
      <c r="J3274" s="1">
        <v>44185</v>
      </c>
      <c r="L3274" t="s">
        <v>14</v>
      </c>
      <c r="M3274">
        <v>3567.75</v>
      </c>
      <c r="N3274">
        <v>3567.75</v>
      </c>
      <c r="O3274" t="s">
        <v>24</v>
      </c>
      <c r="P3274">
        <f t="shared" si="156"/>
        <v>-3</v>
      </c>
      <c r="Q3274" s="11">
        <f>IF(P3274=0,0,IFERROR(Q3273+G3274*M3274*IF(E3274="FUTURE",VLOOKUP(MID(I3274,2,2),[1]Futures!$A$2:$B$12,2),1),G3274*M3274*IF(E3274="FUTURE",VLOOKUP(MID(I3274,2,2),[1]Futures!$A$2:$B$12,2),1)))</f>
        <v>-53516.25</v>
      </c>
      <c r="R3274" s="12">
        <f>IFERROR(Q3274/P3274/IF(E3274="FUTURE",VLOOKUP(MID(I3274,2,2),[1]Futures!$A$2:$B$12,2),1),"")</f>
        <v>3567.75</v>
      </c>
      <c r="S3274" s="13" t="str">
        <f>IF(AND(H3274="TO CLOSE",P3274=0),-G3274*(M3274-R3273)*IF(E3274="FUTURE",VLOOKUP(MID(I3274,2,2),[1]Futures!$A$2:$B$12,2),1),"")</f>
        <v/>
      </c>
    </row>
    <row r="3275" spans="1:19" x14ac:dyDescent="0.2">
      <c r="A3275">
        <f t="shared" si="155"/>
        <v>1063</v>
      </c>
      <c r="B3275" s="3">
        <v>44158</v>
      </c>
      <c r="C3275" s="3" t="str">
        <f t="shared" si="154"/>
        <v>Monday</v>
      </c>
      <c r="D3275" s="2">
        <v>0.46506944444444448</v>
      </c>
      <c r="E3275" t="s">
        <v>14</v>
      </c>
      <c r="F3275" t="s">
        <v>19</v>
      </c>
      <c r="G3275">
        <v>1</v>
      </c>
      <c r="H3275" t="s">
        <v>16</v>
      </c>
      <c r="I3275" t="s">
        <v>87</v>
      </c>
      <c r="J3275" s="1">
        <v>44185</v>
      </c>
      <c r="L3275" t="s">
        <v>14</v>
      </c>
      <c r="M3275">
        <v>3563.5</v>
      </c>
      <c r="N3275">
        <v>3563.5</v>
      </c>
      <c r="O3275" t="s">
        <v>21</v>
      </c>
      <c r="P3275">
        <f t="shared" si="156"/>
        <v>-2</v>
      </c>
      <c r="Q3275" s="11">
        <f>IF(P3275=0,0,IFERROR(Q3274+G3275*M3275*IF(E3275="FUTURE",VLOOKUP(MID(I3275,2,2),[1]Futures!$A$2:$B$12,2),1),G3275*M3275*IF(E3275="FUTURE",VLOOKUP(MID(I3275,2,2),[1]Futures!$A$2:$B$12,2),1)))</f>
        <v>-35698.75</v>
      </c>
      <c r="R3275" s="12">
        <f>IFERROR(Q3275/P3275/IF(E3275="FUTURE",VLOOKUP(MID(I3275,2,2),[1]Futures!$A$2:$B$12,2),1),"")</f>
        <v>3569.875</v>
      </c>
      <c r="S3275" s="13" t="str">
        <f>IF(AND(H3275="TO CLOSE",P3275=0),-G3275*(M3275-R3274)*IF(E3275="FUTURE",VLOOKUP(MID(I3275,2,2),[1]Futures!$A$2:$B$12,2),1),"")</f>
        <v/>
      </c>
    </row>
    <row r="3276" spans="1:19" x14ac:dyDescent="0.2">
      <c r="A3276">
        <f t="shared" si="155"/>
        <v>1063</v>
      </c>
      <c r="B3276" s="3">
        <v>44158</v>
      </c>
      <c r="C3276" s="3" t="str">
        <f t="shared" si="154"/>
        <v>Monday</v>
      </c>
      <c r="D3276" s="2">
        <v>0.46636574074074072</v>
      </c>
      <c r="E3276" t="s">
        <v>14</v>
      </c>
      <c r="F3276" t="s">
        <v>19</v>
      </c>
      <c r="G3276">
        <v>1</v>
      </c>
      <c r="H3276" t="s">
        <v>16</v>
      </c>
      <c r="I3276" t="s">
        <v>87</v>
      </c>
      <c r="J3276" s="1">
        <v>44185</v>
      </c>
      <c r="L3276" t="s">
        <v>14</v>
      </c>
      <c r="M3276">
        <v>3557.75</v>
      </c>
      <c r="N3276">
        <v>3557.75</v>
      </c>
      <c r="O3276" t="s">
        <v>24</v>
      </c>
      <c r="P3276">
        <f t="shared" si="156"/>
        <v>-1</v>
      </c>
      <c r="Q3276" s="11">
        <f>IF(P3276=0,0,IFERROR(Q3275+G3276*M3276*IF(E3276="FUTURE",VLOOKUP(MID(I3276,2,2),[1]Futures!$A$2:$B$12,2),1),G3276*M3276*IF(E3276="FUTURE",VLOOKUP(MID(I3276,2,2),[1]Futures!$A$2:$B$12,2),1)))</f>
        <v>-17910</v>
      </c>
      <c r="R3276" s="12">
        <f>IFERROR(Q3276/P3276/IF(E3276="FUTURE",VLOOKUP(MID(I3276,2,2),[1]Futures!$A$2:$B$12,2),1),"")</f>
        <v>3582</v>
      </c>
      <c r="S3276" s="13" t="str">
        <f>IF(AND(H3276="TO CLOSE",P3276=0),-G3276*(M3276-R3275)*IF(E3276="FUTURE",VLOOKUP(MID(I3276,2,2),[1]Futures!$A$2:$B$12,2),1),"")</f>
        <v/>
      </c>
    </row>
    <row r="3277" spans="1:19" x14ac:dyDescent="0.2">
      <c r="A3277">
        <f t="shared" si="155"/>
        <v>1063</v>
      </c>
      <c r="B3277" s="3">
        <v>44158</v>
      </c>
      <c r="C3277" s="3" t="str">
        <f t="shared" si="154"/>
        <v>Monday</v>
      </c>
      <c r="D3277" s="2">
        <v>0.4685300925925926</v>
      </c>
      <c r="E3277" t="s">
        <v>14</v>
      </c>
      <c r="F3277" t="s">
        <v>19</v>
      </c>
      <c r="G3277">
        <v>1</v>
      </c>
      <c r="H3277" t="s">
        <v>16</v>
      </c>
      <c r="I3277" t="s">
        <v>87</v>
      </c>
      <c r="J3277" s="1">
        <v>44185</v>
      </c>
      <c r="L3277" t="s">
        <v>14</v>
      </c>
      <c r="M3277">
        <v>3554</v>
      </c>
      <c r="N3277">
        <v>3554</v>
      </c>
      <c r="O3277" t="s">
        <v>24</v>
      </c>
      <c r="P3277">
        <f t="shared" si="156"/>
        <v>0</v>
      </c>
      <c r="Q3277" s="11">
        <f>IF(P3277=0,0,IFERROR(Q3276+G3277*M3277*IF(E3277="FUTURE",VLOOKUP(MID(I3277,2,2),[1]Futures!$A$2:$B$12,2),1),G3277*M3277*IF(E3277="FUTURE",VLOOKUP(MID(I3277,2,2),[1]Futures!$A$2:$B$12,2),1)))</f>
        <v>0</v>
      </c>
      <c r="R3277" s="12" t="str">
        <f>IFERROR(Q3277/P3277/IF(E3277="FUTURE",VLOOKUP(MID(I3277,2,2),[1]Futures!$A$2:$B$12,2),1),"")</f>
        <v/>
      </c>
      <c r="S3277" s="13">
        <f>IF(AND(H3277="TO CLOSE",P3277=0),-G3277*(M3277-R3276)*IF(E3277="FUTURE",VLOOKUP(MID(I3277,2,2),[1]Futures!$A$2:$B$12,2),1),"")</f>
        <v>140</v>
      </c>
    </row>
    <row r="3278" spans="1:19" x14ac:dyDescent="0.2">
      <c r="A3278">
        <f t="shared" si="155"/>
        <v>1064</v>
      </c>
      <c r="B3278" s="3">
        <v>44158</v>
      </c>
      <c r="C3278" s="3" t="str">
        <f t="shared" si="154"/>
        <v>Monday</v>
      </c>
      <c r="D3278" s="2">
        <v>0.45633101851851854</v>
      </c>
      <c r="E3278" t="s">
        <v>22</v>
      </c>
      <c r="F3278" t="s">
        <v>15</v>
      </c>
      <c r="G3278">
        <v>-300</v>
      </c>
      <c r="H3278" t="s">
        <v>20</v>
      </c>
      <c r="I3278" t="s">
        <v>23</v>
      </c>
      <c r="L3278" t="s">
        <v>22</v>
      </c>
      <c r="M3278">
        <v>18.239999999999998</v>
      </c>
      <c r="N3278">
        <v>18.239999999999998</v>
      </c>
      <c r="O3278" t="s">
        <v>21</v>
      </c>
      <c r="P3278">
        <f t="shared" si="156"/>
        <v>-300</v>
      </c>
      <c r="Q3278" s="11">
        <f>IF(P3278=0,0,IFERROR(Q3277+G3278*M3278*IF(E3278="FUTURE",VLOOKUP(MID(I3278,2,2),[1]Futures!$A$2:$B$12,2),1),G3278*M3278*IF(E3278="FUTURE",VLOOKUP(MID(I3278,2,2),[1]Futures!$A$2:$B$12,2),1)))</f>
        <v>-5471.9999999999991</v>
      </c>
      <c r="R3278" s="12">
        <f>IFERROR(Q3278/P3278/IF(E3278="FUTURE",VLOOKUP(MID(I3278,2,2),[1]Futures!$A$2:$B$12,2),1),"")</f>
        <v>18.239999999999998</v>
      </c>
      <c r="S3278" s="13" t="str">
        <f>IF(AND(H3278="TO CLOSE",P3278=0),-G3278*(M3278-R3277)*IF(E3278="FUTURE",VLOOKUP(MID(I3278,2,2),[1]Futures!$A$2:$B$12,2),1),"")</f>
        <v/>
      </c>
    </row>
    <row r="3279" spans="1:19" x14ac:dyDescent="0.2">
      <c r="A3279">
        <f t="shared" si="155"/>
        <v>1064</v>
      </c>
      <c r="B3279" s="3">
        <v>44158</v>
      </c>
      <c r="C3279" s="3" t="str">
        <f t="shared" si="154"/>
        <v>Monday</v>
      </c>
      <c r="D3279" s="2">
        <v>0.46631944444444445</v>
      </c>
      <c r="E3279" t="s">
        <v>22</v>
      </c>
      <c r="F3279" t="s">
        <v>15</v>
      </c>
      <c r="G3279">
        <v>-100</v>
      </c>
      <c r="H3279" t="s">
        <v>20</v>
      </c>
      <c r="I3279" t="s">
        <v>23</v>
      </c>
      <c r="L3279" t="s">
        <v>22</v>
      </c>
      <c r="M3279">
        <v>18.5501</v>
      </c>
      <c r="N3279">
        <v>18.5501</v>
      </c>
      <c r="O3279" t="s">
        <v>24</v>
      </c>
      <c r="P3279">
        <f t="shared" si="156"/>
        <v>-400</v>
      </c>
      <c r="Q3279" s="11">
        <f>IF(P3279=0,0,IFERROR(Q3278+G3279*M3279*IF(E3279="FUTURE",VLOOKUP(MID(I3279,2,2),[1]Futures!$A$2:$B$12,2),1),G3279*M3279*IF(E3279="FUTURE",VLOOKUP(MID(I3279,2,2),[1]Futures!$A$2:$B$12,2),1)))</f>
        <v>-7327.0099999999993</v>
      </c>
      <c r="R3279" s="12">
        <f>IFERROR(Q3279/P3279/IF(E3279="FUTURE",VLOOKUP(MID(I3279,2,2),[1]Futures!$A$2:$B$12,2),1),"")</f>
        <v>18.317525</v>
      </c>
      <c r="S3279" s="13" t="str">
        <f>IF(AND(H3279="TO CLOSE",P3279=0),-G3279*(M3279-R3278)*IF(E3279="FUTURE",VLOOKUP(MID(I3279,2,2),[1]Futures!$A$2:$B$12,2),1),"")</f>
        <v/>
      </c>
    </row>
    <row r="3280" spans="1:19" x14ac:dyDescent="0.2">
      <c r="A3280">
        <f t="shared" si="155"/>
        <v>1064</v>
      </c>
      <c r="B3280" s="3">
        <v>44158</v>
      </c>
      <c r="C3280" s="3" t="str">
        <f t="shared" si="154"/>
        <v>Monday</v>
      </c>
      <c r="D3280" s="2">
        <v>0.4714930555555556</v>
      </c>
      <c r="E3280" t="s">
        <v>22</v>
      </c>
      <c r="F3280" t="s">
        <v>19</v>
      </c>
      <c r="G3280">
        <v>100</v>
      </c>
      <c r="H3280" t="s">
        <v>16</v>
      </c>
      <c r="I3280" t="s">
        <v>23</v>
      </c>
      <c r="L3280" t="s">
        <v>22</v>
      </c>
      <c r="M3280">
        <v>18.54</v>
      </c>
      <c r="N3280">
        <v>18.54</v>
      </c>
      <c r="O3280" t="s">
        <v>18</v>
      </c>
      <c r="P3280">
        <f t="shared" si="156"/>
        <v>-300</v>
      </c>
      <c r="Q3280" s="11">
        <f>IF(P3280=0,0,IFERROR(Q3279+G3280*M3280*IF(E3280="FUTURE",VLOOKUP(MID(I3280,2,2),[1]Futures!$A$2:$B$12,2),1),G3280*M3280*IF(E3280="FUTURE",VLOOKUP(MID(I3280,2,2),[1]Futures!$A$2:$B$12,2),1)))</f>
        <v>-5473.0099999999993</v>
      </c>
      <c r="R3280" s="12">
        <f>IFERROR(Q3280/P3280/IF(E3280="FUTURE",VLOOKUP(MID(I3280,2,2),[1]Futures!$A$2:$B$12,2),1),"")</f>
        <v>18.243366666666663</v>
      </c>
      <c r="S3280" s="13" t="str">
        <f>IF(AND(H3280="TO CLOSE",P3280=0),-G3280*(M3280-R3279)*IF(E3280="FUTURE",VLOOKUP(MID(I3280,2,2),[1]Futures!$A$2:$B$12,2),1),"")</f>
        <v/>
      </c>
    </row>
    <row r="3281" spans="1:19" x14ac:dyDescent="0.2">
      <c r="A3281">
        <f t="shared" si="155"/>
        <v>1064</v>
      </c>
      <c r="B3281" s="3">
        <v>44158</v>
      </c>
      <c r="C3281" s="3" t="str">
        <f t="shared" si="154"/>
        <v>Monday</v>
      </c>
      <c r="D3281" s="2">
        <v>0.47259259259259262</v>
      </c>
      <c r="E3281" t="s">
        <v>22</v>
      </c>
      <c r="F3281" t="s">
        <v>15</v>
      </c>
      <c r="G3281">
        <v>-100</v>
      </c>
      <c r="H3281" t="s">
        <v>20</v>
      </c>
      <c r="I3281" t="s">
        <v>23</v>
      </c>
      <c r="L3281" t="s">
        <v>22</v>
      </c>
      <c r="M3281">
        <v>18.551400000000001</v>
      </c>
      <c r="N3281">
        <v>18.551400000000001</v>
      </c>
      <c r="O3281" t="s">
        <v>21</v>
      </c>
      <c r="P3281">
        <f t="shared" si="156"/>
        <v>-400</v>
      </c>
      <c r="Q3281" s="11">
        <f>IF(P3281=0,0,IFERROR(Q3280+G3281*M3281*IF(E3281="FUTURE",VLOOKUP(MID(I3281,2,2),[1]Futures!$A$2:$B$12,2),1),G3281*M3281*IF(E3281="FUTURE",VLOOKUP(MID(I3281,2,2),[1]Futures!$A$2:$B$12,2),1)))</f>
        <v>-7328.15</v>
      </c>
      <c r="R3281" s="12">
        <f>IFERROR(Q3281/P3281/IF(E3281="FUTURE",VLOOKUP(MID(I3281,2,2),[1]Futures!$A$2:$B$12,2),1),"")</f>
        <v>18.320374999999999</v>
      </c>
      <c r="S3281" s="13" t="str">
        <f>IF(AND(H3281="TO CLOSE",P3281=0),-G3281*(M3281-R3280)*IF(E3281="FUTURE",VLOOKUP(MID(I3281,2,2),[1]Futures!$A$2:$B$12,2),1),"")</f>
        <v/>
      </c>
    </row>
    <row r="3282" spans="1:19" x14ac:dyDescent="0.2">
      <c r="A3282">
        <f t="shared" si="155"/>
        <v>1064</v>
      </c>
      <c r="B3282" s="3">
        <v>44158</v>
      </c>
      <c r="C3282" s="3" t="str">
        <f t="shared" si="154"/>
        <v>Monday</v>
      </c>
      <c r="D3282" s="2">
        <v>0.47931712962962963</v>
      </c>
      <c r="E3282" t="s">
        <v>22</v>
      </c>
      <c r="F3282" t="s">
        <v>15</v>
      </c>
      <c r="G3282">
        <v>-100</v>
      </c>
      <c r="H3282" t="s">
        <v>20</v>
      </c>
      <c r="I3282" t="s">
        <v>23</v>
      </c>
      <c r="L3282" t="s">
        <v>22</v>
      </c>
      <c r="M3282">
        <v>18.5701</v>
      </c>
      <c r="N3282">
        <v>18.5701</v>
      </c>
      <c r="O3282" t="s">
        <v>24</v>
      </c>
      <c r="P3282">
        <f t="shared" si="156"/>
        <v>-500</v>
      </c>
      <c r="Q3282" s="11">
        <f>IF(P3282=0,0,IFERROR(Q3281+G3282*M3282*IF(E3282="FUTURE",VLOOKUP(MID(I3282,2,2),[1]Futures!$A$2:$B$12,2),1),G3282*M3282*IF(E3282="FUTURE",VLOOKUP(MID(I3282,2,2),[1]Futures!$A$2:$B$12,2),1)))</f>
        <v>-9185.16</v>
      </c>
      <c r="R3282" s="12">
        <f>IFERROR(Q3282/P3282/IF(E3282="FUTURE",VLOOKUP(MID(I3282,2,2),[1]Futures!$A$2:$B$12,2),1),"")</f>
        <v>18.37032</v>
      </c>
      <c r="S3282" s="13" t="str">
        <f>IF(AND(H3282="TO CLOSE",P3282=0),-G3282*(M3282-R3281)*IF(E3282="FUTURE",VLOOKUP(MID(I3282,2,2),[1]Futures!$A$2:$B$12,2),1),"")</f>
        <v/>
      </c>
    </row>
    <row r="3283" spans="1:19" x14ac:dyDescent="0.2">
      <c r="A3283">
        <f t="shared" si="155"/>
        <v>1064</v>
      </c>
      <c r="B3283" s="3">
        <v>44158</v>
      </c>
      <c r="C3283" s="3" t="str">
        <f t="shared" si="154"/>
        <v>Monday</v>
      </c>
      <c r="D3283" s="2">
        <v>0.49579861111111106</v>
      </c>
      <c r="E3283" t="s">
        <v>22</v>
      </c>
      <c r="F3283" t="s">
        <v>19</v>
      </c>
      <c r="G3283">
        <v>100</v>
      </c>
      <c r="H3283" t="s">
        <v>16</v>
      </c>
      <c r="I3283" t="s">
        <v>23</v>
      </c>
      <c r="L3283" t="s">
        <v>22</v>
      </c>
      <c r="M3283">
        <v>18.46</v>
      </c>
      <c r="N3283">
        <v>18.46</v>
      </c>
      <c r="O3283" t="s">
        <v>21</v>
      </c>
      <c r="P3283">
        <f t="shared" si="156"/>
        <v>-400</v>
      </c>
      <c r="Q3283" s="11">
        <f>IF(P3283=0,0,IFERROR(Q3282+G3283*M3283*IF(E3283="FUTURE",VLOOKUP(MID(I3283,2,2),[1]Futures!$A$2:$B$12,2),1),G3283*M3283*IF(E3283="FUTURE",VLOOKUP(MID(I3283,2,2),[1]Futures!$A$2:$B$12,2),1)))</f>
        <v>-7339.16</v>
      </c>
      <c r="R3283" s="12">
        <f>IFERROR(Q3283/P3283/IF(E3283="FUTURE",VLOOKUP(MID(I3283,2,2),[1]Futures!$A$2:$B$12,2),1),"")</f>
        <v>18.347899999999999</v>
      </c>
      <c r="S3283" s="13" t="str">
        <f>IF(AND(H3283="TO CLOSE",P3283=0),-G3283*(M3283-R3282)*IF(E3283="FUTURE",VLOOKUP(MID(I3283,2,2),[1]Futures!$A$2:$B$12,2),1),"")</f>
        <v/>
      </c>
    </row>
    <row r="3284" spans="1:19" x14ac:dyDescent="0.2">
      <c r="A3284">
        <f t="shared" si="155"/>
        <v>1064</v>
      </c>
      <c r="B3284" s="3">
        <v>44158</v>
      </c>
      <c r="C3284" s="3" t="str">
        <f t="shared" si="154"/>
        <v>Monday</v>
      </c>
      <c r="D3284" s="2">
        <v>0.51333333333333331</v>
      </c>
      <c r="E3284" t="s">
        <v>22</v>
      </c>
      <c r="F3284" t="s">
        <v>19</v>
      </c>
      <c r="G3284">
        <v>100</v>
      </c>
      <c r="H3284" t="s">
        <v>16</v>
      </c>
      <c r="I3284" t="s">
        <v>23</v>
      </c>
      <c r="L3284" t="s">
        <v>22</v>
      </c>
      <c r="M3284">
        <v>18.36</v>
      </c>
      <c r="N3284">
        <v>18.36</v>
      </c>
      <c r="O3284" t="s">
        <v>21</v>
      </c>
      <c r="P3284">
        <f t="shared" si="156"/>
        <v>-300</v>
      </c>
      <c r="Q3284" s="11">
        <f>IF(P3284=0,0,IFERROR(Q3283+G3284*M3284*IF(E3284="FUTURE",VLOOKUP(MID(I3284,2,2),[1]Futures!$A$2:$B$12,2),1),G3284*M3284*IF(E3284="FUTURE",VLOOKUP(MID(I3284,2,2),[1]Futures!$A$2:$B$12,2),1)))</f>
        <v>-5503.16</v>
      </c>
      <c r="R3284" s="12">
        <f>IFERROR(Q3284/P3284/IF(E3284="FUTURE",VLOOKUP(MID(I3284,2,2),[1]Futures!$A$2:$B$12,2),1),"")</f>
        <v>18.343866666666667</v>
      </c>
      <c r="S3284" s="13" t="str">
        <f>IF(AND(H3284="TO CLOSE",P3284=0),-G3284*(M3284-R3283)*IF(E3284="FUTURE",VLOOKUP(MID(I3284,2,2),[1]Futures!$A$2:$B$12,2),1),"")</f>
        <v/>
      </c>
    </row>
    <row r="3285" spans="1:19" x14ac:dyDescent="0.2">
      <c r="A3285">
        <f t="shared" si="155"/>
        <v>1064</v>
      </c>
      <c r="B3285" s="3">
        <v>44158</v>
      </c>
      <c r="C3285" s="3" t="str">
        <f t="shared" si="154"/>
        <v>Monday</v>
      </c>
      <c r="D3285" s="2">
        <v>0.51629629629629636</v>
      </c>
      <c r="E3285" t="s">
        <v>22</v>
      </c>
      <c r="F3285" t="s">
        <v>19</v>
      </c>
      <c r="G3285">
        <v>100</v>
      </c>
      <c r="H3285" t="s">
        <v>16</v>
      </c>
      <c r="I3285" t="s">
        <v>23</v>
      </c>
      <c r="L3285" t="s">
        <v>22</v>
      </c>
      <c r="M3285">
        <v>18.32</v>
      </c>
      <c r="N3285">
        <v>18.32</v>
      </c>
      <c r="O3285" t="s">
        <v>21</v>
      </c>
      <c r="P3285">
        <f t="shared" si="156"/>
        <v>-200</v>
      </c>
      <c r="Q3285" s="11">
        <f>IF(P3285=0,0,IFERROR(Q3284+G3285*M3285*IF(E3285="FUTURE",VLOOKUP(MID(I3285,2,2),[1]Futures!$A$2:$B$12,2),1),G3285*M3285*IF(E3285="FUTURE",VLOOKUP(MID(I3285,2,2),[1]Futures!$A$2:$B$12,2),1)))</f>
        <v>-3671.16</v>
      </c>
      <c r="R3285" s="12">
        <f>IFERROR(Q3285/P3285/IF(E3285="FUTURE",VLOOKUP(MID(I3285,2,2),[1]Futures!$A$2:$B$12,2),1),"")</f>
        <v>18.355799999999999</v>
      </c>
      <c r="S3285" s="13" t="str">
        <f>IF(AND(H3285="TO CLOSE",P3285=0),-G3285*(M3285-R3284)*IF(E3285="FUTURE",VLOOKUP(MID(I3285,2,2),[1]Futures!$A$2:$B$12,2),1),"")</f>
        <v/>
      </c>
    </row>
    <row r="3286" spans="1:19" x14ac:dyDescent="0.2">
      <c r="A3286">
        <f t="shared" si="155"/>
        <v>1064</v>
      </c>
      <c r="B3286" s="3">
        <v>44158</v>
      </c>
      <c r="C3286" s="3" t="str">
        <f t="shared" si="154"/>
        <v>Monday</v>
      </c>
      <c r="D3286" s="2">
        <v>0.51802083333333326</v>
      </c>
      <c r="E3286" t="s">
        <v>22</v>
      </c>
      <c r="F3286" t="s">
        <v>19</v>
      </c>
      <c r="G3286">
        <v>200</v>
      </c>
      <c r="H3286" t="s">
        <v>16</v>
      </c>
      <c r="I3286" t="s">
        <v>23</v>
      </c>
      <c r="L3286" t="s">
        <v>22</v>
      </c>
      <c r="M3286">
        <v>18.338100000000001</v>
      </c>
      <c r="N3286">
        <v>18.338100000000001</v>
      </c>
      <c r="O3286" t="s">
        <v>24</v>
      </c>
      <c r="P3286">
        <f t="shared" si="156"/>
        <v>0</v>
      </c>
      <c r="Q3286" s="11">
        <f>IF(P3286=0,0,IFERROR(Q3285+G3286*M3286*IF(E3286="FUTURE",VLOOKUP(MID(I3286,2,2),[1]Futures!$A$2:$B$12,2),1),G3286*M3286*IF(E3286="FUTURE",VLOOKUP(MID(I3286,2,2),[1]Futures!$A$2:$B$12,2),1)))</f>
        <v>0</v>
      </c>
      <c r="R3286" s="12" t="str">
        <f>IFERROR(Q3286/P3286/IF(E3286="FUTURE",VLOOKUP(MID(I3286,2,2),[1]Futures!$A$2:$B$12,2),1),"")</f>
        <v/>
      </c>
      <c r="S3286" s="13">
        <f>IF(AND(H3286="TO CLOSE",P3286=0),-G3286*(M3286-R3285)*IF(E3286="FUTURE",VLOOKUP(MID(I3286,2,2),[1]Futures!$A$2:$B$12,2),1),"")</f>
        <v>3.5399999999995657</v>
      </c>
    </row>
    <row r="3287" spans="1:19" x14ac:dyDescent="0.2">
      <c r="A3287">
        <f t="shared" si="155"/>
        <v>1065</v>
      </c>
      <c r="B3287" s="3">
        <v>44159</v>
      </c>
      <c r="C3287" s="3" t="str">
        <f t="shared" si="154"/>
        <v>Tuesday</v>
      </c>
      <c r="D3287" s="2">
        <v>0.42074074074074069</v>
      </c>
      <c r="E3287" t="s">
        <v>14</v>
      </c>
      <c r="F3287" t="s">
        <v>15</v>
      </c>
      <c r="G3287">
        <v>-1</v>
      </c>
      <c r="H3287" t="s">
        <v>20</v>
      </c>
      <c r="I3287" t="s">
        <v>88</v>
      </c>
      <c r="J3287" s="1">
        <v>43851</v>
      </c>
      <c r="L3287" t="s">
        <v>14</v>
      </c>
      <c r="M3287">
        <v>44.7</v>
      </c>
      <c r="N3287">
        <v>44.7</v>
      </c>
      <c r="O3287" t="s">
        <v>21</v>
      </c>
      <c r="P3287">
        <f t="shared" si="156"/>
        <v>-1</v>
      </c>
      <c r="Q3287" s="11">
        <f>IF(P3287=0,0,IFERROR(Q3286+G3287*M3287*IF(E3287="FUTURE",VLOOKUP(MID(I3287,2,2),[1]Futures!$A$2:$B$12,2),1),G3287*M3287*IF(E3287="FUTURE",VLOOKUP(MID(I3287,2,2),[1]Futures!$A$2:$B$12,2),1)))</f>
        <v>-44700</v>
      </c>
      <c r="R3287" s="12">
        <f>IFERROR(Q3287/P3287/IF(E3287="FUTURE",VLOOKUP(MID(I3287,2,2),[1]Futures!$A$2:$B$12,2),1),"")</f>
        <v>44.7</v>
      </c>
      <c r="S3287" s="13" t="str">
        <f>IF(AND(H3287="TO CLOSE",P3287=0),-G3287*(M3287-R3286)*IF(E3287="FUTURE",VLOOKUP(MID(I3287,2,2),[1]Futures!$A$2:$B$12,2),1),"")</f>
        <v/>
      </c>
    </row>
    <row r="3288" spans="1:19" x14ac:dyDescent="0.2">
      <c r="A3288">
        <f t="shared" si="155"/>
        <v>1065</v>
      </c>
      <c r="B3288" s="3">
        <v>44159</v>
      </c>
      <c r="C3288" s="3" t="str">
        <f t="shared" si="154"/>
        <v>Tuesday</v>
      </c>
      <c r="D3288" s="2">
        <v>0.42831018518518515</v>
      </c>
      <c r="E3288" t="s">
        <v>14</v>
      </c>
      <c r="F3288" t="s">
        <v>15</v>
      </c>
      <c r="G3288">
        <v>-1</v>
      </c>
      <c r="H3288" t="s">
        <v>20</v>
      </c>
      <c r="I3288" t="s">
        <v>88</v>
      </c>
      <c r="J3288" s="1">
        <v>43851</v>
      </c>
      <c r="L3288" t="s">
        <v>14</v>
      </c>
      <c r="M3288">
        <v>44.74</v>
      </c>
      <c r="N3288">
        <v>44.74</v>
      </c>
      <c r="O3288" t="s">
        <v>21</v>
      </c>
      <c r="P3288">
        <f t="shared" si="156"/>
        <v>-2</v>
      </c>
      <c r="Q3288" s="11">
        <f>IF(P3288=0,0,IFERROR(Q3287+G3288*M3288*IF(E3288="FUTURE",VLOOKUP(MID(I3288,2,2),[1]Futures!$A$2:$B$12,2),1),G3288*M3288*IF(E3288="FUTURE",VLOOKUP(MID(I3288,2,2),[1]Futures!$A$2:$B$12,2),1)))</f>
        <v>-89440</v>
      </c>
      <c r="R3288" s="12">
        <f>IFERROR(Q3288/P3288/IF(E3288="FUTURE",VLOOKUP(MID(I3288,2,2),[1]Futures!$A$2:$B$12,2),1),"")</f>
        <v>44.72</v>
      </c>
      <c r="S3288" s="13" t="str">
        <f>IF(AND(H3288="TO CLOSE",P3288=0),-G3288*(M3288-R3287)*IF(E3288="FUTURE",VLOOKUP(MID(I3288,2,2),[1]Futures!$A$2:$B$12,2),1),"")</f>
        <v/>
      </c>
    </row>
    <row r="3289" spans="1:19" x14ac:dyDescent="0.2">
      <c r="A3289">
        <f t="shared" si="155"/>
        <v>1065</v>
      </c>
      <c r="B3289" s="3">
        <v>44159</v>
      </c>
      <c r="C3289" s="3" t="str">
        <f t="shared" si="154"/>
        <v>Tuesday</v>
      </c>
      <c r="D3289" s="2">
        <v>0.68901620370370376</v>
      </c>
      <c r="E3289" t="s">
        <v>14</v>
      </c>
      <c r="F3289" t="s">
        <v>19</v>
      </c>
      <c r="G3289">
        <v>1</v>
      </c>
      <c r="H3289" t="s">
        <v>16</v>
      </c>
      <c r="I3289" t="s">
        <v>88</v>
      </c>
      <c r="J3289" s="1">
        <v>43851</v>
      </c>
      <c r="L3289" t="s">
        <v>14</v>
      </c>
      <c r="M3289">
        <v>44.73</v>
      </c>
      <c r="N3289">
        <v>44.73</v>
      </c>
      <c r="O3289" t="s">
        <v>21</v>
      </c>
      <c r="P3289">
        <f t="shared" si="156"/>
        <v>-1</v>
      </c>
      <c r="Q3289" s="11">
        <f>IF(P3289=0,0,IFERROR(Q3288+G3289*M3289*IF(E3289="FUTURE",VLOOKUP(MID(I3289,2,2),[1]Futures!$A$2:$B$12,2),1),G3289*M3289*IF(E3289="FUTURE",VLOOKUP(MID(I3289,2,2),[1]Futures!$A$2:$B$12,2),1)))</f>
        <v>-44710</v>
      </c>
      <c r="R3289" s="12">
        <f>IFERROR(Q3289/P3289/IF(E3289="FUTURE",VLOOKUP(MID(I3289,2,2),[1]Futures!$A$2:$B$12,2),1),"")</f>
        <v>44.71</v>
      </c>
      <c r="S3289" s="13" t="str">
        <f>IF(AND(H3289="TO CLOSE",P3289=0),-G3289*(M3289-R3288)*IF(E3289="FUTURE",VLOOKUP(MID(I3289,2,2),[1]Futures!$A$2:$B$12,2),1),"")</f>
        <v/>
      </c>
    </row>
    <row r="3290" spans="1:19" x14ac:dyDescent="0.2">
      <c r="A3290">
        <f t="shared" si="155"/>
        <v>1065</v>
      </c>
      <c r="B3290" s="3">
        <v>44159</v>
      </c>
      <c r="C3290" s="3" t="str">
        <f t="shared" si="154"/>
        <v>Tuesday</v>
      </c>
      <c r="D3290" s="2">
        <v>0.68929398148148147</v>
      </c>
      <c r="E3290" t="s">
        <v>14</v>
      </c>
      <c r="F3290" t="s">
        <v>19</v>
      </c>
      <c r="G3290">
        <v>1</v>
      </c>
      <c r="H3290" t="s">
        <v>16</v>
      </c>
      <c r="I3290" t="s">
        <v>88</v>
      </c>
      <c r="J3290" s="1">
        <v>43851</v>
      </c>
      <c r="L3290" t="s">
        <v>14</v>
      </c>
      <c r="M3290">
        <v>44.69</v>
      </c>
      <c r="N3290">
        <v>44.69</v>
      </c>
      <c r="O3290" t="s">
        <v>18</v>
      </c>
      <c r="P3290">
        <f t="shared" si="156"/>
        <v>0</v>
      </c>
      <c r="Q3290" s="11">
        <f>IF(P3290=0,0,IFERROR(Q3289+G3290*M3290*IF(E3290="FUTURE",VLOOKUP(MID(I3290,2,2),[1]Futures!$A$2:$B$12,2),1),G3290*M3290*IF(E3290="FUTURE",VLOOKUP(MID(I3290,2,2),[1]Futures!$A$2:$B$12,2),1)))</f>
        <v>0</v>
      </c>
      <c r="R3290" s="12" t="str">
        <f>IFERROR(Q3290/P3290/IF(E3290="FUTURE",VLOOKUP(MID(I3290,2,2),[1]Futures!$A$2:$B$12,2),1),"")</f>
        <v/>
      </c>
      <c r="S3290" s="13">
        <f>IF(AND(H3290="TO CLOSE",P3290=0),-G3290*(M3290-R3289)*IF(E3290="FUTURE",VLOOKUP(MID(I3290,2,2),[1]Futures!$A$2:$B$12,2),1),"")</f>
        <v>20.000000000003126</v>
      </c>
    </row>
    <row r="3291" spans="1:19" x14ac:dyDescent="0.2">
      <c r="A3291">
        <f t="shared" si="155"/>
        <v>1066</v>
      </c>
      <c r="B3291" s="3">
        <v>44159</v>
      </c>
      <c r="C3291" s="3" t="str">
        <f t="shared" si="154"/>
        <v>Tuesday</v>
      </c>
      <c r="D3291" s="2">
        <v>0.96020833333333344</v>
      </c>
      <c r="E3291" t="s">
        <v>14</v>
      </c>
      <c r="F3291" t="s">
        <v>15</v>
      </c>
      <c r="G3291">
        <v>-1</v>
      </c>
      <c r="H3291" t="s">
        <v>20</v>
      </c>
      <c r="I3291" t="s">
        <v>88</v>
      </c>
      <c r="J3291" s="1">
        <v>43851</v>
      </c>
      <c r="L3291" t="s">
        <v>14</v>
      </c>
      <c r="M3291">
        <v>45.41</v>
      </c>
      <c r="N3291">
        <v>45.41</v>
      </c>
      <c r="O3291" t="s">
        <v>21</v>
      </c>
      <c r="P3291">
        <f t="shared" si="156"/>
        <v>-1</v>
      </c>
      <c r="Q3291" s="11">
        <f>IF(P3291=0,0,IFERROR(Q3290+G3291*M3291*IF(E3291="FUTURE",VLOOKUP(MID(I3291,2,2),[1]Futures!$A$2:$B$12,2),1),G3291*M3291*IF(E3291="FUTURE",VLOOKUP(MID(I3291,2,2),[1]Futures!$A$2:$B$12,2),1)))</f>
        <v>-45410</v>
      </c>
      <c r="R3291" s="12">
        <f>IFERROR(Q3291/P3291/IF(E3291="FUTURE",VLOOKUP(MID(I3291,2,2),[1]Futures!$A$2:$B$12,2),1),"")</f>
        <v>45.41</v>
      </c>
      <c r="S3291" s="13" t="str">
        <f>IF(AND(H3291="TO CLOSE",P3291=0),-G3291*(M3291-R3290)*IF(E3291="FUTURE",VLOOKUP(MID(I3291,2,2),[1]Futures!$A$2:$B$12,2),1),"")</f>
        <v/>
      </c>
    </row>
    <row r="3292" spans="1:19" x14ac:dyDescent="0.2">
      <c r="A3292">
        <f t="shared" si="155"/>
        <v>1066</v>
      </c>
      <c r="B3292" s="3">
        <v>44159</v>
      </c>
      <c r="C3292" s="3" t="str">
        <f t="shared" si="154"/>
        <v>Tuesday</v>
      </c>
      <c r="D3292" s="2">
        <v>0.99061342592592594</v>
      </c>
      <c r="E3292" t="s">
        <v>14</v>
      </c>
      <c r="F3292" t="s">
        <v>19</v>
      </c>
      <c r="G3292">
        <v>1</v>
      </c>
      <c r="H3292" t="s">
        <v>16</v>
      </c>
      <c r="I3292" t="s">
        <v>88</v>
      </c>
      <c r="J3292" s="1">
        <v>43851</v>
      </c>
      <c r="L3292" t="s">
        <v>14</v>
      </c>
      <c r="M3292">
        <v>45.32</v>
      </c>
      <c r="N3292">
        <v>45.32</v>
      </c>
      <c r="O3292" t="s">
        <v>21</v>
      </c>
      <c r="P3292">
        <f t="shared" si="156"/>
        <v>0</v>
      </c>
      <c r="Q3292" s="11">
        <f>IF(P3292=0,0,IFERROR(Q3291+G3292*M3292*IF(E3292="FUTURE",VLOOKUP(MID(I3292,2,2),[1]Futures!$A$2:$B$12,2),1),G3292*M3292*IF(E3292="FUTURE",VLOOKUP(MID(I3292,2,2),[1]Futures!$A$2:$B$12,2),1)))</f>
        <v>0</v>
      </c>
      <c r="R3292" s="12" t="str">
        <f>IFERROR(Q3292/P3292/IF(E3292="FUTURE",VLOOKUP(MID(I3292,2,2),[1]Futures!$A$2:$B$12,2),1),"")</f>
        <v/>
      </c>
      <c r="S3292" s="13">
        <f>IF(AND(H3292="TO CLOSE",P3292=0),-G3292*(M3292-R3291)*IF(E3292="FUTURE",VLOOKUP(MID(I3292,2,2),[1]Futures!$A$2:$B$12,2),1),"")</f>
        <v>89.999999999996305</v>
      </c>
    </row>
    <row r="3293" spans="1:19" x14ac:dyDescent="0.2">
      <c r="A3293">
        <f t="shared" si="155"/>
        <v>1067</v>
      </c>
      <c r="B3293" s="3">
        <v>44159</v>
      </c>
      <c r="C3293" s="3" t="str">
        <f t="shared" si="154"/>
        <v>Tuesday</v>
      </c>
      <c r="D3293" s="2">
        <v>0.42476851851851855</v>
      </c>
      <c r="E3293" t="s">
        <v>14</v>
      </c>
      <c r="F3293" t="s">
        <v>15</v>
      </c>
      <c r="G3293">
        <v>-2</v>
      </c>
      <c r="H3293" t="s">
        <v>20</v>
      </c>
      <c r="I3293" t="s">
        <v>87</v>
      </c>
      <c r="J3293" s="1">
        <v>44185</v>
      </c>
      <c r="L3293" t="s">
        <v>14</v>
      </c>
      <c r="M3293">
        <v>3605.75</v>
      </c>
      <c r="N3293">
        <v>3605.75</v>
      </c>
      <c r="O3293" t="s">
        <v>21</v>
      </c>
      <c r="P3293">
        <f t="shared" si="156"/>
        <v>-2</v>
      </c>
      <c r="Q3293" s="11">
        <f>IF(P3293=0,0,IFERROR(Q3292+G3293*M3293*IF(E3293="FUTURE",VLOOKUP(MID(I3293,2,2),[1]Futures!$A$2:$B$12,2),1),G3293*M3293*IF(E3293="FUTURE",VLOOKUP(MID(I3293,2,2),[1]Futures!$A$2:$B$12,2),1)))</f>
        <v>-36057.5</v>
      </c>
      <c r="R3293" s="12">
        <f>IFERROR(Q3293/P3293/IF(E3293="FUTURE",VLOOKUP(MID(I3293,2,2),[1]Futures!$A$2:$B$12,2),1),"")</f>
        <v>3605.75</v>
      </c>
      <c r="S3293" s="13" t="str">
        <f>IF(AND(H3293="TO CLOSE",P3293=0),-G3293*(M3293-R3292)*IF(E3293="FUTURE",VLOOKUP(MID(I3293,2,2),[1]Futures!$A$2:$B$12,2),1),"")</f>
        <v/>
      </c>
    </row>
    <row r="3294" spans="1:19" x14ac:dyDescent="0.2">
      <c r="A3294">
        <f t="shared" si="155"/>
        <v>1067</v>
      </c>
      <c r="B3294" s="3">
        <v>44159</v>
      </c>
      <c r="C3294" s="3" t="str">
        <f t="shared" si="154"/>
        <v>Tuesday</v>
      </c>
      <c r="D3294" s="2">
        <v>0.43192129629629633</v>
      </c>
      <c r="E3294" t="s">
        <v>14</v>
      </c>
      <c r="F3294" t="s">
        <v>15</v>
      </c>
      <c r="G3294">
        <v>-1</v>
      </c>
      <c r="H3294" t="s">
        <v>20</v>
      </c>
      <c r="I3294" t="s">
        <v>87</v>
      </c>
      <c r="J3294" s="1">
        <v>44185</v>
      </c>
      <c r="L3294" t="s">
        <v>14</v>
      </c>
      <c r="M3294">
        <v>3608.75</v>
      </c>
      <c r="N3294">
        <v>3608.75</v>
      </c>
      <c r="O3294" t="s">
        <v>21</v>
      </c>
      <c r="P3294">
        <f t="shared" si="156"/>
        <v>-3</v>
      </c>
      <c r="Q3294" s="11">
        <f>IF(P3294=0,0,IFERROR(Q3293+G3294*M3294*IF(E3294="FUTURE",VLOOKUP(MID(I3294,2,2),[1]Futures!$A$2:$B$12,2),1),G3294*M3294*IF(E3294="FUTURE",VLOOKUP(MID(I3294,2,2),[1]Futures!$A$2:$B$12,2),1)))</f>
        <v>-54101.25</v>
      </c>
      <c r="R3294" s="12">
        <f>IFERROR(Q3294/P3294/IF(E3294="FUTURE",VLOOKUP(MID(I3294,2,2),[1]Futures!$A$2:$B$12,2),1),"")</f>
        <v>3606.75</v>
      </c>
      <c r="S3294" s="13" t="str">
        <f>IF(AND(H3294="TO CLOSE",P3294=0),-G3294*(M3294-R3293)*IF(E3294="FUTURE",VLOOKUP(MID(I3294,2,2),[1]Futures!$A$2:$B$12,2),1),"")</f>
        <v/>
      </c>
    </row>
    <row r="3295" spans="1:19" x14ac:dyDescent="0.2">
      <c r="A3295">
        <f t="shared" si="155"/>
        <v>1067</v>
      </c>
      <c r="B3295" s="3">
        <v>44159</v>
      </c>
      <c r="C3295" s="3" t="str">
        <f t="shared" si="154"/>
        <v>Tuesday</v>
      </c>
      <c r="D3295" s="2">
        <v>0.44546296296296295</v>
      </c>
      <c r="E3295" t="s">
        <v>14</v>
      </c>
      <c r="F3295" t="s">
        <v>15</v>
      </c>
      <c r="G3295">
        <v>-1</v>
      </c>
      <c r="H3295" t="s">
        <v>20</v>
      </c>
      <c r="I3295" t="s">
        <v>87</v>
      </c>
      <c r="J3295" s="1">
        <v>44185</v>
      </c>
      <c r="L3295" t="s">
        <v>14</v>
      </c>
      <c r="M3295">
        <v>3612.75</v>
      </c>
      <c r="N3295">
        <v>3612.75</v>
      </c>
      <c r="O3295" t="s">
        <v>21</v>
      </c>
      <c r="P3295">
        <f t="shared" si="156"/>
        <v>-4</v>
      </c>
      <c r="Q3295" s="11">
        <f>IF(P3295=0,0,IFERROR(Q3294+G3295*M3295*IF(E3295="FUTURE",VLOOKUP(MID(I3295,2,2),[1]Futures!$A$2:$B$12,2),1),G3295*M3295*IF(E3295="FUTURE",VLOOKUP(MID(I3295,2,2),[1]Futures!$A$2:$B$12,2),1)))</f>
        <v>-72165</v>
      </c>
      <c r="R3295" s="12">
        <f>IFERROR(Q3295/P3295/IF(E3295="FUTURE",VLOOKUP(MID(I3295,2,2),[1]Futures!$A$2:$B$12,2),1),"")</f>
        <v>3608.25</v>
      </c>
      <c r="S3295" s="13" t="str">
        <f>IF(AND(H3295="TO CLOSE",P3295=0),-G3295*(M3295-R3294)*IF(E3295="FUTURE",VLOOKUP(MID(I3295,2,2),[1]Futures!$A$2:$B$12,2),1),"")</f>
        <v/>
      </c>
    </row>
    <row r="3296" spans="1:19" x14ac:dyDescent="0.2">
      <c r="A3296">
        <f t="shared" si="155"/>
        <v>1067</v>
      </c>
      <c r="B3296" s="3">
        <v>44159</v>
      </c>
      <c r="C3296" s="3" t="str">
        <f t="shared" si="154"/>
        <v>Tuesday</v>
      </c>
      <c r="D3296" s="2">
        <v>0.68947916666666664</v>
      </c>
      <c r="E3296" t="s">
        <v>14</v>
      </c>
      <c r="F3296" t="s">
        <v>15</v>
      </c>
      <c r="G3296">
        <v>-1</v>
      </c>
      <c r="H3296" t="s">
        <v>20</v>
      </c>
      <c r="I3296" t="s">
        <v>87</v>
      </c>
      <c r="J3296" s="1">
        <v>44185</v>
      </c>
      <c r="L3296" t="s">
        <v>14</v>
      </c>
      <c r="M3296">
        <v>3635</v>
      </c>
      <c r="N3296">
        <v>3635</v>
      </c>
      <c r="O3296" t="s">
        <v>21</v>
      </c>
      <c r="P3296">
        <f t="shared" si="156"/>
        <v>-5</v>
      </c>
      <c r="Q3296" s="11">
        <f>IF(P3296=0,0,IFERROR(Q3295+G3296*M3296*IF(E3296="FUTURE",VLOOKUP(MID(I3296,2,2),[1]Futures!$A$2:$B$12,2),1),G3296*M3296*IF(E3296="FUTURE",VLOOKUP(MID(I3296,2,2),[1]Futures!$A$2:$B$12,2),1)))</f>
        <v>-90340</v>
      </c>
      <c r="R3296" s="12">
        <f>IFERROR(Q3296/P3296/IF(E3296="FUTURE",VLOOKUP(MID(I3296,2,2),[1]Futures!$A$2:$B$12,2),1),"")</f>
        <v>3613.6</v>
      </c>
      <c r="S3296" s="13" t="str">
        <f>IF(AND(H3296="TO CLOSE",P3296=0),-G3296*(M3296-R3295)*IF(E3296="FUTURE",VLOOKUP(MID(I3296,2,2),[1]Futures!$A$2:$B$12,2),1),"")</f>
        <v/>
      </c>
    </row>
    <row r="3297" spans="1:19" x14ac:dyDescent="0.2">
      <c r="A3297">
        <f t="shared" si="155"/>
        <v>1067</v>
      </c>
      <c r="B3297" s="3">
        <v>44159</v>
      </c>
      <c r="C3297" s="3" t="str">
        <f t="shared" si="154"/>
        <v>Tuesday</v>
      </c>
      <c r="D3297" s="2">
        <v>0.83707175925925925</v>
      </c>
      <c r="E3297" t="s">
        <v>14</v>
      </c>
      <c r="F3297" t="s">
        <v>15</v>
      </c>
      <c r="G3297">
        <v>-1</v>
      </c>
      <c r="H3297" t="s">
        <v>20</v>
      </c>
      <c r="I3297" t="s">
        <v>87</v>
      </c>
      <c r="J3297" s="1">
        <v>44185</v>
      </c>
      <c r="L3297" t="s">
        <v>14</v>
      </c>
      <c r="M3297">
        <v>3649</v>
      </c>
      <c r="N3297">
        <v>3649</v>
      </c>
      <c r="O3297" t="s">
        <v>21</v>
      </c>
      <c r="P3297">
        <f t="shared" si="156"/>
        <v>-6</v>
      </c>
      <c r="Q3297" s="11">
        <f>IF(P3297=0,0,IFERROR(Q3296+G3297*M3297*IF(E3297="FUTURE",VLOOKUP(MID(I3297,2,2),[1]Futures!$A$2:$B$12,2),1),G3297*M3297*IF(E3297="FUTURE",VLOOKUP(MID(I3297,2,2),[1]Futures!$A$2:$B$12,2),1)))</f>
        <v>-108585</v>
      </c>
      <c r="R3297" s="12">
        <f>IFERROR(Q3297/P3297/IF(E3297="FUTURE",VLOOKUP(MID(I3297,2,2),[1]Futures!$A$2:$B$12,2),1),"")</f>
        <v>3619.5</v>
      </c>
      <c r="S3297" s="13" t="str">
        <f>IF(AND(H3297="TO CLOSE",P3297=0),-G3297*(M3297-R3296)*IF(E3297="FUTURE",VLOOKUP(MID(I3297,2,2),[1]Futures!$A$2:$B$12,2),1),"")</f>
        <v/>
      </c>
    </row>
    <row r="3298" spans="1:19" x14ac:dyDescent="0.2">
      <c r="A3298">
        <f t="shared" si="155"/>
        <v>1067</v>
      </c>
      <c r="B3298" s="3">
        <v>44159</v>
      </c>
      <c r="C3298" s="3" t="str">
        <f t="shared" ref="C3298:C3361" si="157">IF(WEEKDAY(B3298,2)=1,"Monday",IF(WEEKDAY(B3298,2)=2,"Tuesday",IF(WEEKDAY(B3298,2)=3,"Wednesday",IF(WEEKDAY(B3298,2)=4,"Thursday",IF(WEEKDAY(B3298,2)=5,"Friday","Sunday")))))</f>
        <v>Tuesday</v>
      </c>
      <c r="D3298" s="2">
        <v>0.94627314814814811</v>
      </c>
      <c r="E3298" t="s">
        <v>14</v>
      </c>
      <c r="F3298" t="s">
        <v>19</v>
      </c>
      <c r="G3298">
        <v>1</v>
      </c>
      <c r="H3298" t="s">
        <v>16</v>
      </c>
      <c r="I3298" t="s">
        <v>87</v>
      </c>
      <c r="J3298" s="1">
        <v>44185</v>
      </c>
      <c r="L3298" t="s">
        <v>14</v>
      </c>
      <c r="M3298">
        <v>3639.5</v>
      </c>
      <c r="N3298">
        <v>3639.5</v>
      </c>
      <c r="O3298" t="s">
        <v>21</v>
      </c>
      <c r="P3298">
        <f t="shared" si="156"/>
        <v>-5</v>
      </c>
      <c r="Q3298" s="11">
        <f>IF(P3298=0,0,IFERROR(Q3297+G3298*M3298*IF(E3298="FUTURE",VLOOKUP(MID(I3298,2,2),[1]Futures!$A$2:$B$12,2),1),G3298*M3298*IF(E3298="FUTURE",VLOOKUP(MID(I3298,2,2),[1]Futures!$A$2:$B$12,2),1)))</f>
        <v>-90387.5</v>
      </c>
      <c r="R3298" s="12">
        <f>IFERROR(Q3298/P3298/IF(E3298="FUTURE",VLOOKUP(MID(I3298,2,2),[1]Futures!$A$2:$B$12,2),1),"")</f>
        <v>3615.5</v>
      </c>
      <c r="S3298" s="13" t="str">
        <f>IF(AND(H3298="TO CLOSE",P3298=0),-G3298*(M3298-R3297)*IF(E3298="FUTURE",VLOOKUP(MID(I3298,2,2),[1]Futures!$A$2:$B$12,2),1),"")</f>
        <v/>
      </c>
    </row>
    <row r="3299" spans="1:19" x14ac:dyDescent="0.2">
      <c r="A3299">
        <f t="shared" si="155"/>
        <v>1067</v>
      </c>
      <c r="B3299" s="3">
        <v>44160</v>
      </c>
      <c r="C3299" s="3" t="str">
        <f t="shared" si="157"/>
        <v>Wednesday</v>
      </c>
      <c r="D3299" s="2">
        <v>1.4247685185185184E-2</v>
      </c>
      <c r="E3299" t="s">
        <v>14</v>
      </c>
      <c r="F3299" t="s">
        <v>19</v>
      </c>
      <c r="G3299">
        <v>1</v>
      </c>
      <c r="H3299" t="s">
        <v>16</v>
      </c>
      <c r="I3299" t="s">
        <v>87</v>
      </c>
      <c r="J3299" s="1">
        <v>44185</v>
      </c>
      <c r="L3299" t="s">
        <v>14</v>
      </c>
      <c r="M3299">
        <v>3635</v>
      </c>
      <c r="N3299">
        <v>3635</v>
      </c>
      <c r="O3299" t="s">
        <v>21</v>
      </c>
      <c r="P3299">
        <f t="shared" si="156"/>
        <v>-4</v>
      </c>
      <c r="Q3299" s="11">
        <f>IF(P3299=0,0,IFERROR(Q3298+G3299*M3299*IF(E3299="FUTURE",VLOOKUP(MID(I3299,2,2),[1]Futures!$A$2:$B$12,2),1),G3299*M3299*IF(E3299="FUTURE",VLOOKUP(MID(I3299,2,2),[1]Futures!$A$2:$B$12,2),1)))</f>
        <v>-72212.5</v>
      </c>
      <c r="R3299" s="12">
        <f>IFERROR(Q3299/P3299/IF(E3299="FUTURE",VLOOKUP(MID(I3299,2,2),[1]Futures!$A$2:$B$12,2),1),"")</f>
        <v>3610.625</v>
      </c>
      <c r="S3299" s="13" t="str">
        <f>IF(AND(H3299="TO CLOSE",P3299=0),-G3299*(M3299-R3298)*IF(E3299="FUTURE",VLOOKUP(MID(I3299,2,2),[1]Futures!$A$2:$B$12,2),1),"")</f>
        <v/>
      </c>
    </row>
    <row r="3300" spans="1:19" x14ac:dyDescent="0.2">
      <c r="A3300">
        <f t="shared" si="155"/>
        <v>1067</v>
      </c>
      <c r="B3300" s="3">
        <v>44160</v>
      </c>
      <c r="C3300" s="3" t="str">
        <f t="shared" si="157"/>
        <v>Wednesday</v>
      </c>
      <c r="D3300" s="2">
        <v>2.056712962962963E-2</v>
      </c>
      <c r="E3300" t="s">
        <v>14</v>
      </c>
      <c r="F3300" t="s">
        <v>19</v>
      </c>
      <c r="G3300">
        <v>2</v>
      </c>
      <c r="H3300" t="s">
        <v>16</v>
      </c>
      <c r="I3300" t="s">
        <v>87</v>
      </c>
      <c r="J3300" s="1">
        <v>44185</v>
      </c>
      <c r="L3300" t="s">
        <v>14</v>
      </c>
      <c r="M3300">
        <v>3636.25</v>
      </c>
      <c r="N3300">
        <v>3636.25</v>
      </c>
      <c r="O3300" t="s">
        <v>21</v>
      </c>
      <c r="P3300">
        <f t="shared" si="156"/>
        <v>-2</v>
      </c>
      <c r="Q3300" s="11">
        <f>IF(P3300=0,0,IFERROR(Q3299+G3300*M3300*IF(E3300="FUTURE",VLOOKUP(MID(I3300,2,2),[1]Futures!$A$2:$B$12,2),1),G3300*M3300*IF(E3300="FUTURE",VLOOKUP(MID(I3300,2,2),[1]Futures!$A$2:$B$12,2),1)))</f>
        <v>-35850</v>
      </c>
      <c r="R3300" s="12">
        <f>IFERROR(Q3300/P3300/IF(E3300="FUTURE",VLOOKUP(MID(I3300,2,2),[1]Futures!$A$2:$B$12,2),1),"")</f>
        <v>3585</v>
      </c>
      <c r="S3300" s="13" t="str">
        <f>IF(AND(H3300="TO CLOSE",P3300=0),-G3300*(M3300-R3299)*IF(E3300="FUTURE",VLOOKUP(MID(I3300,2,2),[1]Futures!$A$2:$B$12,2),1),"")</f>
        <v/>
      </c>
    </row>
    <row r="3301" spans="1:19" x14ac:dyDescent="0.2">
      <c r="A3301">
        <f t="shared" si="155"/>
        <v>1067</v>
      </c>
      <c r="B3301" s="3">
        <v>44160</v>
      </c>
      <c r="C3301" s="3" t="str">
        <f t="shared" si="157"/>
        <v>Wednesday</v>
      </c>
      <c r="D3301" s="2">
        <v>5.4444444444444441E-2</v>
      </c>
      <c r="E3301" t="s">
        <v>14</v>
      </c>
      <c r="F3301" t="s">
        <v>19</v>
      </c>
      <c r="G3301">
        <v>2</v>
      </c>
      <c r="H3301" t="s">
        <v>16</v>
      </c>
      <c r="I3301" t="s">
        <v>87</v>
      </c>
      <c r="J3301" s="1">
        <v>44185</v>
      </c>
      <c r="L3301" t="s">
        <v>14</v>
      </c>
      <c r="M3301">
        <v>3634.5</v>
      </c>
      <c r="N3301">
        <v>3634.5</v>
      </c>
      <c r="O3301" t="s">
        <v>21</v>
      </c>
      <c r="P3301">
        <f t="shared" si="156"/>
        <v>0</v>
      </c>
      <c r="Q3301" s="11">
        <f>IF(P3301=0,0,IFERROR(Q3300+G3301*M3301*IF(E3301="FUTURE",VLOOKUP(MID(I3301,2,2),[1]Futures!$A$2:$B$12,2),1),G3301*M3301*IF(E3301="FUTURE",VLOOKUP(MID(I3301,2,2),[1]Futures!$A$2:$B$12,2),1)))</f>
        <v>0</v>
      </c>
      <c r="R3301" s="12" t="str">
        <f>IFERROR(Q3301/P3301/IF(E3301="FUTURE",VLOOKUP(MID(I3301,2,2),[1]Futures!$A$2:$B$12,2),1),"")</f>
        <v/>
      </c>
      <c r="S3301" s="13">
        <f>IF(AND(H3301="TO CLOSE",P3301=0),-G3301*(M3301-R3300)*IF(E3301="FUTURE",VLOOKUP(MID(I3301,2,2),[1]Futures!$A$2:$B$12,2),1),"")</f>
        <v>-495</v>
      </c>
    </row>
    <row r="3302" spans="1:19" x14ac:dyDescent="0.2">
      <c r="A3302">
        <f t="shared" si="155"/>
        <v>1068</v>
      </c>
      <c r="B3302" s="3">
        <v>44160</v>
      </c>
      <c r="C3302" s="3" t="str">
        <f t="shared" si="157"/>
        <v>Wednesday</v>
      </c>
      <c r="D3302" s="2">
        <v>0.40069444444444446</v>
      </c>
      <c r="E3302" t="s">
        <v>14</v>
      </c>
      <c r="F3302" t="s">
        <v>15</v>
      </c>
      <c r="G3302">
        <v>-1</v>
      </c>
      <c r="H3302" t="s">
        <v>20</v>
      </c>
      <c r="I3302" t="s">
        <v>88</v>
      </c>
      <c r="J3302" s="1">
        <v>43851</v>
      </c>
      <c r="L3302" t="s">
        <v>14</v>
      </c>
      <c r="M3302">
        <v>45.48</v>
      </c>
      <c r="N3302">
        <v>45.48</v>
      </c>
      <c r="O3302" t="s">
        <v>21</v>
      </c>
      <c r="P3302">
        <f t="shared" si="156"/>
        <v>-1</v>
      </c>
      <c r="Q3302" s="11">
        <f>IF(P3302=0,0,IFERROR(Q3301+G3302*M3302*IF(E3302="FUTURE",VLOOKUP(MID(I3302,2,2),[1]Futures!$A$2:$B$12,2),1),G3302*M3302*IF(E3302="FUTURE",VLOOKUP(MID(I3302,2,2),[1]Futures!$A$2:$B$12,2),1)))</f>
        <v>-45480</v>
      </c>
      <c r="R3302" s="12">
        <f>IFERROR(Q3302/P3302/IF(E3302="FUTURE",VLOOKUP(MID(I3302,2,2),[1]Futures!$A$2:$B$12,2),1),"")</f>
        <v>45.48</v>
      </c>
      <c r="S3302" s="13" t="str">
        <f>IF(AND(H3302="TO CLOSE",P3302=0),-G3302*(M3302-R3301)*IF(E3302="FUTURE",VLOOKUP(MID(I3302,2,2),[1]Futures!$A$2:$B$12,2),1),"")</f>
        <v/>
      </c>
    </row>
    <row r="3303" spans="1:19" x14ac:dyDescent="0.2">
      <c r="A3303">
        <f t="shared" si="155"/>
        <v>1068</v>
      </c>
      <c r="B3303" s="3">
        <v>44160</v>
      </c>
      <c r="C3303" s="3" t="str">
        <f t="shared" si="157"/>
        <v>Wednesday</v>
      </c>
      <c r="D3303" s="2">
        <v>0.40321759259259254</v>
      </c>
      <c r="E3303" t="s">
        <v>14</v>
      </c>
      <c r="F3303" t="s">
        <v>19</v>
      </c>
      <c r="G3303">
        <v>1</v>
      </c>
      <c r="H3303" t="s">
        <v>16</v>
      </c>
      <c r="I3303" t="s">
        <v>88</v>
      </c>
      <c r="J3303" s="1">
        <v>43851</v>
      </c>
      <c r="L3303" t="s">
        <v>14</v>
      </c>
      <c r="M3303">
        <v>45.37</v>
      </c>
      <c r="N3303">
        <v>45.37</v>
      </c>
      <c r="O3303" t="s">
        <v>21</v>
      </c>
      <c r="P3303">
        <f t="shared" si="156"/>
        <v>0</v>
      </c>
      <c r="Q3303" s="11">
        <f>IF(P3303=0,0,IFERROR(Q3302+G3303*M3303*IF(E3303="FUTURE",VLOOKUP(MID(I3303,2,2),[1]Futures!$A$2:$B$12,2),1),G3303*M3303*IF(E3303="FUTURE",VLOOKUP(MID(I3303,2,2),[1]Futures!$A$2:$B$12,2),1)))</f>
        <v>0</v>
      </c>
      <c r="R3303" s="12" t="str">
        <f>IFERROR(Q3303/P3303/IF(E3303="FUTURE",VLOOKUP(MID(I3303,2,2),[1]Futures!$A$2:$B$12,2),1),"")</f>
        <v/>
      </c>
      <c r="S3303" s="13">
        <f>IF(AND(H3303="TO CLOSE",P3303=0),-G3303*(M3303-R3302)*IF(E3303="FUTURE",VLOOKUP(MID(I3303,2,2),[1]Futures!$A$2:$B$12,2),1),"")</f>
        <v>109.99999999999943</v>
      </c>
    </row>
    <row r="3304" spans="1:19" x14ac:dyDescent="0.2">
      <c r="A3304">
        <f t="shared" si="155"/>
        <v>1069</v>
      </c>
      <c r="B3304" s="3">
        <v>44160</v>
      </c>
      <c r="C3304" s="3" t="str">
        <f t="shared" si="157"/>
        <v>Wednesday</v>
      </c>
      <c r="D3304" s="2">
        <v>0.43375000000000002</v>
      </c>
      <c r="E3304" t="s">
        <v>14</v>
      </c>
      <c r="F3304" t="s">
        <v>15</v>
      </c>
      <c r="G3304">
        <v>-1</v>
      </c>
      <c r="H3304" t="s">
        <v>20</v>
      </c>
      <c r="I3304" t="s">
        <v>88</v>
      </c>
      <c r="J3304" s="1">
        <v>43851</v>
      </c>
      <c r="L3304" t="s">
        <v>14</v>
      </c>
      <c r="M3304">
        <v>45.31</v>
      </c>
      <c r="N3304">
        <v>45.31</v>
      </c>
      <c r="O3304" t="s">
        <v>21</v>
      </c>
      <c r="P3304">
        <f t="shared" si="156"/>
        <v>-1</v>
      </c>
      <c r="Q3304" s="11">
        <f>IF(P3304=0,0,IFERROR(Q3303+G3304*M3304*IF(E3304="FUTURE",VLOOKUP(MID(I3304,2,2),[1]Futures!$A$2:$B$12,2),1),G3304*M3304*IF(E3304="FUTURE",VLOOKUP(MID(I3304,2,2),[1]Futures!$A$2:$B$12,2),1)))</f>
        <v>-45310</v>
      </c>
      <c r="R3304" s="12">
        <f>IFERROR(Q3304/P3304/IF(E3304="FUTURE",VLOOKUP(MID(I3304,2,2),[1]Futures!$A$2:$B$12,2),1),"")</f>
        <v>45.31</v>
      </c>
      <c r="S3304" s="13" t="str">
        <f>IF(AND(H3304="TO CLOSE",P3304=0),-G3304*(M3304-R3303)*IF(E3304="FUTURE",VLOOKUP(MID(I3304,2,2),[1]Futures!$A$2:$B$12,2),1),"")</f>
        <v/>
      </c>
    </row>
    <row r="3305" spans="1:19" x14ac:dyDescent="0.2">
      <c r="A3305">
        <f t="shared" si="155"/>
        <v>1069</v>
      </c>
      <c r="B3305" s="3">
        <v>44160</v>
      </c>
      <c r="C3305" s="3" t="str">
        <f t="shared" si="157"/>
        <v>Wednesday</v>
      </c>
      <c r="D3305" s="2">
        <v>0.46151620370370372</v>
      </c>
      <c r="E3305" t="s">
        <v>14</v>
      </c>
      <c r="F3305" t="s">
        <v>19</v>
      </c>
      <c r="G3305">
        <v>1</v>
      </c>
      <c r="H3305" t="s">
        <v>16</v>
      </c>
      <c r="I3305" t="s">
        <v>88</v>
      </c>
      <c r="J3305" s="1">
        <v>43851</v>
      </c>
      <c r="L3305" t="s">
        <v>14</v>
      </c>
      <c r="M3305">
        <v>45.26</v>
      </c>
      <c r="N3305">
        <v>45.26</v>
      </c>
      <c r="O3305" t="s">
        <v>21</v>
      </c>
      <c r="P3305">
        <f t="shared" si="156"/>
        <v>0</v>
      </c>
      <c r="Q3305" s="11">
        <f>IF(P3305=0,0,IFERROR(Q3304+G3305*M3305*IF(E3305="FUTURE",VLOOKUP(MID(I3305,2,2),[1]Futures!$A$2:$B$12,2),1),G3305*M3305*IF(E3305="FUTURE",VLOOKUP(MID(I3305,2,2),[1]Futures!$A$2:$B$12,2),1)))</f>
        <v>0</v>
      </c>
      <c r="R3305" s="12" t="str">
        <f>IFERROR(Q3305/P3305/IF(E3305="FUTURE",VLOOKUP(MID(I3305,2,2),[1]Futures!$A$2:$B$12,2),1),"")</f>
        <v/>
      </c>
      <c r="S3305" s="13">
        <f>IF(AND(H3305="TO CLOSE",P3305=0),-G3305*(M3305-R3304)*IF(E3305="FUTURE",VLOOKUP(MID(I3305,2,2),[1]Futures!$A$2:$B$12,2),1),"")</f>
        <v>50.000000000004263</v>
      </c>
    </row>
    <row r="3306" spans="1:19" x14ac:dyDescent="0.2">
      <c r="A3306">
        <f t="shared" si="155"/>
        <v>1070</v>
      </c>
      <c r="B3306" s="3">
        <v>44160</v>
      </c>
      <c r="C3306" s="3" t="str">
        <f t="shared" si="157"/>
        <v>Wednesday</v>
      </c>
      <c r="D3306" s="2">
        <v>0.50550925925925927</v>
      </c>
      <c r="E3306" t="s">
        <v>14</v>
      </c>
      <c r="F3306" t="s">
        <v>15</v>
      </c>
      <c r="G3306">
        <v>-1</v>
      </c>
      <c r="H3306" t="s">
        <v>20</v>
      </c>
      <c r="I3306" t="s">
        <v>88</v>
      </c>
      <c r="J3306" s="1">
        <v>43851</v>
      </c>
      <c r="L3306" t="s">
        <v>14</v>
      </c>
      <c r="M3306">
        <v>45.55</v>
      </c>
      <c r="N3306">
        <v>45.55</v>
      </c>
      <c r="O3306" t="s">
        <v>21</v>
      </c>
      <c r="P3306">
        <f t="shared" si="156"/>
        <v>-1</v>
      </c>
      <c r="Q3306" s="11">
        <f>IF(P3306=0,0,IFERROR(Q3305+G3306*M3306*IF(E3306="FUTURE",VLOOKUP(MID(I3306,2,2),[1]Futures!$A$2:$B$12,2),1),G3306*M3306*IF(E3306="FUTURE",VLOOKUP(MID(I3306,2,2),[1]Futures!$A$2:$B$12,2),1)))</f>
        <v>-45550</v>
      </c>
      <c r="R3306" s="12">
        <f>IFERROR(Q3306/P3306/IF(E3306="FUTURE",VLOOKUP(MID(I3306,2,2),[1]Futures!$A$2:$B$12,2),1),"")</f>
        <v>45.55</v>
      </c>
      <c r="S3306" s="13" t="str">
        <f>IF(AND(H3306="TO CLOSE",P3306=0),-G3306*(M3306-R3305)*IF(E3306="FUTURE",VLOOKUP(MID(I3306,2,2),[1]Futures!$A$2:$B$12,2),1),"")</f>
        <v/>
      </c>
    </row>
    <row r="3307" spans="1:19" x14ac:dyDescent="0.2">
      <c r="A3307">
        <f t="shared" si="155"/>
        <v>1070</v>
      </c>
      <c r="B3307" s="3">
        <v>44160</v>
      </c>
      <c r="C3307" s="3" t="str">
        <f t="shared" si="157"/>
        <v>Wednesday</v>
      </c>
      <c r="D3307" s="2">
        <v>0.520625</v>
      </c>
      <c r="E3307" t="s">
        <v>14</v>
      </c>
      <c r="F3307" t="s">
        <v>15</v>
      </c>
      <c r="G3307">
        <v>-1</v>
      </c>
      <c r="H3307" t="s">
        <v>20</v>
      </c>
      <c r="I3307" t="s">
        <v>88</v>
      </c>
      <c r="J3307" s="1">
        <v>43851</v>
      </c>
      <c r="L3307" t="s">
        <v>14</v>
      </c>
      <c r="M3307">
        <v>45.65</v>
      </c>
      <c r="N3307">
        <v>45.65</v>
      </c>
      <c r="O3307" t="s">
        <v>21</v>
      </c>
      <c r="P3307">
        <f t="shared" si="156"/>
        <v>-2</v>
      </c>
      <c r="Q3307" s="11">
        <f>IF(P3307=0,0,IFERROR(Q3306+G3307*M3307*IF(E3307="FUTURE",VLOOKUP(MID(I3307,2,2),[1]Futures!$A$2:$B$12,2),1),G3307*M3307*IF(E3307="FUTURE",VLOOKUP(MID(I3307,2,2),[1]Futures!$A$2:$B$12,2),1)))</f>
        <v>-91200</v>
      </c>
      <c r="R3307" s="12">
        <f>IFERROR(Q3307/P3307/IF(E3307="FUTURE",VLOOKUP(MID(I3307,2,2),[1]Futures!$A$2:$B$12,2),1),"")</f>
        <v>45.6</v>
      </c>
      <c r="S3307" s="13" t="str">
        <f>IF(AND(H3307="TO CLOSE",P3307=0),-G3307*(M3307-R3306)*IF(E3307="FUTURE",VLOOKUP(MID(I3307,2,2),[1]Futures!$A$2:$B$12,2),1),"")</f>
        <v/>
      </c>
    </row>
    <row r="3308" spans="1:19" x14ac:dyDescent="0.2">
      <c r="A3308">
        <f t="shared" si="155"/>
        <v>1070</v>
      </c>
      <c r="B3308" s="3">
        <v>44160</v>
      </c>
      <c r="C3308" s="3" t="str">
        <f t="shared" si="157"/>
        <v>Wednesday</v>
      </c>
      <c r="D3308" s="2">
        <v>0.60182870370370367</v>
      </c>
      <c r="E3308" t="s">
        <v>14</v>
      </c>
      <c r="F3308" t="s">
        <v>19</v>
      </c>
      <c r="G3308">
        <v>1</v>
      </c>
      <c r="H3308" t="s">
        <v>16</v>
      </c>
      <c r="I3308" t="s">
        <v>88</v>
      </c>
      <c r="J3308" s="1">
        <v>43851</v>
      </c>
      <c r="L3308" t="s">
        <v>14</v>
      </c>
      <c r="M3308">
        <v>45.6</v>
      </c>
      <c r="N3308">
        <v>45.6</v>
      </c>
      <c r="O3308" t="s">
        <v>21</v>
      </c>
      <c r="P3308">
        <f t="shared" si="156"/>
        <v>-1</v>
      </c>
      <c r="Q3308" s="11">
        <f>IF(P3308=0,0,IFERROR(Q3307+G3308*M3308*IF(E3308="FUTURE",VLOOKUP(MID(I3308,2,2),[1]Futures!$A$2:$B$12,2),1),G3308*M3308*IF(E3308="FUTURE",VLOOKUP(MID(I3308,2,2),[1]Futures!$A$2:$B$12,2),1)))</f>
        <v>-45600</v>
      </c>
      <c r="R3308" s="12">
        <f>IFERROR(Q3308/P3308/IF(E3308="FUTURE",VLOOKUP(MID(I3308,2,2),[1]Futures!$A$2:$B$12,2),1),"")</f>
        <v>45.6</v>
      </c>
      <c r="S3308" s="13" t="str">
        <f>IF(AND(H3308="TO CLOSE",P3308=0),-G3308*(M3308-R3307)*IF(E3308="FUTURE",VLOOKUP(MID(I3308,2,2),[1]Futures!$A$2:$B$12,2),1),"")</f>
        <v/>
      </c>
    </row>
    <row r="3309" spans="1:19" x14ac:dyDescent="0.2">
      <c r="A3309">
        <f t="shared" si="155"/>
        <v>1070</v>
      </c>
      <c r="B3309" s="3">
        <v>44160</v>
      </c>
      <c r="C3309" s="3" t="str">
        <f t="shared" si="157"/>
        <v>Wednesday</v>
      </c>
      <c r="D3309" s="2">
        <v>0.61082175925925919</v>
      </c>
      <c r="E3309" t="s">
        <v>14</v>
      </c>
      <c r="F3309" t="s">
        <v>19</v>
      </c>
      <c r="G3309">
        <v>1</v>
      </c>
      <c r="H3309" t="s">
        <v>16</v>
      </c>
      <c r="I3309" t="s">
        <v>88</v>
      </c>
      <c r="J3309" s="1">
        <v>43851</v>
      </c>
      <c r="L3309" t="s">
        <v>14</v>
      </c>
      <c r="M3309">
        <v>45.57</v>
      </c>
      <c r="N3309">
        <v>45.57</v>
      </c>
      <c r="O3309" t="s">
        <v>21</v>
      </c>
      <c r="P3309">
        <f t="shared" si="156"/>
        <v>0</v>
      </c>
      <c r="Q3309" s="11">
        <f>IF(P3309=0,0,IFERROR(Q3308+G3309*M3309*IF(E3309="FUTURE",VLOOKUP(MID(I3309,2,2),[1]Futures!$A$2:$B$12,2),1),G3309*M3309*IF(E3309="FUTURE",VLOOKUP(MID(I3309,2,2),[1]Futures!$A$2:$B$12,2),1)))</f>
        <v>0</v>
      </c>
      <c r="R3309" s="12" t="str">
        <f>IFERROR(Q3309/P3309/IF(E3309="FUTURE",VLOOKUP(MID(I3309,2,2),[1]Futures!$A$2:$B$12,2),1),"")</f>
        <v/>
      </c>
      <c r="S3309" s="13">
        <f>IF(AND(H3309="TO CLOSE",P3309=0),-G3309*(M3309-R3308)*IF(E3309="FUTURE",VLOOKUP(MID(I3309,2,2),[1]Futures!$A$2:$B$12,2),1),"")</f>
        <v>30.000000000001137</v>
      </c>
    </row>
    <row r="3310" spans="1:19" x14ac:dyDescent="0.2">
      <c r="A3310">
        <f t="shared" si="155"/>
        <v>1071</v>
      </c>
      <c r="B3310" s="3">
        <v>44165</v>
      </c>
      <c r="C3310" s="3" t="str">
        <f t="shared" si="157"/>
        <v>Monday</v>
      </c>
      <c r="D3310" s="2">
        <v>0.37527777777777777</v>
      </c>
      <c r="E3310" t="s">
        <v>14</v>
      </c>
      <c r="F3310" t="s">
        <v>15</v>
      </c>
      <c r="G3310">
        <v>-1</v>
      </c>
      <c r="H3310" t="s">
        <v>20</v>
      </c>
      <c r="I3310" t="s">
        <v>88</v>
      </c>
      <c r="J3310" s="1">
        <v>43851</v>
      </c>
      <c r="L3310" t="s">
        <v>14</v>
      </c>
      <c r="M3310">
        <v>45.61</v>
      </c>
      <c r="N3310">
        <v>45.61</v>
      </c>
      <c r="O3310" t="s">
        <v>24</v>
      </c>
      <c r="P3310">
        <f t="shared" si="156"/>
        <v>-1</v>
      </c>
      <c r="Q3310" s="11">
        <f>IF(P3310=0,0,IFERROR(Q3309+G3310*M3310*IF(E3310="FUTURE",VLOOKUP(MID(I3310,2,2),[1]Futures!$A$2:$B$12,2),1),G3310*M3310*IF(E3310="FUTURE",VLOOKUP(MID(I3310,2,2),[1]Futures!$A$2:$B$12,2),1)))</f>
        <v>-45610</v>
      </c>
      <c r="R3310" s="12">
        <f>IFERROR(Q3310/P3310/IF(E3310="FUTURE",VLOOKUP(MID(I3310,2,2),[1]Futures!$A$2:$B$12,2),1),"")</f>
        <v>45.61</v>
      </c>
      <c r="S3310" s="13" t="str">
        <f>IF(AND(H3310="TO CLOSE",P3310=0),-G3310*(M3310-R3309)*IF(E3310="FUTURE",VLOOKUP(MID(I3310,2,2),[1]Futures!$A$2:$B$12,2),1),"")</f>
        <v/>
      </c>
    </row>
    <row r="3311" spans="1:19" x14ac:dyDescent="0.2">
      <c r="A3311">
        <f t="shared" si="155"/>
        <v>1071</v>
      </c>
      <c r="B3311" s="3">
        <v>44165</v>
      </c>
      <c r="C3311" s="3" t="str">
        <f t="shared" si="157"/>
        <v>Monday</v>
      </c>
      <c r="D3311" s="2">
        <v>0.38818287037037041</v>
      </c>
      <c r="E3311" t="s">
        <v>14</v>
      </c>
      <c r="F3311" t="s">
        <v>19</v>
      </c>
      <c r="G3311">
        <v>1</v>
      </c>
      <c r="H3311" t="s">
        <v>16</v>
      </c>
      <c r="I3311" t="s">
        <v>88</v>
      </c>
      <c r="J3311" s="1">
        <v>43851</v>
      </c>
      <c r="L3311" t="s">
        <v>14</v>
      </c>
      <c r="M3311">
        <v>45.47</v>
      </c>
      <c r="N3311">
        <v>45.47</v>
      </c>
      <c r="O3311" t="s">
        <v>21</v>
      </c>
      <c r="P3311">
        <f t="shared" si="156"/>
        <v>0</v>
      </c>
      <c r="Q3311" s="11">
        <f>IF(P3311=0,0,IFERROR(Q3310+G3311*M3311*IF(E3311="FUTURE",VLOOKUP(MID(I3311,2,2),[1]Futures!$A$2:$B$12,2),1),G3311*M3311*IF(E3311="FUTURE",VLOOKUP(MID(I3311,2,2),[1]Futures!$A$2:$B$12,2),1)))</f>
        <v>0</v>
      </c>
      <c r="R3311" s="12" t="str">
        <f>IFERROR(Q3311/P3311/IF(E3311="FUTURE",VLOOKUP(MID(I3311,2,2),[1]Futures!$A$2:$B$12,2),1),"")</f>
        <v/>
      </c>
      <c r="S3311" s="13">
        <f>IF(AND(H3311="TO CLOSE",P3311=0),-G3311*(M3311-R3310)*IF(E3311="FUTURE",VLOOKUP(MID(I3311,2,2),[1]Futures!$A$2:$B$12,2),1),"")</f>
        <v>140.00000000000057</v>
      </c>
    </row>
    <row r="3312" spans="1:19" x14ac:dyDescent="0.2">
      <c r="A3312">
        <f t="shared" si="155"/>
        <v>1072</v>
      </c>
      <c r="B3312" s="3">
        <v>44165</v>
      </c>
      <c r="C3312" s="3" t="str">
        <f t="shared" si="157"/>
        <v>Monday</v>
      </c>
      <c r="D3312" s="2">
        <v>0.41334490740740742</v>
      </c>
      <c r="E3312" t="s">
        <v>14</v>
      </c>
      <c r="F3312" t="s">
        <v>19</v>
      </c>
      <c r="G3312">
        <v>1</v>
      </c>
      <c r="H3312" t="s">
        <v>20</v>
      </c>
      <c r="I3312" t="s">
        <v>88</v>
      </c>
      <c r="J3312" s="1">
        <v>43851</v>
      </c>
      <c r="L3312" t="s">
        <v>14</v>
      </c>
      <c r="M3312">
        <v>45.31</v>
      </c>
      <c r="N3312">
        <v>45.31</v>
      </c>
      <c r="O3312" t="s">
        <v>24</v>
      </c>
      <c r="P3312">
        <f t="shared" si="156"/>
        <v>1</v>
      </c>
      <c r="Q3312" s="11">
        <f>IF(P3312=0,0,IFERROR(Q3311+G3312*M3312*IF(E3312="FUTURE",VLOOKUP(MID(I3312,2,2),[1]Futures!$A$2:$B$12,2),1),G3312*M3312*IF(E3312="FUTURE",VLOOKUP(MID(I3312,2,2),[1]Futures!$A$2:$B$12,2),1)))</f>
        <v>45310</v>
      </c>
      <c r="R3312" s="12">
        <f>IFERROR(Q3312/P3312/IF(E3312="FUTURE",VLOOKUP(MID(I3312,2,2),[1]Futures!$A$2:$B$12,2),1),"")</f>
        <v>45.31</v>
      </c>
      <c r="S3312" s="13" t="str">
        <f>IF(AND(H3312="TO CLOSE",P3312=0),-G3312*(M3312-R3311)*IF(E3312="FUTURE",VLOOKUP(MID(I3312,2,2),[1]Futures!$A$2:$B$12,2),1),"")</f>
        <v/>
      </c>
    </row>
    <row r="3313" spans="1:19" x14ac:dyDescent="0.2">
      <c r="A3313">
        <f t="shared" si="155"/>
        <v>1072</v>
      </c>
      <c r="B3313" s="3">
        <v>44165</v>
      </c>
      <c r="C3313" s="3" t="str">
        <f t="shared" si="157"/>
        <v>Monday</v>
      </c>
      <c r="D3313" s="2">
        <v>0.43688657407407411</v>
      </c>
      <c r="E3313" t="s">
        <v>14</v>
      </c>
      <c r="F3313" t="s">
        <v>19</v>
      </c>
      <c r="G3313">
        <v>1</v>
      </c>
      <c r="H3313" t="s">
        <v>20</v>
      </c>
      <c r="I3313" t="s">
        <v>88</v>
      </c>
      <c r="J3313" s="1">
        <v>43851</v>
      </c>
      <c r="L3313" t="s">
        <v>14</v>
      </c>
      <c r="M3313">
        <v>45.11</v>
      </c>
      <c r="N3313">
        <v>45.11</v>
      </c>
      <c r="O3313" t="s">
        <v>21</v>
      </c>
      <c r="P3313">
        <f t="shared" si="156"/>
        <v>2</v>
      </c>
      <c r="Q3313" s="11">
        <f>IF(P3313=0,0,IFERROR(Q3312+G3313*M3313*IF(E3313="FUTURE",VLOOKUP(MID(I3313,2,2),[1]Futures!$A$2:$B$12,2),1),G3313*M3313*IF(E3313="FUTURE",VLOOKUP(MID(I3313,2,2),[1]Futures!$A$2:$B$12,2),1)))</f>
        <v>90420</v>
      </c>
      <c r="R3313" s="12">
        <f>IFERROR(Q3313/P3313/IF(E3313="FUTURE",VLOOKUP(MID(I3313,2,2),[1]Futures!$A$2:$B$12,2),1),"")</f>
        <v>45.21</v>
      </c>
      <c r="S3313" s="13" t="str">
        <f>IF(AND(H3313="TO CLOSE",P3313=0),-G3313*(M3313-R3312)*IF(E3313="FUTURE",VLOOKUP(MID(I3313,2,2),[1]Futures!$A$2:$B$12,2),1),"")</f>
        <v/>
      </c>
    </row>
    <row r="3314" spans="1:19" x14ac:dyDescent="0.2">
      <c r="A3314">
        <f t="shared" si="155"/>
        <v>1072</v>
      </c>
      <c r="B3314" s="3">
        <v>44165</v>
      </c>
      <c r="C3314" s="3" t="str">
        <f t="shared" si="157"/>
        <v>Monday</v>
      </c>
      <c r="D3314" s="2">
        <v>0.46864583333333337</v>
      </c>
      <c r="E3314" t="s">
        <v>14</v>
      </c>
      <c r="F3314" t="s">
        <v>15</v>
      </c>
      <c r="G3314">
        <v>-1</v>
      </c>
      <c r="H3314" t="s">
        <v>16</v>
      </c>
      <c r="I3314" t="s">
        <v>88</v>
      </c>
      <c r="J3314" s="1">
        <v>43851</v>
      </c>
      <c r="L3314" t="s">
        <v>14</v>
      </c>
      <c r="M3314">
        <v>45.22</v>
      </c>
      <c r="N3314">
        <v>45.22</v>
      </c>
      <c r="O3314" t="s">
        <v>21</v>
      </c>
      <c r="P3314">
        <f t="shared" si="156"/>
        <v>1</v>
      </c>
      <c r="Q3314" s="11">
        <f>IF(P3314=0,0,IFERROR(Q3313+G3314*M3314*IF(E3314="FUTURE",VLOOKUP(MID(I3314,2,2),[1]Futures!$A$2:$B$12,2),1),G3314*M3314*IF(E3314="FUTURE",VLOOKUP(MID(I3314,2,2),[1]Futures!$A$2:$B$12,2),1)))</f>
        <v>45200</v>
      </c>
      <c r="R3314" s="12">
        <f>IFERROR(Q3314/P3314/IF(E3314="FUTURE",VLOOKUP(MID(I3314,2,2),[1]Futures!$A$2:$B$12,2),1),"")</f>
        <v>45.2</v>
      </c>
      <c r="S3314" s="13" t="str">
        <f>IF(AND(H3314="TO CLOSE",P3314=0),-G3314*(M3314-R3313)*IF(E3314="FUTURE",VLOOKUP(MID(I3314,2,2),[1]Futures!$A$2:$B$12,2),1),"")</f>
        <v/>
      </c>
    </row>
    <row r="3315" spans="1:19" x14ac:dyDescent="0.2">
      <c r="A3315">
        <f t="shared" si="155"/>
        <v>1072</v>
      </c>
      <c r="B3315" s="3">
        <v>44165</v>
      </c>
      <c r="C3315" s="3" t="str">
        <f t="shared" si="157"/>
        <v>Monday</v>
      </c>
      <c r="D3315" s="2">
        <v>0.53122685185185181</v>
      </c>
      <c r="E3315" t="s">
        <v>14</v>
      </c>
      <c r="F3315" t="s">
        <v>19</v>
      </c>
      <c r="G3315">
        <v>1</v>
      </c>
      <c r="H3315" t="s">
        <v>20</v>
      </c>
      <c r="I3315" t="s">
        <v>88</v>
      </c>
      <c r="J3315" s="1">
        <v>43851</v>
      </c>
      <c r="L3315" t="s">
        <v>14</v>
      </c>
      <c r="M3315">
        <v>44.81</v>
      </c>
      <c r="N3315">
        <v>44.81</v>
      </c>
      <c r="O3315" t="s">
        <v>21</v>
      </c>
      <c r="P3315">
        <f t="shared" si="156"/>
        <v>2</v>
      </c>
      <c r="Q3315" s="11">
        <f>IF(P3315=0,0,IFERROR(Q3314+G3315*M3315*IF(E3315="FUTURE",VLOOKUP(MID(I3315,2,2),[1]Futures!$A$2:$B$12,2),1),G3315*M3315*IF(E3315="FUTURE",VLOOKUP(MID(I3315,2,2),[1]Futures!$A$2:$B$12,2),1)))</f>
        <v>90010</v>
      </c>
      <c r="R3315" s="12">
        <f>IFERROR(Q3315/P3315/IF(E3315="FUTURE",VLOOKUP(MID(I3315,2,2),[1]Futures!$A$2:$B$12,2),1),"")</f>
        <v>45.005000000000003</v>
      </c>
      <c r="S3315" s="13" t="str">
        <f>IF(AND(H3315="TO CLOSE",P3315=0),-G3315*(M3315-R3314)*IF(E3315="FUTURE",VLOOKUP(MID(I3315,2,2),[1]Futures!$A$2:$B$12,2),1),"")</f>
        <v/>
      </c>
    </row>
    <row r="3316" spans="1:19" x14ac:dyDescent="0.2">
      <c r="A3316">
        <f t="shared" si="155"/>
        <v>1072</v>
      </c>
      <c r="B3316" s="3">
        <v>44165</v>
      </c>
      <c r="C3316" s="3" t="str">
        <f t="shared" si="157"/>
        <v>Monday</v>
      </c>
      <c r="D3316" s="2">
        <v>0.59832175925925923</v>
      </c>
      <c r="E3316" t="s">
        <v>14</v>
      </c>
      <c r="F3316" t="s">
        <v>15</v>
      </c>
      <c r="G3316">
        <v>-1</v>
      </c>
      <c r="H3316" t="s">
        <v>16</v>
      </c>
      <c r="I3316" t="s">
        <v>88</v>
      </c>
      <c r="J3316" s="1">
        <v>43851</v>
      </c>
      <c r="L3316" t="s">
        <v>14</v>
      </c>
      <c r="M3316">
        <v>44.94</v>
      </c>
      <c r="N3316">
        <v>44.94</v>
      </c>
      <c r="O3316" t="s">
        <v>21</v>
      </c>
      <c r="P3316">
        <f t="shared" si="156"/>
        <v>1</v>
      </c>
      <c r="Q3316" s="11">
        <f>IF(P3316=0,0,IFERROR(Q3315+G3316*M3316*IF(E3316="FUTURE",VLOOKUP(MID(I3316,2,2),[1]Futures!$A$2:$B$12,2),1),G3316*M3316*IF(E3316="FUTURE",VLOOKUP(MID(I3316,2,2),[1]Futures!$A$2:$B$12,2),1)))</f>
        <v>45070</v>
      </c>
      <c r="R3316" s="12">
        <f>IFERROR(Q3316/P3316/IF(E3316="FUTURE",VLOOKUP(MID(I3316,2,2),[1]Futures!$A$2:$B$12,2),1),"")</f>
        <v>45.07</v>
      </c>
      <c r="S3316" s="13" t="str">
        <f>IF(AND(H3316="TO CLOSE",P3316=0),-G3316*(M3316-R3315)*IF(E3316="FUTURE",VLOOKUP(MID(I3316,2,2),[1]Futures!$A$2:$B$12,2),1),"")</f>
        <v/>
      </c>
    </row>
    <row r="3317" spans="1:19" x14ac:dyDescent="0.2">
      <c r="A3317">
        <f t="shared" si="155"/>
        <v>1072</v>
      </c>
      <c r="B3317" s="3">
        <v>44165</v>
      </c>
      <c r="C3317" s="3" t="str">
        <f t="shared" si="157"/>
        <v>Monday</v>
      </c>
      <c r="D3317" s="2">
        <v>0.60043981481481479</v>
      </c>
      <c r="E3317" t="s">
        <v>14</v>
      </c>
      <c r="F3317" t="s">
        <v>15</v>
      </c>
      <c r="G3317">
        <v>-1</v>
      </c>
      <c r="H3317" t="s">
        <v>16</v>
      </c>
      <c r="I3317" t="s">
        <v>88</v>
      </c>
      <c r="J3317" s="1">
        <v>43851</v>
      </c>
      <c r="L3317" t="s">
        <v>14</v>
      </c>
      <c r="M3317">
        <v>45.05</v>
      </c>
      <c r="N3317">
        <v>45.05</v>
      </c>
      <c r="O3317" t="s">
        <v>21</v>
      </c>
      <c r="P3317">
        <f t="shared" si="156"/>
        <v>0</v>
      </c>
      <c r="Q3317" s="11">
        <f>IF(P3317=0,0,IFERROR(Q3316+G3317*M3317*IF(E3317="FUTURE",VLOOKUP(MID(I3317,2,2),[1]Futures!$A$2:$B$12,2),1),G3317*M3317*IF(E3317="FUTURE",VLOOKUP(MID(I3317,2,2),[1]Futures!$A$2:$B$12,2),1)))</f>
        <v>0</v>
      </c>
      <c r="R3317" s="12" t="str">
        <f>IFERROR(Q3317/P3317/IF(E3317="FUTURE",VLOOKUP(MID(I3317,2,2),[1]Futures!$A$2:$B$12,2),1),"")</f>
        <v/>
      </c>
      <c r="S3317" s="13">
        <f>IF(AND(H3317="TO CLOSE",P3317=0),-G3317*(M3317-R3316)*IF(E3317="FUTURE",VLOOKUP(MID(I3317,2,2),[1]Futures!$A$2:$B$12,2),1),"")</f>
        <v>-20.000000000003126</v>
      </c>
    </row>
    <row r="3318" spans="1:19" x14ac:dyDescent="0.2">
      <c r="A3318">
        <f t="shared" si="155"/>
        <v>1073</v>
      </c>
      <c r="B3318" s="3">
        <v>44165</v>
      </c>
      <c r="C3318" s="3" t="str">
        <f t="shared" si="157"/>
        <v>Monday</v>
      </c>
      <c r="D3318" s="2">
        <v>0.60332175925925924</v>
      </c>
      <c r="E3318" t="s">
        <v>14</v>
      </c>
      <c r="F3318" t="s">
        <v>15</v>
      </c>
      <c r="G3318">
        <v>-1</v>
      </c>
      <c r="H3318" t="s">
        <v>20</v>
      </c>
      <c r="I3318" t="s">
        <v>88</v>
      </c>
      <c r="J3318" s="1">
        <v>43851</v>
      </c>
      <c r="L3318" t="s">
        <v>14</v>
      </c>
      <c r="M3318">
        <v>45.41</v>
      </c>
      <c r="N3318">
        <v>45.41</v>
      </c>
      <c r="O3318" t="s">
        <v>21</v>
      </c>
      <c r="P3318">
        <f t="shared" si="156"/>
        <v>-1</v>
      </c>
      <c r="Q3318" s="11">
        <f>IF(P3318=0,0,IFERROR(Q3317+G3318*M3318*IF(E3318="FUTURE",VLOOKUP(MID(I3318,2,2),[1]Futures!$A$2:$B$12,2),1),G3318*M3318*IF(E3318="FUTURE",VLOOKUP(MID(I3318,2,2),[1]Futures!$A$2:$B$12,2),1)))</f>
        <v>-45410</v>
      </c>
      <c r="R3318" s="12">
        <f>IFERROR(Q3318/P3318/IF(E3318="FUTURE",VLOOKUP(MID(I3318,2,2),[1]Futures!$A$2:$B$12,2),1),"")</f>
        <v>45.41</v>
      </c>
      <c r="S3318" s="13" t="str">
        <f>IF(AND(H3318="TO CLOSE",P3318=0),-G3318*(M3318-R3317)*IF(E3318="FUTURE",VLOOKUP(MID(I3318,2,2),[1]Futures!$A$2:$B$12,2),1),"")</f>
        <v/>
      </c>
    </row>
    <row r="3319" spans="1:19" x14ac:dyDescent="0.2">
      <c r="A3319">
        <f t="shared" si="155"/>
        <v>1073</v>
      </c>
      <c r="B3319" s="3">
        <v>44165</v>
      </c>
      <c r="C3319" s="3" t="str">
        <f t="shared" si="157"/>
        <v>Monday</v>
      </c>
      <c r="D3319" s="2">
        <v>0.60348379629629634</v>
      </c>
      <c r="E3319" t="s">
        <v>14</v>
      </c>
      <c r="F3319" t="s">
        <v>19</v>
      </c>
      <c r="G3319">
        <v>1</v>
      </c>
      <c r="H3319" t="s">
        <v>16</v>
      </c>
      <c r="I3319" t="s">
        <v>88</v>
      </c>
      <c r="J3319" s="1">
        <v>43851</v>
      </c>
      <c r="L3319" t="s">
        <v>14</v>
      </c>
      <c r="M3319">
        <v>45.36</v>
      </c>
      <c r="N3319">
        <v>45.36</v>
      </c>
      <c r="O3319" t="s">
        <v>21</v>
      </c>
      <c r="P3319">
        <f t="shared" si="156"/>
        <v>0</v>
      </c>
      <c r="Q3319" s="11">
        <f>IF(P3319=0,0,IFERROR(Q3318+G3319*M3319*IF(E3319="FUTURE",VLOOKUP(MID(I3319,2,2),[1]Futures!$A$2:$B$12,2),1),G3319*M3319*IF(E3319="FUTURE",VLOOKUP(MID(I3319,2,2),[1]Futures!$A$2:$B$12,2),1)))</f>
        <v>0</v>
      </c>
      <c r="R3319" s="12" t="str">
        <f>IFERROR(Q3319/P3319/IF(E3319="FUTURE",VLOOKUP(MID(I3319,2,2),[1]Futures!$A$2:$B$12,2),1),"")</f>
        <v/>
      </c>
      <c r="S3319" s="13">
        <f>IF(AND(H3319="TO CLOSE",P3319=0),-G3319*(M3319-R3318)*IF(E3319="FUTURE",VLOOKUP(MID(I3319,2,2),[1]Futures!$A$2:$B$12,2),1),"")</f>
        <v>49.999999999997158</v>
      </c>
    </row>
    <row r="3320" spans="1:19" x14ac:dyDescent="0.2">
      <c r="A3320">
        <f t="shared" si="155"/>
        <v>1074</v>
      </c>
      <c r="B3320" s="3">
        <v>44165</v>
      </c>
      <c r="C3320" s="3" t="str">
        <f t="shared" si="157"/>
        <v>Monday</v>
      </c>
      <c r="D3320" s="2">
        <v>0.75</v>
      </c>
      <c r="E3320" t="s">
        <v>14</v>
      </c>
      <c r="F3320" t="s">
        <v>15</v>
      </c>
      <c r="G3320">
        <v>-1</v>
      </c>
      <c r="H3320" t="s">
        <v>20</v>
      </c>
      <c r="I3320" t="s">
        <v>88</v>
      </c>
      <c r="J3320" s="1">
        <v>43851</v>
      </c>
      <c r="L3320" t="s">
        <v>14</v>
      </c>
      <c r="M3320">
        <v>45.08</v>
      </c>
      <c r="N3320">
        <v>45.08</v>
      </c>
      <c r="O3320" t="s">
        <v>21</v>
      </c>
      <c r="P3320">
        <f t="shared" si="156"/>
        <v>-1</v>
      </c>
      <c r="Q3320" s="11">
        <f>IF(P3320=0,0,IFERROR(Q3319+G3320*M3320*IF(E3320="FUTURE",VLOOKUP(MID(I3320,2,2),[1]Futures!$A$2:$B$12,2),1),G3320*M3320*IF(E3320="FUTURE",VLOOKUP(MID(I3320,2,2),[1]Futures!$A$2:$B$12,2),1)))</f>
        <v>-45080</v>
      </c>
      <c r="R3320" s="12">
        <f>IFERROR(Q3320/P3320/IF(E3320="FUTURE",VLOOKUP(MID(I3320,2,2),[1]Futures!$A$2:$B$12,2),1),"")</f>
        <v>45.08</v>
      </c>
      <c r="S3320" s="13" t="str">
        <f>IF(AND(H3320="TO CLOSE",P3320=0),-G3320*(M3320-R3319)*IF(E3320="FUTURE",VLOOKUP(MID(I3320,2,2),[1]Futures!$A$2:$B$12,2),1),"")</f>
        <v/>
      </c>
    </row>
    <row r="3321" spans="1:19" x14ac:dyDescent="0.2">
      <c r="A3321">
        <f t="shared" si="155"/>
        <v>1074</v>
      </c>
      <c r="B3321" s="3">
        <v>44165</v>
      </c>
      <c r="C3321" s="3" t="str">
        <f t="shared" si="157"/>
        <v>Monday</v>
      </c>
      <c r="D3321" s="2">
        <v>0.85857638888888888</v>
      </c>
      <c r="E3321" t="s">
        <v>14</v>
      </c>
      <c r="F3321" t="s">
        <v>19</v>
      </c>
      <c r="G3321">
        <v>1</v>
      </c>
      <c r="H3321" t="s">
        <v>16</v>
      </c>
      <c r="I3321" t="s">
        <v>88</v>
      </c>
      <c r="J3321" s="1">
        <v>43851</v>
      </c>
      <c r="L3321" t="s">
        <v>14</v>
      </c>
      <c r="M3321">
        <v>45.07</v>
      </c>
      <c r="N3321">
        <v>45.07</v>
      </c>
      <c r="O3321" t="s">
        <v>21</v>
      </c>
      <c r="P3321">
        <f t="shared" si="156"/>
        <v>0</v>
      </c>
      <c r="Q3321" s="11">
        <f>IF(P3321=0,0,IFERROR(Q3320+G3321*M3321*IF(E3321="FUTURE",VLOOKUP(MID(I3321,2,2),[1]Futures!$A$2:$B$12,2),1),G3321*M3321*IF(E3321="FUTURE",VLOOKUP(MID(I3321,2,2),[1]Futures!$A$2:$B$12,2),1)))</f>
        <v>0</v>
      </c>
      <c r="R3321" s="12" t="str">
        <f>IFERROR(Q3321/P3321/IF(E3321="FUTURE",VLOOKUP(MID(I3321,2,2),[1]Futures!$A$2:$B$12,2),1),"")</f>
        <v/>
      </c>
      <c r="S3321" s="13">
        <f>IF(AND(H3321="TO CLOSE",P3321=0),-G3321*(M3321-R3320)*IF(E3321="FUTURE",VLOOKUP(MID(I3321,2,2),[1]Futures!$A$2:$B$12,2),1),"")</f>
        <v>9.9999999999980105</v>
      </c>
    </row>
    <row r="3322" spans="1:19" x14ac:dyDescent="0.2">
      <c r="A3322">
        <f t="shared" si="155"/>
        <v>1075</v>
      </c>
      <c r="B3322" s="3">
        <v>44165</v>
      </c>
      <c r="C3322" s="3" t="str">
        <f t="shared" si="157"/>
        <v>Monday</v>
      </c>
      <c r="D3322" s="2">
        <v>0.39990740740740738</v>
      </c>
      <c r="E3322" t="s">
        <v>14</v>
      </c>
      <c r="F3322" t="s">
        <v>15</v>
      </c>
      <c r="G3322">
        <v>-3</v>
      </c>
      <c r="H3322" t="s">
        <v>20</v>
      </c>
      <c r="I3322" t="s">
        <v>87</v>
      </c>
      <c r="J3322" s="1">
        <v>44185</v>
      </c>
      <c r="L3322" t="s">
        <v>14</v>
      </c>
      <c r="M3322">
        <v>3626</v>
      </c>
      <c r="N3322">
        <v>3626</v>
      </c>
      <c r="O3322" t="s">
        <v>24</v>
      </c>
      <c r="P3322">
        <f t="shared" si="156"/>
        <v>-3</v>
      </c>
      <c r="Q3322" s="11">
        <f>IF(P3322=0,0,IFERROR(Q3321+G3322*M3322*IF(E3322="FUTURE",VLOOKUP(MID(I3322,2,2),[1]Futures!$A$2:$B$12,2),1),G3322*M3322*IF(E3322="FUTURE",VLOOKUP(MID(I3322,2,2),[1]Futures!$A$2:$B$12,2),1)))</f>
        <v>-54390</v>
      </c>
      <c r="R3322" s="12">
        <f>IFERROR(Q3322/P3322/IF(E3322="FUTURE",VLOOKUP(MID(I3322,2,2),[1]Futures!$A$2:$B$12,2),1),"")</f>
        <v>3626</v>
      </c>
      <c r="S3322" s="13" t="str">
        <f>IF(AND(H3322="TO CLOSE",P3322=0),-G3322*(M3322-R3321)*IF(E3322="FUTURE",VLOOKUP(MID(I3322,2,2),[1]Futures!$A$2:$B$12,2),1),"")</f>
        <v/>
      </c>
    </row>
    <row r="3323" spans="1:19" x14ac:dyDescent="0.2">
      <c r="A3323">
        <f t="shared" si="155"/>
        <v>1075</v>
      </c>
      <c r="B3323" s="3">
        <v>44165</v>
      </c>
      <c r="C3323" s="3" t="str">
        <f t="shared" si="157"/>
        <v>Monday</v>
      </c>
      <c r="D3323" s="2">
        <v>0.40083333333333332</v>
      </c>
      <c r="E3323" t="s">
        <v>14</v>
      </c>
      <c r="F3323" t="s">
        <v>19</v>
      </c>
      <c r="G3323">
        <v>1</v>
      </c>
      <c r="H3323" t="s">
        <v>16</v>
      </c>
      <c r="I3323" t="s">
        <v>87</v>
      </c>
      <c r="J3323" s="1">
        <v>44185</v>
      </c>
      <c r="L3323" t="s">
        <v>14</v>
      </c>
      <c r="M3323">
        <v>3622.75</v>
      </c>
      <c r="N3323">
        <v>3622.75</v>
      </c>
      <c r="O3323" t="s">
        <v>24</v>
      </c>
      <c r="P3323">
        <f t="shared" si="156"/>
        <v>-2</v>
      </c>
      <c r="Q3323" s="11">
        <f>IF(P3323=0,0,IFERROR(Q3322+G3323*M3323*IF(E3323="FUTURE",VLOOKUP(MID(I3323,2,2),[1]Futures!$A$2:$B$12,2),1),G3323*M3323*IF(E3323="FUTURE",VLOOKUP(MID(I3323,2,2),[1]Futures!$A$2:$B$12,2),1)))</f>
        <v>-36276.25</v>
      </c>
      <c r="R3323" s="12">
        <f>IFERROR(Q3323/P3323/IF(E3323="FUTURE",VLOOKUP(MID(I3323,2,2),[1]Futures!$A$2:$B$12,2),1),"")</f>
        <v>3627.625</v>
      </c>
      <c r="S3323" s="13" t="str">
        <f>IF(AND(H3323="TO CLOSE",P3323=0),-G3323*(M3323-R3322)*IF(E3323="FUTURE",VLOOKUP(MID(I3323,2,2),[1]Futures!$A$2:$B$12,2),1),"")</f>
        <v/>
      </c>
    </row>
    <row r="3324" spans="1:19" x14ac:dyDescent="0.2">
      <c r="A3324">
        <f t="shared" si="155"/>
        <v>1075</v>
      </c>
      <c r="B3324" s="3">
        <v>44165</v>
      </c>
      <c r="C3324" s="3" t="str">
        <f t="shared" si="157"/>
        <v>Monday</v>
      </c>
      <c r="D3324" s="2">
        <v>0.40248842592592587</v>
      </c>
      <c r="E3324" t="s">
        <v>14</v>
      </c>
      <c r="F3324" t="s">
        <v>19</v>
      </c>
      <c r="G3324">
        <v>1</v>
      </c>
      <c r="H3324" t="s">
        <v>16</v>
      </c>
      <c r="I3324" t="s">
        <v>87</v>
      </c>
      <c r="J3324" s="1">
        <v>44185</v>
      </c>
      <c r="L3324" t="s">
        <v>14</v>
      </c>
      <c r="M3324">
        <v>3623.25</v>
      </c>
      <c r="N3324">
        <v>3623.25</v>
      </c>
      <c r="O3324" t="s">
        <v>24</v>
      </c>
      <c r="P3324">
        <f t="shared" si="156"/>
        <v>-1</v>
      </c>
      <c r="Q3324" s="11">
        <f>IF(P3324=0,0,IFERROR(Q3323+G3324*M3324*IF(E3324="FUTURE",VLOOKUP(MID(I3324,2,2),[1]Futures!$A$2:$B$12,2),1),G3324*M3324*IF(E3324="FUTURE",VLOOKUP(MID(I3324,2,2),[1]Futures!$A$2:$B$12,2),1)))</f>
        <v>-18160</v>
      </c>
      <c r="R3324" s="12">
        <f>IFERROR(Q3324/P3324/IF(E3324="FUTURE",VLOOKUP(MID(I3324,2,2),[1]Futures!$A$2:$B$12,2),1),"")</f>
        <v>3632</v>
      </c>
      <c r="S3324" s="13" t="str">
        <f>IF(AND(H3324="TO CLOSE",P3324=0),-G3324*(M3324-R3323)*IF(E3324="FUTURE",VLOOKUP(MID(I3324,2,2),[1]Futures!$A$2:$B$12,2),1),"")</f>
        <v/>
      </c>
    </row>
    <row r="3325" spans="1:19" x14ac:dyDescent="0.2">
      <c r="A3325">
        <f t="shared" si="155"/>
        <v>1075</v>
      </c>
      <c r="B3325" s="3">
        <v>44165</v>
      </c>
      <c r="C3325" s="3" t="str">
        <f t="shared" si="157"/>
        <v>Monday</v>
      </c>
      <c r="D3325" s="2">
        <v>0.40561342592592592</v>
      </c>
      <c r="E3325" t="s">
        <v>14</v>
      </c>
      <c r="F3325" t="s">
        <v>19</v>
      </c>
      <c r="G3325">
        <v>1</v>
      </c>
      <c r="H3325" t="s">
        <v>16</v>
      </c>
      <c r="I3325" t="s">
        <v>87</v>
      </c>
      <c r="J3325" s="1">
        <v>44185</v>
      </c>
      <c r="L3325" t="s">
        <v>14</v>
      </c>
      <c r="M3325">
        <v>3623.5</v>
      </c>
      <c r="N3325">
        <v>3623.5</v>
      </c>
      <c r="O3325" t="s">
        <v>21</v>
      </c>
      <c r="P3325">
        <f t="shared" si="156"/>
        <v>0</v>
      </c>
      <c r="Q3325" s="11">
        <f>IF(P3325=0,0,IFERROR(Q3324+G3325*M3325*IF(E3325="FUTURE",VLOOKUP(MID(I3325,2,2),[1]Futures!$A$2:$B$12,2),1),G3325*M3325*IF(E3325="FUTURE",VLOOKUP(MID(I3325,2,2),[1]Futures!$A$2:$B$12,2),1)))</f>
        <v>0</v>
      </c>
      <c r="R3325" s="12" t="str">
        <f>IFERROR(Q3325/P3325/IF(E3325="FUTURE",VLOOKUP(MID(I3325,2,2),[1]Futures!$A$2:$B$12,2),1),"")</f>
        <v/>
      </c>
      <c r="S3325" s="13">
        <f>IF(AND(H3325="TO CLOSE",P3325=0),-G3325*(M3325-R3324)*IF(E3325="FUTURE",VLOOKUP(MID(I3325,2,2),[1]Futures!$A$2:$B$12,2),1),"")</f>
        <v>42.5</v>
      </c>
    </row>
    <row r="3326" spans="1:19" x14ac:dyDescent="0.2">
      <c r="A3326">
        <f t="shared" si="155"/>
        <v>1076</v>
      </c>
      <c r="B3326" s="3">
        <v>44165</v>
      </c>
      <c r="C3326" s="3" t="str">
        <f t="shared" si="157"/>
        <v>Monday</v>
      </c>
      <c r="D3326" s="2">
        <v>0.43466435185185182</v>
      </c>
      <c r="E3326" t="s">
        <v>14</v>
      </c>
      <c r="F3326" t="s">
        <v>19</v>
      </c>
      <c r="G3326">
        <v>3</v>
      </c>
      <c r="H3326" t="s">
        <v>20</v>
      </c>
      <c r="I3326" t="s">
        <v>87</v>
      </c>
      <c r="J3326" s="1">
        <v>44185</v>
      </c>
      <c r="L3326" t="s">
        <v>14</v>
      </c>
      <c r="M3326">
        <v>3617.5</v>
      </c>
      <c r="N3326">
        <v>3617.5</v>
      </c>
      <c r="O3326" t="s">
        <v>21</v>
      </c>
      <c r="P3326">
        <f t="shared" si="156"/>
        <v>3</v>
      </c>
      <c r="Q3326" s="11">
        <f>IF(P3326=0,0,IFERROR(Q3325+G3326*M3326*IF(E3326="FUTURE",VLOOKUP(MID(I3326,2,2),[1]Futures!$A$2:$B$12,2),1),G3326*M3326*IF(E3326="FUTURE",VLOOKUP(MID(I3326,2,2),[1]Futures!$A$2:$B$12,2),1)))</f>
        <v>54262.5</v>
      </c>
      <c r="R3326" s="12">
        <f>IFERROR(Q3326/P3326/IF(E3326="FUTURE",VLOOKUP(MID(I3326,2,2),[1]Futures!$A$2:$B$12,2),1),"")</f>
        <v>3617.5</v>
      </c>
      <c r="S3326" s="13" t="str">
        <f>IF(AND(H3326="TO CLOSE",P3326=0),-G3326*(M3326-R3325)*IF(E3326="FUTURE",VLOOKUP(MID(I3326,2,2),[1]Futures!$A$2:$B$12,2),1),"")</f>
        <v/>
      </c>
    </row>
    <row r="3327" spans="1:19" x14ac:dyDescent="0.2">
      <c r="A3327">
        <f t="shared" si="155"/>
        <v>1076</v>
      </c>
      <c r="B3327" s="3">
        <v>44165</v>
      </c>
      <c r="C3327" s="3" t="str">
        <f t="shared" si="157"/>
        <v>Monday</v>
      </c>
      <c r="D3327" s="2">
        <v>0.43944444444444447</v>
      </c>
      <c r="E3327" t="s">
        <v>14</v>
      </c>
      <c r="F3327" t="s">
        <v>19</v>
      </c>
      <c r="G3327">
        <v>1</v>
      </c>
      <c r="H3327" t="s">
        <v>20</v>
      </c>
      <c r="I3327" t="s">
        <v>87</v>
      </c>
      <c r="J3327" s="1">
        <v>44185</v>
      </c>
      <c r="L3327" t="s">
        <v>14</v>
      </c>
      <c r="M3327">
        <v>3611.5</v>
      </c>
      <c r="N3327">
        <v>3611.5</v>
      </c>
      <c r="O3327" t="s">
        <v>21</v>
      </c>
      <c r="P3327">
        <f t="shared" si="156"/>
        <v>4</v>
      </c>
      <c r="Q3327" s="11">
        <f>IF(P3327=0,0,IFERROR(Q3326+G3327*M3327*IF(E3327="FUTURE",VLOOKUP(MID(I3327,2,2),[1]Futures!$A$2:$B$12,2),1),G3327*M3327*IF(E3327="FUTURE",VLOOKUP(MID(I3327,2,2),[1]Futures!$A$2:$B$12,2),1)))</f>
        <v>72320</v>
      </c>
      <c r="R3327" s="12">
        <f>IFERROR(Q3327/P3327/IF(E3327="FUTURE",VLOOKUP(MID(I3327,2,2),[1]Futures!$A$2:$B$12,2),1),"")</f>
        <v>3616</v>
      </c>
      <c r="S3327" s="13" t="str">
        <f>IF(AND(H3327="TO CLOSE",P3327=0),-G3327*(M3327-R3326)*IF(E3327="FUTURE",VLOOKUP(MID(I3327,2,2),[1]Futures!$A$2:$B$12,2),1),"")</f>
        <v/>
      </c>
    </row>
    <row r="3328" spans="1:19" x14ac:dyDescent="0.2">
      <c r="A3328">
        <f t="shared" si="155"/>
        <v>1076</v>
      </c>
      <c r="B3328" s="3">
        <v>44165</v>
      </c>
      <c r="C3328" s="3" t="str">
        <f t="shared" si="157"/>
        <v>Monday</v>
      </c>
      <c r="D3328" s="2">
        <v>0.47493055555555558</v>
      </c>
      <c r="E3328" t="s">
        <v>14</v>
      </c>
      <c r="F3328" t="s">
        <v>19</v>
      </c>
      <c r="G3328">
        <v>1</v>
      </c>
      <c r="H3328" t="s">
        <v>20</v>
      </c>
      <c r="I3328" t="s">
        <v>87</v>
      </c>
      <c r="J3328" s="1">
        <v>44185</v>
      </c>
      <c r="L3328" t="s">
        <v>14</v>
      </c>
      <c r="M3328">
        <v>3605</v>
      </c>
      <c r="N3328">
        <v>3605</v>
      </c>
      <c r="O3328" t="s">
        <v>21</v>
      </c>
      <c r="P3328">
        <f t="shared" si="156"/>
        <v>5</v>
      </c>
      <c r="Q3328" s="11">
        <f>IF(P3328=0,0,IFERROR(Q3327+G3328*M3328*IF(E3328="FUTURE",VLOOKUP(MID(I3328,2,2),[1]Futures!$A$2:$B$12,2),1),G3328*M3328*IF(E3328="FUTURE",VLOOKUP(MID(I3328,2,2),[1]Futures!$A$2:$B$12,2),1)))</f>
        <v>90345</v>
      </c>
      <c r="R3328" s="12">
        <f>IFERROR(Q3328/P3328/IF(E3328="FUTURE",VLOOKUP(MID(I3328,2,2),[1]Futures!$A$2:$B$12,2),1),"")</f>
        <v>3613.8</v>
      </c>
      <c r="S3328" s="13" t="str">
        <f>IF(AND(H3328="TO CLOSE",P3328=0),-G3328*(M3328-R3327)*IF(E3328="FUTURE",VLOOKUP(MID(I3328,2,2),[1]Futures!$A$2:$B$12,2),1),"")</f>
        <v/>
      </c>
    </row>
    <row r="3329" spans="1:19" x14ac:dyDescent="0.2">
      <c r="A3329">
        <f t="shared" si="155"/>
        <v>1076</v>
      </c>
      <c r="B3329" s="3">
        <v>44165</v>
      </c>
      <c r="C3329" s="3" t="str">
        <f t="shared" si="157"/>
        <v>Monday</v>
      </c>
      <c r="D3329" s="2">
        <v>0.52153935185185185</v>
      </c>
      <c r="E3329" t="s">
        <v>14</v>
      </c>
      <c r="F3329" t="s">
        <v>15</v>
      </c>
      <c r="G3329">
        <v>-1</v>
      </c>
      <c r="H3329" t="s">
        <v>16</v>
      </c>
      <c r="I3329" t="s">
        <v>87</v>
      </c>
      <c r="J3329" s="1">
        <v>44185</v>
      </c>
      <c r="L3329" t="s">
        <v>14</v>
      </c>
      <c r="M3329">
        <v>3610.75</v>
      </c>
      <c r="N3329">
        <v>3610.75</v>
      </c>
      <c r="O3329" t="s">
        <v>21</v>
      </c>
      <c r="P3329">
        <f t="shared" si="156"/>
        <v>4</v>
      </c>
      <c r="Q3329" s="11">
        <f>IF(P3329=0,0,IFERROR(Q3328+G3329*M3329*IF(E3329="FUTURE",VLOOKUP(MID(I3329,2,2),[1]Futures!$A$2:$B$12,2),1),G3329*M3329*IF(E3329="FUTURE",VLOOKUP(MID(I3329,2,2),[1]Futures!$A$2:$B$12,2),1)))</f>
        <v>72291.25</v>
      </c>
      <c r="R3329" s="12">
        <f>IFERROR(Q3329/P3329/IF(E3329="FUTURE",VLOOKUP(MID(I3329,2,2),[1]Futures!$A$2:$B$12,2),1),"")</f>
        <v>3614.5625</v>
      </c>
      <c r="S3329" s="13" t="str">
        <f>IF(AND(H3329="TO CLOSE",P3329=0),-G3329*(M3329-R3328)*IF(E3329="FUTURE",VLOOKUP(MID(I3329,2,2),[1]Futures!$A$2:$B$12,2),1),"")</f>
        <v/>
      </c>
    </row>
    <row r="3330" spans="1:19" x14ac:dyDescent="0.2">
      <c r="A3330">
        <f t="shared" ref="A3330:A3393" si="158">IF(AND(P3329=0,H3329="TO CLOSE"),IFERROR(A3329+1,1),IFERROR(A3329/1,1))</f>
        <v>1076</v>
      </c>
      <c r="B3330" s="3">
        <v>44165</v>
      </c>
      <c r="C3330" s="3" t="str">
        <f t="shared" si="157"/>
        <v>Monday</v>
      </c>
      <c r="D3330" s="2">
        <v>0.56130787037037033</v>
      </c>
      <c r="E3330" t="s">
        <v>14</v>
      </c>
      <c r="F3330" t="s">
        <v>15</v>
      </c>
      <c r="G3330">
        <v>-2</v>
      </c>
      <c r="H3330" t="s">
        <v>16</v>
      </c>
      <c r="I3330" t="s">
        <v>87</v>
      </c>
      <c r="J3330" s="1">
        <v>44185</v>
      </c>
      <c r="L3330" t="s">
        <v>14</v>
      </c>
      <c r="M3330">
        <v>3613.75</v>
      </c>
      <c r="N3330">
        <v>3613.75</v>
      </c>
      <c r="O3330" t="s">
        <v>21</v>
      </c>
      <c r="P3330">
        <f t="shared" si="156"/>
        <v>2</v>
      </c>
      <c r="Q3330" s="11">
        <f>IF(P3330=0,0,IFERROR(Q3329+G3330*M3330*IF(E3330="FUTURE",VLOOKUP(MID(I3330,2,2),[1]Futures!$A$2:$B$12,2),1),G3330*M3330*IF(E3330="FUTURE",VLOOKUP(MID(I3330,2,2),[1]Futures!$A$2:$B$12,2),1)))</f>
        <v>36153.75</v>
      </c>
      <c r="R3330" s="12">
        <f>IFERROR(Q3330/P3330/IF(E3330="FUTURE",VLOOKUP(MID(I3330,2,2),[1]Futures!$A$2:$B$12,2),1),"")</f>
        <v>3615.375</v>
      </c>
      <c r="S3330" s="13" t="str">
        <f>IF(AND(H3330="TO CLOSE",P3330=0),-G3330*(M3330-R3329)*IF(E3330="FUTURE",VLOOKUP(MID(I3330,2,2),[1]Futures!$A$2:$B$12,2),1),"")</f>
        <v/>
      </c>
    </row>
    <row r="3331" spans="1:19" x14ac:dyDescent="0.2">
      <c r="A3331">
        <f t="shared" si="158"/>
        <v>1076</v>
      </c>
      <c r="B3331" s="3">
        <v>44165</v>
      </c>
      <c r="C3331" s="3" t="str">
        <f t="shared" si="157"/>
        <v>Monday</v>
      </c>
      <c r="D3331" s="2">
        <v>0.59027777777777779</v>
      </c>
      <c r="E3331" t="s">
        <v>14</v>
      </c>
      <c r="F3331" t="s">
        <v>19</v>
      </c>
      <c r="G3331">
        <v>1</v>
      </c>
      <c r="H3331" t="s">
        <v>20</v>
      </c>
      <c r="I3331" t="s">
        <v>87</v>
      </c>
      <c r="J3331" s="1">
        <v>44185</v>
      </c>
      <c r="L3331" t="s">
        <v>14</v>
      </c>
      <c r="M3331">
        <v>3609.75</v>
      </c>
      <c r="N3331">
        <v>3609.75</v>
      </c>
      <c r="O3331" t="s">
        <v>21</v>
      </c>
      <c r="P3331">
        <f t="shared" ref="P3331:P3394" si="159">IF(H3331="TO OPEN",IFERROR(P3330+G3331,0+G3331),IFERROR(P3330+G3331,0+G3331))</f>
        <v>3</v>
      </c>
      <c r="Q3331" s="11">
        <f>IF(P3331=0,0,IFERROR(Q3330+G3331*M3331*IF(E3331="FUTURE",VLOOKUP(MID(I3331,2,2),[1]Futures!$A$2:$B$12,2),1),G3331*M3331*IF(E3331="FUTURE",VLOOKUP(MID(I3331,2,2),[1]Futures!$A$2:$B$12,2),1)))</f>
        <v>54202.5</v>
      </c>
      <c r="R3331" s="12">
        <f>IFERROR(Q3331/P3331/IF(E3331="FUTURE",VLOOKUP(MID(I3331,2,2),[1]Futures!$A$2:$B$12,2),1),"")</f>
        <v>3613.5</v>
      </c>
      <c r="S3331" s="13" t="str">
        <f>IF(AND(H3331="TO CLOSE",P3331=0),-G3331*(M3331-R3330)*IF(E3331="FUTURE",VLOOKUP(MID(I3331,2,2),[1]Futures!$A$2:$B$12,2),1),"")</f>
        <v/>
      </c>
    </row>
    <row r="3332" spans="1:19" x14ac:dyDescent="0.2">
      <c r="A3332">
        <f t="shared" si="158"/>
        <v>1076</v>
      </c>
      <c r="B3332" s="3">
        <v>44165</v>
      </c>
      <c r="C3332" s="3" t="str">
        <f t="shared" si="157"/>
        <v>Monday</v>
      </c>
      <c r="D3332" s="2">
        <v>0.60283564814814816</v>
      </c>
      <c r="E3332" t="s">
        <v>14</v>
      </c>
      <c r="F3332" t="s">
        <v>15</v>
      </c>
      <c r="G3332">
        <v>-1</v>
      </c>
      <c r="H3332" t="s">
        <v>16</v>
      </c>
      <c r="I3332" t="s">
        <v>87</v>
      </c>
      <c r="J3332" s="1">
        <v>44185</v>
      </c>
      <c r="L3332" t="s">
        <v>14</v>
      </c>
      <c r="M3332">
        <v>3614.25</v>
      </c>
      <c r="N3332">
        <v>3614.25</v>
      </c>
      <c r="O3332" t="s">
        <v>21</v>
      </c>
      <c r="P3332">
        <f t="shared" si="159"/>
        <v>2</v>
      </c>
      <c r="Q3332" s="11">
        <f>IF(P3332=0,0,IFERROR(Q3331+G3332*M3332*IF(E3332="FUTURE",VLOOKUP(MID(I3332,2,2),[1]Futures!$A$2:$B$12,2),1),G3332*M3332*IF(E3332="FUTURE",VLOOKUP(MID(I3332,2,2),[1]Futures!$A$2:$B$12,2),1)))</f>
        <v>36131.25</v>
      </c>
      <c r="R3332" s="12">
        <f>IFERROR(Q3332/P3332/IF(E3332="FUTURE",VLOOKUP(MID(I3332,2,2),[1]Futures!$A$2:$B$12,2),1),"")</f>
        <v>3613.125</v>
      </c>
      <c r="S3332" s="13" t="str">
        <f>IF(AND(H3332="TO CLOSE",P3332=0),-G3332*(M3332-R3331)*IF(E3332="FUTURE",VLOOKUP(MID(I3332,2,2),[1]Futures!$A$2:$B$12,2),1),"")</f>
        <v/>
      </c>
    </row>
    <row r="3333" spans="1:19" x14ac:dyDescent="0.2">
      <c r="A3333">
        <f t="shared" si="158"/>
        <v>1076</v>
      </c>
      <c r="B3333" s="3">
        <v>44165</v>
      </c>
      <c r="C3333" s="3" t="str">
        <f t="shared" si="157"/>
        <v>Monday</v>
      </c>
      <c r="D3333" s="2">
        <v>0.61982638888888886</v>
      </c>
      <c r="E3333" t="s">
        <v>14</v>
      </c>
      <c r="F3333" t="s">
        <v>15</v>
      </c>
      <c r="G3333">
        <v>-1</v>
      </c>
      <c r="H3333" t="s">
        <v>16</v>
      </c>
      <c r="I3333" t="s">
        <v>87</v>
      </c>
      <c r="J3333" s="1">
        <v>44185</v>
      </c>
      <c r="L3333" t="s">
        <v>14</v>
      </c>
      <c r="M3333">
        <v>3615.5</v>
      </c>
      <c r="N3333">
        <v>3615.5</v>
      </c>
      <c r="O3333" t="s">
        <v>21</v>
      </c>
      <c r="P3333">
        <f t="shared" si="159"/>
        <v>1</v>
      </c>
      <c r="Q3333" s="11">
        <f>IF(P3333=0,0,IFERROR(Q3332+G3333*M3333*IF(E3333="FUTURE",VLOOKUP(MID(I3333,2,2),[1]Futures!$A$2:$B$12,2),1),G3333*M3333*IF(E3333="FUTURE",VLOOKUP(MID(I3333,2,2),[1]Futures!$A$2:$B$12,2),1)))</f>
        <v>18053.75</v>
      </c>
      <c r="R3333" s="12">
        <f>IFERROR(Q3333/P3333/IF(E3333="FUTURE",VLOOKUP(MID(I3333,2,2),[1]Futures!$A$2:$B$12,2),1),"")</f>
        <v>3610.75</v>
      </c>
      <c r="S3333" s="13" t="str">
        <f>IF(AND(H3333="TO CLOSE",P3333=0),-G3333*(M3333-R3332)*IF(E3333="FUTURE",VLOOKUP(MID(I3333,2,2),[1]Futures!$A$2:$B$12,2),1),"")</f>
        <v/>
      </c>
    </row>
    <row r="3334" spans="1:19" x14ac:dyDescent="0.2">
      <c r="A3334">
        <f t="shared" si="158"/>
        <v>1076</v>
      </c>
      <c r="B3334" s="3">
        <v>44165</v>
      </c>
      <c r="C3334" s="3" t="str">
        <f t="shared" si="157"/>
        <v>Monday</v>
      </c>
      <c r="D3334" s="2">
        <v>0.62318287037037035</v>
      </c>
      <c r="E3334" t="s">
        <v>14</v>
      </c>
      <c r="F3334" t="s">
        <v>15</v>
      </c>
      <c r="G3334">
        <v>-1</v>
      </c>
      <c r="H3334" t="s">
        <v>16</v>
      </c>
      <c r="I3334" t="s">
        <v>87</v>
      </c>
      <c r="J3334" s="1">
        <v>44185</v>
      </c>
      <c r="L3334" t="s">
        <v>14</v>
      </c>
      <c r="M3334">
        <v>3619.5</v>
      </c>
      <c r="N3334">
        <v>3619.5</v>
      </c>
      <c r="O3334" t="s">
        <v>21</v>
      </c>
      <c r="P3334">
        <f t="shared" si="159"/>
        <v>0</v>
      </c>
      <c r="Q3334" s="11">
        <f>IF(P3334=0,0,IFERROR(Q3333+G3334*M3334*IF(E3334="FUTURE",VLOOKUP(MID(I3334,2,2),[1]Futures!$A$2:$B$12,2),1),G3334*M3334*IF(E3334="FUTURE",VLOOKUP(MID(I3334,2,2),[1]Futures!$A$2:$B$12,2),1)))</f>
        <v>0</v>
      </c>
      <c r="R3334" s="12" t="str">
        <f>IFERROR(Q3334/P3334/IF(E3334="FUTURE",VLOOKUP(MID(I3334,2,2),[1]Futures!$A$2:$B$12,2),1),"")</f>
        <v/>
      </c>
      <c r="S3334" s="13">
        <f>IF(AND(H3334="TO CLOSE",P3334=0),-G3334*(M3334-R3333)*IF(E3334="FUTURE",VLOOKUP(MID(I3334,2,2),[1]Futures!$A$2:$B$12,2),1),"")</f>
        <v>43.75</v>
      </c>
    </row>
    <row r="3335" spans="1:19" x14ac:dyDescent="0.2">
      <c r="A3335">
        <f t="shared" si="158"/>
        <v>1077</v>
      </c>
      <c r="B3335" s="3">
        <v>44165</v>
      </c>
      <c r="C3335" s="3" t="str">
        <f t="shared" si="157"/>
        <v>Monday</v>
      </c>
      <c r="D3335" s="2">
        <v>0.48575231481481485</v>
      </c>
      <c r="E3335" t="s">
        <v>22</v>
      </c>
      <c r="F3335" t="s">
        <v>15</v>
      </c>
      <c r="G3335">
        <v>-60</v>
      </c>
      <c r="H3335" t="s">
        <v>20</v>
      </c>
      <c r="I3335" t="s">
        <v>23</v>
      </c>
      <c r="L3335" t="s">
        <v>22</v>
      </c>
      <c r="M3335">
        <v>17.899999999999999</v>
      </c>
      <c r="N3335">
        <v>17.899999999999999</v>
      </c>
      <c r="O3335" t="s">
        <v>21</v>
      </c>
      <c r="P3335">
        <f t="shared" si="159"/>
        <v>-60</v>
      </c>
      <c r="Q3335" s="11">
        <f>IF(P3335=0,0,IFERROR(Q3334+G3335*M3335*IF(E3335="FUTURE",VLOOKUP(MID(I3335,2,2),[1]Futures!$A$2:$B$12,2),1),G3335*M3335*IF(E3335="FUTURE",VLOOKUP(MID(I3335,2,2),[1]Futures!$A$2:$B$12,2),1)))</f>
        <v>-1074</v>
      </c>
      <c r="R3335" s="12">
        <f>IFERROR(Q3335/P3335/IF(E3335="FUTURE",VLOOKUP(MID(I3335,2,2),[1]Futures!$A$2:$B$12,2),1),"")</f>
        <v>17.899999999999999</v>
      </c>
      <c r="S3335" s="13" t="str">
        <f>IF(AND(H3335="TO CLOSE",P3335=0),-G3335*(M3335-R3334)*IF(E3335="FUTURE",VLOOKUP(MID(I3335,2,2),[1]Futures!$A$2:$B$12,2),1),"")</f>
        <v/>
      </c>
    </row>
    <row r="3336" spans="1:19" x14ac:dyDescent="0.2">
      <c r="A3336">
        <f t="shared" si="158"/>
        <v>1077</v>
      </c>
      <c r="B3336" s="3">
        <v>44165</v>
      </c>
      <c r="C3336" s="3" t="str">
        <f t="shared" si="157"/>
        <v>Monday</v>
      </c>
      <c r="D3336" s="2">
        <v>0.48627314814814815</v>
      </c>
      <c r="E3336" t="s">
        <v>22</v>
      </c>
      <c r="F3336" t="s">
        <v>15</v>
      </c>
      <c r="G3336">
        <v>-140</v>
      </c>
      <c r="H3336" t="s">
        <v>20</v>
      </c>
      <c r="I3336" t="s">
        <v>23</v>
      </c>
      <c r="L3336" t="s">
        <v>22</v>
      </c>
      <c r="M3336">
        <v>17.899999999999999</v>
      </c>
      <c r="N3336">
        <v>17.899999999999999</v>
      </c>
      <c r="O3336" t="s">
        <v>21</v>
      </c>
      <c r="P3336">
        <f t="shared" si="159"/>
        <v>-200</v>
      </c>
      <c r="Q3336" s="11">
        <f>IF(P3336=0,0,IFERROR(Q3335+G3336*M3336*IF(E3336="FUTURE",VLOOKUP(MID(I3336,2,2),[1]Futures!$A$2:$B$12,2),1),G3336*M3336*IF(E3336="FUTURE",VLOOKUP(MID(I3336,2,2),[1]Futures!$A$2:$B$12,2),1)))</f>
        <v>-3580</v>
      </c>
      <c r="R3336" s="12">
        <f>IFERROR(Q3336/P3336/IF(E3336="FUTURE",VLOOKUP(MID(I3336,2,2),[1]Futures!$A$2:$B$12,2),1),"")</f>
        <v>17.899999999999999</v>
      </c>
      <c r="S3336" s="13" t="str">
        <f>IF(AND(H3336="TO CLOSE",P3336=0),-G3336*(M3336-R3335)*IF(E3336="FUTURE",VLOOKUP(MID(I3336,2,2),[1]Futures!$A$2:$B$12,2),1),"")</f>
        <v/>
      </c>
    </row>
    <row r="3337" spans="1:19" x14ac:dyDescent="0.2">
      <c r="A3337">
        <f t="shared" si="158"/>
        <v>1077</v>
      </c>
      <c r="B3337" s="3">
        <v>44165</v>
      </c>
      <c r="C3337" s="3" t="str">
        <f t="shared" si="157"/>
        <v>Monday</v>
      </c>
      <c r="D3337" s="2">
        <v>0.49291666666666667</v>
      </c>
      <c r="E3337" t="s">
        <v>22</v>
      </c>
      <c r="F3337" t="s">
        <v>19</v>
      </c>
      <c r="G3337">
        <v>75</v>
      </c>
      <c r="H3337" t="s">
        <v>16</v>
      </c>
      <c r="I3337" t="s">
        <v>23</v>
      </c>
      <c r="L3337" t="s">
        <v>22</v>
      </c>
      <c r="M3337">
        <v>17.715</v>
      </c>
      <c r="N3337">
        <v>17.714929999999999</v>
      </c>
      <c r="O3337" t="s">
        <v>21</v>
      </c>
      <c r="P3337">
        <f t="shared" si="159"/>
        <v>-125</v>
      </c>
      <c r="Q3337" s="11">
        <f>IF(P3337=0,0,IFERROR(Q3336+G3337*M3337*IF(E3337="FUTURE",VLOOKUP(MID(I3337,2,2),[1]Futures!$A$2:$B$12,2),1),G3337*M3337*IF(E3337="FUTURE",VLOOKUP(MID(I3337,2,2),[1]Futures!$A$2:$B$12,2),1)))</f>
        <v>-2251.375</v>
      </c>
      <c r="R3337" s="12">
        <f>IFERROR(Q3337/P3337/IF(E3337="FUTURE",VLOOKUP(MID(I3337,2,2),[1]Futures!$A$2:$B$12,2),1),"")</f>
        <v>18.010999999999999</v>
      </c>
      <c r="S3337" s="13" t="str">
        <f>IF(AND(H3337="TO CLOSE",P3337=0),-G3337*(M3337-R3336)*IF(E3337="FUTURE",VLOOKUP(MID(I3337,2,2),[1]Futures!$A$2:$B$12,2),1),"")</f>
        <v/>
      </c>
    </row>
    <row r="3338" spans="1:19" x14ac:dyDescent="0.2">
      <c r="A3338">
        <f t="shared" si="158"/>
        <v>1077</v>
      </c>
      <c r="B3338" s="3">
        <v>44165</v>
      </c>
      <c r="C3338" s="3" t="str">
        <f t="shared" si="157"/>
        <v>Monday</v>
      </c>
      <c r="D3338" s="2">
        <v>0.49418981481481478</v>
      </c>
      <c r="E3338" t="s">
        <v>22</v>
      </c>
      <c r="F3338" t="s">
        <v>19</v>
      </c>
      <c r="G3338">
        <v>50</v>
      </c>
      <c r="H3338" t="s">
        <v>16</v>
      </c>
      <c r="I3338" t="s">
        <v>23</v>
      </c>
      <c r="L3338" t="s">
        <v>22</v>
      </c>
      <c r="M3338">
        <v>17.64</v>
      </c>
      <c r="N3338">
        <v>17.64</v>
      </c>
      <c r="O3338" t="s">
        <v>21</v>
      </c>
      <c r="P3338">
        <f t="shared" si="159"/>
        <v>-75</v>
      </c>
      <c r="Q3338" s="11">
        <f>IF(P3338=0,0,IFERROR(Q3337+G3338*M3338*IF(E3338="FUTURE",VLOOKUP(MID(I3338,2,2),[1]Futures!$A$2:$B$12,2),1),G3338*M3338*IF(E3338="FUTURE",VLOOKUP(MID(I3338,2,2),[1]Futures!$A$2:$B$12,2),1)))</f>
        <v>-1369.375</v>
      </c>
      <c r="R3338" s="12">
        <f>IFERROR(Q3338/P3338/IF(E3338="FUTURE",VLOOKUP(MID(I3338,2,2),[1]Futures!$A$2:$B$12,2),1),"")</f>
        <v>18.258333333333333</v>
      </c>
      <c r="S3338" s="13" t="str">
        <f>IF(AND(H3338="TO CLOSE",P3338=0),-G3338*(M3338-R3337)*IF(E3338="FUTURE",VLOOKUP(MID(I3338,2,2),[1]Futures!$A$2:$B$12,2),1),"")</f>
        <v/>
      </c>
    </row>
    <row r="3339" spans="1:19" x14ac:dyDescent="0.2">
      <c r="A3339">
        <f t="shared" si="158"/>
        <v>1077</v>
      </c>
      <c r="B3339" s="3">
        <v>44165</v>
      </c>
      <c r="C3339" s="3" t="str">
        <f t="shared" si="157"/>
        <v>Monday</v>
      </c>
      <c r="D3339" s="2">
        <v>0.51293981481481488</v>
      </c>
      <c r="E3339" t="s">
        <v>22</v>
      </c>
      <c r="F3339" t="s">
        <v>19</v>
      </c>
      <c r="G3339">
        <v>25</v>
      </c>
      <c r="H3339" t="s">
        <v>16</v>
      </c>
      <c r="I3339" t="s">
        <v>23</v>
      </c>
      <c r="L3339" t="s">
        <v>22</v>
      </c>
      <c r="M3339">
        <v>17.6099</v>
      </c>
      <c r="N3339">
        <v>17.61</v>
      </c>
      <c r="O3339" t="s">
        <v>24</v>
      </c>
      <c r="P3339">
        <f t="shared" si="159"/>
        <v>-50</v>
      </c>
      <c r="Q3339" s="11">
        <f>IF(P3339=0,0,IFERROR(Q3338+G3339*M3339*IF(E3339="FUTURE",VLOOKUP(MID(I3339,2,2),[1]Futures!$A$2:$B$12,2),1),G3339*M3339*IF(E3339="FUTURE",VLOOKUP(MID(I3339,2,2),[1]Futures!$A$2:$B$12,2),1)))</f>
        <v>-929.12750000000005</v>
      </c>
      <c r="R3339" s="12">
        <f>IFERROR(Q3339/P3339/IF(E3339="FUTURE",VLOOKUP(MID(I3339,2,2),[1]Futures!$A$2:$B$12,2),1),"")</f>
        <v>18.582550000000001</v>
      </c>
      <c r="S3339" s="13" t="str">
        <f>IF(AND(H3339="TO CLOSE",P3339=0),-G3339*(M3339-R3338)*IF(E3339="FUTURE",VLOOKUP(MID(I3339,2,2),[1]Futures!$A$2:$B$12,2),1),"")</f>
        <v/>
      </c>
    </row>
    <row r="3340" spans="1:19" x14ac:dyDescent="0.2">
      <c r="A3340">
        <f t="shared" si="158"/>
        <v>1077</v>
      </c>
      <c r="B3340" s="3">
        <v>44165</v>
      </c>
      <c r="C3340" s="3" t="str">
        <f t="shared" si="157"/>
        <v>Monday</v>
      </c>
      <c r="D3340" s="2">
        <v>0.52239583333333328</v>
      </c>
      <c r="E3340" t="s">
        <v>22</v>
      </c>
      <c r="F3340" t="s">
        <v>19</v>
      </c>
      <c r="G3340">
        <v>50</v>
      </c>
      <c r="H3340" t="s">
        <v>16</v>
      </c>
      <c r="I3340" t="s">
        <v>23</v>
      </c>
      <c r="L3340" t="s">
        <v>22</v>
      </c>
      <c r="M3340">
        <v>17.605599999999999</v>
      </c>
      <c r="N3340">
        <v>17.605599999999999</v>
      </c>
      <c r="O3340" t="s">
        <v>24</v>
      </c>
      <c r="P3340">
        <f t="shared" si="159"/>
        <v>0</v>
      </c>
      <c r="Q3340" s="11">
        <f>IF(P3340=0,0,IFERROR(Q3339+G3340*M3340*IF(E3340="FUTURE",VLOOKUP(MID(I3340,2,2),[1]Futures!$A$2:$B$12,2),1),G3340*M3340*IF(E3340="FUTURE",VLOOKUP(MID(I3340,2,2),[1]Futures!$A$2:$B$12,2),1)))</f>
        <v>0</v>
      </c>
      <c r="R3340" s="12" t="str">
        <f>IFERROR(Q3340/P3340/IF(E3340="FUTURE",VLOOKUP(MID(I3340,2,2),[1]Futures!$A$2:$B$12,2),1),"")</f>
        <v/>
      </c>
      <c r="S3340" s="13">
        <f>IF(AND(H3340="TO CLOSE",P3340=0),-G3340*(M3340-R3339)*IF(E3340="FUTURE",VLOOKUP(MID(I3340,2,2),[1]Futures!$A$2:$B$12,2),1),"")</f>
        <v>48.84750000000011</v>
      </c>
    </row>
    <row r="3341" spans="1:19" x14ac:dyDescent="0.2">
      <c r="A3341">
        <f t="shared" si="158"/>
        <v>1078</v>
      </c>
      <c r="B3341" s="3">
        <v>44166</v>
      </c>
      <c r="C3341" s="3" t="str">
        <f t="shared" si="157"/>
        <v>Tuesday</v>
      </c>
      <c r="D3341" s="2">
        <v>0.39664351851851848</v>
      </c>
      <c r="E3341" t="s">
        <v>14</v>
      </c>
      <c r="F3341" t="s">
        <v>15</v>
      </c>
      <c r="G3341">
        <v>-1</v>
      </c>
      <c r="H3341" t="s">
        <v>20</v>
      </c>
      <c r="I3341" t="s">
        <v>88</v>
      </c>
      <c r="J3341" s="1">
        <v>43851</v>
      </c>
      <c r="L3341" t="s">
        <v>14</v>
      </c>
      <c r="M3341">
        <v>45.01</v>
      </c>
      <c r="N3341">
        <v>45.01</v>
      </c>
      <c r="O3341" t="s">
        <v>21</v>
      </c>
      <c r="P3341">
        <f t="shared" si="159"/>
        <v>-1</v>
      </c>
      <c r="Q3341" s="11">
        <f>IF(P3341=0,0,IFERROR(Q3340+G3341*M3341*IF(E3341="FUTURE",VLOOKUP(MID(I3341,2,2),[1]Futures!$A$2:$B$12,2),1),G3341*M3341*IF(E3341="FUTURE",VLOOKUP(MID(I3341,2,2),[1]Futures!$A$2:$B$12,2),1)))</f>
        <v>-45010</v>
      </c>
      <c r="R3341" s="12">
        <f>IFERROR(Q3341/P3341/IF(E3341="FUTURE",VLOOKUP(MID(I3341,2,2),[1]Futures!$A$2:$B$12,2),1),"")</f>
        <v>45.01</v>
      </c>
      <c r="S3341" s="13" t="str">
        <f>IF(AND(H3341="TO CLOSE",P3341=0),-G3341*(M3341-R3340)*IF(E3341="FUTURE",VLOOKUP(MID(I3341,2,2),[1]Futures!$A$2:$B$12,2),1),"")</f>
        <v/>
      </c>
    </row>
    <row r="3342" spans="1:19" x14ac:dyDescent="0.2">
      <c r="A3342">
        <f t="shared" si="158"/>
        <v>1078</v>
      </c>
      <c r="B3342" s="3">
        <v>44166</v>
      </c>
      <c r="C3342" s="3" t="str">
        <f t="shared" si="157"/>
        <v>Tuesday</v>
      </c>
      <c r="D3342" s="2">
        <v>0.40718750000000004</v>
      </c>
      <c r="E3342" t="s">
        <v>14</v>
      </c>
      <c r="F3342" t="s">
        <v>19</v>
      </c>
      <c r="G3342">
        <v>1</v>
      </c>
      <c r="H3342" t="s">
        <v>16</v>
      </c>
      <c r="I3342" t="s">
        <v>88</v>
      </c>
      <c r="J3342" s="1">
        <v>43851</v>
      </c>
      <c r="L3342" t="s">
        <v>14</v>
      </c>
      <c r="M3342">
        <v>44.99</v>
      </c>
      <c r="N3342">
        <v>44.99</v>
      </c>
      <c r="O3342" t="s">
        <v>21</v>
      </c>
      <c r="P3342">
        <f t="shared" si="159"/>
        <v>0</v>
      </c>
      <c r="Q3342" s="11">
        <f>IF(P3342=0,0,IFERROR(Q3341+G3342*M3342*IF(E3342="FUTURE",VLOOKUP(MID(I3342,2,2),[1]Futures!$A$2:$B$12,2),1),G3342*M3342*IF(E3342="FUTURE",VLOOKUP(MID(I3342,2,2),[1]Futures!$A$2:$B$12,2),1)))</f>
        <v>0</v>
      </c>
      <c r="R3342" s="12" t="str">
        <f>IFERROR(Q3342/P3342/IF(E3342="FUTURE",VLOOKUP(MID(I3342,2,2),[1]Futures!$A$2:$B$12,2),1),"")</f>
        <v/>
      </c>
      <c r="S3342" s="13">
        <f>IF(AND(H3342="TO CLOSE",P3342=0),-G3342*(M3342-R3341)*IF(E3342="FUTURE",VLOOKUP(MID(I3342,2,2),[1]Futures!$A$2:$B$12,2),1),"")</f>
        <v>19.999999999996021</v>
      </c>
    </row>
    <row r="3343" spans="1:19" x14ac:dyDescent="0.2">
      <c r="A3343">
        <f t="shared" si="158"/>
        <v>1079</v>
      </c>
      <c r="B3343" s="3">
        <v>44166</v>
      </c>
      <c r="C3343" s="3" t="str">
        <f t="shared" si="157"/>
        <v>Tuesday</v>
      </c>
      <c r="D3343" s="2">
        <v>0.41500000000000004</v>
      </c>
      <c r="E3343" t="s">
        <v>14</v>
      </c>
      <c r="F3343" t="s">
        <v>15</v>
      </c>
      <c r="G3343">
        <v>-2</v>
      </c>
      <c r="H3343" t="s">
        <v>20</v>
      </c>
      <c r="I3343" t="s">
        <v>88</v>
      </c>
      <c r="J3343" s="1">
        <v>43851</v>
      </c>
      <c r="L3343" t="s">
        <v>14</v>
      </c>
      <c r="M3343">
        <v>44.94</v>
      </c>
      <c r="N3343">
        <v>44.94</v>
      </c>
      <c r="O3343" t="s">
        <v>24</v>
      </c>
      <c r="P3343">
        <f t="shared" si="159"/>
        <v>-2</v>
      </c>
      <c r="Q3343" s="11">
        <f>IF(P3343=0,0,IFERROR(Q3342+G3343*M3343*IF(E3343="FUTURE",VLOOKUP(MID(I3343,2,2),[1]Futures!$A$2:$B$12,2),1),G3343*M3343*IF(E3343="FUTURE",VLOOKUP(MID(I3343,2,2),[1]Futures!$A$2:$B$12,2),1)))</f>
        <v>-89880</v>
      </c>
      <c r="R3343" s="12">
        <f>IFERROR(Q3343/P3343/IF(E3343="FUTURE",VLOOKUP(MID(I3343,2,2),[1]Futures!$A$2:$B$12,2),1),"")</f>
        <v>44.94</v>
      </c>
      <c r="S3343" s="13" t="str">
        <f>IF(AND(H3343="TO CLOSE",P3343=0),-G3343*(M3343-R3342)*IF(E3343="FUTURE",VLOOKUP(MID(I3343,2,2),[1]Futures!$A$2:$B$12,2),1),"")</f>
        <v/>
      </c>
    </row>
    <row r="3344" spans="1:19" x14ac:dyDescent="0.2">
      <c r="A3344">
        <f t="shared" si="158"/>
        <v>1079</v>
      </c>
      <c r="B3344" s="3">
        <v>44166</v>
      </c>
      <c r="C3344" s="3" t="str">
        <f t="shared" si="157"/>
        <v>Tuesday</v>
      </c>
      <c r="D3344" s="2">
        <v>0.41701388888888885</v>
      </c>
      <c r="E3344" t="s">
        <v>14</v>
      </c>
      <c r="F3344" t="s">
        <v>19</v>
      </c>
      <c r="G3344">
        <v>1</v>
      </c>
      <c r="H3344" t="s">
        <v>16</v>
      </c>
      <c r="I3344" t="s">
        <v>88</v>
      </c>
      <c r="J3344" s="1">
        <v>43851</v>
      </c>
      <c r="L3344" t="s">
        <v>14</v>
      </c>
      <c r="M3344">
        <v>44.92</v>
      </c>
      <c r="N3344">
        <v>44.92</v>
      </c>
      <c r="O3344" t="s">
        <v>21</v>
      </c>
      <c r="P3344">
        <f t="shared" si="159"/>
        <v>-1</v>
      </c>
      <c r="Q3344" s="11">
        <f>IF(P3344=0,0,IFERROR(Q3343+G3344*M3344*IF(E3344="FUTURE",VLOOKUP(MID(I3344,2,2),[1]Futures!$A$2:$B$12,2),1),G3344*M3344*IF(E3344="FUTURE",VLOOKUP(MID(I3344,2,2),[1]Futures!$A$2:$B$12,2),1)))</f>
        <v>-44960</v>
      </c>
      <c r="R3344" s="12">
        <f>IFERROR(Q3344/P3344/IF(E3344="FUTURE",VLOOKUP(MID(I3344,2,2),[1]Futures!$A$2:$B$12,2),1),"")</f>
        <v>44.96</v>
      </c>
      <c r="S3344" s="13" t="str">
        <f>IF(AND(H3344="TO CLOSE",P3344=0),-G3344*(M3344-R3343)*IF(E3344="FUTURE",VLOOKUP(MID(I3344,2,2),[1]Futures!$A$2:$B$12,2),1),"")</f>
        <v/>
      </c>
    </row>
    <row r="3345" spans="1:19" x14ac:dyDescent="0.2">
      <c r="A3345">
        <f t="shared" si="158"/>
        <v>1079</v>
      </c>
      <c r="B3345" s="3">
        <v>44166</v>
      </c>
      <c r="C3345" s="3" t="str">
        <f t="shared" si="157"/>
        <v>Tuesday</v>
      </c>
      <c r="D3345" s="2">
        <v>0.41741898148148149</v>
      </c>
      <c r="E3345" t="s">
        <v>14</v>
      </c>
      <c r="F3345" t="s">
        <v>19</v>
      </c>
      <c r="G3345">
        <v>1</v>
      </c>
      <c r="H3345" t="s">
        <v>16</v>
      </c>
      <c r="I3345" t="s">
        <v>88</v>
      </c>
      <c r="J3345" s="1">
        <v>43851</v>
      </c>
      <c r="L3345" t="s">
        <v>14</v>
      </c>
      <c r="M3345">
        <v>44.77</v>
      </c>
      <c r="N3345">
        <v>44.77</v>
      </c>
      <c r="O3345" t="s">
        <v>21</v>
      </c>
      <c r="P3345">
        <f t="shared" si="159"/>
        <v>0</v>
      </c>
      <c r="Q3345" s="11">
        <f>IF(P3345=0,0,IFERROR(Q3344+G3345*M3345*IF(E3345="FUTURE",VLOOKUP(MID(I3345,2,2),[1]Futures!$A$2:$B$12,2),1),G3345*M3345*IF(E3345="FUTURE",VLOOKUP(MID(I3345,2,2),[1]Futures!$A$2:$B$12,2),1)))</f>
        <v>0</v>
      </c>
      <c r="R3345" s="12" t="str">
        <f>IFERROR(Q3345/P3345/IF(E3345="FUTURE",VLOOKUP(MID(I3345,2,2),[1]Futures!$A$2:$B$12,2),1),"")</f>
        <v/>
      </c>
      <c r="S3345" s="13">
        <f>IF(AND(H3345="TO CLOSE",P3345=0),-G3345*(M3345-R3344)*IF(E3345="FUTURE",VLOOKUP(MID(I3345,2,2),[1]Futures!$A$2:$B$12,2),1),"")</f>
        <v>189.99999999999773</v>
      </c>
    </row>
    <row r="3346" spans="1:19" x14ac:dyDescent="0.2">
      <c r="A3346">
        <f t="shared" si="158"/>
        <v>1080</v>
      </c>
      <c r="B3346" s="3">
        <v>44166</v>
      </c>
      <c r="C3346" s="3" t="str">
        <f t="shared" si="157"/>
        <v>Tuesday</v>
      </c>
      <c r="D3346" s="2">
        <v>0.47568287037037038</v>
      </c>
      <c r="E3346" t="s">
        <v>14</v>
      </c>
      <c r="F3346" t="s">
        <v>15</v>
      </c>
      <c r="G3346">
        <v>-1</v>
      </c>
      <c r="H3346" t="s">
        <v>20</v>
      </c>
      <c r="I3346" t="s">
        <v>88</v>
      </c>
      <c r="J3346" s="1">
        <v>43851</v>
      </c>
      <c r="L3346" t="s">
        <v>14</v>
      </c>
      <c r="M3346">
        <v>44.62</v>
      </c>
      <c r="N3346">
        <v>44.62</v>
      </c>
      <c r="O3346" t="s">
        <v>24</v>
      </c>
      <c r="P3346">
        <f t="shared" si="159"/>
        <v>-1</v>
      </c>
      <c r="Q3346" s="11">
        <f>IF(P3346=0,0,IFERROR(Q3345+G3346*M3346*IF(E3346="FUTURE",VLOOKUP(MID(I3346,2,2),[1]Futures!$A$2:$B$12,2),1),G3346*M3346*IF(E3346="FUTURE",VLOOKUP(MID(I3346,2,2),[1]Futures!$A$2:$B$12,2),1)))</f>
        <v>-44620</v>
      </c>
      <c r="R3346" s="12">
        <f>IFERROR(Q3346/P3346/IF(E3346="FUTURE",VLOOKUP(MID(I3346,2,2),[1]Futures!$A$2:$B$12,2),1),"")</f>
        <v>44.62</v>
      </c>
      <c r="S3346" s="13" t="str">
        <f>IF(AND(H3346="TO CLOSE",P3346=0),-G3346*(M3346-R3345)*IF(E3346="FUTURE",VLOOKUP(MID(I3346,2,2),[1]Futures!$A$2:$B$12,2),1),"")</f>
        <v/>
      </c>
    </row>
    <row r="3347" spans="1:19" x14ac:dyDescent="0.2">
      <c r="A3347">
        <f t="shared" si="158"/>
        <v>1080</v>
      </c>
      <c r="B3347" s="3">
        <v>44166</v>
      </c>
      <c r="C3347" s="3" t="str">
        <f t="shared" si="157"/>
        <v>Tuesday</v>
      </c>
      <c r="D3347" s="2">
        <v>0.47802083333333334</v>
      </c>
      <c r="E3347" t="s">
        <v>14</v>
      </c>
      <c r="F3347" t="s">
        <v>19</v>
      </c>
      <c r="G3347">
        <v>1</v>
      </c>
      <c r="H3347" t="s">
        <v>16</v>
      </c>
      <c r="I3347" t="s">
        <v>88</v>
      </c>
      <c r="J3347" s="1">
        <v>43851</v>
      </c>
      <c r="L3347" t="s">
        <v>14</v>
      </c>
      <c r="M3347">
        <v>44.58</v>
      </c>
      <c r="N3347">
        <v>44.58</v>
      </c>
      <c r="O3347" t="s">
        <v>21</v>
      </c>
      <c r="P3347">
        <f t="shared" si="159"/>
        <v>0</v>
      </c>
      <c r="Q3347" s="11">
        <f>IF(P3347=0,0,IFERROR(Q3346+G3347*M3347*IF(E3347="FUTURE",VLOOKUP(MID(I3347,2,2),[1]Futures!$A$2:$B$12,2),1),G3347*M3347*IF(E3347="FUTURE",VLOOKUP(MID(I3347,2,2),[1]Futures!$A$2:$B$12,2),1)))</f>
        <v>0</v>
      </c>
      <c r="R3347" s="12" t="str">
        <f>IFERROR(Q3347/P3347/IF(E3347="FUTURE",VLOOKUP(MID(I3347,2,2),[1]Futures!$A$2:$B$12,2),1),"")</f>
        <v/>
      </c>
      <c r="S3347" s="13">
        <f>IF(AND(H3347="TO CLOSE",P3347=0),-G3347*(M3347-R3346)*IF(E3347="FUTURE",VLOOKUP(MID(I3347,2,2),[1]Futures!$A$2:$B$12,2),1),"")</f>
        <v>39.999999999999147</v>
      </c>
    </row>
    <row r="3348" spans="1:19" x14ac:dyDescent="0.2">
      <c r="A3348">
        <f t="shared" si="158"/>
        <v>1081</v>
      </c>
      <c r="B3348" s="3">
        <v>44166</v>
      </c>
      <c r="C3348" s="3" t="str">
        <f t="shared" si="157"/>
        <v>Tuesday</v>
      </c>
      <c r="D3348" s="2">
        <v>0.55563657407407407</v>
      </c>
      <c r="E3348" t="s">
        <v>14</v>
      </c>
      <c r="F3348" t="s">
        <v>15</v>
      </c>
      <c r="G3348">
        <v>-1</v>
      </c>
      <c r="H3348" t="s">
        <v>20</v>
      </c>
      <c r="I3348" t="s">
        <v>85</v>
      </c>
      <c r="J3348" s="1">
        <v>44185</v>
      </c>
      <c r="L3348" t="s">
        <v>14</v>
      </c>
      <c r="M3348">
        <v>3667</v>
      </c>
      <c r="N3348">
        <v>3667</v>
      </c>
      <c r="O3348" t="s">
        <v>21</v>
      </c>
      <c r="P3348">
        <f t="shared" si="159"/>
        <v>-1</v>
      </c>
      <c r="Q3348" s="11">
        <f>IF(P3348=0,0,IFERROR(Q3347+G3348*M3348*IF(E3348="FUTURE",VLOOKUP(MID(I3348,2,2),[1]Futures!$A$2:$B$12,2),1),G3348*M3348*IF(E3348="FUTURE",VLOOKUP(MID(I3348,2,2),[1]Futures!$A$2:$B$12,2),1)))</f>
        <v>-183350</v>
      </c>
      <c r="R3348" s="12">
        <f>IFERROR(Q3348/P3348/IF(E3348="FUTURE",VLOOKUP(MID(I3348,2,2),[1]Futures!$A$2:$B$12,2),1),"")</f>
        <v>3667</v>
      </c>
      <c r="S3348" s="13" t="str">
        <f>IF(AND(H3348="TO CLOSE",P3348=0),-G3348*(M3348-R3347)*IF(E3348="FUTURE",VLOOKUP(MID(I3348,2,2),[1]Futures!$A$2:$B$12,2),1),"")</f>
        <v/>
      </c>
    </row>
    <row r="3349" spans="1:19" x14ac:dyDescent="0.2">
      <c r="A3349">
        <f t="shared" si="158"/>
        <v>1081</v>
      </c>
      <c r="B3349" s="3">
        <v>44166</v>
      </c>
      <c r="C3349" s="3" t="str">
        <f t="shared" si="157"/>
        <v>Tuesday</v>
      </c>
      <c r="D3349" s="2">
        <v>0.62638888888888888</v>
      </c>
      <c r="E3349" t="s">
        <v>14</v>
      </c>
      <c r="F3349" t="s">
        <v>19</v>
      </c>
      <c r="G3349">
        <v>1</v>
      </c>
      <c r="H3349" t="s">
        <v>16</v>
      </c>
      <c r="I3349" t="s">
        <v>85</v>
      </c>
      <c r="J3349" s="1">
        <v>44185</v>
      </c>
      <c r="L3349" t="s">
        <v>14</v>
      </c>
      <c r="M3349">
        <v>3666</v>
      </c>
      <c r="N3349">
        <v>3666</v>
      </c>
      <c r="O3349" t="s">
        <v>21</v>
      </c>
      <c r="P3349">
        <f t="shared" si="159"/>
        <v>0</v>
      </c>
      <c r="Q3349" s="11">
        <f>IF(P3349=0,0,IFERROR(Q3348+G3349*M3349*IF(E3349="FUTURE",VLOOKUP(MID(I3349,2,2),[1]Futures!$A$2:$B$12,2),1),G3349*M3349*IF(E3349="FUTURE",VLOOKUP(MID(I3349,2,2),[1]Futures!$A$2:$B$12,2),1)))</f>
        <v>0</v>
      </c>
      <c r="R3349" s="12" t="str">
        <f>IFERROR(Q3349/P3349/IF(E3349="FUTURE",VLOOKUP(MID(I3349,2,2),[1]Futures!$A$2:$B$12,2),1),"")</f>
        <v/>
      </c>
      <c r="S3349" s="13">
        <f>IF(AND(H3349="TO CLOSE",P3349=0),-G3349*(M3349-R3348)*IF(E3349="FUTURE",VLOOKUP(MID(I3349,2,2),[1]Futures!$A$2:$B$12,2),1),"")</f>
        <v>50</v>
      </c>
    </row>
    <row r="3350" spans="1:19" x14ac:dyDescent="0.2">
      <c r="A3350">
        <f t="shared" si="158"/>
        <v>1082</v>
      </c>
      <c r="B3350" s="3">
        <v>44166</v>
      </c>
      <c r="C3350" s="3" t="str">
        <f t="shared" si="157"/>
        <v>Tuesday</v>
      </c>
      <c r="D3350" s="2">
        <v>0.39737268518518515</v>
      </c>
      <c r="E3350" t="s">
        <v>14</v>
      </c>
      <c r="F3350" t="s">
        <v>15</v>
      </c>
      <c r="G3350">
        <v>-2</v>
      </c>
      <c r="H3350" t="s">
        <v>20</v>
      </c>
      <c r="I3350" t="s">
        <v>87</v>
      </c>
      <c r="J3350" s="1">
        <v>44185</v>
      </c>
      <c r="L3350" t="s">
        <v>14</v>
      </c>
      <c r="M3350">
        <v>3655.75</v>
      </c>
      <c r="N3350">
        <v>3655.75</v>
      </c>
      <c r="O3350" t="s">
        <v>21</v>
      </c>
      <c r="P3350">
        <f t="shared" si="159"/>
        <v>-2</v>
      </c>
      <c r="Q3350" s="11">
        <f>IF(P3350=0,0,IFERROR(Q3349+G3350*M3350*IF(E3350="FUTURE",VLOOKUP(MID(I3350,2,2),[1]Futures!$A$2:$B$12,2),1),G3350*M3350*IF(E3350="FUTURE",VLOOKUP(MID(I3350,2,2),[1]Futures!$A$2:$B$12,2),1)))</f>
        <v>-36557.5</v>
      </c>
      <c r="R3350" s="12">
        <f>IFERROR(Q3350/P3350/IF(E3350="FUTURE",VLOOKUP(MID(I3350,2,2),[1]Futures!$A$2:$B$12,2),1),"")</f>
        <v>3655.75</v>
      </c>
      <c r="S3350" s="13" t="str">
        <f>IF(AND(H3350="TO CLOSE",P3350=0),-G3350*(M3350-R3349)*IF(E3350="FUTURE",VLOOKUP(MID(I3350,2,2),[1]Futures!$A$2:$B$12,2),1),"")</f>
        <v/>
      </c>
    </row>
    <row r="3351" spans="1:19" x14ac:dyDescent="0.2">
      <c r="A3351">
        <f t="shared" si="158"/>
        <v>1082</v>
      </c>
      <c r="B3351" s="3">
        <v>44166</v>
      </c>
      <c r="C3351" s="3" t="str">
        <f t="shared" si="157"/>
        <v>Tuesday</v>
      </c>
      <c r="D3351" s="2">
        <v>0.41068287037037038</v>
      </c>
      <c r="E3351" t="s">
        <v>14</v>
      </c>
      <c r="F3351" t="s">
        <v>15</v>
      </c>
      <c r="G3351">
        <v>-1</v>
      </c>
      <c r="H3351" t="s">
        <v>20</v>
      </c>
      <c r="I3351" t="s">
        <v>87</v>
      </c>
      <c r="J3351" s="1">
        <v>44185</v>
      </c>
      <c r="L3351" t="s">
        <v>14</v>
      </c>
      <c r="M3351">
        <v>3661.75</v>
      </c>
      <c r="N3351">
        <v>3661.75</v>
      </c>
      <c r="O3351" t="s">
        <v>21</v>
      </c>
      <c r="P3351">
        <f t="shared" si="159"/>
        <v>-3</v>
      </c>
      <c r="Q3351" s="11">
        <f>IF(P3351=0,0,IFERROR(Q3350+G3351*M3351*IF(E3351="FUTURE",VLOOKUP(MID(I3351,2,2),[1]Futures!$A$2:$B$12,2),1),G3351*M3351*IF(E3351="FUTURE",VLOOKUP(MID(I3351,2,2),[1]Futures!$A$2:$B$12,2),1)))</f>
        <v>-54866.25</v>
      </c>
      <c r="R3351" s="12">
        <f>IFERROR(Q3351/P3351/IF(E3351="FUTURE",VLOOKUP(MID(I3351,2,2),[1]Futures!$A$2:$B$12,2),1),"")</f>
        <v>3657.75</v>
      </c>
      <c r="S3351" s="13" t="str">
        <f>IF(AND(H3351="TO CLOSE",P3351=0),-G3351*(M3351-R3350)*IF(E3351="FUTURE",VLOOKUP(MID(I3351,2,2),[1]Futures!$A$2:$B$12,2),1),"")</f>
        <v/>
      </c>
    </row>
    <row r="3352" spans="1:19" x14ac:dyDescent="0.2">
      <c r="A3352">
        <f t="shared" si="158"/>
        <v>1082</v>
      </c>
      <c r="B3352" s="3">
        <v>44166</v>
      </c>
      <c r="C3352" s="3" t="str">
        <f t="shared" si="157"/>
        <v>Tuesday</v>
      </c>
      <c r="D3352" s="2">
        <v>0.42170138888888892</v>
      </c>
      <c r="E3352" t="s">
        <v>14</v>
      </c>
      <c r="F3352" t="s">
        <v>15</v>
      </c>
      <c r="G3352">
        <v>-1</v>
      </c>
      <c r="H3352" t="s">
        <v>20</v>
      </c>
      <c r="I3352" t="s">
        <v>87</v>
      </c>
      <c r="J3352" s="1">
        <v>44185</v>
      </c>
      <c r="L3352" t="s">
        <v>14</v>
      </c>
      <c r="M3352">
        <v>3667.75</v>
      </c>
      <c r="N3352">
        <v>3667.75</v>
      </c>
      <c r="O3352" t="s">
        <v>21</v>
      </c>
      <c r="P3352">
        <f t="shared" si="159"/>
        <v>-4</v>
      </c>
      <c r="Q3352" s="11">
        <f>IF(P3352=0,0,IFERROR(Q3351+G3352*M3352*IF(E3352="FUTURE",VLOOKUP(MID(I3352,2,2),[1]Futures!$A$2:$B$12,2),1),G3352*M3352*IF(E3352="FUTURE",VLOOKUP(MID(I3352,2,2),[1]Futures!$A$2:$B$12,2),1)))</f>
        <v>-73205</v>
      </c>
      <c r="R3352" s="12">
        <f>IFERROR(Q3352/P3352/IF(E3352="FUTURE",VLOOKUP(MID(I3352,2,2),[1]Futures!$A$2:$B$12,2),1),"")</f>
        <v>3660.25</v>
      </c>
      <c r="S3352" s="13" t="str">
        <f>IF(AND(H3352="TO CLOSE",P3352=0),-G3352*(M3352-R3351)*IF(E3352="FUTURE",VLOOKUP(MID(I3352,2,2),[1]Futures!$A$2:$B$12,2),1),"")</f>
        <v/>
      </c>
    </row>
    <row r="3353" spans="1:19" x14ac:dyDescent="0.2">
      <c r="A3353">
        <f t="shared" si="158"/>
        <v>1082</v>
      </c>
      <c r="B3353" s="3">
        <v>44166</v>
      </c>
      <c r="C3353" s="3" t="str">
        <f t="shared" si="157"/>
        <v>Tuesday</v>
      </c>
      <c r="D3353" s="2">
        <v>0.43122685185185183</v>
      </c>
      <c r="E3353" t="s">
        <v>14</v>
      </c>
      <c r="F3353" t="s">
        <v>15</v>
      </c>
      <c r="G3353">
        <v>-1</v>
      </c>
      <c r="H3353" t="s">
        <v>20</v>
      </c>
      <c r="I3353" t="s">
        <v>87</v>
      </c>
      <c r="J3353" s="1">
        <v>44185</v>
      </c>
      <c r="L3353" t="s">
        <v>14</v>
      </c>
      <c r="M3353">
        <v>3672.75</v>
      </c>
      <c r="N3353">
        <v>3672.75</v>
      </c>
      <c r="O3353" t="s">
        <v>21</v>
      </c>
      <c r="P3353">
        <f t="shared" si="159"/>
        <v>-5</v>
      </c>
      <c r="Q3353" s="11">
        <f>IF(P3353=0,0,IFERROR(Q3352+G3353*M3353*IF(E3353="FUTURE",VLOOKUP(MID(I3353,2,2),[1]Futures!$A$2:$B$12,2),1),G3353*M3353*IF(E3353="FUTURE",VLOOKUP(MID(I3353,2,2),[1]Futures!$A$2:$B$12,2),1)))</f>
        <v>-91568.75</v>
      </c>
      <c r="R3353" s="12">
        <f>IFERROR(Q3353/P3353/IF(E3353="FUTURE",VLOOKUP(MID(I3353,2,2),[1]Futures!$A$2:$B$12,2),1),"")</f>
        <v>3662.75</v>
      </c>
      <c r="S3353" s="13" t="str">
        <f>IF(AND(H3353="TO CLOSE",P3353=0),-G3353*(M3353-R3352)*IF(E3353="FUTURE",VLOOKUP(MID(I3353,2,2),[1]Futures!$A$2:$B$12,2),1),"")</f>
        <v/>
      </c>
    </row>
    <row r="3354" spans="1:19" x14ac:dyDescent="0.2">
      <c r="A3354">
        <f t="shared" si="158"/>
        <v>1082</v>
      </c>
      <c r="B3354" s="3">
        <v>44166</v>
      </c>
      <c r="C3354" s="3" t="str">
        <f t="shared" si="157"/>
        <v>Tuesday</v>
      </c>
      <c r="D3354" s="2">
        <v>0.45061342592592596</v>
      </c>
      <c r="E3354" t="s">
        <v>14</v>
      </c>
      <c r="F3354" t="s">
        <v>19</v>
      </c>
      <c r="G3354">
        <v>1</v>
      </c>
      <c r="H3354" t="s">
        <v>16</v>
      </c>
      <c r="I3354" t="s">
        <v>87</v>
      </c>
      <c r="J3354" s="1">
        <v>44185</v>
      </c>
      <c r="L3354" t="s">
        <v>14</v>
      </c>
      <c r="M3354">
        <v>3659.5</v>
      </c>
      <c r="N3354">
        <v>3659.5</v>
      </c>
      <c r="O3354" t="s">
        <v>21</v>
      </c>
      <c r="P3354">
        <f t="shared" si="159"/>
        <v>-4</v>
      </c>
      <c r="Q3354" s="11">
        <f>IF(P3354=0,0,IFERROR(Q3353+G3354*M3354*IF(E3354="FUTURE",VLOOKUP(MID(I3354,2,2),[1]Futures!$A$2:$B$12,2),1),G3354*M3354*IF(E3354="FUTURE",VLOOKUP(MID(I3354,2,2),[1]Futures!$A$2:$B$12,2),1)))</f>
        <v>-73271.25</v>
      </c>
      <c r="R3354" s="12">
        <f>IFERROR(Q3354/P3354/IF(E3354="FUTURE",VLOOKUP(MID(I3354,2,2),[1]Futures!$A$2:$B$12,2),1),"")</f>
        <v>3663.5625</v>
      </c>
      <c r="S3354" s="13" t="str">
        <f>IF(AND(H3354="TO CLOSE",P3354=0),-G3354*(M3354-R3353)*IF(E3354="FUTURE",VLOOKUP(MID(I3354,2,2),[1]Futures!$A$2:$B$12,2),1),"")</f>
        <v/>
      </c>
    </row>
    <row r="3355" spans="1:19" x14ac:dyDescent="0.2">
      <c r="A3355">
        <f t="shared" si="158"/>
        <v>1082</v>
      </c>
      <c r="B3355" s="3">
        <v>44166</v>
      </c>
      <c r="C3355" s="3" t="str">
        <f t="shared" si="157"/>
        <v>Tuesday</v>
      </c>
      <c r="D3355" s="2">
        <v>0.46537037037037038</v>
      </c>
      <c r="E3355" t="s">
        <v>14</v>
      </c>
      <c r="F3355" t="s">
        <v>15</v>
      </c>
      <c r="G3355">
        <v>-1</v>
      </c>
      <c r="H3355" t="s">
        <v>20</v>
      </c>
      <c r="I3355" t="s">
        <v>87</v>
      </c>
      <c r="J3355" s="1">
        <v>44185</v>
      </c>
      <c r="L3355" t="s">
        <v>14</v>
      </c>
      <c r="M3355">
        <v>3669.5</v>
      </c>
      <c r="N3355">
        <v>3669.5</v>
      </c>
      <c r="O3355" t="s">
        <v>21</v>
      </c>
      <c r="P3355">
        <f t="shared" si="159"/>
        <v>-5</v>
      </c>
      <c r="Q3355" s="11">
        <f>IF(P3355=0,0,IFERROR(Q3354+G3355*M3355*IF(E3355="FUTURE",VLOOKUP(MID(I3355,2,2),[1]Futures!$A$2:$B$12,2),1),G3355*M3355*IF(E3355="FUTURE",VLOOKUP(MID(I3355,2,2),[1]Futures!$A$2:$B$12,2),1)))</f>
        <v>-91618.75</v>
      </c>
      <c r="R3355" s="12">
        <f>IFERROR(Q3355/P3355/IF(E3355="FUTURE",VLOOKUP(MID(I3355,2,2),[1]Futures!$A$2:$B$12,2),1),"")</f>
        <v>3664.75</v>
      </c>
      <c r="S3355" s="13" t="str">
        <f>IF(AND(H3355="TO CLOSE",P3355=0),-G3355*(M3355-R3354)*IF(E3355="FUTURE",VLOOKUP(MID(I3355,2,2),[1]Futures!$A$2:$B$12,2),1),"")</f>
        <v/>
      </c>
    </row>
    <row r="3356" spans="1:19" x14ac:dyDescent="0.2">
      <c r="A3356">
        <f t="shared" si="158"/>
        <v>1082</v>
      </c>
      <c r="B3356" s="3">
        <v>44166</v>
      </c>
      <c r="C3356" s="3" t="str">
        <f t="shared" si="157"/>
        <v>Tuesday</v>
      </c>
      <c r="D3356" s="2">
        <v>0.50089120370370377</v>
      </c>
      <c r="E3356" t="s">
        <v>14</v>
      </c>
      <c r="F3356" t="s">
        <v>19</v>
      </c>
      <c r="G3356">
        <v>1</v>
      </c>
      <c r="H3356" t="s">
        <v>16</v>
      </c>
      <c r="I3356" t="s">
        <v>87</v>
      </c>
      <c r="J3356" s="1">
        <v>44185</v>
      </c>
      <c r="L3356" t="s">
        <v>14</v>
      </c>
      <c r="M3356">
        <v>3663.5</v>
      </c>
      <c r="N3356">
        <v>3663.5</v>
      </c>
      <c r="O3356" t="s">
        <v>21</v>
      </c>
      <c r="P3356">
        <f t="shared" si="159"/>
        <v>-4</v>
      </c>
      <c r="Q3356" s="11">
        <f>IF(P3356=0,0,IFERROR(Q3355+G3356*M3356*IF(E3356="FUTURE",VLOOKUP(MID(I3356,2,2),[1]Futures!$A$2:$B$12,2),1),G3356*M3356*IF(E3356="FUTURE",VLOOKUP(MID(I3356,2,2),[1]Futures!$A$2:$B$12,2),1)))</f>
        <v>-73301.25</v>
      </c>
      <c r="R3356" s="12">
        <f>IFERROR(Q3356/P3356/IF(E3356="FUTURE",VLOOKUP(MID(I3356,2,2),[1]Futures!$A$2:$B$12,2),1),"")</f>
        <v>3665.0625</v>
      </c>
      <c r="S3356" s="13" t="str">
        <f>IF(AND(H3356="TO CLOSE",P3356=0),-G3356*(M3356-R3355)*IF(E3356="FUTURE",VLOOKUP(MID(I3356,2,2),[1]Futures!$A$2:$B$12,2),1),"")</f>
        <v/>
      </c>
    </row>
    <row r="3357" spans="1:19" x14ac:dyDescent="0.2">
      <c r="A3357">
        <f t="shared" si="158"/>
        <v>1082</v>
      </c>
      <c r="B3357" s="3">
        <v>44166</v>
      </c>
      <c r="C3357" s="3" t="str">
        <f t="shared" si="157"/>
        <v>Tuesday</v>
      </c>
      <c r="D3357" s="2">
        <v>0.54193287037037041</v>
      </c>
      <c r="E3357" t="s">
        <v>14</v>
      </c>
      <c r="F3357" t="s">
        <v>15</v>
      </c>
      <c r="G3357">
        <v>-1</v>
      </c>
      <c r="H3357" t="s">
        <v>20</v>
      </c>
      <c r="I3357" t="s">
        <v>87</v>
      </c>
      <c r="J3357" s="1">
        <v>44185</v>
      </c>
      <c r="L3357" t="s">
        <v>14</v>
      </c>
      <c r="M3357">
        <v>3666</v>
      </c>
      <c r="N3357">
        <v>3666</v>
      </c>
      <c r="O3357" t="s">
        <v>21</v>
      </c>
      <c r="P3357">
        <f t="shared" si="159"/>
        <v>-5</v>
      </c>
      <c r="Q3357" s="11">
        <f>IF(P3357=0,0,IFERROR(Q3356+G3357*M3357*IF(E3357="FUTURE",VLOOKUP(MID(I3357,2,2),[1]Futures!$A$2:$B$12,2),1),G3357*M3357*IF(E3357="FUTURE",VLOOKUP(MID(I3357,2,2),[1]Futures!$A$2:$B$12,2),1)))</f>
        <v>-91631.25</v>
      </c>
      <c r="R3357" s="12">
        <f>IFERROR(Q3357/P3357/IF(E3357="FUTURE",VLOOKUP(MID(I3357,2,2),[1]Futures!$A$2:$B$12,2),1),"")</f>
        <v>3665.25</v>
      </c>
      <c r="S3357" s="13" t="str">
        <f>IF(AND(H3357="TO CLOSE",P3357=0),-G3357*(M3357-R3356)*IF(E3357="FUTURE",VLOOKUP(MID(I3357,2,2),[1]Futures!$A$2:$B$12,2),1),"")</f>
        <v/>
      </c>
    </row>
    <row r="3358" spans="1:19" x14ac:dyDescent="0.2">
      <c r="A3358">
        <f t="shared" si="158"/>
        <v>1082</v>
      </c>
      <c r="B3358" s="3">
        <v>44166</v>
      </c>
      <c r="C3358" s="3" t="str">
        <f t="shared" si="157"/>
        <v>Tuesday</v>
      </c>
      <c r="D3358" s="2">
        <v>0.62890046296296298</v>
      </c>
      <c r="E3358" t="s">
        <v>14</v>
      </c>
      <c r="F3358" t="s">
        <v>19</v>
      </c>
      <c r="G3358">
        <v>1</v>
      </c>
      <c r="H3358" t="s">
        <v>16</v>
      </c>
      <c r="I3358" t="s">
        <v>87</v>
      </c>
      <c r="J3358" s="1">
        <v>44185</v>
      </c>
      <c r="L3358" t="s">
        <v>14</v>
      </c>
      <c r="M3358">
        <v>3663</v>
      </c>
      <c r="N3358">
        <v>3663</v>
      </c>
      <c r="O3358" t="s">
        <v>21</v>
      </c>
      <c r="P3358">
        <f t="shared" si="159"/>
        <v>-4</v>
      </c>
      <c r="Q3358" s="11">
        <f>IF(P3358=0,0,IFERROR(Q3357+G3358*M3358*IF(E3358="FUTURE",VLOOKUP(MID(I3358,2,2),[1]Futures!$A$2:$B$12,2),1),G3358*M3358*IF(E3358="FUTURE",VLOOKUP(MID(I3358,2,2),[1]Futures!$A$2:$B$12,2),1)))</f>
        <v>-73316.25</v>
      </c>
      <c r="R3358" s="12">
        <f>IFERROR(Q3358/P3358/IF(E3358="FUTURE",VLOOKUP(MID(I3358,2,2),[1]Futures!$A$2:$B$12,2),1),"")</f>
        <v>3665.8125</v>
      </c>
      <c r="S3358" s="13" t="str">
        <f>IF(AND(H3358="TO CLOSE",P3358=0),-G3358*(M3358-R3357)*IF(E3358="FUTURE",VLOOKUP(MID(I3358,2,2),[1]Futures!$A$2:$B$12,2),1),"")</f>
        <v/>
      </c>
    </row>
    <row r="3359" spans="1:19" x14ac:dyDescent="0.2">
      <c r="A3359">
        <f t="shared" si="158"/>
        <v>1082</v>
      </c>
      <c r="B3359" s="3">
        <v>44166</v>
      </c>
      <c r="C3359" s="3" t="str">
        <f t="shared" si="157"/>
        <v>Tuesday</v>
      </c>
      <c r="D3359" s="2">
        <v>0.62906249999999997</v>
      </c>
      <c r="E3359" t="s">
        <v>14</v>
      </c>
      <c r="F3359" t="s">
        <v>19</v>
      </c>
      <c r="G3359">
        <v>1</v>
      </c>
      <c r="H3359" t="s">
        <v>16</v>
      </c>
      <c r="I3359" t="s">
        <v>87</v>
      </c>
      <c r="J3359" s="1">
        <v>44185</v>
      </c>
      <c r="L3359" t="s">
        <v>14</v>
      </c>
      <c r="M3359">
        <v>3662.5</v>
      </c>
      <c r="N3359">
        <v>3662.5</v>
      </c>
      <c r="O3359" t="s">
        <v>21</v>
      </c>
      <c r="P3359">
        <f t="shared" si="159"/>
        <v>-3</v>
      </c>
      <c r="Q3359" s="11">
        <f>IF(P3359=0,0,IFERROR(Q3358+G3359*M3359*IF(E3359="FUTURE",VLOOKUP(MID(I3359,2,2),[1]Futures!$A$2:$B$12,2),1),G3359*M3359*IF(E3359="FUTURE",VLOOKUP(MID(I3359,2,2),[1]Futures!$A$2:$B$12,2),1)))</f>
        <v>-55003.75</v>
      </c>
      <c r="R3359" s="12">
        <f>IFERROR(Q3359/P3359/IF(E3359="FUTURE",VLOOKUP(MID(I3359,2,2),[1]Futures!$A$2:$B$12,2),1),"")</f>
        <v>3666.9166666666665</v>
      </c>
      <c r="S3359" s="13" t="str">
        <f>IF(AND(H3359="TO CLOSE",P3359=0),-G3359*(M3359-R3358)*IF(E3359="FUTURE",VLOOKUP(MID(I3359,2,2),[1]Futures!$A$2:$B$12,2),1),"")</f>
        <v/>
      </c>
    </row>
    <row r="3360" spans="1:19" x14ac:dyDescent="0.2">
      <c r="A3360">
        <f t="shared" si="158"/>
        <v>1082</v>
      </c>
      <c r="B3360" s="3">
        <v>44166</v>
      </c>
      <c r="C3360" s="3" t="str">
        <f t="shared" si="157"/>
        <v>Tuesday</v>
      </c>
      <c r="D3360" s="2">
        <v>0.62936342592592587</v>
      </c>
      <c r="E3360" t="s">
        <v>14</v>
      </c>
      <c r="F3360" t="s">
        <v>19</v>
      </c>
      <c r="G3360">
        <v>1</v>
      </c>
      <c r="H3360" t="s">
        <v>16</v>
      </c>
      <c r="I3360" t="s">
        <v>87</v>
      </c>
      <c r="J3360" s="1">
        <v>44185</v>
      </c>
      <c r="L3360" t="s">
        <v>14</v>
      </c>
      <c r="M3360">
        <v>3661.5</v>
      </c>
      <c r="N3360">
        <v>3661.5</v>
      </c>
      <c r="O3360" t="s">
        <v>21</v>
      </c>
      <c r="P3360">
        <f t="shared" si="159"/>
        <v>-2</v>
      </c>
      <c r="Q3360" s="11">
        <f>IF(P3360=0,0,IFERROR(Q3359+G3360*M3360*IF(E3360="FUTURE",VLOOKUP(MID(I3360,2,2),[1]Futures!$A$2:$B$12,2),1),G3360*M3360*IF(E3360="FUTURE",VLOOKUP(MID(I3360,2,2),[1]Futures!$A$2:$B$12,2),1)))</f>
        <v>-36696.25</v>
      </c>
      <c r="R3360" s="12">
        <f>IFERROR(Q3360/P3360/IF(E3360="FUTURE",VLOOKUP(MID(I3360,2,2),[1]Futures!$A$2:$B$12,2),1),"")</f>
        <v>3669.625</v>
      </c>
      <c r="S3360" s="13" t="str">
        <f>IF(AND(H3360="TO CLOSE",P3360=0),-G3360*(M3360-R3359)*IF(E3360="FUTURE",VLOOKUP(MID(I3360,2,2),[1]Futures!$A$2:$B$12,2),1),"")</f>
        <v/>
      </c>
    </row>
    <row r="3361" spans="1:19" x14ac:dyDescent="0.2">
      <c r="A3361">
        <f t="shared" si="158"/>
        <v>1082</v>
      </c>
      <c r="B3361" s="3">
        <v>44166</v>
      </c>
      <c r="C3361" s="3" t="str">
        <f t="shared" si="157"/>
        <v>Tuesday</v>
      </c>
      <c r="D3361" s="2">
        <v>0.63013888888888892</v>
      </c>
      <c r="E3361" t="s">
        <v>14</v>
      </c>
      <c r="F3361" t="s">
        <v>19</v>
      </c>
      <c r="G3361">
        <v>1</v>
      </c>
      <c r="H3361" t="s">
        <v>16</v>
      </c>
      <c r="I3361" t="s">
        <v>87</v>
      </c>
      <c r="J3361" s="1">
        <v>44185</v>
      </c>
      <c r="L3361" t="s">
        <v>14</v>
      </c>
      <c r="M3361">
        <v>3660.25</v>
      </c>
      <c r="N3361">
        <v>3660.25</v>
      </c>
      <c r="O3361" t="s">
        <v>21</v>
      </c>
      <c r="P3361">
        <f t="shared" si="159"/>
        <v>-1</v>
      </c>
      <c r="Q3361" s="11">
        <f>IF(P3361=0,0,IFERROR(Q3360+G3361*M3361*IF(E3361="FUTURE",VLOOKUP(MID(I3361,2,2),[1]Futures!$A$2:$B$12,2),1),G3361*M3361*IF(E3361="FUTURE",VLOOKUP(MID(I3361,2,2),[1]Futures!$A$2:$B$12,2),1)))</f>
        <v>-18395</v>
      </c>
      <c r="R3361" s="12">
        <f>IFERROR(Q3361/P3361/IF(E3361="FUTURE",VLOOKUP(MID(I3361,2,2),[1]Futures!$A$2:$B$12,2),1),"")</f>
        <v>3679</v>
      </c>
      <c r="S3361" s="13" t="str">
        <f>IF(AND(H3361="TO CLOSE",P3361=0),-G3361*(M3361-R3360)*IF(E3361="FUTURE",VLOOKUP(MID(I3361,2,2),[1]Futures!$A$2:$B$12,2),1),"")</f>
        <v/>
      </c>
    </row>
    <row r="3362" spans="1:19" x14ac:dyDescent="0.2">
      <c r="A3362">
        <f t="shared" si="158"/>
        <v>1082</v>
      </c>
      <c r="B3362" s="3">
        <v>44166</v>
      </c>
      <c r="C3362" s="3" t="str">
        <f t="shared" ref="C3362:C3425" si="160">IF(WEEKDAY(B3362,2)=1,"Monday",IF(WEEKDAY(B3362,2)=2,"Tuesday",IF(WEEKDAY(B3362,2)=3,"Wednesday",IF(WEEKDAY(B3362,2)=4,"Thursday",IF(WEEKDAY(B3362,2)=5,"Friday","Sunday")))))</f>
        <v>Tuesday</v>
      </c>
      <c r="D3362" s="2">
        <v>0.63037037037037036</v>
      </c>
      <c r="E3362" t="s">
        <v>14</v>
      </c>
      <c r="F3362" t="s">
        <v>19</v>
      </c>
      <c r="G3362">
        <v>1</v>
      </c>
      <c r="H3362" t="s">
        <v>16</v>
      </c>
      <c r="I3362" t="s">
        <v>87</v>
      </c>
      <c r="J3362" s="1">
        <v>44185</v>
      </c>
      <c r="L3362" t="s">
        <v>14</v>
      </c>
      <c r="M3362">
        <v>3660.5</v>
      </c>
      <c r="N3362">
        <v>3660.5</v>
      </c>
      <c r="O3362" t="s">
        <v>24</v>
      </c>
      <c r="P3362">
        <f t="shared" si="159"/>
        <v>0</v>
      </c>
      <c r="Q3362" s="11">
        <f>IF(P3362=0,0,IFERROR(Q3361+G3362*M3362*IF(E3362="FUTURE",VLOOKUP(MID(I3362,2,2),[1]Futures!$A$2:$B$12,2),1),G3362*M3362*IF(E3362="FUTURE",VLOOKUP(MID(I3362,2,2),[1]Futures!$A$2:$B$12,2),1)))</f>
        <v>0</v>
      </c>
      <c r="R3362" s="12" t="str">
        <f>IFERROR(Q3362/P3362/IF(E3362="FUTURE",VLOOKUP(MID(I3362,2,2),[1]Futures!$A$2:$B$12,2),1),"")</f>
        <v/>
      </c>
      <c r="S3362" s="13">
        <f>IF(AND(H3362="TO CLOSE",P3362=0),-G3362*(M3362-R3361)*IF(E3362="FUTURE",VLOOKUP(MID(I3362,2,2),[1]Futures!$A$2:$B$12,2),1),"")</f>
        <v>92.5</v>
      </c>
    </row>
    <row r="3363" spans="1:19" x14ac:dyDescent="0.2">
      <c r="A3363">
        <f t="shared" si="158"/>
        <v>1083</v>
      </c>
      <c r="B3363" s="3">
        <v>44167</v>
      </c>
      <c r="C3363" s="3" t="str">
        <f t="shared" si="160"/>
        <v>Wednesday</v>
      </c>
      <c r="D3363" s="2">
        <v>0.4123148148148148</v>
      </c>
      <c r="E3363" t="s">
        <v>14</v>
      </c>
      <c r="F3363" t="s">
        <v>15</v>
      </c>
      <c r="G3363">
        <v>-1</v>
      </c>
      <c r="H3363" t="s">
        <v>20</v>
      </c>
      <c r="I3363" t="s">
        <v>88</v>
      </c>
      <c r="J3363" s="1">
        <v>43851</v>
      </c>
      <c r="L3363" t="s">
        <v>14</v>
      </c>
      <c r="M3363">
        <v>44.87</v>
      </c>
      <c r="N3363">
        <v>44.87</v>
      </c>
      <c r="O3363" t="s">
        <v>21</v>
      </c>
      <c r="P3363">
        <f t="shared" si="159"/>
        <v>-1</v>
      </c>
      <c r="Q3363" s="11">
        <f>IF(P3363=0,0,IFERROR(Q3362+G3363*M3363*IF(E3363="FUTURE",VLOOKUP(MID(I3363,2,2),[1]Futures!$A$2:$B$12,2),1),G3363*M3363*IF(E3363="FUTURE",VLOOKUP(MID(I3363,2,2),[1]Futures!$A$2:$B$12,2),1)))</f>
        <v>-44870</v>
      </c>
      <c r="R3363" s="12">
        <f>IFERROR(Q3363/P3363/IF(E3363="FUTURE",VLOOKUP(MID(I3363,2,2),[1]Futures!$A$2:$B$12,2),1),"")</f>
        <v>44.87</v>
      </c>
      <c r="S3363" s="13" t="str">
        <f>IF(AND(H3363="TO CLOSE",P3363=0),-G3363*(M3363-R3362)*IF(E3363="FUTURE",VLOOKUP(MID(I3363,2,2),[1]Futures!$A$2:$B$12,2),1),"")</f>
        <v/>
      </c>
    </row>
    <row r="3364" spans="1:19" x14ac:dyDescent="0.2">
      <c r="A3364">
        <f t="shared" si="158"/>
        <v>1083</v>
      </c>
      <c r="B3364" s="3">
        <v>44167</v>
      </c>
      <c r="C3364" s="3" t="str">
        <f t="shared" si="160"/>
        <v>Wednesday</v>
      </c>
      <c r="D3364" s="2">
        <v>0.4142939814814815</v>
      </c>
      <c r="E3364" t="s">
        <v>14</v>
      </c>
      <c r="F3364" t="s">
        <v>19</v>
      </c>
      <c r="G3364">
        <v>1</v>
      </c>
      <c r="H3364" t="s">
        <v>16</v>
      </c>
      <c r="I3364" t="s">
        <v>88</v>
      </c>
      <c r="J3364" s="1">
        <v>43851</v>
      </c>
      <c r="L3364" t="s">
        <v>14</v>
      </c>
      <c r="M3364">
        <v>44.85</v>
      </c>
      <c r="N3364">
        <v>44.85</v>
      </c>
      <c r="O3364" t="s">
        <v>21</v>
      </c>
      <c r="P3364">
        <f t="shared" si="159"/>
        <v>0</v>
      </c>
      <c r="Q3364" s="11">
        <f>IF(P3364=0,0,IFERROR(Q3363+G3364*M3364*IF(E3364="FUTURE",VLOOKUP(MID(I3364,2,2),[1]Futures!$A$2:$B$12,2),1),G3364*M3364*IF(E3364="FUTURE",VLOOKUP(MID(I3364,2,2),[1]Futures!$A$2:$B$12,2),1)))</f>
        <v>0</v>
      </c>
      <c r="R3364" s="12" t="str">
        <f>IFERROR(Q3364/P3364/IF(E3364="FUTURE",VLOOKUP(MID(I3364,2,2),[1]Futures!$A$2:$B$12,2),1),"")</f>
        <v/>
      </c>
      <c r="S3364" s="13">
        <f>IF(AND(H3364="TO CLOSE",P3364=0),-G3364*(M3364-R3363)*IF(E3364="FUTURE",VLOOKUP(MID(I3364,2,2),[1]Futures!$A$2:$B$12,2),1),"")</f>
        <v>19.999999999996021</v>
      </c>
    </row>
    <row r="3365" spans="1:19" x14ac:dyDescent="0.2">
      <c r="A3365">
        <f t="shared" si="158"/>
        <v>1084</v>
      </c>
      <c r="B3365" s="3">
        <v>44167</v>
      </c>
      <c r="C3365" s="3" t="str">
        <f t="shared" si="160"/>
        <v>Wednesday</v>
      </c>
      <c r="D3365" s="2">
        <v>0.41721064814814812</v>
      </c>
      <c r="E3365" t="s">
        <v>14</v>
      </c>
      <c r="F3365" t="s">
        <v>15</v>
      </c>
      <c r="G3365">
        <v>-1</v>
      </c>
      <c r="H3365" t="s">
        <v>20</v>
      </c>
      <c r="I3365" t="s">
        <v>88</v>
      </c>
      <c r="J3365" s="1">
        <v>43851</v>
      </c>
      <c r="L3365" t="s">
        <v>14</v>
      </c>
      <c r="M3365">
        <v>44.88</v>
      </c>
      <c r="N3365">
        <v>44.88</v>
      </c>
      <c r="O3365" t="s">
        <v>24</v>
      </c>
      <c r="P3365">
        <f t="shared" si="159"/>
        <v>-1</v>
      </c>
      <c r="Q3365" s="11">
        <f>IF(P3365=0,0,IFERROR(Q3364+G3365*M3365*IF(E3365="FUTURE",VLOOKUP(MID(I3365,2,2),[1]Futures!$A$2:$B$12,2),1),G3365*M3365*IF(E3365="FUTURE",VLOOKUP(MID(I3365,2,2),[1]Futures!$A$2:$B$12,2),1)))</f>
        <v>-44880</v>
      </c>
      <c r="R3365" s="12">
        <f>IFERROR(Q3365/P3365/IF(E3365="FUTURE",VLOOKUP(MID(I3365,2,2),[1]Futures!$A$2:$B$12,2),1),"")</f>
        <v>44.88</v>
      </c>
      <c r="S3365" s="13" t="str">
        <f>IF(AND(H3365="TO CLOSE",P3365=0),-G3365*(M3365-R3364)*IF(E3365="FUTURE",VLOOKUP(MID(I3365,2,2),[1]Futures!$A$2:$B$12,2),1),"")</f>
        <v/>
      </c>
    </row>
    <row r="3366" spans="1:19" x14ac:dyDescent="0.2">
      <c r="A3366">
        <f t="shared" si="158"/>
        <v>1084</v>
      </c>
      <c r="B3366" s="3">
        <v>44167</v>
      </c>
      <c r="C3366" s="3" t="str">
        <f t="shared" si="160"/>
        <v>Wednesday</v>
      </c>
      <c r="D3366" s="2">
        <v>0.42005787037037035</v>
      </c>
      <c r="E3366" t="s">
        <v>14</v>
      </c>
      <c r="F3366" t="s">
        <v>15</v>
      </c>
      <c r="G3366">
        <v>-1</v>
      </c>
      <c r="H3366" t="s">
        <v>20</v>
      </c>
      <c r="I3366" t="s">
        <v>88</v>
      </c>
      <c r="J3366" s="1">
        <v>43851</v>
      </c>
      <c r="L3366" t="s">
        <v>14</v>
      </c>
      <c r="M3366">
        <v>45.08</v>
      </c>
      <c r="N3366">
        <v>45.08</v>
      </c>
      <c r="O3366" t="s">
        <v>21</v>
      </c>
      <c r="P3366">
        <f t="shared" si="159"/>
        <v>-2</v>
      </c>
      <c r="Q3366" s="11">
        <f>IF(P3366=0,0,IFERROR(Q3365+G3366*M3366*IF(E3366="FUTURE",VLOOKUP(MID(I3366,2,2),[1]Futures!$A$2:$B$12,2),1),G3366*M3366*IF(E3366="FUTURE",VLOOKUP(MID(I3366,2,2),[1]Futures!$A$2:$B$12,2),1)))</f>
        <v>-89960</v>
      </c>
      <c r="R3366" s="12">
        <f>IFERROR(Q3366/P3366/IF(E3366="FUTURE",VLOOKUP(MID(I3366,2,2),[1]Futures!$A$2:$B$12,2),1),"")</f>
        <v>44.98</v>
      </c>
      <c r="S3366" s="13" t="str">
        <f>IF(AND(H3366="TO CLOSE",P3366=0),-G3366*(M3366-R3365)*IF(E3366="FUTURE",VLOOKUP(MID(I3366,2,2),[1]Futures!$A$2:$B$12,2),1),"")</f>
        <v/>
      </c>
    </row>
    <row r="3367" spans="1:19" x14ac:dyDescent="0.2">
      <c r="A3367">
        <f t="shared" si="158"/>
        <v>1084</v>
      </c>
      <c r="B3367" s="3">
        <v>44167</v>
      </c>
      <c r="C3367" s="3" t="str">
        <f t="shared" si="160"/>
        <v>Wednesday</v>
      </c>
      <c r="D3367" s="2">
        <v>0.42070601851851852</v>
      </c>
      <c r="E3367" t="s">
        <v>14</v>
      </c>
      <c r="F3367" t="s">
        <v>19</v>
      </c>
      <c r="G3367">
        <v>1</v>
      </c>
      <c r="H3367" t="s">
        <v>16</v>
      </c>
      <c r="I3367" t="s">
        <v>88</v>
      </c>
      <c r="J3367" s="1">
        <v>43851</v>
      </c>
      <c r="L3367" t="s">
        <v>14</v>
      </c>
      <c r="M3367">
        <v>44.98</v>
      </c>
      <c r="N3367">
        <v>44.98</v>
      </c>
      <c r="O3367" t="s">
        <v>21</v>
      </c>
      <c r="P3367">
        <f t="shared" si="159"/>
        <v>-1</v>
      </c>
      <c r="Q3367" s="11">
        <f>IF(P3367=0,0,IFERROR(Q3366+G3367*M3367*IF(E3367="FUTURE",VLOOKUP(MID(I3367,2,2),[1]Futures!$A$2:$B$12,2),1),G3367*M3367*IF(E3367="FUTURE",VLOOKUP(MID(I3367,2,2),[1]Futures!$A$2:$B$12,2),1)))</f>
        <v>-44980</v>
      </c>
      <c r="R3367" s="12">
        <f>IFERROR(Q3367/P3367/IF(E3367="FUTURE",VLOOKUP(MID(I3367,2,2),[1]Futures!$A$2:$B$12,2),1),"")</f>
        <v>44.98</v>
      </c>
      <c r="S3367" s="13" t="str">
        <f>IF(AND(H3367="TO CLOSE",P3367=0),-G3367*(M3367-R3366)*IF(E3367="FUTURE",VLOOKUP(MID(I3367,2,2),[1]Futures!$A$2:$B$12,2),1),"")</f>
        <v/>
      </c>
    </row>
    <row r="3368" spans="1:19" x14ac:dyDescent="0.2">
      <c r="A3368">
        <f t="shared" si="158"/>
        <v>1084</v>
      </c>
      <c r="B3368" s="3">
        <v>44167</v>
      </c>
      <c r="C3368" s="3" t="str">
        <f t="shared" si="160"/>
        <v>Wednesday</v>
      </c>
      <c r="D3368" s="2">
        <v>0.42260416666666667</v>
      </c>
      <c r="E3368" t="s">
        <v>14</v>
      </c>
      <c r="F3368" t="s">
        <v>19</v>
      </c>
      <c r="G3368">
        <v>1</v>
      </c>
      <c r="H3368" t="s">
        <v>16</v>
      </c>
      <c r="I3368" t="s">
        <v>88</v>
      </c>
      <c r="J3368" s="1">
        <v>43851</v>
      </c>
      <c r="L3368" t="s">
        <v>14</v>
      </c>
      <c r="M3368">
        <v>44.77</v>
      </c>
      <c r="N3368">
        <v>44.77</v>
      </c>
      <c r="O3368" t="s">
        <v>21</v>
      </c>
      <c r="P3368">
        <f t="shared" si="159"/>
        <v>0</v>
      </c>
      <c r="Q3368" s="11">
        <f>IF(P3368=0,0,IFERROR(Q3367+G3368*M3368*IF(E3368="FUTURE",VLOOKUP(MID(I3368,2,2),[1]Futures!$A$2:$B$12,2),1),G3368*M3368*IF(E3368="FUTURE",VLOOKUP(MID(I3368,2,2),[1]Futures!$A$2:$B$12,2),1)))</f>
        <v>0</v>
      </c>
      <c r="R3368" s="12" t="str">
        <f>IFERROR(Q3368/P3368/IF(E3368="FUTURE",VLOOKUP(MID(I3368,2,2),[1]Futures!$A$2:$B$12,2),1),"")</f>
        <v/>
      </c>
      <c r="S3368" s="13">
        <f>IF(AND(H3368="TO CLOSE",P3368=0),-G3368*(M3368-R3367)*IF(E3368="FUTURE",VLOOKUP(MID(I3368,2,2),[1]Futures!$A$2:$B$12,2),1),"")</f>
        <v>209.99999999999375</v>
      </c>
    </row>
    <row r="3369" spans="1:19" x14ac:dyDescent="0.2">
      <c r="A3369">
        <f t="shared" si="158"/>
        <v>1085</v>
      </c>
      <c r="B3369" s="3">
        <v>44167</v>
      </c>
      <c r="C3369" s="3" t="str">
        <f t="shared" si="160"/>
        <v>Wednesday</v>
      </c>
      <c r="D3369" s="2">
        <v>0.45005787037037037</v>
      </c>
      <c r="E3369" t="s">
        <v>14</v>
      </c>
      <c r="F3369" t="s">
        <v>15</v>
      </c>
      <c r="G3369">
        <v>-1</v>
      </c>
      <c r="H3369" t="s">
        <v>20</v>
      </c>
      <c r="I3369" t="s">
        <v>88</v>
      </c>
      <c r="J3369" s="1">
        <v>43851</v>
      </c>
      <c r="L3369" t="s">
        <v>14</v>
      </c>
      <c r="M3369">
        <v>45.11</v>
      </c>
      <c r="N3369">
        <v>45.11</v>
      </c>
      <c r="O3369" t="s">
        <v>21</v>
      </c>
      <c r="P3369">
        <f t="shared" si="159"/>
        <v>-1</v>
      </c>
      <c r="Q3369" s="11">
        <f>IF(P3369=0,0,IFERROR(Q3368+G3369*M3369*IF(E3369="FUTURE",VLOOKUP(MID(I3369,2,2),[1]Futures!$A$2:$B$12,2),1),G3369*M3369*IF(E3369="FUTURE",VLOOKUP(MID(I3369,2,2),[1]Futures!$A$2:$B$12,2),1)))</f>
        <v>-45110</v>
      </c>
      <c r="R3369" s="12">
        <f>IFERROR(Q3369/P3369/IF(E3369="FUTURE",VLOOKUP(MID(I3369,2,2),[1]Futures!$A$2:$B$12,2),1),"")</f>
        <v>45.11</v>
      </c>
      <c r="S3369" s="13" t="str">
        <f>IF(AND(H3369="TO CLOSE",P3369=0),-G3369*(M3369-R3368)*IF(E3369="FUTURE",VLOOKUP(MID(I3369,2,2),[1]Futures!$A$2:$B$12,2),1),"")</f>
        <v/>
      </c>
    </row>
    <row r="3370" spans="1:19" x14ac:dyDescent="0.2">
      <c r="A3370">
        <f t="shared" si="158"/>
        <v>1085</v>
      </c>
      <c r="B3370" s="3">
        <v>44167</v>
      </c>
      <c r="C3370" s="3" t="str">
        <f t="shared" si="160"/>
        <v>Wednesday</v>
      </c>
      <c r="D3370" s="2">
        <v>0.46531250000000002</v>
      </c>
      <c r="E3370" t="s">
        <v>14</v>
      </c>
      <c r="F3370" t="s">
        <v>15</v>
      </c>
      <c r="G3370">
        <v>-1</v>
      </c>
      <c r="H3370" t="s">
        <v>20</v>
      </c>
      <c r="I3370" t="s">
        <v>88</v>
      </c>
      <c r="J3370" s="1">
        <v>43851</v>
      </c>
      <c r="L3370" t="s">
        <v>14</v>
      </c>
      <c r="M3370">
        <v>45.25</v>
      </c>
      <c r="N3370">
        <v>45.25</v>
      </c>
      <c r="O3370" t="s">
        <v>21</v>
      </c>
      <c r="P3370">
        <f t="shared" si="159"/>
        <v>-2</v>
      </c>
      <c r="Q3370" s="11">
        <f>IF(P3370=0,0,IFERROR(Q3369+G3370*M3370*IF(E3370="FUTURE",VLOOKUP(MID(I3370,2,2),[1]Futures!$A$2:$B$12,2),1),G3370*M3370*IF(E3370="FUTURE",VLOOKUP(MID(I3370,2,2),[1]Futures!$A$2:$B$12,2),1)))</f>
        <v>-90360</v>
      </c>
      <c r="R3370" s="12">
        <f>IFERROR(Q3370/P3370/IF(E3370="FUTURE",VLOOKUP(MID(I3370,2,2),[1]Futures!$A$2:$B$12,2),1),"")</f>
        <v>45.18</v>
      </c>
      <c r="S3370" s="13" t="str">
        <f>IF(AND(H3370="TO CLOSE",P3370=0),-G3370*(M3370-R3369)*IF(E3370="FUTURE",VLOOKUP(MID(I3370,2,2),[1]Futures!$A$2:$B$12,2),1),"")</f>
        <v/>
      </c>
    </row>
    <row r="3371" spans="1:19" x14ac:dyDescent="0.2">
      <c r="A3371">
        <f t="shared" si="158"/>
        <v>1085</v>
      </c>
      <c r="B3371" s="3">
        <v>44167</v>
      </c>
      <c r="C3371" s="3" t="str">
        <f t="shared" si="160"/>
        <v>Wednesday</v>
      </c>
      <c r="D3371" s="2">
        <v>0.56918981481481479</v>
      </c>
      <c r="E3371" t="s">
        <v>14</v>
      </c>
      <c r="F3371" t="s">
        <v>19</v>
      </c>
      <c r="G3371">
        <v>1</v>
      </c>
      <c r="H3371" t="s">
        <v>16</v>
      </c>
      <c r="I3371" t="s">
        <v>88</v>
      </c>
      <c r="J3371" s="1">
        <v>43851</v>
      </c>
      <c r="L3371" t="s">
        <v>14</v>
      </c>
      <c r="M3371">
        <v>45.44</v>
      </c>
      <c r="N3371">
        <v>45.44</v>
      </c>
      <c r="O3371" t="s">
        <v>21</v>
      </c>
      <c r="P3371">
        <f t="shared" si="159"/>
        <v>-1</v>
      </c>
      <c r="Q3371" s="11">
        <f>IF(P3371=0,0,IFERROR(Q3370+G3371*M3371*IF(E3371="FUTURE",VLOOKUP(MID(I3371,2,2),[1]Futures!$A$2:$B$12,2),1),G3371*M3371*IF(E3371="FUTURE",VLOOKUP(MID(I3371,2,2),[1]Futures!$A$2:$B$12,2),1)))</f>
        <v>-44920</v>
      </c>
      <c r="R3371" s="12">
        <f>IFERROR(Q3371/P3371/IF(E3371="FUTURE",VLOOKUP(MID(I3371,2,2),[1]Futures!$A$2:$B$12,2),1),"")</f>
        <v>44.92</v>
      </c>
      <c r="S3371" s="13" t="str">
        <f>IF(AND(H3371="TO CLOSE",P3371=0),-G3371*(M3371-R3370)*IF(E3371="FUTURE",VLOOKUP(MID(I3371,2,2),[1]Futures!$A$2:$B$12,2),1),"")</f>
        <v/>
      </c>
    </row>
    <row r="3372" spans="1:19" x14ac:dyDescent="0.2">
      <c r="A3372">
        <f t="shared" si="158"/>
        <v>1085</v>
      </c>
      <c r="B3372" s="3">
        <v>44167</v>
      </c>
      <c r="C3372" s="3" t="str">
        <f t="shared" si="160"/>
        <v>Wednesday</v>
      </c>
      <c r="D3372" s="2">
        <v>0.58702546296296299</v>
      </c>
      <c r="E3372" t="s">
        <v>14</v>
      </c>
      <c r="F3372" t="s">
        <v>19</v>
      </c>
      <c r="G3372">
        <v>1</v>
      </c>
      <c r="H3372" t="s">
        <v>16</v>
      </c>
      <c r="I3372" t="s">
        <v>88</v>
      </c>
      <c r="J3372" s="1">
        <v>43851</v>
      </c>
      <c r="L3372" t="s">
        <v>14</v>
      </c>
      <c r="M3372">
        <v>45.34</v>
      </c>
      <c r="N3372">
        <v>45.34</v>
      </c>
      <c r="O3372" t="s">
        <v>24</v>
      </c>
      <c r="P3372">
        <f t="shared" si="159"/>
        <v>0</v>
      </c>
      <c r="Q3372" s="11">
        <f>IF(P3372=0,0,IFERROR(Q3371+G3372*M3372*IF(E3372="FUTURE",VLOOKUP(MID(I3372,2,2),[1]Futures!$A$2:$B$12,2),1),G3372*M3372*IF(E3372="FUTURE",VLOOKUP(MID(I3372,2,2),[1]Futures!$A$2:$B$12,2),1)))</f>
        <v>0</v>
      </c>
      <c r="R3372" s="12" t="str">
        <f>IFERROR(Q3372/P3372/IF(E3372="FUTURE",VLOOKUP(MID(I3372,2,2),[1]Futures!$A$2:$B$12,2),1),"")</f>
        <v/>
      </c>
      <c r="S3372" s="13">
        <f>IF(AND(H3372="TO CLOSE",P3372=0),-G3372*(M3372-R3371)*IF(E3372="FUTURE",VLOOKUP(MID(I3372,2,2),[1]Futures!$A$2:$B$12,2),1),"")</f>
        <v>-420.00000000000171</v>
      </c>
    </row>
    <row r="3373" spans="1:19" x14ac:dyDescent="0.2">
      <c r="A3373">
        <f t="shared" si="158"/>
        <v>1086</v>
      </c>
      <c r="B3373" s="3">
        <v>44167</v>
      </c>
      <c r="C3373" s="3" t="str">
        <f t="shared" si="160"/>
        <v>Wednesday</v>
      </c>
      <c r="D3373" s="2">
        <v>0.5957986111111111</v>
      </c>
      <c r="E3373" t="s">
        <v>14</v>
      </c>
      <c r="F3373" t="s">
        <v>19</v>
      </c>
      <c r="G3373">
        <v>2</v>
      </c>
      <c r="H3373" t="s">
        <v>20</v>
      </c>
      <c r="I3373" t="s">
        <v>88</v>
      </c>
      <c r="J3373" s="1">
        <v>43851</v>
      </c>
      <c r="L3373" t="s">
        <v>14</v>
      </c>
      <c r="M3373">
        <v>45.29</v>
      </c>
      <c r="N3373">
        <v>45.29</v>
      </c>
      <c r="O3373" t="s">
        <v>24</v>
      </c>
      <c r="P3373">
        <f t="shared" si="159"/>
        <v>2</v>
      </c>
      <c r="Q3373" s="11">
        <f>IF(P3373=0,0,IFERROR(Q3372+G3373*M3373*IF(E3373="FUTURE",VLOOKUP(MID(I3373,2,2),[1]Futures!$A$2:$B$12,2),1),G3373*M3373*IF(E3373="FUTURE",VLOOKUP(MID(I3373,2,2),[1]Futures!$A$2:$B$12,2),1)))</f>
        <v>90580</v>
      </c>
      <c r="R3373" s="12">
        <f>IFERROR(Q3373/P3373/IF(E3373="FUTURE",VLOOKUP(MID(I3373,2,2),[1]Futures!$A$2:$B$12,2),1),"")</f>
        <v>45.29</v>
      </c>
      <c r="S3373" s="13" t="str">
        <f>IF(AND(H3373="TO CLOSE",P3373=0),-G3373*(M3373-R3372)*IF(E3373="FUTURE",VLOOKUP(MID(I3373,2,2),[1]Futures!$A$2:$B$12,2),1),"")</f>
        <v/>
      </c>
    </row>
    <row r="3374" spans="1:19" x14ac:dyDescent="0.2">
      <c r="A3374">
        <f t="shared" si="158"/>
        <v>1086</v>
      </c>
      <c r="B3374" s="3">
        <v>44167</v>
      </c>
      <c r="C3374" s="3" t="str">
        <f t="shared" si="160"/>
        <v>Wednesday</v>
      </c>
      <c r="D3374" s="2">
        <v>0.59866898148148151</v>
      </c>
      <c r="E3374" t="s">
        <v>14</v>
      </c>
      <c r="F3374" t="s">
        <v>15</v>
      </c>
      <c r="G3374">
        <v>-1</v>
      </c>
      <c r="H3374" t="s">
        <v>16</v>
      </c>
      <c r="I3374" t="s">
        <v>88</v>
      </c>
      <c r="J3374" s="1">
        <v>43851</v>
      </c>
      <c r="L3374" t="s">
        <v>14</v>
      </c>
      <c r="M3374">
        <v>45.37</v>
      </c>
      <c r="N3374">
        <v>45.37</v>
      </c>
      <c r="O3374" t="s">
        <v>21</v>
      </c>
      <c r="P3374">
        <f t="shared" si="159"/>
        <v>1</v>
      </c>
      <c r="Q3374" s="11">
        <f>IF(P3374=0,0,IFERROR(Q3373+G3374*M3374*IF(E3374="FUTURE",VLOOKUP(MID(I3374,2,2),[1]Futures!$A$2:$B$12,2),1),G3374*M3374*IF(E3374="FUTURE",VLOOKUP(MID(I3374,2,2),[1]Futures!$A$2:$B$12,2),1)))</f>
        <v>45210</v>
      </c>
      <c r="R3374" s="12">
        <f>IFERROR(Q3374/P3374/IF(E3374="FUTURE",VLOOKUP(MID(I3374,2,2),[1]Futures!$A$2:$B$12,2),1),"")</f>
        <v>45.21</v>
      </c>
      <c r="S3374" s="13" t="str">
        <f>IF(AND(H3374="TO CLOSE",P3374=0),-G3374*(M3374-R3373)*IF(E3374="FUTURE",VLOOKUP(MID(I3374,2,2),[1]Futures!$A$2:$B$12,2),1),"")</f>
        <v/>
      </c>
    </row>
    <row r="3375" spans="1:19" x14ac:dyDescent="0.2">
      <c r="A3375">
        <f t="shared" si="158"/>
        <v>1086</v>
      </c>
      <c r="B3375" s="3">
        <v>44167</v>
      </c>
      <c r="C3375" s="3" t="str">
        <f t="shared" si="160"/>
        <v>Wednesday</v>
      </c>
      <c r="D3375" s="2">
        <v>0.59944444444444445</v>
      </c>
      <c r="E3375" t="s">
        <v>14</v>
      </c>
      <c r="F3375" t="s">
        <v>15</v>
      </c>
      <c r="G3375">
        <v>-1</v>
      </c>
      <c r="H3375" t="s">
        <v>16</v>
      </c>
      <c r="I3375" t="s">
        <v>88</v>
      </c>
      <c r="J3375" s="1">
        <v>43851</v>
      </c>
      <c r="L3375" t="s">
        <v>14</v>
      </c>
      <c r="M3375">
        <v>45.34</v>
      </c>
      <c r="N3375">
        <v>45.34</v>
      </c>
      <c r="O3375" t="s">
        <v>21</v>
      </c>
      <c r="P3375">
        <f t="shared" si="159"/>
        <v>0</v>
      </c>
      <c r="Q3375" s="11">
        <f>IF(P3375=0,0,IFERROR(Q3374+G3375*M3375*IF(E3375="FUTURE",VLOOKUP(MID(I3375,2,2),[1]Futures!$A$2:$B$12,2),1),G3375*M3375*IF(E3375="FUTURE",VLOOKUP(MID(I3375,2,2),[1]Futures!$A$2:$B$12,2),1)))</f>
        <v>0</v>
      </c>
      <c r="R3375" s="12" t="str">
        <f>IFERROR(Q3375/P3375/IF(E3375="FUTURE",VLOOKUP(MID(I3375,2,2),[1]Futures!$A$2:$B$12,2),1),"")</f>
        <v/>
      </c>
      <c r="S3375" s="13">
        <f>IF(AND(H3375="TO CLOSE",P3375=0),-G3375*(M3375-R3374)*IF(E3375="FUTURE",VLOOKUP(MID(I3375,2,2),[1]Futures!$A$2:$B$12,2),1),"")</f>
        <v>130.00000000000256</v>
      </c>
    </row>
    <row r="3376" spans="1:19" x14ac:dyDescent="0.2">
      <c r="A3376">
        <f t="shared" si="158"/>
        <v>1087</v>
      </c>
      <c r="B3376" s="3">
        <v>44167</v>
      </c>
      <c r="C3376" s="3" t="str">
        <f t="shared" si="160"/>
        <v>Wednesday</v>
      </c>
      <c r="D3376" s="2">
        <v>0.39800925925925923</v>
      </c>
      <c r="E3376" t="s">
        <v>14</v>
      </c>
      <c r="F3376" t="s">
        <v>15</v>
      </c>
      <c r="G3376">
        <v>-1</v>
      </c>
      <c r="H3376" t="s">
        <v>20</v>
      </c>
      <c r="I3376" t="s">
        <v>85</v>
      </c>
      <c r="J3376" s="1">
        <v>44185</v>
      </c>
      <c r="L3376" t="s">
        <v>14</v>
      </c>
      <c r="M3376">
        <v>3645</v>
      </c>
      <c r="N3376">
        <v>3645</v>
      </c>
      <c r="O3376" t="s">
        <v>21</v>
      </c>
      <c r="P3376">
        <f t="shared" si="159"/>
        <v>-1</v>
      </c>
      <c r="Q3376" s="11">
        <f>IF(P3376=0,0,IFERROR(Q3375+G3376*M3376*IF(E3376="FUTURE",VLOOKUP(MID(I3376,2,2),[1]Futures!$A$2:$B$12,2),1),G3376*M3376*IF(E3376="FUTURE",VLOOKUP(MID(I3376,2,2),[1]Futures!$A$2:$B$12,2),1)))</f>
        <v>-182250</v>
      </c>
      <c r="R3376" s="12">
        <f>IFERROR(Q3376/P3376/IF(E3376="FUTURE",VLOOKUP(MID(I3376,2,2),[1]Futures!$A$2:$B$12,2),1),"")</f>
        <v>3645</v>
      </c>
      <c r="S3376" s="13" t="str">
        <f>IF(AND(H3376="TO CLOSE",P3376=0),-G3376*(M3376-R3375)*IF(E3376="FUTURE",VLOOKUP(MID(I3376,2,2),[1]Futures!$A$2:$B$12,2),1),"")</f>
        <v/>
      </c>
    </row>
    <row r="3377" spans="1:19" x14ac:dyDescent="0.2">
      <c r="A3377">
        <f t="shared" si="158"/>
        <v>1087</v>
      </c>
      <c r="B3377" s="3">
        <v>44167</v>
      </c>
      <c r="C3377" s="3" t="str">
        <f t="shared" si="160"/>
        <v>Wednesday</v>
      </c>
      <c r="D3377" s="2">
        <v>0.39827546296296296</v>
      </c>
      <c r="E3377" t="s">
        <v>14</v>
      </c>
      <c r="F3377" t="s">
        <v>19</v>
      </c>
      <c r="G3377">
        <v>1</v>
      </c>
      <c r="H3377" t="s">
        <v>16</v>
      </c>
      <c r="I3377" t="s">
        <v>85</v>
      </c>
      <c r="J3377" s="1">
        <v>44185</v>
      </c>
      <c r="L3377" t="s">
        <v>14</v>
      </c>
      <c r="M3377">
        <v>3644.75</v>
      </c>
      <c r="N3377">
        <v>3644.75</v>
      </c>
      <c r="O3377" t="s">
        <v>18</v>
      </c>
      <c r="P3377">
        <f t="shared" si="159"/>
        <v>0</v>
      </c>
      <c r="Q3377" s="11">
        <f>IF(P3377=0,0,IFERROR(Q3376+G3377*M3377*IF(E3377="FUTURE",VLOOKUP(MID(I3377,2,2),[1]Futures!$A$2:$B$12,2),1),G3377*M3377*IF(E3377="FUTURE",VLOOKUP(MID(I3377,2,2),[1]Futures!$A$2:$B$12,2),1)))</f>
        <v>0</v>
      </c>
      <c r="R3377" s="12" t="str">
        <f>IFERROR(Q3377/P3377/IF(E3377="FUTURE",VLOOKUP(MID(I3377,2,2),[1]Futures!$A$2:$B$12,2),1),"")</f>
        <v/>
      </c>
      <c r="S3377" s="13">
        <f>IF(AND(H3377="TO CLOSE",P3377=0),-G3377*(M3377-R3376)*IF(E3377="FUTURE",VLOOKUP(MID(I3377,2,2),[1]Futures!$A$2:$B$12,2),1),"")</f>
        <v>12.5</v>
      </c>
    </row>
    <row r="3378" spans="1:19" x14ac:dyDescent="0.2">
      <c r="A3378">
        <f t="shared" si="158"/>
        <v>1088</v>
      </c>
      <c r="B3378" s="3">
        <v>44167</v>
      </c>
      <c r="C3378" s="3" t="str">
        <f t="shared" si="160"/>
        <v>Wednesday</v>
      </c>
      <c r="D3378" s="2">
        <v>0.40575231481481483</v>
      </c>
      <c r="E3378" t="s">
        <v>14</v>
      </c>
      <c r="F3378" t="s">
        <v>15</v>
      </c>
      <c r="G3378">
        <v>-1</v>
      </c>
      <c r="H3378" t="s">
        <v>20</v>
      </c>
      <c r="I3378" t="s">
        <v>85</v>
      </c>
      <c r="J3378" s="1">
        <v>44185</v>
      </c>
      <c r="L3378" t="s">
        <v>14</v>
      </c>
      <c r="M3378">
        <v>3646.5</v>
      </c>
      <c r="N3378">
        <v>3646.5</v>
      </c>
      <c r="O3378" t="s">
        <v>24</v>
      </c>
      <c r="P3378">
        <f t="shared" si="159"/>
        <v>-1</v>
      </c>
      <c r="Q3378" s="11">
        <f>IF(P3378=0,0,IFERROR(Q3377+G3378*M3378*IF(E3378="FUTURE",VLOOKUP(MID(I3378,2,2),[1]Futures!$A$2:$B$12,2),1),G3378*M3378*IF(E3378="FUTURE",VLOOKUP(MID(I3378,2,2),[1]Futures!$A$2:$B$12,2),1)))</f>
        <v>-182325</v>
      </c>
      <c r="R3378" s="12">
        <f>IFERROR(Q3378/P3378/IF(E3378="FUTURE",VLOOKUP(MID(I3378,2,2),[1]Futures!$A$2:$B$12,2),1),"")</f>
        <v>3646.5</v>
      </c>
      <c r="S3378" s="13" t="str">
        <f>IF(AND(H3378="TO CLOSE",P3378=0),-G3378*(M3378-R3377)*IF(E3378="FUTURE",VLOOKUP(MID(I3378,2,2),[1]Futures!$A$2:$B$12,2),1),"")</f>
        <v/>
      </c>
    </row>
    <row r="3379" spans="1:19" x14ac:dyDescent="0.2">
      <c r="A3379">
        <f t="shared" si="158"/>
        <v>1088</v>
      </c>
      <c r="B3379" s="3">
        <v>44167</v>
      </c>
      <c r="C3379" s="3" t="str">
        <f t="shared" si="160"/>
        <v>Wednesday</v>
      </c>
      <c r="D3379" s="2">
        <v>0.40902777777777777</v>
      </c>
      <c r="E3379" t="s">
        <v>14</v>
      </c>
      <c r="F3379" t="s">
        <v>19</v>
      </c>
      <c r="G3379">
        <v>1</v>
      </c>
      <c r="H3379" t="s">
        <v>16</v>
      </c>
      <c r="I3379" t="s">
        <v>85</v>
      </c>
      <c r="J3379" s="1">
        <v>44185</v>
      </c>
      <c r="L3379" t="s">
        <v>14</v>
      </c>
      <c r="M3379">
        <v>3646</v>
      </c>
      <c r="N3379">
        <v>3646</v>
      </c>
      <c r="O3379" t="s">
        <v>18</v>
      </c>
      <c r="P3379">
        <f t="shared" si="159"/>
        <v>0</v>
      </c>
      <c r="Q3379" s="11">
        <f>IF(P3379=0,0,IFERROR(Q3378+G3379*M3379*IF(E3379="FUTURE",VLOOKUP(MID(I3379,2,2),[1]Futures!$A$2:$B$12,2),1),G3379*M3379*IF(E3379="FUTURE",VLOOKUP(MID(I3379,2,2),[1]Futures!$A$2:$B$12,2),1)))</f>
        <v>0</v>
      </c>
      <c r="R3379" s="12" t="str">
        <f>IFERROR(Q3379/P3379/IF(E3379="FUTURE",VLOOKUP(MID(I3379,2,2),[1]Futures!$A$2:$B$12,2),1),"")</f>
        <v/>
      </c>
      <c r="S3379" s="13">
        <f>IF(AND(H3379="TO CLOSE",P3379=0),-G3379*(M3379-R3378)*IF(E3379="FUTURE",VLOOKUP(MID(I3379,2,2),[1]Futures!$A$2:$B$12,2),1),"")</f>
        <v>25</v>
      </c>
    </row>
    <row r="3380" spans="1:19" x14ac:dyDescent="0.2">
      <c r="A3380">
        <f t="shared" si="158"/>
        <v>1089</v>
      </c>
      <c r="B3380" s="3">
        <v>44167</v>
      </c>
      <c r="C3380" s="3" t="str">
        <f t="shared" si="160"/>
        <v>Wednesday</v>
      </c>
      <c r="D3380" s="2">
        <v>0.61769675925925926</v>
      </c>
      <c r="E3380" t="s">
        <v>14</v>
      </c>
      <c r="F3380" t="s">
        <v>15</v>
      </c>
      <c r="G3380">
        <v>-1</v>
      </c>
      <c r="H3380" t="s">
        <v>20</v>
      </c>
      <c r="I3380" t="s">
        <v>85</v>
      </c>
      <c r="J3380" s="1">
        <v>44185</v>
      </c>
      <c r="L3380" t="s">
        <v>14</v>
      </c>
      <c r="M3380">
        <v>3665.25</v>
      </c>
      <c r="N3380">
        <v>3665.25</v>
      </c>
      <c r="O3380" t="s">
        <v>21</v>
      </c>
      <c r="P3380">
        <f t="shared" si="159"/>
        <v>-1</v>
      </c>
      <c r="Q3380" s="11">
        <f>IF(P3380=0,0,IFERROR(Q3379+G3380*M3380*IF(E3380="FUTURE",VLOOKUP(MID(I3380,2,2),[1]Futures!$A$2:$B$12,2),1),G3380*M3380*IF(E3380="FUTURE",VLOOKUP(MID(I3380,2,2),[1]Futures!$A$2:$B$12,2),1)))</f>
        <v>-183262.5</v>
      </c>
      <c r="R3380" s="12">
        <f>IFERROR(Q3380/P3380/IF(E3380="FUTURE",VLOOKUP(MID(I3380,2,2),[1]Futures!$A$2:$B$12,2),1),"")</f>
        <v>3665.25</v>
      </c>
      <c r="S3380" s="13" t="str">
        <f>IF(AND(H3380="TO CLOSE",P3380=0),-G3380*(M3380-R3379)*IF(E3380="FUTURE",VLOOKUP(MID(I3380,2,2),[1]Futures!$A$2:$B$12,2),1),"")</f>
        <v/>
      </c>
    </row>
    <row r="3381" spans="1:19" x14ac:dyDescent="0.2">
      <c r="A3381">
        <f t="shared" si="158"/>
        <v>1089</v>
      </c>
      <c r="B3381" s="3">
        <v>44167</v>
      </c>
      <c r="C3381" s="3" t="str">
        <f t="shared" si="160"/>
        <v>Wednesday</v>
      </c>
      <c r="D3381" s="2">
        <v>0.64120370370370372</v>
      </c>
      <c r="E3381" t="s">
        <v>14</v>
      </c>
      <c r="F3381" t="s">
        <v>19</v>
      </c>
      <c r="G3381">
        <v>1</v>
      </c>
      <c r="H3381" t="s">
        <v>16</v>
      </c>
      <c r="I3381" t="s">
        <v>85</v>
      </c>
      <c r="J3381" s="1">
        <v>44185</v>
      </c>
      <c r="L3381" t="s">
        <v>14</v>
      </c>
      <c r="M3381">
        <v>3664</v>
      </c>
      <c r="N3381">
        <v>3664</v>
      </c>
      <c r="O3381" t="s">
        <v>21</v>
      </c>
      <c r="P3381">
        <f t="shared" si="159"/>
        <v>0</v>
      </c>
      <c r="Q3381" s="11">
        <f>IF(P3381=0,0,IFERROR(Q3380+G3381*M3381*IF(E3381="FUTURE",VLOOKUP(MID(I3381,2,2),[1]Futures!$A$2:$B$12,2),1),G3381*M3381*IF(E3381="FUTURE",VLOOKUP(MID(I3381,2,2),[1]Futures!$A$2:$B$12,2),1)))</f>
        <v>0</v>
      </c>
      <c r="R3381" s="12" t="str">
        <f>IFERROR(Q3381/P3381/IF(E3381="FUTURE",VLOOKUP(MID(I3381,2,2),[1]Futures!$A$2:$B$12,2),1),"")</f>
        <v/>
      </c>
      <c r="S3381" s="13">
        <f>IF(AND(H3381="TO CLOSE",P3381=0),-G3381*(M3381-R3380)*IF(E3381="FUTURE",VLOOKUP(MID(I3381,2,2),[1]Futures!$A$2:$B$12,2),1),"")</f>
        <v>62.5</v>
      </c>
    </row>
    <row r="3382" spans="1:19" x14ac:dyDescent="0.2">
      <c r="A3382">
        <f t="shared" si="158"/>
        <v>1090</v>
      </c>
      <c r="B3382" s="3">
        <v>44167</v>
      </c>
      <c r="C3382" s="3" t="str">
        <f t="shared" si="160"/>
        <v>Wednesday</v>
      </c>
      <c r="D3382" s="2">
        <v>0.39038194444444446</v>
      </c>
      <c r="E3382" t="s">
        <v>14</v>
      </c>
      <c r="F3382" t="s">
        <v>15</v>
      </c>
      <c r="G3382">
        <v>-2</v>
      </c>
      <c r="H3382" t="s">
        <v>20</v>
      </c>
      <c r="I3382" t="s">
        <v>87</v>
      </c>
      <c r="J3382" s="1">
        <v>44185</v>
      </c>
      <c r="L3382" t="s">
        <v>14</v>
      </c>
      <c r="M3382">
        <v>3646</v>
      </c>
      <c r="N3382">
        <v>3646</v>
      </c>
      <c r="O3382" t="s">
        <v>24</v>
      </c>
      <c r="P3382">
        <f t="shared" si="159"/>
        <v>-2</v>
      </c>
      <c r="Q3382" s="11">
        <f>IF(P3382=0,0,IFERROR(Q3381+G3382*M3382*IF(E3382="FUTURE",VLOOKUP(MID(I3382,2,2),[1]Futures!$A$2:$B$12,2),1),G3382*M3382*IF(E3382="FUTURE",VLOOKUP(MID(I3382,2,2),[1]Futures!$A$2:$B$12,2),1)))</f>
        <v>-36460</v>
      </c>
      <c r="R3382" s="12">
        <f>IFERROR(Q3382/P3382/IF(E3382="FUTURE",VLOOKUP(MID(I3382,2,2),[1]Futures!$A$2:$B$12,2),1),"")</f>
        <v>3646</v>
      </c>
      <c r="S3382" s="13" t="str">
        <f>IF(AND(H3382="TO CLOSE",P3382=0),-G3382*(M3382-R3381)*IF(E3382="FUTURE",VLOOKUP(MID(I3382,2,2),[1]Futures!$A$2:$B$12,2),1),"")</f>
        <v/>
      </c>
    </row>
    <row r="3383" spans="1:19" x14ac:dyDescent="0.2">
      <c r="A3383">
        <f t="shared" si="158"/>
        <v>1090</v>
      </c>
      <c r="B3383" s="3">
        <v>44167</v>
      </c>
      <c r="C3383" s="3" t="str">
        <f t="shared" si="160"/>
        <v>Wednesday</v>
      </c>
      <c r="D3383" s="2">
        <v>0.40142361111111113</v>
      </c>
      <c r="E3383" t="s">
        <v>14</v>
      </c>
      <c r="F3383" t="s">
        <v>15</v>
      </c>
      <c r="G3383">
        <v>-1</v>
      </c>
      <c r="H3383" t="s">
        <v>20</v>
      </c>
      <c r="I3383" t="s">
        <v>87</v>
      </c>
      <c r="J3383" s="1">
        <v>44185</v>
      </c>
      <c r="L3383" t="s">
        <v>14</v>
      </c>
      <c r="M3383">
        <v>3652</v>
      </c>
      <c r="N3383">
        <v>3652</v>
      </c>
      <c r="O3383" t="s">
        <v>21</v>
      </c>
      <c r="P3383">
        <f t="shared" si="159"/>
        <v>-3</v>
      </c>
      <c r="Q3383" s="11">
        <f>IF(P3383=0,0,IFERROR(Q3382+G3383*M3383*IF(E3383="FUTURE",VLOOKUP(MID(I3383,2,2),[1]Futures!$A$2:$B$12,2),1),G3383*M3383*IF(E3383="FUTURE",VLOOKUP(MID(I3383,2,2),[1]Futures!$A$2:$B$12,2),1)))</f>
        <v>-54720</v>
      </c>
      <c r="R3383" s="12">
        <f>IFERROR(Q3383/P3383/IF(E3383="FUTURE",VLOOKUP(MID(I3383,2,2),[1]Futures!$A$2:$B$12,2),1),"")</f>
        <v>3648</v>
      </c>
      <c r="S3383" s="13" t="str">
        <f>IF(AND(H3383="TO CLOSE",P3383=0),-G3383*(M3383-R3382)*IF(E3383="FUTURE",VLOOKUP(MID(I3383,2,2),[1]Futures!$A$2:$B$12,2),1),"")</f>
        <v/>
      </c>
    </row>
    <row r="3384" spans="1:19" x14ac:dyDescent="0.2">
      <c r="A3384">
        <f t="shared" si="158"/>
        <v>1090</v>
      </c>
      <c r="B3384" s="3">
        <v>44167</v>
      </c>
      <c r="C3384" s="3" t="str">
        <f t="shared" si="160"/>
        <v>Wednesday</v>
      </c>
      <c r="D3384" s="2">
        <v>0.43638888888888888</v>
      </c>
      <c r="E3384" t="s">
        <v>14</v>
      </c>
      <c r="F3384" t="s">
        <v>15</v>
      </c>
      <c r="G3384">
        <v>-1</v>
      </c>
      <c r="H3384" t="s">
        <v>20</v>
      </c>
      <c r="I3384" t="s">
        <v>87</v>
      </c>
      <c r="J3384" s="1">
        <v>44185</v>
      </c>
      <c r="L3384" t="s">
        <v>14</v>
      </c>
      <c r="M3384">
        <v>3656</v>
      </c>
      <c r="N3384">
        <v>3656</v>
      </c>
      <c r="O3384" t="s">
        <v>21</v>
      </c>
      <c r="P3384">
        <f t="shared" si="159"/>
        <v>-4</v>
      </c>
      <c r="Q3384" s="11">
        <f>IF(P3384=0,0,IFERROR(Q3383+G3384*M3384*IF(E3384="FUTURE",VLOOKUP(MID(I3384,2,2),[1]Futures!$A$2:$B$12,2),1),G3384*M3384*IF(E3384="FUTURE",VLOOKUP(MID(I3384,2,2),[1]Futures!$A$2:$B$12,2),1)))</f>
        <v>-73000</v>
      </c>
      <c r="R3384" s="12">
        <f>IFERROR(Q3384/P3384/IF(E3384="FUTURE",VLOOKUP(MID(I3384,2,2),[1]Futures!$A$2:$B$12,2),1),"")</f>
        <v>3650</v>
      </c>
      <c r="S3384" s="13" t="str">
        <f>IF(AND(H3384="TO CLOSE",P3384=0),-G3384*(M3384-R3383)*IF(E3384="FUTURE",VLOOKUP(MID(I3384,2,2),[1]Futures!$A$2:$B$12,2),1),"")</f>
        <v/>
      </c>
    </row>
    <row r="3385" spans="1:19" x14ac:dyDescent="0.2">
      <c r="A3385">
        <f t="shared" si="158"/>
        <v>1090</v>
      </c>
      <c r="B3385" s="3">
        <v>44167</v>
      </c>
      <c r="C3385" s="3" t="str">
        <f t="shared" si="160"/>
        <v>Wednesday</v>
      </c>
      <c r="D3385" s="2">
        <v>0.61473379629629632</v>
      </c>
      <c r="E3385" t="s">
        <v>14</v>
      </c>
      <c r="F3385" t="s">
        <v>15</v>
      </c>
      <c r="G3385">
        <v>-1</v>
      </c>
      <c r="H3385" t="s">
        <v>20</v>
      </c>
      <c r="I3385" t="s">
        <v>87</v>
      </c>
      <c r="J3385" s="1">
        <v>44185</v>
      </c>
      <c r="L3385" t="s">
        <v>14</v>
      </c>
      <c r="M3385">
        <v>3665</v>
      </c>
      <c r="N3385">
        <v>3665</v>
      </c>
      <c r="O3385" t="s">
        <v>21</v>
      </c>
      <c r="P3385">
        <f t="shared" si="159"/>
        <v>-5</v>
      </c>
      <c r="Q3385" s="11">
        <f>IF(P3385=0,0,IFERROR(Q3384+G3385*M3385*IF(E3385="FUTURE",VLOOKUP(MID(I3385,2,2),[1]Futures!$A$2:$B$12,2),1),G3385*M3385*IF(E3385="FUTURE",VLOOKUP(MID(I3385,2,2),[1]Futures!$A$2:$B$12,2),1)))</f>
        <v>-91325</v>
      </c>
      <c r="R3385" s="12">
        <f>IFERROR(Q3385/P3385/IF(E3385="FUTURE",VLOOKUP(MID(I3385,2,2),[1]Futures!$A$2:$B$12,2),1),"")</f>
        <v>3653</v>
      </c>
      <c r="S3385" s="13" t="str">
        <f>IF(AND(H3385="TO CLOSE",P3385=0),-G3385*(M3385-R3384)*IF(E3385="FUTURE",VLOOKUP(MID(I3385,2,2),[1]Futures!$A$2:$B$12,2),1),"")</f>
        <v/>
      </c>
    </row>
    <row r="3386" spans="1:19" x14ac:dyDescent="0.2">
      <c r="A3386">
        <f t="shared" si="158"/>
        <v>1090</v>
      </c>
      <c r="B3386" s="3">
        <v>44168</v>
      </c>
      <c r="C3386" s="3" t="str">
        <f t="shared" si="160"/>
        <v>Thursday</v>
      </c>
      <c r="D3386" s="2">
        <v>7.175925925925927E-4</v>
      </c>
      <c r="E3386" t="s">
        <v>14</v>
      </c>
      <c r="F3386" t="s">
        <v>19</v>
      </c>
      <c r="G3386">
        <v>1</v>
      </c>
      <c r="H3386" t="s">
        <v>16</v>
      </c>
      <c r="I3386" t="s">
        <v>87</v>
      </c>
      <c r="J3386" s="1">
        <v>44185</v>
      </c>
      <c r="L3386" t="s">
        <v>14</v>
      </c>
      <c r="M3386">
        <v>3661.75</v>
      </c>
      <c r="N3386">
        <v>3661.75</v>
      </c>
      <c r="O3386" t="s">
        <v>21</v>
      </c>
      <c r="P3386">
        <f t="shared" si="159"/>
        <v>-4</v>
      </c>
      <c r="Q3386" s="11">
        <f>IF(P3386=0,0,IFERROR(Q3385+G3386*M3386*IF(E3386="FUTURE",VLOOKUP(MID(I3386,2,2),[1]Futures!$A$2:$B$12,2),1),G3386*M3386*IF(E3386="FUTURE",VLOOKUP(MID(I3386,2,2),[1]Futures!$A$2:$B$12,2),1)))</f>
        <v>-73016.25</v>
      </c>
      <c r="R3386" s="12">
        <f>IFERROR(Q3386/P3386/IF(E3386="FUTURE",VLOOKUP(MID(I3386,2,2),[1]Futures!$A$2:$B$12,2),1),"")</f>
        <v>3650.8125</v>
      </c>
      <c r="S3386" s="13" t="str">
        <f>IF(AND(H3386="TO CLOSE",P3386=0),-G3386*(M3386-R3385)*IF(E3386="FUTURE",VLOOKUP(MID(I3386,2,2),[1]Futures!$A$2:$B$12,2),1),"")</f>
        <v/>
      </c>
    </row>
    <row r="3387" spans="1:19" x14ac:dyDescent="0.2">
      <c r="A3387">
        <f t="shared" si="158"/>
        <v>1090</v>
      </c>
      <c r="B3387" s="3">
        <v>44168</v>
      </c>
      <c r="C3387" s="3" t="str">
        <f t="shared" si="160"/>
        <v>Thursday</v>
      </c>
      <c r="D3387" s="2">
        <v>6.2280092592592595E-2</v>
      </c>
      <c r="E3387" t="s">
        <v>14</v>
      </c>
      <c r="F3387" t="s">
        <v>19</v>
      </c>
      <c r="G3387">
        <v>4</v>
      </c>
      <c r="H3387" t="s">
        <v>16</v>
      </c>
      <c r="I3387" t="s">
        <v>87</v>
      </c>
      <c r="J3387" s="1">
        <v>44185</v>
      </c>
      <c r="L3387" t="s">
        <v>14</v>
      </c>
      <c r="M3387">
        <v>3665</v>
      </c>
      <c r="N3387">
        <v>3665</v>
      </c>
      <c r="O3387" t="s">
        <v>24</v>
      </c>
      <c r="P3387">
        <f t="shared" si="159"/>
        <v>0</v>
      </c>
      <c r="Q3387" s="11">
        <f>IF(P3387=0,0,IFERROR(Q3386+G3387*M3387*IF(E3387="FUTURE",VLOOKUP(MID(I3387,2,2),[1]Futures!$A$2:$B$12,2),1),G3387*M3387*IF(E3387="FUTURE",VLOOKUP(MID(I3387,2,2),[1]Futures!$A$2:$B$12,2),1)))</f>
        <v>0</v>
      </c>
      <c r="R3387" s="12" t="str">
        <f>IFERROR(Q3387/P3387/IF(E3387="FUTURE",VLOOKUP(MID(I3387,2,2),[1]Futures!$A$2:$B$12,2),1),"")</f>
        <v/>
      </c>
      <c r="S3387" s="13">
        <f>IF(AND(H3387="TO CLOSE",P3387=0),-G3387*(M3387-R3386)*IF(E3387="FUTURE",VLOOKUP(MID(I3387,2,2),[1]Futures!$A$2:$B$12,2),1),"")</f>
        <v>-283.75</v>
      </c>
    </row>
    <row r="3388" spans="1:19" x14ac:dyDescent="0.2">
      <c r="A3388">
        <f t="shared" si="158"/>
        <v>1091</v>
      </c>
      <c r="B3388" s="3">
        <v>44168</v>
      </c>
      <c r="C3388" s="3" t="str">
        <f t="shared" si="160"/>
        <v>Thursday</v>
      </c>
      <c r="D3388" s="2">
        <v>0.49402777777777779</v>
      </c>
      <c r="E3388" t="s">
        <v>14</v>
      </c>
      <c r="F3388" t="s">
        <v>15</v>
      </c>
      <c r="G3388">
        <v>-1</v>
      </c>
      <c r="H3388" t="s">
        <v>20</v>
      </c>
      <c r="I3388" t="s">
        <v>88</v>
      </c>
      <c r="J3388" s="1">
        <v>43851</v>
      </c>
      <c r="L3388" t="s">
        <v>14</v>
      </c>
      <c r="M3388">
        <v>45.31</v>
      </c>
      <c r="N3388">
        <v>45.31</v>
      </c>
      <c r="O3388" t="s">
        <v>21</v>
      </c>
      <c r="P3388">
        <f t="shared" si="159"/>
        <v>-1</v>
      </c>
      <c r="Q3388" s="11">
        <f>IF(P3388=0,0,IFERROR(Q3387+G3388*M3388*IF(E3388="FUTURE",VLOOKUP(MID(I3388,2,2),[1]Futures!$A$2:$B$12,2),1),G3388*M3388*IF(E3388="FUTURE",VLOOKUP(MID(I3388,2,2),[1]Futures!$A$2:$B$12,2),1)))</f>
        <v>-45310</v>
      </c>
      <c r="R3388" s="12">
        <f>IFERROR(Q3388/P3388/IF(E3388="FUTURE",VLOOKUP(MID(I3388,2,2),[1]Futures!$A$2:$B$12,2),1),"")</f>
        <v>45.31</v>
      </c>
      <c r="S3388" s="13" t="str">
        <f>IF(AND(H3388="TO CLOSE",P3388=0),-G3388*(M3388-R3387)*IF(E3388="FUTURE",VLOOKUP(MID(I3388,2,2),[1]Futures!$A$2:$B$12,2),1),"")</f>
        <v/>
      </c>
    </row>
    <row r="3389" spans="1:19" x14ac:dyDescent="0.2">
      <c r="A3389">
        <f t="shared" si="158"/>
        <v>1091</v>
      </c>
      <c r="B3389" s="3">
        <v>44168</v>
      </c>
      <c r="C3389" s="3" t="str">
        <f t="shared" si="160"/>
        <v>Thursday</v>
      </c>
      <c r="D3389" s="2">
        <v>0.49490740740740741</v>
      </c>
      <c r="E3389" t="s">
        <v>14</v>
      </c>
      <c r="F3389" t="s">
        <v>19</v>
      </c>
      <c r="G3389">
        <v>1</v>
      </c>
      <c r="H3389" t="s">
        <v>16</v>
      </c>
      <c r="I3389" t="s">
        <v>88</v>
      </c>
      <c r="J3389" s="1">
        <v>43851</v>
      </c>
      <c r="L3389" t="s">
        <v>14</v>
      </c>
      <c r="M3389">
        <v>45.27</v>
      </c>
      <c r="N3389">
        <v>45.27</v>
      </c>
      <c r="O3389" t="s">
        <v>24</v>
      </c>
      <c r="P3389">
        <f t="shared" si="159"/>
        <v>0</v>
      </c>
      <c r="Q3389" s="11">
        <f>IF(P3389=0,0,IFERROR(Q3388+G3389*M3389*IF(E3389="FUTURE",VLOOKUP(MID(I3389,2,2),[1]Futures!$A$2:$B$12,2),1),G3389*M3389*IF(E3389="FUTURE",VLOOKUP(MID(I3389,2,2),[1]Futures!$A$2:$B$12,2),1)))</f>
        <v>0</v>
      </c>
      <c r="R3389" s="12" t="str">
        <f>IFERROR(Q3389/P3389/IF(E3389="FUTURE",VLOOKUP(MID(I3389,2,2),[1]Futures!$A$2:$B$12,2),1),"")</f>
        <v/>
      </c>
      <c r="S3389" s="13">
        <f>IF(AND(H3389="TO CLOSE",P3389=0),-G3389*(M3389-R3388)*IF(E3389="FUTURE",VLOOKUP(MID(I3389,2,2),[1]Futures!$A$2:$B$12,2),1),"")</f>
        <v>39.999999999999147</v>
      </c>
    </row>
    <row r="3390" spans="1:19" x14ac:dyDescent="0.2">
      <c r="A3390">
        <f t="shared" si="158"/>
        <v>1092</v>
      </c>
      <c r="B3390" s="3">
        <v>44168</v>
      </c>
      <c r="C3390" s="3" t="str">
        <f t="shared" si="160"/>
        <v>Thursday</v>
      </c>
      <c r="D3390" s="2">
        <v>0.39572916666666669</v>
      </c>
      <c r="E3390" t="s">
        <v>14</v>
      </c>
      <c r="F3390" t="s">
        <v>15</v>
      </c>
      <c r="G3390">
        <v>-1</v>
      </c>
      <c r="H3390" t="s">
        <v>20</v>
      </c>
      <c r="I3390" t="s">
        <v>85</v>
      </c>
      <c r="J3390" s="1">
        <v>44185</v>
      </c>
      <c r="L3390" t="s">
        <v>14</v>
      </c>
      <c r="M3390">
        <v>3667.25</v>
      </c>
      <c r="N3390">
        <v>3667.25</v>
      </c>
      <c r="O3390" t="s">
        <v>21</v>
      </c>
      <c r="P3390">
        <f t="shared" si="159"/>
        <v>-1</v>
      </c>
      <c r="Q3390" s="11">
        <f>IF(P3390=0,0,IFERROR(Q3389+G3390*M3390*IF(E3390="FUTURE",VLOOKUP(MID(I3390,2,2),[1]Futures!$A$2:$B$12,2),1),G3390*M3390*IF(E3390="FUTURE",VLOOKUP(MID(I3390,2,2),[1]Futures!$A$2:$B$12,2),1)))</f>
        <v>-183362.5</v>
      </c>
      <c r="R3390" s="12">
        <f>IFERROR(Q3390/P3390/IF(E3390="FUTURE",VLOOKUP(MID(I3390,2,2),[1]Futures!$A$2:$B$12,2),1),"")</f>
        <v>3667.25</v>
      </c>
      <c r="S3390" s="13" t="str">
        <f>IF(AND(H3390="TO CLOSE",P3390=0),-G3390*(M3390-R3389)*IF(E3390="FUTURE",VLOOKUP(MID(I3390,2,2),[1]Futures!$A$2:$B$12,2),1),"")</f>
        <v/>
      </c>
    </row>
    <row r="3391" spans="1:19" x14ac:dyDescent="0.2">
      <c r="A3391">
        <f t="shared" si="158"/>
        <v>1092</v>
      </c>
      <c r="B3391" s="3">
        <v>44168</v>
      </c>
      <c r="C3391" s="3" t="str">
        <f t="shared" si="160"/>
        <v>Thursday</v>
      </c>
      <c r="D3391" s="2">
        <v>0.42561342592592594</v>
      </c>
      <c r="E3391" t="s">
        <v>14</v>
      </c>
      <c r="F3391" t="s">
        <v>19</v>
      </c>
      <c r="G3391">
        <v>2</v>
      </c>
      <c r="H3391" t="s">
        <v>16</v>
      </c>
      <c r="I3391" t="s">
        <v>85</v>
      </c>
      <c r="J3391" s="1">
        <v>44185</v>
      </c>
      <c r="L3391" t="s">
        <v>14</v>
      </c>
      <c r="M3391">
        <v>3674.5</v>
      </c>
      <c r="N3391">
        <v>3674.5</v>
      </c>
      <c r="O3391" t="s">
        <v>24</v>
      </c>
      <c r="P3391">
        <f t="shared" si="159"/>
        <v>1</v>
      </c>
      <c r="Q3391" s="11">
        <f>IF(P3391=0,0,IFERROR(Q3390+G3391*M3391*IF(E3391="FUTURE",VLOOKUP(MID(I3391,2,2),[1]Futures!$A$2:$B$12,2),1),G3391*M3391*IF(E3391="FUTURE",VLOOKUP(MID(I3391,2,2),[1]Futures!$A$2:$B$12,2),1)))</f>
        <v>184087.5</v>
      </c>
      <c r="R3391" s="12">
        <f>IFERROR(Q3391/P3391/IF(E3391="FUTURE",VLOOKUP(MID(I3391,2,2),[1]Futures!$A$2:$B$12,2),1),"")</f>
        <v>3681.75</v>
      </c>
      <c r="S3391" s="13" t="str">
        <f>IF(AND(H3391="TO CLOSE",P3391=0),-G3391*(M3391-R3390)*IF(E3391="FUTURE",VLOOKUP(MID(I3391,2,2),[1]Futures!$A$2:$B$12,2),1),"")</f>
        <v/>
      </c>
    </row>
    <row r="3392" spans="1:19" x14ac:dyDescent="0.2">
      <c r="A3392">
        <f t="shared" si="158"/>
        <v>1092</v>
      </c>
      <c r="B3392" s="3">
        <v>44168</v>
      </c>
      <c r="C3392" s="3" t="str">
        <f t="shared" si="160"/>
        <v>Thursday</v>
      </c>
      <c r="D3392" s="2">
        <v>0.4306018518518519</v>
      </c>
      <c r="E3392" t="s">
        <v>14</v>
      </c>
      <c r="F3392" t="s">
        <v>15</v>
      </c>
      <c r="G3392">
        <v>-1</v>
      </c>
      <c r="H3392" t="s">
        <v>16</v>
      </c>
      <c r="I3392" t="s">
        <v>85</v>
      </c>
      <c r="J3392" s="1">
        <v>44185</v>
      </c>
      <c r="L3392" t="s">
        <v>14</v>
      </c>
      <c r="M3392">
        <v>3678.75</v>
      </c>
      <c r="N3392">
        <v>3678.75</v>
      </c>
      <c r="O3392" t="s">
        <v>21</v>
      </c>
      <c r="P3392">
        <f t="shared" si="159"/>
        <v>0</v>
      </c>
      <c r="Q3392" s="11">
        <f>IF(P3392=0,0,IFERROR(Q3391+G3392*M3392*IF(E3392="FUTURE",VLOOKUP(MID(I3392,2,2),[1]Futures!$A$2:$B$12,2),1),G3392*M3392*IF(E3392="FUTURE",VLOOKUP(MID(I3392,2,2),[1]Futures!$A$2:$B$12,2),1)))</f>
        <v>0</v>
      </c>
      <c r="R3392" s="12" t="str">
        <f>IFERROR(Q3392/P3392/IF(E3392="FUTURE",VLOOKUP(MID(I3392,2,2),[1]Futures!$A$2:$B$12,2),1),"")</f>
        <v/>
      </c>
      <c r="S3392" s="13">
        <f>IF(AND(H3392="TO CLOSE",P3392=0),-G3392*(M3392-R3391)*IF(E3392="FUTURE",VLOOKUP(MID(I3392,2,2),[1]Futures!$A$2:$B$12,2),1),"")</f>
        <v>-150</v>
      </c>
    </row>
    <row r="3393" spans="1:19" x14ac:dyDescent="0.2">
      <c r="A3393">
        <f t="shared" si="158"/>
        <v>1093</v>
      </c>
      <c r="B3393" s="3">
        <v>44168</v>
      </c>
      <c r="C3393" s="3" t="str">
        <f t="shared" si="160"/>
        <v>Thursday</v>
      </c>
      <c r="D3393" s="2">
        <v>0.44124999999999998</v>
      </c>
      <c r="E3393" t="s">
        <v>14</v>
      </c>
      <c r="F3393" t="s">
        <v>15</v>
      </c>
      <c r="G3393">
        <v>-1</v>
      </c>
      <c r="H3393" t="s">
        <v>20</v>
      </c>
      <c r="I3393" t="s">
        <v>85</v>
      </c>
      <c r="J3393" s="1">
        <v>44185</v>
      </c>
      <c r="L3393" t="s">
        <v>14</v>
      </c>
      <c r="M3393">
        <v>3677</v>
      </c>
      <c r="N3393">
        <v>3677</v>
      </c>
      <c r="O3393" t="s">
        <v>24</v>
      </c>
      <c r="P3393">
        <f t="shared" si="159"/>
        <v>-1</v>
      </c>
      <c r="Q3393" s="11">
        <f>IF(P3393=0,0,IFERROR(Q3392+G3393*M3393*IF(E3393="FUTURE",VLOOKUP(MID(I3393,2,2),[1]Futures!$A$2:$B$12,2),1),G3393*M3393*IF(E3393="FUTURE",VLOOKUP(MID(I3393,2,2),[1]Futures!$A$2:$B$12,2),1)))</f>
        <v>-183850</v>
      </c>
      <c r="R3393" s="12">
        <f>IFERROR(Q3393/P3393/IF(E3393="FUTURE",VLOOKUP(MID(I3393,2,2),[1]Futures!$A$2:$B$12,2),1),"")</f>
        <v>3677</v>
      </c>
      <c r="S3393" s="13" t="str">
        <f>IF(AND(H3393="TO CLOSE",P3393=0),-G3393*(M3393-R3392)*IF(E3393="FUTURE",VLOOKUP(MID(I3393,2,2),[1]Futures!$A$2:$B$12,2),1),"")</f>
        <v/>
      </c>
    </row>
    <row r="3394" spans="1:19" x14ac:dyDescent="0.2">
      <c r="A3394">
        <f t="shared" ref="A3394:A3457" si="161">IF(AND(P3393=0,H3393="TO CLOSE"),IFERROR(A3393+1,1),IFERROR(A3393/1,1))</f>
        <v>1093</v>
      </c>
      <c r="B3394" s="3">
        <v>44168</v>
      </c>
      <c r="C3394" s="3" t="str">
        <f t="shared" si="160"/>
        <v>Thursday</v>
      </c>
      <c r="D3394" s="2">
        <v>0.46606481481481482</v>
      </c>
      <c r="E3394" t="s">
        <v>14</v>
      </c>
      <c r="F3394" t="s">
        <v>19</v>
      </c>
      <c r="G3394">
        <v>1</v>
      </c>
      <c r="H3394" t="s">
        <v>16</v>
      </c>
      <c r="I3394" t="s">
        <v>85</v>
      </c>
      <c r="J3394" s="1">
        <v>44185</v>
      </c>
      <c r="L3394" t="s">
        <v>14</v>
      </c>
      <c r="M3394">
        <v>3669.5</v>
      </c>
      <c r="N3394">
        <v>3669.5</v>
      </c>
      <c r="O3394" t="s">
        <v>24</v>
      </c>
      <c r="P3394">
        <f t="shared" si="159"/>
        <v>0</v>
      </c>
      <c r="Q3394" s="11">
        <f>IF(P3394=0,0,IFERROR(Q3393+G3394*M3394*IF(E3394="FUTURE",VLOOKUP(MID(I3394,2,2),[1]Futures!$A$2:$B$12,2),1),G3394*M3394*IF(E3394="FUTURE",VLOOKUP(MID(I3394,2,2),[1]Futures!$A$2:$B$12,2),1)))</f>
        <v>0</v>
      </c>
      <c r="R3394" s="12" t="str">
        <f>IFERROR(Q3394/P3394/IF(E3394="FUTURE",VLOOKUP(MID(I3394,2,2),[1]Futures!$A$2:$B$12,2),1),"")</f>
        <v/>
      </c>
      <c r="S3394" s="13">
        <f>IF(AND(H3394="TO CLOSE",P3394=0),-G3394*(M3394-R3393)*IF(E3394="FUTURE",VLOOKUP(MID(I3394,2,2),[1]Futures!$A$2:$B$12,2),1),"")</f>
        <v>375</v>
      </c>
    </row>
    <row r="3395" spans="1:19" x14ac:dyDescent="0.2">
      <c r="A3395">
        <f t="shared" si="161"/>
        <v>1094</v>
      </c>
      <c r="B3395" s="3">
        <v>44168</v>
      </c>
      <c r="C3395" s="3" t="str">
        <f t="shared" si="160"/>
        <v>Thursday</v>
      </c>
      <c r="D3395" s="2">
        <v>0.44976851851851851</v>
      </c>
      <c r="E3395" t="s">
        <v>14</v>
      </c>
      <c r="F3395" t="s">
        <v>15</v>
      </c>
      <c r="G3395">
        <v>-4</v>
      </c>
      <c r="H3395" t="s">
        <v>20</v>
      </c>
      <c r="I3395" t="s">
        <v>87</v>
      </c>
      <c r="J3395" s="1">
        <v>44185</v>
      </c>
      <c r="L3395" t="s">
        <v>14</v>
      </c>
      <c r="M3395">
        <v>3677.5</v>
      </c>
      <c r="N3395">
        <v>3677.5</v>
      </c>
      <c r="O3395" t="s">
        <v>21</v>
      </c>
      <c r="P3395">
        <f t="shared" ref="P3395:P3458" si="162">IF(H3395="TO OPEN",IFERROR(P3394+G3395,0+G3395),IFERROR(P3394+G3395,0+G3395))</f>
        <v>-4</v>
      </c>
      <c r="Q3395" s="11">
        <f>IF(P3395=0,0,IFERROR(Q3394+G3395*M3395*IF(E3395="FUTURE",VLOOKUP(MID(I3395,2,2),[1]Futures!$A$2:$B$12,2),1),G3395*M3395*IF(E3395="FUTURE",VLOOKUP(MID(I3395,2,2),[1]Futures!$A$2:$B$12,2),1)))</f>
        <v>-73550</v>
      </c>
      <c r="R3395" s="12">
        <f>IFERROR(Q3395/P3395/IF(E3395="FUTURE",VLOOKUP(MID(I3395,2,2),[1]Futures!$A$2:$B$12,2),1),"")</f>
        <v>3677.5</v>
      </c>
      <c r="S3395" s="13" t="str">
        <f>IF(AND(H3395="TO CLOSE",P3395=0),-G3395*(M3395-R3394)*IF(E3395="FUTURE",VLOOKUP(MID(I3395,2,2),[1]Futures!$A$2:$B$12,2),1),"")</f>
        <v/>
      </c>
    </row>
    <row r="3396" spans="1:19" x14ac:dyDescent="0.2">
      <c r="A3396">
        <f t="shared" si="161"/>
        <v>1094</v>
      </c>
      <c r="B3396" s="3">
        <v>44168</v>
      </c>
      <c r="C3396" s="3" t="str">
        <f t="shared" si="160"/>
        <v>Thursday</v>
      </c>
      <c r="D3396" s="2">
        <v>0.46461805555555552</v>
      </c>
      <c r="E3396" t="s">
        <v>14</v>
      </c>
      <c r="F3396" t="s">
        <v>19</v>
      </c>
      <c r="G3396">
        <v>2</v>
      </c>
      <c r="H3396" t="s">
        <v>16</v>
      </c>
      <c r="I3396" t="s">
        <v>87</v>
      </c>
      <c r="J3396" s="1">
        <v>44185</v>
      </c>
      <c r="L3396" t="s">
        <v>14</v>
      </c>
      <c r="M3396">
        <v>3674</v>
      </c>
      <c r="N3396">
        <v>3674</v>
      </c>
      <c r="O3396" t="s">
        <v>21</v>
      </c>
      <c r="P3396">
        <f t="shared" si="162"/>
        <v>-2</v>
      </c>
      <c r="Q3396" s="11">
        <f>IF(P3396=0,0,IFERROR(Q3395+G3396*M3396*IF(E3396="FUTURE",VLOOKUP(MID(I3396,2,2),[1]Futures!$A$2:$B$12,2),1),G3396*M3396*IF(E3396="FUTURE",VLOOKUP(MID(I3396,2,2),[1]Futures!$A$2:$B$12,2),1)))</f>
        <v>-36810</v>
      </c>
      <c r="R3396" s="12">
        <f>IFERROR(Q3396/P3396/IF(E3396="FUTURE",VLOOKUP(MID(I3396,2,2),[1]Futures!$A$2:$B$12,2),1),"")</f>
        <v>3681</v>
      </c>
      <c r="S3396" s="13" t="str">
        <f>IF(AND(H3396="TO CLOSE",P3396=0),-G3396*(M3396-R3395)*IF(E3396="FUTURE",VLOOKUP(MID(I3396,2,2),[1]Futures!$A$2:$B$12,2),1),"")</f>
        <v/>
      </c>
    </row>
    <row r="3397" spans="1:19" x14ac:dyDescent="0.2">
      <c r="A3397">
        <f t="shared" si="161"/>
        <v>1094</v>
      </c>
      <c r="B3397" s="3">
        <v>44168</v>
      </c>
      <c r="C3397" s="3" t="str">
        <f t="shared" si="160"/>
        <v>Thursday</v>
      </c>
      <c r="D3397" s="2">
        <v>0.46630787037037041</v>
      </c>
      <c r="E3397" t="s">
        <v>14</v>
      </c>
      <c r="F3397" t="s">
        <v>19</v>
      </c>
      <c r="G3397">
        <v>2</v>
      </c>
      <c r="H3397" t="s">
        <v>16</v>
      </c>
      <c r="I3397" t="s">
        <v>87</v>
      </c>
      <c r="J3397" s="1">
        <v>44185</v>
      </c>
      <c r="L3397" t="s">
        <v>14</v>
      </c>
      <c r="M3397">
        <v>3670.25</v>
      </c>
      <c r="N3397">
        <v>3670.25</v>
      </c>
      <c r="O3397" t="s">
        <v>24</v>
      </c>
      <c r="P3397">
        <f t="shared" si="162"/>
        <v>0</v>
      </c>
      <c r="Q3397" s="11">
        <f>IF(P3397=0,0,IFERROR(Q3396+G3397*M3397*IF(E3397="FUTURE",VLOOKUP(MID(I3397,2,2),[1]Futures!$A$2:$B$12,2),1),G3397*M3397*IF(E3397="FUTURE",VLOOKUP(MID(I3397,2,2),[1]Futures!$A$2:$B$12,2),1)))</f>
        <v>0</v>
      </c>
      <c r="R3397" s="12" t="str">
        <f>IFERROR(Q3397/P3397/IF(E3397="FUTURE",VLOOKUP(MID(I3397,2,2),[1]Futures!$A$2:$B$12,2),1),"")</f>
        <v/>
      </c>
      <c r="S3397" s="13">
        <f>IF(AND(H3397="TO CLOSE",P3397=0),-G3397*(M3397-R3396)*IF(E3397="FUTURE",VLOOKUP(MID(I3397,2,2),[1]Futures!$A$2:$B$12,2),1),"")</f>
        <v>107.5</v>
      </c>
    </row>
    <row r="3398" spans="1:19" x14ac:dyDescent="0.2">
      <c r="A3398">
        <f t="shared" si="161"/>
        <v>1095</v>
      </c>
      <c r="B3398" s="3">
        <v>44169</v>
      </c>
      <c r="C3398" s="3" t="str">
        <f t="shared" si="160"/>
        <v>Friday</v>
      </c>
      <c r="D3398" s="2">
        <v>0.38201388888888888</v>
      </c>
      <c r="E3398" t="s">
        <v>14</v>
      </c>
      <c r="F3398" t="s">
        <v>15</v>
      </c>
      <c r="G3398">
        <v>-1</v>
      </c>
      <c r="H3398" t="s">
        <v>20</v>
      </c>
      <c r="I3398" t="s">
        <v>88</v>
      </c>
      <c r="J3398" s="1">
        <v>43851</v>
      </c>
      <c r="L3398" t="s">
        <v>14</v>
      </c>
      <c r="M3398">
        <v>45.84</v>
      </c>
      <c r="N3398">
        <v>45.84</v>
      </c>
      <c r="O3398" t="s">
        <v>21</v>
      </c>
      <c r="P3398">
        <f t="shared" si="162"/>
        <v>-1</v>
      </c>
      <c r="Q3398" s="11">
        <f>IF(P3398=0,0,IFERROR(Q3397+G3398*M3398*IF(E3398="FUTURE",VLOOKUP(MID(I3398,2,2),[1]Futures!$A$2:$B$12,2),1),G3398*M3398*IF(E3398="FUTURE",VLOOKUP(MID(I3398,2,2),[1]Futures!$A$2:$B$12,2),1)))</f>
        <v>-45840</v>
      </c>
      <c r="R3398" s="12">
        <f>IFERROR(Q3398/P3398/IF(E3398="FUTURE",VLOOKUP(MID(I3398,2,2),[1]Futures!$A$2:$B$12,2),1),"")</f>
        <v>45.84</v>
      </c>
      <c r="S3398" s="13" t="str">
        <f>IF(AND(H3398="TO CLOSE",P3398=0),-G3398*(M3398-R3397)*IF(E3398="FUTURE",VLOOKUP(MID(I3398,2,2),[1]Futures!$A$2:$B$12,2),1),"")</f>
        <v/>
      </c>
    </row>
    <row r="3399" spans="1:19" x14ac:dyDescent="0.2">
      <c r="A3399">
        <f t="shared" si="161"/>
        <v>1095</v>
      </c>
      <c r="B3399" s="3">
        <v>44169</v>
      </c>
      <c r="C3399" s="3" t="str">
        <f t="shared" si="160"/>
        <v>Friday</v>
      </c>
      <c r="D3399" s="2">
        <v>0.38915509259259262</v>
      </c>
      <c r="E3399" t="s">
        <v>14</v>
      </c>
      <c r="F3399" t="s">
        <v>19</v>
      </c>
      <c r="G3399">
        <v>1</v>
      </c>
      <c r="H3399" t="s">
        <v>16</v>
      </c>
      <c r="I3399" t="s">
        <v>88</v>
      </c>
      <c r="J3399" s="1">
        <v>43851</v>
      </c>
      <c r="L3399" t="s">
        <v>14</v>
      </c>
      <c r="M3399">
        <v>45.74</v>
      </c>
      <c r="N3399">
        <v>45.74</v>
      </c>
      <c r="O3399" t="s">
        <v>21</v>
      </c>
      <c r="P3399">
        <f t="shared" si="162"/>
        <v>0</v>
      </c>
      <c r="Q3399" s="11">
        <f>IF(P3399=0,0,IFERROR(Q3398+G3399*M3399*IF(E3399="FUTURE",VLOOKUP(MID(I3399,2,2),[1]Futures!$A$2:$B$12,2),1),G3399*M3399*IF(E3399="FUTURE",VLOOKUP(MID(I3399,2,2),[1]Futures!$A$2:$B$12,2),1)))</f>
        <v>0</v>
      </c>
      <c r="R3399" s="12" t="str">
        <f>IFERROR(Q3399/P3399/IF(E3399="FUTURE",VLOOKUP(MID(I3399,2,2),[1]Futures!$A$2:$B$12,2),1),"")</f>
        <v/>
      </c>
      <c r="S3399" s="13">
        <f>IF(AND(H3399="TO CLOSE",P3399=0),-G3399*(M3399-R3398)*IF(E3399="FUTURE",VLOOKUP(MID(I3399,2,2),[1]Futures!$A$2:$B$12,2),1),"")</f>
        <v>100.00000000000142</v>
      </c>
    </row>
    <row r="3400" spans="1:19" x14ac:dyDescent="0.2">
      <c r="A3400">
        <f t="shared" si="161"/>
        <v>1096</v>
      </c>
      <c r="B3400" s="3">
        <v>44169</v>
      </c>
      <c r="C3400" s="3" t="str">
        <f t="shared" si="160"/>
        <v>Friday</v>
      </c>
      <c r="D3400" s="2">
        <v>0.39619212962962963</v>
      </c>
      <c r="E3400" t="s">
        <v>14</v>
      </c>
      <c r="F3400" t="s">
        <v>15</v>
      </c>
      <c r="G3400">
        <v>-1</v>
      </c>
      <c r="H3400" t="s">
        <v>20</v>
      </c>
      <c r="I3400" t="s">
        <v>85</v>
      </c>
      <c r="J3400" s="1">
        <v>44185</v>
      </c>
      <c r="L3400" t="s">
        <v>14</v>
      </c>
      <c r="M3400">
        <v>3673</v>
      </c>
      <c r="N3400">
        <v>3673</v>
      </c>
      <c r="O3400" t="s">
        <v>21</v>
      </c>
      <c r="P3400">
        <f t="shared" si="162"/>
        <v>-1</v>
      </c>
      <c r="Q3400" s="11">
        <f>IF(P3400=0,0,IFERROR(Q3399+G3400*M3400*IF(E3400="FUTURE",VLOOKUP(MID(I3400,2,2),[1]Futures!$A$2:$B$12,2),1),G3400*M3400*IF(E3400="FUTURE",VLOOKUP(MID(I3400,2,2),[1]Futures!$A$2:$B$12,2),1)))</f>
        <v>-183650</v>
      </c>
      <c r="R3400" s="12">
        <f>IFERROR(Q3400/P3400/IF(E3400="FUTURE",VLOOKUP(MID(I3400,2,2),[1]Futures!$A$2:$B$12,2),1),"")</f>
        <v>3673</v>
      </c>
      <c r="S3400" s="13" t="str">
        <f>IF(AND(H3400="TO CLOSE",P3400=0),-G3400*(M3400-R3399)*IF(E3400="FUTURE",VLOOKUP(MID(I3400,2,2),[1]Futures!$A$2:$B$12,2),1),"")</f>
        <v/>
      </c>
    </row>
    <row r="3401" spans="1:19" x14ac:dyDescent="0.2">
      <c r="A3401">
        <f t="shared" si="161"/>
        <v>1096</v>
      </c>
      <c r="B3401" s="3">
        <v>44169</v>
      </c>
      <c r="C3401" s="3" t="str">
        <f t="shared" si="160"/>
        <v>Friday</v>
      </c>
      <c r="D3401" s="2">
        <v>0.58819444444444446</v>
      </c>
      <c r="E3401" t="s">
        <v>14</v>
      </c>
      <c r="F3401" t="s">
        <v>19</v>
      </c>
      <c r="G3401">
        <v>2</v>
      </c>
      <c r="H3401" t="s">
        <v>16</v>
      </c>
      <c r="I3401" t="s">
        <v>85</v>
      </c>
      <c r="J3401" s="1">
        <v>44185</v>
      </c>
      <c r="L3401" t="s">
        <v>14</v>
      </c>
      <c r="M3401">
        <v>3688.75</v>
      </c>
      <c r="N3401">
        <v>3688.75</v>
      </c>
      <c r="O3401" t="s">
        <v>24</v>
      </c>
      <c r="P3401">
        <f t="shared" si="162"/>
        <v>1</v>
      </c>
      <c r="Q3401" s="11">
        <f>IF(P3401=0,0,IFERROR(Q3400+G3401*M3401*IF(E3401="FUTURE",VLOOKUP(MID(I3401,2,2),[1]Futures!$A$2:$B$12,2),1),G3401*M3401*IF(E3401="FUTURE",VLOOKUP(MID(I3401,2,2),[1]Futures!$A$2:$B$12,2),1)))</f>
        <v>185225</v>
      </c>
      <c r="R3401" s="12">
        <f>IFERROR(Q3401/P3401/IF(E3401="FUTURE",VLOOKUP(MID(I3401,2,2),[1]Futures!$A$2:$B$12,2),1),"")</f>
        <v>3704.5</v>
      </c>
      <c r="S3401" s="13" t="str">
        <f>IF(AND(H3401="TO CLOSE",P3401=0),-G3401*(M3401-R3400)*IF(E3401="FUTURE",VLOOKUP(MID(I3401,2,2),[1]Futures!$A$2:$B$12,2),1),"")</f>
        <v/>
      </c>
    </row>
    <row r="3402" spans="1:19" x14ac:dyDescent="0.2">
      <c r="A3402">
        <f t="shared" si="161"/>
        <v>1096</v>
      </c>
      <c r="B3402" s="3">
        <v>44169</v>
      </c>
      <c r="C3402" s="3" t="str">
        <f t="shared" si="160"/>
        <v>Friday</v>
      </c>
      <c r="D3402" s="2">
        <v>0.61743055555555559</v>
      </c>
      <c r="E3402" t="s">
        <v>14</v>
      </c>
      <c r="F3402" t="s">
        <v>15</v>
      </c>
      <c r="G3402">
        <v>-1</v>
      </c>
      <c r="H3402" t="s">
        <v>16</v>
      </c>
      <c r="I3402" t="s">
        <v>85</v>
      </c>
      <c r="J3402" s="1">
        <v>44185</v>
      </c>
      <c r="L3402" t="s">
        <v>14</v>
      </c>
      <c r="M3402">
        <v>3691.5</v>
      </c>
      <c r="N3402">
        <v>3691.5</v>
      </c>
      <c r="O3402" t="s">
        <v>24</v>
      </c>
      <c r="P3402">
        <f t="shared" si="162"/>
        <v>0</v>
      </c>
      <c r="Q3402" s="11">
        <f>IF(P3402=0,0,IFERROR(Q3401+G3402*M3402*IF(E3402="FUTURE",VLOOKUP(MID(I3402,2,2),[1]Futures!$A$2:$B$12,2),1),G3402*M3402*IF(E3402="FUTURE",VLOOKUP(MID(I3402,2,2),[1]Futures!$A$2:$B$12,2),1)))</f>
        <v>0</v>
      </c>
      <c r="R3402" s="12" t="str">
        <f>IFERROR(Q3402/P3402/IF(E3402="FUTURE",VLOOKUP(MID(I3402,2,2),[1]Futures!$A$2:$B$12,2),1),"")</f>
        <v/>
      </c>
      <c r="S3402" s="13">
        <f>IF(AND(H3402="TO CLOSE",P3402=0),-G3402*(M3402-R3401)*IF(E3402="FUTURE",VLOOKUP(MID(I3402,2,2),[1]Futures!$A$2:$B$12,2),1),"")</f>
        <v>-650</v>
      </c>
    </row>
    <row r="3403" spans="1:19" x14ac:dyDescent="0.2">
      <c r="A3403">
        <f t="shared" si="161"/>
        <v>1097</v>
      </c>
      <c r="B3403" s="3">
        <v>44169</v>
      </c>
      <c r="C3403" s="3" t="str">
        <f t="shared" si="160"/>
        <v>Friday</v>
      </c>
      <c r="D3403" s="2">
        <v>0.62780092592592596</v>
      </c>
      <c r="E3403" t="s">
        <v>14</v>
      </c>
      <c r="F3403" t="s">
        <v>15</v>
      </c>
      <c r="G3403">
        <v>-1</v>
      </c>
      <c r="H3403" t="s">
        <v>20</v>
      </c>
      <c r="I3403" t="s">
        <v>85</v>
      </c>
      <c r="J3403" s="1">
        <v>44185</v>
      </c>
      <c r="L3403" t="s">
        <v>14</v>
      </c>
      <c r="M3403">
        <v>3691.5</v>
      </c>
      <c r="N3403">
        <v>3691.5</v>
      </c>
      <c r="O3403" t="s">
        <v>24</v>
      </c>
      <c r="P3403">
        <f t="shared" si="162"/>
        <v>-1</v>
      </c>
      <c r="Q3403" s="11">
        <f>IF(P3403=0,0,IFERROR(Q3402+G3403*M3403*IF(E3403="FUTURE",VLOOKUP(MID(I3403,2,2),[1]Futures!$A$2:$B$12,2),1),G3403*M3403*IF(E3403="FUTURE",VLOOKUP(MID(I3403,2,2),[1]Futures!$A$2:$B$12,2),1)))</f>
        <v>-184575</v>
      </c>
      <c r="R3403" s="12">
        <f>IFERROR(Q3403/P3403/IF(E3403="FUTURE",VLOOKUP(MID(I3403,2,2),[1]Futures!$A$2:$B$12,2),1),"")</f>
        <v>3691.5</v>
      </c>
      <c r="S3403" s="13" t="str">
        <f>IF(AND(H3403="TO CLOSE",P3403=0),-G3403*(M3403-R3402)*IF(E3403="FUTURE",VLOOKUP(MID(I3403,2,2),[1]Futures!$A$2:$B$12,2),1),"")</f>
        <v/>
      </c>
    </row>
    <row r="3404" spans="1:19" x14ac:dyDescent="0.2">
      <c r="A3404">
        <f t="shared" si="161"/>
        <v>1097</v>
      </c>
      <c r="B3404" s="3">
        <v>44169</v>
      </c>
      <c r="C3404" s="3" t="str">
        <f t="shared" si="160"/>
        <v>Friday</v>
      </c>
      <c r="D3404" s="2">
        <v>0.6384953703703703</v>
      </c>
      <c r="E3404" t="s">
        <v>14</v>
      </c>
      <c r="F3404" t="s">
        <v>19</v>
      </c>
      <c r="G3404">
        <v>1</v>
      </c>
      <c r="H3404" t="s">
        <v>16</v>
      </c>
      <c r="I3404" t="s">
        <v>85</v>
      </c>
      <c r="J3404" s="1">
        <v>44185</v>
      </c>
      <c r="L3404" t="s">
        <v>14</v>
      </c>
      <c r="M3404">
        <v>3690</v>
      </c>
      <c r="N3404">
        <v>3690</v>
      </c>
      <c r="O3404" t="s">
        <v>18</v>
      </c>
      <c r="P3404">
        <f t="shared" si="162"/>
        <v>0</v>
      </c>
      <c r="Q3404" s="11">
        <f>IF(P3404=0,0,IFERROR(Q3403+G3404*M3404*IF(E3404="FUTURE",VLOOKUP(MID(I3404,2,2),[1]Futures!$A$2:$B$12,2),1),G3404*M3404*IF(E3404="FUTURE",VLOOKUP(MID(I3404,2,2),[1]Futures!$A$2:$B$12,2),1)))</f>
        <v>0</v>
      </c>
      <c r="R3404" s="12" t="str">
        <f>IFERROR(Q3404/P3404/IF(E3404="FUTURE",VLOOKUP(MID(I3404,2,2),[1]Futures!$A$2:$B$12,2),1),"")</f>
        <v/>
      </c>
      <c r="S3404" s="13">
        <f>IF(AND(H3404="TO CLOSE",P3404=0),-G3404*(M3404-R3403)*IF(E3404="FUTURE",VLOOKUP(MID(I3404,2,2),[1]Futures!$A$2:$B$12,2),1),"")</f>
        <v>75</v>
      </c>
    </row>
    <row r="3405" spans="1:19" x14ac:dyDescent="0.2">
      <c r="A3405">
        <f t="shared" si="161"/>
        <v>1098</v>
      </c>
      <c r="B3405" s="3">
        <v>44169</v>
      </c>
      <c r="C3405" s="3" t="str">
        <f t="shared" si="160"/>
        <v>Friday</v>
      </c>
      <c r="D3405" s="2">
        <v>0.6521527777777778</v>
      </c>
      <c r="E3405" t="s">
        <v>14</v>
      </c>
      <c r="F3405" t="s">
        <v>15</v>
      </c>
      <c r="G3405">
        <v>-4</v>
      </c>
      <c r="H3405" t="s">
        <v>20</v>
      </c>
      <c r="I3405" t="s">
        <v>87</v>
      </c>
      <c r="J3405" s="1">
        <v>44185</v>
      </c>
      <c r="L3405" t="s">
        <v>14</v>
      </c>
      <c r="M3405">
        <v>3691.25</v>
      </c>
      <c r="N3405">
        <v>3691.25</v>
      </c>
      <c r="O3405" t="s">
        <v>21</v>
      </c>
      <c r="P3405">
        <f t="shared" si="162"/>
        <v>-4</v>
      </c>
      <c r="Q3405" s="11">
        <f>IF(P3405=0,0,IFERROR(Q3404+G3405*M3405*IF(E3405="FUTURE",VLOOKUP(MID(I3405,2,2),[1]Futures!$A$2:$B$12,2),1),G3405*M3405*IF(E3405="FUTURE",VLOOKUP(MID(I3405,2,2),[1]Futures!$A$2:$B$12,2),1)))</f>
        <v>-73825</v>
      </c>
      <c r="R3405" s="12">
        <f>IFERROR(Q3405/P3405/IF(E3405="FUTURE",VLOOKUP(MID(I3405,2,2),[1]Futures!$A$2:$B$12,2),1),"")</f>
        <v>3691.25</v>
      </c>
      <c r="S3405" s="13" t="str">
        <f>IF(AND(H3405="TO CLOSE",P3405=0),-G3405*(M3405-R3404)*IF(E3405="FUTURE",VLOOKUP(MID(I3405,2,2),[1]Futures!$A$2:$B$12,2),1),"")</f>
        <v/>
      </c>
    </row>
    <row r="3406" spans="1:19" x14ac:dyDescent="0.2">
      <c r="A3406">
        <f t="shared" si="161"/>
        <v>1098</v>
      </c>
      <c r="B3406" s="3">
        <v>44169</v>
      </c>
      <c r="C3406" s="3" t="str">
        <f t="shared" si="160"/>
        <v>Friday</v>
      </c>
      <c r="D3406" s="2">
        <v>0.66517361111111117</v>
      </c>
      <c r="E3406" t="s">
        <v>14</v>
      </c>
      <c r="F3406" t="s">
        <v>15</v>
      </c>
      <c r="G3406">
        <v>-1</v>
      </c>
      <c r="H3406" t="s">
        <v>20</v>
      </c>
      <c r="I3406" t="s">
        <v>87</v>
      </c>
      <c r="J3406" s="1">
        <v>44185</v>
      </c>
      <c r="L3406" t="s">
        <v>14</v>
      </c>
      <c r="M3406">
        <v>3696.25</v>
      </c>
      <c r="N3406">
        <v>3696.25</v>
      </c>
      <c r="O3406" t="s">
        <v>21</v>
      </c>
      <c r="P3406">
        <f t="shared" si="162"/>
        <v>-5</v>
      </c>
      <c r="Q3406" s="11">
        <f>IF(P3406=0,0,IFERROR(Q3405+G3406*M3406*IF(E3406="FUTURE",VLOOKUP(MID(I3406,2,2),[1]Futures!$A$2:$B$12,2),1),G3406*M3406*IF(E3406="FUTURE",VLOOKUP(MID(I3406,2,2),[1]Futures!$A$2:$B$12,2),1)))</f>
        <v>-92306.25</v>
      </c>
      <c r="R3406" s="12">
        <f>IFERROR(Q3406/P3406/IF(E3406="FUTURE",VLOOKUP(MID(I3406,2,2),[1]Futures!$A$2:$B$12,2),1),"")</f>
        <v>3692.25</v>
      </c>
      <c r="S3406" s="13" t="str">
        <f>IF(AND(H3406="TO CLOSE",P3406=0),-G3406*(M3406-R3405)*IF(E3406="FUTURE",VLOOKUP(MID(I3406,2,2),[1]Futures!$A$2:$B$12,2),1),"")</f>
        <v/>
      </c>
    </row>
    <row r="3407" spans="1:19" x14ac:dyDescent="0.2">
      <c r="A3407">
        <f t="shared" si="161"/>
        <v>1098</v>
      </c>
      <c r="B3407" s="3">
        <v>44169</v>
      </c>
      <c r="C3407" s="3" t="str">
        <f t="shared" si="160"/>
        <v>Friday</v>
      </c>
      <c r="D3407" s="2">
        <v>0.67585648148148147</v>
      </c>
      <c r="E3407" t="s">
        <v>14</v>
      </c>
      <c r="F3407" t="s">
        <v>19</v>
      </c>
      <c r="G3407">
        <v>1</v>
      </c>
      <c r="H3407" t="s">
        <v>16</v>
      </c>
      <c r="I3407" t="s">
        <v>87</v>
      </c>
      <c r="J3407" s="1">
        <v>44185</v>
      </c>
      <c r="L3407" t="s">
        <v>14</v>
      </c>
      <c r="M3407">
        <v>3692.25</v>
      </c>
      <c r="N3407">
        <v>3692.25</v>
      </c>
      <c r="O3407" t="s">
        <v>21</v>
      </c>
      <c r="P3407">
        <f t="shared" si="162"/>
        <v>-4</v>
      </c>
      <c r="Q3407" s="11">
        <f>IF(P3407=0,0,IFERROR(Q3406+G3407*M3407*IF(E3407="FUTURE",VLOOKUP(MID(I3407,2,2),[1]Futures!$A$2:$B$12,2),1),G3407*M3407*IF(E3407="FUTURE",VLOOKUP(MID(I3407,2,2),[1]Futures!$A$2:$B$12,2),1)))</f>
        <v>-73845</v>
      </c>
      <c r="R3407" s="12">
        <f>IFERROR(Q3407/P3407/IF(E3407="FUTURE",VLOOKUP(MID(I3407,2,2),[1]Futures!$A$2:$B$12,2),1),"")</f>
        <v>3692.25</v>
      </c>
      <c r="S3407" s="13" t="str">
        <f>IF(AND(H3407="TO CLOSE",P3407=0),-G3407*(M3407-R3406)*IF(E3407="FUTURE",VLOOKUP(MID(I3407,2,2),[1]Futures!$A$2:$B$12,2),1),"")</f>
        <v/>
      </c>
    </row>
    <row r="3408" spans="1:19" x14ac:dyDescent="0.2">
      <c r="A3408">
        <f t="shared" si="161"/>
        <v>1098</v>
      </c>
      <c r="B3408" s="3">
        <v>44169</v>
      </c>
      <c r="C3408" s="3" t="str">
        <f t="shared" si="160"/>
        <v>Friday</v>
      </c>
      <c r="D3408" s="2">
        <v>0.67622685185185183</v>
      </c>
      <c r="E3408" t="s">
        <v>14</v>
      </c>
      <c r="F3408" t="s">
        <v>19</v>
      </c>
      <c r="G3408">
        <v>2</v>
      </c>
      <c r="H3408" t="s">
        <v>16</v>
      </c>
      <c r="I3408" t="s">
        <v>87</v>
      </c>
      <c r="J3408" s="1">
        <v>44185</v>
      </c>
      <c r="L3408" t="s">
        <v>14</v>
      </c>
      <c r="M3408">
        <v>3691.5</v>
      </c>
      <c r="N3408">
        <v>3691.5</v>
      </c>
      <c r="O3408" t="s">
        <v>21</v>
      </c>
      <c r="P3408">
        <f t="shared" si="162"/>
        <v>-2</v>
      </c>
      <c r="Q3408" s="11">
        <f>IF(P3408=0,0,IFERROR(Q3407+G3408*M3408*IF(E3408="FUTURE",VLOOKUP(MID(I3408,2,2),[1]Futures!$A$2:$B$12,2),1),G3408*M3408*IF(E3408="FUTURE",VLOOKUP(MID(I3408,2,2),[1]Futures!$A$2:$B$12,2),1)))</f>
        <v>-36930</v>
      </c>
      <c r="R3408" s="12">
        <f>IFERROR(Q3408/P3408/IF(E3408="FUTURE",VLOOKUP(MID(I3408,2,2),[1]Futures!$A$2:$B$12,2),1),"")</f>
        <v>3693</v>
      </c>
      <c r="S3408" s="13" t="str">
        <f>IF(AND(H3408="TO CLOSE",P3408=0),-G3408*(M3408-R3407)*IF(E3408="FUTURE",VLOOKUP(MID(I3408,2,2),[1]Futures!$A$2:$B$12,2),1),"")</f>
        <v/>
      </c>
    </row>
    <row r="3409" spans="1:19" x14ac:dyDescent="0.2">
      <c r="A3409">
        <f t="shared" si="161"/>
        <v>1098</v>
      </c>
      <c r="B3409" s="3">
        <v>44169</v>
      </c>
      <c r="C3409" s="3" t="str">
        <f t="shared" si="160"/>
        <v>Friday</v>
      </c>
      <c r="D3409" s="2">
        <v>0.67642361111111116</v>
      </c>
      <c r="E3409" t="s">
        <v>14</v>
      </c>
      <c r="F3409" t="s">
        <v>19</v>
      </c>
      <c r="G3409">
        <v>1</v>
      </c>
      <c r="H3409" t="s">
        <v>16</v>
      </c>
      <c r="I3409" t="s">
        <v>87</v>
      </c>
      <c r="J3409" s="1">
        <v>44185</v>
      </c>
      <c r="L3409" t="s">
        <v>14</v>
      </c>
      <c r="M3409">
        <v>3690.75</v>
      </c>
      <c r="N3409">
        <v>3690.75</v>
      </c>
      <c r="O3409" t="s">
        <v>21</v>
      </c>
      <c r="P3409">
        <f t="shared" si="162"/>
        <v>-1</v>
      </c>
      <c r="Q3409" s="11">
        <f>IF(P3409=0,0,IFERROR(Q3408+G3409*M3409*IF(E3409="FUTURE",VLOOKUP(MID(I3409,2,2),[1]Futures!$A$2:$B$12,2),1),G3409*M3409*IF(E3409="FUTURE",VLOOKUP(MID(I3409,2,2),[1]Futures!$A$2:$B$12,2),1)))</f>
        <v>-18476.25</v>
      </c>
      <c r="R3409" s="12">
        <f>IFERROR(Q3409/P3409/IF(E3409="FUTURE",VLOOKUP(MID(I3409,2,2),[1]Futures!$A$2:$B$12,2),1),"")</f>
        <v>3695.25</v>
      </c>
      <c r="S3409" s="13" t="str">
        <f>IF(AND(H3409="TO CLOSE",P3409=0),-G3409*(M3409-R3408)*IF(E3409="FUTURE",VLOOKUP(MID(I3409,2,2),[1]Futures!$A$2:$B$12,2),1),"")</f>
        <v/>
      </c>
    </row>
    <row r="3410" spans="1:19" x14ac:dyDescent="0.2">
      <c r="A3410">
        <f t="shared" si="161"/>
        <v>1098</v>
      </c>
      <c r="B3410" s="3">
        <v>44169</v>
      </c>
      <c r="C3410" s="3" t="str">
        <f t="shared" si="160"/>
        <v>Friday</v>
      </c>
      <c r="D3410" s="2">
        <v>0.67667824074074068</v>
      </c>
      <c r="E3410" t="s">
        <v>14</v>
      </c>
      <c r="F3410" t="s">
        <v>19</v>
      </c>
      <c r="G3410">
        <v>1</v>
      </c>
      <c r="H3410" t="s">
        <v>16</v>
      </c>
      <c r="I3410" t="s">
        <v>87</v>
      </c>
      <c r="J3410" s="1">
        <v>44185</v>
      </c>
      <c r="L3410" t="s">
        <v>14</v>
      </c>
      <c r="M3410">
        <v>3690.5</v>
      </c>
      <c r="N3410">
        <v>3690.5</v>
      </c>
      <c r="O3410" t="s">
        <v>21</v>
      </c>
      <c r="P3410">
        <f t="shared" si="162"/>
        <v>0</v>
      </c>
      <c r="Q3410" s="11">
        <f>IF(P3410=0,0,IFERROR(Q3409+G3410*M3410*IF(E3410="FUTURE",VLOOKUP(MID(I3410,2,2),[1]Futures!$A$2:$B$12,2),1),G3410*M3410*IF(E3410="FUTURE",VLOOKUP(MID(I3410,2,2),[1]Futures!$A$2:$B$12,2),1)))</f>
        <v>0</v>
      </c>
      <c r="R3410" s="12" t="str">
        <f>IFERROR(Q3410/P3410/IF(E3410="FUTURE",VLOOKUP(MID(I3410,2,2),[1]Futures!$A$2:$B$12,2),1),"")</f>
        <v/>
      </c>
      <c r="S3410" s="13">
        <f>IF(AND(H3410="TO CLOSE",P3410=0),-G3410*(M3410-R3409)*IF(E3410="FUTURE",VLOOKUP(MID(I3410,2,2),[1]Futures!$A$2:$B$12,2),1),"")</f>
        <v>23.75</v>
      </c>
    </row>
    <row r="3411" spans="1:19" x14ac:dyDescent="0.2">
      <c r="A3411">
        <f t="shared" si="161"/>
        <v>1099</v>
      </c>
      <c r="B3411" s="3">
        <v>44169</v>
      </c>
      <c r="C3411" s="3" t="str">
        <f t="shared" si="160"/>
        <v>Friday</v>
      </c>
      <c r="D3411" s="2">
        <v>0.44721064814814815</v>
      </c>
      <c r="E3411" t="s">
        <v>22</v>
      </c>
      <c r="F3411" t="s">
        <v>19</v>
      </c>
      <c r="G3411">
        <v>400</v>
      </c>
      <c r="H3411" t="s">
        <v>20</v>
      </c>
      <c r="I3411" t="s">
        <v>23</v>
      </c>
      <c r="L3411" t="s">
        <v>22</v>
      </c>
      <c r="M3411">
        <v>17.094999999999999</v>
      </c>
      <c r="N3411">
        <v>17.094999999999999</v>
      </c>
      <c r="O3411" t="s">
        <v>21</v>
      </c>
      <c r="P3411">
        <f t="shared" si="162"/>
        <v>400</v>
      </c>
      <c r="Q3411" s="11">
        <f>IF(P3411=0,0,IFERROR(Q3410+G3411*M3411*IF(E3411="FUTURE",VLOOKUP(MID(I3411,2,2),[1]Futures!$A$2:$B$12,2),1),G3411*M3411*IF(E3411="FUTURE",VLOOKUP(MID(I3411,2,2),[1]Futures!$A$2:$B$12,2),1)))</f>
        <v>6838</v>
      </c>
      <c r="R3411" s="12">
        <f>IFERROR(Q3411/P3411/IF(E3411="FUTURE",VLOOKUP(MID(I3411,2,2),[1]Futures!$A$2:$B$12,2),1),"")</f>
        <v>17.094999999999999</v>
      </c>
      <c r="S3411" s="13" t="str">
        <f>IF(AND(H3411="TO CLOSE",P3411=0),-G3411*(M3411-R3410)*IF(E3411="FUTURE",VLOOKUP(MID(I3411,2,2),[1]Futures!$A$2:$B$12,2),1),"")</f>
        <v/>
      </c>
    </row>
    <row r="3412" spans="1:19" x14ac:dyDescent="0.2">
      <c r="A3412">
        <f t="shared" si="161"/>
        <v>1099</v>
      </c>
      <c r="B3412" s="3">
        <v>44169</v>
      </c>
      <c r="C3412" s="3" t="str">
        <f t="shared" si="160"/>
        <v>Friday</v>
      </c>
      <c r="D3412" s="2">
        <v>0.56212962962962965</v>
      </c>
      <c r="E3412" t="s">
        <v>22</v>
      </c>
      <c r="F3412" t="s">
        <v>15</v>
      </c>
      <c r="G3412">
        <v>-100</v>
      </c>
      <c r="H3412" t="s">
        <v>16</v>
      </c>
      <c r="I3412" t="s">
        <v>23</v>
      </c>
      <c r="L3412" t="s">
        <v>22</v>
      </c>
      <c r="M3412">
        <v>17.11</v>
      </c>
      <c r="N3412">
        <v>17.11</v>
      </c>
      <c r="O3412" t="s">
        <v>21</v>
      </c>
      <c r="P3412">
        <f t="shared" si="162"/>
        <v>300</v>
      </c>
      <c r="Q3412" s="11">
        <f>IF(P3412=0,0,IFERROR(Q3411+G3412*M3412*IF(E3412="FUTURE",VLOOKUP(MID(I3412,2,2),[1]Futures!$A$2:$B$12,2),1),G3412*M3412*IF(E3412="FUTURE",VLOOKUP(MID(I3412,2,2),[1]Futures!$A$2:$B$12,2),1)))</f>
        <v>5127</v>
      </c>
      <c r="R3412" s="12">
        <f>IFERROR(Q3412/P3412/IF(E3412="FUTURE",VLOOKUP(MID(I3412,2,2),[1]Futures!$A$2:$B$12,2),1),"")</f>
        <v>17.09</v>
      </c>
      <c r="S3412" s="13" t="str">
        <f>IF(AND(H3412="TO CLOSE",P3412=0),-G3412*(M3412-R3411)*IF(E3412="FUTURE",VLOOKUP(MID(I3412,2,2),[1]Futures!$A$2:$B$12,2),1),"")</f>
        <v/>
      </c>
    </row>
    <row r="3413" spans="1:19" x14ac:dyDescent="0.2">
      <c r="A3413">
        <f t="shared" si="161"/>
        <v>1099</v>
      </c>
      <c r="B3413" s="3">
        <v>44169</v>
      </c>
      <c r="C3413" s="3" t="str">
        <f t="shared" si="160"/>
        <v>Friday</v>
      </c>
      <c r="D3413" s="2">
        <v>0.56457175925925929</v>
      </c>
      <c r="E3413" t="s">
        <v>22</v>
      </c>
      <c r="F3413" t="s">
        <v>15</v>
      </c>
      <c r="G3413">
        <v>-200</v>
      </c>
      <c r="H3413" t="s">
        <v>16</v>
      </c>
      <c r="I3413" t="s">
        <v>23</v>
      </c>
      <c r="L3413" t="s">
        <v>22</v>
      </c>
      <c r="M3413">
        <v>17.105</v>
      </c>
      <c r="N3413">
        <v>17.105</v>
      </c>
      <c r="O3413" t="s">
        <v>21</v>
      </c>
      <c r="P3413">
        <f t="shared" si="162"/>
        <v>100</v>
      </c>
      <c r="Q3413" s="11">
        <f>IF(P3413=0,0,IFERROR(Q3412+G3413*M3413*IF(E3413="FUTURE",VLOOKUP(MID(I3413,2,2),[1]Futures!$A$2:$B$12,2),1),G3413*M3413*IF(E3413="FUTURE",VLOOKUP(MID(I3413,2,2),[1]Futures!$A$2:$B$12,2),1)))</f>
        <v>1706</v>
      </c>
      <c r="R3413" s="12">
        <f>IFERROR(Q3413/P3413/IF(E3413="FUTURE",VLOOKUP(MID(I3413,2,2),[1]Futures!$A$2:$B$12,2),1),"")</f>
        <v>17.059999999999999</v>
      </c>
      <c r="S3413" s="13" t="str">
        <f>IF(AND(H3413="TO CLOSE",P3413=0),-G3413*(M3413-R3412)*IF(E3413="FUTURE",VLOOKUP(MID(I3413,2,2),[1]Futures!$A$2:$B$12,2),1),"")</f>
        <v/>
      </c>
    </row>
    <row r="3414" spans="1:19" x14ac:dyDescent="0.2">
      <c r="A3414">
        <f t="shared" si="161"/>
        <v>1099</v>
      </c>
      <c r="B3414" s="3">
        <v>44169</v>
      </c>
      <c r="C3414" s="3" t="str">
        <f t="shared" si="160"/>
        <v>Friday</v>
      </c>
      <c r="D3414" s="2">
        <v>0.56695601851851851</v>
      </c>
      <c r="E3414" t="s">
        <v>22</v>
      </c>
      <c r="F3414" t="s">
        <v>15</v>
      </c>
      <c r="G3414">
        <v>-100</v>
      </c>
      <c r="H3414" t="s">
        <v>16</v>
      </c>
      <c r="I3414" t="s">
        <v>23</v>
      </c>
      <c r="L3414" t="s">
        <v>22</v>
      </c>
      <c r="M3414">
        <v>17.079999999999998</v>
      </c>
      <c r="N3414">
        <v>17.079999999999998</v>
      </c>
      <c r="O3414" t="s">
        <v>21</v>
      </c>
      <c r="P3414">
        <f t="shared" si="162"/>
        <v>0</v>
      </c>
      <c r="Q3414" s="11">
        <f>IF(P3414=0,0,IFERROR(Q3413+G3414*M3414*IF(E3414="FUTURE",VLOOKUP(MID(I3414,2,2),[1]Futures!$A$2:$B$12,2),1),G3414*M3414*IF(E3414="FUTURE",VLOOKUP(MID(I3414,2,2),[1]Futures!$A$2:$B$12,2),1)))</f>
        <v>0</v>
      </c>
      <c r="R3414" s="12" t="str">
        <f>IFERROR(Q3414/P3414/IF(E3414="FUTURE",VLOOKUP(MID(I3414,2,2),[1]Futures!$A$2:$B$12,2),1),"")</f>
        <v/>
      </c>
      <c r="S3414" s="13">
        <f>IF(AND(H3414="TO CLOSE",P3414=0),-G3414*(M3414-R3413)*IF(E3414="FUTURE",VLOOKUP(MID(I3414,2,2),[1]Futures!$A$2:$B$12,2),1),"")</f>
        <v>1.9999999999999574</v>
      </c>
    </row>
    <row r="3415" spans="1:19" x14ac:dyDescent="0.2">
      <c r="A3415">
        <f t="shared" si="161"/>
        <v>1100</v>
      </c>
      <c r="B3415" s="3">
        <v>44172</v>
      </c>
      <c r="C3415" s="3" t="str">
        <f t="shared" si="160"/>
        <v>Monday</v>
      </c>
      <c r="D3415" s="2">
        <v>0.40057870370370369</v>
      </c>
      <c r="E3415" t="s">
        <v>14</v>
      </c>
      <c r="F3415" t="s">
        <v>15</v>
      </c>
      <c r="G3415">
        <v>-1</v>
      </c>
      <c r="H3415" t="s">
        <v>20</v>
      </c>
      <c r="I3415" t="s">
        <v>88</v>
      </c>
      <c r="J3415" s="1">
        <v>43851</v>
      </c>
      <c r="L3415" t="s">
        <v>14</v>
      </c>
      <c r="M3415">
        <v>45.81</v>
      </c>
      <c r="N3415">
        <v>45.81</v>
      </c>
      <c r="O3415" t="s">
        <v>21</v>
      </c>
      <c r="P3415">
        <f t="shared" si="162"/>
        <v>-1</v>
      </c>
      <c r="Q3415" s="11">
        <f>IF(P3415=0,0,IFERROR(Q3414+G3415*M3415*IF(E3415="FUTURE",VLOOKUP(MID(I3415,2,2),[1]Futures!$A$2:$B$12,2),1),G3415*M3415*IF(E3415="FUTURE",VLOOKUP(MID(I3415,2,2),[1]Futures!$A$2:$B$12,2),1)))</f>
        <v>-45810</v>
      </c>
      <c r="R3415" s="12">
        <f>IFERROR(Q3415/P3415/IF(E3415="FUTURE",VLOOKUP(MID(I3415,2,2),[1]Futures!$A$2:$B$12,2),1),"")</f>
        <v>45.81</v>
      </c>
      <c r="S3415" s="13" t="str">
        <f>IF(AND(H3415="TO CLOSE",P3415=0),-G3415*(M3415-R3414)*IF(E3415="FUTURE",VLOOKUP(MID(I3415,2,2),[1]Futures!$A$2:$B$12,2),1),"")</f>
        <v/>
      </c>
    </row>
    <row r="3416" spans="1:19" x14ac:dyDescent="0.2">
      <c r="A3416">
        <f t="shared" si="161"/>
        <v>1100</v>
      </c>
      <c r="B3416" s="3">
        <v>44172</v>
      </c>
      <c r="C3416" s="3" t="str">
        <f t="shared" si="160"/>
        <v>Monday</v>
      </c>
      <c r="D3416" s="2">
        <v>0.40449074074074076</v>
      </c>
      <c r="E3416" t="s">
        <v>14</v>
      </c>
      <c r="F3416" t="s">
        <v>19</v>
      </c>
      <c r="G3416">
        <v>1</v>
      </c>
      <c r="H3416" t="s">
        <v>16</v>
      </c>
      <c r="I3416" t="s">
        <v>88</v>
      </c>
      <c r="J3416" s="1">
        <v>43851</v>
      </c>
      <c r="L3416" t="s">
        <v>14</v>
      </c>
      <c r="M3416">
        <v>45.69</v>
      </c>
      <c r="N3416">
        <v>45.69</v>
      </c>
      <c r="O3416" t="s">
        <v>24</v>
      </c>
      <c r="P3416">
        <f t="shared" si="162"/>
        <v>0</v>
      </c>
      <c r="Q3416" s="11">
        <f>IF(P3416=0,0,IFERROR(Q3415+G3416*M3416*IF(E3416="FUTURE",VLOOKUP(MID(I3416,2,2),[1]Futures!$A$2:$B$12,2),1),G3416*M3416*IF(E3416="FUTURE",VLOOKUP(MID(I3416,2,2),[1]Futures!$A$2:$B$12,2),1)))</f>
        <v>0</v>
      </c>
      <c r="R3416" s="12" t="str">
        <f>IFERROR(Q3416/P3416/IF(E3416="FUTURE",VLOOKUP(MID(I3416,2,2),[1]Futures!$A$2:$B$12,2),1),"")</f>
        <v/>
      </c>
      <c r="S3416" s="13">
        <f>IF(AND(H3416="TO CLOSE",P3416=0),-G3416*(M3416-R3415)*IF(E3416="FUTURE",VLOOKUP(MID(I3416,2,2),[1]Futures!$A$2:$B$12,2),1),"")</f>
        <v>120.00000000000455</v>
      </c>
    </row>
    <row r="3417" spans="1:19" x14ac:dyDescent="0.2">
      <c r="A3417">
        <f t="shared" si="161"/>
        <v>1101</v>
      </c>
      <c r="B3417" s="3">
        <v>44172</v>
      </c>
      <c r="C3417" s="3" t="str">
        <f t="shared" si="160"/>
        <v>Monday</v>
      </c>
      <c r="D3417" s="2">
        <v>0.4071643518518519</v>
      </c>
      <c r="E3417" t="s">
        <v>14</v>
      </c>
      <c r="F3417" t="s">
        <v>15</v>
      </c>
      <c r="G3417">
        <v>-1</v>
      </c>
      <c r="H3417" t="s">
        <v>20</v>
      </c>
      <c r="I3417" t="s">
        <v>85</v>
      </c>
      <c r="J3417" s="1">
        <v>44185</v>
      </c>
      <c r="L3417" t="s">
        <v>14</v>
      </c>
      <c r="M3417">
        <v>3690.5</v>
      </c>
      <c r="N3417">
        <v>3690.5</v>
      </c>
      <c r="O3417" t="s">
        <v>21</v>
      </c>
      <c r="P3417">
        <f t="shared" si="162"/>
        <v>-1</v>
      </c>
      <c r="Q3417" s="11">
        <f>IF(P3417=0,0,IFERROR(Q3416+G3417*M3417*IF(E3417="FUTURE",VLOOKUP(MID(I3417,2,2),[1]Futures!$A$2:$B$12,2),1),G3417*M3417*IF(E3417="FUTURE",VLOOKUP(MID(I3417,2,2),[1]Futures!$A$2:$B$12,2),1)))</f>
        <v>-184525</v>
      </c>
      <c r="R3417" s="12">
        <f>IFERROR(Q3417/P3417/IF(E3417="FUTURE",VLOOKUP(MID(I3417,2,2),[1]Futures!$A$2:$B$12,2),1),"")</f>
        <v>3690.5</v>
      </c>
      <c r="S3417" s="13" t="str">
        <f>IF(AND(H3417="TO CLOSE",P3417=0),-G3417*(M3417-R3416)*IF(E3417="FUTURE",VLOOKUP(MID(I3417,2,2),[1]Futures!$A$2:$B$12,2),1),"")</f>
        <v/>
      </c>
    </row>
    <row r="3418" spans="1:19" x14ac:dyDescent="0.2">
      <c r="A3418">
        <f t="shared" si="161"/>
        <v>1101</v>
      </c>
      <c r="B3418" s="3">
        <v>44172</v>
      </c>
      <c r="C3418" s="3" t="str">
        <f t="shared" si="160"/>
        <v>Monday</v>
      </c>
      <c r="D3418" s="2">
        <v>0.54574074074074075</v>
      </c>
      <c r="E3418" t="s">
        <v>14</v>
      </c>
      <c r="F3418" t="s">
        <v>19</v>
      </c>
      <c r="G3418">
        <v>1</v>
      </c>
      <c r="H3418" t="s">
        <v>16</v>
      </c>
      <c r="I3418" t="s">
        <v>85</v>
      </c>
      <c r="J3418" s="1">
        <v>44185</v>
      </c>
      <c r="L3418" t="s">
        <v>14</v>
      </c>
      <c r="M3418">
        <v>3686.5</v>
      </c>
      <c r="N3418">
        <v>3686.5</v>
      </c>
      <c r="O3418" t="s">
        <v>21</v>
      </c>
      <c r="P3418">
        <f t="shared" si="162"/>
        <v>0</v>
      </c>
      <c r="Q3418" s="11">
        <f>IF(P3418=0,0,IFERROR(Q3417+G3418*M3418*IF(E3418="FUTURE",VLOOKUP(MID(I3418,2,2),[1]Futures!$A$2:$B$12,2),1),G3418*M3418*IF(E3418="FUTURE",VLOOKUP(MID(I3418,2,2),[1]Futures!$A$2:$B$12,2),1)))</f>
        <v>0</v>
      </c>
      <c r="R3418" s="12" t="str">
        <f>IFERROR(Q3418/P3418/IF(E3418="FUTURE",VLOOKUP(MID(I3418,2,2),[1]Futures!$A$2:$B$12,2),1),"")</f>
        <v/>
      </c>
      <c r="S3418" s="13">
        <f>IF(AND(H3418="TO CLOSE",P3418=0),-G3418*(M3418-R3417)*IF(E3418="FUTURE",VLOOKUP(MID(I3418,2,2),[1]Futures!$A$2:$B$12,2),1),"")</f>
        <v>200</v>
      </c>
    </row>
    <row r="3419" spans="1:19" x14ac:dyDescent="0.2">
      <c r="A3419">
        <f t="shared" si="161"/>
        <v>1102</v>
      </c>
      <c r="B3419" s="3">
        <v>44173</v>
      </c>
      <c r="C3419" s="3" t="str">
        <f t="shared" si="160"/>
        <v>Tuesday</v>
      </c>
      <c r="D3419" s="2">
        <v>0.42861111111111111</v>
      </c>
      <c r="E3419" t="s">
        <v>14</v>
      </c>
      <c r="F3419" t="s">
        <v>15</v>
      </c>
      <c r="G3419">
        <v>-1</v>
      </c>
      <c r="H3419" t="s">
        <v>20</v>
      </c>
      <c r="I3419" t="s">
        <v>88</v>
      </c>
      <c r="J3419" s="1">
        <v>43851</v>
      </c>
      <c r="L3419" t="s">
        <v>14</v>
      </c>
      <c r="M3419">
        <v>45.41</v>
      </c>
      <c r="N3419">
        <v>45.41</v>
      </c>
      <c r="O3419" t="s">
        <v>21</v>
      </c>
      <c r="P3419">
        <f t="shared" si="162"/>
        <v>-1</v>
      </c>
      <c r="Q3419" s="11">
        <f>IF(P3419=0,0,IFERROR(Q3418+G3419*M3419*IF(E3419="FUTURE",VLOOKUP(MID(I3419,2,2),[1]Futures!$A$2:$B$12,2),1),G3419*M3419*IF(E3419="FUTURE",VLOOKUP(MID(I3419,2,2),[1]Futures!$A$2:$B$12,2),1)))</f>
        <v>-45410</v>
      </c>
      <c r="R3419" s="12">
        <f>IFERROR(Q3419/P3419/IF(E3419="FUTURE",VLOOKUP(MID(I3419,2,2),[1]Futures!$A$2:$B$12,2),1),"")</f>
        <v>45.41</v>
      </c>
      <c r="S3419" s="13" t="str">
        <f>IF(AND(H3419="TO CLOSE",P3419=0),-G3419*(M3419-R3418)*IF(E3419="FUTURE",VLOOKUP(MID(I3419,2,2),[1]Futures!$A$2:$B$12,2),1),"")</f>
        <v/>
      </c>
    </row>
    <row r="3420" spans="1:19" x14ac:dyDescent="0.2">
      <c r="A3420">
        <f t="shared" si="161"/>
        <v>1102</v>
      </c>
      <c r="B3420" s="3">
        <v>44173</v>
      </c>
      <c r="C3420" s="3" t="str">
        <f t="shared" si="160"/>
        <v>Tuesday</v>
      </c>
      <c r="D3420" s="2">
        <v>0.43894675925925924</v>
      </c>
      <c r="E3420" t="s">
        <v>14</v>
      </c>
      <c r="F3420" t="s">
        <v>15</v>
      </c>
      <c r="G3420">
        <v>-1</v>
      </c>
      <c r="H3420" t="s">
        <v>20</v>
      </c>
      <c r="I3420" t="s">
        <v>88</v>
      </c>
      <c r="J3420" s="1">
        <v>43851</v>
      </c>
      <c r="L3420" t="s">
        <v>14</v>
      </c>
      <c r="M3420">
        <v>45.61</v>
      </c>
      <c r="N3420">
        <v>45.61</v>
      </c>
      <c r="O3420" t="s">
        <v>21</v>
      </c>
      <c r="P3420">
        <f t="shared" si="162"/>
        <v>-2</v>
      </c>
      <c r="Q3420" s="11">
        <f>IF(P3420=0,0,IFERROR(Q3419+G3420*M3420*IF(E3420="FUTURE",VLOOKUP(MID(I3420,2,2),[1]Futures!$A$2:$B$12,2),1),G3420*M3420*IF(E3420="FUTURE",VLOOKUP(MID(I3420,2,2),[1]Futures!$A$2:$B$12,2),1)))</f>
        <v>-91020</v>
      </c>
      <c r="R3420" s="12">
        <f>IFERROR(Q3420/P3420/IF(E3420="FUTURE",VLOOKUP(MID(I3420,2,2),[1]Futures!$A$2:$B$12,2),1),"")</f>
        <v>45.51</v>
      </c>
      <c r="S3420" s="13" t="str">
        <f>IF(AND(H3420="TO CLOSE",P3420=0),-G3420*(M3420-R3419)*IF(E3420="FUTURE",VLOOKUP(MID(I3420,2,2),[1]Futures!$A$2:$B$12,2),1),"")</f>
        <v/>
      </c>
    </row>
    <row r="3421" spans="1:19" x14ac:dyDescent="0.2">
      <c r="A3421">
        <f t="shared" si="161"/>
        <v>1102</v>
      </c>
      <c r="B3421" s="3">
        <v>44173</v>
      </c>
      <c r="C3421" s="3" t="str">
        <f t="shared" si="160"/>
        <v>Tuesday</v>
      </c>
      <c r="D3421" s="2">
        <v>0.44092592592592594</v>
      </c>
      <c r="E3421" t="s">
        <v>14</v>
      </c>
      <c r="F3421" t="s">
        <v>19</v>
      </c>
      <c r="G3421">
        <v>1</v>
      </c>
      <c r="H3421" t="s">
        <v>16</v>
      </c>
      <c r="I3421" t="s">
        <v>88</v>
      </c>
      <c r="J3421" s="1">
        <v>43851</v>
      </c>
      <c r="L3421" t="s">
        <v>14</v>
      </c>
      <c r="M3421">
        <v>45.55</v>
      </c>
      <c r="N3421">
        <v>45.55</v>
      </c>
      <c r="O3421" t="s">
        <v>21</v>
      </c>
      <c r="P3421">
        <f t="shared" si="162"/>
        <v>-1</v>
      </c>
      <c r="Q3421" s="11">
        <f>IF(P3421=0,0,IFERROR(Q3420+G3421*M3421*IF(E3421="FUTURE",VLOOKUP(MID(I3421,2,2),[1]Futures!$A$2:$B$12,2),1),G3421*M3421*IF(E3421="FUTURE",VLOOKUP(MID(I3421,2,2),[1]Futures!$A$2:$B$12,2),1)))</f>
        <v>-45470</v>
      </c>
      <c r="R3421" s="12">
        <f>IFERROR(Q3421/P3421/IF(E3421="FUTURE",VLOOKUP(MID(I3421,2,2),[1]Futures!$A$2:$B$12,2),1),"")</f>
        <v>45.47</v>
      </c>
      <c r="S3421" s="13" t="str">
        <f>IF(AND(H3421="TO CLOSE",P3421=0),-G3421*(M3421-R3420)*IF(E3421="FUTURE",VLOOKUP(MID(I3421,2,2),[1]Futures!$A$2:$B$12,2),1),"")</f>
        <v/>
      </c>
    </row>
    <row r="3422" spans="1:19" x14ac:dyDescent="0.2">
      <c r="A3422">
        <f t="shared" si="161"/>
        <v>1102</v>
      </c>
      <c r="B3422" s="3">
        <v>44173</v>
      </c>
      <c r="C3422" s="3" t="str">
        <f t="shared" si="160"/>
        <v>Tuesday</v>
      </c>
      <c r="D3422" s="2">
        <v>0.48143518518518519</v>
      </c>
      <c r="E3422" t="s">
        <v>14</v>
      </c>
      <c r="F3422" t="s">
        <v>15</v>
      </c>
      <c r="G3422">
        <v>-1</v>
      </c>
      <c r="H3422" t="s">
        <v>20</v>
      </c>
      <c r="I3422" t="s">
        <v>88</v>
      </c>
      <c r="J3422" s="1">
        <v>43851</v>
      </c>
      <c r="L3422" t="s">
        <v>14</v>
      </c>
      <c r="M3422">
        <v>45.73</v>
      </c>
      <c r="N3422">
        <v>45.73</v>
      </c>
      <c r="O3422" t="s">
        <v>21</v>
      </c>
      <c r="P3422">
        <f t="shared" si="162"/>
        <v>-2</v>
      </c>
      <c r="Q3422" s="11">
        <f>IF(P3422=0,0,IFERROR(Q3421+G3422*M3422*IF(E3422="FUTURE",VLOOKUP(MID(I3422,2,2),[1]Futures!$A$2:$B$12,2),1),G3422*M3422*IF(E3422="FUTURE",VLOOKUP(MID(I3422,2,2),[1]Futures!$A$2:$B$12,2),1)))</f>
        <v>-91200</v>
      </c>
      <c r="R3422" s="12">
        <f>IFERROR(Q3422/P3422/IF(E3422="FUTURE",VLOOKUP(MID(I3422,2,2),[1]Futures!$A$2:$B$12,2),1),"")</f>
        <v>45.6</v>
      </c>
      <c r="S3422" s="13" t="str">
        <f>IF(AND(H3422="TO CLOSE",P3422=0),-G3422*(M3422-R3421)*IF(E3422="FUTURE",VLOOKUP(MID(I3422,2,2),[1]Futures!$A$2:$B$12,2),1),"")</f>
        <v/>
      </c>
    </row>
    <row r="3423" spans="1:19" x14ac:dyDescent="0.2">
      <c r="A3423">
        <f t="shared" si="161"/>
        <v>1102</v>
      </c>
      <c r="B3423" s="3">
        <v>44173</v>
      </c>
      <c r="C3423" s="3" t="str">
        <f t="shared" si="160"/>
        <v>Tuesday</v>
      </c>
      <c r="D3423" s="2">
        <v>0.48543981481481485</v>
      </c>
      <c r="E3423" t="s">
        <v>14</v>
      </c>
      <c r="F3423" t="s">
        <v>19</v>
      </c>
      <c r="G3423">
        <v>1</v>
      </c>
      <c r="H3423" t="s">
        <v>16</v>
      </c>
      <c r="I3423" t="s">
        <v>88</v>
      </c>
      <c r="J3423" s="1">
        <v>43851</v>
      </c>
      <c r="L3423" t="s">
        <v>14</v>
      </c>
      <c r="M3423">
        <v>45.64</v>
      </c>
      <c r="N3423">
        <v>45.64</v>
      </c>
      <c r="O3423" t="s">
        <v>21</v>
      </c>
      <c r="P3423">
        <f t="shared" si="162"/>
        <v>-1</v>
      </c>
      <c r="Q3423" s="11">
        <f>IF(P3423=0,0,IFERROR(Q3422+G3423*M3423*IF(E3423="FUTURE",VLOOKUP(MID(I3423,2,2),[1]Futures!$A$2:$B$12,2),1),G3423*M3423*IF(E3423="FUTURE",VLOOKUP(MID(I3423,2,2),[1]Futures!$A$2:$B$12,2),1)))</f>
        <v>-45560</v>
      </c>
      <c r="R3423" s="12">
        <f>IFERROR(Q3423/P3423/IF(E3423="FUTURE",VLOOKUP(MID(I3423,2,2),[1]Futures!$A$2:$B$12,2),1),"")</f>
        <v>45.56</v>
      </c>
      <c r="S3423" s="13" t="str">
        <f>IF(AND(H3423="TO CLOSE",P3423=0),-G3423*(M3423-R3422)*IF(E3423="FUTURE",VLOOKUP(MID(I3423,2,2),[1]Futures!$A$2:$B$12,2),1),"")</f>
        <v/>
      </c>
    </row>
    <row r="3424" spans="1:19" x14ac:dyDescent="0.2">
      <c r="A3424">
        <f t="shared" si="161"/>
        <v>1102</v>
      </c>
      <c r="B3424" s="3">
        <v>44173</v>
      </c>
      <c r="C3424" s="3" t="str">
        <f t="shared" si="160"/>
        <v>Tuesday</v>
      </c>
      <c r="D3424" s="2">
        <v>0.48849537037037033</v>
      </c>
      <c r="E3424" t="s">
        <v>14</v>
      </c>
      <c r="F3424" t="s">
        <v>19</v>
      </c>
      <c r="G3424">
        <v>1</v>
      </c>
      <c r="H3424" t="s">
        <v>16</v>
      </c>
      <c r="I3424" t="s">
        <v>88</v>
      </c>
      <c r="J3424" s="1">
        <v>43851</v>
      </c>
      <c r="L3424" t="s">
        <v>14</v>
      </c>
      <c r="M3424">
        <v>45.51</v>
      </c>
      <c r="N3424">
        <v>45.51</v>
      </c>
      <c r="O3424" t="s">
        <v>21</v>
      </c>
      <c r="P3424">
        <f t="shared" si="162"/>
        <v>0</v>
      </c>
      <c r="Q3424" s="11">
        <f>IF(P3424=0,0,IFERROR(Q3423+G3424*M3424*IF(E3424="FUTURE",VLOOKUP(MID(I3424,2,2),[1]Futures!$A$2:$B$12,2),1),G3424*M3424*IF(E3424="FUTURE",VLOOKUP(MID(I3424,2,2),[1]Futures!$A$2:$B$12,2),1)))</f>
        <v>0</v>
      </c>
      <c r="R3424" s="12" t="str">
        <f>IFERROR(Q3424/P3424/IF(E3424="FUTURE",VLOOKUP(MID(I3424,2,2),[1]Futures!$A$2:$B$12,2),1),"")</f>
        <v/>
      </c>
      <c r="S3424" s="13">
        <f>IF(AND(H3424="TO CLOSE",P3424=0),-G3424*(M3424-R3423)*IF(E3424="FUTURE",VLOOKUP(MID(I3424,2,2),[1]Futures!$A$2:$B$12,2),1),"")</f>
        <v>50.000000000004263</v>
      </c>
    </row>
    <row r="3425" spans="1:19" x14ac:dyDescent="0.2">
      <c r="A3425">
        <f t="shared" si="161"/>
        <v>1103</v>
      </c>
      <c r="B3425" s="3">
        <v>44173</v>
      </c>
      <c r="C3425" s="3" t="str">
        <f t="shared" si="160"/>
        <v>Tuesday</v>
      </c>
      <c r="D3425" s="2">
        <v>0.40079861111111109</v>
      </c>
      <c r="E3425" t="s">
        <v>14</v>
      </c>
      <c r="F3425" t="s">
        <v>19</v>
      </c>
      <c r="G3425">
        <v>1</v>
      </c>
      <c r="H3425" t="s">
        <v>20</v>
      </c>
      <c r="I3425" t="s">
        <v>85</v>
      </c>
      <c r="J3425" s="1">
        <v>44185</v>
      </c>
      <c r="L3425" t="s">
        <v>14</v>
      </c>
      <c r="M3425">
        <v>3682.5</v>
      </c>
      <c r="N3425">
        <v>3682.5</v>
      </c>
      <c r="O3425" t="s">
        <v>21</v>
      </c>
      <c r="P3425">
        <f t="shared" si="162"/>
        <v>1</v>
      </c>
      <c r="Q3425" s="11">
        <f>IF(P3425=0,0,IFERROR(Q3424+G3425*M3425*IF(E3425="FUTURE",VLOOKUP(MID(I3425,2,2),[1]Futures!$A$2:$B$12,2),1),G3425*M3425*IF(E3425="FUTURE",VLOOKUP(MID(I3425,2,2),[1]Futures!$A$2:$B$12,2),1)))</f>
        <v>184125</v>
      </c>
      <c r="R3425" s="12">
        <f>IFERROR(Q3425/P3425/IF(E3425="FUTURE",VLOOKUP(MID(I3425,2,2),[1]Futures!$A$2:$B$12,2),1),"")</f>
        <v>3682.5</v>
      </c>
      <c r="S3425" s="13" t="str">
        <f>IF(AND(H3425="TO CLOSE",P3425=0),-G3425*(M3425-R3424)*IF(E3425="FUTURE",VLOOKUP(MID(I3425,2,2),[1]Futures!$A$2:$B$12,2),1),"")</f>
        <v/>
      </c>
    </row>
    <row r="3426" spans="1:19" x14ac:dyDescent="0.2">
      <c r="A3426">
        <f t="shared" si="161"/>
        <v>1103</v>
      </c>
      <c r="B3426" s="3">
        <v>44173</v>
      </c>
      <c r="C3426" s="3" t="str">
        <f t="shared" ref="C3426:C3489" si="163">IF(WEEKDAY(B3426,2)=1,"Monday",IF(WEEKDAY(B3426,2)=2,"Tuesday",IF(WEEKDAY(B3426,2)=3,"Wednesday",IF(WEEKDAY(B3426,2)=4,"Thursday",IF(WEEKDAY(B3426,2)=5,"Friday","Sunday")))))</f>
        <v>Tuesday</v>
      </c>
      <c r="D3426" s="2">
        <v>0.42648148148148146</v>
      </c>
      <c r="E3426" t="s">
        <v>14</v>
      </c>
      <c r="F3426" t="s">
        <v>15</v>
      </c>
      <c r="G3426">
        <v>-1</v>
      </c>
      <c r="H3426" t="s">
        <v>16</v>
      </c>
      <c r="I3426" t="s">
        <v>85</v>
      </c>
      <c r="J3426" s="1">
        <v>44185</v>
      </c>
      <c r="L3426" t="s">
        <v>14</v>
      </c>
      <c r="M3426">
        <v>3687.5</v>
      </c>
      <c r="N3426">
        <v>3687.5</v>
      </c>
      <c r="O3426" t="s">
        <v>21</v>
      </c>
      <c r="P3426">
        <f t="shared" si="162"/>
        <v>0</v>
      </c>
      <c r="Q3426" s="11">
        <f>IF(P3426=0,0,IFERROR(Q3425+G3426*M3426*IF(E3426="FUTURE",VLOOKUP(MID(I3426,2,2),[1]Futures!$A$2:$B$12,2),1),G3426*M3426*IF(E3426="FUTURE",VLOOKUP(MID(I3426,2,2),[1]Futures!$A$2:$B$12,2),1)))</f>
        <v>0</v>
      </c>
      <c r="R3426" s="12" t="str">
        <f>IFERROR(Q3426/P3426/IF(E3426="FUTURE",VLOOKUP(MID(I3426,2,2),[1]Futures!$A$2:$B$12,2),1),"")</f>
        <v/>
      </c>
      <c r="S3426" s="13">
        <f>IF(AND(H3426="TO CLOSE",P3426=0),-G3426*(M3426-R3425)*IF(E3426="FUTURE",VLOOKUP(MID(I3426,2,2),[1]Futures!$A$2:$B$12,2),1),"")</f>
        <v>250</v>
      </c>
    </row>
    <row r="3427" spans="1:19" x14ac:dyDescent="0.2">
      <c r="A3427">
        <f t="shared" si="161"/>
        <v>1104</v>
      </c>
      <c r="B3427" s="3">
        <v>44173</v>
      </c>
      <c r="C3427" s="3" t="str">
        <f t="shared" si="163"/>
        <v>Tuesday</v>
      </c>
      <c r="D3427" s="2">
        <v>0.51048611111111108</v>
      </c>
      <c r="E3427" t="s">
        <v>14</v>
      </c>
      <c r="F3427" t="s">
        <v>15</v>
      </c>
      <c r="G3427">
        <v>-1</v>
      </c>
      <c r="H3427" t="s">
        <v>20</v>
      </c>
      <c r="I3427" t="s">
        <v>85</v>
      </c>
      <c r="J3427" s="1">
        <v>44185</v>
      </c>
      <c r="L3427" t="s">
        <v>14</v>
      </c>
      <c r="M3427">
        <v>3696.25</v>
      </c>
      <c r="N3427">
        <v>3696.25</v>
      </c>
      <c r="O3427" t="s">
        <v>21</v>
      </c>
      <c r="P3427">
        <f t="shared" si="162"/>
        <v>-1</v>
      </c>
      <c r="Q3427" s="11">
        <f>IF(P3427=0,0,IFERROR(Q3426+G3427*M3427*IF(E3427="FUTURE",VLOOKUP(MID(I3427,2,2),[1]Futures!$A$2:$B$12,2),1),G3427*M3427*IF(E3427="FUTURE",VLOOKUP(MID(I3427,2,2),[1]Futures!$A$2:$B$12,2),1)))</f>
        <v>-184812.5</v>
      </c>
      <c r="R3427" s="12">
        <f>IFERROR(Q3427/P3427/IF(E3427="FUTURE",VLOOKUP(MID(I3427,2,2),[1]Futures!$A$2:$B$12,2),1),"")</f>
        <v>3696.25</v>
      </c>
      <c r="S3427" s="13" t="str">
        <f>IF(AND(H3427="TO CLOSE",P3427=0),-G3427*(M3427-R3426)*IF(E3427="FUTURE",VLOOKUP(MID(I3427,2,2),[1]Futures!$A$2:$B$12,2),1),"")</f>
        <v/>
      </c>
    </row>
    <row r="3428" spans="1:19" x14ac:dyDescent="0.2">
      <c r="A3428">
        <f t="shared" si="161"/>
        <v>1104</v>
      </c>
      <c r="B3428" s="3">
        <v>44174</v>
      </c>
      <c r="C3428" s="3" t="str">
        <f t="shared" si="163"/>
        <v>Wednesday</v>
      </c>
      <c r="D3428" s="2">
        <v>0.42604166666666665</v>
      </c>
      <c r="E3428" t="s">
        <v>14</v>
      </c>
      <c r="F3428" t="s">
        <v>19</v>
      </c>
      <c r="G3428">
        <v>1</v>
      </c>
      <c r="H3428" t="s">
        <v>16</v>
      </c>
      <c r="I3428" t="s">
        <v>85</v>
      </c>
      <c r="J3428" s="1">
        <v>44185</v>
      </c>
      <c r="L3428" t="s">
        <v>14</v>
      </c>
      <c r="M3428">
        <v>3694</v>
      </c>
      <c r="N3428">
        <v>3694</v>
      </c>
      <c r="O3428" t="s">
        <v>21</v>
      </c>
      <c r="P3428">
        <f t="shared" si="162"/>
        <v>0</v>
      </c>
      <c r="Q3428" s="11">
        <f>IF(P3428=0,0,IFERROR(Q3427+G3428*M3428*IF(E3428="FUTURE",VLOOKUP(MID(I3428,2,2),[1]Futures!$A$2:$B$12,2),1),G3428*M3428*IF(E3428="FUTURE",VLOOKUP(MID(I3428,2,2),[1]Futures!$A$2:$B$12,2),1)))</f>
        <v>0</v>
      </c>
      <c r="R3428" s="12" t="str">
        <f>IFERROR(Q3428/P3428/IF(E3428="FUTURE",VLOOKUP(MID(I3428,2,2),[1]Futures!$A$2:$B$12,2),1),"")</f>
        <v/>
      </c>
      <c r="S3428" s="13">
        <f>IF(AND(H3428="TO CLOSE",P3428=0),-G3428*(M3428-R3427)*IF(E3428="FUTURE",VLOOKUP(MID(I3428,2,2),[1]Futures!$A$2:$B$12,2),1),"")</f>
        <v>112.5</v>
      </c>
    </row>
    <row r="3429" spans="1:19" x14ac:dyDescent="0.2">
      <c r="A3429">
        <f t="shared" si="161"/>
        <v>1105</v>
      </c>
      <c r="B3429" s="3">
        <v>44175</v>
      </c>
      <c r="C3429" s="3" t="str">
        <f t="shared" si="163"/>
        <v>Thursday</v>
      </c>
      <c r="D3429" s="2">
        <v>0.40840277777777773</v>
      </c>
      <c r="E3429" t="s">
        <v>14</v>
      </c>
      <c r="F3429" t="s">
        <v>19</v>
      </c>
      <c r="G3429">
        <v>1</v>
      </c>
      <c r="H3429" t="s">
        <v>20</v>
      </c>
      <c r="I3429" t="s">
        <v>88</v>
      </c>
      <c r="J3429" s="1">
        <v>43851</v>
      </c>
      <c r="L3429" t="s">
        <v>14</v>
      </c>
      <c r="M3429">
        <v>46.69</v>
      </c>
      <c r="N3429">
        <v>46.69</v>
      </c>
      <c r="O3429" t="s">
        <v>24</v>
      </c>
      <c r="P3429">
        <f t="shared" si="162"/>
        <v>1</v>
      </c>
      <c r="Q3429" s="11">
        <f>IF(P3429=0,0,IFERROR(Q3428+G3429*M3429*IF(E3429="FUTURE",VLOOKUP(MID(I3429,2,2),[1]Futures!$A$2:$B$12,2),1),G3429*M3429*IF(E3429="FUTURE",VLOOKUP(MID(I3429,2,2),[1]Futures!$A$2:$B$12,2),1)))</f>
        <v>46690</v>
      </c>
      <c r="R3429" s="12">
        <f>IFERROR(Q3429/P3429/IF(E3429="FUTURE",VLOOKUP(MID(I3429,2,2),[1]Futures!$A$2:$B$12,2),1),"")</f>
        <v>46.69</v>
      </c>
      <c r="S3429" s="13" t="str">
        <f>IF(AND(H3429="TO CLOSE",P3429=0),-G3429*(M3429-R3428)*IF(E3429="FUTURE",VLOOKUP(MID(I3429,2,2),[1]Futures!$A$2:$B$12,2),1),"")</f>
        <v/>
      </c>
    </row>
    <row r="3430" spans="1:19" x14ac:dyDescent="0.2">
      <c r="A3430">
        <f t="shared" si="161"/>
        <v>1105</v>
      </c>
      <c r="B3430" s="3">
        <v>44175</v>
      </c>
      <c r="C3430" s="3" t="str">
        <f t="shared" si="163"/>
        <v>Thursday</v>
      </c>
      <c r="D3430" s="2">
        <v>0.40920138888888885</v>
      </c>
      <c r="E3430" t="s">
        <v>14</v>
      </c>
      <c r="F3430" t="s">
        <v>15</v>
      </c>
      <c r="G3430">
        <v>-1</v>
      </c>
      <c r="H3430" t="s">
        <v>16</v>
      </c>
      <c r="I3430" t="s">
        <v>88</v>
      </c>
      <c r="J3430" s="1">
        <v>43851</v>
      </c>
      <c r="L3430" t="s">
        <v>14</v>
      </c>
      <c r="M3430">
        <v>46.71</v>
      </c>
      <c r="N3430">
        <v>46.71</v>
      </c>
      <c r="O3430" t="s">
        <v>21</v>
      </c>
      <c r="P3430">
        <f t="shared" si="162"/>
        <v>0</v>
      </c>
      <c r="Q3430" s="11">
        <f>IF(P3430=0,0,IFERROR(Q3429+G3430*M3430*IF(E3430="FUTURE",VLOOKUP(MID(I3430,2,2),[1]Futures!$A$2:$B$12,2),1),G3430*M3430*IF(E3430="FUTURE",VLOOKUP(MID(I3430,2,2),[1]Futures!$A$2:$B$12,2),1)))</f>
        <v>0</v>
      </c>
      <c r="R3430" s="12" t="str">
        <f>IFERROR(Q3430/P3430/IF(E3430="FUTURE",VLOOKUP(MID(I3430,2,2),[1]Futures!$A$2:$B$12,2),1),"")</f>
        <v/>
      </c>
      <c r="S3430" s="13">
        <f>IF(AND(H3430="TO CLOSE",P3430=0),-G3430*(M3430-R3429)*IF(E3430="FUTURE",VLOOKUP(MID(I3430,2,2),[1]Futures!$A$2:$B$12,2),1),"")</f>
        <v>20.000000000003126</v>
      </c>
    </row>
    <row r="3431" spans="1:19" x14ac:dyDescent="0.2">
      <c r="A3431">
        <f t="shared" si="161"/>
        <v>1106</v>
      </c>
      <c r="B3431" s="3">
        <v>44175</v>
      </c>
      <c r="C3431" s="3" t="str">
        <f t="shared" si="163"/>
        <v>Thursday</v>
      </c>
      <c r="D3431" s="2">
        <v>0.41701388888888885</v>
      </c>
      <c r="E3431" t="s">
        <v>14</v>
      </c>
      <c r="F3431" t="s">
        <v>15</v>
      </c>
      <c r="G3431">
        <v>-1</v>
      </c>
      <c r="H3431" t="s">
        <v>20</v>
      </c>
      <c r="I3431" t="s">
        <v>88</v>
      </c>
      <c r="J3431" s="1">
        <v>43851</v>
      </c>
      <c r="L3431" t="s">
        <v>14</v>
      </c>
      <c r="M3431">
        <v>47.01</v>
      </c>
      <c r="N3431">
        <v>47.01</v>
      </c>
      <c r="O3431" t="s">
        <v>21</v>
      </c>
      <c r="P3431">
        <f t="shared" si="162"/>
        <v>-1</v>
      </c>
      <c r="Q3431" s="11">
        <f>IF(P3431=0,0,IFERROR(Q3430+G3431*M3431*IF(E3431="FUTURE",VLOOKUP(MID(I3431,2,2),[1]Futures!$A$2:$B$12,2),1),G3431*M3431*IF(E3431="FUTURE",VLOOKUP(MID(I3431,2,2),[1]Futures!$A$2:$B$12,2),1)))</f>
        <v>-47010</v>
      </c>
      <c r="R3431" s="12">
        <f>IFERROR(Q3431/P3431/IF(E3431="FUTURE",VLOOKUP(MID(I3431,2,2),[1]Futures!$A$2:$B$12,2),1),"")</f>
        <v>47.01</v>
      </c>
      <c r="S3431" s="13" t="str">
        <f>IF(AND(H3431="TO CLOSE",P3431=0),-G3431*(M3431-R3430)*IF(E3431="FUTURE",VLOOKUP(MID(I3431,2,2),[1]Futures!$A$2:$B$12,2),1),"")</f>
        <v/>
      </c>
    </row>
    <row r="3432" spans="1:19" x14ac:dyDescent="0.2">
      <c r="A3432">
        <f t="shared" si="161"/>
        <v>1106</v>
      </c>
      <c r="B3432" s="3">
        <v>44175</v>
      </c>
      <c r="C3432" s="3" t="str">
        <f t="shared" si="163"/>
        <v>Thursday</v>
      </c>
      <c r="D3432" s="2">
        <v>0.42356481481481478</v>
      </c>
      <c r="E3432" t="s">
        <v>14</v>
      </c>
      <c r="F3432" t="s">
        <v>15</v>
      </c>
      <c r="G3432">
        <v>-1</v>
      </c>
      <c r="H3432" t="s">
        <v>20</v>
      </c>
      <c r="I3432" t="s">
        <v>88</v>
      </c>
      <c r="J3432" s="1">
        <v>43851</v>
      </c>
      <c r="L3432" t="s">
        <v>14</v>
      </c>
      <c r="M3432">
        <v>47.23</v>
      </c>
      <c r="N3432">
        <v>47.23</v>
      </c>
      <c r="O3432" t="s">
        <v>21</v>
      </c>
      <c r="P3432">
        <f t="shared" si="162"/>
        <v>-2</v>
      </c>
      <c r="Q3432" s="11">
        <f>IF(P3432=0,0,IFERROR(Q3431+G3432*M3432*IF(E3432="FUTURE",VLOOKUP(MID(I3432,2,2),[1]Futures!$A$2:$B$12,2),1),G3432*M3432*IF(E3432="FUTURE",VLOOKUP(MID(I3432,2,2),[1]Futures!$A$2:$B$12,2),1)))</f>
        <v>-94240</v>
      </c>
      <c r="R3432" s="12">
        <f>IFERROR(Q3432/P3432/IF(E3432="FUTURE",VLOOKUP(MID(I3432,2,2),[1]Futures!$A$2:$B$12,2),1),"")</f>
        <v>47.12</v>
      </c>
      <c r="S3432" s="13" t="str">
        <f>IF(AND(H3432="TO CLOSE",P3432=0),-G3432*(M3432-R3431)*IF(E3432="FUTURE",VLOOKUP(MID(I3432,2,2),[1]Futures!$A$2:$B$12,2),1),"")</f>
        <v/>
      </c>
    </row>
    <row r="3433" spans="1:19" x14ac:dyDescent="0.2">
      <c r="A3433">
        <f t="shared" si="161"/>
        <v>1106</v>
      </c>
      <c r="B3433" s="3">
        <v>44175</v>
      </c>
      <c r="C3433" s="3" t="str">
        <f t="shared" si="163"/>
        <v>Thursday</v>
      </c>
      <c r="D3433" s="2">
        <v>0.50416666666666665</v>
      </c>
      <c r="E3433" t="s">
        <v>14</v>
      </c>
      <c r="F3433" t="s">
        <v>19</v>
      </c>
      <c r="G3433">
        <v>2</v>
      </c>
      <c r="H3433" t="s">
        <v>16</v>
      </c>
      <c r="I3433" t="s">
        <v>88</v>
      </c>
      <c r="J3433" s="1">
        <v>43851</v>
      </c>
      <c r="L3433" t="s">
        <v>14</v>
      </c>
      <c r="M3433">
        <v>47.27</v>
      </c>
      <c r="N3433">
        <v>47.27</v>
      </c>
      <c r="O3433" t="s">
        <v>24</v>
      </c>
      <c r="P3433">
        <f t="shared" si="162"/>
        <v>0</v>
      </c>
      <c r="Q3433" s="11">
        <f>IF(P3433=0,0,IFERROR(Q3432+G3433*M3433*IF(E3433="FUTURE",VLOOKUP(MID(I3433,2,2),[1]Futures!$A$2:$B$12,2),1),G3433*M3433*IF(E3433="FUTURE",VLOOKUP(MID(I3433,2,2),[1]Futures!$A$2:$B$12,2),1)))</f>
        <v>0</v>
      </c>
      <c r="R3433" s="12" t="str">
        <f>IFERROR(Q3433/P3433/IF(E3433="FUTURE",VLOOKUP(MID(I3433,2,2),[1]Futures!$A$2:$B$12,2),1),"")</f>
        <v/>
      </c>
      <c r="S3433" s="13">
        <f>IF(AND(H3433="TO CLOSE",P3433=0),-G3433*(M3433-R3432)*IF(E3433="FUTURE",VLOOKUP(MID(I3433,2,2),[1]Futures!$A$2:$B$12,2),1),"")</f>
        <v>-300.00000000001137</v>
      </c>
    </row>
    <row r="3434" spans="1:19" x14ac:dyDescent="0.2">
      <c r="A3434">
        <f t="shared" si="161"/>
        <v>1107</v>
      </c>
      <c r="B3434" s="3">
        <v>44175</v>
      </c>
      <c r="C3434" s="3" t="str">
        <f t="shared" si="163"/>
        <v>Thursday</v>
      </c>
      <c r="D3434" s="2">
        <v>0.50465277777777773</v>
      </c>
      <c r="E3434" t="s">
        <v>14</v>
      </c>
      <c r="F3434" t="s">
        <v>19</v>
      </c>
      <c r="G3434">
        <v>2</v>
      </c>
      <c r="H3434" t="s">
        <v>20</v>
      </c>
      <c r="I3434" t="s">
        <v>88</v>
      </c>
      <c r="J3434" s="1">
        <v>43851</v>
      </c>
      <c r="L3434" t="s">
        <v>14</v>
      </c>
      <c r="M3434">
        <v>47.29</v>
      </c>
      <c r="N3434">
        <v>47.29</v>
      </c>
      <c r="O3434" t="s">
        <v>24</v>
      </c>
      <c r="P3434">
        <f t="shared" si="162"/>
        <v>2</v>
      </c>
      <c r="Q3434" s="11">
        <f>IF(P3434=0,0,IFERROR(Q3433+G3434*M3434*IF(E3434="FUTURE",VLOOKUP(MID(I3434,2,2),[1]Futures!$A$2:$B$12,2),1),G3434*M3434*IF(E3434="FUTURE",VLOOKUP(MID(I3434,2,2),[1]Futures!$A$2:$B$12,2),1)))</f>
        <v>94580</v>
      </c>
      <c r="R3434" s="12">
        <f>IFERROR(Q3434/P3434/IF(E3434="FUTURE",VLOOKUP(MID(I3434,2,2),[1]Futures!$A$2:$B$12,2),1),"")</f>
        <v>47.29</v>
      </c>
      <c r="S3434" s="13" t="str">
        <f>IF(AND(H3434="TO CLOSE",P3434=0),-G3434*(M3434-R3433)*IF(E3434="FUTURE",VLOOKUP(MID(I3434,2,2),[1]Futures!$A$2:$B$12,2),1),"")</f>
        <v/>
      </c>
    </row>
    <row r="3435" spans="1:19" x14ac:dyDescent="0.2">
      <c r="A3435">
        <f t="shared" si="161"/>
        <v>1107</v>
      </c>
      <c r="B3435" s="3">
        <v>44175</v>
      </c>
      <c r="C3435" s="3" t="str">
        <f t="shared" si="163"/>
        <v>Thursday</v>
      </c>
      <c r="D3435" s="2">
        <v>0.61082175925925919</v>
      </c>
      <c r="E3435" t="s">
        <v>14</v>
      </c>
      <c r="F3435" t="s">
        <v>15</v>
      </c>
      <c r="G3435">
        <v>-1</v>
      </c>
      <c r="H3435" t="s">
        <v>16</v>
      </c>
      <c r="I3435" t="s">
        <v>88</v>
      </c>
      <c r="J3435" s="1">
        <v>43851</v>
      </c>
      <c r="L3435" t="s">
        <v>14</v>
      </c>
      <c r="M3435">
        <v>46.94</v>
      </c>
      <c r="N3435">
        <v>46.94</v>
      </c>
      <c r="O3435" t="s">
        <v>21</v>
      </c>
      <c r="P3435">
        <f t="shared" si="162"/>
        <v>1</v>
      </c>
      <c r="Q3435" s="11">
        <f>IF(P3435=0,0,IFERROR(Q3434+G3435*M3435*IF(E3435="FUTURE",VLOOKUP(MID(I3435,2,2),[1]Futures!$A$2:$B$12,2),1),G3435*M3435*IF(E3435="FUTURE",VLOOKUP(MID(I3435,2,2),[1]Futures!$A$2:$B$12,2),1)))</f>
        <v>47640</v>
      </c>
      <c r="R3435" s="12">
        <f>IFERROR(Q3435/P3435/IF(E3435="FUTURE",VLOOKUP(MID(I3435,2,2),[1]Futures!$A$2:$B$12,2),1),"")</f>
        <v>47.64</v>
      </c>
      <c r="S3435" s="13" t="str">
        <f>IF(AND(H3435="TO CLOSE",P3435=0),-G3435*(M3435-R3434)*IF(E3435="FUTURE",VLOOKUP(MID(I3435,2,2),[1]Futures!$A$2:$B$12,2),1),"")</f>
        <v/>
      </c>
    </row>
    <row r="3436" spans="1:19" x14ac:dyDescent="0.2">
      <c r="A3436">
        <f t="shared" si="161"/>
        <v>1107</v>
      </c>
      <c r="B3436" s="3">
        <v>44175</v>
      </c>
      <c r="C3436" s="3" t="str">
        <f t="shared" si="163"/>
        <v>Thursday</v>
      </c>
      <c r="D3436" s="2">
        <v>0.62383101851851852</v>
      </c>
      <c r="E3436" t="s">
        <v>14</v>
      </c>
      <c r="F3436" t="s">
        <v>15</v>
      </c>
      <c r="G3436">
        <v>-1</v>
      </c>
      <c r="H3436" t="s">
        <v>16</v>
      </c>
      <c r="I3436" t="s">
        <v>88</v>
      </c>
      <c r="J3436" s="1">
        <v>43851</v>
      </c>
      <c r="L3436" t="s">
        <v>14</v>
      </c>
      <c r="M3436">
        <v>46.9</v>
      </c>
      <c r="N3436">
        <v>46.9</v>
      </c>
      <c r="O3436" t="s">
        <v>21</v>
      </c>
      <c r="P3436">
        <f t="shared" si="162"/>
        <v>0</v>
      </c>
      <c r="Q3436" s="11">
        <f>IF(P3436=0,0,IFERROR(Q3435+G3436*M3436*IF(E3436="FUTURE",VLOOKUP(MID(I3436,2,2),[1]Futures!$A$2:$B$12,2),1),G3436*M3436*IF(E3436="FUTURE",VLOOKUP(MID(I3436,2,2),[1]Futures!$A$2:$B$12,2),1)))</f>
        <v>0</v>
      </c>
      <c r="R3436" s="12" t="str">
        <f>IFERROR(Q3436/P3436/IF(E3436="FUTURE",VLOOKUP(MID(I3436,2,2),[1]Futures!$A$2:$B$12,2),1),"")</f>
        <v/>
      </c>
      <c r="S3436" s="13">
        <f>IF(AND(H3436="TO CLOSE",P3436=0),-G3436*(M3436-R3435)*IF(E3436="FUTURE",VLOOKUP(MID(I3436,2,2),[1]Futures!$A$2:$B$12,2),1),"")</f>
        <v>-740.00000000000205</v>
      </c>
    </row>
    <row r="3437" spans="1:19" x14ac:dyDescent="0.2">
      <c r="A3437">
        <f t="shared" si="161"/>
        <v>1108</v>
      </c>
      <c r="B3437" s="3">
        <v>44175</v>
      </c>
      <c r="C3437" s="3" t="str">
        <f t="shared" si="163"/>
        <v>Thursday</v>
      </c>
      <c r="D3437" s="2">
        <v>0.62535879629629632</v>
      </c>
      <c r="E3437" t="s">
        <v>14</v>
      </c>
      <c r="F3437" t="s">
        <v>19</v>
      </c>
      <c r="G3437">
        <v>1</v>
      </c>
      <c r="H3437" t="s">
        <v>20</v>
      </c>
      <c r="I3437" t="s">
        <v>85</v>
      </c>
      <c r="J3437" s="1">
        <v>44185</v>
      </c>
      <c r="L3437" t="s">
        <v>14</v>
      </c>
      <c r="M3437">
        <v>3662.5</v>
      </c>
      <c r="N3437">
        <v>3662.5</v>
      </c>
      <c r="O3437" t="s">
        <v>21</v>
      </c>
      <c r="P3437">
        <f t="shared" si="162"/>
        <v>1</v>
      </c>
      <c r="Q3437" s="11">
        <f>IF(P3437=0,0,IFERROR(Q3436+G3437*M3437*IF(E3437="FUTURE",VLOOKUP(MID(I3437,2,2),[1]Futures!$A$2:$B$12,2),1),G3437*M3437*IF(E3437="FUTURE",VLOOKUP(MID(I3437,2,2),[1]Futures!$A$2:$B$12,2),1)))</f>
        <v>183125</v>
      </c>
      <c r="R3437" s="12">
        <f>IFERROR(Q3437/P3437/IF(E3437="FUTURE",VLOOKUP(MID(I3437,2,2),[1]Futures!$A$2:$B$12,2),1),"")</f>
        <v>3662.5</v>
      </c>
      <c r="S3437" s="13" t="str">
        <f>IF(AND(H3437="TO CLOSE",P3437=0),-G3437*(M3437-R3436)*IF(E3437="FUTURE",VLOOKUP(MID(I3437,2,2),[1]Futures!$A$2:$B$12,2),1),"")</f>
        <v/>
      </c>
    </row>
    <row r="3438" spans="1:19" x14ac:dyDescent="0.2">
      <c r="A3438">
        <f t="shared" si="161"/>
        <v>1108</v>
      </c>
      <c r="B3438" s="3">
        <v>44175</v>
      </c>
      <c r="C3438" s="3" t="str">
        <f t="shared" si="163"/>
        <v>Thursday</v>
      </c>
      <c r="D3438" s="2">
        <v>0.62861111111111112</v>
      </c>
      <c r="E3438" t="s">
        <v>14</v>
      </c>
      <c r="F3438" t="s">
        <v>15</v>
      </c>
      <c r="G3438">
        <v>-1</v>
      </c>
      <c r="H3438" t="s">
        <v>16</v>
      </c>
      <c r="I3438" t="s">
        <v>85</v>
      </c>
      <c r="J3438" s="1">
        <v>44185</v>
      </c>
      <c r="L3438" t="s">
        <v>14</v>
      </c>
      <c r="M3438">
        <v>3663</v>
      </c>
      <c r="N3438">
        <v>3663</v>
      </c>
      <c r="O3438" t="s">
        <v>18</v>
      </c>
      <c r="P3438">
        <f t="shared" si="162"/>
        <v>0</v>
      </c>
      <c r="Q3438" s="11">
        <f>IF(P3438=0,0,IFERROR(Q3437+G3438*M3438*IF(E3438="FUTURE",VLOOKUP(MID(I3438,2,2),[1]Futures!$A$2:$B$12,2),1),G3438*M3438*IF(E3438="FUTURE",VLOOKUP(MID(I3438,2,2),[1]Futures!$A$2:$B$12,2),1)))</f>
        <v>0</v>
      </c>
      <c r="R3438" s="12" t="str">
        <f>IFERROR(Q3438/P3438/IF(E3438="FUTURE",VLOOKUP(MID(I3438,2,2),[1]Futures!$A$2:$B$12,2),1),"")</f>
        <v/>
      </c>
      <c r="S3438" s="13">
        <f>IF(AND(H3438="TO CLOSE",P3438=0),-G3438*(M3438-R3437)*IF(E3438="FUTURE",VLOOKUP(MID(I3438,2,2),[1]Futures!$A$2:$B$12,2),1),"")</f>
        <v>25</v>
      </c>
    </row>
    <row r="3439" spans="1:19" x14ac:dyDescent="0.2">
      <c r="A3439">
        <f t="shared" si="161"/>
        <v>1109</v>
      </c>
      <c r="B3439" s="3">
        <v>44175</v>
      </c>
      <c r="C3439" s="3" t="str">
        <f t="shared" si="163"/>
        <v>Thursday</v>
      </c>
      <c r="D3439" s="2">
        <v>0.54796296296296299</v>
      </c>
      <c r="E3439" t="s">
        <v>14</v>
      </c>
      <c r="F3439" t="s">
        <v>19</v>
      </c>
      <c r="G3439">
        <v>4</v>
      </c>
      <c r="H3439" t="s">
        <v>20</v>
      </c>
      <c r="I3439" t="s">
        <v>87</v>
      </c>
      <c r="J3439" s="1">
        <v>44185</v>
      </c>
      <c r="L3439" t="s">
        <v>14</v>
      </c>
      <c r="M3439">
        <v>3669.25</v>
      </c>
      <c r="N3439">
        <v>3669.25</v>
      </c>
      <c r="O3439" t="s">
        <v>24</v>
      </c>
      <c r="P3439">
        <f t="shared" si="162"/>
        <v>4</v>
      </c>
      <c r="Q3439" s="11">
        <f>IF(P3439=0,0,IFERROR(Q3438+G3439*M3439*IF(E3439="FUTURE",VLOOKUP(MID(I3439,2,2),[1]Futures!$A$2:$B$12,2),1),G3439*M3439*IF(E3439="FUTURE",VLOOKUP(MID(I3439,2,2),[1]Futures!$A$2:$B$12,2),1)))</f>
        <v>73385</v>
      </c>
      <c r="R3439" s="12">
        <f>IFERROR(Q3439/P3439/IF(E3439="FUTURE",VLOOKUP(MID(I3439,2,2),[1]Futures!$A$2:$B$12,2),1),"")</f>
        <v>3669.25</v>
      </c>
      <c r="S3439" s="13" t="str">
        <f>IF(AND(H3439="TO CLOSE",P3439=0),-G3439*(M3439-R3438)*IF(E3439="FUTURE",VLOOKUP(MID(I3439,2,2),[1]Futures!$A$2:$B$12,2),1),"")</f>
        <v/>
      </c>
    </row>
    <row r="3440" spans="1:19" x14ac:dyDescent="0.2">
      <c r="A3440">
        <f t="shared" si="161"/>
        <v>1109</v>
      </c>
      <c r="B3440" s="3">
        <v>44175</v>
      </c>
      <c r="C3440" s="3" t="str">
        <f t="shared" si="163"/>
        <v>Thursday</v>
      </c>
      <c r="D3440" s="2">
        <v>0.62262731481481481</v>
      </c>
      <c r="E3440" t="s">
        <v>14</v>
      </c>
      <c r="F3440" t="s">
        <v>19</v>
      </c>
      <c r="G3440">
        <v>1</v>
      </c>
      <c r="H3440" t="s">
        <v>20</v>
      </c>
      <c r="I3440" t="s">
        <v>87</v>
      </c>
      <c r="J3440" s="1">
        <v>44185</v>
      </c>
      <c r="L3440" t="s">
        <v>14</v>
      </c>
      <c r="M3440">
        <v>3663</v>
      </c>
      <c r="N3440">
        <v>3663</v>
      </c>
      <c r="O3440" t="s">
        <v>21</v>
      </c>
      <c r="P3440">
        <f t="shared" si="162"/>
        <v>5</v>
      </c>
      <c r="Q3440" s="11">
        <f>IF(P3440=0,0,IFERROR(Q3439+G3440*M3440*IF(E3440="FUTURE",VLOOKUP(MID(I3440,2,2),[1]Futures!$A$2:$B$12,2),1),G3440*M3440*IF(E3440="FUTURE",VLOOKUP(MID(I3440,2,2),[1]Futures!$A$2:$B$12,2),1)))</f>
        <v>91700</v>
      </c>
      <c r="R3440" s="12">
        <f>IFERROR(Q3440/P3440/IF(E3440="FUTURE",VLOOKUP(MID(I3440,2,2),[1]Futures!$A$2:$B$12,2),1),"")</f>
        <v>3668</v>
      </c>
      <c r="S3440" s="13" t="str">
        <f>IF(AND(H3440="TO CLOSE",P3440=0),-G3440*(M3440-R3439)*IF(E3440="FUTURE",VLOOKUP(MID(I3440,2,2),[1]Futures!$A$2:$B$12,2),1),"")</f>
        <v/>
      </c>
    </row>
    <row r="3441" spans="1:19" x14ac:dyDescent="0.2">
      <c r="A3441">
        <f t="shared" si="161"/>
        <v>1109</v>
      </c>
      <c r="B3441" s="3">
        <v>44175</v>
      </c>
      <c r="C3441" s="3" t="str">
        <f t="shared" si="163"/>
        <v>Thursday</v>
      </c>
      <c r="D3441" s="2">
        <v>0.64462962962962966</v>
      </c>
      <c r="E3441" t="s">
        <v>14</v>
      </c>
      <c r="F3441" t="s">
        <v>15</v>
      </c>
      <c r="G3441">
        <v>-1</v>
      </c>
      <c r="H3441" t="s">
        <v>16</v>
      </c>
      <c r="I3441" t="s">
        <v>87</v>
      </c>
      <c r="J3441" s="1">
        <v>44185</v>
      </c>
      <c r="L3441" t="s">
        <v>14</v>
      </c>
      <c r="M3441">
        <v>3669</v>
      </c>
      <c r="N3441">
        <v>3669</v>
      </c>
      <c r="O3441" t="s">
        <v>21</v>
      </c>
      <c r="P3441">
        <f t="shared" si="162"/>
        <v>4</v>
      </c>
      <c r="Q3441" s="11">
        <f>IF(P3441=0,0,IFERROR(Q3440+G3441*M3441*IF(E3441="FUTURE",VLOOKUP(MID(I3441,2,2),[1]Futures!$A$2:$B$12,2),1),G3441*M3441*IF(E3441="FUTURE",VLOOKUP(MID(I3441,2,2),[1]Futures!$A$2:$B$12,2),1)))</f>
        <v>73355</v>
      </c>
      <c r="R3441" s="12">
        <f>IFERROR(Q3441/P3441/IF(E3441="FUTURE",VLOOKUP(MID(I3441,2,2),[1]Futures!$A$2:$B$12,2),1),"")</f>
        <v>3667.75</v>
      </c>
      <c r="S3441" s="13" t="str">
        <f>IF(AND(H3441="TO CLOSE",P3441=0),-G3441*(M3441-R3440)*IF(E3441="FUTURE",VLOOKUP(MID(I3441,2,2),[1]Futures!$A$2:$B$12,2),1),"")</f>
        <v/>
      </c>
    </row>
    <row r="3442" spans="1:19" x14ac:dyDescent="0.2">
      <c r="A3442">
        <f t="shared" si="161"/>
        <v>1109</v>
      </c>
      <c r="B3442" s="3">
        <v>44175</v>
      </c>
      <c r="C3442" s="3" t="str">
        <f t="shared" si="163"/>
        <v>Thursday</v>
      </c>
      <c r="D3442" s="2">
        <v>0.64608796296296289</v>
      </c>
      <c r="E3442" t="s">
        <v>14</v>
      </c>
      <c r="F3442" t="s">
        <v>15</v>
      </c>
      <c r="G3442">
        <v>-2</v>
      </c>
      <c r="H3442" t="s">
        <v>16</v>
      </c>
      <c r="I3442" t="s">
        <v>87</v>
      </c>
      <c r="J3442" s="1">
        <v>44185</v>
      </c>
      <c r="L3442" t="s">
        <v>14</v>
      </c>
      <c r="M3442">
        <v>3670.25</v>
      </c>
      <c r="N3442">
        <v>3670.25</v>
      </c>
      <c r="O3442" t="s">
        <v>21</v>
      </c>
      <c r="P3442">
        <f t="shared" si="162"/>
        <v>2</v>
      </c>
      <c r="Q3442" s="11">
        <f>IF(P3442=0,0,IFERROR(Q3441+G3442*M3442*IF(E3442="FUTURE",VLOOKUP(MID(I3442,2,2),[1]Futures!$A$2:$B$12,2),1),G3442*M3442*IF(E3442="FUTURE",VLOOKUP(MID(I3442,2,2),[1]Futures!$A$2:$B$12,2),1)))</f>
        <v>36652.5</v>
      </c>
      <c r="R3442" s="12">
        <f>IFERROR(Q3442/P3442/IF(E3442="FUTURE",VLOOKUP(MID(I3442,2,2),[1]Futures!$A$2:$B$12,2),1),"")</f>
        <v>3665.25</v>
      </c>
      <c r="S3442" s="13" t="str">
        <f>IF(AND(H3442="TO CLOSE",P3442=0),-G3442*(M3442-R3441)*IF(E3442="FUTURE",VLOOKUP(MID(I3442,2,2),[1]Futures!$A$2:$B$12,2),1),"")</f>
        <v/>
      </c>
    </row>
    <row r="3443" spans="1:19" x14ac:dyDescent="0.2">
      <c r="A3443">
        <f t="shared" si="161"/>
        <v>1109</v>
      </c>
      <c r="B3443" s="3">
        <v>44175</v>
      </c>
      <c r="C3443" s="3" t="str">
        <f t="shared" si="163"/>
        <v>Thursday</v>
      </c>
      <c r="D3443" s="2">
        <v>0.65087962962962964</v>
      </c>
      <c r="E3443" t="s">
        <v>14</v>
      </c>
      <c r="F3443" t="s">
        <v>15</v>
      </c>
      <c r="G3443">
        <v>-1</v>
      </c>
      <c r="H3443" t="s">
        <v>16</v>
      </c>
      <c r="I3443" t="s">
        <v>87</v>
      </c>
      <c r="J3443" s="1">
        <v>44185</v>
      </c>
      <c r="L3443" t="s">
        <v>14</v>
      </c>
      <c r="M3443">
        <v>3669.25</v>
      </c>
      <c r="N3443">
        <v>3669.25</v>
      </c>
      <c r="O3443" t="s">
        <v>21</v>
      </c>
      <c r="P3443">
        <f t="shared" si="162"/>
        <v>1</v>
      </c>
      <c r="Q3443" s="11">
        <f>IF(P3443=0,0,IFERROR(Q3442+G3443*M3443*IF(E3443="FUTURE",VLOOKUP(MID(I3443,2,2),[1]Futures!$A$2:$B$12,2),1),G3443*M3443*IF(E3443="FUTURE",VLOOKUP(MID(I3443,2,2),[1]Futures!$A$2:$B$12,2),1)))</f>
        <v>18306.25</v>
      </c>
      <c r="R3443" s="12">
        <f>IFERROR(Q3443/P3443/IF(E3443="FUTURE",VLOOKUP(MID(I3443,2,2),[1]Futures!$A$2:$B$12,2),1),"")</f>
        <v>3661.25</v>
      </c>
      <c r="S3443" s="13" t="str">
        <f>IF(AND(H3443="TO CLOSE",P3443=0),-G3443*(M3443-R3442)*IF(E3443="FUTURE",VLOOKUP(MID(I3443,2,2),[1]Futures!$A$2:$B$12,2),1),"")</f>
        <v/>
      </c>
    </row>
    <row r="3444" spans="1:19" x14ac:dyDescent="0.2">
      <c r="A3444">
        <f t="shared" si="161"/>
        <v>1109</v>
      </c>
      <c r="B3444" s="3">
        <v>44175</v>
      </c>
      <c r="C3444" s="3" t="str">
        <f t="shared" si="163"/>
        <v>Thursday</v>
      </c>
      <c r="D3444" s="2">
        <v>0.65171296296296299</v>
      </c>
      <c r="E3444" t="s">
        <v>14</v>
      </c>
      <c r="F3444" t="s">
        <v>15</v>
      </c>
      <c r="G3444">
        <v>-1</v>
      </c>
      <c r="H3444" t="s">
        <v>16</v>
      </c>
      <c r="I3444" t="s">
        <v>87</v>
      </c>
      <c r="J3444" s="1">
        <v>44185</v>
      </c>
      <c r="L3444" t="s">
        <v>14</v>
      </c>
      <c r="M3444">
        <v>3669.75</v>
      </c>
      <c r="N3444">
        <v>3669.75</v>
      </c>
      <c r="O3444" t="s">
        <v>21</v>
      </c>
      <c r="P3444">
        <f t="shared" si="162"/>
        <v>0</v>
      </c>
      <c r="Q3444" s="11">
        <f>IF(P3444=0,0,IFERROR(Q3443+G3444*M3444*IF(E3444="FUTURE",VLOOKUP(MID(I3444,2,2),[1]Futures!$A$2:$B$12,2),1),G3444*M3444*IF(E3444="FUTURE",VLOOKUP(MID(I3444,2,2),[1]Futures!$A$2:$B$12,2),1)))</f>
        <v>0</v>
      </c>
      <c r="R3444" s="12" t="str">
        <f>IFERROR(Q3444/P3444/IF(E3444="FUTURE",VLOOKUP(MID(I3444,2,2),[1]Futures!$A$2:$B$12,2),1),"")</f>
        <v/>
      </c>
      <c r="S3444" s="13">
        <f>IF(AND(H3444="TO CLOSE",P3444=0),-G3444*(M3444-R3443)*IF(E3444="FUTURE",VLOOKUP(MID(I3444,2,2),[1]Futures!$A$2:$B$12,2),1),"")</f>
        <v>42.5</v>
      </c>
    </row>
    <row r="3445" spans="1:19" x14ac:dyDescent="0.2">
      <c r="A3445">
        <f t="shared" si="161"/>
        <v>1110</v>
      </c>
      <c r="B3445" s="3">
        <v>44176</v>
      </c>
      <c r="C3445" s="3" t="str">
        <f t="shared" si="163"/>
        <v>Friday</v>
      </c>
      <c r="D3445" s="2">
        <v>0.39175925925925931</v>
      </c>
      <c r="E3445" t="s">
        <v>14</v>
      </c>
      <c r="F3445" t="s">
        <v>19</v>
      </c>
      <c r="G3445">
        <v>2</v>
      </c>
      <c r="H3445" t="s">
        <v>20</v>
      </c>
      <c r="I3445" t="s">
        <v>88</v>
      </c>
      <c r="J3445" s="1">
        <v>43851</v>
      </c>
      <c r="L3445" t="s">
        <v>14</v>
      </c>
      <c r="M3445">
        <v>46.82</v>
      </c>
      <c r="N3445">
        <v>46.82</v>
      </c>
      <c r="O3445" t="s">
        <v>21</v>
      </c>
      <c r="P3445">
        <f t="shared" si="162"/>
        <v>2</v>
      </c>
      <c r="Q3445" s="11">
        <f>IF(P3445=0,0,IFERROR(Q3444+G3445*M3445*IF(E3445="FUTURE",VLOOKUP(MID(I3445,2,2),[1]Futures!$A$2:$B$12,2),1),G3445*M3445*IF(E3445="FUTURE",VLOOKUP(MID(I3445,2,2),[1]Futures!$A$2:$B$12,2),1)))</f>
        <v>93640</v>
      </c>
      <c r="R3445" s="12">
        <f>IFERROR(Q3445/P3445/IF(E3445="FUTURE",VLOOKUP(MID(I3445,2,2),[1]Futures!$A$2:$B$12,2),1),"")</f>
        <v>46.82</v>
      </c>
      <c r="S3445" s="13" t="str">
        <f>IF(AND(H3445="TO CLOSE",P3445=0),-G3445*(M3445-R3444)*IF(E3445="FUTURE",VLOOKUP(MID(I3445,2,2),[1]Futures!$A$2:$B$12,2),1),"")</f>
        <v/>
      </c>
    </row>
    <row r="3446" spans="1:19" x14ac:dyDescent="0.2">
      <c r="A3446">
        <f t="shared" si="161"/>
        <v>1110</v>
      </c>
      <c r="B3446" s="3">
        <v>44176</v>
      </c>
      <c r="C3446" s="3" t="str">
        <f t="shared" si="163"/>
        <v>Friday</v>
      </c>
      <c r="D3446" s="2">
        <v>0.4317361111111111</v>
      </c>
      <c r="E3446" t="s">
        <v>14</v>
      </c>
      <c r="F3446" t="s">
        <v>15</v>
      </c>
      <c r="G3446">
        <v>-1</v>
      </c>
      <c r="H3446" t="s">
        <v>16</v>
      </c>
      <c r="I3446" t="s">
        <v>88</v>
      </c>
      <c r="J3446" s="1">
        <v>43851</v>
      </c>
      <c r="L3446" t="s">
        <v>14</v>
      </c>
      <c r="M3446">
        <v>46.9</v>
      </c>
      <c r="N3446">
        <v>46.9</v>
      </c>
      <c r="O3446" t="s">
        <v>21</v>
      </c>
      <c r="P3446">
        <f t="shared" si="162"/>
        <v>1</v>
      </c>
      <c r="Q3446" s="11">
        <f>IF(P3446=0,0,IFERROR(Q3445+G3446*M3446*IF(E3446="FUTURE",VLOOKUP(MID(I3446,2,2),[1]Futures!$A$2:$B$12,2),1),G3446*M3446*IF(E3446="FUTURE",VLOOKUP(MID(I3446,2,2),[1]Futures!$A$2:$B$12,2),1)))</f>
        <v>46740</v>
      </c>
      <c r="R3446" s="12">
        <f>IFERROR(Q3446/P3446/IF(E3446="FUTURE",VLOOKUP(MID(I3446,2,2),[1]Futures!$A$2:$B$12,2),1),"")</f>
        <v>46.74</v>
      </c>
      <c r="S3446" s="13" t="str">
        <f>IF(AND(H3446="TO CLOSE",P3446=0),-G3446*(M3446-R3445)*IF(E3446="FUTURE",VLOOKUP(MID(I3446,2,2),[1]Futures!$A$2:$B$12,2),1),"")</f>
        <v/>
      </c>
    </row>
    <row r="3447" spans="1:19" x14ac:dyDescent="0.2">
      <c r="A3447">
        <f t="shared" si="161"/>
        <v>1110</v>
      </c>
      <c r="B3447" s="3">
        <v>44176</v>
      </c>
      <c r="C3447" s="3" t="str">
        <f t="shared" si="163"/>
        <v>Friday</v>
      </c>
      <c r="D3447" s="2">
        <v>0.43407407407407406</v>
      </c>
      <c r="E3447" t="s">
        <v>14</v>
      </c>
      <c r="F3447" t="s">
        <v>15</v>
      </c>
      <c r="G3447">
        <v>-1</v>
      </c>
      <c r="H3447" t="s">
        <v>16</v>
      </c>
      <c r="I3447" t="s">
        <v>88</v>
      </c>
      <c r="J3447" s="1">
        <v>43851</v>
      </c>
      <c r="L3447" t="s">
        <v>14</v>
      </c>
      <c r="M3447">
        <v>46.89</v>
      </c>
      <c r="N3447">
        <v>46.89</v>
      </c>
      <c r="O3447" t="s">
        <v>24</v>
      </c>
      <c r="P3447">
        <f t="shared" si="162"/>
        <v>0</v>
      </c>
      <c r="Q3447" s="11">
        <f>IF(P3447=0,0,IFERROR(Q3446+G3447*M3447*IF(E3447="FUTURE",VLOOKUP(MID(I3447,2,2),[1]Futures!$A$2:$B$12,2),1),G3447*M3447*IF(E3447="FUTURE",VLOOKUP(MID(I3447,2,2),[1]Futures!$A$2:$B$12,2),1)))</f>
        <v>0</v>
      </c>
      <c r="R3447" s="12" t="str">
        <f>IFERROR(Q3447/P3447/IF(E3447="FUTURE",VLOOKUP(MID(I3447,2,2),[1]Futures!$A$2:$B$12,2),1),"")</f>
        <v/>
      </c>
      <c r="S3447" s="13">
        <f>IF(AND(H3447="TO CLOSE",P3447=0),-G3447*(M3447-R3446)*IF(E3447="FUTURE",VLOOKUP(MID(I3447,2,2),[1]Futures!$A$2:$B$12,2),1),"")</f>
        <v>149.99999999999858</v>
      </c>
    </row>
    <row r="3448" spans="1:19" x14ac:dyDescent="0.2">
      <c r="A3448">
        <f t="shared" si="161"/>
        <v>1111</v>
      </c>
      <c r="B3448" s="3">
        <v>44176</v>
      </c>
      <c r="C3448" s="3" t="str">
        <f t="shared" si="163"/>
        <v>Friday</v>
      </c>
      <c r="D3448" s="2">
        <v>0.46386574074074072</v>
      </c>
      <c r="E3448" t="s">
        <v>14</v>
      </c>
      <c r="F3448" t="s">
        <v>19</v>
      </c>
      <c r="G3448">
        <v>1</v>
      </c>
      <c r="H3448" t="s">
        <v>20</v>
      </c>
      <c r="I3448" t="s">
        <v>88</v>
      </c>
      <c r="J3448" s="1">
        <v>43851</v>
      </c>
      <c r="L3448" t="s">
        <v>14</v>
      </c>
      <c r="M3448">
        <v>46.79</v>
      </c>
      <c r="N3448">
        <v>46.79</v>
      </c>
      <c r="O3448" t="s">
        <v>21</v>
      </c>
      <c r="P3448">
        <f t="shared" si="162"/>
        <v>1</v>
      </c>
      <c r="Q3448" s="11">
        <f>IF(P3448=0,0,IFERROR(Q3447+G3448*M3448*IF(E3448="FUTURE",VLOOKUP(MID(I3448,2,2),[1]Futures!$A$2:$B$12,2),1),G3448*M3448*IF(E3448="FUTURE",VLOOKUP(MID(I3448,2,2),[1]Futures!$A$2:$B$12,2),1)))</f>
        <v>46790</v>
      </c>
      <c r="R3448" s="12">
        <f>IFERROR(Q3448/P3448/IF(E3448="FUTURE",VLOOKUP(MID(I3448,2,2),[1]Futures!$A$2:$B$12,2),1),"")</f>
        <v>46.79</v>
      </c>
      <c r="S3448" s="13" t="str">
        <f>IF(AND(H3448="TO CLOSE",P3448=0),-G3448*(M3448-R3447)*IF(E3448="FUTURE",VLOOKUP(MID(I3448,2,2),[1]Futures!$A$2:$B$12,2),1),"")</f>
        <v/>
      </c>
    </row>
    <row r="3449" spans="1:19" x14ac:dyDescent="0.2">
      <c r="A3449">
        <f t="shared" si="161"/>
        <v>1111</v>
      </c>
      <c r="B3449" s="3">
        <v>44176</v>
      </c>
      <c r="C3449" s="3" t="str">
        <f t="shared" si="163"/>
        <v>Friday</v>
      </c>
      <c r="D3449" s="2">
        <v>0.48615740740740737</v>
      </c>
      <c r="E3449" t="s">
        <v>14</v>
      </c>
      <c r="F3449" t="s">
        <v>19</v>
      </c>
      <c r="G3449">
        <v>1</v>
      </c>
      <c r="H3449" t="s">
        <v>20</v>
      </c>
      <c r="I3449" t="s">
        <v>88</v>
      </c>
      <c r="J3449" s="1">
        <v>43851</v>
      </c>
      <c r="L3449" t="s">
        <v>14</v>
      </c>
      <c r="M3449">
        <v>46.6</v>
      </c>
      <c r="N3449">
        <v>46.6</v>
      </c>
      <c r="O3449" t="s">
        <v>21</v>
      </c>
      <c r="P3449">
        <f t="shared" si="162"/>
        <v>2</v>
      </c>
      <c r="Q3449" s="11">
        <f>IF(P3449=0,0,IFERROR(Q3448+G3449*M3449*IF(E3449="FUTURE",VLOOKUP(MID(I3449,2,2),[1]Futures!$A$2:$B$12,2),1),G3449*M3449*IF(E3449="FUTURE",VLOOKUP(MID(I3449,2,2),[1]Futures!$A$2:$B$12,2),1)))</f>
        <v>93390</v>
      </c>
      <c r="R3449" s="12">
        <f>IFERROR(Q3449/P3449/IF(E3449="FUTURE",VLOOKUP(MID(I3449,2,2),[1]Futures!$A$2:$B$12,2),1),"")</f>
        <v>46.695</v>
      </c>
      <c r="S3449" s="13" t="str">
        <f>IF(AND(H3449="TO CLOSE",P3449=0),-G3449*(M3449-R3448)*IF(E3449="FUTURE",VLOOKUP(MID(I3449,2,2),[1]Futures!$A$2:$B$12,2),1),"")</f>
        <v/>
      </c>
    </row>
    <row r="3450" spans="1:19" x14ac:dyDescent="0.2">
      <c r="A3450">
        <f t="shared" si="161"/>
        <v>1111</v>
      </c>
      <c r="B3450" s="3">
        <v>44176</v>
      </c>
      <c r="C3450" s="3" t="str">
        <f t="shared" si="163"/>
        <v>Friday</v>
      </c>
      <c r="D3450" s="2">
        <v>0.50003472222222223</v>
      </c>
      <c r="E3450" t="s">
        <v>14</v>
      </c>
      <c r="F3450" t="s">
        <v>15</v>
      </c>
      <c r="G3450">
        <v>-1</v>
      </c>
      <c r="H3450" t="s">
        <v>16</v>
      </c>
      <c r="I3450" t="s">
        <v>88</v>
      </c>
      <c r="J3450" s="1">
        <v>43851</v>
      </c>
      <c r="L3450" t="s">
        <v>14</v>
      </c>
      <c r="M3450">
        <v>46.65</v>
      </c>
      <c r="N3450">
        <v>46.65</v>
      </c>
      <c r="O3450" t="s">
        <v>21</v>
      </c>
      <c r="P3450">
        <f t="shared" si="162"/>
        <v>1</v>
      </c>
      <c r="Q3450" s="11">
        <f>IF(P3450=0,0,IFERROR(Q3449+G3450*M3450*IF(E3450="FUTURE",VLOOKUP(MID(I3450,2,2),[1]Futures!$A$2:$B$12,2),1),G3450*M3450*IF(E3450="FUTURE",VLOOKUP(MID(I3450,2,2),[1]Futures!$A$2:$B$12,2),1)))</f>
        <v>46740</v>
      </c>
      <c r="R3450" s="12">
        <f>IFERROR(Q3450/P3450/IF(E3450="FUTURE",VLOOKUP(MID(I3450,2,2),[1]Futures!$A$2:$B$12,2),1),"")</f>
        <v>46.74</v>
      </c>
      <c r="S3450" s="13" t="str">
        <f>IF(AND(H3450="TO CLOSE",P3450=0),-G3450*(M3450-R3449)*IF(E3450="FUTURE",VLOOKUP(MID(I3450,2,2),[1]Futures!$A$2:$B$12,2),1),"")</f>
        <v/>
      </c>
    </row>
    <row r="3451" spans="1:19" x14ac:dyDescent="0.2">
      <c r="A3451">
        <f t="shared" si="161"/>
        <v>1111</v>
      </c>
      <c r="B3451" s="3">
        <v>44176</v>
      </c>
      <c r="C3451" s="3" t="str">
        <f t="shared" si="163"/>
        <v>Friday</v>
      </c>
      <c r="D3451" s="2">
        <v>0.56138888888888883</v>
      </c>
      <c r="E3451" t="s">
        <v>14</v>
      </c>
      <c r="F3451" t="s">
        <v>19</v>
      </c>
      <c r="G3451">
        <v>1</v>
      </c>
      <c r="H3451" t="s">
        <v>20</v>
      </c>
      <c r="I3451" t="s">
        <v>88</v>
      </c>
      <c r="J3451" s="1">
        <v>43851</v>
      </c>
      <c r="L3451" t="s">
        <v>14</v>
      </c>
      <c r="M3451">
        <v>46.54</v>
      </c>
      <c r="N3451">
        <v>46.54</v>
      </c>
      <c r="O3451" t="s">
        <v>21</v>
      </c>
      <c r="P3451">
        <f t="shared" si="162"/>
        <v>2</v>
      </c>
      <c r="Q3451" s="11">
        <f>IF(P3451=0,0,IFERROR(Q3450+G3451*M3451*IF(E3451="FUTURE",VLOOKUP(MID(I3451,2,2),[1]Futures!$A$2:$B$12,2),1),G3451*M3451*IF(E3451="FUTURE",VLOOKUP(MID(I3451,2,2),[1]Futures!$A$2:$B$12,2),1)))</f>
        <v>93280</v>
      </c>
      <c r="R3451" s="12">
        <f>IFERROR(Q3451/P3451/IF(E3451="FUTURE",VLOOKUP(MID(I3451,2,2),[1]Futures!$A$2:$B$12,2),1),"")</f>
        <v>46.64</v>
      </c>
      <c r="S3451" s="13" t="str">
        <f>IF(AND(H3451="TO CLOSE",P3451=0),-G3451*(M3451-R3450)*IF(E3451="FUTURE",VLOOKUP(MID(I3451,2,2),[1]Futures!$A$2:$B$12,2),1),"")</f>
        <v/>
      </c>
    </row>
    <row r="3452" spans="1:19" x14ac:dyDescent="0.2">
      <c r="A3452">
        <f t="shared" si="161"/>
        <v>1111</v>
      </c>
      <c r="B3452" s="3">
        <v>44176</v>
      </c>
      <c r="C3452" s="3" t="str">
        <f t="shared" si="163"/>
        <v>Friday</v>
      </c>
      <c r="D3452" s="2">
        <v>0.60025462962962961</v>
      </c>
      <c r="E3452" t="s">
        <v>14</v>
      </c>
      <c r="F3452" t="s">
        <v>15</v>
      </c>
      <c r="G3452">
        <v>-1</v>
      </c>
      <c r="H3452" t="s">
        <v>16</v>
      </c>
      <c r="I3452" t="s">
        <v>88</v>
      </c>
      <c r="J3452" s="1">
        <v>43851</v>
      </c>
      <c r="L3452" t="s">
        <v>14</v>
      </c>
      <c r="M3452">
        <v>46.66</v>
      </c>
      <c r="N3452">
        <v>46.66</v>
      </c>
      <c r="O3452" t="s">
        <v>21</v>
      </c>
      <c r="P3452">
        <f t="shared" si="162"/>
        <v>1</v>
      </c>
      <c r="Q3452" s="11">
        <f>IF(P3452=0,0,IFERROR(Q3451+G3452*M3452*IF(E3452="FUTURE",VLOOKUP(MID(I3452,2,2),[1]Futures!$A$2:$B$12,2),1),G3452*M3452*IF(E3452="FUTURE",VLOOKUP(MID(I3452,2,2),[1]Futures!$A$2:$B$12,2),1)))</f>
        <v>46620</v>
      </c>
      <c r="R3452" s="12">
        <f>IFERROR(Q3452/P3452/IF(E3452="FUTURE",VLOOKUP(MID(I3452,2,2),[1]Futures!$A$2:$B$12,2),1),"")</f>
        <v>46.62</v>
      </c>
      <c r="S3452" s="13" t="str">
        <f>IF(AND(H3452="TO CLOSE",P3452=0),-G3452*(M3452-R3451)*IF(E3452="FUTURE",VLOOKUP(MID(I3452,2,2),[1]Futures!$A$2:$B$12,2),1),"")</f>
        <v/>
      </c>
    </row>
    <row r="3453" spans="1:19" x14ac:dyDescent="0.2">
      <c r="A3453">
        <f t="shared" si="161"/>
        <v>1111</v>
      </c>
      <c r="B3453" s="3">
        <v>44176</v>
      </c>
      <c r="C3453" s="3" t="str">
        <f t="shared" si="163"/>
        <v>Friday</v>
      </c>
      <c r="D3453" s="2">
        <v>0.60789351851851847</v>
      </c>
      <c r="E3453" t="s">
        <v>14</v>
      </c>
      <c r="F3453" t="s">
        <v>15</v>
      </c>
      <c r="G3453">
        <v>-1</v>
      </c>
      <c r="H3453" t="s">
        <v>16</v>
      </c>
      <c r="I3453" t="s">
        <v>88</v>
      </c>
      <c r="J3453" s="1">
        <v>43851</v>
      </c>
      <c r="L3453" t="s">
        <v>14</v>
      </c>
      <c r="M3453">
        <v>46.6</v>
      </c>
      <c r="N3453">
        <v>46.6</v>
      </c>
      <c r="O3453" t="s">
        <v>24</v>
      </c>
      <c r="P3453">
        <f t="shared" si="162"/>
        <v>0</v>
      </c>
      <c r="Q3453" s="11">
        <f>IF(P3453=0,0,IFERROR(Q3452+G3453*M3453*IF(E3453="FUTURE",VLOOKUP(MID(I3453,2,2),[1]Futures!$A$2:$B$12,2),1),G3453*M3453*IF(E3453="FUTURE",VLOOKUP(MID(I3453,2,2),[1]Futures!$A$2:$B$12,2),1)))</f>
        <v>0</v>
      </c>
      <c r="R3453" s="12" t="str">
        <f>IFERROR(Q3453/P3453/IF(E3453="FUTURE",VLOOKUP(MID(I3453,2,2),[1]Futures!$A$2:$B$12,2),1),"")</f>
        <v/>
      </c>
      <c r="S3453" s="13">
        <f>IF(AND(H3453="TO CLOSE",P3453=0),-G3453*(M3453-R3452)*IF(E3453="FUTURE",VLOOKUP(MID(I3453,2,2),[1]Futures!$A$2:$B$12,2),1),"")</f>
        <v>-19.999999999996021</v>
      </c>
    </row>
    <row r="3454" spans="1:19" x14ac:dyDescent="0.2">
      <c r="A3454">
        <f t="shared" si="161"/>
        <v>1112</v>
      </c>
      <c r="B3454" s="3">
        <v>44176</v>
      </c>
      <c r="C3454" s="3" t="str">
        <f t="shared" si="163"/>
        <v>Friday</v>
      </c>
      <c r="D3454" s="2">
        <v>0.4133101851851852</v>
      </c>
      <c r="E3454" t="s">
        <v>22</v>
      </c>
      <c r="F3454" t="s">
        <v>15</v>
      </c>
      <c r="G3454">
        <v>-300</v>
      </c>
      <c r="H3454" t="s">
        <v>20</v>
      </c>
      <c r="I3454" t="s">
        <v>23</v>
      </c>
      <c r="L3454" t="s">
        <v>22</v>
      </c>
      <c r="M3454">
        <v>17.6601</v>
      </c>
      <c r="N3454">
        <v>17.6601</v>
      </c>
      <c r="O3454" t="s">
        <v>21</v>
      </c>
      <c r="P3454">
        <f t="shared" si="162"/>
        <v>-300</v>
      </c>
      <c r="Q3454" s="11">
        <f>IF(P3454=0,0,IFERROR(Q3453+G3454*M3454*IF(E3454="FUTURE",VLOOKUP(MID(I3454,2,2),[1]Futures!$A$2:$B$12,2),1),G3454*M3454*IF(E3454="FUTURE",VLOOKUP(MID(I3454,2,2),[1]Futures!$A$2:$B$12,2),1)))</f>
        <v>-5298.03</v>
      </c>
      <c r="R3454" s="12">
        <f>IFERROR(Q3454/P3454/IF(E3454="FUTURE",VLOOKUP(MID(I3454,2,2),[1]Futures!$A$2:$B$12,2),1),"")</f>
        <v>17.6601</v>
      </c>
      <c r="S3454" s="13" t="str">
        <f>IF(AND(H3454="TO CLOSE",P3454=0),-G3454*(M3454-R3453)*IF(E3454="FUTURE",VLOOKUP(MID(I3454,2,2),[1]Futures!$A$2:$B$12,2),1),"")</f>
        <v/>
      </c>
    </row>
    <row r="3455" spans="1:19" x14ac:dyDescent="0.2">
      <c r="A3455">
        <f t="shared" si="161"/>
        <v>1112</v>
      </c>
      <c r="B3455" s="3">
        <v>44176</v>
      </c>
      <c r="C3455" s="3" t="str">
        <f t="shared" si="163"/>
        <v>Friday</v>
      </c>
      <c r="D3455" s="2">
        <v>0.43293981481481486</v>
      </c>
      <c r="E3455" t="s">
        <v>22</v>
      </c>
      <c r="F3455" t="s">
        <v>19</v>
      </c>
      <c r="G3455">
        <v>150</v>
      </c>
      <c r="H3455" t="s">
        <v>16</v>
      </c>
      <c r="I3455" t="s">
        <v>23</v>
      </c>
      <c r="L3455" t="s">
        <v>22</v>
      </c>
      <c r="M3455">
        <v>17.594999999999999</v>
      </c>
      <c r="N3455">
        <v>17.594999999999999</v>
      </c>
      <c r="O3455" t="s">
        <v>24</v>
      </c>
      <c r="P3455">
        <f t="shared" si="162"/>
        <v>-150</v>
      </c>
      <c r="Q3455" s="11">
        <f>IF(P3455=0,0,IFERROR(Q3454+G3455*M3455*IF(E3455="FUTURE",VLOOKUP(MID(I3455,2,2),[1]Futures!$A$2:$B$12,2),1),G3455*M3455*IF(E3455="FUTURE",VLOOKUP(MID(I3455,2,2),[1]Futures!$A$2:$B$12,2),1)))</f>
        <v>-2658.7799999999997</v>
      </c>
      <c r="R3455" s="12">
        <f>IFERROR(Q3455/P3455/IF(E3455="FUTURE",VLOOKUP(MID(I3455,2,2),[1]Futures!$A$2:$B$12,2),1),"")</f>
        <v>17.725199999999997</v>
      </c>
      <c r="S3455" s="13" t="str">
        <f>IF(AND(H3455="TO CLOSE",P3455=0),-G3455*(M3455-R3454)*IF(E3455="FUTURE",VLOOKUP(MID(I3455,2,2),[1]Futures!$A$2:$B$12,2),1),"")</f>
        <v/>
      </c>
    </row>
    <row r="3456" spans="1:19" x14ac:dyDescent="0.2">
      <c r="A3456">
        <f t="shared" si="161"/>
        <v>1112</v>
      </c>
      <c r="B3456" s="3">
        <v>44176</v>
      </c>
      <c r="C3456" s="3" t="str">
        <f t="shared" si="163"/>
        <v>Friday</v>
      </c>
      <c r="D3456" s="2">
        <v>0.43796296296296294</v>
      </c>
      <c r="E3456" t="s">
        <v>22</v>
      </c>
      <c r="F3456" t="s">
        <v>19</v>
      </c>
      <c r="G3456">
        <v>100</v>
      </c>
      <c r="H3456" t="s">
        <v>16</v>
      </c>
      <c r="I3456" t="s">
        <v>23</v>
      </c>
      <c r="L3456" t="s">
        <v>22</v>
      </c>
      <c r="M3456">
        <v>17.690000000000001</v>
      </c>
      <c r="N3456">
        <v>17.690000000000001</v>
      </c>
      <c r="O3456" t="s">
        <v>18</v>
      </c>
      <c r="P3456">
        <f t="shared" si="162"/>
        <v>-50</v>
      </c>
      <c r="Q3456" s="11">
        <f>IF(P3456=0,0,IFERROR(Q3455+G3456*M3456*IF(E3456="FUTURE",VLOOKUP(MID(I3456,2,2),[1]Futures!$A$2:$B$12,2),1),G3456*M3456*IF(E3456="FUTURE",VLOOKUP(MID(I3456,2,2),[1]Futures!$A$2:$B$12,2),1)))</f>
        <v>-889.77999999999952</v>
      </c>
      <c r="R3456" s="12">
        <f>IFERROR(Q3456/P3456/IF(E3456="FUTURE",VLOOKUP(MID(I3456,2,2),[1]Futures!$A$2:$B$12,2),1),"")</f>
        <v>17.79559999999999</v>
      </c>
      <c r="S3456" s="13" t="str">
        <f>IF(AND(H3456="TO CLOSE",P3456=0),-G3456*(M3456-R3455)*IF(E3456="FUTURE",VLOOKUP(MID(I3456,2,2),[1]Futures!$A$2:$B$12,2),1),"")</f>
        <v/>
      </c>
    </row>
    <row r="3457" spans="1:19" x14ac:dyDescent="0.2">
      <c r="A3457">
        <f t="shared" si="161"/>
        <v>1112</v>
      </c>
      <c r="B3457" s="3">
        <v>44176</v>
      </c>
      <c r="C3457" s="3" t="str">
        <f t="shared" si="163"/>
        <v>Friday</v>
      </c>
      <c r="D3457" s="2">
        <v>0.43796296296296294</v>
      </c>
      <c r="E3457" t="s">
        <v>22</v>
      </c>
      <c r="F3457" t="s">
        <v>19</v>
      </c>
      <c r="G3457">
        <v>50</v>
      </c>
      <c r="H3457" t="s">
        <v>16</v>
      </c>
      <c r="I3457" t="s">
        <v>23</v>
      </c>
      <c r="L3457" t="s">
        <v>22</v>
      </c>
      <c r="M3457">
        <v>17.690000000000001</v>
      </c>
      <c r="N3457">
        <v>17.690000000000001</v>
      </c>
      <c r="O3457" t="s">
        <v>18</v>
      </c>
      <c r="P3457">
        <f t="shared" si="162"/>
        <v>0</v>
      </c>
      <c r="Q3457" s="11">
        <f>IF(P3457=0,0,IFERROR(Q3456+G3457*M3457*IF(E3457="FUTURE",VLOOKUP(MID(I3457,2,2),[1]Futures!$A$2:$B$12,2),1),G3457*M3457*IF(E3457="FUTURE",VLOOKUP(MID(I3457,2,2),[1]Futures!$A$2:$B$12,2),1)))</f>
        <v>0</v>
      </c>
      <c r="R3457" s="12" t="str">
        <f>IFERROR(Q3457/P3457/IF(E3457="FUTURE",VLOOKUP(MID(I3457,2,2),[1]Futures!$A$2:$B$12,2),1),"")</f>
        <v/>
      </c>
      <c r="S3457" s="13">
        <f>IF(AND(H3457="TO CLOSE",P3457=0),-G3457*(M3457-R3456)*IF(E3457="FUTURE",VLOOKUP(MID(I3457,2,2),[1]Futures!$A$2:$B$12,2),1),"")</f>
        <v>5.2799999999994185</v>
      </c>
    </row>
    <row r="3458" spans="1:19" x14ac:dyDescent="0.2">
      <c r="A3458">
        <f t="shared" ref="A3458:A3521" si="164">IF(AND(P3457=0,H3457="TO CLOSE"),IFERROR(A3457+1,1),IFERROR(A3457/1,1))</f>
        <v>1113</v>
      </c>
      <c r="B3458" s="3">
        <v>44176</v>
      </c>
      <c r="C3458" s="3" t="str">
        <f t="shared" si="163"/>
        <v>Friday</v>
      </c>
      <c r="D3458" s="2">
        <v>0.48871527777777773</v>
      </c>
      <c r="E3458" t="s">
        <v>22</v>
      </c>
      <c r="F3458" t="s">
        <v>15</v>
      </c>
      <c r="G3458">
        <v>-300</v>
      </c>
      <c r="H3458" t="s">
        <v>20</v>
      </c>
      <c r="I3458" t="s">
        <v>23</v>
      </c>
      <c r="L3458" t="s">
        <v>22</v>
      </c>
      <c r="M3458">
        <v>18.055</v>
      </c>
      <c r="N3458">
        <v>18.055</v>
      </c>
      <c r="O3458" t="s">
        <v>21</v>
      </c>
      <c r="P3458">
        <f t="shared" si="162"/>
        <v>-300</v>
      </c>
      <c r="Q3458" s="11">
        <f>IF(P3458=0,0,IFERROR(Q3457+G3458*M3458*IF(E3458="FUTURE",VLOOKUP(MID(I3458,2,2),[1]Futures!$A$2:$B$12,2),1),G3458*M3458*IF(E3458="FUTURE",VLOOKUP(MID(I3458,2,2),[1]Futures!$A$2:$B$12,2),1)))</f>
        <v>-5416.5</v>
      </c>
      <c r="R3458" s="12">
        <f>IFERROR(Q3458/P3458/IF(E3458="FUTURE",VLOOKUP(MID(I3458,2,2),[1]Futures!$A$2:$B$12,2),1),"")</f>
        <v>18.055</v>
      </c>
      <c r="S3458" s="13" t="str">
        <f>IF(AND(H3458="TO CLOSE",P3458=0),-G3458*(M3458-R3457)*IF(E3458="FUTURE",VLOOKUP(MID(I3458,2,2),[1]Futures!$A$2:$B$12,2),1),"")</f>
        <v/>
      </c>
    </row>
    <row r="3459" spans="1:19" x14ac:dyDescent="0.2">
      <c r="A3459">
        <f t="shared" si="164"/>
        <v>1113</v>
      </c>
      <c r="B3459" s="3">
        <v>44176</v>
      </c>
      <c r="C3459" s="3" t="str">
        <f t="shared" si="163"/>
        <v>Friday</v>
      </c>
      <c r="D3459" s="2">
        <v>0.50368055555555558</v>
      </c>
      <c r="E3459" t="s">
        <v>22</v>
      </c>
      <c r="F3459" t="s">
        <v>15</v>
      </c>
      <c r="G3459">
        <v>-100</v>
      </c>
      <c r="H3459" t="s">
        <v>20</v>
      </c>
      <c r="I3459" t="s">
        <v>23</v>
      </c>
      <c r="L3459" t="s">
        <v>22</v>
      </c>
      <c r="M3459">
        <v>18.175000000000001</v>
      </c>
      <c r="N3459">
        <v>18.175000000000001</v>
      </c>
      <c r="O3459" t="s">
        <v>21</v>
      </c>
      <c r="P3459">
        <f t="shared" ref="P3459:P3522" si="165">IF(H3459="TO OPEN",IFERROR(P3458+G3459,0+G3459),IFERROR(P3458+G3459,0+G3459))</f>
        <v>-400</v>
      </c>
      <c r="Q3459" s="11">
        <f>IF(P3459=0,0,IFERROR(Q3458+G3459*M3459*IF(E3459="FUTURE",VLOOKUP(MID(I3459,2,2),[1]Futures!$A$2:$B$12,2),1),G3459*M3459*IF(E3459="FUTURE",VLOOKUP(MID(I3459,2,2),[1]Futures!$A$2:$B$12,2),1)))</f>
        <v>-7234</v>
      </c>
      <c r="R3459" s="12">
        <f>IFERROR(Q3459/P3459/IF(E3459="FUTURE",VLOOKUP(MID(I3459,2,2),[1]Futures!$A$2:$B$12,2),1),"")</f>
        <v>18.085000000000001</v>
      </c>
      <c r="S3459" s="13" t="str">
        <f>IF(AND(H3459="TO CLOSE",P3459=0),-G3459*(M3459-R3458)*IF(E3459="FUTURE",VLOOKUP(MID(I3459,2,2),[1]Futures!$A$2:$B$12,2),1),"")</f>
        <v/>
      </c>
    </row>
    <row r="3460" spans="1:19" x14ac:dyDescent="0.2">
      <c r="A3460">
        <f t="shared" si="164"/>
        <v>1113</v>
      </c>
      <c r="B3460" s="3">
        <v>44176</v>
      </c>
      <c r="C3460" s="3" t="str">
        <f t="shared" si="163"/>
        <v>Friday</v>
      </c>
      <c r="D3460" s="2">
        <v>0.50671296296296298</v>
      </c>
      <c r="E3460" t="s">
        <v>22</v>
      </c>
      <c r="F3460" t="s">
        <v>15</v>
      </c>
      <c r="G3460">
        <v>-100</v>
      </c>
      <c r="H3460" t="s">
        <v>20</v>
      </c>
      <c r="I3460" t="s">
        <v>23</v>
      </c>
      <c r="L3460" t="s">
        <v>22</v>
      </c>
      <c r="M3460">
        <v>18.22</v>
      </c>
      <c r="N3460">
        <v>18.22</v>
      </c>
      <c r="O3460" t="s">
        <v>21</v>
      </c>
      <c r="P3460">
        <f t="shared" si="165"/>
        <v>-500</v>
      </c>
      <c r="Q3460" s="11">
        <f>IF(P3460=0,0,IFERROR(Q3459+G3460*M3460*IF(E3460="FUTURE",VLOOKUP(MID(I3460,2,2),[1]Futures!$A$2:$B$12,2),1),G3460*M3460*IF(E3460="FUTURE",VLOOKUP(MID(I3460,2,2),[1]Futures!$A$2:$B$12,2),1)))</f>
        <v>-9056</v>
      </c>
      <c r="R3460" s="12">
        <f>IFERROR(Q3460/P3460/IF(E3460="FUTURE",VLOOKUP(MID(I3460,2,2),[1]Futures!$A$2:$B$12,2),1),"")</f>
        <v>18.111999999999998</v>
      </c>
      <c r="S3460" s="13" t="str">
        <f>IF(AND(H3460="TO CLOSE",P3460=0),-G3460*(M3460-R3459)*IF(E3460="FUTURE",VLOOKUP(MID(I3460,2,2),[1]Futures!$A$2:$B$12,2),1),"")</f>
        <v/>
      </c>
    </row>
    <row r="3461" spans="1:19" x14ac:dyDescent="0.2">
      <c r="A3461">
        <f t="shared" si="164"/>
        <v>1113</v>
      </c>
      <c r="B3461" s="3">
        <v>44176</v>
      </c>
      <c r="C3461" s="3" t="str">
        <f t="shared" si="163"/>
        <v>Friday</v>
      </c>
      <c r="D3461" s="2">
        <v>0.51391203703703703</v>
      </c>
      <c r="E3461" t="s">
        <v>22</v>
      </c>
      <c r="F3461" t="s">
        <v>15</v>
      </c>
      <c r="G3461">
        <v>-100</v>
      </c>
      <c r="H3461" t="s">
        <v>20</v>
      </c>
      <c r="I3461" t="s">
        <v>23</v>
      </c>
      <c r="L3461" t="s">
        <v>22</v>
      </c>
      <c r="M3461">
        <v>18.424299999999999</v>
      </c>
      <c r="N3461">
        <v>18.424299999999999</v>
      </c>
      <c r="O3461" t="s">
        <v>21</v>
      </c>
      <c r="P3461">
        <f t="shared" si="165"/>
        <v>-600</v>
      </c>
      <c r="Q3461" s="11">
        <f>IF(P3461=0,0,IFERROR(Q3460+G3461*M3461*IF(E3461="FUTURE",VLOOKUP(MID(I3461,2,2),[1]Futures!$A$2:$B$12,2),1),G3461*M3461*IF(E3461="FUTURE",VLOOKUP(MID(I3461,2,2),[1]Futures!$A$2:$B$12,2),1)))</f>
        <v>-10898.43</v>
      </c>
      <c r="R3461" s="12">
        <f>IFERROR(Q3461/P3461/IF(E3461="FUTURE",VLOOKUP(MID(I3461,2,2),[1]Futures!$A$2:$B$12,2),1),"")</f>
        <v>18.16405</v>
      </c>
      <c r="S3461" s="13" t="str">
        <f>IF(AND(H3461="TO CLOSE",P3461=0),-G3461*(M3461-R3460)*IF(E3461="FUTURE",VLOOKUP(MID(I3461,2,2),[1]Futures!$A$2:$B$12,2),1),"")</f>
        <v/>
      </c>
    </row>
    <row r="3462" spans="1:19" x14ac:dyDescent="0.2">
      <c r="A3462">
        <f t="shared" si="164"/>
        <v>1113</v>
      </c>
      <c r="B3462" s="3">
        <v>44176</v>
      </c>
      <c r="C3462" s="3" t="str">
        <f t="shared" si="163"/>
        <v>Friday</v>
      </c>
      <c r="D3462" s="2">
        <v>0.54143518518518519</v>
      </c>
      <c r="E3462" t="s">
        <v>22</v>
      </c>
      <c r="F3462" t="s">
        <v>19</v>
      </c>
      <c r="G3462">
        <v>100</v>
      </c>
      <c r="H3462" t="s">
        <v>16</v>
      </c>
      <c r="I3462" t="s">
        <v>23</v>
      </c>
      <c r="L3462" t="s">
        <v>22</v>
      </c>
      <c r="M3462">
        <v>18.234999999999999</v>
      </c>
      <c r="N3462">
        <v>18.234999999999999</v>
      </c>
      <c r="O3462" t="s">
        <v>21</v>
      </c>
      <c r="P3462">
        <f t="shared" si="165"/>
        <v>-500</v>
      </c>
      <c r="Q3462" s="11">
        <f>IF(P3462=0,0,IFERROR(Q3461+G3462*M3462*IF(E3462="FUTURE",VLOOKUP(MID(I3462,2,2),[1]Futures!$A$2:$B$12,2),1),G3462*M3462*IF(E3462="FUTURE",VLOOKUP(MID(I3462,2,2),[1]Futures!$A$2:$B$12,2),1)))</f>
        <v>-9074.93</v>
      </c>
      <c r="R3462" s="12">
        <f>IFERROR(Q3462/P3462/IF(E3462="FUTURE",VLOOKUP(MID(I3462,2,2),[1]Futures!$A$2:$B$12,2),1),"")</f>
        <v>18.14986</v>
      </c>
      <c r="S3462" s="13" t="str">
        <f>IF(AND(H3462="TO CLOSE",P3462=0),-G3462*(M3462-R3461)*IF(E3462="FUTURE",VLOOKUP(MID(I3462,2,2),[1]Futures!$A$2:$B$12,2),1),"")</f>
        <v/>
      </c>
    </row>
    <row r="3463" spans="1:19" x14ac:dyDescent="0.2">
      <c r="A3463">
        <f t="shared" si="164"/>
        <v>1113</v>
      </c>
      <c r="B3463" s="3">
        <v>44176</v>
      </c>
      <c r="C3463" s="3" t="str">
        <f t="shared" si="163"/>
        <v>Friday</v>
      </c>
      <c r="D3463" s="2">
        <v>0.54143518518518519</v>
      </c>
      <c r="E3463" t="s">
        <v>22</v>
      </c>
      <c r="F3463" t="s">
        <v>19</v>
      </c>
      <c r="G3463">
        <v>100</v>
      </c>
      <c r="H3463" t="s">
        <v>16</v>
      </c>
      <c r="I3463" t="s">
        <v>23</v>
      </c>
      <c r="L3463" t="s">
        <v>22</v>
      </c>
      <c r="M3463">
        <v>18.234999999999999</v>
      </c>
      <c r="N3463">
        <v>18.234999999999999</v>
      </c>
      <c r="O3463" t="s">
        <v>21</v>
      </c>
      <c r="P3463">
        <f t="shared" si="165"/>
        <v>-400</v>
      </c>
      <c r="Q3463" s="11">
        <f>IF(P3463=0,0,IFERROR(Q3462+G3463*M3463*IF(E3463="FUTURE",VLOOKUP(MID(I3463,2,2),[1]Futures!$A$2:$B$12,2),1),G3463*M3463*IF(E3463="FUTURE",VLOOKUP(MID(I3463,2,2),[1]Futures!$A$2:$B$12,2),1)))</f>
        <v>-7251.43</v>
      </c>
      <c r="R3463" s="12">
        <f>IFERROR(Q3463/P3463/IF(E3463="FUTURE",VLOOKUP(MID(I3463,2,2),[1]Futures!$A$2:$B$12,2),1),"")</f>
        <v>18.128575000000001</v>
      </c>
      <c r="S3463" s="13" t="str">
        <f>IF(AND(H3463="TO CLOSE",P3463=0),-G3463*(M3463-R3462)*IF(E3463="FUTURE",VLOOKUP(MID(I3463,2,2),[1]Futures!$A$2:$B$12,2),1),"")</f>
        <v/>
      </c>
    </row>
    <row r="3464" spans="1:19" x14ac:dyDescent="0.2">
      <c r="A3464">
        <f t="shared" si="164"/>
        <v>1113</v>
      </c>
      <c r="B3464" s="3">
        <v>44176</v>
      </c>
      <c r="C3464" s="3" t="str">
        <f t="shared" si="163"/>
        <v>Friday</v>
      </c>
      <c r="D3464" s="2">
        <v>0.55032407407407413</v>
      </c>
      <c r="E3464" t="s">
        <v>22</v>
      </c>
      <c r="F3464" t="s">
        <v>19</v>
      </c>
      <c r="G3464">
        <v>100</v>
      </c>
      <c r="H3464" t="s">
        <v>16</v>
      </c>
      <c r="I3464" t="s">
        <v>23</v>
      </c>
      <c r="L3464" t="s">
        <v>22</v>
      </c>
      <c r="M3464">
        <v>18.12</v>
      </c>
      <c r="N3464">
        <v>18.12</v>
      </c>
      <c r="O3464" t="s">
        <v>21</v>
      </c>
      <c r="P3464">
        <f t="shared" si="165"/>
        <v>-300</v>
      </c>
      <c r="Q3464" s="11">
        <f>IF(P3464=0,0,IFERROR(Q3463+G3464*M3464*IF(E3464="FUTURE",VLOOKUP(MID(I3464,2,2),[1]Futures!$A$2:$B$12,2),1),G3464*M3464*IF(E3464="FUTURE",VLOOKUP(MID(I3464,2,2),[1]Futures!$A$2:$B$12,2),1)))</f>
        <v>-5439.43</v>
      </c>
      <c r="R3464" s="12">
        <f>IFERROR(Q3464/P3464/IF(E3464="FUTURE",VLOOKUP(MID(I3464,2,2),[1]Futures!$A$2:$B$12,2),1),"")</f>
        <v>18.131433333333334</v>
      </c>
      <c r="S3464" s="13" t="str">
        <f>IF(AND(H3464="TO CLOSE",P3464=0),-G3464*(M3464-R3463)*IF(E3464="FUTURE",VLOOKUP(MID(I3464,2,2),[1]Futures!$A$2:$B$12,2),1),"")</f>
        <v/>
      </c>
    </row>
    <row r="3465" spans="1:19" x14ac:dyDescent="0.2">
      <c r="A3465">
        <f t="shared" si="164"/>
        <v>1113</v>
      </c>
      <c r="B3465" s="3">
        <v>44176</v>
      </c>
      <c r="C3465" s="3" t="str">
        <f t="shared" si="163"/>
        <v>Friday</v>
      </c>
      <c r="D3465" s="2">
        <v>0.55144675925925923</v>
      </c>
      <c r="E3465" t="s">
        <v>22</v>
      </c>
      <c r="F3465" t="s">
        <v>19</v>
      </c>
      <c r="G3465">
        <v>100</v>
      </c>
      <c r="H3465" t="s">
        <v>16</v>
      </c>
      <c r="I3465" t="s">
        <v>23</v>
      </c>
      <c r="L3465" t="s">
        <v>22</v>
      </c>
      <c r="M3465">
        <v>18.0898</v>
      </c>
      <c r="N3465">
        <v>18.0898</v>
      </c>
      <c r="O3465" t="s">
        <v>21</v>
      </c>
      <c r="P3465">
        <f t="shared" si="165"/>
        <v>-200</v>
      </c>
      <c r="Q3465" s="11">
        <f>IF(P3465=0,0,IFERROR(Q3464+G3465*M3465*IF(E3465="FUTURE",VLOOKUP(MID(I3465,2,2),[1]Futures!$A$2:$B$12,2),1),G3465*M3465*IF(E3465="FUTURE",VLOOKUP(MID(I3465,2,2),[1]Futures!$A$2:$B$12,2),1)))</f>
        <v>-3630.4500000000003</v>
      </c>
      <c r="R3465" s="12">
        <f>IFERROR(Q3465/P3465/IF(E3465="FUTURE",VLOOKUP(MID(I3465,2,2),[1]Futures!$A$2:$B$12,2),1),"")</f>
        <v>18.152250000000002</v>
      </c>
      <c r="S3465" s="13" t="str">
        <f>IF(AND(H3465="TO CLOSE",P3465=0),-G3465*(M3465-R3464)*IF(E3465="FUTURE",VLOOKUP(MID(I3465,2,2),[1]Futures!$A$2:$B$12,2),1),"")</f>
        <v/>
      </c>
    </row>
    <row r="3466" spans="1:19" x14ac:dyDescent="0.2">
      <c r="A3466">
        <f t="shared" si="164"/>
        <v>1113</v>
      </c>
      <c r="B3466" s="3">
        <v>44176</v>
      </c>
      <c r="C3466" s="3" t="str">
        <f t="shared" si="163"/>
        <v>Friday</v>
      </c>
      <c r="D3466" s="2">
        <v>0.56998842592592591</v>
      </c>
      <c r="E3466" t="s">
        <v>22</v>
      </c>
      <c r="F3466" t="s">
        <v>19</v>
      </c>
      <c r="G3466">
        <v>100</v>
      </c>
      <c r="H3466" t="s">
        <v>16</v>
      </c>
      <c r="I3466" t="s">
        <v>23</v>
      </c>
      <c r="L3466" t="s">
        <v>22</v>
      </c>
      <c r="M3466">
        <v>18.009</v>
      </c>
      <c r="N3466">
        <v>18.009</v>
      </c>
      <c r="O3466" t="s">
        <v>21</v>
      </c>
      <c r="P3466">
        <f t="shared" si="165"/>
        <v>-100</v>
      </c>
      <c r="Q3466" s="11">
        <f>IF(P3466=0,0,IFERROR(Q3465+G3466*M3466*IF(E3466="FUTURE",VLOOKUP(MID(I3466,2,2),[1]Futures!$A$2:$B$12,2),1),G3466*M3466*IF(E3466="FUTURE",VLOOKUP(MID(I3466,2,2),[1]Futures!$A$2:$B$12,2),1)))</f>
        <v>-1829.5500000000002</v>
      </c>
      <c r="R3466" s="12">
        <f>IFERROR(Q3466/P3466/IF(E3466="FUTURE",VLOOKUP(MID(I3466,2,2),[1]Futures!$A$2:$B$12,2),1),"")</f>
        <v>18.295500000000001</v>
      </c>
      <c r="S3466" s="13" t="str">
        <f>IF(AND(H3466="TO CLOSE",P3466=0),-G3466*(M3466-R3465)*IF(E3466="FUTURE",VLOOKUP(MID(I3466,2,2),[1]Futures!$A$2:$B$12,2),1),"")</f>
        <v/>
      </c>
    </row>
    <row r="3467" spans="1:19" x14ac:dyDescent="0.2">
      <c r="A3467">
        <f t="shared" si="164"/>
        <v>1113</v>
      </c>
      <c r="B3467" s="3">
        <v>44176</v>
      </c>
      <c r="C3467" s="3" t="str">
        <f t="shared" si="163"/>
        <v>Friday</v>
      </c>
      <c r="D3467" s="2">
        <v>0.57486111111111116</v>
      </c>
      <c r="E3467" t="s">
        <v>22</v>
      </c>
      <c r="F3467" t="s">
        <v>19</v>
      </c>
      <c r="G3467">
        <v>40</v>
      </c>
      <c r="H3467" t="s">
        <v>16</v>
      </c>
      <c r="I3467" t="s">
        <v>23</v>
      </c>
      <c r="L3467" t="s">
        <v>22</v>
      </c>
      <c r="M3467">
        <v>18.059000000000001</v>
      </c>
      <c r="N3467">
        <v>18.059000000000001</v>
      </c>
      <c r="O3467" t="s">
        <v>24</v>
      </c>
      <c r="P3467">
        <f t="shared" si="165"/>
        <v>-60</v>
      </c>
      <c r="Q3467" s="11">
        <f>IF(P3467=0,0,IFERROR(Q3466+G3467*M3467*IF(E3467="FUTURE",VLOOKUP(MID(I3467,2,2),[1]Futures!$A$2:$B$12,2),1),G3467*M3467*IF(E3467="FUTURE",VLOOKUP(MID(I3467,2,2),[1]Futures!$A$2:$B$12,2),1)))</f>
        <v>-1107.19</v>
      </c>
      <c r="R3467" s="12">
        <f>IFERROR(Q3467/P3467/IF(E3467="FUTURE",VLOOKUP(MID(I3467,2,2),[1]Futures!$A$2:$B$12,2),1),"")</f>
        <v>18.453166666666668</v>
      </c>
      <c r="S3467" s="13" t="str">
        <f>IF(AND(H3467="TO CLOSE",P3467=0),-G3467*(M3467-R3466)*IF(E3467="FUTURE",VLOOKUP(MID(I3467,2,2),[1]Futures!$A$2:$B$12,2),1),"")</f>
        <v/>
      </c>
    </row>
    <row r="3468" spans="1:19" x14ac:dyDescent="0.2">
      <c r="A3468">
        <f t="shared" si="164"/>
        <v>1113</v>
      </c>
      <c r="B3468" s="3">
        <v>44176</v>
      </c>
      <c r="C3468" s="3" t="str">
        <f t="shared" si="163"/>
        <v>Friday</v>
      </c>
      <c r="D3468" s="2">
        <v>0.57486111111111116</v>
      </c>
      <c r="E3468" t="s">
        <v>22</v>
      </c>
      <c r="F3468" t="s">
        <v>19</v>
      </c>
      <c r="G3468">
        <v>60</v>
      </c>
      <c r="H3468" t="s">
        <v>16</v>
      </c>
      <c r="I3468" t="s">
        <v>23</v>
      </c>
      <c r="L3468" t="s">
        <v>22</v>
      </c>
      <c r="M3468">
        <v>18.059000000000001</v>
      </c>
      <c r="N3468">
        <v>18.059000000000001</v>
      </c>
      <c r="O3468" t="s">
        <v>24</v>
      </c>
      <c r="P3468">
        <f t="shared" si="165"/>
        <v>0</v>
      </c>
      <c r="Q3468" s="11">
        <f>IF(P3468=0,0,IFERROR(Q3467+G3468*M3468*IF(E3468="FUTURE",VLOOKUP(MID(I3468,2,2),[1]Futures!$A$2:$B$12,2),1),G3468*M3468*IF(E3468="FUTURE",VLOOKUP(MID(I3468,2,2),[1]Futures!$A$2:$B$12,2),1)))</f>
        <v>0</v>
      </c>
      <c r="R3468" s="12" t="str">
        <f>IFERROR(Q3468/P3468/IF(E3468="FUTURE",VLOOKUP(MID(I3468,2,2),[1]Futures!$A$2:$B$12,2),1),"")</f>
        <v/>
      </c>
      <c r="S3468" s="13">
        <f>IF(AND(H3468="TO CLOSE",P3468=0),-G3468*(M3468-R3467)*IF(E3468="FUTURE",VLOOKUP(MID(I3468,2,2),[1]Futures!$A$2:$B$12,2),1),"")</f>
        <v>23.65000000000002</v>
      </c>
    </row>
    <row r="3469" spans="1:19" x14ac:dyDescent="0.2">
      <c r="A3469">
        <f t="shared" si="164"/>
        <v>1114</v>
      </c>
      <c r="B3469" s="3">
        <v>44178</v>
      </c>
      <c r="C3469" s="3" t="str">
        <f t="shared" si="163"/>
        <v>Sunday</v>
      </c>
      <c r="D3469" s="2">
        <v>0.89351851851851849</v>
      </c>
      <c r="E3469" t="s">
        <v>14</v>
      </c>
      <c r="F3469" t="s">
        <v>15</v>
      </c>
      <c r="G3469">
        <v>-1</v>
      </c>
      <c r="H3469" t="s">
        <v>20</v>
      </c>
      <c r="I3469" t="s">
        <v>88</v>
      </c>
      <c r="J3469" s="1">
        <v>43851</v>
      </c>
      <c r="L3469" t="s">
        <v>14</v>
      </c>
      <c r="M3469">
        <v>46.57</v>
      </c>
      <c r="N3469">
        <v>46.57</v>
      </c>
      <c r="O3469" t="s">
        <v>21</v>
      </c>
      <c r="P3469">
        <f t="shared" si="165"/>
        <v>-1</v>
      </c>
      <c r="Q3469" s="11">
        <f>IF(P3469=0,0,IFERROR(Q3468+G3469*M3469*IF(E3469="FUTURE",VLOOKUP(MID(I3469,2,2),[1]Futures!$A$2:$B$12,2),1),G3469*M3469*IF(E3469="FUTURE",VLOOKUP(MID(I3469,2,2),[1]Futures!$A$2:$B$12,2),1)))</f>
        <v>-46570</v>
      </c>
      <c r="R3469" s="12">
        <f>IFERROR(Q3469/P3469/IF(E3469="FUTURE",VLOOKUP(MID(I3469,2,2),[1]Futures!$A$2:$B$12,2),1),"")</f>
        <v>46.57</v>
      </c>
      <c r="S3469" s="13" t="str">
        <f>IF(AND(H3469="TO CLOSE",P3469=0),-G3469*(M3469-R3468)*IF(E3469="FUTURE",VLOOKUP(MID(I3469,2,2),[1]Futures!$A$2:$B$12,2),1),"")</f>
        <v/>
      </c>
    </row>
    <row r="3470" spans="1:19" x14ac:dyDescent="0.2">
      <c r="A3470">
        <f t="shared" si="164"/>
        <v>1114</v>
      </c>
      <c r="B3470" s="3">
        <v>44179</v>
      </c>
      <c r="C3470" s="3" t="str">
        <f t="shared" si="163"/>
        <v>Monday</v>
      </c>
      <c r="D3470" s="2">
        <v>0.3541435185185185</v>
      </c>
      <c r="E3470" t="s">
        <v>14</v>
      </c>
      <c r="F3470" t="s">
        <v>15</v>
      </c>
      <c r="G3470">
        <v>-1</v>
      </c>
      <c r="H3470" t="s">
        <v>20</v>
      </c>
      <c r="I3470" t="s">
        <v>88</v>
      </c>
      <c r="J3470" s="1">
        <v>43851</v>
      </c>
      <c r="L3470" t="s">
        <v>14</v>
      </c>
      <c r="M3470">
        <v>47.19</v>
      </c>
      <c r="N3470">
        <v>47.19</v>
      </c>
      <c r="O3470" t="s">
        <v>21</v>
      </c>
      <c r="P3470">
        <f t="shared" si="165"/>
        <v>-2</v>
      </c>
      <c r="Q3470" s="11">
        <f>IF(P3470=0,0,IFERROR(Q3469+G3470*M3470*IF(E3470="FUTURE",VLOOKUP(MID(I3470,2,2),[1]Futures!$A$2:$B$12,2),1),G3470*M3470*IF(E3470="FUTURE",VLOOKUP(MID(I3470,2,2),[1]Futures!$A$2:$B$12,2),1)))</f>
        <v>-93760</v>
      </c>
      <c r="R3470" s="12">
        <f>IFERROR(Q3470/P3470/IF(E3470="FUTURE",VLOOKUP(MID(I3470,2,2),[1]Futures!$A$2:$B$12,2),1),"")</f>
        <v>46.88</v>
      </c>
      <c r="S3470" s="13" t="str">
        <f>IF(AND(H3470="TO CLOSE",P3470=0),-G3470*(M3470-R3469)*IF(E3470="FUTURE",VLOOKUP(MID(I3470,2,2),[1]Futures!$A$2:$B$12,2),1),"")</f>
        <v/>
      </c>
    </row>
    <row r="3471" spans="1:19" x14ac:dyDescent="0.2">
      <c r="A3471">
        <f t="shared" si="164"/>
        <v>1114</v>
      </c>
      <c r="B3471" s="3">
        <v>44179</v>
      </c>
      <c r="C3471" s="3" t="str">
        <f t="shared" si="163"/>
        <v>Monday</v>
      </c>
      <c r="D3471" s="2">
        <v>0.38843749999999999</v>
      </c>
      <c r="E3471" t="s">
        <v>14</v>
      </c>
      <c r="F3471" t="s">
        <v>19</v>
      </c>
      <c r="G3471">
        <v>1</v>
      </c>
      <c r="H3471" t="s">
        <v>16</v>
      </c>
      <c r="I3471" t="s">
        <v>88</v>
      </c>
      <c r="J3471" s="1">
        <v>43851</v>
      </c>
      <c r="L3471" t="s">
        <v>14</v>
      </c>
      <c r="M3471">
        <v>47.06</v>
      </c>
      <c r="N3471">
        <v>47.06</v>
      </c>
      <c r="O3471" t="s">
        <v>21</v>
      </c>
      <c r="P3471">
        <f t="shared" si="165"/>
        <v>-1</v>
      </c>
      <c r="Q3471" s="11">
        <f>IF(P3471=0,0,IFERROR(Q3470+G3471*M3471*IF(E3471="FUTURE",VLOOKUP(MID(I3471,2,2),[1]Futures!$A$2:$B$12,2),1),G3471*M3471*IF(E3471="FUTURE",VLOOKUP(MID(I3471,2,2),[1]Futures!$A$2:$B$12,2),1)))</f>
        <v>-46700</v>
      </c>
      <c r="R3471" s="12">
        <f>IFERROR(Q3471/P3471/IF(E3471="FUTURE",VLOOKUP(MID(I3471,2,2),[1]Futures!$A$2:$B$12,2),1),"")</f>
        <v>46.7</v>
      </c>
      <c r="S3471" s="13" t="str">
        <f>IF(AND(H3471="TO CLOSE",P3471=0),-G3471*(M3471-R3470)*IF(E3471="FUTURE",VLOOKUP(MID(I3471,2,2),[1]Futures!$A$2:$B$12,2),1),"")</f>
        <v/>
      </c>
    </row>
    <row r="3472" spans="1:19" x14ac:dyDescent="0.2">
      <c r="A3472">
        <f t="shared" si="164"/>
        <v>1114</v>
      </c>
      <c r="B3472" s="3">
        <v>44179</v>
      </c>
      <c r="C3472" s="3" t="str">
        <f t="shared" si="163"/>
        <v>Monday</v>
      </c>
      <c r="D3472" s="2">
        <v>0.40886574074074072</v>
      </c>
      <c r="E3472" t="s">
        <v>14</v>
      </c>
      <c r="F3472" t="s">
        <v>19</v>
      </c>
      <c r="G3472">
        <v>1</v>
      </c>
      <c r="H3472" t="s">
        <v>16</v>
      </c>
      <c r="I3472" t="s">
        <v>88</v>
      </c>
      <c r="J3472" s="1">
        <v>43851</v>
      </c>
      <c r="L3472" t="s">
        <v>14</v>
      </c>
      <c r="M3472">
        <v>46.6</v>
      </c>
      <c r="N3472">
        <v>46.6</v>
      </c>
      <c r="O3472" t="s">
        <v>21</v>
      </c>
      <c r="P3472">
        <f t="shared" si="165"/>
        <v>0</v>
      </c>
      <c r="Q3472" s="11">
        <f>IF(P3472=0,0,IFERROR(Q3471+G3472*M3472*IF(E3472="FUTURE",VLOOKUP(MID(I3472,2,2),[1]Futures!$A$2:$B$12,2),1),G3472*M3472*IF(E3472="FUTURE",VLOOKUP(MID(I3472,2,2),[1]Futures!$A$2:$B$12,2),1)))</f>
        <v>0</v>
      </c>
      <c r="R3472" s="12" t="str">
        <f>IFERROR(Q3472/P3472/IF(E3472="FUTURE",VLOOKUP(MID(I3472,2,2),[1]Futures!$A$2:$B$12,2),1),"")</f>
        <v/>
      </c>
      <c r="S3472" s="13">
        <f>IF(AND(H3472="TO CLOSE",P3472=0),-G3472*(M3472-R3471)*IF(E3472="FUTURE",VLOOKUP(MID(I3472,2,2),[1]Futures!$A$2:$B$12,2),1),"")</f>
        <v>100.00000000000142</v>
      </c>
    </row>
    <row r="3473" spans="1:19" x14ac:dyDescent="0.2">
      <c r="A3473">
        <f t="shared" si="164"/>
        <v>1115</v>
      </c>
      <c r="B3473" s="3">
        <v>44179</v>
      </c>
      <c r="C3473" s="3" t="str">
        <f t="shared" si="163"/>
        <v>Monday</v>
      </c>
      <c r="D3473" s="2">
        <v>0.41077546296296297</v>
      </c>
      <c r="E3473" t="s">
        <v>14</v>
      </c>
      <c r="F3473" t="s">
        <v>19</v>
      </c>
      <c r="G3473">
        <v>1</v>
      </c>
      <c r="H3473" t="s">
        <v>20</v>
      </c>
      <c r="I3473" t="s">
        <v>88</v>
      </c>
      <c r="J3473" s="1">
        <v>43851</v>
      </c>
      <c r="L3473" t="s">
        <v>14</v>
      </c>
      <c r="M3473">
        <v>46.51</v>
      </c>
      <c r="N3473">
        <v>46.51</v>
      </c>
      <c r="O3473" t="s">
        <v>21</v>
      </c>
      <c r="P3473">
        <f t="shared" si="165"/>
        <v>1</v>
      </c>
      <c r="Q3473" s="11">
        <f>IF(P3473=0,0,IFERROR(Q3472+G3473*M3473*IF(E3473="FUTURE",VLOOKUP(MID(I3473,2,2),[1]Futures!$A$2:$B$12,2),1),G3473*M3473*IF(E3473="FUTURE",VLOOKUP(MID(I3473,2,2),[1]Futures!$A$2:$B$12,2),1)))</f>
        <v>46510</v>
      </c>
      <c r="R3473" s="12">
        <f>IFERROR(Q3473/P3473/IF(E3473="FUTURE",VLOOKUP(MID(I3473,2,2),[1]Futures!$A$2:$B$12,2),1),"")</f>
        <v>46.51</v>
      </c>
      <c r="S3473" s="13" t="str">
        <f>IF(AND(H3473="TO CLOSE",P3473=0),-G3473*(M3473-R3472)*IF(E3473="FUTURE",VLOOKUP(MID(I3473,2,2),[1]Futures!$A$2:$B$12,2),1),"")</f>
        <v/>
      </c>
    </row>
    <row r="3474" spans="1:19" x14ac:dyDescent="0.2">
      <c r="A3474">
        <f t="shared" si="164"/>
        <v>1115</v>
      </c>
      <c r="B3474" s="3">
        <v>44179</v>
      </c>
      <c r="C3474" s="3" t="str">
        <f t="shared" si="163"/>
        <v>Monday</v>
      </c>
      <c r="D3474" s="2">
        <v>0.41113425925925928</v>
      </c>
      <c r="E3474" t="s">
        <v>14</v>
      </c>
      <c r="F3474" t="s">
        <v>15</v>
      </c>
      <c r="G3474">
        <v>-1</v>
      </c>
      <c r="H3474" t="s">
        <v>16</v>
      </c>
      <c r="I3474" t="s">
        <v>88</v>
      </c>
      <c r="J3474" s="1">
        <v>43851</v>
      </c>
      <c r="L3474" t="s">
        <v>14</v>
      </c>
      <c r="M3474">
        <v>46.63</v>
      </c>
      <c r="N3474">
        <v>46.63</v>
      </c>
      <c r="O3474" t="s">
        <v>21</v>
      </c>
      <c r="P3474">
        <f t="shared" si="165"/>
        <v>0</v>
      </c>
      <c r="Q3474" s="11">
        <f>IF(P3474=0,0,IFERROR(Q3473+G3474*M3474*IF(E3474="FUTURE",VLOOKUP(MID(I3474,2,2),[1]Futures!$A$2:$B$12,2),1),G3474*M3474*IF(E3474="FUTURE",VLOOKUP(MID(I3474,2,2),[1]Futures!$A$2:$B$12,2),1)))</f>
        <v>0</v>
      </c>
      <c r="R3474" s="12" t="str">
        <f>IFERROR(Q3474/P3474/IF(E3474="FUTURE",VLOOKUP(MID(I3474,2,2),[1]Futures!$A$2:$B$12,2),1),"")</f>
        <v/>
      </c>
      <c r="S3474" s="13">
        <f>IF(AND(H3474="TO CLOSE",P3474=0),-G3474*(M3474-R3473)*IF(E3474="FUTURE",VLOOKUP(MID(I3474,2,2),[1]Futures!$A$2:$B$12,2),1),"")</f>
        <v>120.00000000000455</v>
      </c>
    </row>
    <row r="3475" spans="1:19" x14ac:dyDescent="0.2">
      <c r="A3475">
        <f t="shared" si="164"/>
        <v>1116</v>
      </c>
      <c r="B3475" s="3">
        <v>44179</v>
      </c>
      <c r="C3475" s="3" t="str">
        <f t="shared" si="163"/>
        <v>Monday</v>
      </c>
      <c r="D3475" s="2">
        <v>0.45413194444444444</v>
      </c>
      <c r="E3475" t="s">
        <v>14</v>
      </c>
      <c r="F3475" t="s">
        <v>19</v>
      </c>
      <c r="G3475">
        <v>1</v>
      </c>
      <c r="H3475" t="s">
        <v>20</v>
      </c>
      <c r="I3475" t="s">
        <v>88</v>
      </c>
      <c r="J3475" s="1">
        <v>43851</v>
      </c>
      <c r="L3475" t="s">
        <v>14</v>
      </c>
      <c r="M3475">
        <v>46.26</v>
      </c>
      <c r="N3475">
        <v>46.26</v>
      </c>
      <c r="O3475" t="s">
        <v>24</v>
      </c>
      <c r="P3475">
        <f t="shared" si="165"/>
        <v>1</v>
      </c>
      <c r="Q3475" s="11">
        <f>IF(P3475=0,0,IFERROR(Q3474+G3475*M3475*IF(E3475="FUTURE",VLOOKUP(MID(I3475,2,2),[1]Futures!$A$2:$B$12,2),1),G3475*M3475*IF(E3475="FUTURE",VLOOKUP(MID(I3475,2,2),[1]Futures!$A$2:$B$12,2),1)))</f>
        <v>46260</v>
      </c>
      <c r="R3475" s="12">
        <f>IFERROR(Q3475/P3475/IF(E3475="FUTURE",VLOOKUP(MID(I3475,2,2),[1]Futures!$A$2:$B$12,2),1),"")</f>
        <v>46.26</v>
      </c>
      <c r="S3475" s="13" t="str">
        <f>IF(AND(H3475="TO CLOSE",P3475=0),-G3475*(M3475-R3474)*IF(E3475="FUTURE",VLOOKUP(MID(I3475,2,2),[1]Futures!$A$2:$B$12,2),1),"")</f>
        <v/>
      </c>
    </row>
    <row r="3476" spans="1:19" x14ac:dyDescent="0.2">
      <c r="A3476">
        <f t="shared" si="164"/>
        <v>1116</v>
      </c>
      <c r="B3476" s="3">
        <v>44179</v>
      </c>
      <c r="C3476" s="3" t="str">
        <f t="shared" si="163"/>
        <v>Monday</v>
      </c>
      <c r="D3476" s="2">
        <v>0.45796296296296296</v>
      </c>
      <c r="E3476" t="s">
        <v>14</v>
      </c>
      <c r="F3476" t="s">
        <v>19</v>
      </c>
      <c r="G3476">
        <v>1</v>
      </c>
      <c r="H3476" t="s">
        <v>20</v>
      </c>
      <c r="I3476" t="s">
        <v>88</v>
      </c>
      <c r="J3476" s="1">
        <v>43851</v>
      </c>
      <c r="L3476" t="s">
        <v>14</v>
      </c>
      <c r="M3476">
        <v>46.02</v>
      </c>
      <c r="N3476">
        <v>46.02</v>
      </c>
      <c r="O3476" t="s">
        <v>21</v>
      </c>
      <c r="P3476">
        <f t="shared" si="165"/>
        <v>2</v>
      </c>
      <c r="Q3476" s="11">
        <f>IF(P3476=0,0,IFERROR(Q3475+G3476*M3476*IF(E3476="FUTURE",VLOOKUP(MID(I3476,2,2),[1]Futures!$A$2:$B$12,2),1),G3476*M3476*IF(E3476="FUTURE",VLOOKUP(MID(I3476,2,2),[1]Futures!$A$2:$B$12,2),1)))</f>
        <v>92280</v>
      </c>
      <c r="R3476" s="12">
        <f>IFERROR(Q3476/P3476/IF(E3476="FUTURE",VLOOKUP(MID(I3476,2,2),[1]Futures!$A$2:$B$12,2),1),"")</f>
        <v>46.14</v>
      </c>
      <c r="S3476" s="13" t="str">
        <f>IF(AND(H3476="TO CLOSE",P3476=0),-G3476*(M3476-R3475)*IF(E3476="FUTURE",VLOOKUP(MID(I3476,2,2),[1]Futures!$A$2:$B$12,2),1),"")</f>
        <v/>
      </c>
    </row>
    <row r="3477" spans="1:19" x14ac:dyDescent="0.2">
      <c r="A3477">
        <f t="shared" si="164"/>
        <v>1116</v>
      </c>
      <c r="B3477" s="3">
        <v>44179</v>
      </c>
      <c r="C3477" s="3" t="str">
        <f t="shared" si="163"/>
        <v>Monday</v>
      </c>
      <c r="D3477" s="2">
        <v>0.47283564814814816</v>
      </c>
      <c r="E3477" t="s">
        <v>14</v>
      </c>
      <c r="F3477" t="s">
        <v>15</v>
      </c>
      <c r="G3477">
        <v>-1</v>
      </c>
      <c r="H3477" t="s">
        <v>16</v>
      </c>
      <c r="I3477" t="s">
        <v>88</v>
      </c>
      <c r="J3477" s="1">
        <v>43851</v>
      </c>
      <c r="L3477" t="s">
        <v>14</v>
      </c>
      <c r="M3477">
        <v>46.09</v>
      </c>
      <c r="N3477">
        <v>46.09</v>
      </c>
      <c r="O3477" t="s">
        <v>21</v>
      </c>
      <c r="P3477">
        <f t="shared" si="165"/>
        <v>1</v>
      </c>
      <c r="Q3477" s="11">
        <f>IF(P3477=0,0,IFERROR(Q3476+G3477*M3477*IF(E3477="FUTURE",VLOOKUP(MID(I3477,2,2),[1]Futures!$A$2:$B$12,2),1),G3477*M3477*IF(E3477="FUTURE",VLOOKUP(MID(I3477,2,2),[1]Futures!$A$2:$B$12,2),1)))</f>
        <v>46190</v>
      </c>
      <c r="R3477" s="12">
        <f>IFERROR(Q3477/P3477/IF(E3477="FUTURE",VLOOKUP(MID(I3477,2,2),[1]Futures!$A$2:$B$12,2),1),"")</f>
        <v>46.19</v>
      </c>
      <c r="S3477" s="13" t="str">
        <f>IF(AND(H3477="TO CLOSE",P3477=0),-G3477*(M3477-R3476)*IF(E3477="FUTURE",VLOOKUP(MID(I3477,2,2),[1]Futures!$A$2:$B$12,2),1),"")</f>
        <v/>
      </c>
    </row>
    <row r="3478" spans="1:19" x14ac:dyDescent="0.2">
      <c r="A3478">
        <f t="shared" si="164"/>
        <v>1116</v>
      </c>
      <c r="B3478" s="3">
        <v>44179</v>
      </c>
      <c r="C3478" s="3" t="str">
        <f t="shared" si="163"/>
        <v>Monday</v>
      </c>
      <c r="D3478" s="2">
        <v>0.47460648148148149</v>
      </c>
      <c r="E3478" t="s">
        <v>14</v>
      </c>
      <c r="F3478" t="s">
        <v>19</v>
      </c>
      <c r="G3478">
        <v>1</v>
      </c>
      <c r="H3478" t="s">
        <v>20</v>
      </c>
      <c r="I3478" t="s">
        <v>88</v>
      </c>
      <c r="J3478" s="1">
        <v>43851</v>
      </c>
      <c r="L3478" t="s">
        <v>14</v>
      </c>
      <c r="M3478">
        <v>45.97</v>
      </c>
      <c r="N3478">
        <v>45.97</v>
      </c>
      <c r="O3478" t="s">
        <v>21</v>
      </c>
      <c r="P3478">
        <f t="shared" si="165"/>
        <v>2</v>
      </c>
      <c r="Q3478" s="11">
        <f>IF(P3478=0,0,IFERROR(Q3477+G3478*M3478*IF(E3478="FUTURE",VLOOKUP(MID(I3478,2,2),[1]Futures!$A$2:$B$12,2),1),G3478*M3478*IF(E3478="FUTURE",VLOOKUP(MID(I3478,2,2),[1]Futures!$A$2:$B$12,2),1)))</f>
        <v>92160</v>
      </c>
      <c r="R3478" s="12">
        <f>IFERROR(Q3478/P3478/IF(E3478="FUTURE",VLOOKUP(MID(I3478,2,2),[1]Futures!$A$2:$B$12,2),1),"")</f>
        <v>46.08</v>
      </c>
      <c r="S3478" s="13" t="str">
        <f>IF(AND(H3478="TO CLOSE",P3478=0),-G3478*(M3478-R3477)*IF(E3478="FUTURE",VLOOKUP(MID(I3478,2,2),[1]Futures!$A$2:$B$12,2),1),"")</f>
        <v/>
      </c>
    </row>
    <row r="3479" spans="1:19" x14ac:dyDescent="0.2">
      <c r="A3479">
        <f t="shared" si="164"/>
        <v>1116</v>
      </c>
      <c r="B3479" s="3">
        <v>44179</v>
      </c>
      <c r="C3479" s="3" t="str">
        <f t="shared" si="163"/>
        <v>Monday</v>
      </c>
      <c r="D3479" s="2">
        <v>0.47539351851851852</v>
      </c>
      <c r="E3479" t="s">
        <v>14</v>
      </c>
      <c r="F3479" t="s">
        <v>15</v>
      </c>
      <c r="G3479">
        <v>-1</v>
      </c>
      <c r="H3479" t="s">
        <v>16</v>
      </c>
      <c r="I3479" t="s">
        <v>88</v>
      </c>
      <c r="J3479" s="1">
        <v>43851</v>
      </c>
      <c r="L3479" t="s">
        <v>14</v>
      </c>
      <c r="M3479">
        <v>46.06</v>
      </c>
      <c r="N3479">
        <v>46.06</v>
      </c>
      <c r="O3479" t="s">
        <v>21</v>
      </c>
      <c r="P3479">
        <f t="shared" si="165"/>
        <v>1</v>
      </c>
      <c r="Q3479" s="11">
        <f>IF(P3479=0,0,IFERROR(Q3478+G3479*M3479*IF(E3479="FUTURE",VLOOKUP(MID(I3479,2,2),[1]Futures!$A$2:$B$12,2),1),G3479*M3479*IF(E3479="FUTURE",VLOOKUP(MID(I3479,2,2),[1]Futures!$A$2:$B$12,2),1)))</f>
        <v>46100</v>
      </c>
      <c r="R3479" s="12">
        <f>IFERROR(Q3479/P3479/IF(E3479="FUTURE",VLOOKUP(MID(I3479,2,2),[1]Futures!$A$2:$B$12,2),1),"")</f>
        <v>46.1</v>
      </c>
      <c r="S3479" s="13" t="str">
        <f>IF(AND(H3479="TO CLOSE",P3479=0),-G3479*(M3479-R3478)*IF(E3479="FUTURE",VLOOKUP(MID(I3479,2,2),[1]Futures!$A$2:$B$12,2),1),"")</f>
        <v/>
      </c>
    </row>
    <row r="3480" spans="1:19" x14ac:dyDescent="0.2">
      <c r="A3480">
        <f t="shared" si="164"/>
        <v>1116</v>
      </c>
      <c r="B3480" s="3">
        <v>44179</v>
      </c>
      <c r="C3480" s="3" t="str">
        <f t="shared" si="163"/>
        <v>Monday</v>
      </c>
      <c r="D3480" s="2">
        <v>0.4778587962962963</v>
      </c>
      <c r="E3480" t="s">
        <v>14</v>
      </c>
      <c r="F3480" t="s">
        <v>15</v>
      </c>
      <c r="G3480">
        <v>-1</v>
      </c>
      <c r="H3480" t="s">
        <v>16</v>
      </c>
      <c r="I3480" t="s">
        <v>88</v>
      </c>
      <c r="J3480" s="1">
        <v>43851</v>
      </c>
      <c r="L3480" t="s">
        <v>14</v>
      </c>
      <c r="M3480">
        <v>46.12</v>
      </c>
      <c r="N3480">
        <v>46.12</v>
      </c>
      <c r="O3480" t="s">
        <v>21</v>
      </c>
      <c r="P3480">
        <f t="shared" si="165"/>
        <v>0</v>
      </c>
      <c r="Q3480" s="11">
        <f>IF(P3480=0,0,IFERROR(Q3479+G3480*M3480*IF(E3480="FUTURE",VLOOKUP(MID(I3480,2,2),[1]Futures!$A$2:$B$12,2),1),G3480*M3480*IF(E3480="FUTURE",VLOOKUP(MID(I3480,2,2),[1]Futures!$A$2:$B$12,2),1)))</f>
        <v>0</v>
      </c>
      <c r="R3480" s="12" t="str">
        <f>IFERROR(Q3480/P3480/IF(E3480="FUTURE",VLOOKUP(MID(I3480,2,2),[1]Futures!$A$2:$B$12,2),1),"")</f>
        <v/>
      </c>
      <c r="S3480" s="13">
        <f>IF(AND(H3480="TO CLOSE",P3480=0),-G3480*(M3480-R3479)*IF(E3480="FUTURE",VLOOKUP(MID(I3480,2,2),[1]Futures!$A$2:$B$12,2),1),"")</f>
        <v>19.999999999996021</v>
      </c>
    </row>
    <row r="3481" spans="1:19" x14ac:dyDescent="0.2">
      <c r="A3481">
        <f t="shared" si="164"/>
        <v>1117</v>
      </c>
      <c r="B3481" s="3">
        <v>44179</v>
      </c>
      <c r="C3481" s="3" t="str">
        <f t="shared" si="163"/>
        <v>Monday</v>
      </c>
      <c r="D3481" s="2">
        <v>0.59138888888888885</v>
      </c>
      <c r="E3481" t="s">
        <v>14</v>
      </c>
      <c r="F3481" t="s">
        <v>15</v>
      </c>
      <c r="G3481">
        <v>-1</v>
      </c>
      <c r="H3481" t="s">
        <v>20</v>
      </c>
      <c r="I3481" t="s">
        <v>88</v>
      </c>
      <c r="J3481" s="1">
        <v>43851</v>
      </c>
      <c r="L3481" t="s">
        <v>14</v>
      </c>
      <c r="M3481">
        <v>46.78</v>
      </c>
      <c r="N3481">
        <v>46.78</v>
      </c>
      <c r="O3481" t="s">
        <v>21</v>
      </c>
      <c r="P3481">
        <f t="shared" si="165"/>
        <v>-1</v>
      </c>
      <c r="Q3481" s="11">
        <f>IF(P3481=0,0,IFERROR(Q3480+G3481*M3481*IF(E3481="FUTURE",VLOOKUP(MID(I3481,2,2),[1]Futures!$A$2:$B$12,2),1),G3481*M3481*IF(E3481="FUTURE",VLOOKUP(MID(I3481,2,2),[1]Futures!$A$2:$B$12,2),1)))</f>
        <v>-46780</v>
      </c>
      <c r="R3481" s="12">
        <f>IFERROR(Q3481/P3481/IF(E3481="FUTURE",VLOOKUP(MID(I3481,2,2),[1]Futures!$A$2:$B$12,2),1),"")</f>
        <v>46.78</v>
      </c>
      <c r="S3481" s="13" t="str">
        <f>IF(AND(H3481="TO CLOSE",P3481=0),-G3481*(M3481-R3480)*IF(E3481="FUTURE",VLOOKUP(MID(I3481,2,2),[1]Futures!$A$2:$B$12,2),1),"")</f>
        <v/>
      </c>
    </row>
    <row r="3482" spans="1:19" x14ac:dyDescent="0.2">
      <c r="A3482">
        <f t="shared" si="164"/>
        <v>1117</v>
      </c>
      <c r="B3482" s="3">
        <v>44179</v>
      </c>
      <c r="C3482" s="3" t="str">
        <f t="shared" si="163"/>
        <v>Monday</v>
      </c>
      <c r="D3482" s="2">
        <v>0.59688657407407408</v>
      </c>
      <c r="E3482" t="s">
        <v>14</v>
      </c>
      <c r="F3482" t="s">
        <v>19</v>
      </c>
      <c r="G3482">
        <v>1</v>
      </c>
      <c r="H3482" t="s">
        <v>16</v>
      </c>
      <c r="I3482" t="s">
        <v>88</v>
      </c>
      <c r="J3482" s="1">
        <v>43851</v>
      </c>
      <c r="L3482" t="s">
        <v>14</v>
      </c>
      <c r="M3482">
        <v>46.71</v>
      </c>
      <c r="N3482">
        <v>46.71</v>
      </c>
      <c r="O3482" t="s">
        <v>24</v>
      </c>
      <c r="P3482">
        <f t="shared" si="165"/>
        <v>0</v>
      </c>
      <c r="Q3482" s="11">
        <f>IF(P3482=0,0,IFERROR(Q3481+G3482*M3482*IF(E3482="FUTURE",VLOOKUP(MID(I3482,2,2),[1]Futures!$A$2:$B$12,2),1),G3482*M3482*IF(E3482="FUTURE",VLOOKUP(MID(I3482,2,2),[1]Futures!$A$2:$B$12,2),1)))</f>
        <v>0</v>
      </c>
      <c r="R3482" s="12" t="str">
        <f>IFERROR(Q3482/P3482/IF(E3482="FUTURE",VLOOKUP(MID(I3482,2,2),[1]Futures!$A$2:$B$12,2),1),"")</f>
        <v/>
      </c>
      <c r="S3482" s="13">
        <f>IF(AND(H3482="TO CLOSE",P3482=0),-G3482*(M3482-R3481)*IF(E3482="FUTURE",VLOOKUP(MID(I3482,2,2),[1]Futures!$A$2:$B$12,2),1),"")</f>
        <v>70.000000000000284</v>
      </c>
    </row>
    <row r="3483" spans="1:19" x14ac:dyDescent="0.2">
      <c r="A3483">
        <f t="shared" si="164"/>
        <v>1118</v>
      </c>
      <c r="B3483" s="3">
        <v>44179</v>
      </c>
      <c r="C3483" s="3" t="str">
        <f t="shared" si="163"/>
        <v>Monday</v>
      </c>
      <c r="D3483" s="2">
        <v>0.43078703703703702</v>
      </c>
      <c r="E3483" t="s">
        <v>14</v>
      </c>
      <c r="F3483" t="s">
        <v>15</v>
      </c>
      <c r="G3483">
        <v>-1</v>
      </c>
      <c r="H3483" t="s">
        <v>20</v>
      </c>
      <c r="I3483" t="s">
        <v>89</v>
      </c>
      <c r="J3483" s="1">
        <v>43911</v>
      </c>
      <c r="L3483" t="s">
        <v>14</v>
      </c>
      <c r="M3483">
        <v>3687.75</v>
      </c>
      <c r="N3483">
        <v>3687.75</v>
      </c>
      <c r="O3483" t="s">
        <v>21</v>
      </c>
      <c r="P3483">
        <f t="shared" si="165"/>
        <v>-1</v>
      </c>
      <c r="Q3483" s="11">
        <f>IF(P3483=0,0,IFERROR(Q3482+G3483*M3483*IF(E3483="FUTURE",VLOOKUP(MID(I3483,2,2),[1]Futures!$A$2:$B$12,2),1),G3483*M3483*IF(E3483="FUTURE",VLOOKUP(MID(I3483,2,2),[1]Futures!$A$2:$B$12,2),1)))</f>
        <v>-184387.5</v>
      </c>
      <c r="R3483" s="12">
        <f>IFERROR(Q3483/P3483/IF(E3483="FUTURE",VLOOKUP(MID(I3483,2,2),[1]Futures!$A$2:$B$12,2),1),"")</f>
        <v>3687.75</v>
      </c>
      <c r="S3483" s="13" t="str">
        <f>IF(AND(H3483="TO CLOSE",P3483=0),-G3483*(M3483-R3482)*IF(E3483="FUTURE",VLOOKUP(MID(I3483,2,2),[1]Futures!$A$2:$B$12,2),1),"")</f>
        <v/>
      </c>
    </row>
    <row r="3484" spans="1:19" x14ac:dyDescent="0.2">
      <c r="A3484">
        <f t="shared" si="164"/>
        <v>1118</v>
      </c>
      <c r="B3484" s="3">
        <v>44179</v>
      </c>
      <c r="C3484" s="3" t="str">
        <f t="shared" si="163"/>
        <v>Monday</v>
      </c>
      <c r="D3484" s="2">
        <v>0.4456134259259259</v>
      </c>
      <c r="E3484" t="s">
        <v>14</v>
      </c>
      <c r="F3484" t="s">
        <v>19</v>
      </c>
      <c r="G3484">
        <v>1</v>
      </c>
      <c r="H3484" t="s">
        <v>16</v>
      </c>
      <c r="I3484" t="s">
        <v>89</v>
      </c>
      <c r="J3484" s="1">
        <v>43911</v>
      </c>
      <c r="L3484" t="s">
        <v>14</v>
      </c>
      <c r="M3484">
        <v>3684.25</v>
      </c>
      <c r="N3484">
        <v>3684.25</v>
      </c>
      <c r="O3484" t="s">
        <v>21</v>
      </c>
      <c r="P3484">
        <f t="shared" si="165"/>
        <v>0</v>
      </c>
      <c r="Q3484" s="11">
        <f>IF(P3484=0,0,IFERROR(Q3483+G3484*M3484*IF(E3484="FUTURE",VLOOKUP(MID(I3484,2,2),[1]Futures!$A$2:$B$12,2),1),G3484*M3484*IF(E3484="FUTURE",VLOOKUP(MID(I3484,2,2),[1]Futures!$A$2:$B$12,2),1)))</f>
        <v>0</v>
      </c>
      <c r="R3484" s="12" t="str">
        <f>IFERROR(Q3484/P3484/IF(E3484="FUTURE",VLOOKUP(MID(I3484,2,2),[1]Futures!$A$2:$B$12,2),1),"")</f>
        <v/>
      </c>
      <c r="S3484" s="13">
        <f>IF(AND(H3484="TO CLOSE",P3484=0),-G3484*(M3484-R3483)*IF(E3484="FUTURE",VLOOKUP(MID(I3484,2,2),[1]Futures!$A$2:$B$12,2),1),"")</f>
        <v>175</v>
      </c>
    </row>
    <row r="3485" spans="1:19" x14ac:dyDescent="0.2">
      <c r="A3485">
        <f t="shared" si="164"/>
        <v>1119</v>
      </c>
      <c r="B3485" s="3">
        <v>44180</v>
      </c>
      <c r="C3485" s="3" t="str">
        <f t="shared" si="163"/>
        <v>Tuesday</v>
      </c>
      <c r="D3485" s="2">
        <v>0.49278935185185185</v>
      </c>
      <c r="E3485" t="s">
        <v>14</v>
      </c>
      <c r="F3485" t="s">
        <v>15</v>
      </c>
      <c r="G3485">
        <v>-1</v>
      </c>
      <c r="H3485" t="s">
        <v>20</v>
      </c>
      <c r="I3485" t="s">
        <v>88</v>
      </c>
      <c r="J3485" s="1">
        <v>43851</v>
      </c>
      <c r="L3485" t="s">
        <v>14</v>
      </c>
      <c r="M3485">
        <v>47.5</v>
      </c>
      <c r="N3485">
        <v>47.5</v>
      </c>
      <c r="O3485" t="s">
        <v>21</v>
      </c>
      <c r="P3485">
        <f t="shared" si="165"/>
        <v>-1</v>
      </c>
      <c r="Q3485" s="11">
        <f>IF(P3485=0,0,IFERROR(Q3484+G3485*M3485*IF(E3485="FUTURE",VLOOKUP(MID(I3485,2,2),[1]Futures!$A$2:$B$12,2),1),G3485*M3485*IF(E3485="FUTURE",VLOOKUP(MID(I3485,2,2),[1]Futures!$A$2:$B$12,2),1)))</f>
        <v>-47500</v>
      </c>
      <c r="R3485" s="12">
        <f>IFERROR(Q3485/P3485/IF(E3485="FUTURE",VLOOKUP(MID(I3485,2,2),[1]Futures!$A$2:$B$12,2),1),"")</f>
        <v>47.5</v>
      </c>
      <c r="S3485" s="13" t="str">
        <f>IF(AND(H3485="TO CLOSE",P3485=0),-G3485*(M3485-R3484)*IF(E3485="FUTURE",VLOOKUP(MID(I3485,2,2),[1]Futures!$A$2:$B$12,2),1),"")</f>
        <v/>
      </c>
    </row>
    <row r="3486" spans="1:19" x14ac:dyDescent="0.2">
      <c r="A3486">
        <f t="shared" si="164"/>
        <v>1119</v>
      </c>
      <c r="B3486" s="3">
        <v>44180</v>
      </c>
      <c r="C3486" s="3" t="str">
        <f t="shared" si="163"/>
        <v>Tuesday</v>
      </c>
      <c r="D3486" s="2">
        <v>0.56775462962962964</v>
      </c>
      <c r="E3486" t="s">
        <v>14</v>
      </c>
      <c r="F3486" t="s">
        <v>19</v>
      </c>
      <c r="G3486">
        <v>1</v>
      </c>
      <c r="H3486" t="s">
        <v>16</v>
      </c>
      <c r="I3486" t="s">
        <v>88</v>
      </c>
      <c r="J3486" s="1">
        <v>43851</v>
      </c>
      <c r="L3486" t="s">
        <v>14</v>
      </c>
      <c r="M3486">
        <v>47.45</v>
      </c>
      <c r="N3486">
        <v>47.45</v>
      </c>
      <c r="O3486" t="s">
        <v>21</v>
      </c>
      <c r="P3486">
        <f t="shared" si="165"/>
        <v>0</v>
      </c>
      <c r="Q3486" s="11">
        <f>IF(P3486=0,0,IFERROR(Q3485+G3486*M3486*IF(E3486="FUTURE",VLOOKUP(MID(I3486,2,2),[1]Futures!$A$2:$B$12,2),1),G3486*M3486*IF(E3486="FUTURE",VLOOKUP(MID(I3486,2,2),[1]Futures!$A$2:$B$12,2),1)))</f>
        <v>0</v>
      </c>
      <c r="R3486" s="12" t="str">
        <f>IFERROR(Q3486/P3486/IF(E3486="FUTURE",VLOOKUP(MID(I3486,2,2),[1]Futures!$A$2:$B$12,2),1),"")</f>
        <v/>
      </c>
      <c r="S3486" s="13">
        <f>IF(AND(H3486="TO CLOSE",P3486=0),-G3486*(M3486-R3485)*IF(E3486="FUTURE",VLOOKUP(MID(I3486,2,2),[1]Futures!$A$2:$B$12,2),1),"")</f>
        <v>49.999999999997158</v>
      </c>
    </row>
    <row r="3487" spans="1:19" x14ac:dyDescent="0.2">
      <c r="A3487">
        <f t="shared" si="164"/>
        <v>1120</v>
      </c>
      <c r="B3487" s="3">
        <v>44180</v>
      </c>
      <c r="C3487" s="3" t="str">
        <f t="shared" si="163"/>
        <v>Tuesday</v>
      </c>
      <c r="D3487" s="2">
        <v>0.67353009259259267</v>
      </c>
      <c r="E3487" t="s">
        <v>14</v>
      </c>
      <c r="F3487" t="s">
        <v>15</v>
      </c>
      <c r="G3487">
        <v>-1</v>
      </c>
      <c r="H3487" t="s">
        <v>20</v>
      </c>
      <c r="I3487" t="s">
        <v>88</v>
      </c>
      <c r="J3487" s="1">
        <v>43851</v>
      </c>
      <c r="L3487" t="s">
        <v>14</v>
      </c>
      <c r="M3487">
        <v>47.53</v>
      </c>
      <c r="N3487">
        <v>47.53</v>
      </c>
      <c r="O3487" t="s">
        <v>21</v>
      </c>
      <c r="P3487">
        <f t="shared" si="165"/>
        <v>-1</v>
      </c>
      <c r="Q3487" s="11">
        <f>IF(P3487=0,0,IFERROR(Q3486+G3487*M3487*IF(E3487="FUTURE",VLOOKUP(MID(I3487,2,2),[1]Futures!$A$2:$B$12,2),1),G3487*M3487*IF(E3487="FUTURE",VLOOKUP(MID(I3487,2,2),[1]Futures!$A$2:$B$12,2),1)))</f>
        <v>-47530</v>
      </c>
      <c r="R3487" s="12">
        <f>IFERROR(Q3487/P3487/IF(E3487="FUTURE",VLOOKUP(MID(I3487,2,2),[1]Futures!$A$2:$B$12,2),1),"")</f>
        <v>47.53</v>
      </c>
      <c r="S3487" s="13" t="str">
        <f>IF(AND(H3487="TO CLOSE",P3487=0),-G3487*(M3487-R3486)*IF(E3487="FUTURE",VLOOKUP(MID(I3487,2,2),[1]Futures!$A$2:$B$12,2),1),"")</f>
        <v/>
      </c>
    </row>
    <row r="3488" spans="1:19" x14ac:dyDescent="0.2">
      <c r="A3488">
        <f t="shared" si="164"/>
        <v>1120</v>
      </c>
      <c r="B3488" s="3">
        <v>44180</v>
      </c>
      <c r="C3488" s="3" t="str">
        <f t="shared" si="163"/>
        <v>Tuesday</v>
      </c>
      <c r="D3488" s="2">
        <v>0.68760416666666668</v>
      </c>
      <c r="E3488" t="s">
        <v>14</v>
      </c>
      <c r="F3488" t="s">
        <v>19</v>
      </c>
      <c r="G3488">
        <v>1</v>
      </c>
      <c r="H3488" t="s">
        <v>16</v>
      </c>
      <c r="I3488" t="s">
        <v>88</v>
      </c>
      <c r="J3488" s="1">
        <v>43851</v>
      </c>
      <c r="L3488" t="s">
        <v>14</v>
      </c>
      <c r="M3488">
        <v>47.42</v>
      </c>
      <c r="N3488">
        <v>47.42</v>
      </c>
      <c r="O3488" t="s">
        <v>21</v>
      </c>
      <c r="P3488">
        <f t="shared" si="165"/>
        <v>0</v>
      </c>
      <c r="Q3488" s="11">
        <f>IF(P3488=0,0,IFERROR(Q3487+G3488*M3488*IF(E3488="FUTURE",VLOOKUP(MID(I3488,2,2),[1]Futures!$A$2:$B$12,2),1),G3488*M3488*IF(E3488="FUTURE",VLOOKUP(MID(I3488,2,2),[1]Futures!$A$2:$B$12,2),1)))</f>
        <v>0</v>
      </c>
      <c r="R3488" s="12" t="str">
        <f>IFERROR(Q3488/P3488/IF(E3488="FUTURE",VLOOKUP(MID(I3488,2,2),[1]Futures!$A$2:$B$12,2),1),"")</f>
        <v/>
      </c>
      <c r="S3488" s="13">
        <f>IF(AND(H3488="TO CLOSE",P3488=0),-G3488*(M3488-R3487)*IF(E3488="FUTURE",VLOOKUP(MID(I3488,2,2),[1]Futures!$A$2:$B$12,2),1),"")</f>
        <v>109.99999999999943</v>
      </c>
    </row>
    <row r="3489" spans="1:19" x14ac:dyDescent="0.2">
      <c r="A3489">
        <f t="shared" si="164"/>
        <v>1121</v>
      </c>
      <c r="B3489" s="3">
        <v>44180</v>
      </c>
      <c r="C3489" s="3" t="str">
        <f t="shared" si="163"/>
        <v>Tuesday</v>
      </c>
      <c r="D3489" s="2">
        <v>0.39975694444444443</v>
      </c>
      <c r="E3489" t="s">
        <v>14</v>
      </c>
      <c r="F3489" t="s">
        <v>19</v>
      </c>
      <c r="G3489">
        <v>1</v>
      </c>
      <c r="H3489" t="s">
        <v>20</v>
      </c>
      <c r="I3489" t="s">
        <v>89</v>
      </c>
      <c r="J3489" s="1">
        <v>43911</v>
      </c>
      <c r="L3489" t="s">
        <v>14</v>
      </c>
      <c r="M3489">
        <v>3668</v>
      </c>
      <c r="N3489">
        <v>3668</v>
      </c>
      <c r="O3489" t="s">
        <v>21</v>
      </c>
      <c r="P3489">
        <f t="shared" si="165"/>
        <v>1</v>
      </c>
      <c r="Q3489" s="11">
        <f>IF(P3489=0,0,IFERROR(Q3488+G3489*M3489*IF(E3489="FUTURE",VLOOKUP(MID(I3489,2,2),[1]Futures!$A$2:$B$12,2),1),G3489*M3489*IF(E3489="FUTURE",VLOOKUP(MID(I3489,2,2),[1]Futures!$A$2:$B$12,2),1)))</f>
        <v>183400</v>
      </c>
      <c r="R3489" s="12">
        <f>IFERROR(Q3489/P3489/IF(E3489="FUTURE",VLOOKUP(MID(I3489,2,2),[1]Futures!$A$2:$B$12,2),1),"")</f>
        <v>3668</v>
      </c>
      <c r="S3489" s="13" t="str">
        <f>IF(AND(H3489="TO CLOSE",P3489=0),-G3489*(M3489-R3488)*IF(E3489="FUTURE",VLOOKUP(MID(I3489,2,2),[1]Futures!$A$2:$B$12,2),1),"")</f>
        <v/>
      </c>
    </row>
    <row r="3490" spans="1:19" x14ac:dyDescent="0.2">
      <c r="A3490">
        <f t="shared" si="164"/>
        <v>1121</v>
      </c>
      <c r="B3490" s="3">
        <v>44180</v>
      </c>
      <c r="C3490" s="3" t="str">
        <f t="shared" ref="C3490:C3553" si="166">IF(WEEKDAY(B3490,2)=1,"Monday",IF(WEEKDAY(B3490,2)=2,"Tuesday",IF(WEEKDAY(B3490,2)=3,"Wednesday",IF(WEEKDAY(B3490,2)=4,"Thursday",IF(WEEKDAY(B3490,2)=5,"Friday","Sunday")))))</f>
        <v>Tuesday</v>
      </c>
      <c r="D3490" s="2">
        <v>0.52283564814814809</v>
      </c>
      <c r="E3490" t="s">
        <v>14</v>
      </c>
      <c r="F3490" t="s">
        <v>15</v>
      </c>
      <c r="G3490">
        <v>-1</v>
      </c>
      <c r="H3490" t="s">
        <v>16</v>
      </c>
      <c r="I3490" t="s">
        <v>89</v>
      </c>
      <c r="J3490" s="1">
        <v>43911</v>
      </c>
      <c r="L3490" t="s">
        <v>14</v>
      </c>
      <c r="M3490">
        <v>3669</v>
      </c>
      <c r="N3490">
        <v>3669</v>
      </c>
      <c r="O3490" t="s">
        <v>21</v>
      </c>
      <c r="P3490">
        <f t="shared" si="165"/>
        <v>0</v>
      </c>
      <c r="Q3490" s="11">
        <f>IF(P3490=0,0,IFERROR(Q3489+G3490*M3490*IF(E3490="FUTURE",VLOOKUP(MID(I3490,2,2),[1]Futures!$A$2:$B$12,2),1),G3490*M3490*IF(E3490="FUTURE",VLOOKUP(MID(I3490,2,2),[1]Futures!$A$2:$B$12,2),1)))</f>
        <v>0</v>
      </c>
      <c r="R3490" s="12" t="str">
        <f>IFERROR(Q3490/P3490/IF(E3490="FUTURE",VLOOKUP(MID(I3490,2,2),[1]Futures!$A$2:$B$12,2),1),"")</f>
        <v/>
      </c>
      <c r="S3490" s="13">
        <f>IF(AND(H3490="TO CLOSE",P3490=0),-G3490*(M3490-R3489)*IF(E3490="FUTURE",VLOOKUP(MID(I3490,2,2),[1]Futures!$A$2:$B$12,2),1),"")</f>
        <v>50</v>
      </c>
    </row>
    <row r="3491" spans="1:19" x14ac:dyDescent="0.2">
      <c r="A3491">
        <f t="shared" si="164"/>
        <v>1122</v>
      </c>
      <c r="B3491" s="3">
        <v>44180</v>
      </c>
      <c r="C3491" s="3" t="str">
        <f t="shared" si="166"/>
        <v>Tuesday</v>
      </c>
      <c r="D3491" s="2">
        <v>0.52501157407407406</v>
      </c>
      <c r="E3491" t="s">
        <v>22</v>
      </c>
      <c r="F3491" t="s">
        <v>15</v>
      </c>
      <c r="G3491">
        <v>-6</v>
      </c>
      <c r="H3491" t="s">
        <v>20</v>
      </c>
      <c r="I3491" t="s">
        <v>23</v>
      </c>
      <c r="L3491" t="s">
        <v>22</v>
      </c>
      <c r="M3491">
        <v>17.95</v>
      </c>
      <c r="N3491">
        <v>17.95</v>
      </c>
      <c r="O3491" t="s">
        <v>21</v>
      </c>
      <c r="P3491">
        <f t="shared" si="165"/>
        <v>-6</v>
      </c>
      <c r="Q3491" s="11">
        <f>IF(P3491=0,0,IFERROR(Q3490+G3491*M3491*IF(E3491="FUTURE",VLOOKUP(MID(I3491,2,2),[1]Futures!$A$2:$B$12,2),1),G3491*M3491*IF(E3491="FUTURE",VLOOKUP(MID(I3491,2,2),[1]Futures!$A$2:$B$12,2),1)))</f>
        <v>-107.69999999999999</v>
      </c>
      <c r="R3491" s="12">
        <f>IFERROR(Q3491/P3491/IF(E3491="FUTURE",VLOOKUP(MID(I3491,2,2),[1]Futures!$A$2:$B$12,2),1),"")</f>
        <v>17.95</v>
      </c>
      <c r="S3491" s="13" t="str">
        <f>IF(AND(H3491="TO CLOSE",P3491=0),-G3491*(M3491-R3490)*IF(E3491="FUTURE",VLOOKUP(MID(I3491,2,2),[1]Futures!$A$2:$B$12,2),1),"")</f>
        <v/>
      </c>
    </row>
    <row r="3492" spans="1:19" x14ac:dyDescent="0.2">
      <c r="A3492">
        <f t="shared" si="164"/>
        <v>1122</v>
      </c>
      <c r="B3492" s="3">
        <v>44180</v>
      </c>
      <c r="C3492" s="3" t="str">
        <f t="shared" si="166"/>
        <v>Tuesday</v>
      </c>
      <c r="D3492" s="2">
        <v>0.52501157407407406</v>
      </c>
      <c r="E3492" t="s">
        <v>22</v>
      </c>
      <c r="F3492" t="s">
        <v>15</v>
      </c>
      <c r="G3492">
        <v>-12</v>
      </c>
      <c r="H3492" t="s">
        <v>20</v>
      </c>
      <c r="I3492" t="s">
        <v>23</v>
      </c>
      <c r="L3492" t="s">
        <v>22</v>
      </c>
      <c r="M3492">
        <v>17.95</v>
      </c>
      <c r="N3492">
        <v>17.95</v>
      </c>
      <c r="O3492" t="s">
        <v>21</v>
      </c>
      <c r="P3492">
        <f t="shared" si="165"/>
        <v>-18</v>
      </c>
      <c r="Q3492" s="11">
        <f>IF(P3492=0,0,IFERROR(Q3491+G3492*M3492*IF(E3492="FUTURE",VLOOKUP(MID(I3492,2,2),[1]Futures!$A$2:$B$12,2),1),G3492*M3492*IF(E3492="FUTURE",VLOOKUP(MID(I3492,2,2),[1]Futures!$A$2:$B$12,2),1)))</f>
        <v>-323.09999999999997</v>
      </c>
      <c r="R3492" s="12">
        <f>IFERROR(Q3492/P3492/IF(E3492="FUTURE",VLOOKUP(MID(I3492,2,2),[1]Futures!$A$2:$B$12,2),1),"")</f>
        <v>17.95</v>
      </c>
      <c r="S3492" s="13" t="str">
        <f>IF(AND(H3492="TO CLOSE",P3492=0),-G3492*(M3492-R3491)*IF(E3492="FUTURE",VLOOKUP(MID(I3492,2,2),[1]Futures!$A$2:$B$12,2),1),"")</f>
        <v/>
      </c>
    </row>
    <row r="3493" spans="1:19" x14ac:dyDescent="0.2">
      <c r="A3493">
        <f t="shared" si="164"/>
        <v>1122</v>
      </c>
      <c r="B3493" s="3">
        <v>44180</v>
      </c>
      <c r="C3493" s="3" t="str">
        <f t="shared" si="166"/>
        <v>Tuesday</v>
      </c>
      <c r="D3493" s="2">
        <v>0.52620370370370373</v>
      </c>
      <c r="E3493" t="s">
        <v>22</v>
      </c>
      <c r="F3493" t="s">
        <v>15</v>
      </c>
      <c r="G3493">
        <v>-182</v>
      </c>
      <c r="H3493" t="s">
        <v>20</v>
      </c>
      <c r="I3493" t="s">
        <v>23</v>
      </c>
      <c r="L3493" t="s">
        <v>22</v>
      </c>
      <c r="M3493">
        <v>17.95</v>
      </c>
      <c r="N3493">
        <v>17.95</v>
      </c>
      <c r="O3493" t="s">
        <v>21</v>
      </c>
      <c r="P3493">
        <f t="shared" si="165"/>
        <v>-200</v>
      </c>
      <c r="Q3493" s="11">
        <f>IF(P3493=0,0,IFERROR(Q3492+G3493*M3493*IF(E3493="FUTURE",VLOOKUP(MID(I3493,2,2),[1]Futures!$A$2:$B$12,2),1),G3493*M3493*IF(E3493="FUTURE",VLOOKUP(MID(I3493,2,2),[1]Futures!$A$2:$B$12,2),1)))</f>
        <v>-3590</v>
      </c>
      <c r="R3493" s="12">
        <f>IFERROR(Q3493/P3493/IF(E3493="FUTURE",VLOOKUP(MID(I3493,2,2),[1]Futures!$A$2:$B$12,2),1),"")</f>
        <v>17.95</v>
      </c>
      <c r="S3493" s="13" t="str">
        <f>IF(AND(H3493="TO CLOSE",P3493=0),-G3493*(M3493-R3492)*IF(E3493="FUTURE",VLOOKUP(MID(I3493,2,2),[1]Futures!$A$2:$B$12,2),1),"")</f>
        <v/>
      </c>
    </row>
    <row r="3494" spans="1:19" x14ac:dyDescent="0.2">
      <c r="A3494">
        <f t="shared" si="164"/>
        <v>1122</v>
      </c>
      <c r="B3494" s="3">
        <v>44180</v>
      </c>
      <c r="C3494" s="3" t="str">
        <f t="shared" si="166"/>
        <v>Tuesday</v>
      </c>
      <c r="D3494" s="2">
        <v>0.54659722222222229</v>
      </c>
      <c r="E3494" t="s">
        <v>22</v>
      </c>
      <c r="F3494" t="s">
        <v>19</v>
      </c>
      <c r="G3494">
        <v>50</v>
      </c>
      <c r="H3494" t="s">
        <v>16</v>
      </c>
      <c r="I3494" t="s">
        <v>23</v>
      </c>
      <c r="L3494" t="s">
        <v>22</v>
      </c>
      <c r="M3494">
        <v>17.850000000000001</v>
      </c>
      <c r="N3494">
        <v>17.850000000000001</v>
      </c>
      <c r="O3494" t="s">
        <v>21</v>
      </c>
      <c r="P3494">
        <f t="shared" si="165"/>
        <v>-150</v>
      </c>
      <c r="Q3494" s="11">
        <f>IF(P3494=0,0,IFERROR(Q3493+G3494*M3494*IF(E3494="FUTURE",VLOOKUP(MID(I3494,2,2),[1]Futures!$A$2:$B$12,2),1),G3494*M3494*IF(E3494="FUTURE",VLOOKUP(MID(I3494,2,2),[1]Futures!$A$2:$B$12,2),1)))</f>
        <v>-2697.5</v>
      </c>
      <c r="R3494" s="12">
        <f>IFERROR(Q3494/P3494/IF(E3494="FUTURE",VLOOKUP(MID(I3494,2,2),[1]Futures!$A$2:$B$12,2),1),"")</f>
        <v>17.983333333333334</v>
      </c>
      <c r="S3494" s="13" t="str">
        <f>IF(AND(H3494="TO CLOSE",P3494=0),-G3494*(M3494-R3493)*IF(E3494="FUTURE",VLOOKUP(MID(I3494,2,2),[1]Futures!$A$2:$B$12,2),1),"")</f>
        <v/>
      </c>
    </row>
    <row r="3495" spans="1:19" x14ac:dyDescent="0.2">
      <c r="A3495">
        <f t="shared" si="164"/>
        <v>1122</v>
      </c>
      <c r="B3495" s="3">
        <v>44180</v>
      </c>
      <c r="C3495" s="3" t="str">
        <f t="shared" si="166"/>
        <v>Tuesday</v>
      </c>
      <c r="D3495" s="2">
        <v>0.55114583333333333</v>
      </c>
      <c r="E3495" t="s">
        <v>22</v>
      </c>
      <c r="F3495" t="s">
        <v>19</v>
      </c>
      <c r="G3495">
        <v>50</v>
      </c>
      <c r="H3495" t="s">
        <v>16</v>
      </c>
      <c r="I3495" t="s">
        <v>23</v>
      </c>
      <c r="L3495" t="s">
        <v>22</v>
      </c>
      <c r="M3495">
        <v>17.850000000000001</v>
      </c>
      <c r="N3495">
        <v>17.850000000000001</v>
      </c>
      <c r="O3495" t="s">
        <v>21</v>
      </c>
      <c r="P3495">
        <f t="shared" si="165"/>
        <v>-100</v>
      </c>
      <c r="Q3495" s="11">
        <f>IF(P3495=0,0,IFERROR(Q3494+G3495*M3495*IF(E3495="FUTURE",VLOOKUP(MID(I3495,2,2),[1]Futures!$A$2:$B$12,2),1),G3495*M3495*IF(E3495="FUTURE",VLOOKUP(MID(I3495,2,2),[1]Futures!$A$2:$B$12,2),1)))</f>
        <v>-1805</v>
      </c>
      <c r="R3495" s="12">
        <f>IFERROR(Q3495/P3495/IF(E3495="FUTURE",VLOOKUP(MID(I3495,2,2),[1]Futures!$A$2:$B$12,2),1),"")</f>
        <v>18.05</v>
      </c>
      <c r="S3495" s="13" t="str">
        <f>IF(AND(H3495="TO CLOSE",P3495=0),-G3495*(M3495-R3494)*IF(E3495="FUTURE",VLOOKUP(MID(I3495,2,2),[1]Futures!$A$2:$B$12,2),1),"")</f>
        <v/>
      </c>
    </row>
    <row r="3496" spans="1:19" x14ac:dyDescent="0.2">
      <c r="A3496">
        <f t="shared" si="164"/>
        <v>1122</v>
      </c>
      <c r="B3496" s="3">
        <v>44180</v>
      </c>
      <c r="C3496" s="3" t="str">
        <f t="shared" si="166"/>
        <v>Tuesday</v>
      </c>
      <c r="D3496" s="2">
        <v>0.55821759259259263</v>
      </c>
      <c r="E3496" t="s">
        <v>22</v>
      </c>
      <c r="F3496" t="s">
        <v>19</v>
      </c>
      <c r="G3496">
        <v>50</v>
      </c>
      <c r="H3496" t="s">
        <v>16</v>
      </c>
      <c r="I3496" t="s">
        <v>23</v>
      </c>
      <c r="L3496" t="s">
        <v>22</v>
      </c>
      <c r="M3496">
        <v>17.879799999999999</v>
      </c>
      <c r="N3496">
        <v>17.879799999999999</v>
      </c>
      <c r="O3496" t="s">
        <v>24</v>
      </c>
      <c r="P3496">
        <f t="shared" si="165"/>
        <v>-50</v>
      </c>
      <c r="Q3496" s="11">
        <f>IF(P3496=0,0,IFERROR(Q3495+G3496*M3496*IF(E3496="FUTURE",VLOOKUP(MID(I3496,2,2),[1]Futures!$A$2:$B$12,2),1),G3496*M3496*IF(E3496="FUTURE",VLOOKUP(MID(I3496,2,2),[1]Futures!$A$2:$B$12,2),1)))</f>
        <v>-911.01</v>
      </c>
      <c r="R3496" s="12">
        <f>IFERROR(Q3496/P3496/IF(E3496="FUTURE",VLOOKUP(MID(I3496,2,2),[1]Futures!$A$2:$B$12,2),1),"")</f>
        <v>18.220199999999998</v>
      </c>
      <c r="S3496" s="13" t="str">
        <f>IF(AND(H3496="TO CLOSE",P3496=0),-G3496*(M3496-R3495)*IF(E3496="FUTURE",VLOOKUP(MID(I3496,2,2),[1]Futures!$A$2:$B$12,2),1),"")</f>
        <v/>
      </c>
    </row>
    <row r="3497" spans="1:19" x14ac:dyDescent="0.2">
      <c r="A3497">
        <f t="shared" si="164"/>
        <v>1122</v>
      </c>
      <c r="B3497" s="3">
        <v>44180</v>
      </c>
      <c r="C3497" s="3" t="str">
        <f t="shared" si="166"/>
        <v>Tuesday</v>
      </c>
      <c r="D3497" s="2">
        <v>0.56540509259259253</v>
      </c>
      <c r="E3497" t="s">
        <v>22</v>
      </c>
      <c r="F3497" t="s">
        <v>19</v>
      </c>
      <c r="G3497">
        <v>50</v>
      </c>
      <c r="H3497" t="s">
        <v>16</v>
      </c>
      <c r="I3497" t="s">
        <v>23</v>
      </c>
      <c r="L3497" t="s">
        <v>22</v>
      </c>
      <c r="M3497">
        <v>17.875</v>
      </c>
      <c r="N3497">
        <v>17.875</v>
      </c>
      <c r="O3497" t="s">
        <v>24</v>
      </c>
      <c r="P3497">
        <f t="shared" si="165"/>
        <v>0</v>
      </c>
      <c r="Q3497" s="11">
        <f>IF(P3497=0,0,IFERROR(Q3496+G3497*M3497*IF(E3497="FUTURE",VLOOKUP(MID(I3497,2,2),[1]Futures!$A$2:$B$12,2),1),G3497*M3497*IF(E3497="FUTURE",VLOOKUP(MID(I3497,2,2),[1]Futures!$A$2:$B$12,2),1)))</f>
        <v>0</v>
      </c>
      <c r="R3497" s="12" t="str">
        <f>IFERROR(Q3497/P3497/IF(E3497="FUTURE",VLOOKUP(MID(I3497,2,2),[1]Futures!$A$2:$B$12,2),1),"")</f>
        <v/>
      </c>
      <c r="S3497" s="13">
        <f>IF(AND(H3497="TO CLOSE",P3497=0),-G3497*(M3497-R3496)*IF(E3497="FUTURE",VLOOKUP(MID(I3497,2,2),[1]Futures!$A$2:$B$12,2),1),"")</f>
        <v>17.25999999999992</v>
      </c>
    </row>
    <row r="3498" spans="1:19" x14ac:dyDescent="0.2">
      <c r="A3498">
        <f t="shared" si="164"/>
        <v>1123</v>
      </c>
      <c r="B3498" s="3">
        <v>44181</v>
      </c>
      <c r="C3498" s="3" t="str">
        <f t="shared" si="166"/>
        <v>Wednesday</v>
      </c>
      <c r="D3498" s="2">
        <v>0.40543981481481484</v>
      </c>
      <c r="E3498" t="s">
        <v>14</v>
      </c>
      <c r="F3498" t="s">
        <v>15</v>
      </c>
      <c r="G3498">
        <v>-1</v>
      </c>
      <c r="H3498" t="s">
        <v>20</v>
      </c>
      <c r="I3498" t="s">
        <v>88</v>
      </c>
      <c r="J3498" s="1">
        <v>43851</v>
      </c>
      <c r="L3498" t="s">
        <v>14</v>
      </c>
      <c r="M3498">
        <v>47.35</v>
      </c>
      <c r="N3498">
        <v>47.35</v>
      </c>
      <c r="O3498" t="s">
        <v>24</v>
      </c>
      <c r="P3498">
        <f t="shared" si="165"/>
        <v>-1</v>
      </c>
      <c r="Q3498" s="11">
        <f>IF(P3498=0,0,IFERROR(Q3497+G3498*M3498*IF(E3498="FUTURE",VLOOKUP(MID(I3498,2,2),[1]Futures!$A$2:$B$12,2),1),G3498*M3498*IF(E3498="FUTURE",VLOOKUP(MID(I3498,2,2),[1]Futures!$A$2:$B$12,2),1)))</f>
        <v>-47350</v>
      </c>
      <c r="R3498" s="12">
        <f>IFERROR(Q3498/P3498/IF(E3498="FUTURE",VLOOKUP(MID(I3498,2,2),[1]Futures!$A$2:$B$12,2),1),"")</f>
        <v>47.35</v>
      </c>
      <c r="S3498" s="13" t="str">
        <f>IF(AND(H3498="TO CLOSE",P3498=0),-G3498*(M3498-R3497)*IF(E3498="FUTURE",VLOOKUP(MID(I3498,2,2),[1]Futures!$A$2:$B$12,2),1),"")</f>
        <v/>
      </c>
    </row>
    <row r="3499" spans="1:19" x14ac:dyDescent="0.2">
      <c r="A3499">
        <f t="shared" si="164"/>
        <v>1123</v>
      </c>
      <c r="B3499" s="3">
        <v>44181</v>
      </c>
      <c r="C3499" s="3" t="str">
        <f t="shared" si="166"/>
        <v>Wednesday</v>
      </c>
      <c r="D3499" s="2">
        <v>0.41682870370370373</v>
      </c>
      <c r="E3499" t="s">
        <v>14</v>
      </c>
      <c r="F3499" t="s">
        <v>15</v>
      </c>
      <c r="G3499">
        <v>-1</v>
      </c>
      <c r="H3499" t="s">
        <v>20</v>
      </c>
      <c r="I3499" t="s">
        <v>88</v>
      </c>
      <c r="J3499" s="1">
        <v>43851</v>
      </c>
      <c r="L3499" t="s">
        <v>14</v>
      </c>
      <c r="M3499">
        <v>47.49</v>
      </c>
      <c r="N3499">
        <v>47.49</v>
      </c>
      <c r="O3499" t="s">
        <v>21</v>
      </c>
      <c r="P3499">
        <f t="shared" si="165"/>
        <v>-2</v>
      </c>
      <c r="Q3499" s="11">
        <f>IF(P3499=0,0,IFERROR(Q3498+G3499*M3499*IF(E3499="FUTURE",VLOOKUP(MID(I3499,2,2),[1]Futures!$A$2:$B$12,2),1),G3499*M3499*IF(E3499="FUTURE",VLOOKUP(MID(I3499,2,2),[1]Futures!$A$2:$B$12,2),1)))</f>
        <v>-94840</v>
      </c>
      <c r="R3499" s="12">
        <f>IFERROR(Q3499/P3499/IF(E3499="FUTURE",VLOOKUP(MID(I3499,2,2),[1]Futures!$A$2:$B$12,2),1),"")</f>
        <v>47.42</v>
      </c>
      <c r="S3499" s="13" t="str">
        <f>IF(AND(H3499="TO CLOSE",P3499=0),-G3499*(M3499-R3498)*IF(E3499="FUTURE",VLOOKUP(MID(I3499,2,2),[1]Futures!$A$2:$B$12,2),1),"")</f>
        <v/>
      </c>
    </row>
    <row r="3500" spans="1:19" x14ac:dyDescent="0.2">
      <c r="A3500">
        <f t="shared" si="164"/>
        <v>1123</v>
      </c>
      <c r="B3500" s="3">
        <v>44181</v>
      </c>
      <c r="C3500" s="3" t="str">
        <f t="shared" si="166"/>
        <v>Wednesday</v>
      </c>
      <c r="D3500" s="2">
        <v>0.41789351851851847</v>
      </c>
      <c r="E3500" t="s">
        <v>14</v>
      </c>
      <c r="F3500" t="s">
        <v>19</v>
      </c>
      <c r="G3500">
        <v>1</v>
      </c>
      <c r="H3500" t="s">
        <v>16</v>
      </c>
      <c r="I3500" t="s">
        <v>88</v>
      </c>
      <c r="J3500" s="1">
        <v>43851</v>
      </c>
      <c r="L3500" t="s">
        <v>14</v>
      </c>
      <c r="M3500">
        <v>47.42</v>
      </c>
      <c r="N3500">
        <v>47.42</v>
      </c>
      <c r="O3500" t="s">
        <v>21</v>
      </c>
      <c r="P3500">
        <f t="shared" si="165"/>
        <v>-1</v>
      </c>
      <c r="Q3500" s="11">
        <f>IF(P3500=0,0,IFERROR(Q3499+G3500*M3500*IF(E3500="FUTURE",VLOOKUP(MID(I3500,2,2),[1]Futures!$A$2:$B$12,2),1),G3500*M3500*IF(E3500="FUTURE",VLOOKUP(MID(I3500,2,2),[1]Futures!$A$2:$B$12,2),1)))</f>
        <v>-47420</v>
      </c>
      <c r="R3500" s="12">
        <f>IFERROR(Q3500/P3500/IF(E3500="FUTURE",VLOOKUP(MID(I3500,2,2),[1]Futures!$A$2:$B$12,2),1),"")</f>
        <v>47.42</v>
      </c>
      <c r="S3500" s="13" t="str">
        <f>IF(AND(H3500="TO CLOSE",P3500=0),-G3500*(M3500-R3499)*IF(E3500="FUTURE",VLOOKUP(MID(I3500,2,2),[1]Futures!$A$2:$B$12,2),1),"")</f>
        <v/>
      </c>
    </row>
    <row r="3501" spans="1:19" x14ac:dyDescent="0.2">
      <c r="A3501">
        <f t="shared" si="164"/>
        <v>1123</v>
      </c>
      <c r="B3501" s="3">
        <v>44181</v>
      </c>
      <c r="C3501" s="3" t="str">
        <f t="shared" si="166"/>
        <v>Wednesday</v>
      </c>
      <c r="D3501" s="2">
        <v>0.4238425925925926</v>
      </c>
      <c r="E3501" t="s">
        <v>14</v>
      </c>
      <c r="F3501" t="s">
        <v>19</v>
      </c>
      <c r="G3501">
        <v>1</v>
      </c>
      <c r="H3501" t="s">
        <v>16</v>
      </c>
      <c r="I3501" t="s">
        <v>88</v>
      </c>
      <c r="J3501" s="1">
        <v>43851</v>
      </c>
      <c r="L3501" t="s">
        <v>14</v>
      </c>
      <c r="M3501">
        <v>47.22</v>
      </c>
      <c r="N3501">
        <v>47.22</v>
      </c>
      <c r="O3501" t="s">
        <v>21</v>
      </c>
      <c r="P3501">
        <f t="shared" si="165"/>
        <v>0</v>
      </c>
      <c r="Q3501" s="11">
        <f>IF(P3501=0,0,IFERROR(Q3500+G3501*M3501*IF(E3501="FUTURE",VLOOKUP(MID(I3501,2,2),[1]Futures!$A$2:$B$12,2),1),G3501*M3501*IF(E3501="FUTURE",VLOOKUP(MID(I3501,2,2),[1]Futures!$A$2:$B$12,2),1)))</f>
        <v>0</v>
      </c>
      <c r="R3501" s="12" t="str">
        <f>IFERROR(Q3501/P3501/IF(E3501="FUTURE",VLOOKUP(MID(I3501,2,2),[1]Futures!$A$2:$B$12,2),1),"")</f>
        <v/>
      </c>
      <c r="S3501" s="13">
        <f>IF(AND(H3501="TO CLOSE",P3501=0),-G3501*(M3501-R3500)*IF(E3501="FUTURE",VLOOKUP(MID(I3501,2,2),[1]Futures!$A$2:$B$12,2),1),"")</f>
        <v>200.00000000000284</v>
      </c>
    </row>
    <row r="3502" spans="1:19" x14ac:dyDescent="0.2">
      <c r="A3502">
        <f t="shared" si="164"/>
        <v>1124</v>
      </c>
      <c r="B3502" s="3">
        <v>44181</v>
      </c>
      <c r="C3502" s="3" t="str">
        <f t="shared" si="166"/>
        <v>Wednesday</v>
      </c>
      <c r="D3502" s="2">
        <v>0.44732638888888893</v>
      </c>
      <c r="E3502" t="s">
        <v>14</v>
      </c>
      <c r="F3502" t="s">
        <v>15</v>
      </c>
      <c r="G3502">
        <v>-1</v>
      </c>
      <c r="H3502" t="s">
        <v>20</v>
      </c>
      <c r="I3502" t="s">
        <v>88</v>
      </c>
      <c r="J3502" s="1">
        <v>43851</v>
      </c>
      <c r="L3502" t="s">
        <v>14</v>
      </c>
      <c r="M3502">
        <v>47.5</v>
      </c>
      <c r="N3502">
        <v>47.5</v>
      </c>
      <c r="O3502" t="s">
        <v>21</v>
      </c>
      <c r="P3502">
        <f t="shared" si="165"/>
        <v>-1</v>
      </c>
      <c r="Q3502" s="11">
        <f>IF(P3502=0,0,IFERROR(Q3501+G3502*M3502*IF(E3502="FUTURE",VLOOKUP(MID(I3502,2,2),[1]Futures!$A$2:$B$12,2),1),G3502*M3502*IF(E3502="FUTURE",VLOOKUP(MID(I3502,2,2),[1]Futures!$A$2:$B$12,2),1)))</f>
        <v>-47500</v>
      </c>
      <c r="R3502" s="12">
        <f>IFERROR(Q3502/P3502/IF(E3502="FUTURE",VLOOKUP(MID(I3502,2,2),[1]Futures!$A$2:$B$12,2),1),"")</f>
        <v>47.5</v>
      </c>
      <c r="S3502" s="13" t="str">
        <f>IF(AND(H3502="TO CLOSE",P3502=0),-G3502*(M3502-R3501)*IF(E3502="FUTURE",VLOOKUP(MID(I3502,2,2),[1]Futures!$A$2:$B$12,2),1),"")</f>
        <v/>
      </c>
    </row>
    <row r="3503" spans="1:19" x14ac:dyDescent="0.2">
      <c r="A3503">
        <f t="shared" si="164"/>
        <v>1124</v>
      </c>
      <c r="B3503" s="3">
        <v>44181</v>
      </c>
      <c r="C3503" s="3" t="str">
        <f t="shared" si="166"/>
        <v>Wednesday</v>
      </c>
      <c r="D3503" s="2">
        <v>0.44776620370370374</v>
      </c>
      <c r="E3503" t="s">
        <v>14</v>
      </c>
      <c r="F3503" t="s">
        <v>19</v>
      </c>
      <c r="G3503">
        <v>1</v>
      </c>
      <c r="H3503" t="s">
        <v>16</v>
      </c>
      <c r="I3503" t="s">
        <v>88</v>
      </c>
      <c r="J3503" s="1">
        <v>43851</v>
      </c>
      <c r="L3503" t="s">
        <v>14</v>
      </c>
      <c r="M3503">
        <v>47.45</v>
      </c>
      <c r="N3503">
        <v>47.45</v>
      </c>
      <c r="O3503" t="s">
        <v>21</v>
      </c>
      <c r="P3503">
        <f t="shared" si="165"/>
        <v>0</v>
      </c>
      <c r="Q3503" s="11">
        <f>IF(P3503=0,0,IFERROR(Q3502+G3503*M3503*IF(E3503="FUTURE",VLOOKUP(MID(I3503,2,2),[1]Futures!$A$2:$B$12,2),1),G3503*M3503*IF(E3503="FUTURE",VLOOKUP(MID(I3503,2,2),[1]Futures!$A$2:$B$12,2),1)))</f>
        <v>0</v>
      </c>
      <c r="R3503" s="12" t="str">
        <f>IFERROR(Q3503/P3503/IF(E3503="FUTURE",VLOOKUP(MID(I3503,2,2),[1]Futures!$A$2:$B$12,2),1),"")</f>
        <v/>
      </c>
      <c r="S3503" s="13">
        <f>IF(AND(H3503="TO CLOSE",P3503=0),-G3503*(M3503-R3502)*IF(E3503="FUTURE",VLOOKUP(MID(I3503,2,2),[1]Futures!$A$2:$B$12,2),1),"")</f>
        <v>49.999999999997158</v>
      </c>
    </row>
    <row r="3504" spans="1:19" x14ac:dyDescent="0.2">
      <c r="A3504">
        <f t="shared" si="164"/>
        <v>1125</v>
      </c>
      <c r="B3504" s="3">
        <v>44181</v>
      </c>
      <c r="C3504" s="3" t="str">
        <f t="shared" si="166"/>
        <v>Wednesday</v>
      </c>
      <c r="D3504" s="2">
        <v>0.39665509259259263</v>
      </c>
      <c r="E3504" t="s">
        <v>14</v>
      </c>
      <c r="F3504" t="s">
        <v>15</v>
      </c>
      <c r="G3504">
        <v>-1</v>
      </c>
      <c r="H3504" t="s">
        <v>20</v>
      </c>
      <c r="I3504" t="s">
        <v>89</v>
      </c>
      <c r="J3504" s="1">
        <v>43911</v>
      </c>
      <c r="L3504" t="s">
        <v>14</v>
      </c>
      <c r="M3504">
        <v>3691</v>
      </c>
      <c r="N3504">
        <v>3691</v>
      </c>
      <c r="O3504" t="s">
        <v>21</v>
      </c>
      <c r="P3504">
        <f t="shared" si="165"/>
        <v>-1</v>
      </c>
      <c r="Q3504" s="11">
        <f>IF(P3504=0,0,IFERROR(Q3503+G3504*M3504*IF(E3504="FUTURE",VLOOKUP(MID(I3504,2,2),[1]Futures!$A$2:$B$12,2),1),G3504*M3504*IF(E3504="FUTURE",VLOOKUP(MID(I3504,2,2),[1]Futures!$A$2:$B$12,2),1)))</f>
        <v>-184550</v>
      </c>
      <c r="R3504" s="12">
        <f>IFERROR(Q3504/P3504/IF(E3504="FUTURE",VLOOKUP(MID(I3504,2,2),[1]Futures!$A$2:$B$12,2),1),"")</f>
        <v>3691</v>
      </c>
      <c r="S3504" s="13" t="str">
        <f>IF(AND(H3504="TO CLOSE",P3504=0),-G3504*(M3504-R3503)*IF(E3504="FUTURE",VLOOKUP(MID(I3504,2,2),[1]Futures!$A$2:$B$12,2),1),"")</f>
        <v/>
      </c>
    </row>
    <row r="3505" spans="1:19" x14ac:dyDescent="0.2">
      <c r="A3505">
        <f t="shared" si="164"/>
        <v>1125</v>
      </c>
      <c r="B3505" s="3">
        <v>44181</v>
      </c>
      <c r="C3505" s="3" t="str">
        <f t="shared" si="166"/>
        <v>Wednesday</v>
      </c>
      <c r="D3505" s="2">
        <v>0.3979050925925926</v>
      </c>
      <c r="E3505" t="s">
        <v>14</v>
      </c>
      <c r="F3505" t="s">
        <v>19</v>
      </c>
      <c r="G3505">
        <v>1</v>
      </c>
      <c r="H3505" t="s">
        <v>16</v>
      </c>
      <c r="I3505" t="s">
        <v>89</v>
      </c>
      <c r="J3505" s="1">
        <v>43911</v>
      </c>
      <c r="L3505" t="s">
        <v>14</v>
      </c>
      <c r="M3505">
        <v>3690.5</v>
      </c>
      <c r="N3505">
        <v>3690.5</v>
      </c>
      <c r="O3505" t="s">
        <v>18</v>
      </c>
      <c r="P3505">
        <f t="shared" si="165"/>
        <v>0</v>
      </c>
      <c r="Q3505" s="11">
        <f>IF(P3505=0,0,IFERROR(Q3504+G3505*M3505*IF(E3505="FUTURE",VLOOKUP(MID(I3505,2,2),[1]Futures!$A$2:$B$12,2),1),G3505*M3505*IF(E3505="FUTURE",VLOOKUP(MID(I3505,2,2),[1]Futures!$A$2:$B$12,2),1)))</f>
        <v>0</v>
      </c>
      <c r="R3505" s="12" t="str">
        <f>IFERROR(Q3505/P3505/IF(E3505="FUTURE",VLOOKUP(MID(I3505,2,2),[1]Futures!$A$2:$B$12,2),1),"")</f>
        <v/>
      </c>
      <c r="S3505" s="13">
        <f>IF(AND(H3505="TO CLOSE",P3505=0),-G3505*(M3505-R3504)*IF(E3505="FUTURE",VLOOKUP(MID(I3505,2,2),[1]Futures!$A$2:$B$12,2),1),"")</f>
        <v>25</v>
      </c>
    </row>
    <row r="3506" spans="1:19" x14ac:dyDescent="0.2">
      <c r="A3506">
        <f t="shared" si="164"/>
        <v>1126</v>
      </c>
      <c r="B3506" s="3">
        <v>44181</v>
      </c>
      <c r="C3506" s="3" t="str">
        <f t="shared" si="166"/>
        <v>Wednesday</v>
      </c>
      <c r="D3506" s="2">
        <v>0.4223958333333333</v>
      </c>
      <c r="E3506" t="s">
        <v>14</v>
      </c>
      <c r="F3506" t="s">
        <v>15</v>
      </c>
      <c r="G3506">
        <v>-1</v>
      </c>
      <c r="H3506" t="s">
        <v>20</v>
      </c>
      <c r="I3506" t="s">
        <v>89</v>
      </c>
      <c r="J3506" s="1">
        <v>43911</v>
      </c>
      <c r="L3506" t="s">
        <v>14</v>
      </c>
      <c r="M3506">
        <v>3690</v>
      </c>
      <c r="N3506">
        <v>3690</v>
      </c>
      <c r="O3506" t="s">
        <v>21</v>
      </c>
      <c r="P3506">
        <f t="shared" si="165"/>
        <v>-1</v>
      </c>
      <c r="Q3506" s="11">
        <f>IF(P3506=0,0,IFERROR(Q3505+G3506*M3506*IF(E3506="FUTURE",VLOOKUP(MID(I3506,2,2),[1]Futures!$A$2:$B$12,2),1),G3506*M3506*IF(E3506="FUTURE",VLOOKUP(MID(I3506,2,2),[1]Futures!$A$2:$B$12,2),1)))</f>
        <v>-184500</v>
      </c>
      <c r="R3506" s="12">
        <f>IFERROR(Q3506/P3506/IF(E3506="FUTURE",VLOOKUP(MID(I3506,2,2),[1]Futures!$A$2:$B$12,2),1),"")</f>
        <v>3690</v>
      </c>
      <c r="S3506" s="13" t="str">
        <f>IF(AND(H3506="TO CLOSE",P3506=0),-G3506*(M3506-R3505)*IF(E3506="FUTURE",VLOOKUP(MID(I3506,2,2),[1]Futures!$A$2:$B$12,2),1),"")</f>
        <v/>
      </c>
    </row>
    <row r="3507" spans="1:19" x14ac:dyDescent="0.2">
      <c r="A3507">
        <f t="shared" si="164"/>
        <v>1126</v>
      </c>
      <c r="B3507" s="3">
        <v>44181</v>
      </c>
      <c r="C3507" s="3" t="str">
        <f t="shared" si="166"/>
        <v>Wednesday</v>
      </c>
      <c r="D3507" s="2">
        <v>0.42638888888888887</v>
      </c>
      <c r="E3507" t="s">
        <v>14</v>
      </c>
      <c r="F3507" t="s">
        <v>19</v>
      </c>
      <c r="G3507">
        <v>1</v>
      </c>
      <c r="H3507" t="s">
        <v>16</v>
      </c>
      <c r="I3507" t="s">
        <v>89</v>
      </c>
      <c r="J3507" s="1">
        <v>43911</v>
      </c>
      <c r="L3507" t="s">
        <v>14</v>
      </c>
      <c r="M3507">
        <v>3688</v>
      </c>
      <c r="N3507">
        <v>3688</v>
      </c>
      <c r="O3507" t="s">
        <v>21</v>
      </c>
      <c r="P3507">
        <f t="shared" si="165"/>
        <v>0</v>
      </c>
      <c r="Q3507" s="11">
        <f>IF(P3507=0,0,IFERROR(Q3506+G3507*M3507*IF(E3507="FUTURE",VLOOKUP(MID(I3507,2,2),[1]Futures!$A$2:$B$12,2),1),G3507*M3507*IF(E3507="FUTURE",VLOOKUP(MID(I3507,2,2),[1]Futures!$A$2:$B$12,2),1)))</f>
        <v>0</v>
      </c>
      <c r="R3507" s="12" t="str">
        <f>IFERROR(Q3507/P3507/IF(E3507="FUTURE",VLOOKUP(MID(I3507,2,2),[1]Futures!$A$2:$B$12,2),1),"")</f>
        <v/>
      </c>
      <c r="S3507" s="13">
        <f>IF(AND(H3507="TO CLOSE",P3507=0),-G3507*(M3507-R3506)*IF(E3507="FUTURE",VLOOKUP(MID(I3507,2,2),[1]Futures!$A$2:$B$12,2),1),"")</f>
        <v>100</v>
      </c>
    </row>
    <row r="3508" spans="1:19" x14ac:dyDescent="0.2">
      <c r="A3508">
        <f t="shared" si="164"/>
        <v>1127</v>
      </c>
      <c r="B3508" s="3">
        <v>44182</v>
      </c>
      <c r="C3508" s="3" t="str">
        <f t="shared" si="166"/>
        <v>Thursday</v>
      </c>
      <c r="D3508" s="2">
        <v>0.42263888888888884</v>
      </c>
      <c r="E3508" t="s">
        <v>14</v>
      </c>
      <c r="F3508" t="s">
        <v>15</v>
      </c>
      <c r="G3508">
        <v>-1</v>
      </c>
      <c r="H3508" t="s">
        <v>20</v>
      </c>
      <c r="I3508" t="s">
        <v>90</v>
      </c>
      <c r="J3508" s="1">
        <v>43882</v>
      </c>
      <c r="L3508" t="s">
        <v>14</v>
      </c>
      <c r="M3508">
        <v>48.57</v>
      </c>
      <c r="N3508">
        <v>48.57</v>
      </c>
      <c r="O3508" t="s">
        <v>21</v>
      </c>
      <c r="P3508">
        <f t="shared" si="165"/>
        <v>-1</v>
      </c>
      <c r="Q3508" s="11">
        <f>IF(P3508=0,0,IFERROR(Q3507+G3508*M3508*IF(E3508="FUTURE",VLOOKUP(MID(I3508,2,2),[1]Futures!$A$2:$B$12,2),1),G3508*M3508*IF(E3508="FUTURE",VLOOKUP(MID(I3508,2,2),[1]Futures!$A$2:$B$12,2),1)))</f>
        <v>-48570</v>
      </c>
      <c r="R3508" s="12">
        <f>IFERROR(Q3508/P3508/IF(E3508="FUTURE",VLOOKUP(MID(I3508,2,2),[1]Futures!$A$2:$B$12,2),1),"")</f>
        <v>48.57</v>
      </c>
      <c r="S3508" s="13" t="str">
        <f>IF(AND(H3508="TO CLOSE",P3508=0),-G3508*(M3508-R3507)*IF(E3508="FUTURE",VLOOKUP(MID(I3508,2,2),[1]Futures!$A$2:$B$12,2),1),"")</f>
        <v/>
      </c>
    </row>
    <row r="3509" spans="1:19" x14ac:dyDescent="0.2">
      <c r="A3509">
        <f t="shared" si="164"/>
        <v>1127</v>
      </c>
      <c r="B3509" s="3">
        <v>44182</v>
      </c>
      <c r="C3509" s="3" t="str">
        <f t="shared" si="166"/>
        <v>Thursday</v>
      </c>
      <c r="D3509" s="2">
        <v>0.43157407407407405</v>
      </c>
      <c r="E3509" t="s">
        <v>14</v>
      </c>
      <c r="F3509" t="s">
        <v>19</v>
      </c>
      <c r="G3509">
        <v>1</v>
      </c>
      <c r="H3509" t="s">
        <v>16</v>
      </c>
      <c r="I3509" t="s">
        <v>90</v>
      </c>
      <c r="J3509" s="1">
        <v>43882</v>
      </c>
      <c r="L3509" t="s">
        <v>14</v>
      </c>
      <c r="M3509">
        <v>48.47</v>
      </c>
      <c r="N3509">
        <v>48.47</v>
      </c>
      <c r="O3509" t="s">
        <v>24</v>
      </c>
      <c r="P3509">
        <f t="shared" si="165"/>
        <v>0</v>
      </c>
      <c r="Q3509" s="11">
        <f>IF(P3509=0,0,IFERROR(Q3508+G3509*M3509*IF(E3509="FUTURE",VLOOKUP(MID(I3509,2,2),[1]Futures!$A$2:$B$12,2),1),G3509*M3509*IF(E3509="FUTURE",VLOOKUP(MID(I3509,2,2),[1]Futures!$A$2:$B$12,2),1)))</f>
        <v>0</v>
      </c>
      <c r="R3509" s="12" t="str">
        <f>IFERROR(Q3509/P3509/IF(E3509="FUTURE",VLOOKUP(MID(I3509,2,2),[1]Futures!$A$2:$B$12,2),1),"")</f>
        <v/>
      </c>
      <c r="S3509" s="13">
        <f>IF(AND(H3509="TO CLOSE",P3509=0),-G3509*(M3509-R3508)*IF(E3509="FUTURE",VLOOKUP(MID(I3509,2,2),[1]Futures!$A$2:$B$12,2),1),"")</f>
        <v>100.00000000000142</v>
      </c>
    </row>
    <row r="3510" spans="1:19" x14ac:dyDescent="0.2">
      <c r="A3510">
        <f t="shared" si="164"/>
        <v>1128</v>
      </c>
      <c r="B3510" s="3">
        <v>44182</v>
      </c>
      <c r="C3510" s="3" t="str">
        <f t="shared" si="166"/>
        <v>Thursday</v>
      </c>
      <c r="D3510" s="2">
        <v>0.44497685185185182</v>
      </c>
      <c r="E3510" t="s">
        <v>14</v>
      </c>
      <c r="F3510" t="s">
        <v>19</v>
      </c>
      <c r="G3510">
        <v>1</v>
      </c>
      <c r="H3510" t="s">
        <v>20</v>
      </c>
      <c r="I3510" t="s">
        <v>90</v>
      </c>
      <c r="J3510" s="1">
        <v>43882</v>
      </c>
      <c r="L3510" t="s">
        <v>14</v>
      </c>
      <c r="M3510">
        <v>48.27</v>
      </c>
      <c r="N3510">
        <v>48.27</v>
      </c>
      <c r="O3510" t="s">
        <v>21</v>
      </c>
      <c r="P3510">
        <f t="shared" si="165"/>
        <v>1</v>
      </c>
      <c r="Q3510" s="11">
        <f>IF(P3510=0,0,IFERROR(Q3509+G3510*M3510*IF(E3510="FUTURE",VLOOKUP(MID(I3510,2,2),[1]Futures!$A$2:$B$12,2),1),G3510*M3510*IF(E3510="FUTURE",VLOOKUP(MID(I3510,2,2),[1]Futures!$A$2:$B$12,2),1)))</f>
        <v>48270</v>
      </c>
      <c r="R3510" s="12">
        <f>IFERROR(Q3510/P3510/IF(E3510="FUTURE",VLOOKUP(MID(I3510,2,2),[1]Futures!$A$2:$B$12,2),1),"")</f>
        <v>48.27</v>
      </c>
      <c r="S3510" s="13" t="str">
        <f>IF(AND(H3510="TO CLOSE",P3510=0),-G3510*(M3510-R3509)*IF(E3510="FUTURE",VLOOKUP(MID(I3510,2,2),[1]Futures!$A$2:$B$12,2),1),"")</f>
        <v/>
      </c>
    </row>
    <row r="3511" spans="1:19" x14ac:dyDescent="0.2">
      <c r="A3511">
        <f t="shared" si="164"/>
        <v>1128</v>
      </c>
      <c r="B3511" s="3">
        <v>44182</v>
      </c>
      <c r="C3511" s="3" t="str">
        <f t="shared" si="166"/>
        <v>Thursday</v>
      </c>
      <c r="D3511" s="2">
        <v>0.44697916666666665</v>
      </c>
      <c r="E3511" t="s">
        <v>14</v>
      </c>
      <c r="F3511" t="s">
        <v>15</v>
      </c>
      <c r="G3511">
        <v>-1</v>
      </c>
      <c r="H3511" t="s">
        <v>16</v>
      </c>
      <c r="I3511" t="s">
        <v>90</v>
      </c>
      <c r="J3511" s="1">
        <v>43882</v>
      </c>
      <c r="L3511" t="s">
        <v>14</v>
      </c>
      <c r="M3511">
        <v>48.32</v>
      </c>
      <c r="N3511">
        <v>48.32</v>
      </c>
      <c r="O3511" t="s">
        <v>21</v>
      </c>
      <c r="P3511">
        <f t="shared" si="165"/>
        <v>0</v>
      </c>
      <c r="Q3511" s="11">
        <f>IF(P3511=0,0,IFERROR(Q3510+G3511*M3511*IF(E3511="FUTURE",VLOOKUP(MID(I3511,2,2),[1]Futures!$A$2:$B$12,2),1),G3511*M3511*IF(E3511="FUTURE",VLOOKUP(MID(I3511,2,2),[1]Futures!$A$2:$B$12,2),1)))</f>
        <v>0</v>
      </c>
      <c r="R3511" s="12" t="str">
        <f>IFERROR(Q3511/P3511/IF(E3511="FUTURE",VLOOKUP(MID(I3511,2,2),[1]Futures!$A$2:$B$12,2),1),"")</f>
        <v/>
      </c>
      <c r="S3511" s="13">
        <f>IF(AND(H3511="TO CLOSE",P3511=0),-G3511*(M3511-R3510)*IF(E3511="FUTURE",VLOOKUP(MID(I3511,2,2),[1]Futures!$A$2:$B$12,2),1),"")</f>
        <v>49.999999999997158</v>
      </c>
    </row>
    <row r="3512" spans="1:19" x14ac:dyDescent="0.2">
      <c r="A3512">
        <f t="shared" si="164"/>
        <v>1129</v>
      </c>
      <c r="B3512" s="3">
        <v>44182</v>
      </c>
      <c r="C3512" s="3" t="str">
        <f t="shared" si="166"/>
        <v>Thursday</v>
      </c>
      <c r="D3512" s="2">
        <v>0.41137731481481482</v>
      </c>
      <c r="E3512" t="s">
        <v>14</v>
      </c>
      <c r="F3512" t="s">
        <v>15</v>
      </c>
      <c r="G3512">
        <v>-1</v>
      </c>
      <c r="H3512" t="s">
        <v>20</v>
      </c>
      <c r="I3512" t="s">
        <v>89</v>
      </c>
      <c r="J3512" s="1">
        <v>43911</v>
      </c>
      <c r="L3512" t="s">
        <v>14</v>
      </c>
      <c r="M3512">
        <v>3711.25</v>
      </c>
      <c r="N3512">
        <v>3711.25</v>
      </c>
      <c r="O3512" t="s">
        <v>21</v>
      </c>
      <c r="P3512">
        <f t="shared" si="165"/>
        <v>-1</v>
      </c>
      <c r="Q3512" s="11">
        <f>IF(P3512=0,0,IFERROR(Q3511+G3512*M3512*IF(E3512="FUTURE",VLOOKUP(MID(I3512,2,2),[1]Futures!$A$2:$B$12,2),1),G3512*M3512*IF(E3512="FUTURE",VLOOKUP(MID(I3512,2,2),[1]Futures!$A$2:$B$12,2),1)))</f>
        <v>-185562.5</v>
      </c>
      <c r="R3512" s="12">
        <f>IFERROR(Q3512/P3512/IF(E3512="FUTURE",VLOOKUP(MID(I3512,2,2),[1]Futures!$A$2:$B$12,2),1),"")</f>
        <v>3711.25</v>
      </c>
      <c r="S3512" s="13" t="str">
        <f>IF(AND(H3512="TO CLOSE",P3512=0),-G3512*(M3512-R3511)*IF(E3512="FUTURE",VLOOKUP(MID(I3512,2,2),[1]Futures!$A$2:$B$12,2),1),"")</f>
        <v/>
      </c>
    </row>
    <row r="3513" spans="1:19" x14ac:dyDescent="0.2">
      <c r="A3513">
        <f t="shared" si="164"/>
        <v>1129</v>
      </c>
      <c r="B3513" s="3">
        <v>44182</v>
      </c>
      <c r="C3513" s="3" t="str">
        <f t="shared" si="166"/>
        <v>Thursday</v>
      </c>
      <c r="D3513" s="2">
        <v>0.41667824074074072</v>
      </c>
      <c r="E3513" t="s">
        <v>14</v>
      </c>
      <c r="F3513" t="s">
        <v>19</v>
      </c>
      <c r="G3513">
        <v>1</v>
      </c>
      <c r="H3513" t="s">
        <v>16</v>
      </c>
      <c r="I3513" t="s">
        <v>89</v>
      </c>
      <c r="J3513" s="1">
        <v>43911</v>
      </c>
      <c r="L3513" t="s">
        <v>14</v>
      </c>
      <c r="M3513">
        <v>3710.25</v>
      </c>
      <c r="N3513">
        <v>3710.25</v>
      </c>
      <c r="O3513" t="s">
        <v>18</v>
      </c>
      <c r="P3513">
        <f t="shared" si="165"/>
        <v>0</v>
      </c>
      <c r="Q3513" s="11">
        <f>IF(P3513=0,0,IFERROR(Q3512+G3513*M3513*IF(E3513="FUTURE",VLOOKUP(MID(I3513,2,2),[1]Futures!$A$2:$B$12,2),1),G3513*M3513*IF(E3513="FUTURE",VLOOKUP(MID(I3513,2,2),[1]Futures!$A$2:$B$12,2),1)))</f>
        <v>0</v>
      </c>
      <c r="R3513" s="12" t="str">
        <f>IFERROR(Q3513/P3513/IF(E3513="FUTURE",VLOOKUP(MID(I3513,2,2),[1]Futures!$A$2:$B$12,2),1),"")</f>
        <v/>
      </c>
      <c r="S3513" s="13">
        <f>IF(AND(H3513="TO CLOSE",P3513=0),-G3513*(M3513-R3512)*IF(E3513="FUTURE",VLOOKUP(MID(I3513,2,2),[1]Futures!$A$2:$B$12,2),1),"")</f>
        <v>50</v>
      </c>
    </row>
    <row r="3514" spans="1:19" x14ac:dyDescent="0.2">
      <c r="A3514">
        <f t="shared" si="164"/>
        <v>1130</v>
      </c>
      <c r="B3514" s="3">
        <v>44182</v>
      </c>
      <c r="C3514" s="3" t="str">
        <f t="shared" si="166"/>
        <v>Thursday</v>
      </c>
      <c r="D3514" s="2">
        <v>0.44782407407407404</v>
      </c>
      <c r="E3514" t="s">
        <v>14</v>
      </c>
      <c r="F3514" t="s">
        <v>15</v>
      </c>
      <c r="G3514">
        <v>-1</v>
      </c>
      <c r="H3514" t="s">
        <v>20</v>
      </c>
      <c r="I3514" t="s">
        <v>89</v>
      </c>
      <c r="J3514" s="1">
        <v>43911</v>
      </c>
      <c r="L3514" t="s">
        <v>14</v>
      </c>
      <c r="M3514">
        <v>3707.5</v>
      </c>
      <c r="N3514">
        <v>3707.5</v>
      </c>
      <c r="O3514" t="s">
        <v>21</v>
      </c>
      <c r="P3514">
        <f t="shared" si="165"/>
        <v>-1</v>
      </c>
      <c r="Q3514" s="11">
        <f>IF(P3514=0,0,IFERROR(Q3513+G3514*M3514*IF(E3514="FUTURE",VLOOKUP(MID(I3514,2,2),[1]Futures!$A$2:$B$12,2),1),G3514*M3514*IF(E3514="FUTURE",VLOOKUP(MID(I3514,2,2),[1]Futures!$A$2:$B$12,2),1)))</f>
        <v>-185375</v>
      </c>
      <c r="R3514" s="12">
        <f>IFERROR(Q3514/P3514/IF(E3514="FUTURE",VLOOKUP(MID(I3514,2,2),[1]Futures!$A$2:$B$12,2),1),"")</f>
        <v>3707.5</v>
      </c>
      <c r="S3514" s="13" t="str">
        <f>IF(AND(H3514="TO CLOSE",P3514=0),-G3514*(M3514-R3513)*IF(E3514="FUTURE",VLOOKUP(MID(I3514,2,2),[1]Futures!$A$2:$B$12,2),1),"")</f>
        <v/>
      </c>
    </row>
    <row r="3515" spans="1:19" x14ac:dyDescent="0.2">
      <c r="A3515">
        <f t="shared" si="164"/>
        <v>1130</v>
      </c>
      <c r="B3515" s="3">
        <v>44182</v>
      </c>
      <c r="C3515" s="3" t="str">
        <f t="shared" si="166"/>
        <v>Thursday</v>
      </c>
      <c r="D3515" s="2">
        <v>0.46186342592592594</v>
      </c>
      <c r="E3515" t="s">
        <v>14</v>
      </c>
      <c r="F3515" t="s">
        <v>19</v>
      </c>
      <c r="G3515">
        <v>1</v>
      </c>
      <c r="H3515" t="s">
        <v>16</v>
      </c>
      <c r="I3515" t="s">
        <v>89</v>
      </c>
      <c r="J3515" s="1">
        <v>43911</v>
      </c>
      <c r="L3515" t="s">
        <v>14</v>
      </c>
      <c r="M3515">
        <v>3707</v>
      </c>
      <c r="N3515">
        <v>3707</v>
      </c>
      <c r="O3515" t="s">
        <v>18</v>
      </c>
      <c r="P3515">
        <f t="shared" si="165"/>
        <v>0</v>
      </c>
      <c r="Q3515" s="11">
        <f>IF(P3515=0,0,IFERROR(Q3514+G3515*M3515*IF(E3515="FUTURE",VLOOKUP(MID(I3515,2,2),[1]Futures!$A$2:$B$12,2),1),G3515*M3515*IF(E3515="FUTURE",VLOOKUP(MID(I3515,2,2),[1]Futures!$A$2:$B$12,2),1)))</f>
        <v>0</v>
      </c>
      <c r="R3515" s="12" t="str">
        <f>IFERROR(Q3515/P3515/IF(E3515="FUTURE",VLOOKUP(MID(I3515,2,2),[1]Futures!$A$2:$B$12,2),1),"")</f>
        <v/>
      </c>
      <c r="S3515" s="13">
        <f>IF(AND(H3515="TO CLOSE",P3515=0),-G3515*(M3515-R3514)*IF(E3515="FUTURE",VLOOKUP(MID(I3515,2,2),[1]Futures!$A$2:$B$12,2),1),"")</f>
        <v>25</v>
      </c>
    </row>
    <row r="3516" spans="1:19" x14ac:dyDescent="0.2">
      <c r="A3516">
        <f t="shared" si="164"/>
        <v>1131</v>
      </c>
      <c r="B3516" s="3">
        <v>44182</v>
      </c>
      <c r="C3516" s="3" t="str">
        <f t="shared" si="166"/>
        <v>Thursday</v>
      </c>
      <c r="D3516" s="2">
        <v>0.6224884259259259</v>
      </c>
      <c r="E3516" t="s">
        <v>14</v>
      </c>
      <c r="F3516" t="s">
        <v>15</v>
      </c>
      <c r="G3516">
        <v>-1</v>
      </c>
      <c r="H3516" t="s">
        <v>20</v>
      </c>
      <c r="I3516" t="s">
        <v>89</v>
      </c>
      <c r="J3516" s="1">
        <v>43911</v>
      </c>
      <c r="L3516" t="s">
        <v>14</v>
      </c>
      <c r="M3516">
        <v>3712.25</v>
      </c>
      <c r="N3516">
        <v>3712.25</v>
      </c>
      <c r="O3516" t="s">
        <v>21</v>
      </c>
      <c r="P3516">
        <f t="shared" si="165"/>
        <v>-1</v>
      </c>
      <c r="Q3516" s="11">
        <f>IF(P3516=0,0,IFERROR(Q3515+G3516*M3516*IF(E3516="FUTURE",VLOOKUP(MID(I3516,2,2),[1]Futures!$A$2:$B$12,2),1),G3516*M3516*IF(E3516="FUTURE",VLOOKUP(MID(I3516,2,2),[1]Futures!$A$2:$B$12,2),1)))</f>
        <v>-185612.5</v>
      </c>
      <c r="R3516" s="12">
        <f>IFERROR(Q3516/P3516/IF(E3516="FUTURE",VLOOKUP(MID(I3516,2,2),[1]Futures!$A$2:$B$12,2),1),"")</f>
        <v>3712.25</v>
      </c>
      <c r="S3516" s="13" t="str">
        <f>IF(AND(H3516="TO CLOSE",P3516=0),-G3516*(M3516-R3515)*IF(E3516="FUTURE",VLOOKUP(MID(I3516,2,2),[1]Futures!$A$2:$B$12,2),1),"")</f>
        <v/>
      </c>
    </row>
    <row r="3517" spans="1:19" x14ac:dyDescent="0.2">
      <c r="A3517">
        <f t="shared" si="164"/>
        <v>1131</v>
      </c>
      <c r="B3517" s="3">
        <v>44182</v>
      </c>
      <c r="C3517" s="3" t="str">
        <f t="shared" si="166"/>
        <v>Thursday</v>
      </c>
      <c r="D3517" s="2">
        <v>0.6283333333333333</v>
      </c>
      <c r="E3517" t="s">
        <v>14</v>
      </c>
      <c r="F3517" t="s">
        <v>19</v>
      </c>
      <c r="G3517">
        <v>1</v>
      </c>
      <c r="H3517" t="s">
        <v>16</v>
      </c>
      <c r="I3517" t="s">
        <v>89</v>
      </c>
      <c r="J3517" s="1">
        <v>43911</v>
      </c>
      <c r="L3517" t="s">
        <v>14</v>
      </c>
      <c r="M3517">
        <v>3711.75</v>
      </c>
      <c r="N3517">
        <v>3711.75</v>
      </c>
      <c r="O3517" t="s">
        <v>21</v>
      </c>
      <c r="P3517">
        <f t="shared" si="165"/>
        <v>0</v>
      </c>
      <c r="Q3517" s="11">
        <f>IF(P3517=0,0,IFERROR(Q3516+G3517*M3517*IF(E3517="FUTURE",VLOOKUP(MID(I3517,2,2),[1]Futures!$A$2:$B$12,2),1),G3517*M3517*IF(E3517="FUTURE",VLOOKUP(MID(I3517,2,2),[1]Futures!$A$2:$B$12,2),1)))</f>
        <v>0</v>
      </c>
      <c r="R3517" s="12" t="str">
        <f>IFERROR(Q3517/P3517/IF(E3517="FUTURE",VLOOKUP(MID(I3517,2,2),[1]Futures!$A$2:$B$12,2),1),"")</f>
        <v/>
      </c>
      <c r="S3517" s="13">
        <f>IF(AND(H3517="TO CLOSE",P3517=0),-G3517*(M3517-R3516)*IF(E3517="FUTURE",VLOOKUP(MID(I3517,2,2),[1]Futures!$A$2:$B$12,2),1),"")</f>
        <v>25</v>
      </c>
    </row>
    <row r="3518" spans="1:19" x14ac:dyDescent="0.2">
      <c r="A3518">
        <f t="shared" si="164"/>
        <v>1132</v>
      </c>
      <c r="B3518" s="3">
        <v>44183</v>
      </c>
      <c r="C3518" s="3" t="str">
        <f t="shared" si="166"/>
        <v>Friday</v>
      </c>
      <c r="D3518" s="2">
        <v>0.38021990740740735</v>
      </c>
      <c r="E3518" t="s">
        <v>14</v>
      </c>
      <c r="F3518" t="s">
        <v>15</v>
      </c>
      <c r="G3518">
        <v>-1</v>
      </c>
      <c r="H3518" t="s">
        <v>20</v>
      </c>
      <c r="I3518" t="s">
        <v>90</v>
      </c>
      <c r="J3518" s="1">
        <v>43882</v>
      </c>
      <c r="L3518" t="s">
        <v>14</v>
      </c>
      <c r="M3518">
        <v>48.83</v>
      </c>
      <c r="N3518">
        <v>48.83</v>
      </c>
      <c r="O3518" t="s">
        <v>21</v>
      </c>
      <c r="P3518">
        <f t="shared" si="165"/>
        <v>-1</v>
      </c>
      <c r="Q3518" s="11">
        <f>IF(P3518=0,0,IFERROR(Q3517+G3518*M3518*IF(E3518="FUTURE",VLOOKUP(MID(I3518,2,2),[1]Futures!$A$2:$B$12,2),1),G3518*M3518*IF(E3518="FUTURE",VLOOKUP(MID(I3518,2,2),[1]Futures!$A$2:$B$12,2),1)))</f>
        <v>-48830</v>
      </c>
      <c r="R3518" s="12">
        <f>IFERROR(Q3518/P3518/IF(E3518="FUTURE",VLOOKUP(MID(I3518,2,2),[1]Futures!$A$2:$B$12,2),1),"")</f>
        <v>48.83</v>
      </c>
      <c r="S3518" s="13" t="str">
        <f>IF(AND(H3518="TO CLOSE",P3518=0),-G3518*(M3518-R3517)*IF(E3518="FUTURE",VLOOKUP(MID(I3518,2,2),[1]Futures!$A$2:$B$12,2),1),"")</f>
        <v/>
      </c>
    </row>
    <row r="3519" spans="1:19" x14ac:dyDescent="0.2">
      <c r="A3519">
        <f t="shared" si="164"/>
        <v>1132</v>
      </c>
      <c r="B3519" s="3">
        <v>44183</v>
      </c>
      <c r="C3519" s="3" t="str">
        <f t="shared" si="166"/>
        <v>Friday</v>
      </c>
      <c r="D3519" s="2">
        <v>0.38866898148148149</v>
      </c>
      <c r="E3519" t="s">
        <v>14</v>
      </c>
      <c r="F3519" t="s">
        <v>15</v>
      </c>
      <c r="G3519">
        <v>-1</v>
      </c>
      <c r="H3519" t="s">
        <v>20</v>
      </c>
      <c r="I3519" t="s">
        <v>90</v>
      </c>
      <c r="J3519" s="1">
        <v>43882</v>
      </c>
      <c r="L3519" t="s">
        <v>14</v>
      </c>
      <c r="M3519">
        <v>48.99</v>
      </c>
      <c r="N3519">
        <v>48.99</v>
      </c>
      <c r="O3519" t="s">
        <v>21</v>
      </c>
      <c r="P3519">
        <f t="shared" si="165"/>
        <v>-2</v>
      </c>
      <c r="Q3519" s="11">
        <f>IF(P3519=0,0,IFERROR(Q3518+G3519*M3519*IF(E3519="FUTURE",VLOOKUP(MID(I3519,2,2),[1]Futures!$A$2:$B$12,2),1),G3519*M3519*IF(E3519="FUTURE",VLOOKUP(MID(I3519,2,2),[1]Futures!$A$2:$B$12,2),1)))</f>
        <v>-97820</v>
      </c>
      <c r="R3519" s="12">
        <f>IFERROR(Q3519/P3519/IF(E3519="FUTURE",VLOOKUP(MID(I3519,2,2),[1]Futures!$A$2:$B$12,2),1),"")</f>
        <v>48.91</v>
      </c>
      <c r="S3519" s="13" t="str">
        <f>IF(AND(H3519="TO CLOSE",P3519=0),-G3519*(M3519-R3518)*IF(E3519="FUTURE",VLOOKUP(MID(I3519,2,2),[1]Futures!$A$2:$B$12,2),1),"")</f>
        <v/>
      </c>
    </row>
    <row r="3520" spans="1:19" x14ac:dyDescent="0.2">
      <c r="A3520">
        <f t="shared" si="164"/>
        <v>1132</v>
      </c>
      <c r="B3520" s="3">
        <v>44183</v>
      </c>
      <c r="C3520" s="3" t="str">
        <f t="shared" si="166"/>
        <v>Friday</v>
      </c>
      <c r="D3520" s="2">
        <v>0.3891087962962963</v>
      </c>
      <c r="E3520" t="s">
        <v>14</v>
      </c>
      <c r="F3520" t="s">
        <v>19</v>
      </c>
      <c r="G3520">
        <v>1</v>
      </c>
      <c r="H3520" t="s">
        <v>16</v>
      </c>
      <c r="I3520" t="s">
        <v>90</v>
      </c>
      <c r="J3520" s="1">
        <v>43882</v>
      </c>
      <c r="L3520" t="s">
        <v>14</v>
      </c>
      <c r="M3520">
        <v>48.92</v>
      </c>
      <c r="N3520">
        <v>48.92</v>
      </c>
      <c r="O3520" t="s">
        <v>21</v>
      </c>
      <c r="P3520">
        <f t="shared" si="165"/>
        <v>-1</v>
      </c>
      <c r="Q3520" s="11">
        <f>IF(P3520=0,0,IFERROR(Q3519+G3520*M3520*IF(E3520="FUTURE",VLOOKUP(MID(I3520,2,2),[1]Futures!$A$2:$B$12,2),1),G3520*M3520*IF(E3520="FUTURE",VLOOKUP(MID(I3520,2,2),[1]Futures!$A$2:$B$12,2),1)))</f>
        <v>-48900</v>
      </c>
      <c r="R3520" s="12">
        <f>IFERROR(Q3520/P3520/IF(E3520="FUTURE",VLOOKUP(MID(I3520,2,2),[1]Futures!$A$2:$B$12,2),1),"")</f>
        <v>48.9</v>
      </c>
      <c r="S3520" s="13" t="str">
        <f>IF(AND(H3520="TO CLOSE",P3520=0),-G3520*(M3520-R3519)*IF(E3520="FUTURE",VLOOKUP(MID(I3520,2,2),[1]Futures!$A$2:$B$12,2),1),"")</f>
        <v/>
      </c>
    </row>
    <row r="3521" spans="1:19" x14ac:dyDescent="0.2">
      <c r="A3521">
        <f t="shared" si="164"/>
        <v>1132</v>
      </c>
      <c r="B3521" s="3">
        <v>44183</v>
      </c>
      <c r="C3521" s="3" t="str">
        <f t="shared" si="166"/>
        <v>Friday</v>
      </c>
      <c r="D3521" s="2">
        <v>0.40255787037037033</v>
      </c>
      <c r="E3521" t="s">
        <v>14</v>
      </c>
      <c r="F3521" t="s">
        <v>15</v>
      </c>
      <c r="G3521">
        <v>-1</v>
      </c>
      <c r="H3521" t="s">
        <v>20</v>
      </c>
      <c r="I3521" t="s">
        <v>90</v>
      </c>
      <c r="J3521" s="1">
        <v>43882</v>
      </c>
      <c r="L3521" t="s">
        <v>14</v>
      </c>
      <c r="M3521">
        <v>48.99</v>
      </c>
      <c r="N3521">
        <v>48.99</v>
      </c>
      <c r="O3521" t="s">
        <v>21</v>
      </c>
      <c r="P3521">
        <f t="shared" si="165"/>
        <v>-2</v>
      </c>
      <c r="Q3521" s="11">
        <f>IF(P3521=0,0,IFERROR(Q3520+G3521*M3521*IF(E3521="FUTURE",VLOOKUP(MID(I3521,2,2),[1]Futures!$A$2:$B$12,2),1),G3521*M3521*IF(E3521="FUTURE",VLOOKUP(MID(I3521,2,2),[1]Futures!$A$2:$B$12,2),1)))</f>
        <v>-97890</v>
      </c>
      <c r="R3521" s="12">
        <f>IFERROR(Q3521/P3521/IF(E3521="FUTURE",VLOOKUP(MID(I3521,2,2),[1]Futures!$A$2:$B$12,2),1),"")</f>
        <v>48.945</v>
      </c>
      <c r="S3521" s="13" t="str">
        <f>IF(AND(H3521="TO CLOSE",P3521=0),-G3521*(M3521-R3520)*IF(E3521="FUTURE",VLOOKUP(MID(I3521,2,2),[1]Futures!$A$2:$B$12,2),1),"")</f>
        <v/>
      </c>
    </row>
    <row r="3522" spans="1:19" x14ac:dyDescent="0.2">
      <c r="A3522">
        <f t="shared" ref="A3522:A3585" si="167">IF(AND(P3521=0,H3521="TO CLOSE"),IFERROR(A3521+1,1),IFERROR(A3521/1,1))</f>
        <v>1132</v>
      </c>
      <c r="B3522" s="3">
        <v>44183</v>
      </c>
      <c r="C3522" s="3" t="str">
        <f t="shared" si="166"/>
        <v>Friday</v>
      </c>
      <c r="D3522" s="2">
        <v>0.40942129629629626</v>
      </c>
      <c r="E3522" t="s">
        <v>14</v>
      </c>
      <c r="F3522" t="s">
        <v>19</v>
      </c>
      <c r="G3522">
        <v>1</v>
      </c>
      <c r="H3522" t="s">
        <v>16</v>
      </c>
      <c r="I3522" t="s">
        <v>90</v>
      </c>
      <c r="J3522" s="1">
        <v>43882</v>
      </c>
      <c r="L3522" t="s">
        <v>14</v>
      </c>
      <c r="M3522">
        <v>48.89</v>
      </c>
      <c r="N3522">
        <v>48.89</v>
      </c>
      <c r="O3522" t="s">
        <v>21</v>
      </c>
      <c r="P3522">
        <f t="shared" si="165"/>
        <v>-1</v>
      </c>
      <c r="Q3522" s="11">
        <f>IF(P3522=0,0,IFERROR(Q3521+G3522*M3522*IF(E3522="FUTURE",VLOOKUP(MID(I3522,2,2),[1]Futures!$A$2:$B$12,2),1),G3522*M3522*IF(E3522="FUTURE",VLOOKUP(MID(I3522,2,2),[1]Futures!$A$2:$B$12,2),1)))</f>
        <v>-49000</v>
      </c>
      <c r="R3522" s="12">
        <f>IFERROR(Q3522/P3522/IF(E3522="FUTURE",VLOOKUP(MID(I3522,2,2),[1]Futures!$A$2:$B$12,2),1),"")</f>
        <v>49</v>
      </c>
      <c r="S3522" s="13" t="str">
        <f>IF(AND(H3522="TO CLOSE",P3522=0),-G3522*(M3522-R3521)*IF(E3522="FUTURE",VLOOKUP(MID(I3522,2,2),[1]Futures!$A$2:$B$12,2),1),"")</f>
        <v/>
      </c>
    </row>
    <row r="3523" spans="1:19" x14ac:dyDescent="0.2">
      <c r="A3523">
        <f t="shared" si="167"/>
        <v>1132</v>
      </c>
      <c r="B3523" s="3">
        <v>44183</v>
      </c>
      <c r="C3523" s="3" t="str">
        <f t="shared" si="166"/>
        <v>Friday</v>
      </c>
      <c r="D3523" s="2">
        <v>0.41266203703703702</v>
      </c>
      <c r="E3523" t="s">
        <v>14</v>
      </c>
      <c r="F3523" t="s">
        <v>19</v>
      </c>
      <c r="G3523">
        <v>1</v>
      </c>
      <c r="H3523" t="s">
        <v>16</v>
      </c>
      <c r="I3523" t="s">
        <v>90</v>
      </c>
      <c r="J3523" s="1">
        <v>43882</v>
      </c>
      <c r="L3523" t="s">
        <v>14</v>
      </c>
      <c r="M3523">
        <v>48.8</v>
      </c>
      <c r="N3523">
        <v>48.8</v>
      </c>
      <c r="O3523" t="s">
        <v>21</v>
      </c>
      <c r="P3523">
        <f t="shared" ref="P3523:P3586" si="168">IF(H3523="TO OPEN",IFERROR(P3522+G3523,0+G3523),IFERROR(P3522+G3523,0+G3523))</f>
        <v>0</v>
      </c>
      <c r="Q3523" s="11">
        <f>IF(P3523=0,0,IFERROR(Q3522+G3523*M3523*IF(E3523="FUTURE",VLOOKUP(MID(I3523,2,2),[1]Futures!$A$2:$B$12,2),1),G3523*M3523*IF(E3523="FUTURE",VLOOKUP(MID(I3523,2,2),[1]Futures!$A$2:$B$12,2),1)))</f>
        <v>0</v>
      </c>
      <c r="R3523" s="12" t="str">
        <f>IFERROR(Q3523/P3523/IF(E3523="FUTURE",VLOOKUP(MID(I3523,2,2),[1]Futures!$A$2:$B$12,2),1),"")</f>
        <v/>
      </c>
      <c r="S3523" s="13">
        <f>IF(AND(H3523="TO CLOSE",P3523=0),-G3523*(M3523-R3522)*IF(E3523="FUTURE",VLOOKUP(MID(I3523,2,2),[1]Futures!$A$2:$B$12,2),1),"")</f>
        <v>200.00000000000284</v>
      </c>
    </row>
    <row r="3524" spans="1:19" x14ac:dyDescent="0.2">
      <c r="A3524">
        <f t="shared" si="167"/>
        <v>1133</v>
      </c>
      <c r="B3524" s="3">
        <v>44183</v>
      </c>
      <c r="C3524" s="3" t="str">
        <f t="shared" si="166"/>
        <v>Friday</v>
      </c>
      <c r="D3524" s="2">
        <v>0.4622337962962963</v>
      </c>
      <c r="E3524" t="s">
        <v>14</v>
      </c>
      <c r="F3524" t="s">
        <v>15</v>
      </c>
      <c r="G3524">
        <v>-1</v>
      </c>
      <c r="H3524" t="s">
        <v>20</v>
      </c>
      <c r="I3524" t="s">
        <v>90</v>
      </c>
      <c r="J3524" s="1">
        <v>43882</v>
      </c>
      <c r="L3524" t="s">
        <v>14</v>
      </c>
      <c r="M3524">
        <v>49.25</v>
      </c>
      <c r="N3524">
        <v>49.25</v>
      </c>
      <c r="O3524" t="s">
        <v>21</v>
      </c>
      <c r="P3524">
        <f t="shared" si="168"/>
        <v>-1</v>
      </c>
      <c r="Q3524" s="11">
        <f>IF(P3524=0,0,IFERROR(Q3523+G3524*M3524*IF(E3524="FUTURE",VLOOKUP(MID(I3524,2,2),[1]Futures!$A$2:$B$12,2),1),G3524*M3524*IF(E3524="FUTURE",VLOOKUP(MID(I3524,2,2),[1]Futures!$A$2:$B$12,2),1)))</f>
        <v>-49250</v>
      </c>
      <c r="R3524" s="12">
        <f>IFERROR(Q3524/P3524/IF(E3524="FUTURE",VLOOKUP(MID(I3524,2,2),[1]Futures!$A$2:$B$12,2),1),"")</f>
        <v>49.25</v>
      </c>
      <c r="S3524" s="13" t="str">
        <f>IF(AND(H3524="TO CLOSE",P3524=0),-G3524*(M3524-R3523)*IF(E3524="FUTURE",VLOOKUP(MID(I3524,2,2),[1]Futures!$A$2:$B$12,2),1),"")</f>
        <v/>
      </c>
    </row>
    <row r="3525" spans="1:19" x14ac:dyDescent="0.2">
      <c r="A3525">
        <f t="shared" si="167"/>
        <v>1133</v>
      </c>
      <c r="B3525" s="3">
        <v>44183</v>
      </c>
      <c r="C3525" s="3" t="str">
        <f t="shared" si="166"/>
        <v>Friday</v>
      </c>
      <c r="D3525" s="2">
        <v>0.46711805555555558</v>
      </c>
      <c r="E3525" t="s">
        <v>14</v>
      </c>
      <c r="F3525" t="s">
        <v>19</v>
      </c>
      <c r="G3525">
        <v>1</v>
      </c>
      <c r="H3525" t="s">
        <v>16</v>
      </c>
      <c r="I3525" t="s">
        <v>90</v>
      </c>
      <c r="J3525" s="1">
        <v>43882</v>
      </c>
      <c r="L3525" t="s">
        <v>14</v>
      </c>
      <c r="M3525">
        <v>49.15</v>
      </c>
      <c r="N3525">
        <v>49.15</v>
      </c>
      <c r="O3525" t="s">
        <v>21</v>
      </c>
      <c r="P3525">
        <f t="shared" si="168"/>
        <v>0</v>
      </c>
      <c r="Q3525" s="11">
        <f>IF(P3525=0,0,IFERROR(Q3524+G3525*M3525*IF(E3525="FUTURE",VLOOKUP(MID(I3525,2,2),[1]Futures!$A$2:$B$12,2),1),G3525*M3525*IF(E3525="FUTURE",VLOOKUP(MID(I3525,2,2),[1]Futures!$A$2:$B$12,2),1)))</f>
        <v>0</v>
      </c>
      <c r="R3525" s="12" t="str">
        <f>IFERROR(Q3525/P3525/IF(E3525="FUTURE",VLOOKUP(MID(I3525,2,2),[1]Futures!$A$2:$B$12,2),1),"")</f>
        <v/>
      </c>
      <c r="S3525" s="13">
        <f>IF(AND(H3525="TO CLOSE",P3525=0),-G3525*(M3525-R3524)*IF(E3525="FUTURE",VLOOKUP(MID(I3525,2,2),[1]Futures!$A$2:$B$12,2),1),"")</f>
        <v>100.00000000000142</v>
      </c>
    </row>
    <row r="3526" spans="1:19" x14ac:dyDescent="0.2">
      <c r="A3526">
        <f t="shared" si="167"/>
        <v>1134</v>
      </c>
      <c r="B3526" s="3">
        <v>44183</v>
      </c>
      <c r="C3526" s="3" t="str">
        <f t="shared" si="166"/>
        <v>Friday</v>
      </c>
      <c r="D3526" s="2">
        <v>0.43001157407407403</v>
      </c>
      <c r="E3526" t="s">
        <v>14</v>
      </c>
      <c r="F3526" t="s">
        <v>19</v>
      </c>
      <c r="G3526">
        <v>1</v>
      </c>
      <c r="H3526" t="s">
        <v>20</v>
      </c>
      <c r="I3526" t="s">
        <v>89</v>
      </c>
      <c r="J3526" s="1">
        <v>43911</v>
      </c>
      <c r="L3526" t="s">
        <v>14</v>
      </c>
      <c r="M3526">
        <v>3700</v>
      </c>
      <c r="N3526">
        <v>3700</v>
      </c>
      <c r="O3526" t="s">
        <v>24</v>
      </c>
      <c r="P3526">
        <f t="shared" si="168"/>
        <v>1</v>
      </c>
      <c r="Q3526" s="11">
        <f>IF(P3526=0,0,IFERROR(Q3525+G3526*M3526*IF(E3526="FUTURE",VLOOKUP(MID(I3526,2,2),[1]Futures!$A$2:$B$12,2),1),G3526*M3526*IF(E3526="FUTURE",VLOOKUP(MID(I3526,2,2),[1]Futures!$A$2:$B$12,2),1)))</f>
        <v>185000</v>
      </c>
      <c r="R3526" s="12">
        <f>IFERROR(Q3526/P3526/IF(E3526="FUTURE",VLOOKUP(MID(I3526,2,2),[1]Futures!$A$2:$B$12,2),1),"")</f>
        <v>3700</v>
      </c>
      <c r="S3526" s="13" t="str">
        <f>IF(AND(H3526="TO CLOSE",P3526=0),-G3526*(M3526-R3525)*IF(E3526="FUTURE",VLOOKUP(MID(I3526,2,2),[1]Futures!$A$2:$B$12,2),1),"")</f>
        <v/>
      </c>
    </row>
    <row r="3527" spans="1:19" x14ac:dyDescent="0.2">
      <c r="A3527">
        <f t="shared" si="167"/>
        <v>1134</v>
      </c>
      <c r="B3527" s="3">
        <v>44183</v>
      </c>
      <c r="C3527" s="3" t="str">
        <f t="shared" si="166"/>
        <v>Friday</v>
      </c>
      <c r="D3527" s="2">
        <v>0.52247685185185189</v>
      </c>
      <c r="E3527" t="s">
        <v>14</v>
      </c>
      <c r="F3527" t="s">
        <v>15</v>
      </c>
      <c r="G3527">
        <v>-1</v>
      </c>
      <c r="H3527" t="s">
        <v>16</v>
      </c>
      <c r="I3527" t="s">
        <v>89</v>
      </c>
      <c r="J3527" s="1">
        <v>43911</v>
      </c>
      <c r="L3527" t="s">
        <v>14</v>
      </c>
      <c r="M3527">
        <v>3695.5</v>
      </c>
      <c r="N3527">
        <v>3695.5</v>
      </c>
      <c r="O3527" t="s">
        <v>18</v>
      </c>
      <c r="P3527">
        <f t="shared" si="168"/>
        <v>0</v>
      </c>
      <c r="Q3527" s="11">
        <f>IF(P3527=0,0,IFERROR(Q3526+G3527*M3527*IF(E3527="FUTURE",VLOOKUP(MID(I3527,2,2),[1]Futures!$A$2:$B$12,2),1),G3527*M3527*IF(E3527="FUTURE",VLOOKUP(MID(I3527,2,2),[1]Futures!$A$2:$B$12,2),1)))</f>
        <v>0</v>
      </c>
      <c r="R3527" s="12" t="str">
        <f>IFERROR(Q3527/P3527/IF(E3527="FUTURE",VLOOKUP(MID(I3527,2,2),[1]Futures!$A$2:$B$12,2),1),"")</f>
        <v/>
      </c>
      <c r="S3527" s="13">
        <f>IF(AND(H3527="TO CLOSE",P3527=0),-G3527*(M3527-R3526)*IF(E3527="FUTURE",VLOOKUP(MID(I3527,2,2),[1]Futures!$A$2:$B$12,2),1),"")</f>
        <v>-225</v>
      </c>
    </row>
    <row r="3528" spans="1:19" x14ac:dyDescent="0.2">
      <c r="A3528">
        <f t="shared" si="167"/>
        <v>1135</v>
      </c>
      <c r="B3528" s="3">
        <v>44183</v>
      </c>
      <c r="C3528" s="3" t="str">
        <f t="shared" si="166"/>
        <v>Friday</v>
      </c>
      <c r="D3528" s="2">
        <v>0.59050925925925923</v>
      </c>
      <c r="E3528" t="s">
        <v>14</v>
      </c>
      <c r="F3528" t="s">
        <v>19</v>
      </c>
      <c r="G3528">
        <v>1</v>
      </c>
      <c r="H3528" t="s">
        <v>20</v>
      </c>
      <c r="I3528" t="s">
        <v>89</v>
      </c>
      <c r="J3528" s="1">
        <v>43911</v>
      </c>
      <c r="L3528" t="s">
        <v>14</v>
      </c>
      <c r="M3528">
        <v>3686</v>
      </c>
      <c r="N3528">
        <v>3686</v>
      </c>
      <c r="O3528" t="s">
        <v>21</v>
      </c>
      <c r="P3528">
        <f t="shared" si="168"/>
        <v>1</v>
      </c>
      <c r="Q3528" s="11">
        <f>IF(P3528=0,0,IFERROR(Q3527+G3528*M3528*IF(E3528="FUTURE",VLOOKUP(MID(I3528,2,2),[1]Futures!$A$2:$B$12,2),1),G3528*M3528*IF(E3528="FUTURE",VLOOKUP(MID(I3528,2,2),[1]Futures!$A$2:$B$12,2),1)))</f>
        <v>184300</v>
      </c>
      <c r="R3528" s="12">
        <f>IFERROR(Q3528/P3528/IF(E3528="FUTURE",VLOOKUP(MID(I3528,2,2),[1]Futures!$A$2:$B$12,2),1),"")</f>
        <v>3686</v>
      </c>
      <c r="S3528" s="13" t="str">
        <f>IF(AND(H3528="TO CLOSE",P3528=0),-G3528*(M3528-R3527)*IF(E3528="FUTURE",VLOOKUP(MID(I3528,2,2),[1]Futures!$A$2:$B$12,2),1),"")</f>
        <v/>
      </c>
    </row>
    <row r="3529" spans="1:19" x14ac:dyDescent="0.2">
      <c r="A3529">
        <f t="shared" si="167"/>
        <v>1135</v>
      </c>
      <c r="B3529" s="3">
        <v>44183</v>
      </c>
      <c r="C3529" s="3" t="str">
        <f t="shared" si="166"/>
        <v>Friday</v>
      </c>
      <c r="D3529" s="2">
        <v>0.6118055555555556</v>
      </c>
      <c r="E3529" t="s">
        <v>14</v>
      </c>
      <c r="F3529" t="s">
        <v>15</v>
      </c>
      <c r="G3529">
        <v>-1</v>
      </c>
      <c r="H3529" t="s">
        <v>16</v>
      </c>
      <c r="I3529" t="s">
        <v>89</v>
      </c>
      <c r="J3529" s="1">
        <v>43911</v>
      </c>
      <c r="L3529" t="s">
        <v>14</v>
      </c>
      <c r="M3529">
        <v>3687.25</v>
      </c>
      <c r="N3529">
        <v>3687.25</v>
      </c>
      <c r="O3529" t="s">
        <v>24</v>
      </c>
      <c r="P3529">
        <f t="shared" si="168"/>
        <v>0</v>
      </c>
      <c r="Q3529" s="11">
        <f>IF(P3529=0,0,IFERROR(Q3528+G3529*M3529*IF(E3529="FUTURE",VLOOKUP(MID(I3529,2,2),[1]Futures!$A$2:$B$12,2),1),G3529*M3529*IF(E3529="FUTURE",VLOOKUP(MID(I3529,2,2),[1]Futures!$A$2:$B$12,2),1)))</f>
        <v>0</v>
      </c>
      <c r="R3529" s="12" t="str">
        <f>IFERROR(Q3529/P3529/IF(E3529="FUTURE",VLOOKUP(MID(I3529,2,2),[1]Futures!$A$2:$B$12,2),1),"")</f>
        <v/>
      </c>
      <c r="S3529" s="13">
        <f>IF(AND(H3529="TO CLOSE",P3529=0),-G3529*(M3529-R3528)*IF(E3529="FUTURE",VLOOKUP(MID(I3529,2,2),[1]Futures!$A$2:$B$12,2),1),"")</f>
        <v>62.5</v>
      </c>
    </row>
    <row r="3530" spans="1:19" x14ac:dyDescent="0.2">
      <c r="A3530">
        <f t="shared" si="167"/>
        <v>1136</v>
      </c>
      <c r="B3530" s="3">
        <v>44183</v>
      </c>
      <c r="C3530" s="3" t="str">
        <f t="shared" si="166"/>
        <v>Friday</v>
      </c>
      <c r="D3530" s="2">
        <v>0.42199074074074078</v>
      </c>
      <c r="E3530" t="s">
        <v>22</v>
      </c>
      <c r="F3530" t="s">
        <v>15</v>
      </c>
      <c r="G3530">
        <v>-400</v>
      </c>
      <c r="H3530" t="s">
        <v>20</v>
      </c>
      <c r="I3530" t="s">
        <v>23</v>
      </c>
      <c r="L3530" t="s">
        <v>22</v>
      </c>
      <c r="M3530">
        <v>17.350000000000001</v>
      </c>
      <c r="N3530">
        <v>17.350000000000001</v>
      </c>
      <c r="O3530" t="s">
        <v>21</v>
      </c>
      <c r="P3530">
        <f t="shared" si="168"/>
        <v>-400</v>
      </c>
      <c r="Q3530" s="11">
        <f>IF(P3530=0,0,IFERROR(Q3529+G3530*M3530*IF(E3530="FUTURE",VLOOKUP(MID(I3530,2,2),[1]Futures!$A$2:$B$12,2),1),G3530*M3530*IF(E3530="FUTURE",VLOOKUP(MID(I3530,2,2),[1]Futures!$A$2:$B$12,2),1)))</f>
        <v>-6940.0000000000009</v>
      </c>
      <c r="R3530" s="12">
        <f>IFERROR(Q3530/P3530/IF(E3530="FUTURE",VLOOKUP(MID(I3530,2,2),[1]Futures!$A$2:$B$12,2),1),"")</f>
        <v>17.350000000000001</v>
      </c>
      <c r="S3530" s="13" t="str">
        <f>IF(AND(H3530="TO CLOSE",P3530=0),-G3530*(M3530-R3529)*IF(E3530="FUTURE",VLOOKUP(MID(I3530,2,2),[1]Futures!$A$2:$B$12,2),1),"")</f>
        <v/>
      </c>
    </row>
    <row r="3531" spans="1:19" x14ac:dyDescent="0.2">
      <c r="A3531">
        <f t="shared" si="167"/>
        <v>1136</v>
      </c>
      <c r="B3531" s="3">
        <v>44183</v>
      </c>
      <c r="C3531" s="3" t="str">
        <f t="shared" si="166"/>
        <v>Friday</v>
      </c>
      <c r="D3531" s="2">
        <v>0.42282407407407407</v>
      </c>
      <c r="E3531" t="s">
        <v>22</v>
      </c>
      <c r="F3531" t="s">
        <v>19</v>
      </c>
      <c r="G3531">
        <v>100</v>
      </c>
      <c r="H3531" t="s">
        <v>16</v>
      </c>
      <c r="I3531" t="s">
        <v>23</v>
      </c>
      <c r="L3531" t="s">
        <v>22</v>
      </c>
      <c r="M3531">
        <v>17.3</v>
      </c>
      <c r="N3531">
        <v>17.3</v>
      </c>
      <c r="O3531" t="s">
        <v>21</v>
      </c>
      <c r="P3531">
        <f t="shared" si="168"/>
        <v>-300</v>
      </c>
      <c r="Q3531" s="11">
        <f>IF(P3531=0,0,IFERROR(Q3530+G3531*M3531*IF(E3531="FUTURE",VLOOKUP(MID(I3531,2,2),[1]Futures!$A$2:$B$12,2),1),G3531*M3531*IF(E3531="FUTURE",VLOOKUP(MID(I3531,2,2),[1]Futures!$A$2:$B$12,2),1)))</f>
        <v>-5210.0000000000009</v>
      </c>
      <c r="R3531" s="12">
        <f>IFERROR(Q3531/P3531/IF(E3531="FUTURE",VLOOKUP(MID(I3531,2,2),[1]Futures!$A$2:$B$12,2),1),"")</f>
        <v>17.366666666666671</v>
      </c>
      <c r="S3531" s="13" t="str">
        <f>IF(AND(H3531="TO CLOSE",P3531=0),-G3531*(M3531-R3530)*IF(E3531="FUTURE",VLOOKUP(MID(I3531,2,2),[1]Futures!$A$2:$B$12,2),1),"")</f>
        <v/>
      </c>
    </row>
    <row r="3532" spans="1:19" x14ac:dyDescent="0.2">
      <c r="A3532">
        <f t="shared" si="167"/>
        <v>1136</v>
      </c>
      <c r="B3532" s="3">
        <v>44183</v>
      </c>
      <c r="C3532" s="3" t="str">
        <f t="shared" si="166"/>
        <v>Friday</v>
      </c>
      <c r="D3532" s="2">
        <v>0.4236111111111111</v>
      </c>
      <c r="E3532" t="s">
        <v>22</v>
      </c>
      <c r="F3532" t="s">
        <v>19</v>
      </c>
      <c r="G3532">
        <v>90</v>
      </c>
      <c r="H3532" t="s">
        <v>16</v>
      </c>
      <c r="I3532" t="s">
        <v>23</v>
      </c>
      <c r="L3532" t="s">
        <v>22</v>
      </c>
      <c r="M3532">
        <v>17.239999999999998</v>
      </c>
      <c r="N3532">
        <v>17.239999999999998</v>
      </c>
      <c r="O3532" t="s">
        <v>21</v>
      </c>
      <c r="P3532">
        <f t="shared" si="168"/>
        <v>-210</v>
      </c>
      <c r="Q3532" s="11">
        <f>IF(P3532=0,0,IFERROR(Q3531+G3532*M3532*IF(E3532="FUTURE",VLOOKUP(MID(I3532,2,2),[1]Futures!$A$2:$B$12,2),1),G3532*M3532*IF(E3532="FUTURE",VLOOKUP(MID(I3532,2,2),[1]Futures!$A$2:$B$12,2),1)))</f>
        <v>-3658.400000000001</v>
      </c>
      <c r="R3532" s="12">
        <f>IFERROR(Q3532/P3532/IF(E3532="FUTURE",VLOOKUP(MID(I3532,2,2),[1]Futures!$A$2:$B$12,2),1),"")</f>
        <v>17.420952380952386</v>
      </c>
      <c r="S3532" s="13" t="str">
        <f>IF(AND(H3532="TO CLOSE",P3532=0),-G3532*(M3532-R3531)*IF(E3532="FUTURE",VLOOKUP(MID(I3532,2,2),[1]Futures!$A$2:$B$12,2),1),"")</f>
        <v/>
      </c>
    </row>
    <row r="3533" spans="1:19" x14ac:dyDescent="0.2">
      <c r="A3533">
        <f t="shared" si="167"/>
        <v>1136</v>
      </c>
      <c r="B3533" s="3">
        <v>44183</v>
      </c>
      <c r="C3533" s="3" t="str">
        <f t="shared" si="166"/>
        <v>Friday</v>
      </c>
      <c r="D3533" s="2">
        <v>0.4236111111111111</v>
      </c>
      <c r="E3533" t="s">
        <v>22</v>
      </c>
      <c r="F3533" t="s">
        <v>19</v>
      </c>
      <c r="G3533">
        <v>10</v>
      </c>
      <c r="H3533" t="s">
        <v>16</v>
      </c>
      <c r="I3533" t="s">
        <v>23</v>
      </c>
      <c r="L3533" t="s">
        <v>22</v>
      </c>
      <c r="M3533">
        <v>17.239999999999998</v>
      </c>
      <c r="N3533">
        <v>17.239999999999998</v>
      </c>
      <c r="O3533" t="s">
        <v>21</v>
      </c>
      <c r="P3533">
        <f t="shared" si="168"/>
        <v>-200</v>
      </c>
      <c r="Q3533" s="11">
        <f>IF(P3533=0,0,IFERROR(Q3532+G3533*M3533*IF(E3533="FUTURE",VLOOKUP(MID(I3533,2,2),[1]Futures!$A$2:$B$12,2),1),G3533*M3533*IF(E3533="FUTURE",VLOOKUP(MID(I3533,2,2),[1]Futures!$A$2:$B$12,2),1)))</f>
        <v>-3486.0000000000009</v>
      </c>
      <c r="R3533" s="12">
        <f>IFERROR(Q3533/P3533/IF(E3533="FUTURE",VLOOKUP(MID(I3533,2,2),[1]Futures!$A$2:$B$12,2),1),"")</f>
        <v>17.430000000000003</v>
      </c>
      <c r="S3533" s="13" t="str">
        <f>IF(AND(H3533="TO CLOSE",P3533=0),-G3533*(M3533-R3532)*IF(E3533="FUTURE",VLOOKUP(MID(I3533,2,2),[1]Futures!$A$2:$B$12,2),1),"")</f>
        <v/>
      </c>
    </row>
    <row r="3534" spans="1:19" x14ac:dyDescent="0.2">
      <c r="A3534">
        <f t="shared" si="167"/>
        <v>1136</v>
      </c>
      <c r="B3534" s="3">
        <v>44183</v>
      </c>
      <c r="C3534" s="3" t="str">
        <f t="shared" si="166"/>
        <v>Friday</v>
      </c>
      <c r="D3534" s="2">
        <v>0.42491898148148149</v>
      </c>
      <c r="E3534" t="s">
        <v>22</v>
      </c>
      <c r="F3534" t="s">
        <v>19</v>
      </c>
      <c r="G3534">
        <v>200</v>
      </c>
      <c r="H3534" t="s">
        <v>16</v>
      </c>
      <c r="I3534" t="s">
        <v>23</v>
      </c>
      <c r="L3534" t="s">
        <v>22</v>
      </c>
      <c r="M3534">
        <v>17.22</v>
      </c>
      <c r="N3534">
        <v>17.22</v>
      </c>
      <c r="O3534" t="s">
        <v>21</v>
      </c>
      <c r="P3534">
        <f t="shared" si="168"/>
        <v>0</v>
      </c>
      <c r="Q3534" s="11">
        <f>IF(P3534=0,0,IFERROR(Q3533+G3534*M3534*IF(E3534="FUTURE",VLOOKUP(MID(I3534,2,2),[1]Futures!$A$2:$B$12,2),1),G3534*M3534*IF(E3534="FUTURE",VLOOKUP(MID(I3534,2,2),[1]Futures!$A$2:$B$12,2),1)))</f>
        <v>0</v>
      </c>
      <c r="R3534" s="12" t="str">
        <f>IFERROR(Q3534/P3534/IF(E3534="FUTURE",VLOOKUP(MID(I3534,2,2),[1]Futures!$A$2:$B$12,2),1),"")</f>
        <v/>
      </c>
      <c r="S3534" s="13">
        <f>IF(AND(H3534="TO CLOSE",P3534=0),-G3534*(M3534-R3533)*IF(E3534="FUTURE",VLOOKUP(MID(I3534,2,2),[1]Futures!$A$2:$B$12,2),1),"")</f>
        <v>42.000000000000881</v>
      </c>
    </row>
    <row r="3535" spans="1:19" x14ac:dyDescent="0.2">
      <c r="A3535">
        <f t="shared" si="167"/>
        <v>1137</v>
      </c>
      <c r="B3535" s="3">
        <v>44186</v>
      </c>
      <c r="C3535" s="3" t="str">
        <f t="shared" si="166"/>
        <v>Monday</v>
      </c>
      <c r="D3535" s="2">
        <v>0.38655092592592594</v>
      </c>
      <c r="E3535" t="s">
        <v>14</v>
      </c>
      <c r="F3535" t="s">
        <v>19</v>
      </c>
      <c r="G3535">
        <v>1</v>
      </c>
      <c r="H3535" t="s">
        <v>20</v>
      </c>
      <c r="I3535" t="s">
        <v>90</v>
      </c>
      <c r="J3535" s="1">
        <v>43882</v>
      </c>
      <c r="L3535" t="s">
        <v>14</v>
      </c>
      <c r="M3535">
        <v>47</v>
      </c>
      <c r="N3535">
        <v>47</v>
      </c>
      <c r="O3535" t="s">
        <v>21</v>
      </c>
      <c r="P3535">
        <f t="shared" si="168"/>
        <v>1</v>
      </c>
      <c r="Q3535" s="11">
        <f>IF(P3535=0,0,IFERROR(Q3534+G3535*M3535*IF(E3535="FUTURE",VLOOKUP(MID(I3535,2,2),[1]Futures!$A$2:$B$12,2),1),G3535*M3535*IF(E3535="FUTURE",VLOOKUP(MID(I3535,2,2),[1]Futures!$A$2:$B$12,2),1)))</f>
        <v>47000</v>
      </c>
      <c r="R3535" s="12">
        <f>IFERROR(Q3535/P3535/IF(E3535="FUTURE",VLOOKUP(MID(I3535,2,2),[1]Futures!$A$2:$B$12,2),1),"")</f>
        <v>47</v>
      </c>
      <c r="S3535" s="13" t="str">
        <f>IF(AND(H3535="TO CLOSE",P3535=0),-G3535*(M3535-R3534)*IF(E3535="FUTURE",VLOOKUP(MID(I3535,2,2),[1]Futures!$A$2:$B$12,2),1),"")</f>
        <v/>
      </c>
    </row>
    <row r="3536" spans="1:19" x14ac:dyDescent="0.2">
      <c r="A3536">
        <f t="shared" si="167"/>
        <v>1137</v>
      </c>
      <c r="B3536" s="3">
        <v>44186</v>
      </c>
      <c r="C3536" s="3" t="str">
        <f t="shared" si="166"/>
        <v>Monday</v>
      </c>
      <c r="D3536" s="2">
        <v>0.39579861111111114</v>
      </c>
      <c r="E3536" t="s">
        <v>14</v>
      </c>
      <c r="F3536" t="s">
        <v>15</v>
      </c>
      <c r="G3536">
        <v>-1</v>
      </c>
      <c r="H3536" t="s">
        <v>16</v>
      </c>
      <c r="I3536" t="s">
        <v>90</v>
      </c>
      <c r="J3536" s="1">
        <v>43882</v>
      </c>
      <c r="L3536" t="s">
        <v>14</v>
      </c>
      <c r="M3536">
        <v>47.15</v>
      </c>
      <c r="N3536">
        <v>47.15</v>
      </c>
      <c r="O3536" t="s">
        <v>21</v>
      </c>
      <c r="P3536">
        <f t="shared" si="168"/>
        <v>0</v>
      </c>
      <c r="Q3536" s="11">
        <f>IF(P3536=0,0,IFERROR(Q3535+G3536*M3536*IF(E3536="FUTURE",VLOOKUP(MID(I3536,2,2),[1]Futures!$A$2:$B$12,2),1),G3536*M3536*IF(E3536="FUTURE",VLOOKUP(MID(I3536,2,2),[1]Futures!$A$2:$B$12,2),1)))</f>
        <v>0</v>
      </c>
      <c r="R3536" s="12" t="str">
        <f>IFERROR(Q3536/P3536/IF(E3536="FUTURE",VLOOKUP(MID(I3536,2,2),[1]Futures!$A$2:$B$12,2),1),"")</f>
        <v/>
      </c>
      <c r="S3536" s="13">
        <f>IF(AND(H3536="TO CLOSE",P3536=0),-G3536*(M3536-R3535)*IF(E3536="FUTURE",VLOOKUP(MID(I3536,2,2),[1]Futures!$A$2:$B$12,2),1),"")</f>
        <v>149.99999999999858</v>
      </c>
    </row>
    <row r="3537" spans="1:19" x14ac:dyDescent="0.2">
      <c r="A3537">
        <f t="shared" si="167"/>
        <v>1138</v>
      </c>
      <c r="B3537" s="3">
        <v>44186</v>
      </c>
      <c r="C3537" s="3" t="str">
        <f t="shared" si="166"/>
        <v>Monday</v>
      </c>
      <c r="D3537" s="2">
        <v>0.40520833333333334</v>
      </c>
      <c r="E3537" t="s">
        <v>14</v>
      </c>
      <c r="F3537" t="s">
        <v>15</v>
      </c>
      <c r="G3537">
        <v>-1</v>
      </c>
      <c r="H3537" t="s">
        <v>20</v>
      </c>
      <c r="I3537" t="s">
        <v>90</v>
      </c>
      <c r="J3537" s="1">
        <v>43882</v>
      </c>
      <c r="L3537" t="s">
        <v>14</v>
      </c>
      <c r="M3537">
        <v>47.42</v>
      </c>
      <c r="N3537">
        <v>47.42</v>
      </c>
      <c r="O3537" t="s">
        <v>21</v>
      </c>
      <c r="P3537">
        <f t="shared" si="168"/>
        <v>-1</v>
      </c>
      <c r="Q3537" s="11">
        <f>IF(P3537=0,0,IFERROR(Q3536+G3537*M3537*IF(E3537="FUTURE",VLOOKUP(MID(I3537,2,2),[1]Futures!$A$2:$B$12,2),1),G3537*M3537*IF(E3537="FUTURE",VLOOKUP(MID(I3537,2,2),[1]Futures!$A$2:$B$12,2),1)))</f>
        <v>-47420</v>
      </c>
      <c r="R3537" s="12">
        <f>IFERROR(Q3537/P3537/IF(E3537="FUTURE",VLOOKUP(MID(I3537,2,2),[1]Futures!$A$2:$B$12,2),1),"")</f>
        <v>47.42</v>
      </c>
      <c r="S3537" s="13" t="str">
        <f>IF(AND(H3537="TO CLOSE",P3537=0),-G3537*(M3537-R3536)*IF(E3537="FUTURE",VLOOKUP(MID(I3537,2,2),[1]Futures!$A$2:$B$12,2),1),"")</f>
        <v/>
      </c>
    </row>
    <row r="3538" spans="1:19" x14ac:dyDescent="0.2">
      <c r="A3538">
        <f t="shared" si="167"/>
        <v>1138</v>
      </c>
      <c r="B3538" s="3">
        <v>44186</v>
      </c>
      <c r="C3538" s="3" t="str">
        <f t="shared" si="166"/>
        <v>Monday</v>
      </c>
      <c r="D3538" s="2">
        <v>0.40787037037037038</v>
      </c>
      <c r="E3538" t="s">
        <v>14</v>
      </c>
      <c r="F3538" t="s">
        <v>15</v>
      </c>
      <c r="G3538">
        <v>-1</v>
      </c>
      <c r="H3538" t="s">
        <v>20</v>
      </c>
      <c r="I3538" t="s">
        <v>90</v>
      </c>
      <c r="J3538" s="1">
        <v>43882</v>
      </c>
      <c r="L3538" t="s">
        <v>14</v>
      </c>
      <c r="M3538">
        <v>47.6</v>
      </c>
      <c r="N3538">
        <v>47.6</v>
      </c>
      <c r="O3538" t="s">
        <v>21</v>
      </c>
      <c r="P3538">
        <f t="shared" si="168"/>
        <v>-2</v>
      </c>
      <c r="Q3538" s="11">
        <f>IF(P3538=0,0,IFERROR(Q3537+G3538*M3538*IF(E3538="FUTURE",VLOOKUP(MID(I3538,2,2),[1]Futures!$A$2:$B$12,2),1),G3538*M3538*IF(E3538="FUTURE",VLOOKUP(MID(I3538,2,2),[1]Futures!$A$2:$B$12,2),1)))</f>
        <v>-95020</v>
      </c>
      <c r="R3538" s="12">
        <f>IFERROR(Q3538/P3538/IF(E3538="FUTURE",VLOOKUP(MID(I3538,2,2),[1]Futures!$A$2:$B$12,2),1),"")</f>
        <v>47.51</v>
      </c>
      <c r="S3538" s="13" t="str">
        <f>IF(AND(H3538="TO CLOSE",P3538=0),-G3538*(M3538-R3537)*IF(E3538="FUTURE",VLOOKUP(MID(I3538,2,2),[1]Futures!$A$2:$B$12,2),1),"")</f>
        <v/>
      </c>
    </row>
    <row r="3539" spans="1:19" x14ac:dyDescent="0.2">
      <c r="A3539">
        <f t="shared" si="167"/>
        <v>1138</v>
      </c>
      <c r="B3539" s="3">
        <v>44186</v>
      </c>
      <c r="C3539" s="3" t="str">
        <f t="shared" si="166"/>
        <v>Monday</v>
      </c>
      <c r="D3539" s="2">
        <v>0.4079861111111111</v>
      </c>
      <c r="E3539" t="s">
        <v>14</v>
      </c>
      <c r="F3539" t="s">
        <v>19</v>
      </c>
      <c r="G3539">
        <v>1</v>
      </c>
      <c r="H3539" t="s">
        <v>16</v>
      </c>
      <c r="I3539" t="s">
        <v>90</v>
      </c>
      <c r="J3539" s="1">
        <v>43882</v>
      </c>
      <c r="L3539" t="s">
        <v>14</v>
      </c>
      <c r="M3539">
        <v>47.52</v>
      </c>
      <c r="N3539">
        <v>47.52</v>
      </c>
      <c r="O3539" t="s">
        <v>21</v>
      </c>
      <c r="P3539">
        <f t="shared" si="168"/>
        <v>-1</v>
      </c>
      <c r="Q3539" s="11">
        <f>IF(P3539=0,0,IFERROR(Q3538+G3539*M3539*IF(E3539="FUTURE",VLOOKUP(MID(I3539,2,2),[1]Futures!$A$2:$B$12,2),1),G3539*M3539*IF(E3539="FUTURE",VLOOKUP(MID(I3539,2,2),[1]Futures!$A$2:$B$12,2),1)))</f>
        <v>-47500</v>
      </c>
      <c r="R3539" s="12">
        <f>IFERROR(Q3539/P3539/IF(E3539="FUTURE",VLOOKUP(MID(I3539,2,2),[1]Futures!$A$2:$B$12,2),1),"")</f>
        <v>47.5</v>
      </c>
      <c r="S3539" s="13" t="str">
        <f>IF(AND(H3539="TO CLOSE",P3539=0),-G3539*(M3539-R3538)*IF(E3539="FUTURE",VLOOKUP(MID(I3539,2,2),[1]Futures!$A$2:$B$12,2),1),"")</f>
        <v/>
      </c>
    </row>
    <row r="3540" spans="1:19" x14ac:dyDescent="0.2">
      <c r="A3540">
        <f t="shared" si="167"/>
        <v>1138</v>
      </c>
      <c r="B3540" s="3">
        <v>44186</v>
      </c>
      <c r="C3540" s="3" t="str">
        <f t="shared" si="166"/>
        <v>Monday</v>
      </c>
      <c r="D3540" s="2">
        <v>0.42371527777777779</v>
      </c>
      <c r="E3540" t="s">
        <v>14</v>
      </c>
      <c r="F3540" t="s">
        <v>19</v>
      </c>
      <c r="G3540">
        <v>1</v>
      </c>
      <c r="H3540" t="s">
        <v>16</v>
      </c>
      <c r="I3540" t="s">
        <v>90</v>
      </c>
      <c r="J3540" s="1">
        <v>43882</v>
      </c>
      <c r="L3540" t="s">
        <v>14</v>
      </c>
      <c r="M3540">
        <v>47.37</v>
      </c>
      <c r="N3540">
        <v>47.37</v>
      </c>
      <c r="O3540" t="s">
        <v>21</v>
      </c>
      <c r="P3540">
        <f t="shared" si="168"/>
        <v>0</v>
      </c>
      <c r="Q3540" s="11">
        <f>IF(P3540=0,0,IFERROR(Q3539+G3540*M3540*IF(E3540="FUTURE",VLOOKUP(MID(I3540,2,2),[1]Futures!$A$2:$B$12,2),1),G3540*M3540*IF(E3540="FUTURE",VLOOKUP(MID(I3540,2,2),[1]Futures!$A$2:$B$12,2),1)))</f>
        <v>0</v>
      </c>
      <c r="R3540" s="12" t="str">
        <f>IFERROR(Q3540/P3540/IF(E3540="FUTURE",VLOOKUP(MID(I3540,2,2),[1]Futures!$A$2:$B$12,2),1),"")</f>
        <v/>
      </c>
      <c r="S3540" s="13">
        <f>IF(AND(H3540="TO CLOSE",P3540=0),-G3540*(M3540-R3539)*IF(E3540="FUTURE",VLOOKUP(MID(I3540,2,2),[1]Futures!$A$2:$B$12,2),1),"")</f>
        <v>130.00000000000256</v>
      </c>
    </row>
    <row r="3541" spans="1:19" x14ac:dyDescent="0.2">
      <c r="A3541">
        <f t="shared" si="167"/>
        <v>1139</v>
      </c>
      <c r="B3541" s="3">
        <v>44186</v>
      </c>
      <c r="C3541" s="3" t="str">
        <f t="shared" si="166"/>
        <v>Monday</v>
      </c>
      <c r="D3541" s="2">
        <v>0.42887731481481484</v>
      </c>
      <c r="E3541" t="s">
        <v>14</v>
      </c>
      <c r="F3541" t="s">
        <v>19</v>
      </c>
      <c r="G3541">
        <v>1</v>
      </c>
      <c r="H3541" t="s">
        <v>20</v>
      </c>
      <c r="I3541" t="s">
        <v>89</v>
      </c>
      <c r="J3541" s="1">
        <v>43911</v>
      </c>
      <c r="L3541" t="s">
        <v>14</v>
      </c>
      <c r="M3541">
        <v>3636.5</v>
      </c>
      <c r="N3541">
        <v>3636.5</v>
      </c>
      <c r="O3541" t="s">
        <v>21</v>
      </c>
      <c r="P3541">
        <f t="shared" si="168"/>
        <v>1</v>
      </c>
      <c r="Q3541" s="11">
        <f>IF(P3541=0,0,IFERROR(Q3540+G3541*M3541*IF(E3541="FUTURE",VLOOKUP(MID(I3541,2,2),[1]Futures!$A$2:$B$12,2),1),G3541*M3541*IF(E3541="FUTURE",VLOOKUP(MID(I3541,2,2),[1]Futures!$A$2:$B$12,2),1)))</f>
        <v>181825</v>
      </c>
      <c r="R3541" s="12">
        <f>IFERROR(Q3541/P3541/IF(E3541="FUTURE",VLOOKUP(MID(I3541,2,2),[1]Futures!$A$2:$B$12,2),1),"")</f>
        <v>3636.5</v>
      </c>
      <c r="S3541" s="13" t="str">
        <f>IF(AND(H3541="TO CLOSE",P3541=0),-G3541*(M3541-R3540)*IF(E3541="FUTURE",VLOOKUP(MID(I3541,2,2),[1]Futures!$A$2:$B$12,2),1),"")</f>
        <v/>
      </c>
    </row>
    <row r="3542" spans="1:19" x14ac:dyDescent="0.2">
      <c r="A3542">
        <f t="shared" si="167"/>
        <v>1139</v>
      </c>
      <c r="B3542" s="3">
        <v>44186</v>
      </c>
      <c r="C3542" s="3" t="str">
        <f t="shared" si="166"/>
        <v>Monday</v>
      </c>
      <c r="D3542" s="2">
        <v>0.45599537037037036</v>
      </c>
      <c r="E3542" t="s">
        <v>14</v>
      </c>
      <c r="F3542" t="s">
        <v>15</v>
      </c>
      <c r="G3542">
        <v>-1</v>
      </c>
      <c r="H3542" t="s">
        <v>16</v>
      </c>
      <c r="I3542" t="s">
        <v>89</v>
      </c>
      <c r="J3542" s="1">
        <v>43911</v>
      </c>
      <c r="L3542" t="s">
        <v>14</v>
      </c>
      <c r="M3542">
        <v>3640.75</v>
      </c>
      <c r="N3542">
        <v>3640.75</v>
      </c>
      <c r="O3542" t="s">
        <v>24</v>
      </c>
      <c r="P3542">
        <f t="shared" si="168"/>
        <v>0</v>
      </c>
      <c r="Q3542" s="11">
        <f>IF(P3542=0,0,IFERROR(Q3541+G3542*M3542*IF(E3542="FUTURE",VLOOKUP(MID(I3542,2,2),[1]Futures!$A$2:$B$12,2),1),G3542*M3542*IF(E3542="FUTURE",VLOOKUP(MID(I3542,2,2),[1]Futures!$A$2:$B$12,2),1)))</f>
        <v>0</v>
      </c>
      <c r="R3542" s="12" t="str">
        <f>IFERROR(Q3542/P3542/IF(E3542="FUTURE",VLOOKUP(MID(I3542,2,2),[1]Futures!$A$2:$B$12,2),1),"")</f>
        <v/>
      </c>
      <c r="S3542" s="13">
        <f>IF(AND(H3542="TO CLOSE",P3542=0),-G3542*(M3542-R3541)*IF(E3542="FUTURE",VLOOKUP(MID(I3542,2,2),[1]Futures!$A$2:$B$12,2),1),"")</f>
        <v>212.5</v>
      </c>
    </row>
    <row r="3543" spans="1:19" x14ac:dyDescent="0.2">
      <c r="A3543">
        <f t="shared" si="167"/>
        <v>1140</v>
      </c>
      <c r="B3543" s="3">
        <v>44187</v>
      </c>
      <c r="C3543" s="3" t="str">
        <f t="shared" si="166"/>
        <v>Tuesday</v>
      </c>
      <c r="D3543" s="2">
        <v>0.4221064814814815</v>
      </c>
      <c r="E3543" t="s">
        <v>14</v>
      </c>
      <c r="F3543" t="s">
        <v>19</v>
      </c>
      <c r="G3543">
        <v>1</v>
      </c>
      <c r="H3543" t="s">
        <v>20</v>
      </c>
      <c r="I3543" t="s">
        <v>90</v>
      </c>
      <c r="J3543" s="1">
        <v>43882</v>
      </c>
      <c r="L3543" t="s">
        <v>14</v>
      </c>
      <c r="M3543">
        <v>47.19</v>
      </c>
      <c r="N3543">
        <v>47.19</v>
      </c>
      <c r="O3543" t="s">
        <v>21</v>
      </c>
      <c r="P3543">
        <f t="shared" si="168"/>
        <v>1</v>
      </c>
      <c r="Q3543" s="11">
        <f>IF(P3543=0,0,IFERROR(Q3542+G3543*M3543*IF(E3543="FUTURE",VLOOKUP(MID(I3543,2,2),[1]Futures!$A$2:$B$12,2),1),G3543*M3543*IF(E3543="FUTURE",VLOOKUP(MID(I3543,2,2),[1]Futures!$A$2:$B$12,2),1)))</f>
        <v>47190</v>
      </c>
      <c r="R3543" s="12">
        <f>IFERROR(Q3543/P3543/IF(E3543="FUTURE",VLOOKUP(MID(I3543,2,2),[1]Futures!$A$2:$B$12,2),1),"")</f>
        <v>47.19</v>
      </c>
      <c r="S3543" s="13" t="str">
        <f>IF(AND(H3543="TO CLOSE",P3543=0),-G3543*(M3543-R3542)*IF(E3543="FUTURE",VLOOKUP(MID(I3543,2,2),[1]Futures!$A$2:$B$12,2),1),"")</f>
        <v/>
      </c>
    </row>
    <row r="3544" spans="1:19" x14ac:dyDescent="0.2">
      <c r="A3544">
        <f t="shared" si="167"/>
        <v>1140</v>
      </c>
      <c r="B3544" s="3">
        <v>44187</v>
      </c>
      <c r="C3544" s="3" t="str">
        <f t="shared" si="166"/>
        <v>Tuesday</v>
      </c>
      <c r="D3544" s="2">
        <v>0.42368055555555556</v>
      </c>
      <c r="E3544" t="s">
        <v>14</v>
      </c>
      <c r="F3544" t="s">
        <v>15</v>
      </c>
      <c r="G3544">
        <v>-1</v>
      </c>
      <c r="H3544" t="s">
        <v>16</v>
      </c>
      <c r="I3544" t="s">
        <v>90</v>
      </c>
      <c r="J3544" s="1">
        <v>43882</v>
      </c>
      <c r="L3544" t="s">
        <v>14</v>
      </c>
      <c r="M3544">
        <v>47.24</v>
      </c>
      <c r="N3544">
        <v>47.24</v>
      </c>
      <c r="O3544" t="s">
        <v>21</v>
      </c>
      <c r="P3544">
        <f t="shared" si="168"/>
        <v>0</v>
      </c>
      <c r="Q3544" s="11">
        <f>IF(P3544=0,0,IFERROR(Q3543+G3544*M3544*IF(E3544="FUTURE",VLOOKUP(MID(I3544,2,2),[1]Futures!$A$2:$B$12,2),1),G3544*M3544*IF(E3544="FUTURE",VLOOKUP(MID(I3544,2,2),[1]Futures!$A$2:$B$12,2),1)))</f>
        <v>0</v>
      </c>
      <c r="R3544" s="12" t="str">
        <f>IFERROR(Q3544/P3544/IF(E3544="FUTURE",VLOOKUP(MID(I3544,2,2),[1]Futures!$A$2:$B$12,2),1),"")</f>
        <v/>
      </c>
      <c r="S3544" s="13">
        <f>IF(AND(H3544="TO CLOSE",P3544=0),-G3544*(M3544-R3543)*IF(E3544="FUTURE",VLOOKUP(MID(I3544,2,2),[1]Futures!$A$2:$B$12,2),1),"")</f>
        <v>50.000000000004263</v>
      </c>
    </row>
    <row r="3545" spans="1:19" x14ac:dyDescent="0.2">
      <c r="A3545">
        <f t="shared" si="167"/>
        <v>1141</v>
      </c>
      <c r="B3545" s="3">
        <v>44187</v>
      </c>
      <c r="C3545" s="3" t="str">
        <f t="shared" si="166"/>
        <v>Tuesday</v>
      </c>
      <c r="D3545" s="2">
        <v>0.42526620370370366</v>
      </c>
      <c r="E3545" t="s">
        <v>14</v>
      </c>
      <c r="F3545" t="s">
        <v>15</v>
      </c>
      <c r="G3545">
        <v>-1</v>
      </c>
      <c r="H3545" t="s">
        <v>20</v>
      </c>
      <c r="I3545" t="s">
        <v>89</v>
      </c>
      <c r="J3545" s="1">
        <v>43911</v>
      </c>
      <c r="L3545" t="s">
        <v>14</v>
      </c>
      <c r="M3545">
        <v>3681.5</v>
      </c>
      <c r="N3545">
        <v>3681.5</v>
      </c>
      <c r="O3545" t="s">
        <v>21</v>
      </c>
      <c r="P3545">
        <f t="shared" si="168"/>
        <v>-1</v>
      </c>
      <c r="Q3545" s="11">
        <f>IF(P3545=0,0,IFERROR(Q3544+G3545*M3545*IF(E3545="FUTURE",VLOOKUP(MID(I3545,2,2),[1]Futures!$A$2:$B$12,2),1),G3545*M3545*IF(E3545="FUTURE",VLOOKUP(MID(I3545,2,2),[1]Futures!$A$2:$B$12,2),1)))</f>
        <v>-184075</v>
      </c>
      <c r="R3545" s="12">
        <f>IFERROR(Q3545/P3545/IF(E3545="FUTURE",VLOOKUP(MID(I3545,2,2),[1]Futures!$A$2:$B$12,2),1),"")</f>
        <v>3681.5</v>
      </c>
      <c r="S3545" s="13" t="str">
        <f>IF(AND(H3545="TO CLOSE",P3545=0),-G3545*(M3545-R3544)*IF(E3545="FUTURE",VLOOKUP(MID(I3545,2,2),[1]Futures!$A$2:$B$12,2),1),"")</f>
        <v/>
      </c>
    </row>
    <row r="3546" spans="1:19" x14ac:dyDescent="0.2">
      <c r="A3546">
        <f t="shared" si="167"/>
        <v>1141</v>
      </c>
      <c r="B3546" s="3">
        <v>44187</v>
      </c>
      <c r="C3546" s="3" t="str">
        <f t="shared" si="166"/>
        <v>Tuesday</v>
      </c>
      <c r="D3546" s="2">
        <v>0.42552083333333335</v>
      </c>
      <c r="E3546" t="s">
        <v>14</v>
      </c>
      <c r="F3546" t="s">
        <v>19</v>
      </c>
      <c r="G3546">
        <v>1</v>
      </c>
      <c r="H3546" t="s">
        <v>16</v>
      </c>
      <c r="I3546" t="s">
        <v>89</v>
      </c>
      <c r="J3546" s="1">
        <v>43911</v>
      </c>
      <c r="L3546" t="s">
        <v>14</v>
      </c>
      <c r="M3546">
        <v>3678.5</v>
      </c>
      <c r="N3546">
        <v>3678.5</v>
      </c>
      <c r="O3546" t="s">
        <v>21</v>
      </c>
      <c r="P3546">
        <f t="shared" si="168"/>
        <v>0</v>
      </c>
      <c r="Q3546" s="11">
        <f>IF(P3546=0,0,IFERROR(Q3545+G3546*M3546*IF(E3546="FUTURE",VLOOKUP(MID(I3546,2,2),[1]Futures!$A$2:$B$12,2),1),G3546*M3546*IF(E3546="FUTURE",VLOOKUP(MID(I3546,2,2),[1]Futures!$A$2:$B$12,2),1)))</f>
        <v>0</v>
      </c>
      <c r="R3546" s="12" t="str">
        <f>IFERROR(Q3546/P3546/IF(E3546="FUTURE",VLOOKUP(MID(I3546,2,2),[1]Futures!$A$2:$B$12,2),1),"")</f>
        <v/>
      </c>
      <c r="S3546" s="13">
        <f>IF(AND(H3546="TO CLOSE",P3546=0),-G3546*(M3546-R3545)*IF(E3546="FUTURE",VLOOKUP(MID(I3546,2,2),[1]Futures!$A$2:$B$12,2),1),"")</f>
        <v>150</v>
      </c>
    </row>
    <row r="3547" spans="1:19" x14ac:dyDescent="0.2">
      <c r="A3547">
        <f t="shared" si="167"/>
        <v>1142</v>
      </c>
      <c r="B3547" s="3">
        <v>44187</v>
      </c>
      <c r="C3547" s="3" t="str">
        <f t="shared" si="166"/>
        <v>Tuesday</v>
      </c>
      <c r="D3547" s="2">
        <v>0.45167824074074076</v>
      </c>
      <c r="E3547" t="s">
        <v>14</v>
      </c>
      <c r="F3547" t="s">
        <v>15</v>
      </c>
      <c r="G3547">
        <v>-1</v>
      </c>
      <c r="H3547" t="s">
        <v>20</v>
      </c>
      <c r="I3547" t="s">
        <v>89</v>
      </c>
      <c r="J3547" s="1">
        <v>43911</v>
      </c>
      <c r="L3547" t="s">
        <v>14</v>
      </c>
      <c r="M3547">
        <v>3680</v>
      </c>
      <c r="N3547">
        <v>3680</v>
      </c>
      <c r="O3547" t="s">
        <v>21</v>
      </c>
      <c r="P3547">
        <f t="shared" si="168"/>
        <v>-1</v>
      </c>
      <c r="Q3547" s="11">
        <f>IF(P3547=0,0,IFERROR(Q3546+G3547*M3547*IF(E3547="FUTURE",VLOOKUP(MID(I3547,2,2),[1]Futures!$A$2:$B$12,2),1),G3547*M3547*IF(E3547="FUTURE",VLOOKUP(MID(I3547,2,2),[1]Futures!$A$2:$B$12,2),1)))</f>
        <v>-184000</v>
      </c>
      <c r="R3547" s="12">
        <f>IFERROR(Q3547/P3547/IF(E3547="FUTURE",VLOOKUP(MID(I3547,2,2),[1]Futures!$A$2:$B$12,2),1),"")</f>
        <v>3680</v>
      </c>
      <c r="S3547" s="13" t="str">
        <f>IF(AND(H3547="TO CLOSE",P3547=0),-G3547*(M3547-R3546)*IF(E3547="FUTURE",VLOOKUP(MID(I3547,2,2),[1]Futures!$A$2:$B$12,2),1),"")</f>
        <v/>
      </c>
    </row>
    <row r="3548" spans="1:19" x14ac:dyDescent="0.2">
      <c r="A3548">
        <f t="shared" si="167"/>
        <v>1142</v>
      </c>
      <c r="B3548" s="3">
        <v>44187</v>
      </c>
      <c r="C3548" s="3" t="str">
        <f t="shared" si="166"/>
        <v>Tuesday</v>
      </c>
      <c r="D3548" s="2">
        <v>0.48322916666666665</v>
      </c>
      <c r="E3548" t="s">
        <v>14</v>
      </c>
      <c r="F3548" t="s">
        <v>19</v>
      </c>
      <c r="G3548">
        <v>1</v>
      </c>
      <c r="H3548" t="s">
        <v>16</v>
      </c>
      <c r="I3548" t="s">
        <v>89</v>
      </c>
      <c r="J3548" s="1">
        <v>43911</v>
      </c>
      <c r="L3548" t="s">
        <v>14</v>
      </c>
      <c r="M3548">
        <v>3673</v>
      </c>
      <c r="N3548">
        <v>3673</v>
      </c>
      <c r="O3548" t="s">
        <v>21</v>
      </c>
      <c r="P3548">
        <f t="shared" si="168"/>
        <v>0</v>
      </c>
      <c r="Q3548" s="11">
        <f>IF(P3548=0,0,IFERROR(Q3547+G3548*M3548*IF(E3548="FUTURE",VLOOKUP(MID(I3548,2,2),[1]Futures!$A$2:$B$12,2),1),G3548*M3548*IF(E3548="FUTURE",VLOOKUP(MID(I3548,2,2),[1]Futures!$A$2:$B$12,2),1)))</f>
        <v>0</v>
      </c>
      <c r="R3548" s="12" t="str">
        <f>IFERROR(Q3548/P3548/IF(E3548="FUTURE",VLOOKUP(MID(I3548,2,2),[1]Futures!$A$2:$B$12,2),1),"")</f>
        <v/>
      </c>
      <c r="S3548" s="13">
        <f>IF(AND(H3548="TO CLOSE",P3548=0),-G3548*(M3548-R3547)*IF(E3548="FUTURE",VLOOKUP(MID(I3548,2,2),[1]Futures!$A$2:$B$12,2),1),"")</f>
        <v>350</v>
      </c>
    </row>
    <row r="3549" spans="1:19" x14ac:dyDescent="0.2">
      <c r="A3549">
        <f t="shared" si="167"/>
        <v>1143</v>
      </c>
      <c r="B3549" s="3">
        <v>44188</v>
      </c>
      <c r="C3549" s="3" t="str">
        <f t="shared" si="166"/>
        <v>Wednesday</v>
      </c>
      <c r="D3549" s="2">
        <v>0.40881944444444446</v>
      </c>
      <c r="E3549" t="s">
        <v>14</v>
      </c>
      <c r="F3549" t="s">
        <v>19</v>
      </c>
      <c r="G3549">
        <v>1</v>
      </c>
      <c r="H3549" t="s">
        <v>20</v>
      </c>
      <c r="I3549" t="s">
        <v>90</v>
      </c>
      <c r="J3549" s="1">
        <v>43882</v>
      </c>
      <c r="L3549" t="s">
        <v>14</v>
      </c>
      <c r="M3549">
        <v>47.49</v>
      </c>
      <c r="N3549">
        <v>47.49</v>
      </c>
      <c r="O3549" t="s">
        <v>21</v>
      </c>
      <c r="P3549">
        <f t="shared" si="168"/>
        <v>1</v>
      </c>
      <c r="Q3549" s="11">
        <f>IF(P3549=0,0,IFERROR(Q3548+G3549*M3549*IF(E3549="FUTURE",VLOOKUP(MID(I3549,2,2),[1]Futures!$A$2:$B$12,2),1),G3549*M3549*IF(E3549="FUTURE",VLOOKUP(MID(I3549,2,2),[1]Futures!$A$2:$B$12,2),1)))</f>
        <v>47490</v>
      </c>
      <c r="R3549" s="12">
        <f>IFERROR(Q3549/P3549/IF(E3549="FUTURE",VLOOKUP(MID(I3549,2,2),[1]Futures!$A$2:$B$12,2),1),"")</f>
        <v>47.49</v>
      </c>
      <c r="S3549" s="13" t="str">
        <f>IF(AND(H3549="TO CLOSE",P3549=0),-G3549*(M3549-R3548)*IF(E3549="FUTURE",VLOOKUP(MID(I3549,2,2),[1]Futures!$A$2:$B$12,2),1),"")</f>
        <v/>
      </c>
    </row>
    <row r="3550" spans="1:19" x14ac:dyDescent="0.2">
      <c r="A3550">
        <f t="shared" si="167"/>
        <v>1143</v>
      </c>
      <c r="B3550" s="3">
        <v>44188</v>
      </c>
      <c r="C3550" s="3" t="str">
        <f t="shared" si="166"/>
        <v>Wednesday</v>
      </c>
      <c r="D3550" s="2">
        <v>0.40932870370370367</v>
      </c>
      <c r="E3550" t="s">
        <v>14</v>
      </c>
      <c r="F3550" t="s">
        <v>15</v>
      </c>
      <c r="G3550">
        <v>-1</v>
      </c>
      <c r="H3550" t="s">
        <v>16</v>
      </c>
      <c r="I3550" t="s">
        <v>90</v>
      </c>
      <c r="J3550" s="1">
        <v>43882</v>
      </c>
      <c r="L3550" t="s">
        <v>14</v>
      </c>
      <c r="M3550">
        <v>47.54</v>
      </c>
      <c r="N3550">
        <v>47.54</v>
      </c>
      <c r="O3550" t="s">
        <v>21</v>
      </c>
      <c r="P3550">
        <f t="shared" si="168"/>
        <v>0</v>
      </c>
      <c r="Q3550" s="11">
        <f>IF(P3550=0,0,IFERROR(Q3549+G3550*M3550*IF(E3550="FUTURE",VLOOKUP(MID(I3550,2,2),[1]Futures!$A$2:$B$12,2),1),G3550*M3550*IF(E3550="FUTURE",VLOOKUP(MID(I3550,2,2),[1]Futures!$A$2:$B$12,2),1)))</f>
        <v>0</v>
      </c>
      <c r="R3550" s="12" t="str">
        <f>IFERROR(Q3550/P3550/IF(E3550="FUTURE",VLOOKUP(MID(I3550,2,2),[1]Futures!$A$2:$B$12,2),1),"")</f>
        <v/>
      </c>
      <c r="S3550" s="13">
        <f>IF(AND(H3550="TO CLOSE",P3550=0),-G3550*(M3550-R3549)*IF(E3550="FUTURE",VLOOKUP(MID(I3550,2,2),[1]Futures!$A$2:$B$12,2),1),"")</f>
        <v>49.999999999997158</v>
      </c>
    </row>
    <row r="3551" spans="1:19" x14ac:dyDescent="0.2">
      <c r="A3551">
        <f t="shared" si="167"/>
        <v>1144</v>
      </c>
      <c r="B3551" s="3">
        <v>44188</v>
      </c>
      <c r="C3551" s="3" t="str">
        <f t="shared" si="166"/>
        <v>Wednesday</v>
      </c>
      <c r="D3551" s="2">
        <v>0.4123148148148148</v>
      </c>
      <c r="E3551" t="s">
        <v>14</v>
      </c>
      <c r="F3551" t="s">
        <v>15</v>
      </c>
      <c r="G3551">
        <v>-1</v>
      </c>
      <c r="H3551" t="s">
        <v>20</v>
      </c>
      <c r="I3551" t="s">
        <v>90</v>
      </c>
      <c r="J3551" s="1">
        <v>43882</v>
      </c>
      <c r="L3551" t="s">
        <v>14</v>
      </c>
      <c r="M3551">
        <v>47.58</v>
      </c>
      <c r="N3551">
        <v>47.58</v>
      </c>
      <c r="O3551" t="s">
        <v>21</v>
      </c>
      <c r="P3551">
        <f t="shared" si="168"/>
        <v>-1</v>
      </c>
      <c r="Q3551" s="11">
        <f>IF(P3551=0,0,IFERROR(Q3550+G3551*M3551*IF(E3551="FUTURE",VLOOKUP(MID(I3551,2,2),[1]Futures!$A$2:$B$12,2),1),G3551*M3551*IF(E3551="FUTURE",VLOOKUP(MID(I3551,2,2),[1]Futures!$A$2:$B$12,2),1)))</f>
        <v>-47580</v>
      </c>
      <c r="R3551" s="12">
        <f>IFERROR(Q3551/P3551/IF(E3551="FUTURE",VLOOKUP(MID(I3551,2,2),[1]Futures!$A$2:$B$12,2),1),"")</f>
        <v>47.58</v>
      </c>
      <c r="S3551" s="13" t="str">
        <f>IF(AND(H3551="TO CLOSE",P3551=0),-G3551*(M3551-R3550)*IF(E3551="FUTURE",VLOOKUP(MID(I3551,2,2),[1]Futures!$A$2:$B$12,2),1),"")</f>
        <v/>
      </c>
    </row>
    <row r="3552" spans="1:19" x14ac:dyDescent="0.2">
      <c r="A3552">
        <f t="shared" si="167"/>
        <v>1144</v>
      </c>
      <c r="B3552" s="3">
        <v>44188</v>
      </c>
      <c r="C3552" s="3" t="str">
        <f t="shared" si="166"/>
        <v>Wednesday</v>
      </c>
      <c r="D3552" s="2">
        <v>0.41892361111111115</v>
      </c>
      <c r="E3552" t="s">
        <v>14</v>
      </c>
      <c r="F3552" t="s">
        <v>15</v>
      </c>
      <c r="G3552">
        <v>-1</v>
      </c>
      <c r="H3552" t="s">
        <v>20</v>
      </c>
      <c r="I3552" t="s">
        <v>90</v>
      </c>
      <c r="J3552" s="1">
        <v>43882</v>
      </c>
      <c r="L3552" t="s">
        <v>14</v>
      </c>
      <c r="M3552">
        <v>47.82</v>
      </c>
      <c r="N3552">
        <v>47.82</v>
      </c>
      <c r="O3552" t="s">
        <v>21</v>
      </c>
      <c r="P3552">
        <f t="shared" si="168"/>
        <v>-2</v>
      </c>
      <c r="Q3552" s="11">
        <f>IF(P3552=0,0,IFERROR(Q3551+G3552*M3552*IF(E3552="FUTURE",VLOOKUP(MID(I3552,2,2),[1]Futures!$A$2:$B$12,2),1),G3552*M3552*IF(E3552="FUTURE",VLOOKUP(MID(I3552,2,2),[1]Futures!$A$2:$B$12,2),1)))</f>
        <v>-95400</v>
      </c>
      <c r="R3552" s="12">
        <f>IFERROR(Q3552/P3552/IF(E3552="FUTURE",VLOOKUP(MID(I3552,2,2),[1]Futures!$A$2:$B$12,2),1),"")</f>
        <v>47.7</v>
      </c>
      <c r="S3552" s="13" t="str">
        <f>IF(AND(H3552="TO CLOSE",P3552=0),-G3552*(M3552-R3551)*IF(E3552="FUTURE",VLOOKUP(MID(I3552,2,2),[1]Futures!$A$2:$B$12,2),1),"")</f>
        <v/>
      </c>
    </row>
    <row r="3553" spans="1:19" x14ac:dyDescent="0.2">
      <c r="A3553">
        <f t="shared" si="167"/>
        <v>1144</v>
      </c>
      <c r="B3553" s="3">
        <v>44188</v>
      </c>
      <c r="C3553" s="3" t="str">
        <f t="shared" si="166"/>
        <v>Wednesday</v>
      </c>
      <c r="D3553" s="2">
        <v>0.42762731481481481</v>
      </c>
      <c r="E3553" t="s">
        <v>14</v>
      </c>
      <c r="F3553" t="s">
        <v>19</v>
      </c>
      <c r="G3553">
        <v>1</v>
      </c>
      <c r="H3553" t="s">
        <v>16</v>
      </c>
      <c r="I3553" t="s">
        <v>90</v>
      </c>
      <c r="J3553" s="1">
        <v>43882</v>
      </c>
      <c r="L3553" t="s">
        <v>14</v>
      </c>
      <c r="M3553">
        <v>47.66</v>
      </c>
      <c r="N3553">
        <v>47.66</v>
      </c>
      <c r="O3553" t="s">
        <v>21</v>
      </c>
      <c r="P3553">
        <f t="shared" si="168"/>
        <v>-1</v>
      </c>
      <c r="Q3553" s="11">
        <f>IF(P3553=0,0,IFERROR(Q3552+G3553*M3553*IF(E3553="FUTURE",VLOOKUP(MID(I3553,2,2),[1]Futures!$A$2:$B$12,2),1),G3553*M3553*IF(E3553="FUTURE",VLOOKUP(MID(I3553,2,2),[1]Futures!$A$2:$B$12,2),1)))</f>
        <v>-47740</v>
      </c>
      <c r="R3553" s="12">
        <f>IFERROR(Q3553/P3553/IF(E3553="FUTURE",VLOOKUP(MID(I3553,2,2),[1]Futures!$A$2:$B$12,2),1),"")</f>
        <v>47.74</v>
      </c>
      <c r="S3553" s="13" t="str">
        <f>IF(AND(H3553="TO CLOSE",P3553=0),-G3553*(M3553-R3552)*IF(E3553="FUTURE",VLOOKUP(MID(I3553,2,2),[1]Futures!$A$2:$B$12,2),1),"")</f>
        <v/>
      </c>
    </row>
    <row r="3554" spans="1:19" x14ac:dyDescent="0.2">
      <c r="A3554">
        <f t="shared" si="167"/>
        <v>1144</v>
      </c>
      <c r="B3554" s="3">
        <v>44188</v>
      </c>
      <c r="C3554" s="3" t="str">
        <f t="shared" ref="C3554:C3585" si="169">IF(WEEKDAY(B3554,2)=1,"Monday",IF(WEEKDAY(B3554,2)=2,"Tuesday",IF(WEEKDAY(B3554,2)=3,"Wednesday",IF(WEEKDAY(B3554,2)=4,"Thursday",IF(WEEKDAY(B3554,2)=5,"Friday","Sunday")))))</f>
        <v>Wednesday</v>
      </c>
      <c r="D3554" s="2">
        <v>0.45346064814814818</v>
      </c>
      <c r="E3554" t="s">
        <v>14</v>
      </c>
      <c r="F3554" t="s">
        <v>15</v>
      </c>
      <c r="G3554">
        <v>-1</v>
      </c>
      <c r="H3554" t="s">
        <v>20</v>
      </c>
      <c r="I3554" t="s">
        <v>90</v>
      </c>
      <c r="J3554" s="1">
        <v>43882</v>
      </c>
      <c r="L3554" t="s">
        <v>14</v>
      </c>
      <c r="M3554">
        <v>48</v>
      </c>
      <c r="N3554">
        <v>48</v>
      </c>
      <c r="O3554" t="s">
        <v>21</v>
      </c>
      <c r="P3554">
        <f t="shared" si="168"/>
        <v>-2</v>
      </c>
      <c r="Q3554" s="11">
        <f>IF(P3554=0,0,IFERROR(Q3553+G3554*M3554*IF(E3554="FUTURE",VLOOKUP(MID(I3554,2,2),[1]Futures!$A$2:$B$12,2),1),G3554*M3554*IF(E3554="FUTURE",VLOOKUP(MID(I3554,2,2),[1]Futures!$A$2:$B$12,2),1)))</f>
        <v>-95740</v>
      </c>
      <c r="R3554" s="12">
        <f>IFERROR(Q3554/P3554/IF(E3554="FUTURE",VLOOKUP(MID(I3554,2,2),[1]Futures!$A$2:$B$12,2),1),"")</f>
        <v>47.87</v>
      </c>
      <c r="S3554" s="13" t="str">
        <f>IF(AND(H3554="TO CLOSE",P3554=0),-G3554*(M3554-R3553)*IF(E3554="FUTURE",VLOOKUP(MID(I3554,2,2),[1]Futures!$A$2:$B$12,2),1),"")</f>
        <v/>
      </c>
    </row>
    <row r="3555" spans="1:19" x14ac:dyDescent="0.2">
      <c r="A3555">
        <f t="shared" si="167"/>
        <v>1144</v>
      </c>
      <c r="B3555" s="3">
        <v>44188</v>
      </c>
      <c r="C3555" s="3" t="str">
        <f t="shared" si="169"/>
        <v>Wednesday</v>
      </c>
      <c r="D3555" s="2">
        <v>0.6152199074074074</v>
      </c>
      <c r="E3555" t="s">
        <v>14</v>
      </c>
      <c r="F3555" t="s">
        <v>19</v>
      </c>
      <c r="G3555">
        <v>1</v>
      </c>
      <c r="H3555" t="s">
        <v>16</v>
      </c>
      <c r="I3555" t="s">
        <v>90</v>
      </c>
      <c r="J3555" s="1">
        <v>43882</v>
      </c>
      <c r="L3555" t="s">
        <v>14</v>
      </c>
      <c r="M3555">
        <v>48.02</v>
      </c>
      <c r="N3555">
        <v>48.02</v>
      </c>
      <c r="O3555" t="s">
        <v>21</v>
      </c>
      <c r="P3555">
        <f t="shared" si="168"/>
        <v>-1</v>
      </c>
      <c r="Q3555" s="11">
        <f>IF(P3555=0,0,IFERROR(Q3554+G3555*M3555*IF(E3555="FUTURE",VLOOKUP(MID(I3555,2,2),[1]Futures!$A$2:$B$12,2),1),G3555*M3555*IF(E3555="FUTURE",VLOOKUP(MID(I3555,2,2),[1]Futures!$A$2:$B$12,2),1)))</f>
        <v>-47720</v>
      </c>
      <c r="R3555" s="12">
        <f>IFERROR(Q3555/P3555/IF(E3555="FUTURE",VLOOKUP(MID(I3555,2,2),[1]Futures!$A$2:$B$12,2),1),"")</f>
        <v>47.72</v>
      </c>
      <c r="S3555" s="13" t="str">
        <f>IF(AND(H3555="TO CLOSE",P3555=0),-G3555*(M3555-R3554)*IF(E3555="FUTURE",VLOOKUP(MID(I3555,2,2),[1]Futures!$A$2:$B$12,2),1),"")</f>
        <v/>
      </c>
    </row>
    <row r="3556" spans="1:19" x14ac:dyDescent="0.2">
      <c r="A3556">
        <f t="shared" si="167"/>
        <v>1144</v>
      </c>
      <c r="B3556" s="3">
        <v>44188</v>
      </c>
      <c r="C3556" s="3" t="str">
        <f t="shared" si="169"/>
        <v>Wednesday</v>
      </c>
      <c r="D3556" s="2">
        <v>0.62069444444444444</v>
      </c>
      <c r="E3556" t="s">
        <v>14</v>
      </c>
      <c r="F3556" t="s">
        <v>19</v>
      </c>
      <c r="G3556">
        <v>1</v>
      </c>
      <c r="H3556" t="s">
        <v>16</v>
      </c>
      <c r="I3556" t="s">
        <v>90</v>
      </c>
      <c r="J3556" s="1">
        <v>43882</v>
      </c>
      <c r="L3556" t="s">
        <v>14</v>
      </c>
      <c r="M3556">
        <v>47.98</v>
      </c>
      <c r="N3556">
        <v>47.98</v>
      </c>
      <c r="O3556" t="s">
        <v>18</v>
      </c>
      <c r="P3556">
        <f t="shared" si="168"/>
        <v>0</v>
      </c>
      <c r="Q3556" s="11">
        <f>IF(P3556=0,0,IFERROR(Q3555+G3556*M3556*IF(E3556="FUTURE",VLOOKUP(MID(I3556,2,2),[1]Futures!$A$2:$B$12,2),1),G3556*M3556*IF(E3556="FUTURE",VLOOKUP(MID(I3556,2,2),[1]Futures!$A$2:$B$12,2),1)))</f>
        <v>0</v>
      </c>
      <c r="R3556" s="12" t="str">
        <f>IFERROR(Q3556/P3556/IF(E3556="FUTURE",VLOOKUP(MID(I3556,2,2),[1]Futures!$A$2:$B$12,2),1),"")</f>
        <v/>
      </c>
      <c r="S3556" s="13">
        <f>IF(AND(H3556="TO CLOSE",P3556=0),-G3556*(M3556-R3555)*IF(E3556="FUTURE",VLOOKUP(MID(I3556,2,2),[1]Futures!$A$2:$B$12,2),1),"")</f>
        <v>-259.99999999999801</v>
      </c>
    </row>
    <row r="3557" spans="1:19" x14ac:dyDescent="0.2">
      <c r="A3557">
        <f t="shared" si="167"/>
        <v>1145</v>
      </c>
      <c r="B3557" s="3">
        <v>44188</v>
      </c>
      <c r="C3557" s="3" t="str">
        <f t="shared" si="169"/>
        <v>Wednesday</v>
      </c>
      <c r="D3557" s="2">
        <v>0.75101851851851853</v>
      </c>
      <c r="E3557" t="s">
        <v>14</v>
      </c>
      <c r="F3557" t="s">
        <v>15</v>
      </c>
      <c r="G3557">
        <v>-1</v>
      </c>
      <c r="H3557" t="s">
        <v>20</v>
      </c>
      <c r="I3557" t="s">
        <v>90</v>
      </c>
      <c r="J3557" s="1">
        <v>43882</v>
      </c>
      <c r="L3557" t="s">
        <v>14</v>
      </c>
      <c r="M3557">
        <v>48.07</v>
      </c>
      <c r="N3557">
        <v>48.07</v>
      </c>
      <c r="O3557" t="s">
        <v>21</v>
      </c>
      <c r="P3557">
        <f t="shared" si="168"/>
        <v>-1</v>
      </c>
      <c r="Q3557" s="11">
        <f>IF(P3557=0,0,IFERROR(Q3556+G3557*M3557*IF(E3557="FUTURE",VLOOKUP(MID(I3557,2,2),[1]Futures!$A$2:$B$12,2),1),G3557*M3557*IF(E3557="FUTURE",VLOOKUP(MID(I3557,2,2),[1]Futures!$A$2:$B$12,2),1)))</f>
        <v>-48070</v>
      </c>
      <c r="R3557" s="12">
        <f>IFERROR(Q3557/P3557/IF(E3557="FUTURE",VLOOKUP(MID(I3557,2,2),[1]Futures!$A$2:$B$12,2),1),"")</f>
        <v>48.07</v>
      </c>
      <c r="S3557" s="13" t="str">
        <f>IF(AND(H3557="TO CLOSE",P3557=0),-G3557*(M3557-R3556)*IF(E3557="FUTURE",VLOOKUP(MID(I3557,2,2),[1]Futures!$A$2:$B$12,2),1),"")</f>
        <v/>
      </c>
    </row>
    <row r="3558" spans="1:19" x14ac:dyDescent="0.2">
      <c r="A3558">
        <f t="shared" si="167"/>
        <v>1145</v>
      </c>
      <c r="B3558" s="3">
        <v>44188</v>
      </c>
      <c r="C3558" s="3" t="str">
        <f t="shared" si="169"/>
        <v>Wednesday</v>
      </c>
      <c r="D3558" s="2">
        <v>0.80259259259259252</v>
      </c>
      <c r="E3558" t="s">
        <v>14</v>
      </c>
      <c r="F3558" t="s">
        <v>19</v>
      </c>
      <c r="G3558">
        <v>1</v>
      </c>
      <c r="H3558" t="s">
        <v>16</v>
      </c>
      <c r="I3558" t="s">
        <v>90</v>
      </c>
      <c r="J3558" s="1">
        <v>43882</v>
      </c>
      <c r="L3558" t="s">
        <v>14</v>
      </c>
      <c r="M3558">
        <v>48.03</v>
      </c>
      <c r="N3558">
        <v>48.03</v>
      </c>
      <c r="O3558" t="s">
        <v>21</v>
      </c>
      <c r="P3558">
        <f t="shared" si="168"/>
        <v>0</v>
      </c>
      <c r="Q3558" s="11">
        <f>IF(P3558=0,0,IFERROR(Q3557+G3558*M3558*IF(E3558="FUTURE",VLOOKUP(MID(I3558,2,2),[1]Futures!$A$2:$B$12,2),1),G3558*M3558*IF(E3558="FUTURE",VLOOKUP(MID(I3558,2,2),[1]Futures!$A$2:$B$12,2),1)))</f>
        <v>0</v>
      </c>
      <c r="R3558" s="12" t="str">
        <f>IFERROR(Q3558/P3558/IF(E3558="FUTURE",VLOOKUP(MID(I3558,2,2),[1]Futures!$A$2:$B$12,2),1),"")</f>
        <v/>
      </c>
      <c r="S3558" s="13">
        <f>IF(AND(H3558="TO CLOSE",P3558=0),-G3558*(M3558-R3557)*IF(E3558="FUTURE",VLOOKUP(MID(I3558,2,2),[1]Futures!$A$2:$B$12,2),1),"")</f>
        <v>39.999999999999147</v>
      </c>
    </row>
    <row r="3559" spans="1:19" x14ac:dyDescent="0.2">
      <c r="A3559">
        <f t="shared" si="167"/>
        <v>1146</v>
      </c>
      <c r="B3559" s="3">
        <v>44193</v>
      </c>
      <c r="C3559" s="3" t="str">
        <f t="shared" si="169"/>
        <v>Monday</v>
      </c>
      <c r="D3559" s="2">
        <v>0.41427083333333337</v>
      </c>
      <c r="E3559" t="s">
        <v>14</v>
      </c>
      <c r="F3559" t="s">
        <v>15</v>
      </c>
      <c r="G3559">
        <v>-1</v>
      </c>
      <c r="H3559" t="s">
        <v>20</v>
      </c>
      <c r="I3559" t="s">
        <v>90</v>
      </c>
      <c r="J3559" s="1">
        <v>44248</v>
      </c>
      <c r="L3559" t="s">
        <v>14</v>
      </c>
      <c r="M3559">
        <v>48.29</v>
      </c>
      <c r="N3559">
        <v>48.29</v>
      </c>
      <c r="O3559" t="s">
        <v>21</v>
      </c>
      <c r="P3559">
        <f t="shared" si="168"/>
        <v>-1</v>
      </c>
      <c r="Q3559" s="11">
        <f>IF(P3559=0,0,IFERROR(Q3558+G3559*M3559*IF(E3559="FUTURE",VLOOKUP(MID(I3559,2,2),[1]Futures!$A$2:$B$12,2),1),G3559*M3559*IF(E3559="FUTURE",VLOOKUP(MID(I3559,2,2),[1]Futures!$A$2:$B$12,2),1)))</f>
        <v>-48290</v>
      </c>
      <c r="R3559" s="12">
        <f>IFERROR(Q3559/P3559/IF(E3559="FUTURE",VLOOKUP(MID(I3559,2,2),[1]Futures!$A$2:$B$12,2),1),"")</f>
        <v>48.29</v>
      </c>
      <c r="S3559" s="13" t="str">
        <f>IF(AND(H3559="TO CLOSE",P3559=0),-G3559*(M3559-R3558)*IF(E3559="FUTURE",VLOOKUP(MID(I3559,2,2),[1]Futures!$A$2:$B$12,2),1),"")</f>
        <v/>
      </c>
    </row>
    <row r="3560" spans="1:19" x14ac:dyDescent="0.2">
      <c r="A3560">
        <f t="shared" si="167"/>
        <v>1146</v>
      </c>
      <c r="B3560" s="3">
        <v>44193</v>
      </c>
      <c r="C3560" s="3" t="str">
        <f t="shared" si="169"/>
        <v>Monday</v>
      </c>
      <c r="D3560" s="2">
        <v>0.42223379629629632</v>
      </c>
      <c r="E3560" t="s">
        <v>14</v>
      </c>
      <c r="F3560" t="s">
        <v>19</v>
      </c>
      <c r="G3560">
        <v>1</v>
      </c>
      <c r="H3560" t="s">
        <v>16</v>
      </c>
      <c r="I3560" t="s">
        <v>90</v>
      </c>
      <c r="J3560" s="1">
        <v>44248</v>
      </c>
      <c r="L3560" t="s">
        <v>14</v>
      </c>
      <c r="M3560">
        <v>48.19</v>
      </c>
      <c r="N3560">
        <v>48.19</v>
      </c>
      <c r="O3560" t="s">
        <v>21</v>
      </c>
      <c r="P3560">
        <f t="shared" si="168"/>
        <v>0</v>
      </c>
      <c r="Q3560" s="11">
        <f>IF(P3560=0,0,IFERROR(Q3559+G3560*M3560*IF(E3560="FUTURE",VLOOKUP(MID(I3560,2,2),[1]Futures!$A$2:$B$12,2),1),G3560*M3560*IF(E3560="FUTURE",VLOOKUP(MID(I3560,2,2),[1]Futures!$A$2:$B$12,2),1)))</f>
        <v>0</v>
      </c>
      <c r="R3560" s="12" t="str">
        <f>IFERROR(Q3560/P3560/IF(E3560="FUTURE",VLOOKUP(MID(I3560,2,2),[1]Futures!$A$2:$B$12,2),1),"")</f>
        <v/>
      </c>
      <c r="S3560" s="13">
        <f>IF(AND(H3560="TO CLOSE",P3560=0),-G3560*(M3560-R3559)*IF(E3560="FUTURE",VLOOKUP(MID(I3560,2,2),[1]Futures!$A$2:$B$12,2),1),"")</f>
        <v>100.00000000000142</v>
      </c>
    </row>
    <row r="3561" spans="1:19" x14ac:dyDescent="0.2">
      <c r="A3561">
        <f t="shared" si="167"/>
        <v>1147</v>
      </c>
      <c r="B3561" s="3">
        <v>44193</v>
      </c>
      <c r="C3561" s="3" t="str">
        <f t="shared" si="169"/>
        <v>Monday</v>
      </c>
      <c r="D3561" s="2">
        <v>0.43648148148148147</v>
      </c>
      <c r="E3561" t="s">
        <v>14</v>
      </c>
      <c r="F3561" t="s">
        <v>19</v>
      </c>
      <c r="G3561">
        <v>1</v>
      </c>
      <c r="H3561" t="s">
        <v>20</v>
      </c>
      <c r="I3561" t="s">
        <v>90</v>
      </c>
      <c r="J3561" s="1">
        <v>44248</v>
      </c>
      <c r="L3561" t="s">
        <v>14</v>
      </c>
      <c r="M3561">
        <v>48.26</v>
      </c>
      <c r="N3561">
        <v>48.26</v>
      </c>
      <c r="O3561" t="s">
        <v>21</v>
      </c>
      <c r="P3561">
        <f t="shared" si="168"/>
        <v>1</v>
      </c>
      <c r="Q3561" s="11">
        <f>IF(P3561=0,0,IFERROR(Q3560+G3561*M3561*IF(E3561="FUTURE",VLOOKUP(MID(I3561,2,2),[1]Futures!$A$2:$B$12,2),1),G3561*M3561*IF(E3561="FUTURE",VLOOKUP(MID(I3561,2,2),[1]Futures!$A$2:$B$12,2),1)))</f>
        <v>48260</v>
      </c>
      <c r="R3561" s="12">
        <f>IFERROR(Q3561/P3561/IF(E3561="FUTURE",VLOOKUP(MID(I3561,2,2),[1]Futures!$A$2:$B$12,2),1),"")</f>
        <v>48.26</v>
      </c>
      <c r="S3561" s="13" t="str">
        <f>IF(AND(H3561="TO CLOSE",P3561=0),-G3561*(M3561-R3560)*IF(E3561="FUTURE",VLOOKUP(MID(I3561,2,2),[1]Futures!$A$2:$B$12,2),1),"")</f>
        <v/>
      </c>
    </row>
    <row r="3562" spans="1:19" x14ac:dyDescent="0.2">
      <c r="A3562">
        <f t="shared" si="167"/>
        <v>1147</v>
      </c>
      <c r="B3562" s="3">
        <v>44193</v>
      </c>
      <c r="C3562" s="3" t="str">
        <f t="shared" si="169"/>
        <v>Monday</v>
      </c>
      <c r="D3562" s="2">
        <v>0.44842592592592595</v>
      </c>
      <c r="E3562" t="s">
        <v>14</v>
      </c>
      <c r="F3562" t="s">
        <v>15</v>
      </c>
      <c r="G3562">
        <v>-1</v>
      </c>
      <c r="H3562" t="s">
        <v>16</v>
      </c>
      <c r="I3562" t="s">
        <v>90</v>
      </c>
      <c r="J3562" s="1">
        <v>44248</v>
      </c>
      <c r="L3562" t="s">
        <v>14</v>
      </c>
      <c r="M3562">
        <v>48.11</v>
      </c>
      <c r="N3562">
        <v>48.11</v>
      </c>
      <c r="O3562" t="s">
        <v>21</v>
      </c>
      <c r="P3562">
        <f t="shared" si="168"/>
        <v>0</v>
      </c>
      <c r="Q3562" s="11">
        <f>IF(P3562=0,0,IFERROR(Q3561+G3562*M3562*IF(E3562="FUTURE",VLOOKUP(MID(I3562,2,2),[1]Futures!$A$2:$B$12,2),1),G3562*M3562*IF(E3562="FUTURE",VLOOKUP(MID(I3562,2,2),[1]Futures!$A$2:$B$12,2),1)))</f>
        <v>0</v>
      </c>
      <c r="R3562" s="12" t="str">
        <f>IFERROR(Q3562/P3562/IF(E3562="FUTURE",VLOOKUP(MID(I3562,2,2),[1]Futures!$A$2:$B$12,2),1),"")</f>
        <v/>
      </c>
      <c r="S3562" s="13">
        <f>IF(AND(H3562="TO CLOSE",P3562=0),-G3562*(M3562-R3561)*IF(E3562="FUTURE",VLOOKUP(MID(I3562,2,2),[1]Futures!$A$2:$B$12,2),1),"")</f>
        <v>-149.99999999999858</v>
      </c>
    </row>
    <row r="3563" spans="1:19" x14ac:dyDescent="0.2">
      <c r="A3563">
        <f t="shared" si="167"/>
        <v>1148</v>
      </c>
      <c r="B3563" s="3">
        <v>44193</v>
      </c>
      <c r="C3563" s="3" t="str">
        <f t="shared" si="169"/>
        <v>Monday</v>
      </c>
      <c r="D3563" s="2">
        <v>0.45128472222222221</v>
      </c>
      <c r="E3563" t="s">
        <v>14</v>
      </c>
      <c r="F3563" t="s">
        <v>15</v>
      </c>
      <c r="G3563">
        <v>-1</v>
      </c>
      <c r="H3563" t="s">
        <v>20</v>
      </c>
      <c r="I3563" t="s">
        <v>90</v>
      </c>
      <c r="J3563" s="1">
        <v>44248</v>
      </c>
      <c r="L3563" t="s">
        <v>14</v>
      </c>
      <c r="M3563">
        <v>48.16</v>
      </c>
      <c r="N3563">
        <v>48.16</v>
      </c>
      <c r="O3563" t="s">
        <v>21</v>
      </c>
      <c r="P3563">
        <f t="shared" si="168"/>
        <v>-1</v>
      </c>
      <c r="Q3563" s="11">
        <f>IF(P3563=0,0,IFERROR(Q3562+G3563*M3563*IF(E3563="FUTURE",VLOOKUP(MID(I3563,2,2),[1]Futures!$A$2:$B$12,2),1),G3563*M3563*IF(E3563="FUTURE",VLOOKUP(MID(I3563,2,2),[1]Futures!$A$2:$B$12,2),1)))</f>
        <v>-48160</v>
      </c>
      <c r="R3563" s="12">
        <f>IFERROR(Q3563/P3563/IF(E3563="FUTURE",VLOOKUP(MID(I3563,2,2),[1]Futures!$A$2:$B$12,2),1),"")</f>
        <v>48.16</v>
      </c>
      <c r="S3563" s="13" t="str">
        <f>IF(AND(H3563="TO CLOSE",P3563=0),-G3563*(M3563-R3562)*IF(E3563="FUTURE",VLOOKUP(MID(I3563,2,2),[1]Futures!$A$2:$B$12,2),1),"")</f>
        <v/>
      </c>
    </row>
    <row r="3564" spans="1:19" x14ac:dyDescent="0.2">
      <c r="A3564">
        <f t="shared" si="167"/>
        <v>1148</v>
      </c>
      <c r="B3564" s="3">
        <v>44193</v>
      </c>
      <c r="C3564" s="3" t="str">
        <f t="shared" si="169"/>
        <v>Monday</v>
      </c>
      <c r="D3564" s="2">
        <v>0.45950231481481479</v>
      </c>
      <c r="E3564" t="s">
        <v>14</v>
      </c>
      <c r="F3564" t="s">
        <v>19</v>
      </c>
      <c r="G3564">
        <v>1</v>
      </c>
      <c r="H3564" t="s">
        <v>16</v>
      </c>
      <c r="I3564" t="s">
        <v>90</v>
      </c>
      <c r="J3564" s="1">
        <v>44248</v>
      </c>
      <c r="L3564" t="s">
        <v>14</v>
      </c>
      <c r="M3564">
        <v>48.11</v>
      </c>
      <c r="N3564">
        <v>48.11</v>
      </c>
      <c r="O3564" t="s">
        <v>18</v>
      </c>
      <c r="P3564">
        <f t="shared" si="168"/>
        <v>0</v>
      </c>
      <c r="Q3564" s="11">
        <f>IF(P3564=0,0,IFERROR(Q3563+G3564*M3564*IF(E3564="FUTURE",VLOOKUP(MID(I3564,2,2),[1]Futures!$A$2:$B$12,2),1),G3564*M3564*IF(E3564="FUTURE",VLOOKUP(MID(I3564,2,2),[1]Futures!$A$2:$B$12,2),1)))</f>
        <v>0</v>
      </c>
      <c r="R3564" s="12" t="str">
        <f>IFERROR(Q3564/P3564/IF(E3564="FUTURE",VLOOKUP(MID(I3564,2,2),[1]Futures!$A$2:$B$12,2),1),"")</f>
        <v/>
      </c>
      <c r="S3564" s="13">
        <f>IF(AND(H3564="TO CLOSE",P3564=0),-G3564*(M3564-R3563)*IF(E3564="FUTURE",VLOOKUP(MID(I3564,2,2),[1]Futures!$A$2:$B$12,2),1),"")</f>
        <v>49.999999999997158</v>
      </c>
    </row>
    <row r="3565" spans="1:19" x14ac:dyDescent="0.2">
      <c r="A3565">
        <f t="shared" si="167"/>
        <v>1149</v>
      </c>
      <c r="B3565" s="3">
        <v>44193</v>
      </c>
      <c r="C3565" s="3" t="str">
        <f t="shared" si="169"/>
        <v>Monday</v>
      </c>
      <c r="D3565" s="2">
        <v>0.46625</v>
      </c>
      <c r="E3565" t="s">
        <v>14</v>
      </c>
      <c r="F3565" t="s">
        <v>19</v>
      </c>
      <c r="G3565">
        <v>1</v>
      </c>
      <c r="H3565" t="s">
        <v>20</v>
      </c>
      <c r="I3565" t="s">
        <v>90</v>
      </c>
      <c r="J3565" s="1">
        <v>44248</v>
      </c>
      <c r="L3565" t="s">
        <v>14</v>
      </c>
      <c r="M3565">
        <v>48.11</v>
      </c>
      <c r="N3565">
        <v>48.11</v>
      </c>
      <c r="O3565" t="s">
        <v>21</v>
      </c>
      <c r="P3565">
        <f t="shared" si="168"/>
        <v>1</v>
      </c>
      <c r="Q3565" s="11">
        <f>IF(P3565=0,0,IFERROR(Q3564+G3565*M3565*IF(E3565="FUTURE",VLOOKUP(MID(I3565,2,2),[1]Futures!$A$2:$B$12,2),1),G3565*M3565*IF(E3565="FUTURE",VLOOKUP(MID(I3565,2,2),[1]Futures!$A$2:$B$12,2),1)))</f>
        <v>48110</v>
      </c>
      <c r="R3565" s="12">
        <f>IFERROR(Q3565/P3565/IF(E3565="FUTURE",VLOOKUP(MID(I3565,2,2),[1]Futures!$A$2:$B$12,2),1),"")</f>
        <v>48.11</v>
      </c>
      <c r="S3565" s="13" t="str">
        <f>IF(AND(H3565="TO CLOSE",P3565=0),-G3565*(M3565-R3564)*IF(E3565="FUTURE",VLOOKUP(MID(I3565,2,2),[1]Futures!$A$2:$B$12,2),1),"")</f>
        <v/>
      </c>
    </row>
    <row r="3566" spans="1:19" x14ac:dyDescent="0.2">
      <c r="A3566">
        <f t="shared" si="167"/>
        <v>1149</v>
      </c>
      <c r="B3566" s="3">
        <v>44193</v>
      </c>
      <c r="C3566" s="3" t="str">
        <f t="shared" si="169"/>
        <v>Monday</v>
      </c>
      <c r="D3566" s="2">
        <v>0.46863425925925922</v>
      </c>
      <c r="E3566" t="s">
        <v>14</v>
      </c>
      <c r="F3566" t="s">
        <v>15</v>
      </c>
      <c r="G3566">
        <v>-1</v>
      </c>
      <c r="H3566" t="s">
        <v>16</v>
      </c>
      <c r="I3566" t="s">
        <v>90</v>
      </c>
      <c r="J3566" s="1">
        <v>44248</v>
      </c>
      <c r="L3566" t="s">
        <v>14</v>
      </c>
      <c r="M3566">
        <v>48.16</v>
      </c>
      <c r="N3566">
        <v>48.16</v>
      </c>
      <c r="O3566" t="s">
        <v>21</v>
      </c>
      <c r="P3566">
        <f t="shared" si="168"/>
        <v>0</v>
      </c>
      <c r="Q3566" s="11">
        <f>IF(P3566=0,0,IFERROR(Q3565+G3566*M3566*IF(E3566="FUTURE",VLOOKUP(MID(I3566,2,2),[1]Futures!$A$2:$B$12,2),1),G3566*M3566*IF(E3566="FUTURE",VLOOKUP(MID(I3566,2,2),[1]Futures!$A$2:$B$12,2),1)))</f>
        <v>0</v>
      </c>
      <c r="R3566" s="12" t="str">
        <f>IFERROR(Q3566/P3566/IF(E3566="FUTURE",VLOOKUP(MID(I3566,2,2),[1]Futures!$A$2:$B$12,2),1),"")</f>
        <v/>
      </c>
      <c r="S3566" s="13">
        <f>IF(AND(H3566="TO CLOSE",P3566=0),-G3566*(M3566-R3565)*IF(E3566="FUTURE",VLOOKUP(MID(I3566,2,2),[1]Futures!$A$2:$B$12,2),1),"")</f>
        <v>49.999999999997158</v>
      </c>
    </row>
    <row r="3567" spans="1:19" x14ac:dyDescent="0.2">
      <c r="A3567">
        <f t="shared" si="167"/>
        <v>1150</v>
      </c>
      <c r="B3567" s="3">
        <v>44193</v>
      </c>
      <c r="C3567" s="3" t="str">
        <f t="shared" si="169"/>
        <v>Monday</v>
      </c>
      <c r="D3567" s="2">
        <v>0.60380787037037031</v>
      </c>
      <c r="E3567" t="s">
        <v>14</v>
      </c>
      <c r="F3567" t="s">
        <v>19</v>
      </c>
      <c r="G3567">
        <v>1</v>
      </c>
      <c r="H3567" t="s">
        <v>20</v>
      </c>
      <c r="I3567" t="s">
        <v>90</v>
      </c>
      <c r="J3567" s="1">
        <v>44248</v>
      </c>
      <c r="L3567" t="s">
        <v>14</v>
      </c>
      <c r="M3567">
        <v>47.65</v>
      </c>
      <c r="N3567">
        <v>47.65</v>
      </c>
      <c r="O3567" t="s">
        <v>21</v>
      </c>
      <c r="P3567">
        <f t="shared" si="168"/>
        <v>1</v>
      </c>
      <c r="Q3567" s="11">
        <f>IF(P3567=0,0,IFERROR(Q3566+G3567*M3567*IF(E3567="FUTURE",VLOOKUP(MID(I3567,2,2),[1]Futures!$A$2:$B$12,2),1),G3567*M3567*IF(E3567="FUTURE",VLOOKUP(MID(I3567,2,2),[1]Futures!$A$2:$B$12,2),1)))</f>
        <v>47650</v>
      </c>
      <c r="R3567" s="12">
        <f>IFERROR(Q3567/P3567/IF(E3567="FUTURE",VLOOKUP(MID(I3567,2,2),[1]Futures!$A$2:$B$12,2),1),"")</f>
        <v>47.65</v>
      </c>
      <c r="S3567" s="13" t="str">
        <f>IF(AND(H3567="TO CLOSE",P3567=0),-G3567*(M3567-R3566)*IF(E3567="FUTURE",VLOOKUP(MID(I3567,2,2),[1]Futures!$A$2:$B$12,2),1),"")</f>
        <v/>
      </c>
    </row>
    <row r="3568" spans="1:19" x14ac:dyDescent="0.2">
      <c r="A3568">
        <f t="shared" si="167"/>
        <v>1150</v>
      </c>
      <c r="B3568" s="3">
        <v>44193</v>
      </c>
      <c r="C3568" s="3" t="str">
        <f t="shared" si="169"/>
        <v>Monday</v>
      </c>
      <c r="D3568" s="2">
        <v>0.61517361111111113</v>
      </c>
      <c r="E3568" t="s">
        <v>14</v>
      </c>
      <c r="F3568" t="s">
        <v>15</v>
      </c>
      <c r="G3568">
        <v>-1</v>
      </c>
      <c r="H3568" t="s">
        <v>16</v>
      </c>
      <c r="I3568" t="s">
        <v>90</v>
      </c>
      <c r="J3568" s="1">
        <v>44248</v>
      </c>
      <c r="L3568" t="s">
        <v>14</v>
      </c>
      <c r="M3568">
        <v>47.66</v>
      </c>
      <c r="N3568">
        <v>47.66</v>
      </c>
      <c r="O3568" t="s">
        <v>21</v>
      </c>
      <c r="P3568">
        <f t="shared" si="168"/>
        <v>0</v>
      </c>
      <c r="Q3568" s="11">
        <f>IF(P3568=0,0,IFERROR(Q3567+G3568*M3568*IF(E3568="FUTURE",VLOOKUP(MID(I3568,2,2),[1]Futures!$A$2:$B$12,2),1),G3568*M3568*IF(E3568="FUTURE",VLOOKUP(MID(I3568,2,2),[1]Futures!$A$2:$B$12,2),1)))</f>
        <v>0</v>
      </c>
      <c r="R3568" s="12" t="str">
        <f>IFERROR(Q3568/P3568/IF(E3568="FUTURE",VLOOKUP(MID(I3568,2,2),[1]Futures!$A$2:$B$12,2),1),"")</f>
        <v/>
      </c>
      <c r="S3568" s="13">
        <f>IF(AND(H3568="TO CLOSE",P3568=0),-G3568*(M3568-R3567)*IF(E3568="FUTURE",VLOOKUP(MID(I3568,2,2),[1]Futures!$A$2:$B$12,2),1),"")</f>
        <v>9.9999999999980105</v>
      </c>
    </row>
    <row r="3569" spans="1:19" x14ac:dyDescent="0.2">
      <c r="A3569">
        <f t="shared" si="167"/>
        <v>1151</v>
      </c>
      <c r="B3569" s="3">
        <v>44193</v>
      </c>
      <c r="C3569" s="3" t="str">
        <f t="shared" si="169"/>
        <v>Monday</v>
      </c>
      <c r="D3569" s="2">
        <v>0.4069444444444445</v>
      </c>
      <c r="E3569" t="s">
        <v>14</v>
      </c>
      <c r="F3569" t="s">
        <v>15</v>
      </c>
      <c r="G3569">
        <v>-1</v>
      </c>
      <c r="H3569" t="s">
        <v>20</v>
      </c>
      <c r="I3569" t="s">
        <v>89</v>
      </c>
      <c r="J3569" s="1">
        <v>44276</v>
      </c>
      <c r="L3569" t="s">
        <v>14</v>
      </c>
      <c r="M3569">
        <v>3719.5</v>
      </c>
      <c r="N3569">
        <v>3719.5</v>
      </c>
      <c r="O3569" t="s">
        <v>21</v>
      </c>
      <c r="P3569">
        <f t="shared" si="168"/>
        <v>-1</v>
      </c>
      <c r="Q3569" s="11">
        <f>IF(P3569=0,0,IFERROR(Q3568+G3569*M3569*IF(E3569="FUTURE",VLOOKUP(MID(I3569,2,2),[1]Futures!$A$2:$B$12,2),1),G3569*M3569*IF(E3569="FUTURE",VLOOKUP(MID(I3569,2,2),[1]Futures!$A$2:$B$12,2),1)))</f>
        <v>-185975</v>
      </c>
      <c r="R3569" s="12">
        <f>IFERROR(Q3569/P3569/IF(E3569="FUTURE",VLOOKUP(MID(I3569,2,2),[1]Futures!$A$2:$B$12,2),1),"")</f>
        <v>3719.5</v>
      </c>
      <c r="S3569" s="13" t="str">
        <f>IF(AND(H3569="TO CLOSE",P3569=0),-G3569*(M3569-R3568)*IF(E3569="FUTURE",VLOOKUP(MID(I3569,2,2),[1]Futures!$A$2:$B$12,2),1),"")</f>
        <v/>
      </c>
    </row>
    <row r="3570" spans="1:19" x14ac:dyDescent="0.2">
      <c r="A3570">
        <f t="shared" si="167"/>
        <v>1151</v>
      </c>
      <c r="B3570" s="3">
        <v>44194</v>
      </c>
      <c r="C3570" s="3" t="str">
        <f t="shared" si="169"/>
        <v>Tuesday</v>
      </c>
      <c r="D3570" s="2">
        <v>7.7696759259259257E-2</v>
      </c>
      <c r="E3570" t="s">
        <v>14</v>
      </c>
      <c r="F3570" t="s">
        <v>19</v>
      </c>
      <c r="G3570">
        <v>1</v>
      </c>
      <c r="H3570" t="s">
        <v>16</v>
      </c>
      <c r="I3570" t="s">
        <v>89</v>
      </c>
      <c r="J3570" s="1">
        <v>44276</v>
      </c>
      <c r="L3570" t="s">
        <v>14</v>
      </c>
      <c r="M3570">
        <v>3744.5</v>
      </c>
      <c r="N3570">
        <v>3744.5</v>
      </c>
      <c r="O3570" t="s">
        <v>18</v>
      </c>
      <c r="P3570">
        <f t="shared" si="168"/>
        <v>0</v>
      </c>
      <c r="Q3570" s="11">
        <f>IF(P3570=0,0,IFERROR(Q3569+G3570*M3570*IF(E3570="FUTURE",VLOOKUP(MID(I3570,2,2),[1]Futures!$A$2:$B$12,2),1),G3570*M3570*IF(E3570="FUTURE",VLOOKUP(MID(I3570,2,2),[1]Futures!$A$2:$B$12,2),1)))</f>
        <v>0</v>
      </c>
      <c r="R3570" s="12" t="str">
        <f>IFERROR(Q3570/P3570/IF(E3570="FUTURE",VLOOKUP(MID(I3570,2,2),[1]Futures!$A$2:$B$12,2),1),"")</f>
        <v/>
      </c>
      <c r="S3570" s="13">
        <f>IF(AND(H3570="TO CLOSE",P3570=0),-G3570*(M3570-R3569)*IF(E3570="FUTURE",VLOOKUP(MID(I3570,2,2),[1]Futures!$A$2:$B$12,2),1),"")</f>
        <v>-1250</v>
      </c>
    </row>
    <row r="3571" spans="1:19" x14ac:dyDescent="0.2">
      <c r="A3571">
        <f t="shared" si="167"/>
        <v>1152</v>
      </c>
      <c r="B3571" s="3">
        <v>44194</v>
      </c>
      <c r="C3571" s="3" t="str">
        <f t="shared" si="169"/>
        <v>Tuesday</v>
      </c>
      <c r="D3571" s="2">
        <v>0.40194444444444444</v>
      </c>
      <c r="E3571" t="s">
        <v>14</v>
      </c>
      <c r="F3571" t="s">
        <v>15</v>
      </c>
      <c r="G3571">
        <v>-2</v>
      </c>
      <c r="H3571" t="s">
        <v>20</v>
      </c>
      <c r="I3571" t="s">
        <v>90</v>
      </c>
      <c r="J3571" s="1">
        <v>44248</v>
      </c>
      <c r="L3571" t="s">
        <v>14</v>
      </c>
      <c r="M3571">
        <v>48.12</v>
      </c>
      <c r="N3571">
        <v>48.12</v>
      </c>
      <c r="O3571" t="s">
        <v>21</v>
      </c>
      <c r="P3571">
        <f t="shared" si="168"/>
        <v>-2</v>
      </c>
      <c r="Q3571" s="11">
        <f>IF(P3571=0,0,IFERROR(Q3570+G3571*M3571*IF(E3571="FUTURE",VLOOKUP(MID(I3571,2,2),[1]Futures!$A$2:$B$12,2),1),G3571*M3571*IF(E3571="FUTURE",VLOOKUP(MID(I3571,2,2),[1]Futures!$A$2:$B$12,2),1)))</f>
        <v>-96240</v>
      </c>
      <c r="R3571" s="12">
        <f>IFERROR(Q3571/P3571/IF(E3571="FUTURE",VLOOKUP(MID(I3571,2,2),[1]Futures!$A$2:$B$12,2),1),"")</f>
        <v>48.12</v>
      </c>
      <c r="S3571" s="13" t="str">
        <f>IF(AND(H3571="TO CLOSE",P3571=0),-G3571*(M3571-R3570)*IF(E3571="FUTURE",VLOOKUP(MID(I3571,2,2),[1]Futures!$A$2:$B$12,2),1),"")</f>
        <v/>
      </c>
    </row>
    <row r="3572" spans="1:19" x14ac:dyDescent="0.2">
      <c r="A3572">
        <f t="shared" si="167"/>
        <v>1152</v>
      </c>
      <c r="B3572" s="3">
        <v>44194</v>
      </c>
      <c r="C3572" s="3" t="str">
        <f t="shared" si="169"/>
        <v>Tuesday</v>
      </c>
      <c r="D3572" s="2">
        <v>0.42274305555555558</v>
      </c>
      <c r="E3572" t="s">
        <v>14</v>
      </c>
      <c r="F3572" t="s">
        <v>19</v>
      </c>
      <c r="G3572">
        <v>1</v>
      </c>
      <c r="H3572" t="s">
        <v>16</v>
      </c>
      <c r="I3572" t="s">
        <v>90</v>
      </c>
      <c r="J3572" s="1">
        <v>44248</v>
      </c>
      <c r="L3572" t="s">
        <v>14</v>
      </c>
      <c r="M3572">
        <v>48.01</v>
      </c>
      <c r="N3572">
        <v>48.01</v>
      </c>
      <c r="O3572" t="s">
        <v>21</v>
      </c>
      <c r="P3572">
        <f t="shared" si="168"/>
        <v>-1</v>
      </c>
      <c r="Q3572" s="11">
        <f>IF(P3572=0,0,IFERROR(Q3571+G3572*M3572*IF(E3572="FUTURE",VLOOKUP(MID(I3572,2,2),[1]Futures!$A$2:$B$12,2),1),G3572*M3572*IF(E3572="FUTURE",VLOOKUP(MID(I3572,2,2),[1]Futures!$A$2:$B$12,2),1)))</f>
        <v>-48230</v>
      </c>
      <c r="R3572" s="12">
        <f>IFERROR(Q3572/P3572/IF(E3572="FUTURE",VLOOKUP(MID(I3572,2,2),[1]Futures!$A$2:$B$12,2),1),"")</f>
        <v>48.23</v>
      </c>
      <c r="S3572" s="13" t="str">
        <f>IF(AND(H3572="TO CLOSE",P3572=0),-G3572*(M3572-R3571)*IF(E3572="FUTURE",VLOOKUP(MID(I3572,2,2),[1]Futures!$A$2:$B$12,2),1),"")</f>
        <v/>
      </c>
    </row>
    <row r="3573" spans="1:19" x14ac:dyDescent="0.2">
      <c r="A3573">
        <f t="shared" si="167"/>
        <v>1152</v>
      </c>
      <c r="B3573" s="3">
        <v>44194</v>
      </c>
      <c r="C3573" s="3" t="str">
        <f t="shared" si="169"/>
        <v>Tuesday</v>
      </c>
      <c r="D3573" s="2">
        <v>0.42749999999999999</v>
      </c>
      <c r="E3573" t="s">
        <v>14</v>
      </c>
      <c r="F3573" t="s">
        <v>19</v>
      </c>
      <c r="G3573">
        <v>1</v>
      </c>
      <c r="H3573" t="s">
        <v>16</v>
      </c>
      <c r="I3573" t="s">
        <v>90</v>
      </c>
      <c r="J3573" s="1">
        <v>44248</v>
      </c>
      <c r="L3573" t="s">
        <v>14</v>
      </c>
      <c r="M3573">
        <v>47.92</v>
      </c>
      <c r="N3573">
        <v>47.92</v>
      </c>
      <c r="O3573" t="s">
        <v>21</v>
      </c>
      <c r="P3573">
        <f t="shared" si="168"/>
        <v>0</v>
      </c>
      <c r="Q3573" s="11">
        <f>IF(P3573=0,0,IFERROR(Q3572+G3573*M3573*IF(E3573="FUTURE",VLOOKUP(MID(I3573,2,2),[1]Futures!$A$2:$B$12,2),1),G3573*M3573*IF(E3573="FUTURE",VLOOKUP(MID(I3573,2,2),[1]Futures!$A$2:$B$12,2),1)))</f>
        <v>0</v>
      </c>
      <c r="R3573" s="12" t="str">
        <f>IFERROR(Q3573/P3573/IF(E3573="FUTURE",VLOOKUP(MID(I3573,2,2),[1]Futures!$A$2:$B$12,2),1),"")</f>
        <v/>
      </c>
      <c r="S3573" s="13">
        <f>IF(AND(H3573="TO CLOSE",P3573=0),-G3573*(M3573-R3572)*IF(E3573="FUTURE",VLOOKUP(MID(I3573,2,2),[1]Futures!$A$2:$B$12,2),1),"")</f>
        <v>309.99999999999517</v>
      </c>
    </row>
    <row r="3574" spans="1:19" x14ac:dyDescent="0.2">
      <c r="A3574">
        <f t="shared" si="167"/>
        <v>1153</v>
      </c>
      <c r="B3574" s="3">
        <v>44194</v>
      </c>
      <c r="C3574" s="3" t="str">
        <f t="shared" si="169"/>
        <v>Tuesday</v>
      </c>
      <c r="D3574" s="2">
        <v>0.47050925925925924</v>
      </c>
      <c r="E3574" t="s">
        <v>14</v>
      </c>
      <c r="F3574" t="s">
        <v>15</v>
      </c>
      <c r="G3574">
        <v>-1</v>
      </c>
      <c r="H3574" t="s">
        <v>20</v>
      </c>
      <c r="I3574" t="s">
        <v>90</v>
      </c>
      <c r="J3574" s="1">
        <v>44248</v>
      </c>
      <c r="L3574" t="s">
        <v>14</v>
      </c>
      <c r="M3574">
        <v>48.17</v>
      </c>
      <c r="N3574">
        <v>48.17</v>
      </c>
      <c r="O3574" t="s">
        <v>21</v>
      </c>
      <c r="P3574">
        <f t="shared" si="168"/>
        <v>-1</v>
      </c>
      <c r="Q3574" s="11">
        <f>IF(P3574=0,0,IFERROR(Q3573+G3574*M3574*IF(E3574="FUTURE",VLOOKUP(MID(I3574,2,2),[1]Futures!$A$2:$B$12,2),1),G3574*M3574*IF(E3574="FUTURE",VLOOKUP(MID(I3574,2,2),[1]Futures!$A$2:$B$12,2),1)))</f>
        <v>-48170</v>
      </c>
      <c r="R3574" s="12">
        <f>IFERROR(Q3574/P3574/IF(E3574="FUTURE",VLOOKUP(MID(I3574,2,2),[1]Futures!$A$2:$B$12,2),1),"")</f>
        <v>48.17</v>
      </c>
      <c r="S3574" s="13" t="str">
        <f>IF(AND(H3574="TO CLOSE",P3574=0),-G3574*(M3574-R3573)*IF(E3574="FUTURE",VLOOKUP(MID(I3574,2,2),[1]Futures!$A$2:$B$12,2),1),"")</f>
        <v/>
      </c>
    </row>
    <row r="3575" spans="1:19" x14ac:dyDescent="0.2">
      <c r="A3575">
        <f t="shared" si="167"/>
        <v>1153</v>
      </c>
      <c r="B3575" s="3">
        <v>44194</v>
      </c>
      <c r="C3575" s="3" t="str">
        <f t="shared" si="169"/>
        <v>Tuesday</v>
      </c>
      <c r="D3575" s="2">
        <v>0.47488425925925926</v>
      </c>
      <c r="E3575" t="s">
        <v>14</v>
      </c>
      <c r="F3575" t="s">
        <v>19</v>
      </c>
      <c r="G3575">
        <v>1</v>
      </c>
      <c r="H3575" t="s">
        <v>16</v>
      </c>
      <c r="I3575" t="s">
        <v>90</v>
      </c>
      <c r="J3575" s="1">
        <v>44248</v>
      </c>
      <c r="L3575" t="s">
        <v>14</v>
      </c>
      <c r="M3575">
        <v>48.12</v>
      </c>
      <c r="N3575">
        <v>48.12</v>
      </c>
      <c r="O3575" t="s">
        <v>21</v>
      </c>
      <c r="P3575">
        <f t="shared" si="168"/>
        <v>0</v>
      </c>
      <c r="Q3575" s="11">
        <f>IF(P3575=0,0,IFERROR(Q3574+G3575*M3575*IF(E3575="FUTURE",VLOOKUP(MID(I3575,2,2),[1]Futures!$A$2:$B$12,2),1),G3575*M3575*IF(E3575="FUTURE",VLOOKUP(MID(I3575,2,2),[1]Futures!$A$2:$B$12,2),1)))</f>
        <v>0</v>
      </c>
      <c r="R3575" s="12" t="str">
        <f>IFERROR(Q3575/P3575/IF(E3575="FUTURE",VLOOKUP(MID(I3575,2,2),[1]Futures!$A$2:$B$12,2),1),"")</f>
        <v/>
      </c>
      <c r="S3575" s="13">
        <f>IF(AND(H3575="TO CLOSE",P3575=0),-G3575*(M3575-R3574)*IF(E3575="FUTURE",VLOOKUP(MID(I3575,2,2),[1]Futures!$A$2:$B$12,2),1),"")</f>
        <v>50.000000000004263</v>
      </c>
    </row>
    <row r="3576" spans="1:19" x14ac:dyDescent="0.2">
      <c r="A3576">
        <f t="shared" si="167"/>
        <v>1154</v>
      </c>
      <c r="B3576" s="3">
        <v>44194</v>
      </c>
      <c r="C3576" s="3" t="str">
        <f t="shared" si="169"/>
        <v>Tuesday</v>
      </c>
      <c r="D3576" s="2">
        <v>0.47513888888888883</v>
      </c>
      <c r="E3576" t="s">
        <v>14</v>
      </c>
      <c r="F3576" t="s">
        <v>19</v>
      </c>
      <c r="G3576">
        <v>1</v>
      </c>
      <c r="H3576" t="s">
        <v>20</v>
      </c>
      <c r="I3576" t="s">
        <v>89</v>
      </c>
      <c r="J3576" s="1">
        <v>44276</v>
      </c>
      <c r="L3576" t="s">
        <v>14</v>
      </c>
      <c r="M3576">
        <v>3730.5</v>
      </c>
      <c r="N3576">
        <v>3730.5</v>
      </c>
      <c r="O3576" t="s">
        <v>21</v>
      </c>
      <c r="P3576">
        <f t="shared" si="168"/>
        <v>1</v>
      </c>
      <c r="Q3576" s="11">
        <f>IF(P3576=0,0,IFERROR(Q3575+G3576*M3576*IF(E3576="FUTURE",VLOOKUP(MID(I3576,2,2),[1]Futures!$A$2:$B$12,2),1),G3576*M3576*IF(E3576="FUTURE",VLOOKUP(MID(I3576,2,2),[1]Futures!$A$2:$B$12,2),1)))</f>
        <v>186525</v>
      </c>
      <c r="R3576" s="12">
        <f>IFERROR(Q3576/P3576/IF(E3576="FUTURE",VLOOKUP(MID(I3576,2,2),[1]Futures!$A$2:$B$12,2),1),"")</f>
        <v>3730.5</v>
      </c>
      <c r="S3576" s="13" t="str">
        <f>IF(AND(H3576="TO CLOSE",P3576=0),-G3576*(M3576-R3575)*IF(E3576="FUTURE",VLOOKUP(MID(I3576,2,2),[1]Futures!$A$2:$B$12,2),1),"")</f>
        <v/>
      </c>
    </row>
    <row r="3577" spans="1:19" x14ac:dyDescent="0.2">
      <c r="A3577">
        <f t="shared" si="167"/>
        <v>1154</v>
      </c>
      <c r="B3577" s="3">
        <v>44194</v>
      </c>
      <c r="C3577" s="3" t="str">
        <f t="shared" si="169"/>
        <v>Tuesday</v>
      </c>
      <c r="D3577" s="2">
        <v>0.48929398148148145</v>
      </c>
      <c r="E3577" t="s">
        <v>14</v>
      </c>
      <c r="F3577" t="s">
        <v>15</v>
      </c>
      <c r="G3577">
        <v>-1</v>
      </c>
      <c r="H3577" t="s">
        <v>16</v>
      </c>
      <c r="I3577" t="s">
        <v>89</v>
      </c>
      <c r="J3577" s="1">
        <v>44276</v>
      </c>
      <c r="L3577" t="s">
        <v>14</v>
      </c>
      <c r="M3577">
        <v>3732.5</v>
      </c>
      <c r="N3577">
        <v>3732.5</v>
      </c>
      <c r="O3577" t="s">
        <v>24</v>
      </c>
      <c r="P3577">
        <f t="shared" si="168"/>
        <v>0</v>
      </c>
      <c r="Q3577" s="11">
        <f>IF(P3577=0,0,IFERROR(Q3576+G3577*M3577*IF(E3577="FUTURE",VLOOKUP(MID(I3577,2,2),[1]Futures!$A$2:$B$12,2),1),G3577*M3577*IF(E3577="FUTURE",VLOOKUP(MID(I3577,2,2),[1]Futures!$A$2:$B$12,2),1)))</f>
        <v>0</v>
      </c>
      <c r="R3577" s="12" t="str">
        <f>IFERROR(Q3577/P3577/IF(E3577="FUTURE",VLOOKUP(MID(I3577,2,2),[1]Futures!$A$2:$B$12,2),1),"")</f>
        <v/>
      </c>
      <c r="S3577" s="13">
        <f>IF(AND(H3577="TO CLOSE",P3577=0),-G3577*(M3577-R3576)*IF(E3577="FUTURE",VLOOKUP(MID(I3577,2,2),[1]Futures!$A$2:$B$12,2),1),"")</f>
        <v>100</v>
      </c>
    </row>
    <row r="3578" spans="1:19" x14ac:dyDescent="0.2">
      <c r="A3578">
        <f t="shared" si="167"/>
        <v>1155</v>
      </c>
      <c r="B3578" s="3">
        <v>44194</v>
      </c>
      <c r="C3578" s="3" t="str">
        <f t="shared" si="169"/>
        <v>Tuesday</v>
      </c>
      <c r="D3578" s="2">
        <v>0.62515046296296295</v>
      </c>
      <c r="E3578" t="s">
        <v>14</v>
      </c>
      <c r="F3578" t="s">
        <v>15</v>
      </c>
      <c r="G3578">
        <v>-1</v>
      </c>
      <c r="H3578" t="s">
        <v>20</v>
      </c>
      <c r="I3578" t="s">
        <v>90</v>
      </c>
      <c r="J3578" s="1">
        <v>44248</v>
      </c>
      <c r="L3578" t="s">
        <v>14</v>
      </c>
      <c r="M3578">
        <v>48</v>
      </c>
      <c r="N3578">
        <v>48</v>
      </c>
      <c r="O3578" t="s">
        <v>21</v>
      </c>
      <c r="P3578">
        <f t="shared" si="168"/>
        <v>-1</v>
      </c>
      <c r="Q3578" s="11">
        <f>IF(P3578=0,0,IFERROR(Q3577+G3578*M3578*IF(E3578="FUTURE",VLOOKUP(MID(I3578,2,2),[1]Futures!$A$2:$B$12,2),1),G3578*M3578*IF(E3578="FUTURE",VLOOKUP(MID(I3578,2,2),[1]Futures!$A$2:$B$12,2),1)))</f>
        <v>-48000</v>
      </c>
      <c r="R3578" s="12">
        <f>IFERROR(Q3578/P3578/IF(E3578="FUTURE",VLOOKUP(MID(I3578,2,2),[1]Futures!$A$2:$B$12,2),1),"")</f>
        <v>48</v>
      </c>
      <c r="S3578" s="13" t="str">
        <f>IF(AND(H3578="TO CLOSE",P3578=0),-G3578*(M3578-R3577)*IF(E3578="FUTURE",VLOOKUP(MID(I3578,2,2),[1]Futures!$A$2:$B$12,2),1),"")</f>
        <v/>
      </c>
    </row>
    <row r="3579" spans="1:19" x14ac:dyDescent="0.2">
      <c r="A3579">
        <f t="shared" si="167"/>
        <v>1155</v>
      </c>
      <c r="B3579" s="3">
        <v>44195</v>
      </c>
      <c r="C3579" s="3" t="str">
        <f t="shared" si="169"/>
        <v>Wednesday</v>
      </c>
      <c r="D3579" s="2">
        <v>0.37997685185185182</v>
      </c>
      <c r="E3579" t="s">
        <v>14</v>
      </c>
      <c r="F3579" t="s">
        <v>19</v>
      </c>
      <c r="G3579">
        <v>1</v>
      </c>
      <c r="H3579" t="s">
        <v>16</v>
      </c>
      <c r="I3579" t="s">
        <v>90</v>
      </c>
      <c r="J3579" s="1">
        <v>44248</v>
      </c>
      <c r="L3579" t="s">
        <v>14</v>
      </c>
      <c r="M3579">
        <v>47.82</v>
      </c>
      <c r="N3579">
        <v>47.82</v>
      </c>
      <c r="O3579" t="s">
        <v>21</v>
      </c>
      <c r="P3579">
        <f t="shared" si="168"/>
        <v>0</v>
      </c>
      <c r="Q3579" s="11">
        <f>IF(P3579=0,0,IFERROR(Q3578+G3579*M3579*IF(E3579="FUTURE",VLOOKUP(MID(I3579,2,2),[1]Futures!$A$2:$B$12,2),1),G3579*M3579*IF(E3579="FUTURE",VLOOKUP(MID(I3579,2,2),[1]Futures!$A$2:$B$12,2),1)))</f>
        <v>0</v>
      </c>
      <c r="R3579" s="12" t="str">
        <f>IFERROR(Q3579/P3579/IF(E3579="FUTURE",VLOOKUP(MID(I3579,2,2),[1]Futures!$A$2:$B$12,2),1),"")</f>
        <v/>
      </c>
      <c r="S3579" s="13">
        <f>IF(AND(H3579="TO CLOSE",P3579=0),-G3579*(M3579-R3578)*IF(E3579="FUTURE",VLOOKUP(MID(I3579,2,2),[1]Futures!$A$2:$B$12,2),1),"")</f>
        <v>179.99999999999972</v>
      </c>
    </row>
    <row r="3580" spans="1:19" x14ac:dyDescent="0.2">
      <c r="A3580">
        <f t="shared" si="167"/>
        <v>1156</v>
      </c>
      <c r="B3580" s="3">
        <v>44195</v>
      </c>
      <c r="C3580" s="3" t="str">
        <f t="shared" si="169"/>
        <v>Wednesday</v>
      </c>
      <c r="D3580" s="2">
        <v>0.43787037037037035</v>
      </c>
      <c r="E3580" t="s">
        <v>14</v>
      </c>
      <c r="F3580" t="s">
        <v>15</v>
      </c>
      <c r="G3580">
        <v>-1</v>
      </c>
      <c r="H3580" t="s">
        <v>20</v>
      </c>
      <c r="I3580" t="s">
        <v>90</v>
      </c>
      <c r="J3580" s="1">
        <v>44248</v>
      </c>
      <c r="L3580" t="s">
        <v>14</v>
      </c>
      <c r="M3580">
        <v>48.26</v>
      </c>
      <c r="N3580">
        <v>48.26</v>
      </c>
      <c r="O3580" t="s">
        <v>21</v>
      </c>
      <c r="P3580">
        <f t="shared" si="168"/>
        <v>-1</v>
      </c>
      <c r="Q3580" s="11">
        <f>IF(P3580=0,0,IFERROR(Q3579+G3580*M3580*IF(E3580="FUTURE",VLOOKUP(MID(I3580,2,2),[1]Futures!$A$2:$B$12,2),1),G3580*M3580*IF(E3580="FUTURE",VLOOKUP(MID(I3580,2,2),[1]Futures!$A$2:$B$12,2),1)))</f>
        <v>-48260</v>
      </c>
      <c r="R3580" s="12">
        <f>IFERROR(Q3580/P3580/IF(E3580="FUTURE",VLOOKUP(MID(I3580,2,2),[1]Futures!$A$2:$B$12,2),1),"")</f>
        <v>48.26</v>
      </c>
      <c r="S3580" s="13" t="str">
        <f>IF(AND(H3580="TO CLOSE",P3580=0),-G3580*(M3580-R3579)*IF(E3580="FUTURE",VLOOKUP(MID(I3580,2,2),[1]Futures!$A$2:$B$12,2),1),"")</f>
        <v/>
      </c>
    </row>
    <row r="3581" spans="1:19" x14ac:dyDescent="0.2">
      <c r="A3581">
        <f t="shared" si="167"/>
        <v>1156</v>
      </c>
      <c r="B3581" s="3">
        <v>44195</v>
      </c>
      <c r="C3581" s="3" t="str">
        <f t="shared" si="169"/>
        <v>Wednesday</v>
      </c>
      <c r="D3581" s="2">
        <v>0.44862268518518517</v>
      </c>
      <c r="E3581" t="s">
        <v>14</v>
      </c>
      <c r="F3581" t="s">
        <v>15</v>
      </c>
      <c r="G3581">
        <v>-1</v>
      </c>
      <c r="H3581" t="s">
        <v>20</v>
      </c>
      <c r="I3581" t="s">
        <v>90</v>
      </c>
      <c r="J3581" s="1">
        <v>44248</v>
      </c>
      <c r="L3581" t="s">
        <v>14</v>
      </c>
      <c r="M3581">
        <v>48.46</v>
      </c>
      <c r="N3581">
        <v>48.46</v>
      </c>
      <c r="O3581" t="s">
        <v>21</v>
      </c>
      <c r="P3581">
        <f t="shared" si="168"/>
        <v>-2</v>
      </c>
      <c r="Q3581" s="11">
        <f>IF(P3581=0,0,IFERROR(Q3580+G3581*M3581*IF(E3581="FUTURE",VLOOKUP(MID(I3581,2,2),[1]Futures!$A$2:$B$12,2),1),G3581*M3581*IF(E3581="FUTURE",VLOOKUP(MID(I3581,2,2),[1]Futures!$A$2:$B$12,2),1)))</f>
        <v>-96720</v>
      </c>
      <c r="R3581" s="12">
        <f>IFERROR(Q3581/P3581/IF(E3581="FUTURE",VLOOKUP(MID(I3581,2,2),[1]Futures!$A$2:$B$12,2),1),"")</f>
        <v>48.36</v>
      </c>
      <c r="S3581" s="13" t="str">
        <f>IF(AND(H3581="TO CLOSE",P3581=0),-G3581*(M3581-R3580)*IF(E3581="FUTURE",VLOOKUP(MID(I3581,2,2),[1]Futures!$A$2:$B$12,2),1),"")</f>
        <v/>
      </c>
    </row>
    <row r="3582" spans="1:19" x14ac:dyDescent="0.2">
      <c r="A3582">
        <f t="shared" si="167"/>
        <v>1156</v>
      </c>
      <c r="B3582" s="3">
        <v>44195</v>
      </c>
      <c r="C3582" s="3" t="str">
        <f t="shared" si="169"/>
        <v>Wednesday</v>
      </c>
      <c r="D3582" s="2">
        <v>0.45350694444444445</v>
      </c>
      <c r="E3582" t="s">
        <v>14</v>
      </c>
      <c r="F3582" t="s">
        <v>19</v>
      </c>
      <c r="G3582">
        <v>1</v>
      </c>
      <c r="H3582" t="s">
        <v>16</v>
      </c>
      <c r="I3582" t="s">
        <v>90</v>
      </c>
      <c r="J3582" s="1">
        <v>44248</v>
      </c>
      <c r="L3582" t="s">
        <v>14</v>
      </c>
      <c r="M3582">
        <v>48.41</v>
      </c>
      <c r="N3582">
        <v>48.41</v>
      </c>
      <c r="O3582" t="s">
        <v>21</v>
      </c>
      <c r="P3582">
        <f t="shared" si="168"/>
        <v>-1</v>
      </c>
      <c r="Q3582" s="11">
        <f>IF(P3582=0,0,IFERROR(Q3581+G3582*M3582*IF(E3582="FUTURE",VLOOKUP(MID(I3582,2,2),[1]Futures!$A$2:$B$12,2),1),G3582*M3582*IF(E3582="FUTURE",VLOOKUP(MID(I3582,2,2),[1]Futures!$A$2:$B$12,2),1)))</f>
        <v>-48310</v>
      </c>
      <c r="R3582" s="12">
        <f>IFERROR(Q3582/P3582/IF(E3582="FUTURE",VLOOKUP(MID(I3582,2,2),[1]Futures!$A$2:$B$12,2),1),"")</f>
        <v>48.31</v>
      </c>
      <c r="S3582" s="13" t="str">
        <f>IF(AND(H3582="TO CLOSE",P3582=0),-G3582*(M3582-R3581)*IF(E3582="FUTURE",VLOOKUP(MID(I3582,2,2),[1]Futures!$A$2:$B$12,2),1),"")</f>
        <v/>
      </c>
    </row>
    <row r="3583" spans="1:19" x14ac:dyDescent="0.2">
      <c r="A3583">
        <f t="shared" si="167"/>
        <v>1156</v>
      </c>
      <c r="B3583" s="3">
        <v>44195</v>
      </c>
      <c r="C3583" s="3" t="str">
        <f t="shared" si="169"/>
        <v>Wednesday</v>
      </c>
      <c r="D3583" s="2">
        <v>0.45927083333333335</v>
      </c>
      <c r="E3583" t="s">
        <v>14</v>
      </c>
      <c r="F3583" t="s">
        <v>19</v>
      </c>
      <c r="G3583">
        <v>1</v>
      </c>
      <c r="H3583" t="s">
        <v>16</v>
      </c>
      <c r="I3583" t="s">
        <v>90</v>
      </c>
      <c r="J3583" s="1">
        <v>44248</v>
      </c>
      <c r="L3583" t="s">
        <v>14</v>
      </c>
      <c r="M3583">
        <v>48.27</v>
      </c>
      <c r="N3583">
        <v>48.27</v>
      </c>
      <c r="O3583" t="s">
        <v>21</v>
      </c>
      <c r="P3583">
        <f t="shared" si="168"/>
        <v>0</v>
      </c>
      <c r="Q3583" s="11">
        <f>IF(P3583=0,0,IFERROR(Q3582+G3583*M3583*IF(E3583="FUTURE",VLOOKUP(MID(I3583,2,2),[1]Futures!$A$2:$B$12,2),1),G3583*M3583*IF(E3583="FUTURE",VLOOKUP(MID(I3583,2,2),[1]Futures!$A$2:$B$12,2),1)))</f>
        <v>0</v>
      </c>
      <c r="R3583" s="12" t="str">
        <f>IFERROR(Q3583/P3583/IF(E3583="FUTURE",VLOOKUP(MID(I3583,2,2),[1]Futures!$A$2:$B$12,2),1),"")</f>
        <v/>
      </c>
      <c r="S3583" s="13">
        <f>IF(AND(H3583="TO CLOSE",P3583=0),-G3583*(M3583-R3582)*IF(E3583="FUTURE",VLOOKUP(MID(I3583,2,2),[1]Futures!$A$2:$B$12,2),1),"")</f>
        <v>39.999999999999147</v>
      </c>
    </row>
    <row r="3584" spans="1:19" x14ac:dyDescent="0.2">
      <c r="A3584">
        <f t="shared" si="167"/>
        <v>1157</v>
      </c>
      <c r="B3584" s="3">
        <v>44195</v>
      </c>
      <c r="C3584" s="3" t="str">
        <f t="shared" si="169"/>
        <v>Wednesday</v>
      </c>
      <c r="D3584" s="2">
        <v>0.40513888888888888</v>
      </c>
      <c r="E3584" t="s">
        <v>22</v>
      </c>
      <c r="F3584" t="s">
        <v>15</v>
      </c>
      <c r="G3584">
        <v>-300</v>
      </c>
      <c r="H3584" t="s">
        <v>20</v>
      </c>
      <c r="I3584" t="s">
        <v>23</v>
      </c>
      <c r="L3584" t="s">
        <v>22</v>
      </c>
      <c r="M3584">
        <v>17.2834</v>
      </c>
      <c r="N3584">
        <v>17.2834</v>
      </c>
      <c r="O3584" t="s">
        <v>21</v>
      </c>
      <c r="P3584">
        <f t="shared" si="168"/>
        <v>-300</v>
      </c>
      <c r="Q3584" s="11">
        <f>IF(P3584=0,0,IFERROR(Q3583+G3584*M3584*IF(E3584="FUTURE",VLOOKUP(MID(I3584,2,2),[1]Futures!$A$2:$B$12,2),1),G3584*M3584*IF(E3584="FUTURE",VLOOKUP(MID(I3584,2,2),[1]Futures!$A$2:$B$12,2),1)))</f>
        <v>-5185.0200000000004</v>
      </c>
      <c r="R3584" s="12">
        <f>IFERROR(Q3584/P3584/IF(E3584="FUTURE",VLOOKUP(MID(I3584,2,2),[1]Futures!$A$2:$B$12,2),1),"")</f>
        <v>17.2834</v>
      </c>
      <c r="S3584" s="13" t="str">
        <f>IF(AND(H3584="TO CLOSE",P3584=0),-G3584*(M3584-R3583)*IF(E3584="FUTURE",VLOOKUP(MID(I3584,2,2),[1]Futures!$A$2:$B$12,2),1),"")</f>
        <v/>
      </c>
    </row>
    <row r="3585" spans="1:19" x14ac:dyDescent="0.2">
      <c r="A3585">
        <f t="shared" si="167"/>
        <v>1157</v>
      </c>
      <c r="B3585" s="3">
        <v>44195</v>
      </c>
      <c r="C3585" s="3" t="str">
        <f t="shared" si="169"/>
        <v>Wednesday</v>
      </c>
      <c r="D3585" s="2">
        <v>0.41400462962962964</v>
      </c>
      <c r="E3585" t="s">
        <v>22</v>
      </c>
      <c r="F3585" t="s">
        <v>19</v>
      </c>
      <c r="G3585">
        <v>300</v>
      </c>
      <c r="H3585" t="s">
        <v>16</v>
      </c>
      <c r="I3585" t="s">
        <v>23</v>
      </c>
      <c r="L3585" t="s">
        <v>22</v>
      </c>
      <c r="M3585">
        <v>17.215</v>
      </c>
      <c r="N3585">
        <v>17.215</v>
      </c>
      <c r="O3585" t="s">
        <v>24</v>
      </c>
      <c r="P3585">
        <f t="shared" si="168"/>
        <v>0</v>
      </c>
      <c r="Q3585" s="11">
        <f>IF(P3585=0,0,IFERROR(Q3584+G3585*M3585*IF(E3585="FUTURE",VLOOKUP(MID(I3585,2,2),[1]Futures!$A$2:$B$12,2),1),G3585*M3585*IF(E3585="FUTURE",VLOOKUP(MID(I3585,2,2),[1]Futures!$A$2:$B$12,2),1)))</f>
        <v>0</v>
      </c>
      <c r="R3585" s="12" t="str">
        <f>IFERROR(Q3585/P3585/IF(E3585="FUTURE",VLOOKUP(MID(I3585,2,2),[1]Futures!$A$2:$B$12,2),1),"")</f>
        <v/>
      </c>
      <c r="S3585" s="13">
        <f>IF(AND(H3585="TO CLOSE",P3585=0),-G3585*(M3585-R3584)*IF(E3585="FUTURE",VLOOKUP(MID(I3585,2,2),[1]Futures!$A$2:$B$12,2),1),"")</f>
        <v>20.520000000000138</v>
      </c>
    </row>
    <row r="3586" spans="1:19" x14ac:dyDescent="0.2">
      <c r="A3586">
        <f t="shared" ref="A3586:A3649" si="170">IF(AND(P3585=0,H3585="TO CLOSE"),IFERROR(A3585+1,1),IFERROR(A3585/1,1))</f>
        <v>1158</v>
      </c>
      <c r="B3586" s="3">
        <v>44200</v>
      </c>
      <c r="C3586" s="3" t="str">
        <f t="shared" ref="C3586:C3617" si="171">IF(WEEKDAY(B3586,2)=1,"Monday",IF(WEEKDAY(B3586,2)=2,"Tuesday",IF(WEEKDAY(B3586,2)=3,"Wednesday",IF(WEEKDAY(B3586,2)=4,"Thursday",IF(WEEKDAY(B3586,2)=5,"Friday","Sunday")))))</f>
        <v>Monday</v>
      </c>
      <c r="D3586" s="2">
        <v>0.60773148148148148</v>
      </c>
      <c r="E3586" t="s">
        <v>14</v>
      </c>
      <c r="F3586" t="s">
        <v>15</v>
      </c>
      <c r="G3586">
        <v>-1</v>
      </c>
      <c r="H3586" t="s">
        <v>20</v>
      </c>
      <c r="I3586" t="s">
        <v>90</v>
      </c>
      <c r="J3586" s="1">
        <v>44248</v>
      </c>
      <c r="L3586" t="s">
        <v>14</v>
      </c>
      <c r="M3586">
        <v>47.47</v>
      </c>
      <c r="N3586">
        <v>47.47</v>
      </c>
      <c r="O3586" t="s">
        <v>24</v>
      </c>
      <c r="P3586">
        <f t="shared" si="168"/>
        <v>-1</v>
      </c>
      <c r="Q3586" s="11">
        <f>IF(P3586=0,0,IFERROR(Q3585+G3586*M3586*IF(E3586="FUTURE",VLOOKUP(MID(I3586,2,2),Futures!$A$2:$B$12,2),1),G3586*M3586*IF(E3586="FUTURE",VLOOKUP(MID(I3586,2,2),Futures!$A$2:$B$12,2),1)))</f>
        <v>-47470</v>
      </c>
      <c r="R3586" s="12">
        <f>IFERROR(Q3586/P3586/IF(E3586="FUTURE",VLOOKUP(MID(I3586,2,2),Futures!$A$2:$B$12,2),1),"")</f>
        <v>47.47</v>
      </c>
      <c r="S3586" s="13" t="str">
        <f>IF(AND(H3586="TO CLOSE",P3586=0),-G3586*(M3586-R3585)*IF(E3586="FUTURE",VLOOKUP(MID(I3586,2,2),Futures!$A$2:$B$12,2),1),"")</f>
        <v/>
      </c>
    </row>
    <row r="3587" spans="1:19" x14ac:dyDescent="0.2">
      <c r="A3587">
        <f t="shared" si="170"/>
        <v>1158</v>
      </c>
      <c r="B3587" s="3">
        <v>44200</v>
      </c>
      <c r="C3587" s="3" t="str">
        <f t="shared" si="171"/>
        <v>Monday</v>
      </c>
      <c r="D3587" s="2">
        <v>0.62249999999999994</v>
      </c>
      <c r="E3587" t="s">
        <v>14</v>
      </c>
      <c r="F3587" t="s">
        <v>19</v>
      </c>
      <c r="G3587">
        <v>1</v>
      </c>
      <c r="H3587" t="s">
        <v>16</v>
      </c>
      <c r="I3587" t="s">
        <v>90</v>
      </c>
      <c r="J3587" s="1">
        <v>44248</v>
      </c>
      <c r="L3587" t="s">
        <v>14</v>
      </c>
      <c r="M3587">
        <v>47.57</v>
      </c>
      <c r="N3587">
        <v>47.57</v>
      </c>
      <c r="O3587" t="s">
        <v>24</v>
      </c>
      <c r="P3587">
        <f t="shared" ref="P3587:P3650" si="172">IF(H3587="TO OPEN",IFERROR(P3586+G3587,0+G3587),IFERROR(P3586+G3587,0+G3587))</f>
        <v>0</v>
      </c>
      <c r="Q3587" s="11">
        <f>IF(P3587=0,0,IFERROR(Q3586+G3587*M3587*IF(E3587="FUTURE",VLOOKUP(MID(I3587,2,2),Futures!$A$2:$B$12,2),1),G3587*M3587*IF(E3587="FUTURE",VLOOKUP(MID(I3587,2,2),Futures!$A$2:$B$12,2),1)))</f>
        <v>0</v>
      </c>
      <c r="R3587" s="12" t="str">
        <f>IFERROR(Q3587/P3587/IF(E3587="FUTURE",VLOOKUP(MID(I3587,2,2),Futures!$A$2:$B$12,2),1),"")</f>
        <v/>
      </c>
      <c r="S3587" s="13">
        <f>IF(AND(H3587="TO CLOSE",P3587=0),-G3587*(M3587-R3586)*IF(E3587="FUTURE",VLOOKUP(MID(I3587,2,2),Futures!$A$2:$B$12,2),1),"")</f>
        <v>-100.00000000000142</v>
      </c>
    </row>
    <row r="3588" spans="1:19" x14ac:dyDescent="0.2">
      <c r="A3588">
        <f t="shared" si="170"/>
        <v>1159</v>
      </c>
      <c r="B3588" s="3">
        <v>44200</v>
      </c>
      <c r="C3588" s="3" t="str">
        <f t="shared" si="171"/>
        <v>Monday</v>
      </c>
      <c r="D3588" s="2">
        <v>0.40863425925925928</v>
      </c>
      <c r="E3588" t="s">
        <v>14</v>
      </c>
      <c r="F3588" t="s">
        <v>19</v>
      </c>
      <c r="G3588">
        <v>1</v>
      </c>
      <c r="H3588" t="s">
        <v>20</v>
      </c>
      <c r="I3588" t="s">
        <v>89</v>
      </c>
      <c r="J3588" s="1">
        <v>44276</v>
      </c>
      <c r="L3588" t="s">
        <v>14</v>
      </c>
      <c r="M3588">
        <v>3746.5</v>
      </c>
      <c r="N3588">
        <v>3746.5</v>
      </c>
      <c r="O3588" t="s">
        <v>21</v>
      </c>
      <c r="P3588">
        <f t="shared" si="172"/>
        <v>1</v>
      </c>
      <c r="Q3588" s="11">
        <f>IF(P3588=0,0,IFERROR(Q3587+G3588*M3588*IF(E3588="FUTURE",VLOOKUP(MID(I3588,2,2),Futures!$A$2:$B$12,2),1),G3588*M3588*IF(E3588="FUTURE",VLOOKUP(MID(I3588,2,2),Futures!$A$2:$B$12,2),1)))</f>
        <v>187325</v>
      </c>
      <c r="R3588" s="12">
        <f>IFERROR(Q3588/P3588/IF(E3588="FUTURE",VLOOKUP(MID(I3588,2,2),Futures!$A$2:$B$12,2),1),"")</f>
        <v>3746.5</v>
      </c>
      <c r="S3588" s="13" t="str">
        <f>IF(AND(H3588="TO CLOSE",P3588=0),-G3588*(M3588-R3587)*IF(E3588="FUTURE",VLOOKUP(MID(I3588,2,2),Futures!$A$2:$B$12,2),1),"")</f>
        <v/>
      </c>
    </row>
    <row r="3589" spans="1:19" x14ac:dyDescent="0.2">
      <c r="A3589">
        <f t="shared" si="170"/>
        <v>1159</v>
      </c>
      <c r="B3589" s="3">
        <v>44200</v>
      </c>
      <c r="C3589" s="3" t="str">
        <f t="shared" si="171"/>
        <v>Monday</v>
      </c>
      <c r="D3589" s="2">
        <v>0.58451388888888889</v>
      </c>
      <c r="E3589" t="s">
        <v>14</v>
      </c>
      <c r="F3589" t="s">
        <v>15</v>
      </c>
      <c r="G3589">
        <v>-1</v>
      </c>
      <c r="H3589" t="s">
        <v>16</v>
      </c>
      <c r="I3589" t="s">
        <v>89</v>
      </c>
      <c r="J3589" s="1">
        <v>44276</v>
      </c>
      <c r="L3589" t="s">
        <v>14</v>
      </c>
      <c r="M3589">
        <v>3686.5</v>
      </c>
      <c r="N3589">
        <v>3686.5</v>
      </c>
      <c r="O3589" t="s">
        <v>18</v>
      </c>
      <c r="P3589">
        <f t="shared" si="172"/>
        <v>0</v>
      </c>
      <c r="Q3589" s="11">
        <f>IF(P3589=0,0,IFERROR(Q3588+G3589*M3589*IF(E3589="FUTURE",VLOOKUP(MID(I3589,2,2),Futures!$A$2:$B$12,2),1),G3589*M3589*IF(E3589="FUTURE",VLOOKUP(MID(I3589,2,2),Futures!$A$2:$B$12,2),1)))</f>
        <v>0</v>
      </c>
      <c r="R3589" s="12" t="str">
        <f>IFERROR(Q3589/P3589/IF(E3589="FUTURE",VLOOKUP(MID(I3589,2,2),Futures!$A$2:$B$12,2),1),"")</f>
        <v/>
      </c>
      <c r="S3589" s="13">
        <f>IF(AND(H3589="TO CLOSE",P3589=0),-G3589*(M3589-R3588)*IF(E3589="FUTURE",VLOOKUP(MID(I3589,2,2),Futures!$A$2:$B$12,2),1),"")</f>
        <v>-3000</v>
      </c>
    </row>
    <row r="3590" spans="1:19" x14ac:dyDescent="0.2">
      <c r="A3590">
        <f t="shared" si="170"/>
        <v>1160</v>
      </c>
      <c r="B3590" s="3">
        <v>44200</v>
      </c>
      <c r="C3590" s="3" t="str">
        <f t="shared" si="171"/>
        <v>Monday</v>
      </c>
      <c r="D3590" s="2">
        <v>0.60107638888888892</v>
      </c>
      <c r="E3590" t="s">
        <v>14</v>
      </c>
      <c r="F3590" t="s">
        <v>19</v>
      </c>
      <c r="G3590">
        <v>1</v>
      </c>
      <c r="H3590" t="s">
        <v>20</v>
      </c>
      <c r="I3590" t="s">
        <v>89</v>
      </c>
      <c r="J3590" s="1">
        <v>44276</v>
      </c>
      <c r="L3590" t="s">
        <v>14</v>
      </c>
      <c r="M3590">
        <v>3684</v>
      </c>
      <c r="N3590">
        <v>3684</v>
      </c>
      <c r="O3590" t="s">
        <v>24</v>
      </c>
      <c r="P3590">
        <f t="shared" si="172"/>
        <v>1</v>
      </c>
      <c r="Q3590" s="11">
        <f>IF(P3590=0,0,IFERROR(Q3589+G3590*M3590*IF(E3590="FUTURE",VLOOKUP(MID(I3590,2,2),Futures!$A$2:$B$12,2),1),G3590*M3590*IF(E3590="FUTURE",VLOOKUP(MID(I3590,2,2),Futures!$A$2:$B$12,2),1)))</f>
        <v>184200</v>
      </c>
      <c r="R3590" s="12">
        <f>IFERROR(Q3590/P3590/IF(E3590="FUTURE",VLOOKUP(MID(I3590,2,2),Futures!$A$2:$B$12,2),1),"")</f>
        <v>3684</v>
      </c>
      <c r="S3590" s="13" t="str">
        <f>IF(AND(H3590="TO CLOSE",P3590=0),-G3590*(M3590-R3589)*IF(E3590="FUTURE",VLOOKUP(MID(I3590,2,2),Futures!$A$2:$B$12,2),1),"")</f>
        <v/>
      </c>
    </row>
    <row r="3591" spans="1:19" x14ac:dyDescent="0.2">
      <c r="A3591">
        <f t="shared" si="170"/>
        <v>1160</v>
      </c>
      <c r="B3591" s="3">
        <v>44200</v>
      </c>
      <c r="C3591" s="3" t="str">
        <f t="shared" si="171"/>
        <v>Monday</v>
      </c>
      <c r="D3591" s="2">
        <v>0.60456018518518517</v>
      </c>
      <c r="E3591" t="s">
        <v>14</v>
      </c>
      <c r="F3591" t="s">
        <v>15</v>
      </c>
      <c r="G3591">
        <v>-1</v>
      </c>
      <c r="H3591" t="s">
        <v>16</v>
      </c>
      <c r="I3591" t="s">
        <v>89</v>
      </c>
      <c r="J3591" s="1">
        <v>44276</v>
      </c>
      <c r="L3591" t="s">
        <v>14</v>
      </c>
      <c r="M3591">
        <v>3677.75</v>
      </c>
      <c r="N3591">
        <v>3677.75</v>
      </c>
      <c r="O3591" t="s">
        <v>18</v>
      </c>
      <c r="P3591">
        <f t="shared" si="172"/>
        <v>0</v>
      </c>
      <c r="Q3591" s="11">
        <f>IF(P3591=0,0,IFERROR(Q3590+G3591*M3591*IF(E3591="FUTURE",VLOOKUP(MID(I3591,2,2),Futures!$A$2:$B$12,2),1),G3591*M3591*IF(E3591="FUTURE",VLOOKUP(MID(I3591,2,2),Futures!$A$2:$B$12,2),1)))</f>
        <v>0</v>
      </c>
      <c r="R3591" s="12" t="str">
        <f>IFERROR(Q3591/P3591/IF(E3591="FUTURE",VLOOKUP(MID(I3591,2,2),Futures!$A$2:$B$12,2),1),"")</f>
        <v/>
      </c>
      <c r="S3591" s="13">
        <f>IF(AND(H3591="TO CLOSE",P3591=0),-G3591*(M3591-R3590)*IF(E3591="FUTURE",VLOOKUP(MID(I3591,2,2),Futures!$A$2:$B$12,2),1),"")</f>
        <v>-312.5</v>
      </c>
    </row>
    <row r="3592" spans="1:19" x14ac:dyDescent="0.2">
      <c r="A3592">
        <f t="shared" si="170"/>
        <v>1161</v>
      </c>
      <c r="B3592" s="3">
        <v>44200</v>
      </c>
      <c r="C3592" s="3" t="str">
        <f t="shared" si="171"/>
        <v>Monday</v>
      </c>
      <c r="D3592" s="2">
        <v>0.43326388888888889</v>
      </c>
      <c r="E3592" t="s">
        <v>14</v>
      </c>
      <c r="F3592" t="s">
        <v>19</v>
      </c>
      <c r="G3592">
        <v>4</v>
      </c>
      <c r="H3592" t="s">
        <v>20</v>
      </c>
      <c r="I3592" t="s">
        <v>94</v>
      </c>
      <c r="J3592" s="1">
        <v>44276</v>
      </c>
      <c r="L3592" t="s">
        <v>14</v>
      </c>
      <c r="M3592">
        <v>3729</v>
      </c>
      <c r="N3592">
        <v>3729</v>
      </c>
      <c r="O3592" t="s">
        <v>21</v>
      </c>
      <c r="P3592">
        <f t="shared" si="172"/>
        <v>4</v>
      </c>
      <c r="Q3592" s="11">
        <f>IF(P3592=0,0,IFERROR(Q3591+G3592*M3592*IF(E3592="FUTURE",VLOOKUP(MID(I3592,2,2),Futures!$A$2:$B$12,2),1),G3592*M3592*IF(E3592="FUTURE",VLOOKUP(MID(I3592,2,2),Futures!$A$2:$B$12,2),1)))</f>
        <v>74580</v>
      </c>
      <c r="R3592" s="12">
        <f>IFERROR(Q3592/P3592/IF(E3592="FUTURE",VLOOKUP(MID(I3592,2,2),Futures!$A$2:$B$12,2),1),"")</f>
        <v>3729</v>
      </c>
      <c r="S3592" s="13" t="str">
        <f>IF(AND(H3592="TO CLOSE",P3592=0),-G3592*(M3592-R3591)*IF(E3592="FUTURE",VLOOKUP(MID(I3592,2,2),Futures!$A$2:$B$12,2),1),"")</f>
        <v/>
      </c>
    </row>
    <row r="3593" spans="1:19" x14ac:dyDescent="0.2">
      <c r="A3593">
        <f t="shared" si="170"/>
        <v>1161</v>
      </c>
      <c r="B3593" s="3">
        <v>44200</v>
      </c>
      <c r="C3593" s="3" t="str">
        <f t="shared" si="171"/>
        <v>Monday</v>
      </c>
      <c r="D3593" s="2">
        <v>0.43557870370370372</v>
      </c>
      <c r="E3593" t="s">
        <v>14</v>
      </c>
      <c r="F3593" t="s">
        <v>19</v>
      </c>
      <c r="G3593">
        <v>2</v>
      </c>
      <c r="H3593" t="s">
        <v>20</v>
      </c>
      <c r="I3593" t="s">
        <v>94</v>
      </c>
      <c r="J3593" s="1">
        <v>44276</v>
      </c>
      <c r="L3593" t="s">
        <v>14</v>
      </c>
      <c r="M3593">
        <v>3726.5</v>
      </c>
      <c r="N3593">
        <v>3726.5</v>
      </c>
      <c r="O3593" t="s">
        <v>21</v>
      </c>
      <c r="P3593">
        <f t="shared" si="172"/>
        <v>6</v>
      </c>
      <c r="Q3593" s="11">
        <f>IF(P3593=0,0,IFERROR(Q3592+G3593*M3593*IF(E3593="FUTURE",VLOOKUP(MID(I3593,2,2),Futures!$A$2:$B$12,2),1),G3593*M3593*IF(E3593="FUTURE",VLOOKUP(MID(I3593,2,2),Futures!$A$2:$B$12,2),1)))</f>
        <v>111845</v>
      </c>
      <c r="R3593" s="12">
        <f>IFERROR(Q3593/P3593/IF(E3593="FUTURE",VLOOKUP(MID(I3593,2,2),Futures!$A$2:$B$12,2),1),"")</f>
        <v>3728.1666666666665</v>
      </c>
      <c r="S3593" s="13" t="str">
        <f>IF(AND(H3593="TO CLOSE",P3593=0),-G3593*(M3593-R3592)*IF(E3593="FUTURE",VLOOKUP(MID(I3593,2,2),Futures!$A$2:$B$12,2),1),"")</f>
        <v/>
      </c>
    </row>
    <row r="3594" spans="1:19" x14ac:dyDescent="0.2">
      <c r="A3594">
        <f t="shared" si="170"/>
        <v>1161</v>
      </c>
      <c r="B3594" s="3">
        <v>44200</v>
      </c>
      <c r="C3594" s="3" t="str">
        <f t="shared" si="171"/>
        <v>Monday</v>
      </c>
      <c r="D3594" s="2">
        <v>0.58743055555555557</v>
      </c>
      <c r="E3594" t="s">
        <v>14</v>
      </c>
      <c r="F3594" t="s">
        <v>15</v>
      </c>
      <c r="G3594">
        <v>-6</v>
      </c>
      <c r="H3594" t="s">
        <v>16</v>
      </c>
      <c r="I3594" t="s">
        <v>94</v>
      </c>
      <c r="J3594" s="1">
        <v>44276</v>
      </c>
      <c r="L3594" t="s">
        <v>14</v>
      </c>
      <c r="M3594">
        <v>3684.25</v>
      </c>
      <c r="N3594">
        <v>3684.25</v>
      </c>
      <c r="O3594" t="s">
        <v>18</v>
      </c>
      <c r="P3594">
        <f t="shared" si="172"/>
        <v>0</v>
      </c>
      <c r="Q3594" s="11">
        <f>IF(P3594=0,0,IFERROR(Q3593+G3594*M3594*IF(E3594="FUTURE",VLOOKUP(MID(I3594,2,2),Futures!$A$2:$B$12,2),1),G3594*M3594*IF(E3594="FUTURE",VLOOKUP(MID(I3594,2,2),Futures!$A$2:$B$12,2),1)))</f>
        <v>0</v>
      </c>
      <c r="R3594" s="12" t="str">
        <f>IFERROR(Q3594/P3594/IF(E3594="FUTURE",VLOOKUP(MID(I3594,2,2),Futures!$A$2:$B$12,2),1),"")</f>
        <v/>
      </c>
      <c r="S3594" s="13">
        <f>IF(AND(H3594="TO CLOSE",P3594=0),-G3594*(M3594-R3593)*IF(E3594="FUTURE",VLOOKUP(MID(I3594,2,2),Futures!$A$2:$B$12,2),1),"")</f>
        <v>-1317.4999999999955</v>
      </c>
    </row>
    <row r="3595" spans="1:19" x14ac:dyDescent="0.2">
      <c r="A3595">
        <f t="shared" si="170"/>
        <v>1162</v>
      </c>
      <c r="B3595" s="3">
        <v>44200</v>
      </c>
      <c r="C3595" s="3" t="str">
        <f t="shared" si="171"/>
        <v>Monday</v>
      </c>
      <c r="D3595" s="2">
        <v>0.58893518518518517</v>
      </c>
      <c r="E3595" t="s">
        <v>14</v>
      </c>
      <c r="F3595" t="s">
        <v>15</v>
      </c>
      <c r="G3595">
        <v>-6</v>
      </c>
      <c r="H3595" t="s">
        <v>20</v>
      </c>
      <c r="I3595" t="s">
        <v>94</v>
      </c>
      <c r="J3595" s="1">
        <v>44276</v>
      </c>
      <c r="L3595" t="s">
        <v>14</v>
      </c>
      <c r="M3595">
        <v>3683.75</v>
      </c>
      <c r="N3595">
        <v>3683.75</v>
      </c>
      <c r="O3595" t="s">
        <v>24</v>
      </c>
      <c r="P3595">
        <f t="shared" si="172"/>
        <v>-6</v>
      </c>
      <c r="Q3595" s="11">
        <f>IF(P3595=0,0,IFERROR(Q3594+G3595*M3595*IF(E3595="FUTURE",VLOOKUP(MID(I3595,2,2),Futures!$A$2:$B$12,2),1),G3595*M3595*IF(E3595="FUTURE",VLOOKUP(MID(I3595,2,2),Futures!$A$2:$B$12,2),1)))</f>
        <v>-110512.5</v>
      </c>
      <c r="R3595" s="12">
        <f>IFERROR(Q3595/P3595/IF(E3595="FUTURE",VLOOKUP(MID(I3595,2,2),Futures!$A$2:$B$12,2),1),"")</f>
        <v>3683.75</v>
      </c>
      <c r="S3595" s="13" t="str">
        <f>IF(AND(H3595="TO CLOSE",P3595=0),-G3595*(M3595-R3594)*IF(E3595="FUTURE",VLOOKUP(MID(I3595,2,2),Futures!$A$2:$B$12,2),1),"")</f>
        <v/>
      </c>
    </row>
    <row r="3596" spans="1:19" x14ac:dyDescent="0.2">
      <c r="A3596">
        <f t="shared" si="170"/>
        <v>1162</v>
      </c>
      <c r="B3596" s="3">
        <v>44200</v>
      </c>
      <c r="C3596" s="3" t="str">
        <f t="shared" si="171"/>
        <v>Monday</v>
      </c>
      <c r="D3596" s="2">
        <v>0.58988425925925925</v>
      </c>
      <c r="E3596" t="s">
        <v>14</v>
      </c>
      <c r="F3596" t="s">
        <v>19</v>
      </c>
      <c r="G3596">
        <v>2</v>
      </c>
      <c r="H3596" t="s">
        <v>16</v>
      </c>
      <c r="I3596" t="s">
        <v>94</v>
      </c>
      <c r="J3596" s="1">
        <v>44276</v>
      </c>
      <c r="L3596" t="s">
        <v>14</v>
      </c>
      <c r="M3596">
        <v>3680.75</v>
      </c>
      <c r="N3596">
        <v>3680.75</v>
      </c>
      <c r="O3596" t="s">
        <v>21</v>
      </c>
      <c r="P3596">
        <f t="shared" si="172"/>
        <v>-4</v>
      </c>
      <c r="Q3596" s="11">
        <f>IF(P3596=0,0,IFERROR(Q3595+G3596*M3596*IF(E3596="FUTURE",VLOOKUP(MID(I3596,2,2),Futures!$A$2:$B$12,2),1),G3596*M3596*IF(E3596="FUTURE",VLOOKUP(MID(I3596,2,2),Futures!$A$2:$B$12,2),1)))</f>
        <v>-73705</v>
      </c>
      <c r="R3596" s="12">
        <f>IFERROR(Q3596/P3596/IF(E3596="FUTURE",VLOOKUP(MID(I3596,2,2),Futures!$A$2:$B$12,2),1),"")</f>
        <v>3685.25</v>
      </c>
      <c r="S3596" s="13" t="str">
        <f>IF(AND(H3596="TO CLOSE",P3596=0),-G3596*(M3596-R3595)*IF(E3596="FUTURE",VLOOKUP(MID(I3596,2,2),Futures!$A$2:$B$12,2),1),"")</f>
        <v/>
      </c>
    </row>
    <row r="3597" spans="1:19" x14ac:dyDescent="0.2">
      <c r="A3597">
        <f t="shared" si="170"/>
        <v>1162</v>
      </c>
      <c r="B3597" s="3">
        <v>44200</v>
      </c>
      <c r="C3597" s="3" t="str">
        <f t="shared" si="171"/>
        <v>Monday</v>
      </c>
      <c r="D3597" s="2">
        <v>0.59141203703703704</v>
      </c>
      <c r="E3597" t="s">
        <v>14</v>
      </c>
      <c r="F3597" t="s">
        <v>19</v>
      </c>
      <c r="G3597">
        <v>1</v>
      </c>
      <c r="H3597" t="s">
        <v>16</v>
      </c>
      <c r="I3597" t="s">
        <v>94</v>
      </c>
      <c r="J3597" s="1">
        <v>44276</v>
      </c>
      <c r="L3597" t="s">
        <v>14</v>
      </c>
      <c r="M3597">
        <v>3677</v>
      </c>
      <c r="N3597">
        <v>3677</v>
      </c>
      <c r="O3597" t="s">
        <v>21</v>
      </c>
      <c r="P3597">
        <f t="shared" si="172"/>
        <v>-3</v>
      </c>
      <c r="Q3597" s="11">
        <f>IF(P3597=0,0,IFERROR(Q3596+G3597*M3597*IF(E3597="FUTURE",VLOOKUP(MID(I3597,2,2),Futures!$A$2:$B$12,2),1),G3597*M3597*IF(E3597="FUTURE",VLOOKUP(MID(I3597,2,2),Futures!$A$2:$B$12,2),1)))</f>
        <v>-55320</v>
      </c>
      <c r="R3597" s="12">
        <f>IFERROR(Q3597/P3597/IF(E3597="FUTURE",VLOOKUP(MID(I3597,2,2),Futures!$A$2:$B$12,2),1),"")</f>
        <v>3688</v>
      </c>
      <c r="S3597" s="13" t="str">
        <f>IF(AND(H3597="TO CLOSE",P3597=0),-G3597*(M3597-R3596)*IF(E3597="FUTURE",VLOOKUP(MID(I3597,2,2),Futures!$A$2:$B$12,2),1),"")</f>
        <v/>
      </c>
    </row>
    <row r="3598" spans="1:19" x14ac:dyDescent="0.2">
      <c r="A3598">
        <f t="shared" si="170"/>
        <v>1162</v>
      </c>
      <c r="B3598" s="3">
        <v>44200</v>
      </c>
      <c r="C3598" s="3" t="str">
        <f t="shared" si="171"/>
        <v>Monday</v>
      </c>
      <c r="D3598" s="2">
        <v>0.59141203703703704</v>
      </c>
      <c r="E3598" t="s">
        <v>14</v>
      </c>
      <c r="F3598" t="s">
        <v>19</v>
      </c>
      <c r="G3598">
        <v>1</v>
      </c>
      <c r="H3598" t="s">
        <v>16</v>
      </c>
      <c r="I3598" t="s">
        <v>94</v>
      </c>
      <c r="J3598" s="1">
        <v>44276</v>
      </c>
      <c r="L3598" t="s">
        <v>14</v>
      </c>
      <c r="M3598">
        <v>3677</v>
      </c>
      <c r="N3598">
        <v>3677</v>
      </c>
      <c r="O3598" t="s">
        <v>21</v>
      </c>
      <c r="P3598">
        <f t="shared" si="172"/>
        <v>-2</v>
      </c>
      <c r="Q3598" s="11">
        <f>IF(P3598=0,0,IFERROR(Q3597+G3598*M3598*IF(E3598="FUTURE",VLOOKUP(MID(I3598,2,2),Futures!$A$2:$B$12,2),1),G3598*M3598*IF(E3598="FUTURE",VLOOKUP(MID(I3598,2,2),Futures!$A$2:$B$12,2),1)))</f>
        <v>-36935</v>
      </c>
      <c r="R3598" s="12">
        <f>IFERROR(Q3598/P3598/IF(E3598="FUTURE",VLOOKUP(MID(I3598,2,2),Futures!$A$2:$B$12,2),1),"")</f>
        <v>3693.5</v>
      </c>
      <c r="S3598" s="13" t="str">
        <f>IF(AND(H3598="TO CLOSE",P3598=0),-G3598*(M3598-R3597)*IF(E3598="FUTURE",VLOOKUP(MID(I3598,2,2),Futures!$A$2:$B$12,2),1),"")</f>
        <v/>
      </c>
    </row>
    <row r="3599" spans="1:19" x14ac:dyDescent="0.2">
      <c r="A3599">
        <f t="shared" si="170"/>
        <v>1162</v>
      </c>
      <c r="B3599" s="3">
        <v>44200</v>
      </c>
      <c r="C3599" s="3" t="str">
        <f t="shared" si="171"/>
        <v>Monday</v>
      </c>
      <c r="D3599" s="2">
        <v>0.59318287037037043</v>
      </c>
      <c r="E3599" t="s">
        <v>14</v>
      </c>
      <c r="F3599" t="s">
        <v>19</v>
      </c>
      <c r="G3599">
        <v>2</v>
      </c>
      <c r="H3599" t="s">
        <v>16</v>
      </c>
      <c r="I3599" t="s">
        <v>94</v>
      </c>
      <c r="J3599" s="1">
        <v>44276</v>
      </c>
      <c r="L3599" t="s">
        <v>14</v>
      </c>
      <c r="M3599">
        <v>3681.25</v>
      </c>
      <c r="N3599">
        <v>3681.25</v>
      </c>
      <c r="O3599" t="s">
        <v>24</v>
      </c>
      <c r="P3599">
        <f t="shared" si="172"/>
        <v>0</v>
      </c>
      <c r="Q3599" s="11">
        <f>IF(P3599=0,0,IFERROR(Q3598+G3599*M3599*IF(E3599="FUTURE",VLOOKUP(MID(I3599,2,2),Futures!$A$2:$B$12,2),1),G3599*M3599*IF(E3599="FUTURE",VLOOKUP(MID(I3599,2,2),Futures!$A$2:$B$12,2),1)))</f>
        <v>0</v>
      </c>
      <c r="R3599" s="12" t="str">
        <f>IFERROR(Q3599/P3599/IF(E3599="FUTURE",VLOOKUP(MID(I3599,2,2),Futures!$A$2:$B$12,2),1),"")</f>
        <v/>
      </c>
      <c r="S3599" s="13">
        <f>IF(AND(H3599="TO CLOSE",P3599=0),-G3599*(M3599-R3598)*IF(E3599="FUTURE",VLOOKUP(MID(I3599,2,2),Futures!$A$2:$B$12,2),1),"")</f>
        <v>122.5</v>
      </c>
    </row>
    <row r="3600" spans="1:19" x14ac:dyDescent="0.2">
      <c r="A3600">
        <f t="shared" si="170"/>
        <v>1163</v>
      </c>
      <c r="B3600" s="3">
        <v>44201</v>
      </c>
      <c r="C3600" s="3" t="str">
        <f t="shared" si="171"/>
        <v>Tuesday</v>
      </c>
      <c r="D3600" s="2">
        <v>0.45839120370370368</v>
      </c>
      <c r="E3600" t="s">
        <v>14</v>
      </c>
      <c r="F3600" t="s">
        <v>15</v>
      </c>
      <c r="G3600">
        <v>-1</v>
      </c>
      <c r="H3600" t="s">
        <v>20</v>
      </c>
      <c r="I3600" t="s">
        <v>90</v>
      </c>
      <c r="J3600" s="1">
        <v>44248</v>
      </c>
      <c r="L3600" t="s">
        <v>14</v>
      </c>
      <c r="M3600">
        <v>49.81</v>
      </c>
      <c r="N3600">
        <v>49.81</v>
      </c>
      <c r="O3600" t="s">
        <v>21</v>
      </c>
      <c r="P3600">
        <f t="shared" si="172"/>
        <v>-1</v>
      </c>
      <c r="Q3600" s="11">
        <f>IF(P3600=0,0,IFERROR(Q3599+G3600*M3600*IF(E3600="FUTURE",VLOOKUP(MID(I3600,2,2),Futures!$A$2:$B$12,2),1),G3600*M3600*IF(E3600="FUTURE",VLOOKUP(MID(I3600,2,2),Futures!$A$2:$B$12,2),1)))</f>
        <v>-49810</v>
      </c>
      <c r="R3600" s="12">
        <f>IFERROR(Q3600/P3600/IF(E3600="FUTURE",VLOOKUP(MID(I3600,2,2),Futures!$A$2:$B$12,2),1),"")</f>
        <v>49.81</v>
      </c>
      <c r="S3600" s="13" t="str">
        <f>IF(AND(H3600="TO CLOSE",P3600=0),-G3600*(M3600-R3599)*IF(E3600="FUTURE",VLOOKUP(MID(I3600,2,2),Futures!$A$2:$B$12,2),1),"")</f>
        <v/>
      </c>
    </row>
    <row r="3601" spans="1:19" x14ac:dyDescent="0.2">
      <c r="A3601">
        <f t="shared" si="170"/>
        <v>1163</v>
      </c>
      <c r="B3601" s="3">
        <v>44201</v>
      </c>
      <c r="C3601" s="3" t="str">
        <f t="shared" si="171"/>
        <v>Tuesday</v>
      </c>
      <c r="D3601" s="2">
        <v>0.47377314814814814</v>
      </c>
      <c r="E3601" t="s">
        <v>14</v>
      </c>
      <c r="F3601" t="s">
        <v>19</v>
      </c>
      <c r="G3601">
        <v>1</v>
      </c>
      <c r="H3601" t="s">
        <v>16</v>
      </c>
      <c r="I3601" t="s">
        <v>90</v>
      </c>
      <c r="J3601" s="1">
        <v>44248</v>
      </c>
      <c r="L3601" t="s">
        <v>14</v>
      </c>
      <c r="M3601">
        <v>49.76</v>
      </c>
      <c r="N3601">
        <v>49.76</v>
      </c>
      <c r="O3601" t="s">
        <v>21</v>
      </c>
      <c r="P3601">
        <f t="shared" si="172"/>
        <v>0</v>
      </c>
      <c r="Q3601" s="11">
        <f>IF(P3601=0,0,IFERROR(Q3600+G3601*M3601*IF(E3601="FUTURE",VLOOKUP(MID(I3601,2,2),Futures!$A$2:$B$12,2),1),G3601*M3601*IF(E3601="FUTURE",VLOOKUP(MID(I3601,2,2),Futures!$A$2:$B$12,2),1)))</f>
        <v>0</v>
      </c>
      <c r="R3601" s="12" t="str">
        <f>IFERROR(Q3601/P3601/IF(E3601="FUTURE",VLOOKUP(MID(I3601,2,2),Futures!$A$2:$B$12,2),1),"")</f>
        <v/>
      </c>
      <c r="S3601" s="13">
        <f>IF(AND(H3601="TO CLOSE",P3601=0),-G3601*(M3601-R3600)*IF(E3601="FUTURE",VLOOKUP(MID(I3601,2,2),Futures!$A$2:$B$12,2),1),"")</f>
        <v>50.000000000004263</v>
      </c>
    </row>
    <row r="3602" spans="1:19" x14ac:dyDescent="0.2">
      <c r="A3602">
        <f t="shared" si="170"/>
        <v>1164</v>
      </c>
      <c r="B3602" s="3">
        <v>44201</v>
      </c>
      <c r="C3602" s="3" t="str">
        <f t="shared" si="171"/>
        <v>Tuesday</v>
      </c>
      <c r="D3602" s="2">
        <v>0.47771990740740744</v>
      </c>
      <c r="E3602" t="s">
        <v>14</v>
      </c>
      <c r="F3602" t="s">
        <v>15</v>
      </c>
      <c r="G3602">
        <v>-2</v>
      </c>
      <c r="H3602" t="s">
        <v>20</v>
      </c>
      <c r="I3602" t="s">
        <v>90</v>
      </c>
      <c r="J3602" s="1">
        <v>44248</v>
      </c>
      <c r="L3602" t="s">
        <v>14</v>
      </c>
      <c r="M3602">
        <v>49.7</v>
      </c>
      <c r="N3602">
        <v>49.7</v>
      </c>
      <c r="O3602" t="s">
        <v>24</v>
      </c>
      <c r="P3602">
        <f t="shared" si="172"/>
        <v>-2</v>
      </c>
      <c r="Q3602" s="11">
        <f>IF(P3602=0,0,IFERROR(Q3601+G3602*M3602*IF(E3602="FUTURE",VLOOKUP(MID(I3602,2,2),Futures!$A$2:$B$12,2),1),G3602*M3602*IF(E3602="FUTURE",VLOOKUP(MID(I3602,2,2),Futures!$A$2:$B$12,2),1)))</f>
        <v>-99400</v>
      </c>
      <c r="R3602" s="12">
        <f>IFERROR(Q3602/P3602/IF(E3602="FUTURE",VLOOKUP(MID(I3602,2,2),Futures!$A$2:$B$12,2),1),"")</f>
        <v>49.7</v>
      </c>
      <c r="S3602" s="13" t="str">
        <f>IF(AND(H3602="TO CLOSE",P3602=0),-G3602*(M3602-R3601)*IF(E3602="FUTURE",VLOOKUP(MID(I3602,2,2),Futures!$A$2:$B$12,2),1),"")</f>
        <v/>
      </c>
    </row>
    <row r="3603" spans="1:19" x14ac:dyDescent="0.2">
      <c r="A3603">
        <f t="shared" si="170"/>
        <v>1164</v>
      </c>
      <c r="B3603" s="3">
        <v>44201</v>
      </c>
      <c r="C3603" s="3" t="str">
        <f t="shared" si="171"/>
        <v>Tuesday</v>
      </c>
      <c r="D3603" s="2">
        <v>0.47850694444444447</v>
      </c>
      <c r="E3603" t="s">
        <v>14</v>
      </c>
      <c r="F3603" t="s">
        <v>19</v>
      </c>
      <c r="G3603">
        <v>1</v>
      </c>
      <c r="H3603" t="s">
        <v>16</v>
      </c>
      <c r="I3603" t="s">
        <v>90</v>
      </c>
      <c r="J3603" s="1">
        <v>44248</v>
      </c>
      <c r="L3603" t="s">
        <v>14</v>
      </c>
      <c r="M3603">
        <v>49.67</v>
      </c>
      <c r="N3603">
        <v>49.67</v>
      </c>
      <c r="O3603" t="s">
        <v>21</v>
      </c>
      <c r="P3603">
        <f t="shared" si="172"/>
        <v>-1</v>
      </c>
      <c r="Q3603" s="11">
        <f>IF(P3603=0,0,IFERROR(Q3602+G3603*M3603*IF(E3603="FUTURE",VLOOKUP(MID(I3603,2,2),Futures!$A$2:$B$12,2),1),G3603*M3603*IF(E3603="FUTURE",VLOOKUP(MID(I3603,2,2),Futures!$A$2:$B$12,2),1)))</f>
        <v>-49730</v>
      </c>
      <c r="R3603" s="12">
        <f>IFERROR(Q3603/P3603/IF(E3603="FUTURE",VLOOKUP(MID(I3603,2,2),Futures!$A$2:$B$12,2),1),"")</f>
        <v>49.73</v>
      </c>
      <c r="S3603" s="13" t="str">
        <f>IF(AND(H3603="TO CLOSE",P3603=0),-G3603*(M3603-R3602)*IF(E3603="FUTURE",VLOOKUP(MID(I3603,2,2),Futures!$A$2:$B$12,2),1),"")</f>
        <v/>
      </c>
    </row>
    <row r="3604" spans="1:19" x14ac:dyDescent="0.2">
      <c r="A3604">
        <f t="shared" si="170"/>
        <v>1164</v>
      </c>
      <c r="B3604" s="3">
        <v>44201</v>
      </c>
      <c r="C3604" s="3" t="str">
        <f t="shared" si="171"/>
        <v>Tuesday</v>
      </c>
      <c r="D3604" s="2">
        <v>0.47870370370370369</v>
      </c>
      <c r="E3604" t="s">
        <v>14</v>
      </c>
      <c r="F3604" t="s">
        <v>19</v>
      </c>
      <c r="G3604">
        <v>1</v>
      </c>
      <c r="H3604" t="s">
        <v>16</v>
      </c>
      <c r="I3604" t="s">
        <v>90</v>
      </c>
      <c r="J3604" s="1">
        <v>44248</v>
      </c>
      <c r="L3604" t="s">
        <v>14</v>
      </c>
      <c r="M3604">
        <v>49.68</v>
      </c>
      <c r="N3604">
        <v>49.68</v>
      </c>
      <c r="O3604" t="s">
        <v>18</v>
      </c>
      <c r="P3604">
        <f t="shared" si="172"/>
        <v>0</v>
      </c>
      <c r="Q3604" s="11">
        <f>IF(P3604=0,0,IFERROR(Q3603+G3604*M3604*IF(E3604="FUTURE",VLOOKUP(MID(I3604,2,2),Futures!$A$2:$B$12,2),1),G3604*M3604*IF(E3604="FUTURE",VLOOKUP(MID(I3604,2,2),Futures!$A$2:$B$12,2),1)))</f>
        <v>0</v>
      </c>
      <c r="R3604" s="12" t="str">
        <f>IFERROR(Q3604/P3604/IF(E3604="FUTURE",VLOOKUP(MID(I3604,2,2),Futures!$A$2:$B$12,2),1),"")</f>
        <v/>
      </c>
      <c r="S3604" s="13">
        <f>IF(AND(H3604="TO CLOSE",P3604=0),-G3604*(M3604-R3603)*IF(E3604="FUTURE",VLOOKUP(MID(I3604,2,2),Futures!$A$2:$B$12,2),1),"")</f>
        <v>49.999999999997158</v>
      </c>
    </row>
    <row r="3605" spans="1:19" x14ac:dyDescent="0.2">
      <c r="A3605">
        <f t="shared" si="170"/>
        <v>1165</v>
      </c>
      <c r="B3605" s="3">
        <v>44201</v>
      </c>
      <c r="C3605" s="3" t="str">
        <f t="shared" si="171"/>
        <v>Tuesday</v>
      </c>
      <c r="D3605" s="2">
        <v>0.53052083333333333</v>
      </c>
      <c r="E3605" t="s">
        <v>14</v>
      </c>
      <c r="F3605" t="s">
        <v>15</v>
      </c>
      <c r="G3605">
        <v>-1</v>
      </c>
      <c r="H3605" t="s">
        <v>20</v>
      </c>
      <c r="I3605" t="s">
        <v>90</v>
      </c>
      <c r="J3605" s="1">
        <v>44248</v>
      </c>
      <c r="L3605" t="s">
        <v>14</v>
      </c>
      <c r="M3605">
        <v>49.86</v>
      </c>
      <c r="N3605">
        <v>49.86</v>
      </c>
      <c r="O3605" t="s">
        <v>21</v>
      </c>
      <c r="P3605">
        <f t="shared" si="172"/>
        <v>-1</v>
      </c>
      <c r="Q3605" s="11">
        <f>IF(P3605=0,0,IFERROR(Q3604+G3605*M3605*IF(E3605="FUTURE",VLOOKUP(MID(I3605,2,2),Futures!$A$2:$B$12,2),1),G3605*M3605*IF(E3605="FUTURE",VLOOKUP(MID(I3605,2,2),Futures!$A$2:$B$12,2),1)))</f>
        <v>-49860</v>
      </c>
      <c r="R3605" s="12">
        <f>IFERROR(Q3605/P3605/IF(E3605="FUTURE",VLOOKUP(MID(I3605,2,2),Futures!$A$2:$B$12,2),1),"")</f>
        <v>49.86</v>
      </c>
      <c r="S3605" s="13" t="str">
        <f>IF(AND(H3605="TO CLOSE",P3605=0),-G3605*(M3605-R3604)*IF(E3605="FUTURE",VLOOKUP(MID(I3605,2,2),Futures!$A$2:$B$12,2),1),"")</f>
        <v/>
      </c>
    </row>
    <row r="3606" spans="1:19" x14ac:dyDescent="0.2">
      <c r="A3606">
        <f t="shared" si="170"/>
        <v>1165</v>
      </c>
      <c r="B3606" s="3">
        <v>44201</v>
      </c>
      <c r="C3606" s="3" t="str">
        <f t="shared" si="171"/>
        <v>Tuesday</v>
      </c>
      <c r="D3606" s="2">
        <v>0.53738425925925926</v>
      </c>
      <c r="E3606" t="s">
        <v>14</v>
      </c>
      <c r="F3606" t="s">
        <v>19</v>
      </c>
      <c r="G3606">
        <v>1</v>
      </c>
      <c r="H3606" t="s">
        <v>16</v>
      </c>
      <c r="I3606" t="s">
        <v>90</v>
      </c>
      <c r="J3606" s="1">
        <v>44248</v>
      </c>
      <c r="L3606" t="s">
        <v>14</v>
      </c>
      <c r="M3606">
        <v>49.83</v>
      </c>
      <c r="N3606">
        <v>49.83</v>
      </c>
      <c r="O3606" t="s">
        <v>24</v>
      </c>
      <c r="P3606">
        <f t="shared" si="172"/>
        <v>0</v>
      </c>
      <c r="Q3606" s="11">
        <f>IF(P3606=0,0,IFERROR(Q3605+G3606*M3606*IF(E3606="FUTURE",VLOOKUP(MID(I3606,2,2),Futures!$A$2:$B$12,2),1),G3606*M3606*IF(E3606="FUTURE",VLOOKUP(MID(I3606,2,2),Futures!$A$2:$B$12,2),1)))</f>
        <v>0</v>
      </c>
      <c r="R3606" s="12" t="str">
        <f>IFERROR(Q3606/P3606/IF(E3606="FUTURE",VLOOKUP(MID(I3606,2,2),Futures!$A$2:$B$12,2),1),"")</f>
        <v/>
      </c>
      <c r="S3606" s="13">
        <f>IF(AND(H3606="TO CLOSE",P3606=0),-G3606*(M3606-R3605)*IF(E3606="FUTURE",VLOOKUP(MID(I3606,2,2),Futures!$A$2:$B$12,2),1),"")</f>
        <v>30.000000000001137</v>
      </c>
    </row>
    <row r="3607" spans="1:19" x14ac:dyDescent="0.2">
      <c r="A3607">
        <f t="shared" si="170"/>
        <v>1166</v>
      </c>
      <c r="B3607" s="3">
        <v>44201</v>
      </c>
      <c r="C3607" s="3" t="str">
        <f t="shared" si="171"/>
        <v>Tuesday</v>
      </c>
      <c r="D3607" s="2">
        <v>0.57752314814814809</v>
      </c>
      <c r="E3607" t="s">
        <v>14</v>
      </c>
      <c r="F3607" t="s">
        <v>15</v>
      </c>
      <c r="G3607">
        <v>-1</v>
      </c>
      <c r="H3607" t="s">
        <v>20</v>
      </c>
      <c r="I3607" t="s">
        <v>90</v>
      </c>
      <c r="J3607" s="1">
        <v>44248</v>
      </c>
      <c r="L3607" t="s">
        <v>14</v>
      </c>
      <c r="M3607">
        <v>49.98</v>
      </c>
      <c r="N3607">
        <v>49.98</v>
      </c>
      <c r="O3607" t="s">
        <v>21</v>
      </c>
      <c r="P3607">
        <f t="shared" si="172"/>
        <v>-1</v>
      </c>
      <c r="Q3607" s="11">
        <f>IF(P3607=0,0,IFERROR(Q3606+G3607*M3607*IF(E3607="FUTURE",VLOOKUP(MID(I3607,2,2),Futures!$A$2:$B$12,2),1),G3607*M3607*IF(E3607="FUTURE",VLOOKUP(MID(I3607,2,2),Futures!$A$2:$B$12,2),1)))</f>
        <v>-49980</v>
      </c>
      <c r="R3607" s="12">
        <f>IFERROR(Q3607/P3607/IF(E3607="FUTURE",VLOOKUP(MID(I3607,2,2),Futures!$A$2:$B$12,2),1),"")</f>
        <v>49.98</v>
      </c>
      <c r="S3607" s="13" t="str">
        <f>IF(AND(H3607="TO CLOSE",P3607=0),-G3607*(M3607-R3606)*IF(E3607="FUTURE",VLOOKUP(MID(I3607,2,2),Futures!$A$2:$B$12,2),1),"")</f>
        <v/>
      </c>
    </row>
    <row r="3608" spans="1:19" x14ac:dyDescent="0.2">
      <c r="A3608">
        <f t="shared" si="170"/>
        <v>1166</v>
      </c>
      <c r="B3608" s="3">
        <v>44201</v>
      </c>
      <c r="C3608" s="3" t="str">
        <f t="shared" si="171"/>
        <v>Tuesday</v>
      </c>
      <c r="D3608" s="2">
        <v>0.60457175925925932</v>
      </c>
      <c r="E3608" t="s">
        <v>14</v>
      </c>
      <c r="F3608" t="s">
        <v>19</v>
      </c>
      <c r="G3608">
        <v>1</v>
      </c>
      <c r="H3608" t="s">
        <v>16</v>
      </c>
      <c r="I3608" t="s">
        <v>90</v>
      </c>
      <c r="J3608" s="1">
        <v>44248</v>
      </c>
      <c r="L3608" t="s">
        <v>14</v>
      </c>
      <c r="M3608">
        <v>49.86</v>
      </c>
      <c r="N3608">
        <v>49.86</v>
      </c>
      <c r="O3608" t="s">
        <v>21</v>
      </c>
      <c r="P3608">
        <f t="shared" si="172"/>
        <v>0</v>
      </c>
      <c r="Q3608" s="11">
        <f>IF(P3608=0,0,IFERROR(Q3607+G3608*M3608*IF(E3608="FUTURE",VLOOKUP(MID(I3608,2,2),Futures!$A$2:$B$12,2),1),G3608*M3608*IF(E3608="FUTURE",VLOOKUP(MID(I3608,2,2),Futures!$A$2:$B$12,2),1)))</f>
        <v>0</v>
      </c>
      <c r="R3608" s="12" t="str">
        <f>IFERROR(Q3608/P3608/IF(E3608="FUTURE",VLOOKUP(MID(I3608,2,2),Futures!$A$2:$B$12,2),1),"")</f>
        <v/>
      </c>
      <c r="S3608" s="13">
        <f>IF(AND(H3608="TO CLOSE",P3608=0),-G3608*(M3608-R3607)*IF(E3608="FUTURE",VLOOKUP(MID(I3608,2,2),Futures!$A$2:$B$12,2),1),"")</f>
        <v>119.99999999999744</v>
      </c>
    </row>
    <row r="3609" spans="1:19" x14ac:dyDescent="0.2">
      <c r="A3609">
        <f t="shared" si="170"/>
        <v>1167</v>
      </c>
      <c r="B3609" s="3">
        <v>44202</v>
      </c>
      <c r="C3609" s="3" t="str">
        <f t="shared" si="171"/>
        <v>Wednesday</v>
      </c>
      <c r="D3609" s="2">
        <v>0.39256944444444447</v>
      </c>
      <c r="E3609" t="s">
        <v>14</v>
      </c>
      <c r="F3609" t="s">
        <v>15</v>
      </c>
      <c r="G3609">
        <v>-1</v>
      </c>
      <c r="H3609" t="s">
        <v>20</v>
      </c>
      <c r="I3609" t="s">
        <v>90</v>
      </c>
      <c r="J3609" s="1">
        <v>44248</v>
      </c>
      <c r="L3609" t="s">
        <v>14</v>
      </c>
      <c r="M3609">
        <v>49.99</v>
      </c>
      <c r="N3609">
        <v>49.99</v>
      </c>
      <c r="O3609" t="s">
        <v>21</v>
      </c>
      <c r="P3609">
        <f t="shared" si="172"/>
        <v>-1</v>
      </c>
      <c r="Q3609" s="11">
        <f>IF(P3609=0,0,IFERROR(Q3608+G3609*M3609*IF(E3609="FUTURE",VLOOKUP(MID(I3609,2,2),Futures!$A$2:$B$12,2),1),G3609*M3609*IF(E3609="FUTURE",VLOOKUP(MID(I3609,2,2),Futures!$A$2:$B$12,2),1)))</f>
        <v>-49990</v>
      </c>
      <c r="R3609" s="12">
        <f>IFERROR(Q3609/P3609/IF(E3609="FUTURE",VLOOKUP(MID(I3609,2,2),Futures!$A$2:$B$12,2),1),"")</f>
        <v>49.99</v>
      </c>
      <c r="S3609" s="13" t="str">
        <f>IF(AND(H3609="TO CLOSE",P3609=0),-G3609*(M3609-R3608)*IF(E3609="FUTURE",VLOOKUP(MID(I3609,2,2),Futures!$A$2:$B$12,2),1),"")</f>
        <v/>
      </c>
    </row>
    <row r="3610" spans="1:19" x14ac:dyDescent="0.2">
      <c r="A3610">
        <f t="shared" si="170"/>
        <v>1167</v>
      </c>
      <c r="B3610" s="3">
        <v>44202</v>
      </c>
      <c r="C3610" s="3" t="str">
        <f t="shared" si="171"/>
        <v>Wednesday</v>
      </c>
      <c r="D3610" s="2">
        <v>0.39400462962962962</v>
      </c>
      <c r="E3610" t="s">
        <v>14</v>
      </c>
      <c r="F3610" t="s">
        <v>19</v>
      </c>
      <c r="G3610">
        <v>1</v>
      </c>
      <c r="H3610" t="s">
        <v>16</v>
      </c>
      <c r="I3610" t="s">
        <v>90</v>
      </c>
      <c r="J3610" s="1">
        <v>44248</v>
      </c>
      <c r="L3610" t="s">
        <v>14</v>
      </c>
      <c r="M3610">
        <v>49.94</v>
      </c>
      <c r="N3610">
        <v>49.94</v>
      </c>
      <c r="O3610" t="s">
        <v>21</v>
      </c>
      <c r="P3610">
        <f t="shared" si="172"/>
        <v>0</v>
      </c>
      <c r="Q3610" s="11">
        <f>IF(P3610=0,0,IFERROR(Q3609+G3610*M3610*IF(E3610="FUTURE",VLOOKUP(MID(I3610,2,2),Futures!$A$2:$B$12,2),1),G3610*M3610*IF(E3610="FUTURE",VLOOKUP(MID(I3610,2,2),Futures!$A$2:$B$12,2),1)))</f>
        <v>0</v>
      </c>
      <c r="R3610" s="12" t="str">
        <f>IFERROR(Q3610/P3610/IF(E3610="FUTURE",VLOOKUP(MID(I3610,2,2),Futures!$A$2:$B$12,2),1),"")</f>
        <v/>
      </c>
      <c r="S3610" s="13">
        <f>IF(AND(H3610="TO CLOSE",P3610=0),-G3610*(M3610-R3609)*IF(E3610="FUTURE",VLOOKUP(MID(I3610,2,2),Futures!$A$2:$B$12,2),1),"")</f>
        <v>50.000000000004263</v>
      </c>
    </row>
    <row r="3611" spans="1:19" x14ac:dyDescent="0.2">
      <c r="A3611">
        <f t="shared" si="170"/>
        <v>1168</v>
      </c>
      <c r="B3611" s="3">
        <v>44202</v>
      </c>
      <c r="C3611" s="3" t="str">
        <f t="shared" si="171"/>
        <v>Wednesday</v>
      </c>
      <c r="D3611" s="2">
        <v>0.40349537037037037</v>
      </c>
      <c r="E3611" t="s">
        <v>14</v>
      </c>
      <c r="F3611" t="s">
        <v>15</v>
      </c>
      <c r="G3611">
        <v>-1</v>
      </c>
      <c r="H3611" t="s">
        <v>20</v>
      </c>
      <c r="I3611" t="s">
        <v>90</v>
      </c>
      <c r="J3611" s="1">
        <v>44248</v>
      </c>
      <c r="L3611" t="s">
        <v>14</v>
      </c>
      <c r="M3611">
        <v>50.08</v>
      </c>
      <c r="N3611">
        <v>50.08</v>
      </c>
      <c r="O3611" t="s">
        <v>21</v>
      </c>
      <c r="P3611">
        <f t="shared" si="172"/>
        <v>-1</v>
      </c>
      <c r="Q3611" s="11">
        <f>IF(P3611=0,0,IFERROR(Q3610+G3611*M3611*IF(E3611="FUTURE",VLOOKUP(MID(I3611,2,2),Futures!$A$2:$B$12,2),1),G3611*M3611*IF(E3611="FUTURE",VLOOKUP(MID(I3611,2,2),Futures!$A$2:$B$12,2),1)))</f>
        <v>-50080</v>
      </c>
      <c r="R3611" s="12">
        <f>IFERROR(Q3611/P3611/IF(E3611="FUTURE",VLOOKUP(MID(I3611,2,2),Futures!$A$2:$B$12,2),1),"")</f>
        <v>50.08</v>
      </c>
      <c r="S3611" s="13" t="str">
        <f>IF(AND(H3611="TO CLOSE",P3611=0),-G3611*(M3611-R3610)*IF(E3611="FUTURE",VLOOKUP(MID(I3611,2,2),Futures!$A$2:$B$12,2),1),"")</f>
        <v/>
      </c>
    </row>
    <row r="3612" spans="1:19" x14ac:dyDescent="0.2">
      <c r="A3612">
        <f t="shared" si="170"/>
        <v>1168</v>
      </c>
      <c r="B3612" s="3">
        <v>44202</v>
      </c>
      <c r="C3612" s="3" t="str">
        <f t="shared" si="171"/>
        <v>Wednesday</v>
      </c>
      <c r="D3612" s="2">
        <v>0.40484953703703702</v>
      </c>
      <c r="E3612" t="s">
        <v>14</v>
      </c>
      <c r="F3612" t="s">
        <v>19</v>
      </c>
      <c r="G3612">
        <v>1</v>
      </c>
      <c r="H3612" t="s">
        <v>16</v>
      </c>
      <c r="I3612" t="s">
        <v>90</v>
      </c>
      <c r="J3612" s="1">
        <v>44248</v>
      </c>
      <c r="L3612" t="s">
        <v>14</v>
      </c>
      <c r="M3612">
        <v>50.06</v>
      </c>
      <c r="N3612">
        <v>50.06</v>
      </c>
      <c r="O3612" t="s">
        <v>21</v>
      </c>
      <c r="P3612">
        <f t="shared" si="172"/>
        <v>0</v>
      </c>
      <c r="Q3612" s="11">
        <f>IF(P3612=0,0,IFERROR(Q3611+G3612*M3612*IF(E3612="FUTURE",VLOOKUP(MID(I3612,2,2),Futures!$A$2:$B$12,2),1),G3612*M3612*IF(E3612="FUTURE",VLOOKUP(MID(I3612,2,2),Futures!$A$2:$B$12,2),1)))</f>
        <v>0</v>
      </c>
      <c r="R3612" s="12" t="str">
        <f>IFERROR(Q3612/P3612/IF(E3612="FUTURE",VLOOKUP(MID(I3612,2,2),Futures!$A$2:$B$12,2),1),"")</f>
        <v/>
      </c>
      <c r="S3612" s="13">
        <f>IF(AND(H3612="TO CLOSE",P3612=0),-G3612*(M3612-R3611)*IF(E3612="FUTURE",VLOOKUP(MID(I3612,2,2),Futures!$A$2:$B$12,2),1),"")</f>
        <v>19.999999999996021</v>
      </c>
    </row>
    <row r="3613" spans="1:19" x14ac:dyDescent="0.2">
      <c r="A3613">
        <f t="shared" si="170"/>
        <v>1169</v>
      </c>
      <c r="B3613" s="3">
        <v>44202</v>
      </c>
      <c r="C3613" s="3" t="str">
        <f t="shared" si="171"/>
        <v>Wednesday</v>
      </c>
      <c r="D3613" s="2">
        <v>0.41035879629629629</v>
      </c>
      <c r="E3613" t="s">
        <v>14</v>
      </c>
      <c r="F3613" t="s">
        <v>15</v>
      </c>
      <c r="G3613">
        <v>-1</v>
      </c>
      <c r="H3613" t="s">
        <v>20</v>
      </c>
      <c r="I3613" t="s">
        <v>90</v>
      </c>
      <c r="J3613" s="1">
        <v>44248</v>
      </c>
      <c r="L3613" t="s">
        <v>14</v>
      </c>
      <c r="M3613">
        <v>50.07</v>
      </c>
      <c r="N3613">
        <v>50.07</v>
      </c>
      <c r="O3613" t="s">
        <v>21</v>
      </c>
      <c r="P3613">
        <f t="shared" si="172"/>
        <v>-1</v>
      </c>
      <c r="Q3613" s="11">
        <f>IF(P3613=0,0,IFERROR(Q3612+G3613*M3613*IF(E3613="FUTURE",VLOOKUP(MID(I3613,2,2),Futures!$A$2:$B$12,2),1),G3613*M3613*IF(E3613="FUTURE",VLOOKUP(MID(I3613,2,2),Futures!$A$2:$B$12,2),1)))</f>
        <v>-50070</v>
      </c>
      <c r="R3613" s="12">
        <f>IFERROR(Q3613/P3613/IF(E3613="FUTURE",VLOOKUP(MID(I3613,2,2),Futures!$A$2:$B$12,2),1),"")</f>
        <v>50.07</v>
      </c>
      <c r="S3613" s="13" t="str">
        <f>IF(AND(H3613="TO CLOSE",P3613=0),-G3613*(M3613-R3612)*IF(E3613="FUTURE",VLOOKUP(MID(I3613,2,2),Futures!$A$2:$B$12,2),1),"")</f>
        <v/>
      </c>
    </row>
    <row r="3614" spans="1:19" x14ac:dyDescent="0.2">
      <c r="A3614">
        <f t="shared" si="170"/>
        <v>1169</v>
      </c>
      <c r="B3614" s="3">
        <v>44202</v>
      </c>
      <c r="C3614" s="3" t="str">
        <f t="shared" si="171"/>
        <v>Wednesday</v>
      </c>
      <c r="D3614" s="2">
        <v>0.41768518518518521</v>
      </c>
      <c r="E3614" t="s">
        <v>14</v>
      </c>
      <c r="F3614" t="s">
        <v>19</v>
      </c>
      <c r="G3614">
        <v>1</v>
      </c>
      <c r="H3614" t="s">
        <v>16</v>
      </c>
      <c r="I3614" t="s">
        <v>90</v>
      </c>
      <c r="J3614" s="1">
        <v>44248</v>
      </c>
      <c r="L3614" t="s">
        <v>14</v>
      </c>
      <c r="M3614">
        <v>50.03</v>
      </c>
      <c r="N3614">
        <v>50.03</v>
      </c>
      <c r="O3614" t="s">
        <v>18</v>
      </c>
      <c r="P3614">
        <f t="shared" si="172"/>
        <v>0</v>
      </c>
      <c r="Q3614" s="11">
        <f>IF(P3614=0,0,IFERROR(Q3613+G3614*M3614*IF(E3614="FUTURE",VLOOKUP(MID(I3614,2,2),Futures!$A$2:$B$12,2),1),G3614*M3614*IF(E3614="FUTURE",VLOOKUP(MID(I3614,2,2),Futures!$A$2:$B$12,2),1)))</f>
        <v>0</v>
      </c>
      <c r="R3614" s="12" t="str">
        <f>IFERROR(Q3614/P3614/IF(E3614="FUTURE",VLOOKUP(MID(I3614,2,2),Futures!$A$2:$B$12,2),1),"")</f>
        <v/>
      </c>
      <c r="S3614" s="13">
        <f>IF(AND(H3614="TO CLOSE",P3614=0),-G3614*(M3614-R3613)*IF(E3614="FUTURE",VLOOKUP(MID(I3614,2,2),Futures!$A$2:$B$12,2),1),"")</f>
        <v>39.999999999999147</v>
      </c>
    </row>
    <row r="3615" spans="1:19" x14ac:dyDescent="0.2">
      <c r="A3615">
        <f t="shared" si="170"/>
        <v>1170</v>
      </c>
      <c r="B3615" s="3">
        <v>44202</v>
      </c>
      <c r="C3615" s="3" t="str">
        <f t="shared" si="171"/>
        <v>Wednesday</v>
      </c>
      <c r="D3615" s="2">
        <v>0.43667824074074074</v>
      </c>
      <c r="E3615" t="s">
        <v>14</v>
      </c>
      <c r="F3615" t="s">
        <v>15</v>
      </c>
      <c r="G3615">
        <v>-1</v>
      </c>
      <c r="H3615" t="s">
        <v>20</v>
      </c>
      <c r="I3615" t="s">
        <v>90</v>
      </c>
      <c r="J3615" s="1">
        <v>44248</v>
      </c>
      <c r="L3615" t="s">
        <v>14</v>
      </c>
      <c r="M3615">
        <v>49.9</v>
      </c>
      <c r="N3615">
        <v>49.9</v>
      </c>
      <c r="O3615" t="s">
        <v>21</v>
      </c>
      <c r="P3615">
        <f t="shared" si="172"/>
        <v>-1</v>
      </c>
      <c r="Q3615" s="11">
        <f>IF(P3615=0,0,IFERROR(Q3614+G3615*M3615*IF(E3615="FUTURE",VLOOKUP(MID(I3615,2,2),Futures!$A$2:$B$12,2),1),G3615*M3615*IF(E3615="FUTURE",VLOOKUP(MID(I3615,2,2),Futures!$A$2:$B$12,2),1)))</f>
        <v>-49900</v>
      </c>
      <c r="R3615" s="12">
        <f>IFERROR(Q3615/P3615/IF(E3615="FUTURE",VLOOKUP(MID(I3615,2,2),Futures!$A$2:$B$12,2),1),"")</f>
        <v>49.9</v>
      </c>
      <c r="S3615" s="13" t="str">
        <f>IF(AND(H3615="TO CLOSE",P3615=0),-G3615*(M3615-R3614)*IF(E3615="FUTURE",VLOOKUP(MID(I3615,2,2),Futures!$A$2:$B$12,2),1),"")</f>
        <v/>
      </c>
    </row>
    <row r="3616" spans="1:19" x14ac:dyDescent="0.2">
      <c r="A3616">
        <f t="shared" si="170"/>
        <v>1170</v>
      </c>
      <c r="B3616" s="3">
        <v>44202</v>
      </c>
      <c r="C3616" s="3" t="str">
        <f t="shared" si="171"/>
        <v>Wednesday</v>
      </c>
      <c r="D3616" s="2">
        <v>0.43770833333333337</v>
      </c>
      <c r="E3616" t="s">
        <v>14</v>
      </c>
      <c r="F3616" t="s">
        <v>15</v>
      </c>
      <c r="G3616">
        <v>-1</v>
      </c>
      <c r="H3616" t="s">
        <v>20</v>
      </c>
      <c r="I3616" t="s">
        <v>90</v>
      </c>
      <c r="J3616" s="1">
        <v>44248</v>
      </c>
      <c r="L3616" t="s">
        <v>14</v>
      </c>
      <c r="M3616">
        <v>50.23</v>
      </c>
      <c r="N3616">
        <v>50.23</v>
      </c>
      <c r="O3616" t="s">
        <v>21</v>
      </c>
      <c r="P3616">
        <f t="shared" si="172"/>
        <v>-2</v>
      </c>
      <c r="Q3616" s="11">
        <f>IF(P3616=0,0,IFERROR(Q3615+G3616*M3616*IF(E3616="FUTURE",VLOOKUP(MID(I3616,2,2),Futures!$A$2:$B$12,2),1),G3616*M3616*IF(E3616="FUTURE",VLOOKUP(MID(I3616,2,2),Futures!$A$2:$B$12,2),1)))</f>
        <v>-100130</v>
      </c>
      <c r="R3616" s="12">
        <f>IFERROR(Q3616/P3616/IF(E3616="FUTURE",VLOOKUP(MID(I3616,2,2),Futures!$A$2:$B$12,2),1),"")</f>
        <v>50.064999999999998</v>
      </c>
      <c r="S3616" s="13" t="str">
        <f>IF(AND(H3616="TO CLOSE",P3616=0),-G3616*(M3616-R3615)*IF(E3616="FUTURE",VLOOKUP(MID(I3616,2,2),Futures!$A$2:$B$12,2),1),"")</f>
        <v/>
      </c>
    </row>
    <row r="3617" spans="1:19" x14ac:dyDescent="0.2">
      <c r="A3617">
        <f t="shared" si="170"/>
        <v>1170</v>
      </c>
      <c r="B3617" s="3">
        <v>44202</v>
      </c>
      <c r="C3617" s="3" t="str">
        <f t="shared" si="171"/>
        <v>Wednesday</v>
      </c>
      <c r="D3617" s="2">
        <v>0.61732638888888891</v>
      </c>
      <c r="E3617" t="s">
        <v>14</v>
      </c>
      <c r="F3617" t="s">
        <v>19</v>
      </c>
      <c r="G3617">
        <v>1</v>
      </c>
      <c r="H3617" t="s">
        <v>16</v>
      </c>
      <c r="I3617" t="s">
        <v>90</v>
      </c>
      <c r="J3617" s="1">
        <v>44248</v>
      </c>
      <c r="L3617" t="s">
        <v>14</v>
      </c>
      <c r="M3617">
        <v>50.14</v>
      </c>
      <c r="N3617">
        <v>50.14</v>
      </c>
      <c r="O3617" t="s">
        <v>21</v>
      </c>
      <c r="P3617">
        <f t="shared" si="172"/>
        <v>-1</v>
      </c>
      <c r="Q3617" s="11">
        <f>IF(P3617=0,0,IFERROR(Q3616+G3617*M3617*IF(E3617="FUTURE",VLOOKUP(MID(I3617,2,2),Futures!$A$2:$B$12,2),1),G3617*M3617*IF(E3617="FUTURE",VLOOKUP(MID(I3617,2,2),Futures!$A$2:$B$12,2),1)))</f>
        <v>-49990</v>
      </c>
      <c r="R3617" s="12">
        <f>IFERROR(Q3617/P3617/IF(E3617="FUTURE",VLOOKUP(MID(I3617,2,2),Futures!$A$2:$B$12,2),1),"")</f>
        <v>49.99</v>
      </c>
      <c r="S3617" s="13" t="str">
        <f>IF(AND(H3617="TO CLOSE",P3617=0),-G3617*(M3617-R3616)*IF(E3617="FUTURE",VLOOKUP(MID(I3617,2,2),Futures!$A$2:$B$12,2),1),"")</f>
        <v/>
      </c>
    </row>
    <row r="3618" spans="1:19" x14ac:dyDescent="0.2">
      <c r="A3618">
        <f t="shared" si="170"/>
        <v>1170</v>
      </c>
      <c r="B3618" s="3">
        <v>44202</v>
      </c>
      <c r="C3618" s="3" t="str">
        <f t="shared" ref="C3618:C3649" si="173">IF(WEEKDAY(B3618,2)=1,"Monday",IF(WEEKDAY(B3618,2)=2,"Tuesday",IF(WEEKDAY(B3618,2)=3,"Wednesday",IF(WEEKDAY(B3618,2)=4,"Thursday",IF(WEEKDAY(B3618,2)=5,"Friday","Sunday")))))</f>
        <v>Wednesday</v>
      </c>
      <c r="D3618" s="2">
        <v>0.63061342592592595</v>
      </c>
      <c r="E3618" t="s">
        <v>14</v>
      </c>
      <c r="F3618" t="s">
        <v>19</v>
      </c>
      <c r="G3618">
        <v>1</v>
      </c>
      <c r="H3618" t="s">
        <v>16</v>
      </c>
      <c r="I3618" t="s">
        <v>90</v>
      </c>
      <c r="J3618" s="1">
        <v>44248</v>
      </c>
      <c r="L3618" t="s">
        <v>14</v>
      </c>
      <c r="M3618">
        <v>49.75</v>
      </c>
      <c r="N3618">
        <v>49.75</v>
      </c>
      <c r="O3618" t="s">
        <v>21</v>
      </c>
      <c r="P3618">
        <f t="shared" si="172"/>
        <v>0</v>
      </c>
      <c r="Q3618" s="11">
        <f>IF(P3618=0,0,IFERROR(Q3617+G3618*M3618*IF(E3618="FUTURE",VLOOKUP(MID(I3618,2,2),Futures!$A$2:$B$12,2),1),G3618*M3618*IF(E3618="FUTURE",VLOOKUP(MID(I3618,2,2),Futures!$A$2:$B$12,2),1)))</f>
        <v>0</v>
      </c>
      <c r="R3618" s="12" t="str">
        <f>IFERROR(Q3618/P3618/IF(E3618="FUTURE",VLOOKUP(MID(I3618,2,2),Futures!$A$2:$B$12,2),1),"")</f>
        <v/>
      </c>
      <c r="S3618" s="13">
        <f>IF(AND(H3618="TO CLOSE",P3618=0),-G3618*(M3618-R3617)*IF(E3618="FUTURE",VLOOKUP(MID(I3618,2,2),Futures!$A$2:$B$12,2),1),"")</f>
        <v>240.00000000000199</v>
      </c>
    </row>
    <row r="3619" spans="1:19" x14ac:dyDescent="0.2">
      <c r="A3619">
        <f t="shared" si="170"/>
        <v>1171</v>
      </c>
      <c r="B3619" s="3">
        <v>44202</v>
      </c>
      <c r="C3619" s="3" t="str">
        <f t="shared" si="173"/>
        <v>Wednesday</v>
      </c>
      <c r="D3619" s="2">
        <v>0.39506944444444447</v>
      </c>
      <c r="E3619" t="s">
        <v>14</v>
      </c>
      <c r="F3619" t="s">
        <v>15</v>
      </c>
      <c r="G3619">
        <v>-1</v>
      </c>
      <c r="H3619" t="s">
        <v>20</v>
      </c>
      <c r="I3619" t="s">
        <v>89</v>
      </c>
      <c r="J3619" s="1">
        <v>44276</v>
      </c>
      <c r="L3619" t="s">
        <v>14</v>
      </c>
      <c r="M3619">
        <v>3699.5</v>
      </c>
      <c r="N3619">
        <v>3699.5</v>
      </c>
      <c r="O3619" t="s">
        <v>21</v>
      </c>
      <c r="P3619">
        <f t="shared" si="172"/>
        <v>-1</v>
      </c>
      <c r="Q3619" s="11">
        <f>IF(P3619=0,0,IFERROR(Q3618+G3619*M3619*IF(E3619="FUTURE",VLOOKUP(MID(I3619,2,2),Futures!$A$2:$B$12,2),1),G3619*M3619*IF(E3619="FUTURE",VLOOKUP(MID(I3619,2,2),Futures!$A$2:$B$12,2),1)))</f>
        <v>-184975</v>
      </c>
      <c r="R3619" s="12">
        <f>IFERROR(Q3619/P3619/IF(E3619="FUTURE",VLOOKUP(MID(I3619,2,2),Futures!$A$2:$B$12,2),1),"")</f>
        <v>3699.5</v>
      </c>
      <c r="S3619" s="13" t="str">
        <f>IF(AND(H3619="TO CLOSE",P3619=0),-G3619*(M3619-R3618)*IF(E3619="FUTURE",VLOOKUP(MID(I3619,2,2),Futures!$A$2:$B$12,2),1),"")</f>
        <v/>
      </c>
    </row>
    <row r="3620" spans="1:19" x14ac:dyDescent="0.2">
      <c r="A3620">
        <f t="shared" si="170"/>
        <v>1171</v>
      </c>
      <c r="B3620" s="3">
        <v>44202</v>
      </c>
      <c r="C3620" s="3" t="str">
        <f t="shared" si="173"/>
        <v>Wednesday</v>
      </c>
      <c r="D3620" s="2">
        <v>0.39922453703703703</v>
      </c>
      <c r="E3620" t="s">
        <v>14</v>
      </c>
      <c r="F3620" t="s">
        <v>19</v>
      </c>
      <c r="G3620">
        <v>1</v>
      </c>
      <c r="H3620" t="s">
        <v>16</v>
      </c>
      <c r="I3620" t="s">
        <v>89</v>
      </c>
      <c r="J3620" s="1">
        <v>44276</v>
      </c>
      <c r="L3620" t="s">
        <v>14</v>
      </c>
      <c r="M3620">
        <v>3698.25</v>
      </c>
      <c r="N3620">
        <v>3698.25</v>
      </c>
      <c r="O3620" t="s">
        <v>21</v>
      </c>
      <c r="P3620">
        <f t="shared" si="172"/>
        <v>0</v>
      </c>
      <c r="Q3620" s="11">
        <f>IF(P3620=0,0,IFERROR(Q3619+G3620*M3620*IF(E3620="FUTURE",VLOOKUP(MID(I3620,2,2),Futures!$A$2:$B$12,2),1),G3620*M3620*IF(E3620="FUTURE",VLOOKUP(MID(I3620,2,2),Futures!$A$2:$B$12,2),1)))</f>
        <v>0</v>
      </c>
      <c r="R3620" s="12" t="str">
        <f>IFERROR(Q3620/P3620/IF(E3620="FUTURE",VLOOKUP(MID(I3620,2,2),Futures!$A$2:$B$12,2),1),"")</f>
        <v/>
      </c>
      <c r="S3620" s="13">
        <f>IF(AND(H3620="TO CLOSE",P3620=0),-G3620*(M3620-R3619)*IF(E3620="FUTURE",VLOOKUP(MID(I3620,2,2),Futures!$A$2:$B$12,2),1),"")</f>
        <v>62.5</v>
      </c>
    </row>
    <row r="3621" spans="1:19" x14ac:dyDescent="0.2">
      <c r="A3621">
        <f t="shared" si="170"/>
        <v>1172</v>
      </c>
      <c r="B3621" s="3">
        <v>44207</v>
      </c>
      <c r="C3621" s="3" t="str">
        <f t="shared" si="173"/>
        <v>Monday</v>
      </c>
      <c r="D3621" s="2">
        <v>0.42473379629629626</v>
      </c>
      <c r="E3621" t="s">
        <v>14</v>
      </c>
      <c r="F3621" t="s">
        <v>15</v>
      </c>
      <c r="G3621">
        <v>-1</v>
      </c>
      <c r="H3621" t="s">
        <v>20</v>
      </c>
      <c r="I3621" t="s">
        <v>90</v>
      </c>
      <c r="J3621" s="1">
        <v>44248</v>
      </c>
      <c r="L3621" t="s">
        <v>14</v>
      </c>
      <c r="M3621">
        <v>51.8</v>
      </c>
      <c r="N3621">
        <v>51.8</v>
      </c>
      <c r="O3621" t="s">
        <v>21</v>
      </c>
      <c r="P3621">
        <f t="shared" si="172"/>
        <v>-1</v>
      </c>
      <c r="Q3621" s="11">
        <f>IF(P3621=0,0,IFERROR(Q3620+G3621*M3621*IF(E3621="FUTURE",VLOOKUP(MID(I3621,2,2),Futures!$A$2:$B$12,2),1),G3621*M3621*IF(E3621="FUTURE",VLOOKUP(MID(I3621,2,2),Futures!$A$2:$B$12,2),1)))</f>
        <v>-51800</v>
      </c>
      <c r="R3621" s="12">
        <f>IFERROR(Q3621/P3621/IF(E3621="FUTURE",VLOOKUP(MID(I3621,2,2),Futures!$A$2:$B$12,2),1),"")</f>
        <v>51.8</v>
      </c>
      <c r="S3621" s="13" t="str">
        <f>IF(AND(H3621="TO CLOSE",P3621=0),-G3621*(M3621-R3620)*IF(E3621="FUTURE",VLOOKUP(MID(I3621,2,2),Futures!$A$2:$B$12,2),1),"")</f>
        <v/>
      </c>
    </row>
    <row r="3622" spans="1:19" x14ac:dyDescent="0.2">
      <c r="A3622">
        <f t="shared" si="170"/>
        <v>1172</v>
      </c>
      <c r="B3622" s="3">
        <v>44207</v>
      </c>
      <c r="C3622" s="3" t="str">
        <f t="shared" si="173"/>
        <v>Monday</v>
      </c>
      <c r="D3622" s="2">
        <v>0.43219907407407404</v>
      </c>
      <c r="E3622" t="s">
        <v>14</v>
      </c>
      <c r="F3622" t="s">
        <v>15</v>
      </c>
      <c r="G3622">
        <v>-1</v>
      </c>
      <c r="H3622" t="s">
        <v>20</v>
      </c>
      <c r="I3622" t="s">
        <v>90</v>
      </c>
      <c r="J3622" s="1">
        <v>44248</v>
      </c>
      <c r="L3622" t="s">
        <v>14</v>
      </c>
      <c r="M3622">
        <v>52</v>
      </c>
      <c r="N3622">
        <v>52</v>
      </c>
      <c r="O3622" t="s">
        <v>21</v>
      </c>
      <c r="P3622">
        <f t="shared" si="172"/>
        <v>-2</v>
      </c>
      <c r="Q3622" s="11">
        <f>IF(P3622=0,0,IFERROR(Q3621+G3622*M3622*IF(E3622="FUTURE",VLOOKUP(MID(I3622,2,2),Futures!$A$2:$B$12,2),1),G3622*M3622*IF(E3622="FUTURE",VLOOKUP(MID(I3622,2,2),Futures!$A$2:$B$12,2),1)))</f>
        <v>-103800</v>
      </c>
      <c r="R3622" s="12">
        <f>IFERROR(Q3622/P3622/IF(E3622="FUTURE",VLOOKUP(MID(I3622,2,2),Futures!$A$2:$B$12,2),1),"")</f>
        <v>51.9</v>
      </c>
      <c r="S3622" s="13" t="str">
        <f>IF(AND(H3622="TO CLOSE",P3622=0),-G3622*(M3622-R3621)*IF(E3622="FUTURE",VLOOKUP(MID(I3622,2,2),Futures!$A$2:$B$12,2),1),"")</f>
        <v/>
      </c>
    </row>
    <row r="3623" spans="1:19" x14ac:dyDescent="0.2">
      <c r="A3623">
        <f t="shared" si="170"/>
        <v>1172</v>
      </c>
      <c r="B3623" s="3">
        <v>44207</v>
      </c>
      <c r="C3623" s="3" t="str">
        <f t="shared" si="173"/>
        <v>Monday</v>
      </c>
      <c r="D3623" s="2">
        <v>0.6132291666666666</v>
      </c>
      <c r="E3623" t="s">
        <v>14</v>
      </c>
      <c r="F3623" t="s">
        <v>19</v>
      </c>
      <c r="G3623">
        <v>2</v>
      </c>
      <c r="H3623" t="s">
        <v>16</v>
      </c>
      <c r="I3623" t="s">
        <v>90</v>
      </c>
      <c r="J3623" s="1">
        <v>44248</v>
      </c>
      <c r="L3623" t="s">
        <v>14</v>
      </c>
      <c r="M3623">
        <v>52.13</v>
      </c>
      <c r="N3623">
        <v>52.13</v>
      </c>
      <c r="O3623" t="s">
        <v>18</v>
      </c>
      <c r="P3623">
        <f t="shared" si="172"/>
        <v>0</v>
      </c>
      <c r="Q3623" s="11">
        <f>IF(P3623=0,0,IFERROR(Q3622+G3623*M3623*IF(E3623="FUTURE",VLOOKUP(MID(I3623,2,2),Futures!$A$2:$B$12,2),1),G3623*M3623*IF(E3623="FUTURE",VLOOKUP(MID(I3623,2,2),Futures!$A$2:$B$12,2),1)))</f>
        <v>0</v>
      </c>
      <c r="R3623" s="12" t="str">
        <f>IFERROR(Q3623/P3623/IF(E3623="FUTURE",VLOOKUP(MID(I3623,2,2),Futures!$A$2:$B$12,2),1),"")</f>
        <v/>
      </c>
      <c r="S3623" s="13">
        <f>IF(AND(H3623="TO CLOSE",P3623=0),-G3623*(M3623-R3622)*IF(E3623="FUTURE",VLOOKUP(MID(I3623,2,2),Futures!$A$2:$B$12,2),1),"")</f>
        <v>-460.00000000000796</v>
      </c>
    </row>
    <row r="3624" spans="1:19" x14ac:dyDescent="0.2">
      <c r="A3624">
        <f t="shared" si="170"/>
        <v>1173</v>
      </c>
      <c r="B3624" s="3">
        <v>44207</v>
      </c>
      <c r="C3624" s="3" t="str">
        <f t="shared" si="173"/>
        <v>Monday</v>
      </c>
      <c r="D3624" s="2">
        <v>0.79464120370370372</v>
      </c>
      <c r="E3624" t="s">
        <v>14</v>
      </c>
      <c r="F3624" t="s">
        <v>15</v>
      </c>
      <c r="G3624">
        <v>-1</v>
      </c>
      <c r="H3624" t="s">
        <v>20</v>
      </c>
      <c r="I3624" t="s">
        <v>90</v>
      </c>
      <c r="J3624" s="1">
        <v>44248</v>
      </c>
      <c r="L3624" t="s">
        <v>14</v>
      </c>
      <c r="M3624">
        <v>52.14</v>
      </c>
      <c r="N3624">
        <v>52.14</v>
      </c>
      <c r="O3624" t="s">
        <v>21</v>
      </c>
      <c r="P3624">
        <f t="shared" si="172"/>
        <v>-1</v>
      </c>
      <c r="Q3624" s="11">
        <f>IF(P3624=0,0,IFERROR(Q3623+G3624*M3624*IF(E3624="FUTURE",VLOOKUP(MID(I3624,2,2),Futures!$A$2:$B$12,2),1),G3624*M3624*IF(E3624="FUTURE",VLOOKUP(MID(I3624,2,2),Futures!$A$2:$B$12,2),1)))</f>
        <v>-52140</v>
      </c>
      <c r="R3624" s="12">
        <f>IFERROR(Q3624/P3624/IF(E3624="FUTURE",VLOOKUP(MID(I3624,2,2),Futures!$A$2:$B$12,2),1),"")</f>
        <v>52.14</v>
      </c>
      <c r="S3624" s="13" t="str">
        <f>IF(AND(H3624="TO CLOSE",P3624=0),-G3624*(M3624-R3623)*IF(E3624="FUTURE",VLOOKUP(MID(I3624,2,2),Futures!$A$2:$B$12,2),1),"")</f>
        <v/>
      </c>
    </row>
    <row r="3625" spans="1:19" x14ac:dyDescent="0.2">
      <c r="A3625">
        <f t="shared" si="170"/>
        <v>1173</v>
      </c>
      <c r="B3625" s="3">
        <v>44208</v>
      </c>
      <c r="C3625" s="3" t="str">
        <f t="shared" si="173"/>
        <v>Tuesday</v>
      </c>
      <c r="D3625" s="2">
        <v>6.9456018518518514E-2</v>
      </c>
      <c r="E3625" t="s">
        <v>14</v>
      </c>
      <c r="F3625" t="s">
        <v>19</v>
      </c>
      <c r="G3625">
        <v>1</v>
      </c>
      <c r="H3625" t="s">
        <v>16</v>
      </c>
      <c r="I3625" t="s">
        <v>90</v>
      </c>
      <c r="J3625" s="1">
        <v>44248</v>
      </c>
      <c r="L3625" t="s">
        <v>14</v>
      </c>
      <c r="M3625">
        <v>52.53</v>
      </c>
      <c r="N3625">
        <v>52.53</v>
      </c>
      <c r="O3625" t="s">
        <v>18</v>
      </c>
      <c r="P3625">
        <f t="shared" si="172"/>
        <v>0</v>
      </c>
      <c r="Q3625" s="11">
        <f>IF(P3625=0,0,IFERROR(Q3624+G3625*M3625*IF(E3625="FUTURE",VLOOKUP(MID(I3625,2,2),Futures!$A$2:$B$12,2),1),G3625*M3625*IF(E3625="FUTURE",VLOOKUP(MID(I3625,2,2),Futures!$A$2:$B$12,2),1)))</f>
        <v>0</v>
      </c>
      <c r="R3625" s="12" t="str">
        <f>IFERROR(Q3625/P3625/IF(E3625="FUTURE",VLOOKUP(MID(I3625,2,2),Futures!$A$2:$B$12,2),1),"")</f>
        <v/>
      </c>
      <c r="S3625" s="13">
        <f>IF(AND(H3625="TO CLOSE",P3625=0),-G3625*(M3625-R3624)*IF(E3625="FUTURE",VLOOKUP(MID(I3625,2,2),Futures!$A$2:$B$12,2),1),"")</f>
        <v>-390.00000000000057</v>
      </c>
    </row>
    <row r="3626" spans="1:19" x14ac:dyDescent="0.2">
      <c r="A3626">
        <f t="shared" si="170"/>
        <v>1174</v>
      </c>
      <c r="B3626" s="3">
        <v>44208</v>
      </c>
      <c r="C3626" s="3" t="str">
        <f t="shared" si="173"/>
        <v>Tuesday</v>
      </c>
      <c r="D3626" s="2">
        <v>0.36550925925925926</v>
      </c>
      <c r="E3626" t="s">
        <v>14</v>
      </c>
      <c r="F3626" t="s">
        <v>19</v>
      </c>
      <c r="G3626">
        <v>1</v>
      </c>
      <c r="H3626" t="s">
        <v>20</v>
      </c>
      <c r="I3626" t="s">
        <v>90</v>
      </c>
      <c r="J3626" s="1">
        <v>44248</v>
      </c>
      <c r="L3626" t="s">
        <v>14</v>
      </c>
      <c r="M3626">
        <v>52.87</v>
      </c>
      <c r="N3626">
        <v>52.87</v>
      </c>
      <c r="O3626" t="s">
        <v>21</v>
      </c>
      <c r="P3626">
        <f t="shared" si="172"/>
        <v>1</v>
      </c>
      <c r="Q3626" s="11">
        <f>IF(P3626=0,0,IFERROR(Q3625+G3626*M3626*IF(E3626="FUTURE",VLOOKUP(MID(I3626,2,2),Futures!$A$2:$B$12,2),1),G3626*M3626*IF(E3626="FUTURE",VLOOKUP(MID(I3626,2,2),Futures!$A$2:$B$12,2),1)))</f>
        <v>52870</v>
      </c>
      <c r="R3626" s="12">
        <f>IFERROR(Q3626/P3626/IF(E3626="FUTURE",VLOOKUP(MID(I3626,2,2),Futures!$A$2:$B$12,2),1),"")</f>
        <v>52.87</v>
      </c>
      <c r="S3626" s="13" t="str">
        <f>IF(AND(H3626="TO CLOSE",P3626=0),-G3626*(M3626-R3625)*IF(E3626="FUTURE",VLOOKUP(MID(I3626,2,2),Futures!$A$2:$B$12,2),1),"")</f>
        <v/>
      </c>
    </row>
    <row r="3627" spans="1:19" x14ac:dyDescent="0.2">
      <c r="A3627">
        <f t="shared" si="170"/>
        <v>1174</v>
      </c>
      <c r="B3627" s="3">
        <v>44208</v>
      </c>
      <c r="C3627" s="3" t="str">
        <f t="shared" si="173"/>
        <v>Tuesday</v>
      </c>
      <c r="D3627" s="2">
        <v>0.37299768518518522</v>
      </c>
      <c r="E3627" t="s">
        <v>14</v>
      </c>
      <c r="F3627" t="s">
        <v>15</v>
      </c>
      <c r="G3627">
        <v>-1</v>
      </c>
      <c r="H3627" t="s">
        <v>16</v>
      </c>
      <c r="I3627" t="s">
        <v>90</v>
      </c>
      <c r="J3627" s="1">
        <v>44248</v>
      </c>
      <c r="L3627" t="s">
        <v>14</v>
      </c>
      <c r="M3627">
        <v>52.76</v>
      </c>
      <c r="N3627">
        <v>52.76</v>
      </c>
      <c r="O3627" t="s">
        <v>18</v>
      </c>
      <c r="P3627">
        <f t="shared" si="172"/>
        <v>0</v>
      </c>
      <c r="Q3627" s="11">
        <f>IF(P3627=0,0,IFERROR(Q3626+G3627*M3627*IF(E3627="FUTURE",VLOOKUP(MID(I3627,2,2),Futures!$A$2:$B$12,2),1),G3627*M3627*IF(E3627="FUTURE",VLOOKUP(MID(I3627,2,2),Futures!$A$2:$B$12,2),1)))</f>
        <v>0</v>
      </c>
      <c r="R3627" s="12" t="str">
        <f>IFERROR(Q3627/P3627/IF(E3627="FUTURE",VLOOKUP(MID(I3627,2,2),Futures!$A$2:$B$12,2),1),"")</f>
        <v/>
      </c>
      <c r="S3627" s="13">
        <f>IF(AND(H3627="TO CLOSE",P3627=0),-G3627*(M3627-R3626)*IF(E3627="FUTURE",VLOOKUP(MID(I3627,2,2),Futures!$A$2:$B$12,2),1),"")</f>
        <v>-109.99999999999943</v>
      </c>
    </row>
    <row r="3628" spans="1:19" x14ac:dyDescent="0.2">
      <c r="A3628">
        <f t="shared" si="170"/>
        <v>1175</v>
      </c>
      <c r="B3628" s="3">
        <v>44208</v>
      </c>
      <c r="C3628" s="3" t="str">
        <f t="shared" si="173"/>
        <v>Tuesday</v>
      </c>
      <c r="D3628" s="2">
        <v>0.38222222222222224</v>
      </c>
      <c r="E3628" t="s">
        <v>14</v>
      </c>
      <c r="F3628" t="s">
        <v>19</v>
      </c>
      <c r="G3628">
        <v>1</v>
      </c>
      <c r="H3628" t="s">
        <v>20</v>
      </c>
      <c r="I3628" t="s">
        <v>90</v>
      </c>
      <c r="J3628" s="1">
        <v>44248</v>
      </c>
      <c r="L3628" t="s">
        <v>14</v>
      </c>
      <c r="M3628">
        <v>52.81</v>
      </c>
      <c r="N3628">
        <v>52.81</v>
      </c>
      <c r="O3628" t="s">
        <v>21</v>
      </c>
      <c r="P3628">
        <f t="shared" si="172"/>
        <v>1</v>
      </c>
      <c r="Q3628" s="11">
        <f>IF(P3628=0,0,IFERROR(Q3627+G3628*M3628*IF(E3628="FUTURE",VLOOKUP(MID(I3628,2,2),Futures!$A$2:$B$12,2),1),G3628*M3628*IF(E3628="FUTURE",VLOOKUP(MID(I3628,2,2),Futures!$A$2:$B$12,2),1)))</f>
        <v>52810</v>
      </c>
      <c r="R3628" s="12">
        <f>IFERROR(Q3628/P3628/IF(E3628="FUTURE",VLOOKUP(MID(I3628,2,2),Futures!$A$2:$B$12,2),1),"")</f>
        <v>52.81</v>
      </c>
      <c r="S3628" s="13" t="str">
        <f>IF(AND(H3628="TO CLOSE",P3628=0),-G3628*(M3628-R3627)*IF(E3628="FUTURE",VLOOKUP(MID(I3628,2,2),Futures!$A$2:$B$12,2),1),"")</f>
        <v/>
      </c>
    </row>
    <row r="3629" spans="1:19" x14ac:dyDescent="0.2">
      <c r="A3629">
        <f t="shared" si="170"/>
        <v>1175</v>
      </c>
      <c r="B3629" s="3">
        <v>44208</v>
      </c>
      <c r="C3629" s="3" t="str">
        <f t="shared" si="173"/>
        <v>Tuesday</v>
      </c>
      <c r="D3629" s="2">
        <v>0.38894675925925926</v>
      </c>
      <c r="E3629" t="s">
        <v>14</v>
      </c>
      <c r="F3629" t="s">
        <v>15</v>
      </c>
      <c r="G3629">
        <v>-1</v>
      </c>
      <c r="H3629" t="s">
        <v>16</v>
      </c>
      <c r="I3629" t="s">
        <v>90</v>
      </c>
      <c r="J3629" s="1">
        <v>44248</v>
      </c>
      <c r="L3629" t="s">
        <v>14</v>
      </c>
      <c r="M3629">
        <v>52.84</v>
      </c>
      <c r="N3629">
        <v>52.84</v>
      </c>
      <c r="O3629" t="s">
        <v>21</v>
      </c>
      <c r="P3629">
        <f t="shared" si="172"/>
        <v>0</v>
      </c>
      <c r="Q3629" s="11">
        <f>IF(P3629=0,0,IFERROR(Q3628+G3629*M3629*IF(E3629="FUTURE",VLOOKUP(MID(I3629,2,2),Futures!$A$2:$B$12,2),1),G3629*M3629*IF(E3629="FUTURE",VLOOKUP(MID(I3629,2,2),Futures!$A$2:$B$12,2),1)))</f>
        <v>0</v>
      </c>
      <c r="R3629" s="12" t="str">
        <f>IFERROR(Q3629/P3629/IF(E3629="FUTURE",VLOOKUP(MID(I3629,2,2),Futures!$A$2:$B$12,2),1),"")</f>
        <v/>
      </c>
      <c r="S3629" s="13">
        <f>IF(AND(H3629="TO CLOSE",P3629=0),-G3629*(M3629-R3628)*IF(E3629="FUTURE",VLOOKUP(MID(I3629,2,2),Futures!$A$2:$B$12,2),1),"")</f>
        <v>30.000000000001137</v>
      </c>
    </row>
    <row r="3630" spans="1:19" x14ac:dyDescent="0.2">
      <c r="A3630">
        <f t="shared" si="170"/>
        <v>1176</v>
      </c>
      <c r="B3630" s="3">
        <v>44208</v>
      </c>
      <c r="C3630" s="3" t="str">
        <f t="shared" si="173"/>
        <v>Tuesday</v>
      </c>
      <c r="D3630" s="2">
        <v>0.40487268518518515</v>
      </c>
      <c r="E3630" t="s">
        <v>14</v>
      </c>
      <c r="F3630" t="s">
        <v>19</v>
      </c>
      <c r="G3630">
        <v>1</v>
      </c>
      <c r="H3630" t="s">
        <v>20</v>
      </c>
      <c r="I3630" t="s">
        <v>90</v>
      </c>
      <c r="J3630" s="1">
        <v>44248</v>
      </c>
      <c r="L3630" t="s">
        <v>14</v>
      </c>
      <c r="M3630">
        <v>52.71</v>
      </c>
      <c r="N3630">
        <v>52.71</v>
      </c>
      <c r="O3630" t="s">
        <v>21</v>
      </c>
      <c r="P3630">
        <f t="shared" si="172"/>
        <v>1</v>
      </c>
      <c r="Q3630" s="11">
        <f>IF(P3630=0,0,IFERROR(Q3629+G3630*M3630*IF(E3630="FUTURE",VLOOKUP(MID(I3630,2,2),Futures!$A$2:$B$12,2),1),G3630*M3630*IF(E3630="FUTURE",VLOOKUP(MID(I3630,2,2),Futures!$A$2:$B$12,2),1)))</f>
        <v>52710</v>
      </c>
      <c r="R3630" s="12">
        <f>IFERROR(Q3630/P3630/IF(E3630="FUTURE",VLOOKUP(MID(I3630,2,2),Futures!$A$2:$B$12,2),1),"")</f>
        <v>52.71</v>
      </c>
      <c r="S3630" s="13" t="str">
        <f>IF(AND(H3630="TO CLOSE",P3630=0),-G3630*(M3630-R3629)*IF(E3630="FUTURE",VLOOKUP(MID(I3630,2,2),Futures!$A$2:$B$12,2),1),"")</f>
        <v/>
      </c>
    </row>
    <row r="3631" spans="1:19" x14ac:dyDescent="0.2">
      <c r="A3631">
        <f t="shared" si="170"/>
        <v>1176</v>
      </c>
      <c r="B3631" s="3">
        <v>44208</v>
      </c>
      <c r="C3631" s="3" t="str">
        <f t="shared" si="173"/>
        <v>Tuesday</v>
      </c>
      <c r="D3631" s="2">
        <v>0.40528935185185189</v>
      </c>
      <c r="E3631" t="s">
        <v>14</v>
      </c>
      <c r="F3631" t="s">
        <v>15</v>
      </c>
      <c r="G3631">
        <v>-1</v>
      </c>
      <c r="H3631" t="s">
        <v>16</v>
      </c>
      <c r="I3631" t="s">
        <v>90</v>
      </c>
      <c r="J3631" s="1">
        <v>44248</v>
      </c>
      <c r="L3631" t="s">
        <v>14</v>
      </c>
      <c r="M3631">
        <v>52.6</v>
      </c>
      <c r="N3631">
        <v>52.6</v>
      </c>
      <c r="O3631" t="s">
        <v>18</v>
      </c>
      <c r="P3631">
        <f t="shared" si="172"/>
        <v>0</v>
      </c>
      <c r="Q3631" s="11">
        <f>IF(P3631=0,0,IFERROR(Q3630+G3631*M3631*IF(E3631="FUTURE",VLOOKUP(MID(I3631,2,2),Futures!$A$2:$B$12,2),1),G3631*M3631*IF(E3631="FUTURE",VLOOKUP(MID(I3631,2,2),Futures!$A$2:$B$12,2),1)))</f>
        <v>0</v>
      </c>
      <c r="R3631" s="12" t="str">
        <f>IFERROR(Q3631/P3631/IF(E3631="FUTURE",VLOOKUP(MID(I3631,2,2),Futures!$A$2:$B$12,2),1),"")</f>
        <v/>
      </c>
      <c r="S3631" s="13">
        <f>IF(AND(H3631="TO CLOSE",P3631=0),-G3631*(M3631-R3630)*IF(E3631="FUTURE",VLOOKUP(MID(I3631,2,2),Futures!$A$2:$B$12,2),1),"")</f>
        <v>-109.99999999999943</v>
      </c>
    </row>
    <row r="3632" spans="1:19" x14ac:dyDescent="0.2">
      <c r="A3632">
        <f t="shared" si="170"/>
        <v>1177</v>
      </c>
      <c r="B3632" s="3">
        <v>44208</v>
      </c>
      <c r="C3632" s="3" t="str">
        <f t="shared" si="173"/>
        <v>Tuesday</v>
      </c>
      <c r="D3632" s="2">
        <v>0.41282407407407407</v>
      </c>
      <c r="E3632" t="s">
        <v>14</v>
      </c>
      <c r="F3632" t="s">
        <v>19</v>
      </c>
      <c r="G3632">
        <v>1</v>
      </c>
      <c r="H3632" t="s">
        <v>20</v>
      </c>
      <c r="I3632" t="s">
        <v>90</v>
      </c>
      <c r="J3632" s="1">
        <v>44248</v>
      </c>
      <c r="L3632" t="s">
        <v>14</v>
      </c>
      <c r="M3632">
        <v>52.59</v>
      </c>
      <c r="N3632">
        <v>52.59</v>
      </c>
      <c r="O3632" t="s">
        <v>21</v>
      </c>
      <c r="P3632">
        <f t="shared" si="172"/>
        <v>1</v>
      </c>
      <c r="Q3632" s="11">
        <f>IF(P3632=0,0,IFERROR(Q3631+G3632*M3632*IF(E3632="FUTURE",VLOOKUP(MID(I3632,2,2),Futures!$A$2:$B$12,2),1),G3632*M3632*IF(E3632="FUTURE",VLOOKUP(MID(I3632,2,2),Futures!$A$2:$B$12,2),1)))</f>
        <v>52590</v>
      </c>
      <c r="R3632" s="12">
        <f>IFERROR(Q3632/P3632/IF(E3632="FUTURE",VLOOKUP(MID(I3632,2,2),Futures!$A$2:$B$12,2),1),"")</f>
        <v>52.59</v>
      </c>
      <c r="S3632" s="13" t="str">
        <f>IF(AND(H3632="TO CLOSE",P3632=0),-G3632*(M3632-R3631)*IF(E3632="FUTURE",VLOOKUP(MID(I3632,2,2),Futures!$A$2:$B$12,2),1),"")</f>
        <v/>
      </c>
    </row>
    <row r="3633" spans="1:19" x14ac:dyDescent="0.2">
      <c r="A3633">
        <f t="shared" si="170"/>
        <v>1177</v>
      </c>
      <c r="B3633" s="3">
        <v>44208</v>
      </c>
      <c r="C3633" s="3" t="str">
        <f t="shared" si="173"/>
        <v>Tuesday</v>
      </c>
      <c r="D3633" s="2">
        <v>0.41748842592592594</v>
      </c>
      <c r="E3633" t="s">
        <v>14</v>
      </c>
      <c r="F3633" t="s">
        <v>15</v>
      </c>
      <c r="G3633">
        <v>-1</v>
      </c>
      <c r="H3633" t="s">
        <v>16</v>
      </c>
      <c r="I3633" t="s">
        <v>90</v>
      </c>
      <c r="J3633" s="1">
        <v>44248</v>
      </c>
      <c r="L3633" t="s">
        <v>14</v>
      </c>
      <c r="M3633">
        <v>52.61</v>
      </c>
      <c r="N3633">
        <v>52.61</v>
      </c>
      <c r="O3633" t="s">
        <v>21</v>
      </c>
      <c r="P3633">
        <f t="shared" si="172"/>
        <v>0</v>
      </c>
      <c r="Q3633" s="11">
        <f>IF(P3633=0,0,IFERROR(Q3632+G3633*M3633*IF(E3633="FUTURE",VLOOKUP(MID(I3633,2,2),Futures!$A$2:$B$12,2),1),G3633*M3633*IF(E3633="FUTURE",VLOOKUP(MID(I3633,2,2),Futures!$A$2:$B$12,2),1)))</f>
        <v>0</v>
      </c>
      <c r="R3633" s="12" t="str">
        <f>IFERROR(Q3633/P3633/IF(E3633="FUTURE",VLOOKUP(MID(I3633,2,2),Futures!$A$2:$B$12,2),1),"")</f>
        <v/>
      </c>
      <c r="S3633" s="13">
        <f>IF(AND(H3633="TO CLOSE",P3633=0),-G3633*(M3633-R3632)*IF(E3633="FUTURE",VLOOKUP(MID(I3633,2,2),Futures!$A$2:$B$12,2),1),"")</f>
        <v>19.999999999996021</v>
      </c>
    </row>
    <row r="3634" spans="1:19" x14ac:dyDescent="0.2">
      <c r="A3634">
        <f t="shared" si="170"/>
        <v>1178</v>
      </c>
      <c r="B3634" s="3">
        <v>44208</v>
      </c>
      <c r="C3634" s="3" t="str">
        <f t="shared" si="173"/>
        <v>Tuesday</v>
      </c>
      <c r="D3634" s="2">
        <v>0.46263888888888888</v>
      </c>
      <c r="E3634" t="s">
        <v>14</v>
      </c>
      <c r="F3634" t="s">
        <v>15</v>
      </c>
      <c r="G3634">
        <v>-2</v>
      </c>
      <c r="H3634" t="s">
        <v>20</v>
      </c>
      <c r="I3634" t="s">
        <v>90</v>
      </c>
      <c r="J3634" s="1">
        <v>44248</v>
      </c>
      <c r="L3634" t="s">
        <v>14</v>
      </c>
      <c r="M3634">
        <v>53</v>
      </c>
      <c r="N3634">
        <v>53</v>
      </c>
      <c r="O3634" t="s">
        <v>24</v>
      </c>
      <c r="P3634">
        <f t="shared" si="172"/>
        <v>-2</v>
      </c>
      <c r="Q3634" s="11">
        <f>IF(P3634=0,0,IFERROR(Q3633+G3634*M3634*IF(E3634="FUTURE",VLOOKUP(MID(I3634,2,2),Futures!$A$2:$B$12,2),1),G3634*M3634*IF(E3634="FUTURE",VLOOKUP(MID(I3634,2,2),Futures!$A$2:$B$12,2),1)))</f>
        <v>-106000</v>
      </c>
      <c r="R3634" s="12">
        <f>IFERROR(Q3634/P3634/IF(E3634="FUTURE",VLOOKUP(MID(I3634,2,2),Futures!$A$2:$B$12,2),1),"")</f>
        <v>53</v>
      </c>
      <c r="S3634" s="13" t="str">
        <f>IF(AND(H3634="TO CLOSE",P3634=0),-G3634*(M3634-R3633)*IF(E3634="FUTURE",VLOOKUP(MID(I3634,2,2),Futures!$A$2:$B$12,2),1),"")</f>
        <v/>
      </c>
    </row>
    <row r="3635" spans="1:19" x14ac:dyDescent="0.2">
      <c r="A3635">
        <f t="shared" si="170"/>
        <v>1178</v>
      </c>
      <c r="B3635" s="3">
        <v>44208</v>
      </c>
      <c r="C3635" s="3" t="str">
        <f t="shared" si="173"/>
        <v>Tuesday</v>
      </c>
      <c r="D3635" s="2">
        <v>0.46827546296296302</v>
      </c>
      <c r="E3635" t="s">
        <v>14</v>
      </c>
      <c r="F3635" t="s">
        <v>19</v>
      </c>
      <c r="G3635">
        <v>1</v>
      </c>
      <c r="H3635" t="s">
        <v>16</v>
      </c>
      <c r="I3635" t="s">
        <v>90</v>
      </c>
      <c r="J3635" s="1">
        <v>44248</v>
      </c>
      <c r="L3635" t="s">
        <v>14</v>
      </c>
      <c r="M3635">
        <v>52.99</v>
      </c>
      <c r="N3635">
        <v>52.99</v>
      </c>
      <c r="O3635" t="s">
        <v>21</v>
      </c>
      <c r="P3635">
        <f t="shared" si="172"/>
        <v>-1</v>
      </c>
      <c r="Q3635" s="11">
        <f>IF(P3635=0,0,IFERROR(Q3634+G3635*M3635*IF(E3635="FUTURE",VLOOKUP(MID(I3635,2,2),Futures!$A$2:$B$12,2),1),G3635*M3635*IF(E3635="FUTURE",VLOOKUP(MID(I3635,2,2),Futures!$A$2:$B$12,2),1)))</f>
        <v>-53010</v>
      </c>
      <c r="R3635" s="12">
        <f>IFERROR(Q3635/P3635/IF(E3635="FUTURE",VLOOKUP(MID(I3635,2,2),Futures!$A$2:$B$12,2),1),"")</f>
        <v>53.01</v>
      </c>
      <c r="S3635" s="13" t="str">
        <f>IF(AND(H3635="TO CLOSE",P3635=0),-G3635*(M3635-R3634)*IF(E3635="FUTURE",VLOOKUP(MID(I3635,2,2),Futures!$A$2:$B$12,2),1),"")</f>
        <v/>
      </c>
    </row>
    <row r="3636" spans="1:19" x14ac:dyDescent="0.2">
      <c r="A3636">
        <f t="shared" si="170"/>
        <v>1178</v>
      </c>
      <c r="B3636" s="3">
        <v>44208</v>
      </c>
      <c r="C3636" s="3" t="str">
        <f t="shared" si="173"/>
        <v>Tuesday</v>
      </c>
      <c r="D3636" s="2">
        <v>0.50432870370370375</v>
      </c>
      <c r="E3636" t="s">
        <v>14</v>
      </c>
      <c r="F3636" t="s">
        <v>19</v>
      </c>
      <c r="G3636">
        <v>1</v>
      </c>
      <c r="H3636" t="s">
        <v>16</v>
      </c>
      <c r="I3636" t="s">
        <v>90</v>
      </c>
      <c r="J3636" s="1">
        <v>44248</v>
      </c>
      <c r="L3636" t="s">
        <v>14</v>
      </c>
      <c r="M3636">
        <v>52.97</v>
      </c>
      <c r="N3636">
        <v>52.97</v>
      </c>
      <c r="O3636" t="s">
        <v>24</v>
      </c>
      <c r="P3636">
        <f t="shared" si="172"/>
        <v>0</v>
      </c>
      <c r="Q3636" s="11">
        <f>IF(P3636=0,0,IFERROR(Q3635+G3636*M3636*IF(E3636="FUTURE",VLOOKUP(MID(I3636,2,2),Futures!$A$2:$B$12,2),1),G3636*M3636*IF(E3636="FUTURE",VLOOKUP(MID(I3636,2,2),Futures!$A$2:$B$12,2),1)))</f>
        <v>0</v>
      </c>
      <c r="R3636" s="12" t="str">
        <f>IFERROR(Q3636/P3636/IF(E3636="FUTURE",VLOOKUP(MID(I3636,2,2),Futures!$A$2:$B$12,2),1),"")</f>
        <v/>
      </c>
      <c r="S3636" s="13">
        <f>IF(AND(H3636="TO CLOSE",P3636=0),-G3636*(M3636-R3635)*IF(E3636="FUTURE",VLOOKUP(MID(I3636,2,2),Futures!$A$2:$B$12,2),1),"")</f>
        <v>39.999999999999147</v>
      </c>
    </row>
    <row r="3637" spans="1:19" x14ac:dyDescent="0.2">
      <c r="A3637">
        <f t="shared" si="170"/>
        <v>1179</v>
      </c>
      <c r="B3637" s="3">
        <v>44208</v>
      </c>
      <c r="C3637" s="3" t="str">
        <f t="shared" si="173"/>
        <v>Tuesday</v>
      </c>
      <c r="D3637" s="2">
        <v>0.3741666666666667</v>
      </c>
      <c r="E3637" t="s">
        <v>14</v>
      </c>
      <c r="F3637" t="s">
        <v>15</v>
      </c>
      <c r="G3637">
        <v>-1</v>
      </c>
      <c r="H3637" t="s">
        <v>20</v>
      </c>
      <c r="I3637" t="s">
        <v>89</v>
      </c>
      <c r="J3637" s="1">
        <v>44276</v>
      </c>
      <c r="L3637" t="s">
        <v>14</v>
      </c>
      <c r="M3637">
        <v>3790.5</v>
      </c>
      <c r="N3637">
        <v>3790.5</v>
      </c>
      <c r="O3637" t="s">
        <v>21</v>
      </c>
      <c r="P3637">
        <f t="shared" si="172"/>
        <v>-1</v>
      </c>
      <c r="Q3637" s="11">
        <f>IF(P3637=0,0,IFERROR(Q3636+G3637*M3637*IF(E3637="FUTURE",VLOOKUP(MID(I3637,2,2),Futures!$A$2:$B$12,2),1),G3637*M3637*IF(E3637="FUTURE",VLOOKUP(MID(I3637,2,2),Futures!$A$2:$B$12,2),1)))</f>
        <v>-189525</v>
      </c>
      <c r="R3637" s="12">
        <f>IFERROR(Q3637/P3637/IF(E3637="FUTURE",VLOOKUP(MID(I3637,2,2),Futures!$A$2:$B$12,2),1),"")</f>
        <v>3790.5</v>
      </c>
      <c r="S3637" s="13" t="str">
        <f>IF(AND(H3637="TO CLOSE",P3637=0),-G3637*(M3637-R3636)*IF(E3637="FUTURE",VLOOKUP(MID(I3637,2,2),Futures!$A$2:$B$12,2),1),"")</f>
        <v/>
      </c>
    </row>
    <row r="3638" spans="1:19" x14ac:dyDescent="0.2">
      <c r="A3638">
        <f t="shared" si="170"/>
        <v>1179</v>
      </c>
      <c r="B3638" s="3">
        <v>44208</v>
      </c>
      <c r="C3638" s="3" t="str">
        <f t="shared" si="173"/>
        <v>Tuesday</v>
      </c>
      <c r="D3638" s="2">
        <v>0.38145833333333329</v>
      </c>
      <c r="E3638" t="s">
        <v>14</v>
      </c>
      <c r="F3638" t="s">
        <v>19</v>
      </c>
      <c r="G3638">
        <v>1</v>
      </c>
      <c r="H3638" t="s">
        <v>16</v>
      </c>
      <c r="I3638" t="s">
        <v>89</v>
      </c>
      <c r="J3638" s="1">
        <v>44276</v>
      </c>
      <c r="L3638" t="s">
        <v>14</v>
      </c>
      <c r="M3638">
        <v>3790.25</v>
      </c>
      <c r="N3638">
        <v>3790.25</v>
      </c>
      <c r="O3638" t="s">
        <v>18</v>
      </c>
      <c r="P3638">
        <f t="shared" si="172"/>
        <v>0</v>
      </c>
      <c r="Q3638" s="11">
        <f>IF(P3638=0,0,IFERROR(Q3637+G3638*M3638*IF(E3638="FUTURE",VLOOKUP(MID(I3638,2,2),Futures!$A$2:$B$12,2),1),G3638*M3638*IF(E3638="FUTURE",VLOOKUP(MID(I3638,2,2),Futures!$A$2:$B$12,2),1)))</f>
        <v>0</v>
      </c>
      <c r="R3638" s="12" t="str">
        <f>IFERROR(Q3638/P3638/IF(E3638="FUTURE",VLOOKUP(MID(I3638,2,2),Futures!$A$2:$B$12,2),1),"")</f>
        <v/>
      </c>
      <c r="S3638" s="13">
        <f>IF(AND(H3638="TO CLOSE",P3638=0),-G3638*(M3638-R3637)*IF(E3638="FUTURE",VLOOKUP(MID(I3638,2,2),Futures!$A$2:$B$12,2),1),"")</f>
        <v>12.5</v>
      </c>
    </row>
    <row r="3639" spans="1:19" x14ac:dyDescent="0.2">
      <c r="A3639">
        <f t="shared" si="170"/>
        <v>1180</v>
      </c>
      <c r="B3639" s="3">
        <v>44208</v>
      </c>
      <c r="C3639" s="3" t="str">
        <f t="shared" si="173"/>
        <v>Tuesday</v>
      </c>
      <c r="D3639" s="2">
        <v>0.42427083333333332</v>
      </c>
      <c r="E3639" t="s">
        <v>14</v>
      </c>
      <c r="F3639" t="s">
        <v>19</v>
      </c>
      <c r="G3639">
        <v>1</v>
      </c>
      <c r="H3639" t="s">
        <v>20</v>
      </c>
      <c r="I3639" t="s">
        <v>89</v>
      </c>
      <c r="J3639" s="1">
        <v>44276</v>
      </c>
      <c r="L3639" t="s">
        <v>14</v>
      </c>
      <c r="M3639">
        <v>3793.5</v>
      </c>
      <c r="N3639">
        <v>3793.5</v>
      </c>
      <c r="O3639" t="s">
        <v>21</v>
      </c>
      <c r="P3639">
        <f t="shared" si="172"/>
        <v>1</v>
      </c>
      <c r="Q3639" s="11">
        <f>IF(P3639=0,0,IFERROR(Q3638+G3639*M3639*IF(E3639="FUTURE",VLOOKUP(MID(I3639,2,2),Futures!$A$2:$B$12,2),1),G3639*M3639*IF(E3639="FUTURE",VLOOKUP(MID(I3639,2,2),Futures!$A$2:$B$12,2),1)))</f>
        <v>189675</v>
      </c>
      <c r="R3639" s="12">
        <f>IFERROR(Q3639/P3639/IF(E3639="FUTURE",VLOOKUP(MID(I3639,2,2),Futures!$A$2:$B$12,2),1),"")</f>
        <v>3793.5</v>
      </c>
      <c r="S3639" s="13" t="str">
        <f>IF(AND(H3639="TO CLOSE",P3639=0),-G3639*(M3639-R3638)*IF(E3639="FUTURE",VLOOKUP(MID(I3639,2,2),Futures!$A$2:$B$12,2),1),"")</f>
        <v/>
      </c>
    </row>
    <row r="3640" spans="1:19" x14ac:dyDescent="0.2">
      <c r="A3640">
        <f t="shared" si="170"/>
        <v>1180</v>
      </c>
      <c r="B3640" s="3">
        <v>44208</v>
      </c>
      <c r="C3640" s="3" t="str">
        <f t="shared" si="173"/>
        <v>Tuesday</v>
      </c>
      <c r="D3640" s="2">
        <v>0.4255902777777778</v>
      </c>
      <c r="E3640" t="s">
        <v>14</v>
      </c>
      <c r="F3640" t="s">
        <v>15</v>
      </c>
      <c r="G3640">
        <v>-1</v>
      </c>
      <c r="H3640" t="s">
        <v>16</v>
      </c>
      <c r="I3640" t="s">
        <v>89</v>
      </c>
      <c r="J3640" s="1">
        <v>44276</v>
      </c>
      <c r="L3640" t="s">
        <v>14</v>
      </c>
      <c r="M3640">
        <v>3794.5</v>
      </c>
      <c r="N3640">
        <v>3794.5</v>
      </c>
      <c r="O3640" t="s">
        <v>21</v>
      </c>
      <c r="P3640">
        <f t="shared" si="172"/>
        <v>0</v>
      </c>
      <c r="Q3640" s="11">
        <f>IF(P3640=0,0,IFERROR(Q3639+G3640*M3640*IF(E3640="FUTURE",VLOOKUP(MID(I3640,2,2),Futures!$A$2:$B$12,2),1),G3640*M3640*IF(E3640="FUTURE",VLOOKUP(MID(I3640,2,2),Futures!$A$2:$B$12,2),1)))</f>
        <v>0</v>
      </c>
      <c r="R3640" s="12" t="str">
        <f>IFERROR(Q3640/P3640/IF(E3640="FUTURE",VLOOKUP(MID(I3640,2,2),Futures!$A$2:$B$12,2),1),"")</f>
        <v/>
      </c>
      <c r="S3640" s="13">
        <f>IF(AND(H3640="TO CLOSE",P3640=0),-G3640*(M3640-R3639)*IF(E3640="FUTURE",VLOOKUP(MID(I3640,2,2),Futures!$A$2:$B$12,2),1),"")</f>
        <v>50</v>
      </c>
    </row>
    <row r="3641" spans="1:19" x14ac:dyDescent="0.2">
      <c r="A3641">
        <f t="shared" si="170"/>
        <v>1181</v>
      </c>
      <c r="B3641" s="3">
        <v>44208</v>
      </c>
      <c r="C3641" s="3" t="str">
        <f t="shared" si="173"/>
        <v>Tuesday</v>
      </c>
      <c r="D3641" s="2">
        <v>0.4776157407407407</v>
      </c>
      <c r="E3641" t="s">
        <v>14</v>
      </c>
      <c r="F3641" t="s">
        <v>15</v>
      </c>
      <c r="G3641">
        <v>-1</v>
      </c>
      <c r="H3641" t="s">
        <v>20</v>
      </c>
      <c r="I3641" t="s">
        <v>89</v>
      </c>
      <c r="J3641" s="1">
        <v>44276</v>
      </c>
      <c r="L3641" t="s">
        <v>14</v>
      </c>
      <c r="M3641">
        <v>3795.25</v>
      </c>
      <c r="N3641">
        <v>3795.25</v>
      </c>
      <c r="O3641" t="s">
        <v>21</v>
      </c>
      <c r="P3641">
        <f t="shared" si="172"/>
        <v>-1</v>
      </c>
      <c r="Q3641" s="11">
        <f>IF(P3641=0,0,IFERROR(Q3640+G3641*M3641*IF(E3641="FUTURE",VLOOKUP(MID(I3641,2,2),Futures!$A$2:$B$12,2),1),G3641*M3641*IF(E3641="FUTURE",VLOOKUP(MID(I3641,2,2),Futures!$A$2:$B$12,2),1)))</f>
        <v>-189762.5</v>
      </c>
      <c r="R3641" s="12">
        <f>IFERROR(Q3641/P3641/IF(E3641="FUTURE",VLOOKUP(MID(I3641,2,2),Futures!$A$2:$B$12,2),1),"")</f>
        <v>3795.25</v>
      </c>
      <c r="S3641" s="13" t="str">
        <f>IF(AND(H3641="TO CLOSE",P3641=0),-G3641*(M3641-R3640)*IF(E3641="FUTURE",VLOOKUP(MID(I3641,2,2),Futures!$A$2:$B$12,2),1),"")</f>
        <v/>
      </c>
    </row>
    <row r="3642" spans="1:19" x14ac:dyDescent="0.2">
      <c r="A3642">
        <f t="shared" si="170"/>
        <v>1181</v>
      </c>
      <c r="B3642" s="3">
        <v>44208</v>
      </c>
      <c r="C3642" s="3" t="str">
        <f t="shared" si="173"/>
        <v>Tuesday</v>
      </c>
      <c r="D3642" s="2">
        <v>0.47848379629629628</v>
      </c>
      <c r="E3642" t="s">
        <v>14</v>
      </c>
      <c r="F3642" t="s">
        <v>19</v>
      </c>
      <c r="G3642">
        <v>1</v>
      </c>
      <c r="H3642" t="s">
        <v>16</v>
      </c>
      <c r="I3642" t="s">
        <v>89</v>
      </c>
      <c r="J3642" s="1">
        <v>44276</v>
      </c>
      <c r="L3642" t="s">
        <v>14</v>
      </c>
      <c r="M3642">
        <v>3795</v>
      </c>
      <c r="N3642">
        <v>3795</v>
      </c>
      <c r="O3642" t="s">
        <v>21</v>
      </c>
      <c r="P3642">
        <f t="shared" si="172"/>
        <v>0</v>
      </c>
      <c r="Q3642" s="11">
        <f>IF(P3642=0,0,IFERROR(Q3641+G3642*M3642*IF(E3642="FUTURE",VLOOKUP(MID(I3642,2,2),Futures!$A$2:$B$12,2),1),G3642*M3642*IF(E3642="FUTURE",VLOOKUP(MID(I3642,2,2),Futures!$A$2:$B$12,2),1)))</f>
        <v>0</v>
      </c>
      <c r="R3642" s="12" t="str">
        <f>IFERROR(Q3642/P3642/IF(E3642="FUTURE",VLOOKUP(MID(I3642,2,2),Futures!$A$2:$B$12,2),1),"")</f>
        <v/>
      </c>
      <c r="S3642" s="13">
        <f>IF(AND(H3642="TO CLOSE",P3642=0),-G3642*(M3642-R3641)*IF(E3642="FUTURE",VLOOKUP(MID(I3642,2,2),Futures!$A$2:$B$12,2),1),"")</f>
        <v>12.5</v>
      </c>
    </row>
    <row r="3643" spans="1:19" x14ac:dyDescent="0.2">
      <c r="A3643">
        <f t="shared" si="170"/>
        <v>1182</v>
      </c>
      <c r="B3643" s="3">
        <v>44209</v>
      </c>
      <c r="C3643" s="3" t="str">
        <f t="shared" si="173"/>
        <v>Wednesday</v>
      </c>
      <c r="D3643" s="2">
        <v>0.38060185185185186</v>
      </c>
      <c r="E3643" t="s">
        <v>14</v>
      </c>
      <c r="F3643" t="s">
        <v>15</v>
      </c>
      <c r="G3643">
        <v>-1</v>
      </c>
      <c r="H3643" t="s">
        <v>20</v>
      </c>
      <c r="I3643" t="s">
        <v>90</v>
      </c>
      <c r="J3643" s="1">
        <v>44248</v>
      </c>
      <c r="L3643" t="s">
        <v>14</v>
      </c>
      <c r="M3643">
        <v>53.58</v>
      </c>
      <c r="N3643">
        <v>53.58</v>
      </c>
      <c r="O3643" t="s">
        <v>21</v>
      </c>
      <c r="P3643">
        <f t="shared" si="172"/>
        <v>-1</v>
      </c>
      <c r="Q3643" s="11">
        <f>IF(P3643=0,0,IFERROR(Q3642+G3643*M3643*IF(E3643="FUTURE",VLOOKUP(MID(I3643,2,2),Futures!$A$2:$B$12,2),1),G3643*M3643*IF(E3643="FUTURE",VLOOKUP(MID(I3643,2,2),Futures!$A$2:$B$12,2),1)))</f>
        <v>-53580</v>
      </c>
      <c r="R3643" s="12">
        <f>IFERROR(Q3643/P3643/IF(E3643="FUTURE",VLOOKUP(MID(I3643,2,2),Futures!$A$2:$B$12,2),1),"")</f>
        <v>53.58</v>
      </c>
      <c r="S3643" s="13" t="str">
        <f>IF(AND(H3643="TO CLOSE",P3643=0),-G3643*(M3643-R3642)*IF(E3643="FUTURE",VLOOKUP(MID(I3643,2,2),Futures!$A$2:$B$12,2),1),"")</f>
        <v/>
      </c>
    </row>
    <row r="3644" spans="1:19" x14ac:dyDescent="0.2">
      <c r="A3644">
        <f t="shared" si="170"/>
        <v>1182</v>
      </c>
      <c r="B3644" s="3">
        <v>44209</v>
      </c>
      <c r="C3644" s="3" t="str">
        <f t="shared" si="173"/>
        <v>Wednesday</v>
      </c>
      <c r="D3644" s="2">
        <v>0.38196759259259255</v>
      </c>
      <c r="E3644" t="s">
        <v>14</v>
      </c>
      <c r="F3644" t="s">
        <v>19</v>
      </c>
      <c r="G3644">
        <v>1</v>
      </c>
      <c r="H3644" t="s">
        <v>16</v>
      </c>
      <c r="I3644" t="s">
        <v>90</v>
      </c>
      <c r="J3644" s="1">
        <v>44248</v>
      </c>
      <c r="L3644" t="s">
        <v>14</v>
      </c>
      <c r="M3644">
        <v>53.46</v>
      </c>
      <c r="N3644">
        <v>53.46</v>
      </c>
      <c r="O3644" t="s">
        <v>21</v>
      </c>
      <c r="P3644">
        <f t="shared" si="172"/>
        <v>0</v>
      </c>
      <c r="Q3644" s="11">
        <f>IF(P3644=0,0,IFERROR(Q3643+G3644*M3644*IF(E3644="FUTURE",VLOOKUP(MID(I3644,2,2),Futures!$A$2:$B$12,2),1),G3644*M3644*IF(E3644="FUTURE",VLOOKUP(MID(I3644,2,2),Futures!$A$2:$B$12,2),1)))</f>
        <v>0</v>
      </c>
      <c r="R3644" s="12" t="str">
        <f>IFERROR(Q3644/P3644/IF(E3644="FUTURE",VLOOKUP(MID(I3644,2,2),Futures!$A$2:$B$12,2),1),"")</f>
        <v/>
      </c>
      <c r="S3644" s="13">
        <f>IF(AND(H3644="TO CLOSE",P3644=0),-G3644*(M3644-R3643)*IF(E3644="FUTURE",VLOOKUP(MID(I3644,2,2),Futures!$A$2:$B$12,2),1),"")</f>
        <v>119.99999999999744</v>
      </c>
    </row>
    <row r="3645" spans="1:19" x14ac:dyDescent="0.2">
      <c r="A3645">
        <f t="shared" si="170"/>
        <v>1183</v>
      </c>
      <c r="B3645" s="3">
        <v>44209</v>
      </c>
      <c r="C3645" s="3" t="str">
        <f t="shared" si="173"/>
        <v>Wednesday</v>
      </c>
      <c r="D3645" s="2">
        <v>0.39630787037037035</v>
      </c>
      <c r="E3645" t="s">
        <v>14</v>
      </c>
      <c r="F3645" t="s">
        <v>19</v>
      </c>
      <c r="G3645">
        <v>1</v>
      </c>
      <c r="H3645" t="s">
        <v>20</v>
      </c>
      <c r="I3645" t="s">
        <v>90</v>
      </c>
      <c r="J3645" s="1">
        <v>44248</v>
      </c>
      <c r="L3645" t="s">
        <v>14</v>
      </c>
      <c r="M3645">
        <v>52.89</v>
      </c>
      <c r="N3645">
        <v>52.89</v>
      </c>
      <c r="O3645" t="s">
        <v>21</v>
      </c>
      <c r="P3645">
        <f t="shared" si="172"/>
        <v>1</v>
      </c>
      <c r="Q3645" s="11">
        <f>IF(P3645=0,0,IFERROR(Q3644+G3645*M3645*IF(E3645="FUTURE",VLOOKUP(MID(I3645,2,2),Futures!$A$2:$B$12,2),1),G3645*M3645*IF(E3645="FUTURE",VLOOKUP(MID(I3645,2,2),Futures!$A$2:$B$12,2),1)))</f>
        <v>52890</v>
      </c>
      <c r="R3645" s="12">
        <f>IFERROR(Q3645/P3645/IF(E3645="FUTURE",VLOOKUP(MID(I3645,2,2),Futures!$A$2:$B$12,2),1),"")</f>
        <v>52.89</v>
      </c>
      <c r="S3645" s="13" t="str">
        <f>IF(AND(H3645="TO CLOSE",P3645=0),-G3645*(M3645-R3644)*IF(E3645="FUTURE",VLOOKUP(MID(I3645,2,2),Futures!$A$2:$B$12,2),1),"")</f>
        <v/>
      </c>
    </row>
    <row r="3646" spans="1:19" x14ac:dyDescent="0.2">
      <c r="A3646">
        <f t="shared" si="170"/>
        <v>1183</v>
      </c>
      <c r="B3646" s="3">
        <v>44209</v>
      </c>
      <c r="C3646" s="3" t="str">
        <f t="shared" si="173"/>
        <v>Wednesday</v>
      </c>
      <c r="D3646" s="2">
        <v>0.40045138888888893</v>
      </c>
      <c r="E3646" t="s">
        <v>14</v>
      </c>
      <c r="F3646" t="s">
        <v>19</v>
      </c>
      <c r="G3646">
        <v>1</v>
      </c>
      <c r="H3646" t="s">
        <v>20</v>
      </c>
      <c r="I3646" t="s">
        <v>90</v>
      </c>
      <c r="J3646" s="1">
        <v>44248</v>
      </c>
      <c r="L3646" t="s">
        <v>14</v>
      </c>
      <c r="M3646">
        <v>52.67</v>
      </c>
      <c r="N3646">
        <v>52.67</v>
      </c>
      <c r="O3646" t="s">
        <v>21</v>
      </c>
      <c r="P3646">
        <f t="shared" si="172"/>
        <v>2</v>
      </c>
      <c r="Q3646" s="11">
        <f>IF(P3646=0,0,IFERROR(Q3645+G3646*M3646*IF(E3646="FUTURE",VLOOKUP(MID(I3646,2,2),Futures!$A$2:$B$12,2),1),G3646*M3646*IF(E3646="FUTURE",VLOOKUP(MID(I3646,2,2),Futures!$A$2:$B$12,2),1)))</f>
        <v>105560</v>
      </c>
      <c r="R3646" s="12">
        <f>IFERROR(Q3646/P3646/IF(E3646="FUTURE",VLOOKUP(MID(I3646,2,2),Futures!$A$2:$B$12,2),1),"")</f>
        <v>52.78</v>
      </c>
      <c r="S3646" s="13" t="str">
        <f>IF(AND(H3646="TO CLOSE",P3646=0),-G3646*(M3646-R3645)*IF(E3646="FUTURE",VLOOKUP(MID(I3646,2,2),Futures!$A$2:$B$12,2),1),"")</f>
        <v/>
      </c>
    </row>
    <row r="3647" spans="1:19" x14ac:dyDescent="0.2">
      <c r="A3647">
        <f t="shared" si="170"/>
        <v>1183</v>
      </c>
      <c r="B3647" s="3">
        <v>44209</v>
      </c>
      <c r="C3647" s="3" t="str">
        <f t="shared" si="173"/>
        <v>Wednesday</v>
      </c>
      <c r="D3647" s="2">
        <v>0.41454861111111113</v>
      </c>
      <c r="E3647" t="s">
        <v>14</v>
      </c>
      <c r="F3647" t="s">
        <v>15</v>
      </c>
      <c r="G3647">
        <v>-1</v>
      </c>
      <c r="H3647" t="s">
        <v>16</v>
      </c>
      <c r="I3647" t="s">
        <v>90</v>
      </c>
      <c r="J3647" s="1">
        <v>44248</v>
      </c>
      <c r="L3647" t="s">
        <v>14</v>
      </c>
      <c r="M3647">
        <v>52.84</v>
      </c>
      <c r="N3647">
        <v>52.84</v>
      </c>
      <c r="O3647" t="s">
        <v>21</v>
      </c>
      <c r="P3647">
        <f t="shared" si="172"/>
        <v>1</v>
      </c>
      <c r="Q3647" s="11">
        <f>IF(P3647=0,0,IFERROR(Q3646+G3647*M3647*IF(E3647="FUTURE",VLOOKUP(MID(I3647,2,2),Futures!$A$2:$B$12,2),1),G3647*M3647*IF(E3647="FUTURE",VLOOKUP(MID(I3647,2,2),Futures!$A$2:$B$12,2),1)))</f>
        <v>52720</v>
      </c>
      <c r="R3647" s="12">
        <f>IFERROR(Q3647/P3647/IF(E3647="FUTURE",VLOOKUP(MID(I3647,2,2),Futures!$A$2:$B$12,2),1),"")</f>
        <v>52.72</v>
      </c>
      <c r="S3647" s="13" t="str">
        <f>IF(AND(H3647="TO CLOSE",P3647=0),-G3647*(M3647-R3646)*IF(E3647="FUTURE",VLOOKUP(MID(I3647,2,2),Futures!$A$2:$B$12,2),1),"")</f>
        <v/>
      </c>
    </row>
    <row r="3648" spans="1:19" x14ac:dyDescent="0.2">
      <c r="A3648">
        <f t="shared" si="170"/>
        <v>1183</v>
      </c>
      <c r="B3648" s="3">
        <v>44209</v>
      </c>
      <c r="C3648" s="3" t="str">
        <f t="shared" si="173"/>
        <v>Wednesday</v>
      </c>
      <c r="D3648" s="2">
        <v>0.4216550925925926</v>
      </c>
      <c r="E3648" t="s">
        <v>14</v>
      </c>
      <c r="F3648" t="s">
        <v>15</v>
      </c>
      <c r="G3648">
        <v>-1</v>
      </c>
      <c r="H3648" t="s">
        <v>16</v>
      </c>
      <c r="I3648" t="s">
        <v>90</v>
      </c>
      <c r="J3648" s="1">
        <v>44248</v>
      </c>
      <c r="L3648" t="s">
        <v>14</v>
      </c>
      <c r="M3648">
        <v>52.9</v>
      </c>
      <c r="N3648">
        <v>52.9</v>
      </c>
      <c r="O3648" t="s">
        <v>21</v>
      </c>
      <c r="P3648">
        <f t="shared" si="172"/>
        <v>0</v>
      </c>
      <c r="Q3648" s="11">
        <f>IF(P3648=0,0,IFERROR(Q3647+G3648*M3648*IF(E3648="FUTURE",VLOOKUP(MID(I3648,2,2),Futures!$A$2:$B$12,2),1),G3648*M3648*IF(E3648="FUTURE",VLOOKUP(MID(I3648,2,2),Futures!$A$2:$B$12,2),1)))</f>
        <v>0</v>
      </c>
      <c r="R3648" s="12" t="str">
        <f>IFERROR(Q3648/P3648/IF(E3648="FUTURE",VLOOKUP(MID(I3648,2,2),Futures!$A$2:$B$12,2),1),"")</f>
        <v/>
      </c>
      <c r="S3648" s="13">
        <f>IF(AND(H3648="TO CLOSE",P3648=0),-G3648*(M3648-R3647)*IF(E3648="FUTURE",VLOOKUP(MID(I3648,2,2),Futures!$A$2:$B$12,2),1),"")</f>
        <v>179.99999999999972</v>
      </c>
    </row>
    <row r="3649" spans="1:19" x14ac:dyDescent="0.2">
      <c r="A3649">
        <f t="shared" si="170"/>
        <v>1184</v>
      </c>
      <c r="B3649" s="3">
        <v>44209</v>
      </c>
      <c r="C3649" s="3" t="str">
        <f t="shared" si="173"/>
        <v>Wednesday</v>
      </c>
      <c r="D3649" s="2">
        <v>0.45341435185185186</v>
      </c>
      <c r="E3649" t="s">
        <v>14</v>
      </c>
      <c r="F3649" t="s">
        <v>15</v>
      </c>
      <c r="G3649">
        <v>-1</v>
      </c>
      <c r="H3649" t="s">
        <v>20</v>
      </c>
      <c r="I3649" t="s">
        <v>90</v>
      </c>
      <c r="J3649" s="1">
        <v>44248</v>
      </c>
      <c r="L3649" t="s">
        <v>14</v>
      </c>
      <c r="M3649">
        <v>53.33</v>
      </c>
      <c r="N3649">
        <v>53.33</v>
      </c>
      <c r="O3649" t="s">
        <v>21</v>
      </c>
      <c r="P3649">
        <f t="shared" si="172"/>
        <v>-1</v>
      </c>
      <c r="Q3649" s="11">
        <f>IF(P3649=0,0,IFERROR(Q3648+G3649*M3649*IF(E3649="FUTURE",VLOOKUP(MID(I3649,2,2),Futures!$A$2:$B$12,2),1),G3649*M3649*IF(E3649="FUTURE",VLOOKUP(MID(I3649,2,2),Futures!$A$2:$B$12,2),1)))</f>
        <v>-53330</v>
      </c>
      <c r="R3649" s="12">
        <f>IFERROR(Q3649/P3649/IF(E3649="FUTURE",VLOOKUP(MID(I3649,2,2),Futures!$A$2:$B$12,2),1),"")</f>
        <v>53.33</v>
      </c>
      <c r="S3649" s="13" t="str">
        <f>IF(AND(H3649="TO CLOSE",P3649=0),-G3649*(M3649-R3648)*IF(E3649="FUTURE",VLOOKUP(MID(I3649,2,2),Futures!$A$2:$B$12,2),1),"")</f>
        <v/>
      </c>
    </row>
    <row r="3650" spans="1:19" x14ac:dyDescent="0.2">
      <c r="A3650">
        <f t="shared" ref="A3650:A3713" si="174">IF(AND(P3649=0,H3649="TO CLOSE"),IFERROR(A3649+1,1),IFERROR(A3649/1,1))</f>
        <v>1184</v>
      </c>
      <c r="B3650" s="3">
        <v>44209</v>
      </c>
      <c r="C3650" s="3" t="str">
        <f t="shared" ref="C3650:C3667" si="175">IF(WEEKDAY(B3650,2)=1,"Monday",IF(WEEKDAY(B3650,2)=2,"Tuesday",IF(WEEKDAY(B3650,2)=3,"Wednesday",IF(WEEKDAY(B3650,2)=4,"Thursday",IF(WEEKDAY(B3650,2)=5,"Friday","Sunday")))))</f>
        <v>Wednesday</v>
      </c>
      <c r="D3650" s="2">
        <v>0.45388888888888884</v>
      </c>
      <c r="E3650" t="s">
        <v>14</v>
      </c>
      <c r="F3650" t="s">
        <v>19</v>
      </c>
      <c r="G3650">
        <v>1</v>
      </c>
      <c r="H3650" t="s">
        <v>16</v>
      </c>
      <c r="I3650" t="s">
        <v>90</v>
      </c>
      <c r="J3650" s="1">
        <v>44248</v>
      </c>
      <c r="L3650" t="s">
        <v>14</v>
      </c>
      <c r="M3650">
        <v>53.31</v>
      </c>
      <c r="N3650">
        <v>53.31</v>
      </c>
      <c r="O3650" t="s">
        <v>21</v>
      </c>
      <c r="P3650">
        <f t="shared" si="172"/>
        <v>0</v>
      </c>
      <c r="Q3650" s="11">
        <f>IF(P3650=0,0,IFERROR(Q3649+G3650*M3650*IF(E3650="FUTURE",VLOOKUP(MID(I3650,2,2),Futures!$A$2:$B$12,2),1),G3650*M3650*IF(E3650="FUTURE",VLOOKUP(MID(I3650,2,2),Futures!$A$2:$B$12,2),1)))</f>
        <v>0</v>
      </c>
      <c r="R3650" s="12" t="str">
        <f>IFERROR(Q3650/P3650/IF(E3650="FUTURE",VLOOKUP(MID(I3650,2,2),Futures!$A$2:$B$12,2),1),"")</f>
        <v/>
      </c>
      <c r="S3650" s="13">
        <f>IF(AND(H3650="TO CLOSE",P3650=0),-G3650*(M3650-R3649)*IF(E3650="FUTURE",VLOOKUP(MID(I3650,2,2),Futures!$A$2:$B$12,2),1),"")</f>
        <v>19.999999999996021</v>
      </c>
    </row>
    <row r="3651" spans="1:19" x14ac:dyDescent="0.2">
      <c r="A3651">
        <f t="shared" si="174"/>
        <v>1185</v>
      </c>
      <c r="B3651" s="3">
        <v>44209</v>
      </c>
      <c r="C3651" s="3" t="str">
        <f t="shared" si="175"/>
        <v>Wednesday</v>
      </c>
      <c r="D3651" s="2">
        <v>0.48797453703703703</v>
      </c>
      <c r="E3651" t="s">
        <v>14</v>
      </c>
      <c r="F3651" t="s">
        <v>15</v>
      </c>
      <c r="G3651">
        <v>-1</v>
      </c>
      <c r="H3651" t="s">
        <v>20</v>
      </c>
      <c r="I3651" t="s">
        <v>90</v>
      </c>
      <c r="J3651" s="1">
        <v>44248</v>
      </c>
      <c r="L3651" t="s">
        <v>14</v>
      </c>
      <c r="M3651">
        <v>53.09</v>
      </c>
      <c r="N3651">
        <v>53.09</v>
      </c>
      <c r="O3651" t="s">
        <v>21</v>
      </c>
      <c r="P3651">
        <f t="shared" ref="P3651:P3714" si="176">IF(H3651="TO OPEN",IFERROR(P3650+G3651,0+G3651),IFERROR(P3650+G3651,0+G3651))</f>
        <v>-1</v>
      </c>
      <c r="Q3651" s="11">
        <f>IF(P3651=0,0,IFERROR(Q3650+G3651*M3651*IF(E3651="FUTURE",VLOOKUP(MID(I3651,2,2),Futures!$A$2:$B$12,2),1),G3651*M3651*IF(E3651="FUTURE",VLOOKUP(MID(I3651,2,2),Futures!$A$2:$B$12,2),1)))</f>
        <v>-53090</v>
      </c>
      <c r="R3651" s="12">
        <f>IFERROR(Q3651/P3651/IF(E3651="FUTURE",VLOOKUP(MID(I3651,2,2),Futures!$A$2:$B$12,2),1),"")</f>
        <v>53.09</v>
      </c>
      <c r="S3651" s="13" t="str">
        <f>IF(AND(H3651="TO CLOSE",P3651=0),-G3651*(M3651-R3650)*IF(E3651="FUTURE",VLOOKUP(MID(I3651,2,2),Futures!$A$2:$B$12,2),1),"")</f>
        <v/>
      </c>
    </row>
    <row r="3652" spans="1:19" x14ac:dyDescent="0.2">
      <c r="A3652">
        <f t="shared" si="174"/>
        <v>1185</v>
      </c>
      <c r="B3652" s="3">
        <v>44209</v>
      </c>
      <c r="C3652" s="3" t="str">
        <f t="shared" si="175"/>
        <v>Wednesday</v>
      </c>
      <c r="D3652" s="2">
        <v>0.48843750000000002</v>
      </c>
      <c r="E3652" t="s">
        <v>14</v>
      </c>
      <c r="F3652" t="s">
        <v>19</v>
      </c>
      <c r="G3652">
        <v>1</v>
      </c>
      <c r="H3652" t="s">
        <v>16</v>
      </c>
      <c r="I3652" t="s">
        <v>90</v>
      </c>
      <c r="J3652" s="1">
        <v>44248</v>
      </c>
      <c r="L3652" t="s">
        <v>14</v>
      </c>
      <c r="M3652">
        <v>53.08</v>
      </c>
      <c r="N3652">
        <v>53.08</v>
      </c>
      <c r="O3652" t="s">
        <v>24</v>
      </c>
      <c r="P3652">
        <f t="shared" si="176"/>
        <v>0</v>
      </c>
      <c r="Q3652" s="11">
        <f>IF(P3652=0,0,IFERROR(Q3651+G3652*M3652*IF(E3652="FUTURE",VLOOKUP(MID(I3652,2,2),Futures!$A$2:$B$12,2),1),G3652*M3652*IF(E3652="FUTURE",VLOOKUP(MID(I3652,2,2),Futures!$A$2:$B$12,2),1)))</f>
        <v>0</v>
      </c>
      <c r="R3652" s="12" t="str">
        <f>IFERROR(Q3652/P3652/IF(E3652="FUTURE",VLOOKUP(MID(I3652,2,2),Futures!$A$2:$B$12,2),1),"")</f>
        <v/>
      </c>
      <c r="S3652" s="13">
        <f>IF(AND(H3652="TO CLOSE",P3652=0),-G3652*(M3652-R3651)*IF(E3652="FUTURE",VLOOKUP(MID(I3652,2,2),Futures!$A$2:$B$12,2),1),"")</f>
        <v>10.000000000005116</v>
      </c>
    </row>
    <row r="3653" spans="1:19" x14ac:dyDescent="0.2">
      <c r="A3653">
        <f t="shared" si="174"/>
        <v>1186</v>
      </c>
      <c r="B3653" s="3">
        <v>44210</v>
      </c>
      <c r="C3653" s="3" t="str">
        <f t="shared" si="175"/>
        <v>Thursday</v>
      </c>
      <c r="D3653" s="2">
        <v>0.41005787037037034</v>
      </c>
      <c r="E3653" t="s">
        <v>14</v>
      </c>
      <c r="F3653" t="s">
        <v>19</v>
      </c>
      <c r="G3653">
        <v>1</v>
      </c>
      <c r="H3653" t="s">
        <v>20</v>
      </c>
      <c r="I3653" t="s">
        <v>90</v>
      </c>
      <c r="J3653" s="1">
        <v>44248</v>
      </c>
      <c r="L3653" t="s">
        <v>14</v>
      </c>
      <c r="M3653">
        <v>52.76</v>
      </c>
      <c r="N3653">
        <v>52.76</v>
      </c>
      <c r="O3653" t="s">
        <v>21</v>
      </c>
      <c r="P3653">
        <f t="shared" si="176"/>
        <v>1</v>
      </c>
      <c r="Q3653" s="11">
        <f>IF(P3653=0,0,IFERROR(Q3652+G3653*M3653*IF(E3653="FUTURE",VLOOKUP(MID(I3653,2,2),Futures!$A$2:$B$12,2),1),G3653*M3653*IF(E3653="FUTURE",VLOOKUP(MID(I3653,2,2),Futures!$A$2:$B$12,2),1)))</f>
        <v>52760</v>
      </c>
      <c r="R3653" s="12">
        <f>IFERROR(Q3653/P3653/IF(E3653="FUTURE",VLOOKUP(MID(I3653,2,2),Futures!$A$2:$B$12,2),1),"")</f>
        <v>52.76</v>
      </c>
      <c r="S3653" s="13" t="str">
        <f>IF(AND(H3653="TO CLOSE",P3653=0),-G3653*(M3653-R3652)*IF(E3653="FUTURE",VLOOKUP(MID(I3653,2,2),Futures!$A$2:$B$12,2),1),"")</f>
        <v/>
      </c>
    </row>
    <row r="3654" spans="1:19" x14ac:dyDescent="0.2">
      <c r="A3654">
        <f t="shared" si="174"/>
        <v>1186</v>
      </c>
      <c r="B3654" s="3">
        <v>44210</v>
      </c>
      <c r="C3654" s="3" t="str">
        <f t="shared" si="175"/>
        <v>Thursday</v>
      </c>
      <c r="D3654" s="2">
        <v>0.41163194444444445</v>
      </c>
      <c r="E3654" t="s">
        <v>14</v>
      </c>
      <c r="F3654" t="s">
        <v>15</v>
      </c>
      <c r="G3654">
        <v>-1</v>
      </c>
      <c r="H3654" t="s">
        <v>16</v>
      </c>
      <c r="I3654" t="s">
        <v>90</v>
      </c>
      <c r="J3654" s="1">
        <v>44248</v>
      </c>
      <c r="L3654" t="s">
        <v>14</v>
      </c>
      <c r="M3654">
        <v>52.81</v>
      </c>
      <c r="N3654">
        <v>52.81</v>
      </c>
      <c r="O3654" t="s">
        <v>21</v>
      </c>
      <c r="P3654">
        <f t="shared" si="176"/>
        <v>0</v>
      </c>
      <c r="Q3654" s="11">
        <f>IF(P3654=0,0,IFERROR(Q3653+G3654*M3654*IF(E3654="FUTURE",VLOOKUP(MID(I3654,2,2),Futures!$A$2:$B$12,2),1),G3654*M3654*IF(E3654="FUTURE",VLOOKUP(MID(I3654,2,2),Futures!$A$2:$B$12,2),1)))</f>
        <v>0</v>
      </c>
      <c r="R3654" s="12" t="str">
        <f>IFERROR(Q3654/P3654/IF(E3654="FUTURE",VLOOKUP(MID(I3654,2,2),Futures!$A$2:$B$12,2),1),"")</f>
        <v/>
      </c>
      <c r="S3654" s="13">
        <f>IF(AND(H3654="TO CLOSE",P3654=0),-G3654*(M3654-R3653)*IF(E3654="FUTURE",VLOOKUP(MID(I3654,2,2),Futures!$A$2:$B$12,2),1),"")</f>
        <v>50.000000000004263</v>
      </c>
    </row>
    <row r="3655" spans="1:19" x14ac:dyDescent="0.2">
      <c r="A3655">
        <f t="shared" si="174"/>
        <v>1187</v>
      </c>
      <c r="B3655" s="3">
        <v>44210</v>
      </c>
      <c r="C3655" s="3" t="str">
        <f t="shared" si="175"/>
        <v>Thursday</v>
      </c>
      <c r="D3655" s="2">
        <v>0.42319444444444443</v>
      </c>
      <c r="E3655" t="s">
        <v>14</v>
      </c>
      <c r="F3655" t="s">
        <v>15</v>
      </c>
      <c r="G3655">
        <v>-1</v>
      </c>
      <c r="H3655" t="s">
        <v>20</v>
      </c>
      <c r="I3655" t="s">
        <v>90</v>
      </c>
      <c r="J3655" s="1">
        <v>44248</v>
      </c>
      <c r="L3655" t="s">
        <v>14</v>
      </c>
      <c r="M3655">
        <v>52.87</v>
      </c>
      <c r="N3655">
        <v>52.87</v>
      </c>
      <c r="O3655" t="s">
        <v>21</v>
      </c>
      <c r="P3655">
        <f t="shared" si="176"/>
        <v>-1</v>
      </c>
      <c r="Q3655" s="11">
        <f>IF(P3655=0,0,IFERROR(Q3654+G3655*M3655*IF(E3655="FUTURE",VLOOKUP(MID(I3655,2,2),Futures!$A$2:$B$12,2),1),G3655*M3655*IF(E3655="FUTURE",VLOOKUP(MID(I3655,2,2),Futures!$A$2:$B$12,2),1)))</f>
        <v>-52870</v>
      </c>
      <c r="R3655" s="12">
        <f>IFERROR(Q3655/P3655/IF(E3655="FUTURE",VLOOKUP(MID(I3655,2,2),Futures!$A$2:$B$12,2),1),"")</f>
        <v>52.87</v>
      </c>
      <c r="S3655" s="13" t="str">
        <f>IF(AND(H3655="TO CLOSE",P3655=0),-G3655*(M3655-R3654)*IF(E3655="FUTURE",VLOOKUP(MID(I3655,2,2),Futures!$A$2:$B$12,2),1),"")</f>
        <v/>
      </c>
    </row>
    <row r="3656" spans="1:19" x14ac:dyDescent="0.2">
      <c r="A3656">
        <f t="shared" si="174"/>
        <v>1187</v>
      </c>
      <c r="B3656" s="3">
        <v>44210</v>
      </c>
      <c r="C3656" s="3" t="str">
        <f t="shared" si="175"/>
        <v>Thursday</v>
      </c>
      <c r="D3656" s="2">
        <v>0.42649305555555556</v>
      </c>
      <c r="E3656" t="s">
        <v>14</v>
      </c>
      <c r="F3656" t="s">
        <v>19</v>
      </c>
      <c r="G3656">
        <v>1</v>
      </c>
      <c r="H3656" t="s">
        <v>16</v>
      </c>
      <c r="I3656" t="s">
        <v>90</v>
      </c>
      <c r="J3656" s="1">
        <v>44248</v>
      </c>
      <c r="L3656" t="s">
        <v>14</v>
      </c>
      <c r="M3656">
        <v>52.99</v>
      </c>
      <c r="N3656">
        <v>52.99</v>
      </c>
      <c r="O3656" t="s">
        <v>18</v>
      </c>
      <c r="P3656">
        <f t="shared" si="176"/>
        <v>0</v>
      </c>
      <c r="Q3656" s="11">
        <f>IF(P3656=0,0,IFERROR(Q3655+G3656*M3656*IF(E3656="FUTURE",VLOOKUP(MID(I3656,2,2),Futures!$A$2:$B$12,2),1),G3656*M3656*IF(E3656="FUTURE",VLOOKUP(MID(I3656,2,2),Futures!$A$2:$B$12,2),1)))</f>
        <v>0</v>
      </c>
      <c r="R3656" s="12" t="str">
        <f>IFERROR(Q3656/P3656/IF(E3656="FUTURE",VLOOKUP(MID(I3656,2,2),Futures!$A$2:$B$12,2),1),"")</f>
        <v/>
      </c>
      <c r="S3656" s="13">
        <f>IF(AND(H3656="TO CLOSE",P3656=0),-G3656*(M3656-R3655)*IF(E3656="FUTURE",VLOOKUP(MID(I3656,2,2),Futures!$A$2:$B$12,2),1),"")</f>
        <v>-120.00000000000455</v>
      </c>
    </row>
    <row r="3657" spans="1:19" x14ac:dyDescent="0.2">
      <c r="A3657">
        <f t="shared" si="174"/>
        <v>1188</v>
      </c>
      <c r="B3657" s="3">
        <v>44210</v>
      </c>
      <c r="C3657" s="3" t="str">
        <f t="shared" si="175"/>
        <v>Thursday</v>
      </c>
      <c r="D3657" s="2">
        <v>0.43498842592592596</v>
      </c>
      <c r="E3657" t="s">
        <v>14</v>
      </c>
      <c r="F3657" t="s">
        <v>15</v>
      </c>
      <c r="G3657">
        <v>-2</v>
      </c>
      <c r="H3657" t="s">
        <v>20</v>
      </c>
      <c r="I3657" t="s">
        <v>90</v>
      </c>
      <c r="J3657" s="1">
        <v>44248</v>
      </c>
      <c r="L3657" t="s">
        <v>14</v>
      </c>
      <c r="M3657">
        <v>52.75</v>
      </c>
      <c r="N3657">
        <v>52.75</v>
      </c>
      <c r="O3657" t="s">
        <v>24</v>
      </c>
      <c r="P3657">
        <f t="shared" si="176"/>
        <v>-2</v>
      </c>
      <c r="Q3657" s="11">
        <f>IF(P3657=0,0,IFERROR(Q3656+G3657*M3657*IF(E3657="FUTURE",VLOOKUP(MID(I3657,2,2),Futures!$A$2:$B$12,2),1),G3657*M3657*IF(E3657="FUTURE",VLOOKUP(MID(I3657,2,2),Futures!$A$2:$B$12,2),1)))</f>
        <v>-105500</v>
      </c>
      <c r="R3657" s="12">
        <f>IFERROR(Q3657/P3657/IF(E3657="FUTURE",VLOOKUP(MID(I3657,2,2),Futures!$A$2:$B$12,2),1),"")</f>
        <v>52.75</v>
      </c>
      <c r="S3657" s="13" t="str">
        <f>IF(AND(H3657="TO CLOSE",P3657=0),-G3657*(M3657-R3656)*IF(E3657="FUTURE",VLOOKUP(MID(I3657,2,2),Futures!$A$2:$B$12,2),1),"")</f>
        <v/>
      </c>
    </row>
    <row r="3658" spans="1:19" x14ac:dyDescent="0.2">
      <c r="A3658">
        <f t="shared" si="174"/>
        <v>1188</v>
      </c>
      <c r="B3658" s="3">
        <v>44210</v>
      </c>
      <c r="C3658" s="3" t="str">
        <f t="shared" si="175"/>
        <v>Thursday</v>
      </c>
      <c r="D3658" s="2">
        <v>0.43581018518518522</v>
      </c>
      <c r="E3658" t="s">
        <v>14</v>
      </c>
      <c r="F3658" t="s">
        <v>19</v>
      </c>
      <c r="G3658">
        <v>1</v>
      </c>
      <c r="H3658" t="s">
        <v>16</v>
      </c>
      <c r="I3658" t="s">
        <v>90</v>
      </c>
      <c r="J3658" s="1">
        <v>44248</v>
      </c>
      <c r="L3658" t="s">
        <v>14</v>
      </c>
      <c r="M3658">
        <v>52.72</v>
      </c>
      <c r="N3658">
        <v>52.72</v>
      </c>
      <c r="O3658" t="s">
        <v>21</v>
      </c>
      <c r="P3658">
        <f t="shared" si="176"/>
        <v>-1</v>
      </c>
      <c r="Q3658" s="11">
        <f>IF(P3658=0,0,IFERROR(Q3657+G3658*M3658*IF(E3658="FUTURE",VLOOKUP(MID(I3658,2,2),Futures!$A$2:$B$12,2),1),G3658*M3658*IF(E3658="FUTURE",VLOOKUP(MID(I3658,2,2),Futures!$A$2:$B$12,2),1)))</f>
        <v>-52780</v>
      </c>
      <c r="R3658" s="12">
        <f>IFERROR(Q3658/P3658/IF(E3658="FUTURE",VLOOKUP(MID(I3658,2,2),Futures!$A$2:$B$12,2),1),"")</f>
        <v>52.78</v>
      </c>
      <c r="S3658" s="13" t="str">
        <f>IF(AND(H3658="TO CLOSE",P3658=0),-G3658*(M3658-R3657)*IF(E3658="FUTURE",VLOOKUP(MID(I3658,2,2),Futures!$A$2:$B$12,2),1),"")</f>
        <v/>
      </c>
    </row>
    <row r="3659" spans="1:19" x14ac:dyDescent="0.2">
      <c r="A3659">
        <f t="shared" si="174"/>
        <v>1188</v>
      </c>
      <c r="B3659" s="3">
        <v>44210</v>
      </c>
      <c r="C3659" s="3" t="str">
        <f t="shared" si="175"/>
        <v>Thursday</v>
      </c>
      <c r="D3659" s="2">
        <v>0.43675925925925929</v>
      </c>
      <c r="E3659" t="s">
        <v>14</v>
      </c>
      <c r="F3659" t="s">
        <v>19</v>
      </c>
      <c r="G3659">
        <v>1</v>
      </c>
      <c r="H3659" t="s">
        <v>16</v>
      </c>
      <c r="I3659" t="s">
        <v>90</v>
      </c>
      <c r="J3659" s="1">
        <v>44248</v>
      </c>
      <c r="L3659" t="s">
        <v>14</v>
      </c>
      <c r="M3659">
        <v>52.66</v>
      </c>
      <c r="N3659">
        <v>52.66</v>
      </c>
      <c r="O3659" t="s">
        <v>21</v>
      </c>
      <c r="P3659">
        <f t="shared" si="176"/>
        <v>0</v>
      </c>
      <c r="Q3659" s="11">
        <f>IF(P3659=0,0,IFERROR(Q3658+G3659*M3659*IF(E3659="FUTURE",VLOOKUP(MID(I3659,2,2),Futures!$A$2:$B$12,2),1),G3659*M3659*IF(E3659="FUTURE",VLOOKUP(MID(I3659,2,2),Futures!$A$2:$B$12,2),1)))</f>
        <v>0</v>
      </c>
      <c r="R3659" s="12" t="str">
        <f>IFERROR(Q3659/P3659/IF(E3659="FUTURE",VLOOKUP(MID(I3659,2,2),Futures!$A$2:$B$12,2),1),"")</f>
        <v/>
      </c>
      <c r="S3659" s="13">
        <f>IF(AND(H3659="TO CLOSE",P3659=0),-G3659*(M3659-R3658)*IF(E3659="FUTURE",VLOOKUP(MID(I3659,2,2),Futures!$A$2:$B$12,2),1),"")</f>
        <v>120.00000000000455</v>
      </c>
    </row>
    <row r="3660" spans="1:19" x14ac:dyDescent="0.2">
      <c r="A3660">
        <f t="shared" si="174"/>
        <v>1189</v>
      </c>
      <c r="B3660" s="3">
        <v>44210</v>
      </c>
      <c r="C3660" s="3" t="str">
        <f t="shared" si="175"/>
        <v>Thursday</v>
      </c>
      <c r="D3660" s="2">
        <v>0.4419907407407408</v>
      </c>
      <c r="E3660" t="s">
        <v>14</v>
      </c>
      <c r="F3660" t="s">
        <v>15</v>
      </c>
      <c r="G3660">
        <v>-1</v>
      </c>
      <c r="H3660" t="s">
        <v>20</v>
      </c>
      <c r="I3660" t="s">
        <v>90</v>
      </c>
      <c r="J3660" s="1">
        <v>44248</v>
      </c>
      <c r="L3660" t="s">
        <v>14</v>
      </c>
      <c r="M3660">
        <v>52.67</v>
      </c>
      <c r="N3660">
        <v>52.67</v>
      </c>
      <c r="O3660" t="s">
        <v>21</v>
      </c>
      <c r="P3660">
        <f t="shared" si="176"/>
        <v>-1</v>
      </c>
      <c r="Q3660" s="11">
        <f>IF(P3660=0,0,IFERROR(Q3659+G3660*M3660*IF(E3660="FUTURE",VLOOKUP(MID(I3660,2,2),Futures!$A$2:$B$12,2),1),G3660*M3660*IF(E3660="FUTURE",VLOOKUP(MID(I3660,2,2),Futures!$A$2:$B$12,2),1)))</f>
        <v>-52670</v>
      </c>
      <c r="R3660" s="12">
        <f>IFERROR(Q3660/P3660/IF(E3660="FUTURE",VLOOKUP(MID(I3660,2,2),Futures!$A$2:$B$12,2),1),"")</f>
        <v>52.67</v>
      </c>
      <c r="S3660" s="13" t="str">
        <f>IF(AND(H3660="TO CLOSE",P3660=0),-G3660*(M3660-R3659)*IF(E3660="FUTURE",VLOOKUP(MID(I3660,2,2),Futures!$A$2:$B$12,2),1),"")</f>
        <v/>
      </c>
    </row>
    <row r="3661" spans="1:19" x14ac:dyDescent="0.2">
      <c r="A3661">
        <f t="shared" si="174"/>
        <v>1189</v>
      </c>
      <c r="B3661" s="3">
        <v>44210</v>
      </c>
      <c r="C3661" s="3" t="str">
        <f t="shared" si="175"/>
        <v>Thursday</v>
      </c>
      <c r="D3661" s="2">
        <v>0.44359953703703708</v>
      </c>
      <c r="E3661" t="s">
        <v>14</v>
      </c>
      <c r="F3661" t="s">
        <v>19</v>
      </c>
      <c r="G3661">
        <v>1</v>
      </c>
      <c r="H3661" t="s">
        <v>16</v>
      </c>
      <c r="I3661" t="s">
        <v>90</v>
      </c>
      <c r="J3661" s="1">
        <v>44248</v>
      </c>
      <c r="L3661" t="s">
        <v>14</v>
      </c>
      <c r="M3661">
        <v>52.64</v>
      </c>
      <c r="N3661">
        <v>52.64</v>
      </c>
      <c r="O3661" t="s">
        <v>24</v>
      </c>
      <c r="P3661">
        <f t="shared" si="176"/>
        <v>0</v>
      </c>
      <c r="Q3661" s="11">
        <f>IF(P3661=0,0,IFERROR(Q3660+G3661*M3661*IF(E3661="FUTURE",VLOOKUP(MID(I3661,2,2),Futures!$A$2:$B$12,2),1),G3661*M3661*IF(E3661="FUTURE",VLOOKUP(MID(I3661,2,2),Futures!$A$2:$B$12,2),1)))</f>
        <v>0</v>
      </c>
      <c r="R3661" s="12" t="str">
        <f>IFERROR(Q3661/P3661/IF(E3661="FUTURE",VLOOKUP(MID(I3661,2,2),Futures!$A$2:$B$12,2),1),"")</f>
        <v/>
      </c>
      <c r="S3661" s="13">
        <f>IF(AND(H3661="TO CLOSE",P3661=0),-G3661*(M3661-R3660)*IF(E3661="FUTURE",VLOOKUP(MID(I3661,2,2),Futures!$A$2:$B$12,2),1),"")</f>
        <v>30.000000000001137</v>
      </c>
    </row>
    <row r="3662" spans="1:19" x14ac:dyDescent="0.2">
      <c r="A3662">
        <f t="shared" si="174"/>
        <v>1190</v>
      </c>
      <c r="B3662" s="3">
        <v>44210</v>
      </c>
      <c r="C3662" s="3" t="str">
        <f t="shared" si="175"/>
        <v>Thursday</v>
      </c>
      <c r="D3662" s="2">
        <v>0.48021990740740739</v>
      </c>
      <c r="E3662" t="s">
        <v>14</v>
      </c>
      <c r="F3662" t="s">
        <v>15</v>
      </c>
      <c r="G3662">
        <v>-1</v>
      </c>
      <c r="H3662" t="s">
        <v>20</v>
      </c>
      <c r="I3662" t="s">
        <v>90</v>
      </c>
      <c r="J3662" s="1">
        <v>44248</v>
      </c>
      <c r="L3662" t="s">
        <v>14</v>
      </c>
      <c r="M3662">
        <v>52.83</v>
      </c>
      <c r="N3662">
        <v>52.83</v>
      </c>
      <c r="O3662" t="s">
        <v>21</v>
      </c>
      <c r="P3662">
        <f t="shared" si="176"/>
        <v>-1</v>
      </c>
      <c r="Q3662" s="11">
        <f>IF(P3662=0,0,IFERROR(Q3661+G3662*M3662*IF(E3662="FUTURE",VLOOKUP(MID(I3662,2,2),Futures!$A$2:$B$12,2),1),G3662*M3662*IF(E3662="FUTURE",VLOOKUP(MID(I3662,2,2),Futures!$A$2:$B$12,2),1)))</f>
        <v>-52830</v>
      </c>
      <c r="R3662" s="12">
        <f>IFERROR(Q3662/P3662/IF(E3662="FUTURE",VLOOKUP(MID(I3662,2,2),Futures!$A$2:$B$12,2),1),"")</f>
        <v>52.83</v>
      </c>
      <c r="S3662" s="13" t="str">
        <f>IF(AND(H3662="TO CLOSE",P3662=0),-G3662*(M3662-R3661)*IF(E3662="FUTURE",VLOOKUP(MID(I3662,2,2),Futures!$A$2:$B$12,2),1),"")</f>
        <v/>
      </c>
    </row>
    <row r="3663" spans="1:19" x14ac:dyDescent="0.2">
      <c r="A3663">
        <f t="shared" si="174"/>
        <v>1190</v>
      </c>
      <c r="B3663" s="3">
        <v>44210</v>
      </c>
      <c r="C3663" s="3" t="str">
        <f t="shared" si="175"/>
        <v>Thursday</v>
      </c>
      <c r="D3663" s="2">
        <v>0.48670138888888892</v>
      </c>
      <c r="E3663" t="s">
        <v>14</v>
      </c>
      <c r="F3663" t="s">
        <v>19</v>
      </c>
      <c r="G3663">
        <v>1</v>
      </c>
      <c r="H3663" t="s">
        <v>16</v>
      </c>
      <c r="I3663" t="s">
        <v>90</v>
      </c>
      <c r="J3663" s="1">
        <v>44248</v>
      </c>
      <c r="L3663" t="s">
        <v>14</v>
      </c>
      <c r="M3663">
        <v>52.81</v>
      </c>
      <c r="N3663">
        <v>52.81</v>
      </c>
      <c r="O3663" t="s">
        <v>21</v>
      </c>
      <c r="P3663">
        <f t="shared" si="176"/>
        <v>0</v>
      </c>
      <c r="Q3663" s="11">
        <f>IF(P3663=0,0,IFERROR(Q3662+G3663*M3663*IF(E3663="FUTURE",VLOOKUP(MID(I3663,2,2),Futures!$A$2:$B$12,2),1),G3663*M3663*IF(E3663="FUTURE",VLOOKUP(MID(I3663,2,2),Futures!$A$2:$B$12,2),1)))</f>
        <v>0</v>
      </c>
      <c r="R3663" s="12" t="str">
        <f>IFERROR(Q3663/P3663/IF(E3663="FUTURE",VLOOKUP(MID(I3663,2,2),Futures!$A$2:$B$12,2),1),"")</f>
        <v/>
      </c>
      <c r="S3663" s="13">
        <f>IF(AND(H3663="TO CLOSE",P3663=0),-G3663*(M3663-R3662)*IF(E3663="FUTURE",VLOOKUP(MID(I3663,2,2),Futures!$A$2:$B$12,2),1),"")</f>
        <v>19.999999999996021</v>
      </c>
    </row>
    <row r="3664" spans="1:19" x14ac:dyDescent="0.2">
      <c r="A3664">
        <f t="shared" si="174"/>
        <v>1191</v>
      </c>
      <c r="B3664" s="3">
        <v>44210</v>
      </c>
      <c r="C3664" s="3" t="str">
        <f t="shared" si="175"/>
        <v>Thursday</v>
      </c>
      <c r="D3664" s="2">
        <v>0.41543981481481485</v>
      </c>
      <c r="E3664" t="s">
        <v>14</v>
      </c>
      <c r="F3664" t="s">
        <v>19</v>
      </c>
      <c r="G3664">
        <v>1</v>
      </c>
      <c r="H3664" t="s">
        <v>20</v>
      </c>
      <c r="I3664" t="s">
        <v>89</v>
      </c>
      <c r="J3664" s="1">
        <v>44276</v>
      </c>
      <c r="L3664" t="s">
        <v>14</v>
      </c>
      <c r="M3664">
        <v>3812</v>
      </c>
      <c r="N3664">
        <v>3812</v>
      </c>
      <c r="O3664" t="s">
        <v>21</v>
      </c>
      <c r="P3664">
        <f t="shared" si="176"/>
        <v>1</v>
      </c>
      <c r="Q3664" s="11">
        <f>IF(P3664=0,0,IFERROR(Q3663+G3664*M3664*IF(E3664="FUTURE",VLOOKUP(MID(I3664,2,2),Futures!$A$2:$B$12,2),1),G3664*M3664*IF(E3664="FUTURE",VLOOKUP(MID(I3664,2,2),Futures!$A$2:$B$12,2),1)))</f>
        <v>190600</v>
      </c>
      <c r="R3664" s="12">
        <f>IFERROR(Q3664/P3664/IF(E3664="FUTURE",VLOOKUP(MID(I3664,2,2),Futures!$A$2:$B$12,2),1),"")</f>
        <v>3812</v>
      </c>
      <c r="S3664" s="13" t="str">
        <f>IF(AND(H3664="TO CLOSE",P3664=0),-G3664*(M3664-R3663)*IF(E3664="FUTURE",VLOOKUP(MID(I3664,2,2),Futures!$A$2:$B$12,2),1),"")</f>
        <v/>
      </c>
    </row>
    <row r="3665" spans="1:19" x14ac:dyDescent="0.2">
      <c r="A3665">
        <f t="shared" si="174"/>
        <v>1191</v>
      </c>
      <c r="B3665" s="3">
        <v>44210</v>
      </c>
      <c r="C3665" s="3" t="str">
        <f t="shared" si="175"/>
        <v>Thursday</v>
      </c>
      <c r="D3665" s="2">
        <v>0.41703703703703704</v>
      </c>
      <c r="E3665" t="s">
        <v>14</v>
      </c>
      <c r="F3665" t="s">
        <v>15</v>
      </c>
      <c r="G3665">
        <v>-1</v>
      </c>
      <c r="H3665" t="s">
        <v>16</v>
      </c>
      <c r="I3665" t="s">
        <v>89</v>
      </c>
      <c r="J3665" s="1">
        <v>44276</v>
      </c>
      <c r="L3665" t="s">
        <v>14</v>
      </c>
      <c r="M3665">
        <v>3814.25</v>
      </c>
      <c r="N3665">
        <v>3814.25</v>
      </c>
      <c r="O3665" t="s">
        <v>21</v>
      </c>
      <c r="P3665">
        <f t="shared" si="176"/>
        <v>0</v>
      </c>
      <c r="Q3665" s="11">
        <f>IF(P3665=0,0,IFERROR(Q3664+G3665*M3665*IF(E3665="FUTURE",VLOOKUP(MID(I3665,2,2),Futures!$A$2:$B$12,2),1),G3665*M3665*IF(E3665="FUTURE",VLOOKUP(MID(I3665,2,2),Futures!$A$2:$B$12,2),1)))</f>
        <v>0</v>
      </c>
      <c r="R3665" s="12" t="str">
        <f>IFERROR(Q3665/P3665/IF(E3665="FUTURE",VLOOKUP(MID(I3665,2,2),Futures!$A$2:$B$12,2),1),"")</f>
        <v/>
      </c>
      <c r="S3665" s="13">
        <f>IF(AND(H3665="TO CLOSE",P3665=0),-G3665*(M3665-R3664)*IF(E3665="FUTURE",VLOOKUP(MID(I3665,2,2),Futures!$A$2:$B$12,2),1),"")</f>
        <v>112.5</v>
      </c>
    </row>
    <row r="3666" spans="1:19" x14ac:dyDescent="0.2">
      <c r="A3666">
        <f t="shared" si="174"/>
        <v>1192</v>
      </c>
      <c r="B3666" s="3">
        <v>44210</v>
      </c>
      <c r="C3666" s="3" t="str">
        <f t="shared" si="175"/>
        <v>Thursday</v>
      </c>
      <c r="D3666" s="2">
        <v>0.48178240740740735</v>
      </c>
      <c r="E3666" t="s">
        <v>14</v>
      </c>
      <c r="F3666" t="s">
        <v>15</v>
      </c>
      <c r="G3666">
        <v>-1</v>
      </c>
      <c r="H3666" t="s">
        <v>20</v>
      </c>
      <c r="I3666" t="s">
        <v>89</v>
      </c>
      <c r="J3666" s="1">
        <v>44276</v>
      </c>
      <c r="L3666" t="s">
        <v>14</v>
      </c>
      <c r="M3666">
        <v>3810</v>
      </c>
      <c r="N3666">
        <v>3810</v>
      </c>
      <c r="O3666" t="s">
        <v>21</v>
      </c>
      <c r="P3666">
        <f t="shared" si="176"/>
        <v>-1</v>
      </c>
      <c r="Q3666" s="11">
        <f>IF(P3666=0,0,IFERROR(Q3665+G3666*M3666*IF(E3666="FUTURE",VLOOKUP(MID(I3666,2,2),Futures!$A$2:$B$12,2),1),G3666*M3666*IF(E3666="FUTURE",VLOOKUP(MID(I3666,2,2),Futures!$A$2:$B$12,2),1)))</f>
        <v>-190500</v>
      </c>
      <c r="R3666" s="12">
        <f>IFERROR(Q3666/P3666/IF(E3666="FUTURE",VLOOKUP(MID(I3666,2,2),Futures!$A$2:$B$12,2),1),"")</f>
        <v>3810</v>
      </c>
      <c r="S3666" s="13" t="str">
        <f>IF(AND(H3666="TO CLOSE",P3666=0),-G3666*(M3666-R3665)*IF(E3666="FUTURE",VLOOKUP(MID(I3666,2,2),Futures!$A$2:$B$12,2),1),"")</f>
        <v/>
      </c>
    </row>
    <row r="3667" spans="1:19" x14ac:dyDescent="0.2">
      <c r="A3667">
        <f t="shared" si="174"/>
        <v>1192</v>
      </c>
      <c r="B3667" s="3">
        <v>44210</v>
      </c>
      <c r="C3667" s="3" t="str">
        <f t="shared" si="175"/>
        <v>Thursday</v>
      </c>
      <c r="D3667" s="2">
        <v>0.48276620370370371</v>
      </c>
      <c r="E3667" t="s">
        <v>14</v>
      </c>
      <c r="F3667" t="s">
        <v>19</v>
      </c>
      <c r="G3667">
        <v>1</v>
      </c>
      <c r="H3667" t="s">
        <v>16</v>
      </c>
      <c r="I3667" t="s">
        <v>89</v>
      </c>
      <c r="J3667" s="1">
        <v>44276</v>
      </c>
      <c r="L3667" t="s">
        <v>14</v>
      </c>
      <c r="M3667">
        <v>3807.5</v>
      </c>
      <c r="N3667">
        <v>3807.5</v>
      </c>
      <c r="O3667" t="s">
        <v>21</v>
      </c>
      <c r="P3667">
        <f t="shared" si="176"/>
        <v>0</v>
      </c>
      <c r="Q3667" s="11">
        <f>IF(P3667=0,0,IFERROR(Q3666+G3667*M3667*IF(E3667="FUTURE",VLOOKUP(MID(I3667,2,2),Futures!$A$2:$B$12,2),1),G3667*M3667*IF(E3667="FUTURE",VLOOKUP(MID(I3667,2,2),Futures!$A$2:$B$12,2),1)))</f>
        <v>0</v>
      </c>
      <c r="R3667" s="12" t="str">
        <f>IFERROR(Q3667/P3667/IF(E3667="FUTURE",VLOOKUP(MID(I3667,2,2),Futures!$A$2:$B$12,2),1),"")</f>
        <v/>
      </c>
      <c r="S3667" s="13">
        <f>IF(AND(H3667="TO CLOSE",P3667=0),-G3667*(M3667-R3666)*IF(E3667="FUTURE",VLOOKUP(MID(I3667,2,2),Futures!$A$2:$B$12,2),1),"")</f>
        <v>125</v>
      </c>
    </row>
    <row r="3668" spans="1:19" x14ac:dyDescent="0.2">
      <c r="A3668">
        <f t="shared" si="174"/>
        <v>1193</v>
      </c>
      <c r="B3668" s="3">
        <v>44211</v>
      </c>
      <c r="C3668" s="3" t="str">
        <f t="shared" ref="C3668:C3677" si="177">IF(WEEKDAY(B3668,2)=1,"Monday",IF(WEEKDAY(B3668,2)=2,"Tuesday",IF(WEEKDAY(B3668,2)=3,"Wednesday",IF(WEEKDAY(B3668,2)=4,"Thursday",IF(WEEKDAY(B3668,2)=5,"Friday","Sunday")))))</f>
        <v>Friday</v>
      </c>
      <c r="D3668" s="2">
        <v>0.41615740740740742</v>
      </c>
      <c r="E3668" t="s">
        <v>14</v>
      </c>
      <c r="F3668" t="s">
        <v>19</v>
      </c>
      <c r="G3668">
        <v>1</v>
      </c>
      <c r="H3668" t="s">
        <v>20</v>
      </c>
      <c r="I3668" t="s">
        <v>97</v>
      </c>
      <c r="J3668" s="1">
        <v>44276</v>
      </c>
      <c r="L3668" t="s">
        <v>14</v>
      </c>
      <c r="M3668">
        <v>52.96</v>
      </c>
      <c r="N3668">
        <v>52.96</v>
      </c>
      <c r="O3668" t="s">
        <v>21</v>
      </c>
      <c r="P3668">
        <f t="shared" si="176"/>
        <v>1</v>
      </c>
      <c r="Q3668" s="11">
        <f>IF(P3668=0,0,IFERROR(Q3667+G3668*M3668*IF(E3668="FUTURE",VLOOKUP(MID(I3668,2,2),Futures!$A$2:$B$12,2),1),G3668*M3668*IF(E3668="FUTURE",VLOOKUP(MID(I3668,2,2),Futures!$A$2:$B$12,2),1)))</f>
        <v>52960</v>
      </c>
      <c r="R3668" s="12">
        <f>IFERROR(Q3668/P3668/IF(E3668="FUTURE",VLOOKUP(MID(I3668,2,2),Futures!$A$2:$B$12,2),1),"")</f>
        <v>52.96</v>
      </c>
      <c r="S3668" s="13" t="str">
        <f>IF(AND(H3668="TO CLOSE",P3668=0),-G3668*(M3668-R3667)*IF(E3668="FUTURE",VLOOKUP(MID(I3668,2,2),Futures!$A$2:$B$12,2),1),"")</f>
        <v/>
      </c>
    </row>
    <row r="3669" spans="1:19" x14ac:dyDescent="0.2">
      <c r="A3669">
        <f t="shared" si="174"/>
        <v>1193</v>
      </c>
      <c r="B3669" s="3">
        <v>44211</v>
      </c>
      <c r="C3669" s="3" t="str">
        <f t="shared" si="177"/>
        <v>Friday</v>
      </c>
      <c r="D3669" s="2">
        <v>0.41827546296296297</v>
      </c>
      <c r="E3669" t="s">
        <v>14</v>
      </c>
      <c r="F3669" t="s">
        <v>15</v>
      </c>
      <c r="G3669">
        <v>-1</v>
      </c>
      <c r="H3669" t="s">
        <v>16</v>
      </c>
      <c r="I3669" t="s">
        <v>97</v>
      </c>
      <c r="J3669" s="1">
        <v>44276</v>
      </c>
      <c r="L3669" t="s">
        <v>14</v>
      </c>
      <c r="M3669">
        <v>52.88</v>
      </c>
      <c r="N3669">
        <v>52.88</v>
      </c>
      <c r="O3669" t="s">
        <v>24</v>
      </c>
      <c r="P3669">
        <f t="shared" si="176"/>
        <v>0</v>
      </c>
      <c r="Q3669" s="11">
        <f>IF(P3669=0,0,IFERROR(Q3668+G3669*M3669*IF(E3669="FUTURE",VLOOKUP(MID(I3669,2,2),Futures!$A$2:$B$12,2),1),G3669*M3669*IF(E3669="FUTURE",VLOOKUP(MID(I3669,2,2),Futures!$A$2:$B$12,2),1)))</f>
        <v>0</v>
      </c>
      <c r="R3669" s="12" t="str">
        <f>IFERROR(Q3669/P3669/IF(E3669="FUTURE",VLOOKUP(MID(I3669,2,2),Futures!$A$2:$B$12,2),1),"")</f>
        <v/>
      </c>
      <c r="S3669" s="13">
        <f>IF(AND(H3669="TO CLOSE",P3669=0),-G3669*(M3669-R3668)*IF(E3669="FUTURE",VLOOKUP(MID(I3669,2,2),Futures!$A$2:$B$12,2),1),"")</f>
        <v>-79.999999999998295</v>
      </c>
    </row>
    <row r="3670" spans="1:19" x14ac:dyDescent="0.2">
      <c r="A3670">
        <f t="shared" si="174"/>
        <v>1194</v>
      </c>
      <c r="B3670" s="3">
        <v>44211</v>
      </c>
      <c r="C3670" s="3" t="str">
        <f t="shared" si="177"/>
        <v>Friday</v>
      </c>
      <c r="D3670" s="2">
        <v>0.44824074074074072</v>
      </c>
      <c r="E3670" t="s">
        <v>14</v>
      </c>
      <c r="F3670" t="s">
        <v>19</v>
      </c>
      <c r="G3670">
        <v>1</v>
      </c>
      <c r="H3670" t="s">
        <v>20</v>
      </c>
      <c r="I3670" t="s">
        <v>97</v>
      </c>
      <c r="J3670" s="1">
        <v>44276</v>
      </c>
      <c r="L3670" t="s">
        <v>14</v>
      </c>
      <c r="M3670">
        <v>52.21</v>
      </c>
      <c r="N3670">
        <v>52.21</v>
      </c>
      <c r="O3670" t="s">
        <v>24</v>
      </c>
      <c r="P3670">
        <f t="shared" si="176"/>
        <v>1</v>
      </c>
      <c r="Q3670" s="11">
        <f>IF(P3670=0,0,IFERROR(Q3669+G3670*M3670*IF(E3670="FUTURE",VLOOKUP(MID(I3670,2,2),Futures!$A$2:$B$12,2),1),G3670*M3670*IF(E3670="FUTURE",VLOOKUP(MID(I3670,2,2),Futures!$A$2:$B$12,2),1)))</f>
        <v>52210</v>
      </c>
      <c r="R3670" s="12">
        <f>IFERROR(Q3670/P3670/IF(E3670="FUTURE",VLOOKUP(MID(I3670,2,2),Futures!$A$2:$B$12,2),1),"")</f>
        <v>52.21</v>
      </c>
      <c r="S3670" s="13" t="str">
        <f>IF(AND(H3670="TO CLOSE",P3670=0),-G3670*(M3670-R3669)*IF(E3670="FUTURE",VLOOKUP(MID(I3670,2,2),Futures!$A$2:$B$12,2),1),"")</f>
        <v/>
      </c>
    </row>
    <row r="3671" spans="1:19" x14ac:dyDescent="0.2">
      <c r="A3671">
        <f t="shared" si="174"/>
        <v>1194</v>
      </c>
      <c r="B3671" s="3">
        <v>44211</v>
      </c>
      <c r="C3671" s="3" t="str">
        <f t="shared" si="177"/>
        <v>Friday</v>
      </c>
      <c r="D3671" s="2">
        <v>0.45657407407407408</v>
      </c>
      <c r="E3671" t="s">
        <v>14</v>
      </c>
      <c r="F3671" t="s">
        <v>19</v>
      </c>
      <c r="G3671">
        <v>1</v>
      </c>
      <c r="H3671" t="s">
        <v>20</v>
      </c>
      <c r="I3671" t="s">
        <v>97</v>
      </c>
      <c r="J3671" s="1">
        <v>44276</v>
      </c>
      <c r="L3671" t="s">
        <v>14</v>
      </c>
      <c r="M3671">
        <v>52.09</v>
      </c>
      <c r="N3671">
        <v>52.09</v>
      </c>
      <c r="O3671" t="s">
        <v>21</v>
      </c>
      <c r="P3671">
        <f t="shared" si="176"/>
        <v>2</v>
      </c>
      <c r="Q3671" s="11">
        <f>IF(P3671=0,0,IFERROR(Q3670+G3671*M3671*IF(E3671="FUTURE",VLOOKUP(MID(I3671,2,2),Futures!$A$2:$B$12,2),1),G3671*M3671*IF(E3671="FUTURE",VLOOKUP(MID(I3671,2,2),Futures!$A$2:$B$12,2),1)))</f>
        <v>104300</v>
      </c>
      <c r="R3671" s="12">
        <f>IFERROR(Q3671/P3671/IF(E3671="FUTURE",VLOOKUP(MID(I3671,2,2),Futures!$A$2:$B$12,2),1),"")</f>
        <v>52.15</v>
      </c>
      <c r="S3671" s="13" t="str">
        <f>IF(AND(H3671="TO CLOSE",P3671=0),-G3671*(M3671-R3670)*IF(E3671="FUTURE",VLOOKUP(MID(I3671,2,2),Futures!$A$2:$B$12,2),1),"")</f>
        <v/>
      </c>
    </row>
    <row r="3672" spans="1:19" x14ac:dyDescent="0.2">
      <c r="A3672">
        <f t="shared" si="174"/>
        <v>1194</v>
      </c>
      <c r="B3672" s="3">
        <v>44211</v>
      </c>
      <c r="C3672" s="3" t="str">
        <f t="shared" si="177"/>
        <v>Friday</v>
      </c>
      <c r="D3672" s="2">
        <v>0.4578356481481482</v>
      </c>
      <c r="E3672" t="s">
        <v>14</v>
      </c>
      <c r="F3672" t="s">
        <v>15</v>
      </c>
      <c r="G3672">
        <v>-1</v>
      </c>
      <c r="H3672" t="s">
        <v>16</v>
      </c>
      <c r="I3672" t="s">
        <v>97</v>
      </c>
      <c r="J3672" s="1">
        <v>44276</v>
      </c>
      <c r="L3672" t="s">
        <v>14</v>
      </c>
      <c r="M3672">
        <v>52.15</v>
      </c>
      <c r="N3672">
        <v>52.15</v>
      </c>
      <c r="O3672" t="s">
        <v>21</v>
      </c>
      <c r="P3672">
        <f t="shared" si="176"/>
        <v>1</v>
      </c>
      <c r="Q3672" s="11">
        <f>IF(P3672=0,0,IFERROR(Q3671+G3672*M3672*IF(E3672="FUTURE",VLOOKUP(MID(I3672,2,2),Futures!$A$2:$B$12,2),1),G3672*M3672*IF(E3672="FUTURE",VLOOKUP(MID(I3672,2,2),Futures!$A$2:$B$12,2),1)))</f>
        <v>52150</v>
      </c>
      <c r="R3672" s="12">
        <f>IFERROR(Q3672/P3672/IF(E3672="FUTURE",VLOOKUP(MID(I3672,2,2),Futures!$A$2:$B$12,2),1),"")</f>
        <v>52.15</v>
      </c>
      <c r="S3672" s="13" t="str">
        <f>IF(AND(H3672="TO CLOSE",P3672=0),-G3672*(M3672-R3671)*IF(E3672="FUTURE",VLOOKUP(MID(I3672,2,2),Futures!$A$2:$B$12,2),1),"")</f>
        <v/>
      </c>
    </row>
    <row r="3673" spans="1:19" x14ac:dyDescent="0.2">
      <c r="A3673">
        <f t="shared" si="174"/>
        <v>1194</v>
      </c>
      <c r="B3673" s="3">
        <v>44211</v>
      </c>
      <c r="C3673" s="3" t="str">
        <f t="shared" si="177"/>
        <v>Friday</v>
      </c>
      <c r="D3673" s="2">
        <v>0.48156249999999995</v>
      </c>
      <c r="E3673" t="s">
        <v>14</v>
      </c>
      <c r="F3673" t="s">
        <v>15</v>
      </c>
      <c r="G3673">
        <v>-1</v>
      </c>
      <c r="H3673" t="s">
        <v>16</v>
      </c>
      <c r="I3673" t="s">
        <v>97</v>
      </c>
      <c r="J3673" s="1">
        <v>44276</v>
      </c>
      <c r="L3673" t="s">
        <v>14</v>
      </c>
      <c r="M3673">
        <v>52.36</v>
      </c>
      <c r="N3673">
        <v>52.36</v>
      </c>
      <c r="O3673" t="s">
        <v>24</v>
      </c>
      <c r="P3673">
        <f t="shared" si="176"/>
        <v>0</v>
      </c>
      <c r="Q3673" s="11">
        <f>IF(P3673=0,0,IFERROR(Q3672+G3673*M3673*IF(E3673="FUTURE",VLOOKUP(MID(I3673,2,2),Futures!$A$2:$B$12,2),1),G3673*M3673*IF(E3673="FUTURE",VLOOKUP(MID(I3673,2,2),Futures!$A$2:$B$12,2),1)))</f>
        <v>0</v>
      </c>
      <c r="R3673" s="12" t="str">
        <f>IFERROR(Q3673/P3673/IF(E3673="FUTURE",VLOOKUP(MID(I3673,2,2),Futures!$A$2:$B$12,2),1),"")</f>
        <v/>
      </c>
      <c r="S3673" s="13">
        <f>IF(AND(H3673="TO CLOSE",P3673=0),-G3673*(M3673-R3672)*IF(E3673="FUTURE",VLOOKUP(MID(I3673,2,2),Futures!$A$2:$B$12,2),1),"")</f>
        <v>210.00000000000085</v>
      </c>
    </row>
    <row r="3674" spans="1:19" x14ac:dyDescent="0.2">
      <c r="A3674">
        <f t="shared" si="174"/>
        <v>1195</v>
      </c>
      <c r="B3674" s="3">
        <v>44211</v>
      </c>
      <c r="C3674" s="3" t="str">
        <f t="shared" si="177"/>
        <v>Friday</v>
      </c>
      <c r="D3674" s="2">
        <v>0.40387731481481487</v>
      </c>
      <c r="E3674" t="s">
        <v>14</v>
      </c>
      <c r="F3674" t="s">
        <v>19</v>
      </c>
      <c r="G3674">
        <v>1</v>
      </c>
      <c r="H3674" t="s">
        <v>20</v>
      </c>
      <c r="I3674" t="s">
        <v>89</v>
      </c>
      <c r="J3674" s="1">
        <v>44276</v>
      </c>
      <c r="L3674" t="s">
        <v>14</v>
      </c>
      <c r="M3674">
        <v>3776.25</v>
      </c>
      <c r="N3674">
        <v>3776.25</v>
      </c>
      <c r="O3674" t="s">
        <v>24</v>
      </c>
      <c r="P3674">
        <f t="shared" si="176"/>
        <v>1</v>
      </c>
      <c r="Q3674" s="11">
        <f>IF(P3674=0,0,IFERROR(Q3673+G3674*M3674*IF(E3674="FUTURE",VLOOKUP(MID(I3674,2,2),Futures!$A$2:$B$12,2),1),G3674*M3674*IF(E3674="FUTURE",VLOOKUP(MID(I3674,2,2),Futures!$A$2:$B$12,2),1)))</f>
        <v>188812.5</v>
      </c>
      <c r="R3674" s="12">
        <f>IFERROR(Q3674/P3674/IF(E3674="FUTURE",VLOOKUP(MID(I3674,2,2),Futures!$A$2:$B$12,2),1),"")</f>
        <v>3776.25</v>
      </c>
      <c r="S3674" s="13" t="str">
        <f>IF(AND(H3674="TO CLOSE",P3674=0),-G3674*(M3674-R3673)*IF(E3674="FUTURE",VLOOKUP(MID(I3674,2,2),Futures!$A$2:$B$12,2),1),"")</f>
        <v/>
      </c>
    </row>
    <row r="3675" spans="1:19" x14ac:dyDescent="0.2">
      <c r="A3675">
        <f t="shared" si="174"/>
        <v>1195</v>
      </c>
      <c r="B3675" s="3">
        <v>44211</v>
      </c>
      <c r="C3675" s="3" t="str">
        <f t="shared" si="177"/>
        <v>Friday</v>
      </c>
      <c r="D3675" s="2">
        <v>0.41071759259259261</v>
      </c>
      <c r="E3675" t="s">
        <v>14</v>
      </c>
      <c r="F3675" t="s">
        <v>15</v>
      </c>
      <c r="G3675">
        <v>-1</v>
      </c>
      <c r="H3675" t="s">
        <v>16</v>
      </c>
      <c r="I3675" t="s">
        <v>89</v>
      </c>
      <c r="J3675" s="1">
        <v>44276</v>
      </c>
      <c r="L3675" t="s">
        <v>14</v>
      </c>
      <c r="M3675">
        <v>3777.5</v>
      </c>
      <c r="N3675">
        <v>3777.5</v>
      </c>
      <c r="O3675" t="s">
        <v>24</v>
      </c>
      <c r="P3675">
        <f t="shared" si="176"/>
        <v>0</v>
      </c>
      <c r="Q3675" s="11">
        <f>IF(P3675=0,0,IFERROR(Q3674+G3675*M3675*IF(E3675="FUTURE",VLOOKUP(MID(I3675,2,2),Futures!$A$2:$B$12,2),1),G3675*M3675*IF(E3675="FUTURE",VLOOKUP(MID(I3675,2,2),Futures!$A$2:$B$12,2),1)))</f>
        <v>0</v>
      </c>
      <c r="R3675" s="12" t="str">
        <f>IFERROR(Q3675/P3675/IF(E3675="FUTURE",VLOOKUP(MID(I3675,2,2),Futures!$A$2:$B$12,2),1),"")</f>
        <v/>
      </c>
      <c r="S3675" s="13">
        <f>IF(AND(H3675="TO CLOSE",P3675=0),-G3675*(M3675-R3674)*IF(E3675="FUTURE",VLOOKUP(MID(I3675,2,2),Futures!$A$2:$B$12,2),1),"")</f>
        <v>62.5</v>
      </c>
    </row>
    <row r="3676" spans="1:19" x14ac:dyDescent="0.2">
      <c r="A3676">
        <f t="shared" si="174"/>
        <v>1196</v>
      </c>
      <c r="B3676" s="3">
        <v>44211</v>
      </c>
      <c r="C3676" s="3" t="str">
        <f t="shared" si="177"/>
        <v>Friday</v>
      </c>
      <c r="D3676" s="2">
        <v>0.42008101851851848</v>
      </c>
      <c r="E3676" t="s">
        <v>14</v>
      </c>
      <c r="F3676" t="s">
        <v>15</v>
      </c>
      <c r="G3676">
        <v>-1</v>
      </c>
      <c r="H3676" t="s">
        <v>20</v>
      </c>
      <c r="I3676" t="s">
        <v>89</v>
      </c>
      <c r="J3676" s="1">
        <v>44276</v>
      </c>
      <c r="L3676" t="s">
        <v>14</v>
      </c>
      <c r="M3676">
        <v>3768.75</v>
      </c>
      <c r="N3676">
        <v>3768.75</v>
      </c>
      <c r="O3676" t="s">
        <v>24</v>
      </c>
      <c r="P3676">
        <f t="shared" si="176"/>
        <v>-1</v>
      </c>
      <c r="Q3676" s="11">
        <f>IF(P3676=0,0,IFERROR(Q3675+G3676*M3676*IF(E3676="FUTURE",VLOOKUP(MID(I3676,2,2),Futures!$A$2:$B$12,2),1),G3676*M3676*IF(E3676="FUTURE",VLOOKUP(MID(I3676,2,2),Futures!$A$2:$B$12,2),1)))</f>
        <v>-188437.5</v>
      </c>
      <c r="R3676" s="12">
        <f>IFERROR(Q3676/P3676/IF(E3676="FUTURE",VLOOKUP(MID(I3676,2,2),Futures!$A$2:$B$12,2),1),"")</f>
        <v>3768.75</v>
      </c>
      <c r="S3676" s="13" t="str">
        <f>IF(AND(H3676="TO CLOSE",P3676=0),-G3676*(M3676-R3675)*IF(E3676="FUTURE",VLOOKUP(MID(I3676,2,2),Futures!$A$2:$B$12,2),1),"")</f>
        <v/>
      </c>
    </row>
    <row r="3677" spans="1:19" x14ac:dyDescent="0.2">
      <c r="A3677">
        <f t="shared" si="174"/>
        <v>1196</v>
      </c>
      <c r="B3677" s="3">
        <v>44211</v>
      </c>
      <c r="C3677" s="3" t="str">
        <f t="shared" si="177"/>
        <v>Friday</v>
      </c>
      <c r="D3677" s="2">
        <v>0.42076388888888888</v>
      </c>
      <c r="E3677" t="s">
        <v>14</v>
      </c>
      <c r="F3677" t="s">
        <v>19</v>
      </c>
      <c r="G3677">
        <v>1</v>
      </c>
      <c r="H3677" t="s">
        <v>16</v>
      </c>
      <c r="I3677" t="s">
        <v>89</v>
      </c>
      <c r="J3677" s="1">
        <v>44276</v>
      </c>
      <c r="L3677" t="s">
        <v>14</v>
      </c>
      <c r="M3677">
        <v>3762.75</v>
      </c>
      <c r="N3677">
        <v>3762.75</v>
      </c>
      <c r="O3677" t="s">
        <v>21</v>
      </c>
      <c r="P3677">
        <f t="shared" si="176"/>
        <v>0</v>
      </c>
      <c r="Q3677" s="11">
        <f>IF(P3677=0,0,IFERROR(Q3676+G3677*M3677*IF(E3677="FUTURE",VLOOKUP(MID(I3677,2,2),Futures!$A$2:$B$12,2),1),G3677*M3677*IF(E3677="FUTURE",VLOOKUP(MID(I3677,2,2),Futures!$A$2:$B$12,2),1)))</f>
        <v>0</v>
      </c>
      <c r="R3677" s="12" t="str">
        <f>IFERROR(Q3677/P3677/IF(E3677="FUTURE",VLOOKUP(MID(I3677,2,2),Futures!$A$2:$B$12,2),1),"")</f>
        <v/>
      </c>
      <c r="S3677" s="13">
        <f>IF(AND(H3677="TO CLOSE",P3677=0),-G3677*(M3677-R3676)*IF(E3677="FUTURE",VLOOKUP(MID(I3677,2,2),Futures!$A$2:$B$12,2),1),"")</f>
        <v>300</v>
      </c>
    </row>
    <row r="3678" spans="1:19" x14ac:dyDescent="0.2">
      <c r="A3678">
        <f t="shared" si="174"/>
        <v>1197</v>
      </c>
      <c r="B3678" s="3">
        <v>44215</v>
      </c>
      <c r="C3678" s="3" t="str">
        <f t="shared" ref="C3678:C3691" si="178">IF(WEEKDAY(B3678,2)=1,"Monday",IF(WEEKDAY(B3678,2)=2,"Tuesday",IF(WEEKDAY(B3678,2)=3,"Wednesday",IF(WEEKDAY(B3678,2)=4,"Thursday",IF(WEEKDAY(B3678,2)=5,"Friday","Sunday")))))</f>
        <v>Tuesday</v>
      </c>
      <c r="D3678" s="2">
        <v>0.39910879629629631</v>
      </c>
      <c r="E3678" t="s">
        <v>14</v>
      </c>
      <c r="F3678" t="s">
        <v>15</v>
      </c>
      <c r="G3678">
        <v>-1</v>
      </c>
      <c r="H3678" t="s">
        <v>20</v>
      </c>
      <c r="I3678" t="s">
        <v>97</v>
      </c>
      <c r="J3678" s="1">
        <v>44276</v>
      </c>
      <c r="L3678" t="s">
        <v>14</v>
      </c>
      <c r="M3678">
        <v>52.86</v>
      </c>
      <c r="N3678">
        <v>52.86</v>
      </c>
      <c r="O3678" t="s">
        <v>21</v>
      </c>
      <c r="P3678">
        <f t="shared" si="176"/>
        <v>-1</v>
      </c>
      <c r="Q3678" s="11">
        <f>IF(P3678=0,0,IFERROR(Q3677+G3678*M3678*IF(E3678="FUTURE",VLOOKUP(MID(I3678,2,2),Futures!$A$2:$B$12,2),1),G3678*M3678*IF(E3678="FUTURE",VLOOKUP(MID(I3678,2,2),Futures!$A$2:$B$12,2),1)))</f>
        <v>-52860</v>
      </c>
      <c r="R3678" s="12">
        <f>IFERROR(Q3678/P3678/IF(E3678="FUTURE",VLOOKUP(MID(I3678,2,2),Futures!$A$2:$B$12,2),1),"")</f>
        <v>52.86</v>
      </c>
      <c r="S3678" s="13" t="str">
        <f>IF(AND(H3678="TO CLOSE",P3678=0),-G3678*(M3678-R3677)*IF(E3678="FUTURE",VLOOKUP(MID(I3678,2,2),Futures!$A$2:$B$12,2),1),"")</f>
        <v/>
      </c>
    </row>
    <row r="3679" spans="1:19" x14ac:dyDescent="0.2">
      <c r="A3679">
        <f t="shared" si="174"/>
        <v>1197</v>
      </c>
      <c r="B3679" s="3">
        <v>44215</v>
      </c>
      <c r="C3679" s="3" t="str">
        <f t="shared" si="178"/>
        <v>Tuesday</v>
      </c>
      <c r="D3679" s="2">
        <v>0.40277777777777773</v>
      </c>
      <c r="E3679" t="s">
        <v>14</v>
      </c>
      <c r="F3679" t="s">
        <v>19</v>
      </c>
      <c r="G3679">
        <v>1</v>
      </c>
      <c r="H3679" t="s">
        <v>16</v>
      </c>
      <c r="I3679" t="s">
        <v>97</v>
      </c>
      <c r="J3679" s="1">
        <v>44276</v>
      </c>
      <c r="L3679" t="s">
        <v>14</v>
      </c>
      <c r="M3679">
        <v>52.94</v>
      </c>
      <c r="N3679">
        <v>52.94</v>
      </c>
      <c r="O3679" t="s">
        <v>18</v>
      </c>
      <c r="P3679">
        <f t="shared" si="176"/>
        <v>0</v>
      </c>
      <c r="Q3679" s="11">
        <f>IF(P3679=0,0,IFERROR(Q3678+G3679*M3679*IF(E3679="FUTURE",VLOOKUP(MID(I3679,2,2),Futures!$A$2:$B$12,2),1),G3679*M3679*IF(E3679="FUTURE",VLOOKUP(MID(I3679,2,2),Futures!$A$2:$B$12,2),1)))</f>
        <v>0</v>
      </c>
      <c r="R3679" s="12" t="str">
        <f>IFERROR(Q3679/P3679/IF(E3679="FUTURE",VLOOKUP(MID(I3679,2,2),Futures!$A$2:$B$12,2),1),"")</f>
        <v/>
      </c>
      <c r="S3679" s="13">
        <f>IF(AND(H3679="TO CLOSE",P3679=0),-G3679*(M3679-R3678)*IF(E3679="FUTURE",VLOOKUP(MID(I3679,2,2),Futures!$A$2:$B$12,2),1),"")</f>
        <v>-79.999999999998295</v>
      </c>
    </row>
    <row r="3680" spans="1:19" x14ac:dyDescent="0.2">
      <c r="A3680">
        <f t="shared" si="174"/>
        <v>1198</v>
      </c>
      <c r="B3680" s="3">
        <v>44215</v>
      </c>
      <c r="C3680" s="3" t="str">
        <f t="shared" si="178"/>
        <v>Tuesday</v>
      </c>
      <c r="D3680" s="2">
        <v>0.40413194444444445</v>
      </c>
      <c r="E3680" t="s">
        <v>14</v>
      </c>
      <c r="F3680" t="s">
        <v>15</v>
      </c>
      <c r="G3680">
        <v>-2</v>
      </c>
      <c r="H3680" t="s">
        <v>20</v>
      </c>
      <c r="I3680" t="s">
        <v>97</v>
      </c>
      <c r="J3680" s="1">
        <v>44276</v>
      </c>
      <c r="L3680" t="s">
        <v>14</v>
      </c>
      <c r="M3680">
        <v>52.86</v>
      </c>
      <c r="N3680">
        <v>52.86</v>
      </c>
      <c r="O3680" t="s">
        <v>24</v>
      </c>
      <c r="P3680">
        <f t="shared" si="176"/>
        <v>-2</v>
      </c>
      <c r="Q3680" s="11">
        <f>IF(P3680=0,0,IFERROR(Q3679+G3680*M3680*IF(E3680="FUTURE",VLOOKUP(MID(I3680,2,2),Futures!$A$2:$B$12,2),1),G3680*M3680*IF(E3680="FUTURE",VLOOKUP(MID(I3680,2,2),Futures!$A$2:$B$12,2),1)))</f>
        <v>-105720</v>
      </c>
      <c r="R3680" s="12">
        <f>IFERROR(Q3680/P3680/IF(E3680="FUTURE",VLOOKUP(MID(I3680,2,2),Futures!$A$2:$B$12,2),1),"")</f>
        <v>52.86</v>
      </c>
      <c r="S3680" s="13" t="str">
        <f>IF(AND(H3680="TO CLOSE",P3680=0),-G3680*(M3680-R3679)*IF(E3680="FUTURE",VLOOKUP(MID(I3680,2,2),Futures!$A$2:$B$12,2),1),"")</f>
        <v/>
      </c>
    </row>
    <row r="3681" spans="1:19" x14ac:dyDescent="0.2">
      <c r="A3681">
        <f t="shared" si="174"/>
        <v>1198</v>
      </c>
      <c r="B3681" s="3">
        <v>44215</v>
      </c>
      <c r="C3681" s="3" t="str">
        <f t="shared" si="178"/>
        <v>Tuesday</v>
      </c>
      <c r="D3681" s="2">
        <v>0.40598379629629627</v>
      </c>
      <c r="E3681" t="s">
        <v>14</v>
      </c>
      <c r="F3681" t="s">
        <v>19</v>
      </c>
      <c r="G3681">
        <v>1</v>
      </c>
      <c r="H3681" t="s">
        <v>16</v>
      </c>
      <c r="I3681" t="s">
        <v>97</v>
      </c>
      <c r="J3681" s="1">
        <v>44276</v>
      </c>
      <c r="L3681" t="s">
        <v>14</v>
      </c>
      <c r="M3681">
        <v>52.8</v>
      </c>
      <c r="N3681">
        <v>52.8</v>
      </c>
      <c r="O3681" t="s">
        <v>21</v>
      </c>
      <c r="P3681">
        <f t="shared" si="176"/>
        <v>-1</v>
      </c>
      <c r="Q3681" s="11">
        <f>IF(P3681=0,0,IFERROR(Q3680+G3681*M3681*IF(E3681="FUTURE",VLOOKUP(MID(I3681,2,2),Futures!$A$2:$B$12,2),1),G3681*M3681*IF(E3681="FUTURE",VLOOKUP(MID(I3681,2,2),Futures!$A$2:$B$12,2),1)))</f>
        <v>-52920</v>
      </c>
      <c r="R3681" s="12">
        <f>IFERROR(Q3681/P3681/IF(E3681="FUTURE",VLOOKUP(MID(I3681,2,2),Futures!$A$2:$B$12,2),1),"")</f>
        <v>52.92</v>
      </c>
      <c r="S3681" s="13" t="str">
        <f>IF(AND(H3681="TO CLOSE",P3681=0),-G3681*(M3681-R3680)*IF(E3681="FUTURE",VLOOKUP(MID(I3681,2,2),Futures!$A$2:$B$12,2),1),"")</f>
        <v/>
      </c>
    </row>
    <row r="3682" spans="1:19" x14ac:dyDescent="0.2">
      <c r="A3682">
        <f t="shared" si="174"/>
        <v>1198</v>
      </c>
      <c r="B3682" s="3">
        <v>44215</v>
      </c>
      <c r="C3682" s="3" t="str">
        <f t="shared" si="178"/>
        <v>Tuesday</v>
      </c>
      <c r="D3682" s="2">
        <v>0.40773148148148147</v>
      </c>
      <c r="E3682" t="s">
        <v>14</v>
      </c>
      <c r="F3682" t="s">
        <v>19</v>
      </c>
      <c r="G3682">
        <v>1</v>
      </c>
      <c r="H3682" t="s">
        <v>16</v>
      </c>
      <c r="I3682" t="s">
        <v>97</v>
      </c>
      <c r="J3682" s="1">
        <v>44276</v>
      </c>
      <c r="L3682" t="s">
        <v>14</v>
      </c>
      <c r="M3682">
        <v>52.87</v>
      </c>
      <c r="N3682">
        <v>52.87</v>
      </c>
      <c r="O3682" t="s">
        <v>18</v>
      </c>
      <c r="P3682">
        <f t="shared" si="176"/>
        <v>0</v>
      </c>
      <c r="Q3682" s="11">
        <f>IF(P3682=0,0,IFERROR(Q3681+G3682*M3682*IF(E3682="FUTURE",VLOOKUP(MID(I3682,2,2),Futures!$A$2:$B$12,2),1),G3682*M3682*IF(E3682="FUTURE",VLOOKUP(MID(I3682,2,2),Futures!$A$2:$B$12,2),1)))</f>
        <v>0</v>
      </c>
      <c r="R3682" s="12" t="str">
        <f>IFERROR(Q3682/P3682/IF(E3682="FUTURE",VLOOKUP(MID(I3682,2,2),Futures!$A$2:$B$12,2),1),"")</f>
        <v/>
      </c>
      <c r="S3682" s="13">
        <f>IF(AND(H3682="TO CLOSE",P3682=0),-G3682*(M3682-R3681)*IF(E3682="FUTURE",VLOOKUP(MID(I3682,2,2),Futures!$A$2:$B$12,2),1),"")</f>
        <v>50.000000000004263</v>
      </c>
    </row>
    <row r="3683" spans="1:19" x14ac:dyDescent="0.2">
      <c r="A3683">
        <f t="shared" si="174"/>
        <v>1199</v>
      </c>
      <c r="B3683" s="3">
        <v>44215</v>
      </c>
      <c r="C3683" s="3" t="str">
        <f t="shared" si="178"/>
        <v>Tuesday</v>
      </c>
      <c r="D3683" s="2">
        <v>0.4233912037037037</v>
      </c>
      <c r="E3683" t="s">
        <v>14</v>
      </c>
      <c r="F3683" t="s">
        <v>19</v>
      </c>
      <c r="G3683">
        <v>1</v>
      </c>
      <c r="H3683" t="s">
        <v>20</v>
      </c>
      <c r="I3683" t="s">
        <v>97</v>
      </c>
      <c r="J3683" s="1">
        <v>44276</v>
      </c>
      <c r="L3683" t="s">
        <v>14</v>
      </c>
      <c r="M3683">
        <v>52.72</v>
      </c>
      <c r="N3683">
        <v>52.72</v>
      </c>
      <c r="O3683" t="s">
        <v>24</v>
      </c>
      <c r="P3683">
        <f t="shared" si="176"/>
        <v>1</v>
      </c>
      <c r="Q3683" s="11">
        <f>IF(P3683=0,0,IFERROR(Q3682+G3683*M3683*IF(E3683="FUTURE",VLOOKUP(MID(I3683,2,2),Futures!$A$2:$B$12,2),1),G3683*M3683*IF(E3683="FUTURE",VLOOKUP(MID(I3683,2,2),Futures!$A$2:$B$12,2),1)))</f>
        <v>52720</v>
      </c>
      <c r="R3683" s="12">
        <f>IFERROR(Q3683/P3683/IF(E3683="FUTURE",VLOOKUP(MID(I3683,2,2),Futures!$A$2:$B$12,2),1),"")</f>
        <v>52.72</v>
      </c>
      <c r="S3683" s="13" t="str">
        <f>IF(AND(H3683="TO CLOSE",P3683=0),-G3683*(M3683-R3682)*IF(E3683="FUTURE",VLOOKUP(MID(I3683,2,2),Futures!$A$2:$B$12,2),1),"")</f>
        <v/>
      </c>
    </row>
    <row r="3684" spans="1:19" x14ac:dyDescent="0.2">
      <c r="A3684">
        <f t="shared" si="174"/>
        <v>1199</v>
      </c>
      <c r="B3684" s="3">
        <v>44215</v>
      </c>
      <c r="C3684" s="3" t="str">
        <f t="shared" si="178"/>
        <v>Tuesday</v>
      </c>
      <c r="D3684" s="2">
        <v>0.42482638888888885</v>
      </c>
      <c r="E3684" t="s">
        <v>14</v>
      </c>
      <c r="F3684" t="s">
        <v>15</v>
      </c>
      <c r="G3684">
        <v>-1</v>
      </c>
      <c r="H3684" t="s">
        <v>16</v>
      </c>
      <c r="I3684" t="s">
        <v>97</v>
      </c>
      <c r="J3684" s="1">
        <v>44276</v>
      </c>
      <c r="L3684" t="s">
        <v>14</v>
      </c>
      <c r="M3684">
        <v>52.77</v>
      </c>
      <c r="N3684">
        <v>52.77</v>
      </c>
      <c r="O3684" t="s">
        <v>21</v>
      </c>
      <c r="P3684">
        <f t="shared" si="176"/>
        <v>0</v>
      </c>
      <c r="Q3684" s="11">
        <f>IF(P3684=0,0,IFERROR(Q3683+G3684*M3684*IF(E3684="FUTURE",VLOOKUP(MID(I3684,2,2),Futures!$A$2:$B$12,2),1),G3684*M3684*IF(E3684="FUTURE",VLOOKUP(MID(I3684,2,2),Futures!$A$2:$B$12,2),1)))</f>
        <v>0</v>
      </c>
      <c r="R3684" s="12" t="str">
        <f>IFERROR(Q3684/P3684/IF(E3684="FUTURE",VLOOKUP(MID(I3684,2,2),Futures!$A$2:$B$12,2),1),"")</f>
        <v/>
      </c>
      <c r="S3684" s="13">
        <f>IF(AND(H3684="TO CLOSE",P3684=0),-G3684*(M3684-R3683)*IF(E3684="FUTURE",VLOOKUP(MID(I3684,2,2),Futures!$A$2:$B$12,2),1),"")</f>
        <v>50.000000000004263</v>
      </c>
    </row>
    <row r="3685" spans="1:19" x14ac:dyDescent="0.2">
      <c r="A3685">
        <f t="shared" si="174"/>
        <v>1200</v>
      </c>
      <c r="B3685" s="3">
        <v>44215</v>
      </c>
      <c r="C3685" s="3" t="str">
        <f t="shared" si="178"/>
        <v>Tuesday</v>
      </c>
      <c r="D3685" s="2">
        <v>0.43810185185185185</v>
      </c>
      <c r="E3685" t="s">
        <v>14</v>
      </c>
      <c r="F3685" t="s">
        <v>19</v>
      </c>
      <c r="G3685">
        <v>2</v>
      </c>
      <c r="H3685" t="s">
        <v>20</v>
      </c>
      <c r="I3685" t="s">
        <v>97</v>
      </c>
      <c r="J3685" s="1">
        <v>44276</v>
      </c>
      <c r="L3685" t="s">
        <v>14</v>
      </c>
      <c r="M3685">
        <v>52.94</v>
      </c>
      <c r="N3685">
        <v>52.94</v>
      </c>
      <c r="O3685" t="s">
        <v>24</v>
      </c>
      <c r="P3685">
        <f t="shared" si="176"/>
        <v>2</v>
      </c>
      <c r="Q3685" s="11">
        <f>IF(P3685=0,0,IFERROR(Q3684+G3685*M3685*IF(E3685="FUTURE",VLOOKUP(MID(I3685,2,2),Futures!$A$2:$B$12,2),1),G3685*M3685*IF(E3685="FUTURE",VLOOKUP(MID(I3685,2,2),Futures!$A$2:$B$12,2),1)))</f>
        <v>105880</v>
      </c>
      <c r="R3685" s="12">
        <f>IFERROR(Q3685/P3685/IF(E3685="FUTURE",VLOOKUP(MID(I3685,2,2),Futures!$A$2:$B$12,2),1),"")</f>
        <v>52.94</v>
      </c>
      <c r="S3685" s="13" t="str">
        <f>IF(AND(H3685="TO CLOSE",P3685=0),-G3685*(M3685-R3684)*IF(E3685="FUTURE",VLOOKUP(MID(I3685,2,2),Futures!$A$2:$B$12,2),1),"")</f>
        <v/>
      </c>
    </row>
    <row r="3686" spans="1:19" x14ac:dyDescent="0.2">
      <c r="A3686">
        <f t="shared" si="174"/>
        <v>1200</v>
      </c>
      <c r="B3686" s="3">
        <v>44215</v>
      </c>
      <c r="C3686" s="3" t="str">
        <f t="shared" si="178"/>
        <v>Tuesday</v>
      </c>
      <c r="D3686" s="2">
        <v>0.44091435185185185</v>
      </c>
      <c r="E3686" t="s">
        <v>14</v>
      </c>
      <c r="F3686" t="s">
        <v>15</v>
      </c>
      <c r="G3686">
        <v>-1</v>
      </c>
      <c r="H3686" t="s">
        <v>16</v>
      </c>
      <c r="I3686" t="s">
        <v>97</v>
      </c>
      <c r="J3686" s="1">
        <v>44276</v>
      </c>
      <c r="L3686" t="s">
        <v>14</v>
      </c>
      <c r="M3686">
        <v>52.97</v>
      </c>
      <c r="N3686">
        <v>52.97</v>
      </c>
      <c r="O3686" t="s">
        <v>21</v>
      </c>
      <c r="P3686">
        <f t="shared" si="176"/>
        <v>1</v>
      </c>
      <c r="Q3686" s="11">
        <f>IF(P3686=0,0,IFERROR(Q3685+G3686*M3686*IF(E3686="FUTURE",VLOOKUP(MID(I3686,2,2),Futures!$A$2:$B$12,2),1),G3686*M3686*IF(E3686="FUTURE",VLOOKUP(MID(I3686,2,2),Futures!$A$2:$B$12,2),1)))</f>
        <v>52910</v>
      </c>
      <c r="R3686" s="12">
        <f>IFERROR(Q3686/P3686/IF(E3686="FUTURE",VLOOKUP(MID(I3686,2,2),Futures!$A$2:$B$12,2),1),"")</f>
        <v>52.91</v>
      </c>
      <c r="S3686" s="13" t="str">
        <f>IF(AND(H3686="TO CLOSE",P3686=0),-G3686*(M3686-R3685)*IF(E3686="FUTURE",VLOOKUP(MID(I3686,2,2),Futures!$A$2:$B$12,2),1),"")</f>
        <v/>
      </c>
    </row>
    <row r="3687" spans="1:19" x14ac:dyDescent="0.2">
      <c r="A3687">
        <f t="shared" si="174"/>
        <v>1200</v>
      </c>
      <c r="B3687" s="3">
        <v>44215</v>
      </c>
      <c r="C3687" s="3" t="str">
        <f t="shared" si="178"/>
        <v>Tuesday</v>
      </c>
      <c r="D3687" s="2">
        <v>0.44337962962962968</v>
      </c>
      <c r="E3687" t="s">
        <v>14</v>
      </c>
      <c r="F3687" t="s">
        <v>15</v>
      </c>
      <c r="G3687">
        <v>-1</v>
      </c>
      <c r="H3687" t="s">
        <v>16</v>
      </c>
      <c r="I3687" t="s">
        <v>97</v>
      </c>
      <c r="J3687" s="1">
        <v>44276</v>
      </c>
      <c r="L3687" t="s">
        <v>14</v>
      </c>
      <c r="M3687">
        <v>53.04</v>
      </c>
      <c r="N3687">
        <v>53.04</v>
      </c>
      <c r="O3687" t="s">
        <v>24</v>
      </c>
      <c r="P3687">
        <f t="shared" si="176"/>
        <v>0</v>
      </c>
      <c r="Q3687" s="11">
        <f>IF(P3687=0,0,IFERROR(Q3686+G3687*M3687*IF(E3687="FUTURE",VLOOKUP(MID(I3687,2,2),Futures!$A$2:$B$12,2),1),G3687*M3687*IF(E3687="FUTURE",VLOOKUP(MID(I3687,2,2),Futures!$A$2:$B$12,2),1)))</f>
        <v>0</v>
      </c>
      <c r="R3687" s="12" t="str">
        <f>IFERROR(Q3687/P3687/IF(E3687="FUTURE",VLOOKUP(MID(I3687,2,2),Futures!$A$2:$B$12,2),1),"")</f>
        <v/>
      </c>
      <c r="S3687" s="13">
        <f>IF(AND(H3687="TO CLOSE",P3687=0),-G3687*(M3687-R3686)*IF(E3687="FUTURE",VLOOKUP(MID(I3687,2,2),Futures!$A$2:$B$12,2),1),"")</f>
        <v>130.00000000000256</v>
      </c>
    </row>
    <row r="3688" spans="1:19" x14ac:dyDescent="0.2">
      <c r="A3688">
        <f t="shared" si="174"/>
        <v>1201</v>
      </c>
      <c r="B3688" s="3">
        <v>44215</v>
      </c>
      <c r="C3688" s="3" t="str">
        <f t="shared" si="178"/>
        <v>Tuesday</v>
      </c>
      <c r="D3688" s="2">
        <v>0.41472222222222221</v>
      </c>
      <c r="E3688" t="s">
        <v>14</v>
      </c>
      <c r="F3688" t="s">
        <v>19</v>
      </c>
      <c r="G3688">
        <v>1</v>
      </c>
      <c r="H3688" t="s">
        <v>20</v>
      </c>
      <c r="I3688" t="s">
        <v>89</v>
      </c>
      <c r="J3688" s="1">
        <v>44276</v>
      </c>
      <c r="L3688" t="s">
        <v>14</v>
      </c>
      <c r="M3688">
        <v>3776.5</v>
      </c>
      <c r="N3688">
        <v>3776.5</v>
      </c>
      <c r="O3688" t="s">
        <v>21</v>
      </c>
      <c r="P3688">
        <f t="shared" si="176"/>
        <v>1</v>
      </c>
      <c r="Q3688" s="11">
        <f>IF(P3688=0,0,IFERROR(Q3687+G3688*M3688*IF(E3688="FUTURE",VLOOKUP(MID(I3688,2,2),Futures!$A$2:$B$12,2),1),G3688*M3688*IF(E3688="FUTURE",VLOOKUP(MID(I3688,2,2),Futures!$A$2:$B$12,2),1)))</f>
        <v>188825</v>
      </c>
      <c r="R3688" s="12">
        <f>IFERROR(Q3688/P3688/IF(E3688="FUTURE",VLOOKUP(MID(I3688,2,2),Futures!$A$2:$B$12,2),1),"")</f>
        <v>3776.5</v>
      </c>
      <c r="S3688" s="13" t="str">
        <f>IF(AND(H3688="TO CLOSE",P3688=0),-G3688*(M3688-R3687)*IF(E3688="FUTURE",VLOOKUP(MID(I3688,2,2),Futures!$A$2:$B$12,2),1),"")</f>
        <v/>
      </c>
    </row>
    <row r="3689" spans="1:19" x14ac:dyDescent="0.2">
      <c r="A3689">
        <f t="shared" si="174"/>
        <v>1201</v>
      </c>
      <c r="B3689" s="3">
        <v>44215</v>
      </c>
      <c r="C3689" s="3" t="str">
        <f t="shared" si="178"/>
        <v>Tuesday</v>
      </c>
      <c r="D3689" s="2">
        <v>0.41563657407407412</v>
      </c>
      <c r="E3689" t="s">
        <v>14</v>
      </c>
      <c r="F3689" t="s">
        <v>15</v>
      </c>
      <c r="G3689">
        <v>-1</v>
      </c>
      <c r="H3689" t="s">
        <v>16</v>
      </c>
      <c r="I3689" t="s">
        <v>89</v>
      </c>
      <c r="J3689" s="1">
        <v>44276</v>
      </c>
      <c r="L3689" t="s">
        <v>14</v>
      </c>
      <c r="M3689">
        <v>3780</v>
      </c>
      <c r="N3689">
        <v>3780</v>
      </c>
      <c r="O3689" t="s">
        <v>21</v>
      </c>
      <c r="P3689">
        <f t="shared" si="176"/>
        <v>0</v>
      </c>
      <c r="Q3689" s="11">
        <f>IF(P3689=0,0,IFERROR(Q3688+G3689*M3689*IF(E3689="FUTURE",VLOOKUP(MID(I3689,2,2),Futures!$A$2:$B$12,2),1),G3689*M3689*IF(E3689="FUTURE",VLOOKUP(MID(I3689,2,2),Futures!$A$2:$B$12,2),1)))</f>
        <v>0</v>
      </c>
      <c r="R3689" s="12" t="str">
        <f>IFERROR(Q3689/P3689/IF(E3689="FUTURE",VLOOKUP(MID(I3689,2,2),Futures!$A$2:$B$12,2),1),"")</f>
        <v/>
      </c>
      <c r="S3689" s="13">
        <f>IF(AND(H3689="TO CLOSE",P3689=0),-G3689*(M3689-R3688)*IF(E3689="FUTURE",VLOOKUP(MID(I3689,2,2),Futures!$A$2:$B$12,2),1),"")</f>
        <v>175</v>
      </c>
    </row>
    <row r="3690" spans="1:19" x14ac:dyDescent="0.2">
      <c r="A3690">
        <f t="shared" si="174"/>
        <v>1202</v>
      </c>
      <c r="B3690" s="3">
        <v>44215</v>
      </c>
      <c r="C3690" s="3" t="str">
        <f t="shared" si="178"/>
        <v>Tuesday</v>
      </c>
      <c r="D3690" s="2">
        <v>0.45127314814814817</v>
      </c>
      <c r="E3690" t="s">
        <v>14</v>
      </c>
      <c r="F3690" t="s">
        <v>19</v>
      </c>
      <c r="G3690">
        <v>1</v>
      </c>
      <c r="H3690" t="s">
        <v>20</v>
      </c>
      <c r="I3690" t="s">
        <v>89</v>
      </c>
      <c r="J3690" s="1">
        <v>44276</v>
      </c>
      <c r="L3690" t="s">
        <v>14</v>
      </c>
      <c r="M3690">
        <v>3784.5</v>
      </c>
      <c r="N3690">
        <v>3784.5</v>
      </c>
      <c r="O3690" t="s">
        <v>21</v>
      </c>
      <c r="P3690">
        <f t="shared" si="176"/>
        <v>1</v>
      </c>
      <c r="Q3690" s="11">
        <f>IF(P3690=0,0,IFERROR(Q3689+G3690*M3690*IF(E3690="FUTURE",VLOOKUP(MID(I3690,2,2),Futures!$A$2:$B$12,2),1),G3690*M3690*IF(E3690="FUTURE",VLOOKUP(MID(I3690,2,2),Futures!$A$2:$B$12,2),1)))</f>
        <v>189225</v>
      </c>
      <c r="R3690" s="12">
        <f>IFERROR(Q3690/P3690/IF(E3690="FUTURE",VLOOKUP(MID(I3690,2,2),Futures!$A$2:$B$12,2),1),"")</f>
        <v>3784.5</v>
      </c>
      <c r="S3690" s="13" t="str">
        <f>IF(AND(H3690="TO CLOSE",P3690=0),-G3690*(M3690-R3689)*IF(E3690="FUTURE",VLOOKUP(MID(I3690,2,2),Futures!$A$2:$B$12,2),1),"")</f>
        <v/>
      </c>
    </row>
    <row r="3691" spans="1:19" x14ac:dyDescent="0.2">
      <c r="A3691">
        <f t="shared" si="174"/>
        <v>1202</v>
      </c>
      <c r="B3691" s="3">
        <v>44215</v>
      </c>
      <c r="C3691" s="3" t="str">
        <f t="shared" si="178"/>
        <v>Tuesday</v>
      </c>
      <c r="D3691" s="2">
        <v>0.45180555555555557</v>
      </c>
      <c r="E3691" t="s">
        <v>14</v>
      </c>
      <c r="F3691" t="s">
        <v>15</v>
      </c>
      <c r="G3691">
        <v>-1</v>
      </c>
      <c r="H3691" t="s">
        <v>16</v>
      </c>
      <c r="I3691" t="s">
        <v>89</v>
      </c>
      <c r="J3691" s="1">
        <v>44276</v>
      </c>
      <c r="L3691" t="s">
        <v>14</v>
      </c>
      <c r="M3691">
        <v>3785</v>
      </c>
      <c r="N3691">
        <v>3785</v>
      </c>
      <c r="O3691" t="s">
        <v>18</v>
      </c>
      <c r="P3691">
        <f t="shared" si="176"/>
        <v>0</v>
      </c>
      <c r="Q3691" s="11">
        <f>IF(P3691=0,0,IFERROR(Q3690+G3691*M3691*IF(E3691="FUTURE",VLOOKUP(MID(I3691,2,2),Futures!$A$2:$B$12,2),1),G3691*M3691*IF(E3691="FUTURE",VLOOKUP(MID(I3691,2,2),Futures!$A$2:$B$12,2),1)))</f>
        <v>0</v>
      </c>
      <c r="R3691" s="12" t="str">
        <f>IFERROR(Q3691/P3691/IF(E3691="FUTURE",VLOOKUP(MID(I3691,2,2),Futures!$A$2:$B$12,2),1),"")</f>
        <v/>
      </c>
      <c r="S3691" s="13">
        <f>IF(AND(H3691="TO CLOSE",P3691=0),-G3691*(M3691-R3690)*IF(E3691="FUTURE",VLOOKUP(MID(I3691,2,2),Futures!$A$2:$B$12,2),1),"")</f>
        <v>25</v>
      </c>
    </row>
    <row r="3692" spans="1:19" x14ac:dyDescent="0.2">
      <c r="A3692">
        <f t="shared" si="174"/>
        <v>1203</v>
      </c>
      <c r="B3692" s="3">
        <v>44216</v>
      </c>
      <c r="C3692" s="3" t="str">
        <f t="shared" ref="C3692:C3707" si="179">IF(WEEKDAY(B3692,2)=1,"Monday",IF(WEEKDAY(B3692,2)=2,"Tuesday",IF(WEEKDAY(B3692,2)=3,"Wednesday",IF(WEEKDAY(B3692,2)=4,"Thursday",IF(WEEKDAY(B3692,2)=5,"Friday","Sunday")))))</f>
        <v>Wednesday</v>
      </c>
      <c r="D3692" s="2">
        <v>0.39795138888888887</v>
      </c>
      <c r="E3692" t="s">
        <v>14</v>
      </c>
      <c r="F3692" t="s">
        <v>15</v>
      </c>
      <c r="G3692">
        <v>-1</v>
      </c>
      <c r="H3692" t="s">
        <v>20</v>
      </c>
      <c r="I3692" t="s">
        <v>97</v>
      </c>
      <c r="J3692" s="1">
        <v>44276</v>
      </c>
      <c r="L3692" t="s">
        <v>14</v>
      </c>
      <c r="M3692">
        <v>53.65</v>
      </c>
      <c r="N3692">
        <v>53.65</v>
      </c>
      <c r="O3692" t="s">
        <v>21</v>
      </c>
      <c r="P3692">
        <f t="shared" si="176"/>
        <v>-1</v>
      </c>
      <c r="Q3692" s="11">
        <f>IF(P3692=0,0,IFERROR(Q3691+G3692*M3692*IF(E3692="FUTURE",VLOOKUP(MID(I3692,2,2),Futures!$A$2:$B$12,2),1),G3692*M3692*IF(E3692="FUTURE",VLOOKUP(MID(I3692,2,2),Futures!$A$2:$B$12,2),1)))</f>
        <v>-53650</v>
      </c>
      <c r="R3692" s="12">
        <f>IFERROR(Q3692/P3692/IF(E3692="FUTURE",VLOOKUP(MID(I3692,2,2),Futures!$A$2:$B$12,2),1),"")</f>
        <v>53.65</v>
      </c>
      <c r="S3692" s="13" t="str">
        <f>IF(AND(H3692="TO CLOSE",P3692=0),-G3692*(M3692-R3691)*IF(E3692="FUTURE",VLOOKUP(MID(I3692,2,2),Futures!$A$2:$B$12,2),1),"")</f>
        <v/>
      </c>
    </row>
    <row r="3693" spans="1:19" x14ac:dyDescent="0.2">
      <c r="A3693">
        <f t="shared" si="174"/>
        <v>1203</v>
      </c>
      <c r="B3693" s="3">
        <v>44216</v>
      </c>
      <c r="C3693" s="3" t="str">
        <f t="shared" si="179"/>
        <v>Wednesday</v>
      </c>
      <c r="D3693" s="2">
        <v>0.40674768518518517</v>
      </c>
      <c r="E3693" t="s">
        <v>14</v>
      </c>
      <c r="F3693" t="s">
        <v>19</v>
      </c>
      <c r="G3693">
        <v>1</v>
      </c>
      <c r="H3693" t="s">
        <v>16</v>
      </c>
      <c r="I3693" t="s">
        <v>97</v>
      </c>
      <c r="J3693" s="1">
        <v>44276</v>
      </c>
      <c r="L3693" t="s">
        <v>14</v>
      </c>
      <c r="M3693">
        <v>53.64</v>
      </c>
      <c r="N3693">
        <v>53.64</v>
      </c>
      <c r="O3693" t="s">
        <v>21</v>
      </c>
      <c r="P3693">
        <f t="shared" si="176"/>
        <v>0</v>
      </c>
      <c r="Q3693" s="11">
        <f>IF(P3693=0,0,IFERROR(Q3692+G3693*M3693*IF(E3693="FUTURE",VLOOKUP(MID(I3693,2,2),Futures!$A$2:$B$12,2),1),G3693*M3693*IF(E3693="FUTURE",VLOOKUP(MID(I3693,2,2),Futures!$A$2:$B$12,2),1)))</f>
        <v>0</v>
      </c>
      <c r="R3693" s="12" t="str">
        <f>IFERROR(Q3693/P3693/IF(E3693="FUTURE",VLOOKUP(MID(I3693,2,2),Futures!$A$2:$B$12,2),1),"")</f>
        <v/>
      </c>
      <c r="S3693" s="13">
        <f>IF(AND(H3693="TO CLOSE",P3693=0),-G3693*(M3693-R3692)*IF(E3693="FUTURE",VLOOKUP(MID(I3693,2,2),Futures!$A$2:$B$12,2),1),"")</f>
        <v>9.9999999999980105</v>
      </c>
    </row>
    <row r="3694" spans="1:19" x14ac:dyDescent="0.2">
      <c r="A3694">
        <f t="shared" si="174"/>
        <v>1204</v>
      </c>
      <c r="B3694" s="3">
        <v>44216</v>
      </c>
      <c r="C3694" s="3" t="str">
        <f t="shared" si="179"/>
        <v>Wednesday</v>
      </c>
      <c r="D3694" s="2">
        <v>0.41141203703703705</v>
      </c>
      <c r="E3694" t="s">
        <v>14</v>
      </c>
      <c r="F3694" t="s">
        <v>15</v>
      </c>
      <c r="G3694">
        <v>-1</v>
      </c>
      <c r="H3694" t="s">
        <v>20</v>
      </c>
      <c r="I3694" t="s">
        <v>97</v>
      </c>
      <c r="J3694" s="1">
        <v>44276</v>
      </c>
      <c r="L3694" t="s">
        <v>14</v>
      </c>
      <c r="M3694">
        <v>53.43</v>
      </c>
      <c r="N3694">
        <v>53.43</v>
      </c>
      <c r="O3694" t="s">
        <v>24</v>
      </c>
      <c r="P3694">
        <f t="shared" si="176"/>
        <v>-1</v>
      </c>
      <c r="Q3694" s="11">
        <f>IF(P3694=0,0,IFERROR(Q3693+G3694*M3694*IF(E3694="FUTURE",VLOOKUP(MID(I3694,2,2),Futures!$A$2:$B$12,2),1),G3694*M3694*IF(E3694="FUTURE",VLOOKUP(MID(I3694,2,2),Futures!$A$2:$B$12,2),1)))</f>
        <v>-53430</v>
      </c>
      <c r="R3694" s="12">
        <f>IFERROR(Q3694/P3694/IF(E3694="FUTURE",VLOOKUP(MID(I3694,2,2),Futures!$A$2:$B$12,2),1),"")</f>
        <v>53.43</v>
      </c>
      <c r="S3694" s="13" t="str">
        <f>IF(AND(H3694="TO CLOSE",P3694=0),-G3694*(M3694-R3693)*IF(E3694="FUTURE",VLOOKUP(MID(I3694,2,2),Futures!$A$2:$B$12,2),1),"")</f>
        <v/>
      </c>
    </row>
    <row r="3695" spans="1:19" x14ac:dyDescent="0.2">
      <c r="A3695">
        <f t="shared" si="174"/>
        <v>1204</v>
      </c>
      <c r="B3695" s="3">
        <v>44216</v>
      </c>
      <c r="C3695" s="3" t="str">
        <f t="shared" si="179"/>
        <v>Wednesday</v>
      </c>
      <c r="D3695" s="2">
        <v>0.41528935185185184</v>
      </c>
      <c r="E3695" t="s">
        <v>14</v>
      </c>
      <c r="F3695" t="s">
        <v>19</v>
      </c>
      <c r="G3695">
        <v>1</v>
      </c>
      <c r="H3695" t="s">
        <v>16</v>
      </c>
      <c r="I3695" t="s">
        <v>97</v>
      </c>
      <c r="J3695" s="1">
        <v>44276</v>
      </c>
      <c r="L3695" t="s">
        <v>14</v>
      </c>
      <c r="M3695">
        <v>53.41</v>
      </c>
      <c r="N3695">
        <v>53.41</v>
      </c>
      <c r="O3695" t="s">
        <v>24</v>
      </c>
      <c r="P3695">
        <f t="shared" si="176"/>
        <v>0</v>
      </c>
      <c r="Q3695" s="11">
        <f>IF(P3695=0,0,IFERROR(Q3694+G3695*M3695*IF(E3695="FUTURE",VLOOKUP(MID(I3695,2,2),Futures!$A$2:$B$12,2),1),G3695*M3695*IF(E3695="FUTURE",VLOOKUP(MID(I3695,2,2),Futures!$A$2:$B$12,2),1)))</f>
        <v>0</v>
      </c>
      <c r="R3695" s="12" t="str">
        <f>IFERROR(Q3695/P3695/IF(E3695="FUTURE",VLOOKUP(MID(I3695,2,2),Futures!$A$2:$B$12,2),1),"")</f>
        <v/>
      </c>
      <c r="S3695" s="13">
        <f>IF(AND(H3695="TO CLOSE",P3695=0),-G3695*(M3695-R3694)*IF(E3695="FUTURE",VLOOKUP(MID(I3695,2,2),Futures!$A$2:$B$12,2),1),"")</f>
        <v>20.000000000003126</v>
      </c>
    </row>
    <row r="3696" spans="1:19" x14ac:dyDescent="0.2">
      <c r="A3696">
        <f t="shared" si="174"/>
        <v>1205</v>
      </c>
      <c r="B3696" s="3">
        <v>44216</v>
      </c>
      <c r="C3696" s="3" t="str">
        <f t="shared" si="179"/>
        <v>Wednesday</v>
      </c>
      <c r="D3696" s="2">
        <v>0.42788194444444444</v>
      </c>
      <c r="E3696" t="s">
        <v>14</v>
      </c>
      <c r="F3696" t="s">
        <v>15</v>
      </c>
      <c r="G3696">
        <v>-1</v>
      </c>
      <c r="H3696" t="s">
        <v>20</v>
      </c>
      <c r="I3696" t="s">
        <v>97</v>
      </c>
      <c r="J3696" s="1">
        <v>44276</v>
      </c>
      <c r="L3696" t="s">
        <v>14</v>
      </c>
      <c r="M3696">
        <v>53.54</v>
      </c>
      <c r="N3696">
        <v>53.54</v>
      </c>
      <c r="O3696" t="s">
        <v>21</v>
      </c>
      <c r="P3696">
        <f t="shared" si="176"/>
        <v>-1</v>
      </c>
      <c r="Q3696" s="11">
        <f>IF(P3696=0,0,IFERROR(Q3695+G3696*M3696*IF(E3696="FUTURE",VLOOKUP(MID(I3696,2,2),Futures!$A$2:$B$12,2),1),G3696*M3696*IF(E3696="FUTURE",VLOOKUP(MID(I3696,2,2),Futures!$A$2:$B$12,2),1)))</f>
        <v>-53540</v>
      </c>
      <c r="R3696" s="12">
        <f>IFERROR(Q3696/P3696/IF(E3696="FUTURE",VLOOKUP(MID(I3696,2,2),Futures!$A$2:$B$12,2),1),"")</f>
        <v>53.54</v>
      </c>
      <c r="S3696" s="13" t="str">
        <f>IF(AND(H3696="TO CLOSE",P3696=0),-G3696*(M3696-R3695)*IF(E3696="FUTURE",VLOOKUP(MID(I3696,2,2),Futures!$A$2:$B$12,2),1),"")</f>
        <v/>
      </c>
    </row>
    <row r="3697" spans="1:19" x14ac:dyDescent="0.2">
      <c r="A3697">
        <f t="shared" si="174"/>
        <v>1205</v>
      </c>
      <c r="B3697" s="3">
        <v>44216</v>
      </c>
      <c r="C3697" s="3" t="str">
        <f t="shared" si="179"/>
        <v>Wednesday</v>
      </c>
      <c r="D3697" s="2">
        <v>0.43538194444444445</v>
      </c>
      <c r="E3697" t="s">
        <v>14</v>
      </c>
      <c r="F3697" t="s">
        <v>19</v>
      </c>
      <c r="G3697">
        <v>1</v>
      </c>
      <c r="H3697" t="s">
        <v>16</v>
      </c>
      <c r="I3697" t="s">
        <v>97</v>
      </c>
      <c r="J3697" s="1">
        <v>44276</v>
      </c>
      <c r="L3697" t="s">
        <v>14</v>
      </c>
      <c r="M3697">
        <v>53.39</v>
      </c>
      <c r="N3697">
        <v>53.39</v>
      </c>
      <c r="O3697" t="s">
        <v>21</v>
      </c>
      <c r="P3697">
        <f t="shared" si="176"/>
        <v>0</v>
      </c>
      <c r="Q3697" s="11">
        <f>IF(P3697=0,0,IFERROR(Q3696+G3697*M3697*IF(E3697="FUTURE",VLOOKUP(MID(I3697,2,2),Futures!$A$2:$B$12,2),1),G3697*M3697*IF(E3697="FUTURE",VLOOKUP(MID(I3697,2,2),Futures!$A$2:$B$12,2),1)))</f>
        <v>0</v>
      </c>
      <c r="R3697" s="12" t="str">
        <f>IFERROR(Q3697/P3697/IF(E3697="FUTURE",VLOOKUP(MID(I3697,2,2),Futures!$A$2:$B$12,2),1),"")</f>
        <v/>
      </c>
      <c r="S3697" s="13">
        <f>IF(AND(H3697="TO CLOSE",P3697=0),-G3697*(M3697-R3696)*IF(E3697="FUTURE",VLOOKUP(MID(I3697,2,2),Futures!$A$2:$B$12,2),1),"")</f>
        <v>149.99999999999858</v>
      </c>
    </row>
    <row r="3698" spans="1:19" x14ac:dyDescent="0.2">
      <c r="A3698">
        <f t="shared" si="174"/>
        <v>1206</v>
      </c>
      <c r="B3698" s="3">
        <v>44216</v>
      </c>
      <c r="C3698" s="3" t="str">
        <f t="shared" si="179"/>
        <v>Wednesday</v>
      </c>
      <c r="D3698" s="2">
        <v>0.4678356481481481</v>
      </c>
      <c r="E3698" t="s">
        <v>14</v>
      </c>
      <c r="F3698" t="s">
        <v>19</v>
      </c>
      <c r="G3698">
        <v>1</v>
      </c>
      <c r="H3698" t="s">
        <v>20</v>
      </c>
      <c r="I3698" t="s">
        <v>97</v>
      </c>
      <c r="J3698" s="1">
        <v>44276</v>
      </c>
      <c r="L3698" t="s">
        <v>14</v>
      </c>
      <c r="M3698">
        <v>53.43</v>
      </c>
      <c r="N3698">
        <v>53.43</v>
      </c>
      <c r="O3698" t="s">
        <v>21</v>
      </c>
      <c r="P3698">
        <f t="shared" si="176"/>
        <v>1</v>
      </c>
      <c r="Q3698" s="11">
        <f>IF(P3698=0,0,IFERROR(Q3697+G3698*M3698*IF(E3698="FUTURE",VLOOKUP(MID(I3698,2,2),Futures!$A$2:$B$12,2),1),G3698*M3698*IF(E3698="FUTURE",VLOOKUP(MID(I3698,2,2),Futures!$A$2:$B$12,2),1)))</f>
        <v>53430</v>
      </c>
      <c r="R3698" s="12">
        <f>IFERROR(Q3698/P3698/IF(E3698="FUTURE",VLOOKUP(MID(I3698,2,2),Futures!$A$2:$B$12,2),1),"")</f>
        <v>53.43</v>
      </c>
      <c r="S3698" s="13" t="str">
        <f>IF(AND(H3698="TO CLOSE",P3698=0),-G3698*(M3698-R3697)*IF(E3698="FUTURE",VLOOKUP(MID(I3698,2,2),Futures!$A$2:$B$12,2),1),"")</f>
        <v/>
      </c>
    </row>
    <row r="3699" spans="1:19" x14ac:dyDescent="0.2">
      <c r="A3699">
        <f t="shared" si="174"/>
        <v>1206</v>
      </c>
      <c r="B3699" s="3">
        <v>44216</v>
      </c>
      <c r="C3699" s="3" t="str">
        <f t="shared" si="179"/>
        <v>Wednesday</v>
      </c>
      <c r="D3699" s="2">
        <v>0.47056712962962965</v>
      </c>
      <c r="E3699" t="s">
        <v>14</v>
      </c>
      <c r="F3699" t="s">
        <v>15</v>
      </c>
      <c r="G3699">
        <v>-1</v>
      </c>
      <c r="H3699" t="s">
        <v>16</v>
      </c>
      <c r="I3699" t="s">
        <v>97</v>
      </c>
      <c r="J3699" s="1">
        <v>44276</v>
      </c>
      <c r="L3699" t="s">
        <v>14</v>
      </c>
      <c r="M3699">
        <v>53.44</v>
      </c>
      <c r="N3699">
        <v>53.44</v>
      </c>
      <c r="O3699" t="s">
        <v>18</v>
      </c>
      <c r="P3699">
        <f t="shared" si="176"/>
        <v>0</v>
      </c>
      <c r="Q3699" s="11">
        <f>IF(P3699=0,0,IFERROR(Q3698+G3699*M3699*IF(E3699="FUTURE",VLOOKUP(MID(I3699,2,2),Futures!$A$2:$B$12,2),1),G3699*M3699*IF(E3699="FUTURE",VLOOKUP(MID(I3699,2,2),Futures!$A$2:$B$12,2),1)))</f>
        <v>0</v>
      </c>
      <c r="R3699" s="12" t="str">
        <f>IFERROR(Q3699/P3699/IF(E3699="FUTURE",VLOOKUP(MID(I3699,2,2),Futures!$A$2:$B$12,2),1),"")</f>
        <v/>
      </c>
      <c r="S3699" s="13">
        <f>IF(AND(H3699="TO CLOSE",P3699=0),-G3699*(M3699-R3698)*IF(E3699="FUTURE",VLOOKUP(MID(I3699,2,2),Futures!$A$2:$B$12,2),1),"")</f>
        <v>9.9999999999980105</v>
      </c>
    </row>
    <row r="3700" spans="1:19" x14ac:dyDescent="0.2">
      <c r="A3700">
        <f t="shared" si="174"/>
        <v>1207</v>
      </c>
      <c r="B3700" s="3">
        <v>44216</v>
      </c>
      <c r="C3700" s="3" t="str">
        <f t="shared" si="179"/>
        <v>Wednesday</v>
      </c>
      <c r="D3700" s="2">
        <v>0.57953703703703707</v>
      </c>
      <c r="E3700" t="s">
        <v>14</v>
      </c>
      <c r="F3700" t="s">
        <v>15</v>
      </c>
      <c r="G3700">
        <v>-1</v>
      </c>
      <c r="H3700" t="s">
        <v>20</v>
      </c>
      <c r="I3700" t="s">
        <v>97</v>
      </c>
      <c r="J3700" s="1">
        <v>44276</v>
      </c>
      <c r="L3700" t="s">
        <v>14</v>
      </c>
      <c r="M3700">
        <v>53.38</v>
      </c>
      <c r="N3700">
        <v>53.38</v>
      </c>
      <c r="O3700" t="s">
        <v>21</v>
      </c>
      <c r="P3700">
        <f t="shared" si="176"/>
        <v>-1</v>
      </c>
      <c r="Q3700" s="11">
        <f>IF(P3700=0,0,IFERROR(Q3699+G3700*M3700*IF(E3700="FUTURE",VLOOKUP(MID(I3700,2,2),Futures!$A$2:$B$12,2),1),G3700*M3700*IF(E3700="FUTURE",VLOOKUP(MID(I3700,2,2),Futures!$A$2:$B$12,2),1)))</f>
        <v>-53380</v>
      </c>
      <c r="R3700" s="12">
        <f>IFERROR(Q3700/P3700/IF(E3700="FUTURE",VLOOKUP(MID(I3700,2,2),Futures!$A$2:$B$12,2),1),"")</f>
        <v>53.38</v>
      </c>
      <c r="S3700" s="13" t="str">
        <f>IF(AND(H3700="TO CLOSE",P3700=0),-G3700*(M3700-R3699)*IF(E3700="FUTURE",VLOOKUP(MID(I3700,2,2),Futures!$A$2:$B$12,2),1),"")</f>
        <v/>
      </c>
    </row>
    <row r="3701" spans="1:19" x14ac:dyDescent="0.2">
      <c r="A3701">
        <f t="shared" si="174"/>
        <v>1207</v>
      </c>
      <c r="B3701" s="3">
        <v>44216</v>
      </c>
      <c r="C3701" s="3" t="str">
        <f t="shared" si="179"/>
        <v>Wednesday</v>
      </c>
      <c r="D3701" s="2">
        <v>0.58219907407407401</v>
      </c>
      <c r="E3701" t="s">
        <v>14</v>
      </c>
      <c r="F3701" t="s">
        <v>19</v>
      </c>
      <c r="G3701">
        <v>1</v>
      </c>
      <c r="H3701" t="s">
        <v>16</v>
      </c>
      <c r="I3701" t="s">
        <v>97</v>
      </c>
      <c r="J3701" s="1">
        <v>44276</v>
      </c>
      <c r="L3701" t="s">
        <v>14</v>
      </c>
      <c r="M3701">
        <v>53.34</v>
      </c>
      <c r="N3701">
        <v>53.34</v>
      </c>
      <c r="O3701" t="s">
        <v>21</v>
      </c>
      <c r="P3701">
        <f t="shared" si="176"/>
        <v>0</v>
      </c>
      <c r="Q3701" s="11">
        <f>IF(P3701=0,0,IFERROR(Q3700+G3701*M3701*IF(E3701="FUTURE",VLOOKUP(MID(I3701,2,2),Futures!$A$2:$B$12,2),1),G3701*M3701*IF(E3701="FUTURE",VLOOKUP(MID(I3701,2,2),Futures!$A$2:$B$12,2),1)))</f>
        <v>0</v>
      </c>
      <c r="R3701" s="12" t="str">
        <f>IFERROR(Q3701/P3701/IF(E3701="FUTURE",VLOOKUP(MID(I3701,2,2),Futures!$A$2:$B$12,2),1),"")</f>
        <v/>
      </c>
      <c r="S3701" s="13">
        <f>IF(AND(H3701="TO CLOSE",P3701=0),-G3701*(M3701-R3700)*IF(E3701="FUTURE",VLOOKUP(MID(I3701,2,2),Futures!$A$2:$B$12,2),1),"")</f>
        <v>39.999999999999147</v>
      </c>
    </row>
    <row r="3702" spans="1:19" x14ac:dyDescent="0.2">
      <c r="A3702">
        <f t="shared" si="174"/>
        <v>1208</v>
      </c>
      <c r="B3702" s="3">
        <v>44216</v>
      </c>
      <c r="C3702" s="3" t="str">
        <f t="shared" si="179"/>
        <v>Wednesday</v>
      </c>
      <c r="D3702" s="2">
        <v>0.43203703703703705</v>
      </c>
      <c r="E3702" t="s">
        <v>14</v>
      </c>
      <c r="F3702" t="s">
        <v>15</v>
      </c>
      <c r="G3702">
        <v>-1</v>
      </c>
      <c r="H3702" t="s">
        <v>20</v>
      </c>
      <c r="I3702" t="s">
        <v>89</v>
      </c>
      <c r="J3702" s="1">
        <v>44276</v>
      </c>
      <c r="L3702" t="s">
        <v>14</v>
      </c>
      <c r="M3702">
        <v>3831</v>
      </c>
      <c r="N3702">
        <v>3831</v>
      </c>
      <c r="O3702" t="s">
        <v>21</v>
      </c>
      <c r="P3702">
        <f t="shared" si="176"/>
        <v>-1</v>
      </c>
      <c r="Q3702" s="11">
        <f>IF(P3702=0,0,IFERROR(Q3701+G3702*M3702*IF(E3702="FUTURE",VLOOKUP(MID(I3702,2,2),Futures!$A$2:$B$12,2),1),G3702*M3702*IF(E3702="FUTURE",VLOOKUP(MID(I3702,2,2),Futures!$A$2:$B$12,2),1)))</f>
        <v>-191550</v>
      </c>
      <c r="R3702" s="12">
        <f>IFERROR(Q3702/P3702/IF(E3702="FUTURE",VLOOKUP(MID(I3702,2,2),Futures!$A$2:$B$12,2),1),"")</f>
        <v>3831</v>
      </c>
      <c r="S3702" s="13" t="str">
        <f>IF(AND(H3702="TO CLOSE",P3702=0),-G3702*(M3702-R3701)*IF(E3702="FUTURE",VLOOKUP(MID(I3702,2,2),Futures!$A$2:$B$12,2),1),"")</f>
        <v/>
      </c>
    </row>
    <row r="3703" spans="1:19" x14ac:dyDescent="0.2">
      <c r="A3703">
        <f t="shared" si="174"/>
        <v>1208</v>
      </c>
      <c r="B3703" s="3">
        <v>44216</v>
      </c>
      <c r="C3703" s="3" t="str">
        <f t="shared" si="179"/>
        <v>Wednesday</v>
      </c>
      <c r="D3703" s="2">
        <v>0.43539351851851849</v>
      </c>
      <c r="E3703" t="s">
        <v>14</v>
      </c>
      <c r="F3703" t="s">
        <v>19</v>
      </c>
      <c r="G3703">
        <v>1</v>
      </c>
      <c r="H3703" t="s">
        <v>16</v>
      </c>
      <c r="I3703" t="s">
        <v>89</v>
      </c>
      <c r="J3703" s="1">
        <v>44276</v>
      </c>
      <c r="L3703" t="s">
        <v>14</v>
      </c>
      <c r="M3703">
        <v>3829</v>
      </c>
      <c r="N3703">
        <v>3829</v>
      </c>
      <c r="O3703" t="s">
        <v>21</v>
      </c>
      <c r="P3703">
        <f t="shared" si="176"/>
        <v>0</v>
      </c>
      <c r="Q3703" s="11">
        <f>IF(P3703=0,0,IFERROR(Q3702+G3703*M3703*IF(E3703="FUTURE",VLOOKUP(MID(I3703,2,2),Futures!$A$2:$B$12,2),1),G3703*M3703*IF(E3703="FUTURE",VLOOKUP(MID(I3703,2,2),Futures!$A$2:$B$12,2),1)))</f>
        <v>0</v>
      </c>
      <c r="R3703" s="12" t="str">
        <f>IFERROR(Q3703/P3703/IF(E3703="FUTURE",VLOOKUP(MID(I3703,2,2),Futures!$A$2:$B$12,2),1),"")</f>
        <v/>
      </c>
      <c r="S3703" s="13">
        <f>IF(AND(H3703="TO CLOSE",P3703=0),-G3703*(M3703-R3702)*IF(E3703="FUTURE",VLOOKUP(MID(I3703,2,2),Futures!$A$2:$B$12,2),1),"")</f>
        <v>100</v>
      </c>
    </row>
    <row r="3704" spans="1:19" x14ac:dyDescent="0.2">
      <c r="A3704">
        <f t="shared" si="174"/>
        <v>1209</v>
      </c>
      <c r="B3704" s="3">
        <v>44216</v>
      </c>
      <c r="C3704" s="3" t="str">
        <f t="shared" si="179"/>
        <v>Wednesday</v>
      </c>
      <c r="D3704" s="2">
        <v>0.44719907407407411</v>
      </c>
      <c r="E3704" t="s">
        <v>14</v>
      </c>
      <c r="F3704" t="s">
        <v>15</v>
      </c>
      <c r="G3704">
        <v>-1</v>
      </c>
      <c r="H3704" t="s">
        <v>20</v>
      </c>
      <c r="I3704" t="s">
        <v>89</v>
      </c>
      <c r="J3704" s="1">
        <v>44276</v>
      </c>
      <c r="L3704" t="s">
        <v>14</v>
      </c>
      <c r="M3704">
        <v>3833.5</v>
      </c>
      <c r="N3704">
        <v>3833.5</v>
      </c>
      <c r="O3704" t="s">
        <v>21</v>
      </c>
      <c r="P3704">
        <f t="shared" si="176"/>
        <v>-1</v>
      </c>
      <c r="Q3704" s="11">
        <f>IF(P3704=0,0,IFERROR(Q3703+G3704*M3704*IF(E3704="FUTURE",VLOOKUP(MID(I3704,2,2),Futures!$A$2:$B$12,2),1),G3704*M3704*IF(E3704="FUTURE",VLOOKUP(MID(I3704,2,2),Futures!$A$2:$B$12,2),1)))</f>
        <v>-191675</v>
      </c>
      <c r="R3704" s="12">
        <f>IFERROR(Q3704/P3704/IF(E3704="FUTURE",VLOOKUP(MID(I3704,2,2),Futures!$A$2:$B$12,2),1),"")</f>
        <v>3833.5</v>
      </c>
      <c r="S3704" s="13" t="str">
        <f>IF(AND(H3704="TO CLOSE",P3704=0),-G3704*(M3704-R3703)*IF(E3704="FUTURE",VLOOKUP(MID(I3704,2,2),Futures!$A$2:$B$12,2),1),"")</f>
        <v/>
      </c>
    </row>
    <row r="3705" spans="1:19" x14ac:dyDescent="0.2">
      <c r="A3705">
        <f t="shared" si="174"/>
        <v>1209</v>
      </c>
      <c r="B3705" s="3">
        <v>44216</v>
      </c>
      <c r="C3705" s="3" t="str">
        <f t="shared" si="179"/>
        <v>Wednesday</v>
      </c>
      <c r="D3705" s="2">
        <v>0.4553935185185185</v>
      </c>
      <c r="E3705" t="s">
        <v>14</v>
      </c>
      <c r="F3705" t="s">
        <v>19</v>
      </c>
      <c r="G3705">
        <v>1</v>
      </c>
      <c r="H3705" t="s">
        <v>16</v>
      </c>
      <c r="I3705" t="s">
        <v>89</v>
      </c>
      <c r="J3705" s="1">
        <v>44276</v>
      </c>
      <c r="L3705" t="s">
        <v>14</v>
      </c>
      <c r="M3705">
        <v>3832.5</v>
      </c>
      <c r="N3705">
        <v>3832.5</v>
      </c>
      <c r="O3705" t="s">
        <v>21</v>
      </c>
      <c r="P3705">
        <f t="shared" si="176"/>
        <v>0</v>
      </c>
      <c r="Q3705" s="11">
        <f>IF(P3705=0,0,IFERROR(Q3704+G3705*M3705*IF(E3705="FUTURE",VLOOKUP(MID(I3705,2,2),Futures!$A$2:$B$12,2),1),G3705*M3705*IF(E3705="FUTURE",VLOOKUP(MID(I3705,2,2),Futures!$A$2:$B$12,2),1)))</f>
        <v>0</v>
      </c>
      <c r="R3705" s="12" t="str">
        <f>IFERROR(Q3705/P3705/IF(E3705="FUTURE",VLOOKUP(MID(I3705,2,2),Futures!$A$2:$B$12,2),1),"")</f>
        <v/>
      </c>
      <c r="S3705" s="13">
        <f>IF(AND(H3705="TO CLOSE",P3705=0),-G3705*(M3705-R3704)*IF(E3705="FUTURE",VLOOKUP(MID(I3705,2,2),Futures!$A$2:$B$12,2),1),"")</f>
        <v>50</v>
      </c>
    </row>
    <row r="3706" spans="1:19" x14ac:dyDescent="0.2">
      <c r="A3706">
        <f t="shared" si="174"/>
        <v>1210</v>
      </c>
      <c r="B3706" s="3">
        <v>44216</v>
      </c>
      <c r="C3706" s="3" t="str">
        <f t="shared" si="179"/>
        <v>Wednesday</v>
      </c>
      <c r="D3706" s="2">
        <v>0.59750000000000003</v>
      </c>
      <c r="E3706" t="s">
        <v>14</v>
      </c>
      <c r="F3706" t="s">
        <v>15</v>
      </c>
      <c r="G3706">
        <v>-1</v>
      </c>
      <c r="H3706" t="s">
        <v>20</v>
      </c>
      <c r="I3706" t="s">
        <v>89</v>
      </c>
      <c r="J3706" s="1">
        <v>44276</v>
      </c>
      <c r="L3706" t="s">
        <v>14</v>
      </c>
      <c r="M3706">
        <v>3842</v>
      </c>
      <c r="N3706">
        <v>3842</v>
      </c>
      <c r="O3706" t="s">
        <v>21</v>
      </c>
      <c r="P3706">
        <f t="shared" si="176"/>
        <v>-1</v>
      </c>
      <c r="Q3706" s="11">
        <f>IF(P3706=0,0,IFERROR(Q3705+G3706*M3706*IF(E3706="FUTURE",VLOOKUP(MID(I3706,2,2),Futures!$A$2:$B$12,2),1),G3706*M3706*IF(E3706="FUTURE",VLOOKUP(MID(I3706,2,2),Futures!$A$2:$B$12,2),1)))</f>
        <v>-192100</v>
      </c>
      <c r="R3706" s="12">
        <f>IFERROR(Q3706/P3706/IF(E3706="FUTURE",VLOOKUP(MID(I3706,2,2),Futures!$A$2:$B$12,2),1),"")</f>
        <v>3842</v>
      </c>
      <c r="S3706" s="13" t="str">
        <f>IF(AND(H3706="TO CLOSE",P3706=0),-G3706*(M3706-R3705)*IF(E3706="FUTURE",VLOOKUP(MID(I3706,2,2),Futures!$A$2:$B$12,2),1),"")</f>
        <v/>
      </c>
    </row>
    <row r="3707" spans="1:19" x14ac:dyDescent="0.2">
      <c r="A3707">
        <f t="shared" si="174"/>
        <v>1210</v>
      </c>
      <c r="B3707" s="3">
        <v>44216</v>
      </c>
      <c r="C3707" s="3" t="str">
        <f t="shared" si="179"/>
        <v>Wednesday</v>
      </c>
      <c r="D3707" s="2">
        <v>0.59839120370370369</v>
      </c>
      <c r="E3707" t="s">
        <v>14</v>
      </c>
      <c r="F3707" t="s">
        <v>19</v>
      </c>
      <c r="G3707">
        <v>1</v>
      </c>
      <c r="H3707" t="s">
        <v>16</v>
      </c>
      <c r="I3707" t="s">
        <v>89</v>
      </c>
      <c r="J3707" s="1">
        <v>44276</v>
      </c>
      <c r="L3707" t="s">
        <v>14</v>
      </c>
      <c r="M3707">
        <v>3841.25</v>
      </c>
      <c r="N3707">
        <v>3841.25</v>
      </c>
      <c r="O3707" t="s">
        <v>21</v>
      </c>
      <c r="P3707">
        <f t="shared" si="176"/>
        <v>0</v>
      </c>
      <c r="Q3707" s="11">
        <f>IF(P3707=0,0,IFERROR(Q3706+G3707*M3707*IF(E3707="FUTURE",VLOOKUP(MID(I3707,2,2),Futures!$A$2:$B$12,2),1),G3707*M3707*IF(E3707="FUTURE",VLOOKUP(MID(I3707,2,2),Futures!$A$2:$B$12,2),1)))</f>
        <v>0</v>
      </c>
      <c r="R3707" s="12" t="str">
        <f>IFERROR(Q3707/P3707/IF(E3707="FUTURE",VLOOKUP(MID(I3707,2,2),Futures!$A$2:$B$12,2),1),"")</f>
        <v/>
      </c>
      <c r="S3707" s="13">
        <f>IF(AND(H3707="TO CLOSE",P3707=0),-G3707*(M3707-R3706)*IF(E3707="FUTURE",VLOOKUP(MID(I3707,2,2),Futures!$A$2:$B$12,2),1),"")</f>
        <v>37.5</v>
      </c>
    </row>
    <row r="3708" spans="1:19" x14ac:dyDescent="0.2">
      <c r="A3708">
        <f t="shared" si="174"/>
        <v>1211</v>
      </c>
      <c r="B3708" s="3">
        <v>44217</v>
      </c>
      <c r="C3708" s="3" t="str">
        <f t="shared" ref="C3708:C3719" si="180">IF(WEEKDAY(B3708,2)=1,"Monday",IF(WEEKDAY(B3708,2)=2,"Tuesday",IF(WEEKDAY(B3708,2)=3,"Wednesday",IF(WEEKDAY(B3708,2)=4,"Thursday",IF(WEEKDAY(B3708,2)=5,"Friday","Sunday")))))</f>
        <v>Thursday</v>
      </c>
      <c r="D3708" s="2">
        <v>0.40440972222222221</v>
      </c>
      <c r="E3708" t="s">
        <v>14</v>
      </c>
      <c r="F3708" t="s">
        <v>15</v>
      </c>
      <c r="G3708">
        <v>-1</v>
      </c>
      <c r="H3708" t="s">
        <v>20</v>
      </c>
      <c r="I3708" t="s">
        <v>97</v>
      </c>
      <c r="J3708" s="1">
        <v>44276</v>
      </c>
      <c r="L3708" t="s">
        <v>14</v>
      </c>
      <c r="M3708">
        <v>53.03</v>
      </c>
      <c r="N3708">
        <v>53.03</v>
      </c>
      <c r="O3708" t="s">
        <v>21</v>
      </c>
      <c r="P3708">
        <f t="shared" si="176"/>
        <v>-1</v>
      </c>
      <c r="Q3708" s="11">
        <f>IF(P3708=0,0,IFERROR(Q3707+G3708*M3708*IF(E3708="FUTURE",VLOOKUP(MID(I3708,2,2),Futures!$A$2:$B$12,2),1),G3708*M3708*IF(E3708="FUTURE",VLOOKUP(MID(I3708,2,2),Futures!$A$2:$B$12,2),1)))</f>
        <v>-53030</v>
      </c>
      <c r="R3708" s="12">
        <f>IFERROR(Q3708/P3708/IF(E3708="FUTURE",VLOOKUP(MID(I3708,2,2),Futures!$A$2:$B$12,2),1),"")</f>
        <v>53.03</v>
      </c>
      <c r="S3708" s="13" t="str">
        <f>IF(AND(H3708="TO CLOSE",P3708=0),-G3708*(M3708-R3707)*IF(E3708="FUTURE",VLOOKUP(MID(I3708,2,2),Futures!$A$2:$B$12,2),1),"")</f>
        <v/>
      </c>
    </row>
    <row r="3709" spans="1:19" x14ac:dyDescent="0.2">
      <c r="A3709">
        <f t="shared" si="174"/>
        <v>1211</v>
      </c>
      <c r="B3709" s="3">
        <v>44217</v>
      </c>
      <c r="C3709" s="3" t="str">
        <f t="shared" si="180"/>
        <v>Thursday</v>
      </c>
      <c r="D3709" s="2">
        <v>0.40613425925925922</v>
      </c>
      <c r="E3709" t="s">
        <v>14</v>
      </c>
      <c r="F3709" t="s">
        <v>19</v>
      </c>
      <c r="G3709">
        <v>1</v>
      </c>
      <c r="H3709" t="s">
        <v>16</v>
      </c>
      <c r="I3709" t="s">
        <v>97</v>
      </c>
      <c r="J3709" s="1">
        <v>44276</v>
      </c>
      <c r="L3709" t="s">
        <v>14</v>
      </c>
      <c r="M3709">
        <v>53.01</v>
      </c>
      <c r="N3709">
        <v>53.01</v>
      </c>
      <c r="O3709" t="s">
        <v>21</v>
      </c>
      <c r="P3709">
        <f t="shared" si="176"/>
        <v>0</v>
      </c>
      <c r="Q3709" s="11">
        <f>IF(P3709=0,0,IFERROR(Q3708+G3709*M3709*IF(E3709="FUTURE",VLOOKUP(MID(I3709,2,2),Futures!$A$2:$B$12,2),1),G3709*M3709*IF(E3709="FUTURE",VLOOKUP(MID(I3709,2,2),Futures!$A$2:$B$12,2),1)))</f>
        <v>0</v>
      </c>
      <c r="R3709" s="12" t="str">
        <f>IFERROR(Q3709/P3709/IF(E3709="FUTURE",VLOOKUP(MID(I3709,2,2),Futures!$A$2:$B$12,2),1),"")</f>
        <v/>
      </c>
      <c r="S3709" s="13">
        <f>IF(AND(H3709="TO CLOSE",P3709=0),-G3709*(M3709-R3708)*IF(E3709="FUTURE",VLOOKUP(MID(I3709,2,2),Futures!$A$2:$B$12,2),1),"")</f>
        <v>20.000000000003126</v>
      </c>
    </row>
    <row r="3710" spans="1:19" x14ac:dyDescent="0.2">
      <c r="A3710">
        <f t="shared" si="174"/>
        <v>1212</v>
      </c>
      <c r="B3710" s="3">
        <v>44217</v>
      </c>
      <c r="C3710" s="3" t="str">
        <f t="shared" si="180"/>
        <v>Thursday</v>
      </c>
      <c r="D3710" s="2">
        <v>0.40871527777777777</v>
      </c>
      <c r="E3710" t="s">
        <v>14</v>
      </c>
      <c r="F3710" t="s">
        <v>15</v>
      </c>
      <c r="G3710">
        <v>-1</v>
      </c>
      <c r="H3710" t="s">
        <v>20</v>
      </c>
      <c r="I3710" t="s">
        <v>97</v>
      </c>
      <c r="J3710" s="1">
        <v>44276</v>
      </c>
      <c r="L3710" t="s">
        <v>14</v>
      </c>
      <c r="M3710">
        <v>52.93</v>
      </c>
      <c r="N3710">
        <v>52.93</v>
      </c>
      <c r="O3710" t="s">
        <v>24</v>
      </c>
      <c r="P3710">
        <f t="shared" si="176"/>
        <v>-1</v>
      </c>
      <c r="Q3710" s="11">
        <f>IF(P3710=0,0,IFERROR(Q3709+G3710*M3710*IF(E3710="FUTURE",VLOOKUP(MID(I3710,2,2),Futures!$A$2:$B$12,2),1),G3710*M3710*IF(E3710="FUTURE",VLOOKUP(MID(I3710,2,2),Futures!$A$2:$B$12,2),1)))</f>
        <v>-52930</v>
      </c>
      <c r="R3710" s="12">
        <f>IFERROR(Q3710/P3710/IF(E3710="FUTURE",VLOOKUP(MID(I3710,2,2),Futures!$A$2:$B$12,2),1),"")</f>
        <v>52.93</v>
      </c>
      <c r="S3710" s="13" t="str">
        <f>IF(AND(H3710="TO CLOSE",P3710=0),-G3710*(M3710-R3709)*IF(E3710="FUTURE",VLOOKUP(MID(I3710,2,2),Futures!$A$2:$B$12,2),1),"")</f>
        <v/>
      </c>
    </row>
    <row r="3711" spans="1:19" x14ac:dyDescent="0.2">
      <c r="A3711">
        <f t="shared" si="174"/>
        <v>1212</v>
      </c>
      <c r="B3711" s="3">
        <v>44217</v>
      </c>
      <c r="C3711" s="3" t="str">
        <f t="shared" si="180"/>
        <v>Thursday</v>
      </c>
      <c r="D3711" s="2">
        <v>0.41435185185185186</v>
      </c>
      <c r="E3711" t="s">
        <v>14</v>
      </c>
      <c r="F3711" t="s">
        <v>19</v>
      </c>
      <c r="G3711">
        <v>1</v>
      </c>
      <c r="H3711" t="s">
        <v>16</v>
      </c>
      <c r="I3711" t="s">
        <v>97</v>
      </c>
      <c r="J3711" s="1">
        <v>44276</v>
      </c>
      <c r="L3711" t="s">
        <v>14</v>
      </c>
      <c r="M3711">
        <v>52.91</v>
      </c>
      <c r="N3711">
        <v>52.91</v>
      </c>
      <c r="O3711" t="s">
        <v>21</v>
      </c>
      <c r="P3711">
        <f t="shared" si="176"/>
        <v>0</v>
      </c>
      <c r="Q3711" s="11">
        <f>IF(P3711=0,0,IFERROR(Q3710+G3711*M3711*IF(E3711="FUTURE",VLOOKUP(MID(I3711,2,2),Futures!$A$2:$B$12,2),1),G3711*M3711*IF(E3711="FUTURE",VLOOKUP(MID(I3711,2,2),Futures!$A$2:$B$12,2),1)))</f>
        <v>0</v>
      </c>
      <c r="R3711" s="12" t="str">
        <f>IFERROR(Q3711/P3711/IF(E3711="FUTURE",VLOOKUP(MID(I3711,2,2),Futures!$A$2:$B$12,2),1),"")</f>
        <v/>
      </c>
      <c r="S3711" s="13">
        <f>IF(AND(H3711="TO CLOSE",P3711=0),-G3711*(M3711-R3710)*IF(E3711="FUTURE",VLOOKUP(MID(I3711,2,2),Futures!$A$2:$B$12,2),1),"")</f>
        <v>20.000000000003126</v>
      </c>
    </row>
    <row r="3712" spans="1:19" x14ac:dyDescent="0.2">
      <c r="A3712">
        <f t="shared" si="174"/>
        <v>1213</v>
      </c>
      <c r="B3712" s="3">
        <v>44217</v>
      </c>
      <c r="C3712" s="3" t="str">
        <f t="shared" si="180"/>
        <v>Thursday</v>
      </c>
      <c r="D3712" s="2">
        <v>0.41802083333333334</v>
      </c>
      <c r="E3712" t="s">
        <v>14</v>
      </c>
      <c r="F3712" t="s">
        <v>15</v>
      </c>
      <c r="G3712">
        <v>-2</v>
      </c>
      <c r="H3712" t="s">
        <v>20</v>
      </c>
      <c r="I3712" t="s">
        <v>97</v>
      </c>
      <c r="J3712" s="1">
        <v>44276</v>
      </c>
      <c r="L3712" t="s">
        <v>14</v>
      </c>
      <c r="M3712">
        <v>52.81</v>
      </c>
      <c r="N3712">
        <v>52.81</v>
      </c>
      <c r="O3712" t="s">
        <v>21</v>
      </c>
      <c r="P3712">
        <f t="shared" si="176"/>
        <v>-2</v>
      </c>
      <c r="Q3712" s="11">
        <f>IF(P3712=0,0,IFERROR(Q3711+G3712*M3712*IF(E3712="FUTURE",VLOOKUP(MID(I3712,2,2),Futures!$A$2:$B$12,2),1),G3712*M3712*IF(E3712="FUTURE",VLOOKUP(MID(I3712,2,2),Futures!$A$2:$B$12,2),1)))</f>
        <v>-105620</v>
      </c>
      <c r="R3712" s="12">
        <f>IFERROR(Q3712/P3712/IF(E3712="FUTURE",VLOOKUP(MID(I3712,2,2),Futures!$A$2:$B$12,2),1),"")</f>
        <v>52.81</v>
      </c>
      <c r="S3712" s="13" t="str">
        <f>IF(AND(H3712="TO CLOSE",P3712=0),-G3712*(M3712-R3711)*IF(E3712="FUTURE",VLOOKUP(MID(I3712,2,2),Futures!$A$2:$B$12,2),1),"")</f>
        <v/>
      </c>
    </row>
    <row r="3713" spans="1:19" x14ac:dyDescent="0.2">
      <c r="A3713">
        <f t="shared" si="174"/>
        <v>1213</v>
      </c>
      <c r="B3713" s="3">
        <v>44217</v>
      </c>
      <c r="C3713" s="3" t="str">
        <f t="shared" si="180"/>
        <v>Thursday</v>
      </c>
      <c r="D3713" s="2">
        <v>0.42350694444444442</v>
      </c>
      <c r="E3713" t="s">
        <v>14</v>
      </c>
      <c r="F3713" t="s">
        <v>19</v>
      </c>
      <c r="G3713">
        <v>2</v>
      </c>
      <c r="H3713" t="s">
        <v>16</v>
      </c>
      <c r="I3713" t="s">
        <v>97</v>
      </c>
      <c r="J3713" s="1">
        <v>44276</v>
      </c>
      <c r="L3713" t="s">
        <v>14</v>
      </c>
      <c r="M3713">
        <v>52.87</v>
      </c>
      <c r="N3713">
        <v>52.87</v>
      </c>
      <c r="O3713" t="s">
        <v>24</v>
      </c>
      <c r="P3713">
        <f t="shared" si="176"/>
        <v>0</v>
      </c>
      <c r="Q3713" s="11">
        <f>IF(P3713=0,0,IFERROR(Q3712+G3713*M3713*IF(E3713="FUTURE",VLOOKUP(MID(I3713,2,2),Futures!$A$2:$B$12,2),1),G3713*M3713*IF(E3713="FUTURE",VLOOKUP(MID(I3713,2,2),Futures!$A$2:$B$12,2),1)))</f>
        <v>0</v>
      </c>
      <c r="R3713" s="12" t="str">
        <f>IFERROR(Q3713/P3713/IF(E3713="FUTURE",VLOOKUP(MID(I3713,2,2),Futures!$A$2:$B$12,2),1),"")</f>
        <v/>
      </c>
      <c r="S3713" s="13">
        <f>IF(AND(H3713="TO CLOSE",P3713=0),-G3713*(M3713-R3712)*IF(E3713="FUTURE",VLOOKUP(MID(I3713,2,2),Futures!$A$2:$B$12,2),1),"")</f>
        <v>-119.99999999999034</v>
      </c>
    </row>
    <row r="3714" spans="1:19" x14ac:dyDescent="0.2">
      <c r="A3714">
        <f t="shared" ref="A3714:A3777" si="181">IF(AND(P3713=0,H3713="TO CLOSE"),IFERROR(A3713+1,1),IFERROR(A3713/1,1))</f>
        <v>1214</v>
      </c>
      <c r="B3714" s="3">
        <v>44217</v>
      </c>
      <c r="C3714" s="3" t="str">
        <f t="shared" si="180"/>
        <v>Thursday</v>
      </c>
      <c r="D3714" s="42">
        <v>0.44112268518518521</v>
      </c>
      <c r="E3714" t="s">
        <v>14</v>
      </c>
      <c r="F3714" t="s">
        <v>15</v>
      </c>
      <c r="G3714">
        <v>-1</v>
      </c>
      <c r="H3714" t="s">
        <v>20</v>
      </c>
      <c r="I3714" t="s">
        <v>97</v>
      </c>
      <c r="J3714" s="1">
        <v>44276</v>
      </c>
      <c r="L3714" t="s">
        <v>14</v>
      </c>
      <c r="M3714">
        <v>53.09</v>
      </c>
      <c r="N3714">
        <v>53.09</v>
      </c>
      <c r="O3714" t="s">
        <v>21</v>
      </c>
      <c r="P3714">
        <f t="shared" si="176"/>
        <v>-1</v>
      </c>
      <c r="Q3714" s="11">
        <f>IF(P3714=0,0,IFERROR(Q3713+G3714*M3714*IF(E3714="FUTURE",VLOOKUP(MID(I3714,2,2),Futures!$A$2:$B$12,2),1),G3714*M3714*IF(E3714="FUTURE",VLOOKUP(MID(I3714,2,2),Futures!$A$2:$B$12,2),1)))</f>
        <v>-53090</v>
      </c>
      <c r="R3714" s="12">
        <f>IFERROR(Q3714/P3714/IF(E3714="FUTURE",VLOOKUP(MID(I3714,2,2),Futures!$A$2:$B$12,2),1),"")</f>
        <v>53.09</v>
      </c>
      <c r="S3714" s="13" t="str">
        <f>IF(AND(H3714="TO CLOSE",P3714=0),-G3714*(M3714-R3713)*IF(E3714="FUTURE",VLOOKUP(MID(I3714,2,2),Futures!$A$2:$B$12,2),1),"")</f>
        <v/>
      </c>
    </row>
    <row r="3715" spans="1:19" x14ac:dyDescent="0.2">
      <c r="A3715">
        <f t="shared" si="181"/>
        <v>1214</v>
      </c>
      <c r="B3715" s="3">
        <v>44217</v>
      </c>
      <c r="C3715" s="3" t="str">
        <f t="shared" si="180"/>
        <v>Thursday</v>
      </c>
      <c r="D3715" s="42">
        <v>0.47012731481481485</v>
      </c>
      <c r="E3715" t="s">
        <v>14</v>
      </c>
      <c r="F3715" t="s">
        <v>15</v>
      </c>
      <c r="G3715">
        <v>-1</v>
      </c>
      <c r="H3715" t="s">
        <v>20</v>
      </c>
      <c r="I3715" t="s">
        <v>97</v>
      </c>
      <c r="J3715" s="1">
        <v>44276</v>
      </c>
      <c r="L3715" t="s">
        <v>14</v>
      </c>
      <c r="M3715">
        <v>53.35</v>
      </c>
      <c r="N3715">
        <v>53.35</v>
      </c>
      <c r="O3715" t="s">
        <v>21</v>
      </c>
      <c r="P3715">
        <f t="shared" ref="P3715:P3778" si="182">IF(H3715="TO OPEN",IFERROR(P3714+G3715,0+G3715),IFERROR(P3714+G3715,0+G3715))</f>
        <v>-2</v>
      </c>
      <c r="Q3715" s="11">
        <f>IF(P3715=0,0,IFERROR(Q3714+G3715*M3715*IF(E3715="FUTURE",VLOOKUP(MID(I3715,2,2),Futures!$A$2:$B$12,2),1),G3715*M3715*IF(E3715="FUTURE",VLOOKUP(MID(I3715,2,2),Futures!$A$2:$B$12,2),1)))</f>
        <v>-106440</v>
      </c>
      <c r="R3715" s="12">
        <f>IFERROR(Q3715/P3715/IF(E3715="FUTURE",VLOOKUP(MID(I3715,2,2),Futures!$A$2:$B$12,2),1),"")</f>
        <v>53.22</v>
      </c>
      <c r="S3715" s="13" t="str">
        <f>IF(AND(H3715="TO CLOSE",P3715=0),-G3715*(M3715-R3714)*IF(E3715="FUTURE",VLOOKUP(MID(I3715,2,2),Futures!$A$2:$B$12,2),1),"")</f>
        <v/>
      </c>
    </row>
    <row r="3716" spans="1:19" x14ac:dyDescent="0.2">
      <c r="A3716">
        <f t="shared" si="181"/>
        <v>1214</v>
      </c>
      <c r="B3716" s="3">
        <v>44217</v>
      </c>
      <c r="C3716" s="3" t="str">
        <f t="shared" si="180"/>
        <v>Thursday</v>
      </c>
      <c r="D3716" s="42">
        <v>0.4745949074074074</v>
      </c>
      <c r="E3716" t="s">
        <v>14</v>
      </c>
      <c r="F3716" t="s">
        <v>19</v>
      </c>
      <c r="G3716">
        <v>1</v>
      </c>
      <c r="H3716" t="s">
        <v>16</v>
      </c>
      <c r="I3716" t="s">
        <v>97</v>
      </c>
      <c r="J3716" s="1">
        <v>44276</v>
      </c>
      <c r="L3716" t="s">
        <v>14</v>
      </c>
      <c r="M3716">
        <v>53.26</v>
      </c>
      <c r="N3716">
        <v>53.26</v>
      </c>
      <c r="O3716" t="s">
        <v>21</v>
      </c>
      <c r="P3716">
        <f t="shared" si="182"/>
        <v>-1</v>
      </c>
      <c r="Q3716" s="11">
        <f>IF(P3716=0,0,IFERROR(Q3715+G3716*M3716*IF(E3716="FUTURE",VLOOKUP(MID(I3716,2,2),Futures!$A$2:$B$12,2),1),G3716*M3716*IF(E3716="FUTURE",VLOOKUP(MID(I3716,2,2),Futures!$A$2:$B$12,2),1)))</f>
        <v>-53180</v>
      </c>
      <c r="R3716" s="12">
        <f>IFERROR(Q3716/P3716/IF(E3716="FUTURE",VLOOKUP(MID(I3716,2,2),Futures!$A$2:$B$12,2),1),"")</f>
        <v>53.18</v>
      </c>
      <c r="S3716" s="13" t="str">
        <f>IF(AND(H3716="TO CLOSE",P3716=0),-G3716*(M3716-R3715)*IF(E3716="FUTURE",VLOOKUP(MID(I3716,2,2),Futures!$A$2:$B$12,2),1),"")</f>
        <v/>
      </c>
    </row>
    <row r="3717" spans="1:19" x14ac:dyDescent="0.2">
      <c r="A3717">
        <f t="shared" si="181"/>
        <v>1214</v>
      </c>
      <c r="B3717" s="3">
        <v>44217</v>
      </c>
      <c r="C3717" s="3" t="str">
        <f t="shared" si="180"/>
        <v>Thursday</v>
      </c>
      <c r="D3717" s="42">
        <v>0.48224537037037035</v>
      </c>
      <c r="E3717" t="s">
        <v>14</v>
      </c>
      <c r="F3717" t="s">
        <v>19</v>
      </c>
      <c r="G3717">
        <v>1</v>
      </c>
      <c r="H3717" t="s">
        <v>16</v>
      </c>
      <c r="I3717" t="s">
        <v>97</v>
      </c>
      <c r="J3717" s="1">
        <v>44276</v>
      </c>
      <c r="L3717" t="s">
        <v>14</v>
      </c>
      <c r="M3717">
        <v>53</v>
      </c>
      <c r="N3717">
        <v>53</v>
      </c>
      <c r="O3717" t="s">
        <v>21</v>
      </c>
      <c r="P3717">
        <f t="shared" si="182"/>
        <v>0</v>
      </c>
      <c r="Q3717" s="11">
        <f>IF(P3717=0,0,IFERROR(Q3716+G3717*M3717*IF(E3717="FUTURE",VLOOKUP(MID(I3717,2,2),Futures!$A$2:$B$12,2),1),G3717*M3717*IF(E3717="FUTURE",VLOOKUP(MID(I3717,2,2),Futures!$A$2:$B$12,2),1)))</f>
        <v>0</v>
      </c>
      <c r="R3717" s="12" t="str">
        <f>IFERROR(Q3717/P3717/IF(E3717="FUTURE",VLOOKUP(MID(I3717,2,2),Futures!$A$2:$B$12,2),1),"")</f>
        <v/>
      </c>
      <c r="S3717" s="13">
        <f>IF(AND(H3717="TO CLOSE",P3717=0),-G3717*(M3717-R3716)*IF(E3717="FUTURE",VLOOKUP(MID(I3717,2,2),Futures!$A$2:$B$12,2),1),"")</f>
        <v>179.99999999999972</v>
      </c>
    </row>
    <row r="3718" spans="1:19" x14ac:dyDescent="0.2">
      <c r="A3718">
        <f t="shared" si="181"/>
        <v>1215</v>
      </c>
      <c r="B3718" s="3">
        <v>44217</v>
      </c>
      <c r="C3718" s="3" t="str">
        <f t="shared" si="180"/>
        <v>Thursday</v>
      </c>
      <c r="D3718" s="2">
        <v>0.42380787037037032</v>
      </c>
      <c r="E3718" t="s">
        <v>14</v>
      </c>
      <c r="F3718" t="s">
        <v>19</v>
      </c>
      <c r="G3718">
        <v>1</v>
      </c>
      <c r="H3718" t="s">
        <v>20</v>
      </c>
      <c r="I3718" t="s">
        <v>89</v>
      </c>
      <c r="J3718" s="1">
        <v>44276</v>
      </c>
      <c r="L3718" t="s">
        <v>14</v>
      </c>
      <c r="M3718">
        <v>3842.5</v>
      </c>
      <c r="N3718">
        <v>3842.5</v>
      </c>
      <c r="O3718" t="s">
        <v>24</v>
      </c>
      <c r="P3718">
        <f t="shared" si="182"/>
        <v>1</v>
      </c>
      <c r="Q3718" s="11">
        <f>IF(P3718=0,0,IFERROR(Q3717+G3718*M3718*IF(E3718="FUTURE",VLOOKUP(MID(I3718,2,2),Futures!$A$2:$B$12,2),1),G3718*M3718*IF(E3718="FUTURE",VLOOKUP(MID(I3718,2,2),Futures!$A$2:$B$12,2),1)))</f>
        <v>192125</v>
      </c>
      <c r="R3718" s="12">
        <f>IFERROR(Q3718/P3718/IF(E3718="FUTURE",VLOOKUP(MID(I3718,2,2),Futures!$A$2:$B$12,2),1),"")</f>
        <v>3842.5</v>
      </c>
      <c r="S3718" s="13" t="str">
        <f>IF(AND(H3718="TO CLOSE",P3718=0),-G3718*(M3718-R3717)*IF(E3718="FUTURE",VLOOKUP(MID(I3718,2,2),Futures!$A$2:$B$12,2),1),"")</f>
        <v/>
      </c>
    </row>
    <row r="3719" spans="1:19" x14ac:dyDescent="0.2">
      <c r="A3719">
        <f t="shared" si="181"/>
        <v>1215</v>
      </c>
      <c r="B3719" s="3">
        <v>44217</v>
      </c>
      <c r="C3719" s="3" t="str">
        <f t="shared" si="180"/>
        <v>Thursday</v>
      </c>
      <c r="D3719" s="2">
        <v>0.42528935185185185</v>
      </c>
      <c r="E3719" t="s">
        <v>14</v>
      </c>
      <c r="F3719" t="s">
        <v>15</v>
      </c>
      <c r="G3719">
        <v>-1</v>
      </c>
      <c r="H3719" t="s">
        <v>16</v>
      </c>
      <c r="I3719" t="s">
        <v>89</v>
      </c>
      <c r="J3719" s="1">
        <v>44276</v>
      </c>
      <c r="L3719" t="s">
        <v>14</v>
      </c>
      <c r="M3719">
        <v>3846.75</v>
      </c>
      <c r="N3719">
        <v>3846.75</v>
      </c>
      <c r="O3719" t="s">
        <v>21</v>
      </c>
      <c r="P3719">
        <f t="shared" si="182"/>
        <v>0</v>
      </c>
      <c r="Q3719" s="11">
        <f>IF(P3719=0,0,IFERROR(Q3718+G3719*M3719*IF(E3719="FUTURE",VLOOKUP(MID(I3719,2,2),Futures!$A$2:$B$12,2),1),G3719*M3719*IF(E3719="FUTURE",VLOOKUP(MID(I3719,2,2),Futures!$A$2:$B$12,2),1)))</f>
        <v>0</v>
      </c>
      <c r="R3719" s="12" t="str">
        <f>IFERROR(Q3719/P3719/IF(E3719="FUTURE",VLOOKUP(MID(I3719,2,2),Futures!$A$2:$B$12,2),1),"")</f>
        <v/>
      </c>
      <c r="S3719" s="13">
        <f>IF(AND(H3719="TO CLOSE",P3719=0),-G3719*(M3719-R3718)*IF(E3719="FUTURE",VLOOKUP(MID(I3719,2,2),Futures!$A$2:$B$12,2),1),"")</f>
        <v>212.5</v>
      </c>
    </row>
    <row r="3720" spans="1:19" x14ac:dyDescent="0.2">
      <c r="A3720">
        <f t="shared" si="181"/>
        <v>1216</v>
      </c>
      <c r="B3720" s="3">
        <v>44218</v>
      </c>
      <c r="C3720" s="3" t="str">
        <f t="shared" ref="C3720:C3729" si="183">IF(WEEKDAY(B3720,2)=1,"Monday",IF(WEEKDAY(B3720,2)=2,"Tuesday",IF(WEEKDAY(B3720,2)=3,"Wednesday",IF(WEEKDAY(B3720,2)=4,"Thursday",IF(WEEKDAY(B3720,2)=5,"Friday","Sunday")))))</f>
        <v>Friday</v>
      </c>
      <c r="D3720" s="2">
        <v>0.37716435185185188</v>
      </c>
      <c r="E3720" t="s">
        <v>14</v>
      </c>
      <c r="F3720" t="s">
        <v>19</v>
      </c>
      <c r="G3720">
        <v>1</v>
      </c>
      <c r="H3720" t="s">
        <v>20</v>
      </c>
      <c r="I3720" t="s">
        <v>97</v>
      </c>
      <c r="J3720" s="1">
        <v>44276</v>
      </c>
      <c r="L3720" t="s">
        <v>14</v>
      </c>
      <c r="M3720">
        <v>51.57</v>
      </c>
      <c r="N3720">
        <v>51.57</v>
      </c>
      <c r="O3720" t="s">
        <v>21</v>
      </c>
      <c r="P3720">
        <f t="shared" si="182"/>
        <v>1</v>
      </c>
      <c r="Q3720" s="11">
        <f>IF(P3720=0,0,IFERROR(Q3719+G3720*M3720*IF(E3720="FUTURE",VLOOKUP(MID(I3720,2,2),Futures!$A$2:$B$12,2),1),G3720*M3720*IF(E3720="FUTURE",VLOOKUP(MID(I3720,2,2),Futures!$A$2:$B$12,2),1)))</f>
        <v>51570</v>
      </c>
      <c r="R3720" s="12">
        <f>IFERROR(Q3720/P3720/IF(E3720="FUTURE",VLOOKUP(MID(I3720,2,2),Futures!$A$2:$B$12,2),1),"")</f>
        <v>51.57</v>
      </c>
      <c r="S3720" s="13" t="str">
        <f>IF(AND(H3720="TO CLOSE",P3720=0),-G3720*(M3720-R3719)*IF(E3720="FUTURE",VLOOKUP(MID(I3720,2,2),Futures!$A$2:$B$12,2),1),"")</f>
        <v/>
      </c>
    </row>
    <row r="3721" spans="1:19" x14ac:dyDescent="0.2">
      <c r="A3721">
        <f t="shared" si="181"/>
        <v>1216</v>
      </c>
      <c r="B3721" s="3">
        <v>44218</v>
      </c>
      <c r="C3721" s="3" t="str">
        <f t="shared" si="183"/>
        <v>Friday</v>
      </c>
      <c r="D3721" s="2">
        <v>0.38498842592592591</v>
      </c>
      <c r="E3721" t="s">
        <v>14</v>
      </c>
      <c r="F3721" t="s">
        <v>15</v>
      </c>
      <c r="G3721">
        <v>-1</v>
      </c>
      <c r="H3721" t="s">
        <v>16</v>
      </c>
      <c r="I3721" t="s">
        <v>97</v>
      </c>
      <c r="J3721" s="1">
        <v>44276</v>
      </c>
      <c r="L3721" t="s">
        <v>14</v>
      </c>
      <c r="M3721">
        <v>51.8</v>
      </c>
      <c r="N3721">
        <v>51.8</v>
      </c>
      <c r="O3721" t="s">
        <v>21</v>
      </c>
      <c r="P3721">
        <f t="shared" si="182"/>
        <v>0</v>
      </c>
      <c r="Q3721" s="11">
        <f>IF(P3721=0,0,IFERROR(Q3720+G3721*M3721*IF(E3721="FUTURE",VLOOKUP(MID(I3721,2,2),Futures!$A$2:$B$12,2),1),G3721*M3721*IF(E3721="FUTURE",VLOOKUP(MID(I3721,2,2),Futures!$A$2:$B$12,2),1)))</f>
        <v>0</v>
      </c>
      <c r="R3721" s="12" t="str">
        <f>IFERROR(Q3721/P3721/IF(E3721="FUTURE",VLOOKUP(MID(I3721,2,2),Futures!$A$2:$B$12,2),1),"")</f>
        <v/>
      </c>
      <c r="S3721" s="13">
        <f>IF(AND(H3721="TO CLOSE",P3721=0),-G3721*(M3721-R3720)*IF(E3721="FUTURE",VLOOKUP(MID(I3721,2,2),Futures!$A$2:$B$12,2),1),"")</f>
        <v>229.99999999999687</v>
      </c>
    </row>
    <row r="3722" spans="1:19" x14ac:dyDescent="0.2">
      <c r="A3722">
        <f t="shared" si="181"/>
        <v>1217</v>
      </c>
      <c r="B3722" s="3">
        <v>44218</v>
      </c>
      <c r="C3722" s="3" t="str">
        <f t="shared" si="183"/>
        <v>Friday</v>
      </c>
      <c r="D3722" s="2">
        <v>0.3969212962962963</v>
      </c>
      <c r="E3722" t="s">
        <v>14</v>
      </c>
      <c r="F3722" t="s">
        <v>19</v>
      </c>
      <c r="G3722">
        <v>1</v>
      </c>
      <c r="H3722" t="s">
        <v>20</v>
      </c>
      <c r="I3722" t="s">
        <v>97</v>
      </c>
      <c r="J3722" s="1">
        <v>44276</v>
      </c>
      <c r="L3722" t="s">
        <v>14</v>
      </c>
      <c r="M3722">
        <v>51.68</v>
      </c>
      <c r="N3722">
        <v>51.68</v>
      </c>
      <c r="O3722" t="s">
        <v>21</v>
      </c>
      <c r="P3722">
        <f t="shared" si="182"/>
        <v>1</v>
      </c>
      <c r="Q3722" s="11">
        <f>IF(P3722=0,0,IFERROR(Q3721+G3722*M3722*IF(E3722="FUTURE",VLOOKUP(MID(I3722,2,2),Futures!$A$2:$B$12,2),1),G3722*M3722*IF(E3722="FUTURE",VLOOKUP(MID(I3722,2,2),Futures!$A$2:$B$12,2),1)))</f>
        <v>51680</v>
      </c>
      <c r="R3722" s="12">
        <f>IFERROR(Q3722/P3722/IF(E3722="FUTURE",VLOOKUP(MID(I3722,2,2),Futures!$A$2:$B$12,2),1),"")</f>
        <v>51.68</v>
      </c>
      <c r="S3722" s="13" t="str">
        <f>IF(AND(H3722="TO CLOSE",P3722=0),-G3722*(M3722-R3721)*IF(E3722="FUTURE",VLOOKUP(MID(I3722,2,2),Futures!$A$2:$B$12,2),1),"")</f>
        <v/>
      </c>
    </row>
    <row r="3723" spans="1:19" x14ac:dyDescent="0.2">
      <c r="A3723">
        <f t="shared" si="181"/>
        <v>1217</v>
      </c>
      <c r="B3723" s="3">
        <v>44218</v>
      </c>
      <c r="C3723" s="3" t="str">
        <f t="shared" si="183"/>
        <v>Friday</v>
      </c>
      <c r="D3723" s="2">
        <v>0.3979861111111111</v>
      </c>
      <c r="E3723" t="s">
        <v>14</v>
      </c>
      <c r="F3723" t="s">
        <v>15</v>
      </c>
      <c r="G3723">
        <v>-1</v>
      </c>
      <c r="H3723" t="s">
        <v>16</v>
      </c>
      <c r="I3723" t="s">
        <v>97</v>
      </c>
      <c r="J3723" s="1">
        <v>44276</v>
      </c>
      <c r="L3723" t="s">
        <v>14</v>
      </c>
      <c r="M3723">
        <v>51.72</v>
      </c>
      <c r="N3723">
        <v>51.72</v>
      </c>
      <c r="O3723" t="s">
        <v>21</v>
      </c>
      <c r="P3723">
        <f t="shared" si="182"/>
        <v>0</v>
      </c>
      <c r="Q3723" s="11">
        <f>IF(P3723=0,0,IFERROR(Q3722+G3723*M3723*IF(E3723="FUTURE",VLOOKUP(MID(I3723,2,2),Futures!$A$2:$B$12,2),1),G3723*M3723*IF(E3723="FUTURE",VLOOKUP(MID(I3723,2,2),Futures!$A$2:$B$12,2),1)))</f>
        <v>0</v>
      </c>
      <c r="R3723" s="12" t="str">
        <f>IFERROR(Q3723/P3723/IF(E3723="FUTURE",VLOOKUP(MID(I3723,2,2),Futures!$A$2:$B$12,2),1),"")</f>
        <v/>
      </c>
      <c r="S3723" s="13">
        <f>IF(AND(H3723="TO CLOSE",P3723=0),-G3723*(M3723-R3722)*IF(E3723="FUTURE",VLOOKUP(MID(I3723,2,2),Futures!$A$2:$B$12,2),1),"")</f>
        <v>39.999999999999147</v>
      </c>
    </row>
    <row r="3724" spans="1:19" x14ac:dyDescent="0.2">
      <c r="A3724">
        <f t="shared" si="181"/>
        <v>1218</v>
      </c>
      <c r="B3724" s="3">
        <v>44218</v>
      </c>
      <c r="C3724" s="3" t="str">
        <f t="shared" si="183"/>
        <v>Friday</v>
      </c>
      <c r="D3724" s="2">
        <v>0.40281250000000002</v>
      </c>
      <c r="E3724" t="s">
        <v>14</v>
      </c>
      <c r="F3724" t="s">
        <v>15</v>
      </c>
      <c r="G3724">
        <v>-1</v>
      </c>
      <c r="H3724" t="s">
        <v>20</v>
      </c>
      <c r="I3724" t="s">
        <v>97</v>
      </c>
      <c r="J3724" s="1">
        <v>44276</v>
      </c>
      <c r="L3724" t="s">
        <v>14</v>
      </c>
      <c r="M3724">
        <v>52.04</v>
      </c>
      <c r="N3724">
        <v>52.04</v>
      </c>
      <c r="O3724" t="s">
        <v>21</v>
      </c>
      <c r="P3724">
        <f t="shared" si="182"/>
        <v>-1</v>
      </c>
      <c r="Q3724" s="11">
        <f>IF(P3724=0,0,IFERROR(Q3723+G3724*M3724*IF(E3724="FUTURE",VLOOKUP(MID(I3724,2,2),Futures!$A$2:$B$12,2),1),G3724*M3724*IF(E3724="FUTURE",VLOOKUP(MID(I3724,2,2),Futures!$A$2:$B$12,2),1)))</f>
        <v>-52040</v>
      </c>
      <c r="R3724" s="12">
        <f>IFERROR(Q3724/P3724/IF(E3724="FUTURE",VLOOKUP(MID(I3724,2,2),Futures!$A$2:$B$12,2),1),"")</f>
        <v>52.04</v>
      </c>
      <c r="S3724" s="13" t="str">
        <f>IF(AND(H3724="TO CLOSE",P3724=0),-G3724*(M3724-R3723)*IF(E3724="FUTURE",VLOOKUP(MID(I3724,2,2),Futures!$A$2:$B$12,2),1),"")</f>
        <v/>
      </c>
    </row>
    <row r="3725" spans="1:19" x14ac:dyDescent="0.2">
      <c r="A3725">
        <f t="shared" si="181"/>
        <v>1218</v>
      </c>
      <c r="B3725" s="3">
        <v>44218</v>
      </c>
      <c r="C3725" s="3" t="str">
        <f t="shared" si="183"/>
        <v>Friday</v>
      </c>
      <c r="D3725" s="2">
        <v>0.40800925925925924</v>
      </c>
      <c r="E3725" t="s">
        <v>14</v>
      </c>
      <c r="F3725" t="s">
        <v>15</v>
      </c>
      <c r="G3725">
        <v>-1</v>
      </c>
      <c r="H3725" t="s">
        <v>20</v>
      </c>
      <c r="I3725" t="s">
        <v>97</v>
      </c>
      <c r="J3725" s="1">
        <v>44276</v>
      </c>
      <c r="L3725" t="s">
        <v>14</v>
      </c>
      <c r="M3725">
        <v>52.24</v>
      </c>
      <c r="N3725">
        <v>52.24</v>
      </c>
      <c r="O3725" t="s">
        <v>21</v>
      </c>
      <c r="P3725">
        <f t="shared" si="182"/>
        <v>-2</v>
      </c>
      <c r="Q3725" s="11">
        <f>IF(P3725=0,0,IFERROR(Q3724+G3725*M3725*IF(E3725="FUTURE",VLOOKUP(MID(I3725,2,2),Futures!$A$2:$B$12,2),1),G3725*M3725*IF(E3725="FUTURE",VLOOKUP(MID(I3725,2,2),Futures!$A$2:$B$12,2),1)))</f>
        <v>-104280</v>
      </c>
      <c r="R3725" s="12">
        <f>IFERROR(Q3725/P3725/IF(E3725="FUTURE",VLOOKUP(MID(I3725,2,2),Futures!$A$2:$B$12,2),1),"")</f>
        <v>52.14</v>
      </c>
      <c r="S3725" s="13" t="str">
        <f>IF(AND(H3725="TO CLOSE",P3725=0),-G3725*(M3725-R3724)*IF(E3725="FUTURE",VLOOKUP(MID(I3725,2,2),Futures!$A$2:$B$12,2),1),"")</f>
        <v/>
      </c>
    </row>
    <row r="3726" spans="1:19" x14ac:dyDescent="0.2">
      <c r="A3726">
        <f t="shared" si="181"/>
        <v>1218</v>
      </c>
      <c r="B3726" s="3">
        <v>44218</v>
      </c>
      <c r="C3726" s="3" t="str">
        <f t="shared" si="183"/>
        <v>Friday</v>
      </c>
      <c r="D3726" s="2">
        <v>0.40832175925925923</v>
      </c>
      <c r="E3726" t="s">
        <v>14</v>
      </c>
      <c r="F3726" t="s">
        <v>19</v>
      </c>
      <c r="G3726">
        <v>1</v>
      </c>
      <c r="H3726" t="s">
        <v>16</v>
      </c>
      <c r="I3726" t="s">
        <v>97</v>
      </c>
      <c r="J3726" s="1">
        <v>44276</v>
      </c>
      <c r="L3726" t="s">
        <v>14</v>
      </c>
      <c r="M3726">
        <v>52.17</v>
      </c>
      <c r="N3726">
        <v>52.17</v>
      </c>
      <c r="O3726" t="s">
        <v>21</v>
      </c>
      <c r="P3726">
        <f t="shared" si="182"/>
        <v>-1</v>
      </c>
      <c r="Q3726" s="11">
        <f>IF(P3726=0,0,IFERROR(Q3725+G3726*M3726*IF(E3726="FUTURE",VLOOKUP(MID(I3726,2,2),Futures!$A$2:$B$12,2),1),G3726*M3726*IF(E3726="FUTURE",VLOOKUP(MID(I3726,2,2),Futures!$A$2:$B$12,2),1)))</f>
        <v>-52110</v>
      </c>
      <c r="R3726" s="12">
        <f>IFERROR(Q3726/P3726/IF(E3726="FUTURE",VLOOKUP(MID(I3726,2,2),Futures!$A$2:$B$12,2),1),"")</f>
        <v>52.11</v>
      </c>
      <c r="S3726" s="13" t="str">
        <f>IF(AND(H3726="TO CLOSE",P3726=0),-G3726*(M3726-R3725)*IF(E3726="FUTURE",VLOOKUP(MID(I3726,2,2),Futures!$A$2:$B$12,2),1),"")</f>
        <v/>
      </c>
    </row>
    <row r="3727" spans="1:19" x14ac:dyDescent="0.2">
      <c r="A3727">
        <f t="shared" si="181"/>
        <v>1218</v>
      </c>
      <c r="B3727" s="3">
        <v>44218</v>
      </c>
      <c r="C3727" s="3" t="str">
        <f t="shared" si="183"/>
        <v>Friday</v>
      </c>
      <c r="D3727" s="2">
        <v>0.41921296296296301</v>
      </c>
      <c r="E3727" t="s">
        <v>14</v>
      </c>
      <c r="F3727" t="s">
        <v>15</v>
      </c>
      <c r="G3727">
        <v>-1</v>
      </c>
      <c r="H3727" t="s">
        <v>20</v>
      </c>
      <c r="I3727" t="s">
        <v>97</v>
      </c>
      <c r="J3727" s="1">
        <v>44276</v>
      </c>
      <c r="L3727" t="s">
        <v>14</v>
      </c>
      <c r="M3727">
        <v>52.41</v>
      </c>
      <c r="N3727">
        <v>52.41</v>
      </c>
      <c r="O3727" t="s">
        <v>21</v>
      </c>
      <c r="P3727">
        <f t="shared" si="182"/>
        <v>-2</v>
      </c>
      <c r="Q3727" s="11">
        <f>IF(P3727=0,0,IFERROR(Q3726+G3727*M3727*IF(E3727="FUTURE",VLOOKUP(MID(I3727,2,2),Futures!$A$2:$B$12,2),1),G3727*M3727*IF(E3727="FUTURE",VLOOKUP(MID(I3727,2,2),Futures!$A$2:$B$12,2),1)))</f>
        <v>-104520</v>
      </c>
      <c r="R3727" s="12">
        <f>IFERROR(Q3727/P3727/IF(E3727="FUTURE",VLOOKUP(MID(I3727,2,2),Futures!$A$2:$B$12,2),1),"")</f>
        <v>52.26</v>
      </c>
      <c r="S3727" s="13" t="str">
        <f>IF(AND(H3727="TO CLOSE",P3727=0),-G3727*(M3727-R3726)*IF(E3727="FUTURE",VLOOKUP(MID(I3727,2,2),Futures!$A$2:$B$12,2),1),"")</f>
        <v/>
      </c>
    </row>
    <row r="3728" spans="1:19" x14ac:dyDescent="0.2">
      <c r="A3728">
        <f t="shared" si="181"/>
        <v>1218</v>
      </c>
      <c r="B3728" s="3">
        <v>44218</v>
      </c>
      <c r="C3728" s="3" t="str">
        <f t="shared" si="183"/>
        <v>Friday</v>
      </c>
      <c r="D3728" s="2">
        <v>0.45840277777777777</v>
      </c>
      <c r="E3728" t="s">
        <v>14</v>
      </c>
      <c r="F3728" t="s">
        <v>19</v>
      </c>
      <c r="G3728">
        <v>1</v>
      </c>
      <c r="H3728" t="s">
        <v>16</v>
      </c>
      <c r="I3728" t="s">
        <v>97</v>
      </c>
      <c r="J3728" s="1">
        <v>44276</v>
      </c>
      <c r="L3728" t="s">
        <v>14</v>
      </c>
      <c r="M3728">
        <v>52.28</v>
      </c>
      <c r="N3728">
        <v>52.28</v>
      </c>
      <c r="O3728" t="s">
        <v>21</v>
      </c>
      <c r="P3728">
        <f t="shared" si="182"/>
        <v>-1</v>
      </c>
      <c r="Q3728" s="11">
        <f>IF(P3728=0,0,IFERROR(Q3727+G3728*M3728*IF(E3728="FUTURE",VLOOKUP(MID(I3728,2,2),Futures!$A$2:$B$12,2),1),G3728*M3728*IF(E3728="FUTURE",VLOOKUP(MID(I3728,2,2),Futures!$A$2:$B$12,2),1)))</f>
        <v>-52240</v>
      </c>
      <c r="R3728" s="12">
        <f>IFERROR(Q3728/P3728/IF(E3728="FUTURE",VLOOKUP(MID(I3728,2,2),Futures!$A$2:$B$12,2),1),"")</f>
        <v>52.24</v>
      </c>
      <c r="S3728" s="13" t="str">
        <f>IF(AND(H3728="TO CLOSE",P3728=0),-G3728*(M3728-R3727)*IF(E3728="FUTURE",VLOOKUP(MID(I3728,2,2),Futures!$A$2:$B$12,2),1),"")</f>
        <v/>
      </c>
    </row>
    <row r="3729" spans="1:19" x14ac:dyDescent="0.2">
      <c r="A3729">
        <f t="shared" si="181"/>
        <v>1218</v>
      </c>
      <c r="B3729" s="3">
        <v>44218</v>
      </c>
      <c r="C3729" s="3" t="str">
        <f t="shared" si="183"/>
        <v>Friday</v>
      </c>
      <c r="D3729" s="2">
        <v>0.48428240740740741</v>
      </c>
      <c r="E3729" t="s">
        <v>14</v>
      </c>
      <c r="F3729" t="s">
        <v>19</v>
      </c>
      <c r="G3729">
        <v>1</v>
      </c>
      <c r="H3729" t="s">
        <v>16</v>
      </c>
      <c r="I3729" t="s">
        <v>97</v>
      </c>
      <c r="J3729" s="1">
        <v>44276</v>
      </c>
      <c r="L3729" t="s">
        <v>14</v>
      </c>
      <c r="M3729">
        <v>52.39</v>
      </c>
      <c r="N3729">
        <v>52.39</v>
      </c>
      <c r="O3729" t="s">
        <v>24</v>
      </c>
      <c r="P3729">
        <f t="shared" si="182"/>
        <v>0</v>
      </c>
      <c r="Q3729" s="11">
        <f>IF(P3729=0,0,IFERROR(Q3728+G3729*M3729*IF(E3729="FUTURE",VLOOKUP(MID(I3729,2,2),Futures!$A$2:$B$12,2),1),G3729*M3729*IF(E3729="FUTURE",VLOOKUP(MID(I3729,2,2),Futures!$A$2:$B$12,2),1)))</f>
        <v>0</v>
      </c>
      <c r="R3729" s="12" t="str">
        <f>IFERROR(Q3729/P3729/IF(E3729="FUTURE",VLOOKUP(MID(I3729,2,2),Futures!$A$2:$B$12,2),1),"")</f>
        <v/>
      </c>
      <c r="S3729" s="13">
        <f>IF(AND(H3729="TO CLOSE",P3729=0),-G3729*(M3729-R3728)*IF(E3729="FUTURE",VLOOKUP(MID(I3729,2,2),Futures!$A$2:$B$12,2),1),"")</f>
        <v>-149.99999999999858</v>
      </c>
    </row>
    <row r="3730" spans="1:19" x14ac:dyDescent="0.2">
      <c r="A3730">
        <f t="shared" si="181"/>
        <v>1219</v>
      </c>
      <c r="B3730" s="3">
        <v>44221</v>
      </c>
      <c r="C3730" s="3" t="str">
        <f t="shared" ref="C3730:C3743" si="184">IF(WEEKDAY(B3730,2)=1,"Monday",IF(WEEKDAY(B3730,2)=2,"Tuesday",IF(WEEKDAY(B3730,2)=3,"Wednesday",IF(WEEKDAY(B3730,2)=4,"Thursday",IF(WEEKDAY(B3730,2)=5,"Friday","Sunday")))))</f>
        <v>Monday</v>
      </c>
      <c r="D3730" s="2">
        <v>0.42085648148148147</v>
      </c>
      <c r="E3730" t="s">
        <v>14</v>
      </c>
      <c r="F3730" t="s">
        <v>19</v>
      </c>
      <c r="G3730">
        <v>1</v>
      </c>
      <c r="H3730" t="s">
        <v>20</v>
      </c>
      <c r="I3730" t="s">
        <v>97</v>
      </c>
      <c r="J3730" s="1">
        <v>44276</v>
      </c>
      <c r="L3730" t="s">
        <v>14</v>
      </c>
      <c r="M3730">
        <v>52.45</v>
      </c>
      <c r="N3730">
        <v>52.45</v>
      </c>
      <c r="O3730" t="s">
        <v>24</v>
      </c>
      <c r="P3730">
        <f t="shared" si="182"/>
        <v>1</v>
      </c>
      <c r="Q3730" s="11">
        <f>IF(P3730=0,0,IFERROR(Q3729+G3730*M3730*IF(E3730="FUTURE",VLOOKUP(MID(I3730,2,2),Futures!$A$2:$B$12,2),1),G3730*M3730*IF(E3730="FUTURE",VLOOKUP(MID(I3730,2,2),Futures!$A$2:$B$12,2),1)))</f>
        <v>52450</v>
      </c>
      <c r="R3730" s="12">
        <f>IFERROR(Q3730/P3730/IF(E3730="FUTURE",VLOOKUP(MID(I3730,2,2),Futures!$A$2:$B$12,2),1),"")</f>
        <v>52.45</v>
      </c>
      <c r="S3730" s="13" t="str">
        <f>IF(AND(H3730="TO CLOSE",P3730=0),-G3730*(M3730-R3729)*IF(E3730="FUTURE",VLOOKUP(MID(I3730,2,2),Futures!$A$2:$B$12,2),1),"")</f>
        <v/>
      </c>
    </row>
    <row r="3731" spans="1:19" x14ac:dyDescent="0.2">
      <c r="A3731">
        <f t="shared" si="181"/>
        <v>1219</v>
      </c>
      <c r="B3731" s="3">
        <v>44221</v>
      </c>
      <c r="C3731" s="3" t="str">
        <f t="shared" si="184"/>
        <v>Monday</v>
      </c>
      <c r="D3731" s="2">
        <v>0.42578703703703707</v>
      </c>
      <c r="E3731" t="s">
        <v>14</v>
      </c>
      <c r="F3731" t="s">
        <v>15</v>
      </c>
      <c r="G3731">
        <v>-1</v>
      </c>
      <c r="H3731" t="s">
        <v>16</v>
      </c>
      <c r="I3731" t="s">
        <v>97</v>
      </c>
      <c r="J3731" s="1">
        <v>44276</v>
      </c>
      <c r="L3731" t="s">
        <v>14</v>
      </c>
      <c r="M3731">
        <v>52.37</v>
      </c>
      <c r="N3731">
        <v>52.37</v>
      </c>
      <c r="O3731" t="s">
        <v>24</v>
      </c>
      <c r="P3731">
        <f t="shared" si="182"/>
        <v>0</v>
      </c>
      <c r="Q3731" s="11">
        <f>IF(P3731=0,0,IFERROR(Q3730+G3731*M3731*IF(E3731="FUTURE",VLOOKUP(MID(I3731,2,2),Futures!$A$2:$B$12,2),1),G3731*M3731*IF(E3731="FUTURE",VLOOKUP(MID(I3731,2,2),Futures!$A$2:$B$12,2),1)))</f>
        <v>0</v>
      </c>
      <c r="R3731" s="12" t="str">
        <f>IFERROR(Q3731/P3731/IF(E3731="FUTURE",VLOOKUP(MID(I3731,2,2),Futures!$A$2:$B$12,2),1),"")</f>
        <v/>
      </c>
      <c r="S3731" s="13">
        <f>IF(AND(H3731="TO CLOSE",P3731=0),-G3731*(M3731-R3730)*IF(E3731="FUTURE",VLOOKUP(MID(I3731,2,2),Futures!$A$2:$B$12,2),1),"")</f>
        <v>-80.0000000000054</v>
      </c>
    </row>
    <row r="3732" spans="1:19" x14ac:dyDescent="0.2">
      <c r="A3732">
        <f t="shared" si="181"/>
        <v>1220</v>
      </c>
      <c r="B3732" s="3">
        <v>44221</v>
      </c>
      <c r="C3732" s="3" t="str">
        <f t="shared" si="184"/>
        <v>Monday</v>
      </c>
      <c r="D3732" s="2">
        <v>0.43228009259259265</v>
      </c>
      <c r="E3732" t="s">
        <v>14</v>
      </c>
      <c r="F3732" t="s">
        <v>19</v>
      </c>
      <c r="G3732">
        <v>2</v>
      </c>
      <c r="H3732" t="s">
        <v>20</v>
      </c>
      <c r="I3732" t="s">
        <v>97</v>
      </c>
      <c r="J3732" s="1">
        <v>44276</v>
      </c>
      <c r="L3732" t="s">
        <v>14</v>
      </c>
      <c r="M3732">
        <v>52.44</v>
      </c>
      <c r="N3732">
        <v>52.44</v>
      </c>
      <c r="O3732" t="s">
        <v>24</v>
      </c>
      <c r="P3732">
        <f t="shared" si="182"/>
        <v>2</v>
      </c>
      <c r="Q3732" s="11">
        <f>IF(P3732=0,0,IFERROR(Q3731+G3732*M3732*IF(E3732="FUTURE",VLOOKUP(MID(I3732,2,2),Futures!$A$2:$B$12,2),1),G3732*M3732*IF(E3732="FUTURE",VLOOKUP(MID(I3732,2,2),Futures!$A$2:$B$12,2),1)))</f>
        <v>104880</v>
      </c>
      <c r="R3732" s="12">
        <f>IFERROR(Q3732/P3732/IF(E3732="FUTURE",VLOOKUP(MID(I3732,2,2),Futures!$A$2:$B$12,2),1),"")</f>
        <v>52.44</v>
      </c>
      <c r="S3732" s="13" t="str">
        <f>IF(AND(H3732="TO CLOSE",P3732=0),-G3732*(M3732-R3731)*IF(E3732="FUTURE",VLOOKUP(MID(I3732,2,2),Futures!$A$2:$B$12,2),1),"")</f>
        <v/>
      </c>
    </row>
    <row r="3733" spans="1:19" x14ac:dyDescent="0.2">
      <c r="A3733">
        <f t="shared" si="181"/>
        <v>1220</v>
      </c>
      <c r="B3733" s="3">
        <v>44221</v>
      </c>
      <c r="C3733" s="3" t="str">
        <f t="shared" si="184"/>
        <v>Monday</v>
      </c>
      <c r="D3733" s="2">
        <v>0.43561342592592595</v>
      </c>
      <c r="E3733" t="s">
        <v>14</v>
      </c>
      <c r="F3733" t="s">
        <v>15</v>
      </c>
      <c r="G3733">
        <v>-2</v>
      </c>
      <c r="H3733" t="s">
        <v>16</v>
      </c>
      <c r="I3733" t="s">
        <v>97</v>
      </c>
      <c r="J3733" s="1">
        <v>44276</v>
      </c>
      <c r="L3733" t="s">
        <v>14</v>
      </c>
      <c r="M3733">
        <v>52.38</v>
      </c>
      <c r="N3733">
        <v>52.38</v>
      </c>
      <c r="O3733" t="s">
        <v>24</v>
      </c>
      <c r="P3733">
        <f t="shared" si="182"/>
        <v>0</v>
      </c>
      <c r="Q3733" s="11">
        <f>IF(P3733=0,0,IFERROR(Q3732+G3733*M3733*IF(E3733="FUTURE",VLOOKUP(MID(I3733,2,2),Futures!$A$2:$B$12,2),1),G3733*M3733*IF(E3733="FUTURE",VLOOKUP(MID(I3733,2,2),Futures!$A$2:$B$12,2),1)))</f>
        <v>0</v>
      </c>
      <c r="R3733" s="12" t="str">
        <f>IFERROR(Q3733/P3733/IF(E3733="FUTURE",VLOOKUP(MID(I3733,2,2),Futures!$A$2:$B$12,2),1),"")</f>
        <v/>
      </c>
      <c r="S3733" s="13">
        <f>IF(AND(H3733="TO CLOSE",P3733=0),-G3733*(M3733-R3732)*IF(E3733="FUTURE",VLOOKUP(MID(I3733,2,2),Futures!$A$2:$B$12,2),1),"")</f>
        <v>-119.99999999999034</v>
      </c>
    </row>
    <row r="3734" spans="1:19" x14ac:dyDescent="0.2">
      <c r="A3734">
        <f t="shared" si="181"/>
        <v>1221</v>
      </c>
      <c r="B3734" s="3">
        <v>44221</v>
      </c>
      <c r="C3734" s="3" t="str">
        <f t="shared" si="184"/>
        <v>Monday</v>
      </c>
      <c r="D3734" s="2">
        <v>0.4518287037037037</v>
      </c>
      <c r="E3734" t="s">
        <v>14</v>
      </c>
      <c r="F3734" t="s">
        <v>15</v>
      </c>
      <c r="G3734">
        <v>-1</v>
      </c>
      <c r="H3734" t="s">
        <v>20</v>
      </c>
      <c r="I3734" t="s">
        <v>97</v>
      </c>
      <c r="J3734" s="1">
        <v>44276</v>
      </c>
      <c r="L3734" t="s">
        <v>14</v>
      </c>
      <c r="M3734">
        <v>52.3</v>
      </c>
      <c r="N3734">
        <v>52.3</v>
      </c>
      <c r="O3734" t="s">
        <v>24</v>
      </c>
      <c r="P3734">
        <f t="shared" si="182"/>
        <v>-1</v>
      </c>
      <c r="Q3734" s="11">
        <f>IF(P3734=0,0,IFERROR(Q3733+G3734*M3734*IF(E3734="FUTURE",VLOOKUP(MID(I3734,2,2),Futures!$A$2:$B$12,2),1),G3734*M3734*IF(E3734="FUTURE",VLOOKUP(MID(I3734,2,2),Futures!$A$2:$B$12,2),1)))</f>
        <v>-52300</v>
      </c>
      <c r="R3734" s="12">
        <f>IFERROR(Q3734/P3734/IF(E3734="FUTURE",VLOOKUP(MID(I3734,2,2),Futures!$A$2:$B$12,2),1),"")</f>
        <v>52.3</v>
      </c>
      <c r="S3734" s="13" t="str">
        <f>IF(AND(H3734="TO CLOSE",P3734=0),-G3734*(M3734-R3733)*IF(E3734="FUTURE",VLOOKUP(MID(I3734,2,2),Futures!$A$2:$B$12,2),1),"")</f>
        <v/>
      </c>
    </row>
    <row r="3735" spans="1:19" x14ac:dyDescent="0.2">
      <c r="A3735">
        <f t="shared" si="181"/>
        <v>1221</v>
      </c>
      <c r="B3735" s="3">
        <v>44221</v>
      </c>
      <c r="C3735" s="3" t="str">
        <f t="shared" si="184"/>
        <v>Monday</v>
      </c>
      <c r="D3735" s="2">
        <v>0.45825231481481482</v>
      </c>
      <c r="E3735" t="s">
        <v>14</v>
      </c>
      <c r="F3735" t="s">
        <v>19</v>
      </c>
      <c r="G3735">
        <v>1</v>
      </c>
      <c r="H3735" t="s">
        <v>16</v>
      </c>
      <c r="I3735" t="s">
        <v>97</v>
      </c>
      <c r="J3735" s="1">
        <v>44276</v>
      </c>
      <c r="L3735" t="s">
        <v>14</v>
      </c>
      <c r="M3735">
        <v>52.19</v>
      </c>
      <c r="N3735">
        <v>52.19</v>
      </c>
      <c r="O3735" t="s">
        <v>21</v>
      </c>
      <c r="P3735">
        <f t="shared" si="182"/>
        <v>0</v>
      </c>
      <c r="Q3735" s="11">
        <f>IF(P3735=0,0,IFERROR(Q3734+G3735*M3735*IF(E3735="FUTURE",VLOOKUP(MID(I3735,2,2),Futures!$A$2:$B$12,2),1),G3735*M3735*IF(E3735="FUTURE",VLOOKUP(MID(I3735,2,2),Futures!$A$2:$B$12,2),1)))</f>
        <v>0</v>
      </c>
      <c r="R3735" s="12" t="str">
        <f>IFERROR(Q3735/P3735/IF(E3735="FUTURE",VLOOKUP(MID(I3735,2,2),Futures!$A$2:$B$12,2),1),"")</f>
        <v/>
      </c>
      <c r="S3735" s="13">
        <f>IF(AND(H3735="TO CLOSE",P3735=0),-G3735*(M3735-R3734)*IF(E3735="FUTURE",VLOOKUP(MID(I3735,2,2),Futures!$A$2:$B$12,2),1),"")</f>
        <v>109.99999999999943</v>
      </c>
    </row>
    <row r="3736" spans="1:19" x14ac:dyDescent="0.2">
      <c r="A3736">
        <f t="shared" si="181"/>
        <v>1222</v>
      </c>
      <c r="B3736" s="3">
        <v>44221</v>
      </c>
      <c r="C3736" s="3" t="str">
        <f t="shared" si="184"/>
        <v>Monday</v>
      </c>
      <c r="D3736" s="2">
        <v>0.43777777777777777</v>
      </c>
      <c r="E3736" t="s">
        <v>14</v>
      </c>
      <c r="F3736" t="s">
        <v>19</v>
      </c>
      <c r="G3736">
        <v>1</v>
      </c>
      <c r="H3736" t="s">
        <v>20</v>
      </c>
      <c r="I3736" t="s">
        <v>89</v>
      </c>
      <c r="J3736" s="1">
        <v>44276</v>
      </c>
      <c r="L3736" t="s">
        <v>14</v>
      </c>
      <c r="M3736">
        <v>3849.75</v>
      </c>
      <c r="N3736">
        <v>3849.75</v>
      </c>
      <c r="O3736" t="s">
        <v>21</v>
      </c>
      <c r="P3736">
        <f t="shared" si="182"/>
        <v>1</v>
      </c>
      <c r="Q3736" s="11">
        <f>IF(P3736=0,0,IFERROR(Q3735+G3736*M3736*IF(E3736="FUTURE",VLOOKUP(MID(I3736,2,2),Futures!$A$2:$B$12,2),1),G3736*M3736*IF(E3736="FUTURE",VLOOKUP(MID(I3736,2,2),Futures!$A$2:$B$12,2),1)))</f>
        <v>192487.5</v>
      </c>
      <c r="R3736" s="12">
        <f>IFERROR(Q3736/P3736/IF(E3736="FUTURE",VLOOKUP(MID(I3736,2,2),Futures!$A$2:$B$12,2),1),"")</f>
        <v>3849.75</v>
      </c>
      <c r="S3736" s="13" t="str">
        <f>IF(AND(H3736="TO CLOSE",P3736=0),-G3736*(M3736-R3735)*IF(E3736="FUTURE",VLOOKUP(MID(I3736,2,2),Futures!$A$2:$B$12,2),1),"")</f>
        <v/>
      </c>
    </row>
    <row r="3737" spans="1:19" x14ac:dyDescent="0.2">
      <c r="A3737">
        <f t="shared" si="181"/>
        <v>1222</v>
      </c>
      <c r="B3737" s="3">
        <v>44221</v>
      </c>
      <c r="C3737" s="3" t="str">
        <f t="shared" si="184"/>
        <v>Monday</v>
      </c>
      <c r="D3737" s="2">
        <v>0.44166666666666665</v>
      </c>
      <c r="E3737" t="s">
        <v>14</v>
      </c>
      <c r="F3737" t="s">
        <v>15</v>
      </c>
      <c r="G3737">
        <v>-1</v>
      </c>
      <c r="H3737" t="s">
        <v>16</v>
      </c>
      <c r="I3737" t="s">
        <v>89</v>
      </c>
      <c r="J3737" s="1">
        <v>44276</v>
      </c>
      <c r="L3737" t="s">
        <v>14</v>
      </c>
      <c r="M3737">
        <v>3846.75</v>
      </c>
      <c r="N3737">
        <v>3846.75</v>
      </c>
      <c r="O3737" t="s">
        <v>18</v>
      </c>
      <c r="P3737">
        <f t="shared" si="182"/>
        <v>0</v>
      </c>
      <c r="Q3737" s="11">
        <f>IF(P3737=0,0,IFERROR(Q3736+G3737*M3737*IF(E3737="FUTURE",VLOOKUP(MID(I3737,2,2),Futures!$A$2:$B$12,2),1),G3737*M3737*IF(E3737="FUTURE",VLOOKUP(MID(I3737,2,2),Futures!$A$2:$B$12,2),1)))</f>
        <v>0</v>
      </c>
      <c r="R3737" s="12" t="str">
        <f>IFERROR(Q3737/P3737/IF(E3737="FUTURE",VLOOKUP(MID(I3737,2,2),Futures!$A$2:$B$12,2),1),"")</f>
        <v/>
      </c>
      <c r="S3737" s="13">
        <f>IF(AND(H3737="TO CLOSE",P3737=0),-G3737*(M3737-R3736)*IF(E3737="FUTURE",VLOOKUP(MID(I3737,2,2),Futures!$A$2:$B$12,2),1),"")</f>
        <v>-150</v>
      </c>
    </row>
    <row r="3738" spans="1:19" x14ac:dyDescent="0.2">
      <c r="A3738">
        <f t="shared" si="181"/>
        <v>1223</v>
      </c>
      <c r="B3738" s="3">
        <v>44221</v>
      </c>
      <c r="C3738" s="3" t="str">
        <f t="shared" si="184"/>
        <v>Monday</v>
      </c>
      <c r="D3738" s="2">
        <v>0.47715277777777776</v>
      </c>
      <c r="E3738" t="s">
        <v>14</v>
      </c>
      <c r="F3738" t="s">
        <v>15</v>
      </c>
      <c r="G3738">
        <v>-1</v>
      </c>
      <c r="H3738" t="s">
        <v>20</v>
      </c>
      <c r="I3738" t="s">
        <v>89</v>
      </c>
      <c r="J3738" s="1">
        <v>44276</v>
      </c>
      <c r="L3738" t="s">
        <v>14</v>
      </c>
      <c r="M3738">
        <v>3813.25</v>
      </c>
      <c r="N3738">
        <v>3813.25</v>
      </c>
      <c r="O3738" t="s">
        <v>21</v>
      </c>
      <c r="P3738">
        <f t="shared" si="182"/>
        <v>-1</v>
      </c>
      <c r="Q3738" s="11">
        <f>IF(P3738=0,0,IFERROR(Q3737+G3738*M3738*IF(E3738="FUTURE",VLOOKUP(MID(I3738,2,2),Futures!$A$2:$B$12,2),1),G3738*M3738*IF(E3738="FUTURE",VLOOKUP(MID(I3738,2,2),Futures!$A$2:$B$12,2),1)))</f>
        <v>-190662.5</v>
      </c>
      <c r="R3738" s="12">
        <f>IFERROR(Q3738/P3738/IF(E3738="FUTURE",VLOOKUP(MID(I3738,2,2),Futures!$A$2:$B$12,2),1),"")</f>
        <v>3813.25</v>
      </c>
      <c r="S3738" s="13" t="str">
        <f>IF(AND(H3738="TO CLOSE",P3738=0),-G3738*(M3738-R3737)*IF(E3738="FUTURE",VLOOKUP(MID(I3738,2,2),Futures!$A$2:$B$12,2),1),"")</f>
        <v/>
      </c>
    </row>
    <row r="3739" spans="1:19" x14ac:dyDescent="0.2">
      <c r="A3739">
        <f t="shared" si="181"/>
        <v>1223</v>
      </c>
      <c r="B3739" s="3">
        <v>44221</v>
      </c>
      <c r="C3739" s="3" t="str">
        <f t="shared" si="184"/>
        <v>Monday</v>
      </c>
      <c r="D3739" s="2">
        <v>0.47760416666666666</v>
      </c>
      <c r="E3739" t="s">
        <v>14</v>
      </c>
      <c r="F3739" t="s">
        <v>19</v>
      </c>
      <c r="G3739">
        <v>1</v>
      </c>
      <c r="H3739" t="s">
        <v>16</v>
      </c>
      <c r="I3739" t="s">
        <v>89</v>
      </c>
      <c r="J3739" s="1">
        <v>44276</v>
      </c>
      <c r="L3739" t="s">
        <v>14</v>
      </c>
      <c r="M3739">
        <v>3809.25</v>
      </c>
      <c r="N3739">
        <v>3809.25</v>
      </c>
      <c r="O3739" t="s">
        <v>21</v>
      </c>
      <c r="P3739">
        <f t="shared" si="182"/>
        <v>0</v>
      </c>
      <c r="Q3739" s="11">
        <f>IF(P3739=0,0,IFERROR(Q3738+G3739*M3739*IF(E3739="FUTURE",VLOOKUP(MID(I3739,2,2),Futures!$A$2:$B$12,2),1),G3739*M3739*IF(E3739="FUTURE",VLOOKUP(MID(I3739,2,2),Futures!$A$2:$B$12,2),1)))</f>
        <v>0</v>
      </c>
      <c r="R3739" s="12" t="str">
        <f>IFERROR(Q3739/P3739/IF(E3739="FUTURE",VLOOKUP(MID(I3739,2,2),Futures!$A$2:$B$12,2),1),"")</f>
        <v/>
      </c>
      <c r="S3739" s="13">
        <f>IF(AND(H3739="TO CLOSE",P3739=0),-G3739*(M3739-R3738)*IF(E3739="FUTURE",VLOOKUP(MID(I3739,2,2),Futures!$A$2:$B$12,2),1),"")</f>
        <v>200</v>
      </c>
    </row>
    <row r="3740" spans="1:19" x14ac:dyDescent="0.2">
      <c r="A3740">
        <f t="shared" si="181"/>
        <v>1224</v>
      </c>
      <c r="B3740" s="3">
        <v>44221</v>
      </c>
      <c r="C3740" s="3" t="str">
        <f t="shared" si="184"/>
        <v>Monday</v>
      </c>
      <c r="D3740" s="2">
        <v>0.49615740740740738</v>
      </c>
      <c r="E3740" t="s">
        <v>14</v>
      </c>
      <c r="F3740" t="s">
        <v>15</v>
      </c>
      <c r="G3740">
        <v>-1</v>
      </c>
      <c r="H3740" t="s">
        <v>20</v>
      </c>
      <c r="I3740" t="s">
        <v>89</v>
      </c>
      <c r="J3740" s="1">
        <v>44276</v>
      </c>
      <c r="L3740" t="s">
        <v>14</v>
      </c>
      <c r="M3740">
        <v>3826.25</v>
      </c>
      <c r="N3740">
        <v>3826.25</v>
      </c>
      <c r="O3740" t="s">
        <v>21</v>
      </c>
      <c r="P3740">
        <f t="shared" si="182"/>
        <v>-1</v>
      </c>
      <c r="Q3740" s="11">
        <f>IF(P3740=0,0,IFERROR(Q3739+G3740*M3740*IF(E3740="FUTURE",VLOOKUP(MID(I3740,2,2),Futures!$A$2:$B$12,2),1),G3740*M3740*IF(E3740="FUTURE",VLOOKUP(MID(I3740,2,2),Futures!$A$2:$B$12,2),1)))</f>
        <v>-191312.5</v>
      </c>
      <c r="R3740" s="12">
        <f>IFERROR(Q3740/P3740/IF(E3740="FUTURE",VLOOKUP(MID(I3740,2,2),Futures!$A$2:$B$12,2),1),"")</f>
        <v>3826.25</v>
      </c>
      <c r="S3740" s="13" t="str">
        <f>IF(AND(H3740="TO CLOSE",P3740=0),-G3740*(M3740-R3739)*IF(E3740="FUTURE",VLOOKUP(MID(I3740,2,2),Futures!$A$2:$B$12,2),1),"")</f>
        <v/>
      </c>
    </row>
    <row r="3741" spans="1:19" x14ac:dyDescent="0.2">
      <c r="A3741">
        <f t="shared" si="181"/>
        <v>1224</v>
      </c>
      <c r="B3741" s="3">
        <v>44221</v>
      </c>
      <c r="C3741" s="3" t="str">
        <f t="shared" si="184"/>
        <v>Monday</v>
      </c>
      <c r="D3741" s="2">
        <v>0.49663194444444447</v>
      </c>
      <c r="E3741" t="s">
        <v>14</v>
      </c>
      <c r="F3741" t="s">
        <v>19</v>
      </c>
      <c r="G3741">
        <v>1</v>
      </c>
      <c r="H3741" t="s">
        <v>16</v>
      </c>
      <c r="I3741" t="s">
        <v>89</v>
      </c>
      <c r="J3741" s="1">
        <v>44276</v>
      </c>
      <c r="L3741" t="s">
        <v>14</v>
      </c>
      <c r="M3741">
        <v>3826</v>
      </c>
      <c r="N3741">
        <v>3826</v>
      </c>
      <c r="O3741" t="s">
        <v>18</v>
      </c>
      <c r="P3741">
        <f t="shared" si="182"/>
        <v>0</v>
      </c>
      <c r="Q3741" s="11">
        <f>IF(P3741=0,0,IFERROR(Q3740+G3741*M3741*IF(E3741="FUTURE",VLOOKUP(MID(I3741,2,2),Futures!$A$2:$B$12,2),1),G3741*M3741*IF(E3741="FUTURE",VLOOKUP(MID(I3741,2,2),Futures!$A$2:$B$12,2),1)))</f>
        <v>0</v>
      </c>
      <c r="R3741" s="12" t="str">
        <f>IFERROR(Q3741/P3741/IF(E3741="FUTURE",VLOOKUP(MID(I3741,2,2),Futures!$A$2:$B$12,2),1),"")</f>
        <v/>
      </c>
      <c r="S3741" s="13">
        <f>IF(AND(H3741="TO CLOSE",P3741=0),-G3741*(M3741-R3740)*IF(E3741="FUTURE",VLOOKUP(MID(I3741,2,2),Futures!$A$2:$B$12,2),1),"")</f>
        <v>12.5</v>
      </c>
    </row>
    <row r="3742" spans="1:19" x14ac:dyDescent="0.2">
      <c r="A3742">
        <f t="shared" si="181"/>
        <v>1225</v>
      </c>
      <c r="B3742" s="3">
        <v>44221</v>
      </c>
      <c r="C3742" s="3" t="str">
        <f t="shared" si="184"/>
        <v>Monday</v>
      </c>
      <c r="D3742" s="2">
        <v>0.49818287037037035</v>
      </c>
      <c r="E3742" t="s">
        <v>14</v>
      </c>
      <c r="F3742" t="s">
        <v>15</v>
      </c>
      <c r="G3742">
        <v>-1</v>
      </c>
      <c r="H3742" t="s">
        <v>20</v>
      </c>
      <c r="I3742" t="s">
        <v>89</v>
      </c>
      <c r="J3742" s="1">
        <v>44276</v>
      </c>
      <c r="L3742" t="s">
        <v>14</v>
      </c>
      <c r="M3742">
        <v>3826.5</v>
      </c>
      <c r="N3742">
        <v>3826.5</v>
      </c>
      <c r="O3742" t="s">
        <v>21</v>
      </c>
      <c r="P3742">
        <f t="shared" si="182"/>
        <v>-1</v>
      </c>
      <c r="Q3742" s="11">
        <f>IF(P3742=0,0,IFERROR(Q3741+G3742*M3742*IF(E3742="FUTURE",VLOOKUP(MID(I3742,2,2),Futures!$A$2:$B$12,2),1),G3742*M3742*IF(E3742="FUTURE",VLOOKUP(MID(I3742,2,2),Futures!$A$2:$B$12,2),1)))</f>
        <v>-191325</v>
      </c>
      <c r="R3742" s="12">
        <f>IFERROR(Q3742/P3742/IF(E3742="FUTURE",VLOOKUP(MID(I3742,2,2),Futures!$A$2:$B$12,2),1),"")</f>
        <v>3826.5</v>
      </c>
      <c r="S3742" s="13" t="str">
        <f>IF(AND(H3742="TO CLOSE",P3742=0),-G3742*(M3742-R3741)*IF(E3742="FUTURE",VLOOKUP(MID(I3742,2,2),Futures!$A$2:$B$12,2),1),"")</f>
        <v/>
      </c>
    </row>
    <row r="3743" spans="1:19" x14ac:dyDescent="0.2">
      <c r="A3743">
        <f t="shared" si="181"/>
        <v>1225</v>
      </c>
      <c r="B3743" s="3">
        <v>44221</v>
      </c>
      <c r="C3743" s="3" t="str">
        <f t="shared" si="184"/>
        <v>Monday</v>
      </c>
      <c r="D3743" s="2">
        <v>0.50081018518518516</v>
      </c>
      <c r="E3743" t="s">
        <v>14</v>
      </c>
      <c r="F3743" t="s">
        <v>19</v>
      </c>
      <c r="G3743">
        <v>1</v>
      </c>
      <c r="H3743" t="s">
        <v>16</v>
      </c>
      <c r="I3743" t="s">
        <v>89</v>
      </c>
      <c r="J3743" s="1">
        <v>44276</v>
      </c>
      <c r="L3743" t="s">
        <v>14</v>
      </c>
      <c r="M3743">
        <v>3830.5</v>
      </c>
      <c r="N3743">
        <v>3830.5</v>
      </c>
      <c r="O3743" t="s">
        <v>18</v>
      </c>
      <c r="P3743">
        <f t="shared" si="182"/>
        <v>0</v>
      </c>
      <c r="Q3743" s="11">
        <f>IF(P3743=0,0,IFERROR(Q3742+G3743*M3743*IF(E3743="FUTURE",VLOOKUP(MID(I3743,2,2),Futures!$A$2:$B$12,2),1),G3743*M3743*IF(E3743="FUTURE",VLOOKUP(MID(I3743,2,2),Futures!$A$2:$B$12,2),1)))</f>
        <v>0</v>
      </c>
      <c r="R3743" s="12" t="str">
        <f>IFERROR(Q3743/P3743/IF(E3743="FUTURE",VLOOKUP(MID(I3743,2,2),Futures!$A$2:$B$12,2),1),"")</f>
        <v/>
      </c>
      <c r="S3743" s="13">
        <f>IF(AND(H3743="TO CLOSE",P3743=0),-G3743*(M3743-R3742)*IF(E3743="FUTURE",VLOOKUP(MID(I3743,2,2),Futures!$A$2:$B$12,2),1),"")</f>
        <v>-200</v>
      </c>
    </row>
    <row r="3744" spans="1:19" x14ac:dyDescent="0.2">
      <c r="A3744">
        <f t="shared" si="181"/>
        <v>1226</v>
      </c>
      <c r="B3744" s="3">
        <v>44222</v>
      </c>
      <c r="C3744" s="3" t="str">
        <f t="shared" ref="C3744:C3758" si="185">IF(WEEKDAY(B3744,2)=1,"Monday",IF(WEEKDAY(B3744,2)=2,"Tuesday",IF(WEEKDAY(B3744,2)=3,"Wednesday",IF(WEEKDAY(B3744,2)=4,"Thursday",IF(WEEKDAY(B3744,2)=5,"Friday","Sunday")))))</f>
        <v>Tuesday</v>
      </c>
      <c r="D3744" s="2">
        <v>0.387662037037037</v>
      </c>
      <c r="E3744" t="s">
        <v>14</v>
      </c>
      <c r="F3744" t="s">
        <v>15</v>
      </c>
      <c r="G3744">
        <v>-1</v>
      </c>
      <c r="H3744" t="s">
        <v>20</v>
      </c>
      <c r="I3744" t="s">
        <v>97</v>
      </c>
      <c r="J3744" s="1">
        <v>44276</v>
      </c>
      <c r="L3744" t="s">
        <v>14</v>
      </c>
      <c r="M3744">
        <v>52.94</v>
      </c>
      <c r="N3744">
        <v>52.94</v>
      </c>
      <c r="O3744" t="s">
        <v>21</v>
      </c>
      <c r="P3744">
        <f t="shared" si="182"/>
        <v>-1</v>
      </c>
      <c r="Q3744" s="11">
        <f>IF(P3744=0,0,IFERROR(Q3743+G3744*M3744*IF(E3744="FUTURE",VLOOKUP(MID(I3744,2,2),Futures!$A$2:$B$12,2),1),G3744*M3744*IF(E3744="FUTURE",VLOOKUP(MID(I3744,2,2),Futures!$A$2:$B$12,2),1)))</f>
        <v>-52940</v>
      </c>
      <c r="R3744" s="12">
        <f>IFERROR(Q3744/P3744/IF(E3744="FUTURE",VLOOKUP(MID(I3744,2,2),Futures!$A$2:$B$12,2),1),"")</f>
        <v>52.94</v>
      </c>
      <c r="S3744" s="13" t="str">
        <f>IF(AND(H3744="TO CLOSE",P3744=0),-G3744*(M3744-R3743)*IF(E3744="FUTURE",VLOOKUP(MID(I3744,2,2),Futures!$A$2:$B$12,2),1),"")</f>
        <v/>
      </c>
    </row>
    <row r="3745" spans="1:19" x14ac:dyDescent="0.2">
      <c r="A3745">
        <f t="shared" si="181"/>
        <v>1226</v>
      </c>
      <c r="B3745" s="3">
        <v>44222</v>
      </c>
      <c r="C3745" s="3" t="str">
        <f t="shared" si="185"/>
        <v>Tuesday</v>
      </c>
      <c r="D3745" s="2">
        <v>0.39123842592592589</v>
      </c>
      <c r="E3745" t="s">
        <v>14</v>
      </c>
      <c r="F3745" t="s">
        <v>19</v>
      </c>
      <c r="G3745">
        <v>1</v>
      </c>
      <c r="H3745" t="s">
        <v>16</v>
      </c>
      <c r="I3745" t="s">
        <v>97</v>
      </c>
      <c r="J3745" s="1">
        <v>44276</v>
      </c>
      <c r="L3745" t="s">
        <v>14</v>
      </c>
      <c r="M3745">
        <v>52.9</v>
      </c>
      <c r="N3745">
        <v>52.9</v>
      </c>
      <c r="O3745" t="s">
        <v>21</v>
      </c>
      <c r="P3745">
        <f t="shared" si="182"/>
        <v>0</v>
      </c>
      <c r="Q3745" s="11">
        <f>IF(P3745=0,0,IFERROR(Q3744+G3745*M3745*IF(E3745="FUTURE",VLOOKUP(MID(I3745,2,2),Futures!$A$2:$B$12,2),1),G3745*M3745*IF(E3745="FUTURE",VLOOKUP(MID(I3745,2,2),Futures!$A$2:$B$12,2),1)))</f>
        <v>0</v>
      </c>
      <c r="R3745" s="12" t="str">
        <f>IFERROR(Q3745/P3745/IF(E3745="FUTURE",VLOOKUP(MID(I3745,2,2),Futures!$A$2:$B$12,2),1),"")</f>
        <v/>
      </c>
      <c r="S3745" s="13">
        <f>IF(AND(H3745="TO CLOSE",P3745=0),-G3745*(M3745-R3744)*IF(E3745="FUTURE",VLOOKUP(MID(I3745,2,2),Futures!$A$2:$B$12,2),1),"")</f>
        <v>39.999999999999147</v>
      </c>
    </row>
    <row r="3746" spans="1:19" x14ac:dyDescent="0.2">
      <c r="A3746">
        <f t="shared" si="181"/>
        <v>1227</v>
      </c>
      <c r="B3746" s="3">
        <v>44222</v>
      </c>
      <c r="C3746" s="3" t="str">
        <f t="shared" si="185"/>
        <v>Tuesday</v>
      </c>
      <c r="D3746" s="2">
        <v>0.39883101851851849</v>
      </c>
      <c r="E3746" t="s">
        <v>14</v>
      </c>
      <c r="F3746" t="s">
        <v>15</v>
      </c>
      <c r="G3746">
        <v>-1</v>
      </c>
      <c r="H3746" t="s">
        <v>20</v>
      </c>
      <c r="I3746" t="s">
        <v>97</v>
      </c>
      <c r="J3746" s="1">
        <v>44276</v>
      </c>
      <c r="L3746" t="s">
        <v>14</v>
      </c>
      <c r="M3746">
        <v>52.99</v>
      </c>
      <c r="N3746">
        <v>52.99</v>
      </c>
      <c r="O3746" t="s">
        <v>21</v>
      </c>
      <c r="P3746">
        <f t="shared" si="182"/>
        <v>-1</v>
      </c>
      <c r="Q3746" s="11">
        <f>IF(P3746=0,0,IFERROR(Q3745+G3746*M3746*IF(E3746="FUTURE",VLOOKUP(MID(I3746,2,2),Futures!$A$2:$B$12,2),1),G3746*M3746*IF(E3746="FUTURE",VLOOKUP(MID(I3746,2,2),Futures!$A$2:$B$12,2),1)))</f>
        <v>-52990</v>
      </c>
      <c r="R3746" s="12">
        <f>IFERROR(Q3746/P3746/IF(E3746="FUTURE",VLOOKUP(MID(I3746,2,2),Futures!$A$2:$B$12,2),1),"")</f>
        <v>52.99</v>
      </c>
      <c r="S3746" s="13" t="str">
        <f>IF(AND(H3746="TO CLOSE",P3746=0),-G3746*(M3746-R3745)*IF(E3746="FUTURE",VLOOKUP(MID(I3746,2,2),Futures!$A$2:$B$12,2),1),"")</f>
        <v/>
      </c>
    </row>
    <row r="3747" spans="1:19" x14ac:dyDescent="0.2">
      <c r="A3747">
        <f t="shared" si="181"/>
        <v>1227</v>
      </c>
      <c r="B3747" s="3">
        <v>44222</v>
      </c>
      <c r="C3747" s="3" t="str">
        <f t="shared" si="185"/>
        <v>Tuesday</v>
      </c>
      <c r="D3747" s="2">
        <v>0.40869212962962959</v>
      </c>
      <c r="E3747" t="s">
        <v>14</v>
      </c>
      <c r="F3747" t="s">
        <v>19</v>
      </c>
      <c r="G3747">
        <v>1</v>
      </c>
      <c r="H3747" t="s">
        <v>16</v>
      </c>
      <c r="I3747" t="s">
        <v>97</v>
      </c>
      <c r="J3747" s="1">
        <v>44276</v>
      </c>
      <c r="L3747" t="s">
        <v>14</v>
      </c>
      <c r="M3747">
        <v>52.84</v>
      </c>
      <c r="N3747">
        <v>52.84</v>
      </c>
      <c r="O3747" t="s">
        <v>21</v>
      </c>
      <c r="P3747">
        <f t="shared" si="182"/>
        <v>0</v>
      </c>
      <c r="Q3747" s="11">
        <f>IF(P3747=0,0,IFERROR(Q3746+G3747*M3747*IF(E3747="FUTURE",VLOOKUP(MID(I3747,2,2),Futures!$A$2:$B$12,2),1),G3747*M3747*IF(E3747="FUTURE",VLOOKUP(MID(I3747,2,2),Futures!$A$2:$B$12,2),1)))</f>
        <v>0</v>
      </c>
      <c r="R3747" s="12" t="str">
        <f>IFERROR(Q3747/P3747/IF(E3747="FUTURE",VLOOKUP(MID(I3747,2,2),Futures!$A$2:$B$12,2),1),"")</f>
        <v/>
      </c>
      <c r="S3747" s="13">
        <f>IF(AND(H3747="TO CLOSE",P3747=0),-G3747*(M3747-R3746)*IF(E3747="FUTURE",VLOOKUP(MID(I3747,2,2),Futures!$A$2:$B$12,2),1),"")</f>
        <v>149.99999999999858</v>
      </c>
    </row>
    <row r="3748" spans="1:19" x14ac:dyDescent="0.2">
      <c r="A3748">
        <f t="shared" si="181"/>
        <v>1228</v>
      </c>
      <c r="B3748" s="3">
        <v>44222</v>
      </c>
      <c r="C3748" s="3" t="str">
        <f t="shared" si="185"/>
        <v>Tuesday</v>
      </c>
      <c r="D3748" s="2">
        <v>0.42486111111111113</v>
      </c>
      <c r="E3748" t="s">
        <v>14</v>
      </c>
      <c r="F3748" t="s">
        <v>15</v>
      </c>
      <c r="G3748">
        <v>-2</v>
      </c>
      <c r="H3748" t="s">
        <v>20</v>
      </c>
      <c r="I3748" t="s">
        <v>97</v>
      </c>
      <c r="J3748" s="1">
        <v>44276</v>
      </c>
      <c r="L3748" t="s">
        <v>14</v>
      </c>
      <c r="M3748">
        <v>52.65</v>
      </c>
      <c r="N3748">
        <v>52.65</v>
      </c>
      <c r="O3748" t="s">
        <v>24</v>
      </c>
      <c r="P3748">
        <f t="shared" si="182"/>
        <v>-2</v>
      </c>
      <c r="Q3748" s="11">
        <f>IF(P3748=0,0,IFERROR(Q3747+G3748*M3748*IF(E3748="FUTURE",VLOOKUP(MID(I3748,2,2),Futures!$A$2:$B$12,2),1),G3748*M3748*IF(E3748="FUTURE",VLOOKUP(MID(I3748,2,2),Futures!$A$2:$B$12,2),1)))</f>
        <v>-105300</v>
      </c>
      <c r="R3748" s="12">
        <f>IFERROR(Q3748/P3748/IF(E3748="FUTURE",VLOOKUP(MID(I3748,2,2),Futures!$A$2:$B$12,2),1),"")</f>
        <v>52.65</v>
      </c>
      <c r="S3748" s="13" t="str">
        <f>IF(AND(H3748="TO CLOSE",P3748=0),-G3748*(M3748-R3747)*IF(E3748="FUTURE",VLOOKUP(MID(I3748,2,2),Futures!$A$2:$B$12,2),1),"")</f>
        <v/>
      </c>
    </row>
    <row r="3749" spans="1:19" x14ac:dyDescent="0.2">
      <c r="A3749">
        <f t="shared" si="181"/>
        <v>1228</v>
      </c>
      <c r="B3749" s="3">
        <v>44222</v>
      </c>
      <c r="C3749" s="3" t="str">
        <f t="shared" si="185"/>
        <v>Tuesday</v>
      </c>
      <c r="D3749" s="2">
        <v>0.42532407407407408</v>
      </c>
      <c r="E3749" t="s">
        <v>14</v>
      </c>
      <c r="F3749" t="s">
        <v>19</v>
      </c>
      <c r="G3749">
        <v>1</v>
      </c>
      <c r="H3749" t="s">
        <v>16</v>
      </c>
      <c r="I3749" t="s">
        <v>97</v>
      </c>
      <c r="J3749" s="1">
        <v>44276</v>
      </c>
      <c r="L3749" t="s">
        <v>14</v>
      </c>
      <c r="M3749">
        <v>52.61</v>
      </c>
      <c r="N3749">
        <v>52.61</v>
      </c>
      <c r="O3749" t="s">
        <v>21</v>
      </c>
      <c r="P3749">
        <f t="shared" si="182"/>
        <v>-1</v>
      </c>
      <c r="Q3749" s="11">
        <f>IF(P3749=0,0,IFERROR(Q3748+G3749*M3749*IF(E3749="FUTURE",VLOOKUP(MID(I3749,2,2),Futures!$A$2:$B$12,2),1),G3749*M3749*IF(E3749="FUTURE",VLOOKUP(MID(I3749,2,2),Futures!$A$2:$B$12,2),1)))</f>
        <v>-52690</v>
      </c>
      <c r="R3749" s="12">
        <f>IFERROR(Q3749/P3749/IF(E3749="FUTURE",VLOOKUP(MID(I3749,2,2),Futures!$A$2:$B$12,2),1),"")</f>
        <v>52.69</v>
      </c>
      <c r="S3749" s="13" t="str">
        <f>IF(AND(H3749="TO CLOSE",P3749=0),-G3749*(M3749-R3748)*IF(E3749="FUTURE",VLOOKUP(MID(I3749,2,2),Futures!$A$2:$B$12,2),1),"")</f>
        <v/>
      </c>
    </row>
    <row r="3750" spans="1:19" x14ac:dyDescent="0.2">
      <c r="A3750">
        <f t="shared" si="181"/>
        <v>1228</v>
      </c>
      <c r="B3750" s="3">
        <v>44222</v>
      </c>
      <c r="C3750" s="3" t="str">
        <f t="shared" si="185"/>
        <v>Tuesday</v>
      </c>
      <c r="D3750" s="2">
        <v>0.42645833333333333</v>
      </c>
      <c r="E3750" t="s">
        <v>14</v>
      </c>
      <c r="F3750" t="s">
        <v>19</v>
      </c>
      <c r="G3750">
        <v>1</v>
      </c>
      <c r="H3750" t="s">
        <v>16</v>
      </c>
      <c r="I3750" t="s">
        <v>97</v>
      </c>
      <c r="J3750" s="1">
        <v>44276</v>
      </c>
      <c r="L3750" t="s">
        <v>14</v>
      </c>
      <c r="M3750">
        <v>52.58</v>
      </c>
      <c r="N3750">
        <v>52.58</v>
      </c>
      <c r="O3750" t="s">
        <v>21</v>
      </c>
      <c r="P3750">
        <f t="shared" si="182"/>
        <v>0</v>
      </c>
      <c r="Q3750" s="11">
        <f>IF(P3750=0,0,IFERROR(Q3749+G3750*M3750*IF(E3750="FUTURE",VLOOKUP(MID(I3750,2,2),Futures!$A$2:$B$12,2),1),G3750*M3750*IF(E3750="FUTURE",VLOOKUP(MID(I3750,2,2),Futures!$A$2:$B$12,2),1)))</f>
        <v>0</v>
      </c>
      <c r="R3750" s="12" t="str">
        <f>IFERROR(Q3750/P3750/IF(E3750="FUTURE",VLOOKUP(MID(I3750,2,2),Futures!$A$2:$B$12,2),1),"")</f>
        <v/>
      </c>
      <c r="S3750" s="13">
        <f>IF(AND(H3750="TO CLOSE",P3750=0),-G3750*(M3750-R3749)*IF(E3750="FUTURE",VLOOKUP(MID(I3750,2,2),Futures!$A$2:$B$12,2),1),"")</f>
        <v>109.99999999999943</v>
      </c>
    </row>
    <row r="3751" spans="1:19" x14ac:dyDescent="0.2">
      <c r="A3751">
        <f t="shared" si="181"/>
        <v>1229</v>
      </c>
      <c r="B3751" s="3">
        <v>44222</v>
      </c>
      <c r="C3751" s="3" t="str">
        <f t="shared" si="185"/>
        <v>Tuesday</v>
      </c>
      <c r="D3751" s="2">
        <v>0.4554050925925926</v>
      </c>
      <c r="E3751" t="s">
        <v>14</v>
      </c>
      <c r="F3751" t="s">
        <v>19</v>
      </c>
      <c r="G3751">
        <v>1</v>
      </c>
      <c r="H3751" t="s">
        <v>20</v>
      </c>
      <c r="I3751" t="s">
        <v>97</v>
      </c>
      <c r="J3751" s="1">
        <v>44276</v>
      </c>
      <c r="L3751" t="s">
        <v>14</v>
      </c>
      <c r="M3751">
        <v>52.6</v>
      </c>
      <c r="N3751">
        <v>52.6</v>
      </c>
      <c r="O3751" t="s">
        <v>21</v>
      </c>
      <c r="P3751">
        <f t="shared" si="182"/>
        <v>1</v>
      </c>
      <c r="Q3751" s="11">
        <f>IF(P3751=0,0,IFERROR(Q3750+G3751*M3751*IF(E3751="FUTURE",VLOOKUP(MID(I3751,2,2),Futures!$A$2:$B$12,2),1),G3751*M3751*IF(E3751="FUTURE",VLOOKUP(MID(I3751,2,2),Futures!$A$2:$B$12,2),1)))</f>
        <v>52600</v>
      </c>
      <c r="R3751" s="12">
        <f>IFERROR(Q3751/P3751/IF(E3751="FUTURE",VLOOKUP(MID(I3751,2,2),Futures!$A$2:$B$12,2),1),"")</f>
        <v>52.6</v>
      </c>
      <c r="S3751" s="13" t="str">
        <f>IF(AND(H3751="TO CLOSE",P3751=0),-G3751*(M3751-R3750)*IF(E3751="FUTURE",VLOOKUP(MID(I3751,2,2),Futures!$A$2:$B$12,2),1),"")</f>
        <v/>
      </c>
    </row>
    <row r="3752" spans="1:19" x14ac:dyDescent="0.2">
      <c r="A3752">
        <f t="shared" si="181"/>
        <v>1229</v>
      </c>
      <c r="B3752" s="3">
        <v>44222</v>
      </c>
      <c r="C3752" s="3" t="str">
        <f t="shared" si="185"/>
        <v>Tuesday</v>
      </c>
      <c r="D3752" s="2">
        <v>0.47660879629629632</v>
      </c>
      <c r="E3752" t="s">
        <v>14</v>
      </c>
      <c r="F3752" t="s">
        <v>15</v>
      </c>
      <c r="G3752">
        <v>-1</v>
      </c>
      <c r="H3752" t="s">
        <v>16</v>
      </c>
      <c r="I3752" t="s">
        <v>97</v>
      </c>
      <c r="J3752" s="1">
        <v>44276</v>
      </c>
      <c r="L3752" t="s">
        <v>14</v>
      </c>
      <c r="M3752">
        <v>52.61</v>
      </c>
      <c r="N3752">
        <v>52.61</v>
      </c>
      <c r="O3752" t="s">
        <v>21</v>
      </c>
      <c r="P3752">
        <f t="shared" si="182"/>
        <v>0</v>
      </c>
      <c r="Q3752" s="11">
        <f>IF(P3752=0,0,IFERROR(Q3751+G3752*M3752*IF(E3752="FUTURE",VLOOKUP(MID(I3752,2,2),Futures!$A$2:$B$12,2),1),G3752*M3752*IF(E3752="FUTURE",VLOOKUP(MID(I3752,2,2),Futures!$A$2:$B$12,2),1)))</f>
        <v>0</v>
      </c>
      <c r="R3752" s="12" t="str">
        <f>IFERROR(Q3752/P3752/IF(E3752="FUTURE",VLOOKUP(MID(I3752,2,2),Futures!$A$2:$B$12,2),1),"")</f>
        <v/>
      </c>
      <c r="S3752" s="13">
        <f>IF(AND(H3752="TO CLOSE",P3752=0),-G3752*(M3752-R3751)*IF(E3752="FUTURE",VLOOKUP(MID(I3752,2,2),Futures!$A$2:$B$12,2),1),"")</f>
        <v>9.9999999999980105</v>
      </c>
    </row>
    <row r="3753" spans="1:19" x14ac:dyDescent="0.2">
      <c r="A3753">
        <f t="shared" si="181"/>
        <v>1230</v>
      </c>
      <c r="B3753" s="3">
        <v>44222</v>
      </c>
      <c r="C3753" s="3" t="str">
        <f t="shared" si="185"/>
        <v>Tuesday</v>
      </c>
      <c r="D3753" s="2">
        <v>0.40986111111111106</v>
      </c>
      <c r="E3753" t="s">
        <v>14</v>
      </c>
      <c r="F3753" t="s">
        <v>19</v>
      </c>
      <c r="G3753">
        <v>1</v>
      </c>
      <c r="H3753" t="s">
        <v>20</v>
      </c>
      <c r="I3753" t="s">
        <v>89</v>
      </c>
      <c r="J3753" s="1">
        <v>44276</v>
      </c>
      <c r="L3753" t="s">
        <v>14</v>
      </c>
      <c r="M3753">
        <v>3853</v>
      </c>
      <c r="N3753">
        <v>3853</v>
      </c>
      <c r="O3753" t="s">
        <v>21</v>
      </c>
      <c r="P3753">
        <f t="shared" si="182"/>
        <v>1</v>
      </c>
      <c r="Q3753" s="11">
        <f>IF(P3753=0,0,IFERROR(Q3752+G3753*M3753*IF(E3753="FUTURE",VLOOKUP(MID(I3753,2,2),Futures!$A$2:$B$12,2),1),G3753*M3753*IF(E3753="FUTURE",VLOOKUP(MID(I3753,2,2),Futures!$A$2:$B$12,2),1)))</f>
        <v>192650</v>
      </c>
      <c r="R3753" s="12">
        <f>IFERROR(Q3753/P3753/IF(E3753="FUTURE",VLOOKUP(MID(I3753,2,2),Futures!$A$2:$B$12,2),1),"")</f>
        <v>3853</v>
      </c>
      <c r="S3753" s="13" t="str">
        <f>IF(AND(H3753="TO CLOSE",P3753=0),-G3753*(M3753-R3752)*IF(E3753="FUTURE",VLOOKUP(MID(I3753,2,2),Futures!$A$2:$B$12,2),1),"")</f>
        <v/>
      </c>
    </row>
    <row r="3754" spans="1:19" x14ac:dyDescent="0.2">
      <c r="A3754">
        <f t="shared" si="181"/>
        <v>1230</v>
      </c>
      <c r="B3754" s="3">
        <v>44222</v>
      </c>
      <c r="C3754" s="3" t="str">
        <f t="shared" si="185"/>
        <v>Tuesday</v>
      </c>
      <c r="D3754" s="2">
        <v>0.41030092592592587</v>
      </c>
      <c r="E3754" t="s">
        <v>14</v>
      </c>
      <c r="F3754" t="s">
        <v>15</v>
      </c>
      <c r="G3754">
        <v>-1</v>
      </c>
      <c r="H3754" t="s">
        <v>16</v>
      </c>
      <c r="I3754" t="s">
        <v>89</v>
      </c>
      <c r="J3754" s="1">
        <v>44276</v>
      </c>
      <c r="L3754" t="s">
        <v>14</v>
      </c>
      <c r="M3754">
        <v>3849</v>
      </c>
      <c r="N3754">
        <v>3849</v>
      </c>
      <c r="O3754" t="s">
        <v>18</v>
      </c>
      <c r="P3754">
        <f t="shared" si="182"/>
        <v>0</v>
      </c>
      <c r="Q3754" s="11">
        <f>IF(P3754=0,0,IFERROR(Q3753+G3754*M3754*IF(E3754="FUTURE",VLOOKUP(MID(I3754,2,2),Futures!$A$2:$B$12,2),1),G3754*M3754*IF(E3754="FUTURE",VLOOKUP(MID(I3754,2,2),Futures!$A$2:$B$12,2),1)))</f>
        <v>0</v>
      </c>
      <c r="R3754" s="12" t="str">
        <f>IFERROR(Q3754/P3754/IF(E3754="FUTURE",VLOOKUP(MID(I3754,2,2),Futures!$A$2:$B$12,2),1),"")</f>
        <v/>
      </c>
      <c r="S3754" s="13">
        <f>IF(AND(H3754="TO CLOSE",P3754=0),-G3754*(M3754-R3753)*IF(E3754="FUTURE",VLOOKUP(MID(I3754,2,2),Futures!$A$2:$B$12,2),1),"")</f>
        <v>-200</v>
      </c>
    </row>
    <row r="3755" spans="1:19" x14ac:dyDescent="0.2">
      <c r="A3755">
        <f t="shared" si="181"/>
        <v>1231</v>
      </c>
      <c r="B3755" s="3">
        <v>44222</v>
      </c>
      <c r="C3755" s="3" t="str">
        <f t="shared" si="185"/>
        <v>Tuesday</v>
      </c>
      <c r="D3755" s="2">
        <v>0.41452546296296294</v>
      </c>
      <c r="E3755" t="s">
        <v>14</v>
      </c>
      <c r="F3755" t="s">
        <v>19</v>
      </c>
      <c r="G3755">
        <v>1</v>
      </c>
      <c r="H3755" t="s">
        <v>20</v>
      </c>
      <c r="I3755" t="s">
        <v>89</v>
      </c>
      <c r="J3755" s="1">
        <v>44276</v>
      </c>
      <c r="L3755" t="s">
        <v>14</v>
      </c>
      <c r="M3755">
        <v>3851</v>
      </c>
      <c r="N3755">
        <v>3851</v>
      </c>
      <c r="O3755" t="s">
        <v>21</v>
      </c>
      <c r="P3755">
        <f t="shared" si="182"/>
        <v>1</v>
      </c>
      <c r="Q3755" s="11">
        <f>IF(P3755=0,0,IFERROR(Q3754+G3755*M3755*IF(E3755="FUTURE",VLOOKUP(MID(I3755,2,2),Futures!$A$2:$B$12,2),1),G3755*M3755*IF(E3755="FUTURE",VLOOKUP(MID(I3755,2,2),Futures!$A$2:$B$12,2),1)))</f>
        <v>192550</v>
      </c>
      <c r="R3755" s="12">
        <f>IFERROR(Q3755/P3755/IF(E3755="FUTURE",VLOOKUP(MID(I3755,2,2),Futures!$A$2:$B$12,2),1),"")</f>
        <v>3851</v>
      </c>
      <c r="S3755" s="13" t="str">
        <f>IF(AND(H3755="TO CLOSE",P3755=0),-G3755*(M3755-R3754)*IF(E3755="FUTURE",VLOOKUP(MID(I3755,2,2),Futures!$A$2:$B$12,2),1),"")</f>
        <v/>
      </c>
    </row>
    <row r="3756" spans="1:19" x14ac:dyDescent="0.2">
      <c r="A3756">
        <f t="shared" si="181"/>
        <v>1231</v>
      </c>
      <c r="B3756" s="3">
        <v>44222</v>
      </c>
      <c r="C3756" s="3" t="str">
        <f t="shared" si="185"/>
        <v>Tuesday</v>
      </c>
      <c r="D3756" s="2">
        <v>0.41820601851851852</v>
      </c>
      <c r="E3756" t="s">
        <v>14</v>
      </c>
      <c r="F3756" t="s">
        <v>15</v>
      </c>
      <c r="G3756">
        <v>-1</v>
      </c>
      <c r="H3756" t="s">
        <v>16</v>
      </c>
      <c r="I3756" t="s">
        <v>89</v>
      </c>
      <c r="J3756" s="1">
        <v>44276</v>
      </c>
      <c r="L3756" t="s">
        <v>14</v>
      </c>
      <c r="M3756">
        <v>3855.5</v>
      </c>
      <c r="N3756">
        <v>3855.5</v>
      </c>
      <c r="O3756" t="s">
        <v>21</v>
      </c>
      <c r="P3756">
        <f t="shared" si="182"/>
        <v>0</v>
      </c>
      <c r="Q3756" s="11">
        <f>IF(P3756=0,0,IFERROR(Q3755+G3756*M3756*IF(E3756="FUTURE",VLOOKUP(MID(I3756,2,2),Futures!$A$2:$B$12,2),1),G3756*M3756*IF(E3756="FUTURE",VLOOKUP(MID(I3756,2,2),Futures!$A$2:$B$12,2),1)))</f>
        <v>0</v>
      </c>
      <c r="R3756" s="12" t="str">
        <f>IFERROR(Q3756/P3756/IF(E3756="FUTURE",VLOOKUP(MID(I3756,2,2),Futures!$A$2:$B$12,2),1),"")</f>
        <v/>
      </c>
      <c r="S3756" s="13">
        <f>IF(AND(H3756="TO CLOSE",P3756=0),-G3756*(M3756-R3755)*IF(E3756="FUTURE",VLOOKUP(MID(I3756,2,2),Futures!$A$2:$B$12,2),1),"")</f>
        <v>225</v>
      </c>
    </row>
    <row r="3757" spans="1:19" x14ac:dyDescent="0.2">
      <c r="A3757">
        <f t="shared" si="181"/>
        <v>1232</v>
      </c>
      <c r="B3757" s="3">
        <v>44222</v>
      </c>
      <c r="C3757" s="3" t="str">
        <f t="shared" si="185"/>
        <v>Tuesday</v>
      </c>
      <c r="D3757" s="2">
        <v>0.4442592592592593</v>
      </c>
      <c r="E3757" t="s">
        <v>14</v>
      </c>
      <c r="F3757" t="s">
        <v>19</v>
      </c>
      <c r="G3757">
        <v>1</v>
      </c>
      <c r="H3757" t="s">
        <v>20</v>
      </c>
      <c r="I3757" t="s">
        <v>89</v>
      </c>
      <c r="J3757" s="1">
        <v>44276</v>
      </c>
      <c r="L3757" t="s">
        <v>14</v>
      </c>
      <c r="M3757">
        <v>3850.75</v>
      </c>
      <c r="N3757">
        <v>3850.75</v>
      </c>
      <c r="O3757" t="s">
        <v>21</v>
      </c>
      <c r="P3757">
        <f t="shared" si="182"/>
        <v>1</v>
      </c>
      <c r="Q3757" s="11">
        <f>IF(P3757=0,0,IFERROR(Q3756+G3757*M3757*IF(E3757="FUTURE",VLOOKUP(MID(I3757,2,2),Futures!$A$2:$B$12,2),1),G3757*M3757*IF(E3757="FUTURE",VLOOKUP(MID(I3757,2,2),Futures!$A$2:$B$12,2),1)))</f>
        <v>192537.5</v>
      </c>
      <c r="R3757" s="12">
        <f>IFERROR(Q3757/P3757/IF(E3757="FUTURE",VLOOKUP(MID(I3757,2,2),Futures!$A$2:$B$12,2),1),"")</f>
        <v>3850.75</v>
      </c>
      <c r="S3757" s="13" t="str">
        <f>IF(AND(H3757="TO CLOSE",P3757=0),-G3757*(M3757-R3756)*IF(E3757="FUTURE",VLOOKUP(MID(I3757,2,2),Futures!$A$2:$B$12,2),1),"")</f>
        <v/>
      </c>
    </row>
    <row r="3758" spans="1:19" x14ac:dyDescent="0.2">
      <c r="A3758">
        <f t="shared" si="181"/>
        <v>1232</v>
      </c>
      <c r="B3758" s="3">
        <v>44222</v>
      </c>
      <c r="C3758" s="3" t="str">
        <f t="shared" si="185"/>
        <v>Tuesday</v>
      </c>
      <c r="D3758" s="2">
        <v>0.44695601851851857</v>
      </c>
      <c r="E3758" t="s">
        <v>14</v>
      </c>
      <c r="F3758" t="s">
        <v>15</v>
      </c>
      <c r="G3758">
        <v>-1</v>
      </c>
      <c r="H3758" t="s">
        <v>16</v>
      </c>
      <c r="I3758" t="s">
        <v>89</v>
      </c>
      <c r="J3758" s="1">
        <v>44276</v>
      </c>
      <c r="L3758" t="s">
        <v>14</v>
      </c>
      <c r="M3758">
        <v>3851.75</v>
      </c>
      <c r="N3758">
        <v>3851.75</v>
      </c>
      <c r="O3758" t="s">
        <v>21</v>
      </c>
      <c r="P3758">
        <f t="shared" si="182"/>
        <v>0</v>
      </c>
      <c r="Q3758" s="11">
        <f>IF(P3758=0,0,IFERROR(Q3757+G3758*M3758*IF(E3758="FUTURE",VLOOKUP(MID(I3758,2,2),Futures!$A$2:$B$12,2),1),G3758*M3758*IF(E3758="FUTURE",VLOOKUP(MID(I3758,2,2),Futures!$A$2:$B$12,2),1)))</f>
        <v>0</v>
      </c>
      <c r="R3758" s="12" t="str">
        <f>IFERROR(Q3758/P3758/IF(E3758="FUTURE",VLOOKUP(MID(I3758,2,2),Futures!$A$2:$B$12,2),1),"")</f>
        <v/>
      </c>
      <c r="S3758" s="13">
        <f>IF(AND(H3758="TO CLOSE",P3758=0),-G3758*(M3758-R3757)*IF(E3758="FUTURE",VLOOKUP(MID(I3758,2,2),Futures!$A$2:$B$12,2),1),"")</f>
        <v>50</v>
      </c>
    </row>
    <row r="3759" spans="1:19" x14ac:dyDescent="0.2">
      <c r="A3759">
        <f t="shared" si="181"/>
        <v>1233</v>
      </c>
      <c r="B3759" s="3">
        <v>44223</v>
      </c>
      <c r="C3759" s="3" t="str">
        <f t="shared" ref="C3759:C3802" si="186">IF(WEEKDAY(B3759,2)=1,"Monday",IF(WEEKDAY(B3759,2)=2,"Tuesday",IF(WEEKDAY(B3759,2)=3,"Wednesday",IF(WEEKDAY(B3759,2)=4,"Thursday",IF(WEEKDAY(B3759,2)=5,"Friday","Sunday")))))</f>
        <v>Wednesday</v>
      </c>
      <c r="D3759" s="2">
        <v>0.40826388888888893</v>
      </c>
      <c r="E3759" t="s">
        <v>14</v>
      </c>
      <c r="F3759" t="s">
        <v>15</v>
      </c>
      <c r="G3759">
        <v>-1</v>
      </c>
      <c r="H3759" t="s">
        <v>20</v>
      </c>
      <c r="I3759" t="s">
        <v>97</v>
      </c>
      <c r="J3759" s="1">
        <v>44276</v>
      </c>
      <c r="L3759" t="s">
        <v>14</v>
      </c>
      <c r="M3759">
        <v>52.02</v>
      </c>
      <c r="N3759">
        <v>52.02</v>
      </c>
      <c r="O3759" t="s">
        <v>21</v>
      </c>
      <c r="P3759">
        <f t="shared" si="182"/>
        <v>-1</v>
      </c>
      <c r="Q3759" s="11">
        <f>IF(P3759=0,0,IFERROR(Q3758+G3759*M3759*IF(E3759="FUTURE",VLOOKUP(MID(I3759,2,2),Futures!$A$2:$B$12,2),1),G3759*M3759*IF(E3759="FUTURE",VLOOKUP(MID(I3759,2,2),Futures!$A$2:$B$12,2),1)))</f>
        <v>-52020</v>
      </c>
      <c r="R3759" s="12">
        <f>IFERROR(Q3759/P3759/IF(E3759="FUTURE",VLOOKUP(MID(I3759,2,2),Futures!$A$2:$B$12,2),1),"")</f>
        <v>52.02</v>
      </c>
      <c r="S3759" s="13" t="str">
        <f>IF(AND(H3759="TO CLOSE",P3759=0),-G3759*(M3759-R3758)*IF(E3759="FUTURE",VLOOKUP(MID(I3759,2,2),Futures!$A$2:$B$12,2),1),"")</f>
        <v/>
      </c>
    </row>
    <row r="3760" spans="1:19" x14ac:dyDescent="0.2">
      <c r="A3760">
        <f t="shared" si="181"/>
        <v>1233</v>
      </c>
      <c r="B3760" s="3">
        <v>44223</v>
      </c>
      <c r="C3760" s="3" t="str">
        <f t="shared" si="186"/>
        <v>Wednesday</v>
      </c>
      <c r="D3760" s="2">
        <v>0.41041666666666665</v>
      </c>
      <c r="E3760" t="s">
        <v>14</v>
      </c>
      <c r="F3760" t="s">
        <v>19</v>
      </c>
      <c r="G3760">
        <v>1</v>
      </c>
      <c r="H3760" t="s">
        <v>16</v>
      </c>
      <c r="I3760" t="s">
        <v>97</v>
      </c>
      <c r="J3760" s="1">
        <v>44276</v>
      </c>
      <c r="L3760" t="s">
        <v>14</v>
      </c>
      <c r="M3760">
        <v>51.88</v>
      </c>
      <c r="N3760">
        <v>51.88</v>
      </c>
      <c r="O3760" t="s">
        <v>21</v>
      </c>
      <c r="P3760">
        <f t="shared" si="182"/>
        <v>0</v>
      </c>
      <c r="Q3760" s="11">
        <f>IF(P3760=0,0,IFERROR(Q3759+G3760*M3760*IF(E3760="FUTURE",VLOOKUP(MID(I3760,2,2),Futures!$A$2:$B$12,2),1),G3760*M3760*IF(E3760="FUTURE",VLOOKUP(MID(I3760,2,2),Futures!$A$2:$B$12,2),1)))</f>
        <v>0</v>
      </c>
      <c r="R3760" s="12" t="str">
        <f>IFERROR(Q3760/P3760/IF(E3760="FUTURE",VLOOKUP(MID(I3760,2,2),Futures!$A$2:$B$12,2),1),"")</f>
        <v/>
      </c>
      <c r="S3760" s="13">
        <f>IF(AND(H3760="TO CLOSE",P3760=0),-G3760*(M3760-R3759)*IF(E3760="FUTURE",VLOOKUP(MID(I3760,2,2),Futures!$A$2:$B$12,2),1),"")</f>
        <v>140.00000000000057</v>
      </c>
    </row>
    <row r="3761" spans="1:19" x14ac:dyDescent="0.2">
      <c r="A3761">
        <f t="shared" si="181"/>
        <v>1234</v>
      </c>
      <c r="B3761" s="3">
        <v>44223</v>
      </c>
      <c r="C3761" s="3" t="str">
        <f t="shared" si="186"/>
        <v>Wednesday</v>
      </c>
      <c r="D3761" s="2">
        <v>0.46767361111111111</v>
      </c>
      <c r="E3761" t="s">
        <v>14</v>
      </c>
      <c r="F3761" t="s">
        <v>15</v>
      </c>
      <c r="G3761">
        <v>-1</v>
      </c>
      <c r="H3761" t="s">
        <v>20</v>
      </c>
      <c r="I3761" t="s">
        <v>97</v>
      </c>
      <c r="J3761" s="1">
        <v>44276</v>
      </c>
      <c r="L3761" t="s">
        <v>14</v>
      </c>
      <c r="M3761">
        <v>53.17</v>
      </c>
      <c r="N3761">
        <v>53.17</v>
      </c>
      <c r="O3761" t="s">
        <v>21</v>
      </c>
      <c r="P3761">
        <f t="shared" si="182"/>
        <v>-1</v>
      </c>
      <c r="Q3761" s="11">
        <f>IF(P3761=0,0,IFERROR(Q3760+G3761*M3761*IF(E3761="FUTURE",VLOOKUP(MID(I3761,2,2),Futures!$A$2:$B$12,2),1),G3761*M3761*IF(E3761="FUTURE",VLOOKUP(MID(I3761,2,2),Futures!$A$2:$B$12,2),1)))</f>
        <v>-53170</v>
      </c>
      <c r="R3761" s="12">
        <f>IFERROR(Q3761/P3761/IF(E3761="FUTURE",VLOOKUP(MID(I3761,2,2),Futures!$A$2:$B$12,2),1),"")</f>
        <v>53.17</v>
      </c>
      <c r="S3761" s="13" t="str">
        <f>IF(AND(H3761="TO CLOSE",P3761=0),-G3761*(M3761-R3760)*IF(E3761="FUTURE",VLOOKUP(MID(I3761,2,2),Futures!$A$2:$B$12,2),1),"")</f>
        <v/>
      </c>
    </row>
    <row r="3762" spans="1:19" x14ac:dyDescent="0.2">
      <c r="A3762">
        <f t="shared" si="181"/>
        <v>1234</v>
      </c>
      <c r="B3762" s="3">
        <v>44223</v>
      </c>
      <c r="C3762" s="3" t="str">
        <f t="shared" si="186"/>
        <v>Wednesday</v>
      </c>
      <c r="D3762" s="2">
        <v>0.4756481481481481</v>
      </c>
      <c r="E3762" t="s">
        <v>14</v>
      </c>
      <c r="F3762" t="s">
        <v>19</v>
      </c>
      <c r="G3762">
        <v>1</v>
      </c>
      <c r="H3762" t="s">
        <v>16</v>
      </c>
      <c r="I3762" t="s">
        <v>97</v>
      </c>
      <c r="J3762" s="1">
        <v>44276</v>
      </c>
      <c r="L3762" t="s">
        <v>14</v>
      </c>
      <c r="M3762">
        <v>53.07</v>
      </c>
      <c r="N3762">
        <v>53.07</v>
      </c>
      <c r="O3762" t="s">
        <v>21</v>
      </c>
      <c r="P3762">
        <f t="shared" si="182"/>
        <v>0</v>
      </c>
      <c r="Q3762" s="11">
        <f>IF(P3762=0,0,IFERROR(Q3761+G3762*M3762*IF(E3762="FUTURE",VLOOKUP(MID(I3762,2,2),Futures!$A$2:$B$12,2),1),G3762*M3762*IF(E3762="FUTURE",VLOOKUP(MID(I3762,2,2),Futures!$A$2:$B$12,2),1)))</f>
        <v>0</v>
      </c>
      <c r="R3762" s="12" t="str">
        <f>IFERROR(Q3762/P3762/IF(E3762="FUTURE",VLOOKUP(MID(I3762,2,2),Futures!$A$2:$B$12,2),1),"")</f>
        <v/>
      </c>
      <c r="S3762" s="13">
        <f>IF(AND(H3762="TO CLOSE",P3762=0),-G3762*(M3762-R3761)*IF(E3762="FUTURE",VLOOKUP(MID(I3762,2,2),Futures!$A$2:$B$12,2),1),"")</f>
        <v>100.00000000000142</v>
      </c>
    </row>
    <row r="3763" spans="1:19" x14ac:dyDescent="0.2">
      <c r="A3763">
        <f t="shared" si="181"/>
        <v>1235</v>
      </c>
      <c r="B3763" s="3">
        <v>44223</v>
      </c>
      <c r="C3763" s="3" t="str">
        <f t="shared" si="186"/>
        <v>Wednesday</v>
      </c>
      <c r="D3763" s="2">
        <v>0.47973379629629626</v>
      </c>
      <c r="E3763" t="s">
        <v>14</v>
      </c>
      <c r="F3763" t="s">
        <v>15</v>
      </c>
      <c r="G3763">
        <v>-2</v>
      </c>
      <c r="H3763" t="s">
        <v>20</v>
      </c>
      <c r="I3763" t="s">
        <v>97</v>
      </c>
      <c r="J3763" s="1">
        <v>44276</v>
      </c>
      <c r="L3763" t="s">
        <v>14</v>
      </c>
      <c r="M3763">
        <v>53.09</v>
      </c>
      <c r="N3763">
        <v>53.09</v>
      </c>
      <c r="O3763" t="s">
        <v>21</v>
      </c>
      <c r="P3763">
        <f t="shared" si="182"/>
        <v>-2</v>
      </c>
      <c r="Q3763" s="11">
        <f>IF(P3763=0,0,IFERROR(Q3762+G3763*M3763*IF(E3763="FUTURE",VLOOKUP(MID(I3763,2,2),Futures!$A$2:$B$12,2),1),G3763*M3763*IF(E3763="FUTURE",VLOOKUP(MID(I3763,2,2),Futures!$A$2:$B$12,2),1)))</f>
        <v>-106180</v>
      </c>
      <c r="R3763" s="12">
        <f>IFERROR(Q3763/P3763/IF(E3763="FUTURE",VLOOKUP(MID(I3763,2,2),Futures!$A$2:$B$12,2),1),"")</f>
        <v>53.09</v>
      </c>
      <c r="S3763" s="13" t="str">
        <f>IF(AND(H3763="TO CLOSE",P3763=0),-G3763*(M3763-R3762)*IF(E3763="FUTURE",VLOOKUP(MID(I3763,2,2),Futures!$A$2:$B$12,2),1),"")</f>
        <v/>
      </c>
    </row>
    <row r="3764" spans="1:19" x14ac:dyDescent="0.2">
      <c r="A3764">
        <f t="shared" si="181"/>
        <v>1235</v>
      </c>
      <c r="B3764" s="3">
        <v>44223</v>
      </c>
      <c r="C3764" s="3" t="str">
        <f t="shared" si="186"/>
        <v>Wednesday</v>
      </c>
      <c r="D3764" s="2">
        <v>0.50387731481481479</v>
      </c>
      <c r="E3764" t="s">
        <v>14</v>
      </c>
      <c r="F3764" t="s">
        <v>19</v>
      </c>
      <c r="G3764">
        <v>1</v>
      </c>
      <c r="H3764" t="s">
        <v>16</v>
      </c>
      <c r="I3764" t="s">
        <v>97</v>
      </c>
      <c r="J3764" s="1">
        <v>44276</v>
      </c>
      <c r="L3764" t="s">
        <v>14</v>
      </c>
      <c r="M3764">
        <v>53.07</v>
      </c>
      <c r="N3764">
        <v>53.07</v>
      </c>
      <c r="O3764" t="s">
        <v>21</v>
      </c>
      <c r="P3764">
        <f t="shared" si="182"/>
        <v>-1</v>
      </c>
      <c r="Q3764" s="11">
        <f>IF(P3764=0,0,IFERROR(Q3763+G3764*M3764*IF(E3764="FUTURE",VLOOKUP(MID(I3764,2,2),Futures!$A$2:$B$12,2),1),G3764*M3764*IF(E3764="FUTURE",VLOOKUP(MID(I3764,2,2),Futures!$A$2:$B$12,2),1)))</f>
        <v>-53110</v>
      </c>
      <c r="R3764" s="12">
        <f>IFERROR(Q3764/P3764/IF(E3764="FUTURE",VLOOKUP(MID(I3764,2,2),Futures!$A$2:$B$12,2),1),"")</f>
        <v>53.11</v>
      </c>
      <c r="S3764" s="13" t="str">
        <f>IF(AND(H3764="TO CLOSE",P3764=0),-G3764*(M3764-R3763)*IF(E3764="FUTURE",VLOOKUP(MID(I3764,2,2),Futures!$A$2:$B$12,2),1),"")</f>
        <v/>
      </c>
    </row>
    <row r="3765" spans="1:19" x14ac:dyDescent="0.2">
      <c r="A3765">
        <f t="shared" si="181"/>
        <v>1235</v>
      </c>
      <c r="B3765" s="3">
        <v>44223</v>
      </c>
      <c r="C3765" s="3" t="str">
        <f t="shared" si="186"/>
        <v>Wednesday</v>
      </c>
      <c r="D3765" s="2">
        <v>0.52535879629629634</v>
      </c>
      <c r="E3765" t="s">
        <v>14</v>
      </c>
      <c r="F3765" t="s">
        <v>19</v>
      </c>
      <c r="G3765">
        <v>1</v>
      </c>
      <c r="H3765" t="s">
        <v>16</v>
      </c>
      <c r="I3765" t="s">
        <v>97</v>
      </c>
      <c r="J3765" s="1">
        <v>44276</v>
      </c>
      <c r="L3765" t="s">
        <v>14</v>
      </c>
      <c r="M3765">
        <v>53.06</v>
      </c>
      <c r="N3765">
        <v>53.06</v>
      </c>
      <c r="O3765" t="s">
        <v>21</v>
      </c>
      <c r="P3765">
        <f t="shared" si="182"/>
        <v>0</v>
      </c>
      <c r="Q3765" s="11">
        <f>IF(P3765=0,0,IFERROR(Q3764+G3765*M3765*IF(E3765="FUTURE",VLOOKUP(MID(I3765,2,2),Futures!$A$2:$B$12,2),1),G3765*M3765*IF(E3765="FUTURE",VLOOKUP(MID(I3765,2,2),Futures!$A$2:$B$12,2),1)))</f>
        <v>0</v>
      </c>
      <c r="R3765" s="12" t="str">
        <f>IFERROR(Q3765/P3765/IF(E3765="FUTURE",VLOOKUP(MID(I3765,2,2),Futures!$A$2:$B$12,2),1),"")</f>
        <v/>
      </c>
      <c r="S3765" s="13">
        <f>IF(AND(H3765="TO CLOSE",P3765=0),-G3765*(M3765-R3764)*IF(E3765="FUTURE",VLOOKUP(MID(I3765,2,2),Futures!$A$2:$B$12,2),1),"")</f>
        <v>49.999999999997158</v>
      </c>
    </row>
    <row r="3766" spans="1:19" x14ac:dyDescent="0.2">
      <c r="A3766">
        <f t="shared" si="181"/>
        <v>1236</v>
      </c>
      <c r="B3766" s="3">
        <v>44223</v>
      </c>
      <c r="C3766" s="3" t="str">
        <f t="shared" si="186"/>
        <v>Wednesday</v>
      </c>
      <c r="D3766" s="2">
        <v>0.39591435185185181</v>
      </c>
      <c r="E3766" t="s">
        <v>14</v>
      </c>
      <c r="F3766" t="s">
        <v>19</v>
      </c>
      <c r="G3766">
        <v>1</v>
      </c>
      <c r="H3766" t="s">
        <v>20</v>
      </c>
      <c r="I3766" t="s">
        <v>89</v>
      </c>
      <c r="J3766" s="1">
        <v>44276</v>
      </c>
      <c r="L3766" t="s">
        <v>14</v>
      </c>
      <c r="M3766">
        <v>3805.25</v>
      </c>
      <c r="N3766">
        <v>3805.25</v>
      </c>
      <c r="O3766" t="s">
        <v>21</v>
      </c>
      <c r="P3766">
        <f t="shared" si="182"/>
        <v>1</v>
      </c>
      <c r="Q3766" s="11">
        <f>IF(P3766=0,0,IFERROR(Q3765+G3766*M3766*IF(E3766="FUTURE",VLOOKUP(MID(I3766,2,2),Futures!$A$2:$B$12,2),1),G3766*M3766*IF(E3766="FUTURE",VLOOKUP(MID(I3766,2,2),Futures!$A$2:$B$12,2),1)))</f>
        <v>190262.5</v>
      </c>
      <c r="R3766" s="12">
        <f>IFERROR(Q3766/P3766/IF(E3766="FUTURE",VLOOKUP(MID(I3766,2,2),Futures!$A$2:$B$12,2),1),"")</f>
        <v>3805.25</v>
      </c>
      <c r="S3766" s="13" t="str">
        <f>IF(AND(H3766="TO CLOSE",P3766=0),-G3766*(M3766-R3765)*IF(E3766="FUTURE",VLOOKUP(MID(I3766,2,2),Futures!$A$2:$B$12,2),1),"")</f>
        <v/>
      </c>
    </row>
    <row r="3767" spans="1:19" x14ac:dyDescent="0.2">
      <c r="A3767">
        <f t="shared" si="181"/>
        <v>1236</v>
      </c>
      <c r="B3767" s="3">
        <v>44223</v>
      </c>
      <c r="C3767" s="3" t="str">
        <f t="shared" si="186"/>
        <v>Wednesday</v>
      </c>
      <c r="D3767" s="2">
        <v>0.39627314814814812</v>
      </c>
      <c r="E3767" t="s">
        <v>14</v>
      </c>
      <c r="F3767" t="s">
        <v>15</v>
      </c>
      <c r="G3767">
        <v>-1</v>
      </c>
      <c r="H3767" t="s">
        <v>16</v>
      </c>
      <c r="I3767" t="s">
        <v>89</v>
      </c>
      <c r="J3767" s="1">
        <v>44276</v>
      </c>
      <c r="L3767" t="s">
        <v>14</v>
      </c>
      <c r="M3767">
        <v>3801.25</v>
      </c>
      <c r="N3767">
        <v>3801.25</v>
      </c>
      <c r="O3767" t="s">
        <v>18</v>
      </c>
      <c r="P3767">
        <f t="shared" si="182"/>
        <v>0</v>
      </c>
      <c r="Q3767" s="11">
        <f>IF(P3767=0,0,IFERROR(Q3766+G3767*M3767*IF(E3767="FUTURE",VLOOKUP(MID(I3767,2,2),Futures!$A$2:$B$12,2),1),G3767*M3767*IF(E3767="FUTURE",VLOOKUP(MID(I3767,2,2),Futures!$A$2:$B$12,2),1)))</f>
        <v>0</v>
      </c>
      <c r="R3767" s="12" t="str">
        <f>IFERROR(Q3767/P3767/IF(E3767="FUTURE",VLOOKUP(MID(I3767,2,2),Futures!$A$2:$B$12,2),1),"")</f>
        <v/>
      </c>
      <c r="S3767" s="13">
        <f>IF(AND(H3767="TO CLOSE",P3767=0),-G3767*(M3767-R3766)*IF(E3767="FUTURE",VLOOKUP(MID(I3767,2,2),Futures!$A$2:$B$12,2),1),"")</f>
        <v>-200</v>
      </c>
    </row>
    <row r="3768" spans="1:19" x14ac:dyDescent="0.2">
      <c r="A3768">
        <f t="shared" si="181"/>
        <v>1237</v>
      </c>
      <c r="B3768" s="3">
        <v>44223</v>
      </c>
      <c r="C3768" s="3" t="str">
        <f t="shared" si="186"/>
        <v>Wednesday</v>
      </c>
      <c r="D3768" s="2">
        <v>0.39667824074074076</v>
      </c>
      <c r="E3768" t="s">
        <v>14</v>
      </c>
      <c r="F3768" t="s">
        <v>19</v>
      </c>
      <c r="G3768">
        <v>1</v>
      </c>
      <c r="H3768" t="s">
        <v>20</v>
      </c>
      <c r="I3768" t="s">
        <v>89</v>
      </c>
      <c r="J3768" s="1">
        <v>44276</v>
      </c>
      <c r="L3768" t="s">
        <v>14</v>
      </c>
      <c r="M3768">
        <v>3795.25</v>
      </c>
      <c r="N3768">
        <v>3795.25</v>
      </c>
      <c r="O3768" t="s">
        <v>24</v>
      </c>
      <c r="P3768">
        <f t="shared" si="182"/>
        <v>1</v>
      </c>
      <c r="Q3768" s="11">
        <f>IF(P3768=0,0,IFERROR(Q3767+G3768*M3768*IF(E3768="FUTURE",VLOOKUP(MID(I3768,2,2),Futures!$A$2:$B$12,2),1),G3768*M3768*IF(E3768="FUTURE",VLOOKUP(MID(I3768,2,2),Futures!$A$2:$B$12,2),1)))</f>
        <v>189762.5</v>
      </c>
      <c r="R3768" s="12">
        <f>IFERROR(Q3768/P3768/IF(E3768="FUTURE",VLOOKUP(MID(I3768,2,2),Futures!$A$2:$B$12,2),1),"")</f>
        <v>3795.25</v>
      </c>
      <c r="S3768" s="13" t="str">
        <f>IF(AND(H3768="TO CLOSE",P3768=0),-G3768*(M3768-R3767)*IF(E3768="FUTURE",VLOOKUP(MID(I3768,2,2),Futures!$A$2:$B$12,2),1),"")</f>
        <v/>
      </c>
    </row>
    <row r="3769" spans="1:19" x14ac:dyDescent="0.2">
      <c r="A3769">
        <f t="shared" si="181"/>
        <v>1237</v>
      </c>
      <c r="B3769" s="3">
        <v>44223</v>
      </c>
      <c r="C3769" s="3" t="str">
        <f t="shared" si="186"/>
        <v>Wednesday</v>
      </c>
      <c r="D3769" s="2">
        <v>0.40500000000000003</v>
      </c>
      <c r="E3769" t="s">
        <v>14</v>
      </c>
      <c r="F3769" t="s">
        <v>15</v>
      </c>
      <c r="G3769">
        <v>-1</v>
      </c>
      <c r="H3769" t="s">
        <v>16</v>
      </c>
      <c r="I3769" t="s">
        <v>89</v>
      </c>
      <c r="J3769" s="1">
        <v>44276</v>
      </c>
      <c r="L3769" t="s">
        <v>14</v>
      </c>
      <c r="M3769">
        <v>3775</v>
      </c>
      <c r="N3769">
        <v>3775</v>
      </c>
      <c r="O3769" t="s">
        <v>18</v>
      </c>
      <c r="P3769">
        <f t="shared" si="182"/>
        <v>0</v>
      </c>
      <c r="Q3769" s="11">
        <f>IF(P3769=0,0,IFERROR(Q3768+G3769*M3769*IF(E3769="FUTURE",VLOOKUP(MID(I3769,2,2),Futures!$A$2:$B$12,2),1),G3769*M3769*IF(E3769="FUTURE",VLOOKUP(MID(I3769,2,2),Futures!$A$2:$B$12,2),1)))</f>
        <v>0</v>
      </c>
      <c r="R3769" s="12" t="str">
        <f>IFERROR(Q3769/P3769/IF(E3769="FUTURE",VLOOKUP(MID(I3769,2,2),Futures!$A$2:$B$12,2),1),"")</f>
        <v/>
      </c>
      <c r="S3769" s="13">
        <f>IF(AND(H3769="TO CLOSE",P3769=0),-G3769*(M3769-R3768)*IF(E3769="FUTURE",VLOOKUP(MID(I3769,2,2),Futures!$A$2:$B$12,2),1),"")</f>
        <v>-1012.5</v>
      </c>
    </row>
    <row r="3770" spans="1:19" x14ac:dyDescent="0.2">
      <c r="A3770">
        <f t="shared" si="181"/>
        <v>1238</v>
      </c>
      <c r="B3770" s="3">
        <v>44223</v>
      </c>
      <c r="C3770" s="3" t="str">
        <f t="shared" si="186"/>
        <v>Wednesday</v>
      </c>
      <c r="D3770" s="2">
        <v>0.41129629629629627</v>
      </c>
      <c r="E3770" t="s">
        <v>14</v>
      </c>
      <c r="F3770" t="s">
        <v>19</v>
      </c>
      <c r="G3770">
        <v>1</v>
      </c>
      <c r="H3770" t="s">
        <v>20</v>
      </c>
      <c r="I3770" t="s">
        <v>89</v>
      </c>
      <c r="J3770" s="1">
        <v>44276</v>
      </c>
      <c r="L3770" t="s">
        <v>14</v>
      </c>
      <c r="M3770">
        <v>3766</v>
      </c>
      <c r="N3770">
        <v>3766</v>
      </c>
      <c r="O3770" t="s">
        <v>21</v>
      </c>
      <c r="P3770">
        <f t="shared" si="182"/>
        <v>1</v>
      </c>
      <c r="Q3770" s="11">
        <f>IF(P3770=0,0,IFERROR(Q3769+G3770*M3770*IF(E3770="FUTURE",VLOOKUP(MID(I3770,2,2),Futures!$A$2:$B$12,2),1),G3770*M3770*IF(E3770="FUTURE",VLOOKUP(MID(I3770,2,2),Futures!$A$2:$B$12,2),1)))</f>
        <v>188300</v>
      </c>
      <c r="R3770" s="12">
        <f>IFERROR(Q3770/P3770/IF(E3770="FUTURE",VLOOKUP(MID(I3770,2,2),Futures!$A$2:$B$12,2),1),"")</f>
        <v>3766</v>
      </c>
      <c r="S3770" s="13" t="str">
        <f>IF(AND(H3770="TO CLOSE",P3770=0),-G3770*(M3770-R3769)*IF(E3770="FUTURE",VLOOKUP(MID(I3770,2,2),Futures!$A$2:$B$12,2),1),"")</f>
        <v/>
      </c>
    </row>
    <row r="3771" spans="1:19" x14ac:dyDescent="0.2">
      <c r="A3771">
        <f t="shared" si="181"/>
        <v>1238</v>
      </c>
      <c r="B3771" s="3">
        <v>44223</v>
      </c>
      <c r="C3771" s="3" t="str">
        <f t="shared" si="186"/>
        <v>Wednesday</v>
      </c>
      <c r="D3771" s="2">
        <v>0.4114814814814815</v>
      </c>
      <c r="E3771" t="s">
        <v>14</v>
      </c>
      <c r="F3771" t="s">
        <v>15</v>
      </c>
      <c r="G3771">
        <v>-1</v>
      </c>
      <c r="H3771" t="s">
        <v>16</v>
      </c>
      <c r="I3771" t="s">
        <v>89</v>
      </c>
      <c r="J3771" s="1">
        <v>44276</v>
      </c>
      <c r="L3771" t="s">
        <v>14</v>
      </c>
      <c r="M3771">
        <v>3762</v>
      </c>
      <c r="N3771">
        <v>3762</v>
      </c>
      <c r="O3771" t="s">
        <v>18</v>
      </c>
      <c r="P3771">
        <f t="shared" si="182"/>
        <v>0</v>
      </c>
      <c r="Q3771" s="11">
        <f>IF(P3771=0,0,IFERROR(Q3770+G3771*M3771*IF(E3771="FUTURE",VLOOKUP(MID(I3771,2,2),Futures!$A$2:$B$12,2),1),G3771*M3771*IF(E3771="FUTURE",VLOOKUP(MID(I3771,2,2),Futures!$A$2:$B$12,2),1)))</f>
        <v>0</v>
      </c>
      <c r="R3771" s="12" t="str">
        <f>IFERROR(Q3771/P3771/IF(E3771="FUTURE",VLOOKUP(MID(I3771,2,2),Futures!$A$2:$B$12,2),1),"")</f>
        <v/>
      </c>
      <c r="S3771" s="13">
        <f>IF(AND(H3771="TO CLOSE",P3771=0),-G3771*(M3771-R3770)*IF(E3771="FUTURE",VLOOKUP(MID(I3771,2,2),Futures!$A$2:$B$12,2),1),"")</f>
        <v>-200</v>
      </c>
    </row>
    <row r="3772" spans="1:19" x14ac:dyDescent="0.2">
      <c r="A3772">
        <f t="shared" si="181"/>
        <v>1239</v>
      </c>
      <c r="B3772" s="3">
        <v>44223</v>
      </c>
      <c r="C3772" s="3" t="str">
        <f t="shared" si="186"/>
        <v>Wednesday</v>
      </c>
      <c r="D3772" s="2">
        <v>0.4123148148148148</v>
      </c>
      <c r="E3772" t="s">
        <v>14</v>
      </c>
      <c r="F3772" t="s">
        <v>19</v>
      </c>
      <c r="G3772">
        <v>1</v>
      </c>
      <c r="H3772" t="s">
        <v>20</v>
      </c>
      <c r="I3772" t="s">
        <v>89</v>
      </c>
      <c r="J3772" s="1">
        <v>44276</v>
      </c>
      <c r="L3772" t="s">
        <v>14</v>
      </c>
      <c r="M3772">
        <v>3760.75</v>
      </c>
      <c r="N3772">
        <v>3760.75</v>
      </c>
      <c r="O3772" t="s">
        <v>21</v>
      </c>
      <c r="P3772">
        <f t="shared" si="182"/>
        <v>1</v>
      </c>
      <c r="Q3772" s="11">
        <f>IF(P3772=0,0,IFERROR(Q3771+G3772*M3772*IF(E3772="FUTURE",VLOOKUP(MID(I3772,2,2),Futures!$A$2:$B$12,2),1),G3772*M3772*IF(E3772="FUTURE",VLOOKUP(MID(I3772,2,2),Futures!$A$2:$B$12,2),1)))</f>
        <v>188037.5</v>
      </c>
      <c r="R3772" s="12">
        <f>IFERROR(Q3772/P3772/IF(E3772="FUTURE",VLOOKUP(MID(I3772,2,2),Futures!$A$2:$B$12,2),1),"")</f>
        <v>3760.75</v>
      </c>
      <c r="S3772" s="13" t="str">
        <f>IF(AND(H3772="TO CLOSE",P3772=0),-G3772*(M3772-R3771)*IF(E3772="FUTURE",VLOOKUP(MID(I3772,2,2),Futures!$A$2:$B$12,2),1),"")</f>
        <v/>
      </c>
    </row>
    <row r="3773" spans="1:19" x14ac:dyDescent="0.2">
      <c r="A3773">
        <f t="shared" si="181"/>
        <v>1239</v>
      </c>
      <c r="B3773" s="3">
        <v>44223</v>
      </c>
      <c r="C3773" s="3" t="str">
        <f t="shared" si="186"/>
        <v>Wednesday</v>
      </c>
      <c r="D3773" s="2">
        <v>0.4130092592592593</v>
      </c>
      <c r="E3773" t="s">
        <v>14</v>
      </c>
      <c r="F3773" t="s">
        <v>15</v>
      </c>
      <c r="G3773">
        <v>-1</v>
      </c>
      <c r="H3773" t="s">
        <v>16</v>
      </c>
      <c r="I3773" t="s">
        <v>89</v>
      </c>
      <c r="J3773" s="1">
        <v>44276</v>
      </c>
      <c r="L3773" t="s">
        <v>14</v>
      </c>
      <c r="M3773">
        <v>3769.25</v>
      </c>
      <c r="N3773">
        <v>3769.25</v>
      </c>
      <c r="O3773" t="s">
        <v>21</v>
      </c>
      <c r="P3773">
        <f t="shared" si="182"/>
        <v>0</v>
      </c>
      <c r="Q3773" s="11">
        <f>IF(P3773=0,0,IFERROR(Q3772+G3773*M3773*IF(E3773="FUTURE",VLOOKUP(MID(I3773,2,2),Futures!$A$2:$B$12,2),1),G3773*M3773*IF(E3773="FUTURE",VLOOKUP(MID(I3773,2,2),Futures!$A$2:$B$12,2),1)))</f>
        <v>0</v>
      </c>
      <c r="R3773" s="12" t="str">
        <f>IFERROR(Q3773/P3773/IF(E3773="FUTURE",VLOOKUP(MID(I3773,2,2),Futures!$A$2:$B$12,2),1),"")</f>
        <v/>
      </c>
      <c r="S3773" s="13">
        <f>IF(AND(H3773="TO CLOSE",P3773=0),-G3773*(M3773-R3772)*IF(E3773="FUTURE",VLOOKUP(MID(I3773,2,2),Futures!$A$2:$B$12,2),1),"")</f>
        <v>425</v>
      </c>
    </row>
    <row r="3774" spans="1:19" x14ac:dyDescent="0.2">
      <c r="A3774">
        <f t="shared" si="181"/>
        <v>1240</v>
      </c>
      <c r="B3774" s="3">
        <v>44223</v>
      </c>
      <c r="C3774" s="3" t="str">
        <f t="shared" si="186"/>
        <v>Wednesday</v>
      </c>
      <c r="D3774" s="2">
        <v>0.42168981481481477</v>
      </c>
      <c r="E3774" t="s">
        <v>14</v>
      </c>
      <c r="F3774" t="s">
        <v>15</v>
      </c>
      <c r="G3774">
        <v>-1</v>
      </c>
      <c r="H3774" t="s">
        <v>20</v>
      </c>
      <c r="I3774" t="s">
        <v>89</v>
      </c>
      <c r="J3774" s="1">
        <v>44276</v>
      </c>
      <c r="L3774" t="s">
        <v>14</v>
      </c>
      <c r="M3774">
        <v>3790.5</v>
      </c>
      <c r="N3774">
        <v>3790.5</v>
      </c>
      <c r="O3774" t="s">
        <v>21</v>
      </c>
      <c r="P3774">
        <f t="shared" si="182"/>
        <v>-1</v>
      </c>
      <c r="Q3774" s="11">
        <f>IF(P3774=0,0,IFERROR(Q3773+G3774*M3774*IF(E3774="FUTURE",VLOOKUP(MID(I3774,2,2),Futures!$A$2:$B$12,2),1),G3774*M3774*IF(E3774="FUTURE",VLOOKUP(MID(I3774,2,2),Futures!$A$2:$B$12,2),1)))</f>
        <v>-189525</v>
      </c>
      <c r="R3774" s="12">
        <f>IFERROR(Q3774/P3774/IF(E3774="FUTURE",VLOOKUP(MID(I3774,2,2),Futures!$A$2:$B$12,2),1),"")</f>
        <v>3790.5</v>
      </c>
      <c r="S3774" s="13" t="str">
        <f>IF(AND(H3774="TO CLOSE",P3774=0),-G3774*(M3774-R3773)*IF(E3774="FUTURE",VLOOKUP(MID(I3774,2,2),Futures!$A$2:$B$12,2),1),"")</f>
        <v/>
      </c>
    </row>
    <row r="3775" spans="1:19" x14ac:dyDescent="0.2">
      <c r="A3775">
        <f t="shared" si="181"/>
        <v>1240</v>
      </c>
      <c r="B3775" s="3">
        <v>44223</v>
      </c>
      <c r="C3775" s="3" t="str">
        <f t="shared" si="186"/>
        <v>Wednesday</v>
      </c>
      <c r="D3775" s="2">
        <v>0.42761574074074077</v>
      </c>
      <c r="E3775" t="s">
        <v>14</v>
      </c>
      <c r="F3775" t="s">
        <v>19</v>
      </c>
      <c r="G3775">
        <v>1</v>
      </c>
      <c r="H3775" t="s">
        <v>16</v>
      </c>
      <c r="I3775" t="s">
        <v>89</v>
      </c>
      <c r="J3775" s="1">
        <v>44276</v>
      </c>
      <c r="L3775" t="s">
        <v>14</v>
      </c>
      <c r="M3775">
        <v>3784.25</v>
      </c>
      <c r="N3775">
        <v>3784.25</v>
      </c>
      <c r="O3775" t="s">
        <v>21</v>
      </c>
      <c r="P3775">
        <f t="shared" si="182"/>
        <v>0</v>
      </c>
      <c r="Q3775" s="11">
        <f>IF(P3775=0,0,IFERROR(Q3774+G3775*M3775*IF(E3775="FUTURE",VLOOKUP(MID(I3775,2,2),Futures!$A$2:$B$12,2),1),G3775*M3775*IF(E3775="FUTURE",VLOOKUP(MID(I3775,2,2),Futures!$A$2:$B$12,2),1)))</f>
        <v>0</v>
      </c>
      <c r="R3775" s="12" t="str">
        <f>IFERROR(Q3775/P3775/IF(E3775="FUTURE",VLOOKUP(MID(I3775,2,2),Futures!$A$2:$B$12,2),1),"")</f>
        <v/>
      </c>
      <c r="S3775" s="13">
        <f>IF(AND(H3775="TO CLOSE",P3775=0),-G3775*(M3775-R3774)*IF(E3775="FUTURE",VLOOKUP(MID(I3775,2,2),Futures!$A$2:$B$12,2),1),"")</f>
        <v>312.5</v>
      </c>
    </row>
    <row r="3776" spans="1:19" x14ac:dyDescent="0.2">
      <c r="A3776">
        <f t="shared" si="181"/>
        <v>1241</v>
      </c>
      <c r="B3776" s="3">
        <v>44223</v>
      </c>
      <c r="C3776" s="3" t="str">
        <f t="shared" si="186"/>
        <v>Wednesday</v>
      </c>
      <c r="D3776" s="2">
        <v>0.60097222222222224</v>
      </c>
      <c r="E3776" t="s">
        <v>14</v>
      </c>
      <c r="F3776" t="s">
        <v>19</v>
      </c>
      <c r="G3776">
        <v>1</v>
      </c>
      <c r="H3776" t="s">
        <v>20</v>
      </c>
      <c r="I3776" t="s">
        <v>94</v>
      </c>
      <c r="J3776" s="1">
        <v>44276</v>
      </c>
      <c r="L3776" t="s">
        <v>14</v>
      </c>
      <c r="M3776">
        <v>3766.75</v>
      </c>
      <c r="N3776">
        <v>3766.75</v>
      </c>
      <c r="O3776" t="s">
        <v>21</v>
      </c>
      <c r="P3776">
        <f t="shared" si="182"/>
        <v>1</v>
      </c>
      <c r="Q3776" s="11">
        <f>IF(P3776=0,0,IFERROR(Q3775+G3776*M3776*IF(E3776="FUTURE",VLOOKUP(MID(I3776,2,2),Futures!$A$2:$B$12,2),1),G3776*M3776*IF(E3776="FUTURE",VLOOKUP(MID(I3776,2,2),Futures!$A$2:$B$12,2),1)))</f>
        <v>18833.75</v>
      </c>
      <c r="R3776" s="12">
        <f>IFERROR(Q3776/P3776/IF(E3776="FUTURE",VLOOKUP(MID(I3776,2,2),Futures!$A$2:$B$12,2),1),"")</f>
        <v>3766.75</v>
      </c>
      <c r="S3776" s="13" t="str">
        <f>IF(AND(H3776="TO CLOSE",P3776=0),-G3776*(M3776-R3775)*IF(E3776="FUTURE",VLOOKUP(MID(I3776,2,2),Futures!$A$2:$B$12,2),1),"")</f>
        <v/>
      </c>
    </row>
    <row r="3777" spans="1:19" x14ac:dyDescent="0.2">
      <c r="A3777">
        <f t="shared" si="181"/>
        <v>1241</v>
      </c>
      <c r="B3777" s="3">
        <v>44223</v>
      </c>
      <c r="C3777" s="3" t="str">
        <f t="shared" si="186"/>
        <v>Wednesday</v>
      </c>
      <c r="D3777" s="2">
        <v>0.60636574074074068</v>
      </c>
      <c r="E3777" t="s">
        <v>14</v>
      </c>
      <c r="F3777" t="s">
        <v>19</v>
      </c>
      <c r="G3777">
        <v>1</v>
      </c>
      <c r="H3777" t="s">
        <v>20</v>
      </c>
      <c r="I3777" t="s">
        <v>94</v>
      </c>
      <c r="J3777" s="1">
        <v>44276</v>
      </c>
      <c r="L3777" t="s">
        <v>14</v>
      </c>
      <c r="M3777">
        <v>3755.25</v>
      </c>
      <c r="N3777">
        <v>3755.25</v>
      </c>
      <c r="O3777" t="s">
        <v>21</v>
      </c>
      <c r="P3777">
        <f t="shared" si="182"/>
        <v>2</v>
      </c>
      <c r="Q3777" s="11">
        <f>IF(P3777=0,0,IFERROR(Q3776+G3777*M3777*IF(E3777="FUTURE",VLOOKUP(MID(I3777,2,2),Futures!$A$2:$B$12,2),1),G3777*M3777*IF(E3777="FUTURE",VLOOKUP(MID(I3777,2,2),Futures!$A$2:$B$12,2),1)))</f>
        <v>37610</v>
      </c>
      <c r="R3777" s="12">
        <f>IFERROR(Q3777/P3777/IF(E3777="FUTURE",VLOOKUP(MID(I3777,2,2),Futures!$A$2:$B$12,2),1),"")</f>
        <v>3761</v>
      </c>
      <c r="S3777" s="13" t="str">
        <f>IF(AND(H3777="TO CLOSE",P3777=0),-G3777*(M3777-R3776)*IF(E3777="FUTURE",VLOOKUP(MID(I3777,2,2),Futures!$A$2:$B$12,2),1),"")</f>
        <v/>
      </c>
    </row>
    <row r="3778" spans="1:19" x14ac:dyDescent="0.2">
      <c r="A3778">
        <f t="shared" ref="A3778:A3841" si="187">IF(AND(P3777=0,H3777="TO CLOSE"),IFERROR(A3777+1,1),IFERROR(A3777/1,1))</f>
        <v>1241</v>
      </c>
      <c r="B3778" s="3">
        <v>44223</v>
      </c>
      <c r="C3778" s="3" t="str">
        <f t="shared" si="186"/>
        <v>Wednesday</v>
      </c>
      <c r="D3778" s="2">
        <v>0.62430555555555556</v>
      </c>
      <c r="E3778" t="s">
        <v>14</v>
      </c>
      <c r="F3778" t="s">
        <v>19</v>
      </c>
      <c r="G3778">
        <v>1</v>
      </c>
      <c r="H3778" t="s">
        <v>20</v>
      </c>
      <c r="I3778" t="s">
        <v>94</v>
      </c>
      <c r="J3778" s="1">
        <v>44276</v>
      </c>
      <c r="L3778" t="s">
        <v>14</v>
      </c>
      <c r="M3778">
        <v>3746</v>
      </c>
      <c r="N3778">
        <v>3746</v>
      </c>
      <c r="O3778" t="s">
        <v>21</v>
      </c>
      <c r="P3778">
        <f t="shared" si="182"/>
        <v>3</v>
      </c>
      <c r="Q3778" s="11">
        <f>IF(P3778=0,0,IFERROR(Q3777+G3778*M3778*IF(E3778="FUTURE",VLOOKUP(MID(I3778,2,2),Futures!$A$2:$B$12,2),1),G3778*M3778*IF(E3778="FUTURE",VLOOKUP(MID(I3778,2,2),Futures!$A$2:$B$12,2),1)))</f>
        <v>56340</v>
      </c>
      <c r="R3778" s="12">
        <f>IFERROR(Q3778/P3778/IF(E3778="FUTURE",VLOOKUP(MID(I3778,2,2),Futures!$A$2:$B$12,2),1),"")</f>
        <v>3756</v>
      </c>
      <c r="S3778" s="13" t="str">
        <f>IF(AND(H3778="TO CLOSE",P3778=0),-G3778*(M3778-R3777)*IF(E3778="FUTURE",VLOOKUP(MID(I3778,2,2),Futures!$A$2:$B$12,2),1),"")</f>
        <v/>
      </c>
    </row>
    <row r="3779" spans="1:19" x14ac:dyDescent="0.2">
      <c r="A3779">
        <f t="shared" si="187"/>
        <v>1241</v>
      </c>
      <c r="B3779" s="3">
        <v>44223</v>
      </c>
      <c r="C3779" s="3" t="str">
        <f t="shared" si="186"/>
        <v>Wednesday</v>
      </c>
      <c r="D3779" s="2">
        <v>0.84837962962962965</v>
      </c>
      <c r="E3779" t="s">
        <v>14</v>
      </c>
      <c r="F3779" t="s">
        <v>15</v>
      </c>
      <c r="G3779">
        <v>-2</v>
      </c>
      <c r="H3779" t="s">
        <v>16</v>
      </c>
      <c r="I3779" t="s">
        <v>94</v>
      </c>
      <c r="J3779" s="1">
        <v>44276</v>
      </c>
      <c r="L3779" t="s">
        <v>14</v>
      </c>
      <c r="M3779">
        <v>3742</v>
      </c>
      <c r="N3779">
        <v>3742</v>
      </c>
      <c r="O3779" t="s">
        <v>21</v>
      </c>
      <c r="P3779">
        <f t="shared" ref="P3779:P3842" si="188">IF(H3779="TO OPEN",IFERROR(P3778+G3779,0+G3779),IFERROR(P3778+G3779,0+G3779))</f>
        <v>1</v>
      </c>
      <c r="Q3779" s="11">
        <f>IF(P3779=0,0,IFERROR(Q3778+G3779*M3779*IF(E3779="FUTURE",VLOOKUP(MID(I3779,2,2),Futures!$A$2:$B$12,2),1),G3779*M3779*IF(E3779="FUTURE",VLOOKUP(MID(I3779,2,2),Futures!$A$2:$B$12,2),1)))</f>
        <v>18920</v>
      </c>
      <c r="R3779" s="12">
        <f>IFERROR(Q3779/P3779/IF(E3779="FUTURE",VLOOKUP(MID(I3779,2,2),Futures!$A$2:$B$12,2),1),"")</f>
        <v>3784</v>
      </c>
      <c r="S3779" s="13" t="str">
        <f>IF(AND(H3779="TO CLOSE",P3779=0),-G3779*(M3779-R3778)*IF(E3779="FUTURE",VLOOKUP(MID(I3779,2,2),Futures!$A$2:$B$12,2),1),"")</f>
        <v/>
      </c>
    </row>
    <row r="3780" spans="1:19" x14ac:dyDescent="0.2">
      <c r="A3780">
        <f t="shared" si="187"/>
        <v>1241</v>
      </c>
      <c r="B3780" s="3">
        <v>44223</v>
      </c>
      <c r="C3780" s="3" t="str">
        <f t="shared" si="186"/>
        <v>Wednesday</v>
      </c>
      <c r="D3780" s="2">
        <v>0.85442129629629626</v>
      </c>
      <c r="E3780" t="s">
        <v>14</v>
      </c>
      <c r="F3780" t="s">
        <v>15</v>
      </c>
      <c r="G3780">
        <v>-1</v>
      </c>
      <c r="H3780" t="s">
        <v>16</v>
      </c>
      <c r="I3780" t="s">
        <v>94</v>
      </c>
      <c r="J3780" s="1">
        <v>44276</v>
      </c>
      <c r="L3780" t="s">
        <v>14</v>
      </c>
      <c r="M3780">
        <v>3744</v>
      </c>
      <c r="N3780">
        <v>3744</v>
      </c>
      <c r="O3780" t="s">
        <v>21</v>
      </c>
      <c r="P3780">
        <f t="shared" si="188"/>
        <v>0</v>
      </c>
      <c r="Q3780" s="11">
        <f>IF(P3780=0,0,IFERROR(Q3779+G3780*M3780*IF(E3780="FUTURE",VLOOKUP(MID(I3780,2,2),Futures!$A$2:$B$12,2),1),G3780*M3780*IF(E3780="FUTURE",VLOOKUP(MID(I3780,2,2),Futures!$A$2:$B$12,2),1)))</f>
        <v>0</v>
      </c>
      <c r="R3780" s="12" t="str">
        <f>IFERROR(Q3780/P3780/IF(E3780="FUTURE",VLOOKUP(MID(I3780,2,2),Futures!$A$2:$B$12,2),1),"")</f>
        <v/>
      </c>
      <c r="S3780" s="13">
        <f>IF(AND(H3780="TO CLOSE",P3780=0),-G3780*(M3780-R3779)*IF(E3780="FUTURE",VLOOKUP(MID(I3780,2,2),Futures!$A$2:$B$12,2),1),"")</f>
        <v>-200</v>
      </c>
    </row>
    <row r="3781" spans="1:19" x14ac:dyDescent="0.2">
      <c r="A3781">
        <f t="shared" si="187"/>
        <v>1242</v>
      </c>
      <c r="B3781" s="3">
        <v>44223</v>
      </c>
      <c r="C3781" s="3" t="str">
        <f t="shared" si="186"/>
        <v>Wednesday</v>
      </c>
      <c r="D3781" s="2">
        <v>0.57662037037037039</v>
      </c>
      <c r="E3781" t="s">
        <v>22</v>
      </c>
      <c r="F3781" t="s">
        <v>15</v>
      </c>
      <c r="G3781">
        <v>-100</v>
      </c>
      <c r="H3781" t="s">
        <v>20</v>
      </c>
      <c r="I3781" t="s">
        <v>23</v>
      </c>
      <c r="L3781" t="s">
        <v>22</v>
      </c>
      <c r="M3781">
        <v>18.739999999999998</v>
      </c>
      <c r="N3781">
        <v>18.739999999999998</v>
      </c>
      <c r="O3781" t="s">
        <v>21</v>
      </c>
      <c r="P3781">
        <f t="shared" si="188"/>
        <v>-100</v>
      </c>
      <c r="Q3781" s="11">
        <f>IF(P3781=0,0,IFERROR(Q3780+G3781*M3781*IF(E3781="FUTURE",VLOOKUP(MID(I3781,2,2),Futures!$A$2:$B$12,2),1),G3781*M3781*IF(E3781="FUTURE",VLOOKUP(MID(I3781,2,2),Futures!$A$2:$B$12,2),1)))</f>
        <v>-1873.9999999999998</v>
      </c>
      <c r="R3781" s="12">
        <f>IFERROR(Q3781/P3781/IF(E3781="FUTURE",VLOOKUP(MID(I3781,2,2),Futures!$A$2:$B$12,2),1),"")</f>
        <v>18.739999999999998</v>
      </c>
      <c r="S3781" s="13" t="str">
        <f>IF(AND(H3781="TO CLOSE",P3781=0),-G3781*(M3781-R3780)*IF(E3781="FUTURE",VLOOKUP(MID(I3781,2,2),Futures!$A$2:$B$12,2),1),"")</f>
        <v/>
      </c>
    </row>
    <row r="3782" spans="1:19" x14ac:dyDescent="0.2">
      <c r="A3782">
        <f t="shared" si="187"/>
        <v>1242</v>
      </c>
      <c r="B3782" s="3">
        <v>44223</v>
      </c>
      <c r="C3782" s="3" t="str">
        <f t="shared" si="186"/>
        <v>Wednesday</v>
      </c>
      <c r="D3782" s="2">
        <v>0.57662037037037039</v>
      </c>
      <c r="E3782" t="s">
        <v>22</v>
      </c>
      <c r="F3782" t="s">
        <v>15</v>
      </c>
      <c r="G3782">
        <v>-100</v>
      </c>
      <c r="H3782" t="s">
        <v>20</v>
      </c>
      <c r="I3782" t="s">
        <v>23</v>
      </c>
      <c r="L3782" t="s">
        <v>22</v>
      </c>
      <c r="M3782">
        <v>18.739999999999998</v>
      </c>
      <c r="N3782">
        <v>18.739999999999998</v>
      </c>
      <c r="O3782" t="s">
        <v>21</v>
      </c>
      <c r="P3782">
        <f t="shared" si="188"/>
        <v>-200</v>
      </c>
      <c r="Q3782" s="11">
        <f>IF(P3782=0,0,IFERROR(Q3781+G3782*M3782*IF(E3782="FUTURE",VLOOKUP(MID(I3782,2,2),Futures!$A$2:$B$12,2),1),G3782*M3782*IF(E3782="FUTURE",VLOOKUP(MID(I3782,2,2),Futures!$A$2:$B$12,2),1)))</f>
        <v>-3747.9999999999995</v>
      </c>
      <c r="R3782" s="12">
        <f>IFERROR(Q3782/P3782/IF(E3782="FUTURE",VLOOKUP(MID(I3782,2,2),Futures!$A$2:$B$12,2),1),"")</f>
        <v>18.739999999999998</v>
      </c>
      <c r="S3782" s="13" t="str">
        <f>IF(AND(H3782="TO CLOSE",P3782=0),-G3782*(M3782-R3781)*IF(E3782="FUTURE",VLOOKUP(MID(I3782,2,2),Futures!$A$2:$B$12,2),1),"")</f>
        <v/>
      </c>
    </row>
    <row r="3783" spans="1:19" x14ac:dyDescent="0.2">
      <c r="A3783">
        <f t="shared" si="187"/>
        <v>1242</v>
      </c>
      <c r="B3783" s="3">
        <v>44223</v>
      </c>
      <c r="C3783" s="3" t="str">
        <f t="shared" si="186"/>
        <v>Wednesday</v>
      </c>
      <c r="D3783" s="2">
        <v>0.59631944444444451</v>
      </c>
      <c r="E3783" t="s">
        <v>22</v>
      </c>
      <c r="F3783" t="s">
        <v>15</v>
      </c>
      <c r="G3783">
        <v>-100</v>
      </c>
      <c r="H3783" t="s">
        <v>20</v>
      </c>
      <c r="I3783" t="s">
        <v>23</v>
      </c>
      <c r="L3783" t="s">
        <v>22</v>
      </c>
      <c r="M3783">
        <v>19.14</v>
      </c>
      <c r="N3783">
        <v>19.14</v>
      </c>
      <c r="O3783" t="s">
        <v>21</v>
      </c>
      <c r="P3783">
        <f t="shared" si="188"/>
        <v>-300</v>
      </c>
      <c r="Q3783" s="11">
        <f>IF(P3783=0,0,IFERROR(Q3782+G3783*M3783*IF(E3783="FUTURE",VLOOKUP(MID(I3783,2,2),Futures!$A$2:$B$12,2),1),G3783*M3783*IF(E3783="FUTURE",VLOOKUP(MID(I3783,2,2),Futures!$A$2:$B$12,2),1)))</f>
        <v>-5662</v>
      </c>
      <c r="R3783" s="12">
        <f>IFERROR(Q3783/P3783/IF(E3783="FUTURE",VLOOKUP(MID(I3783,2,2),Futures!$A$2:$B$12,2),1),"")</f>
        <v>18.873333333333335</v>
      </c>
      <c r="S3783" s="13" t="str">
        <f>IF(AND(H3783="TO CLOSE",P3783=0),-G3783*(M3783-R3782)*IF(E3783="FUTURE",VLOOKUP(MID(I3783,2,2),Futures!$A$2:$B$12,2),1),"")</f>
        <v/>
      </c>
    </row>
    <row r="3784" spans="1:19" x14ac:dyDescent="0.2">
      <c r="A3784">
        <f t="shared" si="187"/>
        <v>1242</v>
      </c>
      <c r="B3784" s="3">
        <v>44223</v>
      </c>
      <c r="C3784" s="3" t="str">
        <f t="shared" si="186"/>
        <v>Wednesday</v>
      </c>
      <c r="D3784" s="2">
        <v>0.64328703703703705</v>
      </c>
      <c r="E3784" t="s">
        <v>22</v>
      </c>
      <c r="F3784" t="s">
        <v>15</v>
      </c>
      <c r="G3784">
        <v>-100</v>
      </c>
      <c r="H3784" t="s">
        <v>20</v>
      </c>
      <c r="I3784" t="s">
        <v>23</v>
      </c>
      <c r="L3784" t="s">
        <v>22</v>
      </c>
      <c r="M3784">
        <v>19.78</v>
      </c>
      <c r="N3784">
        <v>19.78</v>
      </c>
      <c r="O3784" t="s">
        <v>21</v>
      </c>
      <c r="P3784">
        <f t="shared" si="188"/>
        <v>-400</v>
      </c>
      <c r="Q3784" s="11">
        <f>IF(P3784=0,0,IFERROR(Q3783+G3784*M3784*IF(E3784="FUTURE",VLOOKUP(MID(I3784,2,2),Futures!$A$2:$B$12,2),1),G3784*M3784*IF(E3784="FUTURE",VLOOKUP(MID(I3784,2,2),Futures!$A$2:$B$12,2),1)))</f>
        <v>-7640</v>
      </c>
      <c r="R3784" s="12">
        <f>IFERROR(Q3784/P3784/IF(E3784="FUTURE",VLOOKUP(MID(I3784,2,2),Futures!$A$2:$B$12,2),1),"")</f>
        <v>19.100000000000001</v>
      </c>
      <c r="S3784" s="13" t="str">
        <f>IF(AND(H3784="TO CLOSE",P3784=0),-G3784*(M3784-R3783)*IF(E3784="FUTURE",VLOOKUP(MID(I3784,2,2),Futures!$A$2:$B$12,2),1),"")</f>
        <v/>
      </c>
    </row>
    <row r="3785" spans="1:19" x14ac:dyDescent="0.2">
      <c r="A3785">
        <f t="shared" si="187"/>
        <v>1242</v>
      </c>
      <c r="B3785" s="3">
        <v>44223</v>
      </c>
      <c r="C3785" s="3" t="str">
        <f t="shared" si="186"/>
        <v>Wednesday</v>
      </c>
      <c r="D3785" s="2">
        <v>0.8305324074074073</v>
      </c>
      <c r="E3785" t="s">
        <v>22</v>
      </c>
      <c r="F3785" t="s">
        <v>19</v>
      </c>
      <c r="G3785">
        <v>400</v>
      </c>
      <c r="H3785" t="s">
        <v>16</v>
      </c>
      <c r="I3785" t="s">
        <v>23</v>
      </c>
      <c r="L3785" t="s">
        <v>22</v>
      </c>
      <c r="M3785">
        <v>20.71</v>
      </c>
      <c r="N3785">
        <v>20.71</v>
      </c>
      <c r="O3785" t="s">
        <v>21</v>
      </c>
      <c r="P3785">
        <f t="shared" si="188"/>
        <v>0</v>
      </c>
      <c r="Q3785" s="11">
        <f>IF(P3785=0,0,IFERROR(Q3784+G3785*M3785*IF(E3785="FUTURE",VLOOKUP(MID(I3785,2,2),Futures!$A$2:$B$12,2),1),G3785*M3785*IF(E3785="FUTURE",VLOOKUP(MID(I3785,2,2),Futures!$A$2:$B$12,2),1)))</f>
        <v>0</v>
      </c>
      <c r="R3785" s="12" t="str">
        <f>IFERROR(Q3785/P3785/IF(E3785="FUTURE",VLOOKUP(MID(I3785,2,2),Futures!$A$2:$B$12,2),1),"")</f>
        <v/>
      </c>
      <c r="S3785" s="13">
        <f>IF(AND(H3785="TO CLOSE",P3785=0),-G3785*(M3785-R3784)*IF(E3785="FUTURE",VLOOKUP(MID(I3785,2,2),Futures!$A$2:$B$12,2),1),"")</f>
        <v>-643.99999999999977</v>
      </c>
    </row>
    <row r="3786" spans="1:19" x14ac:dyDescent="0.2">
      <c r="A3786">
        <f t="shared" si="187"/>
        <v>1243</v>
      </c>
      <c r="B3786" s="3">
        <v>44224</v>
      </c>
      <c r="C3786" s="3" t="str">
        <f t="shared" si="186"/>
        <v>Thursday</v>
      </c>
      <c r="D3786" s="2">
        <v>0.40354166666666669</v>
      </c>
      <c r="E3786" t="s">
        <v>14</v>
      </c>
      <c r="F3786" t="s">
        <v>15</v>
      </c>
      <c r="G3786">
        <v>-2</v>
      </c>
      <c r="H3786" t="s">
        <v>20</v>
      </c>
      <c r="I3786" t="s">
        <v>97</v>
      </c>
      <c r="J3786" s="1">
        <v>44276</v>
      </c>
      <c r="L3786" t="s">
        <v>14</v>
      </c>
      <c r="M3786">
        <v>53.32</v>
      </c>
      <c r="N3786">
        <v>53.32</v>
      </c>
      <c r="O3786" t="s">
        <v>24</v>
      </c>
      <c r="P3786">
        <f t="shared" si="188"/>
        <v>-2</v>
      </c>
      <c r="Q3786" s="11">
        <f>IF(P3786=0,0,IFERROR(Q3785+G3786*M3786*IF(E3786="FUTURE",VLOOKUP(MID(I3786,2,2),Futures!$A$2:$B$12,2),1),G3786*M3786*IF(E3786="FUTURE",VLOOKUP(MID(I3786,2,2),Futures!$A$2:$B$12,2),1)))</f>
        <v>-106640</v>
      </c>
      <c r="R3786" s="12">
        <f>IFERROR(Q3786/P3786/IF(E3786="FUTURE",VLOOKUP(MID(I3786,2,2),Futures!$A$2:$B$12,2),1),"")</f>
        <v>53.32</v>
      </c>
      <c r="S3786" s="13" t="str">
        <f>IF(AND(H3786="TO CLOSE",P3786=0),-G3786*(M3786-R3785)*IF(E3786="FUTURE",VLOOKUP(MID(I3786,2,2),Futures!$A$2:$B$12,2),1),"")</f>
        <v/>
      </c>
    </row>
    <row r="3787" spans="1:19" x14ac:dyDescent="0.2">
      <c r="A3787">
        <f t="shared" si="187"/>
        <v>1243</v>
      </c>
      <c r="B3787" s="3">
        <v>44224</v>
      </c>
      <c r="C3787" s="3" t="str">
        <f t="shared" si="186"/>
        <v>Thursday</v>
      </c>
      <c r="D3787" s="2">
        <v>0.41597222222222219</v>
      </c>
      <c r="E3787" t="s">
        <v>14</v>
      </c>
      <c r="F3787" t="s">
        <v>19</v>
      </c>
      <c r="G3787">
        <v>1</v>
      </c>
      <c r="H3787" t="s">
        <v>16</v>
      </c>
      <c r="I3787" t="s">
        <v>97</v>
      </c>
      <c r="J3787" s="1">
        <v>44276</v>
      </c>
      <c r="L3787" t="s">
        <v>14</v>
      </c>
      <c r="M3787">
        <v>53.17</v>
      </c>
      <c r="N3787">
        <v>53.17</v>
      </c>
      <c r="O3787" t="s">
        <v>21</v>
      </c>
      <c r="P3787">
        <f t="shared" si="188"/>
        <v>-1</v>
      </c>
      <c r="Q3787" s="11">
        <f>IF(P3787=0,0,IFERROR(Q3786+G3787*M3787*IF(E3787="FUTURE",VLOOKUP(MID(I3787,2,2),Futures!$A$2:$B$12,2),1),G3787*M3787*IF(E3787="FUTURE",VLOOKUP(MID(I3787,2,2),Futures!$A$2:$B$12,2),1)))</f>
        <v>-53470</v>
      </c>
      <c r="R3787" s="12">
        <f>IFERROR(Q3787/P3787/IF(E3787="FUTURE",VLOOKUP(MID(I3787,2,2),Futures!$A$2:$B$12,2),1),"")</f>
        <v>53.47</v>
      </c>
      <c r="S3787" s="13" t="str">
        <f>IF(AND(H3787="TO CLOSE",P3787=0),-G3787*(M3787-R3786)*IF(E3787="FUTURE",VLOOKUP(MID(I3787,2,2),Futures!$A$2:$B$12,2),1),"")</f>
        <v/>
      </c>
    </row>
    <row r="3788" spans="1:19" x14ac:dyDescent="0.2">
      <c r="A3788">
        <f t="shared" si="187"/>
        <v>1243</v>
      </c>
      <c r="B3788" s="3">
        <v>44224</v>
      </c>
      <c r="C3788" s="3" t="str">
        <f t="shared" si="186"/>
        <v>Thursday</v>
      </c>
      <c r="D3788" s="2">
        <v>0.42204861111111108</v>
      </c>
      <c r="E3788" t="s">
        <v>14</v>
      </c>
      <c r="F3788" t="s">
        <v>19</v>
      </c>
      <c r="G3788">
        <v>1</v>
      </c>
      <c r="H3788" t="s">
        <v>16</v>
      </c>
      <c r="I3788" t="s">
        <v>97</v>
      </c>
      <c r="J3788" s="1">
        <v>44276</v>
      </c>
      <c r="L3788" t="s">
        <v>14</v>
      </c>
      <c r="M3788">
        <v>53.29</v>
      </c>
      <c r="N3788">
        <v>53.29</v>
      </c>
      <c r="O3788" t="s">
        <v>21</v>
      </c>
      <c r="P3788">
        <f t="shared" si="188"/>
        <v>0</v>
      </c>
      <c r="Q3788" s="11">
        <f>IF(P3788=0,0,IFERROR(Q3787+G3788*M3788*IF(E3788="FUTURE",VLOOKUP(MID(I3788,2,2),Futures!$A$2:$B$12,2),1),G3788*M3788*IF(E3788="FUTURE",VLOOKUP(MID(I3788,2,2),Futures!$A$2:$B$12,2),1)))</f>
        <v>0</v>
      </c>
      <c r="R3788" s="12" t="str">
        <f>IFERROR(Q3788/P3788/IF(E3788="FUTURE",VLOOKUP(MID(I3788,2,2),Futures!$A$2:$B$12,2),1),"")</f>
        <v/>
      </c>
      <c r="S3788" s="13">
        <f>IF(AND(H3788="TO CLOSE",P3788=0),-G3788*(M3788-R3787)*IF(E3788="FUTURE",VLOOKUP(MID(I3788,2,2),Futures!$A$2:$B$12,2),1),"")</f>
        <v>179.99999999999972</v>
      </c>
    </row>
    <row r="3789" spans="1:19" x14ac:dyDescent="0.2">
      <c r="A3789">
        <f t="shared" si="187"/>
        <v>1244</v>
      </c>
      <c r="B3789" s="3">
        <v>44224</v>
      </c>
      <c r="C3789" s="3" t="str">
        <f t="shared" si="186"/>
        <v>Thursday</v>
      </c>
      <c r="D3789" s="2">
        <v>0.45641203703703703</v>
      </c>
      <c r="E3789" t="s">
        <v>14</v>
      </c>
      <c r="F3789" t="s">
        <v>19</v>
      </c>
      <c r="G3789">
        <v>1</v>
      </c>
      <c r="H3789" t="s">
        <v>20</v>
      </c>
      <c r="I3789" t="s">
        <v>97</v>
      </c>
      <c r="J3789" s="1">
        <v>44276</v>
      </c>
      <c r="L3789" t="s">
        <v>14</v>
      </c>
      <c r="M3789">
        <v>52.78</v>
      </c>
      <c r="N3789">
        <v>52.78</v>
      </c>
      <c r="O3789" t="s">
        <v>24</v>
      </c>
      <c r="P3789">
        <f t="shared" si="188"/>
        <v>1</v>
      </c>
      <c r="Q3789" s="11">
        <f>IF(P3789=0,0,IFERROR(Q3788+G3789*M3789*IF(E3789="FUTURE",VLOOKUP(MID(I3789,2,2),Futures!$A$2:$B$12,2),1),G3789*M3789*IF(E3789="FUTURE",VLOOKUP(MID(I3789,2,2),Futures!$A$2:$B$12,2),1)))</f>
        <v>52780</v>
      </c>
      <c r="R3789" s="12">
        <f>IFERROR(Q3789/P3789/IF(E3789="FUTURE",VLOOKUP(MID(I3789,2,2),Futures!$A$2:$B$12,2),1),"")</f>
        <v>52.78</v>
      </c>
      <c r="S3789" s="13" t="str">
        <f>IF(AND(H3789="TO CLOSE",P3789=0),-G3789*(M3789-R3788)*IF(E3789="FUTURE",VLOOKUP(MID(I3789,2,2),Futures!$A$2:$B$12,2),1),"")</f>
        <v/>
      </c>
    </row>
    <row r="3790" spans="1:19" x14ac:dyDescent="0.2">
      <c r="A3790">
        <f t="shared" si="187"/>
        <v>1244</v>
      </c>
      <c r="B3790" s="3">
        <v>44224</v>
      </c>
      <c r="C3790" s="3" t="str">
        <f t="shared" si="186"/>
        <v>Thursday</v>
      </c>
      <c r="D3790" s="2">
        <v>0.47517361111111112</v>
      </c>
      <c r="E3790" t="s">
        <v>14</v>
      </c>
      <c r="F3790" t="s">
        <v>19</v>
      </c>
      <c r="G3790">
        <v>1</v>
      </c>
      <c r="H3790" t="s">
        <v>20</v>
      </c>
      <c r="I3790" t="s">
        <v>97</v>
      </c>
      <c r="J3790" s="1">
        <v>44276</v>
      </c>
      <c r="L3790" t="s">
        <v>14</v>
      </c>
      <c r="M3790">
        <v>52.46</v>
      </c>
      <c r="N3790">
        <v>52.46</v>
      </c>
      <c r="O3790" t="s">
        <v>21</v>
      </c>
      <c r="P3790">
        <f t="shared" si="188"/>
        <v>2</v>
      </c>
      <c r="Q3790" s="11">
        <f>IF(P3790=0,0,IFERROR(Q3789+G3790*M3790*IF(E3790="FUTURE",VLOOKUP(MID(I3790,2,2),Futures!$A$2:$B$12,2),1),G3790*M3790*IF(E3790="FUTURE",VLOOKUP(MID(I3790,2,2),Futures!$A$2:$B$12,2),1)))</f>
        <v>105240</v>
      </c>
      <c r="R3790" s="12">
        <f>IFERROR(Q3790/P3790/IF(E3790="FUTURE",VLOOKUP(MID(I3790,2,2),Futures!$A$2:$B$12,2),1),"")</f>
        <v>52.62</v>
      </c>
      <c r="S3790" s="13" t="str">
        <f>IF(AND(H3790="TO CLOSE",P3790=0),-G3790*(M3790-R3789)*IF(E3790="FUTURE",VLOOKUP(MID(I3790,2,2),Futures!$A$2:$B$12,2),1),"")</f>
        <v/>
      </c>
    </row>
    <row r="3791" spans="1:19" x14ac:dyDescent="0.2">
      <c r="A3791">
        <f t="shared" si="187"/>
        <v>1244</v>
      </c>
      <c r="B3791" s="3">
        <v>44224</v>
      </c>
      <c r="C3791" s="3" t="str">
        <f t="shared" si="186"/>
        <v>Thursday</v>
      </c>
      <c r="D3791" s="2">
        <v>0.48306712962962961</v>
      </c>
      <c r="E3791" t="s">
        <v>14</v>
      </c>
      <c r="F3791" t="s">
        <v>15</v>
      </c>
      <c r="G3791">
        <v>-1</v>
      </c>
      <c r="H3791" t="s">
        <v>16</v>
      </c>
      <c r="I3791" t="s">
        <v>97</v>
      </c>
      <c r="J3791" s="1">
        <v>44276</v>
      </c>
      <c r="L3791" t="s">
        <v>14</v>
      </c>
      <c r="M3791">
        <v>52.56</v>
      </c>
      <c r="N3791">
        <v>52.56</v>
      </c>
      <c r="O3791" t="s">
        <v>21</v>
      </c>
      <c r="P3791">
        <f t="shared" si="188"/>
        <v>1</v>
      </c>
      <c r="Q3791" s="11">
        <f>IF(P3791=0,0,IFERROR(Q3790+G3791*M3791*IF(E3791="FUTURE",VLOOKUP(MID(I3791,2,2),Futures!$A$2:$B$12,2),1),G3791*M3791*IF(E3791="FUTURE",VLOOKUP(MID(I3791,2,2),Futures!$A$2:$B$12,2),1)))</f>
        <v>52680</v>
      </c>
      <c r="R3791" s="12">
        <f>IFERROR(Q3791/P3791/IF(E3791="FUTURE",VLOOKUP(MID(I3791,2,2),Futures!$A$2:$B$12,2),1),"")</f>
        <v>52.68</v>
      </c>
      <c r="S3791" s="13" t="str">
        <f>IF(AND(H3791="TO CLOSE",P3791=0),-G3791*(M3791-R3790)*IF(E3791="FUTURE",VLOOKUP(MID(I3791,2,2),Futures!$A$2:$B$12,2),1),"")</f>
        <v/>
      </c>
    </row>
    <row r="3792" spans="1:19" x14ac:dyDescent="0.2">
      <c r="A3792">
        <f t="shared" si="187"/>
        <v>1244</v>
      </c>
      <c r="B3792" s="3">
        <v>44224</v>
      </c>
      <c r="C3792" s="3" t="str">
        <f t="shared" si="186"/>
        <v>Thursday</v>
      </c>
      <c r="D3792" s="2">
        <v>0.48976851851851855</v>
      </c>
      <c r="E3792" t="s">
        <v>14</v>
      </c>
      <c r="F3792" t="s">
        <v>19</v>
      </c>
      <c r="G3792">
        <v>1</v>
      </c>
      <c r="H3792" t="s">
        <v>20</v>
      </c>
      <c r="I3792" t="s">
        <v>97</v>
      </c>
      <c r="J3792" s="1">
        <v>44276</v>
      </c>
      <c r="L3792" t="s">
        <v>14</v>
      </c>
      <c r="M3792">
        <v>52.42</v>
      </c>
      <c r="N3792">
        <v>52.42</v>
      </c>
      <c r="O3792" t="s">
        <v>21</v>
      </c>
      <c r="P3792">
        <f t="shared" si="188"/>
        <v>2</v>
      </c>
      <c r="Q3792" s="11">
        <f>IF(P3792=0,0,IFERROR(Q3791+G3792*M3792*IF(E3792="FUTURE",VLOOKUP(MID(I3792,2,2),Futures!$A$2:$B$12,2),1),G3792*M3792*IF(E3792="FUTURE",VLOOKUP(MID(I3792,2,2),Futures!$A$2:$B$12,2),1)))</f>
        <v>105100</v>
      </c>
      <c r="R3792" s="12">
        <f>IFERROR(Q3792/P3792/IF(E3792="FUTURE",VLOOKUP(MID(I3792,2,2),Futures!$A$2:$B$12,2),1),"")</f>
        <v>52.55</v>
      </c>
      <c r="S3792" s="13" t="str">
        <f>IF(AND(H3792="TO CLOSE",P3792=0),-G3792*(M3792-R3791)*IF(E3792="FUTURE",VLOOKUP(MID(I3792,2,2),Futures!$A$2:$B$12,2),1),"")</f>
        <v/>
      </c>
    </row>
    <row r="3793" spans="1:19" x14ac:dyDescent="0.2">
      <c r="A3793">
        <f t="shared" si="187"/>
        <v>1244</v>
      </c>
      <c r="B3793" s="3">
        <v>44224</v>
      </c>
      <c r="C3793" s="3" t="str">
        <f t="shared" si="186"/>
        <v>Thursday</v>
      </c>
      <c r="D3793" s="2">
        <v>0.50321759259259258</v>
      </c>
      <c r="E3793" t="s">
        <v>14</v>
      </c>
      <c r="F3793" t="s">
        <v>15</v>
      </c>
      <c r="G3793">
        <v>-1</v>
      </c>
      <c r="H3793" t="s">
        <v>16</v>
      </c>
      <c r="I3793" t="s">
        <v>97</v>
      </c>
      <c r="J3793" s="1">
        <v>44276</v>
      </c>
      <c r="L3793" t="s">
        <v>14</v>
      </c>
      <c r="M3793">
        <v>52.53</v>
      </c>
      <c r="N3793">
        <v>52.53</v>
      </c>
      <c r="O3793" t="s">
        <v>21</v>
      </c>
      <c r="P3793">
        <f t="shared" si="188"/>
        <v>1</v>
      </c>
      <c r="Q3793" s="11">
        <f>IF(P3793=0,0,IFERROR(Q3792+G3793*M3793*IF(E3793="FUTURE",VLOOKUP(MID(I3793,2,2),Futures!$A$2:$B$12,2),1),G3793*M3793*IF(E3793="FUTURE",VLOOKUP(MID(I3793,2,2),Futures!$A$2:$B$12,2),1)))</f>
        <v>52570</v>
      </c>
      <c r="R3793" s="12">
        <f>IFERROR(Q3793/P3793/IF(E3793="FUTURE",VLOOKUP(MID(I3793,2,2),Futures!$A$2:$B$12,2),1),"")</f>
        <v>52.57</v>
      </c>
      <c r="S3793" s="13" t="str">
        <f>IF(AND(H3793="TO CLOSE",P3793=0),-G3793*(M3793-R3792)*IF(E3793="FUTURE",VLOOKUP(MID(I3793,2,2),Futures!$A$2:$B$12,2),1),"")</f>
        <v/>
      </c>
    </row>
    <row r="3794" spans="1:19" x14ac:dyDescent="0.2">
      <c r="A3794">
        <f t="shared" si="187"/>
        <v>1244</v>
      </c>
      <c r="B3794" s="3">
        <v>44224</v>
      </c>
      <c r="C3794" s="3" t="str">
        <f t="shared" si="186"/>
        <v>Thursday</v>
      </c>
      <c r="D3794" s="2">
        <v>0.51266203703703705</v>
      </c>
      <c r="E3794" t="s">
        <v>14</v>
      </c>
      <c r="F3794" t="s">
        <v>19</v>
      </c>
      <c r="G3794">
        <v>1</v>
      </c>
      <c r="H3794" t="s">
        <v>20</v>
      </c>
      <c r="I3794" t="s">
        <v>97</v>
      </c>
      <c r="J3794" s="1">
        <v>44276</v>
      </c>
      <c r="L3794" t="s">
        <v>14</v>
      </c>
      <c r="M3794">
        <v>52.33</v>
      </c>
      <c r="N3794">
        <v>52.33</v>
      </c>
      <c r="O3794" t="s">
        <v>21</v>
      </c>
      <c r="P3794">
        <f t="shared" si="188"/>
        <v>2</v>
      </c>
      <c r="Q3794" s="11">
        <f>IF(P3794=0,0,IFERROR(Q3793+G3794*M3794*IF(E3794="FUTURE",VLOOKUP(MID(I3794,2,2),Futures!$A$2:$B$12,2),1),G3794*M3794*IF(E3794="FUTURE",VLOOKUP(MID(I3794,2,2),Futures!$A$2:$B$12,2),1)))</f>
        <v>104900</v>
      </c>
      <c r="R3794" s="12">
        <f>IFERROR(Q3794/P3794/IF(E3794="FUTURE",VLOOKUP(MID(I3794,2,2),Futures!$A$2:$B$12,2),1),"")</f>
        <v>52.45</v>
      </c>
      <c r="S3794" s="13" t="str">
        <f>IF(AND(H3794="TO CLOSE",P3794=0),-G3794*(M3794-R3793)*IF(E3794="FUTURE",VLOOKUP(MID(I3794,2,2),Futures!$A$2:$B$12,2),1),"")</f>
        <v/>
      </c>
    </row>
    <row r="3795" spans="1:19" x14ac:dyDescent="0.2">
      <c r="A3795">
        <f t="shared" si="187"/>
        <v>1244</v>
      </c>
      <c r="B3795" s="3">
        <v>44224</v>
      </c>
      <c r="C3795" s="3" t="str">
        <f t="shared" si="186"/>
        <v>Thursday</v>
      </c>
      <c r="D3795" s="2">
        <v>0.5134143518518518</v>
      </c>
      <c r="E3795" t="s">
        <v>14</v>
      </c>
      <c r="F3795" t="s">
        <v>15</v>
      </c>
      <c r="G3795">
        <v>-1</v>
      </c>
      <c r="H3795" t="s">
        <v>16</v>
      </c>
      <c r="I3795" t="s">
        <v>97</v>
      </c>
      <c r="J3795" s="1">
        <v>44276</v>
      </c>
      <c r="L3795" t="s">
        <v>14</v>
      </c>
      <c r="M3795">
        <v>52.42</v>
      </c>
      <c r="N3795">
        <v>52.42</v>
      </c>
      <c r="O3795" t="s">
        <v>21</v>
      </c>
      <c r="P3795">
        <f t="shared" si="188"/>
        <v>1</v>
      </c>
      <c r="Q3795" s="11">
        <f>IF(P3795=0,0,IFERROR(Q3794+G3795*M3795*IF(E3795="FUTURE",VLOOKUP(MID(I3795,2,2),Futures!$A$2:$B$12,2),1),G3795*M3795*IF(E3795="FUTURE",VLOOKUP(MID(I3795,2,2),Futures!$A$2:$B$12,2),1)))</f>
        <v>52480</v>
      </c>
      <c r="R3795" s="12">
        <f>IFERROR(Q3795/P3795/IF(E3795="FUTURE",VLOOKUP(MID(I3795,2,2),Futures!$A$2:$B$12,2),1),"")</f>
        <v>52.48</v>
      </c>
      <c r="S3795" s="13" t="str">
        <f>IF(AND(H3795="TO CLOSE",P3795=0),-G3795*(M3795-R3794)*IF(E3795="FUTURE",VLOOKUP(MID(I3795,2,2),Futures!$A$2:$B$12,2),1),"")</f>
        <v/>
      </c>
    </row>
    <row r="3796" spans="1:19" x14ac:dyDescent="0.2">
      <c r="A3796">
        <f t="shared" si="187"/>
        <v>1244</v>
      </c>
      <c r="B3796" s="3">
        <v>44224</v>
      </c>
      <c r="C3796" s="3" t="str">
        <f t="shared" si="186"/>
        <v>Thursday</v>
      </c>
      <c r="D3796" s="2">
        <v>0.5626620370370371</v>
      </c>
      <c r="E3796" t="s">
        <v>14</v>
      </c>
      <c r="F3796" t="s">
        <v>15</v>
      </c>
      <c r="G3796">
        <v>-1</v>
      </c>
      <c r="H3796" t="s">
        <v>16</v>
      </c>
      <c r="I3796" t="s">
        <v>97</v>
      </c>
      <c r="J3796" s="1">
        <v>44276</v>
      </c>
      <c r="L3796" t="s">
        <v>14</v>
      </c>
      <c r="M3796">
        <v>52.48</v>
      </c>
      <c r="N3796">
        <v>52.48</v>
      </c>
      <c r="O3796" t="s">
        <v>21</v>
      </c>
      <c r="P3796">
        <f t="shared" si="188"/>
        <v>0</v>
      </c>
      <c r="Q3796" s="11">
        <f>IF(P3796=0,0,IFERROR(Q3795+G3796*M3796*IF(E3796="FUTURE",VLOOKUP(MID(I3796,2,2),Futures!$A$2:$B$12,2),1),G3796*M3796*IF(E3796="FUTURE",VLOOKUP(MID(I3796,2,2),Futures!$A$2:$B$12,2),1)))</f>
        <v>0</v>
      </c>
      <c r="R3796" s="12" t="str">
        <f>IFERROR(Q3796/P3796/IF(E3796="FUTURE",VLOOKUP(MID(I3796,2,2),Futures!$A$2:$B$12,2),1),"")</f>
        <v/>
      </c>
      <c r="S3796" s="13">
        <f>IF(AND(H3796="TO CLOSE",P3796=0),-G3796*(M3796-R3795)*IF(E3796="FUTURE",VLOOKUP(MID(I3796,2,2),Futures!$A$2:$B$12,2),1),"")</f>
        <v>0</v>
      </c>
    </row>
    <row r="3797" spans="1:19" x14ac:dyDescent="0.2">
      <c r="A3797">
        <f t="shared" si="187"/>
        <v>1245</v>
      </c>
      <c r="B3797" s="3">
        <v>44224</v>
      </c>
      <c r="C3797" s="3" t="str">
        <f t="shared" si="186"/>
        <v>Thursday</v>
      </c>
      <c r="D3797" s="2">
        <v>0.44188657407407406</v>
      </c>
      <c r="E3797" t="s">
        <v>14</v>
      </c>
      <c r="F3797" t="s">
        <v>15</v>
      </c>
      <c r="G3797">
        <v>-1</v>
      </c>
      <c r="H3797" t="s">
        <v>20</v>
      </c>
      <c r="I3797" t="s">
        <v>89</v>
      </c>
      <c r="J3797" s="1">
        <v>44276</v>
      </c>
      <c r="L3797" t="s">
        <v>14</v>
      </c>
      <c r="M3797">
        <v>3795.25</v>
      </c>
      <c r="N3797">
        <v>3795.25</v>
      </c>
      <c r="O3797" t="s">
        <v>21</v>
      </c>
      <c r="P3797">
        <f t="shared" si="188"/>
        <v>-1</v>
      </c>
      <c r="Q3797" s="11">
        <f>IF(P3797=0,0,IFERROR(Q3796+G3797*M3797*IF(E3797="FUTURE",VLOOKUP(MID(I3797,2,2),Futures!$A$2:$B$12,2),1),G3797*M3797*IF(E3797="FUTURE",VLOOKUP(MID(I3797,2,2),Futures!$A$2:$B$12,2),1)))</f>
        <v>-189762.5</v>
      </c>
      <c r="R3797" s="12">
        <f>IFERROR(Q3797/P3797/IF(E3797="FUTURE",VLOOKUP(MID(I3797,2,2),Futures!$A$2:$B$12,2),1),"")</f>
        <v>3795.25</v>
      </c>
      <c r="S3797" s="13" t="str">
        <f>IF(AND(H3797="TO CLOSE",P3797=0),-G3797*(M3797-R3796)*IF(E3797="FUTURE",VLOOKUP(MID(I3797,2,2),Futures!$A$2:$B$12,2),1),"")</f>
        <v/>
      </c>
    </row>
    <row r="3798" spans="1:19" x14ac:dyDescent="0.2">
      <c r="A3798">
        <f t="shared" si="187"/>
        <v>1245</v>
      </c>
      <c r="B3798" s="3">
        <v>44224</v>
      </c>
      <c r="C3798" s="3" t="str">
        <f t="shared" si="186"/>
        <v>Thursday</v>
      </c>
      <c r="D3798" s="2">
        <v>0.44504629629629627</v>
      </c>
      <c r="E3798" t="s">
        <v>14</v>
      </c>
      <c r="F3798" t="s">
        <v>19</v>
      </c>
      <c r="G3798">
        <v>1</v>
      </c>
      <c r="H3798" t="s">
        <v>16</v>
      </c>
      <c r="I3798" t="s">
        <v>89</v>
      </c>
      <c r="J3798" s="1">
        <v>44276</v>
      </c>
      <c r="L3798" t="s">
        <v>14</v>
      </c>
      <c r="M3798">
        <v>3790.75</v>
      </c>
      <c r="N3798">
        <v>3790.75</v>
      </c>
      <c r="O3798" t="s">
        <v>21</v>
      </c>
      <c r="P3798">
        <f t="shared" si="188"/>
        <v>0</v>
      </c>
      <c r="Q3798" s="11">
        <f>IF(P3798=0,0,IFERROR(Q3797+G3798*M3798*IF(E3798="FUTURE",VLOOKUP(MID(I3798,2,2),Futures!$A$2:$B$12,2),1),G3798*M3798*IF(E3798="FUTURE",VLOOKUP(MID(I3798,2,2),Futures!$A$2:$B$12,2),1)))</f>
        <v>0</v>
      </c>
      <c r="R3798" s="12" t="str">
        <f>IFERROR(Q3798/P3798/IF(E3798="FUTURE",VLOOKUP(MID(I3798,2,2),Futures!$A$2:$B$12,2),1),"")</f>
        <v/>
      </c>
      <c r="S3798" s="13">
        <f>IF(AND(H3798="TO CLOSE",P3798=0),-G3798*(M3798-R3797)*IF(E3798="FUTURE",VLOOKUP(MID(I3798,2,2),Futures!$A$2:$B$12,2),1),"")</f>
        <v>225</v>
      </c>
    </row>
    <row r="3799" spans="1:19" x14ac:dyDescent="0.2">
      <c r="A3799">
        <f t="shared" si="187"/>
        <v>1246</v>
      </c>
      <c r="B3799" s="3">
        <v>44224</v>
      </c>
      <c r="C3799" s="3" t="str">
        <f t="shared" si="186"/>
        <v>Thursday</v>
      </c>
      <c r="D3799" s="2">
        <v>0.52890046296296289</v>
      </c>
      <c r="E3799" t="s">
        <v>14</v>
      </c>
      <c r="F3799" t="s">
        <v>15</v>
      </c>
      <c r="G3799">
        <v>-1</v>
      </c>
      <c r="H3799" t="s">
        <v>20</v>
      </c>
      <c r="I3799" t="s">
        <v>89</v>
      </c>
      <c r="J3799" s="1">
        <v>44276</v>
      </c>
      <c r="L3799" t="s">
        <v>14</v>
      </c>
      <c r="M3799">
        <v>3819.5</v>
      </c>
      <c r="N3799">
        <v>3819.5</v>
      </c>
      <c r="O3799" t="s">
        <v>21</v>
      </c>
      <c r="P3799">
        <f t="shared" si="188"/>
        <v>-1</v>
      </c>
      <c r="Q3799" s="11">
        <f>IF(P3799=0,0,IFERROR(Q3798+G3799*M3799*IF(E3799="FUTURE",VLOOKUP(MID(I3799,2,2),Futures!$A$2:$B$12,2),1),G3799*M3799*IF(E3799="FUTURE",VLOOKUP(MID(I3799,2,2),Futures!$A$2:$B$12,2),1)))</f>
        <v>-190975</v>
      </c>
      <c r="R3799" s="12">
        <f>IFERROR(Q3799/P3799/IF(E3799="FUTURE",VLOOKUP(MID(I3799,2,2),Futures!$A$2:$B$12,2),1),"")</f>
        <v>3819.5</v>
      </c>
      <c r="S3799" s="13" t="str">
        <f>IF(AND(H3799="TO CLOSE",P3799=0),-G3799*(M3799-R3798)*IF(E3799="FUTURE",VLOOKUP(MID(I3799,2,2),Futures!$A$2:$B$12,2),1),"")</f>
        <v/>
      </c>
    </row>
    <row r="3800" spans="1:19" x14ac:dyDescent="0.2">
      <c r="A3800">
        <f t="shared" si="187"/>
        <v>1246</v>
      </c>
      <c r="B3800" s="3">
        <v>44224</v>
      </c>
      <c r="C3800" s="3" t="str">
        <f t="shared" si="186"/>
        <v>Thursday</v>
      </c>
      <c r="D3800" s="2">
        <v>0.5294444444444445</v>
      </c>
      <c r="E3800" t="s">
        <v>14</v>
      </c>
      <c r="F3800" t="s">
        <v>19</v>
      </c>
      <c r="G3800">
        <v>1</v>
      </c>
      <c r="H3800" t="s">
        <v>16</v>
      </c>
      <c r="I3800" t="s">
        <v>89</v>
      </c>
      <c r="J3800" s="1">
        <v>44276</v>
      </c>
      <c r="L3800" t="s">
        <v>14</v>
      </c>
      <c r="M3800">
        <v>3819.25</v>
      </c>
      <c r="N3800">
        <v>3819.25</v>
      </c>
      <c r="O3800" t="s">
        <v>18</v>
      </c>
      <c r="P3800">
        <f t="shared" si="188"/>
        <v>0</v>
      </c>
      <c r="Q3800" s="11">
        <f>IF(P3800=0,0,IFERROR(Q3799+G3800*M3800*IF(E3800="FUTURE",VLOOKUP(MID(I3800,2,2),Futures!$A$2:$B$12,2),1),G3800*M3800*IF(E3800="FUTURE",VLOOKUP(MID(I3800,2,2),Futures!$A$2:$B$12,2),1)))</f>
        <v>0</v>
      </c>
      <c r="R3800" s="12" t="str">
        <f>IFERROR(Q3800/P3800/IF(E3800="FUTURE",VLOOKUP(MID(I3800,2,2),Futures!$A$2:$B$12,2),1),"")</f>
        <v/>
      </c>
      <c r="S3800" s="13">
        <f>IF(AND(H3800="TO CLOSE",P3800=0),-G3800*(M3800-R3799)*IF(E3800="FUTURE",VLOOKUP(MID(I3800,2,2),Futures!$A$2:$B$12,2),1),"")</f>
        <v>12.5</v>
      </c>
    </row>
    <row r="3801" spans="1:19" x14ac:dyDescent="0.2">
      <c r="A3801">
        <f t="shared" si="187"/>
        <v>1247</v>
      </c>
      <c r="B3801" s="3">
        <v>44224</v>
      </c>
      <c r="C3801" s="3" t="str">
        <f t="shared" si="186"/>
        <v>Thursday</v>
      </c>
      <c r="D3801" s="2">
        <v>0.54565972222222225</v>
      </c>
      <c r="E3801" t="s">
        <v>14</v>
      </c>
      <c r="F3801" t="s">
        <v>15</v>
      </c>
      <c r="G3801">
        <v>-1</v>
      </c>
      <c r="H3801" t="s">
        <v>20</v>
      </c>
      <c r="I3801" t="s">
        <v>89</v>
      </c>
      <c r="J3801" s="1">
        <v>44276</v>
      </c>
      <c r="L3801" t="s">
        <v>14</v>
      </c>
      <c r="M3801">
        <v>3819.5</v>
      </c>
      <c r="N3801">
        <v>3819.5</v>
      </c>
      <c r="O3801" t="s">
        <v>21</v>
      </c>
      <c r="P3801">
        <f t="shared" si="188"/>
        <v>-1</v>
      </c>
      <c r="Q3801" s="11">
        <f>IF(P3801=0,0,IFERROR(Q3800+G3801*M3801*IF(E3801="FUTURE",VLOOKUP(MID(I3801,2,2),Futures!$A$2:$B$12,2),1),G3801*M3801*IF(E3801="FUTURE",VLOOKUP(MID(I3801,2,2),Futures!$A$2:$B$12,2),1)))</f>
        <v>-190975</v>
      </c>
      <c r="R3801" s="12">
        <f>IFERROR(Q3801/P3801/IF(E3801="FUTURE",VLOOKUP(MID(I3801,2,2),Futures!$A$2:$B$12,2),1),"")</f>
        <v>3819.5</v>
      </c>
      <c r="S3801" s="13" t="str">
        <f>IF(AND(H3801="TO CLOSE",P3801=0),-G3801*(M3801-R3800)*IF(E3801="FUTURE",VLOOKUP(MID(I3801,2,2),Futures!$A$2:$B$12,2),1),"")</f>
        <v/>
      </c>
    </row>
    <row r="3802" spans="1:19" x14ac:dyDescent="0.2">
      <c r="A3802">
        <f t="shared" si="187"/>
        <v>1247</v>
      </c>
      <c r="B3802" s="3">
        <v>44224</v>
      </c>
      <c r="C3802" s="3" t="str">
        <f t="shared" si="186"/>
        <v>Thursday</v>
      </c>
      <c r="D3802" s="2">
        <v>0.54682870370370373</v>
      </c>
      <c r="E3802" t="s">
        <v>14</v>
      </c>
      <c r="F3802" t="s">
        <v>19</v>
      </c>
      <c r="G3802">
        <v>1</v>
      </c>
      <c r="H3802" t="s">
        <v>16</v>
      </c>
      <c r="I3802" t="s">
        <v>89</v>
      </c>
      <c r="J3802" s="1">
        <v>44276</v>
      </c>
      <c r="L3802" t="s">
        <v>14</v>
      </c>
      <c r="M3802">
        <v>3818.25</v>
      </c>
      <c r="N3802">
        <v>3818.25</v>
      </c>
      <c r="O3802" t="s">
        <v>21</v>
      </c>
      <c r="P3802">
        <f t="shared" si="188"/>
        <v>0</v>
      </c>
      <c r="Q3802" s="11">
        <f>IF(P3802=0,0,IFERROR(Q3801+G3802*M3802*IF(E3802="FUTURE",VLOOKUP(MID(I3802,2,2),Futures!$A$2:$B$12,2),1),G3802*M3802*IF(E3802="FUTURE",VLOOKUP(MID(I3802,2,2),Futures!$A$2:$B$12,2),1)))</f>
        <v>0</v>
      </c>
      <c r="R3802" s="12" t="str">
        <f>IFERROR(Q3802/P3802/IF(E3802="FUTURE",VLOOKUP(MID(I3802,2,2),Futures!$A$2:$B$12,2),1),"")</f>
        <v/>
      </c>
      <c r="S3802" s="13">
        <f>IF(AND(H3802="TO CLOSE",P3802=0),-G3802*(M3802-R3801)*IF(E3802="FUTURE",VLOOKUP(MID(I3802,2,2),Futures!$A$2:$B$12,2),1),"")</f>
        <v>62.5</v>
      </c>
    </row>
    <row r="3803" spans="1:19" x14ac:dyDescent="0.2">
      <c r="A3803">
        <f t="shared" si="187"/>
        <v>1248</v>
      </c>
      <c r="B3803" s="3">
        <v>44225</v>
      </c>
      <c r="C3803" s="3" t="str">
        <f t="shared" ref="C3803:C3817" si="189">IF(WEEKDAY(B3803,2)=1,"Monday",IF(WEEKDAY(B3803,2)=2,"Tuesday",IF(WEEKDAY(B3803,2)=3,"Wednesday",IF(WEEKDAY(B3803,2)=4,"Thursday",IF(WEEKDAY(B3803,2)=5,"Friday","Sunday")))))</f>
        <v>Friday</v>
      </c>
      <c r="D3803" s="2">
        <v>0.39947916666666666</v>
      </c>
      <c r="E3803" t="s">
        <v>14</v>
      </c>
      <c r="F3803" t="s">
        <v>15</v>
      </c>
      <c r="G3803">
        <v>-1</v>
      </c>
      <c r="H3803" t="s">
        <v>20</v>
      </c>
      <c r="I3803" t="s">
        <v>97</v>
      </c>
      <c r="J3803" s="1">
        <v>44276</v>
      </c>
      <c r="L3803" t="s">
        <v>14</v>
      </c>
      <c r="M3803">
        <v>52.96</v>
      </c>
      <c r="N3803">
        <v>52.96</v>
      </c>
      <c r="O3803" t="s">
        <v>21</v>
      </c>
      <c r="P3803">
        <f t="shared" si="188"/>
        <v>-1</v>
      </c>
      <c r="Q3803" s="11">
        <f>IF(P3803=0,0,IFERROR(Q3802+G3803*M3803*IF(E3803="FUTURE",VLOOKUP(MID(I3803,2,2),Futures!$A$2:$B$12,2),1),G3803*M3803*IF(E3803="FUTURE",VLOOKUP(MID(I3803,2,2),Futures!$A$2:$B$12,2),1)))</f>
        <v>-52960</v>
      </c>
      <c r="R3803" s="12">
        <f>IFERROR(Q3803/P3803/IF(E3803="FUTURE",VLOOKUP(MID(I3803,2,2),Futures!$A$2:$B$12,2),1),"")</f>
        <v>52.96</v>
      </c>
      <c r="S3803" s="13" t="str">
        <f>IF(AND(H3803="TO CLOSE",P3803=0),-G3803*(M3803-R3802)*IF(E3803="FUTURE",VLOOKUP(MID(I3803,2,2),Futures!$A$2:$B$12,2),1),"")</f>
        <v/>
      </c>
    </row>
    <row r="3804" spans="1:19" x14ac:dyDescent="0.2">
      <c r="A3804">
        <f t="shared" si="187"/>
        <v>1248</v>
      </c>
      <c r="B3804" s="3">
        <v>44225</v>
      </c>
      <c r="C3804" s="3" t="str">
        <f t="shared" si="189"/>
        <v>Friday</v>
      </c>
      <c r="D3804" s="2">
        <v>0.40230324074074075</v>
      </c>
      <c r="E3804" t="s">
        <v>14</v>
      </c>
      <c r="F3804" t="s">
        <v>19</v>
      </c>
      <c r="G3804">
        <v>1</v>
      </c>
      <c r="H3804" t="s">
        <v>16</v>
      </c>
      <c r="I3804" t="s">
        <v>97</v>
      </c>
      <c r="J3804" s="1">
        <v>44276</v>
      </c>
      <c r="L3804" t="s">
        <v>14</v>
      </c>
      <c r="M3804">
        <v>53.04</v>
      </c>
      <c r="N3804">
        <v>53.04</v>
      </c>
      <c r="O3804" t="s">
        <v>21</v>
      </c>
      <c r="P3804">
        <f t="shared" si="188"/>
        <v>0</v>
      </c>
      <c r="Q3804" s="11">
        <f>IF(P3804=0,0,IFERROR(Q3803+G3804*M3804*IF(E3804="FUTURE",VLOOKUP(MID(I3804,2,2),Futures!$A$2:$B$12,2),1),G3804*M3804*IF(E3804="FUTURE",VLOOKUP(MID(I3804,2,2),Futures!$A$2:$B$12,2),1)))</f>
        <v>0</v>
      </c>
      <c r="R3804" s="12" t="str">
        <f>IFERROR(Q3804/P3804/IF(E3804="FUTURE",VLOOKUP(MID(I3804,2,2),Futures!$A$2:$B$12,2),1),"")</f>
        <v/>
      </c>
      <c r="S3804" s="13">
        <f>IF(AND(H3804="TO CLOSE",P3804=0),-G3804*(M3804-R3803)*IF(E3804="FUTURE",VLOOKUP(MID(I3804,2,2),Futures!$A$2:$B$12,2),1),"")</f>
        <v>-79.999999999998295</v>
      </c>
    </row>
    <row r="3805" spans="1:19" x14ac:dyDescent="0.2">
      <c r="A3805">
        <f t="shared" si="187"/>
        <v>1249</v>
      </c>
      <c r="B3805" s="3">
        <v>44225</v>
      </c>
      <c r="C3805" s="3" t="str">
        <f t="shared" si="189"/>
        <v>Friday</v>
      </c>
      <c r="D3805" s="2">
        <v>0.40287037037037038</v>
      </c>
      <c r="E3805" t="s">
        <v>14</v>
      </c>
      <c r="F3805" t="s">
        <v>15</v>
      </c>
      <c r="G3805">
        <v>-2</v>
      </c>
      <c r="H3805" t="s">
        <v>20</v>
      </c>
      <c r="I3805" t="s">
        <v>97</v>
      </c>
      <c r="J3805" s="1">
        <v>44276</v>
      </c>
      <c r="L3805" t="s">
        <v>14</v>
      </c>
      <c r="M3805">
        <v>52.98</v>
      </c>
      <c r="N3805">
        <v>52.98</v>
      </c>
      <c r="O3805" t="s">
        <v>24</v>
      </c>
      <c r="P3805">
        <f t="shared" si="188"/>
        <v>-2</v>
      </c>
      <c r="Q3805" s="11">
        <f>IF(P3805=0,0,IFERROR(Q3804+G3805*M3805*IF(E3805="FUTURE",VLOOKUP(MID(I3805,2,2),Futures!$A$2:$B$12,2),1),G3805*M3805*IF(E3805="FUTURE",VLOOKUP(MID(I3805,2,2),Futures!$A$2:$B$12,2),1)))</f>
        <v>-105960</v>
      </c>
      <c r="R3805" s="12">
        <f>IFERROR(Q3805/P3805/IF(E3805="FUTURE",VLOOKUP(MID(I3805,2,2),Futures!$A$2:$B$12,2),1),"")</f>
        <v>52.98</v>
      </c>
      <c r="S3805" s="13" t="str">
        <f>IF(AND(H3805="TO CLOSE",P3805=0),-G3805*(M3805-R3804)*IF(E3805="FUTURE",VLOOKUP(MID(I3805,2,2),Futures!$A$2:$B$12,2),1),"")</f>
        <v/>
      </c>
    </row>
    <row r="3806" spans="1:19" x14ac:dyDescent="0.2">
      <c r="A3806">
        <f t="shared" si="187"/>
        <v>1249</v>
      </c>
      <c r="B3806" s="3">
        <v>44225</v>
      </c>
      <c r="C3806" s="3" t="str">
        <f t="shared" si="189"/>
        <v>Friday</v>
      </c>
      <c r="D3806" s="2">
        <v>0.40393518518518517</v>
      </c>
      <c r="E3806" t="s">
        <v>14</v>
      </c>
      <c r="F3806" t="s">
        <v>19</v>
      </c>
      <c r="G3806">
        <v>1</v>
      </c>
      <c r="H3806" t="s">
        <v>16</v>
      </c>
      <c r="I3806" t="s">
        <v>97</v>
      </c>
      <c r="J3806" s="1">
        <v>44276</v>
      </c>
      <c r="L3806" t="s">
        <v>14</v>
      </c>
      <c r="M3806">
        <v>52.92</v>
      </c>
      <c r="N3806">
        <v>52.92</v>
      </c>
      <c r="O3806" t="s">
        <v>21</v>
      </c>
      <c r="P3806">
        <f t="shared" si="188"/>
        <v>-1</v>
      </c>
      <c r="Q3806" s="11">
        <f>IF(P3806=0,0,IFERROR(Q3805+G3806*M3806*IF(E3806="FUTURE",VLOOKUP(MID(I3806,2,2),Futures!$A$2:$B$12,2),1),G3806*M3806*IF(E3806="FUTURE",VLOOKUP(MID(I3806,2,2),Futures!$A$2:$B$12,2),1)))</f>
        <v>-53040</v>
      </c>
      <c r="R3806" s="12">
        <f>IFERROR(Q3806/P3806/IF(E3806="FUTURE",VLOOKUP(MID(I3806,2,2),Futures!$A$2:$B$12,2),1),"")</f>
        <v>53.04</v>
      </c>
      <c r="S3806" s="13" t="str">
        <f>IF(AND(H3806="TO CLOSE",P3806=0),-G3806*(M3806-R3805)*IF(E3806="FUTURE",VLOOKUP(MID(I3806,2,2),Futures!$A$2:$B$12,2),1),"")</f>
        <v/>
      </c>
    </row>
    <row r="3807" spans="1:19" x14ac:dyDescent="0.2">
      <c r="A3807">
        <f t="shared" si="187"/>
        <v>1249</v>
      </c>
      <c r="B3807" s="3">
        <v>44225</v>
      </c>
      <c r="C3807" s="3" t="str">
        <f t="shared" si="189"/>
        <v>Friday</v>
      </c>
      <c r="D3807" s="2">
        <v>0.40562499999999996</v>
      </c>
      <c r="E3807" t="s">
        <v>14</v>
      </c>
      <c r="F3807" t="s">
        <v>19</v>
      </c>
      <c r="G3807">
        <v>1</v>
      </c>
      <c r="H3807" t="s">
        <v>16</v>
      </c>
      <c r="I3807" t="s">
        <v>97</v>
      </c>
      <c r="J3807" s="1">
        <v>44276</v>
      </c>
      <c r="L3807" t="s">
        <v>14</v>
      </c>
      <c r="M3807">
        <v>52.99</v>
      </c>
      <c r="N3807">
        <v>52.99</v>
      </c>
      <c r="O3807" t="s">
        <v>18</v>
      </c>
      <c r="P3807">
        <f t="shared" si="188"/>
        <v>0</v>
      </c>
      <c r="Q3807" s="11">
        <f>IF(P3807=0,0,IFERROR(Q3806+G3807*M3807*IF(E3807="FUTURE",VLOOKUP(MID(I3807,2,2),Futures!$A$2:$B$12,2),1),G3807*M3807*IF(E3807="FUTURE",VLOOKUP(MID(I3807,2,2),Futures!$A$2:$B$12,2),1)))</f>
        <v>0</v>
      </c>
      <c r="R3807" s="12" t="str">
        <f>IFERROR(Q3807/P3807/IF(E3807="FUTURE",VLOOKUP(MID(I3807,2,2),Futures!$A$2:$B$12,2),1),"")</f>
        <v/>
      </c>
      <c r="S3807" s="13">
        <f>IF(AND(H3807="TO CLOSE",P3807=0),-G3807*(M3807-R3806)*IF(E3807="FUTURE",VLOOKUP(MID(I3807,2,2),Futures!$A$2:$B$12,2),1),"")</f>
        <v>49.999999999997158</v>
      </c>
    </row>
    <row r="3808" spans="1:19" x14ac:dyDescent="0.2">
      <c r="A3808">
        <f t="shared" si="187"/>
        <v>1250</v>
      </c>
      <c r="B3808" s="3">
        <v>44225</v>
      </c>
      <c r="C3808" s="3" t="str">
        <f t="shared" si="189"/>
        <v>Friday</v>
      </c>
      <c r="D3808" s="2">
        <v>0.40982638888888889</v>
      </c>
      <c r="E3808" t="s">
        <v>14</v>
      </c>
      <c r="F3808" t="s">
        <v>15</v>
      </c>
      <c r="G3808">
        <v>-1</v>
      </c>
      <c r="H3808" t="s">
        <v>20</v>
      </c>
      <c r="I3808" t="s">
        <v>97</v>
      </c>
      <c r="J3808" s="1">
        <v>44276</v>
      </c>
      <c r="L3808" t="s">
        <v>14</v>
      </c>
      <c r="M3808">
        <v>52.89</v>
      </c>
      <c r="N3808">
        <v>52.89</v>
      </c>
      <c r="O3808" t="s">
        <v>21</v>
      </c>
      <c r="P3808">
        <f t="shared" si="188"/>
        <v>-1</v>
      </c>
      <c r="Q3808" s="11">
        <f>IF(P3808=0,0,IFERROR(Q3807+G3808*M3808*IF(E3808="FUTURE",VLOOKUP(MID(I3808,2,2),Futures!$A$2:$B$12,2),1),G3808*M3808*IF(E3808="FUTURE",VLOOKUP(MID(I3808,2,2),Futures!$A$2:$B$12,2),1)))</f>
        <v>-52890</v>
      </c>
      <c r="R3808" s="12">
        <f>IFERROR(Q3808/P3808/IF(E3808="FUTURE",VLOOKUP(MID(I3808,2,2),Futures!$A$2:$B$12,2),1),"")</f>
        <v>52.89</v>
      </c>
      <c r="S3808" s="13" t="str">
        <f>IF(AND(H3808="TO CLOSE",P3808=0),-G3808*(M3808-R3807)*IF(E3808="FUTURE",VLOOKUP(MID(I3808,2,2),Futures!$A$2:$B$12,2),1),"")</f>
        <v/>
      </c>
    </row>
    <row r="3809" spans="1:19" x14ac:dyDescent="0.2">
      <c r="A3809">
        <f t="shared" si="187"/>
        <v>1250</v>
      </c>
      <c r="B3809" s="3">
        <v>44225</v>
      </c>
      <c r="C3809" s="3" t="str">
        <f t="shared" si="189"/>
        <v>Friday</v>
      </c>
      <c r="D3809" s="2">
        <v>0.41377314814814814</v>
      </c>
      <c r="E3809" t="s">
        <v>14</v>
      </c>
      <c r="F3809" t="s">
        <v>19</v>
      </c>
      <c r="G3809">
        <v>1</v>
      </c>
      <c r="H3809" t="s">
        <v>16</v>
      </c>
      <c r="I3809" t="s">
        <v>97</v>
      </c>
      <c r="J3809" s="1">
        <v>44276</v>
      </c>
      <c r="L3809" t="s">
        <v>14</v>
      </c>
      <c r="M3809">
        <v>53.01</v>
      </c>
      <c r="N3809">
        <v>53.01</v>
      </c>
      <c r="O3809" t="s">
        <v>18</v>
      </c>
      <c r="P3809">
        <f t="shared" si="188"/>
        <v>0</v>
      </c>
      <c r="Q3809" s="11">
        <f>IF(P3809=0,0,IFERROR(Q3808+G3809*M3809*IF(E3809="FUTURE",VLOOKUP(MID(I3809,2,2),Futures!$A$2:$B$12,2),1),G3809*M3809*IF(E3809="FUTURE",VLOOKUP(MID(I3809,2,2),Futures!$A$2:$B$12,2),1)))</f>
        <v>0</v>
      </c>
      <c r="R3809" s="12" t="str">
        <f>IFERROR(Q3809/P3809/IF(E3809="FUTURE",VLOOKUP(MID(I3809,2,2),Futures!$A$2:$B$12,2),1),"")</f>
        <v/>
      </c>
      <c r="S3809" s="13">
        <f>IF(AND(H3809="TO CLOSE",P3809=0),-G3809*(M3809-R3808)*IF(E3809="FUTURE",VLOOKUP(MID(I3809,2,2),Futures!$A$2:$B$12,2),1),"")</f>
        <v>-119.99999999999744</v>
      </c>
    </row>
    <row r="3810" spans="1:19" x14ac:dyDescent="0.2">
      <c r="A3810">
        <f t="shared" si="187"/>
        <v>1251</v>
      </c>
      <c r="B3810" s="3">
        <v>44225</v>
      </c>
      <c r="C3810" s="3" t="str">
        <f t="shared" si="189"/>
        <v>Friday</v>
      </c>
      <c r="D3810" s="2">
        <v>0.41390046296296296</v>
      </c>
      <c r="E3810" t="s">
        <v>14</v>
      </c>
      <c r="F3810" t="s">
        <v>19</v>
      </c>
      <c r="G3810">
        <v>2</v>
      </c>
      <c r="H3810" t="s">
        <v>20</v>
      </c>
      <c r="I3810" t="s">
        <v>97</v>
      </c>
      <c r="J3810" s="1">
        <v>44276</v>
      </c>
      <c r="L3810" t="s">
        <v>14</v>
      </c>
      <c r="M3810">
        <v>53.03</v>
      </c>
      <c r="N3810">
        <v>53.03</v>
      </c>
      <c r="O3810" t="s">
        <v>24</v>
      </c>
      <c r="P3810">
        <f t="shared" si="188"/>
        <v>2</v>
      </c>
      <c r="Q3810" s="11">
        <f>IF(P3810=0,0,IFERROR(Q3809+G3810*M3810*IF(E3810="FUTURE",VLOOKUP(MID(I3810,2,2),Futures!$A$2:$B$12,2),1),G3810*M3810*IF(E3810="FUTURE",VLOOKUP(MID(I3810,2,2),Futures!$A$2:$B$12,2),1)))</f>
        <v>106060</v>
      </c>
      <c r="R3810" s="12">
        <f>IFERROR(Q3810/P3810/IF(E3810="FUTURE",VLOOKUP(MID(I3810,2,2),Futures!$A$2:$B$12,2),1),"")</f>
        <v>53.03</v>
      </c>
      <c r="S3810" s="13" t="str">
        <f>IF(AND(H3810="TO CLOSE",P3810=0),-G3810*(M3810-R3809)*IF(E3810="FUTURE",VLOOKUP(MID(I3810,2,2),Futures!$A$2:$B$12,2),1),"")</f>
        <v/>
      </c>
    </row>
    <row r="3811" spans="1:19" x14ac:dyDescent="0.2">
      <c r="A3811">
        <f t="shared" si="187"/>
        <v>1251</v>
      </c>
      <c r="B3811" s="3">
        <v>44225</v>
      </c>
      <c r="C3811" s="3" t="str">
        <f t="shared" si="189"/>
        <v>Friday</v>
      </c>
      <c r="D3811" s="2">
        <v>0.41799768518518521</v>
      </c>
      <c r="E3811" t="s">
        <v>14</v>
      </c>
      <c r="F3811" t="s">
        <v>15</v>
      </c>
      <c r="G3811">
        <v>-2</v>
      </c>
      <c r="H3811" t="s">
        <v>16</v>
      </c>
      <c r="I3811" t="s">
        <v>97</v>
      </c>
      <c r="J3811" s="1">
        <v>44276</v>
      </c>
      <c r="L3811" t="s">
        <v>14</v>
      </c>
      <c r="M3811">
        <v>52.88</v>
      </c>
      <c r="N3811">
        <v>52.88</v>
      </c>
      <c r="O3811" t="s">
        <v>24</v>
      </c>
      <c r="P3811">
        <f t="shared" si="188"/>
        <v>0</v>
      </c>
      <c r="Q3811" s="11">
        <f>IF(P3811=0,0,IFERROR(Q3810+G3811*M3811*IF(E3811="FUTURE",VLOOKUP(MID(I3811,2,2),Futures!$A$2:$B$12,2),1),G3811*M3811*IF(E3811="FUTURE",VLOOKUP(MID(I3811,2,2),Futures!$A$2:$B$12,2),1)))</f>
        <v>0</v>
      </c>
      <c r="R3811" s="12" t="str">
        <f>IFERROR(Q3811/P3811/IF(E3811="FUTURE",VLOOKUP(MID(I3811,2,2),Futures!$A$2:$B$12,2),1),"")</f>
        <v/>
      </c>
      <c r="S3811" s="13">
        <f>IF(AND(H3811="TO CLOSE",P3811=0),-G3811*(M3811-R3810)*IF(E3811="FUTURE",VLOOKUP(MID(I3811,2,2),Futures!$A$2:$B$12,2),1),"")</f>
        <v>-299.99999999999716</v>
      </c>
    </row>
    <row r="3812" spans="1:19" x14ac:dyDescent="0.2">
      <c r="A3812">
        <f t="shared" si="187"/>
        <v>1252</v>
      </c>
      <c r="B3812" s="3">
        <v>44225</v>
      </c>
      <c r="C3812" s="3" t="str">
        <f t="shared" si="189"/>
        <v>Friday</v>
      </c>
      <c r="D3812" s="2">
        <v>0.42037037037037034</v>
      </c>
      <c r="E3812" t="s">
        <v>14</v>
      </c>
      <c r="F3812" t="s">
        <v>15</v>
      </c>
      <c r="G3812">
        <v>-2</v>
      </c>
      <c r="H3812" t="s">
        <v>20</v>
      </c>
      <c r="I3812" t="s">
        <v>97</v>
      </c>
      <c r="J3812" s="1">
        <v>44276</v>
      </c>
      <c r="L3812" t="s">
        <v>14</v>
      </c>
      <c r="M3812">
        <v>52.86</v>
      </c>
      <c r="N3812">
        <v>52.86</v>
      </c>
      <c r="O3812" t="s">
        <v>24</v>
      </c>
      <c r="P3812">
        <f t="shared" si="188"/>
        <v>-2</v>
      </c>
      <c r="Q3812" s="11">
        <f>IF(P3812=0,0,IFERROR(Q3811+G3812*M3812*IF(E3812="FUTURE",VLOOKUP(MID(I3812,2,2),Futures!$A$2:$B$12,2),1),G3812*M3812*IF(E3812="FUTURE",VLOOKUP(MID(I3812,2,2),Futures!$A$2:$B$12,2),1)))</f>
        <v>-105720</v>
      </c>
      <c r="R3812" s="12">
        <f>IFERROR(Q3812/P3812/IF(E3812="FUTURE",VLOOKUP(MID(I3812,2,2),Futures!$A$2:$B$12,2),1),"")</f>
        <v>52.86</v>
      </c>
      <c r="S3812" s="13" t="str">
        <f>IF(AND(H3812="TO CLOSE",P3812=0),-G3812*(M3812-R3811)*IF(E3812="FUTURE",VLOOKUP(MID(I3812,2,2),Futures!$A$2:$B$12,2),1),"")</f>
        <v/>
      </c>
    </row>
    <row r="3813" spans="1:19" x14ac:dyDescent="0.2">
      <c r="A3813">
        <f t="shared" si="187"/>
        <v>1252</v>
      </c>
      <c r="B3813" s="3">
        <v>44225</v>
      </c>
      <c r="C3813" s="3" t="str">
        <f t="shared" si="189"/>
        <v>Friday</v>
      </c>
      <c r="D3813" s="2">
        <v>0.42353009259259261</v>
      </c>
      <c r="E3813" t="s">
        <v>14</v>
      </c>
      <c r="F3813" t="s">
        <v>19</v>
      </c>
      <c r="G3813">
        <v>2</v>
      </c>
      <c r="H3813" t="s">
        <v>16</v>
      </c>
      <c r="I3813" t="s">
        <v>97</v>
      </c>
      <c r="J3813" s="1">
        <v>44276</v>
      </c>
      <c r="L3813" t="s">
        <v>14</v>
      </c>
      <c r="M3813">
        <v>52.85</v>
      </c>
      <c r="N3813">
        <v>52.85</v>
      </c>
      <c r="O3813" t="s">
        <v>18</v>
      </c>
      <c r="P3813">
        <f t="shared" si="188"/>
        <v>0</v>
      </c>
      <c r="Q3813" s="11">
        <f>IF(P3813=0,0,IFERROR(Q3812+G3813*M3813*IF(E3813="FUTURE",VLOOKUP(MID(I3813,2,2),Futures!$A$2:$B$12,2),1),G3813*M3813*IF(E3813="FUTURE",VLOOKUP(MID(I3813,2,2),Futures!$A$2:$B$12,2),1)))</f>
        <v>0</v>
      </c>
      <c r="R3813" s="12" t="str">
        <f>IFERROR(Q3813/P3813/IF(E3813="FUTURE",VLOOKUP(MID(I3813,2,2),Futures!$A$2:$B$12,2),1),"")</f>
        <v/>
      </c>
      <c r="S3813" s="13">
        <f>IF(AND(H3813="TO CLOSE",P3813=0),-G3813*(M3813-R3812)*IF(E3813="FUTURE",VLOOKUP(MID(I3813,2,2),Futures!$A$2:$B$12,2),1),"")</f>
        <v>19.999999999996021</v>
      </c>
    </row>
    <row r="3814" spans="1:19" x14ac:dyDescent="0.2">
      <c r="A3814">
        <f t="shared" si="187"/>
        <v>1253</v>
      </c>
      <c r="B3814" s="3">
        <v>44225</v>
      </c>
      <c r="C3814" s="3" t="str">
        <f t="shared" si="189"/>
        <v>Friday</v>
      </c>
      <c r="D3814" s="2">
        <v>0.40856481481481483</v>
      </c>
      <c r="E3814" t="s">
        <v>14</v>
      </c>
      <c r="F3814" t="s">
        <v>19</v>
      </c>
      <c r="G3814">
        <v>1</v>
      </c>
      <c r="H3814" t="s">
        <v>20</v>
      </c>
      <c r="I3814" t="s">
        <v>89</v>
      </c>
      <c r="J3814" s="1">
        <v>44276</v>
      </c>
      <c r="L3814" t="s">
        <v>14</v>
      </c>
      <c r="M3814">
        <v>3744.75</v>
      </c>
      <c r="N3814">
        <v>3744.75</v>
      </c>
      <c r="O3814" t="s">
        <v>21</v>
      </c>
      <c r="P3814">
        <f t="shared" si="188"/>
        <v>1</v>
      </c>
      <c r="Q3814" s="11">
        <f>IF(P3814=0,0,IFERROR(Q3813+G3814*M3814*IF(E3814="FUTURE",VLOOKUP(MID(I3814,2,2),Futures!$A$2:$B$12,2),1),G3814*M3814*IF(E3814="FUTURE",VLOOKUP(MID(I3814,2,2),Futures!$A$2:$B$12,2),1)))</f>
        <v>187237.5</v>
      </c>
      <c r="R3814" s="12">
        <f>IFERROR(Q3814/P3814/IF(E3814="FUTURE",VLOOKUP(MID(I3814,2,2),Futures!$A$2:$B$12,2),1),"")</f>
        <v>3744.75</v>
      </c>
      <c r="S3814" s="13" t="str">
        <f>IF(AND(H3814="TO CLOSE",P3814=0),-G3814*(M3814-R3813)*IF(E3814="FUTURE",VLOOKUP(MID(I3814,2,2),Futures!$A$2:$B$12,2),1),"")</f>
        <v/>
      </c>
    </row>
    <row r="3815" spans="1:19" x14ac:dyDescent="0.2">
      <c r="A3815">
        <f t="shared" si="187"/>
        <v>1253</v>
      </c>
      <c r="B3815" s="3">
        <v>44225</v>
      </c>
      <c r="C3815" s="3" t="str">
        <f t="shared" si="189"/>
        <v>Friday</v>
      </c>
      <c r="D3815" s="2">
        <v>0.40910879629629626</v>
      </c>
      <c r="E3815" t="s">
        <v>14</v>
      </c>
      <c r="F3815" t="s">
        <v>15</v>
      </c>
      <c r="G3815">
        <v>-1</v>
      </c>
      <c r="H3815" t="s">
        <v>16</v>
      </c>
      <c r="I3815" t="s">
        <v>89</v>
      </c>
      <c r="J3815" s="1">
        <v>44276</v>
      </c>
      <c r="L3815" t="s">
        <v>14</v>
      </c>
      <c r="M3815">
        <v>3749.75</v>
      </c>
      <c r="N3815">
        <v>3749.75</v>
      </c>
      <c r="O3815" t="s">
        <v>21</v>
      </c>
      <c r="P3815">
        <f t="shared" si="188"/>
        <v>0</v>
      </c>
      <c r="Q3815" s="11">
        <f>IF(P3815=0,0,IFERROR(Q3814+G3815*M3815*IF(E3815="FUTURE",VLOOKUP(MID(I3815,2,2),Futures!$A$2:$B$12,2),1),G3815*M3815*IF(E3815="FUTURE",VLOOKUP(MID(I3815,2,2),Futures!$A$2:$B$12,2),1)))</f>
        <v>0</v>
      </c>
      <c r="R3815" s="12" t="str">
        <f>IFERROR(Q3815/P3815/IF(E3815="FUTURE",VLOOKUP(MID(I3815,2,2),Futures!$A$2:$B$12,2),1),"")</f>
        <v/>
      </c>
      <c r="S3815" s="13">
        <f>IF(AND(H3815="TO CLOSE",P3815=0),-G3815*(M3815-R3814)*IF(E3815="FUTURE",VLOOKUP(MID(I3815,2,2),Futures!$A$2:$B$12,2),1),"")</f>
        <v>250</v>
      </c>
    </row>
    <row r="3816" spans="1:19" x14ac:dyDescent="0.2">
      <c r="A3816">
        <f t="shared" si="187"/>
        <v>1254</v>
      </c>
      <c r="B3816" s="3">
        <v>44225</v>
      </c>
      <c r="C3816" s="3" t="str">
        <f t="shared" si="189"/>
        <v>Friday</v>
      </c>
      <c r="D3816" s="2">
        <v>0.41865740740740742</v>
      </c>
      <c r="E3816" t="s">
        <v>14</v>
      </c>
      <c r="F3816" t="s">
        <v>19</v>
      </c>
      <c r="G3816">
        <v>1</v>
      </c>
      <c r="H3816" t="s">
        <v>20</v>
      </c>
      <c r="I3816" t="s">
        <v>89</v>
      </c>
      <c r="J3816" s="1">
        <v>44276</v>
      </c>
      <c r="L3816" t="s">
        <v>14</v>
      </c>
      <c r="M3816">
        <v>3757.5</v>
      </c>
      <c r="N3816">
        <v>3757.5</v>
      </c>
      <c r="O3816" t="s">
        <v>24</v>
      </c>
      <c r="P3816">
        <f t="shared" si="188"/>
        <v>1</v>
      </c>
      <c r="Q3816" s="11">
        <f>IF(P3816=0,0,IFERROR(Q3815+G3816*M3816*IF(E3816="FUTURE",VLOOKUP(MID(I3816,2,2),Futures!$A$2:$B$12,2),1),G3816*M3816*IF(E3816="FUTURE",VLOOKUP(MID(I3816,2,2),Futures!$A$2:$B$12,2),1)))</f>
        <v>187875</v>
      </c>
      <c r="R3816" s="12">
        <f>IFERROR(Q3816/P3816/IF(E3816="FUTURE",VLOOKUP(MID(I3816,2,2),Futures!$A$2:$B$12,2),1),"")</f>
        <v>3757.5</v>
      </c>
      <c r="S3816" s="13" t="str">
        <f>IF(AND(H3816="TO CLOSE",P3816=0),-G3816*(M3816-R3815)*IF(E3816="FUTURE",VLOOKUP(MID(I3816,2,2),Futures!$A$2:$B$12,2),1),"")</f>
        <v/>
      </c>
    </row>
    <row r="3817" spans="1:19" x14ac:dyDescent="0.2">
      <c r="A3817">
        <f t="shared" si="187"/>
        <v>1254</v>
      </c>
      <c r="B3817" s="3">
        <v>44225</v>
      </c>
      <c r="C3817" s="3" t="str">
        <f t="shared" si="189"/>
        <v>Friday</v>
      </c>
      <c r="D3817" s="2">
        <v>0.42028935185185184</v>
      </c>
      <c r="E3817" t="s">
        <v>14</v>
      </c>
      <c r="F3817" t="s">
        <v>15</v>
      </c>
      <c r="G3817">
        <v>-1</v>
      </c>
      <c r="H3817" t="s">
        <v>16</v>
      </c>
      <c r="I3817" t="s">
        <v>89</v>
      </c>
      <c r="J3817" s="1">
        <v>44276</v>
      </c>
      <c r="L3817" t="s">
        <v>14</v>
      </c>
      <c r="M3817">
        <v>3753.5</v>
      </c>
      <c r="N3817">
        <v>3753.5</v>
      </c>
      <c r="O3817" t="s">
        <v>18</v>
      </c>
      <c r="P3817">
        <f t="shared" si="188"/>
        <v>0</v>
      </c>
      <c r="Q3817" s="11">
        <f>IF(P3817=0,0,IFERROR(Q3816+G3817*M3817*IF(E3817="FUTURE",VLOOKUP(MID(I3817,2,2),Futures!$A$2:$B$12,2),1),G3817*M3817*IF(E3817="FUTURE",VLOOKUP(MID(I3817,2,2),Futures!$A$2:$B$12,2),1)))</f>
        <v>0</v>
      </c>
      <c r="R3817" s="12" t="str">
        <f>IFERROR(Q3817/P3817/IF(E3817="FUTURE",VLOOKUP(MID(I3817,2,2),Futures!$A$2:$B$12,2),1),"")</f>
        <v/>
      </c>
      <c r="S3817" s="13">
        <f>IF(AND(H3817="TO CLOSE",P3817=0),-G3817*(M3817-R3816)*IF(E3817="FUTURE",VLOOKUP(MID(I3817,2,2),Futures!$A$2:$B$12,2),1),"")</f>
        <v>-200</v>
      </c>
    </row>
    <row r="3818" spans="1:19" x14ac:dyDescent="0.2">
      <c r="A3818">
        <f t="shared" si="187"/>
        <v>1255</v>
      </c>
      <c r="B3818" s="3">
        <v>44229</v>
      </c>
      <c r="C3818" s="3" t="str">
        <f t="shared" ref="C3818:C3833" si="190">IF(WEEKDAY(B3818,2)=1,"Monday",IF(WEEKDAY(B3818,2)=2,"Tuesday",IF(WEEKDAY(B3818,2)=3,"Wednesday",IF(WEEKDAY(B3818,2)=4,"Thursday",IF(WEEKDAY(B3818,2)=5,"Friday","Sunday")))))</f>
        <v>Tuesday</v>
      </c>
      <c r="D3818" s="2">
        <v>0.39702546296296298</v>
      </c>
      <c r="E3818" t="s">
        <v>14</v>
      </c>
      <c r="F3818" t="s">
        <v>19</v>
      </c>
      <c r="G3818">
        <v>1</v>
      </c>
      <c r="H3818" t="s">
        <v>20</v>
      </c>
      <c r="I3818" t="s">
        <v>97</v>
      </c>
      <c r="J3818" s="1">
        <v>44276</v>
      </c>
      <c r="L3818" t="s">
        <v>14</v>
      </c>
      <c r="M3818">
        <v>55.05</v>
      </c>
      <c r="N3818">
        <v>55.05</v>
      </c>
      <c r="O3818" t="s">
        <v>21</v>
      </c>
      <c r="P3818">
        <f t="shared" si="188"/>
        <v>1</v>
      </c>
      <c r="Q3818" s="11">
        <f>IF(P3818=0,0,IFERROR(Q3817+G3818*M3818*IF(E3818="FUTURE",VLOOKUP(MID(I3818,2,2),Futures!$A$2:$B$12,2),1),G3818*M3818*IF(E3818="FUTURE",VLOOKUP(MID(I3818,2,2),Futures!$A$2:$B$12,2),1)))</f>
        <v>55050</v>
      </c>
      <c r="R3818" s="12">
        <f>IFERROR(Q3818/P3818/IF(E3818="FUTURE",VLOOKUP(MID(I3818,2,2),Futures!$A$2:$B$12,2),1),"")</f>
        <v>55.05</v>
      </c>
      <c r="S3818" s="13" t="str">
        <f>IF(AND(H3818="TO CLOSE",P3818=0),-G3818*(M3818-R3817)*IF(E3818="FUTURE",VLOOKUP(MID(I3818,2,2),Futures!$A$2:$B$12,2),1),"")</f>
        <v/>
      </c>
    </row>
    <row r="3819" spans="1:19" x14ac:dyDescent="0.2">
      <c r="A3819">
        <f t="shared" si="187"/>
        <v>1255</v>
      </c>
      <c r="B3819" s="3">
        <v>44229</v>
      </c>
      <c r="C3819" s="3" t="str">
        <f t="shared" si="190"/>
        <v>Tuesday</v>
      </c>
      <c r="D3819" s="2">
        <v>0.39932870370370371</v>
      </c>
      <c r="E3819" t="s">
        <v>14</v>
      </c>
      <c r="F3819" t="s">
        <v>15</v>
      </c>
      <c r="G3819">
        <v>-1</v>
      </c>
      <c r="H3819" t="s">
        <v>16</v>
      </c>
      <c r="I3819" t="s">
        <v>97</v>
      </c>
      <c r="J3819" s="1">
        <v>44276</v>
      </c>
      <c r="L3819" t="s">
        <v>14</v>
      </c>
      <c r="M3819">
        <v>55.15</v>
      </c>
      <c r="N3819">
        <v>55.15</v>
      </c>
      <c r="O3819" t="s">
        <v>21</v>
      </c>
      <c r="P3819">
        <f t="shared" si="188"/>
        <v>0</v>
      </c>
      <c r="Q3819" s="11">
        <f>IF(P3819=0,0,IFERROR(Q3818+G3819*M3819*IF(E3819="FUTURE",VLOOKUP(MID(I3819,2,2),Futures!$A$2:$B$12,2),1),G3819*M3819*IF(E3819="FUTURE",VLOOKUP(MID(I3819,2,2),Futures!$A$2:$B$12,2),1)))</f>
        <v>0</v>
      </c>
      <c r="R3819" s="12" t="str">
        <f>IFERROR(Q3819/P3819/IF(E3819="FUTURE",VLOOKUP(MID(I3819,2,2),Futures!$A$2:$B$12,2),1),"")</f>
        <v/>
      </c>
      <c r="S3819" s="13">
        <f>IF(AND(H3819="TO CLOSE",P3819=0),-G3819*(M3819-R3818)*IF(E3819="FUTURE",VLOOKUP(MID(I3819,2,2),Futures!$A$2:$B$12,2),1),"")</f>
        <v>100.00000000000142</v>
      </c>
    </row>
    <row r="3820" spans="1:19" x14ac:dyDescent="0.2">
      <c r="A3820">
        <f t="shared" si="187"/>
        <v>1256</v>
      </c>
      <c r="B3820" s="3">
        <v>44229</v>
      </c>
      <c r="C3820" s="3" t="str">
        <f t="shared" si="190"/>
        <v>Tuesday</v>
      </c>
      <c r="D3820" s="2">
        <v>0.4010185185185185</v>
      </c>
      <c r="E3820" t="s">
        <v>14</v>
      </c>
      <c r="F3820" t="s">
        <v>15</v>
      </c>
      <c r="G3820">
        <v>-1</v>
      </c>
      <c r="H3820" t="s">
        <v>20</v>
      </c>
      <c r="I3820" t="s">
        <v>97</v>
      </c>
      <c r="J3820" s="1">
        <v>44276</v>
      </c>
      <c r="L3820" t="s">
        <v>14</v>
      </c>
      <c r="M3820">
        <v>55.01</v>
      </c>
      <c r="N3820">
        <v>55.01</v>
      </c>
      <c r="O3820" t="s">
        <v>21</v>
      </c>
      <c r="P3820">
        <f t="shared" si="188"/>
        <v>-1</v>
      </c>
      <c r="Q3820" s="11">
        <f>IF(P3820=0,0,IFERROR(Q3819+G3820*M3820*IF(E3820="FUTURE",VLOOKUP(MID(I3820,2,2),Futures!$A$2:$B$12,2),1),G3820*M3820*IF(E3820="FUTURE",VLOOKUP(MID(I3820,2,2),Futures!$A$2:$B$12,2),1)))</f>
        <v>-55010</v>
      </c>
      <c r="R3820" s="12">
        <f>IFERROR(Q3820/P3820/IF(E3820="FUTURE",VLOOKUP(MID(I3820,2,2),Futures!$A$2:$B$12,2),1),"")</f>
        <v>55.01</v>
      </c>
      <c r="S3820" s="13" t="str">
        <f>IF(AND(H3820="TO CLOSE",P3820=0),-G3820*(M3820-R3819)*IF(E3820="FUTURE",VLOOKUP(MID(I3820,2,2),Futures!$A$2:$B$12,2),1),"")</f>
        <v/>
      </c>
    </row>
    <row r="3821" spans="1:19" x14ac:dyDescent="0.2">
      <c r="A3821">
        <f t="shared" si="187"/>
        <v>1256</v>
      </c>
      <c r="B3821" s="3">
        <v>44229</v>
      </c>
      <c r="C3821" s="3" t="str">
        <f t="shared" si="190"/>
        <v>Tuesday</v>
      </c>
      <c r="D3821" s="2">
        <v>0.4082986111111111</v>
      </c>
      <c r="E3821" t="s">
        <v>14</v>
      </c>
      <c r="F3821" t="s">
        <v>19</v>
      </c>
      <c r="G3821">
        <v>1</v>
      </c>
      <c r="H3821" t="s">
        <v>16</v>
      </c>
      <c r="I3821" t="s">
        <v>97</v>
      </c>
      <c r="J3821" s="1">
        <v>44276</v>
      </c>
      <c r="L3821" t="s">
        <v>14</v>
      </c>
      <c r="M3821">
        <v>54.83</v>
      </c>
      <c r="N3821">
        <v>54.83</v>
      </c>
      <c r="O3821" t="s">
        <v>21</v>
      </c>
      <c r="P3821">
        <f t="shared" si="188"/>
        <v>0</v>
      </c>
      <c r="Q3821" s="11">
        <f>IF(P3821=0,0,IFERROR(Q3820+G3821*M3821*IF(E3821="FUTURE",VLOOKUP(MID(I3821,2,2),Futures!$A$2:$B$12,2),1),G3821*M3821*IF(E3821="FUTURE",VLOOKUP(MID(I3821,2,2),Futures!$A$2:$B$12,2),1)))</f>
        <v>0</v>
      </c>
      <c r="R3821" s="12" t="str">
        <f>IFERROR(Q3821/P3821/IF(E3821="FUTURE",VLOOKUP(MID(I3821,2,2),Futures!$A$2:$B$12,2),1),"")</f>
        <v/>
      </c>
      <c r="S3821" s="13">
        <f>IF(AND(H3821="TO CLOSE",P3821=0),-G3821*(M3821-R3820)*IF(E3821="FUTURE",VLOOKUP(MID(I3821,2,2),Futures!$A$2:$B$12,2),1),"")</f>
        <v>179.99999999999972</v>
      </c>
    </row>
    <row r="3822" spans="1:19" x14ac:dyDescent="0.2">
      <c r="A3822">
        <f t="shared" si="187"/>
        <v>1257</v>
      </c>
      <c r="B3822" s="3">
        <v>44229</v>
      </c>
      <c r="C3822" s="3" t="str">
        <f t="shared" si="190"/>
        <v>Tuesday</v>
      </c>
      <c r="D3822" s="2">
        <v>0.4384953703703704</v>
      </c>
      <c r="E3822" t="s">
        <v>14</v>
      </c>
      <c r="F3822" t="s">
        <v>15</v>
      </c>
      <c r="G3822">
        <v>-1</v>
      </c>
      <c r="H3822" t="s">
        <v>20</v>
      </c>
      <c r="I3822" t="s">
        <v>97</v>
      </c>
      <c r="J3822" s="1">
        <v>44276</v>
      </c>
      <c r="L3822" t="s">
        <v>14</v>
      </c>
      <c r="M3822">
        <v>54.98</v>
      </c>
      <c r="N3822">
        <v>54.98</v>
      </c>
      <c r="O3822" t="s">
        <v>21</v>
      </c>
      <c r="P3822">
        <f t="shared" si="188"/>
        <v>-1</v>
      </c>
      <c r="Q3822" s="11">
        <f>IF(P3822=0,0,IFERROR(Q3821+G3822*M3822*IF(E3822="FUTURE",VLOOKUP(MID(I3822,2,2),Futures!$A$2:$B$12,2),1),G3822*M3822*IF(E3822="FUTURE",VLOOKUP(MID(I3822,2,2),Futures!$A$2:$B$12,2),1)))</f>
        <v>-54980</v>
      </c>
      <c r="R3822" s="12">
        <f>IFERROR(Q3822/P3822/IF(E3822="FUTURE",VLOOKUP(MID(I3822,2,2),Futures!$A$2:$B$12,2),1),"")</f>
        <v>54.98</v>
      </c>
      <c r="S3822" s="13" t="str">
        <f>IF(AND(H3822="TO CLOSE",P3822=0),-G3822*(M3822-R3821)*IF(E3822="FUTURE",VLOOKUP(MID(I3822,2,2),Futures!$A$2:$B$12,2),1),"")</f>
        <v/>
      </c>
    </row>
    <row r="3823" spans="1:19" x14ac:dyDescent="0.2">
      <c r="A3823">
        <f t="shared" si="187"/>
        <v>1257</v>
      </c>
      <c r="B3823" s="3">
        <v>44229</v>
      </c>
      <c r="C3823" s="3" t="str">
        <f t="shared" si="190"/>
        <v>Tuesday</v>
      </c>
      <c r="D3823" s="2">
        <v>0.4455324074074074</v>
      </c>
      <c r="E3823" t="s">
        <v>14</v>
      </c>
      <c r="F3823" t="s">
        <v>19</v>
      </c>
      <c r="G3823">
        <v>1</v>
      </c>
      <c r="H3823" t="s">
        <v>16</v>
      </c>
      <c r="I3823" t="s">
        <v>97</v>
      </c>
      <c r="J3823" s="1">
        <v>44276</v>
      </c>
      <c r="L3823" t="s">
        <v>14</v>
      </c>
      <c r="M3823">
        <v>54.98</v>
      </c>
      <c r="N3823">
        <v>54.98</v>
      </c>
      <c r="O3823" t="s">
        <v>18</v>
      </c>
      <c r="P3823">
        <f t="shared" si="188"/>
        <v>0</v>
      </c>
      <c r="Q3823" s="11">
        <f>IF(P3823=0,0,IFERROR(Q3822+G3823*M3823*IF(E3823="FUTURE",VLOOKUP(MID(I3823,2,2),Futures!$A$2:$B$12,2),1),G3823*M3823*IF(E3823="FUTURE",VLOOKUP(MID(I3823,2,2),Futures!$A$2:$B$12,2),1)))</f>
        <v>0</v>
      </c>
      <c r="R3823" s="12" t="str">
        <f>IFERROR(Q3823/P3823/IF(E3823="FUTURE",VLOOKUP(MID(I3823,2,2),Futures!$A$2:$B$12,2),1),"")</f>
        <v/>
      </c>
      <c r="S3823" s="13">
        <f>IF(AND(H3823="TO CLOSE",P3823=0),-G3823*(M3823-R3822)*IF(E3823="FUTURE",VLOOKUP(MID(I3823,2,2),Futures!$A$2:$B$12,2),1),"")</f>
        <v>0</v>
      </c>
    </row>
    <row r="3824" spans="1:19" x14ac:dyDescent="0.2">
      <c r="A3824">
        <f t="shared" si="187"/>
        <v>1258</v>
      </c>
      <c r="B3824" s="3">
        <v>44229</v>
      </c>
      <c r="C3824" s="3" t="str">
        <f t="shared" si="190"/>
        <v>Tuesday</v>
      </c>
      <c r="D3824" s="2">
        <v>0.45356481481481481</v>
      </c>
      <c r="E3824" t="s">
        <v>14</v>
      </c>
      <c r="F3824" t="s">
        <v>15</v>
      </c>
      <c r="G3824">
        <v>-1</v>
      </c>
      <c r="H3824" t="s">
        <v>20</v>
      </c>
      <c r="I3824" t="s">
        <v>97</v>
      </c>
      <c r="J3824" s="1">
        <v>44276</v>
      </c>
      <c r="L3824" t="s">
        <v>14</v>
      </c>
      <c r="M3824">
        <v>55.01</v>
      </c>
      <c r="N3824">
        <v>55.01</v>
      </c>
      <c r="O3824" t="s">
        <v>21</v>
      </c>
      <c r="P3824">
        <f t="shared" si="188"/>
        <v>-1</v>
      </c>
      <c r="Q3824" s="11">
        <f>IF(P3824=0,0,IFERROR(Q3823+G3824*M3824*IF(E3824="FUTURE",VLOOKUP(MID(I3824,2,2),Futures!$A$2:$B$12,2),1),G3824*M3824*IF(E3824="FUTURE",VLOOKUP(MID(I3824,2,2),Futures!$A$2:$B$12,2),1)))</f>
        <v>-55010</v>
      </c>
      <c r="R3824" s="12">
        <f>IFERROR(Q3824/P3824/IF(E3824="FUTURE",VLOOKUP(MID(I3824,2,2),Futures!$A$2:$B$12,2),1),"")</f>
        <v>55.01</v>
      </c>
      <c r="S3824" s="13" t="str">
        <f>IF(AND(H3824="TO CLOSE",P3824=0),-G3824*(M3824-R3823)*IF(E3824="FUTURE",VLOOKUP(MID(I3824,2,2),Futures!$A$2:$B$12,2),1),"")</f>
        <v/>
      </c>
    </row>
    <row r="3825" spans="1:19" x14ac:dyDescent="0.2">
      <c r="A3825">
        <f t="shared" si="187"/>
        <v>1258</v>
      </c>
      <c r="B3825" s="3">
        <v>44229</v>
      </c>
      <c r="C3825" s="3" t="str">
        <f t="shared" si="190"/>
        <v>Tuesday</v>
      </c>
      <c r="D3825" s="2">
        <v>0.47434027777777782</v>
      </c>
      <c r="E3825" t="s">
        <v>14</v>
      </c>
      <c r="F3825" t="s">
        <v>19</v>
      </c>
      <c r="G3825">
        <v>1</v>
      </c>
      <c r="H3825" t="s">
        <v>16</v>
      </c>
      <c r="I3825" t="s">
        <v>97</v>
      </c>
      <c r="J3825" s="1">
        <v>44276</v>
      </c>
      <c r="L3825" t="s">
        <v>14</v>
      </c>
      <c r="M3825">
        <v>54.88</v>
      </c>
      <c r="N3825">
        <v>54.88</v>
      </c>
      <c r="O3825" t="s">
        <v>21</v>
      </c>
      <c r="P3825">
        <f t="shared" si="188"/>
        <v>0</v>
      </c>
      <c r="Q3825" s="11">
        <f>IF(P3825=0,0,IFERROR(Q3824+G3825*M3825*IF(E3825="FUTURE",VLOOKUP(MID(I3825,2,2),Futures!$A$2:$B$12,2),1),G3825*M3825*IF(E3825="FUTURE",VLOOKUP(MID(I3825,2,2),Futures!$A$2:$B$12,2),1)))</f>
        <v>0</v>
      </c>
      <c r="R3825" s="12" t="str">
        <f>IFERROR(Q3825/P3825/IF(E3825="FUTURE",VLOOKUP(MID(I3825,2,2),Futures!$A$2:$B$12,2),1),"")</f>
        <v/>
      </c>
      <c r="S3825" s="13">
        <f>IF(AND(H3825="TO CLOSE",P3825=0),-G3825*(M3825-R3824)*IF(E3825="FUTURE",VLOOKUP(MID(I3825,2,2),Futures!$A$2:$B$12,2),1),"")</f>
        <v>129.99999999999545</v>
      </c>
    </row>
    <row r="3826" spans="1:19" x14ac:dyDescent="0.2">
      <c r="A3826">
        <f t="shared" si="187"/>
        <v>1259</v>
      </c>
      <c r="B3826" s="3">
        <v>44229</v>
      </c>
      <c r="C3826" s="3" t="str">
        <f t="shared" si="190"/>
        <v>Tuesday</v>
      </c>
      <c r="D3826" s="2">
        <v>0.45850694444444445</v>
      </c>
      <c r="E3826" t="s">
        <v>14</v>
      </c>
      <c r="F3826" t="s">
        <v>15</v>
      </c>
      <c r="G3826">
        <v>-1</v>
      </c>
      <c r="H3826" t="s">
        <v>20</v>
      </c>
      <c r="I3826" t="s">
        <v>89</v>
      </c>
      <c r="J3826" s="1">
        <v>44276</v>
      </c>
      <c r="L3826" t="s">
        <v>14</v>
      </c>
      <c r="M3826">
        <v>3824</v>
      </c>
      <c r="N3826">
        <v>3824</v>
      </c>
      <c r="O3826" t="s">
        <v>21</v>
      </c>
      <c r="P3826">
        <f t="shared" si="188"/>
        <v>-1</v>
      </c>
      <c r="Q3826" s="11">
        <f>IF(P3826=0,0,IFERROR(Q3825+G3826*M3826*IF(E3826="FUTURE",VLOOKUP(MID(I3826,2,2),Futures!$A$2:$B$12,2),1),G3826*M3826*IF(E3826="FUTURE",VLOOKUP(MID(I3826,2,2),Futures!$A$2:$B$12,2),1)))</f>
        <v>-191200</v>
      </c>
      <c r="R3826" s="12">
        <f>IFERROR(Q3826/P3826/IF(E3826="FUTURE",VLOOKUP(MID(I3826,2,2),Futures!$A$2:$B$12,2),1),"")</f>
        <v>3824</v>
      </c>
      <c r="S3826" s="13" t="str">
        <f>IF(AND(H3826="TO CLOSE",P3826=0),-G3826*(M3826-R3825)*IF(E3826="FUTURE",VLOOKUP(MID(I3826,2,2),Futures!$A$2:$B$12,2),1),"")</f>
        <v/>
      </c>
    </row>
    <row r="3827" spans="1:19" x14ac:dyDescent="0.2">
      <c r="A3827">
        <f t="shared" si="187"/>
        <v>1259</v>
      </c>
      <c r="B3827" s="3">
        <v>44229</v>
      </c>
      <c r="C3827" s="3" t="str">
        <f t="shared" si="190"/>
        <v>Tuesday</v>
      </c>
      <c r="D3827" s="2">
        <v>0.46231481481481485</v>
      </c>
      <c r="E3827" t="s">
        <v>14</v>
      </c>
      <c r="F3827" t="s">
        <v>19</v>
      </c>
      <c r="G3827">
        <v>1</v>
      </c>
      <c r="H3827" t="s">
        <v>16</v>
      </c>
      <c r="I3827" t="s">
        <v>89</v>
      </c>
      <c r="J3827" s="1">
        <v>44276</v>
      </c>
      <c r="L3827" t="s">
        <v>14</v>
      </c>
      <c r="M3827">
        <v>3828</v>
      </c>
      <c r="N3827">
        <v>3828</v>
      </c>
      <c r="O3827" t="s">
        <v>18</v>
      </c>
      <c r="P3827">
        <f t="shared" si="188"/>
        <v>0</v>
      </c>
      <c r="Q3827" s="11">
        <f>IF(P3827=0,0,IFERROR(Q3826+G3827*M3827*IF(E3827="FUTURE",VLOOKUP(MID(I3827,2,2),Futures!$A$2:$B$12,2),1),G3827*M3827*IF(E3827="FUTURE",VLOOKUP(MID(I3827,2,2),Futures!$A$2:$B$12,2),1)))</f>
        <v>0</v>
      </c>
      <c r="R3827" s="12" t="str">
        <f>IFERROR(Q3827/P3827/IF(E3827="FUTURE",VLOOKUP(MID(I3827,2,2),Futures!$A$2:$B$12,2),1),"")</f>
        <v/>
      </c>
      <c r="S3827" s="13">
        <f>IF(AND(H3827="TO CLOSE",P3827=0),-G3827*(M3827-R3826)*IF(E3827="FUTURE",VLOOKUP(MID(I3827,2,2),Futures!$A$2:$B$12,2),1),"")</f>
        <v>-200</v>
      </c>
    </row>
    <row r="3828" spans="1:19" s="20" customFormat="1" x14ac:dyDescent="0.2">
      <c r="A3828" s="20">
        <f t="shared" si="187"/>
        <v>1260</v>
      </c>
      <c r="B3828" s="43">
        <v>44229</v>
      </c>
      <c r="C3828" s="43" t="str">
        <f t="shared" si="190"/>
        <v>Tuesday</v>
      </c>
      <c r="D3828" s="42">
        <v>0.47061342592592598</v>
      </c>
      <c r="E3828" s="20" t="s">
        <v>14</v>
      </c>
      <c r="F3828" s="20" t="s">
        <v>15</v>
      </c>
      <c r="G3828" s="20">
        <v>-1</v>
      </c>
      <c r="H3828" s="20" t="s">
        <v>20</v>
      </c>
      <c r="I3828" s="20" t="s">
        <v>89</v>
      </c>
      <c r="J3828" s="44">
        <v>44276</v>
      </c>
      <c r="L3828" s="20" t="s">
        <v>14</v>
      </c>
      <c r="M3828" s="20">
        <v>3830</v>
      </c>
      <c r="N3828" s="20">
        <v>3830</v>
      </c>
      <c r="O3828" s="20" t="s">
        <v>21</v>
      </c>
      <c r="P3828" s="20">
        <f t="shared" si="188"/>
        <v>-1</v>
      </c>
      <c r="Q3828" s="45">
        <f>IF(P3828=0,0,IFERROR(Q3827+G3828*M3828*IF(E3828="FUTURE",VLOOKUP(MID(I3828,2,2),Futures!$A$2:$B$12,2),1),G3828*M3828*IF(E3828="FUTURE",VLOOKUP(MID(I3828,2,2),Futures!$A$2:$B$12,2),1)))</f>
        <v>-191500</v>
      </c>
      <c r="R3828" s="46">
        <f>IFERROR(Q3828/P3828/IF(E3828="FUTURE",VLOOKUP(MID(I3828,2,2),Futures!$A$2:$B$12,2),1),"")</f>
        <v>3830</v>
      </c>
      <c r="S3828" s="47" t="str">
        <f>IF(AND(H3828="TO CLOSE",P3828=0),-G3828*(M3828-R3827)*IF(E3828="FUTURE",VLOOKUP(MID(I3828,2,2),Futures!$A$2:$B$12,2),1),"")</f>
        <v/>
      </c>
    </row>
    <row r="3829" spans="1:19" s="20" customFormat="1" x14ac:dyDescent="0.2">
      <c r="A3829" s="20">
        <f t="shared" si="187"/>
        <v>1260</v>
      </c>
      <c r="B3829" s="43">
        <v>44229</v>
      </c>
      <c r="C3829" s="43" t="str">
        <f t="shared" si="190"/>
        <v>Tuesday</v>
      </c>
      <c r="D3829" s="42">
        <v>0.47642361111111109</v>
      </c>
      <c r="E3829" s="20" t="s">
        <v>14</v>
      </c>
      <c r="F3829" s="20" t="s">
        <v>19</v>
      </c>
      <c r="G3829" s="20">
        <v>1</v>
      </c>
      <c r="H3829" s="20" t="s">
        <v>16</v>
      </c>
      <c r="I3829" s="20" t="s">
        <v>89</v>
      </c>
      <c r="J3829" s="44">
        <v>44276</v>
      </c>
      <c r="L3829" s="20" t="s">
        <v>14</v>
      </c>
      <c r="M3829" s="20">
        <v>3830</v>
      </c>
      <c r="N3829" s="20">
        <v>3830</v>
      </c>
      <c r="O3829" s="20" t="s">
        <v>18</v>
      </c>
      <c r="P3829" s="20">
        <f t="shared" si="188"/>
        <v>0</v>
      </c>
      <c r="Q3829" s="45">
        <f>IF(P3829=0,0,IFERROR(Q3828+G3829*M3829*IF(E3829="FUTURE",VLOOKUP(MID(I3829,2,2),Futures!$A$2:$B$12,2),1),G3829*M3829*IF(E3829="FUTURE",VLOOKUP(MID(I3829,2,2),Futures!$A$2:$B$12,2),1)))</f>
        <v>0</v>
      </c>
      <c r="R3829" s="46" t="str">
        <f>IFERROR(Q3829/P3829/IF(E3829="FUTURE",VLOOKUP(MID(I3829,2,2),Futures!$A$2:$B$12,2),1),"")</f>
        <v/>
      </c>
      <c r="S3829" s="47">
        <f>IF(AND(H3829="TO CLOSE",P3829=0),-G3829*(M3829-R3828)*IF(E3829="FUTURE",VLOOKUP(MID(I3829,2,2),Futures!$A$2:$B$12,2),1),"")</f>
        <v>0</v>
      </c>
    </row>
    <row r="3830" spans="1:19" x14ac:dyDescent="0.2">
      <c r="A3830">
        <f t="shared" si="187"/>
        <v>1261</v>
      </c>
      <c r="B3830" s="3">
        <v>44229</v>
      </c>
      <c r="C3830" s="3" t="str">
        <f t="shared" si="190"/>
        <v>Tuesday</v>
      </c>
      <c r="D3830" s="2">
        <v>0.47792824074074075</v>
      </c>
      <c r="E3830" t="s">
        <v>14</v>
      </c>
      <c r="F3830" t="s">
        <v>15</v>
      </c>
      <c r="G3830">
        <v>-1</v>
      </c>
      <c r="H3830" t="s">
        <v>20</v>
      </c>
      <c r="I3830" t="s">
        <v>89</v>
      </c>
      <c r="J3830" s="1">
        <v>44276</v>
      </c>
      <c r="L3830" t="s">
        <v>14</v>
      </c>
      <c r="M3830">
        <v>3829</v>
      </c>
      <c r="N3830">
        <v>3829</v>
      </c>
      <c r="O3830" t="s">
        <v>21</v>
      </c>
      <c r="P3830">
        <f t="shared" si="188"/>
        <v>-1</v>
      </c>
      <c r="Q3830" s="11">
        <f>IF(P3830=0,0,IFERROR(Q3829+G3830*M3830*IF(E3830="FUTURE",VLOOKUP(MID(I3830,2,2),Futures!$A$2:$B$12,2),1),G3830*M3830*IF(E3830="FUTURE",VLOOKUP(MID(I3830,2,2),Futures!$A$2:$B$12,2),1)))</f>
        <v>-191450</v>
      </c>
      <c r="R3830" s="12">
        <f>IFERROR(Q3830/P3830/IF(E3830="FUTURE",VLOOKUP(MID(I3830,2,2),Futures!$A$2:$B$12,2),1),"")</f>
        <v>3829</v>
      </c>
      <c r="S3830" s="13" t="str">
        <f>IF(AND(H3830="TO CLOSE",P3830=0),-G3830*(M3830-R3829)*IF(E3830="FUTURE",VLOOKUP(MID(I3830,2,2),Futures!$A$2:$B$12,2),1),"")</f>
        <v/>
      </c>
    </row>
    <row r="3831" spans="1:19" x14ac:dyDescent="0.2">
      <c r="A3831">
        <f t="shared" si="187"/>
        <v>1261</v>
      </c>
      <c r="B3831" s="3">
        <v>44229</v>
      </c>
      <c r="C3831" s="3" t="str">
        <f t="shared" si="190"/>
        <v>Tuesday</v>
      </c>
      <c r="D3831" s="2">
        <v>0.48019675925925925</v>
      </c>
      <c r="E3831" t="s">
        <v>14</v>
      </c>
      <c r="F3831" t="s">
        <v>19</v>
      </c>
      <c r="G3831">
        <v>1</v>
      </c>
      <c r="H3831" t="s">
        <v>16</v>
      </c>
      <c r="I3831" t="s">
        <v>89</v>
      </c>
      <c r="J3831" s="1">
        <v>44276</v>
      </c>
      <c r="L3831" t="s">
        <v>14</v>
      </c>
      <c r="M3831">
        <v>3829</v>
      </c>
      <c r="N3831">
        <v>3829</v>
      </c>
      <c r="O3831" t="s">
        <v>18</v>
      </c>
      <c r="P3831">
        <f t="shared" si="188"/>
        <v>0</v>
      </c>
      <c r="Q3831" s="11">
        <f>IF(P3831=0,0,IFERROR(Q3830+G3831*M3831*IF(E3831="FUTURE",VLOOKUP(MID(I3831,2,2),Futures!$A$2:$B$12,2),1),G3831*M3831*IF(E3831="FUTURE",VLOOKUP(MID(I3831,2,2),Futures!$A$2:$B$12,2),1)))</f>
        <v>0</v>
      </c>
      <c r="R3831" s="12" t="str">
        <f>IFERROR(Q3831/P3831/IF(E3831="FUTURE",VLOOKUP(MID(I3831,2,2),Futures!$A$2:$B$12,2),1),"")</f>
        <v/>
      </c>
      <c r="S3831" s="13">
        <f>IF(AND(H3831="TO CLOSE",P3831=0),-G3831*(M3831-R3830)*IF(E3831="FUTURE",VLOOKUP(MID(I3831,2,2),Futures!$A$2:$B$12,2),1),"")</f>
        <v>0</v>
      </c>
    </row>
    <row r="3832" spans="1:19" x14ac:dyDescent="0.2">
      <c r="A3832">
        <f t="shared" si="187"/>
        <v>1262</v>
      </c>
      <c r="B3832" s="3">
        <v>44229</v>
      </c>
      <c r="C3832" s="3" t="str">
        <f t="shared" si="190"/>
        <v>Tuesday</v>
      </c>
      <c r="D3832" s="2">
        <v>0.4866550925925926</v>
      </c>
      <c r="E3832" t="s">
        <v>14</v>
      </c>
      <c r="F3832" t="s">
        <v>15</v>
      </c>
      <c r="G3832">
        <v>-1</v>
      </c>
      <c r="H3832" t="s">
        <v>20</v>
      </c>
      <c r="I3832" t="s">
        <v>89</v>
      </c>
      <c r="J3832" s="1">
        <v>44276</v>
      </c>
      <c r="L3832" t="s">
        <v>14</v>
      </c>
      <c r="M3832">
        <v>3831</v>
      </c>
      <c r="N3832">
        <v>3831</v>
      </c>
      <c r="O3832" t="s">
        <v>21</v>
      </c>
      <c r="P3832">
        <f t="shared" si="188"/>
        <v>-1</v>
      </c>
      <c r="Q3832" s="11">
        <f>IF(P3832=0,0,IFERROR(Q3831+G3832*M3832*IF(E3832="FUTURE",VLOOKUP(MID(I3832,2,2),Futures!$A$2:$B$12,2),1),G3832*M3832*IF(E3832="FUTURE",VLOOKUP(MID(I3832,2,2),Futures!$A$2:$B$12,2),1)))</f>
        <v>-191550</v>
      </c>
      <c r="R3832" s="12">
        <f>IFERROR(Q3832/P3832/IF(E3832="FUTURE",VLOOKUP(MID(I3832,2,2),Futures!$A$2:$B$12,2),1),"")</f>
        <v>3831</v>
      </c>
      <c r="S3832" s="13" t="str">
        <f>IF(AND(H3832="TO CLOSE",P3832=0),-G3832*(M3832-R3831)*IF(E3832="FUTURE",VLOOKUP(MID(I3832,2,2),Futures!$A$2:$B$12,2),1),"")</f>
        <v/>
      </c>
    </row>
    <row r="3833" spans="1:19" x14ac:dyDescent="0.2">
      <c r="A3833">
        <f t="shared" si="187"/>
        <v>1262</v>
      </c>
      <c r="B3833" s="3">
        <v>44229</v>
      </c>
      <c r="C3833" s="3" t="str">
        <f t="shared" si="190"/>
        <v>Tuesday</v>
      </c>
      <c r="D3833" s="2">
        <v>0.55763888888888891</v>
      </c>
      <c r="E3833" t="s">
        <v>14</v>
      </c>
      <c r="F3833" t="s">
        <v>19</v>
      </c>
      <c r="G3833">
        <v>1</v>
      </c>
      <c r="H3833" t="s">
        <v>16</v>
      </c>
      <c r="I3833" t="s">
        <v>89</v>
      </c>
      <c r="J3833" s="1">
        <v>44276</v>
      </c>
      <c r="L3833" t="s">
        <v>14</v>
      </c>
      <c r="M3833">
        <v>3826.25</v>
      </c>
      <c r="N3833">
        <v>3826.25</v>
      </c>
      <c r="O3833" t="s">
        <v>21</v>
      </c>
      <c r="P3833">
        <f t="shared" si="188"/>
        <v>0</v>
      </c>
      <c r="Q3833" s="11">
        <f>IF(P3833=0,0,IFERROR(Q3832+G3833*M3833*IF(E3833="FUTURE",VLOOKUP(MID(I3833,2,2),Futures!$A$2:$B$12,2),1),G3833*M3833*IF(E3833="FUTURE",VLOOKUP(MID(I3833,2,2),Futures!$A$2:$B$12,2),1)))</f>
        <v>0</v>
      </c>
      <c r="R3833" s="12" t="str">
        <f>IFERROR(Q3833/P3833/IF(E3833="FUTURE",VLOOKUP(MID(I3833,2,2),Futures!$A$2:$B$12,2),1),"")</f>
        <v/>
      </c>
      <c r="S3833" s="13">
        <f>IF(AND(H3833="TO CLOSE",P3833=0),-G3833*(M3833-R3832)*IF(E3833="FUTURE",VLOOKUP(MID(I3833,2,2),Futures!$A$2:$B$12,2),1),"")</f>
        <v>237.5</v>
      </c>
    </row>
    <row r="3834" spans="1:19" x14ac:dyDescent="0.2">
      <c r="A3834">
        <f t="shared" si="187"/>
        <v>1263</v>
      </c>
      <c r="B3834" s="3">
        <v>44230</v>
      </c>
      <c r="C3834" s="3" t="str">
        <f t="shared" ref="C3834:C3853" si="191">IF(WEEKDAY(B3834,2)=1,"Monday",IF(WEEKDAY(B3834,2)=2,"Tuesday",IF(WEEKDAY(B3834,2)=3,"Wednesday",IF(WEEKDAY(B3834,2)=4,"Thursday",IF(WEEKDAY(B3834,2)=5,"Friday","Sunday")))))</f>
        <v>Wednesday</v>
      </c>
      <c r="D3834" s="2">
        <v>0.40841435185185188</v>
      </c>
      <c r="E3834" t="s">
        <v>14</v>
      </c>
      <c r="F3834" t="s">
        <v>15</v>
      </c>
      <c r="G3834">
        <v>-2</v>
      </c>
      <c r="H3834" t="s">
        <v>20</v>
      </c>
      <c r="I3834" t="s">
        <v>97</v>
      </c>
      <c r="J3834" s="1">
        <v>44276</v>
      </c>
      <c r="L3834" t="s">
        <v>14</v>
      </c>
      <c r="M3834">
        <v>55.67</v>
      </c>
      <c r="N3834">
        <v>55.67</v>
      </c>
      <c r="O3834" t="s">
        <v>24</v>
      </c>
      <c r="P3834">
        <f t="shared" si="188"/>
        <v>-2</v>
      </c>
      <c r="Q3834" s="11">
        <f>IF(P3834=0,0,IFERROR(Q3833+G3834*M3834*IF(E3834="FUTURE",VLOOKUP(MID(I3834,2,2),Futures!$A$2:$B$12,2),1),G3834*M3834*IF(E3834="FUTURE",VLOOKUP(MID(I3834,2,2),Futures!$A$2:$B$12,2),1)))</f>
        <v>-111340</v>
      </c>
      <c r="R3834" s="12">
        <f>IFERROR(Q3834/P3834/IF(E3834="FUTURE",VLOOKUP(MID(I3834,2,2),Futures!$A$2:$B$12,2),1),"")</f>
        <v>55.67</v>
      </c>
      <c r="S3834" s="13" t="str">
        <f>IF(AND(H3834="TO CLOSE",P3834=0),-G3834*(M3834-R3833)*IF(E3834="FUTURE",VLOOKUP(MID(I3834,2,2),Futures!$A$2:$B$12,2),1),"")</f>
        <v/>
      </c>
    </row>
    <row r="3835" spans="1:19" x14ac:dyDescent="0.2">
      <c r="A3835">
        <f t="shared" si="187"/>
        <v>1263</v>
      </c>
      <c r="B3835" s="3">
        <v>44230</v>
      </c>
      <c r="C3835" s="3" t="str">
        <f t="shared" si="191"/>
        <v>Wednesday</v>
      </c>
      <c r="D3835" s="2">
        <v>0.43747685185185187</v>
      </c>
      <c r="E3835" t="s">
        <v>14</v>
      </c>
      <c r="F3835" t="s">
        <v>19</v>
      </c>
      <c r="G3835">
        <v>1</v>
      </c>
      <c r="H3835" t="s">
        <v>16</v>
      </c>
      <c r="I3835" t="s">
        <v>97</v>
      </c>
      <c r="J3835" s="1">
        <v>44276</v>
      </c>
      <c r="L3835" t="s">
        <v>14</v>
      </c>
      <c r="M3835">
        <v>55.87</v>
      </c>
      <c r="N3835">
        <v>55.87</v>
      </c>
      <c r="O3835" t="s">
        <v>21</v>
      </c>
      <c r="P3835">
        <f t="shared" si="188"/>
        <v>-1</v>
      </c>
      <c r="Q3835" s="11">
        <f>IF(P3835=0,0,IFERROR(Q3834+G3835*M3835*IF(E3835="FUTURE",VLOOKUP(MID(I3835,2,2),Futures!$A$2:$B$12,2),1),G3835*M3835*IF(E3835="FUTURE",VLOOKUP(MID(I3835,2,2),Futures!$A$2:$B$12,2),1)))</f>
        <v>-55470</v>
      </c>
      <c r="R3835" s="12">
        <f>IFERROR(Q3835/P3835/IF(E3835="FUTURE",VLOOKUP(MID(I3835,2,2),Futures!$A$2:$B$12,2),1),"")</f>
        <v>55.47</v>
      </c>
      <c r="S3835" s="13" t="str">
        <f>IF(AND(H3835="TO CLOSE",P3835=0),-G3835*(M3835-R3834)*IF(E3835="FUTURE",VLOOKUP(MID(I3835,2,2),Futures!$A$2:$B$12,2),1),"")</f>
        <v/>
      </c>
    </row>
    <row r="3836" spans="1:19" x14ac:dyDescent="0.2">
      <c r="A3836">
        <f t="shared" si="187"/>
        <v>1263</v>
      </c>
      <c r="B3836" s="3">
        <v>44230</v>
      </c>
      <c r="C3836" s="3" t="str">
        <f t="shared" si="191"/>
        <v>Wednesday</v>
      </c>
      <c r="D3836" s="2">
        <v>0.44799768518518518</v>
      </c>
      <c r="E3836" t="s">
        <v>14</v>
      </c>
      <c r="F3836" t="s">
        <v>15</v>
      </c>
      <c r="G3836">
        <v>-1</v>
      </c>
      <c r="H3836" t="s">
        <v>20</v>
      </c>
      <c r="I3836" t="s">
        <v>97</v>
      </c>
      <c r="J3836" s="1">
        <v>44276</v>
      </c>
      <c r="L3836" t="s">
        <v>14</v>
      </c>
      <c r="M3836">
        <v>56.07</v>
      </c>
      <c r="N3836">
        <v>56.07</v>
      </c>
      <c r="O3836" t="s">
        <v>21</v>
      </c>
      <c r="P3836">
        <f t="shared" si="188"/>
        <v>-2</v>
      </c>
      <c r="Q3836" s="11">
        <f>IF(P3836=0,0,IFERROR(Q3835+G3836*M3836*IF(E3836="FUTURE",VLOOKUP(MID(I3836,2,2),Futures!$A$2:$B$12,2),1),G3836*M3836*IF(E3836="FUTURE",VLOOKUP(MID(I3836,2,2),Futures!$A$2:$B$12,2),1)))</f>
        <v>-111540</v>
      </c>
      <c r="R3836" s="12">
        <f>IFERROR(Q3836/P3836/IF(E3836="FUTURE",VLOOKUP(MID(I3836,2,2),Futures!$A$2:$B$12,2),1),"")</f>
        <v>55.77</v>
      </c>
      <c r="S3836" s="13" t="str">
        <f>IF(AND(H3836="TO CLOSE",P3836=0),-G3836*(M3836-R3835)*IF(E3836="FUTURE",VLOOKUP(MID(I3836,2,2),Futures!$A$2:$B$12,2),1),"")</f>
        <v/>
      </c>
    </row>
    <row r="3837" spans="1:19" x14ac:dyDescent="0.2">
      <c r="A3837">
        <f t="shared" si="187"/>
        <v>1263</v>
      </c>
      <c r="B3837" s="3">
        <v>44230</v>
      </c>
      <c r="C3837" s="3" t="str">
        <f t="shared" si="191"/>
        <v>Wednesday</v>
      </c>
      <c r="D3837" s="2">
        <v>0.46818287037037037</v>
      </c>
      <c r="E3837" t="s">
        <v>14</v>
      </c>
      <c r="F3837" t="s">
        <v>19</v>
      </c>
      <c r="G3837">
        <v>1</v>
      </c>
      <c r="H3837" t="s">
        <v>16</v>
      </c>
      <c r="I3837" t="s">
        <v>97</v>
      </c>
      <c r="J3837" s="1">
        <v>44276</v>
      </c>
      <c r="L3837" t="s">
        <v>14</v>
      </c>
      <c r="M3837">
        <v>55.91</v>
      </c>
      <c r="N3837">
        <v>55.91</v>
      </c>
      <c r="O3837" t="s">
        <v>21</v>
      </c>
      <c r="P3837">
        <f t="shared" si="188"/>
        <v>-1</v>
      </c>
      <c r="Q3837" s="11">
        <f>IF(P3837=0,0,IFERROR(Q3836+G3837*M3837*IF(E3837="FUTURE",VLOOKUP(MID(I3837,2,2),Futures!$A$2:$B$12,2),1),G3837*M3837*IF(E3837="FUTURE",VLOOKUP(MID(I3837,2,2),Futures!$A$2:$B$12,2),1)))</f>
        <v>-55630</v>
      </c>
      <c r="R3837" s="12">
        <f>IFERROR(Q3837/P3837/IF(E3837="FUTURE",VLOOKUP(MID(I3837,2,2),Futures!$A$2:$B$12,2),1),"")</f>
        <v>55.63</v>
      </c>
      <c r="S3837" s="13" t="str">
        <f>IF(AND(H3837="TO CLOSE",P3837=0),-G3837*(M3837-R3836)*IF(E3837="FUTURE",VLOOKUP(MID(I3837,2,2),Futures!$A$2:$B$12,2),1),"")</f>
        <v/>
      </c>
    </row>
    <row r="3838" spans="1:19" x14ac:dyDescent="0.2">
      <c r="A3838">
        <f t="shared" si="187"/>
        <v>1263</v>
      </c>
      <c r="B3838" s="3">
        <v>44230</v>
      </c>
      <c r="C3838" s="3" t="str">
        <f t="shared" si="191"/>
        <v>Wednesday</v>
      </c>
      <c r="D3838" s="2">
        <v>0.4820949074074074</v>
      </c>
      <c r="E3838" t="s">
        <v>14</v>
      </c>
      <c r="F3838" t="s">
        <v>15</v>
      </c>
      <c r="G3838">
        <v>-1</v>
      </c>
      <c r="H3838" t="s">
        <v>20</v>
      </c>
      <c r="I3838" t="s">
        <v>97</v>
      </c>
      <c r="J3838" s="1">
        <v>44276</v>
      </c>
      <c r="L3838" t="s">
        <v>14</v>
      </c>
      <c r="M3838">
        <v>56.07</v>
      </c>
      <c r="N3838">
        <v>56.07</v>
      </c>
      <c r="O3838" t="s">
        <v>21</v>
      </c>
      <c r="P3838">
        <f t="shared" si="188"/>
        <v>-2</v>
      </c>
      <c r="Q3838" s="11">
        <f>IF(P3838=0,0,IFERROR(Q3837+G3838*M3838*IF(E3838="FUTURE",VLOOKUP(MID(I3838,2,2),Futures!$A$2:$B$12,2),1),G3838*M3838*IF(E3838="FUTURE",VLOOKUP(MID(I3838,2,2),Futures!$A$2:$B$12,2),1)))</f>
        <v>-111700</v>
      </c>
      <c r="R3838" s="12">
        <f>IFERROR(Q3838/P3838/IF(E3838="FUTURE",VLOOKUP(MID(I3838,2,2),Futures!$A$2:$B$12,2),1),"")</f>
        <v>55.85</v>
      </c>
      <c r="S3838" s="13" t="str">
        <f>IF(AND(H3838="TO CLOSE",P3838=0),-G3838*(M3838-R3837)*IF(E3838="FUTURE",VLOOKUP(MID(I3838,2,2),Futures!$A$2:$B$12,2),1),"")</f>
        <v/>
      </c>
    </row>
    <row r="3839" spans="1:19" x14ac:dyDescent="0.2">
      <c r="A3839">
        <f t="shared" si="187"/>
        <v>1263</v>
      </c>
      <c r="B3839" s="3">
        <v>44230</v>
      </c>
      <c r="C3839" s="3" t="str">
        <f t="shared" si="191"/>
        <v>Wednesday</v>
      </c>
      <c r="D3839" s="2">
        <v>0.53923611111111114</v>
      </c>
      <c r="E3839" t="s">
        <v>14</v>
      </c>
      <c r="F3839" t="s">
        <v>19</v>
      </c>
      <c r="G3839">
        <v>1</v>
      </c>
      <c r="H3839" t="s">
        <v>16</v>
      </c>
      <c r="I3839" t="s">
        <v>97</v>
      </c>
      <c r="J3839" s="1">
        <v>44276</v>
      </c>
      <c r="L3839" t="s">
        <v>14</v>
      </c>
      <c r="M3839">
        <v>55.92</v>
      </c>
      <c r="N3839">
        <v>55.92</v>
      </c>
      <c r="O3839" t="s">
        <v>21</v>
      </c>
      <c r="P3839">
        <f t="shared" si="188"/>
        <v>-1</v>
      </c>
      <c r="Q3839" s="11">
        <f>IF(P3839=0,0,IFERROR(Q3838+G3839*M3839*IF(E3839="FUTURE",VLOOKUP(MID(I3839,2,2),Futures!$A$2:$B$12,2),1),G3839*M3839*IF(E3839="FUTURE",VLOOKUP(MID(I3839,2,2),Futures!$A$2:$B$12,2),1)))</f>
        <v>-55780</v>
      </c>
      <c r="R3839" s="12">
        <f>IFERROR(Q3839/P3839/IF(E3839="FUTURE",VLOOKUP(MID(I3839,2,2),Futures!$A$2:$B$12,2),1),"")</f>
        <v>55.78</v>
      </c>
      <c r="S3839" s="13" t="str">
        <f>IF(AND(H3839="TO CLOSE",P3839=0),-G3839*(M3839-R3838)*IF(E3839="FUTURE",VLOOKUP(MID(I3839,2,2),Futures!$A$2:$B$12,2),1),"")</f>
        <v/>
      </c>
    </row>
    <row r="3840" spans="1:19" x14ac:dyDescent="0.2">
      <c r="A3840">
        <f t="shared" si="187"/>
        <v>1263</v>
      </c>
      <c r="B3840" s="3">
        <v>44230</v>
      </c>
      <c r="C3840" s="3" t="str">
        <f t="shared" si="191"/>
        <v>Wednesday</v>
      </c>
      <c r="D3840" s="2">
        <v>0.54328703703703707</v>
      </c>
      <c r="E3840" t="s">
        <v>14</v>
      </c>
      <c r="F3840" t="s">
        <v>19</v>
      </c>
      <c r="G3840">
        <v>1</v>
      </c>
      <c r="H3840" t="s">
        <v>16</v>
      </c>
      <c r="I3840" t="s">
        <v>97</v>
      </c>
      <c r="J3840" s="1">
        <v>44276</v>
      </c>
      <c r="L3840" t="s">
        <v>14</v>
      </c>
      <c r="M3840">
        <v>55.78</v>
      </c>
      <c r="N3840">
        <v>55.78</v>
      </c>
      <c r="O3840" t="s">
        <v>21</v>
      </c>
      <c r="P3840">
        <f t="shared" si="188"/>
        <v>0</v>
      </c>
      <c r="Q3840" s="11">
        <f>IF(P3840=0,0,IFERROR(Q3839+G3840*M3840*IF(E3840="FUTURE",VLOOKUP(MID(I3840,2,2),Futures!$A$2:$B$12,2),1),G3840*M3840*IF(E3840="FUTURE",VLOOKUP(MID(I3840,2,2),Futures!$A$2:$B$12,2),1)))</f>
        <v>0</v>
      </c>
      <c r="R3840" s="12" t="str">
        <f>IFERROR(Q3840/P3840/IF(E3840="FUTURE",VLOOKUP(MID(I3840,2,2),Futures!$A$2:$B$12,2),1),"")</f>
        <v/>
      </c>
      <c r="S3840" s="13">
        <f>IF(AND(H3840="TO CLOSE",P3840=0),-G3840*(M3840-R3839)*IF(E3840="FUTURE",VLOOKUP(MID(I3840,2,2),Futures!$A$2:$B$12,2),1),"")</f>
        <v>0</v>
      </c>
    </row>
    <row r="3841" spans="1:19" x14ac:dyDescent="0.2">
      <c r="A3841">
        <f t="shared" si="187"/>
        <v>1264</v>
      </c>
      <c r="B3841" s="3">
        <v>44230</v>
      </c>
      <c r="C3841" s="3" t="str">
        <f t="shared" si="191"/>
        <v>Wednesday</v>
      </c>
      <c r="D3841" s="2">
        <v>0.40023148148148152</v>
      </c>
      <c r="E3841" t="s">
        <v>14</v>
      </c>
      <c r="F3841" t="s">
        <v>15</v>
      </c>
      <c r="G3841">
        <v>-1</v>
      </c>
      <c r="H3841" t="s">
        <v>20</v>
      </c>
      <c r="I3841" t="s">
        <v>89</v>
      </c>
      <c r="J3841" s="1">
        <v>44276</v>
      </c>
      <c r="L3841" t="s">
        <v>14</v>
      </c>
      <c r="M3841">
        <v>3826.25</v>
      </c>
      <c r="N3841">
        <v>3826.25</v>
      </c>
      <c r="O3841" t="s">
        <v>21</v>
      </c>
      <c r="P3841">
        <f t="shared" si="188"/>
        <v>-1</v>
      </c>
      <c r="Q3841" s="11">
        <f>IF(P3841=0,0,IFERROR(Q3840+G3841*M3841*IF(E3841="FUTURE",VLOOKUP(MID(I3841,2,2),Futures!$A$2:$B$12,2),1),G3841*M3841*IF(E3841="FUTURE",VLOOKUP(MID(I3841,2,2),Futures!$A$2:$B$12,2),1)))</f>
        <v>-191312.5</v>
      </c>
      <c r="R3841" s="12">
        <f>IFERROR(Q3841/P3841/IF(E3841="FUTURE",VLOOKUP(MID(I3841,2,2),Futures!$A$2:$B$12,2),1),"")</f>
        <v>3826.25</v>
      </c>
      <c r="S3841" s="13" t="str">
        <f>IF(AND(H3841="TO CLOSE",P3841=0),-G3841*(M3841-R3840)*IF(E3841="FUTURE",VLOOKUP(MID(I3841,2,2),Futures!$A$2:$B$12,2),1),"")</f>
        <v/>
      </c>
    </row>
    <row r="3842" spans="1:19" x14ac:dyDescent="0.2">
      <c r="A3842">
        <f t="shared" ref="A3842:A3905" si="192">IF(AND(P3841=0,H3841="TO CLOSE"),IFERROR(A3841+1,1),IFERROR(A3841/1,1))</f>
        <v>1264</v>
      </c>
      <c r="B3842" s="3">
        <v>44230</v>
      </c>
      <c r="C3842" s="3" t="str">
        <f t="shared" si="191"/>
        <v>Wednesday</v>
      </c>
      <c r="D3842" s="2">
        <v>0.40109953703703699</v>
      </c>
      <c r="E3842" t="s">
        <v>14</v>
      </c>
      <c r="F3842" t="s">
        <v>19</v>
      </c>
      <c r="G3842">
        <v>1</v>
      </c>
      <c r="H3842" t="s">
        <v>16</v>
      </c>
      <c r="I3842" t="s">
        <v>89</v>
      </c>
      <c r="J3842" s="1">
        <v>44276</v>
      </c>
      <c r="L3842" t="s">
        <v>14</v>
      </c>
      <c r="M3842">
        <v>3826</v>
      </c>
      <c r="N3842">
        <v>3826</v>
      </c>
      <c r="O3842" t="s">
        <v>18</v>
      </c>
      <c r="P3842">
        <f t="shared" si="188"/>
        <v>0</v>
      </c>
      <c r="Q3842" s="11">
        <f>IF(P3842=0,0,IFERROR(Q3841+G3842*M3842*IF(E3842="FUTURE",VLOOKUP(MID(I3842,2,2),Futures!$A$2:$B$12,2),1),G3842*M3842*IF(E3842="FUTURE",VLOOKUP(MID(I3842,2,2),Futures!$A$2:$B$12,2),1)))</f>
        <v>0</v>
      </c>
      <c r="R3842" s="12" t="str">
        <f>IFERROR(Q3842/P3842/IF(E3842="FUTURE",VLOOKUP(MID(I3842,2,2),Futures!$A$2:$B$12,2),1),"")</f>
        <v/>
      </c>
      <c r="S3842" s="13">
        <f>IF(AND(H3842="TO CLOSE",P3842=0),-G3842*(M3842-R3841)*IF(E3842="FUTURE",VLOOKUP(MID(I3842,2,2),Futures!$A$2:$B$12,2),1),"")</f>
        <v>12.5</v>
      </c>
    </row>
    <row r="3843" spans="1:19" x14ac:dyDescent="0.2">
      <c r="A3843">
        <f t="shared" si="192"/>
        <v>1265</v>
      </c>
      <c r="B3843" s="3">
        <v>44230</v>
      </c>
      <c r="C3843" s="3" t="str">
        <f t="shared" si="191"/>
        <v>Wednesday</v>
      </c>
      <c r="D3843" s="2">
        <v>0.40490740740740744</v>
      </c>
      <c r="E3843" t="s">
        <v>14</v>
      </c>
      <c r="F3843" t="s">
        <v>19</v>
      </c>
      <c r="G3843">
        <v>1</v>
      </c>
      <c r="H3843" t="s">
        <v>20</v>
      </c>
      <c r="I3843" t="s">
        <v>89</v>
      </c>
      <c r="J3843" s="1">
        <v>44276</v>
      </c>
      <c r="L3843" t="s">
        <v>14</v>
      </c>
      <c r="M3843">
        <v>3826.25</v>
      </c>
      <c r="N3843">
        <v>3826.25</v>
      </c>
      <c r="O3843" t="s">
        <v>21</v>
      </c>
      <c r="P3843">
        <f t="shared" ref="P3843:P3906" si="193">IF(H3843="TO OPEN",IFERROR(P3842+G3843,0+G3843),IFERROR(P3842+G3843,0+G3843))</f>
        <v>1</v>
      </c>
      <c r="Q3843" s="11">
        <f>IF(P3843=0,0,IFERROR(Q3842+G3843*M3843*IF(E3843="FUTURE",VLOOKUP(MID(I3843,2,2),Futures!$A$2:$B$12,2),1),G3843*M3843*IF(E3843="FUTURE",VLOOKUP(MID(I3843,2,2),Futures!$A$2:$B$12,2),1)))</f>
        <v>191312.5</v>
      </c>
      <c r="R3843" s="12">
        <f>IFERROR(Q3843/P3843/IF(E3843="FUTURE",VLOOKUP(MID(I3843,2,2),Futures!$A$2:$B$12,2),1),"")</f>
        <v>3826.25</v>
      </c>
      <c r="S3843" s="13" t="str">
        <f>IF(AND(H3843="TO CLOSE",P3843=0),-G3843*(M3843-R3842)*IF(E3843="FUTURE",VLOOKUP(MID(I3843,2,2),Futures!$A$2:$B$12,2),1),"")</f>
        <v/>
      </c>
    </row>
    <row r="3844" spans="1:19" x14ac:dyDescent="0.2">
      <c r="A3844">
        <f t="shared" si="192"/>
        <v>1265</v>
      </c>
      <c r="B3844" s="3">
        <v>44230</v>
      </c>
      <c r="C3844" s="3" t="str">
        <f t="shared" si="191"/>
        <v>Wednesday</v>
      </c>
      <c r="D3844" s="2">
        <v>0.40760416666666671</v>
      </c>
      <c r="E3844" t="s">
        <v>14</v>
      </c>
      <c r="F3844" t="s">
        <v>15</v>
      </c>
      <c r="G3844">
        <v>-1</v>
      </c>
      <c r="H3844" t="s">
        <v>16</v>
      </c>
      <c r="I3844" t="s">
        <v>89</v>
      </c>
      <c r="J3844" s="1">
        <v>44276</v>
      </c>
      <c r="L3844" t="s">
        <v>14</v>
      </c>
      <c r="M3844">
        <v>3822.5</v>
      </c>
      <c r="N3844">
        <v>3822.5</v>
      </c>
      <c r="O3844" t="s">
        <v>18</v>
      </c>
      <c r="P3844">
        <f t="shared" si="193"/>
        <v>0</v>
      </c>
      <c r="Q3844" s="11">
        <f>IF(P3844=0,0,IFERROR(Q3843+G3844*M3844*IF(E3844="FUTURE",VLOOKUP(MID(I3844,2,2),Futures!$A$2:$B$12,2),1),G3844*M3844*IF(E3844="FUTURE",VLOOKUP(MID(I3844,2,2),Futures!$A$2:$B$12,2),1)))</f>
        <v>0</v>
      </c>
      <c r="R3844" s="12" t="str">
        <f>IFERROR(Q3844/P3844/IF(E3844="FUTURE",VLOOKUP(MID(I3844,2,2),Futures!$A$2:$B$12,2),1),"")</f>
        <v/>
      </c>
      <c r="S3844" s="13">
        <f>IF(AND(H3844="TO CLOSE",P3844=0),-G3844*(M3844-R3843)*IF(E3844="FUTURE",VLOOKUP(MID(I3844,2,2),Futures!$A$2:$B$12,2),1),"")</f>
        <v>-187.5</v>
      </c>
    </row>
    <row r="3845" spans="1:19" x14ac:dyDescent="0.2">
      <c r="A3845">
        <f t="shared" si="192"/>
        <v>1266</v>
      </c>
      <c r="B3845" s="3">
        <v>44230</v>
      </c>
      <c r="C3845" s="3" t="str">
        <f t="shared" si="191"/>
        <v>Wednesday</v>
      </c>
      <c r="D3845" s="2">
        <v>0.44089120370370366</v>
      </c>
      <c r="E3845" t="s">
        <v>14</v>
      </c>
      <c r="F3845" t="s">
        <v>19</v>
      </c>
      <c r="G3845">
        <v>1</v>
      </c>
      <c r="H3845" t="s">
        <v>20</v>
      </c>
      <c r="I3845" t="s">
        <v>89</v>
      </c>
      <c r="J3845" s="1">
        <v>44276</v>
      </c>
      <c r="L3845" t="s">
        <v>14</v>
      </c>
      <c r="M3845">
        <v>3812.75</v>
      </c>
      <c r="N3845">
        <v>3812.75</v>
      </c>
      <c r="O3845" t="s">
        <v>21</v>
      </c>
      <c r="P3845">
        <f t="shared" si="193"/>
        <v>1</v>
      </c>
      <c r="Q3845" s="11">
        <f>IF(P3845=0,0,IFERROR(Q3844+G3845*M3845*IF(E3845="FUTURE",VLOOKUP(MID(I3845,2,2),Futures!$A$2:$B$12,2),1),G3845*M3845*IF(E3845="FUTURE",VLOOKUP(MID(I3845,2,2),Futures!$A$2:$B$12,2),1)))</f>
        <v>190637.5</v>
      </c>
      <c r="R3845" s="12">
        <f>IFERROR(Q3845/P3845/IF(E3845="FUTURE",VLOOKUP(MID(I3845,2,2),Futures!$A$2:$B$12,2),1),"")</f>
        <v>3812.75</v>
      </c>
      <c r="S3845" s="13" t="str">
        <f>IF(AND(H3845="TO CLOSE",P3845=0),-G3845*(M3845-R3844)*IF(E3845="FUTURE",VLOOKUP(MID(I3845,2,2),Futures!$A$2:$B$12,2),1),"")</f>
        <v/>
      </c>
    </row>
    <row r="3846" spans="1:19" x14ac:dyDescent="0.2">
      <c r="A3846">
        <f t="shared" si="192"/>
        <v>1266</v>
      </c>
      <c r="B3846" s="3">
        <v>44230</v>
      </c>
      <c r="C3846" s="3" t="str">
        <f t="shared" si="191"/>
        <v>Wednesday</v>
      </c>
      <c r="D3846" s="2">
        <v>0.44312499999999999</v>
      </c>
      <c r="E3846" t="s">
        <v>14</v>
      </c>
      <c r="F3846" t="s">
        <v>15</v>
      </c>
      <c r="G3846">
        <v>-1</v>
      </c>
      <c r="H3846" t="s">
        <v>16</v>
      </c>
      <c r="I3846" t="s">
        <v>89</v>
      </c>
      <c r="J3846" s="1">
        <v>44276</v>
      </c>
      <c r="L3846" t="s">
        <v>14</v>
      </c>
      <c r="M3846">
        <v>3808.25</v>
      </c>
      <c r="N3846">
        <v>3808.25</v>
      </c>
      <c r="O3846" t="s">
        <v>18</v>
      </c>
      <c r="P3846">
        <f t="shared" si="193"/>
        <v>0</v>
      </c>
      <c r="Q3846" s="11">
        <f>IF(P3846=0,0,IFERROR(Q3845+G3846*M3846*IF(E3846="FUTURE",VLOOKUP(MID(I3846,2,2),Futures!$A$2:$B$12,2),1),G3846*M3846*IF(E3846="FUTURE",VLOOKUP(MID(I3846,2,2),Futures!$A$2:$B$12,2),1)))</f>
        <v>0</v>
      </c>
      <c r="R3846" s="12" t="str">
        <f>IFERROR(Q3846/P3846/IF(E3846="FUTURE",VLOOKUP(MID(I3846,2,2),Futures!$A$2:$B$12,2),1),"")</f>
        <v/>
      </c>
      <c r="S3846" s="13">
        <f>IF(AND(H3846="TO CLOSE",P3846=0),-G3846*(M3846-R3845)*IF(E3846="FUTURE",VLOOKUP(MID(I3846,2,2),Futures!$A$2:$B$12,2),1),"")</f>
        <v>-225</v>
      </c>
    </row>
    <row r="3847" spans="1:19" x14ac:dyDescent="0.2">
      <c r="A3847">
        <f t="shared" si="192"/>
        <v>1267</v>
      </c>
      <c r="B3847" s="3">
        <v>44230</v>
      </c>
      <c r="C3847" s="3" t="str">
        <f t="shared" si="191"/>
        <v>Wednesday</v>
      </c>
      <c r="D3847" s="2">
        <v>0.44387731481481479</v>
      </c>
      <c r="E3847" t="s">
        <v>14</v>
      </c>
      <c r="F3847" t="s">
        <v>19</v>
      </c>
      <c r="G3847">
        <v>1</v>
      </c>
      <c r="H3847" t="s">
        <v>20</v>
      </c>
      <c r="I3847" t="s">
        <v>89</v>
      </c>
      <c r="J3847" s="1">
        <v>44276</v>
      </c>
      <c r="L3847" t="s">
        <v>14</v>
      </c>
      <c r="M3847">
        <v>3811.5</v>
      </c>
      <c r="N3847">
        <v>3811.5</v>
      </c>
      <c r="O3847" t="s">
        <v>21</v>
      </c>
      <c r="P3847">
        <f t="shared" si="193"/>
        <v>1</v>
      </c>
      <c r="Q3847" s="11">
        <f>IF(P3847=0,0,IFERROR(Q3846+G3847*M3847*IF(E3847="FUTURE",VLOOKUP(MID(I3847,2,2),Futures!$A$2:$B$12,2),1),G3847*M3847*IF(E3847="FUTURE",VLOOKUP(MID(I3847,2,2),Futures!$A$2:$B$12,2),1)))</f>
        <v>190575</v>
      </c>
      <c r="R3847" s="12">
        <f>IFERROR(Q3847/P3847/IF(E3847="FUTURE",VLOOKUP(MID(I3847,2,2),Futures!$A$2:$B$12,2),1),"")</f>
        <v>3811.5</v>
      </c>
      <c r="S3847" s="13" t="str">
        <f>IF(AND(H3847="TO CLOSE",P3847=0),-G3847*(M3847-R3846)*IF(E3847="FUTURE",VLOOKUP(MID(I3847,2,2),Futures!$A$2:$B$12,2),1),"")</f>
        <v/>
      </c>
    </row>
    <row r="3848" spans="1:19" x14ac:dyDescent="0.2">
      <c r="A3848">
        <f t="shared" si="192"/>
        <v>1267</v>
      </c>
      <c r="B3848" s="3">
        <v>44230</v>
      </c>
      <c r="C3848" s="3" t="str">
        <f t="shared" si="191"/>
        <v>Wednesday</v>
      </c>
      <c r="D3848" s="2">
        <v>0.44644675925925931</v>
      </c>
      <c r="E3848" t="s">
        <v>14</v>
      </c>
      <c r="F3848" t="s">
        <v>15</v>
      </c>
      <c r="G3848">
        <v>-1</v>
      </c>
      <c r="H3848" t="s">
        <v>16</v>
      </c>
      <c r="I3848" t="s">
        <v>89</v>
      </c>
      <c r="J3848" s="1">
        <v>44276</v>
      </c>
      <c r="L3848" t="s">
        <v>14</v>
      </c>
      <c r="M3848">
        <v>3818.25</v>
      </c>
      <c r="N3848">
        <v>3818.25</v>
      </c>
      <c r="O3848" t="s">
        <v>21</v>
      </c>
      <c r="P3848">
        <f t="shared" si="193"/>
        <v>0</v>
      </c>
      <c r="Q3848" s="11">
        <f>IF(P3848=0,0,IFERROR(Q3847+G3848*M3848*IF(E3848="FUTURE",VLOOKUP(MID(I3848,2,2),Futures!$A$2:$B$12,2),1),G3848*M3848*IF(E3848="FUTURE",VLOOKUP(MID(I3848,2,2),Futures!$A$2:$B$12,2),1)))</f>
        <v>0</v>
      </c>
      <c r="R3848" s="12" t="str">
        <f>IFERROR(Q3848/P3848/IF(E3848="FUTURE",VLOOKUP(MID(I3848,2,2),Futures!$A$2:$B$12,2),1),"")</f>
        <v/>
      </c>
      <c r="S3848" s="13">
        <f>IF(AND(H3848="TO CLOSE",P3848=0),-G3848*(M3848-R3847)*IF(E3848="FUTURE",VLOOKUP(MID(I3848,2,2),Futures!$A$2:$B$12,2),1),"")</f>
        <v>337.5</v>
      </c>
    </row>
    <row r="3849" spans="1:19" x14ac:dyDescent="0.2">
      <c r="A3849">
        <f t="shared" si="192"/>
        <v>1268</v>
      </c>
      <c r="B3849" s="3">
        <v>44230</v>
      </c>
      <c r="C3849" s="3" t="str">
        <f t="shared" si="191"/>
        <v>Wednesday</v>
      </c>
      <c r="D3849" s="2">
        <v>0.47240740740740739</v>
      </c>
      <c r="E3849" t="s">
        <v>14</v>
      </c>
      <c r="F3849" t="s">
        <v>19</v>
      </c>
      <c r="G3849">
        <v>1</v>
      </c>
      <c r="H3849" t="s">
        <v>20</v>
      </c>
      <c r="I3849" t="s">
        <v>89</v>
      </c>
      <c r="J3849" s="1">
        <v>44276</v>
      </c>
      <c r="L3849" t="s">
        <v>14</v>
      </c>
      <c r="M3849">
        <v>3820.5</v>
      </c>
      <c r="N3849">
        <v>3820.5</v>
      </c>
      <c r="O3849" t="s">
        <v>21</v>
      </c>
      <c r="P3849">
        <f t="shared" si="193"/>
        <v>1</v>
      </c>
      <c r="Q3849" s="11">
        <f>IF(P3849=0,0,IFERROR(Q3848+G3849*M3849*IF(E3849="FUTURE",VLOOKUP(MID(I3849,2,2),Futures!$A$2:$B$12,2),1),G3849*M3849*IF(E3849="FUTURE",VLOOKUP(MID(I3849,2,2),Futures!$A$2:$B$12,2),1)))</f>
        <v>191025</v>
      </c>
      <c r="R3849" s="12">
        <f>IFERROR(Q3849/P3849/IF(E3849="FUTURE",VLOOKUP(MID(I3849,2,2),Futures!$A$2:$B$12,2),1),"")</f>
        <v>3820.5</v>
      </c>
      <c r="S3849" s="13" t="str">
        <f>IF(AND(H3849="TO CLOSE",P3849=0),-G3849*(M3849-R3848)*IF(E3849="FUTURE",VLOOKUP(MID(I3849,2,2),Futures!$A$2:$B$12,2),1),"")</f>
        <v/>
      </c>
    </row>
    <row r="3850" spans="1:19" x14ac:dyDescent="0.2">
      <c r="A3850">
        <f t="shared" si="192"/>
        <v>1268</v>
      </c>
      <c r="B3850" s="3">
        <v>44230</v>
      </c>
      <c r="C3850" s="3" t="str">
        <f t="shared" si="191"/>
        <v>Wednesday</v>
      </c>
      <c r="D3850" s="2">
        <v>0.4727777777777778</v>
      </c>
      <c r="E3850" t="s">
        <v>14</v>
      </c>
      <c r="F3850" t="s">
        <v>15</v>
      </c>
      <c r="G3850">
        <v>-1</v>
      </c>
      <c r="H3850" t="s">
        <v>16</v>
      </c>
      <c r="I3850" t="s">
        <v>89</v>
      </c>
      <c r="J3850" s="1">
        <v>44276</v>
      </c>
      <c r="L3850" t="s">
        <v>14</v>
      </c>
      <c r="M3850">
        <v>3823.75</v>
      </c>
      <c r="N3850">
        <v>3823.75</v>
      </c>
      <c r="O3850" t="s">
        <v>21</v>
      </c>
      <c r="P3850">
        <f t="shared" si="193"/>
        <v>0</v>
      </c>
      <c r="Q3850" s="11">
        <f>IF(P3850=0,0,IFERROR(Q3849+G3850*M3850*IF(E3850="FUTURE",VLOOKUP(MID(I3850,2,2),Futures!$A$2:$B$12,2),1),G3850*M3850*IF(E3850="FUTURE",VLOOKUP(MID(I3850,2,2),Futures!$A$2:$B$12,2),1)))</f>
        <v>0</v>
      </c>
      <c r="R3850" s="12" t="str">
        <f>IFERROR(Q3850/P3850/IF(E3850="FUTURE",VLOOKUP(MID(I3850,2,2),Futures!$A$2:$B$12,2),1),"")</f>
        <v/>
      </c>
      <c r="S3850" s="13">
        <f>IF(AND(H3850="TO CLOSE",P3850=0),-G3850*(M3850-R3849)*IF(E3850="FUTURE",VLOOKUP(MID(I3850,2,2),Futures!$A$2:$B$12,2),1),"")</f>
        <v>162.5</v>
      </c>
    </row>
    <row r="3851" spans="1:19" x14ac:dyDescent="0.2">
      <c r="A3851">
        <f t="shared" si="192"/>
        <v>1269</v>
      </c>
      <c r="B3851" s="3">
        <v>44230</v>
      </c>
      <c r="C3851" s="3" t="str">
        <f t="shared" si="191"/>
        <v>Wednesday</v>
      </c>
      <c r="D3851" s="2">
        <v>0.47607638888888887</v>
      </c>
      <c r="E3851" t="s">
        <v>22</v>
      </c>
      <c r="F3851" t="s">
        <v>15</v>
      </c>
      <c r="G3851">
        <v>-200</v>
      </c>
      <c r="H3851" t="s">
        <v>20</v>
      </c>
      <c r="I3851" t="s">
        <v>23</v>
      </c>
      <c r="L3851" t="s">
        <v>22</v>
      </c>
      <c r="M3851">
        <v>17.63</v>
      </c>
      <c r="N3851">
        <v>17.63</v>
      </c>
      <c r="O3851" t="s">
        <v>21</v>
      </c>
      <c r="P3851">
        <f t="shared" si="193"/>
        <v>-200</v>
      </c>
      <c r="Q3851" s="11">
        <f>IF(P3851=0,0,IFERROR(Q3850+G3851*M3851*IF(E3851="FUTURE",VLOOKUP(MID(I3851,2,2),Futures!$A$2:$B$12,2),1),G3851*M3851*IF(E3851="FUTURE",VLOOKUP(MID(I3851,2,2),Futures!$A$2:$B$12,2),1)))</f>
        <v>-3526</v>
      </c>
      <c r="R3851" s="12">
        <f>IFERROR(Q3851/P3851/IF(E3851="FUTURE",VLOOKUP(MID(I3851,2,2),Futures!$A$2:$B$12,2),1),"")</f>
        <v>17.63</v>
      </c>
      <c r="S3851" s="13" t="str">
        <f>IF(AND(H3851="TO CLOSE",P3851=0),-G3851*(M3851-R3850)*IF(E3851="FUTURE",VLOOKUP(MID(I3851,2,2),Futures!$A$2:$B$12,2),1),"")</f>
        <v/>
      </c>
    </row>
    <row r="3852" spans="1:19" x14ac:dyDescent="0.2">
      <c r="A3852">
        <f t="shared" si="192"/>
        <v>1269</v>
      </c>
      <c r="B3852" s="3">
        <v>44230</v>
      </c>
      <c r="C3852" s="3" t="str">
        <f t="shared" si="191"/>
        <v>Wednesday</v>
      </c>
      <c r="D3852" s="2">
        <v>0.49133101851851851</v>
      </c>
      <c r="E3852" t="s">
        <v>22</v>
      </c>
      <c r="F3852" t="s">
        <v>19</v>
      </c>
      <c r="G3852">
        <v>100</v>
      </c>
      <c r="H3852" t="s">
        <v>16</v>
      </c>
      <c r="I3852" t="s">
        <v>23</v>
      </c>
      <c r="L3852" t="s">
        <v>22</v>
      </c>
      <c r="M3852">
        <v>17.504999999999999</v>
      </c>
      <c r="N3852">
        <v>17.504999999999999</v>
      </c>
      <c r="O3852" t="s">
        <v>21</v>
      </c>
      <c r="P3852">
        <f t="shared" si="193"/>
        <v>-100</v>
      </c>
      <c r="Q3852" s="11">
        <f>IF(P3852=0,0,IFERROR(Q3851+G3852*M3852*IF(E3852="FUTURE",VLOOKUP(MID(I3852,2,2),Futures!$A$2:$B$12,2),1),G3852*M3852*IF(E3852="FUTURE",VLOOKUP(MID(I3852,2,2),Futures!$A$2:$B$12,2),1)))</f>
        <v>-1775.5</v>
      </c>
      <c r="R3852" s="12">
        <f>IFERROR(Q3852/P3852/IF(E3852="FUTURE",VLOOKUP(MID(I3852,2,2),Futures!$A$2:$B$12,2),1),"")</f>
        <v>17.754999999999999</v>
      </c>
      <c r="S3852" s="13" t="str">
        <f>IF(AND(H3852="TO CLOSE",P3852=0),-G3852*(M3852-R3851)*IF(E3852="FUTURE",VLOOKUP(MID(I3852,2,2),Futures!$A$2:$B$12,2),1),"")</f>
        <v/>
      </c>
    </row>
    <row r="3853" spans="1:19" x14ac:dyDescent="0.2">
      <c r="A3853">
        <f t="shared" si="192"/>
        <v>1269</v>
      </c>
      <c r="B3853" s="3">
        <v>44230</v>
      </c>
      <c r="C3853" s="3" t="str">
        <f t="shared" si="191"/>
        <v>Wednesday</v>
      </c>
      <c r="D3853" s="2">
        <v>0.49915509259259255</v>
      </c>
      <c r="E3853" t="s">
        <v>22</v>
      </c>
      <c r="F3853" t="s">
        <v>19</v>
      </c>
      <c r="G3853">
        <v>100</v>
      </c>
      <c r="H3853" t="s">
        <v>16</v>
      </c>
      <c r="I3853" t="s">
        <v>23</v>
      </c>
      <c r="L3853" t="s">
        <v>22</v>
      </c>
      <c r="M3853">
        <v>17.454999999999998</v>
      </c>
      <c r="N3853">
        <v>17.454999999999998</v>
      </c>
      <c r="O3853" t="s">
        <v>24</v>
      </c>
      <c r="P3853">
        <f t="shared" si="193"/>
        <v>0</v>
      </c>
      <c r="Q3853" s="11">
        <f>IF(P3853=0,0,IFERROR(Q3852+G3853*M3853*IF(E3853="FUTURE",VLOOKUP(MID(I3853,2,2),Futures!$A$2:$B$12,2),1),G3853*M3853*IF(E3853="FUTURE",VLOOKUP(MID(I3853,2,2),Futures!$A$2:$B$12,2),1)))</f>
        <v>0</v>
      </c>
      <c r="R3853" s="12" t="str">
        <f>IFERROR(Q3853/P3853/IF(E3853="FUTURE",VLOOKUP(MID(I3853,2,2),Futures!$A$2:$B$12,2),1),"")</f>
        <v/>
      </c>
      <c r="S3853" s="13">
        <f>IF(AND(H3853="TO CLOSE",P3853=0),-G3853*(M3853-R3852)*IF(E3853="FUTURE",VLOOKUP(MID(I3853,2,2),Futures!$A$2:$B$12,2),1),"")</f>
        <v>30.000000000000071</v>
      </c>
    </row>
    <row r="3854" spans="1:19" x14ac:dyDescent="0.2">
      <c r="A3854">
        <f t="shared" si="192"/>
        <v>1270</v>
      </c>
      <c r="B3854" s="3">
        <v>44231</v>
      </c>
      <c r="C3854" s="3" t="str">
        <f t="shared" ref="C3854:C3861" si="194">IF(WEEKDAY(B3854,2)=1,"Monday",IF(WEEKDAY(B3854,2)=2,"Tuesday",IF(WEEKDAY(B3854,2)=3,"Wednesday",IF(WEEKDAY(B3854,2)=4,"Thursday",IF(WEEKDAY(B3854,2)=5,"Friday","Sunday")))))</f>
        <v>Thursday</v>
      </c>
      <c r="D3854" s="2">
        <v>0.3740856481481481</v>
      </c>
      <c r="E3854" t="s">
        <v>14</v>
      </c>
      <c r="F3854" t="s">
        <v>15</v>
      </c>
      <c r="G3854">
        <v>-1</v>
      </c>
      <c r="H3854" t="s">
        <v>20</v>
      </c>
      <c r="I3854" t="s">
        <v>97</v>
      </c>
      <c r="J3854" s="1">
        <v>44276</v>
      </c>
      <c r="L3854" t="s">
        <v>14</v>
      </c>
      <c r="M3854">
        <v>56.06</v>
      </c>
      <c r="N3854">
        <v>56.06</v>
      </c>
      <c r="O3854" t="s">
        <v>21</v>
      </c>
      <c r="P3854">
        <f t="shared" si="193"/>
        <v>-1</v>
      </c>
      <c r="Q3854" s="11">
        <f>IF(P3854=0,0,IFERROR(Q3853+G3854*M3854*IF(E3854="FUTURE",VLOOKUP(MID(I3854,2,2),Futures!$A$2:$B$12,2),1),G3854*M3854*IF(E3854="FUTURE",VLOOKUP(MID(I3854,2,2),Futures!$A$2:$B$12,2),1)))</f>
        <v>-56060</v>
      </c>
      <c r="R3854" s="12">
        <f>IFERROR(Q3854/P3854/IF(E3854="FUTURE",VLOOKUP(MID(I3854,2,2),Futures!$A$2:$B$12,2),1),"")</f>
        <v>56.06</v>
      </c>
      <c r="S3854" s="13" t="str">
        <f>IF(AND(H3854="TO CLOSE",P3854=0),-G3854*(M3854-R3853)*IF(E3854="FUTURE",VLOOKUP(MID(I3854,2,2),Futures!$A$2:$B$12,2),1),"")</f>
        <v/>
      </c>
    </row>
    <row r="3855" spans="1:19" x14ac:dyDescent="0.2">
      <c r="A3855">
        <f t="shared" si="192"/>
        <v>1270</v>
      </c>
      <c r="B3855" s="3">
        <v>44231</v>
      </c>
      <c r="C3855" s="3" t="str">
        <f t="shared" si="194"/>
        <v>Thursday</v>
      </c>
      <c r="D3855" s="2">
        <v>0.37715277777777773</v>
      </c>
      <c r="E3855" t="s">
        <v>14</v>
      </c>
      <c r="F3855" t="s">
        <v>19</v>
      </c>
      <c r="G3855">
        <v>1</v>
      </c>
      <c r="H3855" t="s">
        <v>16</v>
      </c>
      <c r="I3855" t="s">
        <v>97</v>
      </c>
      <c r="J3855" s="1">
        <v>44276</v>
      </c>
      <c r="L3855" t="s">
        <v>14</v>
      </c>
      <c r="M3855">
        <v>55.93</v>
      </c>
      <c r="N3855">
        <v>55.93</v>
      </c>
      <c r="O3855" t="s">
        <v>21</v>
      </c>
      <c r="P3855">
        <f t="shared" si="193"/>
        <v>0</v>
      </c>
      <c r="Q3855" s="11">
        <f>IF(P3855=0,0,IFERROR(Q3854+G3855*M3855*IF(E3855="FUTURE",VLOOKUP(MID(I3855,2,2),Futures!$A$2:$B$12,2),1),G3855*M3855*IF(E3855="FUTURE",VLOOKUP(MID(I3855,2,2),Futures!$A$2:$B$12,2),1)))</f>
        <v>0</v>
      </c>
      <c r="R3855" s="12" t="str">
        <f>IFERROR(Q3855/P3855/IF(E3855="FUTURE",VLOOKUP(MID(I3855,2,2),Futures!$A$2:$B$12,2),1),"")</f>
        <v/>
      </c>
      <c r="S3855" s="13">
        <f>IF(AND(H3855="TO CLOSE",P3855=0),-G3855*(M3855-R3854)*IF(E3855="FUTURE",VLOOKUP(MID(I3855,2,2),Futures!$A$2:$B$12,2),1),"")</f>
        <v>130.00000000000256</v>
      </c>
    </row>
    <row r="3856" spans="1:19" x14ac:dyDescent="0.2">
      <c r="A3856">
        <f t="shared" si="192"/>
        <v>1271</v>
      </c>
      <c r="B3856" s="3">
        <v>44231</v>
      </c>
      <c r="C3856" s="3" t="str">
        <f t="shared" si="194"/>
        <v>Thursday</v>
      </c>
      <c r="D3856" s="2">
        <v>0.39549768518518519</v>
      </c>
      <c r="E3856" t="s">
        <v>14</v>
      </c>
      <c r="F3856" t="s">
        <v>15</v>
      </c>
      <c r="G3856">
        <v>-1</v>
      </c>
      <c r="H3856" t="s">
        <v>20</v>
      </c>
      <c r="I3856" t="s">
        <v>97</v>
      </c>
      <c r="J3856" s="1">
        <v>44276</v>
      </c>
      <c r="L3856" t="s">
        <v>14</v>
      </c>
      <c r="M3856">
        <v>55.96</v>
      </c>
      <c r="N3856">
        <v>55.96</v>
      </c>
      <c r="O3856" t="s">
        <v>21</v>
      </c>
      <c r="P3856">
        <f t="shared" si="193"/>
        <v>-1</v>
      </c>
      <c r="Q3856" s="11">
        <f>IF(P3856=0,0,IFERROR(Q3855+G3856*M3856*IF(E3856="FUTURE",VLOOKUP(MID(I3856,2,2),Futures!$A$2:$B$12,2),1),G3856*M3856*IF(E3856="FUTURE",VLOOKUP(MID(I3856,2,2),Futures!$A$2:$B$12,2),1)))</f>
        <v>-55960</v>
      </c>
      <c r="R3856" s="12">
        <f>IFERROR(Q3856/P3856/IF(E3856="FUTURE",VLOOKUP(MID(I3856,2,2),Futures!$A$2:$B$12,2),1),"")</f>
        <v>55.96</v>
      </c>
      <c r="S3856" s="13" t="str">
        <f>IF(AND(H3856="TO CLOSE",P3856=0),-G3856*(M3856-R3855)*IF(E3856="FUTURE",VLOOKUP(MID(I3856,2,2),Futures!$A$2:$B$12,2),1),"")</f>
        <v/>
      </c>
    </row>
    <row r="3857" spans="1:19" x14ac:dyDescent="0.2">
      <c r="A3857">
        <f t="shared" si="192"/>
        <v>1271</v>
      </c>
      <c r="B3857" s="3">
        <v>44231</v>
      </c>
      <c r="C3857" s="3" t="str">
        <f t="shared" si="194"/>
        <v>Thursday</v>
      </c>
      <c r="D3857" s="2">
        <v>0.40424768518518522</v>
      </c>
      <c r="E3857" t="s">
        <v>14</v>
      </c>
      <c r="F3857" t="s">
        <v>19</v>
      </c>
      <c r="G3857">
        <v>1</v>
      </c>
      <c r="H3857" t="s">
        <v>16</v>
      </c>
      <c r="I3857" t="s">
        <v>97</v>
      </c>
      <c r="J3857" s="1">
        <v>44276</v>
      </c>
      <c r="L3857" t="s">
        <v>14</v>
      </c>
      <c r="M3857">
        <v>55.78</v>
      </c>
      <c r="N3857">
        <v>55.78</v>
      </c>
      <c r="O3857" t="s">
        <v>21</v>
      </c>
      <c r="P3857">
        <f t="shared" si="193"/>
        <v>0</v>
      </c>
      <c r="Q3857" s="11">
        <f>IF(P3857=0,0,IFERROR(Q3856+G3857*M3857*IF(E3857="FUTURE",VLOOKUP(MID(I3857,2,2),Futures!$A$2:$B$12,2),1),G3857*M3857*IF(E3857="FUTURE",VLOOKUP(MID(I3857,2,2),Futures!$A$2:$B$12,2),1)))</f>
        <v>0</v>
      </c>
      <c r="R3857" s="12" t="str">
        <f>IFERROR(Q3857/P3857/IF(E3857="FUTURE",VLOOKUP(MID(I3857,2,2),Futures!$A$2:$B$12,2),1),"")</f>
        <v/>
      </c>
      <c r="S3857" s="13">
        <f>IF(AND(H3857="TO CLOSE",P3857=0),-G3857*(M3857-R3856)*IF(E3857="FUTURE",VLOOKUP(MID(I3857,2,2),Futures!$A$2:$B$12,2),1),"")</f>
        <v>179.99999999999972</v>
      </c>
    </row>
    <row r="3858" spans="1:19" x14ac:dyDescent="0.2">
      <c r="A3858">
        <f t="shared" si="192"/>
        <v>1272</v>
      </c>
      <c r="B3858" s="3">
        <v>44231</v>
      </c>
      <c r="C3858" s="3" t="str">
        <f t="shared" si="194"/>
        <v>Thursday</v>
      </c>
      <c r="D3858" s="2">
        <v>0.49994212962962964</v>
      </c>
      <c r="E3858" t="s">
        <v>14</v>
      </c>
      <c r="F3858" t="s">
        <v>15</v>
      </c>
      <c r="G3858">
        <v>-1</v>
      </c>
      <c r="H3858" t="s">
        <v>20</v>
      </c>
      <c r="I3858" t="s">
        <v>97</v>
      </c>
      <c r="J3858" s="1">
        <v>44276</v>
      </c>
      <c r="L3858" t="s">
        <v>14</v>
      </c>
      <c r="M3858">
        <v>55.98</v>
      </c>
      <c r="N3858">
        <v>55.98</v>
      </c>
      <c r="O3858" t="s">
        <v>21</v>
      </c>
      <c r="P3858">
        <f t="shared" si="193"/>
        <v>-1</v>
      </c>
      <c r="Q3858" s="11">
        <f>IF(P3858=0,0,IFERROR(Q3857+G3858*M3858*IF(E3858="FUTURE",VLOOKUP(MID(I3858,2,2),Futures!$A$2:$B$12,2),1),G3858*M3858*IF(E3858="FUTURE",VLOOKUP(MID(I3858,2,2),Futures!$A$2:$B$12,2),1)))</f>
        <v>-55980</v>
      </c>
      <c r="R3858" s="12">
        <f>IFERROR(Q3858/P3858/IF(E3858="FUTURE",VLOOKUP(MID(I3858,2,2),Futures!$A$2:$B$12,2),1),"")</f>
        <v>55.98</v>
      </c>
      <c r="S3858" s="13" t="str">
        <f>IF(AND(H3858="TO CLOSE",P3858=0),-G3858*(M3858-R3857)*IF(E3858="FUTURE",VLOOKUP(MID(I3858,2,2),Futures!$A$2:$B$12,2),1),"")</f>
        <v/>
      </c>
    </row>
    <row r="3859" spans="1:19" x14ac:dyDescent="0.2">
      <c r="A3859">
        <f t="shared" si="192"/>
        <v>1272</v>
      </c>
      <c r="B3859" s="3">
        <v>44231</v>
      </c>
      <c r="C3859" s="3" t="str">
        <f t="shared" si="194"/>
        <v>Thursday</v>
      </c>
      <c r="D3859" s="2">
        <v>0.67090277777777774</v>
      </c>
      <c r="E3859" t="s">
        <v>14</v>
      </c>
      <c r="F3859" t="s">
        <v>19</v>
      </c>
      <c r="G3859">
        <v>1</v>
      </c>
      <c r="H3859" t="s">
        <v>16</v>
      </c>
      <c r="I3859" t="s">
        <v>97</v>
      </c>
      <c r="J3859" s="1">
        <v>44276</v>
      </c>
      <c r="L3859" t="s">
        <v>14</v>
      </c>
      <c r="M3859">
        <v>56.36</v>
      </c>
      <c r="N3859">
        <v>56.36</v>
      </c>
      <c r="O3859" t="s">
        <v>24</v>
      </c>
      <c r="P3859">
        <f t="shared" si="193"/>
        <v>0</v>
      </c>
      <c r="Q3859" s="11">
        <f>IF(P3859=0,0,IFERROR(Q3858+G3859*M3859*IF(E3859="FUTURE",VLOOKUP(MID(I3859,2,2),Futures!$A$2:$B$12,2),1),G3859*M3859*IF(E3859="FUTURE",VLOOKUP(MID(I3859,2,2),Futures!$A$2:$B$12,2),1)))</f>
        <v>0</v>
      </c>
      <c r="R3859" s="12" t="str">
        <f>IFERROR(Q3859/P3859/IF(E3859="FUTURE",VLOOKUP(MID(I3859,2,2),Futures!$A$2:$B$12,2),1),"")</f>
        <v/>
      </c>
      <c r="S3859" s="13">
        <f>IF(AND(H3859="TO CLOSE",P3859=0),-G3859*(M3859-R3858)*IF(E3859="FUTURE",VLOOKUP(MID(I3859,2,2),Futures!$A$2:$B$12,2),1),"")</f>
        <v>-380.00000000000256</v>
      </c>
    </row>
    <row r="3860" spans="1:19" x14ac:dyDescent="0.2">
      <c r="A3860">
        <f t="shared" si="192"/>
        <v>1273</v>
      </c>
      <c r="B3860" s="3">
        <v>44231</v>
      </c>
      <c r="C3860" s="3" t="str">
        <f t="shared" si="194"/>
        <v>Thursday</v>
      </c>
      <c r="D3860" s="2">
        <v>0.40688657407407408</v>
      </c>
      <c r="E3860" t="s">
        <v>14</v>
      </c>
      <c r="F3860" t="s">
        <v>15</v>
      </c>
      <c r="G3860">
        <v>-1</v>
      </c>
      <c r="H3860" t="s">
        <v>20</v>
      </c>
      <c r="I3860" t="s">
        <v>89</v>
      </c>
      <c r="J3860" s="1">
        <v>44276</v>
      </c>
      <c r="L3860" t="s">
        <v>14</v>
      </c>
      <c r="M3860">
        <v>3833</v>
      </c>
      <c r="N3860">
        <v>3833</v>
      </c>
      <c r="O3860" t="s">
        <v>21</v>
      </c>
      <c r="P3860">
        <f t="shared" si="193"/>
        <v>-1</v>
      </c>
      <c r="Q3860" s="11">
        <f>IF(P3860=0,0,IFERROR(Q3859+G3860*M3860*IF(E3860="FUTURE",VLOOKUP(MID(I3860,2,2),Futures!$A$2:$B$12,2),1),G3860*M3860*IF(E3860="FUTURE",VLOOKUP(MID(I3860,2,2),Futures!$A$2:$B$12,2),1)))</f>
        <v>-191650</v>
      </c>
      <c r="R3860" s="12">
        <f>IFERROR(Q3860/P3860/IF(E3860="FUTURE",VLOOKUP(MID(I3860,2,2),Futures!$A$2:$B$12,2),1),"")</f>
        <v>3833</v>
      </c>
      <c r="S3860" s="13" t="str">
        <f>IF(AND(H3860="TO CLOSE",P3860=0),-G3860*(M3860-R3859)*IF(E3860="FUTURE",VLOOKUP(MID(I3860,2,2),Futures!$A$2:$B$12,2),1),"")</f>
        <v/>
      </c>
    </row>
    <row r="3861" spans="1:19" x14ac:dyDescent="0.2">
      <c r="A3861">
        <f t="shared" si="192"/>
        <v>1273</v>
      </c>
      <c r="B3861" s="3">
        <v>44231</v>
      </c>
      <c r="C3861" s="3" t="str">
        <f t="shared" si="194"/>
        <v>Thursday</v>
      </c>
      <c r="D3861" s="2">
        <v>0.67082175925925924</v>
      </c>
      <c r="E3861" t="s">
        <v>14</v>
      </c>
      <c r="F3861" t="s">
        <v>19</v>
      </c>
      <c r="G3861">
        <v>1</v>
      </c>
      <c r="H3861" t="s">
        <v>16</v>
      </c>
      <c r="I3861" t="s">
        <v>89</v>
      </c>
      <c r="J3861" s="1">
        <v>44276</v>
      </c>
      <c r="L3861" t="s">
        <v>14</v>
      </c>
      <c r="M3861">
        <v>3866.75</v>
      </c>
      <c r="N3861">
        <v>3866.75</v>
      </c>
      <c r="O3861" t="s">
        <v>24</v>
      </c>
      <c r="P3861">
        <f t="shared" si="193"/>
        <v>0</v>
      </c>
      <c r="Q3861" s="11">
        <f>IF(P3861=0,0,IFERROR(Q3860+G3861*M3861*IF(E3861="FUTURE",VLOOKUP(MID(I3861,2,2),Futures!$A$2:$B$12,2),1),G3861*M3861*IF(E3861="FUTURE",VLOOKUP(MID(I3861,2,2),Futures!$A$2:$B$12,2),1)))</f>
        <v>0</v>
      </c>
      <c r="R3861" s="12" t="str">
        <f>IFERROR(Q3861/P3861/IF(E3861="FUTURE",VLOOKUP(MID(I3861,2,2),Futures!$A$2:$B$12,2),1),"")</f>
        <v/>
      </c>
      <c r="S3861" s="13">
        <f>IF(AND(H3861="TO CLOSE",P3861=0),-G3861*(M3861-R3860)*IF(E3861="FUTURE",VLOOKUP(MID(I3861,2,2),Futures!$A$2:$B$12,2),1),"")</f>
        <v>-1687.5</v>
      </c>
    </row>
    <row r="3862" spans="1:19" x14ac:dyDescent="0.2">
      <c r="A3862">
        <f t="shared" si="192"/>
        <v>1274</v>
      </c>
      <c r="B3862" s="3">
        <v>44235</v>
      </c>
      <c r="C3862" s="3" t="str">
        <f t="shared" ref="C3862:C3893" si="195">IF(WEEKDAY(B3862,2)=1,"Monday",IF(WEEKDAY(B3862,2)=2,"Tuesday",IF(WEEKDAY(B3862,2)=3,"Wednesday",IF(WEEKDAY(B3862,2)=4,"Thursday",IF(WEEKDAY(B3862,2)=5,"Friday","Sunday")))))</f>
        <v>Monday</v>
      </c>
      <c r="D3862" s="2">
        <v>0.36327546296296293</v>
      </c>
      <c r="E3862" t="s">
        <v>14</v>
      </c>
      <c r="F3862" t="s">
        <v>15</v>
      </c>
      <c r="G3862">
        <v>-1</v>
      </c>
      <c r="H3862" t="s">
        <v>20</v>
      </c>
      <c r="I3862" t="s">
        <v>97</v>
      </c>
      <c r="J3862" s="1">
        <v>44276</v>
      </c>
      <c r="L3862" t="s">
        <v>14</v>
      </c>
      <c r="M3862">
        <v>57.56</v>
      </c>
      <c r="N3862">
        <v>57.56</v>
      </c>
      <c r="O3862" t="s">
        <v>21</v>
      </c>
      <c r="P3862">
        <f t="shared" si="193"/>
        <v>-1</v>
      </c>
      <c r="Q3862" s="11">
        <f>IF(P3862=0,0,IFERROR(Q3861+G3862*M3862*IF(E3862="FUTURE",VLOOKUP(MID(I3862,2,2),Futures!$A$2:$B$12,2),1),G3862*M3862*IF(E3862="FUTURE",VLOOKUP(MID(I3862,2,2),Futures!$A$2:$B$12,2),1)))</f>
        <v>-57560</v>
      </c>
      <c r="R3862" s="12">
        <f>IFERROR(Q3862/P3862/IF(E3862="FUTURE",VLOOKUP(MID(I3862,2,2),Futures!$A$2:$B$12,2),1),"")</f>
        <v>57.56</v>
      </c>
      <c r="S3862" s="13" t="str">
        <f>IF(AND(H3862="TO CLOSE",P3862=0),-G3862*(M3862-R3861)*IF(E3862="FUTURE",VLOOKUP(MID(I3862,2,2),Futures!$A$2:$B$12,2),1),"")</f>
        <v/>
      </c>
    </row>
    <row r="3863" spans="1:19" x14ac:dyDescent="0.2">
      <c r="A3863">
        <f t="shared" si="192"/>
        <v>1274</v>
      </c>
      <c r="B3863" s="3">
        <v>44235</v>
      </c>
      <c r="C3863" s="3" t="str">
        <f t="shared" si="195"/>
        <v>Monday</v>
      </c>
      <c r="D3863" s="2">
        <v>0.39466435185185184</v>
      </c>
      <c r="E3863" t="s">
        <v>14</v>
      </c>
      <c r="F3863" t="s">
        <v>19</v>
      </c>
      <c r="G3863">
        <v>1</v>
      </c>
      <c r="H3863" t="s">
        <v>16</v>
      </c>
      <c r="I3863" t="s">
        <v>97</v>
      </c>
      <c r="J3863" s="1">
        <v>44276</v>
      </c>
      <c r="L3863" t="s">
        <v>14</v>
      </c>
      <c r="M3863">
        <v>57.36</v>
      </c>
      <c r="N3863">
        <v>57.36</v>
      </c>
      <c r="O3863" t="s">
        <v>21</v>
      </c>
      <c r="P3863">
        <f t="shared" si="193"/>
        <v>0</v>
      </c>
      <c r="Q3863" s="11">
        <f>IF(P3863=0,0,IFERROR(Q3862+G3863*M3863*IF(E3863="FUTURE",VLOOKUP(MID(I3863,2,2),Futures!$A$2:$B$12,2),1),G3863*M3863*IF(E3863="FUTURE",VLOOKUP(MID(I3863,2,2),Futures!$A$2:$B$12,2),1)))</f>
        <v>0</v>
      </c>
      <c r="R3863" s="12" t="str">
        <f>IFERROR(Q3863/P3863/IF(E3863="FUTURE",VLOOKUP(MID(I3863,2,2),Futures!$A$2:$B$12,2),1),"")</f>
        <v/>
      </c>
      <c r="S3863" s="13">
        <f>IF(AND(H3863="TO CLOSE",P3863=0),-G3863*(M3863-R3862)*IF(E3863="FUTURE",VLOOKUP(MID(I3863,2,2),Futures!$A$2:$B$12,2),1),"")</f>
        <v>200.00000000000284</v>
      </c>
    </row>
    <row r="3864" spans="1:19" x14ac:dyDescent="0.2">
      <c r="A3864">
        <f t="shared" si="192"/>
        <v>1275</v>
      </c>
      <c r="B3864" s="3">
        <v>44235</v>
      </c>
      <c r="C3864" s="3" t="str">
        <f t="shared" si="195"/>
        <v>Monday</v>
      </c>
      <c r="D3864" s="2">
        <v>0.41678240740740741</v>
      </c>
      <c r="E3864" t="s">
        <v>14</v>
      </c>
      <c r="F3864" t="s">
        <v>15</v>
      </c>
      <c r="G3864">
        <v>-1</v>
      </c>
      <c r="H3864" t="s">
        <v>20</v>
      </c>
      <c r="I3864" t="s">
        <v>97</v>
      </c>
      <c r="J3864" s="1">
        <v>44276</v>
      </c>
      <c r="L3864" t="s">
        <v>14</v>
      </c>
      <c r="M3864">
        <v>57.7</v>
      </c>
      <c r="N3864">
        <v>57.7</v>
      </c>
      <c r="O3864" t="s">
        <v>21</v>
      </c>
      <c r="P3864">
        <f t="shared" si="193"/>
        <v>-1</v>
      </c>
      <c r="Q3864" s="11">
        <f>IF(P3864=0,0,IFERROR(Q3863+G3864*M3864*IF(E3864="FUTURE",VLOOKUP(MID(I3864,2,2),Futures!$A$2:$B$12,2),1),G3864*M3864*IF(E3864="FUTURE",VLOOKUP(MID(I3864,2,2),Futures!$A$2:$B$12,2),1)))</f>
        <v>-57700</v>
      </c>
      <c r="R3864" s="12">
        <f>IFERROR(Q3864/P3864/IF(E3864="FUTURE",VLOOKUP(MID(I3864,2,2),Futures!$A$2:$B$12,2),1),"")</f>
        <v>57.7</v>
      </c>
      <c r="S3864" s="13" t="str">
        <f>IF(AND(H3864="TO CLOSE",P3864=0),-G3864*(M3864-R3863)*IF(E3864="FUTURE",VLOOKUP(MID(I3864,2,2),Futures!$A$2:$B$12,2),1),"")</f>
        <v/>
      </c>
    </row>
    <row r="3865" spans="1:19" x14ac:dyDescent="0.2">
      <c r="A3865">
        <f t="shared" si="192"/>
        <v>1275</v>
      </c>
      <c r="B3865" s="3">
        <v>44235</v>
      </c>
      <c r="C3865" s="3" t="str">
        <f t="shared" si="195"/>
        <v>Monday</v>
      </c>
      <c r="D3865" s="2">
        <v>0.43122685185185183</v>
      </c>
      <c r="E3865" t="s">
        <v>14</v>
      </c>
      <c r="F3865" t="s">
        <v>15</v>
      </c>
      <c r="G3865">
        <v>-1</v>
      </c>
      <c r="H3865" t="s">
        <v>20</v>
      </c>
      <c r="I3865" t="s">
        <v>97</v>
      </c>
      <c r="J3865" s="1">
        <v>44276</v>
      </c>
      <c r="L3865" t="s">
        <v>14</v>
      </c>
      <c r="M3865">
        <v>57.82</v>
      </c>
      <c r="N3865">
        <v>57.82</v>
      </c>
      <c r="O3865" t="s">
        <v>21</v>
      </c>
      <c r="P3865">
        <f t="shared" si="193"/>
        <v>-2</v>
      </c>
      <c r="Q3865" s="11">
        <f>IF(P3865=0,0,IFERROR(Q3864+G3865*M3865*IF(E3865="FUTURE",VLOOKUP(MID(I3865,2,2),Futures!$A$2:$B$12,2),1),G3865*M3865*IF(E3865="FUTURE",VLOOKUP(MID(I3865,2,2),Futures!$A$2:$B$12,2),1)))</f>
        <v>-115520</v>
      </c>
      <c r="R3865" s="12">
        <f>IFERROR(Q3865/P3865/IF(E3865="FUTURE",VLOOKUP(MID(I3865,2,2),Futures!$A$2:$B$12,2),1),"")</f>
        <v>57.76</v>
      </c>
      <c r="S3865" s="13" t="str">
        <f>IF(AND(H3865="TO CLOSE",P3865=0),-G3865*(M3865-R3864)*IF(E3865="FUTURE",VLOOKUP(MID(I3865,2,2),Futures!$A$2:$B$12,2),1),"")</f>
        <v/>
      </c>
    </row>
    <row r="3866" spans="1:19" x14ac:dyDescent="0.2">
      <c r="A3866">
        <f t="shared" si="192"/>
        <v>1275</v>
      </c>
      <c r="B3866" s="3">
        <v>44235</v>
      </c>
      <c r="C3866" s="3" t="str">
        <f t="shared" si="195"/>
        <v>Monday</v>
      </c>
      <c r="D3866" s="2">
        <v>0.45624999999999999</v>
      </c>
      <c r="E3866" t="s">
        <v>14</v>
      </c>
      <c r="F3866" t="s">
        <v>19</v>
      </c>
      <c r="G3866">
        <v>1</v>
      </c>
      <c r="H3866" t="s">
        <v>16</v>
      </c>
      <c r="I3866" t="s">
        <v>97</v>
      </c>
      <c r="J3866" s="1">
        <v>44276</v>
      </c>
      <c r="L3866" t="s">
        <v>14</v>
      </c>
      <c r="M3866">
        <v>57.73</v>
      </c>
      <c r="N3866">
        <v>57.73</v>
      </c>
      <c r="O3866" t="s">
        <v>21</v>
      </c>
      <c r="P3866">
        <f t="shared" si="193"/>
        <v>-1</v>
      </c>
      <c r="Q3866" s="11">
        <f>IF(P3866=0,0,IFERROR(Q3865+G3866*M3866*IF(E3866="FUTURE",VLOOKUP(MID(I3866,2,2),Futures!$A$2:$B$12,2),1),G3866*M3866*IF(E3866="FUTURE",VLOOKUP(MID(I3866,2,2),Futures!$A$2:$B$12,2),1)))</f>
        <v>-57790</v>
      </c>
      <c r="R3866" s="12">
        <f>IFERROR(Q3866/P3866/IF(E3866="FUTURE",VLOOKUP(MID(I3866,2,2),Futures!$A$2:$B$12,2),1),"")</f>
        <v>57.79</v>
      </c>
      <c r="S3866" s="13" t="str">
        <f>IF(AND(H3866="TO CLOSE",P3866=0),-G3866*(M3866-R3865)*IF(E3866="FUTURE",VLOOKUP(MID(I3866,2,2),Futures!$A$2:$B$12,2),1),"")</f>
        <v/>
      </c>
    </row>
    <row r="3867" spans="1:19" x14ac:dyDescent="0.2">
      <c r="A3867">
        <f t="shared" si="192"/>
        <v>1275</v>
      </c>
      <c r="B3867" s="3">
        <v>44235</v>
      </c>
      <c r="C3867" s="3" t="str">
        <f t="shared" si="195"/>
        <v>Monday</v>
      </c>
      <c r="D3867" s="2">
        <v>0.47008101851851852</v>
      </c>
      <c r="E3867" t="s">
        <v>14</v>
      </c>
      <c r="F3867" t="s">
        <v>19</v>
      </c>
      <c r="G3867">
        <v>1</v>
      </c>
      <c r="H3867" t="s">
        <v>16</v>
      </c>
      <c r="I3867" t="s">
        <v>97</v>
      </c>
      <c r="J3867" s="1">
        <v>44276</v>
      </c>
      <c r="L3867" t="s">
        <v>14</v>
      </c>
      <c r="M3867">
        <v>57.67</v>
      </c>
      <c r="N3867">
        <v>57.67</v>
      </c>
      <c r="O3867" t="s">
        <v>21</v>
      </c>
      <c r="P3867">
        <f t="shared" si="193"/>
        <v>0</v>
      </c>
      <c r="Q3867" s="11">
        <f>IF(P3867=0,0,IFERROR(Q3866+G3867*M3867*IF(E3867="FUTURE",VLOOKUP(MID(I3867,2,2),Futures!$A$2:$B$12,2),1),G3867*M3867*IF(E3867="FUTURE",VLOOKUP(MID(I3867,2,2),Futures!$A$2:$B$12,2),1)))</f>
        <v>0</v>
      </c>
      <c r="R3867" s="12" t="str">
        <f>IFERROR(Q3867/P3867/IF(E3867="FUTURE",VLOOKUP(MID(I3867,2,2),Futures!$A$2:$B$12,2),1),"")</f>
        <v/>
      </c>
      <c r="S3867" s="13">
        <f>IF(AND(H3867="TO CLOSE",P3867=0),-G3867*(M3867-R3866)*IF(E3867="FUTURE",VLOOKUP(MID(I3867,2,2),Futures!$A$2:$B$12,2),1),"")</f>
        <v>119.99999999999744</v>
      </c>
    </row>
    <row r="3868" spans="1:19" x14ac:dyDescent="0.2">
      <c r="A3868">
        <f t="shared" si="192"/>
        <v>1276</v>
      </c>
      <c r="B3868" s="3">
        <v>44235</v>
      </c>
      <c r="C3868" s="3" t="str">
        <f t="shared" si="195"/>
        <v>Monday</v>
      </c>
      <c r="D3868" s="2">
        <v>0.39378472222222222</v>
      </c>
      <c r="E3868" t="s">
        <v>14</v>
      </c>
      <c r="F3868" t="s">
        <v>19</v>
      </c>
      <c r="G3868">
        <v>1</v>
      </c>
      <c r="H3868" t="s">
        <v>20</v>
      </c>
      <c r="I3868" t="s">
        <v>89</v>
      </c>
      <c r="J3868" s="1">
        <v>44276</v>
      </c>
      <c r="L3868" t="s">
        <v>14</v>
      </c>
      <c r="M3868">
        <v>3897</v>
      </c>
      <c r="N3868">
        <v>3897</v>
      </c>
      <c r="O3868" t="s">
        <v>21</v>
      </c>
      <c r="P3868">
        <f t="shared" si="193"/>
        <v>1</v>
      </c>
      <c r="Q3868" s="11">
        <f>IF(P3868=0,0,IFERROR(Q3867+G3868*M3868*IF(E3868="FUTURE",VLOOKUP(MID(I3868,2,2),Futures!$A$2:$B$12,2),1),G3868*M3868*IF(E3868="FUTURE",VLOOKUP(MID(I3868,2,2),Futures!$A$2:$B$12,2),1)))</f>
        <v>194850</v>
      </c>
      <c r="R3868" s="12">
        <f>IFERROR(Q3868/P3868/IF(E3868="FUTURE",VLOOKUP(MID(I3868,2,2),Futures!$A$2:$B$12,2),1),"")</f>
        <v>3897</v>
      </c>
      <c r="S3868" s="13" t="str">
        <f>IF(AND(H3868="TO CLOSE",P3868=0),-G3868*(M3868-R3867)*IF(E3868="FUTURE",VLOOKUP(MID(I3868,2,2),Futures!$A$2:$B$12,2),1),"")</f>
        <v/>
      </c>
    </row>
    <row r="3869" spans="1:19" x14ac:dyDescent="0.2">
      <c r="A3869">
        <f t="shared" si="192"/>
        <v>1276</v>
      </c>
      <c r="B3869" s="3">
        <v>44235</v>
      </c>
      <c r="C3869" s="3" t="str">
        <f t="shared" si="195"/>
        <v>Monday</v>
      </c>
      <c r="D3869" s="2">
        <v>0.40994212962962967</v>
      </c>
      <c r="E3869" t="s">
        <v>14</v>
      </c>
      <c r="F3869" t="s">
        <v>15</v>
      </c>
      <c r="G3869">
        <v>-1</v>
      </c>
      <c r="H3869" t="s">
        <v>16</v>
      </c>
      <c r="I3869" t="s">
        <v>89</v>
      </c>
      <c r="J3869" s="1">
        <v>44276</v>
      </c>
      <c r="L3869" t="s">
        <v>14</v>
      </c>
      <c r="M3869">
        <v>3901</v>
      </c>
      <c r="N3869">
        <v>3901</v>
      </c>
      <c r="O3869" t="s">
        <v>21</v>
      </c>
      <c r="P3869">
        <f t="shared" si="193"/>
        <v>0</v>
      </c>
      <c r="Q3869" s="11">
        <f>IF(P3869=0,0,IFERROR(Q3868+G3869*M3869*IF(E3869="FUTURE",VLOOKUP(MID(I3869,2,2),Futures!$A$2:$B$12,2),1),G3869*M3869*IF(E3869="FUTURE",VLOOKUP(MID(I3869,2,2),Futures!$A$2:$B$12,2),1)))</f>
        <v>0</v>
      </c>
      <c r="R3869" s="12" t="str">
        <f>IFERROR(Q3869/P3869/IF(E3869="FUTURE",VLOOKUP(MID(I3869,2,2),Futures!$A$2:$B$12,2),1),"")</f>
        <v/>
      </c>
      <c r="S3869" s="13">
        <f>IF(AND(H3869="TO CLOSE",P3869=0),-G3869*(M3869-R3868)*IF(E3869="FUTURE",VLOOKUP(MID(I3869,2,2),Futures!$A$2:$B$12,2),1),"")</f>
        <v>200</v>
      </c>
    </row>
    <row r="3870" spans="1:19" x14ac:dyDescent="0.2">
      <c r="A3870">
        <f t="shared" si="192"/>
        <v>1277</v>
      </c>
      <c r="B3870" s="3">
        <v>44236</v>
      </c>
      <c r="C3870" s="3" t="str">
        <f t="shared" si="195"/>
        <v>Tuesday</v>
      </c>
      <c r="D3870" s="2">
        <v>0.40675925925925926</v>
      </c>
      <c r="E3870" t="s">
        <v>14</v>
      </c>
      <c r="F3870" t="s">
        <v>19</v>
      </c>
      <c r="G3870">
        <v>1</v>
      </c>
      <c r="H3870" t="s">
        <v>20</v>
      </c>
      <c r="I3870" t="s">
        <v>97</v>
      </c>
      <c r="J3870" s="1">
        <v>44276</v>
      </c>
      <c r="L3870" t="s">
        <v>14</v>
      </c>
      <c r="M3870">
        <v>57.56</v>
      </c>
      <c r="N3870">
        <v>57.56</v>
      </c>
      <c r="O3870" t="s">
        <v>21</v>
      </c>
      <c r="P3870">
        <f t="shared" si="193"/>
        <v>1</v>
      </c>
      <c r="Q3870" s="11">
        <f>IF(P3870=0,0,IFERROR(Q3869+G3870*M3870*IF(E3870="FUTURE",VLOOKUP(MID(I3870,2,2),Futures!$A$2:$B$12,2),1),G3870*M3870*IF(E3870="FUTURE",VLOOKUP(MID(I3870,2,2),Futures!$A$2:$B$12,2),1)))</f>
        <v>57560</v>
      </c>
      <c r="R3870" s="12">
        <f>IFERROR(Q3870/P3870/IF(E3870="FUTURE",VLOOKUP(MID(I3870,2,2),Futures!$A$2:$B$12,2),1),"")</f>
        <v>57.56</v>
      </c>
      <c r="S3870" s="13" t="str">
        <f>IF(AND(H3870="TO CLOSE",P3870=0),-G3870*(M3870-R3869)*IF(E3870="FUTURE",VLOOKUP(MID(I3870,2,2),Futures!$A$2:$B$12,2),1),"")</f>
        <v/>
      </c>
    </row>
    <row r="3871" spans="1:19" x14ac:dyDescent="0.2">
      <c r="A3871">
        <f t="shared" si="192"/>
        <v>1277</v>
      </c>
      <c r="B3871" s="3">
        <v>44236</v>
      </c>
      <c r="C3871" s="3" t="str">
        <f t="shared" si="195"/>
        <v>Tuesday</v>
      </c>
      <c r="D3871" s="2">
        <v>0.40762731481481485</v>
      </c>
      <c r="E3871" t="s">
        <v>14</v>
      </c>
      <c r="F3871" t="s">
        <v>15</v>
      </c>
      <c r="G3871">
        <v>-1</v>
      </c>
      <c r="H3871" t="s">
        <v>16</v>
      </c>
      <c r="I3871" t="s">
        <v>97</v>
      </c>
      <c r="J3871" s="1">
        <v>44276</v>
      </c>
      <c r="L3871" t="s">
        <v>14</v>
      </c>
      <c r="M3871">
        <v>57.72</v>
      </c>
      <c r="N3871">
        <v>57.72</v>
      </c>
      <c r="O3871" t="s">
        <v>21</v>
      </c>
      <c r="P3871">
        <f t="shared" si="193"/>
        <v>0</v>
      </c>
      <c r="Q3871" s="11">
        <f>IF(P3871=0,0,IFERROR(Q3870+G3871*M3871*IF(E3871="FUTURE",VLOOKUP(MID(I3871,2,2),Futures!$A$2:$B$12,2),1),G3871*M3871*IF(E3871="FUTURE",VLOOKUP(MID(I3871,2,2),Futures!$A$2:$B$12,2),1)))</f>
        <v>0</v>
      </c>
      <c r="R3871" s="12" t="str">
        <f>IFERROR(Q3871/P3871/IF(E3871="FUTURE",VLOOKUP(MID(I3871,2,2),Futures!$A$2:$B$12,2),1),"")</f>
        <v/>
      </c>
      <c r="S3871" s="13">
        <f>IF(AND(H3871="TO CLOSE",P3871=0),-G3871*(M3871-R3870)*IF(E3871="FUTURE",VLOOKUP(MID(I3871,2,2),Futures!$A$2:$B$12,2),1),"")</f>
        <v>159.99999999999659</v>
      </c>
    </row>
    <row r="3872" spans="1:19" x14ac:dyDescent="0.2">
      <c r="A3872">
        <f t="shared" si="192"/>
        <v>1278</v>
      </c>
      <c r="B3872" s="3">
        <v>44236</v>
      </c>
      <c r="C3872" s="3" t="str">
        <f t="shared" si="195"/>
        <v>Tuesday</v>
      </c>
      <c r="D3872" s="2">
        <v>0.5214699074074074</v>
      </c>
      <c r="E3872" t="s">
        <v>14</v>
      </c>
      <c r="F3872" t="s">
        <v>15</v>
      </c>
      <c r="G3872">
        <v>-1</v>
      </c>
      <c r="H3872" t="s">
        <v>20</v>
      </c>
      <c r="I3872" t="s">
        <v>97</v>
      </c>
      <c r="J3872" s="1">
        <v>44276</v>
      </c>
      <c r="L3872" t="s">
        <v>14</v>
      </c>
      <c r="M3872">
        <v>58.34</v>
      </c>
      <c r="N3872">
        <v>58.34</v>
      </c>
      <c r="O3872" t="s">
        <v>21</v>
      </c>
      <c r="P3872">
        <f t="shared" si="193"/>
        <v>-1</v>
      </c>
      <c r="Q3872" s="11">
        <f>IF(P3872=0,0,IFERROR(Q3871+G3872*M3872*IF(E3872="FUTURE",VLOOKUP(MID(I3872,2,2),Futures!$A$2:$B$12,2),1),G3872*M3872*IF(E3872="FUTURE",VLOOKUP(MID(I3872,2,2),Futures!$A$2:$B$12,2),1)))</f>
        <v>-58340</v>
      </c>
      <c r="R3872" s="12">
        <f>IFERROR(Q3872/P3872/IF(E3872="FUTURE",VLOOKUP(MID(I3872,2,2),Futures!$A$2:$B$12,2),1),"")</f>
        <v>58.34</v>
      </c>
      <c r="S3872" s="13" t="str">
        <f>IF(AND(H3872="TO CLOSE",P3872=0),-G3872*(M3872-R3871)*IF(E3872="FUTURE",VLOOKUP(MID(I3872,2,2),Futures!$A$2:$B$12,2),1),"")</f>
        <v/>
      </c>
    </row>
    <row r="3873" spans="1:19" x14ac:dyDescent="0.2">
      <c r="A3873">
        <f t="shared" si="192"/>
        <v>1278</v>
      </c>
      <c r="B3873" s="3">
        <v>44236</v>
      </c>
      <c r="C3873" s="3" t="str">
        <f t="shared" si="195"/>
        <v>Tuesday</v>
      </c>
      <c r="D3873" s="2">
        <v>0.54431712962962964</v>
      </c>
      <c r="E3873" t="s">
        <v>14</v>
      </c>
      <c r="F3873" t="s">
        <v>19</v>
      </c>
      <c r="G3873">
        <v>1</v>
      </c>
      <c r="H3873" t="s">
        <v>16</v>
      </c>
      <c r="I3873" t="s">
        <v>97</v>
      </c>
      <c r="J3873" s="1">
        <v>44276</v>
      </c>
      <c r="L3873" t="s">
        <v>14</v>
      </c>
      <c r="M3873">
        <v>58.28</v>
      </c>
      <c r="N3873">
        <v>58.28</v>
      </c>
      <c r="O3873" t="s">
        <v>21</v>
      </c>
      <c r="P3873">
        <f t="shared" si="193"/>
        <v>0</v>
      </c>
      <c r="Q3873" s="11">
        <f>IF(P3873=0,0,IFERROR(Q3872+G3873*M3873*IF(E3873="FUTURE",VLOOKUP(MID(I3873,2,2),Futures!$A$2:$B$12,2),1),G3873*M3873*IF(E3873="FUTURE",VLOOKUP(MID(I3873,2,2),Futures!$A$2:$B$12,2),1)))</f>
        <v>0</v>
      </c>
      <c r="R3873" s="12" t="str">
        <f>IFERROR(Q3873/P3873/IF(E3873="FUTURE",VLOOKUP(MID(I3873,2,2),Futures!$A$2:$B$12,2),1),"")</f>
        <v/>
      </c>
      <c r="S3873" s="13">
        <f>IF(AND(H3873="TO CLOSE",P3873=0),-G3873*(M3873-R3872)*IF(E3873="FUTURE",VLOOKUP(MID(I3873,2,2),Futures!$A$2:$B$12,2),1),"")</f>
        <v>60.000000000002274</v>
      </c>
    </row>
    <row r="3874" spans="1:19" x14ac:dyDescent="0.2">
      <c r="A3874">
        <f t="shared" si="192"/>
        <v>1279</v>
      </c>
      <c r="B3874" s="3">
        <v>44236</v>
      </c>
      <c r="C3874" s="3" t="str">
        <f t="shared" si="195"/>
        <v>Tuesday</v>
      </c>
      <c r="D3874" s="2">
        <v>0.40421296296296294</v>
      </c>
      <c r="E3874" t="s">
        <v>14</v>
      </c>
      <c r="F3874" t="s">
        <v>15</v>
      </c>
      <c r="G3874">
        <v>-1</v>
      </c>
      <c r="H3874" t="s">
        <v>20</v>
      </c>
      <c r="I3874" t="s">
        <v>89</v>
      </c>
      <c r="J3874" s="1">
        <v>44276</v>
      </c>
      <c r="L3874" t="s">
        <v>14</v>
      </c>
      <c r="M3874">
        <v>3897</v>
      </c>
      <c r="N3874">
        <v>3897</v>
      </c>
      <c r="O3874" t="s">
        <v>21</v>
      </c>
      <c r="P3874">
        <f t="shared" si="193"/>
        <v>-1</v>
      </c>
      <c r="Q3874" s="11">
        <f>IF(P3874=0,0,IFERROR(Q3873+G3874*M3874*IF(E3874="FUTURE",VLOOKUP(MID(I3874,2,2),Futures!$A$2:$B$12,2),1),G3874*M3874*IF(E3874="FUTURE",VLOOKUP(MID(I3874,2,2),Futures!$A$2:$B$12,2),1)))</f>
        <v>-194850</v>
      </c>
      <c r="R3874" s="12">
        <f>IFERROR(Q3874/P3874/IF(E3874="FUTURE",VLOOKUP(MID(I3874,2,2),Futures!$A$2:$B$12,2),1),"")</f>
        <v>3897</v>
      </c>
      <c r="S3874" s="13" t="str">
        <f>IF(AND(H3874="TO CLOSE",P3874=0),-G3874*(M3874-R3873)*IF(E3874="FUTURE",VLOOKUP(MID(I3874,2,2),Futures!$A$2:$B$12,2),1),"")</f>
        <v/>
      </c>
    </row>
    <row r="3875" spans="1:19" x14ac:dyDescent="0.2">
      <c r="A3875">
        <f t="shared" si="192"/>
        <v>1279</v>
      </c>
      <c r="B3875" s="3">
        <v>44236</v>
      </c>
      <c r="C3875" s="3" t="str">
        <f t="shared" si="195"/>
        <v>Tuesday</v>
      </c>
      <c r="D3875" s="2">
        <v>0.6416087962962963</v>
      </c>
      <c r="E3875" t="s">
        <v>14</v>
      </c>
      <c r="F3875" t="s">
        <v>19</v>
      </c>
      <c r="G3875">
        <v>1</v>
      </c>
      <c r="H3875" t="s">
        <v>16</v>
      </c>
      <c r="I3875" t="s">
        <v>89</v>
      </c>
      <c r="J3875" s="1">
        <v>44276</v>
      </c>
      <c r="L3875" t="s">
        <v>14</v>
      </c>
      <c r="M3875">
        <v>3908.5</v>
      </c>
      <c r="N3875">
        <v>3908.5</v>
      </c>
      <c r="O3875" t="s">
        <v>21</v>
      </c>
      <c r="P3875">
        <f t="shared" si="193"/>
        <v>0</v>
      </c>
      <c r="Q3875" s="11">
        <f>IF(P3875=0,0,IFERROR(Q3874+G3875*M3875*IF(E3875="FUTURE",VLOOKUP(MID(I3875,2,2),Futures!$A$2:$B$12,2),1),G3875*M3875*IF(E3875="FUTURE",VLOOKUP(MID(I3875,2,2),Futures!$A$2:$B$12,2),1)))</f>
        <v>0</v>
      </c>
      <c r="R3875" s="12" t="str">
        <f>IFERROR(Q3875/P3875/IF(E3875="FUTURE",VLOOKUP(MID(I3875,2,2),Futures!$A$2:$B$12,2),1),"")</f>
        <v/>
      </c>
      <c r="S3875" s="13">
        <f>IF(AND(H3875="TO CLOSE",P3875=0),-G3875*(M3875-R3874)*IF(E3875="FUTURE",VLOOKUP(MID(I3875,2,2),Futures!$A$2:$B$12,2),1),"")</f>
        <v>-575</v>
      </c>
    </row>
    <row r="3876" spans="1:19" x14ac:dyDescent="0.2">
      <c r="A3876">
        <f t="shared" si="192"/>
        <v>1280</v>
      </c>
      <c r="B3876" s="3">
        <v>44237</v>
      </c>
      <c r="C3876" s="3" t="str">
        <f t="shared" si="195"/>
        <v>Wednesday</v>
      </c>
      <c r="D3876" s="2">
        <v>0.37506944444444446</v>
      </c>
      <c r="E3876" t="s">
        <v>14</v>
      </c>
      <c r="F3876" t="s">
        <v>15</v>
      </c>
      <c r="G3876">
        <v>-1</v>
      </c>
      <c r="H3876" t="s">
        <v>20</v>
      </c>
      <c r="I3876" t="s">
        <v>97</v>
      </c>
      <c r="J3876" s="1">
        <v>44276</v>
      </c>
      <c r="L3876" t="s">
        <v>14</v>
      </c>
      <c r="M3876">
        <v>58.58</v>
      </c>
      <c r="N3876">
        <v>58.58</v>
      </c>
      <c r="O3876" t="s">
        <v>21</v>
      </c>
      <c r="P3876">
        <f t="shared" si="193"/>
        <v>-1</v>
      </c>
      <c r="Q3876" s="11">
        <f>IF(P3876=0,0,IFERROR(Q3875+G3876*M3876*IF(E3876="FUTURE",VLOOKUP(MID(I3876,2,2),Futures!$A$2:$B$12,2),1),G3876*M3876*IF(E3876="FUTURE",VLOOKUP(MID(I3876,2,2),Futures!$A$2:$B$12,2),1)))</f>
        <v>-58580</v>
      </c>
      <c r="R3876" s="12">
        <f>IFERROR(Q3876/P3876/IF(E3876="FUTURE",VLOOKUP(MID(I3876,2,2),Futures!$A$2:$B$12,2),1),"")</f>
        <v>58.58</v>
      </c>
      <c r="S3876" s="13" t="str">
        <f>IF(AND(H3876="TO CLOSE",P3876=0),-G3876*(M3876-R3875)*IF(E3876="FUTURE",VLOOKUP(MID(I3876,2,2),Futures!$A$2:$B$12,2),1),"")</f>
        <v/>
      </c>
    </row>
    <row r="3877" spans="1:19" x14ac:dyDescent="0.2">
      <c r="A3877">
        <f t="shared" si="192"/>
        <v>1280</v>
      </c>
      <c r="B3877" s="3">
        <v>44237</v>
      </c>
      <c r="C3877" s="3" t="str">
        <f t="shared" si="195"/>
        <v>Wednesday</v>
      </c>
      <c r="D3877" s="2">
        <v>0.37990740740740742</v>
      </c>
      <c r="E3877" t="s">
        <v>14</v>
      </c>
      <c r="F3877" t="s">
        <v>19</v>
      </c>
      <c r="G3877">
        <v>1</v>
      </c>
      <c r="H3877" t="s">
        <v>16</v>
      </c>
      <c r="I3877" t="s">
        <v>97</v>
      </c>
      <c r="J3877" s="1">
        <v>44276</v>
      </c>
      <c r="L3877" t="s">
        <v>14</v>
      </c>
      <c r="M3877">
        <v>58.46</v>
      </c>
      <c r="N3877">
        <v>58.46</v>
      </c>
      <c r="O3877" t="s">
        <v>21</v>
      </c>
      <c r="P3877">
        <f t="shared" si="193"/>
        <v>0</v>
      </c>
      <c r="Q3877" s="11">
        <f>IF(P3877=0,0,IFERROR(Q3876+G3877*M3877*IF(E3877="FUTURE",VLOOKUP(MID(I3877,2,2),Futures!$A$2:$B$12,2),1),G3877*M3877*IF(E3877="FUTURE",VLOOKUP(MID(I3877,2,2),Futures!$A$2:$B$12,2),1)))</f>
        <v>0</v>
      </c>
      <c r="R3877" s="12" t="str">
        <f>IFERROR(Q3877/P3877/IF(E3877="FUTURE",VLOOKUP(MID(I3877,2,2),Futures!$A$2:$B$12,2),1),"")</f>
        <v/>
      </c>
      <c r="S3877" s="13">
        <f>IF(AND(H3877="TO CLOSE",P3877=0),-G3877*(M3877-R3876)*IF(E3877="FUTURE",VLOOKUP(MID(I3877,2,2),Futures!$A$2:$B$12,2),1),"")</f>
        <v>119.99999999999744</v>
      </c>
    </row>
    <row r="3878" spans="1:19" x14ac:dyDescent="0.2">
      <c r="A3878">
        <f t="shared" si="192"/>
        <v>1281</v>
      </c>
      <c r="B3878" s="3">
        <v>44237</v>
      </c>
      <c r="C3878" s="3" t="str">
        <f t="shared" si="195"/>
        <v>Wednesday</v>
      </c>
      <c r="D3878" s="2">
        <v>0.39608796296296295</v>
      </c>
      <c r="E3878" t="s">
        <v>14</v>
      </c>
      <c r="F3878" t="s">
        <v>15</v>
      </c>
      <c r="G3878">
        <v>-1</v>
      </c>
      <c r="H3878" t="s">
        <v>20</v>
      </c>
      <c r="I3878" t="s">
        <v>97</v>
      </c>
      <c r="J3878" s="1">
        <v>44276</v>
      </c>
      <c r="L3878" t="s">
        <v>14</v>
      </c>
      <c r="M3878">
        <v>58.47</v>
      </c>
      <c r="N3878">
        <v>58.47</v>
      </c>
      <c r="O3878" t="s">
        <v>21</v>
      </c>
      <c r="P3878">
        <f t="shared" si="193"/>
        <v>-1</v>
      </c>
      <c r="Q3878" s="11">
        <f>IF(P3878=0,0,IFERROR(Q3877+G3878*M3878*IF(E3878="FUTURE",VLOOKUP(MID(I3878,2,2),Futures!$A$2:$B$12,2),1),G3878*M3878*IF(E3878="FUTURE",VLOOKUP(MID(I3878,2,2),Futures!$A$2:$B$12,2),1)))</f>
        <v>-58470</v>
      </c>
      <c r="R3878" s="12">
        <f>IFERROR(Q3878/P3878/IF(E3878="FUTURE",VLOOKUP(MID(I3878,2,2),Futures!$A$2:$B$12,2),1),"")</f>
        <v>58.47</v>
      </c>
      <c r="S3878" s="13" t="str">
        <f>IF(AND(H3878="TO CLOSE",P3878=0),-G3878*(M3878-R3877)*IF(E3878="FUTURE",VLOOKUP(MID(I3878,2,2),Futures!$A$2:$B$12,2),1),"")</f>
        <v/>
      </c>
    </row>
    <row r="3879" spans="1:19" x14ac:dyDescent="0.2">
      <c r="A3879">
        <f t="shared" si="192"/>
        <v>1281</v>
      </c>
      <c r="B3879" s="3">
        <v>44237</v>
      </c>
      <c r="C3879" s="3" t="str">
        <f t="shared" si="195"/>
        <v>Wednesday</v>
      </c>
      <c r="D3879" s="2">
        <v>0.39671296296296293</v>
      </c>
      <c r="E3879" t="s">
        <v>14</v>
      </c>
      <c r="F3879" t="s">
        <v>19</v>
      </c>
      <c r="G3879">
        <v>1</v>
      </c>
      <c r="H3879" t="s">
        <v>16</v>
      </c>
      <c r="I3879" t="s">
        <v>97</v>
      </c>
      <c r="J3879" s="1">
        <v>44276</v>
      </c>
      <c r="L3879" t="s">
        <v>14</v>
      </c>
      <c r="M3879">
        <v>58.41</v>
      </c>
      <c r="N3879">
        <v>58.41</v>
      </c>
      <c r="O3879" t="s">
        <v>21</v>
      </c>
      <c r="P3879">
        <f t="shared" si="193"/>
        <v>0</v>
      </c>
      <c r="Q3879" s="11">
        <f>IF(P3879=0,0,IFERROR(Q3878+G3879*M3879*IF(E3879="FUTURE",VLOOKUP(MID(I3879,2,2),Futures!$A$2:$B$12,2),1),G3879*M3879*IF(E3879="FUTURE",VLOOKUP(MID(I3879,2,2),Futures!$A$2:$B$12,2),1)))</f>
        <v>0</v>
      </c>
      <c r="R3879" s="12" t="str">
        <f>IFERROR(Q3879/P3879/IF(E3879="FUTURE",VLOOKUP(MID(I3879,2,2),Futures!$A$2:$B$12,2),1),"")</f>
        <v/>
      </c>
      <c r="S3879" s="13">
        <f>IF(AND(H3879="TO CLOSE",P3879=0),-G3879*(M3879-R3878)*IF(E3879="FUTURE",VLOOKUP(MID(I3879,2,2),Futures!$A$2:$B$12,2),1),"")</f>
        <v>60.000000000002274</v>
      </c>
    </row>
    <row r="3880" spans="1:19" x14ac:dyDescent="0.2">
      <c r="A3880">
        <f t="shared" si="192"/>
        <v>1282</v>
      </c>
      <c r="B3880" s="3">
        <v>44237</v>
      </c>
      <c r="C3880" s="3" t="str">
        <f t="shared" si="195"/>
        <v>Wednesday</v>
      </c>
      <c r="D3880" s="2">
        <v>0.43718750000000001</v>
      </c>
      <c r="E3880" t="s">
        <v>14</v>
      </c>
      <c r="F3880" t="s">
        <v>15</v>
      </c>
      <c r="G3880">
        <v>-1</v>
      </c>
      <c r="H3880" t="s">
        <v>20</v>
      </c>
      <c r="I3880" t="s">
        <v>97</v>
      </c>
      <c r="J3880" s="1">
        <v>44276</v>
      </c>
      <c r="L3880" t="s">
        <v>14</v>
      </c>
      <c r="M3880">
        <v>58.21</v>
      </c>
      <c r="N3880">
        <v>58.21</v>
      </c>
      <c r="O3880" t="s">
        <v>21</v>
      </c>
      <c r="P3880">
        <f t="shared" si="193"/>
        <v>-1</v>
      </c>
      <c r="Q3880" s="11">
        <f>IF(P3880=0,0,IFERROR(Q3879+G3880*M3880*IF(E3880="FUTURE",VLOOKUP(MID(I3880,2,2),Futures!$A$2:$B$12,2),1),G3880*M3880*IF(E3880="FUTURE",VLOOKUP(MID(I3880,2,2),Futures!$A$2:$B$12,2),1)))</f>
        <v>-58210</v>
      </c>
      <c r="R3880" s="12">
        <f>IFERROR(Q3880/P3880/IF(E3880="FUTURE",VLOOKUP(MID(I3880,2,2),Futures!$A$2:$B$12,2),1),"")</f>
        <v>58.21</v>
      </c>
      <c r="S3880" s="13" t="str">
        <f>IF(AND(H3880="TO CLOSE",P3880=0),-G3880*(M3880-R3879)*IF(E3880="FUTURE",VLOOKUP(MID(I3880,2,2),Futures!$A$2:$B$12,2),1),"")</f>
        <v/>
      </c>
    </row>
    <row r="3881" spans="1:19" x14ac:dyDescent="0.2">
      <c r="A3881">
        <f t="shared" si="192"/>
        <v>1282</v>
      </c>
      <c r="B3881" s="3">
        <v>44237</v>
      </c>
      <c r="C3881" s="3" t="str">
        <f t="shared" si="195"/>
        <v>Wednesday</v>
      </c>
      <c r="D3881" s="2">
        <v>0.4635185185185185</v>
      </c>
      <c r="E3881" t="s">
        <v>14</v>
      </c>
      <c r="F3881" t="s">
        <v>15</v>
      </c>
      <c r="G3881">
        <v>-1</v>
      </c>
      <c r="H3881" t="s">
        <v>20</v>
      </c>
      <c r="I3881" t="s">
        <v>97</v>
      </c>
      <c r="J3881" s="1">
        <v>44276</v>
      </c>
      <c r="L3881" t="s">
        <v>14</v>
      </c>
      <c r="M3881">
        <v>58.67</v>
      </c>
      <c r="N3881">
        <v>58.67</v>
      </c>
      <c r="O3881" t="s">
        <v>21</v>
      </c>
      <c r="P3881">
        <f t="shared" si="193"/>
        <v>-2</v>
      </c>
      <c r="Q3881" s="11">
        <f>IF(P3881=0,0,IFERROR(Q3880+G3881*M3881*IF(E3881="FUTURE",VLOOKUP(MID(I3881,2,2),Futures!$A$2:$B$12,2),1),G3881*M3881*IF(E3881="FUTURE",VLOOKUP(MID(I3881,2,2),Futures!$A$2:$B$12,2),1)))</f>
        <v>-116880</v>
      </c>
      <c r="R3881" s="12">
        <f>IFERROR(Q3881/P3881/IF(E3881="FUTURE",VLOOKUP(MID(I3881,2,2),Futures!$A$2:$B$12,2),1),"")</f>
        <v>58.44</v>
      </c>
      <c r="S3881" s="13" t="str">
        <f>IF(AND(H3881="TO CLOSE",P3881=0),-G3881*(M3881-R3880)*IF(E3881="FUTURE",VLOOKUP(MID(I3881,2,2),Futures!$A$2:$B$12,2),1),"")</f>
        <v/>
      </c>
    </row>
    <row r="3882" spans="1:19" x14ac:dyDescent="0.2">
      <c r="A3882">
        <f t="shared" si="192"/>
        <v>1282</v>
      </c>
      <c r="B3882" s="3">
        <v>44237</v>
      </c>
      <c r="C3882" s="3" t="str">
        <f t="shared" si="195"/>
        <v>Wednesday</v>
      </c>
      <c r="D3882" s="2">
        <v>0.4692013888888889</v>
      </c>
      <c r="E3882" t="s">
        <v>14</v>
      </c>
      <c r="F3882" t="s">
        <v>19</v>
      </c>
      <c r="G3882">
        <v>1</v>
      </c>
      <c r="H3882" t="s">
        <v>16</v>
      </c>
      <c r="I3882" t="s">
        <v>97</v>
      </c>
      <c r="J3882" s="1">
        <v>44276</v>
      </c>
      <c r="L3882" t="s">
        <v>14</v>
      </c>
      <c r="M3882">
        <v>58.64</v>
      </c>
      <c r="N3882">
        <v>58.64</v>
      </c>
      <c r="O3882" t="s">
        <v>21</v>
      </c>
      <c r="P3882">
        <f t="shared" si="193"/>
        <v>-1</v>
      </c>
      <c r="Q3882" s="11">
        <f>IF(P3882=0,0,IFERROR(Q3881+G3882*M3882*IF(E3882="FUTURE",VLOOKUP(MID(I3882,2,2),Futures!$A$2:$B$12,2),1),G3882*M3882*IF(E3882="FUTURE",VLOOKUP(MID(I3882,2,2),Futures!$A$2:$B$12,2),1)))</f>
        <v>-58240</v>
      </c>
      <c r="R3882" s="12">
        <f>IFERROR(Q3882/P3882/IF(E3882="FUTURE",VLOOKUP(MID(I3882,2,2),Futures!$A$2:$B$12,2),1),"")</f>
        <v>58.24</v>
      </c>
      <c r="S3882" s="13" t="str">
        <f>IF(AND(H3882="TO CLOSE",P3882=0),-G3882*(M3882-R3881)*IF(E3882="FUTURE",VLOOKUP(MID(I3882,2,2),Futures!$A$2:$B$12,2),1),"")</f>
        <v/>
      </c>
    </row>
    <row r="3883" spans="1:19" x14ac:dyDescent="0.2">
      <c r="A3883">
        <f t="shared" si="192"/>
        <v>1282</v>
      </c>
      <c r="B3883" s="3">
        <v>44237</v>
      </c>
      <c r="C3883" s="3" t="str">
        <f t="shared" si="195"/>
        <v>Wednesday</v>
      </c>
      <c r="D3883" s="2">
        <v>0.47939814814814818</v>
      </c>
      <c r="E3883" t="s">
        <v>14</v>
      </c>
      <c r="F3883" t="s">
        <v>15</v>
      </c>
      <c r="G3883">
        <v>-1</v>
      </c>
      <c r="H3883" t="s">
        <v>20</v>
      </c>
      <c r="I3883" t="s">
        <v>97</v>
      </c>
      <c r="J3883" s="1">
        <v>44276</v>
      </c>
      <c r="L3883" t="s">
        <v>14</v>
      </c>
      <c r="M3883">
        <v>58.76</v>
      </c>
      <c r="N3883">
        <v>58.76</v>
      </c>
      <c r="O3883" t="s">
        <v>21</v>
      </c>
      <c r="P3883">
        <f t="shared" si="193"/>
        <v>-2</v>
      </c>
      <c r="Q3883" s="11">
        <f>IF(P3883=0,0,IFERROR(Q3882+G3883*M3883*IF(E3883="FUTURE",VLOOKUP(MID(I3883,2,2),Futures!$A$2:$B$12,2),1),G3883*M3883*IF(E3883="FUTURE",VLOOKUP(MID(I3883,2,2),Futures!$A$2:$B$12,2),1)))</f>
        <v>-117000</v>
      </c>
      <c r="R3883" s="12">
        <f>IFERROR(Q3883/P3883/IF(E3883="FUTURE",VLOOKUP(MID(I3883,2,2),Futures!$A$2:$B$12,2),1),"")</f>
        <v>58.5</v>
      </c>
      <c r="S3883" s="13" t="str">
        <f>IF(AND(H3883="TO CLOSE",P3883=0),-G3883*(M3883-R3882)*IF(E3883="FUTURE",VLOOKUP(MID(I3883,2,2),Futures!$A$2:$B$12,2),1),"")</f>
        <v/>
      </c>
    </row>
    <row r="3884" spans="1:19" x14ac:dyDescent="0.2">
      <c r="A3884">
        <f t="shared" si="192"/>
        <v>1282</v>
      </c>
      <c r="B3884" s="3">
        <v>44237</v>
      </c>
      <c r="C3884" s="3" t="str">
        <f t="shared" si="195"/>
        <v>Wednesday</v>
      </c>
      <c r="D3884" s="2">
        <v>0.50256944444444451</v>
      </c>
      <c r="E3884" t="s">
        <v>14</v>
      </c>
      <c r="F3884" t="s">
        <v>19</v>
      </c>
      <c r="G3884">
        <v>1</v>
      </c>
      <c r="H3884" t="s">
        <v>16</v>
      </c>
      <c r="I3884" t="s">
        <v>97</v>
      </c>
      <c r="J3884" s="1">
        <v>44276</v>
      </c>
      <c r="L3884" t="s">
        <v>14</v>
      </c>
      <c r="M3884">
        <v>58.53</v>
      </c>
      <c r="N3884">
        <v>58.53</v>
      </c>
      <c r="O3884" t="s">
        <v>21</v>
      </c>
      <c r="P3884">
        <f t="shared" si="193"/>
        <v>-1</v>
      </c>
      <c r="Q3884" s="11">
        <f>IF(P3884=0,0,IFERROR(Q3883+G3884*M3884*IF(E3884="FUTURE",VLOOKUP(MID(I3884,2,2),Futures!$A$2:$B$12,2),1),G3884*M3884*IF(E3884="FUTURE",VLOOKUP(MID(I3884,2,2),Futures!$A$2:$B$12,2),1)))</f>
        <v>-58470</v>
      </c>
      <c r="R3884" s="12">
        <f>IFERROR(Q3884/P3884/IF(E3884="FUTURE",VLOOKUP(MID(I3884,2,2),Futures!$A$2:$B$12,2),1),"")</f>
        <v>58.47</v>
      </c>
      <c r="S3884" s="13" t="str">
        <f>IF(AND(H3884="TO CLOSE",P3884=0),-G3884*(M3884-R3883)*IF(E3884="FUTURE",VLOOKUP(MID(I3884,2,2),Futures!$A$2:$B$12,2),1),"")</f>
        <v/>
      </c>
    </row>
    <row r="3885" spans="1:19" x14ac:dyDescent="0.2">
      <c r="A3885">
        <f t="shared" si="192"/>
        <v>1282</v>
      </c>
      <c r="B3885" s="3">
        <v>44237</v>
      </c>
      <c r="C3885" s="3" t="str">
        <f t="shared" si="195"/>
        <v>Wednesday</v>
      </c>
      <c r="D3885" s="2">
        <v>0.51172453703703702</v>
      </c>
      <c r="E3885" t="s">
        <v>14</v>
      </c>
      <c r="F3885" t="s">
        <v>15</v>
      </c>
      <c r="G3885">
        <v>-1</v>
      </c>
      <c r="H3885" t="s">
        <v>20</v>
      </c>
      <c r="I3885" t="s">
        <v>97</v>
      </c>
      <c r="J3885" s="1">
        <v>44276</v>
      </c>
      <c r="L3885" t="s">
        <v>14</v>
      </c>
      <c r="M3885">
        <v>58.73</v>
      </c>
      <c r="N3885">
        <v>58.73</v>
      </c>
      <c r="O3885" t="s">
        <v>21</v>
      </c>
      <c r="P3885">
        <f t="shared" si="193"/>
        <v>-2</v>
      </c>
      <c r="Q3885" s="11">
        <f>IF(P3885=0,0,IFERROR(Q3884+G3885*M3885*IF(E3885="FUTURE",VLOOKUP(MID(I3885,2,2),Futures!$A$2:$B$12,2),1),G3885*M3885*IF(E3885="FUTURE",VLOOKUP(MID(I3885,2,2),Futures!$A$2:$B$12,2),1)))</f>
        <v>-117200</v>
      </c>
      <c r="R3885" s="12">
        <f>IFERROR(Q3885/P3885/IF(E3885="FUTURE",VLOOKUP(MID(I3885,2,2),Futures!$A$2:$B$12,2),1),"")</f>
        <v>58.6</v>
      </c>
      <c r="S3885" s="13" t="str">
        <f>IF(AND(H3885="TO CLOSE",P3885=0),-G3885*(M3885-R3884)*IF(E3885="FUTURE",VLOOKUP(MID(I3885,2,2),Futures!$A$2:$B$12,2),1),"")</f>
        <v/>
      </c>
    </row>
    <row r="3886" spans="1:19" x14ac:dyDescent="0.2">
      <c r="A3886">
        <f t="shared" si="192"/>
        <v>1282</v>
      </c>
      <c r="B3886" s="3">
        <v>44237</v>
      </c>
      <c r="C3886" s="3" t="str">
        <f t="shared" si="195"/>
        <v>Wednesday</v>
      </c>
      <c r="D3886" s="2">
        <v>0.51446759259259256</v>
      </c>
      <c r="E3886" t="s">
        <v>14</v>
      </c>
      <c r="F3886" t="s">
        <v>19</v>
      </c>
      <c r="G3886">
        <v>1</v>
      </c>
      <c r="H3886" t="s">
        <v>16</v>
      </c>
      <c r="I3886" t="s">
        <v>97</v>
      </c>
      <c r="J3886" s="1">
        <v>44276</v>
      </c>
      <c r="L3886" t="s">
        <v>14</v>
      </c>
      <c r="M3886">
        <v>58.69</v>
      </c>
      <c r="N3886">
        <v>58.69</v>
      </c>
      <c r="O3886" t="s">
        <v>21</v>
      </c>
      <c r="P3886">
        <f t="shared" si="193"/>
        <v>-1</v>
      </c>
      <c r="Q3886" s="11">
        <f>IF(P3886=0,0,IFERROR(Q3885+G3886*M3886*IF(E3886="FUTURE",VLOOKUP(MID(I3886,2,2),Futures!$A$2:$B$12,2),1),G3886*M3886*IF(E3886="FUTURE",VLOOKUP(MID(I3886,2,2),Futures!$A$2:$B$12,2),1)))</f>
        <v>-58510</v>
      </c>
      <c r="R3886" s="12">
        <f>IFERROR(Q3886/P3886/IF(E3886="FUTURE",VLOOKUP(MID(I3886,2,2),Futures!$A$2:$B$12,2),1),"")</f>
        <v>58.51</v>
      </c>
      <c r="S3886" s="13" t="str">
        <f>IF(AND(H3886="TO CLOSE",P3886=0),-G3886*(M3886-R3885)*IF(E3886="FUTURE",VLOOKUP(MID(I3886,2,2),Futures!$A$2:$B$12,2),1),"")</f>
        <v/>
      </c>
    </row>
    <row r="3887" spans="1:19" x14ac:dyDescent="0.2">
      <c r="A3887">
        <f t="shared" si="192"/>
        <v>1282</v>
      </c>
      <c r="B3887" s="3">
        <v>44237</v>
      </c>
      <c r="C3887" s="3" t="str">
        <f t="shared" si="195"/>
        <v>Wednesday</v>
      </c>
      <c r="D3887" s="2">
        <v>0.64159722222222226</v>
      </c>
      <c r="E3887" t="s">
        <v>14</v>
      </c>
      <c r="F3887" t="s">
        <v>19</v>
      </c>
      <c r="G3887">
        <v>1</v>
      </c>
      <c r="H3887" t="s">
        <v>16</v>
      </c>
      <c r="I3887" t="s">
        <v>97</v>
      </c>
      <c r="J3887" s="1">
        <v>44276</v>
      </c>
      <c r="L3887" t="s">
        <v>14</v>
      </c>
      <c r="M3887">
        <v>58.59</v>
      </c>
      <c r="N3887">
        <v>58.59</v>
      </c>
      <c r="O3887" t="s">
        <v>21</v>
      </c>
      <c r="P3887">
        <f t="shared" si="193"/>
        <v>0</v>
      </c>
      <c r="Q3887" s="11">
        <f>IF(P3887=0,0,IFERROR(Q3886+G3887*M3887*IF(E3887="FUTURE",VLOOKUP(MID(I3887,2,2),Futures!$A$2:$B$12,2),1),G3887*M3887*IF(E3887="FUTURE",VLOOKUP(MID(I3887,2,2),Futures!$A$2:$B$12,2),1)))</f>
        <v>0</v>
      </c>
      <c r="R3887" s="12" t="str">
        <f>IFERROR(Q3887/P3887/IF(E3887="FUTURE",VLOOKUP(MID(I3887,2,2),Futures!$A$2:$B$12,2),1),"")</f>
        <v/>
      </c>
      <c r="S3887" s="13">
        <f>IF(AND(H3887="TO CLOSE",P3887=0),-G3887*(M3887-R3886)*IF(E3887="FUTURE",VLOOKUP(MID(I3887,2,2),Futures!$A$2:$B$12,2),1),"")</f>
        <v>-80.0000000000054</v>
      </c>
    </row>
    <row r="3888" spans="1:19" x14ac:dyDescent="0.2">
      <c r="A3888">
        <f t="shared" si="192"/>
        <v>1283</v>
      </c>
      <c r="B3888" s="3">
        <v>44237</v>
      </c>
      <c r="C3888" s="3" t="str">
        <f t="shared" si="195"/>
        <v>Wednesday</v>
      </c>
      <c r="D3888" s="2">
        <v>0.41337962962962965</v>
      </c>
      <c r="E3888" t="s">
        <v>14</v>
      </c>
      <c r="F3888" t="s">
        <v>19</v>
      </c>
      <c r="G3888">
        <v>1</v>
      </c>
      <c r="H3888" t="s">
        <v>20</v>
      </c>
      <c r="I3888" t="s">
        <v>89</v>
      </c>
      <c r="J3888" s="1">
        <v>44276</v>
      </c>
      <c r="L3888" t="s">
        <v>14</v>
      </c>
      <c r="M3888">
        <v>3919</v>
      </c>
      <c r="N3888">
        <v>3919</v>
      </c>
      <c r="O3888" t="s">
        <v>21</v>
      </c>
      <c r="P3888">
        <f t="shared" si="193"/>
        <v>1</v>
      </c>
      <c r="Q3888" s="11">
        <f>IF(P3888=0,0,IFERROR(Q3887+G3888*M3888*IF(E3888="FUTURE",VLOOKUP(MID(I3888,2,2),Futures!$A$2:$B$12,2),1),G3888*M3888*IF(E3888="FUTURE",VLOOKUP(MID(I3888,2,2),Futures!$A$2:$B$12,2),1)))</f>
        <v>195950</v>
      </c>
      <c r="R3888" s="12">
        <f>IFERROR(Q3888/P3888/IF(E3888="FUTURE",VLOOKUP(MID(I3888,2,2),Futures!$A$2:$B$12,2),1),"")</f>
        <v>3919</v>
      </c>
      <c r="S3888" s="13" t="str">
        <f>IF(AND(H3888="TO CLOSE",P3888=0),-G3888*(M3888-R3887)*IF(E3888="FUTURE",VLOOKUP(MID(I3888,2,2),Futures!$A$2:$B$12,2),1),"")</f>
        <v/>
      </c>
    </row>
    <row r="3889" spans="1:19" x14ac:dyDescent="0.2">
      <c r="A3889">
        <f t="shared" si="192"/>
        <v>1283</v>
      </c>
      <c r="B3889" s="3">
        <v>44237</v>
      </c>
      <c r="C3889" s="3" t="str">
        <f t="shared" si="195"/>
        <v>Wednesday</v>
      </c>
      <c r="D3889" s="2">
        <v>0.4148958333333333</v>
      </c>
      <c r="E3889" t="s">
        <v>14</v>
      </c>
      <c r="F3889" t="s">
        <v>15</v>
      </c>
      <c r="G3889">
        <v>-1</v>
      </c>
      <c r="H3889" t="s">
        <v>16</v>
      </c>
      <c r="I3889" t="s">
        <v>89</v>
      </c>
      <c r="J3889" s="1">
        <v>44276</v>
      </c>
      <c r="L3889" t="s">
        <v>14</v>
      </c>
      <c r="M3889">
        <v>3919</v>
      </c>
      <c r="N3889">
        <v>3919</v>
      </c>
      <c r="O3889" t="s">
        <v>21</v>
      </c>
      <c r="P3889">
        <f t="shared" si="193"/>
        <v>0</v>
      </c>
      <c r="Q3889" s="11">
        <f>IF(P3889=0,0,IFERROR(Q3888+G3889*M3889*IF(E3889="FUTURE",VLOOKUP(MID(I3889,2,2),Futures!$A$2:$B$12,2),1),G3889*M3889*IF(E3889="FUTURE",VLOOKUP(MID(I3889,2,2),Futures!$A$2:$B$12,2),1)))</f>
        <v>0</v>
      </c>
      <c r="R3889" s="12" t="str">
        <f>IFERROR(Q3889/P3889/IF(E3889="FUTURE",VLOOKUP(MID(I3889,2,2),Futures!$A$2:$B$12,2),1),"")</f>
        <v/>
      </c>
      <c r="S3889" s="13">
        <f>IF(AND(H3889="TO CLOSE",P3889=0),-G3889*(M3889-R3888)*IF(E3889="FUTURE",VLOOKUP(MID(I3889,2,2),Futures!$A$2:$B$12,2),1),"")</f>
        <v>0</v>
      </c>
    </row>
    <row r="3890" spans="1:19" x14ac:dyDescent="0.2">
      <c r="A3890">
        <f t="shared" si="192"/>
        <v>1284</v>
      </c>
      <c r="B3890" s="3">
        <v>44237</v>
      </c>
      <c r="C3890" s="3" t="str">
        <f t="shared" si="195"/>
        <v>Wednesday</v>
      </c>
      <c r="D3890" s="2">
        <v>0.42890046296296297</v>
      </c>
      <c r="E3890" t="s">
        <v>14</v>
      </c>
      <c r="F3890" t="s">
        <v>19</v>
      </c>
      <c r="G3890">
        <v>1</v>
      </c>
      <c r="H3890" t="s">
        <v>20</v>
      </c>
      <c r="I3890" t="s">
        <v>89</v>
      </c>
      <c r="J3890" s="1">
        <v>44276</v>
      </c>
      <c r="L3890" t="s">
        <v>14</v>
      </c>
      <c r="M3890">
        <v>3913.5</v>
      </c>
      <c r="N3890">
        <v>3913.5</v>
      </c>
      <c r="O3890" t="s">
        <v>21</v>
      </c>
      <c r="P3890">
        <f t="shared" si="193"/>
        <v>1</v>
      </c>
      <c r="Q3890" s="11">
        <f>IF(P3890=0,0,IFERROR(Q3889+G3890*M3890*IF(E3890="FUTURE",VLOOKUP(MID(I3890,2,2),Futures!$A$2:$B$12,2),1),G3890*M3890*IF(E3890="FUTURE",VLOOKUP(MID(I3890,2,2),Futures!$A$2:$B$12,2),1)))</f>
        <v>195675</v>
      </c>
      <c r="R3890" s="12">
        <f>IFERROR(Q3890/P3890/IF(E3890="FUTURE",VLOOKUP(MID(I3890,2,2),Futures!$A$2:$B$12,2),1),"")</f>
        <v>3913.5</v>
      </c>
      <c r="S3890" s="13" t="str">
        <f>IF(AND(H3890="TO CLOSE",P3890=0),-G3890*(M3890-R3889)*IF(E3890="FUTURE",VLOOKUP(MID(I3890,2,2),Futures!$A$2:$B$12,2),1),"")</f>
        <v/>
      </c>
    </row>
    <row r="3891" spans="1:19" x14ac:dyDescent="0.2">
      <c r="A3891">
        <f t="shared" si="192"/>
        <v>1284</v>
      </c>
      <c r="B3891" s="3">
        <v>44237</v>
      </c>
      <c r="C3891" s="3" t="str">
        <f t="shared" si="195"/>
        <v>Wednesday</v>
      </c>
      <c r="D3891" s="2">
        <v>0.43333333333333335</v>
      </c>
      <c r="E3891" t="s">
        <v>14</v>
      </c>
      <c r="F3891" t="s">
        <v>15</v>
      </c>
      <c r="G3891">
        <v>-2</v>
      </c>
      <c r="H3891" t="s">
        <v>16</v>
      </c>
      <c r="I3891" t="s">
        <v>89</v>
      </c>
      <c r="J3891" s="1">
        <v>44276</v>
      </c>
      <c r="L3891" t="s">
        <v>14</v>
      </c>
      <c r="M3891">
        <v>3895.75</v>
      </c>
      <c r="N3891">
        <v>3895.75</v>
      </c>
      <c r="O3891" t="s">
        <v>18</v>
      </c>
      <c r="P3891">
        <f t="shared" si="193"/>
        <v>-1</v>
      </c>
      <c r="Q3891" s="11">
        <f>IF(P3891=0,0,IFERROR(Q3890+G3891*M3891*IF(E3891="FUTURE",VLOOKUP(MID(I3891,2,2),Futures!$A$2:$B$12,2),1),G3891*M3891*IF(E3891="FUTURE",VLOOKUP(MID(I3891,2,2),Futures!$A$2:$B$12,2),1)))</f>
        <v>-193900</v>
      </c>
      <c r="R3891" s="12">
        <f>IFERROR(Q3891/P3891/IF(E3891="FUTURE",VLOOKUP(MID(I3891,2,2),Futures!$A$2:$B$12,2),1),"")</f>
        <v>3878</v>
      </c>
      <c r="S3891" s="13" t="str">
        <f>IF(AND(H3891="TO CLOSE",P3891=0),-G3891*(M3891-R3890)*IF(E3891="FUTURE",VLOOKUP(MID(I3891,2,2),Futures!$A$2:$B$12,2),1),"")</f>
        <v/>
      </c>
    </row>
    <row r="3892" spans="1:19" x14ac:dyDescent="0.2">
      <c r="A3892">
        <f t="shared" si="192"/>
        <v>1284</v>
      </c>
      <c r="B3892" s="3">
        <v>44237</v>
      </c>
      <c r="C3892" s="3" t="str">
        <f t="shared" si="195"/>
        <v>Wednesday</v>
      </c>
      <c r="D3892" s="2">
        <v>0.44086805555555553</v>
      </c>
      <c r="E3892" t="s">
        <v>14</v>
      </c>
      <c r="F3892" t="s">
        <v>19</v>
      </c>
      <c r="G3892">
        <v>1</v>
      </c>
      <c r="H3892" t="s">
        <v>16</v>
      </c>
      <c r="I3892" t="s">
        <v>89</v>
      </c>
      <c r="J3892" s="1">
        <v>44276</v>
      </c>
      <c r="L3892" t="s">
        <v>14</v>
      </c>
      <c r="M3892">
        <v>3891.25</v>
      </c>
      <c r="N3892">
        <v>3891.25</v>
      </c>
      <c r="O3892" t="s">
        <v>21</v>
      </c>
      <c r="P3892">
        <f t="shared" si="193"/>
        <v>0</v>
      </c>
      <c r="Q3892" s="11">
        <f>IF(P3892=0,0,IFERROR(Q3891+G3892*M3892*IF(E3892="FUTURE",VLOOKUP(MID(I3892,2,2),Futures!$A$2:$B$12,2),1),G3892*M3892*IF(E3892="FUTURE",VLOOKUP(MID(I3892,2,2),Futures!$A$2:$B$12,2),1)))</f>
        <v>0</v>
      </c>
      <c r="R3892" s="12" t="str">
        <f>IFERROR(Q3892/P3892/IF(E3892="FUTURE",VLOOKUP(MID(I3892,2,2),Futures!$A$2:$B$12,2),1),"")</f>
        <v/>
      </c>
      <c r="S3892" s="13">
        <f>IF(AND(H3892="TO CLOSE",P3892=0),-G3892*(M3892-R3891)*IF(E3892="FUTURE",VLOOKUP(MID(I3892,2,2),Futures!$A$2:$B$12,2),1),"")</f>
        <v>-662.5</v>
      </c>
    </row>
    <row r="3893" spans="1:19" x14ac:dyDescent="0.2">
      <c r="A3893">
        <f t="shared" si="192"/>
        <v>1285</v>
      </c>
      <c r="B3893" s="3">
        <v>44237</v>
      </c>
      <c r="C3893" s="3" t="str">
        <f t="shared" si="195"/>
        <v>Wednesday</v>
      </c>
      <c r="D3893" s="2">
        <v>0.44126157407407413</v>
      </c>
      <c r="E3893" t="s">
        <v>14</v>
      </c>
      <c r="F3893" t="s">
        <v>19</v>
      </c>
      <c r="G3893">
        <v>1</v>
      </c>
      <c r="H3893" t="s">
        <v>20</v>
      </c>
      <c r="I3893" t="s">
        <v>89</v>
      </c>
      <c r="J3893" s="1">
        <v>44276</v>
      </c>
      <c r="L3893" t="s">
        <v>14</v>
      </c>
      <c r="M3893">
        <v>3895</v>
      </c>
      <c r="N3893">
        <v>3895</v>
      </c>
      <c r="O3893" t="s">
        <v>24</v>
      </c>
      <c r="P3893">
        <f t="shared" si="193"/>
        <v>1</v>
      </c>
      <c r="Q3893" s="11">
        <f>IF(P3893=0,0,IFERROR(Q3892+G3893*M3893*IF(E3893="FUTURE",VLOOKUP(MID(I3893,2,2),Futures!$A$2:$B$12,2),1),G3893*M3893*IF(E3893="FUTURE",VLOOKUP(MID(I3893,2,2),Futures!$A$2:$B$12,2),1)))</f>
        <v>194750</v>
      </c>
      <c r="R3893" s="12">
        <f>IFERROR(Q3893/P3893/IF(E3893="FUTURE",VLOOKUP(MID(I3893,2,2),Futures!$A$2:$B$12,2),1),"")</f>
        <v>3895</v>
      </c>
      <c r="S3893" s="13" t="str">
        <f>IF(AND(H3893="TO CLOSE",P3893=0),-G3893*(M3893-R3892)*IF(E3893="FUTURE",VLOOKUP(MID(I3893,2,2),Futures!$A$2:$B$12,2),1),"")</f>
        <v/>
      </c>
    </row>
    <row r="3894" spans="1:19" x14ac:dyDescent="0.2">
      <c r="A3894">
        <f t="shared" si="192"/>
        <v>1285</v>
      </c>
      <c r="B3894" s="3">
        <v>44237</v>
      </c>
      <c r="C3894" s="3" t="str">
        <f t="shared" ref="C3894:C3925" si="196">IF(WEEKDAY(B3894,2)=1,"Monday",IF(WEEKDAY(B3894,2)=2,"Tuesday",IF(WEEKDAY(B3894,2)=3,"Wednesday",IF(WEEKDAY(B3894,2)=4,"Thursday",IF(WEEKDAY(B3894,2)=5,"Friday","Sunday")))))</f>
        <v>Wednesday</v>
      </c>
      <c r="D3894" s="2">
        <v>0.45979166666666665</v>
      </c>
      <c r="E3894" t="s">
        <v>14</v>
      </c>
      <c r="F3894" t="s">
        <v>15</v>
      </c>
      <c r="G3894">
        <v>-1</v>
      </c>
      <c r="H3894" t="s">
        <v>16</v>
      </c>
      <c r="I3894" t="s">
        <v>89</v>
      </c>
      <c r="J3894" s="1">
        <v>44276</v>
      </c>
      <c r="L3894" t="s">
        <v>14</v>
      </c>
      <c r="M3894">
        <v>3901.5</v>
      </c>
      <c r="N3894">
        <v>3901.5</v>
      </c>
      <c r="O3894" t="s">
        <v>21</v>
      </c>
      <c r="P3894">
        <f t="shared" si="193"/>
        <v>0</v>
      </c>
      <c r="Q3894" s="11">
        <f>IF(P3894=0,0,IFERROR(Q3893+G3894*M3894*IF(E3894="FUTURE",VLOOKUP(MID(I3894,2,2),Futures!$A$2:$B$12,2),1),G3894*M3894*IF(E3894="FUTURE",VLOOKUP(MID(I3894,2,2),Futures!$A$2:$B$12,2),1)))</f>
        <v>0</v>
      </c>
      <c r="R3894" s="12" t="str">
        <f>IFERROR(Q3894/P3894/IF(E3894="FUTURE",VLOOKUP(MID(I3894,2,2),Futures!$A$2:$B$12,2),1),"")</f>
        <v/>
      </c>
      <c r="S3894" s="13">
        <f>IF(AND(H3894="TO CLOSE",P3894=0),-G3894*(M3894-R3893)*IF(E3894="FUTURE",VLOOKUP(MID(I3894,2,2),Futures!$A$2:$B$12,2),1),"")</f>
        <v>325</v>
      </c>
    </row>
    <row r="3895" spans="1:19" x14ac:dyDescent="0.2">
      <c r="A3895">
        <f t="shared" si="192"/>
        <v>1286</v>
      </c>
      <c r="B3895" s="3">
        <v>44237</v>
      </c>
      <c r="C3895" s="3" t="str">
        <f t="shared" si="196"/>
        <v>Wednesday</v>
      </c>
      <c r="D3895" s="2">
        <v>0.47361111111111115</v>
      </c>
      <c r="E3895" t="s">
        <v>14</v>
      </c>
      <c r="F3895" t="s">
        <v>15</v>
      </c>
      <c r="G3895">
        <v>-1</v>
      </c>
      <c r="H3895" t="s">
        <v>20</v>
      </c>
      <c r="I3895" t="s">
        <v>89</v>
      </c>
      <c r="J3895" s="1">
        <v>44276</v>
      </c>
      <c r="L3895" t="s">
        <v>14</v>
      </c>
      <c r="M3895">
        <v>3902.25</v>
      </c>
      <c r="N3895">
        <v>3902.25</v>
      </c>
      <c r="O3895" t="s">
        <v>21</v>
      </c>
      <c r="P3895">
        <f t="shared" si="193"/>
        <v>-1</v>
      </c>
      <c r="Q3895" s="11">
        <f>IF(P3895=0,0,IFERROR(Q3894+G3895*M3895*IF(E3895="FUTURE",VLOOKUP(MID(I3895,2,2),Futures!$A$2:$B$12,2),1),G3895*M3895*IF(E3895="FUTURE",VLOOKUP(MID(I3895,2,2),Futures!$A$2:$B$12,2),1)))</f>
        <v>-195112.5</v>
      </c>
      <c r="R3895" s="12">
        <f>IFERROR(Q3895/P3895/IF(E3895="FUTURE",VLOOKUP(MID(I3895,2,2),Futures!$A$2:$B$12,2),1),"")</f>
        <v>3902.25</v>
      </c>
      <c r="S3895" s="13" t="str">
        <f>IF(AND(H3895="TO CLOSE",P3895=0),-G3895*(M3895-R3894)*IF(E3895="FUTURE",VLOOKUP(MID(I3895,2,2),Futures!$A$2:$B$12,2),1),"")</f>
        <v/>
      </c>
    </row>
    <row r="3896" spans="1:19" x14ac:dyDescent="0.2">
      <c r="A3896">
        <f t="shared" si="192"/>
        <v>1286</v>
      </c>
      <c r="B3896" s="3">
        <v>44237</v>
      </c>
      <c r="C3896" s="3" t="str">
        <f t="shared" si="196"/>
        <v>Wednesday</v>
      </c>
      <c r="D3896" s="2">
        <v>0.47887731481481483</v>
      </c>
      <c r="E3896" t="s">
        <v>14</v>
      </c>
      <c r="F3896" t="s">
        <v>19</v>
      </c>
      <c r="G3896">
        <v>1</v>
      </c>
      <c r="H3896" t="s">
        <v>16</v>
      </c>
      <c r="I3896" t="s">
        <v>89</v>
      </c>
      <c r="J3896" s="1">
        <v>44276</v>
      </c>
      <c r="L3896" t="s">
        <v>14</v>
      </c>
      <c r="M3896">
        <v>3896.75</v>
      </c>
      <c r="N3896">
        <v>3896.75</v>
      </c>
      <c r="O3896" t="s">
        <v>21</v>
      </c>
      <c r="P3896">
        <f t="shared" si="193"/>
        <v>0</v>
      </c>
      <c r="Q3896" s="11">
        <f>IF(P3896=0,0,IFERROR(Q3895+G3896*M3896*IF(E3896="FUTURE",VLOOKUP(MID(I3896,2,2),Futures!$A$2:$B$12,2),1),G3896*M3896*IF(E3896="FUTURE",VLOOKUP(MID(I3896,2,2),Futures!$A$2:$B$12,2),1)))</f>
        <v>0</v>
      </c>
      <c r="R3896" s="12" t="str">
        <f>IFERROR(Q3896/P3896/IF(E3896="FUTURE",VLOOKUP(MID(I3896,2,2),Futures!$A$2:$B$12,2),1),"")</f>
        <v/>
      </c>
      <c r="S3896" s="13">
        <f>IF(AND(H3896="TO CLOSE",P3896=0),-G3896*(M3896-R3895)*IF(E3896="FUTURE",VLOOKUP(MID(I3896,2,2),Futures!$A$2:$B$12,2),1),"")</f>
        <v>275</v>
      </c>
    </row>
    <row r="3897" spans="1:19" x14ac:dyDescent="0.2">
      <c r="A3897">
        <f t="shared" si="192"/>
        <v>1287</v>
      </c>
      <c r="B3897" s="3">
        <v>44237</v>
      </c>
      <c r="C3897" s="3" t="str">
        <f t="shared" si="196"/>
        <v>Wednesday</v>
      </c>
      <c r="D3897" s="2">
        <v>0.5095601851851852</v>
      </c>
      <c r="E3897" t="s">
        <v>14</v>
      </c>
      <c r="F3897" t="s">
        <v>19</v>
      </c>
      <c r="G3897">
        <v>1</v>
      </c>
      <c r="H3897" t="s">
        <v>20</v>
      </c>
      <c r="I3897" t="s">
        <v>89</v>
      </c>
      <c r="J3897" s="1">
        <v>44276</v>
      </c>
      <c r="L3897" t="s">
        <v>14</v>
      </c>
      <c r="M3897">
        <v>3897.5</v>
      </c>
      <c r="N3897">
        <v>3897.5</v>
      </c>
      <c r="O3897" t="s">
        <v>21</v>
      </c>
      <c r="P3897">
        <f t="shared" si="193"/>
        <v>1</v>
      </c>
      <c r="Q3897" s="11">
        <f>IF(P3897=0,0,IFERROR(Q3896+G3897*M3897*IF(E3897="FUTURE",VLOOKUP(MID(I3897,2,2),Futures!$A$2:$B$12,2),1),G3897*M3897*IF(E3897="FUTURE",VLOOKUP(MID(I3897,2,2),Futures!$A$2:$B$12,2),1)))</f>
        <v>194875</v>
      </c>
      <c r="R3897" s="12">
        <f>IFERROR(Q3897/P3897/IF(E3897="FUTURE",VLOOKUP(MID(I3897,2,2),Futures!$A$2:$B$12,2),1),"")</f>
        <v>3897.5</v>
      </c>
      <c r="S3897" s="13" t="str">
        <f>IF(AND(H3897="TO CLOSE",P3897=0),-G3897*(M3897-R3896)*IF(E3897="FUTURE",VLOOKUP(MID(I3897,2,2),Futures!$A$2:$B$12,2),1),"")</f>
        <v/>
      </c>
    </row>
    <row r="3898" spans="1:19" x14ac:dyDescent="0.2">
      <c r="A3898">
        <f t="shared" si="192"/>
        <v>1287</v>
      </c>
      <c r="B3898" s="3">
        <v>44237</v>
      </c>
      <c r="C3898" s="3" t="str">
        <f t="shared" si="196"/>
        <v>Wednesday</v>
      </c>
      <c r="D3898" s="2">
        <v>0.51068287037037041</v>
      </c>
      <c r="E3898" t="s">
        <v>14</v>
      </c>
      <c r="F3898" t="s">
        <v>15</v>
      </c>
      <c r="G3898">
        <v>-1</v>
      </c>
      <c r="H3898" t="s">
        <v>16</v>
      </c>
      <c r="I3898" t="s">
        <v>89</v>
      </c>
      <c r="J3898" s="1">
        <v>44276</v>
      </c>
      <c r="L3898" t="s">
        <v>14</v>
      </c>
      <c r="M3898">
        <v>3897.5</v>
      </c>
      <c r="N3898">
        <v>3897.5</v>
      </c>
      <c r="O3898" t="s">
        <v>21</v>
      </c>
      <c r="P3898">
        <f t="shared" si="193"/>
        <v>0</v>
      </c>
      <c r="Q3898" s="11">
        <f>IF(P3898=0,0,IFERROR(Q3897+G3898*M3898*IF(E3898="FUTURE",VLOOKUP(MID(I3898,2,2),Futures!$A$2:$B$12,2),1),G3898*M3898*IF(E3898="FUTURE",VLOOKUP(MID(I3898,2,2),Futures!$A$2:$B$12,2),1)))</f>
        <v>0</v>
      </c>
      <c r="R3898" s="12" t="str">
        <f>IFERROR(Q3898/P3898/IF(E3898="FUTURE",VLOOKUP(MID(I3898,2,2),Futures!$A$2:$B$12,2),1),"")</f>
        <v/>
      </c>
      <c r="S3898" s="13">
        <f>IF(AND(H3898="TO CLOSE",P3898=0),-G3898*(M3898-R3897)*IF(E3898="FUTURE",VLOOKUP(MID(I3898,2,2),Futures!$A$2:$B$12,2),1),"")</f>
        <v>0</v>
      </c>
    </row>
    <row r="3899" spans="1:19" x14ac:dyDescent="0.2">
      <c r="A3899">
        <f t="shared" si="192"/>
        <v>1288</v>
      </c>
      <c r="B3899" s="3">
        <v>44237</v>
      </c>
      <c r="C3899" s="3" t="str">
        <f t="shared" si="196"/>
        <v>Wednesday</v>
      </c>
      <c r="D3899" s="2">
        <v>0.52052083333333332</v>
      </c>
      <c r="E3899" t="s">
        <v>14</v>
      </c>
      <c r="F3899" t="s">
        <v>19</v>
      </c>
      <c r="G3899">
        <v>1</v>
      </c>
      <c r="H3899" t="s">
        <v>20</v>
      </c>
      <c r="I3899" t="s">
        <v>89</v>
      </c>
      <c r="J3899" s="1">
        <v>44276</v>
      </c>
      <c r="L3899" t="s">
        <v>14</v>
      </c>
      <c r="M3899">
        <v>3897</v>
      </c>
      <c r="N3899">
        <v>3897</v>
      </c>
      <c r="O3899" t="s">
        <v>21</v>
      </c>
      <c r="P3899">
        <f t="shared" si="193"/>
        <v>1</v>
      </c>
      <c r="Q3899" s="11">
        <f>IF(P3899=0,0,IFERROR(Q3898+G3899*M3899*IF(E3899="FUTURE",VLOOKUP(MID(I3899,2,2),Futures!$A$2:$B$12,2),1),G3899*M3899*IF(E3899="FUTURE",VLOOKUP(MID(I3899,2,2),Futures!$A$2:$B$12,2),1)))</f>
        <v>194850</v>
      </c>
      <c r="R3899" s="12">
        <f>IFERROR(Q3899/P3899/IF(E3899="FUTURE",VLOOKUP(MID(I3899,2,2),Futures!$A$2:$B$12,2),1),"")</f>
        <v>3897</v>
      </c>
      <c r="S3899" s="13" t="str">
        <f>IF(AND(H3899="TO CLOSE",P3899=0),-G3899*(M3899-R3898)*IF(E3899="FUTURE",VLOOKUP(MID(I3899,2,2),Futures!$A$2:$B$12,2),1),"")</f>
        <v/>
      </c>
    </row>
    <row r="3900" spans="1:19" x14ac:dyDescent="0.2">
      <c r="A3900">
        <f t="shared" si="192"/>
        <v>1288</v>
      </c>
      <c r="B3900" s="3">
        <v>44237</v>
      </c>
      <c r="C3900" s="3" t="str">
        <f t="shared" si="196"/>
        <v>Wednesday</v>
      </c>
      <c r="D3900" s="2">
        <v>0.53493055555555558</v>
      </c>
      <c r="E3900" t="s">
        <v>14</v>
      </c>
      <c r="F3900" t="s">
        <v>15</v>
      </c>
      <c r="G3900">
        <v>-1</v>
      </c>
      <c r="H3900" t="s">
        <v>16</v>
      </c>
      <c r="I3900" t="s">
        <v>89</v>
      </c>
      <c r="J3900" s="1">
        <v>44276</v>
      </c>
      <c r="L3900" t="s">
        <v>14</v>
      </c>
      <c r="M3900">
        <v>3898.25</v>
      </c>
      <c r="N3900">
        <v>3898.25</v>
      </c>
      <c r="O3900" t="s">
        <v>21</v>
      </c>
      <c r="P3900">
        <f t="shared" si="193"/>
        <v>0</v>
      </c>
      <c r="Q3900" s="11">
        <f>IF(P3900=0,0,IFERROR(Q3899+G3900*M3900*IF(E3900="FUTURE",VLOOKUP(MID(I3900,2,2),Futures!$A$2:$B$12,2),1),G3900*M3900*IF(E3900="FUTURE",VLOOKUP(MID(I3900,2,2),Futures!$A$2:$B$12,2),1)))</f>
        <v>0</v>
      </c>
      <c r="R3900" s="12" t="str">
        <f>IFERROR(Q3900/P3900/IF(E3900="FUTURE",VLOOKUP(MID(I3900,2,2),Futures!$A$2:$B$12,2),1),"")</f>
        <v/>
      </c>
      <c r="S3900" s="13">
        <f>IF(AND(H3900="TO CLOSE",P3900=0),-G3900*(M3900-R3899)*IF(E3900="FUTURE",VLOOKUP(MID(I3900,2,2),Futures!$A$2:$B$12,2),1),"")</f>
        <v>62.5</v>
      </c>
    </row>
    <row r="3901" spans="1:19" x14ac:dyDescent="0.2">
      <c r="A3901">
        <f t="shared" si="192"/>
        <v>1289</v>
      </c>
      <c r="B3901" s="3">
        <v>44238</v>
      </c>
      <c r="C3901" s="3" t="str">
        <f t="shared" si="196"/>
        <v>Thursday</v>
      </c>
      <c r="D3901" s="2">
        <v>0.40785879629629629</v>
      </c>
      <c r="E3901" t="s">
        <v>14</v>
      </c>
      <c r="F3901" t="s">
        <v>15</v>
      </c>
      <c r="G3901">
        <v>-1</v>
      </c>
      <c r="H3901" t="s">
        <v>20</v>
      </c>
      <c r="I3901" t="s">
        <v>97</v>
      </c>
      <c r="J3901" s="1">
        <v>44276</v>
      </c>
      <c r="L3901" t="s">
        <v>14</v>
      </c>
      <c r="M3901">
        <v>58.69</v>
      </c>
      <c r="N3901">
        <v>58.69</v>
      </c>
      <c r="O3901" t="s">
        <v>21</v>
      </c>
      <c r="P3901">
        <f t="shared" si="193"/>
        <v>-1</v>
      </c>
      <c r="Q3901" s="11">
        <f>IF(P3901=0,0,IFERROR(Q3900+G3901*M3901*IF(E3901="FUTURE",VLOOKUP(MID(I3901,2,2),Futures!$A$2:$B$12,2),1),G3901*M3901*IF(E3901="FUTURE",VLOOKUP(MID(I3901,2,2),Futures!$A$2:$B$12,2),1)))</f>
        <v>-58690</v>
      </c>
      <c r="R3901" s="12">
        <f>IFERROR(Q3901/P3901/IF(E3901="FUTURE",VLOOKUP(MID(I3901,2,2),Futures!$A$2:$B$12,2),1),"")</f>
        <v>58.69</v>
      </c>
      <c r="S3901" s="13" t="str">
        <f>IF(AND(H3901="TO CLOSE",P3901=0),-G3901*(M3901-R3900)*IF(E3901="FUTURE",VLOOKUP(MID(I3901,2,2),Futures!$A$2:$B$12,2),1),"")</f>
        <v/>
      </c>
    </row>
    <row r="3902" spans="1:19" x14ac:dyDescent="0.2">
      <c r="A3902">
        <f t="shared" si="192"/>
        <v>1289</v>
      </c>
      <c r="B3902" s="3">
        <v>44238</v>
      </c>
      <c r="C3902" s="3" t="str">
        <f t="shared" si="196"/>
        <v>Thursday</v>
      </c>
      <c r="D3902" s="2">
        <v>0.41002314814814816</v>
      </c>
      <c r="E3902" t="s">
        <v>14</v>
      </c>
      <c r="F3902" t="s">
        <v>19</v>
      </c>
      <c r="G3902">
        <v>1</v>
      </c>
      <c r="H3902" t="s">
        <v>16</v>
      </c>
      <c r="I3902" t="s">
        <v>97</v>
      </c>
      <c r="J3902" s="1">
        <v>44276</v>
      </c>
      <c r="L3902" t="s">
        <v>14</v>
      </c>
      <c r="M3902">
        <v>58.57</v>
      </c>
      <c r="N3902">
        <v>58.57</v>
      </c>
      <c r="O3902" t="s">
        <v>21</v>
      </c>
      <c r="P3902">
        <f t="shared" si="193"/>
        <v>0</v>
      </c>
      <c r="Q3902" s="11">
        <f>IF(P3902=0,0,IFERROR(Q3901+G3902*M3902*IF(E3902="FUTURE",VLOOKUP(MID(I3902,2,2),Futures!$A$2:$B$12,2),1),G3902*M3902*IF(E3902="FUTURE",VLOOKUP(MID(I3902,2,2),Futures!$A$2:$B$12,2),1)))</f>
        <v>0</v>
      </c>
      <c r="R3902" s="12" t="str">
        <f>IFERROR(Q3902/P3902/IF(E3902="FUTURE",VLOOKUP(MID(I3902,2,2),Futures!$A$2:$B$12,2),1),"")</f>
        <v/>
      </c>
      <c r="S3902" s="13">
        <f>IF(AND(H3902="TO CLOSE",P3902=0),-G3902*(M3902-R3901)*IF(E3902="FUTURE",VLOOKUP(MID(I3902,2,2),Futures!$A$2:$B$12,2),1),"")</f>
        <v>119.99999999999744</v>
      </c>
    </row>
    <row r="3903" spans="1:19" x14ac:dyDescent="0.2">
      <c r="A3903">
        <f t="shared" si="192"/>
        <v>1290</v>
      </c>
      <c r="B3903" s="3">
        <v>44238</v>
      </c>
      <c r="C3903" s="3" t="str">
        <f t="shared" si="196"/>
        <v>Thursday</v>
      </c>
      <c r="D3903" s="2">
        <v>0.41675925925925927</v>
      </c>
      <c r="E3903" t="s">
        <v>14</v>
      </c>
      <c r="F3903" t="s">
        <v>15</v>
      </c>
      <c r="G3903">
        <v>-1</v>
      </c>
      <c r="H3903" t="s">
        <v>20</v>
      </c>
      <c r="I3903" t="s">
        <v>97</v>
      </c>
      <c r="J3903" s="1">
        <v>44276</v>
      </c>
      <c r="L3903" t="s">
        <v>14</v>
      </c>
      <c r="M3903">
        <v>58.53</v>
      </c>
      <c r="N3903">
        <v>58.53</v>
      </c>
      <c r="O3903" t="s">
        <v>21</v>
      </c>
      <c r="P3903">
        <f t="shared" si="193"/>
        <v>-1</v>
      </c>
      <c r="Q3903" s="11">
        <f>IF(P3903=0,0,IFERROR(Q3902+G3903*M3903*IF(E3903="FUTURE",VLOOKUP(MID(I3903,2,2),Futures!$A$2:$B$12,2),1),G3903*M3903*IF(E3903="FUTURE",VLOOKUP(MID(I3903,2,2),Futures!$A$2:$B$12,2),1)))</f>
        <v>-58530</v>
      </c>
      <c r="R3903" s="12">
        <f>IFERROR(Q3903/P3903/IF(E3903="FUTURE",VLOOKUP(MID(I3903,2,2),Futures!$A$2:$B$12,2),1),"")</f>
        <v>58.53</v>
      </c>
      <c r="S3903" s="13" t="str">
        <f>IF(AND(H3903="TO CLOSE",P3903=0),-G3903*(M3903-R3902)*IF(E3903="FUTURE",VLOOKUP(MID(I3903,2,2),Futures!$A$2:$B$12,2),1),"")</f>
        <v/>
      </c>
    </row>
    <row r="3904" spans="1:19" x14ac:dyDescent="0.2">
      <c r="A3904">
        <f t="shared" si="192"/>
        <v>1290</v>
      </c>
      <c r="B3904" s="3">
        <v>44238</v>
      </c>
      <c r="C3904" s="3" t="str">
        <f t="shared" si="196"/>
        <v>Thursday</v>
      </c>
      <c r="D3904" s="2">
        <v>0.41879629629629633</v>
      </c>
      <c r="E3904" t="s">
        <v>14</v>
      </c>
      <c r="F3904" t="s">
        <v>19</v>
      </c>
      <c r="G3904">
        <v>1</v>
      </c>
      <c r="H3904" t="s">
        <v>16</v>
      </c>
      <c r="I3904" t="s">
        <v>97</v>
      </c>
      <c r="J3904" s="1">
        <v>44276</v>
      </c>
      <c r="L3904" t="s">
        <v>14</v>
      </c>
      <c r="M3904">
        <v>58.51</v>
      </c>
      <c r="N3904">
        <v>58.51</v>
      </c>
      <c r="O3904" t="s">
        <v>24</v>
      </c>
      <c r="P3904">
        <f t="shared" si="193"/>
        <v>0</v>
      </c>
      <c r="Q3904" s="11">
        <f>IF(P3904=0,0,IFERROR(Q3903+G3904*M3904*IF(E3904="FUTURE",VLOOKUP(MID(I3904,2,2),Futures!$A$2:$B$12,2),1),G3904*M3904*IF(E3904="FUTURE",VLOOKUP(MID(I3904,2,2),Futures!$A$2:$B$12,2),1)))</f>
        <v>0</v>
      </c>
      <c r="R3904" s="12" t="str">
        <f>IFERROR(Q3904/P3904/IF(E3904="FUTURE",VLOOKUP(MID(I3904,2,2),Futures!$A$2:$B$12,2),1),"")</f>
        <v/>
      </c>
      <c r="S3904" s="13">
        <f>IF(AND(H3904="TO CLOSE",P3904=0),-G3904*(M3904-R3903)*IF(E3904="FUTURE",VLOOKUP(MID(I3904,2,2),Futures!$A$2:$B$12,2),1),"")</f>
        <v>20.000000000003126</v>
      </c>
    </row>
    <row r="3905" spans="1:19" x14ac:dyDescent="0.2">
      <c r="A3905">
        <f t="shared" si="192"/>
        <v>1291</v>
      </c>
      <c r="B3905" s="3">
        <v>44238</v>
      </c>
      <c r="C3905" s="3" t="str">
        <f t="shared" si="196"/>
        <v>Thursday</v>
      </c>
      <c r="D3905" s="2">
        <v>0.4368055555555555</v>
      </c>
      <c r="E3905" t="s">
        <v>14</v>
      </c>
      <c r="F3905" t="s">
        <v>15</v>
      </c>
      <c r="G3905">
        <v>-1</v>
      </c>
      <c r="H3905" t="s">
        <v>20</v>
      </c>
      <c r="I3905" t="s">
        <v>97</v>
      </c>
      <c r="J3905" s="1">
        <v>44276</v>
      </c>
      <c r="L3905" t="s">
        <v>14</v>
      </c>
      <c r="M3905">
        <v>58.55</v>
      </c>
      <c r="N3905">
        <v>58.55</v>
      </c>
      <c r="O3905" t="s">
        <v>21</v>
      </c>
      <c r="P3905">
        <f t="shared" si="193"/>
        <v>-1</v>
      </c>
      <c r="Q3905" s="11">
        <f>IF(P3905=0,0,IFERROR(Q3904+G3905*M3905*IF(E3905="FUTURE",VLOOKUP(MID(I3905,2,2),Futures!$A$2:$B$12,2),1),G3905*M3905*IF(E3905="FUTURE",VLOOKUP(MID(I3905,2,2),Futures!$A$2:$B$12,2),1)))</f>
        <v>-58550</v>
      </c>
      <c r="R3905" s="12">
        <f>IFERROR(Q3905/P3905/IF(E3905="FUTURE",VLOOKUP(MID(I3905,2,2),Futures!$A$2:$B$12,2),1),"")</f>
        <v>58.55</v>
      </c>
      <c r="S3905" s="13" t="str">
        <f>IF(AND(H3905="TO CLOSE",P3905=0),-G3905*(M3905-R3904)*IF(E3905="FUTURE",VLOOKUP(MID(I3905,2,2),Futures!$A$2:$B$12,2),1),"")</f>
        <v/>
      </c>
    </row>
    <row r="3906" spans="1:19" x14ac:dyDescent="0.2">
      <c r="A3906">
        <f t="shared" ref="A3906:A3969" si="197">IF(AND(P3905=0,H3905="TO CLOSE"),IFERROR(A3905+1,1),IFERROR(A3905/1,1))</f>
        <v>1291</v>
      </c>
      <c r="B3906" s="3">
        <v>44238</v>
      </c>
      <c r="C3906" s="3" t="str">
        <f t="shared" si="196"/>
        <v>Thursday</v>
      </c>
      <c r="D3906" s="2">
        <v>0.43994212962962959</v>
      </c>
      <c r="E3906" t="s">
        <v>14</v>
      </c>
      <c r="F3906" t="s">
        <v>19</v>
      </c>
      <c r="G3906">
        <v>1</v>
      </c>
      <c r="H3906" t="s">
        <v>16</v>
      </c>
      <c r="I3906" t="s">
        <v>97</v>
      </c>
      <c r="J3906" s="1">
        <v>44276</v>
      </c>
      <c r="L3906" t="s">
        <v>14</v>
      </c>
      <c r="M3906">
        <v>58.44</v>
      </c>
      <c r="N3906">
        <v>58.44</v>
      </c>
      <c r="O3906" t="s">
        <v>21</v>
      </c>
      <c r="P3906">
        <f t="shared" si="193"/>
        <v>0</v>
      </c>
      <c r="Q3906" s="11">
        <f>IF(P3906=0,0,IFERROR(Q3905+G3906*M3906*IF(E3906="FUTURE",VLOOKUP(MID(I3906,2,2),Futures!$A$2:$B$12,2),1),G3906*M3906*IF(E3906="FUTURE",VLOOKUP(MID(I3906,2,2),Futures!$A$2:$B$12,2),1)))</f>
        <v>0</v>
      </c>
      <c r="R3906" s="12" t="str">
        <f>IFERROR(Q3906/P3906/IF(E3906="FUTURE",VLOOKUP(MID(I3906,2,2),Futures!$A$2:$B$12,2),1),"")</f>
        <v/>
      </c>
      <c r="S3906" s="13">
        <f>IF(AND(H3906="TO CLOSE",P3906=0),-G3906*(M3906-R3905)*IF(E3906="FUTURE",VLOOKUP(MID(I3906,2,2),Futures!$A$2:$B$12,2),1),"")</f>
        <v>109.99999999999943</v>
      </c>
    </row>
    <row r="3907" spans="1:19" x14ac:dyDescent="0.2">
      <c r="A3907">
        <f t="shared" si="197"/>
        <v>1292</v>
      </c>
      <c r="B3907" s="3">
        <v>44238</v>
      </c>
      <c r="C3907" s="3" t="str">
        <f t="shared" si="196"/>
        <v>Thursday</v>
      </c>
      <c r="D3907" s="2">
        <v>0.3935069444444444</v>
      </c>
      <c r="E3907" t="s">
        <v>14</v>
      </c>
      <c r="F3907" t="s">
        <v>19</v>
      </c>
      <c r="G3907">
        <v>1</v>
      </c>
      <c r="H3907" t="s">
        <v>20</v>
      </c>
      <c r="I3907" t="s">
        <v>89</v>
      </c>
      <c r="J3907" s="1">
        <v>44276</v>
      </c>
      <c r="L3907" t="s">
        <v>14</v>
      </c>
      <c r="M3907">
        <v>3916.5</v>
      </c>
      <c r="N3907">
        <v>3916.5</v>
      </c>
      <c r="O3907" t="s">
        <v>21</v>
      </c>
      <c r="P3907">
        <f t="shared" ref="P3907:P3970" si="198">IF(H3907="TO OPEN",IFERROR(P3906+G3907,0+G3907),IFERROR(P3906+G3907,0+G3907))</f>
        <v>1</v>
      </c>
      <c r="Q3907" s="11">
        <f>IF(P3907=0,0,IFERROR(Q3906+G3907*M3907*IF(E3907="FUTURE",VLOOKUP(MID(I3907,2,2),Futures!$A$2:$B$12,2),1),G3907*M3907*IF(E3907="FUTURE",VLOOKUP(MID(I3907,2,2),Futures!$A$2:$B$12,2),1)))</f>
        <v>195825</v>
      </c>
      <c r="R3907" s="12">
        <f>IFERROR(Q3907/P3907/IF(E3907="FUTURE",VLOOKUP(MID(I3907,2,2),Futures!$A$2:$B$12,2),1),"")</f>
        <v>3916.5</v>
      </c>
      <c r="S3907" s="13" t="str">
        <f>IF(AND(H3907="TO CLOSE",P3907=0),-G3907*(M3907-R3906)*IF(E3907="FUTURE",VLOOKUP(MID(I3907,2,2),Futures!$A$2:$B$12,2),1),"")</f>
        <v/>
      </c>
    </row>
    <row r="3908" spans="1:19" x14ac:dyDescent="0.2">
      <c r="A3908">
        <f t="shared" si="197"/>
        <v>1292</v>
      </c>
      <c r="B3908" s="3">
        <v>44238</v>
      </c>
      <c r="C3908" s="3" t="str">
        <f t="shared" si="196"/>
        <v>Thursday</v>
      </c>
      <c r="D3908" s="2">
        <v>0.40627314814814813</v>
      </c>
      <c r="E3908" t="s">
        <v>14</v>
      </c>
      <c r="F3908" t="s">
        <v>15</v>
      </c>
      <c r="G3908">
        <v>-1</v>
      </c>
      <c r="H3908" t="s">
        <v>16</v>
      </c>
      <c r="I3908" t="s">
        <v>89</v>
      </c>
      <c r="J3908" s="1">
        <v>44276</v>
      </c>
      <c r="L3908" t="s">
        <v>14</v>
      </c>
      <c r="M3908">
        <v>3916.5</v>
      </c>
      <c r="N3908">
        <v>3916.5</v>
      </c>
      <c r="O3908" t="s">
        <v>21</v>
      </c>
      <c r="P3908">
        <f t="shared" si="198"/>
        <v>0</v>
      </c>
      <c r="Q3908" s="11">
        <f>IF(P3908=0,0,IFERROR(Q3907+G3908*M3908*IF(E3908="FUTURE",VLOOKUP(MID(I3908,2,2),Futures!$A$2:$B$12,2),1),G3908*M3908*IF(E3908="FUTURE",VLOOKUP(MID(I3908,2,2),Futures!$A$2:$B$12,2),1)))</f>
        <v>0</v>
      </c>
      <c r="R3908" s="12" t="str">
        <f>IFERROR(Q3908/P3908/IF(E3908="FUTURE",VLOOKUP(MID(I3908,2,2),Futures!$A$2:$B$12,2),1),"")</f>
        <v/>
      </c>
      <c r="S3908" s="13">
        <f>IF(AND(H3908="TO CLOSE",P3908=0),-G3908*(M3908-R3907)*IF(E3908="FUTURE",VLOOKUP(MID(I3908,2,2),Futures!$A$2:$B$12,2),1),"")</f>
        <v>0</v>
      </c>
    </row>
    <row r="3909" spans="1:19" x14ac:dyDescent="0.2">
      <c r="A3909">
        <f t="shared" si="197"/>
        <v>1293</v>
      </c>
      <c r="B3909" s="3">
        <v>44238</v>
      </c>
      <c r="C3909" s="3" t="str">
        <f t="shared" si="196"/>
        <v>Thursday</v>
      </c>
      <c r="D3909" s="2">
        <v>0.45055555555555554</v>
      </c>
      <c r="E3909" t="s">
        <v>14</v>
      </c>
      <c r="F3909" t="s">
        <v>19</v>
      </c>
      <c r="G3909">
        <v>1</v>
      </c>
      <c r="H3909" t="s">
        <v>20</v>
      </c>
      <c r="I3909" t="s">
        <v>89</v>
      </c>
      <c r="J3909" s="1">
        <v>44276</v>
      </c>
      <c r="L3909" t="s">
        <v>14</v>
      </c>
      <c r="M3909">
        <v>3915.5</v>
      </c>
      <c r="N3909">
        <v>3915.5</v>
      </c>
      <c r="O3909" t="s">
        <v>21</v>
      </c>
      <c r="P3909">
        <f t="shared" si="198"/>
        <v>1</v>
      </c>
      <c r="Q3909" s="11">
        <f>IF(P3909=0,0,IFERROR(Q3908+G3909*M3909*IF(E3909="FUTURE",VLOOKUP(MID(I3909,2,2),Futures!$A$2:$B$12,2),1),G3909*M3909*IF(E3909="FUTURE",VLOOKUP(MID(I3909,2,2),Futures!$A$2:$B$12,2),1)))</f>
        <v>195775</v>
      </c>
      <c r="R3909" s="12">
        <f>IFERROR(Q3909/P3909/IF(E3909="FUTURE",VLOOKUP(MID(I3909,2,2),Futures!$A$2:$B$12,2),1),"")</f>
        <v>3915.5</v>
      </c>
      <c r="S3909" s="13" t="str">
        <f>IF(AND(H3909="TO CLOSE",P3909=0),-G3909*(M3909-R3908)*IF(E3909="FUTURE",VLOOKUP(MID(I3909,2,2),Futures!$A$2:$B$12,2),1),"")</f>
        <v/>
      </c>
    </row>
    <row r="3910" spans="1:19" x14ac:dyDescent="0.2">
      <c r="A3910">
        <f t="shared" si="197"/>
        <v>1293</v>
      </c>
      <c r="B3910" s="3">
        <v>44238</v>
      </c>
      <c r="C3910" s="3" t="str">
        <f t="shared" si="196"/>
        <v>Thursday</v>
      </c>
      <c r="D3910" s="2">
        <v>0.45653935185185185</v>
      </c>
      <c r="E3910" t="s">
        <v>14</v>
      </c>
      <c r="F3910" t="s">
        <v>15</v>
      </c>
      <c r="G3910">
        <v>-1</v>
      </c>
      <c r="H3910" t="s">
        <v>16</v>
      </c>
      <c r="I3910" t="s">
        <v>89</v>
      </c>
      <c r="J3910" s="1">
        <v>44276</v>
      </c>
      <c r="L3910" t="s">
        <v>14</v>
      </c>
      <c r="M3910">
        <v>3914.25</v>
      </c>
      <c r="N3910">
        <v>3914.25</v>
      </c>
      <c r="O3910" t="s">
        <v>24</v>
      </c>
      <c r="P3910">
        <f t="shared" si="198"/>
        <v>0</v>
      </c>
      <c r="Q3910" s="11">
        <f>IF(P3910=0,0,IFERROR(Q3909+G3910*M3910*IF(E3910="FUTURE",VLOOKUP(MID(I3910,2,2),Futures!$A$2:$B$12,2),1),G3910*M3910*IF(E3910="FUTURE",VLOOKUP(MID(I3910,2,2),Futures!$A$2:$B$12,2),1)))</f>
        <v>0</v>
      </c>
      <c r="R3910" s="12" t="str">
        <f>IFERROR(Q3910/P3910/IF(E3910="FUTURE",VLOOKUP(MID(I3910,2,2),Futures!$A$2:$B$12,2),1),"")</f>
        <v/>
      </c>
      <c r="S3910" s="13">
        <f>IF(AND(H3910="TO CLOSE",P3910=0),-G3910*(M3910-R3909)*IF(E3910="FUTURE",VLOOKUP(MID(I3910,2,2),Futures!$A$2:$B$12,2),1),"")</f>
        <v>-62.5</v>
      </c>
    </row>
    <row r="3911" spans="1:19" x14ac:dyDescent="0.2">
      <c r="A3911">
        <f t="shared" si="197"/>
        <v>1294</v>
      </c>
      <c r="B3911" s="3">
        <v>44238</v>
      </c>
      <c r="C3911" s="3" t="str">
        <f t="shared" si="196"/>
        <v>Thursday</v>
      </c>
      <c r="D3911" s="2">
        <v>0.49763888888888891</v>
      </c>
      <c r="E3911" t="s">
        <v>14</v>
      </c>
      <c r="F3911" t="s">
        <v>15</v>
      </c>
      <c r="G3911">
        <v>-1</v>
      </c>
      <c r="H3911" t="s">
        <v>20</v>
      </c>
      <c r="I3911" t="s">
        <v>89</v>
      </c>
      <c r="J3911" s="1">
        <v>44276</v>
      </c>
      <c r="L3911" t="s">
        <v>14</v>
      </c>
      <c r="M3911">
        <v>3906.75</v>
      </c>
      <c r="N3911">
        <v>3906.75</v>
      </c>
      <c r="O3911" t="s">
        <v>21</v>
      </c>
      <c r="P3911">
        <f t="shared" si="198"/>
        <v>-1</v>
      </c>
      <c r="Q3911" s="11">
        <f>IF(P3911=0,0,IFERROR(Q3910+G3911*M3911*IF(E3911="FUTURE",VLOOKUP(MID(I3911,2,2),Futures!$A$2:$B$12,2),1),G3911*M3911*IF(E3911="FUTURE",VLOOKUP(MID(I3911,2,2),Futures!$A$2:$B$12,2),1)))</f>
        <v>-195337.5</v>
      </c>
      <c r="R3911" s="12">
        <f>IFERROR(Q3911/P3911/IF(E3911="FUTURE",VLOOKUP(MID(I3911,2,2),Futures!$A$2:$B$12,2),1),"")</f>
        <v>3906.75</v>
      </c>
      <c r="S3911" s="13" t="str">
        <f>IF(AND(H3911="TO CLOSE",P3911=0),-G3911*(M3911-R3910)*IF(E3911="FUTURE",VLOOKUP(MID(I3911,2,2),Futures!$A$2:$B$12,2),1),"")</f>
        <v/>
      </c>
    </row>
    <row r="3912" spans="1:19" x14ac:dyDescent="0.2">
      <c r="A3912">
        <f t="shared" si="197"/>
        <v>1294</v>
      </c>
      <c r="B3912" s="3">
        <v>44238</v>
      </c>
      <c r="C3912" s="3" t="str">
        <f t="shared" si="196"/>
        <v>Thursday</v>
      </c>
      <c r="D3912" s="2">
        <v>0.50972222222222219</v>
      </c>
      <c r="E3912" t="s">
        <v>14</v>
      </c>
      <c r="F3912" t="s">
        <v>19</v>
      </c>
      <c r="G3912">
        <v>1</v>
      </c>
      <c r="H3912" t="s">
        <v>16</v>
      </c>
      <c r="I3912" t="s">
        <v>89</v>
      </c>
      <c r="J3912" s="1">
        <v>44276</v>
      </c>
      <c r="L3912" t="s">
        <v>14</v>
      </c>
      <c r="M3912">
        <v>3906.75</v>
      </c>
      <c r="N3912">
        <v>3906.75</v>
      </c>
      <c r="O3912" t="s">
        <v>21</v>
      </c>
      <c r="P3912">
        <f t="shared" si="198"/>
        <v>0</v>
      </c>
      <c r="Q3912" s="11">
        <f>IF(P3912=0,0,IFERROR(Q3911+G3912*M3912*IF(E3912="FUTURE",VLOOKUP(MID(I3912,2,2),Futures!$A$2:$B$12,2),1),G3912*M3912*IF(E3912="FUTURE",VLOOKUP(MID(I3912,2,2),Futures!$A$2:$B$12,2),1)))</f>
        <v>0</v>
      </c>
      <c r="R3912" s="12" t="str">
        <f>IFERROR(Q3912/P3912/IF(E3912="FUTURE",VLOOKUP(MID(I3912,2,2),Futures!$A$2:$B$12,2),1),"")</f>
        <v/>
      </c>
      <c r="S3912" s="13">
        <f>IF(AND(H3912="TO CLOSE",P3912=0),-G3912*(M3912-R3911)*IF(E3912="FUTURE",VLOOKUP(MID(I3912,2,2),Futures!$A$2:$B$12,2),1),"")</f>
        <v>0</v>
      </c>
    </row>
    <row r="3913" spans="1:19" x14ac:dyDescent="0.2">
      <c r="A3913">
        <f t="shared" si="197"/>
        <v>1295</v>
      </c>
      <c r="B3913" s="3">
        <v>44238</v>
      </c>
      <c r="C3913" s="3" t="str">
        <f t="shared" si="196"/>
        <v>Thursday</v>
      </c>
      <c r="D3913" s="2">
        <v>0.51034722222222217</v>
      </c>
      <c r="E3913" t="s">
        <v>14</v>
      </c>
      <c r="F3913" t="s">
        <v>15</v>
      </c>
      <c r="G3913">
        <v>-1</v>
      </c>
      <c r="H3913" t="s">
        <v>20</v>
      </c>
      <c r="I3913" t="s">
        <v>89</v>
      </c>
      <c r="J3913" s="1">
        <v>44276</v>
      </c>
      <c r="L3913" t="s">
        <v>14</v>
      </c>
      <c r="M3913">
        <v>3906</v>
      </c>
      <c r="N3913">
        <v>3906</v>
      </c>
      <c r="O3913" t="s">
        <v>21</v>
      </c>
      <c r="P3913">
        <f t="shared" si="198"/>
        <v>-1</v>
      </c>
      <c r="Q3913" s="11">
        <f>IF(P3913=0,0,IFERROR(Q3912+G3913*M3913*IF(E3913="FUTURE",VLOOKUP(MID(I3913,2,2),Futures!$A$2:$B$12,2),1),G3913*M3913*IF(E3913="FUTURE",VLOOKUP(MID(I3913,2,2),Futures!$A$2:$B$12,2),1)))</f>
        <v>-195300</v>
      </c>
      <c r="R3913" s="12">
        <f>IFERROR(Q3913/P3913/IF(E3913="FUTURE",VLOOKUP(MID(I3913,2,2),Futures!$A$2:$B$12,2),1),"")</f>
        <v>3906</v>
      </c>
      <c r="S3913" s="13" t="str">
        <f>IF(AND(H3913="TO CLOSE",P3913=0),-G3913*(M3913-R3912)*IF(E3913="FUTURE",VLOOKUP(MID(I3913,2,2),Futures!$A$2:$B$12,2),1),"")</f>
        <v/>
      </c>
    </row>
    <row r="3914" spans="1:19" x14ac:dyDescent="0.2">
      <c r="A3914">
        <f t="shared" si="197"/>
        <v>1295</v>
      </c>
      <c r="B3914" s="3">
        <v>44238</v>
      </c>
      <c r="C3914" s="3" t="str">
        <f t="shared" si="196"/>
        <v>Thursday</v>
      </c>
      <c r="D3914" s="2">
        <v>0.51099537037037035</v>
      </c>
      <c r="E3914" t="s">
        <v>14</v>
      </c>
      <c r="F3914" t="s">
        <v>19</v>
      </c>
      <c r="G3914">
        <v>1</v>
      </c>
      <c r="H3914" t="s">
        <v>16</v>
      </c>
      <c r="I3914" t="s">
        <v>89</v>
      </c>
      <c r="J3914" s="1">
        <v>44276</v>
      </c>
      <c r="L3914" t="s">
        <v>14</v>
      </c>
      <c r="M3914">
        <v>3903.5</v>
      </c>
      <c r="N3914">
        <v>3903.5</v>
      </c>
      <c r="O3914" t="s">
        <v>21</v>
      </c>
      <c r="P3914">
        <f t="shared" si="198"/>
        <v>0</v>
      </c>
      <c r="Q3914" s="11">
        <f>IF(P3914=0,0,IFERROR(Q3913+G3914*M3914*IF(E3914="FUTURE",VLOOKUP(MID(I3914,2,2),Futures!$A$2:$B$12,2),1),G3914*M3914*IF(E3914="FUTURE",VLOOKUP(MID(I3914,2,2),Futures!$A$2:$B$12,2),1)))</f>
        <v>0</v>
      </c>
      <c r="R3914" s="12" t="str">
        <f>IFERROR(Q3914/P3914/IF(E3914="FUTURE",VLOOKUP(MID(I3914,2,2),Futures!$A$2:$B$12,2),1),"")</f>
        <v/>
      </c>
      <c r="S3914" s="13">
        <f>IF(AND(H3914="TO CLOSE",P3914=0),-G3914*(M3914-R3913)*IF(E3914="FUTURE",VLOOKUP(MID(I3914,2,2),Futures!$A$2:$B$12,2),1),"")</f>
        <v>125</v>
      </c>
    </row>
    <row r="3915" spans="1:19" x14ac:dyDescent="0.2">
      <c r="A3915">
        <f t="shared" si="197"/>
        <v>1296</v>
      </c>
      <c r="B3915" s="3">
        <v>44238</v>
      </c>
      <c r="C3915" s="3" t="str">
        <f t="shared" si="196"/>
        <v>Thursday</v>
      </c>
      <c r="D3915" s="2">
        <v>0.41356481481481483</v>
      </c>
      <c r="E3915" t="s">
        <v>14</v>
      </c>
      <c r="F3915" t="s">
        <v>15</v>
      </c>
      <c r="G3915">
        <v>-1</v>
      </c>
      <c r="H3915" t="s">
        <v>20</v>
      </c>
      <c r="I3915" t="s">
        <v>94</v>
      </c>
      <c r="J3915" s="1">
        <v>44276</v>
      </c>
      <c r="L3915" t="s">
        <v>14</v>
      </c>
      <c r="M3915">
        <v>3911.5</v>
      </c>
      <c r="N3915">
        <v>3911.5</v>
      </c>
      <c r="O3915" t="s">
        <v>21</v>
      </c>
      <c r="P3915">
        <f t="shared" si="198"/>
        <v>-1</v>
      </c>
      <c r="Q3915" s="11">
        <f>IF(P3915=0,0,IFERROR(Q3914+G3915*M3915*IF(E3915="FUTURE",VLOOKUP(MID(I3915,2,2),Futures!$A$2:$B$12,2),1),G3915*M3915*IF(E3915="FUTURE",VLOOKUP(MID(I3915,2,2),Futures!$A$2:$B$12,2),1)))</f>
        <v>-19557.5</v>
      </c>
      <c r="R3915" s="12">
        <f>IFERROR(Q3915/P3915/IF(E3915="FUTURE",VLOOKUP(MID(I3915,2,2),Futures!$A$2:$B$12,2),1),"")</f>
        <v>3911.5</v>
      </c>
      <c r="S3915" s="13" t="str">
        <f>IF(AND(H3915="TO CLOSE",P3915=0),-G3915*(M3915-R3914)*IF(E3915="FUTURE",VLOOKUP(MID(I3915,2,2),Futures!$A$2:$B$12,2),1),"")</f>
        <v/>
      </c>
    </row>
    <row r="3916" spans="1:19" x14ac:dyDescent="0.2">
      <c r="A3916">
        <f t="shared" si="197"/>
        <v>1296</v>
      </c>
      <c r="B3916" s="3">
        <v>44238</v>
      </c>
      <c r="C3916" s="3" t="str">
        <f t="shared" si="196"/>
        <v>Thursday</v>
      </c>
      <c r="D3916" s="2">
        <v>0.41356481481481483</v>
      </c>
      <c r="E3916" t="s">
        <v>14</v>
      </c>
      <c r="F3916" t="s">
        <v>15</v>
      </c>
      <c r="G3916">
        <v>-2</v>
      </c>
      <c r="H3916" t="s">
        <v>20</v>
      </c>
      <c r="I3916" t="s">
        <v>94</v>
      </c>
      <c r="J3916" s="1">
        <v>44276</v>
      </c>
      <c r="L3916" t="s">
        <v>14</v>
      </c>
      <c r="M3916">
        <v>3911.5</v>
      </c>
      <c r="N3916">
        <v>3911.5</v>
      </c>
      <c r="O3916" t="s">
        <v>21</v>
      </c>
      <c r="P3916">
        <f t="shared" si="198"/>
        <v>-3</v>
      </c>
      <c r="Q3916" s="11">
        <f>IF(P3916=0,0,IFERROR(Q3915+G3916*M3916*IF(E3916="FUTURE",VLOOKUP(MID(I3916,2,2),Futures!$A$2:$B$12,2),1),G3916*M3916*IF(E3916="FUTURE",VLOOKUP(MID(I3916,2,2),Futures!$A$2:$B$12,2),1)))</f>
        <v>-58672.5</v>
      </c>
      <c r="R3916" s="12">
        <f>IFERROR(Q3916/P3916/IF(E3916="FUTURE",VLOOKUP(MID(I3916,2,2),Futures!$A$2:$B$12,2),1),"")</f>
        <v>3911.5</v>
      </c>
      <c r="S3916" s="13" t="str">
        <f>IF(AND(H3916="TO CLOSE",P3916=0),-G3916*(M3916-R3915)*IF(E3916="FUTURE",VLOOKUP(MID(I3916,2,2),Futures!$A$2:$B$12,2),1),"")</f>
        <v/>
      </c>
    </row>
    <row r="3917" spans="1:19" x14ac:dyDescent="0.2">
      <c r="A3917">
        <f t="shared" si="197"/>
        <v>1296</v>
      </c>
      <c r="B3917" s="3">
        <v>44238</v>
      </c>
      <c r="C3917" s="3" t="str">
        <f t="shared" si="196"/>
        <v>Thursday</v>
      </c>
      <c r="D3917" s="2">
        <v>0.46361111111111114</v>
      </c>
      <c r="E3917" t="s">
        <v>14</v>
      </c>
      <c r="F3917" t="s">
        <v>19</v>
      </c>
      <c r="G3917">
        <v>1</v>
      </c>
      <c r="H3917" t="s">
        <v>16</v>
      </c>
      <c r="I3917" t="s">
        <v>94</v>
      </c>
      <c r="J3917" s="1">
        <v>44276</v>
      </c>
      <c r="L3917" t="s">
        <v>14</v>
      </c>
      <c r="M3917">
        <v>3908.25</v>
      </c>
      <c r="N3917">
        <v>3908.25</v>
      </c>
      <c r="O3917" t="s">
        <v>21</v>
      </c>
      <c r="P3917">
        <f t="shared" si="198"/>
        <v>-2</v>
      </c>
      <c r="Q3917" s="11">
        <f>IF(P3917=0,0,IFERROR(Q3916+G3917*M3917*IF(E3917="FUTURE",VLOOKUP(MID(I3917,2,2),Futures!$A$2:$B$12,2),1),G3917*M3917*IF(E3917="FUTURE",VLOOKUP(MID(I3917,2,2),Futures!$A$2:$B$12,2),1)))</f>
        <v>-39131.25</v>
      </c>
      <c r="R3917" s="12">
        <f>IFERROR(Q3917/P3917/IF(E3917="FUTURE",VLOOKUP(MID(I3917,2,2),Futures!$A$2:$B$12,2),1),"")</f>
        <v>3913.125</v>
      </c>
      <c r="S3917" s="13" t="str">
        <f>IF(AND(H3917="TO CLOSE",P3917=0),-G3917*(M3917-R3916)*IF(E3917="FUTURE",VLOOKUP(MID(I3917,2,2),Futures!$A$2:$B$12,2),1),"")</f>
        <v/>
      </c>
    </row>
    <row r="3918" spans="1:19" x14ac:dyDescent="0.2">
      <c r="A3918">
        <f t="shared" si="197"/>
        <v>1296</v>
      </c>
      <c r="B3918" s="3">
        <v>44238</v>
      </c>
      <c r="C3918" s="3" t="str">
        <f t="shared" si="196"/>
        <v>Thursday</v>
      </c>
      <c r="D3918" s="2">
        <v>0.46513888888888894</v>
      </c>
      <c r="E3918" t="s">
        <v>14</v>
      </c>
      <c r="F3918" t="s">
        <v>19</v>
      </c>
      <c r="G3918">
        <v>2</v>
      </c>
      <c r="H3918" t="s">
        <v>16</v>
      </c>
      <c r="I3918" t="s">
        <v>94</v>
      </c>
      <c r="J3918" s="1">
        <v>44276</v>
      </c>
      <c r="L3918" t="s">
        <v>14</v>
      </c>
      <c r="M3918">
        <v>3908.25</v>
      </c>
      <c r="N3918">
        <v>3908.25</v>
      </c>
      <c r="O3918" t="s">
        <v>21</v>
      </c>
      <c r="P3918">
        <f t="shared" si="198"/>
        <v>0</v>
      </c>
      <c r="Q3918" s="11">
        <f>IF(P3918=0,0,IFERROR(Q3917+G3918*M3918*IF(E3918="FUTURE",VLOOKUP(MID(I3918,2,2),Futures!$A$2:$B$12,2),1),G3918*M3918*IF(E3918="FUTURE",VLOOKUP(MID(I3918,2,2),Futures!$A$2:$B$12,2),1)))</f>
        <v>0</v>
      </c>
      <c r="R3918" s="12" t="str">
        <f>IFERROR(Q3918/P3918/IF(E3918="FUTURE",VLOOKUP(MID(I3918,2,2),Futures!$A$2:$B$12,2),1),"")</f>
        <v/>
      </c>
      <c r="S3918" s="13">
        <f>IF(AND(H3918="TO CLOSE",P3918=0),-G3918*(M3918-R3917)*IF(E3918="FUTURE",VLOOKUP(MID(I3918,2,2),Futures!$A$2:$B$12,2),1),"")</f>
        <v>48.75</v>
      </c>
    </row>
    <row r="3919" spans="1:19" x14ac:dyDescent="0.2">
      <c r="A3919">
        <f t="shared" si="197"/>
        <v>1297</v>
      </c>
      <c r="B3919" s="3">
        <v>44238</v>
      </c>
      <c r="C3919" s="3" t="str">
        <f t="shared" si="196"/>
        <v>Thursday</v>
      </c>
      <c r="D3919" s="2">
        <v>0.41259259259259262</v>
      </c>
      <c r="E3919" t="s">
        <v>22</v>
      </c>
      <c r="F3919" t="s">
        <v>19</v>
      </c>
      <c r="G3919">
        <v>300</v>
      </c>
      <c r="H3919" t="s">
        <v>20</v>
      </c>
      <c r="I3919" t="s">
        <v>23</v>
      </c>
      <c r="L3919" t="s">
        <v>22</v>
      </c>
      <c r="M3919">
        <v>16.689900000000002</v>
      </c>
      <c r="N3919">
        <v>16.689900000000002</v>
      </c>
      <c r="O3919" t="s">
        <v>21</v>
      </c>
      <c r="P3919">
        <f t="shared" si="198"/>
        <v>300</v>
      </c>
      <c r="Q3919" s="11">
        <f>IF(P3919=0,0,IFERROR(Q3918+G3919*M3919*IF(E3919="FUTURE",VLOOKUP(MID(I3919,2,2),Futures!$A$2:$B$12,2),1),G3919*M3919*IF(E3919="FUTURE",VLOOKUP(MID(I3919,2,2),Futures!$A$2:$B$12,2),1)))</f>
        <v>5006.97</v>
      </c>
      <c r="R3919" s="12">
        <f>IFERROR(Q3919/P3919/IF(E3919="FUTURE",VLOOKUP(MID(I3919,2,2),Futures!$A$2:$B$12,2),1),"")</f>
        <v>16.689900000000002</v>
      </c>
      <c r="S3919" s="13" t="str">
        <f>IF(AND(H3919="TO CLOSE",P3919=0),-G3919*(M3919-R3918)*IF(E3919="FUTURE",VLOOKUP(MID(I3919,2,2),Futures!$A$2:$B$12,2),1),"")</f>
        <v/>
      </c>
    </row>
    <row r="3920" spans="1:19" x14ac:dyDescent="0.2">
      <c r="A3920">
        <f t="shared" si="197"/>
        <v>1297</v>
      </c>
      <c r="B3920" s="3">
        <v>44238</v>
      </c>
      <c r="C3920" s="3" t="str">
        <f t="shared" si="196"/>
        <v>Thursday</v>
      </c>
      <c r="D3920" s="2">
        <v>0.47142361111111114</v>
      </c>
      <c r="E3920" t="s">
        <v>22</v>
      </c>
      <c r="F3920" t="s">
        <v>15</v>
      </c>
      <c r="G3920">
        <v>-60</v>
      </c>
      <c r="H3920" t="s">
        <v>16</v>
      </c>
      <c r="I3920" t="s">
        <v>23</v>
      </c>
      <c r="L3920" t="s">
        <v>22</v>
      </c>
      <c r="M3920">
        <v>16.620100000000001</v>
      </c>
      <c r="N3920">
        <v>16.620170000000002</v>
      </c>
      <c r="O3920" t="s">
        <v>24</v>
      </c>
      <c r="P3920">
        <f t="shared" si="198"/>
        <v>240</v>
      </c>
      <c r="Q3920" s="11">
        <f>IF(P3920=0,0,IFERROR(Q3919+G3920*M3920*IF(E3920="FUTURE",VLOOKUP(MID(I3920,2,2),Futures!$A$2:$B$12,2),1),G3920*M3920*IF(E3920="FUTURE",VLOOKUP(MID(I3920,2,2),Futures!$A$2:$B$12,2),1)))</f>
        <v>4009.7640000000001</v>
      </c>
      <c r="R3920" s="12">
        <f>IFERROR(Q3920/P3920/IF(E3920="FUTURE",VLOOKUP(MID(I3920,2,2),Futures!$A$2:$B$12,2),1),"")</f>
        <v>16.707350000000002</v>
      </c>
      <c r="S3920" s="13" t="str">
        <f>IF(AND(H3920="TO CLOSE",P3920=0),-G3920*(M3920-R3919)*IF(E3920="FUTURE",VLOOKUP(MID(I3920,2,2),Futures!$A$2:$B$12,2),1),"")</f>
        <v/>
      </c>
    </row>
    <row r="3921" spans="1:19" x14ac:dyDescent="0.2">
      <c r="A3921">
        <f t="shared" si="197"/>
        <v>1297</v>
      </c>
      <c r="B3921" s="3">
        <v>44238</v>
      </c>
      <c r="C3921" s="3" t="str">
        <f t="shared" si="196"/>
        <v>Thursday</v>
      </c>
      <c r="D3921" s="2">
        <v>0.47142361111111114</v>
      </c>
      <c r="E3921" t="s">
        <v>22</v>
      </c>
      <c r="F3921" t="s">
        <v>15</v>
      </c>
      <c r="G3921">
        <v>-40</v>
      </c>
      <c r="H3921" t="s">
        <v>16</v>
      </c>
      <c r="I3921" t="s">
        <v>23</v>
      </c>
      <c r="L3921" t="s">
        <v>22</v>
      </c>
      <c r="M3921">
        <v>16.620999999999999</v>
      </c>
      <c r="N3921">
        <v>16.620999999999999</v>
      </c>
      <c r="O3921" t="s">
        <v>24</v>
      </c>
      <c r="P3921">
        <f t="shared" si="198"/>
        <v>200</v>
      </c>
      <c r="Q3921" s="11">
        <f>IF(P3921=0,0,IFERROR(Q3920+G3921*M3921*IF(E3921="FUTURE",VLOOKUP(MID(I3921,2,2),Futures!$A$2:$B$12,2),1),G3921*M3921*IF(E3921="FUTURE",VLOOKUP(MID(I3921,2,2),Futures!$A$2:$B$12,2),1)))</f>
        <v>3344.924</v>
      </c>
      <c r="R3921" s="12">
        <f>IFERROR(Q3921/P3921/IF(E3921="FUTURE",VLOOKUP(MID(I3921,2,2),Futures!$A$2:$B$12,2),1),"")</f>
        <v>16.724620000000002</v>
      </c>
      <c r="S3921" s="13" t="str">
        <f>IF(AND(H3921="TO CLOSE",P3921=0),-G3921*(M3921-R3920)*IF(E3921="FUTURE",VLOOKUP(MID(I3921,2,2),Futures!$A$2:$B$12,2),1),"")</f>
        <v/>
      </c>
    </row>
    <row r="3922" spans="1:19" x14ac:dyDescent="0.2">
      <c r="A3922">
        <f t="shared" si="197"/>
        <v>1297</v>
      </c>
      <c r="B3922" s="3">
        <v>44238</v>
      </c>
      <c r="C3922" s="3" t="str">
        <f t="shared" si="196"/>
        <v>Thursday</v>
      </c>
      <c r="D3922" s="2">
        <v>0.47181712962962963</v>
      </c>
      <c r="E3922" t="s">
        <v>22</v>
      </c>
      <c r="F3922" t="s">
        <v>15</v>
      </c>
      <c r="G3922">
        <v>-50</v>
      </c>
      <c r="H3922" t="s">
        <v>16</v>
      </c>
      <c r="I3922" t="s">
        <v>23</v>
      </c>
      <c r="L3922" t="s">
        <v>22</v>
      </c>
      <c r="M3922">
        <v>16.614999999999998</v>
      </c>
      <c r="N3922">
        <v>16.614999999999998</v>
      </c>
      <c r="O3922" t="s">
        <v>21</v>
      </c>
      <c r="P3922">
        <f t="shared" si="198"/>
        <v>150</v>
      </c>
      <c r="Q3922" s="11">
        <f>IF(P3922=0,0,IFERROR(Q3921+G3922*M3922*IF(E3922="FUTURE",VLOOKUP(MID(I3922,2,2),Futures!$A$2:$B$12,2),1),G3922*M3922*IF(E3922="FUTURE",VLOOKUP(MID(I3922,2,2),Futures!$A$2:$B$12,2),1)))</f>
        <v>2514.174</v>
      </c>
      <c r="R3922" s="12">
        <f>IFERROR(Q3922/P3922/IF(E3922="FUTURE",VLOOKUP(MID(I3922,2,2),Futures!$A$2:$B$12,2),1),"")</f>
        <v>16.76116</v>
      </c>
      <c r="S3922" s="13" t="str">
        <f>IF(AND(H3922="TO CLOSE",P3922=0),-G3922*(M3922-R3921)*IF(E3922="FUTURE",VLOOKUP(MID(I3922,2,2),Futures!$A$2:$B$12,2),1),"")</f>
        <v/>
      </c>
    </row>
    <row r="3923" spans="1:19" x14ac:dyDescent="0.2">
      <c r="A3923">
        <f t="shared" si="197"/>
        <v>1297</v>
      </c>
      <c r="B3923" s="3">
        <v>44238</v>
      </c>
      <c r="C3923" s="3" t="str">
        <f t="shared" si="196"/>
        <v>Thursday</v>
      </c>
      <c r="D3923" s="2">
        <v>0.47688657407407403</v>
      </c>
      <c r="E3923" t="s">
        <v>22</v>
      </c>
      <c r="F3923" t="s">
        <v>15</v>
      </c>
      <c r="G3923">
        <v>-150</v>
      </c>
      <c r="H3923" t="s">
        <v>16</v>
      </c>
      <c r="I3923" t="s">
        <v>23</v>
      </c>
      <c r="L3923" t="s">
        <v>22</v>
      </c>
      <c r="M3923">
        <v>16.545000000000002</v>
      </c>
      <c r="N3923">
        <v>16.545000000000002</v>
      </c>
      <c r="O3923" t="s">
        <v>24</v>
      </c>
      <c r="P3923">
        <f t="shared" si="198"/>
        <v>0</v>
      </c>
      <c r="Q3923" s="11">
        <f>IF(P3923=0,0,IFERROR(Q3922+G3923*M3923*IF(E3923="FUTURE",VLOOKUP(MID(I3923,2,2),Futures!$A$2:$B$12,2),1),G3923*M3923*IF(E3923="FUTURE",VLOOKUP(MID(I3923,2,2),Futures!$A$2:$B$12,2),1)))</f>
        <v>0</v>
      </c>
      <c r="R3923" s="12" t="str">
        <f>IFERROR(Q3923/P3923/IF(E3923="FUTURE",VLOOKUP(MID(I3923,2,2),Futures!$A$2:$B$12,2),1),"")</f>
        <v/>
      </c>
      <c r="S3923" s="13">
        <f>IF(AND(H3923="TO CLOSE",P3923=0),-G3923*(M3923-R3922)*IF(E3923="FUTURE",VLOOKUP(MID(I3923,2,2),Futures!$A$2:$B$12,2),1),"")</f>
        <v>-32.423999999999786</v>
      </c>
    </row>
    <row r="3924" spans="1:19" x14ac:dyDescent="0.2">
      <c r="A3924">
        <f t="shared" si="197"/>
        <v>1298</v>
      </c>
      <c r="B3924" s="3">
        <v>44239</v>
      </c>
      <c r="C3924" s="3" t="str">
        <f t="shared" si="196"/>
        <v>Friday</v>
      </c>
      <c r="D3924" s="2">
        <v>0.40505787037037039</v>
      </c>
      <c r="E3924" t="s">
        <v>14</v>
      </c>
      <c r="F3924" t="s">
        <v>19</v>
      </c>
      <c r="G3924">
        <v>1</v>
      </c>
      <c r="H3924" t="s">
        <v>20</v>
      </c>
      <c r="I3924" t="s">
        <v>97</v>
      </c>
      <c r="J3924" s="1">
        <v>44276</v>
      </c>
      <c r="L3924" t="s">
        <v>14</v>
      </c>
      <c r="M3924">
        <v>58.34</v>
      </c>
      <c r="N3924">
        <v>58.34</v>
      </c>
      <c r="O3924" t="s">
        <v>24</v>
      </c>
      <c r="P3924">
        <f t="shared" si="198"/>
        <v>1</v>
      </c>
      <c r="Q3924" s="11">
        <f>IF(P3924=0,0,IFERROR(Q3923+G3924*M3924*IF(E3924="FUTURE",VLOOKUP(MID(I3924,2,2),Futures!$A$2:$B$12,2),1),G3924*M3924*IF(E3924="FUTURE",VLOOKUP(MID(I3924,2,2),Futures!$A$2:$B$12,2),1)))</f>
        <v>58340</v>
      </c>
      <c r="R3924" s="12">
        <f>IFERROR(Q3924/P3924/IF(E3924="FUTURE",VLOOKUP(MID(I3924,2,2),Futures!$A$2:$B$12,2),1),"")</f>
        <v>58.34</v>
      </c>
      <c r="S3924" s="13" t="str">
        <f>IF(AND(H3924="TO CLOSE",P3924=0),-G3924*(M3924-R3923)*IF(E3924="FUTURE",VLOOKUP(MID(I3924,2,2),Futures!$A$2:$B$12,2),1),"")</f>
        <v/>
      </c>
    </row>
    <row r="3925" spans="1:19" x14ac:dyDescent="0.2">
      <c r="A3925">
        <f t="shared" si="197"/>
        <v>1298</v>
      </c>
      <c r="B3925" s="3">
        <v>44239</v>
      </c>
      <c r="C3925" s="3" t="str">
        <f t="shared" si="196"/>
        <v>Friday</v>
      </c>
      <c r="D3925" s="2">
        <v>0.40663194444444445</v>
      </c>
      <c r="E3925" t="s">
        <v>14</v>
      </c>
      <c r="F3925" t="s">
        <v>15</v>
      </c>
      <c r="G3925">
        <v>-1</v>
      </c>
      <c r="H3925" t="s">
        <v>16</v>
      </c>
      <c r="I3925" t="s">
        <v>97</v>
      </c>
      <c r="J3925" s="1">
        <v>44276</v>
      </c>
      <c r="L3925" t="s">
        <v>14</v>
      </c>
      <c r="M3925">
        <v>58.34</v>
      </c>
      <c r="N3925">
        <v>58.34</v>
      </c>
      <c r="O3925" t="s">
        <v>21</v>
      </c>
      <c r="P3925">
        <f t="shared" si="198"/>
        <v>0</v>
      </c>
      <c r="Q3925" s="11">
        <f>IF(P3925=0,0,IFERROR(Q3924+G3925*M3925*IF(E3925="FUTURE",VLOOKUP(MID(I3925,2,2),Futures!$A$2:$B$12,2),1),G3925*M3925*IF(E3925="FUTURE",VLOOKUP(MID(I3925,2,2),Futures!$A$2:$B$12,2),1)))</f>
        <v>0</v>
      </c>
      <c r="R3925" s="12" t="str">
        <f>IFERROR(Q3925/P3925/IF(E3925="FUTURE",VLOOKUP(MID(I3925,2,2),Futures!$A$2:$B$12,2),1),"")</f>
        <v/>
      </c>
      <c r="S3925" s="13">
        <f>IF(AND(H3925="TO CLOSE",P3925=0),-G3925*(M3925-R3924)*IF(E3925="FUTURE",VLOOKUP(MID(I3925,2,2),Futures!$A$2:$B$12,2),1),"")</f>
        <v>0</v>
      </c>
    </row>
    <row r="3926" spans="1:19" x14ac:dyDescent="0.2">
      <c r="A3926">
        <f t="shared" si="197"/>
        <v>1299</v>
      </c>
      <c r="B3926" s="3">
        <v>44239</v>
      </c>
      <c r="C3926" s="3" t="str">
        <f t="shared" ref="C3926:C3936" si="199">IF(WEEKDAY(B3926,2)=1,"Monday",IF(WEEKDAY(B3926,2)=2,"Tuesday",IF(WEEKDAY(B3926,2)=3,"Wednesday",IF(WEEKDAY(B3926,2)=4,"Thursday",IF(WEEKDAY(B3926,2)=5,"Friday","Sunday")))))</f>
        <v>Friday</v>
      </c>
      <c r="D3926" s="2">
        <v>0.4132291666666667</v>
      </c>
      <c r="E3926" t="s">
        <v>14</v>
      </c>
      <c r="F3926" t="s">
        <v>15</v>
      </c>
      <c r="G3926">
        <v>-1</v>
      </c>
      <c r="H3926" t="s">
        <v>20</v>
      </c>
      <c r="I3926" t="s">
        <v>97</v>
      </c>
      <c r="J3926" s="1">
        <v>44276</v>
      </c>
      <c r="L3926" t="s">
        <v>14</v>
      </c>
      <c r="M3926">
        <v>58.43</v>
      </c>
      <c r="N3926">
        <v>58.43</v>
      </c>
      <c r="O3926" t="s">
        <v>21</v>
      </c>
      <c r="P3926">
        <f t="shared" si="198"/>
        <v>-1</v>
      </c>
      <c r="Q3926" s="11">
        <f>IF(P3926=0,0,IFERROR(Q3925+G3926*M3926*IF(E3926="FUTURE",VLOOKUP(MID(I3926,2,2),Futures!$A$2:$B$12,2),1),G3926*M3926*IF(E3926="FUTURE",VLOOKUP(MID(I3926,2,2),Futures!$A$2:$B$12,2),1)))</f>
        <v>-58430</v>
      </c>
      <c r="R3926" s="12">
        <f>IFERROR(Q3926/P3926/IF(E3926="FUTURE",VLOOKUP(MID(I3926,2,2),Futures!$A$2:$B$12,2),1),"")</f>
        <v>58.43</v>
      </c>
      <c r="S3926" s="13" t="str">
        <f>IF(AND(H3926="TO CLOSE",P3926=0),-G3926*(M3926-R3925)*IF(E3926="FUTURE",VLOOKUP(MID(I3926,2,2),Futures!$A$2:$B$12,2),1),"")</f>
        <v/>
      </c>
    </row>
    <row r="3927" spans="1:19" x14ac:dyDescent="0.2">
      <c r="A3927">
        <f t="shared" si="197"/>
        <v>1299</v>
      </c>
      <c r="B3927" s="3">
        <v>44239</v>
      </c>
      <c r="C3927" s="3" t="str">
        <f t="shared" si="199"/>
        <v>Friday</v>
      </c>
      <c r="D3927" s="2">
        <v>0.43807870370370372</v>
      </c>
      <c r="E3927" t="s">
        <v>14</v>
      </c>
      <c r="F3927" t="s">
        <v>19</v>
      </c>
      <c r="G3927">
        <v>1</v>
      </c>
      <c r="H3927" t="s">
        <v>16</v>
      </c>
      <c r="I3927" t="s">
        <v>97</v>
      </c>
      <c r="J3927" s="1">
        <v>44276</v>
      </c>
      <c r="L3927" t="s">
        <v>14</v>
      </c>
      <c r="M3927">
        <v>58.43</v>
      </c>
      <c r="N3927">
        <v>58.43</v>
      </c>
      <c r="O3927" t="s">
        <v>21</v>
      </c>
      <c r="P3927">
        <f t="shared" si="198"/>
        <v>0</v>
      </c>
      <c r="Q3927" s="11">
        <f>IF(P3927=0,0,IFERROR(Q3926+G3927*M3927*IF(E3927="FUTURE",VLOOKUP(MID(I3927,2,2),Futures!$A$2:$B$12,2),1),G3927*M3927*IF(E3927="FUTURE",VLOOKUP(MID(I3927,2,2),Futures!$A$2:$B$12,2),1)))</f>
        <v>0</v>
      </c>
      <c r="R3927" s="12" t="str">
        <f>IFERROR(Q3927/P3927/IF(E3927="FUTURE",VLOOKUP(MID(I3927,2,2),Futures!$A$2:$B$12,2),1),"")</f>
        <v/>
      </c>
      <c r="S3927" s="13">
        <f>IF(AND(H3927="TO CLOSE",P3927=0),-G3927*(M3927-R3926)*IF(E3927="FUTURE",VLOOKUP(MID(I3927,2,2),Futures!$A$2:$B$12,2),1),"")</f>
        <v>0</v>
      </c>
    </row>
    <row r="3928" spans="1:19" x14ac:dyDescent="0.2">
      <c r="A3928">
        <f t="shared" si="197"/>
        <v>1300</v>
      </c>
      <c r="B3928" s="3">
        <v>44239</v>
      </c>
      <c r="C3928" s="3" t="str">
        <f t="shared" si="199"/>
        <v>Friday</v>
      </c>
      <c r="D3928" s="2">
        <v>0.43859953703703702</v>
      </c>
      <c r="E3928" t="s">
        <v>14</v>
      </c>
      <c r="F3928" t="s">
        <v>15</v>
      </c>
      <c r="G3928">
        <v>-1</v>
      </c>
      <c r="H3928" t="s">
        <v>20</v>
      </c>
      <c r="I3928" t="s">
        <v>97</v>
      </c>
      <c r="J3928" s="1">
        <v>44276</v>
      </c>
      <c r="L3928" t="s">
        <v>14</v>
      </c>
      <c r="M3928">
        <v>58.46</v>
      </c>
      <c r="N3928">
        <v>58.46</v>
      </c>
      <c r="O3928" t="s">
        <v>21</v>
      </c>
      <c r="P3928">
        <f t="shared" si="198"/>
        <v>-1</v>
      </c>
      <c r="Q3928" s="11">
        <f>IF(P3928=0,0,IFERROR(Q3927+G3928*M3928*IF(E3928="FUTURE",VLOOKUP(MID(I3928,2,2),Futures!$A$2:$B$12,2),1),G3928*M3928*IF(E3928="FUTURE",VLOOKUP(MID(I3928,2,2),Futures!$A$2:$B$12,2),1)))</f>
        <v>-58460</v>
      </c>
      <c r="R3928" s="12">
        <f>IFERROR(Q3928/P3928/IF(E3928="FUTURE",VLOOKUP(MID(I3928,2,2),Futures!$A$2:$B$12,2),1),"")</f>
        <v>58.46</v>
      </c>
      <c r="S3928" s="13" t="str">
        <f>IF(AND(H3928="TO CLOSE",P3928=0),-G3928*(M3928-R3927)*IF(E3928="FUTURE",VLOOKUP(MID(I3928,2,2),Futures!$A$2:$B$12,2),1),"")</f>
        <v/>
      </c>
    </row>
    <row r="3929" spans="1:19" x14ac:dyDescent="0.2">
      <c r="A3929">
        <f t="shared" si="197"/>
        <v>1300</v>
      </c>
      <c r="B3929" s="3">
        <v>44239</v>
      </c>
      <c r="C3929" s="3" t="str">
        <f t="shared" si="199"/>
        <v>Friday</v>
      </c>
      <c r="D3929" s="2">
        <v>0.44105324074074076</v>
      </c>
      <c r="E3929" t="s">
        <v>14</v>
      </c>
      <c r="F3929" t="s">
        <v>19</v>
      </c>
      <c r="G3929">
        <v>1</v>
      </c>
      <c r="H3929" t="s">
        <v>16</v>
      </c>
      <c r="I3929" t="s">
        <v>97</v>
      </c>
      <c r="J3929" s="1">
        <v>44276</v>
      </c>
      <c r="L3929" t="s">
        <v>14</v>
      </c>
      <c r="M3929">
        <v>58.46</v>
      </c>
      <c r="N3929">
        <v>58.46</v>
      </c>
      <c r="O3929" t="s">
        <v>18</v>
      </c>
      <c r="P3929">
        <f t="shared" si="198"/>
        <v>0</v>
      </c>
      <c r="Q3929" s="11">
        <f>IF(P3929=0,0,IFERROR(Q3928+G3929*M3929*IF(E3929="FUTURE",VLOOKUP(MID(I3929,2,2),Futures!$A$2:$B$12,2),1),G3929*M3929*IF(E3929="FUTURE",VLOOKUP(MID(I3929,2,2),Futures!$A$2:$B$12,2),1)))</f>
        <v>0</v>
      </c>
      <c r="R3929" s="12" t="str">
        <f>IFERROR(Q3929/P3929/IF(E3929="FUTURE",VLOOKUP(MID(I3929,2,2),Futures!$A$2:$B$12,2),1),"")</f>
        <v/>
      </c>
      <c r="S3929" s="13">
        <f>IF(AND(H3929="TO CLOSE",P3929=0),-G3929*(M3929-R3928)*IF(E3929="FUTURE",VLOOKUP(MID(I3929,2,2),Futures!$A$2:$B$12,2),1),"")</f>
        <v>0</v>
      </c>
    </row>
    <row r="3930" spans="1:19" x14ac:dyDescent="0.2">
      <c r="A3930">
        <f t="shared" si="197"/>
        <v>1301</v>
      </c>
      <c r="B3930" s="3">
        <v>44239</v>
      </c>
      <c r="C3930" s="3" t="str">
        <f t="shared" si="199"/>
        <v>Friday</v>
      </c>
      <c r="D3930" s="2">
        <v>0.45987268518518515</v>
      </c>
      <c r="E3930" t="s">
        <v>14</v>
      </c>
      <c r="F3930" t="s">
        <v>15</v>
      </c>
      <c r="G3930">
        <v>-2</v>
      </c>
      <c r="H3930" t="s">
        <v>20</v>
      </c>
      <c r="I3930" t="s">
        <v>97</v>
      </c>
      <c r="J3930" s="1">
        <v>44276</v>
      </c>
      <c r="L3930" t="s">
        <v>14</v>
      </c>
      <c r="M3930">
        <v>58.43</v>
      </c>
      <c r="N3930">
        <v>58.43</v>
      </c>
      <c r="O3930" t="s">
        <v>24</v>
      </c>
      <c r="P3930">
        <f t="shared" si="198"/>
        <v>-2</v>
      </c>
      <c r="Q3930" s="11">
        <f>IF(P3930=0,0,IFERROR(Q3929+G3930*M3930*IF(E3930="FUTURE",VLOOKUP(MID(I3930,2,2),Futures!$A$2:$B$12,2),1),G3930*M3930*IF(E3930="FUTURE",VLOOKUP(MID(I3930,2,2),Futures!$A$2:$B$12,2),1)))</f>
        <v>-116860</v>
      </c>
      <c r="R3930" s="12">
        <f>IFERROR(Q3930/P3930/IF(E3930="FUTURE",VLOOKUP(MID(I3930,2,2),Futures!$A$2:$B$12,2),1),"")</f>
        <v>58.43</v>
      </c>
      <c r="S3930" s="13" t="str">
        <f>IF(AND(H3930="TO CLOSE",P3930=0),-G3930*(M3930-R3929)*IF(E3930="FUTURE",VLOOKUP(MID(I3930,2,2),Futures!$A$2:$B$12,2),1),"")</f>
        <v/>
      </c>
    </row>
    <row r="3931" spans="1:19" x14ac:dyDescent="0.2">
      <c r="A3931">
        <f t="shared" si="197"/>
        <v>1301</v>
      </c>
      <c r="B3931" s="3">
        <v>44239</v>
      </c>
      <c r="C3931" s="3" t="str">
        <f t="shared" si="199"/>
        <v>Friday</v>
      </c>
      <c r="D3931" s="2">
        <v>0.46189814814814811</v>
      </c>
      <c r="E3931" t="s">
        <v>14</v>
      </c>
      <c r="F3931" t="s">
        <v>19</v>
      </c>
      <c r="G3931">
        <v>1</v>
      </c>
      <c r="H3931" t="s">
        <v>16</v>
      </c>
      <c r="I3931" t="s">
        <v>97</v>
      </c>
      <c r="J3931" s="1">
        <v>44276</v>
      </c>
      <c r="L3931" t="s">
        <v>14</v>
      </c>
      <c r="M3931">
        <v>58.42</v>
      </c>
      <c r="N3931">
        <v>58.42</v>
      </c>
      <c r="O3931" t="s">
        <v>21</v>
      </c>
      <c r="P3931">
        <f t="shared" si="198"/>
        <v>-1</v>
      </c>
      <c r="Q3931" s="11">
        <f>IF(P3931=0,0,IFERROR(Q3930+G3931*M3931*IF(E3931="FUTURE",VLOOKUP(MID(I3931,2,2),Futures!$A$2:$B$12,2),1),G3931*M3931*IF(E3931="FUTURE",VLOOKUP(MID(I3931,2,2),Futures!$A$2:$B$12,2),1)))</f>
        <v>-58440</v>
      </c>
      <c r="R3931" s="12">
        <f>IFERROR(Q3931/P3931/IF(E3931="FUTURE",VLOOKUP(MID(I3931,2,2),Futures!$A$2:$B$12,2),1),"")</f>
        <v>58.44</v>
      </c>
      <c r="S3931" s="13" t="str">
        <f>IF(AND(H3931="TO CLOSE",P3931=0),-G3931*(M3931-R3930)*IF(E3931="FUTURE",VLOOKUP(MID(I3931,2,2),Futures!$A$2:$B$12,2),1),"")</f>
        <v/>
      </c>
    </row>
    <row r="3932" spans="1:19" x14ac:dyDescent="0.2">
      <c r="A3932">
        <f t="shared" si="197"/>
        <v>1301</v>
      </c>
      <c r="B3932" s="3">
        <v>44239</v>
      </c>
      <c r="C3932" s="3" t="str">
        <f t="shared" si="199"/>
        <v>Friday</v>
      </c>
      <c r="D3932" s="2">
        <v>0.4682291666666667</v>
      </c>
      <c r="E3932" t="s">
        <v>14</v>
      </c>
      <c r="F3932" t="s">
        <v>15</v>
      </c>
      <c r="G3932">
        <v>-1</v>
      </c>
      <c r="H3932" t="s">
        <v>20</v>
      </c>
      <c r="I3932" t="s">
        <v>97</v>
      </c>
      <c r="J3932" s="1">
        <v>44276</v>
      </c>
      <c r="L3932" t="s">
        <v>14</v>
      </c>
      <c r="M3932">
        <v>58.64</v>
      </c>
      <c r="N3932">
        <v>58.64</v>
      </c>
      <c r="O3932" t="s">
        <v>21</v>
      </c>
      <c r="P3932">
        <f t="shared" si="198"/>
        <v>-2</v>
      </c>
      <c r="Q3932" s="11">
        <f>IF(P3932=0,0,IFERROR(Q3931+G3932*M3932*IF(E3932="FUTURE",VLOOKUP(MID(I3932,2,2),Futures!$A$2:$B$12,2),1),G3932*M3932*IF(E3932="FUTURE",VLOOKUP(MID(I3932,2,2),Futures!$A$2:$B$12,2),1)))</f>
        <v>-117080</v>
      </c>
      <c r="R3932" s="12">
        <f>IFERROR(Q3932/P3932/IF(E3932="FUTURE",VLOOKUP(MID(I3932,2,2),Futures!$A$2:$B$12,2),1),"")</f>
        <v>58.54</v>
      </c>
      <c r="S3932" s="13" t="str">
        <f>IF(AND(H3932="TO CLOSE",P3932=0),-G3932*(M3932-R3931)*IF(E3932="FUTURE",VLOOKUP(MID(I3932,2,2),Futures!$A$2:$B$12,2),1),"")</f>
        <v/>
      </c>
    </row>
    <row r="3933" spans="1:19" x14ac:dyDescent="0.2">
      <c r="A3933">
        <f t="shared" si="197"/>
        <v>1301</v>
      </c>
      <c r="B3933" s="3">
        <v>44239</v>
      </c>
      <c r="C3933" s="3" t="str">
        <f t="shared" si="199"/>
        <v>Friday</v>
      </c>
      <c r="D3933" s="2">
        <v>0.60024305555555557</v>
      </c>
      <c r="E3933" t="s">
        <v>14</v>
      </c>
      <c r="F3933" t="s">
        <v>19</v>
      </c>
      <c r="G3933">
        <v>1</v>
      </c>
      <c r="H3933" t="s">
        <v>16</v>
      </c>
      <c r="I3933" t="s">
        <v>97</v>
      </c>
      <c r="J3933" s="1">
        <v>44276</v>
      </c>
      <c r="L3933" t="s">
        <v>14</v>
      </c>
      <c r="M3933">
        <v>59.54</v>
      </c>
      <c r="N3933">
        <v>59.54</v>
      </c>
      <c r="O3933" t="s">
        <v>21</v>
      </c>
      <c r="P3933">
        <f t="shared" si="198"/>
        <v>-1</v>
      </c>
      <c r="Q3933" s="11">
        <f>IF(P3933=0,0,IFERROR(Q3932+G3933*M3933*IF(E3933="FUTURE",VLOOKUP(MID(I3933,2,2),Futures!$A$2:$B$12,2),1),G3933*M3933*IF(E3933="FUTURE",VLOOKUP(MID(I3933,2,2),Futures!$A$2:$B$12,2),1)))</f>
        <v>-57540</v>
      </c>
      <c r="R3933" s="12">
        <f>IFERROR(Q3933/P3933/IF(E3933="FUTURE",VLOOKUP(MID(I3933,2,2),Futures!$A$2:$B$12,2),1),"")</f>
        <v>57.54</v>
      </c>
      <c r="S3933" s="13" t="str">
        <f>IF(AND(H3933="TO CLOSE",P3933=0),-G3933*(M3933-R3932)*IF(E3933="FUTURE",VLOOKUP(MID(I3933,2,2),Futures!$A$2:$B$12,2),1),"")</f>
        <v/>
      </c>
    </row>
    <row r="3934" spans="1:19" x14ac:dyDescent="0.2">
      <c r="A3934">
        <f t="shared" si="197"/>
        <v>1301</v>
      </c>
      <c r="B3934" s="3">
        <v>44239</v>
      </c>
      <c r="C3934" s="3" t="str">
        <f t="shared" si="199"/>
        <v>Friday</v>
      </c>
      <c r="D3934" s="2">
        <v>0.60151620370370373</v>
      </c>
      <c r="E3934" t="s">
        <v>14</v>
      </c>
      <c r="F3934" t="s">
        <v>19</v>
      </c>
      <c r="G3934">
        <v>1</v>
      </c>
      <c r="H3934" t="s">
        <v>16</v>
      </c>
      <c r="I3934" t="s">
        <v>97</v>
      </c>
      <c r="J3934" s="1">
        <v>44276</v>
      </c>
      <c r="L3934" t="s">
        <v>14</v>
      </c>
      <c r="M3934">
        <v>59.52</v>
      </c>
      <c r="N3934">
        <v>59.52</v>
      </c>
      <c r="O3934" t="s">
        <v>21</v>
      </c>
      <c r="P3934">
        <f t="shared" si="198"/>
        <v>0</v>
      </c>
      <c r="Q3934" s="11">
        <f>IF(P3934=0,0,IFERROR(Q3933+G3934*M3934*IF(E3934="FUTURE",VLOOKUP(MID(I3934,2,2),Futures!$A$2:$B$12,2),1),G3934*M3934*IF(E3934="FUTURE",VLOOKUP(MID(I3934,2,2),Futures!$A$2:$B$12,2),1)))</f>
        <v>0</v>
      </c>
      <c r="R3934" s="12" t="str">
        <f>IFERROR(Q3934/P3934/IF(E3934="FUTURE",VLOOKUP(MID(I3934,2,2),Futures!$A$2:$B$12,2),1),"")</f>
        <v/>
      </c>
      <c r="S3934" s="13">
        <f>IF(AND(H3934="TO CLOSE",P3934=0),-G3934*(M3934-R3933)*IF(E3934="FUTURE",VLOOKUP(MID(I3934,2,2),Futures!$A$2:$B$12,2),1),"")</f>
        <v>-1980.0000000000041</v>
      </c>
    </row>
    <row r="3935" spans="1:19" x14ac:dyDescent="0.2">
      <c r="A3935">
        <f t="shared" si="197"/>
        <v>1302</v>
      </c>
      <c r="B3935" s="3">
        <v>44239</v>
      </c>
      <c r="C3935" s="3" t="str">
        <f t="shared" si="199"/>
        <v>Friday</v>
      </c>
      <c r="D3935" s="2">
        <v>0.43597222222222221</v>
      </c>
      <c r="E3935" t="s">
        <v>14</v>
      </c>
      <c r="F3935" t="s">
        <v>15</v>
      </c>
      <c r="G3935">
        <v>-1</v>
      </c>
      <c r="H3935" t="s">
        <v>20</v>
      </c>
      <c r="I3935" t="s">
        <v>89</v>
      </c>
      <c r="J3935" s="1">
        <v>44276</v>
      </c>
      <c r="L3935" t="s">
        <v>14</v>
      </c>
      <c r="M3935">
        <v>3909.25</v>
      </c>
      <c r="N3935">
        <v>3909.25</v>
      </c>
      <c r="O3935" t="s">
        <v>21</v>
      </c>
      <c r="P3935">
        <f t="shared" si="198"/>
        <v>-1</v>
      </c>
      <c r="Q3935" s="11">
        <f>IF(P3935=0,0,IFERROR(Q3934+G3935*M3935*IF(E3935="FUTURE",VLOOKUP(MID(I3935,2,2),Futures!$A$2:$B$12,2),1),G3935*M3935*IF(E3935="FUTURE",VLOOKUP(MID(I3935,2,2),Futures!$A$2:$B$12,2),1)))</f>
        <v>-195462.5</v>
      </c>
      <c r="R3935" s="12">
        <f>IFERROR(Q3935/P3935/IF(E3935="FUTURE",VLOOKUP(MID(I3935,2,2),Futures!$A$2:$B$12,2),1),"")</f>
        <v>3909.25</v>
      </c>
      <c r="S3935" s="13" t="str">
        <f>IF(AND(H3935="TO CLOSE",P3935=0),-G3935*(M3935-R3934)*IF(E3935="FUTURE",VLOOKUP(MID(I3935,2,2),Futures!$A$2:$B$12,2),1),"")</f>
        <v/>
      </c>
    </row>
    <row r="3936" spans="1:19" x14ac:dyDescent="0.2">
      <c r="A3936">
        <f t="shared" si="197"/>
        <v>1302</v>
      </c>
      <c r="B3936" s="3">
        <v>44239</v>
      </c>
      <c r="C3936" s="3" t="str">
        <f t="shared" si="199"/>
        <v>Friday</v>
      </c>
      <c r="D3936" s="2">
        <v>0.43716435185185182</v>
      </c>
      <c r="E3936" t="s">
        <v>14</v>
      </c>
      <c r="F3936" t="s">
        <v>19</v>
      </c>
      <c r="G3936">
        <v>1</v>
      </c>
      <c r="H3936" t="s">
        <v>16</v>
      </c>
      <c r="I3936" t="s">
        <v>89</v>
      </c>
      <c r="J3936" s="1">
        <v>44276</v>
      </c>
      <c r="L3936" t="s">
        <v>14</v>
      </c>
      <c r="M3936">
        <v>3908.25</v>
      </c>
      <c r="N3936">
        <v>3908.25</v>
      </c>
      <c r="O3936" t="s">
        <v>21</v>
      </c>
      <c r="P3936">
        <f t="shared" si="198"/>
        <v>0</v>
      </c>
      <c r="Q3936" s="11">
        <f>IF(P3936=0,0,IFERROR(Q3935+G3936*M3936*IF(E3936="FUTURE",VLOOKUP(MID(I3936,2,2),Futures!$A$2:$B$12,2),1),G3936*M3936*IF(E3936="FUTURE",VLOOKUP(MID(I3936,2,2),Futures!$A$2:$B$12,2),1)))</f>
        <v>0</v>
      </c>
      <c r="R3936" s="12" t="str">
        <f>IFERROR(Q3936/P3936/IF(E3936="FUTURE",VLOOKUP(MID(I3936,2,2),Futures!$A$2:$B$12,2),1),"")</f>
        <v/>
      </c>
      <c r="S3936" s="13">
        <f>IF(AND(H3936="TO CLOSE",P3936=0),-G3936*(M3936-R3935)*IF(E3936="FUTURE",VLOOKUP(MID(I3936,2,2),Futures!$A$2:$B$12,2),1),"")</f>
        <v>50</v>
      </c>
    </row>
    <row r="3937" spans="1:19" x14ac:dyDescent="0.2">
      <c r="A3937">
        <f t="shared" si="197"/>
        <v>1303</v>
      </c>
      <c r="B3937" s="3">
        <v>44242</v>
      </c>
      <c r="C3937" s="3" t="str">
        <f t="shared" ref="C3937:C3946" si="200">IF(WEEKDAY(B3937,2)=1,"Monday",IF(WEEKDAY(B3937,2)=2,"Tuesday",IF(WEEKDAY(B3937,2)=3,"Wednesday",IF(WEEKDAY(B3937,2)=4,"Thursday",IF(WEEKDAY(B3937,2)=5,"Friday","Sunday")))))</f>
        <v>Monday</v>
      </c>
      <c r="D3937" s="2">
        <v>0.37179398148148146</v>
      </c>
      <c r="E3937" t="s">
        <v>14</v>
      </c>
      <c r="F3937" t="s">
        <v>15</v>
      </c>
      <c r="G3937">
        <v>-1</v>
      </c>
      <c r="H3937" t="s">
        <v>20</v>
      </c>
      <c r="I3937" t="s">
        <v>97</v>
      </c>
      <c r="J3937" s="1">
        <v>44276</v>
      </c>
      <c r="L3937" t="s">
        <v>14</v>
      </c>
      <c r="M3937">
        <v>60.53</v>
      </c>
      <c r="N3937">
        <v>60.53</v>
      </c>
      <c r="O3937" t="s">
        <v>21</v>
      </c>
      <c r="P3937">
        <f t="shared" si="198"/>
        <v>-1</v>
      </c>
      <c r="Q3937" s="11">
        <f>IF(P3937=0,0,IFERROR(Q3936+G3937*M3937*IF(E3937="FUTURE",VLOOKUP(MID(I3937,2,2),Futures!$A$2:$B$12,2),1),G3937*M3937*IF(E3937="FUTURE",VLOOKUP(MID(I3937,2,2),Futures!$A$2:$B$12,2),1)))</f>
        <v>-60530</v>
      </c>
      <c r="R3937" s="12">
        <f>IFERROR(Q3937/P3937/IF(E3937="FUTURE",VLOOKUP(MID(I3937,2,2),Futures!$A$2:$B$12,2),1),"")</f>
        <v>60.53</v>
      </c>
      <c r="S3937" s="13" t="str">
        <f>IF(AND(H3937="TO CLOSE",P3937=0),-G3937*(M3937-R3936)*IF(E3937="FUTURE",VLOOKUP(MID(I3937,2,2),Futures!$A$2:$B$12,2),1),"")</f>
        <v/>
      </c>
    </row>
    <row r="3938" spans="1:19" x14ac:dyDescent="0.2">
      <c r="A3938">
        <f t="shared" si="197"/>
        <v>1303</v>
      </c>
      <c r="B3938" s="3">
        <v>44242</v>
      </c>
      <c r="C3938" s="3" t="str">
        <f t="shared" si="200"/>
        <v>Monday</v>
      </c>
      <c r="D3938" s="2">
        <v>0.37538194444444445</v>
      </c>
      <c r="E3938" t="s">
        <v>14</v>
      </c>
      <c r="F3938" t="s">
        <v>19</v>
      </c>
      <c r="G3938">
        <v>1</v>
      </c>
      <c r="H3938" t="s">
        <v>16</v>
      </c>
      <c r="I3938" t="s">
        <v>97</v>
      </c>
      <c r="J3938" s="1">
        <v>44276</v>
      </c>
      <c r="L3938" t="s">
        <v>14</v>
      </c>
      <c r="M3938">
        <v>60.46</v>
      </c>
      <c r="N3938">
        <v>60.46</v>
      </c>
      <c r="O3938" t="s">
        <v>21</v>
      </c>
      <c r="P3938">
        <f t="shared" si="198"/>
        <v>0</v>
      </c>
      <c r="Q3938" s="11">
        <f>IF(P3938=0,0,IFERROR(Q3937+G3938*M3938*IF(E3938="FUTURE",VLOOKUP(MID(I3938,2,2),Futures!$A$2:$B$12,2),1),G3938*M3938*IF(E3938="FUTURE",VLOOKUP(MID(I3938,2,2),Futures!$A$2:$B$12,2),1)))</f>
        <v>0</v>
      </c>
      <c r="R3938" s="12" t="str">
        <f>IFERROR(Q3938/P3938/IF(E3938="FUTURE",VLOOKUP(MID(I3938,2,2),Futures!$A$2:$B$12,2),1),"")</f>
        <v/>
      </c>
      <c r="S3938" s="13">
        <f>IF(AND(H3938="TO CLOSE",P3938=0),-G3938*(M3938-R3937)*IF(E3938="FUTURE",VLOOKUP(MID(I3938,2,2),Futures!$A$2:$B$12,2),1),"")</f>
        <v>70.000000000000284</v>
      </c>
    </row>
    <row r="3939" spans="1:19" x14ac:dyDescent="0.2">
      <c r="A3939">
        <f t="shared" si="197"/>
        <v>1304</v>
      </c>
      <c r="B3939" s="3">
        <v>44243</v>
      </c>
      <c r="C3939" s="3" t="str">
        <f t="shared" si="200"/>
        <v>Tuesday</v>
      </c>
      <c r="D3939" s="2">
        <v>0.39809027777777778</v>
      </c>
      <c r="E3939" t="s">
        <v>14</v>
      </c>
      <c r="F3939" t="s">
        <v>15</v>
      </c>
      <c r="G3939">
        <v>-1</v>
      </c>
      <c r="H3939" t="s">
        <v>20</v>
      </c>
      <c r="I3939" t="s">
        <v>97</v>
      </c>
      <c r="J3939" s="1">
        <v>44276</v>
      </c>
      <c r="L3939" t="s">
        <v>14</v>
      </c>
      <c r="M3939">
        <v>59.91</v>
      </c>
      <c r="N3939">
        <v>59.91</v>
      </c>
      <c r="O3939" t="s">
        <v>21</v>
      </c>
      <c r="P3939">
        <f t="shared" si="198"/>
        <v>-1</v>
      </c>
      <c r="Q3939" s="11">
        <f>IF(P3939=0,0,IFERROR(Q3938+G3939*M3939*IF(E3939="FUTURE",VLOOKUP(MID(I3939,2,2),Futures!$A$2:$B$12,2),1),G3939*M3939*IF(E3939="FUTURE",VLOOKUP(MID(I3939,2,2),Futures!$A$2:$B$12,2),1)))</f>
        <v>-59910</v>
      </c>
      <c r="R3939" s="12">
        <f>IFERROR(Q3939/P3939/IF(E3939="FUTURE",VLOOKUP(MID(I3939,2,2),Futures!$A$2:$B$12,2),1),"")</f>
        <v>59.91</v>
      </c>
      <c r="S3939" s="13" t="str">
        <f>IF(AND(H3939="TO CLOSE",P3939=0),-G3939*(M3939-R3938)*IF(E3939="FUTURE",VLOOKUP(MID(I3939,2,2),Futures!$A$2:$B$12,2),1),"")</f>
        <v/>
      </c>
    </row>
    <row r="3940" spans="1:19" x14ac:dyDescent="0.2">
      <c r="A3940">
        <f t="shared" si="197"/>
        <v>1304</v>
      </c>
      <c r="B3940" s="3">
        <v>44243</v>
      </c>
      <c r="C3940" s="3" t="str">
        <f t="shared" si="200"/>
        <v>Tuesday</v>
      </c>
      <c r="D3940" s="2">
        <v>0.40521990740740743</v>
      </c>
      <c r="E3940" t="s">
        <v>14</v>
      </c>
      <c r="F3940" t="s">
        <v>19</v>
      </c>
      <c r="G3940">
        <v>1</v>
      </c>
      <c r="H3940" t="s">
        <v>16</v>
      </c>
      <c r="I3940" t="s">
        <v>97</v>
      </c>
      <c r="J3940" s="1">
        <v>44276</v>
      </c>
      <c r="L3940" t="s">
        <v>14</v>
      </c>
      <c r="M3940">
        <v>59.91</v>
      </c>
      <c r="N3940">
        <v>59.91</v>
      </c>
      <c r="O3940" t="s">
        <v>21</v>
      </c>
      <c r="P3940">
        <f t="shared" si="198"/>
        <v>0</v>
      </c>
      <c r="Q3940" s="11">
        <f>IF(P3940=0,0,IFERROR(Q3939+G3940*M3940*IF(E3940="FUTURE",VLOOKUP(MID(I3940,2,2),Futures!$A$2:$B$12,2),1),G3940*M3940*IF(E3940="FUTURE",VLOOKUP(MID(I3940,2,2),Futures!$A$2:$B$12,2),1)))</f>
        <v>0</v>
      </c>
      <c r="R3940" s="12" t="str">
        <f>IFERROR(Q3940/P3940/IF(E3940="FUTURE",VLOOKUP(MID(I3940,2,2),Futures!$A$2:$B$12,2),1),"")</f>
        <v/>
      </c>
      <c r="S3940" s="13">
        <f>IF(AND(H3940="TO CLOSE",P3940=0),-G3940*(M3940-R3939)*IF(E3940="FUTURE",VLOOKUP(MID(I3940,2,2),Futures!$A$2:$B$12,2),1),"")</f>
        <v>0</v>
      </c>
    </row>
    <row r="3941" spans="1:19" x14ac:dyDescent="0.2">
      <c r="A3941">
        <f t="shared" si="197"/>
        <v>1305</v>
      </c>
      <c r="B3941" s="3">
        <v>44243</v>
      </c>
      <c r="C3941" s="3" t="str">
        <f t="shared" si="200"/>
        <v>Tuesday</v>
      </c>
      <c r="D3941" s="2">
        <v>0.40020833333333333</v>
      </c>
      <c r="E3941" t="s">
        <v>14</v>
      </c>
      <c r="F3941" t="s">
        <v>15</v>
      </c>
      <c r="G3941">
        <v>-1</v>
      </c>
      <c r="H3941" t="s">
        <v>20</v>
      </c>
      <c r="I3941" t="s">
        <v>89</v>
      </c>
      <c r="J3941" s="1">
        <v>44276</v>
      </c>
      <c r="L3941" t="s">
        <v>14</v>
      </c>
      <c r="M3941">
        <v>3940.75</v>
      </c>
      <c r="N3941">
        <v>3940.75</v>
      </c>
      <c r="O3941" t="s">
        <v>21</v>
      </c>
      <c r="P3941">
        <f t="shared" si="198"/>
        <v>-1</v>
      </c>
      <c r="Q3941" s="11">
        <f>IF(P3941=0,0,IFERROR(Q3940+G3941*M3941*IF(E3941="FUTURE",VLOOKUP(MID(I3941,2,2),Futures!$A$2:$B$12,2),1),G3941*M3941*IF(E3941="FUTURE",VLOOKUP(MID(I3941,2,2),Futures!$A$2:$B$12,2),1)))</f>
        <v>-197037.5</v>
      </c>
      <c r="R3941" s="12">
        <f>IFERROR(Q3941/P3941/IF(E3941="FUTURE",VLOOKUP(MID(I3941,2,2),Futures!$A$2:$B$12,2),1),"")</f>
        <v>3940.75</v>
      </c>
      <c r="S3941" s="13" t="str">
        <f>IF(AND(H3941="TO CLOSE",P3941=0),-G3941*(M3941-R3940)*IF(E3941="FUTURE",VLOOKUP(MID(I3941,2,2),Futures!$A$2:$B$12,2),1),"")</f>
        <v/>
      </c>
    </row>
    <row r="3942" spans="1:19" x14ac:dyDescent="0.2">
      <c r="A3942">
        <f t="shared" si="197"/>
        <v>1305</v>
      </c>
      <c r="B3942" s="3">
        <v>44243</v>
      </c>
      <c r="C3942" s="3" t="str">
        <f t="shared" si="200"/>
        <v>Tuesday</v>
      </c>
      <c r="D3942" s="2">
        <v>0.40074074074074079</v>
      </c>
      <c r="E3942" t="s">
        <v>14</v>
      </c>
      <c r="F3942" t="s">
        <v>19</v>
      </c>
      <c r="G3942">
        <v>1</v>
      </c>
      <c r="H3942" t="s">
        <v>16</v>
      </c>
      <c r="I3942" t="s">
        <v>89</v>
      </c>
      <c r="J3942" s="1">
        <v>44276</v>
      </c>
      <c r="L3942" t="s">
        <v>14</v>
      </c>
      <c r="M3942">
        <v>3937.25</v>
      </c>
      <c r="N3942">
        <v>3937.25</v>
      </c>
      <c r="O3942" t="s">
        <v>21</v>
      </c>
      <c r="P3942">
        <f t="shared" si="198"/>
        <v>0</v>
      </c>
      <c r="Q3942" s="11">
        <f>IF(P3942=0,0,IFERROR(Q3941+G3942*M3942*IF(E3942="FUTURE",VLOOKUP(MID(I3942,2,2),Futures!$A$2:$B$12,2),1),G3942*M3942*IF(E3942="FUTURE",VLOOKUP(MID(I3942,2,2),Futures!$A$2:$B$12,2),1)))</f>
        <v>0</v>
      </c>
      <c r="R3942" s="12" t="str">
        <f>IFERROR(Q3942/P3942/IF(E3942="FUTURE",VLOOKUP(MID(I3942,2,2),Futures!$A$2:$B$12,2),1),"")</f>
        <v/>
      </c>
      <c r="S3942" s="13">
        <f>IF(AND(H3942="TO CLOSE",P3942=0),-G3942*(M3942-R3941)*IF(E3942="FUTURE",VLOOKUP(MID(I3942,2,2),Futures!$A$2:$B$12,2),1),"")</f>
        <v>175</v>
      </c>
    </row>
    <row r="3943" spans="1:19" x14ac:dyDescent="0.2">
      <c r="A3943">
        <f t="shared" si="197"/>
        <v>1306</v>
      </c>
      <c r="B3943" s="3">
        <v>44243</v>
      </c>
      <c r="C3943" s="3" t="str">
        <f t="shared" si="200"/>
        <v>Tuesday</v>
      </c>
      <c r="D3943" s="2">
        <v>0.44575231481481481</v>
      </c>
      <c r="E3943" t="s">
        <v>14</v>
      </c>
      <c r="F3943" t="s">
        <v>15</v>
      </c>
      <c r="G3943">
        <v>-1</v>
      </c>
      <c r="H3943" t="s">
        <v>20</v>
      </c>
      <c r="I3943" t="s">
        <v>89</v>
      </c>
      <c r="J3943" s="1">
        <v>44276</v>
      </c>
      <c r="L3943" t="s">
        <v>14</v>
      </c>
      <c r="M3943">
        <v>3944.5</v>
      </c>
      <c r="N3943">
        <v>3944.5</v>
      </c>
      <c r="O3943" t="s">
        <v>21</v>
      </c>
      <c r="P3943">
        <f t="shared" si="198"/>
        <v>-1</v>
      </c>
      <c r="Q3943" s="11">
        <f>IF(P3943=0,0,IFERROR(Q3942+G3943*M3943*IF(E3943="FUTURE",VLOOKUP(MID(I3943,2,2),Futures!$A$2:$B$12,2),1),G3943*M3943*IF(E3943="FUTURE",VLOOKUP(MID(I3943,2,2),Futures!$A$2:$B$12,2),1)))</f>
        <v>-197225</v>
      </c>
      <c r="R3943" s="12">
        <f>IFERROR(Q3943/P3943/IF(E3943="FUTURE",VLOOKUP(MID(I3943,2,2),Futures!$A$2:$B$12,2),1),"")</f>
        <v>3944.5</v>
      </c>
      <c r="S3943" s="13" t="str">
        <f>IF(AND(H3943="TO CLOSE",P3943=0),-G3943*(M3943-R3942)*IF(E3943="FUTURE",VLOOKUP(MID(I3943,2,2),Futures!$A$2:$B$12,2),1),"")</f>
        <v/>
      </c>
    </row>
    <row r="3944" spans="1:19" x14ac:dyDescent="0.2">
      <c r="A3944">
        <f t="shared" si="197"/>
        <v>1306</v>
      </c>
      <c r="B3944" s="3">
        <v>44243</v>
      </c>
      <c r="C3944" s="3" t="str">
        <f t="shared" si="200"/>
        <v>Tuesday</v>
      </c>
      <c r="D3944" s="2">
        <v>0.44723379629629628</v>
      </c>
      <c r="E3944" t="s">
        <v>14</v>
      </c>
      <c r="F3944" t="s">
        <v>19</v>
      </c>
      <c r="G3944">
        <v>1</v>
      </c>
      <c r="H3944" t="s">
        <v>16</v>
      </c>
      <c r="I3944" t="s">
        <v>89</v>
      </c>
      <c r="J3944" s="1">
        <v>44276</v>
      </c>
      <c r="L3944" t="s">
        <v>14</v>
      </c>
      <c r="M3944">
        <v>3943.5</v>
      </c>
      <c r="N3944">
        <v>3943.5</v>
      </c>
      <c r="O3944" t="s">
        <v>21</v>
      </c>
      <c r="P3944">
        <f t="shared" si="198"/>
        <v>0</v>
      </c>
      <c r="Q3944" s="11">
        <f>IF(P3944=0,0,IFERROR(Q3943+G3944*M3944*IF(E3944="FUTURE",VLOOKUP(MID(I3944,2,2),Futures!$A$2:$B$12,2),1),G3944*M3944*IF(E3944="FUTURE",VLOOKUP(MID(I3944,2,2),Futures!$A$2:$B$12,2),1)))</f>
        <v>0</v>
      </c>
      <c r="R3944" s="12" t="str">
        <f>IFERROR(Q3944/P3944/IF(E3944="FUTURE",VLOOKUP(MID(I3944,2,2),Futures!$A$2:$B$12,2),1),"")</f>
        <v/>
      </c>
      <c r="S3944" s="13">
        <f>IF(AND(H3944="TO CLOSE",P3944=0),-G3944*(M3944-R3943)*IF(E3944="FUTURE",VLOOKUP(MID(I3944,2,2),Futures!$A$2:$B$12,2),1),"")</f>
        <v>50</v>
      </c>
    </row>
    <row r="3945" spans="1:19" x14ac:dyDescent="0.2">
      <c r="A3945">
        <f t="shared" si="197"/>
        <v>1307</v>
      </c>
      <c r="B3945" s="3">
        <v>44243</v>
      </c>
      <c r="C3945" s="3" t="str">
        <f t="shared" si="200"/>
        <v>Tuesday</v>
      </c>
      <c r="D3945" s="2">
        <v>0.53894675925925928</v>
      </c>
      <c r="E3945" t="s">
        <v>14</v>
      </c>
      <c r="F3945" t="s">
        <v>19</v>
      </c>
      <c r="G3945">
        <v>1</v>
      </c>
      <c r="H3945" t="s">
        <v>20</v>
      </c>
      <c r="I3945" t="s">
        <v>89</v>
      </c>
      <c r="J3945" s="1">
        <v>44276</v>
      </c>
      <c r="L3945" t="s">
        <v>14</v>
      </c>
      <c r="M3945">
        <v>3931.5</v>
      </c>
      <c r="N3945">
        <v>3931.5</v>
      </c>
      <c r="O3945" t="s">
        <v>21</v>
      </c>
      <c r="P3945">
        <f t="shared" si="198"/>
        <v>1</v>
      </c>
      <c r="Q3945" s="11">
        <f>IF(P3945=0,0,IFERROR(Q3944+G3945*M3945*IF(E3945="FUTURE",VLOOKUP(MID(I3945,2,2),Futures!$A$2:$B$12,2),1),G3945*M3945*IF(E3945="FUTURE",VLOOKUP(MID(I3945,2,2),Futures!$A$2:$B$12,2),1)))</f>
        <v>196575</v>
      </c>
      <c r="R3945" s="12">
        <f>IFERROR(Q3945/P3945/IF(E3945="FUTURE",VLOOKUP(MID(I3945,2,2),Futures!$A$2:$B$12,2),1),"")</f>
        <v>3931.5</v>
      </c>
      <c r="S3945" s="13" t="str">
        <f>IF(AND(H3945="TO CLOSE",P3945=0),-G3945*(M3945-R3944)*IF(E3945="FUTURE",VLOOKUP(MID(I3945,2,2),Futures!$A$2:$B$12,2),1),"")</f>
        <v/>
      </c>
    </row>
    <row r="3946" spans="1:19" x14ac:dyDescent="0.2">
      <c r="A3946">
        <f t="shared" si="197"/>
        <v>1307</v>
      </c>
      <c r="B3946" s="3">
        <v>44243</v>
      </c>
      <c r="C3946" s="3" t="str">
        <f t="shared" si="200"/>
        <v>Tuesday</v>
      </c>
      <c r="D3946" s="2">
        <v>0.54434027777777783</v>
      </c>
      <c r="E3946" t="s">
        <v>14</v>
      </c>
      <c r="F3946" t="s">
        <v>15</v>
      </c>
      <c r="G3946">
        <v>-1</v>
      </c>
      <c r="H3946" t="s">
        <v>16</v>
      </c>
      <c r="I3946" t="s">
        <v>89</v>
      </c>
      <c r="J3946" s="1">
        <v>44276</v>
      </c>
      <c r="L3946" t="s">
        <v>14</v>
      </c>
      <c r="M3946">
        <v>3933.25</v>
      </c>
      <c r="N3946">
        <v>3933.25</v>
      </c>
      <c r="O3946" t="s">
        <v>21</v>
      </c>
      <c r="P3946">
        <f t="shared" si="198"/>
        <v>0</v>
      </c>
      <c r="Q3946" s="11">
        <f>IF(P3946=0,0,IFERROR(Q3945+G3946*M3946*IF(E3946="FUTURE",VLOOKUP(MID(I3946,2,2),Futures!$A$2:$B$12,2),1),G3946*M3946*IF(E3946="FUTURE",VLOOKUP(MID(I3946,2,2),Futures!$A$2:$B$12,2),1)))</f>
        <v>0</v>
      </c>
      <c r="R3946" s="12" t="str">
        <f>IFERROR(Q3946/P3946/IF(E3946="FUTURE",VLOOKUP(MID(I3946,2,2),Futures!$A$2:$B$12,2),1),"")</f>
        <v/>
      </c>
      <c r="S3946" s="13">
        <f>IF(AND(H3946="TO CLOSE",P3946=0),-G3946*(M3946-R3945)*IF(E3946="FUTURE",VLOOKUP(MID(I3946,2,2),Futures!$A$2:$B$12,2),1),"")</f>
        <v>87.5</v>
      </c>
    </row>
    <row r="3947" spans="1:19" x14ac:dyDescent="0.2">
      <c r="A3947">
        <f t="shared" si="197"/>
        <v>1308</v>
      </c>
      <c r="B3947" s="3">
        <v>44244</v>
      </c>
      <c r="C3947" s="3" t="str">
        <f t="shared" ref="C3947:C3962" si="201">IF(WEEKDAY(B3947,2)=1,"Monday",IF(WEEKDAY(B3947,2)=2,"Tuesday",IF(WEEKDAY(B3947,2)=3,"Wednesday",IF(WEEKDAY(B3947,2)=4,"Thursday",IF(WEEKDAY(B3947,2)=5,"Friday","Sunday")))))</f>
        <v>Wednesday</v>
      </c>
      <c r="D3947" s="2">
        <v>0.39079861111111108</v>
      </c>
      <c r="E3947" t="s">
        <v>14</v>
      </c>
      <c r="F3947" t="s">
        <v>15</v>
      </c>
      <c r="G3947">
        <v>-1</v>
      </c>
      <c r="H3947" t="s">
        <v>20</v>
      </c>
      <c r="I3947" t="s">
        <v>97</v>
      </c>
      <c r="J3947" s="1">
        <v>44276</v>
      </c>
      <c r="L3947" t="s">
        <v>14</v>
      </c>
      <c r="M3947">
        <v>59.72</v>
      </c>
      <c r="N3947">
        <v>59.72</v>
      </c>
      <c r="O3947" t="s">
        <v>21</v>
      </c>
      <c r="P3947">
        <f t="shared" si="198"/>
        <v>-1</v>
      </c>
      <c r="Q3947" s="11">
        <f>IF(P3947=0,0,IFERROR(Q3946+G3947*M3947*IF(E3947="FUTURE",VLOOKUP(MID(I3947,2,2),Futures!$A$2:$B$12,2),1),G3947*M3947*IF(E3947="FUTURE",VLOOKUP(MID(I3947,2,2),Futures!$A$2:$B$12,2),1)))</f>
        <v>-59720</v>
      </c>
      <c r="R3947" s="12">
        <f>IFERROR(Q3947/P3947/IF(E3947="FUTURE",VLOOKUP(MID(I3947,2,2),Futures!$A$2:$B$12,2),1),"")</f>
        <v>59.72</v>
      </c>
      <c r="S3947" s="13" t="str">
        <f>IF(AND(H3947="TO CLOSE",P3947=0),-G3947*(M3947-R3946)*IF(E3947="FUTURE",VLOOKUP(MID(I3947,2,2),Futures!$A$2:$B$12,2),1),"")</f>
        <v/>
      </c>
    </row>
    <row r="3948" spans="1:19" x14ac:dyDescent="0.2">
      <c r="A3948">
        <f t="shared" si="197"/>
        <v>1308</v>
      </c>
      <c r="B3948" s="3">
        <v>44244</v>
      </c>
      <c r="C3948" s="3" t="str">
        <f t="shared" si="201"/>
        <v>Wednesday</v>
      </c>
      <c r="D3948" s="2">
        <v>0.39509259259259261</v>
      </c>
      <c r="E3948" t="s">
        <v>14</v>
      </c>
      <c r="F3948" t="s">
        <v>15</v>
      </c>
      <c r="G3948">
        <v>-1</v>
      </c>
      <c r="H3948" t="s">
        <v>20</v>
      </c>
      <c r="I3948" t="s">
        <v>97</v>
      </c>
      <c r="J3948" s="1">
        <v>44276</v>
      </c>
      <c r="L3948" t="s">
        <v>14</v>
      </c>
      <c r="M3948">
        <v>59.98</v>
      </c>
      <c r="N3948">
        <v>59.98</v>
      </c>
      <c r="O3948" t="s">
        <v>21</v>
      </c>
      <c r="P3948">
        <f t="shared" si="198"/>
        <v>-2</v>
      </c>
      <c r="Q3948" s="11">
        <f>IF(P3948=0,0,IFERROR(Q3947+G3948*M3948*IF(E3948="FUTURE",VLOOKUP(MID(I3948,2,2),Futures!$A$2:$B$12,2),1),G3948*M3948*IF(E3948="FUTURE",VLOOKUP(MID(I3948,2,2),Futures!$A$2:$B$12,2),1)))</f>
        <v>-119700</v>
      </c>
      <c r="R3948" s="12">
        <f>IFERROR(Q3948/P3948/IF(E3948="FUTURE",VLOOKUP(MID(I3948,2,2),Futures!$A$2:$B$12,2),1),"")</f>
        <v>59.85</v>
      </c>
      <c r="S3948" s="13" t="str">
        <f>IF(AND(H3948="TO CLOSE",P3948=0),-G3948*(M3948-R3947)*IF(E3948="FUTURE",VLOOKUP(MID(I3948,2,2),Futures!$A$2:$B$12,2),1),"")</f>
        <v/>
      </c>
    </row>
    <row r="3949" spans="1:19" x14ac:dyDescent="0.2">
      <c r="A3949">
        <f t="shared" si="197"/>
        <v>1308</v>
      </c>
      <c r="B3949" s="3">
        <v>44244</v>
      </c>
      <c r="C3949" s="3" t="str">
        <f t="shared" si="201"/>
        <v>Wednesday</v>
      </c>
      <c r="D3949" s="2">
        <v>0.39562499999999995</v>
      </c>
      <c r="E3949" t="s">
        <v>14</v>
      </c>
      <c r="F3949" t="s">
        <v>19</v>
      </c>
      <c r="G3949">
        <v>1</v>
      </c>
      <c r="H3949" t="s">
        <v>16</v>
      </c>
      <c r="I3949" t="s">
        <v>97</v>
      </c>
      <c r="J3949" s="1">
        <v>44276</v>
      </c>
      <c r="L3949" t="s">
        <v>14</v>
      </c>
      <c r="M3949">
        <v>59.85</v>
      </c>
      <c r="N3949">
        <v>59.85</v>
      </c>
      <c r="O3949" t="s">
        <v>21</v>
      </c>
      <c r="P3949">
        <f t="shared" si="198"/>
        <v>-1</v>
      </c>
      <c r="Q3949" s="11">
        <f>IF(P3949=0,0,IFERROR(Q3948+G3949*M3949*IF(E3949="FUTURE",VLOOKUP(MID(I3949,2,2),Futures!$A$2:$B$12,2),1),G3949*M3949*IF(E3949="FUTURE",VLOOKUP(MID(I3949,2,2),Futures!$A$2:$B$12,2),1)))</f>
        <v>-59850</v>
      </c>
      <c r="R3949" s="12">
        <f>IFERROR(Q3949/P3949/IF(E3949="FUTURE",VLOOKUP(MID(I3949,2,2),Futures!$A$2:$B$12,2),1),"")</f>
        <v>59.85</v>
      </c>
      <c r="S3949" s="13" t="str">
        <f>IF(AND(H3949="TO CLOSE",P3949=0),-G3949*(M3949-R3948)*IF(E3949="FUTURE",VLOOKUP(MID(I3949,2,2),Futures!$A$2:$B$12,2),1),"")</f>
        <v/>
      </c>
    </row>
    <row r="3950" spans="1:19" x14ac:dyDescent="0.2">
      <c r="A3950">
        <f t="shared" si="197"/>
        <v>1308</v>
      </c>
      <c r="B3950" s="3">
        <v>44244</v>
      </c>
      <c r="C3950" s="3" t="str">
        <f t="shared" si="201"/>
        <v>Wednesday</v>
      </c>
      <c r="D3950" s="2">
        <v>0.40160879629629626</v>
      </c>
      <c r="E3950" t="s">
        <v>14</v>
      </c>
      <c r="F3950" t="s">
        <v>19</v>
      </c>
      <c r="G3950">
        <v>1</v>
      </c>
      <c r="H3950" t="s">
        <v>16</v>
      </c>
      <c r="I3950" t="s">
        <v>97</v>
      </c>
      <c r="J3950" s="1">
        <v>44276</v>
      </c>
      <c r="L3950" t="s">
        <v>14</v>
      </c>
      <c r="M3950">
        <v>59.7</v>
      </c>
      <c r="N3950">
        <v>59.7</v>
      </c>
      <c r="O3950" t="s">
        <v>24</v>
      </c>
      <c r="P3950">
        <f t="shared" si="198"/>
        <v>0</v>
      </c>
      <c r="Q3950" s="11">
        <f>IF(P3950=0,0,IFERROR(Q3949+G3950*M3950*IF(E3950="FUTURE",VLOOKUP(MID(I3950,2,2),Futures!$A$2:$B$12,2),1),G3950*M3950*IF(E3950="FUTURE",VLOOKUP(MID(I3950,2,2),Futures!$A$2:$B$12,2),1)))</f>
        <v>0</v>
      </c>
      <c r="R3950" s="12" t="str">
        <f>IFERROR(Q3950/P3950/IF(E3950="FUTURE",VLOOKUP(MID(I3950,2,2),Futures!$A$2:$B$12,2),1),"")</f>
        <v/>
      </c>
      <c r="S3950" s="13">
        <f>IF(AND(H3950="TO CLOSE",P3950=0),-G3950*(M3950-R3949)*IF(E3950="FUTURE",VLOOKUP(MID(I3950,2,2),Futures!$A$2:$B$12,2),1),"")</f>
        <v>149.99999999999858</v>
      </c>
    </row>
    <row r="3951" spans="1:19" x14ac:dyDescent="0.2">
      <c r="A3951">
        <f t="shared" si="197"/>
        <v>1309</v>
      </c>
      <c r="B3951" s="3">
        <v>44244</v>
      </c>
      <c r="C3951" s="3" t="str">
        <f t="shared" si="201"/>
        <v>Wednesday</v>
      </c>
      <c r="D3951" s="2">
        <v>0.432650462962963</v>
      </c>
      <c r="E3951" t="s">
        <v>14</v>
      </c>
      <c r="F3951" t="s">
        <v>15</v>
      </c>
      <c r="G3951">
        <v>-1</v>
      </c>
      <c r="H3951" t="s">
        <v>20</v>
      </c>
      <c r="I3951" t="s">
        <v>97</v>
      </c>
      <c r="J3951" s="1">
        <v>44276</v>
      </c>
      <c r="L3951" t="s">
        <v>14</v>
      </c>
      <c r="M3951">
        <v>60.09</v>
      </c>
      <c r="N3951">
        <v>60.09</v>
      </c>
      <c r="O3951" t="s">
        <v>21</v>
      </c>
      <c r="P3951">
        <f t="shared" si="198"/>
        <v>-1</v>
      </c>
      <c r="Q3951" s="11">
        <f>IF(P3951=0,0,IFERROR(Q3950+G3951*M3951*IF(E3951="FUTURE",VLOOKUP(MID(I3951,2,2),Futures!$A$2:$B$12,2),1),G3951*M3951*IF(E3951="FUTURE",VLOOKUP(MID(I3951,2,2),Futures!$A$2:$B$12,2),1)))</f>
        <v>-60090</v>
      </c>
      <c r="R3951" s="12">
        <f>IFERROR(Q3951/P3951/IF(E3951="FUTURE",VLOOKUP(MID(I3951,2,2),Futures!$A$2:$B$12,2),1),"")</f>
        <v>60.09</v>
      </c>
      <c r="S3951" s="13" t="str">
        <f>IF(AND(H3951="TO CLOSE",P3951=0),-G3951*(M3951-R3950)*IF(E3951="FUTURE",VLOOKUP(MID(I3951,2,2),Futures!$A$2:$B$12,2),1),"")</f>
        <v/>
      </c>
    </row>
    <row r="3952" spans="1:19" x14ac:dyDescent="0.2">
      <c r="A3952">
        <f t="shared" si="197"/>
        <v>1309</v>
      </c>
      <c r="B3952" s="3">
        <v>44244</v>
      </c>
      <c r="C3952" s="3" t="str">
        <f t="shared" si="201"/>
        <v>Wednesday</v>
      </c>
      <c r="D3952" s="2">
        <v>0.43472222222222223</v>
      </c>
      <c r="E3952" t="s">
        <v>14</v>
      </c>
      <c r="F3952" t="s">
        <v>19</v>
      </c>
      <c r="G3952">
        <v>1</v>
      </c>
      <c r="H3952" t="s">
        <v>16</v>
      </c>
      <c r="I3952" t="s">
        <v>97</v>
      </c>
      <c r="J3952" s="1">
        <v>44276</v>
      </c>
      <c r="L3952" t="s">
        <v>14</v>
      </c>
      <c r="M3952">
        <v>60.09</v>
      </c>
      <c r="N3952">
        <v>60.09</v>
      </c>
      <c r="O3952" t="s">
        <v>18</v>
      </c>
      <c r="P3952">
        <f t="shared" si="198"/>
        <v>0</v>
      </c>
      <c r="Q3952" s="11">
        <f>IF(P3952=0,0,IFERROR(Q3951+G3952*M3952*IF(E3952="FUTURE",VLOOKUP(MID(I3952,2,2),Futures!$A$2:$B$12,2),1),G3952*M3952*IF(E3952="FUTURE",VLOOKUP(MID(I3952,2,2),Futures!$A$2:$B$12,2),1)))</f>
        <v>0</v>
      </c>
      <c r="R3952" s="12" t="str">
        <f>IFERROR(Q3952/P3952/IF(E3952="FUTURE",VLOOKUP(MID(I3952,2,2),Futures!$A$2:$B$12,2),1),"")</f>
        <v/>
      </c>
      <c r="S3952" s="13">
        <f>IF(AND(H3952="TO CLOSE",P3952=0),-G3952*(M3952-R3951)*IF(E3952="FUTURE",VLOOKUP(MID(I3952,2,2),Futures!$A$2:$B$12,2),1),"")</f>
        <v>0</v>
      </c>
    </row>
    <row r="3953" spans="1:19" x14ac:dyDescent="0.2">
      <c r="A3953">
        <f t="shared" si="197"/>
        <v>1310</v>
      </c>
      <c r="B3953" s="3">
        <v>44244</v>
      </c>
      <c r="C3953" s="3" t="str">
        <f t="shared" si="201"/>
        <v>Wednesday</v>
      </c>
      <c r="D3953" s="2">
        <v>0.4099652777777778</v>
      </c>
      <c r="E3953" t="s">
        <v>14</v>
      </c>
      <c r="F3953" t="s">
        <v>15</v>
      </c>
      <c r="G3953">
        <v>-1</v>
      </c>
      <c r="H3953" t="s">
        <v>20</v>
      </c>
      <c r="I3953" t="s">
        <v>89</v>
      </c>
      <c r="J3953" s="1">
        <v>44276</v>
      </c>
      <c r="L3953" t="s">
        <v>14</v>
      </c>
      <c r="M3953">
        <v>3916.25</v>
      </c>
      <c r="N3953">
        <v>3916.25</v>
      </c>
      <c r="O3953" t="s">
        <v>21</v>
      </c>
      <c r="P3953">
        <f t="shared" si="198"/>
        <v>-1</v>
      </c>
      <c r="Q3953" s="11">
        <f>IF(P3953=0,0,IFERROR(Q3952+G3953*M3953*IF(E3953="FUTURE",VLOOKUP(MID(I3953,2,2),Futures!$A$2:$B$12,2),1),G3953*M3953*IF(E3953="FUTURE",VLOOKUP(MID(I3953,2,2),Futures!$A$2:$B$12,2),1)))</f>
        <v>-195812.5</v>
      </c>
      <c r="R3953" s="12">
        <f>IFERROR(Q3953/P3953/IF(E3953="FUTURE",VLOOKUP(MID(I3953,2,2),Futures!$A$2:$B$12,2),1),"")</f>
        <v>3916.25</v>
      </c>
      <c r="S3953" s="13" t="str">
        <f>IF(AND(H3953="TO CLOSE",P3953=0),-G3953*(M3953-R3952)*IF(E3953="FUTURE",VLOOKUP(MID(I3953,2,2),Futures!$A$2:$B$12,2),1),"")</f>
        <v/>
      </c>
    </row>
    <row r="3954" spans="1:19" x14ac:dyDescent="0.2">
      <c r="A3954">
        <f t="shared" si="197"/>
        <v>1310</v>
      </c>
      <c r="B3954" s="3">
        <v>44244</v>
      </c>
      <c r="C3954" s="3" t="str">
        <f t="shared" si="201"/>
        <v>Wednesday</v>
      </c>
      <c r="D3954" s="2">
        <v>0.41047453703703707</v>
      </c>
      <c r="E3954" t="s">
        <v>14</v>
      </c>
      <c r="F3954" t="s">
        <v>19</v>
      </c>
      <c r="G3954">
        <v>1</v>
      </c>
      <c r="H3954" t="s">
        <v>16</v>
      </c>
      <c r="I3954" t="s">
        <v>89</v>
      </c>
      <c r="J3954" s="1">
        <v>44276</v>
      </c>
      <c r="L3954" t="s">
        <v>14</v>
      </c>
      <c r="M3954">
        <v>3920.75</v>
      </c>
      <c r="N3954">
        <v>3920.75</v>
      </c>
      <c r="O3954" t="s">
        <v>18</v>
      </c>
      <c r="P3954">
        <f t="shared" si="198"/>
        <v>0</v>
      </c>
      <c r="Q3954" s="11">
        <f>IF(P3954=0,0,IFERROR(Q3953+G3954*M3954*IF(E3954="FUTURE",VLOOKUP(MID(I3954,2,2),Futures!$A$2:$B$12,2),1),G3954*M3954*IF(E3954="FUTURE",VLOOKUP(MID(I3954,2,2),Futures!$A$2:$B$12,2),1)))</f>
        <v>0</v>
      </c>
      <c r="R3954" s="12" t="str">
        <f>IFERROR(Q3954/P3954/IF(E3954="FUTURE",VLOOKUP(MID(I3954,2,2),Futures!$A$2:$B$12,2),1),"")</f>
        <v/>
      </c>
      <c r="S3954" s="13">
        <f>IF(AND(H3954="TO CLOSE",P3954=0),-G3954*(M3954-R3953)*IF(E3954="FUTURE",VLOOKUP(MID(I3954,2,2),Futures!$A$2:$B$12,2),1),"")</f>
        <v>-225</v>
      </c>
    </row>
    <row r="3955" spans="1:19" x14ac:dyDescent="0.2">
      <c r="A3955">
        <f t="shared" si="197"/>
        <v>1311</v>
      </c>
      <c r="B3955" s="3">
        <v>44244</v>
      </c>
      <c r="C3955" s="3" t="str">
        <f t="shared" si="201"/>
        <v>Wednesday</v>
      </c>
      <c r="D3955" s="2">
        <v>0.41293981481481484</v>
      </c>
      <c r="E3955" t="s">
        <v>14</v>
      </c>
      <c r="F3955" t="s">
        <v>15</v>
      </c>
      <c r="G3955">
        <v>-1</v>
      </c>
      <c r="H3955" t="s">
        <v>20</v>
      </c>
      <c r="I3955" t="s">
        <v>89</v>
      </c>
      <c r="J3955" s="1">
        <v>44276</v>
      </c>
      <c r="L3955" t="s">
        <v>14</v>
      </c>
      <c r="M3955">
        <v>3917.75</v>
      </c>
      <c r="N3955">
        <v>3917.75</v>
      </c>
      <c r="O3955" t="s">
        <v>21</v>
      </c>
      <c r="P3955">
        <f t="shared" si="198"/>
        <v>-1</v>
      </c>
      <c r="Q3955" s="11">
        <f>IF(P3955=0,0,IFERROR(Q3954+G3955*M3955*IF(E3955="FUTURE",VLOOKUP(MID(I3955,2,2),Futures!$A$2:$B$12,2),1),G3955*M3955*IF(E3955="FUTURE",VLOOKUP(MID(I3955,2,2),Futures!$A$2:$B$12,2),1)))</f>
        <v>-195887.5</v>
      </c>
      <c r="R3955" s="12">
        <f>IFERROR(Q3955/P3955/IF(E3955="FUTURE",VLOOKUP(MID(I3955,2,2),Futures!$A$2:$B$12,2),1),"")</f>
        <v>3917.75</v>
      </c>
      <c r="S3955" s="13" t="str">
        <f>IF(AND(H3955="TO CLOSE",P3955=0),-G3955*(M3955-R3954)*IF(E3955="FUTURE",VLOOKUP(MID(I3955,2,2),Futures!$A$2:$B$12,2),1),"")</f>
        <v/>
      </c>
    </row>
    <row r="3956" spans="1:19" x14ac:dyDescent="0.2">
      <c r="A3956">
        <f t="shared" si="197"/>
        <v>1311</v>
      </c>
      <c r="B3956" s="3">
        <v>44244</v>
      </c>
      <c r="C3956" s="3" t="str">
        <f t="shared" si="201"/>
        <v>Wednesday</v>
      </c>
      <c r="D3956" s="2">
        <v>0.41593750000000002</v>
      </c>
      <c r="E3956" t="s">
        <v>14</v>
      </c>
      <c r="F3956" t="s">
        <v>19</v>
      </c>
      <c r="G3956">
        <v>1</v>
      </c>
      <c r="H3956" t="s">
        <v>16</v>
      </c>
      <c r="I3956" t="s">
        <v>89</v>
      </c>
      <c r="J3956" s="1">
        <v>44276</v>
      </c>
      <c r="L3956" t="s">
        <v>14</v>
      </c>
      <c r="M3956">
        <v>3914.75</v>
      </c>
      <c r="N3956">
        <v>3914.75</v>
      </c>
      <c r="O3956" t="s">
        <v>21</v>
      </c>
      <c r="P3956">
        <f t="shared" si="198"/>
        <v>0</v>
      </c>
      <c r="Q3956" s="11">
        <f>IF(P3956=0,0,IFERROR(Q3955+G3956*M3956*IF(E3956="FUTURE",VLOOKUP(MID(I3956,2,2),Futures!$A$2:$B$12,2),1),G3956*M3956*IF(E3956="FUTURE",VLOOKUP(MID(I3956,2,2),Futures!$A$2:$B$12,2),1)))</f>
        <v>0</v>
      </c>
      <c r="R3956" s="12" t="str">
        <f>IFERROR(Q3956/P3956/IF(E3956="FUTURE",VLOOKUP(MID(I3956,2,2),Futures!$A$2:$B$12,2),1),"")</f>
        <v/>
      </c>
      <c r="S3956" s="13">
        <f>IF(AND(H3956="TO CLOSE",P3956=0),-G3956*(M3956-R3955)*IF(E3956="FUTURE",VLOOKUP(MID(I3956,2,2),Futures!$A$2:$B$12,2),1),"")</f>
        <v>150</v>
      </c>
    </row>
    <row r="3957" spans="1:19" x14ac:dyDescent="0.2">
      <c r="A3957">
        <f t="shared" si="197"/>
        <v>1312</v>
      </c>
      <c r="B3957" s="3">
        <v>44244</v>
      </c>
      <c r="C3957" s="3" t="str">
        <f t="shared" si="201"/>
        <v>Wednesday</v>
      </c>
      <c r="D3957" s="2">
        <v>0.42327546296296298</v>
      </c>
      <c r="E3957" t="s">
        <v>14</v>
      </c>
      <c r="F3957" t="s">
        <v>19</v>
      </c>
      <c r="G3957">
        <v>1</v>
      </c>
      <c r="H3957" t="s">
        <v>20</v>
      </c>
      <c r="I3957" t="s">
        <v>89</v>
      </c>
      <c r="J3957" s="1">
        <v>44276</v>
      </c>
      <c r="L3957" t="s">
        <v>14</v>
      </c>
      <c r="M3957">
        <v>3917.25</v>
      </c>
      <c r="N3957">
        <v>3917.25</v>
      </c>
      <c r="O3957" t="s">
        <v>21</v>
      </c>
      <c r="P3957">
        <f t="shared" si="198"/>
        <v>1</v>
      </c>
      <c r="Q3957" s="11">
        <f>IF(P3957=0,0,IFERROR(Q3956+G3957*M3957*IF(E3957="FUTURE",VLOOKUP(MID(I3957,2,2),Futures!$A$2:$B$12,2),1),G3957*M3957*IF(E3957="FUTURE",VLOOKUP(MID(I3957,2,2),Futures!$A$2:$B$12,2),1)))</f>
        <v>195862.5</v>
      </c>
      <c r="R3957" s="12">
        <f>IFERROR(Q3957/P3957/IF(E3957="FUTURE",VLOOKUP(MID(I3957,2,2),Futures!$A$2:$B$12,2),1),"")</f>
        <v>3917.25</v>
      </c>
      <c r="S3957" s="13" t="str">
        <f>IF(AND(H3957="TO CLOSE",P3957=0),-G3957*(M3957-R3956)*IF(E3957="FUTURE",VLOOKUP(MID(I3957,2,2),Futures!$A$2:$B$12,2),1),"")</f>
        <v/>
      </c>
    </row>
    <row r="3958" spans="1:19" x14ac:dyDescent="0.2">
      <c r="A3958">
        <f t="shared" si="197"/>
        <v>1312</v>
      </c>
      <c r="B3958" s="3">
        <v>44244</v>
      </c>
      <c r="C3958" s="3" t="str">
        <f t="shared" si="201"/>
        <v>Wednesday</v>
      </c>
      <c r="D3958" s="2">
        <v>0.42504629629629626</v>
      </c>
      <c r="E3958" t="s">
        <v>14</v>
      </c>
      <c r="F3958" t="s">
        <v>15</v>
      </c>
      <c r="G3958">
        <v>-1</v>
      </c>
      <c r="H3958" t="s">
        <v>16</v>
      </c>
      <c r="I3958" t="s">
        <v>89</v>
      </c>
      <c r="J3958" s="1">
        <v>44276</v>
      </c>
      <c r="L3958" t="s">
        <v>14</v>
      </c>
      <c r="M3958">
        <v>3919.5</v>
      </c>
      <c r="N3958">
        <v>3919.5</v>
      </c>
      <c r="O3958" t="s">
        <v>21</v>
      </c>
      <c r="P3958">
        <f t="shared" si="198"/>
        <v>0</v>
      </c>
      <c r="Q3958" s="11">
        <f>IF(P3958=0,0,IFERROR(Q3957+G3958*M3958*IF(E3958="FUTURE",VLOOKUP(MID(I3958,2,2),Futures!$A$2:$B$12,2),1),G3958*M3958*IF(E3958="FUTURE",VLOOKUP(MID(I3958,2,2),Futures!$A$2:$B$12,2),1)))</f>
        <v>0</v>
      </c>
      <c r="R3958" s="12" t="str">
        <f>IFERROR(Q3958/P3958/IF(E3958="FUTURE",VLOOKUP(MID(I3958,2,2),Futures!$A$2:$B$12,2),1),"")</f>
        <v/>
      </c>
      <c r="S3958" s="13">
        <f>IF(AND(H3958="TO CLOSE",P3958=0),-G3958*(M3958-R3957)*IF(E3958="FUTURE",VLOOKUP(MID(I3958,2,2),Futures!$A$2:$B$12,2),1),"")</f>
        <v>112.5</v>
      </c>
    </row>
    <row r="3959" spans="1:19" x14ac:dyDescent="0.2">
      <c r="A3959">
        <f t="shared" si="197"/>
        <v>1313</v>
      </c>
      <c r="B3959" s="3">
        <v>44244</v>
      </c>
      <c r="C3959" s="3" t="str">
        <f t="shared" si="201"/>
        <v>Wednesday</v>
      </c>
      <c r="D3959" s="2">
        <v>0.44996527777777778</v>
      </c>
      <c r="E3959" t="s">
        <v>14</v>
      </c>
      <c r="F3959" t="s">
        <v>19</v>
      </c>
      <c r="G3959">
        <v>4</v>
      </c>
      <c r="H3959" t="s">
        <v>20</v>
      </c>
      <c r="I3959" t="s">
        <v>94</v>
      </c>
      <c r="J3959" s="1">
        <v>44276</v>
      </c>
      <c r="L3959" t="s">
        <v>14</v>
      </c>
      <c r="M3959">
        <v>3910.25</v>
      </c>
      <c r="N3959">
        <v>3910.25</v>
      </c>
      <c r="O3959" t="s">
        <v>21</v>
      </c>
      <c r="P3959">
        <f t="shared" si="198"/>
        <v>4</v>
      </c>
      <c r="Q3959" s="11">
        <f>IF(P3959=0,0,IFERROR(Q3958+G3959*M3959*IF(E3959="FUTURE",VLOOKUP(MID(I3959,2,2),Futures!$A$2:$B$12,2),1),G3959*M3959*IF(E3959="FUTURE",VLOOKUP(MID(I3959,2,2),Futures!$A$2:$B$12,2),1)))</f>
        <v>78205</v>
      </c>
      <c r="R3959" s="12">
        <f>IFERROR(Q3959/P3959/IF(E3959="FUTURE",VLOOKUP(MID(I3959,2,2),Futures!$A$2:$B$12,2),1),"")</f>
        <v>3910.25</v>
      </c>
      <c r="S3959" s="13" t="str">
        <f>IF(AND(H3959="TO CLOSE",P3959=0),-G3959*(M3959-R3958)*IF(E3959="FUTURE",VLOOKUP(MID(I3959,2,2),Futures!$A$2:$B$12,2),1),"")</f>
        <v/>
      </c>
    </row>
    <row r="3960" spans="1:19" x14ac:dyDescent="0.2">
      <c r="A3960">
        <f t="shared" si="197"/>
        <v>1313</v>
      </c>
      <c r="B3960" s="3">
        <v>44244</v>
      </c>
      <c r="C3960" s="3" t="str">
        <f t="shared" si="201"/>
        <v>Wednesday</v>
      </c>
      <c r="D3960" s="2">
        <v>0.45079861111111108</v>
      </c>
      <c r="E3960" t="s">
        <v>14</v>
      </c>
      <c r="F3960" t="s">
        <v>15</v>
      </c>
      <c r="G3960">
        <v>-2</v>
      </c>
      <c r="H3960" t="s">
        <v>16</v>
      </c>
      <c r="I3960" t="s">
        <v>94</v>
      </c>
      <c r="J3960" s="1">
        <v>44276</v>
      </c>
      <c r="L3960" t="s">
        <v>14</v>
      </c>
      <c r="M3960">
        <v>3913.75</v>
      </c>
      <c r="N3960">
        <v>3913.75</v>
      </c>
      <c r="O3960" t="s">
        <v>21</v>
      </c>
      <c r="P3960">
        <f t="shared" si="198"/>
        <v>2</v>
      </c>
      <c r="Q3960" s="11">
        <f>IF(P3960=0,0,IFERROR(Q3959+G3960*M3960*IF(E3960="FUTURE",VLOOKUP(MID(I3960,2,2),Futures!$A$2:$B$12,2),1),G3960*M3960*IF(E3960="FUTURE",VLOOKUP(MID(I3960,2,2),Futures!$A$2:$B$12,2),1)))</f>
        <v>39067.5</v>
      </c>
      <c r="R3960" s="12">
        <f>IFERROR(Q3960/P3960/IF(E3960="FUTURE",VLOOKUP(MID(I3960,2,2),Futures!$A$2:$B$12,2),1),"")</f>
        <v>3906.75</v>
      </c>
      <c r="S3960" s="13" t="str">
        <f>IF(AND(H3960="TO CLOSE",P3960=0),-G3960*(M3960-R3959)*IF(E3960="FUTURE",VLOOKUP(MID(I3960,2,2),Futures!$A$2:$B$12,2),1),"")</f>
        <v/>
      </c>
    </row>
    <row r="3961" spans="1:19" x14ac:dyDescent="0.2">
      <c r="A3961">
        <f t="shared" si="197"/>
        <v>1313</v>
      </c>
      <c r="B3961" s="3">
        <v>44244</v>
      </c>
      <c r="C3961" s="3" t="str">
        <f t="shared" si="201"/>
        <v>Wednesday</v>
      </c>
      <c r="D3961" s="2">
        <v>0.45112268518518522</v>
      </c>
      <c r="E3961" t="s">
        <v>14</v>
      </c>
      <c r="F3961" t="s">
        <v>15</v>
      </c>
      <c r="G3961">
        <v>-1</v>
      </c>
      <c r="H3961" t="s">
        <v>16</v>
      </c>
      <c r="I3961" t="s">
        <v>94</v>
      </c>
      <c r="J3961" s="1">
        <v>44276</v>
      </c>
      <c r="L3961" t="s">
        <v>14</v>
      </c>
      <c r="M3961">
        <v>3914.5</v>
      </c>
      <c r="N3961">
        <v>3914.5</v>
      </c>
      <c r="O3961" t="s">
        <v>21</v>
      </c>
      <c r="P3961">
        <f t="shared" si="198"/>
        <v>1</v>
      </c>
      <c r="Q3961" s="11">
        <f>IF(P3961=0,0,IFERROR(Q3960+G3961*M3961*IF(E3961="FUTURE",VLOOKUP(MID(I3961,2,2),Futures!$A$2:$B$12,2),1),G3961*M3961*IF(E3961="FUTURE",VLOOKUP(MID(I3961,2,2),Futures!$A$2:$B$12,2),1)))</f>
        <v>19495</v>
      </c>
      <c r="R3961" s="12">
        <f>IFERROR(Q3961/P3961/IF(E3961="FUTURE",VLOOKUP(MID(I3961,2,2),Futures!$A$2:$B$12,2),1),"")</f>
        <v>3899</v>
      </c>
      <c r="S3961" s="13" t="str">
        <f>IF(AND(H3961="TO CLOSE",P3961=0),-G3961*(M3961-R3960)*IF(E3961="FUTURE",VLOOKUP(MID(I3961,2,2),Futures!$A$2:$B$12,2),1),"")</f>
        <v/>
      </c>
    </row>
    <row r="3962" spans="1:19" x14ac:dyDescent="0.2">
      <c r="A3962">
        <f t="shared" si="197"/>
        <v>1313</v>
      </c>
      <c r="B3962" s="3">
        <v>44244</v>
      </c>
      <c r="C3962" s="3" t="str">
        <f t="shared" si="201"/>
        <v>Wednesday</v>
      </c>
      <c r="D3962" s="2">
        <v>0.45202546296296298</v>
      </c>
      <c r="E3962" t="s">
        <v>14</v>
      </c>
      <c r="F3962" t="s">
        <v>15</v>
      </c>
      <c r="G3962">
        <v>-1</v>
      </c>
      <c r="H3962" t="s">
        <v>16</v>
      </c>
      <c r="I3962" t="s">
        <v>94</v>
      </c>
      <c r="J3962" s="1">
        <v>44276</v>
      </c>
      <c r="L3962" t="s">
        <v>14</v>
      </c>
      <c r="M3962">
        <v>3915.25</v>
      </c>
      <c r="N3962">
        <v>3915.25</v>
      </c>
      <c r="O3962" t="s">
        <v>21</v>
      </c>
      <c r="P3962">
        <f t="shared" si="198"/>
        <v>0</v>
      </c>
      <c r="Q3962" s="11">
        <f>IF(P3962=0,0,IFERROR(Q3961+G3962*M3962*IF(E3962="FUTURE",VLOOKUP(MID(I3962,2,2),Futures!$A$2:$B$12,2),1),G3962*M3962*IF(E3962="FUTURE",VLOOKUP(MID(I3962,2,2),Futures!$A$2:$B$12,2),1)))</f>
        <v>0</v>
      </c>
      <c r="R3962" s="12" t="str">
        <f>IFERROR(Q3962/P3962/IF(E3962="FUTURE",VLOOKUP(MID(I3962,2,2),Futures!$A$2:$B$12,2),1),"")</f>
        <v/>
      </c>
      <c r="S3962" s="13">
        <f>IF(AND(H3962="TO CLOSE",P3962=0),-G3962*(M3962-R3961)*IF(E3962="FUTURE",VLOOKUP(MID(I3962,2,2),Futures!$A$2:$B$12,2),1),"")</f>
        <v>81.25</v>
      </c>
    </row>
    <row r="3963" spans="1:19" x14ac:dyDescent="0.2">
      <c r="A3963">
        <f t="shared" si="197"/>
        <v>1314</v>
      </c>
      <c r="B3963" s="3">
        <v>44245</v>
      </c>
      <c r="C3963" s="3" t="str">
        <f t="shared" ref="C3963:C3971" si="202">IF(WEEKDAY(B3963,2)=1,"Monday",IF(WEEKDAY(B3963,2)=2,"Tuesday",IF(WEEKDAY(B3963,2)=3,"Wednesday",IF(WEEKDAY(B3963,2)=4,"Thursday",IF(WEEKDAY(B3963,2)=5,"Friday","Sunday")))))</f>
        <v>Thursday</v>
      </c>
      <c r="D3963" s="2">
        <v>0.3925925925925926</v>
      </c>
      <c r="E3963" t="s">
        <v>14</v>
      </c>
      <c r="F3963" t="s">
        <v>15</v>
      </c>
      <c r="G3963">
        <v>-1</v>
      </c>
      <c r="H3963" t="s">
        <v>20</v>
      </c>
      <c r="I3963" t="s">
        <v>98</v>
      </c>
      <c r="J3963" s="1">
        <v>44307</v>
      </c>
      <c r="L3963" t="s">
        <v>14</v>
      </c>
      <c r="M3963">
        <v>61.52</v>
      </c>
      <c r="N3963">
        <v>61.52</v>
      </c>
      <c r="O3963" t="s">
        <v>21</v>
      </c>
      <c r="P3963">
        <f t="shared" si="198"/>
        <v>-1</v>
      </c>
      <c r="Q3963" s="11">
        <f>IF(P3963=0,0,IFERROR(Q3962+G3963*M3963*IF(E3963="FUTURE",VLOOKUP(MID(I3963,2,2),Futures!$A$2:$B$12,2),1),G3963*M3963*IF(E3963="FUTURE",VLOOKUP(MID(I3963,2,2),Futures!$A$2:$B$12,2),1)))</f>
        <v>-61520</v>
      </c>
      <c r="R3963" s="12">
        <f>IFERROR(Q3963/P3963/IF(E3963="FUTURE",VLOOKUP(MID(I3963,2,2),Futures!$A$2:$B$12,2),1),"")</f>
        <v>61.52</v>
      </c>
      <c r="S3963" s="13" t="str">
        <f>IF(AND(H3963="TO CLOSE",P3963=0),-G3963*(M3963-R3962)*IF(E3963="FUTURE",VLOOKUP(MID(I3963,2,2),Futures!$A$2:$B$12,2),1),"")</f>
        <v/>
      </c>
    </row>
    <row r="3964" spans="1:19" x14ac:dyDescent="0.2">
      <c r="A3964">
        <f t="shared" si="197"/>
        <v>1314</v>
      </c>
      <c r="B3964" s="3">
        <v>44245</v>
      </c>
      <c r="C3964" s="3" t="str">
        <f t="shared" si="202"/>
        <v>Thursday</v>
      </c>
      <c r="D3964" s="2">
        <v>0.39917824074074071</v>
      </c>
      <c r="E3964" t="s">
        <v>14</v>
      </c>
      <c r="F3964" t="s">
        <v>19</v>
      </c>
      <c r="G3964">
        <v>1</v>
      </c>
      <c r="H3964" t="s">
        <v>16</v>
      </c>
      <c r="I3964" t="s">
        <v>98</v>
      </c>
      <c r="J3964" s="1">
        <v>44307</v>
      </c>
      <c r="L3964" t="s">
        <v>14</v>
      </c>
      <c r="M3964">
        <v>61.52</v>
      </c>
      <c r="N3964">
        <v>61.52</v>
      </c>
      <c r="O3964" t="s">
        <v>18</v>
      </c>
      <c r="P3964">
        <f t="shared" si="198"/>
        <v>0</v>
      </c>
      <c r="Q3964" s="11">
        <f>IF(P3964=0,0,IFERROR(Q3963+G3964*M3964*IF(E3964="FUTURE",VLOOKUP(MID(I3964,2,2),Futures!$A$2:$B$12,2),1),G3964*M3964*IF(E3964="FUTURE",VLOOKUP(MID(I3964,2,2),Futures!$A$2:$B$12,2),1)))</f>
        <v>0</v>
      </c>
      <c r="R3964" s="12" t="str">
        <f>IFERROR(Q3964/P3964/IF(E3964="FUTURE",VLOOKUP(MID(I3964,2,2),Futures!$A$2:$B$12,2),1),"")</f>
        <v/>
      </c>
      <c r="S3964" s="13">
        <f>IF(AND(H3964="TO CLOSE",P3964=0),-G3964*(M3964-R3963)*IF(E3964="FUTURE",VLOOKUP(MID(I3964,2,2),Futures!$A$2:$B$12,2),1),"")</f>
        <v>0</v>
      </c>
    </row>
    <row r="3965" spans="1:19" x14ac:dyDescent="0.2">
      <c r="A3965">
        <f t="shared" si="197"/>
        <v>1315</v>
      </c>
      <c r="B3965" s="3">
        <v>44245</v>
      </c>
      <c r="C3965" s="3" t="str">
        <f t="shared" si="202"/>
        <v>Thursday</v>
      </c>
      <c r="D3965" s="2">
        <v>0.40211805555555552</v>
      </c>
      <c r="E3965" t="s">
        <v>14</v>
      </c>
      <c r="F3965" t="s">
        <v>15</v>
      </c>
      <c r="G3965">
        <v>-2</v>
      </c>
      <c r="H3965" t="s">
        <v>20</v>
      </c>
      <c r="I3965" t="s">
        <v>98</v>
      </c>
      <c r="J3965" s="1">
        <v>44307</v>
      </c>
      <c r="L3965" t="s">
        <v>14</v>
      </c>
      <c r="M3965">
        <v>61.47</v>
      </c>
      <c r="N3965">
        <v>61.47</v>
      </c>
      <c r="O3965" t="s">
        <v>24</v>
      </c>
      <c r="P3965">
        <f t="shared" si="198"/>
        <v>-2</v>
      </c>
      <c r="Q3965" s="11">
        <f>IF(P3965=0,0,IFERROR(Q3964+G3965*M3965*IF(E3965="FUTURE",VLOOKUP(MID(I3965,2,2),Futures!$A$2:$B$12,2),1),G3965*M3965*IF(E3965="FUTURE",VLOOKUP(MID(I3965,2,2),Futures!$A$2:$B$12,2),1)))</f>
        <v>-122940</v>
      </c>
      <c r="R3965" s="12">
        <f>IFERROR(Q3965/P3965/IF(E3965="FUTURE",VLOOKUP(MID(I3965,2,2),Futures!$A$2:$B$12,2),1),"")</f>
        <v>61.47</v>
      </c>
      <c r="S3965" s="13" t="str">
        <f>IF(AND(H3965="TO CLOSE",P3965=0),-G3965*(M3965-R3964)*IF(E3965="FUTURE",VLOOKUP(MID(I3965,2,2),Futures!$A$2:$B$12,2),1),"")</f>
        <v/>
      </c>
    </row>
    <row r="3966" spans="1:19" x14ac:dyDescent="0.2">
      <c r="A3966">
        <f t="shared" si="197"/>
        <v>1315</v>
      </c>
      <c r="B3966" s="3">
        <v>44245</v>
      </c>
      <c r="C3966" s="3" t="str">
        <f t="shared" si="202"/>
        <v>Thursday</v>
      </c>
      <c r="D3966" s="2">
        <v>0.40282407407407406</v>
      </c>
      <c r="E3966" t="s">
        <v>14</v>
      </c>
      <c r="F3966" t="s">
        <v>19</v>
      </c>
      <c r="G3966">
        <v>1</v>
      </c>
      <c r="H3966" t="s">
        <v>16</v>
      </c>
      <c r="I3966" t="s">
        <v>98</v>
      </c>
      <c r="J3966" s="1">
        <v>44307</v>
      </c>
      <c r="L3966" t="s">
        <v>14</v>
      </c>
      <c r="M3966">
        <v>61.39</v>
      </c>
      <c r="N3966">
        <v>61.39</v>
      </c>
      <c r="O3966" t="s">
        <v>21</v>
      </c>
      <c r="P3966">
        <f t="shared" si="198"/>
        <v>-1</v>
      </c>
      <c r="Q3966" s="11">
        <f>IF(P3966=0,0,IFERROR(Q3965+G3966*M3966*IF(E3966="FUTURE",VLOOKUP(MID(I3966,2,2),Futures!$A$2:$B$12,2),1),G3966*M3966*IF(E3966="FUTURE",VLOOKUP(MID(I3966,2,2),Futures!$A$2:$B$12,2),1)))</f>
        <v>-61550</v>
      </c>
      <c r="R3966" s="12">
        <f>IFERROR(Q3966/P3966/IF(E3966="FUTURE",VLOOKUP(MID(I3966,2,2),Futures!$A$2:$B$12,2),1),"")</f>
        <v>61.55</v>
      </c>
      <c r="S3966" s="13" t="str">
        <f>IF(AND(H3966="TO CLOSE",P3966=0),-G3966*(M3966-R3965)*IF(E3966="FUTURE",VLOOKUP(MID(I3966,2,2),Futures!$A$2:$B$12,2),1),"")</f>
        <v/>
      </c>
    </row>
    <row r="3967" spans="1:19" x14ac:dyDescent="0.2">
      <c r="A3967">
        <f t="shared" si="197"/>
        <v>1315</v>
      </c>
      <c r="B3967" s="3">
        <v>44245</v>
      </c>
      <c r="C3967" s="3" t="str">
        <f t="shared" si="202"/>
        <v>Thursday</v>
      </c>
      <c r="D3967" s="2">
        <v>0.40436342592592589</v>
      </c>
      <c r="E3967" t="s">
        <v>14</v>
      </c>
      <c r="F3967" t="s">
        <v>19</v>
      </c>
      <c r="G3967">
        <v>1</v>
      </c>
      <c r="H3967" t="s">
        <v>16</v>
      </c>
      <c r="I3967" t="s">
        <v>98</v>
      </c>
      <c r="J3967" s="1">
        <v>44307</v>
      </c>
      <c r="L3967" t="s">
        <v>14</v>
      </c>
      <c r="M3967">
        <v>61.36</v>
      </c>
      <c r="N3967">
        <v>61.36</v>
      </c>
      <c r="O3967" t="s">
        <v>21</v>
      </c>
      <c r="P3967">
        <f t="shared" si="198"/>
        <v>0</v>
      </c>
      <c r="Q3967" s="11">
        <f>IF(P3967=0,0,IFERROR(Q3966+G3967*M3967*IF(E3967="FUTURE",VLOOKUP(MID(I3967,2,2),Futures!$A$2:$B$12,2),1),G3967*M3967*IF(E3967="FUTURE",VLOOKUP(MID(I3967,2,2),Futures!$A$2:$B$12,2),1)))</f>
        <v>0</v>
      </c>
      <c r="R3967" s="12" t="str">
        <f>IFERROR(Q3967/P3967/IF(E3967="FUTURE",VLOOKUP(MID(I3967,2,2),Futures!$A$2:$B$12,2),1),"")</f>
        <v/>
      </c>
      <c r="S3967" s="13">
        <f>IF(AND(H3967="TO CLOSE",P3967=0),-G3967*(M3967-R3966)*IF(E3967="FUTURE",VLOOKUP(MID(I3967,2,2),Futures!$A$2:$B$12,2),1),"")</f>
        <v>189.99999999999773</v>
      </c>
    </row>
    <row r="3968" spans="1:19" x14ac:dyDescent="0.2">
      <c r="A3968">
        <f t="shared" si="197"/>
        <v>1316</v>
      </c>
      <c r="B3968" s="3">
        <v>44245</v>
      </c>
      <c r="C3968" s="3" t="str">
        <f t="shared" si="202"/>
        <v>Thursday</v>
      </c>
      <c r="D3968" s="2">
        <v>0.45914351851851848</v>
      </c>
      <c r="E3968" t="s">
        <v>14</v>
      </c>
      <c r="F3968" t="s">
        <v>15</v>
      </c>
      <c r="G3968">
        <v>-1</v>
      </c>
      <c r="H3968" t="s">
        <v>20</v>
      </c>
      <c r="I3968" t="s">
        <v>98</v>
      </c>
      <c r="J3968" s="1">
        <v>44307</v>
      </c>
      <c r="L3968" t="s">
        <v>14</v>
      </c>
      <c r="M3968">
        <v>60.99</v>
      </c>
      <c r="N3968">
        <v>60.99</v>
      </c>
      <c r="O3968" t="s">
        <v>21</v>
      </c>
      <c r="P3968">
        <f t="shared" si="198"/>
        <v>-1</v>
      </c>
      <c r="Q3968" s="11">
        <f>IF(P3968=0,0,IFERROR(Q3967+G3968*M3968*IF(E3968="FUTURE",VLOOKUP(MID(I3968,2,2),Futures!$A$2:$B$12,2),1),G3968*M3968*IF(E3968="FUTURE",VLOOKUP(MID(I3968,2,2),Futures!$A$2:$B$12,2),1)))</f>
        <v>-60990</v>
      </c>
      <c r="R3968" s="12">
        <f>IFERROR(Q3968/P3968/IF(E3968="FUTURE",VLOOKUP(MID(I3968,2,2),Futures!$A$2:$B$12,2),1),"")</f>
        <v>60.99</v>
      </c>
      <c r="S3968" s="13" t="str">
        <f>IF(AND(H3968="TO CLOSE",P3968=0),-G3968*(M3968-R3967)*IF(E3968="FUTURE",VLOOKUP(MID(I3968,2,2),Futures!$A$2:$B$12,2),1),"")</f>
        <v/>
      </c>
    </row>
    <row r="3969" spans="1:19" x14ac:dyDescent="0.2">
      <c r="A3969">
        <f t="shared" si="197"/>
        <v>1316</v>
      </c>
      <c r="B3969" s="3">
        <v>44245</v>
      </c>
      <c r="C3969" s="3" t="str">
        <f t="shared" si="202"/>
        <v>Thursday</v>
      </c>
      <c r="D3969" s="2">
        <v>0.45931712962962962</v>
      </c>
      <c r="E3969" t="s">
        <v>14</v>
      </c>
      <c r="F3969" t="s">
        <v>19</v>
      </c>
      <c r="G3969">
        <v>1</v>
      </c>
      <c r="H3969" t="s">
        <v>16</v>
      </c>
      <c r="I3969" t="s">
        <v>98</v>
      </c>
      <c r="J3969" s="1">
        <v>44307</v>
      </c>
      <c r="L3969" t="s">
        <v>14</v>
      </c>
      <c r="M3969">
        <v>60.99</v>
      </c>
      <c r="N3969">
        <v>60.99</v>
      </c>
      <c r="O3969" t="s">
        <v>18</v>
      </c>
      <c r="P3969">
        <f t="shared" si="198"/>
        <v>0</v>
      </c>
      <c r="Q3969" s="11">
        <f>IF(P3969=0,0,IFERROR(Q3968+G3969*M3969*IF(E3969="FUTURE",VLOOKUP(MID(I3969,2,2),Futures!$A$2:$B$12,2),1),G3969*M3969*IF(E3969="FUTURE",VLOOKUP(MID(I3969,2,2),Futures!$A$2:$B$12,2),1)))</f>
        <v>0</v>
      </c>
      <c r="R3969" s="12" t="str">
        <f>IFERROR(Q3969/P3969/IF(E3969="FUTURE",VLOOKUP(MID(I3969,2,2),Futures!$A$2:$B$12,2),1),"")</f>
        <v/>
      </c>
      <c r="S3969" s="13">
        <f>IF(AND(H3969="TO CLOSE",P3969=0),-G3969*(M3969-R3968)*IF(E3969="FUTURE",VLOOKUP(MID(I3969,2,2),Futures!$A$2:$B$12,2),1),"")</f>
        <v>0</v>
      </c>
    </row>
    <row r="3970" spans="1:19" x14ac:dyDescent="0.2">
      <c r="A3970">
        <f t="shared" ref="A3970:A4033" si="203">IF(AND(P3969=0,H3969="TO CLOSE"),IFERROR(A3969+1,1),IFERROR(A3969/1,1))</f>
        <v>1317</v>
      </c>
      <c r="B3970" s="3">
        <v>44245</v>
      </c>
      <c r="C3970" s="3" t="str">
        <f t="shared" si="202"/>
        <v>Thursday</v>
      </c>
      <c r="D3970" s="2">
        <v>0.45998842592592593</v>
      </c>
      <c r="E3970" t="s">
        <v>14</v>
      </c>
      <c r="F3970" t="s">
        <v>15</v>
      </c>
      <c r="G3970">
        <v>-1</v>
      </c>
      <c r="H3970" t="s">
        <v>20</v>
      </c>
      <c r="I3970" t="s">
        <v>98</v>
      </c>
      <c r="J3970" s="1">
        <v>44307</v>
      </c>
      <c r="L3970" t="s">
        <v>14</v>
      </c>
      <c r="M3970">
        <v>61.08</v>
      </c>
      <c r="N3970">
        <v>61.08</v>
      </c>
      <c r="O3970" t="s">
        <v>21</v>
      </c>
      <c r="P3970">
        <f t="shared" si="198"/>
        <v>-1</v>
      </c>
      <c r="Q3970" s="11">
        <f>IF(P3970=0,0,IFERROR(Q3969+G3970*M3970*IF(E3970="FUTURE",VLOOKUP(MID(I3970,2,2),Futures!$A$2:$B$12,2),1),G3970*M3970*IF(E3970="FUTURE",VLOOKUP(MID(I3970,2,2),Futures!$A$2:$B$12,2),1)))</f>
        <v>-61080</v>
      </c>
      <c r="R3970" s="12">
        <f>IFERROR(Q3970/P3970/IF(E3970="FUTURE",VLOOKUP(MID(I3970,2,2),Futures!$A$2:$B$12,2),1),"")</f>
        <v>61.08</v>
      </c>
      <c r="S3970" s="13" t="str">
        <f>IF(AND(H3970="TO CLOSE",P3970=0),-G3970*(M3970-R3969)*IF(E3970="FUTURE",VLOOKUP(MID(I3970,2,2),Futures!$A$2:$B$12,2),1),"")</f>
        <v/>
      </c>
    </row>
    <row r="3971" spans="1:19" x14ac:dyDescent="0.2">
      <c r="A3971">
        <f t="shared" si="203"/>
        <v>1317</v>
      </c>
      <c r="B3971" s="3">
        <v>44245</v>
      </c>
      <c r="C3971" s="3" t="str">
        <f t="shared" si="202"/>
        <v>Thursday</v>
      </c>
      <c r="D3971" s="2">
        <v>0.4619328703703704</v>
      </c>
      <c r="E3971" t="s">
        <v>14</v>
      </c>
      <c r="F3971" t="s">
        <v>19</v>
      </c>
      <c r="G3971">
        <v>1</v>
      </c>
      <c r="H3971" t="s">
        <v>16</v>
      </c>
      <c r="I3971" t="s">
        <v>98</v>
      </c>
      <c r="J3971" s="1">
        <v>44307</v>
      </c>
      <c r="L3971" t="s">
        <v>14</v>
      </c>
      <c r="M3971">
        <v>61.01</v>
      </c>
      <c r="N3971">
        <v>61.01</v>
      </c>
      <c r="O3971" t="s">
        <v>21</v>
      </c>
      <c r="P3971">
        <f t="shared" ref="P3971:P4034" si="204">IF(H3971="TO OPEN",IFERROR(P3970+G3971,0+G3971),IFERROR(P3970+G3971,0+G3971))</f>
        <v>0</v>
      </c>
      <c r="Q3971" s="11">
        <f>IF(P3971=0,0,IFERROR(Q3970+G3971*M3971*IF(E3971="FUTURE",VLOOKUP(MID(I3971,2,2),Futures!$A$2:$B$12,2),1),G3971*M3971*IF(E3971="FUTURE",VLOOKUP(MID(I3971,2,2),Futures!$A$2:$B$12,2),1)))</f>
        <v>0</v>
      </c>
      <c r="R3971" s="12" t="str">
        <f>IFERROR(Q3971/P3971/IF(E3971="FUTURE",VLOOKUP(MID(I3971,2,2),Futures!$A$2:$B$12,2),1),"")</f>
        <v/>
      </c>
      <c r="S3971" s="13">
        <f>IF(AND(H3971="TO CLOSE",P3971=0),-G3971*(M3971-R3970)*IF(E3971="FUTURE",VLOOKUP(MID(I3971,2,2),Futures!$A$2:$B$12,2),1),"")</f>
        <v>70.000000000000284</v>
      </c>
    </row>
    <row r="3972" spans="1:19" x14ac:dyDescent="0.2">
      <c r="A3972">
        <f t="shared" si="203"/>
        <v>1318</v>
      </c>
      <c r="B3972" s="3">
        <v>44246</v>
      </c>
      <c r="C3972" s="3" t="str">
        <f t="shared" ref="C3972:C3988" si="205">IF(WEEKDAY(B3972,2)=1,"Monday",IF(WEEKDAY(B3972,2)=2,"Tuesday",IF(WEEKDAY(B3972,2)=3,"Wednesday",IF(WEEKDAY(B3972,2)=4,"Thursday",IF(WEEKDAY(B3972,2)=5,"Friday","Sunday")))))</f>
        <v>Friday</v>
      </c>
      <c r="D3972" s="2">
        <v>0.41200231481481481</v>
      </c>
      <c r="E3972" t="s">
        <v>14</v>
      </c>
      <c r="F3972" t="s">
        <v>19</v>
      </c>
      <c r="G3972">
        <v>1</v>
      </c>
      <c r="H3972" t="s">
        <v>20</v>
      </c>
      <c r="I3972" t="s">
        <v>89</v>
      </c>
      <c r="J3972" s="1">
        <v>44276</v>
      </c>
      <c r="L3972" t="s">
        <v>14</v>
      </c>
      <c r="M3972">
        <v>3918.25</v>
      </c>
      <c r="N3972">
        <v>3918.25</v>
      </c>
      <c r="O3972" t="s">
        <v>21</v>
      </c>
      <c r="P3972">
        <f t="shared" si="204"/>
        <v>1</v>
      </c>
      <c r="Q3972" s="11">
        <f>IF(P3972=0,0,IFERROR(Q3971+G3972*M3972*IF(E3972="FUTURE",VLOOKUP(MID(I3972,2,2),Futures!$A$2:$B$12,2),1),G3972*M3972*IF(E3972="FUTURE",VLOOKUP(MID(I3972,2,2),Futures!$A$2:$B$12,2),1)))</f>
        <v>195912.5</v>
      </c>
      <c r="R3972" s="12">
        <f>IFERROR(Q3972/P3972/IF(E3972="FUTURE",VLOOKUP(MID(I3972,2,2),Futures!$A$2:$B$12,2),1),"")</f>
        <v>3918.25</v>
      </c>
      <c r="S3972" s="13" t="str">
        <f>IF(AND(H3972="TO CLOSE",P3972=0),-G3972*(M3972-R3971)*IF(E3972="FUTURE",VLOOKUP(MID(I3972,2,2),Futures!$A$2:$B$12,2),1),"")</f>
        <v/>
      </c>
    </row>
    <row r="3973" spans="1:19" x14ac:dyDescent="0.2">
      <c r="A3973">
        <f t="shared" si="203"/>
        <v>1318</v>
      </c>
      <c r="B3973" s="3">
        <v>44246</v>
      </c>
      <c r="C3973" s="3" t="str">
        <f t="shared" si="205"/>
        <v>Friday</v>
      </c>
      <c r="D3973" s="2">
        <v>0.41521990740740744</v>
      </c>
      <c r="E3973" t="s">
        <v>14</v>
      </c>
      <c r="F3973" t="s">
        <v>15</v>
      </c>
      <c r="G3973">
        <v>-1</v>
      </c>
      <c r="H3973" t="s">
        <v>16</v>
      </c>
      <c r="I3973" t="s">
        <v>89</v>
      </c>
      <c r="J3973" s="1">
        <v>44276</v>
      </c>
      <c r="L3973" t="s">
        <v>14</v>
      </c>
      <c r="M3973">
        <v>3921.75</v>
      </c>
      <c r="N3973">
        <v>3921.75</v>
      </c>
      <c r="O3973" t="s">
        <v>21</v>
      </c>
      <c r="P3973">
        <f t="shared" si="204"/>
        <v>0</v>
      </c>
      <c r="Q3973" s="11">
        <f>IF(P3973=0,0,IFERROR(Q3972+G3973*M3973*IF(E3973="FUTURE",VLOOKUP(MID(I3973,2,2),Futures!$A$2:$B$12,2),1),G3973*M3973*IF(E3973="FUTURE",VLOOKUP(MID(I3973,2,2),Futures!$A$2:$B$12,2),1)))</f>
        <v>0</v>
      </c>
      <c r="R3973" s="12" t="str">
        <f>IFERROR(Q3973/P3973/IF(E3973="FUTURE",VLOOKUP(MID(I3973,2,2),Futures!$A$2:$B$12,2),1),"")</f>
        <v/>
      </c>
      <c r="S3973" s="13">
        <f>IF(AND(H3973="TO CLOSE",P3973=0),-G3973*(M3973-R3972)*IF(E3973="FUTURE",VLOOKUP(MID(I3973,2,2),Futures!$A$2:$B$12,2),1),"")</f>
        <v>175</v>
      </c>
    </row>
    <row r="3974" spans="1:19" x14ac:dyDescent="0.2">
      <c r="A3974">
        <f t="shared" si="203"/>
        <v>1319</v>
      </c>
      <c r="B3974" s="3">
        <v>44249</v>
      </c>
      <c r="C3974" s="3" t="str">
        <f t="shared" si="205"/>
        <v>Monday</v>
      </c>
      <c r="D3974" s="2">
        <v>0.39861111111111108</v>
      </c>
      <c r="E3974" t="s">
        <v>14</v>
      </c>
      <c r="F3974" t="s">
        <v>15</v>
      </c>
      <c r="G3974">
        <v>-1</v>
      </c>
      <c r="H3974" t="s">
        <v>20</v>
      </c>
      <c r="I3974" t="s">
        <v>98</v>
      </c>
      <c r="J3974" s="1">
        <v>44307</v>
      </c>
      <c r="L3974" t="s">
        <v>14</v>
      </c>
      <c r="M3974">
        <v>60.57</v>
      </c>
      <c r="N3974">
        <v>60.57</v>
      </c>
      <c r="O3974" t="s">
        <v>21</v>
      </c>
      <c r="P3974">
        <f t="shared" si="204"/>
        <v>-1</v>
      </c>
      <c r="Q3974" s="11">
        <f>IF(P3974=0,0,IFERROR(Q3973+G3974*M3974*IF(E3974="FUTURE",VLOOKUP(MID(I3974,2,2),Futures!$A$2:$B$12,2),1),G3974*M3974*IF(E3974="FUTURE",VLOOKUP(MID(I3974,2,2),Futures!$A$2:$B$12,2),1)))</f>
        <v>-60570</v>
      </c>
      <c r="R3974" s="12">
        <f>IFERROR(Q3974/P3974/IF(E3974="FUTURE",VLOOKUP(MID(I3974,2,2),Futures!$A$2:$B$12,2),1),"")</f>
        <v>60.57</v>
      </c>
      <c r="S3974" s="13" t="str">
        <f>IF(AND(H3974="TO CLOSE",P3974=0),-G3974*(M3974-R3973)*IF(E3974="FUTURE",VLOOKUP(MID(I3974,2,2),Futures!$A$2:$B$12,2),1),"")</f>
        <v/>
      </c>
    </row>
    <row r="3975" spans="1:19" x14ac:dyDescent="0.2">
      <c r="A3975">
        <f t="shared" si="203"/>
        <v>1319</v>
      </c>
      <c r="B3975" s="3">
        <v>44249</v>
      </c>
      <c r="C3975" s="3" t="str">
        <f t="shared" si="205"/>
        <v>Monday</v>
      </c>
      <c r="D3975" s="2">
        <v>0.40069444444444446</v>
      </c>
      <c r="E3975" t="s">
        <v>14</v>
      </c>
      <c r="F3975" t="s">
        <v>19</v>
      </c>
      <c r="G3975">
        <v>2</v>
      </c>
      <c r="H3975" t="s">
        <v>16</v>
      </c>
      <c r="I3975" t="s">
        <v>98</v>
      </c>
      <c r="J3975" s="1">
        <v>44307</v>
      </c>
      <c r="L3975" t="s">
        <v>14</v>
      </c>
      <c r="M3975">
        <v>60.71</v>
      </c>
      <c r="N3975">
        <v>60.71</v>
      </c>
      <c r="O3975" t="s">
        <v>24</v>
      </c>
      <c r="P3975">
        <f t="shared" si="204"/>
        <v>1</v>
      </c>
      <c r="Q3975" s="11">
        <f>IF(P3975=0,0,IFERROR(Q3974+G3975*M3975*IF(E3975="FUTURE",VLOOKUP(MID(I3975,2,2),Futures!$A$2:$B$12,2),1),G3975*M3975*IF(E3975="FUTURE",VLOOKUP(MID(I3975,2,2),Futures!$A$2:$B$12,2),1)))</f>
        <v>60850</v>
      </c>
      <c r="R3975" s="12">
        <f>IFERROR(Q3975/P3975/IF(E3975="FUTURE",VLOOKUP(MID(I3975,2,2),Futures!$A$2:$B$12,2),1),"")</f>
        <v>60.85</v>
      </c>
      <c r="S3975" s="13" t="str">
        <f>IF(AND(H3975="TO CLOSE",P3975=0),-G3975*(M3975-R3974)*IF(E3975="FUTURE",VLOOKUP(MID(I3975,2,2),Futures!$A$2:$B$12,2),1),"")</f>
        <v/>
      </c>
    </row>
    <row r="3976" spans="1:19" x14ac:dyDescent="0.2">
      <c r="A3976">
        <f t="shared" si="203"/>
        <v>1319</v>
      </c>
      <c r="B3976" s="3">
        <v>44249</v>
      </c>
      <c r="C3976" s="3" t="str">
        <f t="shared" si="205"/>
        <v>Monday</v>
      </c>
      <c r="D3976" s="2">
        <v>0.4031481481481482</v>
      </c>
      <c r="E3976" t="s">
        <v>14</v>
      </c>
      <c r="F3976" t="s">
        <v>15</v>
      </c>
      <c r="G3976">
        <v>-1</v>
      </c>
      <c r="H3976" t="s">
        <v>16</v>
      </c>
      <c r="I3976" t="s">
        <v>98</v>
      </c>
      <c r="J3976" s="1">
        <v>44307</v>
      </c>
      <c r="L3976" t="s">
        <v>14</v>
      </c>
      <c r="M3976">
        <v>60.8</v>
      </c>
      <c r="N3976">
        <v>60.8</v>
      </c>
      <c r="O3976" t="s">
        <v>21</v>
      </c>
      <c r="P3976">
        <f t="shared" si="204"/>
        <v>0</v>
      </c>
      <c r="Q3976" s="11">
        <f>IF(P3976=0,0,IFERROR(Q3975+G3976*M3976*IF(E3976="FUTURE",VLOOKUP(MID(I3976,2,2),Futures!$A$2:$B$12,2),1),G3976*M3976*IF(E3976="FUTURE",VLOOKUP(MID(I3976,2,2),Futures!$A$2:$B$12,2),1)))</f>
        <v>0</v>
      </c>
      <c r="R3976" s="12" t="str">
        <f>IFERROR(Q3976/P3976/IF(E3976="FUTURE",VLOOKUP(MID(I3976,2,2),Futures!$A$2:$B$12,2),1),"")</f>
        <v/>
      </c>
      <c r="S3976" s="13">
        <f>IF(AND(H3976="TO CLOSE",P3976=0),-G3976*(M3976-R3975)*IF(E3976="FUTURE",VLOOKUP(MID(I3976,2,2),Futures!$A$2:$B$12,2),1),"")</f>
        <v>-50.000000000004263</v>
      </c>
    </row>
    <row r="3977" spans="1:19" x14ac:dyDescent="0.2">
      <c r="A3977">
        <f t="shared" si="203"/>
        <v>1320</v>
      </c>
      <c r="B3977" s="3">
        <v>44249</v>
      </c>
      <c r="C3977" s="3" t="str">
        <f t="shared" si="205"/>
        <v>Monday</v>
      </c>
      <c r="D3977" s="2">
        <v>0.40695601851851854</v>
      </c>
      <c r="E3977" t="s">
        <v>14</v>
      </c>
      <c r="F3977" t="s">
        <v>15</v>
      </c>
      <c r="G3977">
        <v>-1</v>
      </c>
      <c r="H3977" t="s">
        <v>20</v>
      </c>
      <c r="I3977" t="s">
        <v>98</v>
      </c>
      <c r="J3977" s="1">
        <v>44307</v>
      </c>
      <c r="L3977" t="s">
        <v>14</v>
      </c>
      <c r="M3977">
        <v>60.62</v>
      </c>
      <c r="N3977">
        <v>60.62</v>
      </c>
      <c r="O3977" t="s">
        <v>21</v>
      </c>
      <c r="P3977">
        <f t="shared" si="204"/>
        <v>-1</v>
      </c>
      <c r="Q3977" s="11">
        <f>IF(P3977=0,0,IFERROR(Q3976+G3977*M3977*IF(E3977="FUTURE",VLOOKUP(MID(I3977,2,2),Futures!$A$2:$B$12,2),1),G3977*M3977*IF(E3977="FUTURE",VLOOKUP(MID(I3977,2,2),Futures!$A$2:$B$12,2),1)))</f>
        <v>-60620</v>
      </c>
      <c r="R3977" s="12">
        <f>IFERROR(Q3977/P3977/IF(E3977="FUTURE",VLOOKUP(MID(I3977,2,2),Futures!$A$2:$B$12,2),1),"")</f>
        <v>60.62</v>
      </c>
      <c r="S3977" s="13" t="str">
        <f>IF(AND(H3977="TO CLOSE",P3977=0),-G3977*(M3977-R3976)*IF(E3977="FUTURE",VLOOKUP(MID(I3977,2,2),Futures!$A$2:$B$12,2),1),"")</f>
        <v/>
      </c>
    </row>
    <row r="3978" spans="1:19" x14ac:dyDescent="0.2">
      <c r="A3978">
        <f t="shared" si="203"/>
        <v>1320</v>
      </c>
      <c r="B3978" s="3">
        <v>44249</v>
      </c>
      <c r="C3978" s="3" t="str">
        <f t="shared" si="205"/>
        <v>Monday</v>
      </c>
      <c r="D3978" s="2">
        <v>0.41267361111111112</v>
      </c>
      <c r="E3978" t="s">
        <v>14</v>
      </c>
      <c r="F3978" t="s">
        <v>19</v>
      </c>
      <c r="G3978">
        <v>1</v>
      </c>
      <c r="H3978" t="s">
        <v>16</v>
      </c>
      <c r="I3978" t="s">
        <v>98</v>
      </c>
      <c r="J3978" s="1">
        <v>44307</v>
      </c>
      <c r="L3978" t="s">
        <v>14</v>
      </c>
      <c r="M3978">
        <v>60.82</v>
      </c>
      <c r="N3978">
        <v>60.82</v>
      </c>
      <c r="O3978" t="s">
        <v>18</v>
      </c>
      <c r="P3978">
        <f t="shared" si="204"/>
        <v>0</v>
      </c>
      <c r="Q3978" s="11">
        <f>IF(P3978=0,0,IFERROR(Q3977+G3978*M3978*IF(E3978="FUTURE",VLOOKUP(MID(I3978,2,2),Futures!$A$2:$B$12,2),1),G3978*M3978*IF(E3978="FUTURE",VLOOKUP(MID(I3978,2,2),Futures!$A$2:$B$12,2),1)))</f>
        <v>0</v>
      </c>
      <c r="R3978" s="12" t="str">
        <f>IFERROR(Q3978/P3978/IF(E3978="FUTURE",VLOOKUP(MID(I3978,2,2),Futures!$A$2:$B$12,2),1),"")</f>
        <v/>
      </c>
      <c r="S3978" s="13">
        <f>IF(AND(H3978="TO CLOSE",P3978=0),-G3978*(M3978-R3977)*IF(E3978="FUTURE",VLOOKUP(MID(I3978,2,2),Futures!$A$2:$B$12,2),1),"")</f>
        <v>-200.00000000000284</v>
      </c>
    </row>
    <row r="3979" spans="1:19" x14ac:dyDescent="0.2">
      <c r="A3979">
        <f t="shared" si="203"/>
        <v>1321</v>
      </c>
      <c r="B3979" s="3">
        <v>44249</v>
      </c>
      <c r="C3979" s="3" t="str">
        <f t="shared" si="205"/>
        <v>Monday</v>
      </c>
      <c r="D3979" s="2">
        <v>0.40011574074074074</v>
      </c>
      <c r="E3979" t="s">
        <v>14</v>
      </c>
      <c r="F3979" t="s">
        <v>15</v>
      </c>
      <c r="G3979">
        <v>-1</v>
      </c>
      <c r="H3979" t="s">
        <v>20</v>
      </c>
      <c r="I3979" t="s">
        <v>89</v>
      </c>
      <c r="J3979" s="1">
        <v>44276</v>
      </c>
      <c r="L3979" t="s">
        <v>14</v>
      </c>
      <c r="M3979">
        <v>3873.75</v>
      </c>
      <c r="N3979">
        <v>3873.75</v>
      </c>
      <c r="O3979" t="s">
        <v>21</v>
      </c>
      <c r="P3979">
        <f t="shared" si="204"/>
        <v>-1</v>
      </c>
      <c r="Q3979" s="11">
        <f>IF(P3979=0,0,IFERROR(Q3978+G3979*M3979*IF(E3979="FUTURE",VLOOKUP(MID(I3979,2,2),Futures!$A$2:$B$12,2),1),G3979*M3979*IF(E3979="FUTURE",VLOOKUP(MID(I3979,2,2),Futures!$A$2:$B$12,2),1)))</f>
        <v>-193687.5</v>
      </c>
      <c r="R3979" s="12">
        <f>IFERROR(Q3979/P3979/IF(E3979="FUTURE",VLOOKUP(MID(I3979,2,2),Futures!$A$2:$B$12,2),1),"")</f>
        <v>3873.75</v>
      </c>
      <c r="S3979" s="13" t="str">
        <f>IF(AND(H3979="TO CLOSE",P3979=0),-G3979*(M3979-R3978)*IF(E3979="FUTURE",VLOOKUP(MID(I3979,2,2),Futures!$A$2:$B$12,2),1),"")</f>
        <v/>
      </c>
    </row>
    <row r="3980" spans="1:19" x14ac:dyDescent="0.2">
      <c r="A3980">
        <f t="shared" si="203"/>
        <v>1321</v>
      </c>
      <c r="B3980" s="3">
        <v>44249</v>
      </c>
      <c r="C3980" s="3" t="str">
        <f t="shared" si="205"/>
        <v>Monday</v>
      </c>
      <c r="D3980" s="2">
        <v>0.40064814814814814</v>
      </c>
      <c r="E3980" t="s">
        <v>14</v>
      </c>
      <c r="F3980" t="s">
        <v>19</v>
      </c>
      <c r="G3980">
        <v>1</v>
      </c>
      <c r="H3980" t="s">
        <v>16</v>
      </c>
      <c r="I3980" t="s">
        <v>89</v>
      </c>
      <c r="J3980" s="1">
        <v>44276</v>
      </c>
      <c r="L3980" t="s">
        <v>14</v>
      </c>
      <c r="M3980">
        <v>3877.75</v>
      </c>
      <c r="N3980">
        <v>3877.75</v>
      </c>
      <c r="O3980" t="s">
        <v>18</v>
      </c>
      <c r="P3980">
        <f t="shared" si="204"/>
        <v>0</v>
      </c>
      <c r="Q3980" s="11">
        <f>IF(P3980=0,0,IFERROR(Q3979+G3980*M3980*IF(E3980="FUTURE",VLOOKUP(MID(I3980,2,2),Futures!$A$2:$B$12,2),1),G3980*M3980*IF(E3980="FUTURE",VLOOKUP(MID(I3980,2,2),Futures!$A$2:$B$12,2),1)))</f>
        <v>0</v>
      </c>
      <c r="R3980" s="12" t="str">
        <f>IFERROR(Q3980/P3980/IF(E3980="FUTURE",VLOOKUP(MID(I3980,2,2),Futures!$A$2:$B$12,2),1),"")</f>
        <v/>
      </c>
      <c r="S3980" s="13">
        <f>IF(AND(H3980="TO CLOSE",P3980=0),-G3980*(M3980-R3979)*IF(E3980="FUTURE",VLOOKUP(MID(I3980,2,2),Futures!$A$2:$B$12,2),1),"")</f>
        <v>-200</v>
      </c>
    </row>
    <row r="3981" spans="1:19" x14ac:dyDescent="0.2">
      <c r="A3981">
        <f t="shared" si="203"/>
        <v>1322</v>
      </c>
      <c r="B3981" s="3">
        <v>44249</v>
      </c>
      <c r="C3981" s="3" t="str">
        <f t="shared" si="205"/>
        <v>Monday</v>
      </c>
      <c r="D3981" s="2">
        <v>0.40133101851851855</v>
      </c>
      <c r="E3981" t="s">
        <v>14</v>
      </c>
      <c r="F3981" t="s">
        <v>19</v>
      </c>
      <c r="G3981">
        <v>1</v>
      </c>
      <c r="H3981" t="s">
        <v>20</v>
      </c>
      <c r="I3981" t="s">
        <v>89</v>
      </c>
      <c r="J3981" s="1">
        <v>44276</v>
      </c>
      <c r="L3981" t="s">
        <v>14</v>
      </c>
      <c r="M3981">
        <v>3882.25</v>
      </c>
      <c r="N3981">
        <v>3882.25</v>
      </c>
      <c r="O3981" t="s">
        <v>21</v>
      </c>
      <c r="P3981">
        <f t="shared" si="204"/>
        <v>1</v>
      </c>
      <c r="Q3981" s="11">
        <f>IF(P3981=0,0,IFERROR(Q3980+G3981*M3981*IF(E3981="FUTURE",VLOOKUP(MID(I3981,2,2),Futures!$A$2:$B$12,2),1),G3981*M3981*IF(E3981="FUTURE",VLOOKUP(MID(I3981,2,2),Futures!$A$2:$B$12,2),1)))</f>
        <v>194112.5</v>
      </c>
      <c r="R3981" s="12">
        <f>IFERROR(Q3981/P3981/IF(E3981="FUTURE",VLOOKUP(MID(I3981,2,2),Futures!$A$2:$B$12,2),1),"")</f>
        <v>3882.25</v>
      </c>
      <c r="S3981" s="13" t="str">
        <f>IF(AND(H3981="TO CLOSE",P3981=0),-G3981*(M3981-R3980)*IF(E3981="FUTURE",VLOOKUP(MID(I3981,2,2),Futures!$A$2:$B$12,2),1),"")</f>
        <v/>
      </c>
    </row>
    <row r="3982" spans="1:19" x14ac:dyDescent="0.2">
      <c r="A3982">
        <f t="shared" si="203"/>
        <v>1322</v>
      </c>
      <c r="B3982" s="3">
        <v>44249</v>
      </c>
      <c r="C3982" s="3" t="str">
        <f t="shared" si="205"/>
        <v>Monday</v>
      </c>
      <c r="D3982" s="2">
        <v>0.40265046296296297</v>
      </c>
      <c r="E3982" t="s">
        <v>14</v>
      </c>
      <c r="F3982" t="s">
        <v>15</v>
      </c>
      <c r="G3982">
        <v>-1</v>
      </c>
      <c r="H3982" t="s">
        <v>16</v>
      </c>
      <c r="I3982" t="s">
        <v>89</v>
      </c>
      <c r="J3982" s="1">
        <v>44276</v>
      </c>
      <c r="L3982" t="s">
        <v>14</v>
      </c>
      <c r="M3982">
        <v>3880</v>
      </c>
      <c r="N3982">
        <v>3880</v>
      </c>
      <c r="O3982" t="s">
        <v>24</v>
      </c>
      <c r="P3982">
        <f t="shared" si="204"/>
        <v>0</v>
      </c>
      <c r="Q3982" s="11">
        <f>IF(P3982=0,0,IFERROR(Q3981+G3982*M3982*IF(E3982="FUTURE",VLOOKUP(MID(I3982,2,2),Futures!$A$2:$B$12,2),1),G3982*M3982*IF(E3982="FUTURE",VLOOKUP(MID(I3982,2,2),Futures!$A$2:$B$12,2),1)))</f>
        <v>0</v>
      </c>
      <c r="R3982" s="12" t="str">
        <f>IFERROR(Q3982/P3982/IF(E3982="FUTURE",VLOOKUP(MID(I3982,2,2),Futures!$A$2:$B$12,2),1),"")</f>
        <v/>
      </c>
      <c r="S3982" s="13">
        <f>IF(AND(H3982="TO CLOSE",P3982=0),-G3982*(M3982-R3981)*IF(E3982="FUTURE",VLOOKUP(MID(I3982,2,2),Futures!$A$2:$B$12,2),1),"")</f>
        <v>-112.5</v>
      </c>
    </row>
    <row r="3983" spans="1:19" x14ac:dyDescent="0.2">
      <c r="A3983">
        <f t="shared" si="203"/>
        <v>1323</v>
      </c>
      <c r="B3983" s="3">
        <v>44249</v>
      </c>
      <c r="C3983" s="3" t="str">
        <f t="shared" si="205"/>
        <v>Monday</v>
      </c>
      <c r="D3983" s="2">
        <v>0.40383101851851855</v>
      </c>
      <c r="E3983" t="s">
        <v>14</v>
      </c>
      <c r="F3983" t="s">
        <v>15</v>
      </c>
      <c r="G3983">
        <v>-1</v>
      </c>
      <c r="H3983" t="s">
        <v>20</v>
      </c>
      <c r="I3983" t="s">
        <v>89</v>
      </c>
      <c r="J3983" s="1">
        <v>44276</v>
      </c>
      <c r="L3983" t="s">
        <v>14</v>
      </c>
      <c r="M3983">
        <v>3877.25</v>
      </c>
      <c r="N3983">
        <v>3877.25</v>
      </c>
      <c r="O3983" t="s">
        <v>21</v>
      </c>
      <c r="P3983">
        <f t="shared" si="204"/>
        <v>-1</v>
      </c>
      <c r="Q3983" s="11">
        <f>IF(P3983=0,0,IFERROR(Q3982+G3983*M3983*IF(E3983="FUTURE",VLOOKUP(MID(I3983,2,2),Futures!$A$2:$B$12,2),1),G3983*M3983*IF(E3983="FUTURE",VLOOKUP(MID(I3983,2,2),Futures!$A$2:$B$12,2),1)))</f>
        <v>-193862.5</v>
      </c>
      <c r="R3983" s="12">
        <f>IFERROR(Q3983/P3983/IF(E3983="FUTURE",VLOOKUP(MID(I3983,2,2),Futures!$A$2:$B$12,2),1),"")</f>
        <v>3877.25</v>
      </c>
      <c r="S3983" s="13" t="str">
        <f>IF(AND(H3983="TO CLOSE",P3983=0),-G3983*(M3983-R3982)*IF(E3983="FUTURE",VLOOKUP(MID(I3983,2,2),Futures!$A$2:$B$12,2),1),"")</f>
        <v/>
      </c>
    </row>
    <row r="3984" spans="1:19" x14ac:dyDescent="0.2">
      <c r="A3984">
        <f t="shared" si="203"/>
        <v>1323</v>
      </c>
      <c r="B3984" s="3">
        <v>44249</v>
      </c>
      <c r="C3984" s="3" t="str">
        <f t="shared" si="205"/>
        <v>Monday</v>
      </c>
      <c r="D3984" s="2">
        <v>0.4045138888888889</v>
      </c>
      <c r="E3984" t="s">
        <v>14</v>
      </c>
      <c r="F3984" t="s">
        <v>19</v>
      </c>
      <c r="G3984">
        <v>1</v>
      </c>
      <c r="H3984" t="s">
        <v>16</v>
      </c>
      <c r="I3984" t="s">
        <v>89</v>
      </c>
      <c r="J3984" s="1">
        <v>44276</v>
      </c>
      <c r="L3984" t="s">
        <v>14</v>
      </c>
      <c r="M3984">
        <v>3877.25</v>
      </c>
      <c r="N3984">
        <v>3877.25</v>
      </c>
      <c r="O3984" t="s">
        <v>18</v>
      </c>
      <c r="P3984">
        <f t="shared" si="204"/>
        <v>0</v>
      </c>
      <c r="Q3984" s="11">
        <f>IF(P3984=0,0,IFERROR(Q3983+G3984*M3984*IF(E3984="FUTURE",VLOOKUP(MID(I3984,2,2),Futures!$A$2:$B$12,2),1),G3984*M3984*IF(E3984="FUTURE",VLOOKUP(MID(I3984,2,2),Futures!$A$2:$B$12,2),1)))</f>
        <v>0</v>
      </c>
      <c r="R3984" s="12" t="str">
        <f>IFERROR(Q3984/P3984/IF(E3984="FUTURE",VLOOKUP(MID(I3984,2,2),Futures!$A$2:$B$12,2),1),"")</f>
        <v/>
      </c>
      <c r="S3984" s="13">
        <f>IF(AND(H3984="TO CLOSE",P3984=0),-G3984*(M3984-R3983)*IF(E3984="FUTURE",VLOOKUP(MID(I3984,2,2),Futures!$A$2:$B$12,2),1),"")</f>
        <v>0</v>
      </c>
    </row>
    <row r="3985" spans="1:19" x14ac:dyDescent="0.2">
      <c r="A3985">
        <f t="shared" si="203"/>
        <v>1324</v>
      </c>
      <c r="B3985" s="3">
        <v>44249</v>
      </c>
      <c r="C3985" s="3" t="str">
        <f t="shared" si="205"/>
        <v>Monday</v>
      </c>
      <c r="D3985" s="2">
        <v>0.40817129629629628</v>
      </c>
      <c r="E3985" t="s">
        <v>14</v>
      </c>
      <c r="F3985" t="s">
        <v>19</v>
      </c>
      <c r="G3985">
        <v>1</v>
      </c>
      <c r="H3985" t="s">
        <v>20</v>
      </c>
      <c r="I3985" t="s">
        <v>89</v>
      </c>
      <c r="J3985" s="1">
        <v>44276</v>
      </c>
      <c r="L3985" t="s">
        <v>14</v>
      </c>
      <c r="M3985">
        <v>3881.5</v>
      </c>
      <c r="N3985">
        <v>3881.5</v>
      </c>
      <c r="O3985" t="s">
        <v>21</v>
      </c>
      <c r="P3985">
        <f t="shared" si="204"/>
        <v>1</v>
      </c>
      <c r="Q3985" s="11">
        <f>IF(P3985=0,0,IFERROR(Q3984+G3985*M3985*IF(E3985="FUTURE",VLOOKUP(MID(I3985,2,2),Futures!$A$2:$B$12,2),1),G3985*M3985*IF(E3985="FUTURE",VLOOKUP(MID(I3985,2,2),Futures!$A$2:$B$12,2),1)))</f>
        <v>194075</v>
      </c>
      <c r="R3985" s="12">
        <f>IFERROR(Q3985/P3985/IF(E3985="FUTURE",VLOOKUP(MID(I3985,2,2),Futures!$A$2:$B$12,2),1),"")</f>
        <v>3881.5</v>
      </c>
      <c r="S3985" s="13" t="str">
        <f>IF(AND(H3985="TO CLOSE",P3985=0),-G3985*(M3985-R3984)*IF(E3985="FUTURE",VLOOKUP(MID(I3985,2,2),Futures!$A$2:$B$12,2),1),"")</f>
        <v/>
      </c>
    </row>
    <row r="3986" spans="1:19" x14ac:dyDescent="0.2">
      <c r="A3986">
        <f t="shared" si="203"/>
        <v>1324</v>
      </c>
      <c r="B3986" s="3">
        <v>44249</v>
      </c>
      <c r="C3986" s="3" t="str">
        <f t="shared" si="205"/>
        <v>Monday</v>
      </c>
      <c r="D3986" s="2">
        <v>0.40952546296296299</v>
      </c>
      <c r="E3986" t="s">
        <v>14</v>
      </c>
      <c r="F3986" t="s">
        <v>15</v>
      </c>
      <c r="G3986">
        <v>-1</v>
      </c>
      <c r="H3986" t="s">
        <v>16</v>
      </c>
      <c r="I3986" t="s">
        <v>89</v>
      </c>
      <c r="J3986" s="1">
        <v>44276</v>
      </c>
      <c r="L3986" t="s">
        <v>14</v>
      </c>
      <c r="M3986">
        <v>3883</v>
      </c>
      <c r="N3986">
        <v>3883</v>
      </c>
      <c r="O3986" t="s">
        <v>21</v>
      </c>
      <c r="P3986">
        <f t="shared" si="204"/>
        <v>0</v>
      </c>
      <c r="Q3986" s="11">
        <f>IF(P3986=0,0,IFERROR(Q3985+G3986*M3986*IF(E3986="FUTURE",VLOOKUP(MID(I3986,2,2),Futures!$A$2:$B$12,2),1),G3986*M3986*IF(E3986="FUTURE",VLOOKUP(MID(I3986,2,2),Futures!$A$2:$B$12,2),1)))</f>
        <v>0</v>
      </c>
      <c r="R3986" s="12" t="str">
        <f>IFERROR(Q3986/P3986/IF(E3986="FUTURE",VLOOKUP(MID(I3986,2,2),Futures!$A$2:$B$12,2),1),"")</f>
        <v/>
      </c>
      <c r="S3986" s="13">
        <f>IF(AND(H3986="TO CLOSE",P3986=0),-G3986*(M3986-R3985)*IF(E3986="FUTURE",VLOOKUP(MID(I3986,2,2),Futures!$A$2:$B$12,2),1),"")</f>
        <v>75</v>
      </c>
    </row>
    <row r="3987" spans="1:19" x14ac:dyDescent="0.2">
      <c r="A3987">
        <f t="shared" si="203"/>
        <v>1325</v>
      </c>
      <c r="B3987" s="3">
        <v>44249</v>
      </c>
      <c r="C3987" s="3" t="str">
        <f t="shared" si="205"/>
        <v>Monday</v>
      </c>
      <c r="D3987" s="2">
        <v>0.41339120370370369</v>
      </c>
      <c r="E3987" t="s">
        <v>14</v>
      </c>
      <c r="F3987" t="s">
        <v>19</v>
      </c>
      <c r="G3987">
        <v>1</v>
      </c>
      <c r="H3987" t="s">
        <v>20</v>
      </c>
      <c r="I3987" t="s">
        <v>89</v>
      </c>
      <c r="J3987" s="1">
        <v>44276</v>
      </c>
      <c r="L3987" t="s">
        <v>14</v>
      </c>
      <c r="M3987">
        <v>3884.5</v>
      </c>
      <c r="N3987">
        <v>3884.5</v>
      </c>
      <c r="O3987" t="s">
        <v>21</v>
      </c>
      <c r="P3987">
        <f t="shared" si="204"/>
        <v>1</v>
      </c>
      <c r="Q3987" s="11">
        <f>IF(P3987=0,0,IFERROR(Q3986+G3987*M3987*IF(E3987="FUTURE",VLOOKUP(MID(I3987,2,2),Futures!$A$2:$B$12,2),1),G3987*M3987*IF(E3987="FUTURE",VLOOKUP(MID(I3987,2,2),Futures!$A$2:$B$12,2),1)))</f>
        <v>194225</v>
      </c>
      <c r="R3987" s="12">
        <f>IFERROR(Q3987/P3987/IF(E3987="FUTURE",VLOOKUP(MID(I3987,2,2),Futures!$A$2:$B$12,2),1),"")</f>
        <v>3884.5</v>
      </c>
      <c r="S3987" s="13" t="str">
        <f>IF(AND(H3987="TO CLOSE",P3987=0),-G3987*(M3987-R3986)*IF(E3987="FUTURE",VLOOKUP(MID(I3987,2,2),Futures!$A$2:$B$12,2),1),"")</f>
        <v/>
      </c>
    </row>
    <row r="3988" spans="1:19" x14ac:dyDescent="0.2">
      <c r="A3988">
        <f t="shared" si="203"/>
        <v>1325</v>
      </c>
      <c r="B3988" s="3">
        <v>44249</v>
      </c>
      <c r="C3988" s="3" t="str">
        <f t="shared" si="205"/>
        <v>Monday</v>
      </c>
      <c r="D3988" s="2">
        <v>0.41516203703703702</v>
      </c>
      <c r="E3988" t="s">
        <v>14</v>
      </c>
      <c r="F3988" t="s">
        <v>15</v>
      </c>
      <c r="G3988">
        <v>-1</v>
      </c>
      <c r="H3988" t="s">
        <v>16</v>
      </c>
      <c r="I3988" t="s">
        <v>89</v>
      </c>
      <c r="J3988" s="1">
        <v>44276</v>
      </c>
      <c r="L3988" t="s">
        <v>14</v>
      </c>
      <c r="M3988">
        <v>3880</v>
      </c>
      <c r="N3988">
        <v>3880</v>
      </c>
      <c r="O3988" t="s">
        <v>18</v>
      </c>
      <c r="P3988">
        <f t="shared" si="204"/>
        <v>0</v>
      </c>
      <c r="Q3988" s="11">
        <f>IF(P3988=0,0,IFERROR(Q3987+G3988*M3988*IF(E3988="FUTURE",VLOOKUP(MID(I3988,2,2),Futures!$A$2:$B$12,2),1),G3988*M3988*IF(E3988="FUTURE",VLOOKUP(MID(I3988,2,2),Futures!$A$2:$B$12,2),1)))</f>
        <v>0</v>
      </c>
      <c r="R3988" s="12" t="str">
        <f>IFERROR(Q3988/P3988/IF(E3988="FUTURE",VLOOKUP(MID(I3988,2,2),Futures!$A$2:$B$12,2),1),"")</f>
        <v/>
      </c>
      <c r="S3988" s="13">
        <f>IF(AND(H3988="TO CLOSE",P3988=0),-G3988*(M3988-R3987)*IF(E3988="FUTURE",VLOOKUP(MID(I3988,2,2),Futures!$A$2:$B$12,2),1),"")</f>
        <v>-225</v>
      </c>
    </row>
    <row r="3989" spans="1:19" x14ac:dyDescent="0.2">
      <c r="A3989">
        <f t="shared" si="203"/>
        <v>1326</v>
      </c>
      <c r="B3989" s="3">
        <v>44250</v>
      </c>
      <c r="C3989" s="3" t="str">
        <f t="shared" ref="C3989:C4003" si="206">IF(WEEKDAY(B3989,2)=1,"Monday",IF(WEEKDAY(B3989,2)=2,"Tuesday",IF(WEEKDAY(B3989,2)=3,"Wednesday",IF(WEEKDAY(B3989,2)=4,"Thursday",IF(WEEKDAY(B3989,2)=5,"Friday","Sunday")))))</f>
        <v>Tuesday</v>
      </c>
      <c r="D3989" s="2">
        <v>0.38693287037037033</v>
      </c>
      <c r="E3989" t="s">
        <v>14</v>
      </c>
      <c r="F3989" t="s">
        <v>19</v>
      </c>
      <c r="G3989">
        <v>1</v>
      </c>
      <c r="H3989" t="s">
        <v>20</v>
      </c>
      <c r="I3989" t="s">
        <v>98</v>
      </c>
      <c r="J3989" s="1">
        <v>44307</v>
      </c>
      <c r="L3989" t="s">
        <v>14</v>
      </c>
      <c r="M3989">
        <v>61.39</v>
      </c>
      <c r="N3989">
        <v>61.39</v>
      </c>
      <c r="O3989" t="s">
        <v>21</v>
      </c>
      <c r="P3989">
        <f t="shared" si="204"/>
        <v>1</v>
      </c>
      <c r="Q3989" s="11">
        <f>IF(P3989=0,0,IFERROR(Q3988+G3989*M3989*IF(E3989="FUTURE",VLOOKUP(MID(I3989,2,2),Futures!$A$2:$B$12,2),1),G3989*M3989*IF(E3989="FUTURE",VLOOKUP(MID(I3989,2,2),Futures!$A$2:$B$12,2),1)))</f>
        <v>61390</v>
      </c>
      <c r="R3989" s="12">
        <f>IFERROR(Q3989/P3989/IF(E3989="FUTURE",VLOOKUP(MID(I3989,2,2),Futures!$A$2:$B$12,2),1),"")</f>
        <v>61.39</v>
      </c>
      <c r="S3989" s="13" t="str">
        <f>IF(AND(H3989="TO CLOSE",P3989=0),-G3989*(M3989-R3988)*IF(E3989="FUTURE",VLOOKUP(MID(I3989,2,2),Futures!$A$2:$B$12,2),1),"")</f>
        <v/>
      </c>
    </row>
    <row r="3990" spans="1:19" x14ac:dyDescent="0.2">
      <c r="A3990">
        <f t="shared" si="203"/>
        <v>1326</v>
      </c>
      <c r="B3990" s="3">
        <v>44250</v>
      </c>
      <c r="C3990" s="3" t="str">
        <f t="shared" si="206"/>
        <v>Tuesday</v>
      </c>
      <c r="D3990" s="2">
        <v>0.39755787037037038</v>
      </c>
      <c r="E3990" t="s">
        <v>14</v>
      </c>
      <c r="F3990" t="s">
        <v>19</v>
      </c>
      <c r="G3990">
        <v>1</v>
      </c>
      <c r="H3990" t="s">
        <v>20</v>
      </c>
      <c r="I3990" t="s">
        <v>98</v>
      </c>
      <c r="J3990" s="1">
        <v>44307</v>
      </c>
      <c r="L3990" t="s">
        <v>14</v>
      </c>
      <c r="M3990">
        <v>61.09</v>
      </c>
      <c r="N3990">
        <v>61.09</v>
      </c>
      <c r="O3990" t="s">
        <v>21</v>
      </c>
      <c r="P3990">
        <f t="shared" si="204"/>
        <v>2</v>
      </c>
      <c r="Q3990" s="11">
        <f>IF(P3990=0,0,IFERROR(Q3989+G3990*M3990*IF(E3990="FUTURE",VLOOKUP(MID(I3990,2,2),Futures!$A$2:$B$12,2),1),G3990*M3990*IF(E3990="FUTURE",VLOOKUP(MID(I3990,2,2),Futures!$A$2:$B$12,2),1)))</f>
        <v>122480</v>
      </c>
      <c r="R3990" s="12">
        <f>IFERROR(Q3990/P3990/IF(E3990="FUTURE",VLOOKUP(MID(I3990,2,2),Futures!$A$2:$B$12,2),1),"")</f>
        <v>61.24</v>
      </c>
      <c r="S3990" s="13" t="str">
        <f>IF(AND(H3990="TO CLOSE",P3990=0),-G3990*(M3990-R3989)*IF(E3990="FUTURE",VLOOKUP(MID(I3990,2,2),Futures!$A$2:$B$12,2),1),"")</f>
        <v/>
      </c>
    </row>
    <row r="3991" spans="1:19" x14ac:dyDescent="0.2">
      <c r="A3991">
        <f t="shared" si="203"/>
        <v>1326</v>
      </c>
      <c r="B3991" s="3">
        <v>44250</v>
      </c>
      <c r="C3991" s="3" t="str">
        <f t="shared" si="206"/>
        <v>Tuesday</v>
      </c>
      <c r="D3991" s="2">
        <v>0.4133680555555555</v>
      </c>
      <c r="E3991" t="s">
        <v>14</v>
      </c>
      <c r="F3991" t="s">
        <v>15</v>
      </c>
      <c r="G3991">
        <v>-1</v>
      </c>
      <c r="H3991" t="s">
        <v>16</v>
      </c>
      <c r="I3991" t="s">
        <v>98</v>
      </c>
      <c r="J3991" s="1">
        <v>44307</v>
      </c>
      <c r="L3991" t="s">
        <v>14</v>
      </c>
      <c r="M3991">
        <v>61.3</v>
      </c>
      <c r="N3991">
        <v>61.3</v>
      </c>
      <c r="O3991" t="s">
        <v>21</v>
      </c>
      <c r="P3991">
        <f t="shared" si="204"/>
        <v>1</v>
      </c>
      <c r="Q3991" s="11">
        <f>IF(P3991=0,0,IFERROR(Q3990+G3991*M3991*IF(E3991="FUTURE",VLOOKUP(MID(I3991,2,2),Futures!$A$2:$B$12,2),1),G3991*M3991*IF(E3991="FUTURE",VLOOKUP(MID(I3991,2,2),Futures!$A$2:$B$12,2),1)))</f>
        <v>61180</v>
      </c>
      <c r="R3991" s="12">
        <f>IFERROR(Q3991/P3991/IF(E3991="FUTURE",VLOOKUP(MID(I3991,2,2),Futures!$A$2:$B$12,2),1),"")</f>
        <v>61.18</v>
      </c>
      <c r="S3991" s="13" t="str">
        <f>IF(AND(H3991="TO CLOSE",P3991=0),-G3991*(M3991-R3990)*IF(E3991="FUTURE",VLOOKUP(MID(I3991,2,2),Futures!$A$2:$B$12,2),1),"")</f>
        <v/>
      </c>
    </row>
    <row r="3992" spans="1:19" x14ac:dyDescent="0.2">
      <c r="A3992">
        <f t="shared" si="203"/>
        <v>1326</v>
      </c>
      <c r="B3992" s="3">
        <v>44250</v>
      </c>
      <c r="C3992" s="3" t="str">
        <f t="shared" si="206"/>
        <v>Tuesday</v>
      </c>
      <c r="D3992" s="2">
        <v>0.41479166666666667</v>
      </c>
      <c r="E3992" t="s">
        <v>14</v>
      </c>
      <c r="F3992" t="s">
        <v>15</v>
      </c>
      <c r="G3992">
        <v>-1</v>
      </c>
      <c r="H3992" t="s">
        <v>16</v>
      </c>
      <c r="I3992" t="s">
        <v>98</v>
      </c>
      <c r="J3992" s="1">
        <v>44307</v>
      </c>
      <c r="L3992" t="s">
        <v>14</v>
      </c>
      <c r="M3992">
        <v>61.39</v>
      </c>
      <c r="N3992">
        <v>61.39</v>
      </c>
      <c r="O3992" t="s">
        <v>18</v>
      </c>
      <c r="P3992">
        <f t="shared" si="204"/>
        <v>0</v>
      </c>
      <c r="Q3992" s="11">
        <f>IF(P3992=0,0,IFERROR(Q3991+G3992*M3992*IF(E3992="FUTURE",VLOOKUP(MID(I3992,2,2),Futures!$A$2:$B$12,2),1),G3992*M3992*IF(E3992="FUTURE",VLOOKUP(MID(I3992,2,2),Futures!$A$2:$B$12,2),1)))</f>
        <v>0</v>
      </c>
      <c r="R3992" s="12" t="str">
        <f>IFERROR(Q3992/P3992/IF(E3992="FUTURE",VLOOKUP(MID(I3992,2,2),Futures!$A$2:$B$12,2),1),"")</f>
        <v/>
      </c>
      <c r="S3992" s="13">
        <f>IF(AND(H3992="TO CLOSE",P3992=0),-G3992*(M3992-R3991)*IF(E3992="FUTURE",VLOOKUP(MID(I3992,2,2),Futures!$A$2:$B$12,2),1),"")</f>
        <v>210.00000000000085</v>
      </c>
    </row>
    <row r="3993" spans="1:19" x14ac:dyDescent="0.2">
      <c r="A3993">
        <f t="shared" si="203"/>
        <v>1327</v>
      </c>
      <c r="B3993" s="3">
        <v>44250</v>
      </c>
      <c r="C3993" s="3" t="str">
        <f t="shared" si="206"/>
        <v>Tuesday</v>
      </c>
      <c r="D3993" s="2">
        <v>0.42803240740740739</v>
      </c>
      <c r="E3993" t="s">
        <v>14</v>
      </c>
      <c r="F3993" t="s">
        <v>15</v>
      </c>
      <c r="G3993">
        <v>-1</v>
      </c>
      <c r="H3993" t="s">
        <v>20</v>
      </c>
      <c r="I3993" t="s">
        <v>98</v>
      </c>
      <c r="J3993" s="1">
        <v>44307</v>
      </c>
      <c r="L3993" t="s">
        <v>14</v>
      </c>
      <c r="M3993">
        <v>61.56</v>
      </c>
      <c r="N3993">
        <v>61.56</v>
      </c>
      <c r="O3993" t="s">
        <v>21</v>
      </c>
      <c r="P3993">
        <f t="shared" si="204"/>
        <v>-1</v>
      </c>
      <c r="Q3993" s="11">
        <f>IF(P3993=0,0,IFERROR(Q3992+G3993*M3993*IF(E3993="FUTURE",VLOOKUP(MID(I3993,2,2),Futures!$A$2:$B$12,2),1),G3993*M3993*IF(E3993="FUTURE",VLOOKUP(MID(I3993,2,2),Futures!$A$2:$B$12,2),1)))</f>
        <v>-61560</v>
      </c>
      <c r="R3993" s="12">
        <f>IFERROR(Q3993/P3993/IF(E3993="FUTURE",VLOOKUP(MID(I3993,2,2),Futures!$A$2:$B$12,2),1),"")</f>
        <v>61.56</v>
      </c>
      <c r="S3993" s="13" t="str">
        <f>IF(AND(H3993="TO CLOSE",P3993=0),-G3993*(M3993-R3992)*IF(E3993="FUTURE",VLOOKUP(MID(I3993,2,2),Futures!$A$2:$B$12,2),1),"")</f>
        <v/>
      </c>
    </row>
    <row r="3994" spans="1:19" x14ac:dyDescent="0.2">
      <c r="A3994">
        <f t="shared" si="203"/>
        <v>1327</v>
      </c>
      <c r="B3994" s="3">
        <v>44250</v>
      </c>
      <c r="C3994" s="3" t="str">
        <f t="shared" si="206"/>
        <v>Tuesday</v>
      </c>
      <c r="D3994" s="2">
        <v>0.43387731481481479</v>
      </c>
      <c r="E3994" t="s">
        <v>14</v>
      </c>
      <c r="F3994" t="s">
        <v>15</v>
      </c>
      <c r="G3994">
        <v>-1</v>
      </c>
      <c r="H3994" t="s">
        <v>20</v>
      </c>
      <c r="I3994" t="s">
        <v>98</v>
      </c>
      <c r="J3994" s="1">
        <v>44307</v>
      </c>
      <c r="L3994" t="s">
        <v>14</v>
      </c>
      <c r="M3994">
        <v>61.8</v>
      </c>
      <c r="N3994">
        <v>61.8</v>
      </c>
      <c r="O3994" t="s">
        <v>21</v>
      </c>
      <c r="P3994">
        <f t="shared" si="204"/>
        <v>-2</v>
      </c>
      <c r="Q3994" s="11">
        <f>IF(P3994=0,0,IFERROR(Q3993+G3994*M3994*IF(E3994="FUTURE",VLOOKUP(MID(I3994,2,2),Futures!$A$2:$B$12,2),1),G3994*M3994*IF(E3994="FUTURE",VLOOKUP(MID(I3994,2,2),Futures!$A$2:$B$12,2),1)))</f>
        <v>-123360</v>
      </c>
      <c r="R3994" s="12">
        <f>IFERROR(Q3994/P3994/IF(E3994="FUTURE",VLOOKUP(MID(I3994,2,2),Futures!$A$2:$B$12,2),1),"")</f>
        <v>61.68</v>
      </c>
      <c r="S3994" s="13" t="str">
        <f>IF(AND(H3994="TO CLOSE",P3994=0),-G3994*(M3994-R3993)*IF(E3994="FUTURE",VLOOKUP(MID(I3994,2,2),Futures!$A$2:$B$12,2),1),"")</f>
        <v/>
      </c>
    </row>
    <row r="3995" spans="1:19" x14ac:dyDescent="0.2">
      <c r="A3995">
        <f t="shared" si="203"/>
        <v>1327</v>
      </c>
      <c r="B3995" s="3">
        <v>44250</v>
      </c>
      <c r="C3995" s="3" t="str">
        <f t="shared" si="206"/>
        <v>Tuesday</v>
      </c>
      <c r="D3995" s="2">
        <v>0.43894675925925924</v>
      </c>
      <c r="E3995" t="s">
        <v>14</v>
      </c>
      <c r="F3995" t="s">
        <v>19</v>
      </c>
      <c r="G3995">
        <v>1</v>
      </c>
      <c r="H3995" t="s">
        <v>16</v>
      </c>
      <c r="I3995" t="s">
        <v>98</v>
      </c>
      <c r="J3995" s="1">
        <v>44307</v>
      </c>
      <c r="L3995" t="s">
        <v>14</v>
      </c>
      <c r="M3995">
        <v>61.65</v>
      </c>
      <c r="N3995">
        <v>61.65</v>
      </c>
      <c r="O3995" t="s">
        <v>21</v>
      </c>
      <c r="P3995">
        <f t="shared" si="204"/>
        <v>-1</v>
      </c>
      <c r="Q3995" s="11">
        <f>IF(P3995=0,0,IFERROR(Q3994+G3995*M3995*IF(E3995="FUTURE",VLOOKUP(MID(I3995,2,2),Futures!$A$2:$B$12,2),1),G3995*M3995*IF(E3995="FUTURE",VLOOKUP(MID(I3995,2,2),Futures!$A$2:$B$12,2),1)))</f>
        <v>-61710</v>
      </c>
      <c r="R3995" s="12">
        <f>IFERROR(Q3995/P3995/IF(E3995="FUTURE",VLOOKUP(MID(I3995,2,2),Futures!$A$2:$B$12,2),1),"")</f>
        <v>61.71</v>
      </c>
      <c r="S3995" s="13" t="str">
        <f>IF(AND(H3995="TO CLOSE",P3995=0),-G3995*(M3995-R3994)*IF(E3995="FUTURE",VLOOKUP(MID(I3995,2,2),Futures!$A$2:$B$12,2),1),"")</f>
        <v/>
      </c>
    </row>
    <row r="3996" spans="1:19" x14ac:dyDescent="0.2">
      <c r="A3996">
        <f t="shared" si="203"/>
        <v>1327</v>
      </c>
      <c r="B3996" s="3">
        <v>44250</v>
      </c>
      <c r="C3996" s="3" t="str">
        <f t="shared" si="206"/>
        <v>Tuesday</v>
      </c>
      <c r="D3996" s="2">
        <v>0.44111111111111106</v>
      </c>
      <c r="E3996" t="s">
        <v>14</v>
      </c>
      <c r="F3996" t="s">
        <v>19</v>
      </c>
      <c r="G3996">
        <v>1</v>
      </c>
      <c r="H3996" t="s">
        <v>16</v>
      </c>
      <c r="I3996" t="s">
        <v>98</v>
      </c>
      <c r="J3996" s="1">
        <v>44307</v>
      </c>
      <c r="L3996" t="s">
        <v>14</v>
      </c>
      <c r="M3996">
        <v>61.49</v>
      </c>
      <c r="N3996">
        <v>61.49</v>
      </c>
      <c r="O3996" t="s">
        <v>21</v>
      </c>
      <c r="P3996">
        <f t="shared" si="204"/>
        <v>0</v>
      </c>
      <c r="Q3996" s="11">
        <f>IF(P3996=0,0,IFERROR(Q3995+G3996*M3996*IF(E3996="FUTURE",VLOOKUP(MID(I3996,2,2),Futures!$A$2:$B$12,2),1),G3996*M3996*IF(E3996="FUTURE",VLOOKUP(MID(I3996,2,2),Futures!$A$2:$B$12,2),1)))</f>
        <v>0</v>
      </c>
      <c r="R3996" s="12" t="str">
        <f>IFERROR(Q3996/P3996/IF(E3996="FUTURE",VLOOKUP(MID(I3996,2,2),Futures!$A$2:$B$12,2),1),"")</f>
        <v/>
      </c>
      <c r="S3996" s="13">
        <f>IF(AND(H3996="TO CLOSE",P3996=0),-G3996*(M3996-R3995)*IF(E3996="FUTURE",VLOOKUP(MID(I3996,2,2),Futures!$A$2:$B$12,2),1),"")</f>
        <v>219.99999999999886</v>
      </c>
    </row>
    <row r="3997" spans="1:19" x14ac:dyDescent="0.2">
      <c r="A3997">
        <f t="shared" si="203"/>
        <v>1328</v>
      </c>
      <c r="B3997" s="3">
        <v>44250</v>
      </c>
      <c r="C3997" s="3" t="str">
        <f t="shared" si="206"/>
        <v>Tuesday</v>
      </c>
      <c r="D3997" s="2">
        <v>0.46557870370370374</v>
      </c>
      <c r="E3997" t="s">
        <v>14</v>
      </c>
      <c r="F3997" t="s">
        <v>15</v>
      </c>
      <c r="G3997">
        <v>-1</v>
      </c>
      <c r="H3997" t="s">
        <v>20</v>
      </c>
      <c r="I3997" t="s">
        <v>89</v>
      </c>
      <c r="J3997" s="1">
        <v>44276</v>
      </c>
      <c r="L3997" t="s">
        <v>14</v>
      </c>
      <c r="M3997">
        <v>3861</v>
      </c>
      <c r="N3997">
        <v>3861</v>
      </c>
      <c r="O3997" t="s">
        <v>21</v>
      </c>
      <c r="P3997">
        <f t="shared" si="204"/>
        <v>-1</v>
      </c>
      <c r="Q3997" s="11">
        <f>IF(P3997=0,0,IFERROR(Q3996+G3997*M3997*IF(E3997="FUTURE",VLOOKUP(MID(I3997,2,2),Futures!$A$2:$B$12,2),1),G3997*M3997*IF(E3997="FUTURE",VLOOKUP(MID(I3997,2,2),Futures!$A$2:$B$12,2),1)))</f>
        <v>-193050</v>
      </c>
      <c r="R3997" s="12">
        <f>IFERROR(Q3997/P3997/IF(E3997="FUTURE",VLOOKUP(MID(I3997,2,2),Futures!$A$2:$B$12,2),1),"")</f>
        <v>3861</v>
      </c>
      <c r="S3997" s="13" t="str">
        <f>IF(AND(H3997="TO CLOSE",P3997=0),-G3997*(M3997-R3996)*IF(E3997="FUTURE",VLOOKUP(MID(I3997,2,2),Futures!$A$2:$B$12,2),1),"")</f>
        <v/>
      </c>
    </row>
    <row r="3998" spans="1:19" x14ac:dyDescent="0.2">
      <c r="A3998">
        <f t="shared" si="203"/>
        <v>1328</v>
      </c>
      <c r="B3998" s="3">
        <v>44250</v>
      </c>
      <c r="C3998" s="3" t="str">
        <f t="shared" si="206"/>
        <v>Tuesday</v>
      </c>
      <c r="D3998" s="2">
        <v>0.46597222222222223</v>
      </c>
      <c r="E3998" t="s">
        <v>14</v>
      </c>
      <c r="F3998" t="s">
        <v>19</v>
      </c>
      <c r="G3998">
        <v>1</v>
      </c>
      <c r="H3998" t="s">
        <v>16</v>
      </c>
      <c r="I3998" t="s">
        <v>89</v>
      </c>
      <c r="J3998" s="1">
        <v>44276</v>
      </c>
      <c r="L3998" t="s">
        <v>14</v>
      </c>
      <c r="M3998">
        <v>3861</v>
      </c>
      <c r="N3998">
        <v>3861</v>
      </c>
      <c r="O3998" t="s">
        <v>18</v>
      </c>
      <c r="P3998">
        <f t="shared" si="204"/>
        <v>0</v>
      </c>
      <c r="Q3998" s="11">
        <f>IF(P3998=0,0,IFERROR(Q3997+G3998*M3998*IF(E3998="FUTURE",VLOOKUP(MID(I3998,2,2),Futures!$A$2:$B$12,2),1),G3998*M3998*IF(E3998="FUTURE",VLOOKUP(MID(I3998,2,2),Futures!$A$2:$B$12,2),1)))</f>
        <v>0</v>
      </c>
      <c r="R3998" s="12" t="str">
        <f>IFERROR(Q3998/P3998/IF(E3998="FUTURE",VLOOKUP(MID(I3998,2,2),Futures!$A$2:$B$12,2),1),"")</f>
        <v/>
      </c>
      <c r="S3998" s="13">
        <f>IF(AND(H3998="TO CLOSE",P3998=0),-G3998*(M3998-R3997)*IF(E3998="FUTURE",VLOOKUP(MID(I3998,2,2),Futures!$A$2:$B$12,2),1),"")</f>
        <v>0</v>
      </c>
    </row>
    <row r="3999" spans="1:19" x14ac:dyDescent="0.2">
      <c r="A3999">
        <f t="shared" si="203"/>
        <v>1329</v>
      </c>
      <c r="B3999" s="3">
        <v>44250</v>
      </c>
      <c r="C3999" s="3" t="str">
        <f t="shared" si="206"/>
        <v>Tuesday</v>
      </c>
      <c r="D3999" s="2">
        <v>0.4956828703703704</v>
      </c>
      <c r="E3999" t="s">
        <v>14</v>
      </c>
      <c r="F3999" t="s">
        <v>19</v>
      </c>
      <c r="G3999">
        <v>1</v>
      </c>
      <c r="H3999" t="s">
        <v>20</v>
      </c>
      <c r="I3999" t="s">
        <v>89</v>
      </c>
      <c r="J3999" s="1">
        <v>44276</v>
      </c>
      <c r="L3999" t="s">
        <v>14</v>
      </c>
      <c r="M3999">
        <v>3845.75</v>
      </c>
      <c r="N3999">
        <v>3845.75</v>
      </c>
      <c r="O3999" t="s">
        <v>21</v>
      </c>
      <c r="P3999">
        <f t="shared" si="204"/>
        <v>1</v>
      </c>
      <c r="Q3999" s="11">
        <f>IF(P3999=0,0,IFERROR(Q3998+G3999*M3999*IF(E3999="FUTURE",VLOOKUP(MID(I3999,2,2),Futures!$A$2:$B$12,2),1),G3999*M3999*IF(E3999="FUTURE",VLOOKUP(MID(I3999,2,2),Futures!$A$2:$B$12,2),1)))</f>
        <v>192287.5</v>
      </c>
      <c r="R3999" s="12">
        <f>IFERROR(Q3999/P3999/IF(E3999="FUTURE",VLOOKUP(MID(I3999,2,2),Futures!$A$2:$B$12,2),1),"")</f>
        <v>3845.75</v>
      </c>
      <c r="S3999" s="13" t="str">
        <f>IF(AND(H3999="TO CLOSE",P3999=0),-G3999*(M3999-R3998)*IF(E3999="FUTURE",VLOOKUP(MID(I3999,2,2),Futures!$A$2:$B$12,2),1),"")</f>
        <v/>
      </c>
    </row>
    <row r="4000" spans="1:19" x14ac:dyDescent="0.2">
      <c r="A4000">
        <f t="shared" si="203"/>
        <v>1329</v>
      </c>
      <c r="B4000" s="3">
        <v>44250</v>
      </c>
      <c r="C4000" s="3" t="str">
        <f t="shared" si="206"/>
        <v>Tuesday</v>
      </c>
      <c r="D4000" s="2">
        <v>0.55759259259259253</v>
      </c>
      <c r="E4000" t="s">
        <v>14</v>
      </c>
      <c r="F4000" t="s">
        <v>15</v>
      </c>
      <c r="G4000">
        <v>-1</v>
      </c>
      <c r="H4000" t="s">
        <v>16</v>
      </c>
      <c r="I4000" t="s">
        <v>89</v>
      </c>
      <c r="J4000" s="1">
        <v>44276</v>
      </c>
      <c r="L4000" t="s">
        <v>14</v>
      </c>
      <c r="M4000">
        <v>3849.75</v>
      </c>
      <c r="N4000">
        <v>3849.75</v>
      </c>
      <c r="O4000" t="s">
        <v>24</v>
      </c>
      <c r="P4000">
        <f t="shared" si="204"/>
        <v>0</v>
      </c>
      <c r="Q4000" s="11">
        <f>IF(P4000=0,0,IFERROR(Q3999+G4000*M4000*IF(E4000="FUTURE",VLOOKUP(MID(I4000,2,2),Futures!$A$2:$B$12,2),1),G4000*M4000*IF(E4000="FUTURE",VLOOKUP(MID(I4000,2,2),Futures!$A$2:$B$12,2),1)))</f>
        <v>0</v>
      </c>
      <c r="R4000" s="12" t="str">
        <f>IFERROR(Q4000/P4000/IF(E4000="FUTURE",VLOOKUP(MID(I4000,2,2),Futures!$A$2:$B$12,2),1),"")</f>
        <v/>
      </c>
      <c r="S4000" s="13">
        <f>IF(AND(H4000="TO CLOSE",P4000=0),-G4000*(M4000-R3999)*IF(E4000="FUTURE",VLOOKUP(MID(I4000,2,2),Futures!$A$2:$B$12,2),1),"")</f>
        <v>200</v>
      </c>
    </row>
    <row r="4001" spans="1:19" x14ac:dyDescent="0.2">
      <c r="A4001">
        <f t="shared" si="203"/>
        <v>1330</v>
      </c>
      <c r="B4001" s="3">
        <v>44250</v>
      </c>
      <c r="C4001" s="3" t="str">
        <f t="shared" si="206"/>
        <v>Tuesday</v>
      </c>
      <c r="D4001" s="2">
        <v>0.55155092592592592</v>
      </c>
      <c r="E4001" t="s">
        <v>22</v>
      </c>
      <c r="F4001" t="s">
        <v>15</v>
      </c>
      <c r="G4001">
        <v>-200</v>
      </c>
      <c r="H4001" t="s">
        <v>20</v>
      </c>
      <c r="I4001" t="s">
        <v>23</v>
      </c>
      <c r="L4001" t="s">
        <v>22</v>
      </c>
      <c r="M4001">
        <v>15.780099999999999</v>
      </c>
      <c r="N4001">
        <v>15.780099999999999</v>
      </c>
      <c r="O4001" t="s">
        <v>21</v>
      </c>
      <c r="P4001">
        <f t="shared" si="204"/>
        <v>-200</v>
      </c>
      <c r="Q4001" s="11">
        <f>IF(P4001=0,0,IFERROR(Q4000+G4001*M4001*IF(E4001="FUTURE",VLOOKUP(MID(I4001,2,2),Futures!$A$2:$B$12,2),1),G4001*M4001*IF(E4001="FUTURE",VLOOKUP(MID(I4001,2,2),Futures!$A$2:$B$12,2),1)))</f>
        <v>-3156.02</v>
      </c>
      <c r="R4001" s="12">
        <f>IFERROR(Q4001/P4001/IF(E4001="FUTURE",VLOOKUP(MID(I4001,2,2),Futures!$A$2:$B$12,2),1),"")</f>
        <v>15.780099999999999</v>
      </c>
      <c r="S4001" s="13" t="str">
        <f>IF(AND(H4001="TO CLOSE",P4001=0),-G4001*(M4001-R4000)*IF(E4001="FUTURE",VLOOKUP(MID(I4001,2,2),Futures!$A$2:$B$12,2),1),"")</f>
        <v/>
      </c>
    </row>
    <row r="4002" spans="1:19" x14ac:dyDescent="0.2">
      <c r="A4002">
        <f t="shared" si="203"/>
        <v>1330</v>
      </c>
      <c r="B4002" s="3">
        <v>44250</v>
      </c>
      <c r="C4002" s="3" t="str">
        <f t="shared" si="206"/>
        <v>Tuesday</v>
      </c>
      <c r="D4002" s="2">
        <v>0.56582175925925926</v>
      </c>
      <c r="E4002" t="s">
        <v>22</v>
      </c>
      <c r="F4002" t="s">
        <v>19</v>
      </c>
      <c r="G4002">
        <v>100</v>
      </c>
      <c r="H4002" t="s">
        <v>16</v>
      </c>
      <c r="I4002" t="s">
        <v>23</v>
      </c>
      <c r="L4002" t="s">
        <v>22</v>
      </c>
      <c r="M4002">
        <v>15.6089</v>
      </c>
      <c r="N4002">
        <v>15.6089</v>
      </c>
      <c r="O4002" t="s">
        <v>21</v>
      </c>
      <c r="P4002">
        <f t="shared" si="204"/>
        <v>-100</v>
      </c>
      <c r="Q4002" s="11">
        <f>IF(P4002=0,0,IFERROR(Q4001+G4002*M4002*IF(E4002="FUTURE",VLOOKUP(MID(I4002,2,2),Futures!$A$2:$B$12,2),1),G4002*M4002*IF(E4002="FUTURE",VLOOKUP(MID(I4002,2,2),Futures!$A$2:$B$12,2),1)))</f>
        <v>-1595.1299999999999</v>
      </c>
      <c r="R4002" s="12">
        <f>IFERROR(Q4002/P4002/IF(E4002="FUTURE",VLOOKUP(MID(I4002,2,2),Futures!$A$2:$B$12,2),1),"")</f>
        <v>15.951299999999998</v>
      </c>
      <c r="S4002" s="13" t="str">
        <f>IF(AND(H4002="TO CLOSE",P4002=0),-G4002*(M4002-R4001)*IF(E4002="FUTURE",VLOOKUP(MID(I4002,2,2),Futures!$A$2:$B$12,2),1),"")</f>
        <v/>
      </c>
    </row>
    <row r="4003" spans="1:19" x14ac:dyDescent="0.2">
      <c r="A4003">
        <f t="shared" si="203"/>
        <v>1330</v>
      </c>
      <c r="B4003" s="3">
        <v>44250</v>
      </c>
      <c r="C4003" s="3" t="str">
        <f t="shared" si="206"/>
        <v>Tuesday</v>
      </c>
      <c r="D4003" s="2">
        <v>0.57826388888888891</v>
      </c>
      <c r="E4003" t="s">
        <v>22</v>
      </c>
      <c r="F4003" t="s">
        <v>19</v>
      </c>
      <c r="G4003">
        <v>100</v>
      </c>
      <c r="H4003" t="s">
        <v>16</v>
      </c>
      <c r="I4003" t="s">
        <v>23</v>
      </c>
      <c r="L4003" t="s">
        <v>22</v>
      </c>
      <c r="M4003">
        <v>15.658899999999999</v>
      </c>
      <c r="N4003">
        <v>15.658899999999999</v>
      </c>
      <c r="O4003" t="s">
        <v>21</v>
      </c>
      <c r="P4003">
        <f t="shared" si="204"/>
        <v>0</v>
      </c>
      <c r="Q4003" s="11">
        <f>IF(P4003=0,0,IFERROR(Q4002+G4003*M4003*IF(E4003="FUTURE",VLOOKUP(MID(I4003,2,2),Futures!$A$2:$B$12,2),1),G4003*M4003*IF(E4003="FUTURE",VLOOKUP(MID(I4003,2,2),Futures!$A$2:$B$12,2),1)))</f>
        <v>0</v>
      </c>
      <c r="R4003" s="12" t="str">
        <f>IFERROR(Q4003/P4003/IF(E4003="FUTURE",VLOOKUP(MID(I4003,2,2),Futures!$A$2:$B$12,2),1),"")</f>
        <v/>
      </c>
      <c r="S4003" s="13">
        <f>IF(AND(H4003="TO CLOSE",P4003=0),-G4003*(M4003-R4002)*IF(E4003="FUTURE",VLOOKUP(MID(I4003,2,2),Futures!$A$2:$B$12,2),1),"")</f>
        <v>29.239999999999888</v>
      </c>
    </row>
    <row r="4004" spans="1:19" x14ac:dyDescent="0.2">
      <c r="A4004">
        <f t="shared" si="203"/>
        <v>1331</v>
      </c>
      <c r="B4004" s="3">
        <v>44251</v>
      </c>
      <c r="C4004" s="3" t="str">
        <f t="shared" ref="C4004:C4013" si="207">IF(WEEKDAY(B4004,2)=1,"Monday",IF(WEEKDAY(B4004,2)=2,"Tuesday",IF(WEEKDAY(B4004,2)=3,"Wednesday",IF(WEEKDAY(B4004,2)=4,"Thursday",IF(WEEKDAY(B4004,2)=5,"Friday","Sunday")))))</f>
        <v>Wednesday</v>
      </c>
      <c r="D4004" s="2">
        <v>0.44642361111111112</v>
      </c>
      <c r="E4004" t="s">
        <v>14</v>
      </c>
      <c r="F4004" t="s">
        <v>15</v>
      </c>
      <c r="G4004">
        <v>-1</v>
      </c>
      <c r="H4004" t="s">
        <v>20</v>
      </c>
      <c r="I4004" t="s">
        <v>98</v>
      </c>
      <c r="J4004" s="1">
        <v>44307</v>
      </c>
      <c r="L4004" t="s">
        <v>14</v>
      </c>
      <c r="M4004">
        <v>63.22</v>
      </c>
      <c r="N4004">
        <v>63.22</v>
      </c>
      <c r="O4004" t="s">
        <v>21</v>
      </c>
      <c r="P4004">
        <f t="shared" si="204"/>
        <v>-1</v>
      </c>
      <c r="Q4004" s="11">
        <f>IF(P4004=0,0,IFERROR(Q4003+G4004*M4004*IF(E4004="FUTURE",VLOOKUP(MID(I4004,2,2),Futures!$A$2:$B$12,2),1),G4004*M4004*IF(E4004="FUTURE",VLOOKUP(MID(I4004,2,2),Futures!$A$2:$B$12,2),1)))</f>
        <v>-63220</v>
      </c>
      <c r="R4004" s="12">
        <f>IFERROR(Q4004/P4004/IF(E4004="FUTURE",VLOOKUP(MID(I4004,2,2),Futures!$A$2:$B$12,2),1),"")</f>
        <v>63.22</v>
      </c>
      <c r="S4004" s="13" t="str">
        <f>IF(AND(H4004="TO CLOSE",P4004=0),-G4004*(M4004-R4003)*IF(E4004="FUTURE",VLOOKUP(MID(I4004,2,2),Futures!$A$2:$B$12,2),1),"")</f>
        <v/>
      </c>
    </row>
    <row r="4005" spans="1:19" x14ac:dyDescent="0.2">
      <c r="A4005">
        <f t="shared" si="203"/>
        <v>1331</v>
      </c>
      <c r="B4005" s="3">
        <v>44251</v>
      </c>
      <c r="C4005" s="3" t="str">
        <f t="shared" si="207"/>
        <v>Wednesday</v>
      </c>
      <c r="D4005" s="2">
        <v>0.44773148148148145</v>
      </c>
      <c r="E4005" t="s">
        <v>14</v>
      </c>
      <c r="F4005" t="s">
        <v>19</v>
      </c>
      <c r="G4005">
        <v>1</v>
      </c>
      <c r="H4005" t="s">
        <v>16</v>
      </c>
      <c r="I4005" t="s">
        <v>98</v>
      </c>
      <c r="J4005" s="1">
        <v>44307</v>
      </c>
      <c r="L4005" t="s">
        <v>14</v>
      </c>
      <c r="M4005">
        <v>63.2</v>
      </c>
      <c r="N4005">
        <v>63.2</v>
      </c>
      <c r="O4005" t="s">
        <v>18</v>
      </c>
      <c r="P4005">
        <f t="shared" si="204"/>
        <v>0</v>
      </c>
      <c r="Q4005" s="11">
        <f>IF(P4005=0,0,IFERROR(Q4004+G4005*M4005*IF(E4005="FUTURE",VLOOKUP(MID(I4005,2,2),Futures!$A$2:$B$12,2),1),G4005*M4005*IF(E4005="FUTURE",VLOOKUP(MID(I4005,2,2),Futures!$A$2:$B$12,2),1)))</f>
        <v>0</v>
      </c>
      <c r="R4005" s="12" t="str">
        <f>IFERROR(Q4005/P4005/IF(E4005="FUTURE",VLOOKUP(MID(I4005,2,2),Futures!$A$2:$B$12,2),1),"")</f>
        <v/>
      </c>
      <c r="S4005" s="13">
        <f>IF(AND(H4005="TO CLOSE",P4005=0),-G4005*(M4005-R4004)*IF(E4005="FUTURE",VLOOKUP(MID(I4005,2,2),Futures!$A$2:$B$12,2),1),"")</f>
        <v>19.999999999996021</v>
      </c>
    </row>
    <row r="4006" spans="1:19" x14ac:dyDescent="0.2">
      <c r="A4006">
        <f t="shared" si="203"/>
        <v>1332</v>
      </c>
      <c r="B4006" s="3">
        <v>44251</v>
      </c>
      <c r="C4006" s="3" t="str">
        <f t="shared" si="207"/>
        <v>Wednesday</v>
      </c>
      <c r="D4006" s="2">
        <v>0.43311342592592594</v>
      </c>
      <c r="E4006" t="s">
        <v>14</v>
      </c>
      <c r="F4006" t="s">
        <v>19</v>
      </c>
      <c r="G4006">
        <v>1</v>
      </c>
      <c r="H4006" t="s">
        <v>20</v>
      </c>
      <c r="I4006" t="s">
        <v>89</v>
      </c>
      <c r="J4006" s="1">
        <v>44276</v>
      </c>
      <c r="L4006" t="s">
        <v>14</v>
      </c>
      <c r="M4006">
        <v>3872.5</v>
      </c>
      <c r="N4006">
        <v>3872.5</v>
      </c>
      <c r="O4006" t="s">
        <v>21</v>
      </c>
      <c r="P4006">
        <f t="shared" si="204"/>
        <v>1</v>
      </c>
      <c r="Q4006" s="11">
        <f>IF(P4006=0,0,IFERROR(Q4005+G4006*M4006*IF(E4006="FUTURE",VLOOKUP(MID(I4006,2,2),Futures!$A$2:$B$12,2),1),G4006*M4006*IF(E4006="FUTURE",VLOOKUP(MID(I4006,2,2),Futures!$A$2:$B$12,2),1)))</f>
        <v>193625</v>
      </c>
      <c r="R4006" s="12">
        <f>IFERROR(Q4006/P4006/IF(E4006="FUTURE",VLOOKUP(MID(I4006,2,2),Futures!$A$2:$B$12,2),1),"")</f>
        <v>3872.5</v>
      </c>
      <c r="S4006" s="13" t="str">
        <f>IF(AND(H4006="TO CLOSE",P4006=0),-G4006*(M4006-R4005)*IF(E4006="FUTURE",VLOOKUP(MID(I4006,2,2),Futures!$A$2:$B$12,2),1),"")</f>
        <v/>
      </c>
    </row>
    <row r="4007" spans="1:19" x14ac:dyDescent="0.2">
      <c r="A4007">
        <f t="shared" si="203"/>
        <v>1332</v>
      </c>
      <c r="B4007" s="3">
        <v>44251</v>
      </c>
      <c r="C4007" s="3" t="str">
        <f t="shared" si="207"/>
        <v>Wednesday</v>
      </c>
      <c r="D4007" s="2">
        <v>0.43328703703703703</v>
      </c>
      <c r="E4007" t="s">
        <v>14</v>
      </c>
      <c r="F4007" t="s">
        <v>15</v>
      </c>
      <c r="G4007">
        <v>-1</v>
      </c>
      <c r="H4007" t="s">
        <v>16</v>
      </c>
      <c r="I4007" t="s">
        <v>89</v>
      </c>
      <c r="J4007" s="1">
        <v>44276</v>
      </c>
      <c r="L4007" t="s">
        <v>14</v>
      </c>
      <c r="M4007">
        <v>3875.5</v>
      </c>
      <c r="N4007">
        <v>3875.5</v>
      </c>
      <c r="O4007" t="s">
        <v>21</v>
      </c>
      <c r="P4007">
        <f t="shared" si="204"/>
        <v>0</v>
      </c>
      <c r="Q4007" s="11">
        <f>IF(P4007=0,0,IFERROR(Q4006+G4007*M4007*IF(E4007="FUTURE",VLOOKUP(MID(I4007,2,2),Futures!$A$2:$B$12,2),1),G4007*M4007*IF(E4007="FUTURE",VLOOKUP(MID(I4007,2,2),Futures!$A$2:$B$12,2),1)))</f>
        <v>0</v>
      </c>
      <c r="R4007" s="12" t="str">
        <f>IFERROR(Q4007/P4007/IF(E4007="FUTURE",VLOOKUP(MID(I4007,2,2),Futures!$A$2:$B$12,2),1),"")</f>
        <v/>
      </c>
      <c r="S4007" s="13">
        <f>IF(AND(H4007="TO CLOSE",P4007=0),-G4007*(M4007-R4006)*IF(E4007="FUTURE",VLOOKUP(MID(I4007,2,2),Futures!$A$2:$B$12,2),1),"")</f>
        <v>150</v>
      </c>
    </row>
    <row r="4008" spans="1:19" x14ac:dyDescent="0.2">
      <c r="A4008">
        <f t="shared" si="203"/>
        <v>1333</v>
      </c>
      <c r="B4008" s="3">
        <v>44256</v>
      </c>
      <c r="C4008" s="3" t="str">
        <f t="shared" si="207"/>
        <v>Monday</v>
      </c>
      <c r="D4008" s="2">
        <v>0.43112268518518521</v>
      </c>
      <c r="E4008" t="s">
        <v>14</v>
      </c>
      <c r="F4008" t="s">
        <v>19</v>
      </c>
      <c r="G4008">
        <v>1</v>
      </c>
      <c r="H4008" t="s">
        <v>20</v>
      </c>
      <c r="I4008" t="s">
        <v>98</v>
      </c>
      <c r="J4008" s="1">
        <v>44307</v>
      </c>
      <c r="L4008" t="s">
        <v>14</v>
      </c>
      <c r="M4008">
        <v>61.92</v>
      </c>
      <c r="N4008">
        <v>61.92</v>
      </c>
      <c r="O4008" t="s">
        <v>21</v>
      </c>
      <c r="P4008">
        <f t="shared" si="204"/>
        <v>1</v>
      </c>
      <c r="Q4008" s="11">
        <f>IF(P4008=0,0,IFERROR(Q4007+G4008*M4008*IF(E4008="FUTURE",VLOOKUP(MID(I4008,2,2),Futures!$A$2:$B$12,2),1),G4008*M4008*IF(E4008="FUTURE",VLOOKUP(MID(I4008,2,2),Futures!$A$2:$B$12,2),1)))</f>
        <v>61920</v>
      </c>
      <c r="R4008" s="12">
        <f>IFERROR(Q4008/P4008/IF(E4008="FUTURE",VLOOKUP(MID(I4008,2,2),Futures!$A$2:$B$12,2),1),"")</f>
        <v>61.92</v>
      </c>
      <c r="S4008" s="13" t="str">
        <f>IF(AND(H4008="TO CLOSE",P4008=0),-G4008*(M4008-R4007)*IF(E4008="FUTURE",VLOOKUP(MID(I4008,2,2),Futures!$A$2:$B$12,2),1),"")</f>
        <v/>
      </c>
    </row>
    <row r="4009" spans="1:19" x14ac:dyDescent="0.2">
      <c r="A4009">
        <f t="shared" si="203"/>
        <v>1333</v>
      </c>
      <c r="B4009" s="3">
        <v>44256</v>
      </c>
      <c r="C4009" s="3" t="str">
        <f t="shared" si="207"/>
        <v>Monday</v>
      </c>
      <c r="D4009" s="2">
        <v>0.43451388888888887</v>
      </c>
      <c r="E4009" t="s">
        <v>14</v>
      </c>
      <c r="F4009" t="s">
        <v>19</v>
      </c>
      <c r="G4009">
        <v>1</v>
      </c>
      <c r="H4009" t="s">
        <v>20</v>
      </c>
      <c r="I4009" t="s">
        <v>98</v>
      </c>
      <c r="J4009" s="1">
        <v>44307</v>
      </c>
      <c r="L4009" t="s">
        <v>14</v>
      </c>
      <c r="M4009">
        <v>61.71</v>
      </c>
      <c r="N4009">
        <v>61.71</v>
      </c>
      <c r="O4009" t="s">
        <v>21</v>
      </c>
      <c r="P4009">
        <f t="shared" si="204"/>
        <v>2</v>
      </c>
      <c r="Q4009" s="11">
        <f>IF(P4009=0,0,IFERROR(Q4008+G4009*M4009*IF(E4009="FUTURE",VLOOKUP(MID(I4009,2,2),Futures!$A$2:$B$12,2),1),G4009*M4009*IF(E4009="FUTURE",VLOOKUP(MID(I4009,2,2),Futures!$A$2:$B$12,2),1)))</f>
        <v>123630</v>
      </c>
      <c r="R4009" s="12">
        <f>IFERROR(Q4009/P4009/IF(E4009="FUTURE",VLOOKUP(MID(I4009,2,2),Futures!$A$2:$B$12,2),1),"")</f>
        <v>61.814999999999998</v>
      </c>
      <c r="S4009" s="13" t="str">
        <f>IF(AND(H4009="TO CLOSE",P4009=0),-G4009*(M4009-R4008)*IF(E4009="FUTURE",VLOOKUP(MID(I4009,2,2),Futures!$A$2:$B$12,2),1),"")</f>
        <v/>
      </c>
    </row>
    <row r="4010" spans="1:19" x14ac:dyDescent="0.2">
      <c r="A4010">
        <f t="shared" si="203"/>
        <v>1333</v>
      </c>
      <c r="B4010" s="3">
        <v>44256</v>
      </c>
      <c r="C4010" s="3" t="str">
        <f t="shared" si="207"/>
        <v>Monday</v>
      </c>
      <c r="D4010" s="2">
        <v>0.46475694444444443</v>
      </c>
      <c r="E4010" t="s">
        <v>14</v>
      </c>
      <c r="F4010" t="s">
        <v>15</v>
      </c>
      <c r="G4010">
        <v>-1</v>
      </c>
      <c r="H4010" t="s">
        <v>16</v>
      </c>
      <c r="I4010" t="s">
        <v>98</v>
      </c>
      <c r="J4010" s="1">
        <v>44307</v>
      </c>
      <c r="L4010" t="s">
        <v>14</v>
      </c>
      <c r="M4010">
        <v>61.83</v>
      </c>
      <c r="N4010">
        <v>61.83</v>
      </c>
      <c r="O4010" t="s">
        <v>21</v>
      </c>
      <c r="P4010">
        <f t="shared" si="204"/>
        <v>1</v>
      </c>
      <c r="Q4010" s="11">
        <f>IF(P4010=0,0,IFERROR(Q4009+G4010*M4010*IF(E4010="FUTURE",VLOOKUP(MID(I4010,2,2),Futures!$A$2:$B$12,2),1),G4010*M4010*IF(E4010="FUTURE",VLOOKUP(MID(I4010,2,2),Futures!$A$2:$B$12,2),1)))</f>
        <v>61800</v>
      </c>
      <c r="R4010" s="12">
        <f>IFERROR(Q4010/P4010/IF(E4010="FUTURE",VLOOKUP(MID(I4010,2,2),Futures!$A$2:$B$12,2),1),"")</f>
        <v>61.8</v>
      </c>
      <c r="S4010" s="13" t="str">
        <f>IF(AND(H4010="TO CLOSE",P4010=0),-G4010*(M4010-R4009)*IF(E4010="FUTURE",VLOOKUP(MID(I4010,2,2),Futures!$A$2:$B$12,2),1),"")</f>
        <v/>
      </c>
    </row>
    <row r="4011" spans="1:19" x14ac:dyDescent="0.2">
      <c r="A4011">
        <f t="shared" si="203"/>
        <v>1333</v>
      </c>
      <c r="B4011" s="3">
        <v>44256</v>
      </c>
      <c r="C4011" s="3" t="str">
        <f t="shared" si="207"/>
        <v>Monday</v>
      </c>
      <c r="D4011" s="2">
        <v>0.47498842592592588</v>
      </c>
      <c r="E4011" t="s">
        <v>14</v>
      </c>
      <c r="F4011" t="s">
        <v>15</v>
      </c>
      <c r="G4011">
        <v>-1</v>
      </c>
      <c r="H4011" t="s">
        <v>16</v>
      </c>
      <c r="I4011" t="s">
        <v>98</v>
      </c>
      <c r="J4011" s="1">
        <v>44307</v>
      </c>
      <c r="L4011" t="s">
        <v>14</v>
      </c>
      <c r="M4011">
        <v>61.82</v>
      </c>
      <c r="N4011">
        <v>61.82</v>
      </c>
      <c r="O4011" t="s">
        <v>21</v>
      </c>
      <c r="P4011">
        <f t="shared" si="204"/>
        <v>0</v>
      </c>
      <c r="Q4011" s="11">
        <f>IF(P4011=0,0,IFERROR(Q4010+G4011*M4011*IF(E4011="FUTURE",VLOOKUP(MID(I4011,2,2),Futures!$A$2:$B$12,2),1),G4011*M4011*IF(E4011="FUTURE",VLOOKUP(MID(I4011,2,2),Futures!$A$2:$B$12,2),1)))</f>
        <v>0</v>
      </c>
      <c r="R4011" s="12" t="str">
        <f>IFERROR(Q4011/P4011/IF(E4011="FUTURE",VLOOKUP(MID(I4011,2,2),Futures!$A$2:$B$12,2),1),"")</f>
        <v/>
      </c>
      <c r="S4011" s="13">
        <f>IF(AND(H4011="TO CLOSE",P4011=0),-G4011*(M4011-R4010)*IF(E4011="FUTURE",VLOOKUP(MID(I4011,2,2),Futures!$A$2:$B$12,2),1),"")</f>
        <v>20.000000000003126</v>
      </c>
    </row>
    <row r="4012" spans="1:19" x14ac:dyDescent="0.2">
      <c r="A4012">
        <f t="shared" si="203"/>
        <v>1334</v>
      </c>
      <c r="B4012" s="3">
        <v>44256</v>
      </c>
      <c r="C4012" s="3" t="str">
        <f t="shared" si="207"/>
        <v>Monday</v>
      </c>
      <c r="D4012" s="2">
        <v>0.47498842592592588</v>
      </c>
      <c r="E4012" t="s">
        <v>14</v>
      </c>
      <c r="F4012" t="s">
        <v>15</v>
      </c>
      <c r="G4012">
        <v>-1</v>
      </c>
      <c r="H4012" t="s">
        <v>20</v>
      </c>
      <c r="I4012" t="s">
        <v>89</v>
      </c>
      <c r="J4012" s="1">
        <v>44276</v>
      </c>
      <c r="L4012" t="s">
        <v>14</v>
      </c>
      <c r="M4012">
        <v>3895</v>
      </c>
      <c r="N4012">
        <v>3895</v>
      </c>
      <c r="O4012" t="s">
        <v>21</v>
      </c>
      <c r="P4012">
        <f t="shared" si="204"/>
        <v>-1</v>
      </c>
      <c r="Q4012" s="11">
        <f>IF(P4012=0,0,IFERROR(Q4011+G4012*M4012*IF(E4012="FUTURE",VLOOKUP(MID(I4012,2,2),Futures!$A$2:$B$12,2),1),G4012*M4012*IF(E4012="FUTURE",VLOOKUP(MID(I4012,2,2),Futures!$A$2:$B$12,2),1)))</f>
        <v>-194750</v>
      </c>
      <c r="R4012" s="12">
        <f>IFERROR(Q4012/P4012/IF(E4012="FUTURE",VLOOKUP(MID(I4012,2,2),Futures!$A$2:$B$12,2),1),"")</f>
        <v>3895</v>
      </c>
      <c r="S4012" s="13" t="str">
        <f>IF(AND(H4012="TO CLOSE",P4012=0),-G4012*(M4012-R4011)*IF(E4012="FUTURE",VLOOKUP(MID(I4012,2,2),Futures!$A$2:$B$12,2),1),"")</f>
        <v/>
      </c>
    </row>
    <row r="4013" spans="1:19" x14ac:dyDescent="0.2">
      <c r="A4013">
        <f t="shared" si="203"/>
        <v>1334</v>
      </c>
      <c r="B4013" s="3">
        <v>44256</v>
      </c>
      <c r="C4013" s="3" t="str">
        <f t="shared" si="207"/>
        <v>Monday</v>
      </c>
      <c r="D4013" s="2">
        <v>0.47670138888888891</v>
      </c>
      <c r="E4013" t="s">
        <v>14</v>
      </c>
      <c r="F4013" t="s">
        <v>19</v>
      </c>
      <c r="G4013">
        <v>1</v>
      </c>
      <c r="H4013" t="s">
        <v>16</v>
      </c>
      <c r="I4013" t="s">
        <v>89</v>
      </c>
      <c r="J4013" s="1">
        <v>44276</v>
      </c>
      <c r="L4013" t="s">
        <v>14</v>
      </c>
      <c r="M4013">
        <v>3891.75</v>
      </c>
      <c r="N4013">
        <v>3891.75</v>
      </c>
      <c r="O4013" t="s">
        <v>21</v>
      </c>
      <c r="P4013">
        <f t="shared" si="204"/>
        <v>0</v>
      </c>
      <c r="Q4013" s="11">
        <f>IF(P4013=0,0,IFERROR(Q4012+G4013*M4013*IF(E4013="FUTURE",VLOOKUP(MID(I4013,2,2),Futures!$A$2:$B$12,2),1),G4013*M4013*IF(E4013="FUTURE",VLOOKUP(MID(I4013,2,2),Futures!$A$2:$B$12,2),1)))</f>
        <v>0</v>
      </c>
      <c r="R4013" s="12" t="str">
        <f>IFERROR(Q4013/P4013/IF(E4013="FUTURE",VLOOKUP(MID(I4013,2,2),Futures!$A$2:$B$12,2),1),"")</f>
        <v/>
      </c>
      <c r="S4013" s="13">
        <f>IF(AND(H4013="TO CLOSE",P4013=0),-G4013*(M4013-R4012)*IF(E4013="FUTURE",VLOOKUP(MID(I4013,2,2),Futures!$A$2:$B$12,2),1),"")</f>
        <v>162.5</v>
      </c>
    </row>
    <row r="4014" spans="1:19" x14ac:dyDescent="0.2">
      <c r="A4014">
        <f t="shared" si="203"/>
        <v>1335</v>
      </c>
      <c r="B4014" s="3">
        <v>44257</v>
      </c>
      <c r="C4014" s="3" t="str">
        <f t="shared" ref="C4014:C4023" si="208">IF(WEEKDAY(B4014,2)=1,"Monday",IF(WEEKDAY(B4014,2)=2,"Tuesday",IF(WEEKDAY(B4014,2)=3,"Wednesday",IF(WEEKDAY(B4014,2)=4,"Thursday",IF(WEEKDAY(B4014,2)=5,"Friday","Sunday")))))</f>
        <v>Tuesday</v>
      </c>
      <c r="D4014" s="2">
        <v>0.44091435185185185</v>
      </c>
      <c r="E4014" t="s">
        <v>14</v>
      </c>
      <c r="F4014" t="s">
        <v>15</v>
      </c>
      <c r="G4014">
        <v>-1</v>
      </c>
      <c r="H4014" t="s">
        <v>20</v>
      </c>
      <c r="I4014" t="s">
        <v>98</v>
      </c>
      <c r="J4014" s="1">
        <v>44307</v>
      </c>
      <c r="L4014" t="s">
        <v>14</v>
      </c>
      <c r="M4014">
        <v>60.8</v>
      </c>
      <c r="N4014">
        <v>60.8</v>
      </c>
      <c r="O4014" t="s">
        <v>21</v>
      </c>
      <c r="P4014">
        <f t="shared" si="204"/>
        <v>-1</v>
      </c>
      <c r="Q4014" s="11">
        <f>IF(P4014=0,0,IFERROR(Q4013+G4014*M4014*IF(E4014="FUTURE",VLOOKUP(MID(I4014,2,2),Futures!$A$2:$B$12,2),1),G4014*M4014*IF(E4014="FUTURE",VLOOKUP(MID(I4014,2,2),Futures!$A$2:$B$12,2),1)))</f>
        <v>-60800</v>
      </c>
      <c r="R4014" s="12">
        <f>IFERROR(Q4014/P4014/IF(E4014="FUTURE",VLOOKUP(MID(I4014,2,2),Futures!$A$2:$B$12,2),1),"")</f>
        <v>60.8</v>
      </c>
      <c r="S4014" s="13" t="str">
        <f>IF(AND(H4014="TO CLOSE",P4014=0),-G4014*(M4014-R4013)*IF(E4014="FUTURE",VLOOKUP(MID(I4014,2,2),Futures!$A$2:$B$12,2),1),"")</f>
        <v/>
      </c>
    </row>
    <row r="4015" spans="1:19" x14ac:dyDescent="0.2">
      <c r="A4015">
        <f t="shared" si="203"/>
        <v>1335</v>
      </c>
      <c r="B4015" s="3">
        <v>44257</v>
      </c>
      <c r="C4015" s="3" t="str">
        <f t="shared" si="208"/>
        <v>Tuesday</v>
      </c>
      <c r="D4015" s="2">
        <v>0.44290509259259259</v>
      </c>
      <c r="E4015" t="s">
        <v>14</v>
      </c>
      <c r="F4015" t="s">
        <v>19</v>
      </c>
      <c r="G4015">
        <v>1</v>
      </c>
      <c r="H4015" t="s">
        <v>16</v>
      </c>
      <c r="I4015" t="s">
        <v>98</v>
      </c>
      <c r="J4015" s="1">
        <v>44307</v>
      </c>
      <c r="L4015" t="s">
        <v>14</v>
      </c>
      <c r="M4015">
        <v>60.64</v>
      </c>
      <c r="N4015">
        <v>60.64</v>
      </c>
      <c r="O4015" t="s">
        <v>21</v>
      </c>
      <c r="P4015">
        <f t="shared" si="204"/>
        <v>0</v>
      </c>
      <c r="Q4015" s="11">
        <f>IF(P4015=0,0,IFERROR(Q4014+G4015*M4015*IF(E4015="FUTURE",VLOOKUP(MID(I4015,2,2),Futures!$A$2:$B$12,2),1),G4015*M4015*IF(E4015="FUTURE",VLOOKUP(MID(I4015,2,2),Futures!$A$2:$B$12,2),1)))</f>
        <v>0</v>
      </c>
      <c r="R4015" s="12" t="str">
        <f>IFERROR(Q4015/P4015/IF(E4015="FUTURE",VLOOKUP(MID(I4015,2,2),Futures!$A$2:$B$12,2),1),"")</f>
        <v/>
      </c>
      <c r="S4015" s="13">
        <f>IF(AND(H4015="TO CLOSE",P4015=0),-G4015*(M4015-R4014)*IF(E4015="FUTURE",VLOOKUP(MID(I4015,2,2),Futures!$A$2:$B$12,2),1),"")</f>
        <v>159.99999999999659</v>
      </c>
    </row>
    <row r="4016" spans="1:19" x14ac:dyDescent="0.2">
      <c r="A4016">
        <f t="shared" si="203"/>
        <v>1336</v>
      </c>
      <c r="B4016" s="3">
        <v>44257</v>
      </c>
      <c r="C4016" s="3" t="str">
        <f t="shared" si="208"/>
        <v>Tuesday</v>
      </c>
      <c r="D4016" s="2">
        <v>0.46243055555555551</v>
      </c>
      <c r="E4016" t="s">
        <v>14</v>
      </c>
      <c r="F4016" t="s">
        <v>19</v>
      </c>
      <c r="G4016">
        <v>1</v>
      </c>
      <c r="H4016" t="s">
        <v>20</v>
      </c>
      <c r="I4016" t="s">
        <v>98</v>
      </c>
      <c r="J4016" s="1">
        <v>44307</v>
      </c>
      <c r="L4016" t="s">
        <v>14</v>
      </c>
      <c r="M4016">
        <v>60.71</v>
      </c>
      <c r="N4016">
        <v>60.71</v>
      </c>
      <c r="O4016" t="s">
        <v>21</v>
      </c>
      <c r="P4016">
        <f t="shared" si="204"/>
        <v>1</v>
      </c>
      <c r="Q4016" s="11">
        <f>IF(P4016=0,0,IFERROR(Q4015+G4016*M4016*IF(E4016="FUTURE",VLOOKUP(MID(I4016,2,2),Futures!$A$2:$B$12,2),1),G4016*M4016*IF(E4016="FUTURE",VLOOKUP(MID(I4016,2,2),Futures!$A$2:$B$12,2),1)))</f>
        <v>60710</v>
      </c>
      <c r="R4016" s="12">
        <f>IFERROR(Q4016/P4016/IF(E4016="FUTURE",VLOOKUP(MID(I4016,2,2),Futures!$A$2:$B$12,2),1),"")</f>
        <v>60.71</v>
      </c>
      <c r="S4016" s="13" t="str">
        <f>IF(AND(H4016="TO CLOSE",P4016=0),-G4016*(M4016-R4015)*IF(E4016="FUTURE",VLOOKUP(MID(I4016,2,2),Futures!$A$2:$B$12,2),1),"")</f>
        <v/>
      </c>
    </row>
    <row r="4017" spans="1:19" x14ac:dyDescent="0.2">
      <c r="A4017">
        <f t="shared" si="203"/>
        <v>1336</v>
      </c>
      <c r="B4017" s="3">
        <v>44257</v>
      </c>
      <c r="C4017" s="3" t="str">
        <f t="shared" si="208"/>
        <v>Tuesday</v>
      </c>
      <c r="D4017" s="2">
        <v>0.46884259259259259</v>
      </c>
      <c r="E4017" t="s">
        <v>14</v>
      </c>
      <c r="F4017" t="s">
        <v>15</v>
      </c>
      <c r="G4017">
        <v>-1</v>
      </c>
      <c r="H4017" t="s">
        <v>16</v>
      </c>
      <c r="I4017" t="s">
        <v>98</v>
      </c>
      <c r="J4017" s="1">
        <v>44307</v>
      </c>
      <c r="L4017" t="s">
        <v>14</v>
      </c>
      <c r="M4017">
        <v>60.85</v>
      </c>
      <c r="N4017">
        <v>60.85</v>
      </c>
      <c r="O4017" t="s">
        <v>21</v>
      </c>
      <c r="P4017">
        <f t="shared" si="204"/>
        <v>0</v>
      </c>
      <c r="Q4017" s="11">
        <f>IF(P4017=0,0,IFERROR(Q4016+G4017*M4017*IF(E4017="FUTURE",VLOOKUP(MID(I4017,2,2),Futures!$A$2:$B$12,2),1),G4017*M4017*IF(E4017="FUTURE",VLOOKUP(MID(I4017,2,2),Futures!$A$2:$B$12,2),1)))</f>
        <v>0</v>
      </c>
      <c r="R4017" s="12" t="str">
        <f>IFERROR(Q4017/P4017/IF(E4017="FUTURE",VLOOKUP(MID(I4017,2,2),Futures!$A$2:$B$12,2),1),"")</f>
        <v/>
      </c>
      <c r="S4017" s="13">
        <f>IF(AND(H4017="TO CLOSE",P4017=0),-G4017*(M4017-R4016)*IF(E4017="FUTURE",VLOOKUP(MID(I4017,2,2),Futures!$A$2:$B$12,2),1),"")</f>
        <v>140.00000000000057</v>
      </c>
    </row>
    <row r="4018" spans="1:19" x14ac:dyDescent="0.2">
      <c r="A4018">
        <f t="shared" si="203"/>
        <v>1337</v>
      </c>
      <c r="B4018" s="3">
        <v>44257</v>
      </c>
      <c r="C4018" s="3" t="str">
        <f t="shared" si="208"/>
        <v>Tuesday</v>
      </c>
      <c r="D4018" s="2">
        <v>0.4244560185185185</v>
      </c>
      <c r="E4018" t="s">
        <v>14</v>
      </c>
      <c r="F4018" t="s">
        <v>19</v>
      </c>
      <c r="G4018">
        <v>1</v>
      </c>
      <c r="H4018" t="s">
        <v>20</v>
      </c>
      <c r="I4018" t="s">
        <v>89</v>
      </c>
      <c r="J4018" s="1">
        <v>44276</v>
      </c>
      <c r="L4018" t="s">
        <v>14</v>
      </c>
      <c r="M4018">
        <v>3898.75</v>
      </c>
      <c r="N4018">
        <v>3898.75</v>
      </c>
      <c r="O4018" t="s">
        <v>21</v>
      </c>
      <c r="P4018">
        <f t="shared" si="204"/>
        <v>1</v>
      </c>
      <c r="Q4018" s="11">
        <f>IF(P4018=0,0,IFERROR(Q4017+G4018*M4018*IF(E4018="FUTURE",VLOOKUP(MID(I4018,2,2),Futures!$A$2:$B$12,2),1),G4018*M4018*IF(E4018="FUTURE",VLOOKUP(MID(I4018,2,2),Futures!$A$2:$B$12,2),1)))</f>
        <v>194937.5</v>
      </c>
      <c r="R4018" s="12">
        <f>IFERROR(Q4018/P4018/IF(E4018="FUTURE",VLOOKUP(MID(I4018,2,2),Futures!$A$2:$B$12,2),1),"")</f>
        <v>3898.75</v>
      </c>
      <c r="S4018" s="13" t="str">
        <f>IF(AND(H4018="TO CLOSE",P4018=0),-G4018*(M4018-R4017)*IF(E4018="FUTURE",VLOOKUP(MID(I4018,2,2),Futures!$A$2:$B$12,2),1),"")</f>
        <v/>
      </c>
    </row>
    <row r="4019" spans="1:19" x14ac:dyDescent="0.2">
      <c r="A4019">
        <f t="shared" si="203"/>
        <v>1337</v>
      </c>
      <c r="B4019" s="3">
        <v>44257</v>
      </c>
      <c r="C4019" s="3" t="str">
        <f t="shared" si="208"/>
        <v>Tuesday</v>
      </c>
      <c r="D4019" s="2">
        <v>0.42454861111111114</v>
      </c>
      <c r="E4019" t="s">
        <v>14</v>
      </c>
      <c r="F4019" t="s">
        <v>15</v>
      </c>
      <c r="G4019">
        <v>-1</v>
      </c>
      <c r="H4019" t="s">
        <v>16</v>
      </c>
      <c r="I4019" t="s">
        <v>89</v>
      </c>
      <c r="J4019" s="1">
        <v>44276</v>
      </c>
      <c r="L4019" t="s">
        <v>14</v>
      </c>
      <c r="M4019">
        <v>3894.75</v>
      </c>
      <c r="N4019">
        <v>3894.75</v>
      </c>
      <c r="O4019" t="s">
        <v>18</v>
      </c>
      <c r="P4019">
        <f t="shared" si="204"/>
        <v>0</v>
      </c>
      <c r="Q4019" s="11">
        <f>IF(P4019=0,0,IFERROR(Q4018+G4019*M4019*IF(E4019="FUTURE",VLOOKUP(MID(I4019,2,2),Futures!$A$2:$B$12,2),1),G4019*M4019*IF(E4019="FUTURE",VLOOKUP(MID(I4019,2,2),Futures!$A$2:$B$12,2),1)))</f>
        <v>0</v>
      </c>
      <c r="R4019" s="12" t="str">
        <f>IFERROR(Q4019/P4019/IF(E4019="FUTURE",VLOOKUP(MID(I4019,2,2),Futures!$A$2:$B$12,2),1),"")</f>
        <v/>
      </c>
      <c r="S4019" s="13">
        <f>IF(AND(H4019="TO CLOSE",P4019=0),-G4019*(M4019-R4018)*IF(E4019="FUTURE",VLOOKUP(MID(I4019,2,2),Futures!$A$2:$B$12,2),1),"")</f>
        <v>-200</v>
      </c>
    </row>
    <row r="4020" spans="1:19" x14ac:dyDescent="0.2">
      <c r="A4020">
        <f t="shared" si="203"/>
        <v>1338</v>
      </c>
      <c r="B4020" s="3">
        <v>44257</v>
      </c>
      <c r="C4020" s="3" t="str">
        <f t="shared" si="208"/>
        <v>Tuesday</v>
      </c>
      <c r="D4020" s="2">
        <v>0.42511574074074071</v>
      </c>
      <c r="E4020" t="s">
        <v>14</v>
      </c>
      <c r="F4020" t="s">
        <v>15</v>
      </c>
      <c r="G4020">
        <v>-1</v>
      </c>
      <c r="H4020" t="s">
        <v>20</v>
      </c>
      <c r="I4020" t="s">
        <v>89</v>
      </c>
      <c r="J4020" s="1">
        <v>44276</v>
      </c>
      <c r="L4020" t="s">
        <v>14</v>
      </c>
      <c r="M4020">
        <v>3891</v>
      </c>
      <c r="N4020">
        <v>3891</v>
      </c>
      <c r="O4020" t="s">
        <v>24</v>
      </c>
      <c r="P4020">
        <f t="shared" si="204"/>
        <v>-1</v>
      </c>
      <c r="Q4020" s="11">
        <f>IF(P4020=0,0,IFERROR(Q4019+G4020*M4020*IF(E4020="FUTURE",VLOOKUP(MID(I4020,2,2),Futures!$A$2:$B$12,2),1),G4020*M4020*IF(E4020="FUTURE",VLOOKUP(MID(I4020,2,2),Futures!$A$2:$B$12,2),1)))</f>
        <v>-194550</v>
      </c>
      <c r="R4020" s="12">
        <f>IFERROR(Q4020/P4020/IF(E4020="FUTURE",VLOOKUP(MID(I4020,2,2),Futures!$A$2:$B$12,2),1),"")</f>
        <v>3891</v>
      </c>
      <c r="S4020" s="13" t="str">
        <f>IF(AND(H4020="TO CLOSE",P4020=0),-G4020*(M4020-R4019)*IF(E4020="FUTURE",VLOOKUP(MID(I4020,2,2),Futures!$A$2:$B$12,2),1),"")</f>
        <v/>
      </c>
    </row>
    <row r="4021" spans="1:19" x14ac:dyDescent="0.2">
      <c r="A4021">
        <f t="shared" si="203"/>
        <v>1338</v>
      </c>
      <c r="B4021" s="3">
        <v>44257</v>
      </c>
      <c r="C4021" s="3" t="str">
        <f t="shared" si="208"/>
        <v>Tuesday</v>
      </c>
      <c r="D4021" s="2">
        <v>0.43722222222222223</v>
      </c>
      <c r="E4021" t="s">
        <v>14</v>
      </c>
      <c r="F4021" t="s">
        <v>19</v>
      </c>
      <c r="G4021">
        <v>1</v>
      </c>
      <c r="H4021" t="s">
        <v>16</v>
      </c>
      <c r="I4021" t="s">
        <v>89</v>
      </c>
      <c r="J4021" s="1">
        <v>44276</v>
      </c>
      <c r="L4021" t="s">
        <v>14</v>
      </c>
      <c r="M4021">
        <v>3883</v>
      </c>
      <c r="N4021">
        <v>3883</v>
      </c>
      <c r="O4021" t="s">
        <v>21</v>
      </c>
      <c r="P4021">
        <f t="shared" si="204"/>
        <v>0</v>
      </c>
      <c r="Q4021" s="11">
        <f>IF(P4021=0,0,IFERROR(Q4020+G4021*M4021*IF(E4021="FUTURE",VLOOKUP(MID(I4021,2,2),Futures!$A$2:$B$12,2),1),G4021*M4021*IF(E4021="FUTURE",VLOOKUP(MID(I4021,2,2),Futures!$A$2:$B$12,2),1)))</f>
        <v>0</v>
      </c>
      <c r="R4021" s="12" t="str">
        <f>IFERROR(Q4021/P4021/IF(E4021="FUTURE",VLOOKUP(MID(I4021,2,2),Futures!$A$2:$B$12,2),1),"")</f>
        <v/>
      </c>
      <c r="S4021" s="13">
        <f>IF(AND(H4021="TO CLOSE",P4021=0),-G4021*(M4021-R4020)*IF(E4021="FUTURE",VLOOKUP(MID(I4021,2,2),Futures!$A$2:$B$12,2),1),"")</f>
        <v>400</v>
      </c>
    </row>
    <row r="4022" spans="1:19" x14ac:dyDescent="0.2">
      <c r="A4022">
        <f t="shared" si="203"/>
        <v>1339</v>
      </c>
      <c r="B4022" s="3">
        <v>44257</v>
      </c>
      <c r="C4022" s="3" t="str">
        <f t="shared" si="208"/>
        <v>Tuesday</v>
      </c>
      <c r="D4022" s="2">
        <v>0.46413194444444444</v>
      </c>
      <c r="E4022" t="s">
        <v>14</v>
      </c>
      <c r="F4022" t="s">
        <v>19</v>
      </c>
      <c r="G4022">
        <v>1</v>
      </c>
      <c r="H4022" t="s">
        <v>20</v>
      </c>
      <c r="I4022" t="s">
        <v>89</v>
      </c>
      <c r="J4022" s="1">
        <v>44276</v>
      </c>
      <c r="L4022" t="s">
        <v>14</v>
      </c>
      <c r="M4022">
        <v>3884</v>
      </c>
      <c r="N4022">
        <v>3884</v>
      </c>
      <c r="O4022" t="s">
        <v>18</v>
      </c>
      <c r="P4022">
        <f t="shared" si="204"/>
        <v>1</v>
      </c>
      <c r="Q4022" s="11">
        <f>IF(P4022=0,0,IFERROR(Q4021+G4022*M4022*IF(E4022="FUTURE",VLOOKUP(MID(I4022,2,2),Futures!$A$2:$B$12,2),1),G4022*M4022*IF(E4022="FUTURE",VLOOKUP(MID(I4022,2,2),Futures!$A$2:$B$12,2),1)))</f>
        <v>194200</v>
      </c>
      <c r="R4022" s="12">
        <f>IFERROR(Q4022/P4022/IF(E4022="FUTURE",VLOOKUP(MID(I4022,2,2),Futures!$A$2:$B$12,2),1),"")</f>
        <v>3884</v>
      </c>
      <c r="S4022" s="13" t="str">
        <f>IF(AND(H4022="TO CLOSE",P4022=0),-G4022*(M4022-R4021)*IF(E4022="FUTURE",VLOOKUP(MID(I4022,2,2),Futures!$A$2:$B$12,2),1),"")</f>
        <v/>
      </c>
    </row>
    <row r="4023" spans="1:19" x14ac:dyDescent="0.2">
      <c r="A4023">
        <f t="shared" si="203"/>
        <v>1339</v>
      </c>
      <c r="B4023" s="3">
        <v>44257</v>
      </c>
      <c r="C4023" s="3" t="str">
        <f t="shared" si="208"/>
        <v>Tuesday</v>
      </c>
      <c r="D4023" s="2">
        <v>0.50814814814814813</v>
      </c>
      <c r="E4023" t="s">
        <v>14</v>
      </c>
      <c r="F4023" t="s">
        <v>15</v>
      </c>
      <c r="G4023">
        <v>-1</v>
      </c>
      <c r="H4023" t="s">
        <v>16</v>
      </c>
      <c r="I4023" t="s">
        <v>89</v>
      </c>
      <c r="J4023" s="1">
        <v>44276</v>
      </c>
      <c r="L4023" t="s">
        <v>14</v>
      </c>
      <c r="M4023">
        <v>3882.5</v>
      </c>
      <c r="N4023">
        <v>3882.5</v>
      </c>
      <c r="O4023" t="s">
        <v>21</v>
      </c>
      <c r="P4023">
        <f t="shared" si="204"/>
        <v>0</v>
      </c>
      <c r="Q4023" s="11">
        <f>IF(P4023=0,0,IFERROR(Q4022+G4023*M4023*IF(E4023="FUTURE",VLOOKUP(MID(I4023,2,2),Futures!$A$2:$B$12,2),1),G4023*M4023*IF(E4023="FUTURE",VLOOKUP(MID(I4023,2,2),Futures!$A$2:$B$12,2),1)))</f>
        <v>0</v>
      </c>
      <c r="R4023" s="12" t="str">
        <f>IFERROR(Q4023/P4023/IF(E4023="FUTURE",VLOOKUP(MID(I4023,2,2),Futures!$A$2:$B$12,2),1),"")</f>
        <v/>
      </c>
      <c r="S4023" s="13">
        <f>IF(AND(H4023="TO CLOSE",P4023=0),-G4023*(M4023-R4022)*IF(E4023="FUTURE",VLOOKUP(MID(I4023,2,2),Futures!$A$2:$B$12,2),1),"")</f>
        <v>-75</v>
      </c>
    </row>
    <row r="4024" spans="1:19" x14ac:dyDescent="0.2">
      <c r="A4024">
        <f t="shared" si="203"/>
        <v>1340</v>
      </c>
      <c r="B4024" s="3">
        <v>44258</v>
      </c>
      <c r="C4024" s="3" t="str">
        <f t="shared" ref="C4024:C4032" si="209">IF(WEEKDAY(B4024,2)=1,"Monday",IF(WEEKDAY(B4024,2)=2,"Tuesday",IF(WEEKDAY(B4024,2)=3,"Wednesday",IF(WEEKDAY(B4024,2)=4,"Thursday",IF(WEEKDAY(B4024,2)=5,"Friday","Sunday")))))</f>
        <v>Wednesday</v>
      </c>
      <c r="D4024" s="2">
        <v>0.37503472222222217</v>
      </c>
      <c r="E4024" t="s">
        <v>14</v>
      </c>
      <c r="F4024" t="s">
        <v>15</v>
      </c>
      <c r="G4024">
        <v>-1</v>
      </c>
      <c r="H4024" t="s">
        <v>20</v>
      </c>
      <c r="I4024" t="s">
        <v>98</v>
      </c>
      <c r="J4024" s="1">
        <v>44307</v>
      </c>
      <c r="L4024" t="s">
        <v>14</v>
      </c>
      <c r="M4024">
        <v>60.92</v>
      </c>
      <c r="N4024">
        <v>60.92</v>
      </c>
      <c r="O4024" t="s">
        <v>21</v>
      </c>
      <c r="P4024">
        <f t="shared" si="204"/>
        <v>-1</v>
      </c>
      <c r="Q4024" s="11">
        <f>IF(P4024=0,0,IFERROR(Q4023+G4024*M4024*IF(E4024="FUTURE",VLOOKUP(MID(I4024,2,2),Futures!$A$2:$B$12,2),1),G4024*M4024*IF(E4024="FUTURE",VLOOKUP(MID(I4024,2,2),Futures!$A$2:$B$12,2),1)))</f>
        <v>-60920</v>
      </c>
      <c r="R4024" s="12">
        <f>IFERROR(Q4024/P4024/IF(E4024="FUTURE",VLOOKUP(MID(I4024,2,2),Futures!$A$2:$B$12,2),1),"")</f>
        <v>60.92</v>
      </c>
      <c r="S4024" s="13" t="str">
        <f>IF(AND(H4024="TO CLOSE",P4024=0),-G4024*(M4024-R4023)*IF(E4024="FUTURE",VLOOKUP(MID(I4024,2,2),Futures!$A$2:$B$12,2),1),"")</f>
        <v/>
      </c>
    </row>
    <row r="4025" spans="1:19" x14ac:dyDescent="0.2">
      <c r="A4025">
        <f t="shared" si="203"/>
        <v>1340</v>
      </c>
      <c r="B4025" s="3">
        <v>44258</v>
      </c>
      <c r="C4025" s="3" t="str">
        <f t="shared" si="209"/>
        <v>Wednesday</v>
      </c>
      <c r="D4025" s="2">
        <v>0.3871296296296296</v>
      </c>
      <c r="E4025" t="s">
        <v>14</v>
      </c>
      <c r="F4025" t="s">
        <v>19</v>
      </c>
      <c r="G4025">
        <v>1</v>
      </c>
      <c r="H4025" t="s">
        <v>16</v>
      </c>
      <c r="I4025" t="s">
        <v>98</v>
      </c>
      <c r="J4025" s="1">
        <v>44307</v>
      </c>
      <c r="L4025" t="s">
        <v>14</v>
      </c>
      <c r="M4025">
        <v>60.75</v>
      </c>
      <c r="N4025">
        <v>60.75</v>
      </c>
      <c r="O4025" t="s">
        <v>21</v>
      </c>
      <c r="P4025">
        <f t="shared" si="204"/>
        <v>0</v>
      </c>
      <c r="Q4025" s="11">
        <f>IF(P4025=0,0,IFERROR(Q4024+G4025*M4025*IF(E4025="FUTURE",VLOOKUP(MID(I4025,2,2),Futures!$A$2:$B$12,2),1),G4025*M4025*IF(E4025="FUTURE",VLOOKUP(MID(I4025,2,2),Futures!$A$2:$B$12,2),1)))</f>
        <v>0</v>
      </c>
      <c r="R4025" s="12" t="str">
        <f>IFERROR(Q4025/P4025/IF(E4025="FUTURE",VLOOKUP(MID(I4025,2,2),Futures!$A$2:$B$12,2),1),"")</f>
        <v/>
      </c>
      <c r="S4025" s="13">
        <f>IF(AND(H4025="TO CLOSE",P4025=0),-G4025*(M4025-R4024)*IF(E4025="FUTURE",VLOOKUP(MID(I4025,2,2),Futures!$A$2:$B$12,2),1),"")</f>
        <v>170.00000000000171</v>
      </c>
    </row>
    <row r="4026" spans="1:19" x14ac:dyDescent="0.2">
      <c r="A4026">
        <f t="shared" si="203"/>
        <v>1341</v>
      </c>
      <c r="B4026" s="3">
        <v>44258</v>
      </c>
      <c r="C4026" s="3" t="str">
        <f t="shared" si="209"/>
        <v>Wednesday</v>
      </c>
      <c r="D4026" s="2">
        <v>0.41697916666666668</v>
      </c>
      <c r="E4026" t="s">
        <v>14</v>
      </c>
      <c r="F4026" t="s">
        <v>15</v>
      </c>
      <c r="G4026">
        <v>-4</v>
      </c>
      <c r="H4026" t="s">
        <v>20</v>
      </c>
      <c r="I4026" t="s">
        <v>94</v>
      </c>
      <c r="J4026" s="1">
        <v>44276</v>
      </c>
      <c r="L4026" t="s">
        <v>14</v>
      </c>
      <c r="M4026">
        <v>3850</v>
      </c>
      <c r="N4026">
        <v>3850</v>
      </c>
      <c r="O4026" t="s">
        <v>21</v>
      </c>
      <c r="P4026">
        <f t="shared" si="204"/>
        <v>-4</v>
      </c>
      <c r="Q4026" s="11">
        <f>IF(P4026=0,0,IFERROR(Q4025+G4026*M4026*IF(E4026="FUTURE",VLOOKUP(MID(I4026,2,2),Futures!$A$2:$B$12,2),1),G4026*M4026*IF(E4026="FUTURE",VLOOKUP(MID(I4026,2,2),Futures!$A$2:$B$12,2),1)))</f>
        <v>-77000</v>
      </c>
      <c r="R4026" s="12">
        <f>IFERROR(Q4026/P4026/IF(E4026="FUTURE",VLOOKUP(MID(I4026,2,2),Futures!$A$2:$B$12,2),1),"")</f>
        <v>3850</v>
      </c>
      <c r="S4026" s="13" t="str">
        <f>IF(AND(H4026="TO CLOSE",P4026=0),-G4026*(M4026-R4025)*IF(E4026="FUTURE",VLOOKUP(MID(I4026,2,2),Futures!$A$2:$B$12,2),1),"")</f>
        <v/>
      </c>
    </row>
    <row r="4027" spans="1:19" x14ac:dyDescent="0.2">
      <c r="A4027">
        <f t="shared" si="203"/>
        <v>1341</v>
      </c>
      <c r="B4027" s="3">
        <v>44258</v>
      </c>
      <c r="C4027" s="3" t="str">
        <f t="shared" si="209"/>
        <v>Wednesday</v>
      </c>
      <c r="D4027" s="2">
        <v>0.41743055555555553</v>
      </c>
      <c r="E4027" t="s">
        <v>14</v>
      </c>
      <c r="F4027" t="s">
        <v>19</v>
      </c>
      <c r="G4027">
        <v>2</v>
      </c>
      <c r="H4027" t="s">
        <v>16</v>
      </c>
      <c r="I4027" t="s">
        <v>94</v>
      </c>
      <c r="J4027" s="1">
        <v>44276</v>
      </c>
      <c r="L4027" t="s">
        <v>14</v>
      </c>
      <c r="M4027">
        <v>3845.5</v>
      </c>
      <c r="N4027">
        <v>3845.5</v>
      </c>
      <c r="O4027" t="s">
        <v>21</v>
      </c>
      <c r="P4027">
        <f t="shared" si="204"/>
        <v>-2</v>
      </c>
      <c r="Q4027" s="11">
        <f>IF(P4027=0,0,IFERROR(Q4026+G4027*M4027*IF(E4027="FUTURE",VLOOKUP(MID(I4027,2,2),Futures!$A$2:$B$12,2),1),G4027*M4027*IF(E4027="FUTURE",VLOOKUP(MID(I4027,2,2),Futures!$A$2:$B$12,2),1)))</f>
        <v>-38545</v>
      </c>
      <c r="R4027" s="12">
        <f>IFERROR(Q4027/P4027/IF(E4027="FUTURE",VLOOKUP(MID(I4027,2,2),Futures!$A$2:$B$12,2),1),"")</f>
        <v>3854.5</v>
      </c>
      <c r="S4027" s="13" t="str">
        <f>IF(AND(H4027="TO CLOSE",P4027=0),-G4027*(M4027-R4026)*IF(E4027="FUTURE",VLOOKUP(MID(I4027,2,2),Futures!$A$2:$B$12,2),1),"")</f>
        <v/>
      </c>
    </row>
    <row r="4028" spans="1:19" x14ac:dyDescent="0.2">
      <c r="A4028">
        <f t="shared" si="203"/>
        <v>1341</v>
      </c>
      <c r="B4028" s="3">
        <v>44258</v>
      </c>
      <c r="C4028" s="3" t="str">
        <f t="shared" si="209"/>
        <v>Wednesday</v>
      </c>
      <c r="D4028" s="2">
        <v>0.4177777777777778</v>
      </c>
      <c r="E4028" t="s">
        <v>14</v>
      </c>
      <c r="F4028" t="s">
        <v>19</v>
      </c>
      <c r="G4028">
        <v>1</v>
      </c>
      <c r="H4028" t="s">
        <v>16</v>
      </c>
      <c r="I4028" t="s">
        <v>94</v>
      </c>
      <c r="J4028" s="1">
        <v>44276</v>
      </c>
      <c r="L4028" t="s">
        <v>14</v>
      </c>
      <c r="M4028">
        <v>3845.25</v>
      </c>
      <c r="N4028">
        <v>3845.25</v>
      </c>
      <c r="O4028" t="s">
        <v>21</v>
      </c>
      <c r="P4028">
        <f t="shared" si="204"/>
        <v>-1</v>
      </c>
      <c r="Q4028" s="11">
        <f>IF(P4028=0,0,IFERROR(Q4027+G4028*M4028*IF(E4028="FUTURE",VLOOKUP(MID(I4028,2,2),Futures!$A$2:$B$12,2),1),G4028*M4028*IF(E4028="FUTURE",VLOOKUP(MID(I4028,2,2),Futures!$A$2:$B$12,2),1)))</f>
        <v>-19318.75</v>
      </c>
      <c r="R4028" s="12">
        <f>IFERROR(Q4028/P4028/IF(E4028="FUTURE",VLOOKUP(MID(I4028,2,2),Futures!$A$2:$B$12,2),1),"")</f>
        <v>3863.75</v>
      </c>
      <c r="S4028" s="13" t="str">
        <f>IF(AND(H4028="TO CLOSE",P4028=0),-G4028*(M4028-R4027)*IF(E4028="FUTURE",VLOOKUP(MID(I4028,2,2),Futures!$A$2:$B$12,2),1),"")</f>
        <v/>
      </c>
    </row>
    <row r="4029" spans="1:19" x14ac:dyDescent="0.2">
      <c r="A4029">
        <f t="shared" si="203"/>
        <v>1341</v>
      </c>
      <c r="B4029" s="3">
        <v>44258</v>
      </c>
      <c r="C4029" s="3" t="str">
        <f t="shared" si="209"/>
        <v>Wednesday</v>
      </c>
      <c r="D4029" s="2">
        <v>0.41806712962962966</v>
      </c>
      <c r="E4029" t="s">
        <v>14</v>
      </c>
      <c r="F4029" t="s">
        <v>19</v>
      </c>
      <c r="G4029">
        <v>1</v>
      </c>
      <c r="H4029" t="s">
        <v>16</v>
      </c>
      <c r="I4029" t="s">
        <v>94</v>
      </c>
      <c r="J4029" s="1">
        <v>44276</v>
      </c>
      <c r="L4029" t="s">
        <v>14</v>
      </c>
      <c r="M4029">
        <v>3845</v>
      </c>
      <c r="N4029">
        <v>3845</v>
      </c>
      <c r="O4029" t="s">
        <v>21</v>
      </c>
      <c r="P4029">
        <f t="shared" si="204"/>
        <v>0</v>
      </c>
      <c r="Q4029" s="11">
        <f>IF(P4029=0,0,IFERROR(Q4028+G4029*M4029*IF(E4029="FUTURE",VLOOKUP(MID(I4029,2,2),Futures!$A$2:$B$12,2),1),G4029*M4029*IF(E4029="FUTURE",VLOOKUP(MID(I4029,2,2),Futures!$A$2:$B$12,2),1)))</f>
        <v>0</v>
      </c>
      <c r="R4029" s="12" t="str">
        <f>IFERROR(Q4029/P4029/IF(E4029="FUTURE",VLOOKUP(MID(I4029,2,2),Futures!$A$2:$B$12,2),1),"")</f>
        <v/>
      </c>
      <c r="S4029" s="13">
        <f>IF(AND(H4029="TO CLOSE",P4029=0),-G4029*(M4029-R4028)*IF(E4029="FUTURE",VLOOKUP(MID(I4029,2,2),Futures!$A$2:$B$12,2),1),"")</f>
        <v>93.75</v>
      </c>
    </row>
    <row r="4030" spans="1:19" x14ac:dyDescent="0.2">
      <c r="A4030">
        <f t="shared" si="203"/>
        <v>1342</v>
      </c>
      <c r="B4030" s="3">
        <v>44258</v>
      </c>
      <c r="C4030" s="3" t="str">
        <f t="shared" si="209"/>
        <v>Wednesday</v>
      </c>
      <c r="D4030" s="2">
        <v>0.43063657407407407</v>
      </c>
      <c r="E4030" t="s">
        <v>14</v>
      </c>
      <c r="F4030" t="s">
        <v>19</v>
      </c>
      <c r="G4030">
        <v>2</v>
      </c>
      <c r="H4030" t="s">
        <v>20</v>
      </c>
      <c r="I4030" t="s">
        <v>94</v>
      </c>
      <c r="J4030" s="1">
        <v>44276</v>
      </c>
      <c r="L4030" t="s">
        <v>14</v>
      </c>
      <c r="M4030">
        <v>3836.5</v>
      </c>
      <c r="N4030">
        <v>3836.5</v>
      </c>
      <c r="O4030" t="s">
        <v>21</v>
      </c>
      <c r="P4030">
        <f t="shared" si="204"/>
        <v>2</v>
      </c>
      <c r="Q4030" s="11">
        <f>IF(P4030=0,0,IFERROR(Q4029+G4030*M4030*IF(E4030="FUTURE",VLOOKUP(MID(I4030,2,2),Futures!$A$2:$B$12,2),1),G4030*M4030*IF(E4030="FUTURE",VLOOKUP(MID(I4030,2,2),Futures!$A$2:$B$12,2),1)))</f>
        <v>38365</v>
      </c>
      <c r="R4030" s="12">
        <f>IFERROR(Q4030/P4030/IF(E4030="FUTURE",VLOOKUP(MID(I4030,2,2),Futures!$A$2:$B$12,2),1),"")</f>
        <v>3836.5</v>
      </c>
      <c r="S4030" s="13" t="str">
        <f>IF(AND(H4030="TO CLOSE",P4030=0),-G4030*(M4030-R4029)*IF(E4030="FUTURE",VLOOKUP(MID(I4030,2,2),Futures!$A$2:$B$12,2),1),"")</f>
        <v/>
      </c>
    </row>
    <row r="4031" spans="1:19" x14ac:dyDescent="0.2">
      <c r="A4031">
        <f t="shared" si="203"/>
        <v>1342</v>
      </c>
      <c r="B4031" s="3">
        <v>44258</v>
      </c>
      <c r="C4031" s="3" t="str">
        <f t="shared" si="209"/>
        <v>Wednesday</v>
      </c>
      <c r="D4031" s="2">
        <v>0.43361111111111111</v>
      </c>
      <c r="E4031" t="s">
        <v>14</v>
      </c>
      <c r="F4031" t="s">
        <v>15</v>
      </c>
      <c r="G4031">
        <v>-1</v>
      </c>
      <c r="H4031" t="s">
        <v>16</v>
      </c>
      <c r="I4031" t="s">
        <v>94</v>
      </c>
      <c r="J4031" s="1">
        <v>44276</v>
      </c>
      <c r="L4031" t="s">
        <v>14</v>
      </c>
      <c r="M4031">
        <v>3843.75</v>
      </c>
      <c r="N4031">
        <v>3843.75</v>
      </c>
      <c r="O4031" t="s">
        <v>21</v>
      </c>
      <c r="P4031">
        <f t="shared" si="204"/>
        <v>1</v>
      </c>
      <c r="Q4031" s="11">
        <f>IF(P4031=0,0,IFERROR(Q4030+G4031*M4031*IF(E4031="FUTURE",VLOOKUP(MID(I4031,2,2),Futures!$A$2:$B$12,2),1),G4031*M4031*IF(E4031="FUTURE",VLOOKUP(MID(I4031,2,2),Futures!$A$2:$B$12,2),1)))</f>
        <v>19146.25</v>
      </c>
      <c r="R4031" s="12">
        <f>IFERROR(Q4031/P4031/IF(E4031="FUTURE",VLOOKUP(MID(I4031,2,2),Futures!$A$2:$B$12,2),1),"")</f>
        <v>3829.25</v>
      </c>
      <c r="S4031" s="13" t="str">
        <f>IF(AND(H4031="TO CLOSE",P4031=0),-G4031*(M4031-R4030)*IF(E4031="FUTURE",VLOOKUP(MID(I4031,2,2),Futures!$A$2:$B$12,2),1),"")</f>
        <v/>
      </c>
    </row>
    <row r="4032" spans="1:19" x14ac:dyDescent="0.2">
      <c r="A4032">
        <f t="shared" si="203"/>
        <v>1342</v>
      </c>
      <c r="B4032" s="3">
        <v>44258</v>
      </c>
      <c r="C4032" s="3" t="str">
        <f t="shared" si="209"/>
        <v>Wednesday</v>
      </c>
      <c r="D4032" s="2">
        <v>0.43417824074074068</v>
      </c>
      <c r="E4032" t="s">
        <v>14</v>
      </c>
      <c r="F4032" t="s">
        <v>15</v>
      </c>
      <c r="G4032">
        <v>-1</v>
      </c>
      <c r="H4032" t="s">
        <v>16</v>
      </c>
      <c r="I4032" t="s">
        <v>94</v>
      </c>
      <c r="J4032" s="1">
        <v>44276</v>
      </c>
      <c r="L4032" t="s">
        <v>14</v>
      </c>
      <c r="M4032">
        <v>3846.5</v>
      </c>
      <c r="N4032">
        <v>3846.5</v>
      </c>
      <c r="O4032" t="s">
        <v>21</v>
      </c>
      <c r="P4032">
        <f t="shared" si="204"/>
        <v>0</v>
      </c>
      <c r="Q4032" s="11">
        <f>IF(P4032=0,0,IFERROR(Q4031+G4032*M4032*IF(E4032="FUTURE",VLOOKUP(MID(I4032,2,2),Futures!$A$2:$B$12,2),1),G4032*M4032*IF(E4032="FUTURE",VLOOKUP(MID(I4032,2,2),Futures!$A$2:$B$12,2),1)))</f>
        <v>0</v>
      </c>
      <c r="R4032" s="12" t="str">
        <f>IFERROR(Q4032/P4032/IF(E4032="FUTURE",VLOOKUP(MID(I4032,2,2),Futures!$A$2:$B$12,2),1),"")</f>
        <v/>
      </c>
      <c r="S4032" s="13">
        <f>IF(AND(H4032="TO CLOSE",P4032=0),-G4032*(M4032-R4031)*IF(E4032="FUTURE",VLOOKUP(MID(I4032,2,2),Futures!$A$2:$B$12,2),1),"")</f>
        <v>86.25</v>
      </c>
    </row>
    <row r="4033" spans="1:19" x14ac:dyDescent="0.2">
      <c r="A4033">
        <f t="shared" si="203"/>
        <v>1343</v>
      </c>
      <c r="B4033" s="3">
        <v>44259</v>
      </c>
      <c r="C4033" s="3" t="str">
        <f t="shared" ref="C4033:C4046" si="210">IF(WEEKDAY(B4033,2)=1,"Monday",IF(WEEKDAY(B4033,2)=2,"Tuesday",IF(WEEKDAY(B4033,2)=3,"Wednesday",IF(WEEKDAY(B4033,2)=4,"Thursday",IF(WEEKDAY(B4033,2)=5,"Friday","Sunday")))))</f>
        <v>Thursday</v>
      </c>
      <c r="D4033" s="2">
        <v>0.41879629629629633</v>
      </c>
      <c r="E4033" t="s">
        <v>14</v>
      </c>
      <c r="F4033" t="s">
        <v>19</v>
      </c>
      <c r="G4033">
        <v>1</v>
      </c>
      <c r="H4033" t="s">
        <v>20</v>
      </c>
      <c r="I4033" t="s">
        <v>89</v>
      </c>
      <c r="J4033" s="1">
        <v>44276</v>
      </c>
      <c r="L4033" t="s">
        <v>14</v>
      </c>
      <c r="M4033">
        <v>3812.5</v>
      </c>
      <c r="N4033">
        <v>3812.5</v>
      </c>
      <c r="O4033" t="s">
        <v>21</v>
      </c>
      <c r="P4033">
        <f t="shared" si="204"/>
        <v>1</v>
      </c>
      <c r="Q4033" s="11">
        <f>IF(P4033=0,0,IFERROR(Q4032+G4033*M4033*IF(E4033="FUTURE",VLOOKUP(MID(I4033,2,2),Futures!$A$2:$B$12,2),1),G4033*M4033*IF(E4033="FUTURE",VLOOKUP(MID(I4033,2,2),Futures!$A$2:$B$12,2),1)))</f>
        <v>190625</v>
      </c>
      <c r="R4033" s="12">
        <f>IFERROR(Q4033/P4033/IF(E4033="FUTURE",VLOOKUP(MID(I4033,2,2),Futures!$A$2:$B$12,2),1),"")</f>
        <v>3812.5</v>
      </c>
      <c r="S4033" s="13" t="str">
        <f>IF(AND(H4033="TO CLOSE",P4033=0),-G4033*(M4033-R4032)*IF(E4033="FUTURE",VLOOKUP(MID(I4033,2,2),Futures!$A$2:$B$12,2),1),"")</f>
        <v/>
      </c>
    </row>
    <row r="4034" spans="1:19" x14ac:dyDescent="0.2">
      <c r="A4034">
        <f t="shared" ref="A4034:A4097" si="211">IF(AND(P4033=0,H4033="TO CLOSE"),IFERROR(A4033+1,1),IFERROR(A4033/1,1))</f>
        <v>1343</v>
      </c>
      <c r="B4034" s="3">
        <v>44259</v>
      </c>
      <c r="C4034" s="3" t="str">
        <f t="shared" si="210"/>
        <v>Thursday</v>
      </c>
      <c r="D4034" s="2">
        <v>0.44746527777777773</v>
      </c>
      <c r="E4034" t="s">
        <v>14</v>
      </c>
      <c r="F4034" t="s">
        <v>15</v>
      </c>
      <c r="G4034">
        <v>-1</v>
      </c>
      <c r="H4034" t="s">
        <v>16</v>
      </c>
      <c r="I4034" t="s">
        <v>89</v>
      </c>
      <c r="J4034" s="1">
        <v>44276</v>
      </c>
      <c r="L4034" t="s">
        <v>14</v>
      </c>
      <c r="M4034">
        <v>3821</v>
      </c>
      <c r="N4034">
        <v>3821</v>
      </c>
      <c r="O4034" t="s">
        <v>21</v>
      </c>
      <c r="P4034">
        <f t="shared" si="204"/>
        <v>0</v>
      </c>
      <c r="Q4034" s="11">
        <f>IF(P4034=0,0,IFERROR(Q4033+G4034*M4034*IF(E4034="FUTURE",VLOOKUP(MID(I4034,2,2),Futures!$A$2:$B$12,2),1),G4034*M4034*IF(E4034="FUTURE",VLOOKUP(MID(I4034,2,2),Futures!$A$2:$B$12,2),1)))</f>
        <v>0</v>
      </c>
      <c r="R4034" s="12" t="str">
        <f>IFERROR(Q4034/P4034/IF(E4034="FUTURE",VLOOKUP(MID(I4034,2,2),Futures!$A$2:$B$12,2),1),"")</f>
        <v/>
      </c>
      <c r="S4034" s="13">
        <f>IF(AND(H4034="TO CLOSE",P4034=0),-G4034*(M4034-R4033)*IF(E4034="FUTURE",VLOOKUP(MID(I4034,2,2),Futures!$A$2:$B$12,2),1),"")</f>
        <v>425</v>
      </c>
    </row>
    <row r="4035" spans="1:19" x14ac:dyDescent="0.2">
      <c r="A4035">
        <f t="shared" si="211"/>
        <v>1344</v>
      </c>
      <c r="B4035" s="3">
        <v>44263</v>
      </c>
      <c r="C4035" s="3" t="str">
        <f t="shared" si="210"/>
        <v>Monday</v>
      </c>
      <c r="D4035" s="2">
        <v>0.40274305555555556</v>
      </c>
      <c r="E4035" t="s">
        <v>14</v>
      </c>
      <c r="F4035" t="s">
        <v>19</v>
      </c>
      <c r="G4035">
        <v>1</v>
      </c>
      <c r="H4035" t="s">
        <v>20</v>
      </c>
      <c r="I4035" t="s">
        <v>98</v>
      </c>
      <c r="J4035" s="1">
        <v>44307</v>
      </c>
      <c r="L4035" t="s">
        <v>14</v>
      </c>
      <c r="M4035">
        <v>65.64</v>
      </c>
      <c r="N4035">
        <v>65.64</v>
      </c>
      <c r="O4035" t="s">
        <v>21</v>
      </c>
      <c r="P4035">
        <f t="shared" ref="P4035:P4098" si="212">IF(H4035="TO OPEN",IFERROR(P4034+G4035,0+G4035),IFERROR(P4034+G4035,0+G4035))</f>
        <v>1</v>
      </c>
      <c r="Q4035" s="11">
        <f>IF(P4035=0,0,IFERROR(Q4034+G4035*M4035*IF(E4035="FUTURE",VLOOKUP(MID(I4035,2,2),Futures!$A$2:$B$12,2),1),G4035*M4035*IF(E4035="FUTURE",VLOOKUP(MID(I4035,2,2),Futures!$A$2:$B$12,2),1)))</f>
        <v>65640</v>
      </c>
      <c r="R4035" s="12">
        <f>IFERROR(Q4035/P4035/IF(E4035="FUTURE",VLOOKUP(MID(I4035,2,2),Futures!$A$2:$B$12,2),1),"")</f>
        <v>65.64</v>
      </c>
      <c r="S4035" s="13" t="str">
        <f>IF(AND(H4035="TO CLOSE",P4035=0),-G4035*(M4035-R4034)*IF(E4035="FUTURE",VLOOKUP(MID(I4035,2,2),Futures!$A$2:$B$12,2),1),"")</f>
        <v/>
      </c>
    </row>
    <row r="4036" spans="1:19" x14ac:dyDescent="0.2">
      <c r="A4036">
        <f t="shared" si="211"/>
        <v>1344</v>
      </c>
      <c r="B4036" s="3">
        <v>44263</v>
      </c>
      <c r="C4036" s="3" t="str">
        <f t="shared" si="210"/>
        <v>Monday</v>
      </c>
      <c r="D4036" s="2">
        <v>0.40493055555555557</v>
      </c>
      <c r="E4036" t="s">
        <v>14</v>
      </c>
      <c r="F4036" t="s">
        <v>15</v>
      </c>
      <c r="G4036">
        <v>-1</v>
      </c>
      <c r="H4036" t="s">
        <v>16</v>
      </c>
      <c r="I4036" t="s">
        <v>98</v>
      </c>
      <c r="J4036" s="1">
        <v>44307</v>
      </c>
      <c r="L4036" t="s">
        <v>14</v>
      </c>
      <c r="M4036">
        <v>65.819999999999993</v>
      </c>
      <c r="N4036">
        <v>65.819999999999993</v>
      </c>
      <c r="O4036" t="s">
        <v>21</v>
      </c>
      <c r="P4036">
        <f t="shared" si="212"/>
        <v>0</v>
      </c>
      <c r="Q4036" s="11">
        <f>IF(P4036=0,0,IFERROR(Q4035+G4036*M4036*IF(E4036="FUTURE",VLOOKUP(MID(I4036,2,2),Futures!$A$2:$B$12,2),1),G4036*M4036*IF(E4036="FUTURE",VLOOKUP(MID(I4036,2,2),Futures!$A$2:$B$12,2),1)))</f>
        <v>0</v>
      </c>
      <c r="R4036" s="12" t="str">
        <f>IFERROR(Q4036/P4036/IF(E4036="FUTURE",VLOOKUP(MID(I4036,2,2),Futures!$A$2:$B$12,2),1),"")</f>
        <v/>
      </c>
      <c r="S4036" s="13">
        <f>IF(AND(H4036="TO CLOSE",P4036=0),-G4036*(M4036-R4035)*IF(E4036="FUTURE",VLOOKUP(MID(I4036,2,2),Futures!$A$2:$B$12,2),1),"")</f>
        <v>179.99999999999261</v>
      </c>
    </row>
    <row r="4037" spans="1:19" x14ac:dyDescent="0.2">
      <c r="A4037">
        <f t="shared" si="211"/>
        <v>1345</v>
      </c>
      <c r="B4037" s="3">
        <v>44263</v>
      </c>
      <c r="C4037" s="3" t="str">
        <f t="shared" si="210"/>
        <v>Monday</v>
      </c>
      <c r="D4037" s="2">
        <v>0.43770833333333337</v>
      </c>
      <c r="E4037" t="s">
        <v>14</v>
      </c>
      <c r="F4037" t="s">
        <v>19</v>
      </c>
      <c r="G4037">
        <v>1</v>
      </c>
      <c r="H4037" t="s">
        <v>20</v>
      </c>
      <c r="I4037" t="s">
        <v>98</v>
      </c>
      <c r="J4037" s="1">
        <v>44307</v>
      </c>
      <c r="L4037" t="s">
        <v>14</v>
      </c>
      <c r="M4037">
        <v>65.290000000000006</v>
      </c>
      <c r="N4037">
        <v>65.290000000000006</v>
      </c>
      <c r="O4037" t="s">
        <v>21</v>
      </c>
      <c r="P4037">
        <f t="shared" si="212"/>
        <v>1</v>
      </c>
      <c r="Q4037" s="11">
        <f>IF(P4037=0,0,IFERROR(Q4036+G4037*M4037*IF(E4037="FUTURE",VLOOKUP(MID(I4037,2,2),Futures!$A$2:$B$12,2),1),G4037*M4037*IF(E4037="FUTURE",VLOOKUP(MID(I4037,2,2),Futures!$A$2:$B$12,2),1)))</f>
        <v>65290.000000000007</v>
      </c>
      <c r="R4037" s="12">
        <f>IFERROR(Q4037/P4037/IF(E4037="FUTURE",VLOOKUP(MID(I4037,2,2),Futures!$A$2:$B$12,2),1),"")</f>
        <v>65.290000000000006</v>
      </c>
      <c r="S4037" s="13" t="str">
        <f>IF(AND(H4037="TO CLOSE",P4037=0),-G4037*(M4037-R4036)*IF(E4037="FUTURE",VLOOKUP(MID(I4037,2,2),Futures!$A$2:$B$12,2),1),"")</f>
        <v/>
      </c>
    </row>
    <row r="4038" spans="1:19" x14ac:dyDescent="0.2">
      <c r="A4038">
        <f t="shared" si="211"/>
        <v>1345</v>
      </c>
      <c r="B4038" s="3">
        <v>44263</v>
      </c>
      <c r="C4038" s="3" t="str">
        <f t="shared" si="210"/>
        <v>Monday</v>
      </c>
      <c r="D4038" s="2">
        <v>0.43935185185185183</v>
      </c>
      <c r="E4038" t="s">
        <v>14</v>
      </c>
      <c r="F4038" t="s">
        <v>15</v>
      </c>
      <c r="G4038">
        <v>-1</v>
      </c>
      <c r="H4038" t="s">
        <v>16</v>
      </c>
      <c r="I4038" t="s">
        <v>98</v>
      </c>
      <c r="J4038" s="1">
        <v>44307</v>
      </c>
      <c r="L4038" t="s">
        <v>14</v>
      </c>
      <c r="M4038">
        <v>65.290000000000006</v>
      </c>
      <c r="N4038">
        <v>65.290000000000006</v>
      </c>
      <c r="O4038" t="s">
        <v>18</v>
      </c>
      <c r="P4038">
        <f t="shared" si="212"/>
        <v>0</v>
      </c>
      <c r="Q4038" s="11">
        <f>IF(P4038=0,0,IFERROR(Q4037+G4038*M4038*IF(E4038="FUTURE",VLOOKUP(MID(I4038,2,2),Futures!$A$2:$B$12,2),1),G4038*M4038*IF(E4038="FUTURE",VLOOKUP(MID(I4038,2,2),Futures!$A$2:$B$12,2),1)))</f>
        <v>0</v>
      </c>
      <c r="R4038" s="12" t="str">
        <f>IFERROR(Q4038/P4038/IF(E4038="FUTURE",VLOOKUP(MID(I4038,2,2),Futures!$A$2:$B$12,2),1),"")</f>
        <v/>
      </c>
      <c r="S4038" s="13">
        <f>IF(AND(H4038="TO CLOSE",P4038=0),-G4038*(M4038-R4037)*IF(E4038="FUTURE",VLOOKUP(MID(I4038,2,2),Futures!$A$2:$B$12,2),1),"")</f>
        <v>0</v>
      </c>
    </row>
    <row r="4039" spans="1:19" x14ac:dyDescent="0.2">
      <c r="A4039">
        <f t="shared" si="211"/>
        <v>1346</v>
      </c>
      <c r="B4039" s="3">
        <v>44263</v>
      </c>
      <c r="C4039" s="3" t="str">
        <f t="shared" si="210"/>
        <v>Monday</v>
      </c>
      <c r="D4039" s="2">
        <v>0.44133101851851847</v>
      </c>
      <c r="E4039" t="s">
        <v>14</v>
      </c>
      <c r="F4039" t="s">
        <v>19</v>
      </c>
      <c r="G4039">
        <v>1</v>
      </c>
      <c r="H4039" t="s">
        <v>20</v>
      </c>
      <c r="I4039" t="s">
        <v>98</v>
      </c>
      <c r="J4039" s="1">
        <v>44307</v>
      </c>
      <c r="L4039" t="s">
        <v>14</v>
      </c>
      <c r="M4039">
        <v>65.260000000000005</v>
      </c>
      <c r="N4039">
        <v>65.260000000000005</v>
      </c>
      <c r="O4039" t="s">
        <v>21</v>
      </c>
      <c r="P4039">
        <f t="shared" si="212"/>
        <v>1</v>
      </c>
      <c r="Q4039" s="11">
        <f>IF(P4039=0,0,IFERROR(Q4038+G4039*M4039*IF(E4039="FUTURE",VLOOKUP(MID(I4039,2,2),Futures!$A$2:$B$12,2),1),G4039*M4039*IF(E4039="FUTURE",VLOOKUP(MID(I4039,2,2),Futures!$A$2:$B$12,2),1)))</f>
        <v>65260.000000000007</v>
      </c>
      <c r="R4039" s="12">
        <f>IFERROR(Q4039/P4039/IF(E4039="FUTURE",VLOOKUP(MID(I4039,2,2),Futures!$A$2:$B$12,2),1),"")</f>
        <v>65.260000000000005</v>
      </c>
      <c r="S4039" s="13" t="str">
        <f>IF(AND(H4039="TO CLOSE",P4039=0),-G4039*(M4039-R4038)*IF(E4039="FUTURE",VLOOKUP(MID(I4039,2,2),Futures!$A$2:$B$12,2),1),"")</f>
        <v/>
      </c>
    </row>
    <row r="4040" spans="1:19" x14ac:dyDescent="0.2">
      <c r="A4040">
        <f t="shared" si="211"/>
        <v>1346</v>
      </c>
      <c r="B4040" s="3">
        <v>44263</v>
      </c>
      <c r="C4040" s="3" t="str">
        <f t="shared" si="210"/>
        <v>Monday</v>
      </c>
      <c r="D4040" s="2">
        <v>0.46462962962962967</v>
      </c>
      <c r="E4040" t="s">
        <v>14</v>
      </c>
      <c r="F4040" t="s">
        <v>15</v>
      </c>
      <c r="G4040">
        <v>-1</v>
      </c>
      <c r="H4040" t="s">
        <v>16</v>
      </c>
      <c r="I4040" t="s">
        <v>98</v>
      </c>
      <c r="J4040" s="1">
        <v>44307</v>
      </c>
      <c r="L4040" t="s">
        <v>14</v>
      </c>
      <c r="M4040">
        <v>65.48</v>
      </c>
      <c r="N4040">
        <v>65.48</v>
      </c>
      <c r="O4040" t="s">
        <v>21</v>
      </c>
      <c r="P4040">
        <f t="shared" si="212"/>
        <v>0</v>
      </c>
      <c r="Q4040" s="11">
        <f>IF(P4040=0,0,IFERROR(Q4039+G4040*M4040*IF(E4040="FUTURE",VLOOKUP(MID(I4040,2,2),Futures!$A$2:$B$12,2),1),G4040*M4040*IF(E4040="FUTURE",VLOOKUP(MID(I4040,2,2),Futures!$A$2:$B$12,2),1)))</f>
        <v>0</v>
      </c>
      <c r="R4040" s="12" t="str">
        <f>IFERROR(Q4040/P4040/IF(E4040="FUTURE",VLOOKUP(MID(I4040,2,2),Futures!$A$2:$B$12,2),1),"")</f>
        <v/>
      </c>
      <c r="S4040" s="13">
        <f>IF(AND(H4040="TO CLOSE",P4040=0),-G4040*(M4040-R4039)*IF(E4040="FUTURE",VLOOKUP(MID(I4040,2,2),Futures!$A$2:$B$12,2),1),"")</f>
        <v>219.99999999999886</v>
      </c>
    </row>
    <row r="4041" spans="1:19" x14ac:dyDescent="0.2">
      <c r="A4041">
        <f t="shared" si="211"/>
        <v>1347</v>
      </c>
      <c r="B4041" s="3">
        <v>44263</v>
      </c>
      <c r="C4041" s="3" t="str">
        <f t="shared" si="210"/>
        <v>Monday</v>
      </c>
      <c r="D4041" s="2">
        <v>0.43585648148148143</v>
      </c>
      <c r="E4041" t="s">
        <v>14</v>
      </c>
      <c r="F4041" t="s">
        <v>19</v>
      </c>
      <c r="G4041">
        <v>1</v>
      </c>
      <c r="H4041" t="s">
        <v>20</v>
      </c>
      <c r="I4041" t="s">
        <v>89</v>
      </c>
      <c r="J4041" s="1">
        <v>44276</v>
      </c>
      <c r="L4041" t="s">
        <v>14</v>
      </c>
      <c r="M4041">
        <v>3867</v>
      </c>
      <c r="N4041">
        <v>3867</v>
      </c>
      <c r="O4041" t="s">
        <v>21</v>
      </c>
      <c r="P4041">
        <f t="shared" si="212"/>
        <v>1</v>
      </c>
      <c r="Q4041" s="11">
        <f>IF(P4041=0,0,IFERROR(Q4040+G4041*M4041*IF(E4041="FUTURE",VLOOKUP(MID(I4041,2,2),Futures!$A$2:$B$12,2),1),G4041*M4041*IF(E4041="FUTURE",VLOOKUP(MID(I4041,2,2),Futures!$A$2:$B$12,2),1)))</f>
        <v>193350</v>
      </c>
      <c r="R4041" s="12">
        <f>IFERROR(Q4041/P4041/IF(E4041="FUTURE",VLOOKUP(MID(I4041,2,2),Futures!$A$2:$B$12,2),1),"")</f>
        <v>3867</v>
      </c>
      <c r="S4041" s="13" t="str">
        <f>IF(AND(H4041="TO CLOSE",P4041=0),-G4041*(M4041-R4040)*IF(E4041="FUTURE",VLOOKUP(MID(I4041,2,2),Futures!$A$2:$B$12,2),1),"")</f>
        <v/>
      </c>
    </row>
    <row r="4042" spans="1:19" x14ac:dyDescent="0.2">
      <c r="A4042">
        <f t="shared" si="211"/>
        <v>1347</v>
      </c>
      <c r="B4042" s="3">
        <v>44263</v>
      </c>
      <c r="C4042" s="3" t="str">
        <f t="shared" si="210"/>
        <v>Monday</v>
      </c>
      <c r="D4042" s="2">
        <v>0.4359837962962963</v>
      </c>
      <c r="E4042" t="s">
        <v>14</v>
      </c>
      <c r="F4042" t="s">
        <v>15</v>
      </c>
      <c r="G4042">
        <v>-1</v>
      </c>
      <c r="H4042" t="s">
        <v>16</v>
      </c>
      <c r="I4042" t="s">
        <v>89</v>
      </c>
      <c r="J4042" s="1">
        <v>44276</v>
      </c>
      <c r="L4042" t="s">
        <v>14</v>
      </c>
      <c r="M4042">
        <v>3867</v>
      </c>
      <c r="N4042">
        <v>3867</v>
      </c>
      <c r="O4042" t="s">
        <v>18</v>
      </c>
      <c r="P4042">
        <f t="shared" si="212"/>
        <v>0</v>
      </c>
      <c r="Q4042" s="11">
        <f>IF(P4042=0,0,IFERROR(Q4041+G4042*M4042*IF(E4042="FUTURE",VLOOKUP(MID(I4042,2,2),Futures!$A$2:$B$12,2),1),G4042*M4042*IF(E4042="FUTURE",VLOOKUP(MID(I4042,2,2),Futures!$A$2:$B$12,2),1)))</f>
        <v>0</v>
      </c>
      <c r="R4042" s="12" t="str">
        <f>IFERROR(Q4042/P4042/IF(E4042="FUTURE",VLOOKUP(MID(I4042,2,2),Futures!$A$2:$B$12,2),1),"")</f>
        <v/>
      </c>
      <c r="S4042" s="13">
        <f>IF(AND(H4042="TO CLOSE",P4042=0),-G4042*(M4042-R4041)*IF(E4042="FUTURE",VLOOKUP(MID(I4042,2,2),Futures!$A$2:$B$12,2),1),"")</f>
        <v>0</v>
      </c>
    </row>
    <row r="4043" spans="1:19" x14ac:dyDescent="0.2">
      <c r="A4043">
        <f t="shared" si="211"/>
        <v>1348</v>
      </c>
      <c r="B4043" s="3">
        <v>44263</v>
      </c>
      <c r="C4043" s="3" t="str">
        <f t="shared" si="210"/>
        <v>Monday</v>
      </c>
      <c r="D4043" s="2">
        <v>0.47535879629629635</v>
      </c>
      <c r="E4043" t="s">
        <v>14</v>
      </c>
      <c r="F4043" t="s">
        <v>19</v>
      </c>
      <c r="G4043">
        <v>1</v>
      </c>
      <c r="H4043" t="s">
        <v>20</v>
      </c>
      <c r="I4043" t="s">
        <v>89</v>
      </c>
      <c r="J4043" s="1">
        <v>44276</v>
      </c>
      <c r="L4043" t="s">
        <v>14</v>
      </c>
      <c r="M4043">
        <v>3875</v>
      </c>
      <c r="N4043">
        <v>3875</v>
      </c>
      <c r="O4043" t="s">
        <v>21</v>
      </c>
      <c r="P4043">
        <f t="shared" si="212"/>
        <v>1</v>
      </c>
      <c r="Q4043" s="11">
        <f>IF(P4043=0,0,IFERROR(Q4042+G4043*M4043*IF(E4043="FUTURE",VLOOKUP(MID(I4043,2,2),Futures!$A$2:$B$12,2),1),G4043*M4043*IF(E4043="FUTURE",VLOOKUP(MID(I4043,2,2),Futures!$A$2:$B$12,2),1)))</f>
        <v>193750</v>
      </c>
      <c r="R4043" s="12">
        <f>IFERROR(Q4043/P4043/IF(E4043="FUTURE",VLOOKUP(MID(I4043,2,2),Futures!$A$2:$B$12,2),1),"")</f>
        <v>3875</v>
      </c>
      <c r="S4043" s="13" t="str">
        <f>IF(AND(H4043="TO CLOSE",P4043=0),-G4043*(M4043-R4042)*IF(E4043="FUTURE",VLOOKUP(MID(I4043,2,2),Futures!$A$2:$B$12,2),1),"")</f>
        <v/>
      </c>
    </row>
    <row r="4044" spans="1:19" x14ac:dyDescent="0.2">
      <c r="A4044">
        <f t="shared" si="211"/>
        <v>1348</v>
      </c>
      <c r="B4044" s="3">
        <v>44263</v>
      </c>
      <c r="C4044" s="3" t="str">
        <f t="shared" si="210"/>
        <v>Monday</v>
      </c>
      <c r="D4044" s="2">
        <v>0.52648148148148144</v>
      </c>
      <c r="E4044" t="s">
        <v>14</v>
      </c>
      <c r="F4044" t="s">
        <v>15</v>
      </c>
      <c r="G4044">
        <v>-1</v>
      </c>
      <c r="H4044" t="s">
        <v>16</v>
      </c>
      <c r="I4044" t="s">
        <v>89</v>
      </c>
      <c r="J4044" s="1">
        <v>44276</v>
      </c>
      <c r="L4044" t="s">
        <v>14</v>
      </c>
      <c r="M4044">
        <v>3875</v>
      </c>
      <c r="N4044">
        <v>3875</v>
      </c>
      <c r="O4044" t="s">
        <v>18</v>
      </c>
      <c r="P4044">
        <f t="shared" si="212"/>
        <v>0</v>
      </c>
      <c r="Q4044" s="11">
        <f>IF(P4044=0,0,IFERROR(Q4043+G4044*M4044*IF(E4044="FUTURE",VLOOKUP(MID(I4044,2,2),Futures!$A$2:$B$12,2),1),G4044*M4044*IF(E4044="FUTURE",VLOOKUP(MID(I4044,2,2),Futures!$A$2:$B$12,2),1)))</f>
        <v>0</v>
      </c>
      <c r="R4044" s="12" t="str">
        <f>IFERROR(Q4044/P4044/IF(E4044="FUTURE",VLOOKUP(MID(I4044,2,2),Futures!$A$2:$B$12,2),1),"")</f>
        <v/>
      </c>
      <c r="S4044" s="13">
        <f>IF(AND(H4044="TO CLOSE",P4044=0),-G4044*(M4044-R4043)*IF(E4044="FUTURE",VLOOKUP(MID(I4044,2,2),Futures!$A$2:$B$12,2),1),"")</f>
        <v>0</v>
      </c>
    </row>
    <row r="4045" spans="1:19" x14ac:dyDescent="0.2">
      <c r="A4045">
        <f t="shared" si="211"/>
        <v>1349</v>
      </c>
      <c r="B4045" s="3">
        <v>44263</v>
      </c>
      <c r="C4045" s="3" t="str">
        <f t="shared" si="210"/>
        <v>Monday</v>
      </c>
      <c r="D4045" s="2">
        <v>0.40578703703703706</v>
      </c>
      <c r="E4045" t="s">
        <v>22</v>
      </c>
      <c r="F4045" t="s">
        <v>15</v>
      </c>
      <c r="G4045">
        <v>-200</v>
      </c>
      <c r="H4045" t="s">
        <v>20</v>
      </c>
      <c r="I4045" t="s">
        <v>23</v>
      </c>
      <c r="L4045" t="s">
        <v>22</v>
      </c>
      <c r="M4045">
        <v>15.08</v>
      </c>
      <c r="N4045">
        <v>15.08</v>
      </c>
      <c r="O4045" t="s">
        <v>21</v>
      </c>
      <c r="P4045">
        <f t="shared" si="212"/>
        <v>-200</v>
      </c>
      <c r="Q4045" s="11">
        <f>IF(P4045=0,0,IFERROR(Q4044+G4045*M4045*IF(E4045="FUTURE",VLOOKUP(MID(I4045,2,2),Futures!$A$2:$B$12,2),1),G4045*M4045*IF(E4045="FUTURE",VLOOKUP(MID(I4045,2,2),Futures!$A$2:$B$12,2),1)))</f>
        <v>-3016</v>
      </c>
      <c r="R4045" s="12">
        <f>IFERROR(Q4045/P4045/IF(E4045="FUTURE",VLOOKUP(MID(I4045,2,2),Futures!$A$2:$B$12,2),1),"")</f>
        <v>15.08</v>
      </c>
      <c r="S4045" s="13" t="str">
        <f>IF(AND(H4045="TO CLOSE",P4045=0),-G4045*(M4045-R4044)*IF(E4045="FUTURE",VLOOKUP(MID(I4045,2,2),Futures!$A$2:$B$12,2),1),"")</f>
        <v/>
      </c>
    </row>
    <row r="4046" spans="1:19" x14ac:dyDescent="0.2">
      <c r="A4046">
        <f t="shared" si="211"/>
        <v>1349</v>
      </c>
      <c r="B4046" s="3">
        <v>44263</v>
      </c>
      <c r="C4046" s="3" t="str">
        <f t="shared" si="210"/>
        <v>Monday</v>
      </c>
      <c r="D4046" s="2">
        <v>0.44245370370370374</v>
      </c>
      <c r="E4046" t="s">
        <v>22</v>
      </c>
      <c r="F4046" t="s">
        <v>19</v>
      </c>
      <c r="G4046">
        <v>200</v>
      </c>
      <c r="H4046" t="s">
        <v>16</v>
      </c>
      <c r="I4046" t="s">
        <v>23</v>
      </c>
      <c r="L4046" t="s">
        <v>22</v>
      </c>
      <c r="M4046">
        <v>14.8589</v>
      </c>
      <c r="N4046">
        <v>14.8589</v>
      </c>
      <c r="O4046" t="s">
        <v>21</v>
      </c>
      <c r="P4046">
        <f t="shared" si="212"/>
        <v>0</v>
      </c>
      <c r="Q4046" s="11">
        <f>IF(P4046=0,0,IFERROR(Q4045+G4046*M4046*IF(E4046="FUTURE",VLOOKUP(MID(I4046,2,2),Futures!$A$2:$B$12,2),1),G4046*M4046*IF(E4046="FUTURE",VLOOKUP(MID(I4046,2,2),Futures!$A$2:$B$12,2),1)))</f>
        <v>0</v>
      </c>
      <c r="R4046" s="12" t="str">
        <f>IFERROR(Q4046/P4046/IF(E4046="FUTURE",VLOOKUP(MID(I4046,2,2),Futures!$A$2:$B$12,2),1),"")</f>
        <v/>
      </c>
      <c r="S4046" s="13">
        <f>IF(AND(H4046="TO CLOSE",P4046=0),-G4046*(M4046-R4045)*IF(E4046="FUTURE",VLOOKUP(MID(I4046,2,2),Futures!$A$2:$B$12,2),1),"")</f>
        <v>44.21999999999997</v>
      </c>
    </row>
    <row r="4047" spans="1:19" x14ac:dyDescent="0.2">
      <c r="A4047">
        <f t="shared" si="211"/>
        <v>1350</v>
      </c>
      <c r="B4047" s="3">
        <v>44264</v>
      </c>
      <c r="C4047" s="3" t="str">
        <f t="shared" ref="C4047:C4057" si="213">IF(WEEKDAY(B4047,2)=1,"Monday",IF(WEEKDAY(B4047,2)=2,"Tuesday",IF(WEEKDAY(B4047,2)=3,"Wednesday",IF(WEEKDAY(B4047,2)=4,"Thursday",IF(WEEKDAY(B4047,2)=5,"Friday","Sunday")))))</f>
        <v>Tuesday</v>
      </c>
      <c r="D4047" s="2">
        <v>0.3966898148148148</v>
      </c>
      <c r="E4047" t="s">
        <v>14</v>
      </c>
      <c r="F4047" t="s">
        <v>15</v>
      </c>
      <c r="G4047">
        <v>-1</v>
      </c>
      <c r="H4047" t="s">
        <v>20</v>
      </c>
      <c r="I4047" t="s">
        <v>98</v>
      </c>
      <c r="J4047" s="1">
        <v>44307</v>
      </c>
      <c r="L4047" t="s">
        <v>14</v>
      </c>
      <c r="M4047">
        <v>64.69</v>
      </c>
      <c r="N4047">
        <v>64.69</v>
      </c>
      <c r="O4047" t="s">
        <v>21</v>
      </c>
      <c r="P4047">
        <f t="shared" si="212"/>
        <v>-1</v>
      </c>
      <c r="Q4047" s="11">
        <f>IF(P4047=0,0,IFERROR(Q4046+G4047*M4047*IF(E4047="FUTURE",VLOOKUP(MID(I4047,2,2),Futures!$A$2:$B$12,2),1),G4047*M4047*IF(E4047="FUTURE",VLOOKUP(MID(I4047,2,2),Futures!$A$2:$B$12,2),1)))</f>
        <v>-64690</v>
      </c>
      <c r="R4047" s="12">
        <f>IFERROR(Q4047/P4047/IF(E4047="FUTURE",VLOOKUP(MID(I4047,2,2),Futures!$A$2:$B$12,2),1),"")</f>
        <v>64.69</v>
      </c>
      <c r="S4047" s="13" t="str">
        <f>IF(AND(H4047="TO CLOSE",P4047=0),-G4047*(M4047-R4046)*IF(E4047="FUTURE",VLOOKUP(MID(I4047,2,2),Futures!$A$2:$B$12,2),1),"")</f>
        <v/>
      </c>
    </row>
    <row r="4048" spans="1:19" x14ac:dyDescent="0.2">
      <c r="A4048">
        <f t="shared" si="211"/>
        <v>1350</v>
      </c>
      <c r="B4048" s="3">
        <v>44264</v>
      </c>
      <c r="C4048" s="3" t="str">
        <f t="shared" si="213"/>
        <v>Tuesday</v>
      </c>
      <c r="D4048" s="2">
        <v>0.39710648148148148</v>
      </c>
      <c r="E4048" t="s">
        <v>14</v>
      </c>
      <c r="F4048" t="s">
        <v>19</v>
      </c>
      <c r="G4048">
        <v>1</v>
      </c>
      <c r="H4048" t="s">
        <v>16</v>
      </c>
      <c r="I4048" t="s">
        <v>98</v>
      </c>
      <c r="J4048" s="1">
        <v>44307</v>
      </c>
      <c r="L4048" t="s">
        <v>14</v>
      </c>
      <c r="M4048">
        <v>64.599999999999994</v>
      </c>
      <c r="N4048">
        <v>64.599999999999994</v>
      </c>
      <c r="O4048" t="s">
        <v>21</v>
      </c>
      <c r="P4048">
        <f t="shared" si="212"/>
        <v>0</v>
      </c>
      <c r="Q4048" s="11">
        <f>IF(P4048=0,0,IFERROR(Q4047+G4048*M4048*IF(E4048="FUTURE",VLOOKUP(MID(I4048,2,2),Futures!$A$2:$B$12,2),1),G4048*M4048*IF(E4048="FUTURE",VLOOKUP(MID(I4048,2,2),Futures!$A$2:$B$12,2),1)))</f>
        <v>0</v>
      </c>
      <c r="R4048" s="12" t="str">
        <f>IFERROR(Q4048/P4048/IF(E4048="FUTURE",VLOOKUP(MID(I4048,2,2),Futures!$A$2:$B$12,2),1),"")</f>
        <v/>
      </c>
      <c r="S4048" s="13">
        <f>IF(AND(H4048="TO CLOSE",P4048=0),-G4048*(M4048-R4047)*IF(E4048="FUTURE",VLOOKUP(MID(I4048,2,2),Futures!$A$2:$B$12,2),1),"")</f>
        <v>90.000000000003411</v>
      </c>
    </row>
    <row r="4049" spans="1:19" x14ac:dyDescent="0.2">
      <c r="A4049">
        <f t="shared" si="211"/>
        <v>1351</v>
      </c>
      <c r="B4049" s="3">
        <v>44264</v>
      </c>
      <c r="C4049" s="3" t="str">
        <f t="shared" si="213"/>
        <v>Tuesday</v>
      </c>
      <c r="D4049" s="2">
        <v>0.41275462962962961</v>
      </c>
      <c r="E4049" t="s">
        <v>14</v>
      </c>
      <c r="F4049" t="s">
        <v>19</v>
      </c>
      <c r="G4049">
        <v>4</v>
      </c>
      <c r="H4049" t="s">
        <v>20</v>
      </c>
      <c r="I4049" t="s">
        <v>94</v>
      </c>
      <c r="J4049" s="1">
        <v>44276</v>
      </c>
      <c r="L4049" t="s">
        <v>14</v>
      </c>
      <c r="M4049">
        <v>3872.25</v>
      </c>
      <c r="N4049">
        <v>3872.25</v>
      </c>
      <c r="O4049" t="s">
        <v>21</v>
      </c>
      <c r="P4049">
        <f t="shared" si="212"/>
        <v>4</v>
      </c>
      <c r="Q4049" s="11">
        <f>IF(P4049=0,0,IFERROR(Q4048+G4049*M4049*IF(E4049="FUTURE",VLOOKUP(MID(I4049,2,2),Futures!$A$2:$B$12,2),1),G4049*M4049*IF(E4049="FUTURE",VLOOKUP(MID(I4049,2,2),Futures!$A$2:$B$12,2),1)))</f>
        <v>77445</v>
      </c>
      <c r="R4049" s="12">
        <f>IFERROR(Q4049/P4049/IF(E4049="FUTURE",VLOOKUP(MID(I4049,2,2),Futures!$A$2:$B$12,2),1),"")</f>
        <v>3872.25</v>
      </c>
      <c r="S4049" s="13" t="str">
        <f>IF(AND(H4049="TO CLOSE",P4049=0),-G4049*(M4049-R4048)*IF(E4049="FUTURE",VLOOKUP(MID(I4049,2,2),Futures!$A$2:$B$12,2),1),"")</f>
        <v/>
      </c>
    </row>
    <row r="4050" spans="1:19" x14ac:dyDescent="0.2">
      <c r="A4050">
        <f t="shared" si="211"/>
        <v>1351</v>
      </c>
      <c r="B4050" s="3">
        <v>44264</v>
      </c>
      <c r="C4050" s="3" t="str">
        <f t="shared" si="213"/>
        <v>Tuesday</v>
      </c>
      <c r="D4050" s="2">
        <v>0.41797453703703707</v>
      </c>
      <c r="E4050" t="s">
        <v>14</v>
      </c>
      <c r="F4050" t="s">
        <v>15</v>
      </c>
      <c r="G4050">
        <v>-2</v>
      </c>
      <c r="H4050" t="s">
        <v>16</v>
      </c>
      <c r="I4050" t="s">
        <v>94</v>
      </c>
      <c r="J4050" s="1">
        <v>44276</v>
      </c>
      <c r="L4050" t="s">
        <v>14</v>
      </c>
      <c r="M4050">
        <v>3879.25</v>
      </c>
      <c r="N4050">
        <v>3879.25</v>
      </c>
      <c r="O4050" t="s">
        <v>21</v>
      </c>
      <c r="P4050">
        <f t="shared" si="212"/>
        <v>2</v>
      </c>
      <c r="Q4050" s="11">
        <f>IF(P4050=0,0,IFERROR(Q4049+G4050*M4050*IF(E4050="FUTURE",VLOOKUP(MID(I4050,2,2),Futures!$A$2:$B$12,2),1),G4050*M4050*IF(E4050="FUTURE",VLOOKUP(MID(I4050,2,2),Futures!$A$2:$B$12,2),1)))</f>
        <v>38652.5</v>
      </c>
      <c r="R4050" s="12">
        <f>IFERROR(Q4050/P4050/IF(E4050="FUTURE",VLOOKUP(MID(I4050,2,2),Futures!$A$2:$B$12,2),1),"")</f>
        <v>3865.25</v>
      </c>
      <c r="S4050" s="13" t="str">
        <f>IF(AND(H4050="TO CLOSE",P4050=0),-G4050*(M4050-R4049)*IF(E4050="FUTURE",VLOOKUP(MID(I4050,2,2),Futures!$A$2:$B$12,2),1),"")</f>
        <v/>
      </c>
    </row>
    <row r="4051" spans="1:19" x14ac:dyDescent="0.2">
      <c r="A4051">
        <f t="shared" si="211"/>
        <v>1351</v>
      </c>
      <c r="B4051" s="3">
        <v>44264</v>
      </c>
      <c r="C4051" s="3" t="str">
        <f t="shared" si="213"/>
        <v>Tuesday</v>
      </c>
      <c r="D4051" s="2">
        <v>0.41826388888888894</v>
      </c>
      <c r="E4051" t="s">
        <v>14</v>
      </c>
      <c r="F4051" t="s">
        <v>15</v>
      </c>
      <c r="G4051">
        <v>-1</v>
      </c>
      <c r="H4051" t="s">
        <v>16</v>
      </c>
      <c r="I4051" t="s">
        <v>94</v>
      </c>
      <c r="J4051" s="1">
        <v>44276</v>
      </c>
      <c r="L4051" t="s">
        <v>14</v>
      </c>
      <c r="M4051">
        <v>3882.25</v>
      </c>
      <c r="N4051">
        <v>3882.25</v>
      </c>
      <c r="O4051" t="s">
        <v>21</v>
      </c>
      <c r="P4051">
        <f t="shared" si="212"/>
        <v>1</v>
      </c>
      <c r="Q4051" s="11">
        <f>IF(P4051=0,0,IFERROR(Q4050+G4051*M4051*IF(E4051="FUTURE",VLOOKUP(MID(I4051,2,2),Futures!$A$2:$B$12,2),1),G4051*M4051*IF(E4051="FUTURE",VLOOKUP(MID(I4051,2,2),Futures!$A$2:$B$12,2),1)))</f>
        <v>19241.25</v>
      </c>
      <c r="R4051" s="12">
        <f>IFERROR(Q4051/P4051/IF(E4051="FUTURE",VLOOKUP(MID(I4051,2,2),Futures!$A$2:$B$12,2),1),"")</f>
        <v>3848.25</v>
      </c>
      <c r="S4051" s="13" t="str">
        <f>IF(AND(H4051="TO CLOSE",P4051=0),-G4051*(M4051-R4050)*IF(E4051="FUTURE",VLOOKUP(MID(I4051,2,2),Futures!$A$2:$B$12,2),1),"")</f>
        <v/>
      </c>
    </row>
    <row r="4052" spans="1:19" x14ac:dyDescent="0.2">
      <c r="A4052">
        <f t="shared" si="211"/>
        <v>1351</v>
      </c>
      <c r="B4052" s="3">
        <v>44264</v>
      </c>
      <c r="C4052" s="3" t="str">
        <f t="shared" si="213"/>
        <v>Tuesday</v>
      </c>
      <c r="D4052" s="2">
        <v>0.42042824074074076</v>
      </c>
      <c r="E4052" t="s">
        <v>14</v>
      </c>
      <c r="F4052" t="s">
        <v>15</v>
      </c>
      <c r="G4052">
        <v>-1</v>
      </c>
      <c r="H4052" t="s">
        <v>16</v>
      </c>
      <c r="I4052" t="s">
        <v>94</v>
      </c>
      <c r="J4052" s="1">
        <v>44276</v>
      </c>
      <c r="L4052" t="s">
        <v>14</v>
      </c>
      <c r="M4052">
        <v>3882</v>
      </c>
      <c r="N4052">
        <v>3882</v>
      </c>
      <c r="O4052" t="s">
        <v>24</v>
      </c>
      <c r="P4052">
        <f t="shared" si="212"/>
        <v>0</v>
      </c>
      <c r="Q4052" s="11">
        <f>IF(P4052=0,0,IFERROR(Q4051+G4052*M4052*IF(E4052="FUTURE",VLOOKUP(MID(I4052,2,2),Futures!$A$2:$B$12,2),1),G4052*M4052*IF(E4052="FUTURE",VLOOKUP(MID(I4052,2,2),Futures!$A$2:$B$12,2),1)))</f>
        <v>0</v>
      </c>
      <c r="R4052" s="12" t="str">
        <f>IFERROR(Q4052/P4052/IF(E4052="FUTURE",VLOOKUP(MID(I4052,2,2),Futures!$A$2:$B$12,2),1),"")</f>
        <v/>
      </c>
      <c r="S4052" s="13">
        <f>IF(AND(H4052="TO CLOSE",P4052=0),-G4052*(M4052-R4051)*IF(E4052="FUTURE",VLOOKUP(MID(I4052,2,2),Futures!$A$2:$B$12,2),1),"")</f>
        <v>168.75</v>
      </c>
    </row>
    <row r="4053" spans="1:19" x14ac:dyDescent="0.2">
      <c r="A4053">
        <f t="shared" si="211"/>
        <v>1352</v>
      </c>
      <c r="B4053" s="3">
        <v>44264</v>
      </c>
      <c r="C4053" s="3" t="str">
        <f t="shared" si="213"/>
        <v>Tuesday</v>
      </c>
      <c r="D4053" s="2">
        <v>0.4021527777777778</v>
      </c>
      <c r="E4053" t="s">
        <v>22</v>
      </c>
      <c r="F4053" t="s">
        <v>15</v>
      </c>
      <c r="G4053">
        <v>-200</v>
      </c>
      <c r="H4053" t="s">
        <v>20</v>
      </c>
      <c r="I4053" t="s">
        <v>23</v>
      </c>
      <c r="L4053" t="s">
        <v>22</v>
      </c>
      <c r="M4053">
        <v>14.99</v>
      </c>
      <c r="N4053">
        <v>14.99</v>
      </c>
      <c r="O4053" t="s">
        <v>21</v>
      </c>
      <c r="P4053">
        <f t="shared" si="212"/>
        <v>-200</v>
      </c>
      <c r="Q4053" s="11">
        <f>IF(P4053=0,0,IFERROR(Q4052+G4053*M4053*IF(E4053="FUTURE",VLOOKUP(MID(I4053,2,2),Futures!$A$2:$B$12,2),1),G4053*M4053*IF(E4053="FUTURE",VLOOKUP(MID(I4053,2,2),Futures!$A$2:$B$12,2),1)))</f>
        <v>-2998</v>
      </c>
      <c r="R4053" s="12">
        <f>IFERROR(Q4053/P4053/IF(E4053="FUTURE",VLOOKUP(MID(I4053,2,2),Futures!$A$2:$B$12,2),1),"")</f>
        <v>14.99</v>
      </c>
      <c r="S4053" s="13" t="str">
        <f>IF(AND(H4053="TO CLOSE",P4053=0),-G4053*(M4053-R4052)*IF(E4053="FUTURE",VLOOKUP(MID(I4053,2,2),Futures!$A$2:$B$12,2),1),"")</f>
        <v/>
      </c>
    </row>
    <row r="4054" spans="1:19" x14ac:dyDescent="0.2">
      <c r="A4054">
        <f t="shared" si="211"/>
        <v>1352</v>
      </c>
      <c r="B4054" s="3">
        <v>44264</v>
      </c>
      <c r="C4054" s="3" t="str">
        <f t="shared" si="213"/>
        <v>Tuesday</v>
      </c>
      <c r="D4054" s="2">
        <v>0.42023148148148143</v>
      </c>
      <c r="E4054" t="s">
        <v>22</v>
      </c>
      <c r="F4054" t="s">
        <v>19</v>
      </c>
      <c r="G4054">
        <v>50</v>
      </c>
      <c r="H4054" t="s">
        <v>16</v>
      </c>
      <c r="I4054" t="s">
        <v>23</v>
      </c>
      <c r="L4054" t="s">
        <v>22</v>
      </c>
      <c r="M4054">
        <v>14.77</v>
      </c>
      <c r="N4054">
        <v>14.77</v>
      </c>
      <c r="O4054" t="s">
        <v>21</v>
      </c>
      <c r="P4054">
        <f t="shared" si="212"/>
        <v>-150</v>
      </c>
      <c r="Q4054" s="11">
        <f>IF(P4054=0,0,IFERROR(Q4053+G4054*M4054*IF(E4054="FUTURE",VLOOKUP(MID(I4054,2,2),Futures!$A$2:$B$12,2),1),G4054*M4054*IF(E4054="FUTURE",VLOOKUP(MID(I4054,2,2),Futures!$A$2:$B$12,2),1)))</f>
        <v>-2259.5</v>
      </c>
      <c r="R4054" s="12">
        <f>IFERROR(Q4054/P4054/IF(E4054="FUTURE",VLOOKUP(MID(I4054,2,2),Futures!$A$2:$B$12,2),1),"")</f>
        <v>15.063333333333333</v>
      </c>
      <c r="S4054" s="13" t="str">
        <f>IF(AND(H4054="TO CLOSE",P4054=0),-G4054*(M4054-R4053)*IF(E4054="FUTURE",VLOOKUP(MID(I4054,2,2),Futures!$A$2:$B$12,2),1),"")</f>
        <v/>
      </c>
    </row>
    <row r="4055" spans="1:19" x14ac:dyDescent="0.2">
      <c r="A4055">
        <f t="shared" si="211"/>
        <v>1352</v>
      </c>
      <c r="B4055" s="3">
        <v>44264</v>
      </c>
      <c r="C4055" s="3" t="str">
        <f t="shared" si="213"/>
        <v>Tuesday</v>
      </c>
      <c r="D4055" s="2">
        <v>0.42780092592592595</v>
      </c>
      <c r="E4055" t="s">
        <v>22</v>
      </c>
      <c r="F4055" t="s">
        <v>19</v>
      </c>
      <c r="G4055">
        <v>25</v>
      </c>
      <c r="H4055" t="s">
        <v>16</v>
      </c>
      <c r="I4055" t="s">
        <v>23</v>
      </c>
      <c r="L4055" t="s">
        <v>22</v>
      </c>
      <c r="M4055">
        <v>14.79</v>
      </c>
      <c r="N4055">
        <v>14.79</v>
      </c>
      <c r="O4055" t="s">
        <v>21</v>
      </c>
      <c r="P4055">
        <f t="shared" si="212"/>
        <v>-125</v>
      </c>
      <c r="Q4055" s="11">
        <f>IF(P4055=0,0,IFERROR(Q4054+G4055*M4055*IF(E4055="FUTURE",VLOOKUP(MID(I4055,2,2),Futures!$A$2:$B$12,2),1),G4055*M4055*IF(E4055="FUTURE",VLOOKUP(MID(I4055,2,2),Futures!$A$2:$B$12,2),1)))</f>
        <v>-1889.75</v>
      </c>
      <c r="R4055" s="12">
        <f>IFERROR(Q4055/P4055/IF(E4055="FUTURE",VLOOKUP(MID(I4055,2,2),Futures!$A$2:$B$12,2),1),"")</f>
        <v>15.118</v>
      </c>
      <c r="S4055" s="13" t="str">
        <f>IF(AND(H4055="TO CLOSE",P4055=0),-G4055*(M4055-R4054)*IF(E4055="FUTURE",VLOOKUP(MID(I4055,2,2),Futures!$A$2:$B$12,2),1),"")</f>
        <v/>
      </c>
    </row>
    <row r="4056" spans="1:19" x14ac:dyDescent="0.2">
      <c r="A4056">
        <f t="shared" si="211"/>
        <v>1352</v>
      </c>
      <c r="B4056" s="3">
        <v>44264</v>
      </c>
      <c r="C4056" s="3" t="str">
        <f t="shared" si="213"/>
        <v>Tuesday</v>
      </c>
      <c r="D4056" s="2">
        <v>0.43373842592592587</v>
      </c>
      <c r="E4056" t="s">
        <v>22</v>
      </c>
      <c r="F4056" t="s">
        <v>19</v>
      </c>
      <c r="G4056">
        <v>25</v>
      </c>
      <c r="H4056" t="s">
        <v>16</v>
      </c>
      <c r="I4056" t="s">
        <v>23</v>
      </c>
      <c r="L4056" t="s">
        <v>22</v>
      </c>
      <c r="M4056">
        <v>14.77</v>
      </c>
      <c r="N4056">
        <v>14.77</v>
      </c>
      <c r="O4056" t="s">
        <v>21</v>
      </c>
      <c r="P4056">
        <f t="shared" si="212"/>
        <v>-100</v>
      </c>
      <c r="Q4056" s="11">
        <f>IF(P4056=0,0,IFERROR(Q4055+G4056*M4056*IF(E4056="FUTURE",VLOOKUP(MID(I4056,2,2),Futures!$A$2:$B$12,2),1),G4056*M4056*IF(E4056="FUTURE",VLOOKUP(MID(I4056,2,2),Futures!$A$2:$B$12,2),1)))</f>
        <v>-1520.5</v>
      </c>
      <c r="R4056" s="12">
        <f>IFERROR(Q4056/P4056/IF(E4056="FUTURE",VLOOKUP(MID(I4056,2,2),Futures!$A$2:$B$12,2),1),"")</f>
        <v>15.205</v>
      </c>
      <c r="S4056" s="13" t="str">
        <f>IF(AND(H4056="TO CLOSE",P4056=0),-G4056*(M4056-R4055)*IF(E4056="FUTURE",VLOOKUP(MID(I4056,2,2),Futures!$A$2:$B$12,2),1),"")</f>
        <v/>
      </c>
    </row>
    <row r="4057" spans="1:19" x14ac:dyDescent="0.2">
      <c r="A4057">
        <f t="shared" si="211"/>
        <v>1352</v>
      </c>
      <c r="B4057" s="3">
        <v>44264</v>
      </c>
      <c r="C4057" s="3" t="str">
        <f t="shared" si="213"/>
        <v>Tuesday</v>
      </c>
      <c r="D4057" s="2">
        <v>0.4966782407407408</v>
      </c>
      <c r="E4057" t="s">
        <v>22</v>
      </c>
      <c r="F4057" t="s">
        <v>19</v>
      </c>
      <c r="G4057">
        <v>100</v>
      </c>
      <c r="H4057" t="s">
        <v>16</v>
      </c>
      <c r="I4057" t="s">
        <v>23</v>
      </c>
      <c r="L4057" t="s">
        <v>22</v>
      </c>
      <c r="M4057">
        <v>14.69</v>
      </c>
      <c r="N4057">
        <v>14.69</v>
      </c>
      <c r="O4057" t="s">
        <v>21</v>
      </c>
      <c r="P4057">
        <f t="shared" si="212"/>
        <v>0</v>
      </c>
      <c r="Q4057" s="11">
        <f>IF(P4057=0,0,IFERROR(Q4056+G4057*M4057*IF(E4057="FUTURE",VLOOKUP(MID(I4057,2,2),Futures!$A$2:$B$12,2),1),G4057*M4057*IF(E4057="FUTURE",VLOOKUP(MID(I4057,2,2),Futures!$A$2:$B$12,2),1)))</f>
        <v>0</v>
      </c>
      <c r="R4057" s="12" t="str">
        <f>IFERROR(Q4057/P4057/IF(E4057="FUTURE",VLOOKUP(MID(I4057,2,2),Futures!$A$2:$B$12,2),1),"")</f>
        <v/>
      </c>
      <c r="S4057" s="13">
        <f>IF(AND(H4057="TO CLOSE",P4057=0),-G4057*(M4057-R4056)*IF(E4057="FUTURE",VLOOKUP(MID(I4057,2,2),Futures!$A$2:$B$12,2),1),"")</f>
        <v>51.500000000000057</v>
      </c>
    </row>
    <row r="4058" spans="1:19" x14ac:dyDescent="0.2">
      <c r="A4058">
        <f t="shared" si="211"/>
        <v>1353</v>
      </c>
      <c r="B4058" s="3">
        <v>44265</v>
      </c>
      <c r="C4058" s="3" t="str">
        <f t="shared" ref="C4058:C4070" si="214">IF(WEEKDAY(B4058,2)=1,"Monday",IF(WEEKDAY(B4058,2)=2,"Tuesday",IF(WEEKDAY(B4058,2)=3,"Wednesday",IF(WEEKDAY(B4058,2)=4,"Thursday",IF(WEEKDAY(B4058,2)=5,"Friday","Sunday")))))</f>
        <v>Wednesday</v>
      </c>
      <c r="D4058" s="2">
        <v>0.39346064814814818</v>
      </c>
      <c r="E4058" t="s">
        <v>14</v>
      </c>
      <c r="F4058" t="s">
        <v>15</v>
      </c>
      <c r="G4058">
        <v>-1</v>
      </c>
      <c r="H4058" t="s">
        <v>20</v>
      </c>
      <c r="I4058" t="s">
        <v>98</v>
      </c>
      <c r="J4058" s="1">
        <v>44307</v>
      </c>
      <c r="L4058" t="s">
        <v>14</v>
      </c>
      <c r="M4058">
        <v>64.599999999999994</v>
      </c>
      <c r="N4058">
        <v>64.599999999999994</v>
      </c>
      <c r="O4058" t="s">
        <v>21</v>
      </c>
      <c r="P4058">
        <f t="shared" si="212"/>
        <v>-1</v>
      </c>
      <c r="Q4058" s="11">
        <f>IF(P4058=0,0,IFERROR(Q4057+G4058*M4058*IF(E4058="FUTURE",VLOOKUP(MID(I4058,2,2),Futures!$A$2:$B$12,2),1),G4058*M4058*IF(E4058="FUTURE",VLOOKUP(MID(I4058,2,2),Futures!$A$2:$B$12,2),1)))</f>
        <v>-64599.999999999993</v>
      </c>
      <c r="R4058" s="12">
        <f>IFERROR(Q4058/P4058/IF(E4058="FUTURE",VLOOKUP(MID(I4058,2,2),Futures!$A$2:$B$12,2),1),"")</f>
        <v>64.599999999999994</v>
      </c>
      <c r="S4058" s="13" t="str">
        <f>IF(AND(H4058="TO CLOSE",P4058=0),-G4058*(M4058-R4057)*IF(E4058="FUTURE",VLOOKUP(MID(I4058,2,2),Futures!$A$2:$B$12,2),1),"")</f>
        <v/>
      </c>
    </row>
    <row r="4059" spans="1:19" x14ac:dyDescent="0.2">
      <c r="A4059">
        <f t="shared" si="211"/>
        <v>1353</v>
      </c>
      <c r="B4059" s="3">
        <v>44265</v>
      </c>
      <c r="C4059" s="3" t="str">
        <f t="shared" si="214"/>
        <v>Wednesday</v>
      </c>
      <c r="D4059" s="2">
        <v>0.39518518518518514</v>
      </c>
      <c r="E4059" t="s">
        <v>14</v>
      </c>
      <c r="F4059" t="s">
        <v>19</v>
      </c>
      <c r="G4059">
        <v>1</v>
      </c>
      <c r="H4059" t="s">
        <v>16</v>
      </c>
      <c r="I4059" t="s">
        <v>98</v>
      </c>
      <c r="J4059" s="1">
        <v>44307</v>
      </c>
      <c r="L4059" t="s">
        <v>14</v>
      </c>
      <c r="M4059">
        <v>64.28</v>
      </c>
      <c r="N4059">
        <v>64.28</v>
      </c>
      <c r="O4059" t="s">
        <v>21</v>
      </c>
      <c r="P4059">
        <f t="shared" si="212"/>
        <v>0</v>
      </c>
      <c r="Q4059" s="11">
        <f>IF(P4059=0,0,IFERROR(Q4058+G4059*M4059*IF(E4059="FUTURE",VLOOKUP(MID(I4059,2,2),Futures!$A$2:$B$12,2),1),G4059*M4059*IF(E4059="FUTURE",VLOOKUP(MID(I4059,2,2),Futures!$A$2:$B$12,2),1)))</f>
        <v>0</v>
      </c>
      <c r="R4059" s="12" t="str">
        <f>IFERROR(Q4059/P4059/IF(E4059="FUTURE",VLOOKUP(MID(I4059,2,2),Futures!$A$2:$B$12,2),1),"")</f>
        <v/>
      </c>
      <c r="S4059" s="13">
        <f>IF(AND(H4059="TO CLOSE",P4059=0),-G4059*(M4059-R4058)*IF(E4059="FUTURE",VLOOKUP(MID(I4059,2,2),Futures!$A$2:$B$12,2),1),"")</f>
        <v>319.99999999999318</v>
      </c>
    </row>
    <row r="4060" spans="1:19" x14ac:dyDescent="0.2">
      <c r="A4060">
        <f t="shared" si="211"/>
        <v>1354</v>
      </c>
      <c r="B4060" s="3">
        <v>44265</v>
      </c>
      <c r="C4060" s="3" t="str">
        <f t="shared" si="214"/>
        <v>Wednesday</v>
      </c>
      <c r="D4060" s="2">
        <v>0.45723379629629629</v>
      </c>
      <c r="E4060" t="s">
        <v>14</v>
      </c>
      <c r="F4060" t="s">
        <v>15</v>
      </c>
      <c r="G4060">
        <v>-1</v>
      </c>
      <c r="H4060" t="s">
        <v>20</v>
      </c>
      <c r="I4060" t="s">
        <v>98</v>
      </c>
      <c r="J4060" s="1">
        <v>44307</v>
      </c>
      <c r="L4060" t="s">
        <v>14</v>
      </c>
      <c r="M4060">
        <v>64.22</v>
      </c>
      <c r="N4060">
        <v>64.22</v>
      </c>
      <c r="O4060" t="s">
        <v>21</v>
      </c>
      <c r="P4060">
        <f t="shared" si="212"/>
        <v>-1</v>
      </c>
      <c r="Q4060" s="11">
        <f>IF(P4060=0,0,IFERROR(Q4059+G4060*M4060*IF(E4060="FUTURE",VLOOKUP(MID(I4060,2,2),Futures!$A$2:$B$12,2),1),G4060*M4060*IF(E4060="FUTURE",VLOOKUP(MID(I4060,2,2),Futures!$A$2:$B$12,2),1)))</f>
        <v>-64220</v>
      </c>
      <c r="R4060" s="12">
        <f>IFERROR(Q4060/P4060/IF(E4060="FUTURE",VLOOKUP(MID(I4060,2,2),Futures!$A$2:$B$12,2),1),"")</f>
        <v>64.22</v>
      </c>
      <c r="S4060" s="13" t="str">
        <f>IF(AND(H4060="TO CLOSE",P4060=0),-G4060*(M4060-R4059)*IF(E4060="FUTURE",VLOOKUP(MID(I4060,2,2),Futures!$A$2:$B$12,2),1),"")</f>
        <v/>
      </c>
    </row>
    <row r="4061" spans="1:19" x14ac:dyDescent="0.2">
      <c r="A4061">
        <f t="shared" si="211"/>
        <v>1354</v>
      </c>
      <c r="B4061" s="3">
        <v>44265</v>
      </c>
      <c r="C4061" s="3" t="str">
        <f t="shared" si="214"/>
        <v>Wednesday</v>
      </c>
      <c r="D4061" s="2">
        <v>0.45803240740740742</v>
      </c>
      <c r="E4061" t="s">
        <v>14</v>
      </c>
      <c r="F4061" t="s">
        <v>19</v>
      </c>
      <c r="G4061">
        <v>1</v>
      </c>
      <c r="H4061" t="s">
        <v>16</v>
      </c>
      <c r="I4061" t="s">
        <v>98</v>
      </c>
      <c r="J4061" s="1">
        <v>44307</v>
      </c>
      <c r="L4061" t="s">
        <v>14</v>
      </c>
      <c r="M4061">
        <v>64.14</v>
      </c>
      <c r="N4061">
        <v>64.14</v>
      </c>
      <c r="O4061" t="s">
        <v>24</v>
      </c>
      <c r="P4061">
        <f t="shared" si="212"/>
        <v>0</v>
      </c>
      <c r="Q4061" s="11">
        <f>IF(P4061=0,0,IFERROR(Q4060+G4061*M4061*IF(E4061="FUTURE",VLOOKUP(MID(I4061,2,2),Futures!$A$2:$B$12,2),1),G4061*M4061*IF(E4061="FUTURE",VLOOKUP(MID(I4061,2,2),Futures!$A$2:$B$12,2),1)))</f>
        <v>0</v>
      </c>
      <c r="R4061" s="12" t="str">
        <f>IFERROR(Q4061/P4061/IF(E4061="FUTURE",VLOOKUP(MID(I4061,2,2),Futures!$A$2:$B$12,2),1),"")</f>
        <v/>
      </c>
      <c r="S4061" s="13">
        <f>IF(AND(H4061="TO CLOSE",P4061=0),-G4061*(M4061-R4060)*IF(E4061="FUTURE",VLOOKUP(MID(I4061,2,2),Futures!$A$2:$B$12,2),1),"")</f>
        <v>79.999999999998295</v>
      </c>
    </row>
    <row r="4062" spans="1:19" x14ac:dyDescent="0.2">
      <c r="A4062">
        <f t="shared" si="211"/>
        <v>1355</v>
      </c>
      <c r="B4062" s="3">
        <v>44265</v>
      </c>
      <c r="C4062" s="3" t="str">
        <f t="shared" si="214"/>
        <v>Wednesday</v>
      </c>
      <c r="D4062" s="2">
        <v>0.4230902777777778</v>
      </c>
      <c r="E4062" t="s">
        <v>14</v>
      </c>
      <c r="F4062" t="s">
        <v>15</v>
      </c>
      <c r="G4062">
        <v>-1</v>
      </c>
      <c r="H4062" t="s">
        <v>20</v>
      </c>
      <c r="I4062" t="s">
        <v>89</v>
      </c>
      <c r="J4062" s="1">
        <v>44276</v>
      </c>
      <c r="L4062" t="s">
        <v>14</v>
      </c>
      <c r="M4062">
        <v>3906.25</v>
      </c>
      <c r="N4062">
        <v>3906.25</v>
      </c>
      <c r="O4062" t="s">
        <v>21</v>
      </c>
      <c r="P4062">
        <f t="shared" si="212"/>
        <v>-1</v>
      </c>
      <c r="Q4062" s="11">
        <f>IF(P4062=0,0,IFERROR(Q4061+G4062*M4062*IF(E4062="FUTURE",VLOOKUP(MID(I4062,2,2),Futures!$A$2:$B$12,2),1),G4062*M4062*IF(E4062="FUTURE",VLOOKUP(MID(I4062,2,2),Futures!$A$2:$B$12,2),1)))</f>
        <v>-195312.5</v>
      </c>
      <c r="R4062" s="12">
        <f>IFERROR(Q4062/P4062/IF(E4062="FUTURE",VLOOKUP(MID(I4062,2,2),Futures!$A$2:$B$12,2),1),"")</f>
        <v>3906.25</v>
      </c>
      <c r="S4062" s="13" t="str">
        <f>IF(AND(H4062="TO CLOSE",P4062=0),-G4062*(M4062-R4061)*IF(E4062="FUTURE",VLOOKUP(MID(I4062,2,2),Futures!$A$2:$B$12,2),1),"")</f>
        <v/>
      </c>
    </row>
    <row r="4063" spans="1:19" x14ac:dyDescent="0.2">
      <c r="A4063">
        <f t="shared" si="211"/>
        <v>1355</v>
      </c>
      <c r="B4063" s="3">
        <v>44265</v>
      </c>
      <c r="C4063" s="3" t="str">
        <f t="shared" si="214"/>
        <v>Wednesday</v>
      </c>
      <c r="D4063" s="2">
        <v>0.42366898148148152</v>
      </c>
      <c r="E4063" t="s">
        <v>14</v>
      </c>
      <c r="F4063" t="s">
        <v>19</v>
      </c>
      <c r="G4063">
        <v>1</v>
      </c>
      <c r="H4063" t="s">
        <v>16</v>
      </c>
      <c r="I4063" t="s">
        <v>89</v>
      </c>
      <c r="J4063" s="1">
        <v>44276</v>
      </c>
      <c r="L4063" t="s">
        <v>14</v>
      </c>
      <c r="M4063">
        <v>3904.5</v>
      </c>
      <c r="N4063">
        <v>3904.5</v>
      </c>
      <c r="O4063" t="s">
        <v>21</v>
      </c>
      <c r="P4063">
        <f t="shared" si="212"/>
        <v>0</v>
      </c>
      <c r="Q4063" s="11">
        <f>IF(P4063=0,0,IFERROR(Q4062+G4063*M4063*IF(E4063="FUTURE",VLOOKUP(MID(I4063,2,2),Futures!$A$2:$B$12,2),1),G4063*M4063*IF(E4063="FUTURE",VLOOKUP(MID(I4063,2,2),Futures!$A$2:$B$12,2),1)))</f>
        <v>0</v>
      </c>
      <c r="R4063" s="12" t="str">
        <f>IFERROR(Q4063/P4063/IF(E4063="FUTURE",VLOOKUP(MID(I4063,2,2),Futures!$A$2:$B$12,2),1),"")</f>
        <v/>
      </c>
      <c r="S4063" s="13">
        <f>IF(AND(H4063="TO CLOSE",P4063=0),-G4063*(M4063-R4062)*IF(E4063="FUTURE",VLOOKUP(MID(I4063,2,2),Futures!$A$2:$B$12,2),1),"")</f>
        <v>87.5</v>
      </c>
    </row>
    <row r="4064" spans="1:19" x14ac:dyDescent="0.2">
      <c r="A4064">
        <f t="shared" si="211"/>
        <v>1356</v>
      </c>
      <c r="B4064" s="3">
        <v>44265</v>
      </c>
      <c r="C4064" s="3" t="str">
        <f t="shared" si="214"/>
        <v>Wednesday</v>
      </c>
      <c r="D4064" s="2">
        <v>0.44515046296296296</v>
      </c>
      <c r="E4064" t="s">
        <v>14</v>
      </c>
      <c r="F4064" t="s">
        <v>15</v>
      </c>
      <c r="G4064">
        <v>-2</v>
      </c>
      <c r="H4064" t="s">
        <v>20</v>
      </c>
      <c r="I4064" t="s">
        <v>94</v>
      </c>
      <c r="J4064" s="1">
        <v>44276</v>
      </c>
      <c r="L4064" t="s">
        <v>14</v>
      </c>
      <c r="M4064">
        <v>3884.75</v>
      </c>
      <c r="N4064">
        <v>3884.75</v>
      </c>
      <c r="O4064" t="s">
        <v>21</v>
      </c>
      <c r="P4064">
        <f t="shared" si="212"/>
        <v>-2</v>
      </c>
      <c r="Q4064" s="11">
        <f>IF(P4064=0,0,IFERROR(Q4063+G4064*M4064*IF(E4064="FUTURE",VLOOKUP(MID(I4064,2,2),Futures!$A$2:$B$12,2),1),G4064*M4064*IF(E4064="FUTURE",VLOOKUP(MID(I4064,2,2),Futures!$A$2:$B$12,2),1)))</f>
        <v>-38847.5</v>
      </c>
      <c r="R4064" s="12">
        <f>IFERROR(Q4064/P4064/IF(E4064="FUTURE",VLOOKUP(MID(I4064,2,2),Futures!$A$2:$B$12,2),1),"")</f>
        <v>3884.75</v>
      </c>
      <c r="S4064" s="13" t="str">
        <f>IF(AND(H4064="TO CLOSE",P4064=0),-G4064*(M4064-R4063)*IF(E4064="FUTURE",VLOOKUP(MID(I4064,2,2),Futures!$A$2:$B$12,2),1),"")</f>
        <v/>
      </c>
    </row>
    <row r="4065" spans="1:19" x14ac:dyDescent="0.2">
      <c r="A4065">
        <f t="shared" si="211"/>
        <v>1356</v>
      </c>
      <c r="B4065" s="3">
        <v>44265</v>
      </c>
      <c r="C4065" s="3" t="str">
        <f t="shared" si="214"/>
        <v>Wednesday</v>
      </c>
      <c r="D4065" s="2">
        <v>0.4458333333333333</v>
      </c>
      <c r="E4065" t="s">
        <v>14</v>
      </c>
      <c r="F4065" t="s">
        <v>15</v>
      </c>
      <c r="G4065">
        <v>-1</v>
      </c>
      <c r="H4065" t="s">
        <v>20</v>
      </c>
      <c r="I4065" t="s">
        <v>94</v>
      </c>
      <c r="J4065" s="1">
        <v>44276</v>
      </c>
      <c r="L4065" t="s">
        <v>14</v>
      </c>
      <c r="M4065">
        <v>3890.75</v>
      </c>
      <c r="N4065">
        <v>3890.75</v>
      </c>
      <c r="O4065" t="s">
        <v>21</v>
      </c>
      <c r="P4065">
        <f t="shared" si="212"/>
        <v>-3</v>
      </c>
      <c r="Q4065" s="11">
        <f>IF(P4065=0,0,IFERROR(Q4064+G4065*M4065*IF(E4065="FUTURE",VLOOKUP(MID(I4065,2,2),Futures!$A$2:$B$12,2),1),G4065*M4065*IF(E4065="FUTURE",VLOOKUP(MID(I4065,2,2),Futures!$A$2:$B$12,2),1)))</f>
        <v>-58301.25</v>
      </c>
      <c r="R4065" s="12">
        <f>IFERROR(Q4065/P4065/IF(E4065="FUTURE",VLOOKUP(MID(I4065,2,2),Futures!$A$2:$B$12,2),1),"")</f>
        <v>3886.75</v>
      </c>
      <c r="S4065" s="13" t="str">
        <f>IF(AND(H4065="TO CLOSE",P4065=0),-G4065*(M4065-R4064)*IF(E4065="FUTURE",VLOOKUP(MID(I4065,2,2),Futures!$A$2:$B$12,2),1),"")</f>
        <v/>
      </c>
    </row>
    <row r="4066" spans="1:19" x14ac:dyDescent="0.2">
      <c r="A4066">
        <f t="shared" si="211"/>
        <v>1356</v>
      </c>
      <c r="B4066" s="3">
        <v>44265</v>
      </c>
      <c r="C4066" s="3" t="str">
        <f t="shared" si="214"/>
        <v>Wednesday</v>
      </c>
      <c r="D4066" s="2">
        <v>0.48</v>
      </c>
      <c r="E4066" t="s">
        <v>14</v>
      </c>
      <c r="F4066" t="s">
        <v>15</v>
      </c>
      <c r="G4066">
        <v>-1</v>
      </c>
      <c r="H4066" t="s">
        <v>20</v>
      </c>
      <c r="I4066" t="s">
        <v>94</v>
      </c>
      <c r="J4066" s="1">
        <v>44276</v>
      </c>
      <c r="L4066" t="s">
        <v>14</v>
      </c>
      <c r="M4066">
        <v>3902.75</v>
      </c>
      <c r="N4066">
        <v>3902.75</v>
      </c>
      <c r="O4066" t="s">
        <v>21</v>
      </c>
      <c r="P4066">
        <f t="shared" si="212"/>
        <v>-4</v>
      </c>
      <c r="Q4066" s="11">
        <f>IF(P4066=0,0,IFERROR(Q4065+G4066*M4066*IF(E4066="FUTURE",VLOOKUP(MID(I4066,2,2),Futures!$A$2:$B$12,2),1),G4066*M4066*IF(E4066="FUTURE",VLOOKUP(MID(I4066,2,2),Futures!$A$2:$B$12,2),1)))</f>
        <v>-77815</v>
      </c>
      <c r="R4066" s="12">
        <f>IFERROR(Q4066/P4066/IF(E4066="FUTURE",VLOOKUP(MID(I4066,2,2),Futures!$A$2:$B$12,2),1),"")</f>
        <v>3890.75</v>
      </c>
      <c r="S4066" s="13" t="str">
        <f>IF(AND(H4066="TO CLOSE",P4066=0),-G4066*(M4066-R4065)*IF(E4066="FUTURE",VLOOKUP(MID(I4066,2,2),Futures!$A$2:$B$12,2),1),"")</f>
        <v/>
      </c>
    </row>
    <row r="4067" spans="1:19" x14ac:dyDescent="0.2">
      <c r="A4067">
        <f t="shared" si="211"/>
        <v>1356</v>
      </c>
      <c r="B4067" s="3">
        <v>44265</v>
      </c>
      <c r="C4067" s="3" t="str">
        <f t="shared" si="214"/>
        <v>Wednesday</v>
      </c>
      <c r="D4067" s="2">
        <v>0.48792824074074076</v>
      </c>
      <c r="E4067" t="s">
        <v>14</v>
      </c>
      <c r="F4067" t="s">
        <v>19</v>
      </c>
      <c r="G4067">
        <v>1</v>
      </c>
      <c r="H4067" t="s">
        <v>16</v>
      </c>
      <c r="I4067" t="s">
        <v>94</v>
      </c>
      <c r="J4067" s="1">
        <v>44276</v>
      </c>
      <c r="L4067" t="s">
        <v>14</v>
      </c>
      <c r="M4067">
        <v>3896</v>
      </c>
      <c r="N4067">
        <v>3896</v>
      </c>
      <c r="O4067" t="s">
        <v>21</v>
      </c>
      <c r="P4067">
        <f t="shared" si="212"/>
        <v>-3</v>
      </c>
      <c r="Q4067" s="11">
        <f>IF(P4067=0,0,IFERROR(Q4066+G4067*M4067*IF(E4067="FUTURE",VLOOKUP(MID(I4067,2,2),Futures!$A$2:$B$12,2),1),G4067*M4067*IF(E4067="FUTURE",VLOOKUP(MID(I4067,2,2),Futures!$A$2:$B$12,2),1)))</f>
        <v>-58335</v>
      </c>
      <c r="R4067" s="12">
        <f>IFERROR(Q4067/P4067/IF(E4067="FUTURE",VLOOKUP(MID(I4067,2,2),Futures!$A$2:$B$12,2),1),"")</f>
        <v>3889</v>
      </c>
      <c r="S4067" s="13" t="str">
        <f>IF(AND(H4067="TO CLOSE",P4067=0),-G4067*(M4067-R4066)*IF(E4067="FUTURE",VLOOKUP(MID(I4067,2,2),Futures!$A$2:$B$12,2),1),"")</f>
        <v/>
      </c>
    </row>
    <row r="4068" spans="1:19" x14ac:dyDescent="0.2">
      <c r="A4068">
        <f t="shared" si="211"/>
        <v>1356</v>
      </c>
      <c r="B4068" s="3">
        <v>44265</v>
      </c>
      <c r="C4068" s="3" t="str">
        <f t="shared" si="214"/>
        <v>Wednesday</v>
      </c>
      <c r="D4068" s="2">
        <v>0.54706018518518518</v>
      </c>
      <c r="E4068" t="s">
        <v>14</v>
      </c>
      <c r="F4068" t="s">
        <v>19</v>
      </c>
      <c r="G4068">
        <v>1</v>
      </c>
      <c r="H4068" t="s">
        <v>16</v>
      </c>
      <c r="I4068" t="s">
        <v>94</v>
      </c>
      <c r="J4068" s="1">
        <v>44276</v>
      </c>
      <c r="L4068" t="s">
        <v>14</v>
      </c>
      <c r="M4068">
        <v>3901.5</v>
      </c>
      <c r="N4068">
        <v>3901.5</v>
      </c>
      <c r="O4068" t="s">
        <v>21</v>
      </c>
      <c r="P4068">
        <f t="shared" si="212"/>
        <v>-2</v>
      </c>
      <c r="Q4068" s="11">
        <f>IF(P4068=0,0,IFERROR(Q4067+G4068*M4068*IF(E4068="FUTURE",VLOOKUP(MID(I4068,2,2),Futures!$A$2:$B$12,2),1),G4068*M4068*IF(E4068="FUTURE",VLOOKUP(MID(I4068,2,2),Futures!$A$2:$B$12,2),1)))</f>
        <v>-38827.5</v>
      </c>
      <c r="R4068" s="12">
        <f>IFERROR(Q4068/P4068/IF(E4068="FUTURE",VLOOKUP(MID(I4068,2,2),Futures!$A$2:$B$12,2),1),"")</f>
        <v>3882.75</v>
      </c>
      <c r="S4068" s="13" t="str">
        <f>IF(AND(H4068="TO CLOSE",P4068=0),-G4068*(M4068-R4067)*IF(E4068="FUTURE",VLOOKUP(MID(I4068,2,2),Futures!$A$2:$B$12,2),1),"")</f>
        <v/>
      </c>
    </row>
    <row r="4069" spans="1:19" x14ac:dyDescent="0.2">
      <c r="A4069">
        <f t="shared" si="211"/>
        <v>1356</v>
      </c>
      <c r="B4069" s="3">
        <v>44265</v>
      </c>
      <c r="C4069" s="3" t="str">
        <f t="shared" si="214"/>
        <v>Wednesday</v>
      </c>
      <c r="D4069" s="2">
        <v>0.5803935185185185</v>
      </c>
      <c r="E4069" t="s">
        <v>14</v>
      </c>
      <c r="F4069" t="s">
        <v>19</v>
      </c>
      <c r="G4069">
        <v>1</v>
      </c>
      <c r="H4069" t="s">
        <v>16</v>
      </c>
      <c r="I4069" t="s">
        <v>94</v>
      </c>
      <c r="J4069" s="1">
        <v>44276</v>
      </c>
      <c r="L4069" t="s">
        <v>14</v>
      </c>
      <c r="M4069">
        <v>3901</v>
      </c>
      <c r="N4069">
        <v>3901</v>
      </c>
      <c r="O4069" t="s">
        <v>24</v>
      </c>
      <c r="P4069">
        <f t="shared" si="212"/>
        <v>-1</v>
      </c>
      <c r="Q4069" s="11">
        <f>IF(P4069=0,0,IFERROR(Q4068+G4069*M4069*IF(E4069="FUTURE",VLOOKUP(MID(I4069,2,2),Futures!$A$2:$B$12,2),1),G4069*M4069*IF(E4069="FUTURE",VLOOKUP(MID(I4069,2,2),Futures!$A$2:$B$12,2),1)))</f>
        <v>-19322.5</v>
      </c>
      <c r="R4069" s="12">
        <f>IFERROR(Q4069/P4069/IF(E4069="FUTURE",VLOOKUP(MID(I4069,2,2),Futures!$A$2:$B$12,2),1),"")</f>
        <v>3864.5</v>
      </c>
      <c r="S4069" s="13" t="str">
        <f>IF(AND(H4069="TO CLOSE",P4069=0),-G4069*(M4069-R4068)*IF(E4069="FUTURE",VLOOKUP(MID(I4069,2,2),Futures!$A$2:$B$12,2),1),"")</f>
        <v/>
      </c>
    </row>
    <row r="4070" spans="1:19" x14ac:dyDescent="0.2">
      <c r="A4070">
        <f t="shared" si="211"/>
        <v>1356</v>
      </c>
      <c r="B4070" s="3">
        <v>44265</v>
      </c>
      <c r="C4070" s="3" t="str">
        <f t="shared" si="214"/>
        <v>Wednesday</v>
      </c>
      <c r="D4070" s="2">
        <v>0.58137731481481481</v>
      </c>
      <c r="E4070" t="s">
        <v>14</v>
      </c>
      <c r="F4070" t="s">
        <v>19</v>
      </c>
      <c r="G4070">
        <v>1</v>
      </c>
      <c r="H4070" t="s">
        <v>16</v>
      </c>
      <c r="I4070" t="s">
        <v>94</v>
      </c>
      <c r="J4070" s="1">
        <v>44276</v>
      </c>
      <c r="L4070" t="s">
        <v>14</v>
      </c>
      <c r="M4070">
        <v>3902.25</v>
      </c>
      <c r="N4070">
        <v>3902.25</v>
      </c>
      <c r="O4070" t="s">
        <v>18</v>
      </c>
      <c r="P4070">
        <f t="shared" si="212"/>
        <v>0</v>
      </c>
      <c r="Q4070" s="11">
        <f>IF(P4070=0,0,IFERROR(Q4069+G4070*M4070*IF(E4070="FUTURE",VLOOKUP(MID(I4070,2,2),Futures!$A$2:$B$12,2),1),G4070*M4070*IF(E4070="FUTURE",VLOOKUP(MID(I4070,2,2),Futures!$A$2:$B$12,2),1)))</f>
        <v>0</v>
      </c>
      <c r="R4070" s="12" t="str">
        <f>IFERROR(Q4070/P4070/IF(E4070="FUTURE",VLOOKUP(MID(I4070,2,2),Futures!$A$2:$B$12,2),1),"")</f>
        <v/>
      </c>
      <c r="S4070" s="13">
        <f>IF(AND(H4070="TO CLOSE",P4070=0),-G4070*(M4070-R4069)*IF(E4070="FUTURE",VLOOKUP(MID(I4070,2,2),Futures!$A$2:$B$12,2),1),"")</f>
        <v>-188.75</v>
      </c>
    </row>
    <row r="4071" spans="1:19" x14ac:dyDescent="0.2">
      <c r="A4071">
        <f t="shared" si="211"/>
        <v>1357</v>
      </c>
      <c r="B4071" s="3">
        <v>44266</v>
      </c>
      <c r="C4071" s="3" t="str">
        <f t="shared" ref="C4071:C4080" si="215">IF(WEEKDAY(B4071,2)=1,"Monday",IF(WEEKDAY(B4071,2)=2,"Tuesday",IF(WEEKDAY(B4071,2)=3,"Wednesday",IF(WEEKDAY(B4071,2)=4,"Thursday",IF(WEEKDAY(B4071,2)=5,"Friday","Sunday")))))</f>
        <v>Thursday</v>
      </c>
      <c r="D4071" s="2">
        <v>0.3898726851851852</v>
      </c>
      <c r="E4071" t="s">
        <v>14</v>
      </c>
      <c r="F4071" t="s">
        <v>15</v>
      </c>
      <c r="G4071">
        <v>-1</v>
      </c>
      <c r="H4071" t="s">
        <v>20</v>
      </c>
      <c r="I4071" t="s">
        <v>98</v>
      </c>
      <c r="J4071" s="1">
        <v>44307</v>
      </c>
      <c r="L4071" t="s">
        <v>14</v>
      </c>
      <c r="M4071">
        <v>65.23</v>
      </c>
      <c r="N4071">
        <v>65.23</v>
      </c>
      <c r="O4071" t="s">
        <v>21</v>
      </c>
      <c r="P4071">
        <f t="shared" si="212"/>
        <v>-1</v>
      </c>
      <c r="Q4071" s="11">
        <f>IF(P4071=0,0,IFERROR(Q4070+G4071*M4071*IF(E4071="FUTURE",VLOOKUP(MID(I4071,2,2),Futures!$A$2:$B$12,2),1),G4071*M4071*IF(E4071="FUTURE",VLOOKUP(MID(I4071,2,2),Futures!$A$2:$B$12,2),1)))</f>
        <v>-65230.000000000007</v>
      </c>
      <c r="R4071" s="12">
        <f>IFERROR(Q4071/P4071/IF(E4071="FUTURE",VLOOKUP(MID(I4071,2,2),Futures!$A$2:$B$12,2),1),"")</f>
        <v>65.23</v>
      </c>
      <c r="S4071" s="13" t="str">
        <f>IF(AND(H4071="TO CLOSE",P4071=0),-G4071*(M4071-R4070)*IF(E4071="FUTURE",VLOOKUP(MID(I4071,2,2),Futures!$A$2:$B$12,2),1),"")</f>
        <v/>
      </c>
    </row>
    <row r="4072" spans="1:19" x14ac:dyDescent="0.2">
      <c r="A4072">
        <f t="shared" si="211"/>
        <v>1357</v>
      </c>
      <c r="B4072" s="3">
        <v>44266</v>
      </c>
      <c r="C4072" s="3" t="str">
        <f t="shared" si="215"/>
        <v>Thursday</v>
      </c>
      <c r="D4072" s="2">
        <v>0.39601851851851855</v>
      </c>
      <c r="E4072" t="s">
        <v>14</v>
      </c>
      <c r="F4072" t="s">
        <v>19</v>
      </c>
      <c r="G4072">
        <v>1</v>
      </c>
      <c r="H4072" t="s">
        <v>16</v>
      </c>
      <c r="I4072" t="s">
        <v>98</v>
      </c>
      <c r="J4072" s="1">
        <v>44307</v>
      </c>
      <c r="L4072" t="s">
        <v>14</v>
      </c>
      <c r="M4072">
        <v>65.05</v>
      </c>
      <c r="N4072">
        <v>65.05</v>
      </c>
      <c r="O4072" t="s">
        <v>21</v>
      </c>
      <c r="P4072">
        <f t="shared" si="212"/>
        <v>0</v>
      </c>
      <c r="Q4072" s="11">
        <f>IF(P4072=0,0,IFERROR(Q4071+G4072*M4072*IF(E4072="FUTURE",VLOOKUP(MID(I4072,2,2),Futures!$A$2:$B$12,2),1),G4072*M4072*IF(E4072="FUTURE",VLOOKUP(MID(I4072,2,2),Futures!$A$2:$B$12,2),1)))</f>
        <v>0</v>
      </c>
      <c r="R4072" s="12" t="str">
        <f>IFERROR(Q4072/P4072/IF(E4072="FUTURE",VLOOKUP(MID(I4072,2,2),Futures!$A$2:$B$12,2),1),"")</f>
        <v/>
      </c>
      <c r="S4072" s="13">
        <f>IF(AND(H4072="TO CLOSE",P4072=0),-G4072*(M4072-R4071)*IF(E4072="FUTURE",VLOOKUP(MID(I4072,2,2),Futures!$A$2:$B$12,2),1),"")</f>
        <v>180.00000000000682</v>
      </c>
    </row>
    <row r="4073" spans="1:19" x14ac:dyDescent="0.2">
      <c r="A4073">
        <f t="shared" si="211"/>
        <v>1358</v>
      </c>
      <c r="B4073" s="3">
        <v>44266</v>
      </c>
      <c r="C4073" s="3" t="str">
        <f t="shared" si="215"/>
        <v>Thursday</v>
      </c>
      <c r="D4073" s="2">
        <v>0.44724537037037032</v>
      </c>
      <c r="E4073" t="s">
        <v>14</v>
      </c>
      <c r="F4073" t="s">
        <v>15</v>
      </c>
      <c r="G4073">
        <v>-1</v>
      </c>
      <c r="H4073" t="s">
        <v>20</v>
      </c>
      <c r="I4073" t="s">
        <v>98</v>
      </c>
      <c r="J4073" s="1">
        <v>44307</v>
      </c>
      <c r="L4073" t="s">
        <v>14</v>
      </c>
      <c r="M4073">
        <v>65.59</v>
      </c>
      <c r="N4073">
        <v>65.59</v>
      </c>
      <c r="O4073" t="s">
        <v>21</v>
      </c>
      <c r="P4073">
        <f t="shared" si="212"/>
        <v>-1</v>
      </c>
      <c r="Q4073" s="11">
        <f>IF(P4073=0,0,IFERROR(Q4072+G4073*M4073*IF(E4073="FUTURE",VLOOKUP(MID(I4073,2,2),Futures!$A$2:$B$12,2),1),G4073*M4073*IF(E4073="FUTURE",VLOOKUP(MID(I4073,2,2),Futures!$A$2:$B$12,2),1)))</f>
        <v>-65590</v>
      </c>
      <c r="R4073" s="12">
        <f>IFERROR(Q4073/P4073/IF(E4073="FUTURE",VLOOKUP(MID(I4073,2,2),Futures!$A$2:$B$12,2),1),"")</f>
        <v>65.59</v>
      </c>
      <c r="S4073" s="13" t="str">
        <f>IF(AND(H4073="TO CLOSE",P4073=0),-G4073*(M4073-R4072)*IF(E4073="FUTURE",VLOOKUP(MID(I4073,2,2),Futures!$A$2:$B$12,2),1),"")</f>
        <v/>
      </c>
    </row>
    <row r="4074" spans="1:19" x14ac:dyDescent="0.2">
      <c r="A4074">
        <f t="shared" si="211"/>
        <v>1358</v>
      </c>
      <c r="B4074" s="3">
        <v>44266</v>
      </c>
      <c r="C4074" s="3" t="str">
        <f t="shared" si="215"/>
        <v>Thursday</v>
      </c>
      <c r="D4074" s="2">
        <v>0.46482638888888889</v>
      </c>
      <c r="E4074" t="s">
        <v>14</v>
      </c>
      <c r="F4074" t="s">
        <v>19</v>
      </c>
      <c r="G4074">
        <v>1</v>
      </c>
      <c r="H4074" t="s">
        <v>16</v>
      </c>
      <c r="I4074" t="s">
        <v>98</v>
      </c>
      <c r="J4074" s="1">
        <v>44307</v>
      </c>
      <c r="L4074" t="s">
        <v>14</v>
      </c>
      <c r="M4074">
        <v>65.41</v>
      </c>
      <c r="N4074">
        <v>65.41</v>
      </c>
      <c r="O4074" t="s">
        <v>21</v>
      </c>
      <c r="P4074">
        <f t="shared" si="212"/>
        <v>0</v>
      </c>
      <c r="Q4074" s="11">
        <f>IF(P4074=0,0,IFERROR(Q4073+G4074*M4074*IF(E4074="FUTURE",VLOOKUP(MID(I4074,2,2),Futures!$A$2:$B$12,2),1),G4074*M4074*IF(E4074="FUTURE",VLOOKUP(MID(I4074,2,2),Futures!$A$2:$B$12,2),1)))</f>
        <v>0</v>
      </c>
      <c r="R4074" s="12" t="str">
        <f>IFERROR(Q4074/P4074/IF(E4074="FUTURE",VLOOKUP(MID(I4074,2,2),Futures!$A$2:$B$12,2),1),"")</f>
        <v/>
      </c>
      <c r="S4074" s="13">
        <f>IF(AND(H4074="TO CLOSE",P4074=0),-G4074*(M4074-R4073)*IF(E4074="FUTURE",VLOOKUP(MID(I4074,2,2),Futures!$A$2:$B$12,2),1),"")</f>
        <v>180.00000000000682</v>
      </c>
    </row>
    <row r="4075" spans="1:19" x14ac:dyDescent="0.2">
      <c r="A4075">
        <f t="shared" si="211"/>
        <v>1359</v>
      </c>
      <c r="B4075" s="3">
        <v>44266</v>
      </c>
      <c r="C4075" s="3" t="str">
        <f t="shared" si="215"/>
        <v>Thursday</v>
      </c>
      <c r="D4075" s="2">
        <v>0.40028935185185183</v>
      </c>
      <c r="E4075" t="s">
        <v>14</v>
      </c>
      <c r="F4075" t="s">
        <v>19</v>
      </c>
      <c r="G4075">
        <v>1</v>
      </c>
      <c r="H4075" t="s">
        <v>20</v>
      </c>
      <c r="I4075" t="s">
        <v>89</v>
      </c>
      <c r="J4075" s="1">
        <v>44276</v>
      </c>
      <c r="L4075" t="s">
        <v>14</v>
      </c>
      <c r="M4075">
        <v>3922.25</v>
      </c>
      <c r="N4075">
        <v>3922.25</v>
      </c>
      <c r="O4075" t="s">
        <v>24</v>
      </c>
      <c r="P4075">
        <f t="shared" si="212"/>
        <v>1</v>
      </c>
      <c r="Q4075" s="11">
        <f>IF(P4075=0,0,IFERROR(Q4074+G4075*M4075*IF(E4075="FUTURE",VLOOKUP(MID(I4075,2,2),Futures!$A$2:$B$12,2),1),G4075*M4075*IF(E4075="FUTURE",VLOOKUP(MID(I4075,2,2),Futures!$A$2:$B$12,2),1)))</f>
        <v>196112.5</v>
      </c>
      <c r="R4075" s="12">
        <f>IFERROR(Q4075/P4075/IF(E4075="FUTURE",VLOOKUP(MID(I4075,2,2),Futures!$A$2:$B$12,2),1),"")</f>
        <v>3922.25</v>
      </c>
      <c r="S4075" s="13" t="str">
        <f>IF(AND(H4075="TO CLOSE",P4075=0),-G4075*(M4075-R4074)*IF(E4075="FUTURE",VLOOKUP(MID(I4075,2,2),Futures!$A$2:$B$12,2),1),"")</f>
        <v/>
      </c>
    </row>
    <row r="4076" spans="1:19" x14ac:dyDescent="0.2">
      <c r="A4076">
        <f t="shared" si="211"/>
        <v>1359</v>
      </c>
      <c r="B4076" s="3">
        <v>44266</v>
      </c>
      <c r="C4076" s="3" t="str">
        <f t="shared" si="215"/>
        <v>Thursday</v>
      </c>
      <c r="D4076" s="2">
        <v>0.4007060185185185</v>
      </c>
      <c r="E4076" t="s">
        <v>14</v>
      </c>
      <c r="F4076" t="s">
        <v>15</v>
      </c>
      <c r="G4076">
        <v>-1</v>
      </c>
      <c r="H4076" t="s">
        <v>16</v>
      </c>
      <c r="I4076" t="s">
        <v>89</v>
      </c>
      <c r="J4076" s="1">
        <v>44276</v>
      </c>
      <c r="L4076" t="s">
        <v>14</v>
      </c>
      <c r="M4076">
        <v>3924.5</v>
      </c>
      <c r="N4076">
        <v>3924.5</v>
      </c>
      <c r="O4076" t="s">
        <v>21</v>
      </c>
      <c r="P4076">
        <f t="shared" si="212"/>
        <v>0</v>
      </c>
      <c r="Q4076" s="11">
        <f>IF(P4076=0,0,IFERROR(Q4075+G4076*M4076*IF(E4076="FUTURE",VLOOKUP(MID(I4076,2,2),Futures!$A$2:$B$12,2),1),G4076*M4076*IF(E4076="FUTURE",VLOOKUP(MID(I4076,2,2),Futures!$A$2:$B$12,2),1)))</f>
        <v>0</v>
      </c>
      <c r="R4076" s="12" t="str">
        <f>IFERROR(Q4076/P4076/IF(E4076="FUTURE",VLOOKUP(MID(I4076,2,2),Futures!$A$2:$B$12,2),1),"")</f>
        <v/>
      </c>
      <c r="S4076" s="13">
        <f>IF(AND(H4076="TO CLOSE",P4076=0),-G4076*(M4076-R4075)*IF(E4076="FUTURE",VLOOKUP(MID(I4076,2,2),Futures!$A$2:$B$12,2),1),"")</f>
        <v>112.5</v>
      </c>
    </row>
    <row r="4077" spans="1:19" x14ac:dyDescent="0.2">
      <c r="A4077">
        <f t="shared" si="211"/>
        <v>1360</v>
      </c>
      <c r="B4077" s="3">
        <v>44266</v>
      </c>
      <c r="C4077" s="3" t="str">
        <f t="shared" si="215"/>
        <v>Thursday</v>
      </c>
      <c r="D4077" s="2">
        <v>0.43155092592592598</v>
      </c>
      <c r="E4077" t="s">
        <v>14</v>
      </c>
      <c r="F4077" t="s">
        <v>15</v>
      </c>
      <c r="G4077">
        <v>-1</v>
      </c>
      <c r="H4077" t="s">
        <v>20</v>
      </c>
      <c r="I4077" t="s">
        <v>89</v>
      </c>
      <c r="J4077" s="1">
        <v>44276</v>
      </c>
      <c r="L4077" t="s">
        <v>14</v>
      </c>
      <c r="M4077">
        <v>3925.75</v>
      </c>
      <c r="N4077">
        <v>3925.75</v>
      </c>
      <c r="O4077" t="s">
        <v>21</v>
      </c>
      <c r="P4077">
        <f t="shared" si="212"/>
        <v>-1</v>
      </c>
      <c r="Q4077" s="11">
        <f>IF(P4077=0,0,IFERROR(Q4076+G4077*M4077*IF(E4077="FUTURE",VLOOKUP(MID(I4077,2,2),Futures!$A$2:$B$12,2),1),G4077*M4077*IF(E4077="FUTURE",VLOOKUP(MID(I4077,2,2),Futures!$A$2:$B$12,2),1)))</f>
        <v>-196287.5</v>
      </c>
      <c r="R4077" s="12">
        <f>IFERROR(Q4077/P4077/IF(E4077="FUTURE",VLOOKUP(MID(I4077,2,2),Futures!$A$2:$B$12,2),1),"")</f>
        <v>3925.75</v>
      </c>
      <c r="S4077" s="13" t="str">
        <f>IF(AND(H4077="TO CLOSE",P4077=0),-G4077*(M4077-R4076)*IF(E4077="FUTURE",VLOOKUP(MID(I4077,2,2),Futures!$A$2:$B$12,2),1),"")</f>
        <v/>
      </c>
    </row>
    <row r="4078" spans="1:19" x14ac:dyDescent="0.2">
      <c r="A4078">
        <f t="shared" si="211"/>
        <v>1360</v>
      </c>
      <c r="B4078" s="3">
        <v>44266</v>
      </c>
      <c r="C4078" s="3" t="str">
        <f t="shared" si="215"/>
        <v>Thursday</v>
      </c>
      <c r="D4078" s="2">
        <v>0.57034722222222223</v>
      </c>
      <c r="E4078" t="s">
        <v>14</v>
      </c>
      <c r="F4078" t="s">
        <v>19</v>
      </c>
      <c r="G4078">
        <v>1</v>
      </c>
      <c r="H4078" t="s">
        <v>16</v>
      </c>
      <c r="I4078" t="s">
        <v>89</v>
      </c>
      <c r="J4078" s="1">
        <v>44276</v>
      </c>
      <c r="L4078" t="s">
        <v>14</v>
      </c>
      <c r="M4078">
        <v>3951.25</v>
      </c>
      <c r="N4078">
        <v>3951.25</v>
      </c>
      <c r="O4078" t="s">
        <v>24</v>
      </c>
      <c r="P4078">
        <f t="shared" si="212"/>
        <v>0</v>
      </c>
      <c r="Q4078" s="11">
        <f>IF(P4078=0,0,IFERROR(Q4077+G4078*M4078*IF(E4078="FUTURE",VLOOKUP(MID(I4078,2,2),Futures!$A$2:$B$12,2),1),G4078*M4078*IF(E4078="FUTURE",VLOOKUP(MID(I4078,2,2),Futures!$A$2:$B$12,2),1)))</f>
        <v>0</v>
      </c>
      <c r="R4078" s="12" t="str">
        <f>IFERROR(Q4078/P4078/IF(E4078="FUTURE",VLOOKUP(MID(I4078,2,2),Futures!$A$2:$B$12,2),1),"")</f>
        <v/>
      </c>
      <c r="S4078" s="13">
        <f>IF(AND(H4078="TO CLOSE",P4078=0),-G4078*(M4078-R4077)*IF(E4078="FUTURE",VLOOKUP(MID(I4078,2,2),Futures!$A$2:$B$12,2),1),"")</f>
        <v>-1275</v>
      </c>
    </row>
    <row r="4079" spans="1:19" x14ac:dyDescent="0.2">
      <c r="A4079">
        <f t="shared" si="211"/>
        <v>1361</v>
      </c>
      <c r="B4079" s="3">
        <v>44266</v>
      </c>
      <c r="C4079" s="3" t="str">
        <f t="shared" si="215"/>
        <v>Thursday</v>
      </c>
      <c r="D4079" s="2">
        <v>0.4692013888888889</v>
      </c>
      <c r="E4079" t="s">
        <v>14</v>
      </c>
      <c r="F4079" t="s">
        <v>15</v>
      </c>
      <c r="G4079">
        <v>-4</v>
      </c>
      <c r="H4079" t="s">
        <v>20</v>
      </c>
      <c r="I4079" t="s">
        <v>94</v>
      </c>
      <c r="J4079" s="1">
        <v>44276</v>
      </c>
      <c r="L4079" t="s">
        <v>14</v>
      </c>
      <c r="M4079">
        <v>3949</v>
      </c>
      <c r="N4079">
        <v>3949</v>
      </c>
      <c r="O4079" t="s">
        <v>24</v>
      </c>
      <c r="P4079">
        <f t="shared" si="212"/>
        <v>-4</v>
      </c>
      <c r="Q4079" s="11">
        <f>IF(P4079=0,0,IFERROR(Q4078+G4079*M4079*IF(E4079="FUTURE",VLOOKUP(MID(I4079,2,2),Futures!$A$2:$B$12,2),1),G4079*M4079*IF(E4079="FUTURE",VLOOKUP(MID(I4079,2,2),Futures!$A$2:$B$12,2),1)))</f>
        <v>-78980</v>
      </c>
      <c r="R4079" s="12">
        <f>IFERROR(Q4079/P4079/IF(E4079="FUTURE",VLOOKUP(MID(I4079,2,2),Futures!$A$2:$B$12,2),1),"")</f>
        <v>3949</v>
      </c>
      <c r="S4079" s="13" t="str">
        <f>IF(AND(H4079="TO CLOSE",P4079=0),-G4079*(M4079-R4078)*IF(E4079="FUTURE",VLOOKUP(MID(I4079,2,2),Futures!$A$2:$B$12,2),1),"")</f>
        <v/>
      </c>
    </row>
    <row r="4080" spans="1:19" x14ac:dyDescent="0.2">
      <c r="A4080">
        <f t="shared" si="211"/>
        <v>1361</v>
      </c>
      <c r="B4080" s="3">
        <v>44266</v>
      </c>
      <c r="C4080" s="3" t="str">
        <f t="shared" si="215"/>
        <v>Thursday</v>
      </c>
      <c r="D4080" s="2">
        <v>0.5703125</v>
      </c>
      <c r="E4080" t="s">
        <v>14</v>
      </c>
      <c r="F4080" t="s">
        <v>19</v>
      </c>
      <c r="G4080">
        <v>4</v>
      </c>
      <c r="H4080" t="s">
        <v>16</v>
      </c>
      <c r="I4080" t="s">
        <v>94</v>
      </c>
      <c r="J4080" s="1">
        <v>44276</v>
      </c>
      <c r="L4080" t="s">
        <v>14</v>
      </c>
      <c r="M4080">
        <v>3951.25</v>
      </c>
      <c r="N4080">
        <v>3951.25</v>
      </c>
      <c r="O4080" t="s">
        <v>18</v>
      </c>
      <c r="P4080">
        <f t="shared" si="212"/>
        <v>0</v>
      </c>
      <c r="Q4080" s="11">
        <f>IF(P4080=0,0,IFERROR(Q4079+G4080*M4080*IF(E4080="FUTURE",VLOOKUP(MID(I4080,2,2),Futures!$A$2:$B$12,2),1),G4080*M4080*IF(E4080="FUTURE",VLOOKUP(MID(I4080,2,2),Futures!$A$2:$B$12,2),1)))</f>
        <v>0</v>
      </c>
      <c r="R4080" s="12" t="str">
        <f>IFERROR(Q4080/P4080/IF(E4080="FUTURE",VLOOKUP(MID(I4080,2,2),Futures!$A$2:$B$12,2),1),"")</f>
        <v/>
      </c>
      <c r="S4080" s="13">
        <f>IF(AND(H4080="TO CLOSE",P4080=0),-G4080*(M4080-R4079)*IF(E4080="FUTURE",VLOOKUP(MID(I4080,2,2),Futures!$A$2:$B$12,2),1),"")</f>
        <v>-45</v>
      </c>
    </row>
    <row r="4081" spans="1:19" x14ac:dyDescent="0.2">
      <c r="A4081">
        <f t="shared" si="211"/>
        <v>1362</v>
      </c>
      <c r="B4081" s="3">
        <v>44267</v>
      </c>
      <c r="C4081" s="3" t="str">
        <f t="shared" ref="C4081:C4092" si="216">IF(WEEKDAY(B4081,2)=1,"Monday",IF(WEEKDAY(B4081,2)=2,"Tuesday",IF(WEEKDAY(B4081,2)=3,"Wednesday",IF(WEEKDAY(B4081,2)=4,"Thursday",IF(WEEKDAY(B4081,2)=5,"Friday","Sunday")))))</f>
        <v>Friday</v>
      </c>
      <c r="D4081" s="2">
        <v>0.3689351851851852</v>
      </c>
      <c r="E4081" t="s">
        <v>14</v>
      </c>
      <c r="F4081" t="s">
        <v>15</v>
      </c>
      <c r="G4081">
        <v>-1</v>
      </c>
      <c r="H4081" t="s">
        <v>20</v>
      </c>
      <c r="I4081" t="s">
        <v>98</v>
      </c>
      <c r="J4081" s="1">
        <v>44307</v>
      </c>
      <c r="L4081" t="s">
        <v>14</v>
      </c>
      <c r="M4081">
        <v>65.849999999999994</v>
      </c>
      <c r="N4081">
        <v>65.849999999999994</v>
      </c>
      <c r="O4081" t="s">
        <v>21</v>
      </c>
      <c r="P4081">
        <f t="shared" si="212"/>
        <v>-1</v>
      </c>
      <c r="Q4081" s="11">
        <f>IF(P4081=0,0,IFERROR(Q4080+G4081*M4081*IF(E4081="FUTURE",VLOOKUP(MID(I4081,2,2),Futures!$A$2:$B$12,2),1),G4081*M4081*IF(E4081="FUTURE",VLOOKUP(MID(I4081,2,2),Futures!$A$2:$B$12,2),1)))</f>
        <v>-65850</v>
      </c>
      <c r="R4081" s="12">
        <f>IFERROR(Q4081/P4081/IF(E4081="FUTURE",VLOOKUP(MID(I4081,2,2),Futures!$A$2:$B$12,2),1),"")</f>
        <v>65.849999999999994</v>
      </c>
      <c r="S4081" s="13" t="str">
        <f>IF(AND(H4081="TO CLOSE",P4081=0),-G4081*(M4081-R4080)*IF(E4081="FUTURE",VLOOKUP(MID(I4081,2,2),Futures!$A$2:$B$12,2),1),"")</f>
        <v/>
      </c>
    </row>
    <row r="4082" spans="1:19" x14ac:dyDescent="0.2">
      <c r="A4082">
        <f t="shared" si="211"/>
        <v>1362</v>
      </c>
      <c r="B4082" s="3">
        <v>44267</v>
      </c>
      <c r="C4082" s="3" t="str">
        <f t="shared" si="216"/>
        <v>Friday</v>
      </c>
      <c r="D4082" s="2">
        <v>0.37526620370370373</v>
      </c>
      <c r="E4082" t="s">
        <v>14</v>
      </c>
      <c r="F4082" t="s">
        <v>19</v>
      </c>
      <c r="G4082">
        <v>1</v>
      </c>
      <c r="H4082" t="s">
        <v>16</v>
      </c>
      <c r="I4082" t="s">
        <v>98</v>
      </c>
      <c r="J4082" s="1">
        <v>44307</v>
      </c>
      <c r="L4082" t="s">
        <v>14</v>
      </c>
      <c r="M4082">
        <v>65.739999999999995</v>
      </c>
      <c r="N4082">
        <v>65.739999999999995</v>
      </c>
      <c r="O4082" t="s">
        <v>24</v>
      </c>
      <c r="P4082">
        <f t="shared" si="212"/>
        <v>0</v>
      </c>
      <c r="Q4082" s="11">
        <f>IF(P4082=0,0,IFERROR(Q4081+G4082*M4082*IF(E4082="FUTURE",VLOOKUP(MID(I4082,2,2),Futures!$A$2:$B$12,2),1),G4082*M4082*IF(E4082="FUTURE",VLOOKUP(MID(I4082,2,2),Futures!$A$2:$B$12,2),1)))</f>
        <v>0</v>
      </c>
      <c r="R4082" s="12" t="str">
        <f>IFERROR(Q4082/P4082/IF(E4082="FUTURE",VLOOKUP(MID(I4082,2,2),Futures!$A$2:$B$12,2),1),"")</f>
        <v/>
      </c>
      <c r="S4082" s="13">
        <f>IF(AND(H4082="TO CLOSE",P4082=0),-G4082*(M4082-R4081)*IF(E4082="FUTURE",VLOOKUP(MID(I4082,2,2),Futures!$A$2:$B$12,2),1),"")</f>
        <v>109.99999999999943</v>
      </c>
    </row>
    <row r="4083" spans="1:19" x14ac:dyDescent="0.2">
      <c r="A4083">
        <f t="shared" si="211"/>
        <v>1363</v>
      </c>
      <c r="B4083" s="3">
        <v>44267</v>
      </c>
      <c r="C4083" s="3" t="str">
        <f t="shared" si="216"/>
        <v>Friday</v>
      </c>
      <c r="D4083" s="2">
        <v>0.39189814814814811</v>
      </c>
      <c r="E4083" t="s">
        <v>14</v>
      </c>
      <c r="F4083" t="s">
        <v>15</v>
      </c>
      <c r="G4083">
        <v>-1</v>
      </c>
      <c r="H4083" t="s">
        <v>20</v>
      </c>
      <c r="I4083" t="s">
        <v>98</v>
      </c>
      <c r="J4083" s="1">
        <v>44307</v>
      </c>
      <c r="L4083" t="s">
        <v>14</v>
      </c>
      <c r="M4083">
        <v>65.7</v>
      </c>
      <c r="N4083">
        <v>65.7</v>
      </c>
      <c r="O4083" t="s">
        <v>21</v>
      </c>
      <c r="P4083">
        <f t="shared" si="212"/>
        <v>-1</v>
      </c>
      <c r="Q4083" s="11">
        <f>IF(P4083=0,0,IFERROR(Q4082+G4083*M4083*IF(E4083="FUTURE",VLOOKUP(MID(I4083,2,2),Futures!$A$2:$B$12,2),1),G4083*M4083*IF(E4083="FUTURE",VLOOKUP(MID(I4083,2,2),Futures!$A$2:$B$12,2),1)))</f>
        <v>-65700</v>
      </c>
      <c r="R4083" s="12">
        <f>IFERROR(Q4083/P4083/IF(E4083="FUTURE",VLOOKUP(MID(I4083,2,2),Futures!$A$2:$B$12,2),1),"")</f>
        <v>65.7</v>
      </c>
      <c r="S4083" s="13" t="str">
        <f>IF(AND(H4083="TO CLOSE",P4083=0),-G4083*(M4083-R4082)*IF(E4083="FUTURE",VLOOKUP(MID(I4083,2,2),Futures!$A$2:$B$12,2),1),"")</f>
        <v/>
      </c>
    </row>
    <row r="4084" spans="1:19" x14ac:dyDescent="0.2">
      <c r="A4084">
        <f t="shared" si="211"/>
        <v>1363</v>
      </c>
      <c r="B4084" s="3">
        <v>44267</v>
      </c>
      <c r="C4084" s="3" t="str">
        <f t="shared" si="216"/>
        <v>Friday</v>
      </c>
      <c r="D4084" s="2">
        <v>0.39512731481481483</v>
      </c>
      <c r="E4084" t="s">
        <v>14</v>
      </c>
      <c r="F4084" t="s">
        <v>19</v>
      </c>
      <c r="G4084">
        <v>1</v>
      </c>
      <c r="H4084" t="s">
        <v>16</v>
      </c>
      <c r="I4084" t="s">
        <v>98</v>
      </c>
      <c r="J4084" s="1">
        <v>44307</v>
      </c>
      <c r="L4084" t="s">
        <v>14</v>
      </c>
      <c r="M4084">
        <v>65.69</v>
      </c>
      <c r="N4084">
        <v>65.69</v>
      </c>
      <c r="O4084" t="s">
        <v>21</v>
      </c>
      <c r="P4084">
        <f t="shared" si="212"/>
        <v>0</v>
      </c>
      <c r="Q4084" s="11">
        <f>IF(P4084=0,0,IFERROR(Q4083+G4084*M4084*IF(E4084="FUTURE",VLOOKUP(MID(I4084,2,2),Futures!$A$2:$B$12,2),1),G4084*M4084*IF(E4084="FUTURE",VLOOKUP(MID(I4084,2,2),Futures!$A$2:$B$12,2),1)))</f>
        <v>0</v>
      </c>
      <c r="R4084" s="12" t="str">
        <f>IFERROR(Q4084/P4084/IF(E4084="FUTURE",VLOOKUP(MID(I4084,2,2),Futures!$A$2:$B$12,2),1),"")</f>
        <v/>
      </c>
      <c r="S4084" s="13">
        <f>IF(AND(H4084="TO CLOSE",P4084=0),-G4084*(M4084-R4083)*IF(E4084="FUTURE",VLOOKUP(MID(I4084,2,2),Futures!$A$2:$B$12,2),1),"")</f>
        <v>10.000000000005116</v>
      </c>
    </row>
    <row r="4085" spans="1:19" x14ac:dyDescent="0.2">
      <c r="A4085">
        <f t="shared" si="211"/>
        <v>1364</v>
      </c>
      <c r="B4085" s="3">
        <v>44267</v>
      </c>
      <c r="C4085" s="3" t="str">
        <f t="shared" si="216"/>
        <v>Friday</v>
      </c>
      <c r="D4085" s="2">
        <v>0.40196759259259257</v>
      </c>
      <c r="E4085" t="s">
        <v>14</v>
      </c>
      <c r="F4085" t="s">
        <v>15</v>
      </c>
      <c r="G4085">
        <v>-1</v>
      </c>
      <c r="H4085" t="s">
        <v>20</v>
      </c>
      <c r="I4085" t="s">
        <v>98</v>
      </c>
      <c r="J4085" s="1">
        <v>44307</v>
      </c>
      <c r="L4085" t="s">
        <v>14</v>
      </c>
      <c r="M4085">
        <v>65.760000000000005</v>
      </c>
      <c r="N4085">
        <v>65.760000000000005</v>
      </c>
      <c r="O4085" t="s">
        <v>21</v>
      </c>
      <c r="P4085">
        <f t="shared" si="212"/>
        <v>-1</v>
      </c>
      <c r="Q4085" s="11">
        <f>IF(P4085=0,0,IFERROR(Q4084+G4085*M4085*IF(E4085="FUTURE",VLOOKUP(MID(I4085,2,2),Futures!$A$2:$B$12,2),1),G4085*M4085*IF(E4085="FUTURE",VLOOKUP(MID(I4085,2,2),Futures!$A$2:$B$12,2),1)))</f>
        <v>-65760</v>
      </c>
      <c r="R4085" s="12">
        <f>IFERROR(Q4085/P4085/IF(E4085="FUTURE",VLOOKUP(MID(I4085,2,2),Futures!$A$2:$B$12,2),1),"")</f>
        <v>65.760000000000005</v>
      </c>
      <c r="S4085" s="13" t="str">
        <f>IF(AND(H4085="TO CLOSE",P4085=0),-G4085*(M4085-R4084)*IF(E4085="FUTURE",VLOOKUP(MID(I4085,2,2),Futures!$A$2:$B$12,2),1),"")</f>
        <v/>
      </c>
    </row>
    <row r="4086" spans="1:19" x14ac:dyDescent="0.2">
      <c r="A4086">
        <f t="shared" si="211"/>
        <v>1364</v>
      </c>
      <c r="B4086" s="3">
        <v>44267</v>
      </c>
      <c r="C4086" s="3" t="str">
        <f t="shared" si="216"/>
        <v>Friday</v>
      </c>
      <c r="D4086" s="2">
        <v>0.40302083333333333</v>
      </c>
      <c r="E4086" t="s">
        <v>14</v>
      </c>
      <c r="F4086" t="s">
        <v>19</v>
      </c>
      <c r="G4086">
        <v>1</v>
      </c>
      <c r="H4086" t="s">
        <v>16</v>
      </c>
      <c r="I4086" t="s">
        <v>98</v>
      </c>
      <c r="J4086" s="1">
        <v>44307</v>
      </c>
      <c r="L4086" t="s">
        <v>14</v>
      </c>
      <c r="M4086">
        <v>65.760000000000005</v>
      </c>
      <c r="N4086">
        <v>65.760000000000005</v>
      </c>
      <c r="O4086" t="s">
        <v>18</v>
      </c>
      <c r="P4086">
        <f t="shared" si="212"/>
        <v>0</v>
      </c>
      <c r="Q4086" s="11">
        <f>IF(P4086=0,0,IFERROR(Q4085+G4086*M4086*IF(E4086="FUTURE",VLOOKUP(MID(I4086,2,2),Futures!$A$2:$B$12,2),1),G4086*M4086*IF(E4086="FUTURE",VLOOKUP(MID(I4086,2,2),Futures!$A$2:$B$12,2),1)))</f>
        <v>0</v>
      </c>
      <c r="R4086" s="12" t="str">
        <f>IFERROR(Q4086/P4086/IF(E4086="FUTURE",VLOOKUP(MID(I4086,2,2),Futures!$A$2:$B$12,2),1),"")</f>
        <v/>
      </c>
      <c r="S4086" s="13">
        <f>IF(AND(H4086="TO CLOSE",P4086=0),-G4086*(M4086-R4085)*IF(E4086="FUTURE",VLOOKUP(MID(I4086,2,2),Futures!$A$2:$B$12,2),1),"")</f>
        <v>0</v>
      </c>
    </row>
    <row r="4087" spans="1:19" x14ac:dyDescent="0.2">
      <c r="A4087">
        <f t="shared" si="211"/>
        <v>1365</v>
      </c>
      <c r="B4087" s="3">
        <v>44267</v>
      </c>
      <c r="C4087" s="3" t="str">
        <f t="shared" si="216"/>
        <v>Friday</v>
      </c>
      <c r="D4087" s="2">
        <v>0.40008101851851857</v>
      </c>
      <c r="E4087" t="s">
        <v>14</v>
      </c>
      <c r="F4087" t="s">
        <v>15</v>
      </c>
      <c r="G4087">
        <v>-1</v>
      </c>
      <c r="H4087" t="s">
        <v>20</v>
      </c>
      <c r="I4087" t="s">
        <v>101</v>
      </c>
      <c r="J4087" s="1">
        <v>44368</v>
      </c>
      <c r="L4087" t="s">
        <v>14</v>
      </c>
      <c r="M4087">
        <v>3909.5</v>
      </c>
      <c r="N4087">
        <v>3909.5</v>
      </c>
      <c r="O4087" t="s">
        <v>21</v>
      </c>
      <c r="P4087">
        <f t="shared" si="212"/>
        <v>-1</v>
      </c>
      <c r="Q4087" s="11">
        <f>IF(P4087=0,0,IFERROR(Q4086+G4087*M4087*IF(E4087="FUTURE",VLOOKUP(MID(I4087,2,2),Futures!$A$2:$B$12,2),1),G4087*M4087*IF(E4087="FUTURE",VLOOKUP(MID(I4087,2,2),Futures!$A$2:$B$12,2),1)))</f>
        <v>-195475</v>
      </c>
      <c r="R4087" s="12">
        <f>IFERROR(Q4087/P4087/IF(E4087="FUTURE",VLOOKUP(MID(I4087,2,2),Futures!$A$2:$B$12,2),1),"")</f>
        <v>3909.5</v>
      </c>
      <c r="S4087" s="13" t="str">
        <f>IF(AND(H4087="TO CLOSE",P4087=0),-G4087*(M4087-R4086)*IF(E4087="FUTURE",VLOOKUP(MID(I4087,2,2),Futures!$A$2:$B$12,2),1),"")</f>
        <v/>
      </c>
    </row>
    <row r="4088" spans="1:19" x14ac:dyDescent="0.2">
      <c r="A4088">
        <f t="shared" si="211"/>
        <v>1365</v>
      </c>
      <c r="B4088" s="3">
        <v>44267</v>
      </c>
      <c r="C4088" s="3" t="str">
        <f t="shared" si="216"/>
        <v>Friday</v>
      </c>
      <c r="D4088" s="2">
        <v>0.4004861111111111</v>
      </c>
      <c r="E4088" t="s">
        <v>14</v>
      </c>
      <c r="F4088" t="s">
        <v>19</v>
      </c>
      <c r="G4088">
        <v>1</v>
      </c>
      <c r="H4088" t="s">
        <v>16</v>
      </c>
      <c r="I4088" t="s">
        <v>101</v>
      </c>
      <c r="J4088" s="1">
        <v>44368</v>
      </c>
      <c r="L4088" t="s">
        <v>14</v>
      </c>
      <c r="M4088">
        <v>3909.75</v>
      </c>
      <c r="N4088">
        <v>3909.75</v>
      </c>
      <c r="O4088" t="s">
        <v>18</v>
      </c>
      <c r="P4088">
        <f t="shared" si="212"/>
        <v>0</v>
      </c>
      <c r="Q4088" s="11">
        <f>IF(P4088=0,0,IFERROR(Q4087+G4088*M4088*IF(E4088="FUTURE",VLOOKUP(MID(I4088,2,2),Futures!$A$2:$B$12,2),1),G4088*M4088*IF(E4088="FUTURE",VLOOKUP(MID(I4088,2,2),Futures!$A$2:$B$12,2),1)))</f>
        <v>0</v>
      </c>
      <c r="R4088" s="12" t="str">
        <f>IFERROR(Q4088/P4088/IF(E4088="FUTURE",VLOOKUP(MID(I4088,2,2),Futures!$A$2:$B$12,2),1),"")</f>
        <v/>
      </c>
      <c r="S4088" s="13">
        <f>IF(AND(H4088="TO CLOSE",P4088=0),-G4088*(M4088-R4087)*IF(E4088="FUTURE",VLOOKUP(MID(I4088,2,2),Futures!$A$2:$B$12,2),1),"")</f>
        <v>-12.5</v>
      </c>
    </row>
    <row r="4089" spans="1:19" x14ac:dyDescent="0.2">
      <c r="A4089">
        <f t="shared" si="211"/>
        <v>1366</v>
      </c>
      <c r="B4089" s="3">
        <v>44267</v>
      </c>
      <c r="C4089" s="3" t="str">
        <f t="shared" si="216"/>
        <v>Friday</v>
      </c>
      <c r="D4089" s="2">
        <v>0.40722222222222221</v>
      </c>
      <c r="E4089" t="s">
        <v>14</v>
      </c>
      <c r="F4089" t="s">
        <v>19</v>
      </c>
      <c r="G4089">
        <v>4</v>
      </c>
      <c r="H4089" t="s">
        <v>20</v>
      </c>
      <c r="I4089" t="s">
        <v>100</v>
      </c>
      <c r="J4089" s="1">
        <v>44368</v>
      </c>
      <c r="L4089" t="s">
        <v>14</v>
      </c>
      <c r="M4089">
        <v>3917</v>
      </c>
      <c r="N4089">
        <v>3917</v>
      </c>
      <c r="O4089" t="s">
        <v>21</v>
      </c>
      <c r="P4089">
        <f t="shared" si="212"/>
        <v>4</v>
      </c>
      <c r="Q4089" s="11">
        <f>IF(P4089=0,0,IFERROR(Q4088+G4089*M4089*IF(E4089="FUTURE",VLOOKUP(MID(I4089,2,2),Futures!$A$2:$B$12,2),1),G4089*M4089*IF(E4089="FUTURE",VLOOKUP(MID(I4089,2,2),Futures!$A$2:$B$12,2),1)))</f>
        <v>78340</v>
      </c>
      <c r="R4089" s="12">
        <f>IFERROR(Q4089/P4089/IF(E4089="FUTURE",VLOOKUP(MID(I4089,2,2),Futures!$A$2:$B$12,2),1),"")</f>
        <v>3917</v>
      </c>
      <c r="S4089" s="13" t="str">
        <f>IF(AND(H4089="TO CLOSE",P4089=0),-G4089*(M4089-R4088)*IF(E4089="FUTURE",VLOOKUP(MID(I4089,2,2),Futures!$A$2:$B$12,2),1),"")</f>
        <v/>
      </c>
    </row>
    <row r="4090" spans="1:19" x14ac:dyDescent="0.2">
      <c r="A4090">
        <f t="shared" si="211"/>
        <v>1366</v>
      </c>
      <c r="B4090" s="3">
        <v>44267</v>
      </c>
      <c r="C4090" s="3" t="str">
        <f t="shared" si="216"/>
        <v>Friday</v>
      </c>
      <c r="D4090" s="2">
        <v>0.41385416666666663</v>
      </c>
      <c r="E4090" t="s">
        <v>14</v>
      </c>
      <c r="F4090" t="s">
        <v>15</v>
      </c>
      <c r="G4090">
        <v>-2</v>
      </c>
      <c r="H4090" t="s">
        <v>16</v>
      </c>
      <c r="I4090" t="s">
        <v>100</v>
      </c>
      <c r="J4090" s="1">
        <v>44368</v>
      </c>
      <c r="L4090" t="s">
        <v>14</v>
      </c>
      <c r="M4090">
        <v>3920</v>
      </c>
      <c r="N4090">
        <v>3920</v>
      </c>
      <c r="O4090" t="s">
        <v>21</v>
      </c>
      <c r="P4090">
        <f t="shared" si="212"/>
        <v>2</v>
      </c>
      <c r="Q4090" s="11">
        <f>IF(P4090=0,0,IFERROR(Q4089+G4090*M4090*IF(E4090="FUTURE",VLOOKUP(MID(I4090,2,2),Futures!$A$2:$B$12,2),1),G4090*M4090*IF(E4090="FUTURE",VLOOKUP(MID(I4090,2,2),Futures!$A$2:$B$12,2),1)))</f>
        <v>39140</v>
      </c>
      <c r="R4090" s="12">
        <f>IFERROR(Q4090/P4090/IF(E4090="FUTURE",VLOOKUP(MID(I4090,2,2),Futures!$A$2:$B$12,2),1),"")</f>
        <v>3914</v>
      </c>
      <c r="S4090" s="13" t="str">
        <f>IF(AND(H4090="TO CLOSE",P4090=0),-G4090*(M4090-R4089)*IF(E4090="FUTURE",VLOOKUP(MID(I4090,2,2),Futures!$A$2:$B$12,2),1),"")</f>
        <v/>
      </c>
    </row>
    <row r="4091" spans="1:19" x14ac:dyDescent="0.2">
      <c r="A4091">
        <f t="shared" si="211"/>
        <v>1366</v>
      </c>
      <c r="B4091" s="3">
        <v>44267</v>
      </c>
      <c r="C4091" s="3" t="str">
        <f t="shared" si="216"/>
        <v>Friday</v>
      </c>
      <c r="D4091" s="2">
        <v>0.41478009259259258</v>
      </c>
      <c r="E4091" t="s">
        <v>14</v>
      </c>
      <c r="F4091" t="s">
        <v>15</v>
      </c>
      <c r="G4091">
        <v>-1</v>
      </c>
      <c r="H4091" t="s">
        <v>16</v>
      </c>
      <c r="I4091" t="s">
        <v>100</v>
      </c>
      <c r="J4091" s="1">
        <v>44368</v>
      </c>
      <c r="L4091" t="s">
        <v>14</v>
      </c>
      <c r="M4091">
        <v>3920.5</v>
      </c>
      <c r="N4091">
        <v>3920.5</v>
      </c>
      <c r="O4091" t="s">
        <v>21</v>
      </c>
      <c r="P4091">
        <f t="shared" si="212"/>
        <v>1</v>
      </c>
      <c r="Q4091" s="11">
        <f>IF(P4091=0,0,IFERROR(Q4090+G4091*M4091*IF(E4091="FUTURE",VLOOKUP(MID(I4091,2,2),Futures!$A$2:$B$12,2),1),G4091*M4091*IF(E4091="FUTURE",VLOOKUP(MID(I4091,2,2),Futures!$A$2:$B$12,2),1)))</f>
        <v>19537.5</v>
      </c>
      <c r="R4091" s="12">
        <f>IFERROR(Q4091/P4091/IF(E4091="FUTURE",VLOOKUP(MID(I4091,2,2),Futures!$A$2:$B$12,2),1),"")</f>
        <v>3907.5</v>
      </c>
      <c r="S4091" s="13" t="str">
        <f>IF(AND(H4091="TO CLOSE",P4091=0),-G4091*(M4091-R4090)*IF(E4091="FUTURE",VLOOKUP(MID(I4091,2,2),Futures!$A$2:$B$12,2),1),"")</f>
        <v/>
      </c>
    </row>
    <row r="4092" spans="1:19" x14ac:dyDescent="0.2">
      <c r="A4092">
        <f t="shared" si="211"/>
        <v>1366</v>
      </c>
      <c r="B4092" s="3">
        <v>44267</v>
      </c>
      <c r="C4092" s="3" t="str">
        <f t="shared" si="216"/>
        <v>Friday</v>
      </c>
      <c r="D4092" s="2">
        <v>0.41670138888888886</v>
      </c>
      <c r="E4092" t="s">
        <v>14</v>
      </c>
      <c r="F4092" t="s">
        <v>15</v>
      </c>
      <c r="G4092">
        <v>-1</v>
      </c>
      <c r="H4092" t="s">
        <v>16</v>
      </c>
      <c r="I4092" t="s">
        <v>100</v>
      </c>
      <c r="J4092" s="1">
        <v>44368</v>
      </c>
      <c r="L4092" t="s">
        <v>14</v>
      </c>
      <c r="M4092">
        <v>3922.25</v>
      </c>
      <c r="N4092">
        <v>3922.25</v>
      </c>
      <c r="O4092" t="s">
        <v>21</v>
      </c>
      <c r="P4092">
        <f t="shared" si="212"/>
        <v>0</v>
      </c>
      <c r="Q4092" s="11">
        <f>IF(P4092=0,0,IFERROR(Q4091+G4092*M4092*IF(E4092="FUTURE",VLOOKUP(MID(I4092,2,2),Futures!$A$2:$B$12,2),1),G4092*M4092*IF(E4092="FUTURE",VLOOKUP(MID(I4092,2,2),Futures!$A$2:$B$12,2),1)))</f>
        <v>0</v>
      </c>
      <c r="R4092" s="12" t="str">
        <f>IFERROR(Q4092/P4092/IF(E4092="FUTURE",VLOOKUP(MID(I4092,2,2),Futures!$A$2:$B$12,2),1),"")</f>
        <v/>
      </c>
      <c r="S4092" s="13">
        <f>IF(AND(H4092="TO CLOSE",P4092=0),-G4092*(M4092-R4091)*IF(E4092="FUTURE",VLOOKUP(MID(I4092,2,2),Futures!$A$2:$B$12,2),1),"")</f>
        <v>73.75</v>
      </c>
    </row>
    <row r="4093" spans="1:19" x14ac:dyDescent="0.2">
      <c r="A4093">
        <f t="shared" si="211"/>
        <v>1367</v>
      </c>
      <c r="B4093" s="3">
        <v>44270</v>
      </c>
      <c r="C4093" s="3" t="str">
        <f t="shared" ref="C4093:C4105" si="217">IF(WEEKDAY(B4093,2)=1,"Monday",IF(WEEKDAY(B4093,2)=2,"Tuesday",IF(WEEKDAY(B4093,2)=3,"Wednesday",IF(WEEKDAY(B4093,2)=4,"Thursday",IF(WEEKDAY(B4093,2)=5,"Friday","Sunday")))))</f>
        <v>Monday</v>
      </c>
      <c r="D4093" s="2">
        <v>0.39975694444444443</v>
      </c>
      <c r="E4093" t="s">
        <v>14</v>
      </c>
      <c r="F4093" t="s">
        <v>15</v>
      </c>
      <c r="G4093">
        <v>-1</v>
      </c>
      <c r="H4093" t="s">
        <v>20</v>
      </c>
      <c r="I4093" t="s">
        <v>98</v>
      </c>
      <c r="J4093" s="1">
        <v>44307</v>
      </c>
      <c r="L4093" t="s">
        <v>14</v>
      </c>
      <c r="M4093">
        <v>64.69</v>
      </c>
      <c r="N4093">
        <v>64.69</v>
      </c>
      <c r="O4093" t="s">
        <v>21</v>
      </c>
      <c r="P4093">
        <f t="shared" si="212"/>
        <v>-1</v>
      </c>
      <c r="Q4093" s="11">
        <f>IF(P4093=0,0,IFERROR(Q4092+G4093*M4093*IF(E4093="FUTURE",VLOOKUP(MID(I4093,2,2),Futures!$A$2:$B$12,2),1),G4093*M4093*IF(E4093="FUTURE",VLOOKUP(MID(I4093,2,2),Futures!$A$2:$B$12,2),1)))</f>
        <v>-64690</v>
      </c>
      <c r="R4093" s="12">
        <f>IFERROR(Q4093/P4093/IF(E4093="FUTURE",VLOOKUP(MID(I4093,2,2),Futures!$A$2:$B$12,2),1),"")</f>
        <v>64.69</v>
      </c>
      <c r="S4093" s="13" t="str">
        <f>IF(AND(H4093="TO CLOSE",P4093=0),-G4093*(M4093-R4092)*IF(E4093="FUTURE",VLOOKUP(MID(I4093,2,2),Futures!$A$2:$B$12,2),1),"")</f>
        <v/>
      </c>
    </row>
    <row r="4094" spans="1:19" x14ac:dyDescent="0.2">
      <c r="A4094">
        <f t="shared" si="211"/>
        <v>1367</v>
      </c>
      <c r="B4094" s="3">
        <v>44270</v>
      </c>
      <c r="C4094" s="3" t="str">
        <f t="shared" si="217"/>
        <v>Monday</v>
      </c>
      <c r="D4094" s="2">
        <v>0.40273148148148147</v>
      </c>
      <c r="E4094" t="s">
        <v>14</v>
      </c>
      <c r="F4094" t="s">
        <v>19</v>
      </c>
      <c r="G4094">
        <v>1</v>
      </c>
      <c r="H4094" t="s">
        <v>16</v>
      </c>
      <c r="I4094" t="s">
        <v>98</v>
      </c>
      <c r="J4094" s="1">
        <v>44307</v>
      </c>
      <c r="L4094" t="s">
        <v>14</v>
      </c>
      <c r="M4094">
        <v>64.64</v>
      </c>
      <c r="N4094">
        <v>64.64</v>
      </c>
      <c r="O4094" t="s">
        <v>21</v>
      </c>
      <c r="P4094">
        <f t="shared" si="212"/>
        <v>0</v>
      </c>
      <c r="Q4094" s="11">
        <f>IF(P4094=0,0,IFERROR(Q4093+G4094*M4094*IF(E4094="FUTURE",VLOOKUP(MID(I4094,2,2),Futures!$A$2:$B$12,2),1),G4094*M4094*IF(E4094="FUTURE",VLOOKUP(MID(I4094,2,2),Futures!$A$2:$B$12,2),1)))</f>
        <v>0</v>
      </c>
      <c r="R4094" s="12" t="str">
        <f>IFERROR(Q4094/P4094/IF(E4094="FUTURE",VLOOKUP(MID(I4094,2,2),Futures!$A$2:$B$12,2),1),"")</f>
        <v/>
      </c>
      <c r="S4094" s="13">
        <f>IF(AND(H4094="TO CLOSE",P4094=0),-G4094*(M4094-R4093)*IF(E4094="FUTURE",VLOOKUP(MID(I4094,2,2),Futures!$A$2:$B$12,2),1),"")</f>
        <v>49.999999999997158</v>
      </c>
    </row>
    <row r="4095" spans="1:19" x14ac:dyDescent="0.2">
      <c r="A4095">
        <f t="shared" si="211"/>
        <v>1368</v>
      </c>
      <c r="B4095" s="3">
        <v>44270</v>
      </c>
      <c r="C4095" s="3" t="str">
        <f t="shared" si="217"/>
        <v>Monday</v>
      </c>
      <c r="D4095" s="2">
        <v>0.41946759259259259</v>
      </c>
      <c r="E4095" t="s">
        <v>14</v>
      </c>
      <c r="F4095" t="s">
        <v>19</v>
      </c>
      <c r="G4095">
        <v>1</v>
      </c>
      <c r="H4095" t="s">
        <v>20</v>
      </c>
      <c r="I4095" t="s">
        <v>98</v>
      </c>
      <c r="J4095" s="1">
        <v>44307</v>
      </c>
      <c r="L4095" t="s">
        <v>14</v>
      </c>
      <c r="M4095">
        <v>64.37</v>
      </c>
      <c r="N4095">
        <v>64.37</v>
      </c>
      <c r="O4095" t="s">
        <v>21</v>
      </c>
      <c r="P4095">
        <f t="shared" si="212"/>
        <v>1</v>
      </c>
      <c r="Q4095" s="11">
        <f>IF(P4095=0,0,IFERROR(Q4094+G4095*M4095*IF(E4095="FUTURE",VLOOKUP(MID(I4095,2,2),Futures!$A$2:$B$12,2),1),G4095*M4095*IF(E4095="FUTURE",VLOOKUP(MID(I4095,2,2),Futures!$A$2:$B$12,2),1)))</f>
        <v>64370.000000000007</v>
      </c>
      <c r="R4095" s="12">
        <f>IFERROR(Q4095/P4095/IF(E4095="FUTURE",VLOOKUP(MID(I4095,2,2),Futures!$A$2:$B$12,2),1),"")</f>
        <v>64.37</v>
      </c>
      <c r="S4095" s="13" t="str">
        <f>IF(AND(H4095="TO CLOSE",P4095=0),-G4095*(M4095-R4094)*IF(E4095="FUTURE",VLOOKUP(MID(I4095,2,2),Futures!$A$2:$B$12,2),1),"")</f>
        <v/>
      </c>
    </row>
    <row r="4096" spans="1:19" x14ac:dyDescent="0.2">
      <c r="A4096">
        <f t="shared" si="211"/>
        <v>1368</v>
      </c>
      <c r="B4096" s="3">
        <v>44270</v>
      </c>
      <c r="C4096" s="3" t="str">
        <f t="shared" si="217"/>
        <v>Monday</v>
      </c>
      <c r="D4096" s="2">
        <v>0.42111111111111116</v>
      </c>
      <c r="E4096" t="s">
        <v>14</v>
      </c>
      <c r="F4096" t="s">
        <v>15</v>
      </c>
      <c r="G4096">
        <v>-1</v>
      </c>
      <c r="H4096" t="s">
        <v>16</v>
      </c>
      <c r="I4096" t="s">
        <v>98</v>
      </c>
      <c r="J4096" s="1">
        <v>44307</v>
      </c>
      <c r="L4096" t="s">
        <v>14</v>
      </c>
      <c r="M4096">
        <v>64.42</v>
      </c>
      <c r="N4096">
        <v>64.42</v>
      </c>
      <c r="O4096" t="s">
        <v>21</v>
      </c>
      <c r="P4096">
        <f t="shared" si="212"/>
        <v>0</v>
      </c>
      <c r="Q4096" s="11">
        <f>IF(P4096=0,0,IFERROR(Q4095+G4096*M4096*IF(E4096="FUTURE",VLOOKUP(MID(I4096,2,2),Futures!$A$2:$B$12,2),1),G4096*M4096*IF(E4096="FUTURE",VLOOKUP(MID(I4096,2,2),Futures!$A$2:$B$12,2),1)))</f>
        <v>0</v>
      </c>
      <c r="R4096" s="12" t="str">
        <f>IFERROR(Q4096/P4096/IF(E4096="FUTURE",VLOOKUP(MID(I4096,2,2),Futures!$A$2:$B$12,2),1),"")</f>
        <v/>
      </c>
      <c r="S4096" s="13">
        <f>IF(AND(H4096="TO CLOSE",P4096=0),-G4096*(M4096-R4095)*IF(E4096="FUTURE",VLOOKUP(MID(I4096,2,2),Futures!$A$2:$B$12,2),1),"")</f>
        <v>49.999999999997158</v>
      </c>
    </row>
    <row r="4097" spans="1:19" x14ac:dyDescent="0.2">
      <c r="A4097">
        <f t="shared" si="211"/>
        <v>1369</v>
      </c>
      <c r="B4097" s="3">
        <v>44270</v>
      </c>
      <c r="C4097" s="3" t="str">
        <f t="shared" si="217"/>
        <v>Monday</v>
      </c>
      <c r="D4097" s="2">
        <v>0.42416666666666664</v>
      </c>
      <c r="E4097" t="s">
        <v>14</v>
      </c>
      <c r="F4097" t="s">
        <v>19</v>
      </c>
      <c r="G4097">
        <v>1</v>
      </c>
      <c r="H4097" t="s">
        <v>20</v>
      </c>
      <c r="I4097" t="s">
        <v>98</v>
      </c>
      <c r="J4097" s="1">
        <v>44307</v>
      </c>
      <c r="L4097" t="s">
        <v>14</v>
      </c>
      <c r="M4097">
        <v>64.209999999999994</v>
      </c>
      <c r="N4097">
        <v>64.209999999999994</v>
      </c>
      <c r="O4097" t="s">
        <v>21</v>
      </c>
      <c r="P4097">
        <f t="shared" si="212"/>
        <v>1</v>
      </c>
      <c r="Q4097" s="11">
        <f>IF(P4097=0,0,IFERROR(Q4096+G4097*M4097*IF(E4097="FUTURE",VLOOKUP(MID(I4097,2,2),Futures!$A$2:$B$12,2),1),G4097*M4097*IF(E4097="FUTURE",VLOOKUP(MID(I4097,2,2),Futures!$A$2:$B$12,2),1)))</f>
        <v>64209.999999999993</v>
      </c>
      <c r="R4097" s="12">
        <f>IFERROR(Q4097/P4097/IF(E4097="FUTURE",VLOOKUP(MID(I4097,2,2),Futures!$A$2:$B$12,2),1),"")</f>
        <v>64.209999999999994</v>
      </c>
      <c r="S4097" s="13" t="str">
        <f>IF(AND(H4097="TO CLOSE",P4097=0),-G4097*(M4097-R4096)*IF(E4097="FUTURE",VLOOKUP(MID(I4097,2,2),Futures!$A$2:$B$12,2),1),"")</f>
        <v/>
      </c>
    </row>
    <row r="4098" spans="1:19" x14ac:dyDescent="0.2">
      <c r="A4098">
        <f t="shared" ref="A4098:A4131" si="218">IF(AND(P4097=0,H4097="TO CLOSE"),IFERROR(A4097+1,1),IFERROR(A4097/1,1))</f>
        <v>1369</v>
      </c>
      <c r="B4098" s="3">
        <v>44270</v>
      </c>
      <c r="C4098" s="3" t="str">
        <f t="shared" si="217"/>
        <v>Monday</v>
      </c>
      <c r="D4098" s="2">
        <v>0.42493055555555559</v>
      </c>
      <c r="E4098" t="s">
        <v>14</v>
      </c>
      <c r="F4098" t="s">
        <v>15</v>
      </c>
      <c r="G4098">
        <v>-1</v>
      </c>
      <c r="H4098" t="s">
        <v>16</v>
      </c>
      <c r="I4098" t="s">
        <v>98</v>
      </c>
      <c r="J4098" s="1">
        <v>44307</v>
      </c>
      <c r="L4098" t="s">
        <v>14</v>
      </c>
      <c r="M4098">
        <v>64.28</v>
      </c>
      <c r="N4098">
        <v>64.28</v>
      </c>
      <c r="O4098" t="s">
        <v>24</v>
      </c>
      <c r="P4098">
        <f t="shared" si="212"/>
        <v>0</v>
      </c>
      <c r="Q4098" s="11">
        <f>IF(P4098=0,0,IFERROR(Q4097+G4098*M4098*IF(E4098="FUTURE",VLOOKUP(MID(I4098,2,2),Futures!$A$2:$B$12,2),1),G4098*M4098*IF(E4098="FUTURE",VLOOKUP(MID(I4098,2,2),Futures!$A$2:$B$12,2),1)))</f>
        <v>0</v>
      </c>
      <c r="R4098" s="12" t="str">
        <f>IFERROR(Q4098/P4098/IF(E4098="FUTURE",VLOOKUP(MID(I4098,2,2),Futures!$A$2:$B$12,2),1),"")</f>
        <v/>
      </c>
      <c r="S4098" s="13">
        <f>IF(AND(H4098="TO CLOSE",P4098=0),-G4098*(M4098-R4097)*IF(E4098="FUTURE",VLOOKUP(MID(I4098,2,2),Futures!$A$2:$B$12,2),1),"")</f>
        <v>70.00000000000739</v>
      </c>
    </row>
    <row r="4099" spans="1:19" x14ac:dyDescent="0.2">
      <c r="A4099">
        <f t="shared" si="218"/>
        <v>1370</v>
      </c>
      <c r="B4099" s="3">
        <v>44270</v>
      </c>
      <c r="C4099" s="3" t="str">
        <f t="shared" si="217"/>
        <v>Monday</v>
      </c>
      <c r="D4099" s="2">
        <v>0.43712962962962965</v>
      </c>
      <c r="E4099" t="s">
        <v>14</v>
      </c>
      <c r="F4099" t="s">
        <v>15</v>
      </c>
      <c r="G4099">
        <v>-1</v>
      </c>
      <c r="H4099" t="s">
        <v>20</v>
      </c>
      <c r="I4099" t="s">
        <v>98</v>
      </c>
      <c r="J4099" s="1">
        <v>44307</v>
      </c>
      <c r="L4099" t="s">
        <v>14</v>
      </c>
      <c r="M4099">
        <v>64.72</v>
      </c>
      <c r="N4099">
        <v>64.72</v>
      </c>
      <c r="O4099" t="s">
        <v>21</v>
      </c>
      <c r="P4099">
        <f t="shared" ref="P4099:P4131" si="219">IF(H4099="TO OPEN",IFERROR(P4098+G4099,0+G4099),IFERROR(P4098+G4099,0+G4099))</f>
        <v>-1</v>
      </c>
      <c r="Q4099" s="11">
        <f>IF(P4099=0,0,IFERROR(Q4098+G4099*M4099*IF(E4099="FUTURE",VLOOKUP(MID(I4099,2,2),Futures!$A$2:$B$12,2),1),G4099*M4099*IF(E4099="FUTURE",VLOOKUP(MID(I4099,2,2),Futures!$A$2:$B$12,2),1)))</f>
        <v>-64720</v>
      </c>
      <c r="R4099" s="12">
        <f>IFERROR(Q4099/P4099/IF(E4099="FUTURE",VLOOKUP(MID(I4099,2,2),Futures!$A$2:$B$12,2),1),"")</f>
        <v>64.72</v>
      </c>
      <c r="S4099" s="13" t="str">
        <f>IF(AND(H4099="TO CLOSE",P4099=0),-G4099*(M4099-R4098)*IF(E4099="FUTURE",VLOOKUP(MID(I4099,2,2),Futures!$A$2:$B$12,2),1),"")</f>
        <v/>
      </c>
    </row>
    <row r="4100" spans="1:19" x14ac:dyDescent="0.2">
      <c r="A4100">
        <f t="shared" si="218"/>
        <v>1370</v>
      </c>
      <c r="B4100" s="3">
        <v>44270</v>
      </c>
      <c r="C4100" s="3" t="str">
        <f t="shared" si="217"/>
        <v>Monday</v>
      </c>
      <c r="D4100" s="2">
        <v>0.43778935185185186</v>
      </c>
      <c r="E4100" t="s">
        <v>14</v>
      </c>
      <c r="F4100" t="s">
        <v>19</v>
      </c>
      <c r="G4100">
        <v>1</v>
      </c>
      <c r="H4100" t="s">
        <v>16</v>
      </c>
      <c r="I4100" t="s">
        <v>98</v>
      </c>
      <c r="J4100" s="1">
        <v>44307</v>
      </c>
      <c r="L4100" t="s">
        <v>14</v>
      </c>
      <c r="M4100">
        <v>64.61</v>
      </c>
      <c r="N4100">
        <v>64.61</v>
      </c>
      <c r="O4100" t="s">
        <v>21</v>
      </c>
      <c r="P4100">
        <f t="shared" si="219"/>
        <v>0</v>
      </c>
      <c r="Q4100" s="11">
        <f>IF(P4100=0,0,IFERROR(Q4099+G4100*M4100*IF(E4100="FUTURE",VLOOKUP(MID(I4100,2,2),Futures!$A$2:$B$12,2),1),G4100*M4100*IF(E4100="FUTURE",VLOOKUP(MID(I4100,2,2),Futures!$A$2:$B$12,2),1)))</f>
        <v>0</v>
      </c>
      <c r="R4100" s="12" t="str">
        <f>IFERROR(Q4100/P4100/IF(E4100="FUTURE",VLOOKUP(MID(I4100,2,2),Futures!$A$2:$B$12,2),1),"")</f>
        <v/>
      </c>
      <c r="S4100" s="13">
        <f>IF(AND(H4100="TO CLOSE",P4100=0),-G4100*(M4100-R4099)*IF(E4100="FUTURE",VLOOKUP(MID(I4100,2,2),Futures!$A$2:$B$12,2),1),"")</f>
        <v>109.99999999999943</v>
      </c>
    </row>
    <row r="4101" spans="1:19" x14ac:dyDescent="0.2">
      <c r="A4101">
        <f t="shared" si="218"/>
        <v>1371</v>
      </c>
      <c r="B4101" s="3">
        <v>44270</v>
      </c>
      <c r="C4101" s="3" t="str">
        <f t="shared" si="217"/>
        <v>Monday</v>
      </c>
      <c r="D4101" s="2">
        <v>0.42298611111111112</v>
      </c>
      <c r="E4101" t="s">
        <v>14</v>
      </c>
      <c r="F4101" t="s">
        <v>15</v>
      </c>
      <c r="G4101">
        <v>-1</v>
      </c>
      <c r="H4101" t="s">
        <v>20</v>
      </c>
      <c r="I4101" t="s">
        <v>101</v>
      </c>
      <c r="J4101" s="1">
        <v>44368</v>
      </c>
      <c r="L4101" t="s">
        <v>14</v>
      </c>
      <c r="M4101">
        <v>3927</v>
      </c>
      <c r="N4101">
        <v>3927</v>
      </c>
      <c r="O4101" t="s">
        <v>21</v>
      </c>
      <c r="P4101">
        <f t="shared" si="219"/>
        <v>-1</v>
      </c>
      <c r="Q4101" s="11">
        <f>IF(P4101=0,0,IFERROR(Q4100+G4101*M4101*IF(E4101="FUTURE",VLOOKUP(MID(I4101,2,2),Futures!$A$2:$B$12,2),1),G4101*M4101*IF(E4101="FUTURE",VLOOKUP(MID(I4101,2,2),Futures!$A$2:$B$12,2),1)))</f>
        <v>-196350</v>
      </c>
      <c r="R4101" s="12">
        <f>IFERROR(Q4101/P4101/IF(E4101="FUTURE",VLOOKUP(MID(I4101,2,2),Futures!$A$2:$B$12,2),1),"")</f>
        <v>3927</v>
      </c>
      <c r="S4101" s="13" t="str">
        <f>IF(AND(H4101="TO CLOSE",P4101=0),-G4101*(M4101-R4100)*IF(E4101="FUTURE",VLOOKUP(MID(I4101,2,2),Futures!$A$2:$B$12,2),1),"")</f>
        <v/>
      </c>
    </row>
    <row r="4102" spans="1:19" x14ac:dyDescent="0.2">
      <c r="A4102">
        <f t="shared" si="218"/>
        <v>1371</v>
      </c>
      <c r="B4102" s="3">
        <v>44270</v>
      </c>
      <c r="C4102" s="3" t="str">
        <f t="shared" si="217"/>
        <v>Monday</v>
      </c>
      <c r="D4102" s="2">
        <v>0.42356481481481478</v>
      </c>
      <c r="E4102" t="s">
        <v>14</v>
      </c>
      <c r="F4102" t="s">
        <v>19</v>
      </c>
      <c r="G4102">
        <v>1</v>
      </c>
      <c r="H4102" t="s">
        <v>16</v>
      </c>
      <c r="I4102" t="s">
        <v>101</v>
      </c>
      <c r="J4102" s="1">
        <v>44368</v>
      </c>
      <c r="L4102" t="s">
        <v>14</v>
      </c>
      <c r="M4102">
        <v>3927</v>
      </c>
      <c r="N4102">
        <v>3927</v>
      </c>
      <c r="O4102" t="s">
        <v>21</v>
      </c>
      <c r="P4102">
        <f t="shared" si="219"/>
        <v>0</v>
      </c>
      <c r="Q4102" s="11">
        <f>IF(P4102=0,0,IFERROR(Q4101+G4102*M4102*IF(E4102="FUTURE",VLOOKUP(MID(I4102,2,2),Futures!$A$2:$B$12,2),1),G4102*M4102*IF(E4102="FUTURE",VLOOKUP(MID(I4102,2,2),Futures!$A$2:$B$12,2),1)))</f>
        <v>0</v>
      </c>
      <c r="R4102" s="12" t="str">
        <f>IFERROR(Q4102/P4102/IF(E4102="FUTURE",VLOOKUP(MID(I4102,2,2),Futures!$A$2:$B$12,2),1),"")</f>
        <v/>
      </c>
      <c r="S4102" s="13">
        <f>IF(AND(H4102="TO CLOSE",P4102=0),-G4102*(M4102-R4101)*IF(E4102="FUTURE",VLOOKUP(MID(I4102,2,2),Futures!$A$2:$B$12,2),1),"")</f>
        <v>0</v>
      </c>
    </row>
    <row r="4103" spans="1:19" x14ac:dyDescent="0.2">
      <c r="A4103">
        <f t="shared" si="218"/>
        <v>1372</v>
      </c>
      <c r="B4103" s="3">
        <v>44270</v>
      </c>
      <c r="C4103" s="3" t="str">
        <f t="shared" si="217"/>
        <v>Monday</v>
      </c>
      <c r="D4103" s="2">
        <v>0.40429398148148149</v>
      </c>
      <c r="E4103" t="s">
        <v>14</v>
      </c>
      <c r="F4103" t="s">
        <v>15</v>
      </c>
      <c r="G4103">
        <v>-4</v>
      </c>
      <c r="H4103" t="s">
        <v>20</v>
      </c>
      <c r="I4103" t="s">
        <v>100</v>
      </c>
      <c r="J4103" s="1">
        <v>44368</v>
      </c>
      <c r="L4103" t="s">
        <v>14</v>
      </c>
      <c r="M4103">
        <v>3933.25</v>
      </c>
      <c r="N4103">
        <v>3933.25</v>
      </c>
      <c r="O4103" t="s">
        <v>21</v>
      </c>
      <c r="P4103">
        <f t="shared" si="219"/>
        <v>-4</v>
      </c>
      <c r="Q4103" s="11">
        <f>IF(P4103=0,0,IFERROR(Q4102+G4103*M4103*IF(E4103="FUTURE",VLOOKUP(MID(I4103,2,2),Futures!$A$2:$B$12,2),1),G4103*M4103*IF(E4103="FUTURE",VLOOKUP(MID(I4103,2,2),Futures!$A$2:$B$12,2),1)))</f>
        <v>-78665</v>
      </c>
      <c r="R4103" s="12">
        <f>IFERROR(Q4103/P4103/IF(E4103="FUTURE",VLOOKUP(MID(I4103,2,2),Futures!$A$2:$B$12,2),1),"")</f>
        <v>3933.25</v>
      </c>
      <c r="S4103" s="13" t="str">
        <f>IF(AND(H4103="TO CLOSE",P4103=0),-G4103*(M4103-R4102)*IF(E4103="FUTURE",VLOOKUP(MID(I4103,2,2),Futures!$A$2:$B$12,2),1),"")</f>
        <v/>
      </c>
    </row>
    <row r="4104" spans="1:19" x14ac:dyDescent="0.2">
      <c r="A4104">
        <f t="shared" si="218"/>
        <v>1372</v>
      </c>
      <c r="B4104" s="3">
        <v>44270</v>
      </c>
      <c r="C4104" s="3" t="str">
        <f t="shared" si="217"/>
        <v>Monday</v>
      </c>
      <c r="D4104" s="2">
        <v>0.41752314814814812</v>
      </c>
      <c r="E4104" t="s">
        <v>14</v>
      </c>
      <c r="F4104" t="s">
        <v>19</v>
      </c>
      <c r="G4104">
        <v>2</v>
      </c>
      <c r="H4104" t="s">
        <v>16</v>
      </c>
      <c r="I4104" t="s">
        <v>100</v>
      </c>
      <c r="J4104" s="1">
        <v>44368</v>
      </c>
      <c r="L4104" t="s">
        <v>14</v>
      </c>
      <c r="M4104">
        <v>3933.25</v>
      </c>
      <c r="N4104">
        <v>3933.25</v>
      </c>
      <c r="O4104" t="s">
        <v>21</v>
      </c>
      <c r="P4104">
        <f t="shared" si="219"/>
        <v>-2</v>
      </c>
      <c r="Q4104" s="11">
        <f>IF(P4104=0,0,IFERROR(Q4103+G4104*M4104*IF(E4104="FUTURE",VLOOKUP(MID(I4104,2,2),Futures!$A$2:$B$12,2),1),G4104*M4104*IF(E4104="FUTURE",VLOOKUP(MID(I4104,2,2),Futures!$A$2:$B$12,2),1)))</f>
        <v>-39332.5</v>
      </c>
      <c r="R4104" s="12">
        <f>IFERROR(Q4104/P4104/IF(E4104="FUTURE",VLOOKUP(MID(I4104,2,2),Futures!$A$2:$B$12,2),1),"")</f>
        <v>3933.25</v>
      </c>
      <c r="S4104" s="13" t="str">
        <f>IF(AND(H4104="TO CLOSE",P4104=0),-G4104*(M4104-R4103)*IF(E4104="FUTURE",VLOOKUP(MID(I4104,2,2),Futures!$A$2:$B$12,2),1),"")</f>
        <v/>
      </c>
    </row>
    <row r="4105" spans="1:19" x14ac:dyDescent="0.2">
      <c r="A4105">
        <f t="shared" si="218"/>
        <v>1372</v>
      </c>
      <c r="B4105" s="3">
        <v>44270</v>
      </c>
      <c r="C4105" s="3" t="str">
        <f t="shared" si="217"/>
        <v>Monday</v>
      </c>
      <c r="D4105" s="2">
        <v>0.41910879629629627</v>
      </c>
      <c r="E4105" t="s">
        <v>14</v>
      </c>
      <c r="F4105" t="s">
        <v>19</v>
      </c>
      <c r="G4105">
        <v>2</v>
      </c>
      <c r="H4105" t="s">
        <v>16</v>
      </c>
      <c r="I4105" t="s">
        <v>100</v>
      </c>
      <c r="J4105" s="1">
        <v>44368</v>
      </c>
      <c r="L4105" t="s">
        <v>14</v>
      </c>
      <c r="M4105">
        <v>3933.25</v>
      </c>
      <c r="N4105">
        <v>3933.25</v>
      </c>
      <c r="O4105" t="s">
        <v>18</v>
      </c>
      <c r="P4105">
        <f t="shared" si="219"/>
        <v>0</v>
      </c>
      <c r="Q4105" s="11">
        <f>IF(P4105=0,0,IFERROR(Q4104+G4105*M4105*IF(E4105="FUTURE",VLOOKUP(MID(I4105,2,2),Futures!$A$2:$B$12,2),1),G4105*M4105*IF(E4105="FUTURE",VLOOKUP(MID(I4105,2,2),Futures!$A$2:$B$12,2),1)))</f>
        <v>0</v>
      </c>
      <c r="R4105" s="12" t="str">
        <f>IFERROR(Q4105/P4105/IF(E4105="FUTURE",VLOOKUP(MID(I4105,2,2),Futures!$A$2:$B$12,2),1),"")</f>
        <v/>
      </c>
      <c r="S4105" s="13">
        <f>IF(AND(H4105="TO CLOSE",P4105=0),-G4105*(M4105-R4104)*IF(E4105="FUTURE",VLOOKUP(MID(I4105,2,2),Futures!$A$2:$B$12,2),1),"")</f>
        <v>0</v>
      </c>
    </row>
    <row r="4106" spans="1:19" x14ac:dyDescent="0.2">
      <c r="A4106">
        <f t="shared" si="218"/>
        <v>1373</v>
      </c>
      <c r="B4106" s="3">
        <v>44271</v>
      </c>
      <c r="C4106" s="3" t="str">
        <f t="shared" ref="C4106:C4118" si="220">IF(WEEKDAY(B4106,2)=1,"Monday",IF(WEEKDAY(B4106,2)=2,"Tuesday",IF(WEEKDAY(B4106,2)=3,"Wednesday",IF(WEEKDAY(B4106,2)=4,"Thursday",IF(WEEKDAY(B4106,2)=5,"Friday","Sunday")))))</f>
        <v>Tuesday</v>
      </c>
      <c r="D4106" s="2">
        <v>0.39479166666666665</v>
      </c>
      <c r="E4106" t="s">
        <v>14</v>
      </c>
      <c r="F4106" t="s">
        <v>15</v>
      </c>
      <c r="G4106">
        <v>-1</v>
      </c>
      <c r="H4106" t="s">
        <v>20</v>
      </c>
      <c r="I4106" t="s">
        <v>98</v>
      </c>
      <c r="J4106" s="1">
        <v>44307</v>
      </c>
      <c r="L4106" t="s">
        <v>14</v>
      </c>
      <c r="M4106">
        <v>64.23</v>
      </c>
      <c r="N4106">
        <v>64.23</v>
      </c>
      <c r="O4106" t="s">
        <v>21</v>
      </c>
      <c r="P4106">
        <f t="shared" si="219"/>
        <v>-1</v>
      </c>
      <c r="Q4106" s="11">
        <f>IF(P4106=0,0,IFERROR(Q4105+G4106*M4106*IF(E4106="FUTURE",VLOOKUP(MID(I4106,2,2),Futures!$A$2:$B$12,2),1),G4106*M4106*IF(E4106="FUTURE",VLOOKUP(MID(I4106,2,2),Futures!$A$2:$B$12,2),1)))</f>
        <v>-64230.000000000007</v>
      </c>
      <c r="R4106" s="12">
        <f>IFERROR(Q4106/P4106/IF(E4106="FUTURE",VLOOKUP(MID(I4106,2,2),Futures!$A$2:$B$12,2),1),"")</f>
        <v>64.23</v>
      </c>
      <c r="S4106" s="13" t="str">
        <f>IF(AND(H4106="TO CLOSE",P4106=0),-G4106*(M4106-R4105)*IF(E4106="FUTURE",VLOOKUP(MID(I4106,2,2),Futures!$A$2:$B$12,2),1),"")</f>
        <v/>
      </c>
    </row>
    <row r="4107" spans="1:19" x14ac:dyDescent="0.2">
      <c r="A4107">
        <f t="shared" si="218"/>
        <v>1373</v>
      </c>
      <c r="B4107" s="3">
        <v>44271</v>
      </c>
      <c r="C4107" s="3" t="str">
        <f t="shared" si="220"/>
        <v>Tuesday</v>
      </c>
      <c r="D4107" s="2">
        <v>0.40035879629629628</v>
      </c>
      <c r="E4107" t="s">
        <v>14</v>
      </c>
      <c r="F4107" t="s">
        <v>15</v>
      </c>
      <c r="G4107">
        <v>-1</v>
      </c>
      <c r="H4107" t="s">
        <v>20</v>
      </c>
      <c r="I4107" t="s">
        <v>98</v>
      </c>
      <c r="J4107" s="1">
        <v>44307</v>
      </c>
      <c r="L4107" t="s">
        <v>14</v>
      </c>
      <c r="M4107">
        <v>64.41</v>
      </c>
      <c r="N4107">
        <v>64.41</v>
      </c>
      <c r="O4107" t="s">
        <v>21</v>
      </c>
      <c r="P4107">
        <f t="shared" si="219"/>
        <v>-2</v>
      </c>
      <c r="Q4107" s="11">
        <f>IF(P4107=0,0,IFERROR(Q4106+G4107*M4107*IF(E4107="FUTURE",VLOOKUP(MID(I4107,2,2),Futures!$A$2:$B$12,2),1),G4107*M4107*IF(E4107="FUTURE",VLOOKUP(MID(I4107,2,2),Futures!$A$2:$B$12,2),1)))</f>
        <v>-128640</v>
      </c>
      <c r="R4107" s="12">
        <f>IFERROR(Q4107/P4107/IF(E4107="FUTURE",VLOOKUP(MID(I4107,2,2),Futures!$A$2:$B$12,2),1),"")</f>
        <v>64.319999999999993</v>
      </c>
      <c r="S4107" s="13" t="str">
        <f>IF(AND(H4107="TO CLOSE",P4107=0),-G4107*(M4107-R4106)*IF(E4107="FUTURE",VLOOKUP(MID(I4107,2,2),Futures!$A$2:$B$12,2),1),"")</f>
        <v/>
      </c>
    </row>
    <row r="4108" spans="1:19" x14ac:dyDescent="0.2">
      <c r="A4108">
        <f t="shared" si="218"/>
        <v>1373</v>
      </c>
      <c r="B4108" s="3">
        <v>44271</v>
      </c>
      <c r="C4108" s="3" t="str">
        <f t="shared" si="220"/>
        <v>Tuesday</v>
      </c>
      <c r="D4108" s="2">
        <v>0.40928240740740746</v>
      </c>
      <c r="E4108" t="s">
        <v>14</v>
      </c>
      <c r="F4108" t="s">
        <v>19</v>
      </c>
      <c r="G4108">
        <v>1</v>
      </c>
      <c r="H4108" t="s">
        <v>16</v>
      </c>
      <c r="I4108" t="s">
        <v>98</v>
      </c>
      <c r="J4108" s="1">
        <v>44307</v>
      </c>
      <c r="L4108" t="s">
        <v>14</v>
      </c>
      <c r="M4108">
        <v>64.34</v>
      </c>
      <c r="N4108">
        <v>64.34</v>
      </c>
      <c r="O4108" t="s">
        <v>21</v>
      </c>
      <c r="P4108">
        <f t="shared" si="219"/>
        <v>-1</v>
      </c>
      <c r="Q4108" s="11">
        <f>IF(P4108=0,0,IFERROR(Q4107+G4108*M4108*IF(E4108="FUTURE",VLOOKUP(MID(I4108,2,2),Futures!$A$2:$B$12,2),1),G4108*M4108*IF(E4108="FUTURE",VLOOKUP(MID(I4108,2,2),Futures!$A$2:$B$12,2),1)))</f>
        <v>-64300</v>
      </c>
      <c r="R4108" s="12">
        <f>IFERROR(Q4108/P4108/IF(E4108="FUTURE",VLOOKUP(MID(I4108,2,2),Futures!$A$2:$B$12,2),1),"")</f>
        <v>64.3</v>
      </c>
      <c r="S4108" s="13" t="str">
        <f>IF(AND(H4108="TO CLOSE",P4108=0),-G4108*(M4108-R4107)*IF(E4108="FUTURE",VLOOKUP(MID(I4108,2,2),Futures!$A$2:$B$12,2),1),"")</f>
        <v/>
      </c>
    </row>
    <row r="4109" spans="1:19" x14ac:dyDescent="0.2">
      <c r="A4109">
        <f t="shared" si="218"/>
        <v>1373</v>
      </c>
      <c r="B4109" s="3">
        <v>44271</v>
      </c>
      <c r="C4109" s="3" t="str">
        <f t="shared" si="220"/>
        <v>Tuesday</v>
      </c>
      <c r="D4109" s="2">
        <v>0.41237268518518522</v>
      </c>
      <c r="E4109" t="s">
        <v>14</v>
      </c>
      <c r="F4109" t="s">
        <v>19</v>
      </c>
      <c r="G4109">
        <v>1</v>
      </c>
      <c r="H4109" t="s">
        <v>16</v>
      </c>
      <c r="I4109" t="s">
        <v>98</v>
      </c>
      <c r="J4109" s="1">
        <v>44307</v>
      </c>
      <c r="L4109" t="s">
        <v>14</v>
      </c>
      <c r="M4109">
        <v>64.2</v>
      </c>
      <c r="N4109">
        <v>64.2</v>
      </c>
      <c r="O4109" t="s">
        <v>18</v>
      </c>
      <c r="P4109">
        <f t="shared" si="219"/>
        <v>0</v>
      </c>
      <c r="Q4109" s="11">
        <f>IF(P4109=0,0,IFERROR(Q4108+G4109*M4109*IF(E4109="FUTURE",VLOOKUP(MID(I4109,2,2),Futures!$A$2:$B$12,2),1),G4109*M4109*IF(E4109="FUTURE",VLOOKUP(MID(I4109,2,2),Futures!$A$2:$B$12,2),1)))</f>
        <v>0</v>
      </c>
      <c r="R4109" s="12" t="str">
        <f>IFERROR(Q4109/P4109/IF(E4109="FUTURE",VLOOKUP(MID(I4109,2,2),Futures!$A$2:$B$12,2),1),"")</f>
        <v/>
      </c>
      <c r="S4109" s="13">
        <f>IF(AND(H4109="TO CLOSE",P4109=0),-G4109*(M4109-R4108)*IF(E4109="FUTURE",VLOOKUP(MID(I4109,2,2),Futures!$A$2:$B$12,2),1),"")</f>
        <v>99.999999999994316</v>
      </c>
    </row>
    <row r="4110" spans="1:19" x14ac:dyDescent="0.2">
      <c r="A4110">
        <f t="shared" si="218"/>
        <v>1374</v>
      </c>
      <c r="B4110" s="3">
        <v>44271</v>
      </c>
      <c r="C4110" s="3" t="str">
        <f t="shared" si="220"/>
        <v>Tuesday</v>
      </c>
      <c r="D4110" s="2">
        <v>0.41793981481481479</v>
      </c>
      <c r="E4110" t="s">
        <v>14</v>
      </c>
      <c r="F4110" t="s">
        <v>15</v>
      </c>
      <c r="G4110">
        <v>-1</v>
      </c>
      <c r="H4110" t="s">
        <v>20</v>
      </c>
      <c r="I4110" t="s">
        <v>98</v>
      </c>
      <c r="J4110" s="1">
        <v>44307</v>
      </c>
      <c r="L4110" t="s">
        <v>14</v>
      </c>
      <c r="M4110">
        <v>64.14</v>
      </c>
      <c r="N4110">
        <v>64.14</v>
      </c>
      <c r="O4110" t="s">
        <v>21</v>
      </c>
      <c r="P4110">
        <f t="shared" si="219"/>
        <v>-1</v>
      </c>
      <c r="Q4110" s="11">
        <f>IF(P4110=0,0,IFERROR(Q4109+G4110*M4110*IF(E4110="FUTURE",VLOOKUP(MID(I4110,2,2),Futures!$A$2:$B$12,2),1),G4110*M4110*IF(E4110="FUTURE",VLOOKUP(MID(I4110,2,2),Futures!$A$2:$B$12,2),1)))</f>
        <v>-64140</v>
      </c>
      <c r="R4110" s="12">
        <f>IFERROR(Q4110/P4110/IF(E4110="FUTURE",VLOOKUP(MID(I4110,2,2),Futures!$A$2:$B$12,2),1),"")</f>
        <v>64.14</v>
      </c>
      <c r="S4110" s="13" t="str">
        <f>IF(AND(H4110="TO CLOSE",P4110=0),-G4110*(M4110-R4109)*IF(E4110="FUTURE",VLOOKUP(MID(I4110,2,2),Futures!$A$2:$B$12,2),1),"")</f>
        <v/>
      </c>
    </row>
    <row r="4111" spans="1:19" x14ac:dyDescent="0.2">
      <c r="A4111">
        <f t="shared" si="218"/>
        <v>1374</v>
      </c>
      <c r="B4111" s="3">
        <v>44271</v>
      </c>
      <c r="C4111" s="3" t="str">
        <f t="shared" si="220"/>
        <v>Tuesday</v>
      </c>
      <c r="D4111" s="2">
        <v>0.41894675925925928</v>
      </c>
      <c r="E4111" t="s">
        <v>14</v>
      </c>
      <c r="F4111" t="s">
        <v>19</v>
      </c>
      <c r="G4111">
        <v>1</v>
      </c>
      <c r="H4111" t="s">
        <v>16</v>
      </c>
      <c r="I4111" t="s">
        <v>98</v>
      </c>
      <c r="J4111" s="1">
        <v>44307</v>
      </c>
      <c r="L4111" t="s">
        <v>14</v>
      </c>
      <c r="M4111">
        <v>64.02</v>
      </c>
      <c r="N4111">
        <v>64.02</v>
      </c>
      <c r="O4111" t="s">
        <v>21</v>
      </c>
      <c r="P4111">
        <f t="shared" si="219"/>
        <v>0</v>
      </c>
      <c r="Q4111" s="11">
        <f>IF(P4111=0,0,IFERROR(Q4110+G4111*M4111*IF(E4111="FUTURE",VLOOKUP(MID(I4111,2,2),Futures!$A$2:$B$12,2),1),G4111*M4111*IF(E4111="FUTURE",VLOOKUP(MID(I4111,2,2),Futures!$A$2:$B$12,2),1)))</f>
        <v>0</v>
      </c>
      <c r="R4111" s="12" t="str">
        <f>IFERROR(Q4111/P4111/IF(E4111="FUTURE",VLOOKUP(MID(I4111,2,2),Futures!$A$2:$B$12,2),1),"")</f>
        <v/>
      </c>
      <c r="S4111" s="13">
        <f>IF(AND(H4111="TO CLOSE",P4111=0),-G4111*(M4111-R4110)*IF(E4111="FUTURE",VLOOKUP(MID(I4111,2,2),Futures!$A$2:$B$12,2),1),"")</f>
        <v>120.00000000000455</v>
      </c>
    </row>
    <row r="4112" spans="1:19" x14ac:dyDescent="0.2">
      <c r="A4112">
        <f t="shared" si="218"/>
        <v>1375</v>
      </c>
      <c r="B4112" s="3">
        <v>44271</v>
      </c>
      <c r="C4112" s="3" t="str">
        <f t="shared" si="220"/>
        <v>Tuesday</v>
      </c>
      <c r="D4112" s="2">
        <v>0.42494212962962963</v>
      </c>
      <c r="E4112" t="s">
        <v>14</v>
      </c>
      <c r="F4112" t="s">
        <v>15</v>
      </c>
      <c r="G4112">
        <v>-2</v>
      </c>
      <c r="H4112" t="s">
        <v>20</v>
      </c>
      <c r="I4112" t="s">
        <v>98</v>
      </c>
      <c r="J4112" s="1">
        <v>44307</v>
      </c>
      <c r="L4112" t="s">
        <v>14</v>
      </c>
      <c r="M4112">
        <v>63.89</v>
      </c>
      <c r="N4112">
        <v>63.89</v>
      </c>
      <c r="O4112" t="s">
        <v>24</v>
      </c>
      <c r="P4112">
        <f t="shared" si="219"/>
        <v>-2</v>
      </c>
      <c r="Q4112" s="11">
        <f>IF(P4112=0,0,IFERROR(Q4111+G4112*M4112*IF(E4112="FUTURE",VLOOKUP(MID(I4112,2,2),Futures!$A$2:$B$12,2),1),G4112*M4112*IF(E4112="FUTURE",VLOOKUP(MID(I4112,2,2),Futures!$A$2:$B$12,2),1)))</f>
        <v>-127780</v>
      </c>
      <c r="R4112" s="12">
        <f>IFERROR(Q4112/P4112/IF(E4112="FUTURE",VLOOKUP(MID(I4112,2,2),Futures!$A$2:$B$12,2),1),"")</f>
        <v>63.89</v>
      </c>
      <c r="S4112" s="13" t="str">
        <f>IF(AND(H4112="TO CLOSE",P4112=0),-G4112*(M4112-R4111)*IF(E4112="FUTURE",VLOOKUP(MID(I4112,2,2),Futures!$A$2:$B$12,2),1),"")</f>
        <v/>
      </c>
    </row>
    <row r="4113" spans="1:19" x14ac:dyDescent="0.2">
      <c r="A4113">
        <f t="shared" si="218"/>
        <v>1375</v>
      </c>
      <c r="B4113" s="3">
        <v>44271</v>
      </c>
      <c r="C4113" s="3" t="str">
        <f t="shared" si="220"/>
        <v>Tuesday</v>
      </c>
      <c r="D4113" s="2">
        <v>0.42528935185185185</v>
      </c>
      <c r="E4113" t="s">
        <v>14</v>
      </c>
      <c r="F4113" t="s">
        <v>19</v>
      </c>
      <c r="G4113">
        <v>1</v>
      </c>
      <c r="H4113" t="s">
        <v>16</v>
      </c>
      <c r="I4113" t="s">
        <v>98</v>
      </c>
      <c r="J4113" s="1">
        <v>44307</v>
      </c>
      <c r="L4113" t="s">
        <v>14</v>
      </c>
      <c r="M4113">
        <v>63.85</v>
      </c>
      <c r="N4113">
        <v>63.85</v>
      </c>
      <c r="O4113" t="s">
        <v>21</v>
      </c>
      <c r="P4113">
        <f t="shared" si="219"/>
        <v>-1</v>
      </c>
      <c r="Q4113" s="11">
        <f>IF(P4113=0,0,IFERROR(Q4112+G4113*M4113*IF(E4113="FUTURE",VLOOKUP(MID(I4113,2,2),Futures!$A$2:$B$12,2),1),G4113*M4113*IF(E4113="FUTURE",VLOOKUP(MID(I4113,2,2),Futures!$A$2:$B$12,2),1)))</f>
        <v>-63930</v>
      </c>
      <c r="R4113" s="12">
        <f>IFERROR(Q4113/P4113/IF(E4113="FUTURE",VLOOKUP(MID(I4113,2,2),Futures!$A$2:$B$12,2),1),"")</f>
        <v>63.93</v>
      </c>
      <c r="S4113" s="13" t="str">
        <f>IF(AND(H4113="TO CLOSE",P4113=0),-G4113*(M4113-R4112)*IF(E4113="FUTURE",VLOOKUP(MID(I4113,2,2),Futures!$A$2:$B$12,2),1),"")</f>
        <v/>
      </c>
    </row>
    <row r="4114" spans="1:19" x14ac:dyDescent="0.2">
      <c r="A4114">
        <f t="shared" si="218"/>
        <v>1375</v>
      </c>
      <c r="B4114" s="3">
        <v>44271</v>
      </c>
      <c r="C4114" s="3" t="str">
        <f t="shared" si="220"/>
        <v>Tuesday</v>
      </c>
      <c r="D4114" s="2">
        <v>0.42611111111111111</v>
      </c>
      <c r="E4114" t="s">
        <v>14</v>
      </c>
      <c r="F4114" t="s">
        <v>19</v>
      </c>
      <c r="G4114">
        <v>1</v>
      </c>
      <c r="H4114" t="s">
        <v>16</v>
      </c>
      <c r="I4114" t="s">
        <v>98</v>
      </c>
      <c r="J4114" s="1">
        <v>44307</v>
      </c>
      <c r="L4114" t="s">
        <v>14</v>
      </c>
      <c r="M4114">
        <v>63.93</v>
      </c>
      <c r="N4114">
        <v>63.93</v>
      </c>
      <c r="O4114" t="s">
        <v>18</v>
      </c>
      <c r="P4114">
        <f t="shared" si="219"/>
        <v>0</v>
      </c>
      <c r="Q4114" s="11">
        <f>IF(P4114=0,0,IFERROR(Q4113+G4114*M4114*IF(E4114="FUTURE",VLOOKUP(MID(I4114,2,2),Futures!$A$2:$B$12,2),1),G4114*M4114*IF(E4114="FUTURE",VLOOKUP(MID(I4114,2,2),Futures!$A$2:$B$12,2),1)))</f>
        <v>0</v>
      </c>
      <c r="R4114" s="12" t="str">
        <f>IFERROR(Q4114/P4114/IF(E4114="FUTURE",VLOOKUP(MID(I4114,2,2),Futures!$A$2:$B$12,2),1),"")</f>
        <v/>
      </c>
      <c r="S4114" s="13">
        <f>IF(AND(H4114="TO CLOSE",P4114=0),-G4114*(M4114-R4113)*IF(E4114="FUTURE",VLOOKUP(MID(I4114,2,2),Futures!$A$2:$B$12,2),1),"")</f>
        <v>0</v>
      </c>
    </row>
    <row r="4115" spans="1:19" x14ac:dyDescent="0.2">
      <c r="A4115">
        <f t="shared" si="218"/>
        <v>1376</v>
      </c>
      <c r="B4115" s="3">
        <v>44271</v>
      </c>
      <c r="C4115" s="3" t="str">
        <f t="shared" si="220"/>
        <v>Tuesday</v>
      </c>
      <c r="D4115" s="2">
        <v>0.39629629629629631</v>
      </c>
      <c r="E4115" t="s">
        <v>14</v>
      </c>
      <c r="F4115" t="s">
        <v>19</v>
      </c>
      <c r="G4115">
        <v>1</v>
      </c>
      <c r="H4115" t="s">
        <v>20</v>
      </c>
      <c r="I4115" t="s">
        <v>101</v>
      </c>
      <c r="J4115" s="1">
        <v>44368</v>
      </c>
      <c r="L4115" t="s">
        <v>14</v>
      </c>
      <c r="M4115">
        <v>3961.25</v>
      </c>
      <c r="N4115">
        <v>3961.25</v>
      </c>
      <c r="O4115" t="s">
        <v>24</v>
      </c>
      <c r="P4115">
        <f t="shared" si="219"/>
        <v>1</v>
      </c>
      <c r="Q4115" s="11">
        <f>IF(P4115=0,0,IFERROR(Q4114+G4115*M4115*IF(E4115="FUTURE",VLOOKUP(MID(I4115,2,2),Futures!$A$2:$B$12,2),1),G4115*M4115*IF(E4115="FUTURE",VLOOKUP(MID(I4115,2,2),Futures!$A$2:$B$12,2),1)))</f>
        <v>198062.5</v>
      </c>
      <c r="R4115" s="12">
        <f>IFERROR(Q4115/P4115/IF(E4115="FUTURE",VLOOKUP(MID(I4115,2,2),Futures!$A$2:$B$12,2),1),"")</f>
        <v>3961.25</v>
      </c>
      <c r="S4115" s="13" t="str">
        <f>IF(AND(H4115="TO CLOSE",P4115=0),-G4115*(M4115-R4114)*IF(E4115="FUTURE",VLOOKUP(MID(I4115,2,2),Futures!$A$2:$B$12,2),1),"")</f>
        <v/>
      </c>
    </row>
    <row r="4116" spans="1:19" x14ac:dyDescent="0.2">
      <c r="A4116">
        <f t="shared" si="218"/>
        <v>1376</v>
      </c>
      <c r="B4116" s="3">
        <v>44271</v>
      </c>
      <c r="C4116" s="3" t="str">
        <f t="shared" si="220"/>
        <v>Tuesday</v>
      </c>
      <c r="D4116" s="2">
        <v>0.39819444444444446</v>
      </c>
      <c r="E4116" t="s">
        <v>14</v>
      </c>
      <c r="F4116" t="s">
        <v>15</v>
      </c>
      <c r="G4116">
        <v>-1</v>
      </c>
      <c r="H4116" t="s">
        <v>16</v>
      </c>
      <c r="I4116" t="s">
        <v>101</v>
      </c>
      <c r="J4116" s="1">
        <v>44368</v>
      </c>
      <c r="L4116" t="s">
        <v>14</v>
      </c>
      <c r="M4116">
        <v>3962.75</v>
      </c>
      <c r="N4116">
        <v>3962.75</v>
      </c>
      <c r="O4116" t="s">
        <v>21</v>
      </c>
      <c r="P4116">
        <f t="shared" si="219"/>
        <v>0</v>
      </c>
      <c r="Q4116" s="11">
        <f>IF(P4116=0,0,IFERROR(Q4115+G4116*M4116*IF(E4116="FUTURE",VLOOKUP(MID(I4116,2,2),Futures!$A$2:$B$12,2),1),G4116*M4116*IF(E4116="FUTURE",VLOOKUP(MID(I4116,2,2),Futures!$A$2:$B$12,2),1)))</f>
        <v>0</v>
      </c>
      <c r="R4116" s="12" t="str">
        <f>IFERROR(Q4116/P4116/IF(E4116="FUTURE",VLOOKUP(MID(I4116,2,2),Futures!$A$2:$B$12,2),1),"")</f>
        <v/>
      </c>
      <c r="S4116" s="13">
        <f>IF(AND(H4116="TO CLOSE",P4116=0),-G4116*(M4116-R4115)*IF(E4116="FUTURE",VLOOKUP(MID(I4116,2,2),Futures!$A$2:$B$12,2),1),"")</f>
        <v>75</v>
      </c>
    </row>
    <row r="4117" spans="1:19" x14ac:dyDescent="0.2">
      <c r="A4117">
        <f t="shared" si="218"/>
        <v>1377</v>
      </c>
      <c r="B4117" s="3">
        <v>44271</v>
      </c>
      <c r="C4117" s="3" t="str">
        <f t="shared" si="220"/>
        <v>Tuesday</v>
      </c>
      <c r="D4117" s="2">
        <v>0.4302199074074074</v>
      </c>
      <c r="E4117" t="s">
        <v>14</v>
      </c>
      <c r="F4117" t="s">
        <v>15</v>
      </c>
      <c r="G4117">
        <v>-1</v>
      </c>
      <c r="H4117" t="s">
        <v>20</v>
      </c>
      <c r="I4117" t="s">
        <v>101</v>
      </c>
      <c r="J4117" s="1">
        <v>44368</v>
      </c>
      <c r="L4117" t="s">
        <v>14</v>
      </c>
      <c r="M4117">
        <v>3967.25</v>
      </c>
      <c r="N4117">
        <v>3967.25</v>
      </c>
      <c r="O4117" t="s">
        <v>21</v>
      </c>
      <c r="P4117">
        <f t="shared" si="219"/>
        <v>-1</v>
      </c>
      <c r="Q4117" s="11">
        <f>IF(P4117=0,0,IFERROR(Q4116+G4117*M4117*IF(E4117="FUTURE",VLOOKUP(MID(I4117,2,2),Futures!$A$2:$B$12,2),1),G4117*M4117*IF(E4117="FUTURE",VLOOKUP(MID(I4117,2,2),Futures!$A$2:$B$12,2),1)))</f>
        <v>-198362.5</v>
      </c>
      <c r="R4117" s="12">
        <f>IFERROR(Q4117/P4117/IF(E4117="FUTURE",VLOOKUP(MID(I4117,2,2),Futures!$A$2:$B$12,2),1),"")</f>
        <v>3967.25</v>
      </c>
      <c r="S4117" s="13" t="str">
        <f>IF(AND(H4117="TO CLOSE",P4117=0),-G4117*(M4117-R4116)*IF(E4117="FUTURE",VLOOKUP(MID(I4117,2,2),Futures!$A$2:$B$12,2),1),"")</f>
        <v/>
      </c>
    </row>
    <row r="4118" spans="1:19" x14ac:dyDescent="0.2">
      <c r="A4118">
        <f t="shared" si="218"/>
        <v>1377</v>
      </c>
      <c r="B4118" s="3">
        <v>44271</v>
      </c>
      <c r="C4118" s="3" t="str">
        <f t="shared" si="220"/>
        <v>Tuesday</v>
      </c>
      <c r="D4118" s="2">
        <v>0.4365046296296296</v>
      </c>
      <c r="E4118" t="s">
        <v>14</v>
      </c>
      <c r="F4118" t="s">
        <v>19</v>
      </c>
      <c r="G4118">
        <v>1</v>
      </c>
      <c r="H4118" t="s">
        <v>16</v>
      </c>
      <c r="I4118" t="s">
        <v>101</v>
      </c>
      <c r="J4118" s="1">
        <v>44368</v>
      </c>
      <c r="L4118" t="s">
        <v>14</v>
      </c>
      <c r="M4118">
        <v>3966.25</v>
      </c>
      <c r="N4118">
        <v>3966.25</v>
      </c>
      <c r="O4118" t="s">
        <v>21</v>
      </c>
      <c r="P4118">
        <f t="shared" si="219"/>
        <v>0</v>
      </c>
      <c r="Q4118" s="11">
        <f>IF(P4118=0,0,IFERROR(Q4117+G4118*M4118*IF(E4118="FUTURE",VLOOKUP(MID(I4118,2,2),Futures!$A$2:$B$12,2),1),G4118*M4118*IF(E4118="FUTURE",VLOOKUP(MID(I4118,2,2),Futures!$A$2:$B$12,2),1)))</f>
        <v>0</v>
      </c>
      <c r="R4118" s="12" t="str">
        <f>IFERROR(Q4118/P4118/IF(E4118="FUTURE",VLOOKUP(MID(I4118,2,2),Futures!$A$2:$B$12,2),1),"")</f>
        <v/>
      </c>
      <c r="S4118" s="13">
        <f>IF(AND(H4118="TO CLOSE",P4118=0),-G4118*(M4118-R4117)*IF(E4118="FUTURE",VLOOKUP(MID(I4118,2,2),Futures!$A$2:$B$12,2),1),"")</f>
        <v>50</v>
      </c>
    </row>
    <row r="4119" spans="1:19" x14ac:dyDescent="0.2">
      <c r="A4119">
        <f t="shared" si="218"/>
        <v>1378</v>
      </c>
      <c r="B4119" s="3">
        <v>44272</v>
      </c>
      <c r="C4119" s="3" t="str">
        <f>IF(WEEKDAY(B4119,2)=1,"Monday",IF(WEEKDAY(B4119,2)=2,"Tuesday",IF(WEEKDAY(B4119,2)=3,"Wednesday",IF(WEEKDAY(B4119,2)=4,"Thursday",IF(WEEKDAY(B4119,2)=5,"Friday","Sunday")))))</f>
        <v>Wednesday</v>
      </c>
      <c r="D4119" s="2">
        <v>0.4136111111111111</v>
      </c>
      <c r="E4119" t="s">
        <v>14</v>
      </c>
      <c r="F4119" t="s">
        <v>15</v>
      </c>
      <c r="G4119">
        <v>-1</v>
      </c>
      <c r="H4119" t="s">
        <v>20</v>
      </c>
      <c r="I4119" t="s">
        <v>98</v>
      </c>
      <c r="J4119" s="1">
        <v>44307</v>
      </c>
      <c r="L4119" t="s">
        <v>14</v>
      </c>
      <c r="M4119">
        <v>64.45</v>
      </c>
      <c r="N4119">
        <v>64.45</v>
      </c>
      <c r="O4119" t="s">
        <v>21</v>
      </c>
      <c r="P4119">
        <f t="shared" si="219"/>
        <v>-1</v>
      </c>
      <c r="Q4119" s="11">
        <f>IF(P4119=0,0,IFERROR(Q4118+G4119*M4119*IF(E4119="FUTURE",VLOOKUP(MID(I4119,2,2),Futures!$A$2:$B$12,2),1),G4119*M4119*IF(E4119="FUTURE",VLOOKUP(MID(I4119,2,2),Futures!$A$2:$B$12,2),1)))</f>
        <v>-64450</v>
      </c>
      <c r="R4119" s="12">
        <f>IFERROR(Q4119/P4119/IF(E4119="FUTURE",VLOOKUP(MID(I4119,2,2),Futures!$A$2:$B$12,2),1),"")</f>
        <v>64.45</v>
      </c>
      <c r="S4119" s="13" t="str">
        <f>IF(AND(H4119="TO CLOSE",P4119=0),-G4119*(M4119-R4118)*IF(E4119="FUTURE",VLOOKUP(MID(I4119,2,2),Futures!$A$2:$B$12,2),1),"")</f>
        <v/>
      </c>
    </row>
    <row r="4120" spans="1:19" x14ac:dyDescent="0.2">
      <c r="A4120">
        <f t="shared" si="218"/>
        <v>1378</v>
      </c>
      <c r="B4120" s="3">
        <v>44272</v>
      </c>
      <c r="C4120" s="3" t="str">
        <f>IF(WEEKDAY(B4120,2)=1,"Monday",IF(WEEKDAY(B4120,2)=2,"Tuesday",IF(WEEKDAY(B4120,2)=3,"Wednesday",IF(WEEKDAY(B4120,2)=4,"Thursday",IF(WEEKDAY(B4120,2)=5,"Friday","Sunday")))))</f>
        <v>Wednesday</v>
      </c>
      <c r="D4120" s="2">
        <v>0.41670138888888886</v>
      </c>
      <c r="E4120" t="s">
        <v>14</v>
      </c>
      <c r="F4120" t="s">
        <v>19</v>
      </c>
      <c r="G4120">
        <v>1</v>
      </c>
      <c r="H4120" t="s">
        <v>16</v>
      </c>
      <c r="I4120" t="s">
        <v>98</v>
      </c>
      <c r="J4120" s="1">
        <v>44307</v>
      </c>
      <c r="L4120" t="s">
        <v>14</v>
      </c>
      <c r="M4120">
        <v>64.45</v>
      </c>
      <c r="N4120">
        <v>64.45</v>
      </c>
      <c r="O4120" t="s">
        <v>18</v>
      </c>
      <c r="P4120">
        <f t="shared" si="219"/>
        <v>0</v>
      </c>
      <c r="Q4120" s="11">
        <f>IF(P4120=0,0,IFERROR(Q4119+G4120*M4120*IF(E4120="FUTURE",VLOOKUP(MID(I4120,2,2),Futures!$A$2:$B$12,2),1),G4120*M4120*IF(E4120="FUTURE",VLOOKUP(MID(I4120,2,2),Futures!$A$2:$B$12,2),1)))</f>
        <v>0</v>
      </c>
      <c r="R4120" s="12" t="str">
        <f>IFERROR(Q4120/P4120/IF(E4120="FUTURE",VLOOKUP(MID(I4120,2,2),Futures!$A$2:$B$12,2),1),"")</f>
        <v/>
      </c>
      <c r="S4120" s="13">
        <f>IF(AND(H4120="TO CLOSE",P4120=0),-G4120*(M4120-R4119)*IF(E4120="FUTURE",VLOOKUP(MID(I4120,2,2),Futures!$A$2:$B$12,2),1),"")</f>
        <v>0</v>
      </c>
    </row>
    <row r="4121" spans="1:19" x14ac:dyDescent="0.2">
      <c r="A4121">
        <f t="shared" si="218"/>
        <v>1379</v>
      </c>
      <c r="B4121" s="3">
        <v>44272</v>
      </c>
      <c r="C4121" s="3" t="str">
        <f>IF(WEEKDAY(B4121,2)=1,"Monday",IF(WEEKDAY(B4121,2)=2,"Tuesday",IF(WEEKDAY(B4121,2)=3,"Wednesday",IF(WEEKDAY(B4121,2)=4,"Thursday",IF(WEEKDAY(B4121,2)=5,"Friday","Sunday")))))</f>
        <v>Wednesday</v>
      </c>
      <c r="D4121" s="2">
        <v>0.41687500000000005</v>
      </c>
      <c r="E4121" t="s">
        <v>14</v>
      </c>
      <c r="F4121" t="s">
        <v>15</v>
      </c>
      <c r="G4121">
        <v>-1</v>
      </c>
      <c r="H4121" t="s">
        <v>20</v>
      </c>
      <c r="I4121" t="s">
        <v>98</v>
      </c>
      <c r="J4121" s="1">
        <v>44307</v>
      </c>
      <c r="L4121" t="s">
        <v>14</v>
      </c>
      <c r="M4121">
        <v>64.5</v>
      </c>
      <c r="N4121">
        <v>64.5</v>
      </c>
      <c r="O4121" t="s">
        <v>21</v>
      </c>
      <c r="P4121">
        <f t="shared" si="219"/>
        <v>-1</v>
      </c>
      <c r="Q4121" s="11">
        <f>IF(P4121=0,0,IFERROR(Q4120+G4121*M4121*IF(E4121="FUTURE",VLOOKUP(MID(I4121,2,2),Futures!$A$2:$B$12,2),1),G4121*M4121*IF(E4121="FUTURE",VLOOKUP(MID(I4121,2,2),Futures!$A$2:$B$12,2),1)))</f>
        <v>-64500</v>
      </c>
      <c r="R4121" s="12">
        <f>IFERROR(Q4121/P4121/IF(E4121="FUTURE",VLOOKUP(MID(I4121,2,2),Futures!$A$2:$B$12,2),1),"")</f>
        <v>64.5</v>
      </c>
      <c r="S4121" s="13" t="str">
        <f>IF(AND(H4121="TO CLOSE",P4121=0),-G4121*(M4121-R4120)*IF(E4121="FUTURE",VLOOKUP(MID(I4121,2,2),Futures!$A$2:$B$12,2),1),"")</f>
        <v/>
      </c>
    </row>
    <row r="4122" spans="1:19" x14ac:dyDescent="0.2">
      <c r="A4122">
        <f t="shared" si="218"/>
        <v>1379</v>
      </c>
      <c r="B4122" s="3">
        <v>44272</v>
      </c>
      <c r="C4122" s="3" t="str">
        <f>IF(WEEKDAY(B4122,2)=1,"Monday",IF(WEEKDAY(B4122,2)=2,"Tuesday",IF(WEEKDAY(B4122,2)=3,"Wednesday",IF(WEEKDAY(B4122,2)=4,"Thursday",IF(WEEKDAY(B4122,2)=5,"Friday","Sunday")))))</f>
        <v>Wednesday</v>
      </c>
      <c r="D4122" s="2">
        <v>0.41760416666666672</v>
      </c>
      <c r="E4122" t="s">
        <v>14</v>
      </c>
      <c r="F4122" t="s">
        <v>19</v>
      </c>
      <c r="G4122">
        <v>1</v>
      </c>
      <c r="H4122" t="s">
        <v>16</v>
      </c>
      <c r="I4122" t="s">
        <v>98</v>
      </c>
      <c r="J4122" s="1">
        <v>44307</v>
      </c>
      <c r="L4122" t="s">
        <v>14</v>
      </c>
      <c r="M4122">
        <v>64.430000000000007</v>
      </c>
      <c r="N4122">
        <v>64.430000000000007</v>
      </c>
      <c r="O4122" t="s">
        <v>24</v>
      </c>
      <c r="P4122">
        <f t="shared" si="219"/>
        <v>0</v>
      </c>
      <c r="Q4122" s="11">
        <f>IF(P4122=0,0,IFERROR(Q4121+G4122*M4122*IF(E4122="FUTURE",VLOOKUP(MID(I4122,2,2),Futures!$A$2:$B$12,2),1),G4122*M4122*IF(E4122="FUTURE",VLOOKUP(MID(I4122,2,2),Futures!$A$2:$B$12,2),1)))</f>
        <v>0</v>
      </c>
      <c r="R4122" s="12" t="str">
        <f>IFERROR(Q4122/P4122/IF(E4122="FUTURE",VLOOKUP(MID(I4122,2,2),Futures!$A$2:$B$12,2),1),"")</f>
        <v/>
      </c>
      <c r="S4122" s="13">
        <f>IF(AND(H4122="TO CLOSE",P4122=0),-G4122*(M4122-R4121)*IF(E4122="FUTURE",VLOOKUP(MID(I4122,2,2),Futures!$A$2:$B$12,2),1),"")</f>
        <v>69.999999999993179</v>
      </c>
    </row>
    <row r="4123" spans="1:19" x14ac:dyDescent="0.2">
      <c r="A4123">
        <f t="shared" si="218"/>
        <v>1380</v>
      </c>
      <c r="B4123" s="3">
        <v>44272</v>
      </c>
      <c r="C4123" s="3" t="str">
        <f>IF(WEEKDAY(B4123,2)=1,"Monday",IF(WEEKDAY(B4123,2)=2,"Tuesday",IF(WEEKDAY(B4123,2)=3,"Wednesday",IF(WEEKDAY(B4123,2)=4,"Thursday",IF(WEEKDAY(B4123,2)=5,"Friday","Sunday")))))</f>
        <v>Wednesday</v>
      </c>
      <c r="D4123" s="2">
        <v>0.42947916666666663</v>
      </c>
      <c r="E4123" t="s">
        <v>14</v>
      </c>
      <c r="F4123" t="s">
        <v>15</v>
      </c>
      <c r="G4123">
        <v>-1</v>
      </c>
      <c r="H4123" t="s">
        <v>20</v>
      </c>
      <c r="I4123" t="s">
        <v>98</v>
      </c>
      <c r="J4123" s="1">
        <v>44307</v>
      </c>
      <c r="L4123" t="s">
        <v>14</v>
      </c>
      <c r="M4123">
        <v>64.489999999999995</v>
      </c>
      <c r="N4123">
        <v>64.489999999999995</v>
      </c>
      <c r="O4123" t="s">
        <v>21</v>
      </c>
      <c r="P4123">
        <f t="shared" si="219"/>
        <v>-1</v>
      </c>
      <c r="Q4123" s="11">
        <f>IF(P4123=0,0,IFERROR(Q4122+G4123*M4123*IF(E4123="FUTURE",VLOOKUP(MID(I4123,2,2),Futures!$A$2:$B$12,2),1),G4123*M4123*IF(E4123="FUTURE",VLOOKUP(MID(I4123,2,2),Futures!$A$2:$B$12,2),1)))</f>
        <v>-64489.999999999993</v>
      </c>
      <c r="R4123" s="12">
        <f>IFERROR(Q4123/P4123/IF(E4123="FUTURE",VLOOKUP(MID(I4123,2,2),Futures!$A$2:$B$12,2),1),"")</f>
        <v>64.489999999999995</v>
      </c>
      <c r="S4123" s="13" t="str">
        <f>IF(AND(H4123="TO CLOSE",P4123=0),-G4123*(M4123-R4122)*IF(E4123="FUTURE",VLOOKUP(MID(I4123,2,2),Futures!$A$2:$B$12,2),1),"")</f>
        <v/>
      </c>
    </row>
    <row r="4124" spans="1:19" x14ac:dyDescent="0.2">
      <c r="A4124">
        <f t="shared" si="218"/>
        <v>1380</v>
      </c>
      <c r="B4124" s="3">
        <v>44272</v>
      </c>
      <c r="C4124" s="3" t="str">
        <f>IF(WEEKDAY(B4124,2)=1,"Monday",IF(WEEKDAY(B4124,2)=2,"Tuesday",IF(WEEKDAY(B4124,2)=3,"Wednesday",IF(WEEKDAY(B4124,2)=4,"Thursday",IF(WEEKDAY(B4124,2)=5,"Friday","Sunday")))))</f>
        <v>Wednesday</v>
      </c>
      <c r="D4124" s="2">
        <v>0.43034722222222221</v>
      </c>
      <c r="E4124" t="s">
        <v>14</v>
      </c>
      <c r="F4124" t="s">
        <v>19</v>
      </c>
      <c r="G4124">
        <v>1</v>
      </c>
      <c r="H4124" t="s">
        <v>16</v>
      </c>
      <c r="I4124" t="s">
        <v>98</v>
      </c>
      <c r="J4124" s="1">
        <v>44307</v>
      </c>
      <c r="L4124" t="s">
        <v>14</v>
      </c>
      <c r="M4124">
        <v>64.459999999999994</v>
      </c>
      <c r="N4124">
        <v>64.459999999999994</v>
      </c>
      <c r="O4124" t="s">
        <v>24</v>
      </c>
      <c r="P4124">
        <f t="shared" si="219"/>
        <v>0</v>
      </c>
      <c r="Q4124" s="11">
        <f>IF(P4124=0,0,IFERROR(Q4123+G4124*M4124*IF(E4124="FUTURE",VLOOKUP(MID(I4124,2,2),Futures!$A$2:$B$12,2),1),G4124*M4124*IF(E4124="FUTURE",VLOOKUP(MID(I4124,2,2),Futures!$A$2:$B$12,2),1)))</f>
        <v>0</v>
      </c>
      <c r="R4124" s="12" t="str">
        <f>IFERROR(Q4124/P4124/IF(E4124="FUTURE",VLOOKUP(MID(I4124,2,2),Futures!$A$2:$B$12,2),1),"")</f>
        <v/>
      </c>
      <c r="S4124" s="13">
        <f>IF(AND(H4124="TO CLOSE",P4124=0),-G4124*(M4124-R4123)*IF(E4124="FUTURE",VLOOKUP(MID(I4124,2,2),Futures!$A$2:$B$12,2),1),"")</f>
        <v>30.000000000001137</v>
      </c>
    </row>
    <row r="4125" spans="1:19" x14ac:dyDescent="0.2">
      <c r="A4125">
        <f t="shared" si="218"/>
        <v>1381</v>
      </c>
      <c r="B4125" s="3">
        <v>44272</v>
      </c>
      <c r="C4125" s="3" t="str">
        <f>IF(WEEKDAY(B4125,2)=1,"Monday",IF(WEEKDAY(B4125,2)=2,"Tuesday",IF(WEEKDAY(B4125,2)=3,"Wednesday",IF(WEEKDAY(B4125,2)=4,"Thursday",IF(WEEKDAY(B4125,2)=5,"Friday","Sunday")))))</f>
        <v>Wednesday</v>
      </c>
      <c r="D4125" s="2">
        <v>0.43152777777777779</v>
      </c>
      <c r="E4125" t="s">
        <v>14</v>
      </c>
      <c r="F4125" t="s">
        <v>15</v>
      </c>
      <c r="G4125">
        <v>-2</v>
      </c>
      <c r="H4125" t="s">
        <v>20</v>
      </c>
      <c r="I4125" t="s">
        <v>98</v>
      </c>
      <c r="J4125" s="1">
        <v>44307</v>
      </c>
      <c r="L4125" t="s">
        <v>14</v>
      </c>
      <c r="M4125">
        <v>64.41</v>
      </c>
      <c r="N4125">
        <v>64.41</v>
      </c>
      <c r="O4125" t="s">
        <v>24</v>
      </c>
      <c r="P4125">
        <f t="shared" si="219"/>
        <v>-2</v>
      </c>
      <c r="Q4125" s="11">
        <f>IF(P4125=0,0,IFERROR(Q4124+G4125*M4125*IF(E4125="FUTURE",VLOOKUP(MID(I4125,2,2),Futures!$A$2:$B$12,2),1),G4125*M4125*IF(E4125="FUTURE",VLOOKUP(MID(I4125,2,2),Futures!$A$2:$B$12,2),1)))</f>
        <v>-128820</v>
      </c>
      <c r="R4125" s="12">
        <f>IFERROR(Q4125/P4125/IF(E4125="FUTURE",VLOOKUP(MID(I4125,2,2),Futures!$A$2:$B$12,2),1),"")</f>
        <v>64.41</v>
      </c>
      <c r="S4125" s="13" t="str">
        <f>IF(AND(H4125="TO CLOSE",P4125=0),-G4125*(M4125-R4124)*IF(E4125="FUTURE",VLOOKUP(MID(I4125,2,2),Futures!$A$2:$B$12,2),1),"")</f>
        <v/>
      </c>
    </row>
    <row r="4126" spans="1:19" x14ac:dyDescent="0.2">
      <c r="A4126">
        <f t="shared" si="218"/>
        <v>1381</v>
      </c>
      <c r="B4126" s="3">
        <v>44272</v>
      </c>
      <c r="C4126" s="3" t="str">
        <f>IF(WEEKDAY(B4126,2)=1,"Monday",IF(WEEKDAY(B4126,2)=2,"Tuesday",IF(WEEKDAY(B4126,2)=3,"Wednesday",IF(WEEKDAY(B4126,2)=4,"Thursday",IF(WEEKDAY(B4126,2)=5,"Friday","Sunday")))))</f>
        <v>Wednesday</v>
      </c>
      <c r="D4126" s="2">
        <v>0.43180555555555555</v>
      </c>
      <c r="E4126" t="s">
        <v>14</v>
      </c>
      <c r="F4126" t="s">
        <v>19</v>
      </c>
      <c r="G4126">
        <v>2</v>
      </c>
      <c r="H4126" t="s">
        <v>16</v>
      </c>
      <c r="I4126" t="s">
        <v>98</v>
      </c>
      <c r="J4126" s="1">
        <v>44307</v>
      </c>
      <c r="L4126" t="s">
        <v>14</v>
      </c>
      <c r="M4126">
        <v>64.349999999999994</v>
      </c>
      <c r="N4126">
        <v>64.349999999999994</v>
      </c>
      <c r="O4126" t="s">
        <v>21</v>
      </c>
      <c r="P4126">
        <f t="shared" si="219"/>
        <v>0</v>
      </c>
      <c r="Q4126" s="11">
        <f>IF(P4126=0,0,IFERROR(Q4125+G4126*M4126*IF(E4126="FUTURE",VLOOKUP(MID(I4126,2,2),Futures!$A$2:$B$12,2),1),G4126*M4126*IF(E4126="FUTURE",VLOOKUP(MID(I4126,2,2),Futures!$A$2:$B$12,2),1)))</f>
        <v>0</v>
      </c>
      <c r="R4126" s="12" t="str">
        <f>IFERROR(Q4126/P4126/IF(E4126="FUTURE",VLOOKUP(MID(I4126,2,2),Futures!$A$2:$B$12,2),1),"")</f>
        <v/>
      </c>
      <c r="S4126" s="13">
        <f>IF(AND(H4126="TO CLOSE",P4126=0),-G4126*(M4126-R4125)*IF(E4126="FUTURE",VLOOKUP(MID(I4126,2,2),Futures!$A$2:$B$12,2),1),"")</f>
        <v>120.00000000000455</v>
      </c>
    </row>
    <row r="4127" spans="1:19" x14ac:dyDescent="0.2">
      <c r="A4127">
        <f t="shared" si="218"/>
        <v>1382</v>
      </c>
      <c r="B4127" s="3">
        <v>44272</v>
      </c>
      <c r="C4127" s="3" t="str">
        <f>IF(WEEKDAY(B4127,2)=1,"Monday",IF(WEEKDAY(B4127,2)=2,"Tuesday",IF(WEEKDAY(B4127,2)=3,"Wednesday",IF(WEEKDAY(B4127,2)=4,"Thursday",IF(WEEKDAY(B4127,2)=5,"Friday","Sunday")))))</f>
        <v>Wednesday</v>
      </c>
      <c r="D4127" s="2">
        <v>0.41832175925925924</v>
      </c>
      <c r="E4127" t="s">
        <v>14</v>
      </c>
      <c r="F4127" t="s">
        <v>15</v>
      </c>
      <c r="G4127">
        <v>-2</v>
      </c>
      <c r="H4127" t="s">
        <v>20</v>
      </c>
      <c r="I4127" t="s">
        <v>100</v>
      </c>
      <c r="J4127" s="1">
        <v>44368</v>
      </c>
      <c r="L4127" t="s">
        <v>14</v>
      </c>
      <c r="M4127">
        <v>3936.25</v>
      </c>
      <c r="N4127">
        <v>3936.25</v>
      </c>
      <c r="O4127" t="s">
        <v>21</v>
      </c>
      <c r="P4127">
        <f t="shared" si="219"/>
        <v>-2</v>
      </c>
      <c r="Q4127" s="11">
        <f>IF(P4127=0,0,IFERROR(Q4126+G4127*M4127*IF(E4127="FUTURE",VLOOKUP(MID(I4127,2,2),Futures!$A$2:$B$12,2),1),G4127*M4127*IF(E4127="FUTURE",VLOOKUP(MID(I4127,2,2),Futures!$A$2:$B$12,2),1)))</f>
        <v>-39362.5</v>
      </c>
      <c r="R4127" s="12">
        <f>IFERROR(Q4127/P4127/IF(E4127="FUTURE",VLOOKUP(MID(I4127,2,2),Futures!$A$2:$B$12,2),1),"")</f>
        <v>3936.25</v>
      </c>
      <c r="S4127" s="13" t="str">
        <f>IF(AND(H4127="TO CLOSE",P4127=0),-G4127*(M4127-R4126)*IF(E4127="FUTURE",VLOOKUP(MID(I4127,2,2),Futures!$A$2:$B$12,2),1),"")</f>
        <v/>
      </c>
    </row>
    <row r="4128" spans="1:19" x14ac:dyDescent="0.2">
      <c r="A4128">
        <f t="shared" si="218"/>
        <v>1382</v>
      </c>
      <c r="B4128" s="3">
        <v>44272</v>
      </c>
      <c r="C4128" s="3" t="str">
        <f>IF(WEEKDAY(B4128,2)=1,"Monday",IF(WEEKDAY(B4128,2)=2,"Tuesday",IF(WEEKDAY(B4128,2)=3,"Wednesday",IF(WEEKDAY(B4128,2)=4,"Thursday",IF(WEEKDAY(B4128,2)=5,"Friday","Sunday")))))</f>
        <v>Wednesday</v>
      </c>
      <c r="D4128" s="2">
        <v>0.41832175925925924</v>
      </c>
      <c r="E4128" t="s">
        <v>14</v>
      </c>
      <c r="F4128" t="s">
        <v>15</v>
      </c>
      <c r="G4128">
        <v>-1</v>
      </c>
      <c r="H4128" t="s">
        <v>20</v>
      </c>
      <c r="I4128" t="s">
        <v>100</v>
      </c>
      <c r="J4128" s="1">
        <v>44368</v>
      </c>
      <c r="L4128" t="s">
        <v>14</v>
      </c>
      <c r="M4128">
        <v>3936.25</v>
      </c>
      <c r="N4128">
        <v>3936.25</v>
      </c>
      <c r="O4128" t="s">
        <v>21</v>
      </c>
      <c r="P4128">
        <f t="shared" si="219"/>
        <v>-3</v>
      </c>
      <c r="Q4128" s="11">
        <f>IF(P4128=0,0,IFERROR(Q4127+G4128*M4128*IF(E4128="FUTURE",VLOOKUP(MID(I4128,2,2),Futures!$A$2:$B$12,2),1),G4128*M4128*IF(E4128="FUTURE",VLOOKUP(MID(I4128,2,2),Futures!$A$2:$B$12,2),1)))</f>
        <v>-59043.75</v>
      </c>
      <c r="R4128" s="12">
        <f>IFERROR(Q4128/P4128/IF(E4128="FUTURE",VLOOKUP(MID(I4128,2,2),Futures!$A$2:$B$12,2),1),"")</f>
        <v>3936.25</v>
      </c>
      <c r="S4128" s="13" t="str">
        <f>IF(AND(H4128="TO CLOSE",P4128=0),-G4128*(M4128-R4127)*IF(E4128="FUTURE",VLOOKUP(MID(I4128,2,2),Futures!$A$2:$B$12,2),1),"")</f>
        <v/>
      </c>
    </row>
    <row r="4129" spans="1:19" x14ac:dyDescent="0.2">
      <c r="A4129">
        <f t="shared" si="218"/>
        <v>1382</v>
      </c>
      <c r="B4129" s="3">
        <v>44272</v>
      </c>
      <c r="C4129" s="3" t="str">
        <f>IF(WEEKDAY(B4129,2)=1,"Monday",IF(WEEKDAY(B4129,2)=2,"Tuesday",IF(WEEKDAY(B4129,2)=3,"Wednesday",IF(WEEKDAY(B4129,2)=4,"Thursday",IF(WEEKDAY(B4129,2)=5,"Friday","Sunday")))))</f>
        <v>Wednesday</v>
      </c>
      <c r="D4129" s="2">
        <v>0.42023148148148143</v>
      </c>
      <c r="E4129" t="s">
        <v>14</v>
      </c>
      <c r="F4129" t="s">
        <v>19</v>
      </c>
      <c r="G4129">
        <v>1</v>
      </c>
      <c r="H4129" t="s">
        <v>16</v>
      </c>
      <c r="I4129" t="s">
        <v>100</v>
      </c>
      <c r="J4129" s="1">
        <v>44368</v>
      </c>
      <c r="L4129" t="s">
        <v>14</v>
      </c>
      <c r="M4129">
        <v>3934.5</v>
      </c>
      <c r="N4129">
        <v>3934.5</v>
      </c>
      <c r="O4129" t="s">
        <v>21</v>
      </c>
      <c r="P4129">
        <f t="shared" si="219"/>
        <v>-2</v>
      </c>
      <c r="Q4129" s="11">
        <f>IF(P4129=0,0,IFERROR(Q4128+G4129*M4129*IF(E4129="FUTURE",VLOOKUP(MID(I4129,2,2),Futures!$A$2:$B$12,2),1),G4129*M4129*IF(E4129="FUTURE",VLOOKUP(MID(I4129,2,2),Futures!$A$2:$B$12,2),1)))</f>
        <v>-39371.25</v>
      </c>
      <c r="R4129" s="12">
        <f>IFERROR(Q4129/P4129/IF(E4129="FUTURE",VLOOKUP(MID(I4129,2,2),Futures!$A$2:$B$12,2),1),"")</f>
        <v>3937.125</v>
      </c>
      <c r="S4129" s="13" t="str">
        <f>IF(AND(H4129="TO CLOSE",P4129=0),-G4129*(M4129-R4128)*IF(E4129="FUTURE",VLOOKUP(MID(I4129,2,2),Futures!$A$2:$B$12,2),1),"")</f>
        <v/>
      </c>
    </row>
    <row r="4130" spans="1:19" x14ac:dyDescent="0.2">
      <c r="A4130">
        <f t="shared" si="218"/>
        <v>1382</v>
      </c>
      <c r="B4130" s="3">
        <v>44272</v>
      </c>
      <c r="C4130" s="3" t="str">
        <f>IF(WEEKDAY(B4130,2)=1,"Monday",IF(WEEKDAY(B4130,2)=2,"Tuesday",IF(WEEKDAY(B4130,2)=3,"Wednesday",IF(WEEKDAY(B4130,2)=4,"Thursday",IF(WEEKDAY(B4130,2)=5,"Friday","Sunday")))))</f>
        <v>Wednesday</v>
      </c>
      <c r="D4130" s="2">
        <v>0.42041666666666666</v>
      </c>
      <c r="E4130" t="s">
        <v>14</v>
      </c>
      <c r="F4130" t="s">
        <v>19</v>
      </c>
      <c r="G4130">
        <v>1</v>
      </c>
      <c r="H4130" t="s">
        <v>16</v>
      </c>
      <c r="I4130" t="s">
        <v>100</v>
      </c>
      <c r="J4130" s="1">
        <v>44368</v>
      </c>
      <c r="L4130" t="s">
        <v>14</v>
      </c>
      <c r="M4130">
        <v>3933.5</v>
      </c>
      <c r="N4130">
        <v>3933.5</v>
      </c>
      <c r="O4130" t="s">
        <v>21</v>
      </c>
      <c r="P4130">
        <f t="shared" si="219"/>
        <v>-1</v>
      </c>
      <c r="Q4130" s="11">
        <f>IF(P4130=0,0,IFERROR(Q4129+G4130*M4130*IF(E4130="FUTURE",VLOOKUP(MID(I4130,2,2),Futures!$A$2:$B$12,2),1),G4130*M4130*IF(E4130="FUTURE",VLOOKUP(MID(I4130,2,2),Futures!$A$2:$B$12,2),1)))</f>
        <v>-19703.75</v>
      </c>
      <c r="R4130" s="12">
        <f>IFERROR(Q4130/P4130/IF(E4130="FUTURE",VLOOKUP(MID(I4130,2,2),Futures!$A$2:$B$12,2),1),"")</f>
        <v>3940.75</v>
      </c>
      <c r="S4130" s="13" t="str">
        <f>IF(AND(H4130="TO CLOSE",P4130=0),-G4130*(M4130-R4129)*IF(E4130="FUTURE",VLOOKUP(MID(I4130,2,2),Futures!$A$2:$B$12,2),1),"")</f>
        <v/>
      </c>
    </row>
    <row r="4131" spans="1:19" x14ac:dyDescent="0.2">
      <c r="A4131">
        <f t="shared" si="218"/>
        <v>1382</v>
      </c>
      <c r="B4131" s="3">
        <v>44272</v>
      </c>
      <c r="C4131" s="3" t="str">
        <f>IF(WEEKDAY(B4131,2)=1,"Monday",IF(WEEKDAY(B4131,2)=2,"Tuesday",IF(WEEKDAY(B4131,2)=3,"Wednesday",IF(WEEKDAY(B4131,2)=4,"Thursday",IF(WEEKDAY(B4131,2)=5,"Friday","Sunday")))))</f>
        <v>Wednesday</v>
      </c>
      <c r="D4131" s="2">
        <v>0.42155092592592597</v>
      </c>
      <c r="E4131" t="s">
        <v>14</v>
      </c>
      <c r="F4131" t="s">
        <v>19</v>
      </c>
      <c r="G4131">
        <v>1</v>
      </c>
      <c r="H4131" t="s">
        <v>16</v>
      </c>
      <c r="I4131" t="s">
        <v>100</v>
      </c>
      <c r="J4131" s="1">
        <v>44368</v>
      </c>
      <c r="L4131" t="s">
        <v>14</v>
      </c>
      <c r="M4131">
        <v>3931.75</v>
      </c>
      <c r="N4131">
        <v>3931.75</v>
      </c>
      <c r="O4131" t="s">
        <v>18</v>
      </c>
      <c r="P4131">
        <f t="shared" si="219"/>
        <v>0</v>
      </c>
      <c r="Q4131" s="11">
        <f>IF(P4131=0,0,IFERROR(Q4130+G4131*M4131*IF(E4131="FUTURE",VLOOKUP(MID(I4131,2,2),Futures!$A$2:$B$12,2),1),G4131*M4131*IF(E4131="FUTURE",VLOOKUP(MID(I4131,2,2),Futures!$A$2:$B$12,2),1)))</f>
        <v>0</v>
      </c>
      <c r="R4131" s="12" t="str">
        <f>IFERROR(Q4131/P4131/IF(E4131="FUTURE",VLOOKUP(MID(I4131,2,2),Futures!$A$2:$B$12,2),1),"")</f>
        <v/>
      </c>
      <c r="S4131" s="13">
        <f>IF(AND(H4131="TO CLOSE",P4131=0),-G4131*(M4131-R4130)*IF(E4131="FUTURE",VLOOKUP(MID(I4131,2,2),Futures!$A$2:$B$12,2),1),"")</f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7AA56-B013-4679-87D8-3866C3490DF7}">
  <sheetPr codeName="Sheet4"/>
  <dimension ref="A1:H67"/>
  <sheetViews>
    <sheetView workbookViewId="0"/>
  </sheetViews>
  <sheetFormatPr baseColWidth="10" defaultColWidth="8.83203125" defaultRowHeight="16" x14ac:dyDescent="0.2"/>
  <cols>
    <col min="1" max="1" width="15.5" bestFit="1" customWidth="1"/>
    <col min="2" max="2" width="14.5" customWidth="1"/>
    <col min="3" max="3" width="11.1640625" customWidth="1"/>
    <col min="4" max="4" width="11.33203125" customWidth="1"/>
    <col min="5" max="5" width="9.6640625" customWidth="1"/>
    <col min="6" max="6" width="11.33203125" customWidth="1"/>
    <col min="7" max="7" width="12.6640625" bestFit="1" customWidth="1"/>
    <col min="8" max="23" width="10.1640625" customWidth="1"/>
    <col min="24" max="27" width="2.6640625" bestFit="1" customWidth="1"/>
    <col min="28" max="28" width="4.6640625" bestFit="1" customWidth="1"/>
    <col min="29" max="41" width="3.6640625" bestFit="1" customWidth="1"/>
    <col min="42" max="42" width="5.6640625" bestFit="1" customWidth="1"/>
    <col min="43" max="45" width="3.6640625" bestFit="1" customWidth="1"/>
    <col min="46" max="46" width="5.6640625" bestFit="1" customWidth="1"/>
    <col min="47" max="51" width="3.6640625" bestFit="1" customWidth="1"/>
    <col min="52" max="52" width="5.6640625" bestFit="1" customWidth="1"/>
    <col min="53" max="55" width="3.6640625" bestFit="1" customWidth="1"/>
    <col min="56" max="57" width="4.6640625" bestFit="1" customWidth="1"/>
    <col min="59" max="59" width="10.5" bestFit="1" customWidth="1"/>
  </cols>
  <sheetData>
    <row r="1" spans="1:8" x14ac:dyDescent="0.2">
      <c r="B1" s="16" t="s">
        <v>41</v>
      </c>
      <c r="C1" s="16" t="s">
        <v>42</v>
      </c>
      <c r="D1" s="16" t="str">
        <f>CONCATENATE("Flat (&lt;=",TEXT(D9,"$0)"))</f>
        <v>Flat (&lt;=$1)</v>
      </c>
      <c r="E1" s="22">
        <f>SUM(B2:D2)</f>
        <v>50</v>
      </c>
      <c r="F1" s="21" t="s">
        <v>56</v>
      </c>
      <c r="G1" s="21"/>
      <c r="H1" s="20"/>
    </row>
    <row r="2" spans="1:8" x14ac:dyDescent="0.2">
      <c r="A2" t="s">
        <v>43</v>
      </c>
      <c r="B2">
        <f>COUNTIF(results_data,"&gt;"&amp;D9)</f>
        <v>36</v>
      </c>
      <c r="C2">
        <f>COUNTIF(results_data,"&lt;-"&amp;D9)</f>
        <v>6</v>
      </c>
      <c r="D2">
        <f>COUNTIFS(results_data,"&gt;=-"&amp;D9,results_data,"&lt;="&amp;D9)</f>
        <v>8</v>
      </c>
      <c r="E2" s="23" t="str">
        <f>IF(SUM(B2:D2)&lt;&gt;E1,"SUM ERROR","")</f>
        <v/>
      </c>
      <c r="F2" t="s">
        <v>47</v>
      </c>
      <c r="G2" s="17">
        <f>B2/$E$1</f>
        <v>0.72</v>
      </c>
    </row>
    <row r="3" spans="1:8" x14ac:dyDescent="0.2">
      <c r="A3" t="s">
        <v>44</v>
      </c>
      <c r="B3" s="18">
        <f>IFERROR(AVERAGEIF(results_data,"&gt;"&amp;D9),0)</f>
        <v>123.77000000000014</v>
      </c>
      <c r="C3" s="18">
        <f>IFERROR(AVERAGEIF(results_data,"&lt;-"&amp;D9),0)</f>
        <v>-299.375</v>
      </c>
      <c r="D3" s="18">
        <f>IFERROR(AVERAGEIFS(results_data,results_data,"&gt;=-"&amp;D9,results_data,"&lt;="&amp;D9),0)</f>
        <v>0</v>
      </c>
      <c r="F3" t="s">
        <v>48</v>
      </c>
      <c r="G3" s="17">
        <f>(B2+D2)/$E$1</f>
        <v>0.88</v>
      </c>
    </row>
    <row r="4" spans="1:8" x14ac:dyDescent="0.2">
      <c r="A4" t="s">
        <v>45</v>
      </c>
      <c r="B4">
        <f>_xlfn.MINIFS(results_data,results_data,"&gt;"&amp;D9)</f>
        <v>10.000000000005116</v>
      </c>
      <c r="C4">
        <f>_xlfn.MINIFS(results_data,results_data,"&lt;-"&amp;D9)</f>
        <v>-1275</v>
      </c>
      <c r="D4">
        <f>_xlfn.MINIFS(results_data,results_data,"&gt;=-"&amp;D9,results_data,"&lt;="&amp;D9)</f>
        <v>0</v>
      </c>
      <c r="F4" t="s">
        <v>49</v>
      </c>
      <c r="G4" s="17">
        <f>C2/$E$1</f>
        <v>0.12</v>
      </c>
    </row>
    <row r="5" spans="1:8" x14ac:dyDescent="0.2">
      <c r="A5" t="s">
        <v>46</v>
      </c>
      <c r="B5">
        <f>_xlfn.MAXIFS(results_data,results_data,"&gt;"&amp;D9)</f>
        <v>425</v>
      </c>
      <c r="C5">
        <f>_xlfn.MAXIFS(results_data,results_data,"&lt;-"&amp;D9)</f>
        <v>-12.5</v>
      </c>
      <c r="D5">
        <f>_xlfn.MAXIFS(results_data,results_data,"&gt;=-"&amp;D9,results_data,"&lt;="&amp;D9)</f>
        <v>0</v>
      </c>
      <c r="F5" t="s">
        <v>50</v>
      </c>
      <c r="G5" s="17">
        <f>B6/$E$1</f>
        <v>0.06</v>
      </c>
    </row>
    <row r="6" spans="1:8" x14ac:dyDescent="0.2">
      <c r="A6" t="str">
        <f>CONCATENATE("Big (&gt;=",TEXT(B9,"$#,000)"))</f>
        <v>Big (&gt;=$300)</v>
      </c>
      <c r="B6">
        <f>COUNTIF(results_data,"&gt;="&amp;B9)</f>
        <v>3</v>
      </c>
      <c r="C6">
        <f>COUNTIF(results_data,"&lt;=-"&amp;B9)</f>
        <v>1</v>
      </c>
      <c r="F6" t="s">
        <v>51</v>
      </c>
      <c r="G6" s="17">
        <f>C6/$E$1</f>
        <v>0.02</v>
      </c>
    </row>
    <row r="7" spans="1:8" x14ac:dyDescent="0.2">
      <c r="A7" t="s">
        <v>52</v>
      </c>
      <c r="B7" s="18">
        <f>IFERROR(AVERAGEIF(results_data,"&gt;="&amp;B9),0)</f>
        <v>381.66666666666441</v>
      </c>
      <c r="C7" s="18">
        <f>IFERROR(AVERAGEIF(results_data,"&lt;=-"&amp;B9),0)</f>
        <v>-1275</v>
      </c>
      <c r="H7" s="20"/>
    </row>
    <row r="8" spans="1:8" x14ac:dyDescent="0.2">
      <c r="H8" s="20"/>
    </row>
    <row r="9" spans="1:8" x14ac:dyDescent="0.2">
      <c r="A9" t="s">
        <v>54</v>
      </c>
      <c r="B9" s="19">
        <v>300</v>
      </c>
      <c r="C9" t="s">
        <v>55</v>
      </c>
      <c r="D9" s="19">
        <v>1</v>
      </c>
    </row>
    <row r="11" spans="1:8" x14ac:dyDescent="0.2">
      <c r="A11" s="14" t="s">
        <v>26</v>
      </c>
      <c r="B11" t="s">
        <v>83</v>
      </c>
    </row>
    <row r="12" spans="1:8" x14ac:dyDescent="0.2">
      <c r="A12" s="14" t="s">
        <v>95</v>
      </c>
      <c r="B12" t="s">
        <v>96</v>
      </c>
    </row>
    <row r="13" spans="1:8" x14ac:dyDescent="0.2">
      <c r="A13" s="14" t="s">
        <v>84</v>
      </c>
      <c r="B13" t="s">
        <v>99</v>
      </c>
    </row>
    <row r="15" spans="1:8" x14ac:dyDescent="0.2">
      <c r="A15" s="14" t="s">
        <v>40</v>
      </c>
      <c r="B15" s="14" t="s">
        <v>39</v>
      </c>
    </row>
    <row r="16" spans="1:8" x14ac:dyDescent="0.2">
      <c r="A16" s="14" t="s">
        <v>37</v>
      </c>
      <c r="B16" t="s">
        <v>23</v>
      </c>
      <c r="C16" t="s">
        <v>89</v>
      </c>
      <c r="D16" t="s">
        <v>94</v>
      </c>
      <c r="E16" t="s">
        <v>98</v>
      </c>
      <c r="F16" t="s">
        <v>101</v>
      </c>
      <c r="G16" t="s">
        <v>100</v>
      </c>
      <c r="H16" t="s">
        <v>38</v>
      </c>
    </row>
    <row r="17" spans="1:8" x14ac:dyDescent="0.2">
      <c r="A17" s="28">
        <v>1333</v>
      </c>
      <c r="B17" s="15"/>
      <c r="C17" s="15"/>
      <c r="D17" s="15"/>
      <c r="E17" s="15">
        <v>20.000000000003126</v>
      </c>
      <c r="F17" s="15"/>
      <c r="G17" s="15"/>
      <c r="H17" s="15">
        <v>20.000000000003126</v>
      </c>
    </row>
    <row r="18" spans="1:8" x14ac:dyDescent="0.2">
      <c r="A18" s="28">
        <v>1334</v>
      </c>
      <c r="B18" s="15"/>
      <c r="C18" s="15">
        <v>162.5</v>
      </c>
      <c r="D18" s="15"/>
      <c r="E18" s="15"/>
      <c r="F18" s="15"/>
      <c r="G18" s="15"/>
      <c r="H18" s="15">
        <v>162.5</v>
      </c>
    </row>
    <row r="19" spans="1:8" x14ac:dyDescent="0.2">
      <c r="A19" s="28">
        <v>1335</v>
      </c>
      <c r="B19" s="15"/>
      <c r="C19" s="15"/>
      <c r="D19" s="15"/>
      <c r="E19" s="15">
        <v>159.99999999999659</v>
      </c>
      <c r="F19" s="15"/>
      <c r="G19" s="15"/>
      <c r="H19" s="15">
        <v>159.99999999999659</v>
      </c>
    </row>
    <row r="20" spans="1:8" x14ac:dyDescent="0.2">
      <c r="A20" s="28">
        <v>1336</v>
      </c>
      <c r="B20" s="15"/>
      <c r="C20" s="15"/>
      <c r="D20" s="15"/>
      <c r="E20" s="15">
        <v>140.00000000000057</v>
      </c>
      <c r="F20" s="15"/>
      <c r="G20" s="15"/>
      <c r="H20" s="15">
        <v>140.00000000000057</v>
      </c>
    </row>
    <row r="21" spans="1:8" x14ac:dyDescent="0.2">
      <c r="A21" s="28">
        <v>1337</v>
      </c>
      <c r="B21" s="15"/>
      <c r="C21" s="15">
        <v>-200</v>
      </c>
      <c r="D21" s="15"/>
      <c r="E21" s="15"/>
      <c r="F21" s="15"/>
      <c r="G21" s="15"/>
      <c r="H21" s="15">
        <v>-200</v>
      </c>
    </row>
    <row r="22" spans="1:8" x14ac:dyDescent="0.2">
      <c r="A22" s="28">
        <v>1338</v>
      </c>
      <c r="B22" s="15"/>
      <c r="C22" s="15">
        <v>400</v>
      </c>
      <c r="D22" s="15"/>
      <c r="E22" s="15"/>
      <c r="F22" s="15"/>
      <c r="G22" s="15"/>
      <c r="H22" s="15">
        <v>400</v>
      </c>
    </row>
    <row r="23" spans="1:8" x14ac:dyDescent="0.2">
      <c r="A23" s="28">
        <v>1339</v>
      </c>
      <c r="B23" s="15"/>
      <c r="C23" s="15">
        <v>-75</v>
      </c>
      <c r="D23" s="15"/>
      <c r="E23" s="15"/>
      <c r="F23" s="15"/>
      <c r="G23" s="15"/>
      <c r="H23" s="15">
        <v>-75</v>
      </c>
    </row>
    <row r="24" spans="1:8" x14ac:dyDescent="0.2">
      <c r="A24" s="28">
        <v>1340</v>
      </c>
      <c r="B24" s="15"/>
      <c r="C24" s="15"/>
      <c r="D24" s="15"/>
      <c r="E24" s="15">
        <v>170.00000000000171</v>
      </c>
      <c r="F24" s="15"/>
      <c r="G24" s="15"/>
      <c r="H24" s="15">
        <v>170.00000000000171</v>
      </c>
    </row>
    <row r="25" spans="1:8" x14ac:dyDescent="0.2">
      <c r="A25" s="28">
        <v>1341</v>
      </c>
      <c r="B25" s="15"/>
      <c r="C25" s="15"/>
      <c r="D25" s="15">
        <v>93.75</v>
      </c>
      <c r="E25" s="15"/>
      <c r="F25" s="15"/>
      <c r="G25" s="15"/>
      <c r="H25" s="15">
        <v>93.75</v>
      </c>
    </row>
    <row r="26" spans="1:8" x14ac:dyDescent="0.2">
      <c r="A26" s="28">
        <v>1342</v>
      </c>
      <c r="B26" s="15"/>
      <c r="C26" s="15"/>
      <c r="D26" s="15">
        <v>86.25</v>
      </c>
      <c r="E26" s="15"/>
      <c r="F26" s="15"/>
      <c r="G26" s="15"/>
      <c r="H26" s="15">
        <v>86.25</v>
      </c>
    </row>
    <row r="27" spans="1:8" x14ac:dyDescent="0.2">
      <c r="A27" s="28">
        <v>1343</v>
      </c>
      <c r="B27" s="15"/>
      <c r="C27" s="15">
        <v>425</v>
      </c>
      <c r="D27" s="15"/>
      <c r="E27" s="15"/>
      <c r="F27" s="15"/>
      <c r="G27" s="15"/>
      <c r="H27" s="15">
        <v>425</v>
      </c>
    </row>
    <row r="28" spans="1:8" x14ac:dyDescent="0.2">
      <c r="A28" s="28">
        <v>1344</v>
      </c>
      <c r="B28" s="15"/>
      <c r="C28" s="15"/>
      <c r="D28" s="15"/>
      <c r="E28" s="15">
        <v>179.99999999999261</v>
      </c>
      <c r="F28" s="15"/>
      <c r="G28" s="15"/>
      <c r="H28" s="15">
        <v>179.99999999999261</v>
      </c>
    </row>
    <row r="29" spans="1:8" x14ac:dyDescent="0.2">
      <c r="A29" s="28">
        <v>1345</v>
      </c>
      <c r="B29" s="15"/>
      <c r="C29" s="15"/>
      <c r="D29" s="15"/>
      <c r="E29" s="15">
        <v>0</v>
      </c>
      <c r="F29" s="15"/>
      <c r="G29" s="15"/>
      <c r="H29" s="15">
        <v>0</v>
      </c>
    </row>
    <row r="30" spans="1:8" x14ac:dyDescent="0.2">
      <c r="A30" s="28">
        <v>1346</v>
      </c>
      <c r="B30" s="15"/>
      <c r="C30" s="15"/>
      <c r="D30" s="15"/>
      <c r="E30" s="15">
        <v>219.99999999999886</v>
      </c>
      <c r="F30" s="15"/>
      <c r="G30" s="15"/>
      <c r="H30" s="15">
        <v>219.99999999999886</v>
      </c>
    </row>
    <row r="31" spans="1:8" x14ac:dyDescent="0.2">
      <c r="A31" s="28">
        <v>1347</v>
      </c>
      <c r="B31" s="15"/>
      <c r="C31" s="15">
        <v>0</v>
      </c>
      <c r="D31" s="15"/>
      <c r="E31" s="15"/>
      <c r="F31" s="15"/>
      <c r="G31" s="15"/>
      <c r="H31" s="15">
        <v>0</v>
      </c>
    </row>
    <row r="32" spans="1:8" x14ac:dyDescent="0.2">
      <c r="A32" s="28">
        <v>1348</v>
      </c>
      <c r="B32" s="15"/>
      <c r="C32" s="15">
        <v>0</v>
      </c>
      <c r="D32" s="15"/>
      <c r="E32" s="15"/>
      <c r="F32" s="15"/>
      <c r="G32" s="15"/>
      <c r="H32" s="15">
        <v>0</v>
      </c>
    </row>
    <row r="33" spans="1:8" x14ac:dyDescent="0.2">
      <c r="A33" s="28">
        <v>1349</v>
      </c>
      <c r="B33" s="15">
        <v>44.21999999999997</v>
      </c>
      <c r="C33" s="15"/>
      <c r="D33" s="15"/>
      <c r="E33" s="15"/>
      <c r="F33" s="15"/>
      <c r="G33" s="15"/>
      <c r="H33" s="15">
        <v>44.21999999999997</v>
      </c>
    </row>
    <row r="34" spans="1:8" x14ac:dyDescent="0.2">
      <c r="A34" s="28">
        <v>1350</v>
      </c>
      <c r="B34" s="15"/>
      <c r="C34" s="15"/>
      <c r="D34" s="15"/>
      <c r="E34" s="15">
        <v>90.000000000003411</v>
      </c>
      <c r="F34" s="15"/>
      <c r="G34" s="15"/>
      <c r="H34" s="15">
        <v>90.000000000003411</v>
      </c>
    </row>
    <row r="35" spans="1:8" x14ac:dyDescent="0.2">
      <c r="A35" s="28">
        <v>1351</v>
      </c>
      <c r="B35" s="15"/>
      <c r="C35" s="15"/>
      <c r="D35" s="15">
        <v>168.75</v>
      </c>
      <c r="E35" s="15"/>
      <c r="F35" s="15"/>
      <c r="G35" s="15"/>
      <c r="H35" s="15">
        <v>168.75</v>
      </c>
    </row>
    <row r="36" spans="1:8" x14ac:dyDescent="0.2">
      <c r="A36" s="28">
        <v>1352</v>
      </c>
      <c r="B36" s="15">
        <v>51.500000000000057</v>
      </c>
      <c r="C36" s="15"/>
      <c r="D36" s="15"/>
      <c r="E36" s="15"/>
      <c r="F36" s="15"/>
      <c r="G36" s="15"/>
      <c r="H36" s="15">
        <v>51.500000000000057</v>
      </c>
    </row>
    <row r="37" spans="1:8" x14ac:dyDescent="0.2">
      <c r="A37" s="28">
        <v>1353</v>
      </c>
      <c r="B37" s="15"/>
      <c r="C37" s="15"/>
      <c r="D37" s="15"/>
      <c r="E37" s="15">
        <v>319.99999999999318</v>
      </c>
      <c r="F37" s="15"/>
      <c r="G37" s="15"/>
      <c r="H37" s="15">
        <v>319.99999999999318</v>
      </c>
    </row>
    <row r="38" spans="1:8" x14ac:dyDescent="0.2">
      <c r="A38" s="28">
        <v>1354</v>
      </c>
      <c r="B38" s="15"/>
      <c r="C38" s="15"/>
      <c r="D38" s="15"/>
      <c r="E38" s="15">
        <v>79.999999999998295</v>
      </c>
      <c r="F38" s="15"/>
      <c r="G38" s="15"/>
      <c r="H38" s="15">
        <v>79.999999999998295</v>
      </c>
    </row>
    <row r="39" spans="1:8" x14ac:dyDescent="0.2">
      <c r="A39" s="28">
        <v>1355</v>
      </c>
      <c r="B39" s="15"/>
      <c r="C39" s="15">
        <v>87.5</v>
      </c>
      <c r="D39" s="15"/>
      <c r="E39" s="15"/>
      <c r="F39" s="15"/>
      <c r="G39" s="15"/>
      <c r="H39" s="15">
        <v>87.5</v>
      </c>
    </row>
    <row r="40" spans="1:8" x14ac:dyDescent="0.2">
      <c r="A40" s="28">
        <v>1356</v>
      </c>
      <c r="B40" s="15"/>
      <c r="C40" s="15"/>
      <c r="D40" s="15">
        <v>-188.75</v>
      </c>
      <c r="E40" s="15"/>
      <c r="F40" s="15"/>
      <c r="G40" s="15"/>
      <c r="H40" s="15">
        <v>-188.75</v>
      </c>
    </row>
    <row r="41" spans="1:8" x14ac:dyDescent="0.2">
      <c r="A41" s="28">
        <v>1357</v>
      </c>
      <c r="B41" s="15"/>
      <c r="C41" s="15"/>
      <c r="D41" s="15"/>
      <c r="E41" s="15">
        <v>180.00000000000682</v>
      </c>
      <c r="F41" s="15"/>
      <c r="G41" s="15"/>
      <c r="H41" s="15">
        <v>180.00000000000682</v>
      </c>
    </row>
    <row r="42" spans="1:8" x14ac:dyDescent="0.2">
      <c r="A42" s="28">
        <v>1358</v>
      </c>
      <c r="B42" s="15"/>
      <c r="C42" s="15"/>
      <c r="D42" s="15"/>
      <c r="E42" s="15">
        <v>180.00000000000682</v>
      </c>
      <c r="F42" s="15"/>
      <c r="G42" s="15"/>
      <c r="H42" s="15">
        <v>180.00000000000682</v>
      </c>
    </row>
    <row r="43" spans="1:8" x14ac:dyDescent="0.2">
      <c r="A43" s="28">
        <v>1359</v>
      </c>
      <c r="B43" s="15"/>
      <c r="C43" s="15">
        <v>112.5</v>
      </c>
      <c r="D43" s="15"/>
      <c r="E43" s="15"/>
      <c r="F43" s="15"/>
      <c r="G43" s="15"/>
      <c r="H43" s="15">
        <v>112.5</v>
      </c>
    </row>
    <row r="44" spans="1:8" x14ac:dyDescent="0.2">
      <c r="A44" s="28">
        <v>1360</v>
      </c>
      <c r="B44" s="15"/>
      <c r="C44" s="15">
        <v>-1275</v>
      </c>
      <c r="D44" s="15"/>
      <c r="E44" s="15"/>
      <c r="F44" s="15"/>
      <c r="G44" s="15"/>
      <c r="H44" s="15">
        <v>-1275</v>
      </c>
    </row>
    <row r="45" spans="1:8" x14ac:dyDescent="0.2">
      <c r="A45" s="28">
        <v>1361</v>
      </c>
      <c r="B45" s="15"/>
      <c r="C45" s="15"/>
      <c r="D45" s="15">
        <v>-45</v>
      </c>
      <c r="E45" s="15"/>
      <c r="F45" s="15"/>
      <c r="G45" s="15"/>
      <c r="H45" s="15">
        <v>-45</v>
      </c>
    </row>
    <row r="46" spans="1:8" x14ac:dyDescent="0.2">
      <c r="A46" s="28">
        <v>1362</v>
      </c>
      <c r="B46" s="15"/>
      <c r="C46" s="15"/>
      <c r="D46" s="15"/>
      <c r="E46" s="15">
        <v>109.99999999999943</v>
      </c>
      <c r="F46" s="15"/>
      <c r="G46" s="15"/>
      <c r="H46" s="15">
        <v>109.99999999999943</v>
      </c>
    </row>
    <row r="47" spans="1:8" x14ac:dyDescent="0.2">
      <c r="A47" s="28">
        <v>1363</v>
      </c>
      <c r="B47" s="15"/>
      <c r="C47" s="15"/>
      <c r="D47" s="15"/>
      <c r="E47" s="15">
        <v>10.000000000005116</v>
      </c>
      <c r="F47" s="15"/>
      <c r="G47" s="15"/>
      <c r="H47" s="15">
        <v>10.000000000005116</v>
      </c>
    </row>
    <row r="48" spans="1:8" x14ac:dyDescent="0.2">
      <c r="A48" s="28">
        <v>1364</v>
      </c>
      <c r="B48" s="15"/>
      <c r="C48" s="15"/>
      <c r="D48" s="15"/>
      <c r="E48" s="15">
        <v>0</v>
      </c>
      <c r="F48" s="15"/>
      <c r="G48" s="15"/>
      <c r="H48" s="15">
        <v>0</v>
      </c>
    </row>
    <row r="49" spans="1:8" x14ac:dyDescent="0.2">
      <c r="A49" s="28">
        <v>1365</v>
      </c>
      <c r="B49" s="15"/>
      <c r="C49" s="15"/>
      <c r="D49" s="15"/>
      <c r="E49" s="15"/>
      <c r="F49" s="15">
        <v>-12.5</v>
      </c>
      <c r="G49" s="15"/>
      <c r="H49" s="15">
        <v>-12.5</v>
      </c>
    </row>
    <row r="50" spans="1:8" x14ac:dyDescent="0.2">
      <c r="A50" s="28">
        <v>1366</v>
      </c>
      <c r="B50" s="15"/>
      <c r="C50" s="15"/>
      <c r="D50" s="15"/>
      <c r="E50" s="15"/>
      <c r="F50" s="15"/>
      <c r="G50" s="15">
        <v>73.75</v>
      </c>
      <c r="H50" s="15">
        <v>73.75</v>
      </c>
    </row>
    <row r="51" spans="1:8" x14ac:dyDescent="0.2">
      <c r="A51" s="28">
        <v>1367</v>
      </c>
      <c r="B51" s="15"/>
      <c r="C51" s="15"/>
      <c r="D51" s="15"/>
      <c r="E51" s="15">
        <v>49.999999999997158</v>
      </c>
      <c r="F51" s="15"/>
      <c r="G51" s="15"/>
      <c r="H51" s="15">
        <v>49.999999999997158</v>
      </c>
    </row>
    <row r="52" spans="1:8" x14ac:dyDescent="0.2">
      <c r="A52" s="28">
        <v>1368</v>
      </c>
      <c r="B52" s="15"/>
      <c r="C52" s="15"/>
      <c r="D52" s="15"/>
      <c r="E52" s="15">
        <v>49.999999999997158</v>
      </c>
      <c r="F52" s="15"/>
      <c r="G52" s="15"/>
      <c r="H52" s="15">
        <v>49.999999999997158</v>
      </c>
    </row>
    <row r="53" spans="1:8" x14ac:dyDescent="0.2">
      <c r="A53" s="28">
        <v>1369</v>
      </c>
      <c r="B53" s="15"/>
      <c r="C53" s="15"/>
      <c r="D53" s="15"/>
      <c r="E53" s="15">
        <v>70.00000000000739</v>
      </c>
      <c r="F53" s="15"/>
      <c r="G53" s="15"/>
      <c r="H53" s="15">
        <v>70.00000000000739</v>
      </c>
    </row>
    <row r="54" spans="1:8" x14ac:dyDescent="0.2">
      <c r="A54" s="28">
        <v>1370</v>
      </c>
      <c r="B54" s="15"/>
      <c r="C54" s="15"/>
      <c r="D54" s="15"/>
      <c r="E54" s="15">
        <v>109.99999999999943</v>
      </c>
      <c r="F54" s="15"/>
      <c r="G54" s="15"/>
      <c r="H54" s="15">
        <v>109.99999999999943</v>
      </c>
    </row>
    <row r="55" spans="1:8" x14ac:dyDescent="0.2">
      <c r="A55" s="28">
        <v>1371</v>
      </c>
      <c r="B55" s="15"/>
      <c r="C55" s="15"/>
      <c r="D55" s="15"/>
      <c r="E55" s="15"/>
      <c r="F55" s="15">
        <v>0</v>
      </c>
      <c r="G55" s="15"/>
      <c r="H55" s="15">
        <v>0</v>
      </c>
    </row>
    <row r="56" spans="1:8" x14ac:dyDescent="0.2">
      <c r="A56" s="28">
        <v>1372</v>
      </c>
      <c r="B56" s="15"/>
      <c r="C56" s="15"/>
      <c r="D56" s="15"/>
      <c r="E56" s="15"/>
      <c r="F56" s="15"/>
      <c r="G56" s="15">
        <v>0</v>
      </c>
      <c r="H56" s="15">
        <v>0</v>
      </c>
    </row>
    <row r="57" spans="1:8" x14ac:dyDescent="0.2">
      <c r="A57" s="28">
        <v>1373</v>
      </c>
      <c r="B57" s="15"/>
      <c r="C57" s="15"/>
      <c r="D57" s="15"/>
      <c r="E57" s="15">
        <v>99.999999999994316</v>
      </c>
      <c r="F57" s="15"/>
      <c r="G57" s="15"/>
      <c r="H57" s="15">
        <v>99.999999999994316</v>
      </c>
    </row>
    <row r="58" spans="1:8" x14ac:dyDescent="0.2">
      <c r="A58" s="28">
        <v>1374</v>
      </c>
      <c r="B58" s="15"/>
      <c r="C58" s="15"/>
      <c r="D58" s="15"/>
      <c r="E58" s="15">
        <v>120.00000000000455</v>
      </c>
      <c r="F58" s="15"/>
      <c r="G58" s="15"/>
      <c r="H58" s="15">
        <v>120.00000000000455</v>
      </c>
    </row>
    <row r="59" spans="1:8" x14ac:dyDescent="0.2">
      <c r="A59" s="28">
        <v>1375</v>
      </c>
      <c r="B59" s="15"/>
      <c r="C59" s="15"/>
      <c r="D59" s="15"/>
      <c r="E59" s="15">
        <v>0</v>
      </c>
      <c r="F59" s="15"/>
      <c r="G59" s="15"/>
      <c r="H59" s="15">
        <v>0</v>
      </c>
    </row>
    <row r="60" spans="1:8" x14ac:dyDescent="0.2">
      <c r="A60" s="28">
        <v>1376</v>
      </c>
      <c r="B60" s="15"/>
      <c r="C60" s="15"/>
      <c r="D60" s="15"/>
      <c r="E60" s="15"/>
      <c r="F60" s="15">
        <v>75</v>
      </c>
      <c r="G60" s="15"/>
      <c r="H60" s="15">
        <v>75</v>
      </c>
    </row>
    <row r="61" spans="1:8" x14ac:dyDescent="0.2">
      <c r="A61" s="28">
        <v>1377</v>
      </c>
      <c r="B61" s="15"/>
      <c r="C61" s="15"/>
      <c r="D61" s="15"/>
      <c r="E61" s="15"/>
      <c r="F61" s="15">
        <v>50</v>
      </c>
      <c r="G61" s="15"/>
      <c r="H61" s="15">
        <v>50</v>
      </c>
    </row>
    <row r="62" spans="1:8" x14ac:dyDescent="0.2">
      <c r="A62" s="28">
        <v>1378</v>
      </c>
      <c r="B62" s="15"/>
      <c r="C62" s="15"/>
      <c r="D62" s="15"/>
      <c r="E62" s="15">
        <v>0</v>
      </c>
      <c r="F62" s="15"/>
      <c r="G62" s="15"/>
      <c r="H62" s="15">
        <v>0</v>
      </c>
    </row>
    <row r="63" spans="1:8" x14ac:dyDescent="0.2">
      <c r="A63" s="28">
        <v>1379</v>
      </c>
      <c r="B63" s="15"/>
      <c r="C63" s="15"/>
      <c r="D63" s="15"/>
      <c r="E63" s="15">
        <v>69.999999999993179</v>
      </c>
      <c r="F63" s="15"/>
      <c r="G63" s="15"/>
      <c r="H63" s="15">
        <v>69.999999999993179</v>
      </c>
    </row>
    <row r="64" spans="1:8" x14ac:dyDescent="0.2">
      <c r="A64" s="28">
        <v>1380</v>
      </c>
      <c r="B64" s="15"/>
      <c r="C64" s="15"/>
      <c r="D64" s="15"/>
      <c r="E64" s="15">
        <v>30.000000000001137</v>
      </c>
      <c r="F64" s="15"/>
      <c r="G64" s="15"/>
      <c r="H64" s="15">
        <v>30.000000000001137</v>
      </c>
    </row>
    <row r="65" spans="1:8" x14ac:dyDescent="0.2">
      <c r="A65" s="28">
        <v>1381</v>
      </c>
      <c r="B65" s="15"/>
      <c r="C65" s="15"/>
      <c r="D65" s="15"/>
      <c r="E65" s="15">
        <v>120.00000000000455</v>
      </c>
      <c r="F65" s="15"/>
      <c r="G65" s="15"/>
      <c r="H65" s="15">
        <v>120.00000000000455</v>
      </c>
    </row>
    <row r="66" spans="1:8" x14ac:dyDescent="0.2">
      <c r="A66" s="28">
        <v>1382</v>
      </c>
      <c r="B66" s="15"/>
      <c r="C66" s="15"/>
      <c r="D66" s="15"/>
      <c r="E66" s="15"/>
      <c r="F66" s="15"/>
      <c r="G66" s="15">
        <v>45</v>
      </c>
      <c r="H66" s="15">
        <v>45</v>
      </c>
    </row>
    <row r="67" spans="1:8" x14ac:dyDescent="0.2">
      <c r="A67" s="28" t="s">
        <v>38</v>
      </c>
      <c r="B67" s="15">
        <v>95.720000000000027</v>
      </c>
      <c r="C67" s="15">
        <v>-362.5</v>
      </c>
      <c r="D67" s="15">
        <v>115</v>
      </c>
      <c r="E67" s="15">
        <v>2580.0000000000055</v>
      </c>
      <c r="F67" s="15">
        <v>112.5</v>
      </c>
      <c r="G67" s="15">
        <v>118.75</v>
      </c>
      <c r="H67" s="15">
        <v>2659.4700000000057</v>
      </c>
    </row>
  </sheetData>
  <conditionalFormatting sqref="E2">
    <cfRule type="expression" dxfId="0" priority="1" stopIfTrue="1">
      <formula>SUM(B2:D2)&lt;&gt;results.Rows.Count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Run_Analytics">
                <anchor moveWithCells="1" sizeWithCells="1">
                  <from>
                    <xdr:col>4</xdr:col>
                    <xdr:colOff>635000</xdr:colOff>
                    <xdr:row>7</xdr:row>
                    <xdr:rowOff>38100</xdr:rowOff>
                  </from>
                  <to>
                    <xdr:col>6</xdr:col>
                    <xdr:colOff>723900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FAED-439E-44C7-91E6-507A5D4AF332}">
  <sheetPr codeName="Sheet3"/>
  <dimension ref="A1:B4"/>
  <sheetViews>
    <sheetView workbookViewId="0">
      <selection activeCell="B5" sqref="B5"/>
    </sheetView>
  </sheetViews>
  <sheetFormatPr baseColWidth="10" defaultColWidth="8.83203125" defaultRowHeight="16" x14ac:dyDescent="0.2"/>
  <sheetData>
    <row r="1" spans="1:2" x14ac:dyDescent="0.2">
      <c r="A1" t="s">
        <v>6</v>
      </c>
      <c r="B1" t="s">
        <v>29</v>
      </c>
    </row>
    <row r="2" spans="1:2" x14ac:dyDescent="0.2">
      <c r="A2" t="s">
        <v>27</v>
      </c>
      <c r="B2">
        <v>1000</v>
      </c>
    </row>
    <row r="3" spans="1:2" x14ac:dyDescent="0.2">
      <c r="A3" t="s">
        <v>28</v>
      </c>
      <c r="B3">
        <v>50</v>
      </c>
    </row>
    <row r="4" spans="1:2" x14ac:dyDescent="0.2">
      <c r="A4" t="s">
        <v>74</v>
      </c>
      <c r="B4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80087-2A9E-4626-A96B-1E2823216C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Home</vt:lpstr>
      <vt:lpstr>Master</vt:lpstr>
      <vt:lpstr>Analytics</vt:lpstr>
      <vt:lpstr>Futures</vt:lpstr>
      <vt:lpstr>master_data</vt:lpstr>
      <vt:lpstr>results_data</vt:lpstr>
      <vt:lpstr>total_pnl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2020-03-21T17:03:57Z</dcterms:created>
  <dcterms:modified xsi:type="dcterms:W3CDTF">2021-03-17T14:35:31Z</dcterms:modified>
</cp:coreProperties>
</file>